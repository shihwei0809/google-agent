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3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4.xml" ContentType="application/vnd.openxmlformats-officedocument.drawing+xml"/>
  <Override PartName="/xl/ctrlProps/ctrlProp3.xml" ContentType="application/vnd.ms-excel.controlproperties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drawings/drawing5.xml" ContentType="application/vnd.openxmlformats-officedocument.drawing+xml"/>
  <Override PartName="/xl/ctrlProps/ctrlProp4.xml" ContentType="application/vnd.ms-excel.controlproperties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drawings/drawing6.xml" ContentType="application/vnd.openxmlformats-officedocument.drawing+xml"/>
  <Override PartName="/xl/ctrlProps/ctrlProp5.xml" ContentType="application/vnd.ms-excel.controlproperties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drawings/drawing7.xml" ContentType="application/vnd.openxmlformats-officedocument.drawing+xml"/>
  <Override PartName="/xl/ctrlProps/ctrlProp6.xml" ContentType="application/vnd.ms-excel.controlproperties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drawings/drawing8.xml" ContentType="application/vnd.openxmlformats-officedocument.drawing+xml"/>
  <Override PartName="/xl/ctrlProps/ctrlProp7.xml" ContentType="application/vnd.ms-excel.controlproperties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drawings/drawing9.xml" ContentType="application/vnd.openxmlformats-officedocument.drawing+xml"/>
  <Override PartName="/xl/ctrlProps/ctrlProp8.xml" ContentType="application/vnd.ms-excel.controlproperties+xml"/>
  <Override PartName="/xl/tables/table8.xml" ContentType="application/vnd.openxmlformats-officedocument.spreadsheetml.table+xml"/>
  <Override PartName="/xl/queryTables/queryTable8.xml" ContentType="application/vnd.openxmlformats-officedocument.spreadsheetml.queryTable+xml"/>
  <Override PartName="/xl/drawings/drawing10.xml" ContentType="application/vnd.openxmlformats-officedocument.drawing+xml"/>
  <Override PartName="/xl/ctrlProps/ctrlProp9.xml" ContentType="application/vnd.ms-excel.controlproperties+xml"/>
  <Override PartName="/xl/tables/table9.xml" ContentType="application/vnd.openxmlformats-officedocument.spreadsheetml.table+xml"/>
  <Override PartName="/xl/queryTables/queryTable9.xml" ContentType="application/vnd.openxmlformats-officedocument.spreadsheetml.queryTable+xml"/>
  <Override PartName="/xl/drawings/drawing11.xml" ContentType="application/vnd.openxmlformats-officedocument.drawing+xml"/>
  <Override PartName="/xl/ctrlProps/ctrlProp10.xml" ContentType="application/vnd.ms-excel.controlproperties+xml"/>
  <Override PartName="/xl/tables/table10.xml" ContentType="application/vnd.openxmlformats-officedocument.spreadsheetml.table+xml"/>
  <Override PartName="/xl/queryTables/queryTable10.xml" ContentType="application/vnd.openxmlformats-officedocument.spreadsheetml.queryTable+xml"/>
  <Override PartName="/xl/drawings/drawing12.xml" ContentType="application/vnd.openxmlformats-officedocument.drawing+xml"/>
  <Override PartName="/xl/ctrlProps/ctrlProp11.xml" ContentType="application/vnd.ms-excel.controlproperties+xml"/>
  <Override PartName="/xl/tables/table11.xml" ContentType="application/vnd.openxmlformats-officedocument.spreadsheetml.table+xml"/>
  <Override PartName="/xl/queryTables/queryTable11.xml" ContentType="application/vnd.openxmlformats-officedocument.spreadsheetml.queryTable+xml"/>
  <Override PartName="/xl/drawings/drawing13.xml" ContentType="application/vnd.openxmlformats-officedocument.drawing+xml"/>
  <Override PartName="/xl/ctrlProps/ctrlProp12.xml" ContentType="application/vnd.ms-excel.controlproperties+xml"/>
  <Override PartName="/xl/tables/table12.xml" ContentType="application/vnd.openxmlformats-officedocument.spreadsheetml.table+xml"/>
  <Override PartName="/xl/queryTables/queryTable12.xml" ContentType="application/vnd.openxmlformats-officedocument.spreadsheetml.queryTable+xml"/>
  <Override PartName="/xl/drawings/drawing14.xml" ContentType="application/vnd.openxmlformats-officedocument.drawing+xml"/>
  <Override PartName="/xl/ctrlProps/ctrlProp13.xml" ContentType="application/vnd.ms-excel.controlproperties+xml"/>
  <Override PartName="/xl/tables/table13.xml" ContentType="application/vnd.openxmlformats-officedocument.spreadsheetml.table+xml"/>
  <Override PartName="/xl/queryTables/queryTable13.xml" ContentType="application/vnd.openxmlformats-officedocument.spreadsheetml.queryTable+xml"/>
  <Override PartName="/xl/drawings/drawing15.xml" ContentType="application/vnd.openxmlformats-officedocument.drawing+xml"/>
  <Override PartName="/xl/ctrlProps/ctrlProp14.xml" ContentType="application/vnd.ms-excel.controlproperties+xml"/>
  <Override PartName="/xl/tables/table14.xml" ContentType="application/vnd.openxmlformats-officedocument.spreadsheetml.table+xml"/>
  <Override PartName="/xl/queryTables/queryTable14.xml" ContentType="application/vnd.openxmlformats-officedocument.spreadsheetml.queryTable+xml"/>
  <Override PartName="/xl/drawings/drawing16.xml" ContentType="application/vnd.openxmlformats-officedocument.drawing+xml"/>
  <Override PartName="/xl/ctrlProps/ctrlProp15.xml" ContentType="application/vnd.ms-excel.controlproperties+xml"/>
  <Override PartName="/xl/tables/table15.xml" ContentType="application/vnd.openxmlformats-officedocument.spreadsheetml.table+xml"/>
  <Override PartName="/xl/queryTables/queryTable15.xml" ContentType="application/vnd.openxmlformats-officedocument.spreadsheetml.queryTable+xml"/>
  <Override PartName="/xl/drawings/drawing17.xml" ContentType="application/vnd.openxmlformats-officedocument.drawing+xml"/>
  <Override PartName="/xl/ctrlProps/ctrlProp16.xml" ContentType="application/vnd.ms-excel.controlproperties+xml"/>
  <Override PartName="/xl/tables/table16.xml" ContentType="application/vnd.openxmlformats-officedocument.spreadsheetml.table+xml"/>
  <Override PartName="/xl/queryTables/queryTable16.xml" ContentType="application/vnd.openxmlformats-officedocument.spreadsheetml.queryTable+xml"/>
  <Override PartName="/xl/drawings/drawing18.xml" ContentType="application/vnd.openxmlformats-officedocument.drawing+xml"/>
  <Override PartName="/xl/ctrlProps/ctrlProp17.xml" ContentType="application/vnd.ms-excel.controlproperties+xml"/>
  <Override PartName="/xl/tables/table17.xml" ContentType="application/vnd.openxmlformats-officedocument.spreadsheetml.table+xml"/>
  <Override PartName="/xl/queryTables/queryTable17.xml" ContentType="application/vnd.openxmlformats-officedocument.spreadsheetml.queryTable+xml"/>
  <Override PartName="/xl/drawings/drawing19.xml" ContentType="application/vnd.openxmlformats-officedocument.drawing+xml"/>
  <Override PartName="/xl/ctrlProps/ctrlProp18.xml" ContentType="application/vnd.ms-excel.controlproperties+xml"/>
  <Override PartName="/xl/tables/table18.xml" ContentType="application/vnd.openxmlformats-officedocument.spreadsheetml.table+xml"/>
  <Override PartName="/xl/queryTables/queryTable18.xml" ContentType="application/vnd.openxmlformats-officedocument.spreadsheetml.queryTable+xml"/>
  <Override PartName="/xl/drawings/drawing20.xml" ContentType="application/vnd.openxmlformats-officedocument.drawing+xml"/>
  <Override PartName="/xl/ctrlProps/ctrlProp19.xml" ContentType="application/vnd.ms-excel.controlproperties+xml"/>
  <Override PartName="/xl/tables/table19.xml" ContentType="application/vnd.openxmlformats-officedocument.spreadsheetml.table+xml"/>
  <Override PartName="/xl/queryTables/queryTable19.xml" ContentType="application/vnd.openxmlformats-officedocument.spreadsheetml.queryTable+xml"/>
  <Override PartName="/xl/drawings/drawing21.xml" ContentType="application/vnd.openxmlformats-officedocument.drawing+xml"/>
  <Override PartName="/xl/ctrlProps/ctrlProp20.xml" ContentType="application/vnd.ms-excel.controlproperties+xml"/>
  <Override PartName="/xl/tables/table20.xml" ContentType="application/vnd.openxmlformats-officedocument.spreadsheetml.table+xml"/>
  <Override PartName="/xl/queryTables/queryTable20.xml" ContentType="application/vnd.openxmlformats-officedocument.spreadsheetml.queryTable+xml"/>
  <Override PartName="/xl/drawings/drawing22.xml" ContentType="application/vnd.openxmlformats-officedocument.drawing+xml"/>
  <Override PartName="/xl/ctrlProps/ctrlProp21.xml" ContentType="application/vnd.ms-excel.controlproperties+xml"/>
  <Override PartName="/xl/tables/table21.xml" ContentType="application/vnd.openxmlformats-officedocument.spreadsheetml.table+xml"/>
  <Override PartName="/xl/queryTables/queryTable21.xml" ContentType="application/vnd.openxmlformats-officedocument.spreadsheetml.queryTable+xml"/>
  <Override PartName="/xl/drawings/drawing23.xml" ContentType="application/vnd.openxmlformats-officedocument.drawing+xml"/>
  <Override PartName="/xl/ctrlProps/ctrlProp22.xml" ContentType="application/vnd.ms-excel.controlproperties+xml"/>
  <Override PartName="/xl/tables/table22.xml" ContentType="application/vnd.openxmlformats-officedocument.spreadsheetml.table+xml"/>
  <Override PartName="/xl/queryTables/queryTable22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O:\各單位對外\資材部對外\!儲槽作業日報\儲槽作業日報\2026\"/>
    </mc:Choice>
  </mc:AlternateContent>
  <bookViews>
    <workbookView xWindow="0" yWindow="0" windowWidth="21600" windowHeight="8256" firstSheet="7" activeTab="23"/>
  </bookViews>
  <sheets>
    <sheet name="新增" sheetId="1727" r:id="rId1"/>
    <sheet name="密度" sheetId="13" r:id="rId2"/>
    <sheet name="5.29" sheetId="2179" r:id="rId3"/>
    <sheet name="6.1" sheetId="2180" r:id="rId4"/>
    <sheet name="6.2" sheetId="2181" r:id="rId5"/>
    <sheet name="6.3" sheetId="2182" r:id="rId6"/>
    <sheet name="6.4" sheetId="2183" r:id="rId7"/>
    <sheet name="6.5" sheetId="2184" r:id="rId8"/>
    <sheet name="6.8" sheetId="2185" r:id="rId9"/>
    <sheet name="6.9" sheetId="2186" r:id="rId10"/>
    <sheet name="6.10" sheetId="2187" r:id="rId11"/>
    <sheet name="6.11" sheetId="2188" r:id="rId12"/>
    <sheet name="6.12" sheetId="2189" r:id="rId13"/>
    <sheet name="6.15" sheetId="2190" r:id="rId14"/>
    <sheet name="6.16" sheetId="2191" r:id="rId15"/>
    <sheet name="6.17" sheetId="2192" r:id="rId16"/>
    <sheet name="6.18" sheetId="2193" r:id="rId17"/>
    <sheet name="6.22" sheetId="2194" r:id="rId18"/>
    <sheet name="6.23" sheetId="2195" r:id="rId19"/>
    <sheet name="6.24" sheetId="2196" r:id="rId20"/>
    <sheet name="6.25" sheetId="2198" r:id="rId21"/>
    <sheet name="6.26" sheetId="2199" r:id="rId22"/>
    <sheet name="6.29" sheetId="2200" r:id="rId23"/>
    <sheet name="6.30" sheetId="2201" r:id="rId24"/>
  </sheets>
  <definedNames>
    <definedName name="_xlnm.Print_Area" localSheetId="2">'5.29'!$B$1:$AE$36</definedName>
    <definedName name="_xlnm.Print_Area" localSheetId="3">'6.1'!$B$1:$AE$36</definedName>
    <definedName name="_xlnm.Print_Area" localSheetId="10">'6.10'!$B$1:$AE$36</definedName>
    <definedName name="_xlnm.Print_Area" localSheetId="11">'6.11'!$B$1:$AE$36</definedName>
    <definedName name="_xlnm.Print_Area" localSheetId="12">'6.12'!$B$1:$AE$36</definedName>
    <definedName name="_xlnm.Print_Area" localSheetId="13">'6.15'!$B$1:$AE$36</definedName>
    <definedName name="_xlnm.Print_Area" localSheetId="14">'6.16'!$B$1:$AE$36</definedName>
    <definedName name="_xlnm.Print_Area" localSheetId="15">'6.17'!$B$1:$AE$36</definedName>
    <definedName name="_xlnm.Print_Area" localSheetId="16">'6.18'!$B$1:$AE$36</definedName>
    <definedName name="_xlnm.Print_Area" localSheetId="4">'6.2'!$B$1:$AE$36</definedName>
    <definedName name="_xlnm.Print_Area" localSheetId="17">'6.22'!$B$1:$AE$36</definedName>
    <definedName name="_xlnm.Print_Area" localSheetId="18">'6.23'!$B$1:$AE$36</definedName>
    <definedName name="_xlnm.Print_Area" localSheetId="19">'6.24'!$B$1:$AE$36</definedName>
    <definedName name="_xlnm.Print_Area" localSheetId="20">'6.25'!$B$1:$AE$36</definedName>
    <definedName name="_xlnm.Print_Area" localSheetId="21">'6.26'!$B$1:$AE$36</definedName>
    <definedName name="_xlnm.Print_Area" localSheetId="22">'6.29'!$B$1:$AE$36</definedName>
    <definedName name="_xlnm.Print_Area" localSheetId="5">'6.3'!$B$1:$AE$36</definedName>
    <definedName name="_xlnm.Print_Area" localSheetId="23">'6.30'!$B$1:$AE$36</definedName>
    <definedName name="_xlnm.Print_Area" localSheetId="6">'6.4'!$B$1:$AE$36</definedName>
    <definedName name="_xlnm.Print_Area" localSheetId="7">'6.5'!$B$1:$AE$36</definedName>
    <definedName name="_xlnm.Print_Area" localSheetId="8">'6.8'!$B$1:$AE$36</definedName>
    <definedName name="_xlnm.Print_Area" localSheetId="9">'6.9'!$B$1:$AE$36</definedName>
    <definedName name="_xlnm.Print_Area" localSheetId="1">密度!$A$1:$W$61</definedName>
    <definedName name="_xlnm.Print_Area" localSheetId="0">新增!$A$1:$M$45</definedName>
    <definedName name="Z_512059F6_F0DC_4056_8FD0_37088AB81F9E_.wvu.PrintArea" localSheetId="2" hidden="1">'5.29'!$B$3:$AE$36</definedName>
    <definedName name="Z_512059F6_F0DC_4056_8FD0_37088AB81F9E_.wvu.PrintArea" localSheetId="3" hidden="1">'6.1'!$B$3:$AE$36</definedName>
    <definedName name="Z_512059F6_F0DC_4056_8FD0_37088AB81F9E_.wvu.PrintArea" localSheetId="10" hidden="1">'6.10'!$B$3:$AE$36</definedName>
    <definedName name="Z_512059F6_F0DC_4056_8FD0_37088AB81F9E_.wvu.PrintArea" localSheetId="11" hidden="1">'6.11'!$B$3:$AE$36</definedName>
    <definedName name="Z_512059F6_F0DC_4056_8FD0_37088AB81F9E_.wvu.PrintArea" localSheetId="12" hidden="1">'6.12'!$B$3:$AE$36</definedName>
    <definedName name="Z_512059F6_F0DC_4056_8FD0_37088AB81F9E_.wvu.PrintArea" localSheetId="13" hidden="1">'6.15'!$B$3:$AE$36</definedName>
    <definedName name="Z_512059F6_F0DC_4056_8FD0_37088AB81F9E_.wvu.PrintArea" localSheetId="14" hidden="1">'6.16'!$B$3:$AE$36</definedName>
    <definedName name="Z_512059F6_F0DC_4056_8FD0_37088AB81F9E_.wvu.PrintArea" localSheetId="15" hidden="1">'6.17'!$B$3:$AE$36</definedName>
    <definedName name="Z_512059F6_F0DC_4056_8FD0_37088AB81F9E_.wvu.PrintArea" localSheetId="16" hidden="1">'6.18'!$B$3:$AE$36</definedName>
    <definedName name="Z_512059F6_F0DC_4056_8FD0_37088AB81F9E_.wvu.PrintArea" localSheetId="4" hidden="1">'6.2'!$B$3:$AE$36</definedName>
    <definedName name="Z_512059F6_F0DC_4056_8FD0_37088AB81F9E_.wvu.PrintArea" localSheetId="17" hidden="1">'6.22'!$B$3:$AE$36</definedName>
    <definedName name="Z_512059F6_F0DC_4056_8FD0_37088AB81F9E_.wvu.PrintArea" localSheetId="18" hidden="1">'6.23'!$B$3:$AE$36</definedName>
    <definedName name="Z_512059F6_F0DC_4056_8FD0_37088AB81F9E_.wvu.PrintArea" localSheetId="19" hidden="1">'6.24'!$B$3:$AE$36</definedName>
    <definedName name="Z_512059F6_F0DC_4056_8FD0_37088AB81F9E_.wvu.PrintArea" localSheetId="20" hidden="1">'6.25'!$B$3:$AE$36</definedName>
    <definedName name="Z_512059F6_F0DC_4056_8FD0_37088AB81F9E_.wvu.PrintArea" localSheetId="21" hidden="1">'6.26'!$B$3:$AE$36</definedName>
    <definedName name="Z_512059F6_F0DC_4056_8FD0_37088AB81F9E_.wvu.PrintArea" localSheetId="22" hidden="1">'6.29'!$B$3:$AE$36</definedName>
    <definedName name="Z_512059F6_F0DC_4056_8FD0_37088AB81F9E_.wvu.PrintArea" localSheetId="5" hidden="1">'6.3'!$B$3:$AE$36</definedName>
    <definedName name="Z_512059F6_F0DC_4056_8FD0_37088AB81F9E_.wvu.PrintArea" localSheetId="23" hidden="1">'6.30'!$B$3:$AE$36</definedName>
    <definedName name="Z_512059F6_F0DC_4056_8FD0_37088AB81F9E_.wvu.PrintArea" localSheetId="6" hidden="1">'6.4'!$B$3:$AE$36</definedName>
    <definedName name="Z_512059F6_F0DC_4056_8FD0_37088AB81F9E_.wvu.PrintArea" localSheetId="7" hidden="1">'6.5'!$B$3:$AE$36</definedName>
    <definedName name="Z_512059F6_F0DC_4056_8FD0_37088AB81F9E_.wvu.PrintArea" localSheetId="8" hidden="1">'6.8'!$B$3:$AE$36</definedName>
    <definedName name="Z_512059F6_F0DC_4056_8FD0_37088AB81F9E_.wvu.PrintArea" localSheetId="9" hidden="1">'6.9'!$B$3:$AE$36</definedName>
    <definedName name="Z_68643476_8805_447E_8170_A582EA1D0343_.wvu.PrintArea" localSheetId="2" hidden="1">'5.29'!$B$3:$AE$36</definedName>
    <definedName name="Z_68643476_8805_447E_8170_A582EA1D0343_.wvu.PrintArea" localSheetId="3" hidden="1">'6.1'!$B$3:$AE$36</definedName>
    <definedName name="Z_68643476_8805_447E_8170_A582EA1D0343_.wvu.PrintArea" localSheetId="10" hidden="1">'6.10'!$B$3:$AE$36</definedName>
    <definedName name="Z_68643476_8805_447E_8170_A582EA1D0343_.wvu.PrintArea" localSheetId="11" hidden="1">'6.11'!$B$3:$AE$36</definedName>
    <definedName name="Z_68643476_8805_447E_8170_A582EA1D0343_.wvu.PrintArea" localSheetId="12" hidden="1">'6.12'!$B$3:$AE$36</definedName>
    <definedName name="Z_68643476_8805_447E_8170_A582EA1D0343_.wvu.PrintArea" localSheetId="13" hidden="1">'6.15'!$B$3:$AE$36</definedName>
    <definedName name="Z_68643476_8805_447E_8170_A582EA1D0343_.wvu.PrintArea" localSheetId="14" hidden="1">'6.16'!$B$3:$AE$36</definedName>
    <definedName name="Z_68643476_8805_447E_8170_A582EA1D0343_.wvu.PrintArea" localSheetId="15" hidden="1">'6.17'!$B$3:$AE$36</definedName>
    <definedName name="Z_68643476_8805_447E_8170_A582EA1D0343_.wvu.PrintArea" localSheetId="16" hidden="1">'6.18'!$B$3:$AE$36</definedName>
    <definedName name="Z_68643476_8805_447E_8170_A582EA1D0343_.wvu.PrintArea" localSheetId="4" hidden="1">'6.2'!$B$3:$AE$36</definedName>
    <definedName name="Z_68643476_8805_447E_8170_A582EA1D0343_.wvu.PrintArea" localSheetId="17" hidden="1">'6.22'!$B$3:$AE$36</definedName>
    <definedName name="Z_68643476_8805_447E_8170_A582EA1D0343_.wvu.PrintArea" localSheetId="18" hidden="1">'6.23'!$B$3:$AE$36</definedName>
    <definedName name="Z_68643476_8805_447E_8170_A582EA1D0343_.wvu.PrintArea" localSheetId="19" hidden="1">'6.24'!$B$3:$AE$36</definedName>
    <definedName name="Z_68643476_8805_447E_8170_A582EA1D0343_.wvu.PrintArea" localSheetId="20" hidden="1">'6.25'!$B$3:$AE$36</definedName>
    <definedName name="Z_68643476_8805_447E_8170_A582EA1D0343_.wvu.PrintArea" localSheetId="21" hidden="1">'6.26'!$B$3:$AE$36</definedName>
    <definedName name="Z_68643476_8805_447E_8170_A582EA1D0343_.wvu.PrintArea" localSheetId="22" hidden="1">'6.29'!$B$3:$AE$36</definedName>
    <definedName name="Z_68643476_8805_447E_8170_A582EA1D0343_.wvu.PrintArea" localSheetId="5" hidden="1">'6.3'!$B$3:$AE$36</definedName>
    <definedName name="Z_68643476_8805_447E_8170_A582EA1D0343_.wvu.PrintArea" localSheetId="23" hidden="1">'6.30'!$B$3:$AE$36</definedName>
    <definedName name="Z_68643476_8805_447E_8170_A582EA1D0343_.wvu.PrintArea" localSheetId="6" hidden="1">'6.4'!$B$3:$AE$36</definedName>
    <definedName name="Z_68643476_8805_447E_8170_A582EA1D0343_.wvu.PrintArea" localSheetId="7" hidden="1">'6.5'!$B$3:$AE$36</definedName>
    <definedName name="Z_68643476_8805_447E_8170_A582EA1D0343_.wvu.PrintArea" localSheetId="8" hidden="1">'6.8'!$B$3:$AE$36</definedName>
    <definedName name="Z_68643476_8805_447E_8170_A582EA1D0343_.wvu.PrintArea" localSheetId="9" hidden="1">'6.9'!$B$3:$AE$36</definedName>
    <definedName name="Z_8E5926ED_4EBD_4129_B8FF_799CC47580D7_.wvu.PrintArea" localSheetId="2" hidden="1">'5.29'!$B$3:$AE$36</definedName>
    <definedName name="Z_8E5926ED_4EBD_4129_B8FF_799CC47580D7_.wvu.PrintArea" localSheetId="3" hidden="1">'6.1'!$B$3:$AE$36</definedName>
    <definedName name="Z_8E5926ED_4EBD_4129_B8FF_799CC47580D7_.wvu.PrintArea" localSheetId="10" hidden="1">'6.10'!$B$3:$AE$36</definedName>
    <definedName name="Z_8E5926ED_4EBD_4129_B8FF_799CC47580D7_.wvu.PrintArea" localSheetId="11" hidden="1">'6.11'!$B$3:$AE$36</definedName>
    <definedName name="Z_8E5926ED_4EBD_4129_B8FF_799CC47580D7_.wvu.PrintArea" localSheetId="12" hidden="1">'6.12'!$B$3:$AE$36</definedName>
    <definedName name="Z_8E5926ED_4EBD_4129_B8FF_799CC47580D7_.wvu.PrintArea" localSheetId="13" hidden="1">'6.15'!$B$3:$AE$36</definedName>
    <definedName name="Z_8E5926ED_4EBD_4129_B8FF_799CC47580D7_.wvu.PrintArea" localSheetId="14" hidden="1">'6.16'!$B$3:$AE$36</definedName>
    <definedName name="Z_8E5926ED_4EBD_4129_B8FF_799CC47580D7_.wvu.PrintArea" localSheetId="15" hidden="1">'6.17'!$B$3:$AE$36</definedName>
    <definedName name="Z_8E5926ED_4EBD_4129_B8FF_799CC47580D7_.wvu.PrintArea" localSheetId="16" hidden="1">'6.18'!$B$3:$AE$36</definedName>
    <definedName name="Z_8E5926ED_4EBD_4129_B8FF_799CC47580D7_.wvu.PrintArea" localSheetId="4" hidden="1">'6.2'!$B$3:$AE$36</definedName>
    <definedName name="Z_8E5926ED_4EBD_4129_B8FF_799CC47580D7_.wvu.PrintArea" localSheetId="17" hidden="1">'6.22'!$B$3:$AE$36</definedName>
    <definedName name="Z_8E5926ED_4EBD_4129_B8FF_799CC47580D7_.wvu.PrintArea" localSheetId="18" hidden="1">'6.23'!$B$3:$AE$36</definedName>
    <definedName name="Z_8E5926ED_4EBD_4129_B8FF_799CC47580D7_.wvu.PrintArea" localSheetId="19" hidden="1">'6.24'!$B$3:$AE$36</definedName>
    <definedName name="Z_8E5926ED_4EBD_4129_B8FF_799CC47580D7_.wvu.PrintArea" localSheetId="20" hidden="1">'6.25'!$B$3:$AE$36</definedName>
    <definedName name="Z_8E5926ED_4EBD_4129_B8FF_799CC47580D7_.wvu.PrintArea" localSheetId="21" hidden="1">'6.26'!$B$3:$AE$36</definedName>
    <definedName name="Z_8E5926ED_4EBD_4129_B8FF_799CC47580D7_.wvu.PrintArea" localSheetId="22" hidden="1">'6.29'!$B$3:$AE$36</definedName>
    <definedName name="Z_8E5926ED_4EBD_4129_B8FF_799CC47580D7_.wvu.PrintArea" localSheetId="5" hidden="1">'6.3'!$B$3:$AE$36</definedName>
    <definedName name="Z_8E5926ED_4EBD_4129_B8FF_799CC47580D7_.wvu.PrintArea" localSheetId="23" hidden="1">'6.30'!$B$3:$AE$36</definedName>
    <definedName name="Z_8E5926ED_4EBD_4129_B8FF_799CC47580D7_.wvu.PrintArea" localSheetId="6" hidden="1">'6.4'!$B$3:$AE$36</definedName>
    <definedName name="Z_8E5926ED_4EBD_4129_B8FF_799CC47580D7_.wvu.PrintArea" localSheetId="7" hidden="1">'6.5'!$B$3:$AE$36</definedName>
    <definedName name="Z_8E5926ED_4EBD_4129_B8FF_799CC47580D7_.wvu.PrintArea" localSheetId="8" hidden="1">'6.8'!$B$3:$AE$36</definedName>
    <definedName name="Z_8E5926ED_4EBD_4129_B8FF_799CC47580D7_.wvu.PrintArea" localSheetId="9" hidden="1">'6.9'!$B$3:$AE$36</definedName>
    <definedName name="Z_8FA8B620_C56C_11DB_A857_00055D5FD5FF_.wvu.PrintArea" localSheetId="2" hidden="1">'5.29'!$B$3:$AE$36</definedName>
    <definedName name="Z_8FA8B620_C56C_11DB_A857_00055D5FD5FF_.wvu.PrintArea" localSheetId="3" hidden="1">'6.1'!$B$3:$AE$36</definedName>
    <definedName name="Z_8FA8B620_C56C_11DB_A857_00055D5FD5FF_.wvu.PrintArea" localSheetId="10" hidden="1">'6.10'!$B$3:$AE$36</definedName>
    <definedName name="Z_8FA8B620_C56C_11DB_A857_00055D5FD5FF_.wvu.PrintArea" localSheetId="11" hidden="1">'6.11'!$B$3:$AE$36</definedName>
    <definedName name="Z_8FA8B620_C56C_11DB_A857_00055D5FD5FF_.wvu.PrintArea" localSheetId="12" hidden="1">'6.12'!$B$3:$AE$36</definedName>
    <definedName name="Z_8FA8B620_C56C_11DB_A857_00055D5FD5FF_.wvu.PrintArea" localSheetId="13" hidden="1">'6.15'!$B$3:$AE$36</definedName>
    <definedName name="Z_8FA8B620_C56C_11DB_A857_00055D5FD5FF_.wvu.PrintArea" localSheetId="14" hidden="1">'6.16'!$B$3:$AE$36</definedName>
    <definedName name="Z_8FA8B620_C56C_11DB_A857_00055D5FD5FF_.wvu.PrintArea" localSheetId="15" hidden="1">'6.17'!$B$3:$AE$36</definedName>
    <definedName name="Z_8FA8B620_C56C_11DB_A857_00055D5FD5FF_.wvu.PrintArea" localSheetId="16" hidden="1">'6.18'!$B$3:$AE$36</definedName>
    <definedName name="Z_8FA8B620_C56C_11DB_A857_00055D5FD5FF_.wvu.PrintArea" localSheetId="4" hidden="1">'6.2'!$B$3:$AE$36</definedName>
    <definedName name="Z_8FA8B620_C56C_11DB_A857_00055D5FD5FF_.wvu.PrintArea" localSheetId="17" hidden="1">'6.22'!$B$3:$AE$36</definedName>
    <definedName name="Z_8FA8B620_C56C_11DB_A857_00055D5FD5FF_.wvu.PrintArea" localSheetId="18" hidden="1">'6.23'!$B$3:$AE$36</definedName>
    <definedName name="Z_8FA8B620_C56C_11DB_A857_00055D5FD5FF_.wvu.PrintArea" localSheetId="19" hidden="1">'6.24'!$B$3:$AE$36</definedName>
    <definedName name="Z_8FA8B620_C56C_11DB_A857_00055D5FD5FF_.wvu.PrintArea" localSheetId="20" hidden="1">'6.25'!$B$3:$AE$36</definedName>
    <definedName name="Z_8FA8B620_C56C_11DB_A857_00055D5FD5FF_.wvu.PrintArea" localSheetId="21" hidden="1">'6.26'!$B$3:$AE$36</definedName>
    <definedName name="Z_8FA8B620_C56C_11DB_A857_00055D5FD5FF_.wvu.PrintArea" localSheetId="22" hidden="1">'6.29'!$B$3:$AE$36</definedName>
    <definedName name="Z_8FA8B620_C56C_11DB_A857_00055D5FD5FF_.wvu.PrintArea" localSheetId="5" hidden="1">'6.3'!$B$3:$AE$36</definedName>
    <definedName name="Z_8FA8B620_C56C_11DB_A857_00055D5FD5FF_.wvu.PrintArea" localSheetId="23" hidden="1">'6.30'!$B$3:$AE$36</definedName>
    <definedName name="Z_8FA8B620_C56C_11DB_A857_00055D5FD5FF_.wvu.PrintArea" localSheetId="6" hidden="1">'6.4'!$B$3:$AE$36</definedName>
    <definedName name="Z_8FA8B620_C56C_11DB_A857_00055D5FD5FF_.wvu.PrintArea" localSheetId="7" hidden="1">'6.5'!$B$3:$AE$36</definedName>
    <definedName name="Z_8FA8B620_C56C_11DB_A857_00055D5FD5FF_.wvu.PrintArea" localSheetId="8" hidden="1">'6.8'!$B$3:$AE$36</definedName>
    <definedName name="Z_8FA8B620_C56C_11DB_A857_00055D5FD5FF_.wvu.PrintArea" localSheetId="9" hidden="1">'6.9'!$B$3:$AE$36</definedName>
    <definedName name="Z_A3DB5619_047E_4CE2_8C39_700CFD25F2CB_.wvu.PrintArea" localSheetId="2" hidden="1">'5.29'!$B$3:$AE$36</definedName>
    <definedName name="Z_A3DB5619_047E_4CE2_8C39_700CFD25F2CB_.wvu.PrintArea" localSheetId="3" hidden="1">'6.1'!$B$3:$AE$36</definedName>
    <definedName name="Z_A3DB5619_047E_4CE2_8C39_700CFD25F2CB_.wvu.PrintArea" localSheetId="10" hidden="1">'6.10'!$B$3:$AE$36</definedName>
    <definedName name="Z_A3DB5619_047E_4CE2_8C39_700CFD25F2CB_.wvu.PrintArea" localSheetId="11" hidden="1">'6.11'!$B$3:$AE$36</definedName>
    <definedName name="Z_A3DB5619_047E_4CE2_8C39_700CFD25F2CB_.wvu.PrintArea" localSheetId="12" hidden="1">'6.12'!$B$3:$AE$36</definedName>
    <definedName name="Z_A3DB5619_047E_4CE2_8C39_700CFD25F2CB_.wvu.PrintArea" localSheetId="13" hidden="1">'6.15'!$B$3:$AE$36</definedName>
    <definedName name="Z_A3DB5619_047E_4CE2_8C39_700CFD25F2CB_.wvu.PrintArea" localSheetId="14" hidden="1">'6.16'!$B$3:$AE$36</definedName>
    <definedName name="Z_A3DB5619_047E_4CE2_8C39_700CFD25F2CB_.wvu.PrintArea" localSheetId="15" hidden="1">'6.17'!$B$3:$AE$36</definedName>
    <definedName name="Z_A3DB5619_047E_4CE2_8C39_700CFD25F2CB_.wvu.PrintArea" localSheetId="16" hidden="1">'6.18'!$B$3:$AE$36</definedName>
    <definedName name="Z_A3DB5619_047E_4CE2_8C39_700CFD25F2CB_.wvu.PrintArea" localSheetId="4" hidden="1">'6.2'!$B$3:$AE$36</definedName>
    <definedName name="Z_A3DB5619_047E_4CE2_8C39_700CFD25F2CB_.wvu.PrintArea" localSheetId="17" hidden="1">'6.22'!$B$3:$AE$36</definedName>
    <definedName name="Z_A3DB5619_047E_4CE2_8C39_700CFD25F2CB_.wvu.PrintArea" localSheetId="18" hidden="1">'6.23'!$B$3:$AE$36</definedName>
    <definedName name="Z_A3DB5619_047E_4CE2_8C39_700CFD25F2CB_.wvu.PrintArea" localSheetId="19" hidden="1">'6.24'!$B$3:$AE$36</definedName>
    <definedName name="Z_A3DB5619_047E_4CE2_8C39_700CFD25F2CB_.wvu.PrintArea" localSheetId="20" hidden="1">'6.25'!$B$3:$AE$36</definedName>
    <definedName name="Z_A3DB5619_047E_4CE2_8C39_700CFD25F2CB_.wvu.PrintArea" localSheetId="21" hidden="1">'6.26'!$B$3:$AE$36</definedName>
    <definedName name="Z_A3DB5619_047E_4CE2_8C39_700CFD25F2CB_.wvu.PrintArea" localSheetId="22" hidden="1">'6.29'!$B$3:$AE$36</definedName>
    <definedName name="Z_A3DB5619_047E_4CE2_8C39_700CFD25F2CB_.wvu.PrintArea" localSheetId="5" hidden="1">'6.3'!$B$3:$AE$36</definedName>
    <definedName name="Z_A3DB5619_047E_4CE2_8C39_700CFD25F2CB_.wvu.PrintArea" localSheetId="23" hidden="1">'6.30'!$B$3:$AE$36</definedName>
    <definedName name="Z_A3DB5619_047E_4CE2_8C39_700CFD25F2CB_.wvu.PrintArea" localSheetId="6" hidden="1">'6.4'!$B$3:$AE$36</definedName>
    <definedName name="Z_A3DB5619_047E_4CE2_8C39_700CFD25F2CB_.wvu.PrintArea" localSheetId="7" hidden="1">'6.5'!$B$3:$AE$36</definedName>
    <definedName name="Z_A3DB5619_047E_4CE2_8C39_700CFD25F2CB_.wvu.PrintArea" localSheetId="8" hidden="1">'6.8'!$B$3:$AE$36</definedName>
    <definedName name="Z_A3DB5619_047E_4CE2_8C39_700CFD25F2CB_.wvu.PrintArea" localSheetId="9" hidden="1">'6.9'!$B$3:$AE$36</definedName>
    <definedName name="Z_D903F940_B812_11DB_B168_0010B575B8B2_.wvu.PrintArea" localSheetId="2" hidden="1">'5.29'!$B$3:$AE$36</definedName>
    <definedName name="Z_D903F940_B812_11DB_B168_0010B575B8B2_.wvu.PrintArea" localSheetId="3" hidden="1">'6.1'!$B$3:$AE$36</definedName>
    <definedName name="Z_D903F940_B812_11DB_B168_0010B575B8B2_.wvu.PrintArea" localSheetId="10" hidden="1">'6.10'!$B$3:$AE$36</definedName>
    <definedName name="Z_D903F940_B812_11DB_B168_0010B575B8B2_.wvu.PrintArea" localSheetId="11" hidden="1">'6.11'!$B$3:$AE$36</definedName>
    <definedName name="Z_D903F940_B812_11DB_B168_0010B575B8B2_.wvu.PrintArea" localSheetId="12" hidden="1">'6.12'!$B$3:$AE$36</definedName>
    <definedName name="Z_D903F940_B812_11DB_B168_0010B575B8B2_.wvu.PrintArea" localSheetId="13" hidden="1">'6.15'!$B$3:$AE$36</definedName>
    <definedName name="Z_D903F940_B812_11DB_B168_0010B575B8B2_.wvu.PrintArea" localSheetId="14" hidden="1">'6.16'!$B$3:$AE$36</definedName>
    <definedName name="Z_D903F940_B812_11DB_B168_0010B575B8B2_.wvu.PrintArea" localSheetId="15" hidden="1">'6.17'!$B$3:$AE$36</definedName>
    <definedName name="Z_D903F940_B812_11DB_B168_0010B575B8B2_.wvu.PrintArea" localSheetId="16" hidden="1">'6.18'!$B$3:$AE$36</definedName>
    <definedName name="Z_D903F940_B812_11DB_B168_0010B575B8B2_.wvu.PrintArea" localSheetId="4" hidden="1">'6.2'!$B$3:$AE$36</definedName>
    <definedName name="Z_D903F940_B812_11DB_B168_0010B575B8B2_.wvu.PrintArea" localSheetId="17" hidden="1">'6.22'!$B$3:$AE$36</definedName>
    <definedName name="Z_D903F940_B812_11DB_B168_0010B575B8B2_.wvu.PrintArea" localSheetId="18" hidden="1">'6.23'!$B$3:$AE$36</definedName>
    <definedName name="Z_D903F940_B812_11DB_B168_0010B575B8B2_.wvu.PrintArea" localSheetId="19" hidden="1">'6.24'!$B$3:$AE$36</definedName>
    <definedName name="Z_D903F940_B812_11DB_B168_0010B575B8B2_.wvu.PrintArea" localSheetId="20" hidden="1">'6.25'!$B$3:$AE$36</definedName>
    <definedName name="Z_D903F940_B812_11DB_B168_0010B575B8B2_.wvu.PrintArea" localSheetId="21" hidden="1">'6.26'!$B$3:$AE$36</definedName>
    <definedName name="Z_D903F940_B812_11DB_B168_0010B575B8B2_.wvu.PrintArea" localSheetId="22" hidden="1">'6.29'!$B$3:$AE$36</definedName>
    <definedName name="Z_D903F940_B812_11DB_B168_0010B575B8B2_.wvu.PrintArea" localSheetId="5" hidden="1">'6.3'!$B$3:$AE$36</definedName>
    <definedName name="Z_D903F940_B812_11DB_B168_0010B575B8B2_.wvu.PrintArea" localSheetId="23" hidden="1">'6.30'!$B$3:$AE$36</definedName>
    <definedName name="Z_D903F940_B812_11DB_B168_0010B575B8B2_.wvu.PrintArea" localSheetId="6" hidden="1">'6.4'!$B$3:$AE$36</definedName>
    <definedName name="Z_D903F940_B812_11DB_B168_0010B575B8B2_.wvu.PrintArea" localSheetId="7" hidden="1">'6.5'!$B$3:$AE$36</definedName>
    <definedName name="Z_D903F940_B812_11DB_B168_0010B575B8B2_.wvu.PrintArea" localSheetId="8" hidden="1">'6.8'!$B$3:$AE$36</definedName>
    <definedName name="Z_D903F940_B812_11DB_B168_0010B575B8B2_.wvu.PrintArea" localSheetId="9" hidden="1">'6.9'!$B$3:$AE$36</definedName>
    <definedName name="取樣回收每月庫存表" localSheetId="2" hidden="1">'5.29'!#REF!</definedName>
    <definedName name="取樣回收每月庫存表" localSheetId="3" hidden="1">'6.1'!#REF!</definedName>
    <definedName name="取樣回收每月庫存表" localSheetId="10" hidden="1">'6.10'!#REF!</definedName>
    <definedName name="取樣回收每月庫存表" localSheetId="11" hidden="1">'6.11'!#REF!</definedName>
    <definedName name="取樣回收每月庫存表" localSheetId="12" hidden="1">'6.12'!#REF!</definedName>
    <definedName name="取樣回收每月庫存表" localSheetId="13" hidden="1">'6.15'!#REF!</definedName>
    <definedName name="取樣回收每月庫存表" localSheetId="14" hidden="1">'6.16'!#REF!</definedName>
    <definedName name="取樣回收每月庫存表" localSheetId="15" hidden="1">'6.17'!#REF!</definedName>
    <definedName name="取樣回收每月庫存表" localSheetId="16" hidden="1">'6.18'!#REF!</definedName>
    <definedName name="取樣回收每月庫存表" localSheetId="4" hidden="1">'6.2'!#REF!</definedName>
    <definedName name="取樣回收每月庫存表" localSheetId="17" hidden="1">'6.22'!#REF!</definedName>
    <definedName name="取樣回收每月庫存表" localSheetId="18" hidden="1">'6.23'!#REF!</definedName>
    <definedName name="取樣回收每月庫存表" localSheetId="19" hidden="1">'6.24'!#REF!</definedName>
    <definedName name="取樣回收每月庫存表" localSheetId="20" hidden="1">'6.25'!#REF!</definedName>
    <definedName name="取樣回收每月庫存表" localSheetId="21" hidden="1">'6.26'!#REF!</definedName>
    <definedName name="取樣回收每月庫存表" localSheetId="22" hidden="1">'6.29'!#REF!</definedName>
    <definedName name="取樣回收每月庫存表" localSheetId="5" hidden="1">'6.3'!#REF!</definedName>
    <definedName name="取樣回收每月庫存表" localSheetId="23" hidden="1">'6.30'!#REF!</definedName>
    <definedName name="取樣回收每月庫存表" localSheetId="6" hidden="1">'6.4'!#REF!</definedName>
    <definedName name="取樣回收每月庫存表" localSheetId="7" hidden="1">'6.5'!#REF!</definedName>
    <definedName name="取樣回收每月庫存表" localSheetId="8" hidden="1">'6.8'!#REF!</definedName>
    <definedName name="取樣回收每月庫存表" localSheetId="9" hidden="1">'6.9'!#REF!</definedName>
    <definedName name="取樣回收每月庫存表_0620更新" localSheetId="2" hidden="1">'5.29'!$AG$13:$BH$189</definedName>
    <definedName name="取樣回收每月庫存表_0620更新" localSheetId="3" hidden="1">'6.1'!$AG$13:$BH$189</definedName>
    <definedName name="取樣回收每月庫存表_0620更新" localSheetId="10" hidden="1">'6.10'!$AG$13:$BH$189</definedName>
    <definedName name="取樣回收每月庫存表_0620更新" localSheetId="11" hidden="1">'6.11'!$AG$13:$BH$189</definedName>
    <definedName name="取樣回收每月庫存表_0620更新" localSheetId="12" hidden="1">'6.12'!$AG$13:$BH$189</definedName>
    <definedName name="取樣回收每月庫存表_0620更新" localSheetId="13" hidden="1">'6.15'!$AG$13:$BH$189</definedName>
    <definedName name="取樣回收每月庫存表_0620更新" localSheetId="14" hidden="1">'6.16'!$AG$13:$BH$189</definedName>
    <definedName name="取樣回收每月庫存表_0620更新" localSheetId="15" hidden="1">'6.17'!$AG$13:$BH$189</definedName>
    <definedName name="取樣回收每月庫存表_0620更新" localSheetId="16" hidden="1">'6.18'!$AG$13:$BH$189</definedName>
    <definedName name="取樣回收每月庫存表_0620更新" localSheetId="4" hidden="1">'6.2'!$AG$13:$BH$189</definedName>
    <definedName name="取樣回收每月庫存表_0620更新" localSheetId="17" hidden="1">'6.22'!$AG$13:$BH$189</definedName>
    <definedName name="取樣回收每月庫存表_0620更新" localSheetId="18" hidden="1">'6.23'!$AG$13:$BH$189</definedName>
    <definedName name="取樣回收每月庫存表_0620更新" localSheetId="19" hidden="1">'6.24'!$AG$13:$BH$189</definedName>
    <definedName name="取樣回收每月庫存表_0620更新" localSheetId="20" hidden="1">'6.25'!$AG$13:$BH$189</definedName>
    <definedName name="取樣回收每月庫存表_0620更新" localSheetId="21" hidden="1">'6.26'!$AG$13:$BH$189</definedName>
    <definedName name="取樣回收每月庫存表_0620更新" localSheetId="22" hidden="1">'6.29'!$AG$13:$BH$189</definedName>
    <definedName name="取樣回收每月庫存表_0620更新" localSheetId="5" hidden="1">'6.3'!$AG$13:$BH$189</definedName>
    <definedName name="取樣回收每月庫存表_0620更新" localSheetId="23" hidden="1">'6.30'!$AG$13:$BH$189</definedName>
    <definedName name="取樣回收每月庫存表_0620更新" localSheetId="6" hidden="1">'6.4'!$AG$13:$BH$189</definedName>
    <definedName name="取樣回收每月庫存表_0620更新" localSheetId="7" hidden="1">'6.5'!$AG$13:$BH$189</definedName>
    <definedName name="取樣回收每月庫存表_0620更新" localSheetId="8" hidden="1">'6.8'!$AG$13:$BH$189</definedName>
    <definedName name="取樣回收每月庫存表_0620更新" localSheetId="9" hidden="1">'6.9'!$AG$13:$BH$189</definedName>
    <definedName name="複本_14_取樣回收每月庫存表" localSheetId="2" hidden="1">'5.29'!#REF!</definedName>
    <definedName name="複本_14_取樣回收每月庫存表" localSheetId="3" hidden="1">'6.1'!#REF!</definedName>
    <definedName name="複本_14_取樣回收每月庫存表" localSheetId="10" hidden="1">'6.10'!#REF!</definedName>
    <definedName name="複本_14_取樣回收每月庫存表" localSheetId="11" hidden="1">'6.11'!#REF!</definedName>
    <definedName name="複本_14_取樣回收每月庫存表" localSheetId="12" hidden="1">'6.12'!#REF!</definedName>
    <definedName name="複本_14_取樣回收每月庫存表" localSheetId="13" hidden="1">'6.15'!#REF!</definedName>
    <definedName name="複本_14_取樣回收每月庫存表" localSheetId="14" hidden="1">'6.16'!#REF!</definedName>
    <definedName name="複本_14_取樣回收每月庫存表" localSheetId="15" hidden="1">'6.17'!#REF!</definedName>
    <definedName name="複本_14_取樣回收每月庫存表" localSheetId="16" hidden="1">'6.18'!#REF!</definedName>
    <definedName name="複本_14_取樣回收每月庫存表" localSheetId="4" hidden="1">'6.2'!#REF!</definedName>
    <definedName name="複本_14_取樣回收每月庫存表" localSheetId="17" hidden="1">'6.22'!#REF!</definedName>
    <definedName name="複本_14_取樣回收每月庫存表" localSheetId="18" hidden="1">'6.23'!#REF!</definedName>
    <definedName name="複本_14_取樣回收每月庫存表" localSheetId="19" hidden="1">'6.24'!#REF!</definedName>
    <definedName name="複本_14_取樣回收每月庫存表" localSheetId="20" hidden="1">'6.25'!#REF!</definedName>
    <definedName name="複本_14_取樣回收每月庫存表" localSheetId="21" hidden="1">'6.26'!#REF!</definedName>
    <definedName name="複本_14_取樣回收每月庫存表" localSheetId="22" hidden="1">'6.29'!#REF!</definedName>
    <definedName name="複本_14_取樣回收每月庫存表" localSheetId="5" hidden="1">'6.3'!#REF!</definedName>
    <definedName name="複本_14_取樣回收每月庫存表" localSheetId="23" hidden="1">'6.30'!#REF!</definedName>
    <definedName name="複本_14_取樣回收每月庫存表" localSheetId="6" hidden="1">'6.4'!#REF!</definedName>
    <definedName name="複本_14_取樣回收每月庫存表" localSheetId="7" hidden="1">'6.5'!#REF!</definedName>
    <definedName name="複本_14_取樣回收每月庫存表" localSheetId="8" hidden="1">'6.8'!#REF!</definedName>
    <definedName name="複本_14_取樣回收每月庫存表" localSheetId="9" hidden="1">'6.9'!#REF!</definedName>
  </definedNames>
  <calcPr calcId="162913"/>
</workbook>
</file>

<file path=xl/calcChain.xml><?xml version="1.0" encoding="utf-8"?>
<calcChain xmlns="http://schemas.openxmlformats.org/spreadsheetml/2006/main">
  <c r="AA33" i="2201" l="1"/>
  <c r="X33" i="2201"/>
  <c r="U33" i="2201"/>
  <c r="R33" i="2201"/>
  <c r="F33" i="2201"/>
  <c r="Y28" i="2201"/>
  <c r="X28" i="2201"/>
  <c r="S33" i="2201" s="1"/>
  <c r="W28" i="2201"/>
  <c r="V28" i="2201"/>
  <c r="U28" i="2201"/>
  <c r="T28" i="2201"/>
  <c r="S28" i="2201"/>
  <c r="R28" i="2201"/>
  <c r="Q28" i="2201"/>
  <c r="P28" i="2201"/>
  <c r="O28" i="2201"/>
  <c r="N28" i="2201"/>
  <c r="M28" i="2201"/>
  <c r="L28" i="2201"/>
  <c r="K28" i="2201"/>
  <c r="J28" i="2201"/>
  <c r="I28" i="2201"/>
  <c r="H28" i="2201"/>
  <c r="G28" i="2201"/>
  <c r="F28" i="2201"/>
  <c r="E28" i="2201"/>
  <c r="D28" i="2201"/>
  <c r="Y25" i="2201"/>
  <c r="X25" i="2201"/>
  <c r="W25" i="2201"/>
  <c r="V25" i="2201"/>
  <c r="U25" i="2201"/>
  <c r="T25" i="2201"/>
  <c r="S25" i="2201"/>
  <c r="R25" i="2201"/>
  <c r="Q25" i="2201"/>
  <c r="P25" i="2201"/>
  <c r="O25" i="2201"/>
  <c r="N25" i="2201"/>
  <c r="M25" i="2201"/>
  <c r="L25" i="2201"/>
  <c r="K25" i="2201"/>
  <c r="J25" i="2201"/>
  <c r="I25" i="2201"/>
  <c r="H25" i="2201"/>
  <c r="G25" i="2201"/>
  <c r="F25" i="2201"/>
  <c r="E25" i="2201"/>
  <c r="D25" i="2201"/>
  <c r="AE19" i="2201"/>
  <c r="AD19" i="2201"/>
  <c r="AC19" i="2201"/>
  <c r="AB19" i="2201"/>
  <c r="AA19" i="2201"/>
  <c r="Z19" i="2201"/>
  <c r="Y19" i="2201"/>
  <c r="X19" i="2201"/>
  <c r="T33" i="2201" s="1"/>
  <c r="W19" i="2201"/>
  <c r="V19" i="2201"/>
  <c r="U19" i="2201"/>
  <c r="T19" i="2201"/>
  <c r="S19" i="2201"/>
  <c r="R19" i="2201"/>
  <c r="Q19" i="2201"/>
  <c r="P19" i="2201"/>
  <c r="O19" i="2201"/>
  <c r="N19" i="2201"/>
  <c r="G33" i="2201" s="1"/>
  <c r="M19" i="2201"/>
  <c r="H33" i="2201" s="1"/>
  <c r="L19" i="2201"/>
  <c r="P33" i="2201" s="1"/>
  <c r="K19" i="2201"/>
  <c r="L33" i="2201" s="1"/>
  <c r="J19" i="2201"/>
  <c r="I19" i="2201"/>
  <c r="AB33" i="2201" s="1"/>
  <c r="H19" i="2201"/>
  <c r="G19" i="2201"/>
  <c r="O33" i="2201" s="1"/>
  <c r="F19" i="2201"/>
  <c r="E19" i="2201"/>
  <c r="D19" i="2201"/>
  <c r="AE16" i="2201"/>
  <c r="AD16" i="2201"/>
  <c r="AC16" i="2201"/>
  <c r="AB16" i="2201"/>
  <c r="AA16" i="2201"/>
  <c r="Z16" i="2201"/>
  <c r="X16" i="2201"/>
  <c r="W16" i="2201"/>
  <c r="V16" i="2201"/>
  <c r="U16" i="2201"/>
  <c r="T16" i="2201"/>
  <c r="S16" i="2201"/>
  <c r="R16" i="2201"/>
  <c r="Q16" i="2201"/>
  <c r="P16" i="2201"/>
  <c r="O16" i="2201"/>
  <c r="N16" i="2201"/>
  <c r="M16" i="2201"/>
  <c r="L16" i="2201"/>
  <c r="K16" i="2201"/>
  <c r="J16" i="2201"/>
  <c r="I16" i="2201"/>
  <c r="H16" i="2201"/>
  <c r="G16" i="2201"/>
  <c r="F16" i="2201"/>
  <c r="E16" i="2201"/>
  <c r="D16" i="2201"/>
  <c r="AE10" i="2201"/>
  <c r="AD10" i="2201"/>
  <c r="AC10" i="2201"/>
  <c r="AB10" i="2201"/>
  <c r="AA10" i="2201"/>
  <c r="Z10" i="2201"/>
  <c r="Y10" i="2201"/>
  <c r="X10" i="2201"/>
  <c r="W10" i="2201"/>
  <c r="V10" i="2201"/>
  <c r="U10" i="2201"/>
  <c r="T10" i="2201"/>
  <c r="S10" i="2201"/>
  <c r="R10" i="2201"/>
  <c r="Q10" i="2201"/>
  <c r="P10" i="2201"/>
  <c r="O10" i="2201"/>
  <c r="N10" i="2201"/>
  <c r="M10" i="2201"/>
  <c r="L10" i="2201"/>
  <c r="K10" i="2201"/>
  <c r="J10" i="2201"/>
  <c r="Q33" i="2201" s="1"/>
  <c r="I10" i="2201"/>
  <c r="E33" i="2201" s="1"/>
  <c r="H10" i="2201"/>
  <c r="G10" i="2201"/>
  <c r="F10" i="2201"/>
  <c r="E10" i="2201"/>
  <c r="D10" i="2201"/>
  <c r="AE7" i="2201"/>
  <c r="AD7" i="2201"/>
  <c r="AC7" i="2201"/>
  <c r="AB7" i="2201"/>
  <c r="AA7" i="2201"/>
  <c r="Z7" i="2201"/>
  <c r="Y7" i="2201"/>
  <c r="X7" i="2201"/>
  <c r="W7" i="2201"/>
  <c r="V7" i="2201"/>
  <c r="U7" i="2201"/>
  <c r="T7" i="2201"/>
  <c r="S7" i="2201"/>
  <c r="R7" i="2201"/>
  <c r="Q7" i="2201"/>
  <c r="P7" i="2201"/>
  <c r="O7" i="2201"/>
  <c r="N7" i="2201"/>
  <c r="M7" i="2201"/>
  <c r="L7" i="2201"/>
  <c r="K7" i="2201"/>
  <c r="J7" i="2201"/>
  <c r="I7" i="2201"/>
  <c r="H7" i="2201"/>
  <c r="G7" i="2201"/>
  <c r="F7" i="2201"/>
  <c r="E7" i="2201"/>
  <c r="D7" i="2201"/>
  <c r="J33" i="2201" l="1"/>
  <c r="W33" i="2201"/>
  <c r="AC33" i="2201"/>
  <c r="D33" i="2201"/>
  <c r="Z33" i="2201"/>
  <c r="Y33" i="2201"/>
  <c r="N33" i="2201"/>
  <c r="K33" i="2201"/>
  <c r="M33" i="2201"/>
  <c r="V33" i="2201"/>
  <c r="AA33" i="2200"/>
  <c r="X33" i="2200"/>
  <c r="U33" i="2200"/>
  <c r="R33" i="2200"/>
  <c r="F33" i="2200"/>
  <c r="Y28" i="2200"/>
  <c r="X28" i="2200"/>
  <c r="S33" i="2200" s="1"/>
  <c r="W28" i="2200"/>
  <c r="V28" i="2200"/>
  <c r="U28" i="2200"/>
  <c r="T28" i="2200"/>
  <c r="S28" i="2200"/>
  <c r="R28" i="2200"/>
  <c r="Q28" i="2200"/>
  <c r="P28" i="2200"/>
  <c r="O28" i="2200"/>
  <c r="N28" i="2200"/>
  <c r="M28" i="2200"/>
  <c r="L28" i="2200"/>
  <c r="K28" i="2200"/>
  <c r="J28" i="2200"/>
  <c r="I28" i="2200"/>
  <c r="H28" i="2200"/>
  <c r="G28" i="2200"/>
  <c r="F28" i="2200"/>
  <c r="E28" i="2200"/>
  <c r="D28" i="2200"/>
  <c r="Y25" i="2200"/>
  <c r="X25" i="2200"/>
  <c r="W25" i="2200"/>
  <c r="V25" i="2200"/>
  <c r="U25" i="2200"/>
  <c r="T25" i="2200"/>
  <c r="S25" i="2200"/>
  <c r="R25" i="2200"/>
  <c r="Q25" i="2200"/>
  <c r="P25" i="2200"/>
  <c r="O25" i="2200"/>
  <c r="N25" i="2200"/>
  <c r="M25" i="2200"/>
  <c r="L25" i="2200"/>
  <c r="K25" i="2200"/>
  <c r="J25" i="2200"/>
  <c r="I25" i="2200"/>
  <c r="H25" i="2200"/>
  <c r="G25" i="2200"/>
  <c r="F25" i="2200"/>
  <c r="E25" i="2200"/>
  <c r="D25" i="2200"/>
  <c r="AE19" i="2200"/>
  <c r="AD19" i="2200"/>
  <c r="AC19" i="2200"/>
  <c r="AB19" i="2200"/>
  <c r="AC33" i="2200" s="1"/>
  <c r="AA19" i="2200"/>
  <c r="Z19" i="2200"/>
  <c r="Y19" i="2200"/>
  <c r="X19" i="2200"/>
  <c r="T33" i="2200" s="1"/>
  <c r="W19" i="2200"/>
  <c r="V19" i="2200"/>
  <c r="U19" i="2200"/>
  <c r="T19" i="2200"/>
  <c r="S19" i="2200"/>
  <c r="R19" i="2200"/>
  <c r="Q19" i="2200"/>
  <c r="P19" i="2200"/>
  <c r="O19" i="2200"/>
  <c r="N19" i="2200"/>
  <c r="G33" i="2200" s="1"/>
  <c r="M19" i="2200"/>
  <c r="H33" i="2200" s="1"/>
  <c r="L19" i="2200"/>
  <c r="P33" i="2200" s="1"/>
  <c r="K19" i="2200"/>
  <c r="L33" i="2200" s="1"/>
  <c r="J19" i="2200"/>
  <c r="I19" i="2200"/>
  <c r="AB33" i="2200" s="1"/>
  <c r="H19" i="2200"/>
  <c r="G19" i="2200"/>
  <c r="O33" i="2200" s="1"/>
  <c r="F19" i="2200"/>
  <c r="E19" i="2200"/>
  <c r="D19" i="2200"/>
  <c r="AE16" i="2200"/>
  <c r="AD16" i="2200"/>
  <c r="AC16" i="2200"/>
  <c r="AB16" i="2200"/>
  <c r="AA16" i="2200"/>
  <c r="Z16" i="2200"/>
  <c r="X16" i="2200"/>
  <c r="W16" i="2200"/>
  <c r="V16" i="2200"/>
  <c r="U16" i="2200"/>
  <c r="T16" i="2200"/>
  <c r="S16" i="2200"/>
  <c r="R16" i="2200"/>
  <c r="Q16" i="2200"/>
  <c r="P16" i="2200"/>
  <c r="O16" i="2200"/>
  <c r="N16" i="2200"/>
  <c r="M16" i="2200"/>
  <c r="L16" i="2200"/>
  <c r="K16" i="2200"/>
  <c r="J16" i="2200"/>
  <c r="I16" i="2200"/>
  <c r="H16" i="2200"/>
  <c r="G16" i="2200"/>
  <c r="F16" i="2200"/>
  <c r="E16" i="2200"/>
  <c r="D16" i="2200"/>
  <c r="AE10" i="2200"/>
  <c r="AD10" i="2200"/>
  <c r="AC10" i="2200"/>
  <c r="AB10" i="2200"/>
  <c r="AA10" i="2200"/>
  <c r="Z10" i="2200"/>
  <c r="Y10" i="2200"/>
  <c r="X10" i="2200"/>
  <c r="W10" i="2200"/>
  <c r="V10" i="2200"/>
  <c r="U10" i="2200"/>
  <c r="T10" i="2200"/>
  <c r="S10" i="2200"/>
  <c r="R10" i="2200"/>
  <c r="Q10" i="2200"/>
  <c r="P10" i="2200"/>
  <c r="O10" i="2200"/>
  <c r="N10" i="2200"/>
  <c r="M10" i="2200"/>
  <c r="L10" i="2200"/>
  <c r="K10" i="2200"/>
  <c r="J10" i="2200"/>
  <c r="I10" i="2200"/>
  <c r="H10" i="2200"/>
  <c r="G10" i="2200"/>
  <c r="F10" i="2200"/>
  <c r="E10" i="2200"/>
  <c r="D10" i="2200"/>
  <c r="AE7" i="2200"/>
  <c r="AD7" i="2200"/>
  <c r="AC7" i="2200"/>
  <c r="AB7" i="2200"/>
  <c r="AA7" i="2200"/>
  <c r="Z7" i="2200"/>
  <c r="Y7" i="2200"/>
  <c r="X7" i="2200"/>
  <c r="W7" i="2200"/>
  <c r="V7" i="2200"/>
  <c r="U7" i="2200"/>
  <c r="T7" i="2200"/>
  <c r="S7" i="2200"/>
  <c r="R7" i="2200"/>
  <c r="Q7" i="2200"/>
  <c r="P7" i="2200"/>
  <c r="O7" i="2200"/>
  <c r="N7" i="2200"/>
  <c r="M7" i="2200"/>
  <c r="L7" i="2200"/>
  <c r="K7" i="2200"/>
  <c r="J7" i="2200"/>
  <c r="I7" i="2200"/>
  <c r="H7" i="2200"/>
  <c r="G7" i="2200"/>
  <c r="F7" i="2200"/>
  <c r="E7" i="2200"/>
  <c r="D7" i="2200"/>
  <c r="Z33" i="2200" l="1"/>
  <c r="J33" i="2200"/>
  <c r="W33" i="2200"/>
  <c r="N33" i="2200"/>
  <c r="K33" i="2200"/>
  <c r="D33" i="2200"/>
  <c r="Y33" i="2200"/>
  <c r="Q33" i="2200"/>
  <c r="E33" i="2200"/>
  <c r="M33" i="2200"/>
  <c r="V33" i="2200"/>
  <c r="AA33" i="2199"/>
  <c r="X33" i="2199"/>
  <c r="U33" i="2199"/>
  <c r="R33" i="2199"/>
  <c r="O33" i="2199"/>
  <c r="F33" i="2199"/>
  <c r="Y28" i="2199"/>
  <c r="X28" i="2199"/>
  <c r="S33" i="2199" s="1"/>
  <c r="W28" i="2199"/>
  <c r="V28" i="2199"/>
  <c r="U28" i="2199"/>
  <c r="T28" i="2199"/>
  <c r="S28" i="2199"/>
  <c r="R28" i="2199"/>
  <c r="Q28" i="2199"/>
  <c r="P28" i="2199"/>
  <c r="O28" i="2199"/>
  <c r="N28" i="2199"/>
  <c r="M28" i="2199"/>
  <c r="L28" i="2199"/>
  <c r="K28" i="2199"/>
  <c r="J28" i="2199"/>
  <c r="I28" i="2199"/>
  <c r="H28" i="2199"/>
  <c r="G28" i="2199"/>
  <c r="F28" i="2199"/>
  <c r="E28" i="2199"/>
  <c r="D28" i="2199"/>
  <c r="Y25" i="2199"/>
  <c r="X25" i="2199"/>
  <c r="W25" i="2199"/>
  <c r="V25" i="2199"/>
  <c r="U25" i="2199"/>
  <c r="T25" i="2199"/>
  <c r="S25" i="2199"/>
  <c r="R25" i="2199"/>
  <c r="Q25" i="2199"/>
  <c r="P25" i="2199"/>
  <c r="O25" i="2199"/>
  <c r="N25" i="2199"/>
  <c r="M25" i="2199"/>
  <c r="L25" i="2199"/>
  <c r="K25" i="2199"/>
  <c r="J25" i="2199"/>
  <c r="I25" i="2199"/>
  <c r="H25" i="2199"/>
  <c r="G25" i="2199"/>
  <c r="F25" i="2199"/>
  <c r="E25" i="2199"/>
  <c r="D25" i="2199"/>
  <c r="AE19" i="2199"/>
  <c r="AD19" i="2199"/>
  <c r="AC19" i="2199"/>
  <c r="AB19" i="2199"/>
  <c r="AA19" i="2199"/>
  <c r="Z19" i="2199"/>
  <c r="Y19" i="2199"/>
  <c r="X19" i="2199"/>
  <c r="T33" i="2199" s="1"/>
  <c r="W19" i="2199"/>
  <c r="V19" i="2199"/>
  <c r="U19" i="2199"/>
  <c r="T19" i="2199"/>
  <c r="S19" i="2199"/>
  <c r="R19" i="2199"/>
  <c r="Q19" i="2199"/>
  <c r="P19" i="2199"/>
  <c r="O19" i="2199"/>
  <c r="N19" i="2199"/>
  <c r="G33" i="2199" s="1"/>
  <c r="M19" i="2199"/>
  <c r="H33" i="2199" s="1"/>
  <c r="L19" i="2199"/>
  <c r="P33" i="2199" s="1"/>
  <c r="K19" i="2199"/>
  <c r="L33" i="2199" s="1"/>
  <c r="J19" i="2199"/>
  <c r="I19" i="2199"/>
  <c r="AB33" i="2199" s="1"/>
  <c r="H19" i="2199"/>
  <c r="G19" i="2199"/>
  <c r="F19" i="2199"/>
  <c r="E19" i="2199"/>
  <c r="D19" i="2199"/>
  <c r="AE16" i="2199"/>
  <c r="AD16" i="2199"/>
  <c r="AC16" i="2199"/>
  <c r="AB16" i="2199"/>
  <c r="AA16" i="2199"/>
  <c r="Z16" i="2199"/>
  <c r="X16" i="2199"/>
  <c r="W16" i="2199"/>
  <c r="V16" i="2199"/>
  <c r="U16" i="2199"/>
  <c r="T16" i="2199"/>
  <c r="S16" i="2199"/>
  <c r="R16" i="2199"/>
  <c r="Q16" i="2199"/>
  <c r="P16" i="2199"/>
  <c r="O16" i="2199"/>
  <c r="N16" i="2199"/>
  <c r="M16" i="2199"/>
  <c r="L16" i="2199"/>
  <c r="K16" i="2199"/>
  <c r="J16" i="2199"/>
  <c r="I16" i="2199"/>
  <c r="H16" i="2199"/>
  <c r="G16" i="2199"/>
  <c r="F16" i="2199"/>
  <c r="E16" i="2199"/>
  <c r="D16" i="2199"/>
  <c r="AE10" i="2199"/>
  <c r="AD10" i="2199"/>
  <c r="AC10" i="2199"/>
  <c r="AB10" i="2199"/>
  <c r="AA10" i="2199"/>
  <c r="Z10" i="2199"/>
  <c r="Y10" i="2199"/>
  <c r="X10" i="2199"/>
  <c r="W10" i="2199"/>
  <c r="V10" i="2199"/>
  <c r="U10" i="2199"/>
  <c r="T10" i="2199"/>
  <c r="S10" i="2199"/>
  <c r="R10" i="2199"/>
  <c r="Q10" i="2199"/>
  <c r="P10" i="2199"/>
  <c r="O10" i="2199"/>
  <c r="N10" i="2199"/>
  <c r="Q33" i="2199" s="1"/>
  <c r="M10" i="2199"/>
  <c r="E33" i="2199" s="1"/>
  <c r="L10" i="2199"/>
  <c r="K10" i="2199"/>
  <c r="J10" i="2199"/>
  <c r="I10" i="2199"/>
  <c r="H10" i="2199"/>
  <c r="G10" i="2199"/>
  <c r="F10" i="2199"/>
  <c r="J33" i="2199" s="1"/>
  <c r="E10" i="2199"/>
  <c r="D10" i="2199"/>
  <c r="AE7" i="2199"/>
  <c r="AD7" i="2199"/>
  <c r="AC7" i="2199"/>
  <c r="AB7" i="2199"/>
  <c r="AA7" i="2199"/>
  <c r="Z7" i="2199"/>
  <c r="Y7" i="2199"/>
  <c r="X7" i="2199"/>
  <c r="W7" i="2199"/>
  <c r="V7" i="2199"/>
  <c r="U7" i="2199"/>
  <c r="T7" i="2199"/>
  <c r="S7" i="2199"/>
  <c r="R7" i="2199"/>
  <c r="Q7" i="2199"/>
  <c r="P7" i="2199"/>
  <c r="O7" i="2199"/>
  <c r="N7" i="2199"/>
  <c r="M7" i="2199"/>
  <c r="L7" i="2199"/>
  <c r="K7" i="2199"/>
  <c r="J7" i="2199"/>
  <c r="I7" i="2199"/>
  <c r="H7" i="2199"/>
  <c r="G7" i="2199"/>
  <c r="F7" i="2199"/>
  <c r="E7" i="2199"/>
  <c r="D7" i="2199"/>
  <c r="W33" i="2199" l="1"/>
  <c r="N33" i="2199"/>
  <c r="AC33" i="2199"/>
  <c r="D33" i="2199"/>
  <c r="Z33" i="2199"/>
  <c r="Y33" i="2199"/>
  <c r="K33" i="2199"/>
  <c r="M33" i="2199"/>
  <c r="V33" i="2199"/>
  <c r="AA33" i="2198" l="1"/>
  <c r="X33" i="2198"/>
  <c r="U33" i="2198"/>
  <c r="R33" i="2198"/>
  <c r="F33" i="2198"/>
  <c r="Y28" i="2198"/>
  <c r="X28" i="2198"/>
  <c r="S33" i="2198" s="1"/>
  <c r="W28" i="2198"/>
  <c r="V28" i="2198"/>
  <c r="U28" i="2198"/>
  <c r="T28" i="2198"/>
  <c r="S28" i="2198"/>
  <c r="R28" i="2198"/>
  <c r="Q28" i="2198"/>
  <c r="P28" i="2198"/>
  <c r="O28" i="2198"/>
  <c r="N28" i="2198"/>
  <c r="M28" i="2198"/>
  <c r="L28" i="2198"/>
  <c r="K28" i="2198"/>
  <c r="J28" i="2198"/>
  <c r="I28" i="2198"/>
  <c r="H28" i="2198"/>
  <c r="G28" i="2198"/>
  <c r="F28" i="2198"/>
  <c r="E28" i="2198"/>
  <c r="D28" i="2198"/>
  <c r="Y25" i="2198"/>
  <c r="X25" i="2198"/>
  <c r="W25" i="2198"/>
  <c r="V25" i="2198"/>
  <c r="U25" i="2198"/>
  <c r="T25" i="2198"/>
  <c r="S25" i="2198"/>
  <c r="R25" i="2198"/>
  <c r="Q25" i="2198"/>
  <c r="P25" i="2198"/>
  <c r="O25" i="2198"/>
  <c r="N25" i="2198"/>
  <c r="M25" i="2198"/>
  <c r="L25" i="2198"/>
  <c r="K25" i="2198"/>
  <c r="J25" i="2198"/>
  <c r="I25" i="2198"/>
  <c r="H25" i="2198"/>
  <c r="G25" i="2198"/>
  <c r="F25" i="2198"/>
  <c r="E25" i="2198"/>
  <c r="D25" i="2198"/>
  <c r="AE19" i="2198"/>
  <c r="AD19" i="2198"/>
  <c r="AC19" i="2198"/>
  <c r="AB19" i="2198"/>
  <c r="AA19" i="2198"/>
  <c r="Z19" i="2198"/>
  <c r="Y19" i="2198"/>
  <c r="X19" i="2198"/>
  <c r="T33" i="2198" s="1"/>
  <c r="W19" i="2198"/>
  <c r="V19" i="2198"/>
  <c r="U19" i="2198"/>
  <c r="T19" i="2198"/>
  <c r="S19" i="2198"/>
  <c r="R19" i="2198"/>
  <c r="Q19" i="2198"/>
  <c r="P19" i="2198"/>
  <c r="O19" i="2198"/>
  <c r="N19" i="2198"/>
  <c r="G33" i="2198" s="1"/>
  <c r="M19" i="2198"/>
  <c r="H33" i="2198" s="1"/>
  <c r="L19" i="2198"/>
  <c r="P33" i="2198" s="1"/>
  <c r="K19" i="2198"/>
  <c r="L33" i="2198" s="1"/>
  <c r="J19" i="2198"/>
  <c r="I19" i="2198"/>
  <c r="AB33" i="2198" s="1"/>
  <c r="H19" i="2198"/>
  <c r="G19" i="2198"/>
  <c r="O33" i="2198" s="1"/>
  <c r="F19" i="2198"/>
  <c r="E19" i="2198"/>
  <c r="D19" i="2198"/>
  <c r="AE16" i="2198"/>
  <c r="AD16" i="2198"/>
  <c r="AC16" i="2198"/>
  <c r="AB16" i="2198"/>
  <c r="AA16" i="2198"/>
  <c r="Z16" i="2198"/>
  <c r="X16" i="2198"/>
  <c r="W16" i="2198"/>
  <c r="V16" i="2198"/>
  <c r="U16" i="2198"/>
  <c r="T16" i="2198"/>
  <c r="S16" i="2198"/>
  <c r="R16" i="2198"/>
  <c r="Q16" i="2198"/>
  <c r="P16" i="2198"/>
  <c r="O16" i="2198"/>
  <c r="N16" i="2198"/>
  <c r="M16" i="2198"/>
  <c r="L16" i="2198"/>
  <c r="K16" i="2198"/>
  <c r="J16" i="2198"/>
  <c r="I16" i="2198"/>
  <c r="H16" i="2198"/>
  <c r="G16" i="2198"/>
  <c r="F16" i="2198"/>
  <c r="E16" i="2198"/>
  <c r="D16" i="2198"/>
  <c r="AE10" i="2198"/>
  <c r="AD10" i="2198"/>
  <c r="AC10" i="2198"/>
  <c r="AB10" i="2198"/>
  <c r="AA10" i="2198"/>
  <c r="Z10" i="2198"/>
  <c r="Y10" i="2198"/>
  <c r="X10" i="2198"/>
  <c r="W10" i="2198"/>
  <c r="V10" i="2198"/>
  <c r="U10" i="2198"/>
  <c r="T10" i="2198"/>
  <c r="S10" i="2198"/>
  <c r="R10" i="2198"/>
  <c r="Q10" i="2198"/>
  <c r="P10" i="2198"/>
  <c r="O10" i="2198"/>
  <c r="N10" i="2198"/>
  <c r="M10" i="2198"/>
  <c r="L10" i="2198"/>
  <c r="K10" i="2198"/>
  <c r="J10" i="2198"/>
  <c r="Q33" i="2198" s="1"/>
  <c r="I10" i="2198"/>
  <c r="H10" i="2198"/>
  <c r="G10" i="2198"/>
  <c r="F10" i="2198"/>
  <c r="J33" i="2198" s="1"/>
  <c r="E10" i="2198"/>
  <c r="D10" i="2198"/>
  <c r="AE7" i="2198"/>
  <c r="AD7" i="2198"/>
  <c r="AC7" i="2198"/>
  <c r="AB7" i="2198"/>
  <c r="AA7" i="2198"/>
  <c r="Z7" i="2198"/>
  <c r="Y7" i="2198"/>
  <c r="X7" i="2198"/>
  <c r="W7" i="2198"/>
  <c r="V7" i="2198"/>
  <c r="U7" i="2198"/>
  <c r="T7" i="2198"/>
  <c r="S7" i="2198"/>
  <c r="R7" i="2198"/>
  <c r="Q7" i="2198"/>
  <c r="P7" i="2198"/>
  <c r="O7" i="2198"/>
  <c r="N7" i="2198"/>
  <c r="M7" i="2198"/>
  <c r="L7" i="2198"/>
  <c r="K7" i="2198"/>
  <c r="J7" i="2198"/>
  <c r="I7" i="2198"/>
  <c r="H7" i="2198"/>
  <c r="G7" i="2198"/>
  <c r="F7" i="2198"/>
  <c r="E7" i="2198"/>
  <c r="D7" i="2198"/>
  <c r="W33" i="2198" l="1"/>
  <c r="N33" i="2198"/>
  <c r="AC33" i="2198"/>
  <c r="D33" i="2198"/>
  <c r="Z33" i="2198"/>
  <c r="Y33" i="2198"/>
  <c r="E33" i="2198"/>
  <c r="K33" i="2198"/>
  <c r="M33" i="2198"/>
  <c r="V33" i="2198"/>
  <c r="AA33" i="2196"/>
  <c r="X33" i="2196"/>
  <c r="U33" i="2196"/>
  <c r="R33" i="2196"/>
  <c r="F33" i="2196"/>
  <c r="Y28" i="2196"/>
  <c r="X28" i="2196"/>
  <c r="S33" i="2196" s="1"/>
  <c r="W28" i="2196"/>
  <c r="V28" i="2196"/>
  <c r="U28" i="2196"/>
  <c r="T28" i="2196"/>
  <c r="S28" i="2196"/>
  <c r="R28" i="2196"/>
  <c r="Q28" i="2196"/>
  <c r="P28" i="2196"/>
  <c r="O28" i="2196"/>
  <c r="N28" i="2196"/>
  <c r="M28" i="2196"/>
  <c r="L28" i="2196"/>
  <c r="K28" i="2196"/>
  <c r="J28" i="2196"/>
  <c r="I28" i="2196"/>
  <c r="H28" i="2196"/>
  <c r="G28" i="2196"/>
  <c r="F28" i="2196"/>
  <c r="E28" i="2196"/>
  <c r="D28" i="2196"/>
  <c r="Y25" i="2196"/>
  <c r="X25" i="2196"/>
  <c r="W25" i="2196"/>
  <c r="V25" i="2196"/>
  <c r="U25" i="2196"/>
  <c r="T25" i="2196"/>
  <c r="S25" i="2196"/>
  <c r="R25" i="2196"/>
  <c r="Q25" i="2196"/>
  <c r="P25" i="2196"/>
  <c r="O25" i="2196"/>
  <c r="N25" i="2196"/>
  <c r="M25" i="2196"/>
  <c r="L25" i="2196"/>
  <c r="K25" i="2196"/>
  <c r="J25" i="2196"/>
  <c r="I25" i="2196"/>
  <c r="H25" i="2196"/>
  <c r="G25" i="2196"/>
  <c r="F25" i="2196"/>
  <c r="E25" i="2196"/>
  <c r="D25" i="2196"/>
  <c r="AE19" i="2196"/>
  <c r="AD19" i="2196"/>
  <c r="AC19" i="2196"/>
  <c r="AB19" i="2196"/>
  <c r="AA19" i="2196"/>
  <c r="Z19" i="2196"/>
  <c r="Y19" i="2196"/>
  <c r="X19" i="2196"/>
  <c r="T33" i="2196" s="1"/>
  <c r="W19" i="2196"/>
  <c r="V19" i="2196"/>
  <c r="U19" i="2196"/>
  <c r="T19" i="2196"/>
  <c r="S19" i="2196"/>
  <c r="R19" i="2196"/>
  <c r="Q19" i="2196"/>
  <c r="P19" i="2196"/>
  <c r="O19" i="2196"/>
  <c r="N19" i="2196"/>
  <c r="G33" i="2196" s="1"/>
  <c r="M19" i="2196"/>
  <c r="H33" i="2196" s="1"/>
  <c r="L19" i="2196"/>
  <c r="P33" i="2196" s="1"/>
  <c r="K19" i="2196"/>
  <c r="L33" i="2196" s="1"/>
  <c r="J19" i="2196"/>
  <c r="I19" i="2196"/>
  <c r="AB33" i="2196" s="1"/>
  <c r="H19" i="2196"/>
  <c r="G19" i="2196"/>
  <c r="O33" i="2196" s="1"/>
  <c r="F19" i="2196"/>
  <c r="E19" i="2196"/>
  <c r="D19" i="2196"/>
  <c r="AE16" i="2196"/>
  <c r="AD16" i="2196"/>
  <c r="AC16" i="2196"/>
  <c r="AB16" i="2196"/>
  <c r="AA16" i="2196"/>
  <c r="Z16" i="2196"/>
  <c r="X16" i="2196"/>
  <c r="W16" i="2196"/>
  <c r="V16" i="2196"/>
  <c r="U16" i="2196"/>
  <c r="T16" i="2196"/>
  <c r="S16" i="2196"/>
  <c r="R16" i="2196"/>
  <c r="Q16" i="2196"/>
  <c r="P16" i="2196"/>
  <c r="O16" i="2196"/>
  <c r="N16" i="2196"/>
  <c r="M16" i="2196"/>
  <c r="L16" i="2196"/>
  <c r="K16" i="2196"/>
  <c r="J16" i="2196"/>
  <c r="I16" i="2196"/>
  <c r="H16" i="2196"/>
  <c r="G16" i="2196"/>
  <c r="F16" i="2196"/>
  <c r="E16" i="2196"/>
  <c r="D16" i="2196"/>
  <c r="AE10" i="2196"/>
  <c r="AD10" i="2196"/>
  <c r="AC33" i="2196" s="1"/>
  <c r="AC10" i="2196"/>
  <c r="AB10" i="2196"/>
  <c r="AA10" i="2196"/>
  <c r="Z10" i="2196"/>
  <c r="Y10" i="2196"/>
  <c r="X10" i="2196"/>
  <c r="W10" i="2196"/>
  <c r="V10" i="2196"/>
  <c r="U10" i="2196"/>
  <c r="T10" i="2196"/>
  <c r="S10" i="2196"/>
  <c r="R10" i="2196"/>
  <c r="Q10" i="2196"/>
  <c r="P10" i="2196"/>
  <c r="O10" i="2196"/>
  <c r="N10" i="2196"/>
  <c r="M10" i="2196"/>
  <c r="L10" i="2196"/>
  <c r="K10" i="2196"/>
  <c r="J10" i="2196"/>
  <c r="Q33" i="2196" s="1"/>
  <c r="I10" i="2196"/>
  <c r="E33" i="2196" s="1"/>
  <c r="H10" i="2196"/>
  <c r="G10" i="2196"/>
  <c r="F10" i="2196"/>
  <c r="E10" i="2196"/>
  <c r="D10" i="2196"/>
  <c r="AE7" i="2196"/>
  <c r="AD7" i="2196"/>
  <c r="AC7" i="2196"/>
  <c r="AB7" i="2196"/>
  <c r="AA7" i="2196"/>
  <c r="Z7" i="2196"/>
  <c r="Y7" i="2196"/>
  <c r="X7" i="2196"/>
  <c r="W7" i="2196"/>
  <c r="V7" i="2196"/>
  <c r="U7" i="2196"/>
  <c r="T7" i="2196"/>
  <c r="S7" i="2196"/>
  <c r="R7" i="2196"/>
  <c r="Q7" i="2196"/>
  <c r="P7" i="2196"/>
  <c r="O7" i="2196"/>
  <c r="N7" i="2196"/>
  <c r="M7" i="2196"/>
  <c r="L7" i="2196"/>
  <c r="K7" i="2196"/>
  <c r="J7" i="2196"/>
  <c r="I7" i="2196"/>
  <c r="H7" i="2196"/>
  <c r="G7" i="2196"/>
  <c r="F7" i="2196"/>
  <c r="E7" i="2196"/>
  <c r="D7" i="2196"/>
  <c r="J33" i="2196" l="1"/>
  <c r="W33" i="2196"/>
  <c r="K33" i="2196"/>
  <c r="D33" i="2196"/>
  <c r="Z33" i="2196"/>
  <c r="Y33" i="2196"/>
  <c r="N33" i="2196"/>
  <c r="M33" i="2196"/>
  <c r="V33" i="2196"/>
  <c r="AA33" i="2195"/>
  <c r="X33" i="2195"/>
  <c r="U33" i="2195"/>
  <c r="R33" i="2195"/>
  <c r="O33" i="2195"/>
  <c r="F33" i="2195"/>
  <c r="Y28" i="2195"/>
  <c r="X28" i="2195"/>
  <c r="S33" i="2195" s="1"/>
  <c r="W28" i="2195"/>
  <c r="V28" i="2195"/>
  <c r="U28" i="2195"/>
  <c r="T28" i="2195"/>
  <c r="S28" i="2195"/>
  <c r="R28" i="2195"/>
  <c r="Q28" i="2195"/>
  <c r="P28" i="2195"/>
  <c r="O28" i="2195"/>
  <c r="N28" i="2195"/>
  <c r="M28" i="2195"/>
  <c r="L28" i="2195"/>
  <c r="K28" i="2195"/>
  <c r="J28" i="2195"/>
  <c r="I28" i="2195"/>
  <c r="H28" i="2195"/>
  <c r="G28" i="2195"/>
  <c r="F28" i="2195"/>
  <c r="E28" i="2195"/>
  <c r="D28" i="2195"/>
  <c r="Y25" i="2195"/>
  <c r="X25" i="2195"/>
  <c r="W25" i="2195"/>
  <c r="V25" i="2195"/>
  <c r="U25" i="2195"/>
  <c r="T25" i="2195"/>
  <c r="S25" i="2195"/>
  <c r="R25" i="2195"/>
  <c r="Q25" i="2195"/>
  <c r="P25" i="2195"/>
  <c r="O25" i="2195"/>
  <c r="N25" i="2195"/>
  <c r="M25" i="2195"/>
  <c r="L25" i="2195"/>
  <c r="K25" i="2195"/>
  <c r="J25" i="2195"/>
  <c r="I25" i="2195"/>
  <c r="H25" i="2195"/>
  <c r="G25" i="2195"/>
  <c r="F25" i="2195"/>
  <c r="E25" i="2195"/>
  <c r="D25" i="2195"/>
  <c r="AE19" i="2195"/>
  <c r="AD19" i="2195"/>
  <c r="AC19" i="2195"/>
  <c r="AB19" i="2195"/>
  <c r="AA19" i="2195"/>
  <c r="Z19" i="2195"/>
  <c r="Y19" i="2195"/>
  <c r="X19" i="2195"/>
  <c r="T33" i="2195" s="1"/>
  <c r="W19" i="2195"/>
  <c r="V19" i="2195"/>
  <c r="U19" i="2195"/>
  <c r="T19" i="2195"/>
  <c r="S19" i="2195"/>
  <c r="R19" i="2195"/>
  <c r="Q19" i="2195"/>
  <c r="P19" i="2195"/>
  <c r="O19" i="2195"/>
  <c r="N19" i="2195"/>
  <c r="G33" i="2195" s="1"/>
  <c r="M19" i="2195"/>
  <c r="H33" i="2195" s="1"/>
  <c r="L19" i="2195"/>
  <c r="P33" i="2195" s="1"/>
  <c r="K19" i="2195"/>
  <c r="L33" i="2195" s="1"/>
  <c r="J19" i="2195"/>
  <c r="I19" i="2195"/>
  <c r="AB33" i="2195" s="1"/>
  <c r="H19" i="2195"/>
  <c r="G19" i="2195"/>
  <c r="F19" i="2195"/>
  <c r="E19" i="2195"/>
  <c r="D19" i="2195"/>
  <c r="AE16" i="2195"/>
  <c r="AD16" i="2195"/>
  <c r="AC16" i="2195"/>
  <c r="AB16" i="2195"/>
  <c r="AA16" i="2195"/>
  <c r="Z16" i="2195"/>
  <c r="X16" i="2195"/>
  <c r="W16" i="2195"/>
  <c r="V16" i="2195"/>
  <c r="U16" i="2195"/>
  <c r="T16" i="2195"/>
  <c r="S16" i="2195"/>
  <c r="R16" i="2195"/>
  <c r="Q16" i="2195"/>
  <c r="P16" i="2195"/>
  <c r="O16" i="2195"/>
  <c r="N16" i="2195"/>
  <c r="M16" i="2195"/>
  <c r="L16" i="2195"/>
  <c r="K16" i="2195"/>
  <c r="J16" i="2195"/>
  <c r="I16" i="2195"/>
  <c r="H16" i="2195"/>
  <c r="G16" i="2195"/>
  <c r="F16" i="2195"/>
  <c r="E16" i="2195"/>
  <c r="D16" i="2195"/>
  <c r="AE10" i="2195"/>
  <c r="AD10" i="2195"/>
  <c r="AC10" i="2195"/>
  <c r="AB10" i="2195"/>
  <c r="AA10" i="2195"/>
  <c r="Z10" i="2195"/>
  <c r="Y10" i="2195"/>
  <c r="X10" i="2195"/>
  <c r="W10" i="2195"/>
  <c r="V10" i="2195"/>
  <c r="U10" i="2195"/>
  <c r="T10" i="2195"/>
  <c r="S10" i="2195"/>
  <c r="R10" i="2195"/>
  <c r="Q10" i="2195"/>
  <c r="P10" i="2195"/>
  <c r="O10" i="2195"/>
  <c r="N10" i="2195"/>
  <c r="Q33" i="2195" s="1"/>
  <c r="M10" i="2195"/>
  <c r="E33" i="2195" s="1"/>
  <c r="L10" i="2195"/>
  <c r="K10" i="2195"/>
  <c r="J10" i="2195"/>
  <c r="I10" i="2195"/>
  <c r="H10" i="2195"/>
  <c r="G10" i="2195"/>
  <c r="F10" i="2195"/>
  <c r="J33" i="2195" s="1"/>
  <c r="E10" i="2195"/>
  <c r="D10" i="2195"/>
  <c r="AE7" i="2195"/>
  <c r="AD7" i="2195"/>
  <c r="AC7" i="2195"/>
  <c r="AB7" i="2195"/>
  <c r="AA7" i="2195"/>
  <c r="Z7" i="2195"/>
  <c r="Y7" i="2195"/>
  <c r="X7" i="2195"/>
  <c r="W7" i="2195"/>
  <c r="V7" i="2195"/>
  <c r="U7" i="2195"/>
  <c r="T7" i="2195"/>
  <c r="S7" i="2195"/>
  <c r="R7" i="2195"/>
  <c r="Q7" i="2195"/>
  <c r="P7" i="2195"/>
  <c r="O7" i="2195"/>
  <c r="N7" i="2195"/>
  <c r="M7" i="2195"/>
  <c r="L7" i="2195"/>
  <c r="K7" i="2195"/>
  <c r="J7" i="2195"/>
  <c r="I7" i="2195"/>
  <c r="H7" i="2195"/>
  <c r="G7" i="2195"/>
  <c r="F7" i="2195"/>
  <c r="E7" i="2195"/>
  <c r="D7" i="2195"/>
  <c r="T16" i="2194"/>
  <c r="W33" i="2195" l="1"/>
  <c r="N33" i="2195"/>
  <c r="AC33" i="2195"/>
  <c r="D33" i="2195"/>
  <c r="Z33" i="2195"/>
  <c r="Y33" i="2195"/>
  <c r="K33" i="2195"/>
  <c r="M33" i="2195"/>
  <c r="V33" i="2195"/>
  <c r="AA33" i="2194"/>
  <c r="X33" i="2194"/>
  <c r="U33" i="2194"/>
  <c r="R33" i="2194"/>
  <c r="F33" i="2194"/>
  <c r="Y28" i="2194"/>
  <c r="X28" i="2194"/>
  <c r="S33" i="2194" s="1"/>
  <c r="W28" i="2194"/>
  <c r="V28" i="2194"/>
  <c r="U28" i="2194"/>
  <c r="T28" i="2194"/>
  <c r="S28" i="2194"/>
  <c r="R28" i="2194"/>
  <c r="Q28" i="2194"/>
  <c r="P28" i="2194"/>
  <c r="O28" i="2194"/>
  <c r="N28" i="2194"/>
  <c r="M28" i="2194"/>
  <c r="L28" i="2194"/>
  <c r="K28" i="2194"/>
  <c r="J28" i="2194"/>
  <c r="I28" i="2194"/>
  <c r="H28" i="2194"/>
  <c r="G28" i="2194"/>
  <c r="F28" i="2194"/>
  <c r="E28" i="2194"/>
  <c r="D28" i="2194"/>
  <c r="Y25" i="2194"/>
  <c r="X25" i="2194"/>
  <c r="W25" i="2194"/>
  <c r="V25" i="2194"/>
  <c r="U25" i="2194"/>
  <c r="T25" i="2194"/>
  <c r="S25" i="2194"/>
  <c r="R25" i="2194"/>
  <c r="Q25" i="2194"/>
  <c r="P25" i="2194"/>
  <c r="O25" i="2194"/>
  <c r="N25" i="2194"/>
  <c r="M25" i="2194"/>
  <c r="L25" i="2194"/>
  <c r="K25" i="2194"/>
  <c r="J25" i="2194"/>
  <c r="I25" i="2194"/>
  <c r="H25" i="2194"/>
  <c r="G25" i="2194"/>
  <c r="F25" i="2194"/>
  <c r="E25" i="2194"/>
  <c r="D25" i="2194"/>
  <c r="AE19" i="2194"/>
  <c r="AD19" i="2194"/>
  <c r="AC19" i="2194"/>
  <c r="AB19" i="2194"/>
  <c r="AA19" i="2194"/>
  <c r="Z19" i="2194"/>
  <c r="Y19" i="2194"/>
  <c r="X19" i="2194"/>
  <c r="T33" i="2194" s="1"/>
  <c r="W19" i="2194"/>
  <c r="V19" i="2194"/>
  <c r="U19" i="2194"/>
  <c r="T19" i="2194"/>
  <c r="S19" i="2194"/>
  <c r="R19" i="2194"/>
  <c r="Q19" i="2194"/>
  <c r="P19" i="2194"/>
  <c r="O19" i="2194"/>
  <c r="N19" i="2194"/>
  <c r="G33" i="2194" s="1"/>
  <c r="M19" i="2194"/>
  <c r="H33" i="2194" s="1"/>
  <c r="L19" i="2194"/>
  <c r="P33" i="2194" s="1"/>
  <c r="K19" i="2194"/>
  <c r="L33" i="2194" s="1"/>
  <c r="J19" i="2194"/>
  <c r="I19" i="2194"/>
  <c r="AB33" i="2194" s="1"/>
  <c r="H19" i="2194"/>
  <c r="G19" i="2194"/>
  <c r="O33" i="2194" s="1"/>
  <c r="F19" i="2194"/>
  <c r="E19" i="2194"/>
  <c r="D19" i="2194"/>
  <c r="AE16" i="2194"/>
  <c r="AD16" i="2194"/>
  <c r="AC16" i="2194"/>
  <c r="AB16" i="2194"/>
  <c r="AA16" i="2194"/>
  <c r="Z16" i="2194"/>
  <c r="X16" i="2194"/>
  <c r="W16" i="2194"/>
  <c r="V16" i="2194"/>
  <c r="U16" i="2194"/>
  <c r="S16" i="2194"/>
  <c r="R16" i="2194"/>
  <c r="Q16" i="2194"/>
  <c r="P16" i="2194"/>
  <c r="O16" i="2194"/>
  <c r="N16" i="2194"/>
  <c r="M16" i="2194"/>
  <c r="L16" i="2194"/>
  <c r="K16" i="2194"/>
  <c r="J16" i="2194"/>
  <c r="I16" i="2194"/>
  <c r="H16" i="2194"/>
  <c r="G16" i="2194"/>
  <c r="F16" i="2194"/>
  <c r="E16" i="2194"/>
  <c r="D16" i="2194"/>
  <c r="AE10" i="2194"/>
  <c r="AD10" i="2194"/>
  <c r="AC33" i="2194" s="1"/>
  <c r="AC10" i="2194"/>
  <c r="AB10" i="2194"/>
  <c r="AA10" i="2194"/>
  <c r="Z10" i="2194"/>
  <c r="Y10" i="2194"/>
  <c r="X10" i="2194"/>
  <c r="W10" i="2194"/>
  <c r="V10" i="2194"/>
  <c r="U10" i="2194"/>
  <c r="T10" i="2194"/>
  <c r="S10" i="2194"/>
  <c r="R10" i="2194"/>
  <c r="Q10" i="2194"/>
  <c r="P10" i="2194"/>
  <c r="O10" i="2194"/>
  <c r="N10" i="2194"/>
  <c r="M10" i="2194"/>
  <c r="L10" i="2194"/>
  <c r="K10" i="2194"/>
  <c r="J10" i="2194"/>
  <c r="I10" i="2194"/>
  <c r="H10" i="2194"/>
  <c r="G10" i="2194"/>
  <c r="F10" i="2194"/>
  <c r="J33" i="2194" s="1"/>
  <c r="E10" i="2194"/>
  <c r="D10" i="2194"/>
  <c r="AE7" i="2194"/>
  <c r="AD7" i="2194"/>
  <c r="AC7" i="2194"/>
  <c r="AB7" i="2194"/>
  <c r="AA7" i="2194"/>
  <c r="Z7" i="2194"/>
  <c r="Y7" i="2194"/>
  <c r="X7" i="2194"/>
  <c r="W7" i="2194"/>
  <c r="V7" i="2194"/>
  <c r="U7" i="2194"/>
  <c r="T7" i="2194"/>
  <c r="S7" i="2194"/>
  <c r="R7" i="2194"/>
  <c r="Q7" i="2194"/>
  <c r="P7" i="2194"/>
  <c r="O7" i="2194"/>
  <c r="N7" i="2194"/>
  <c r="M7" i="2194"/>
  <c r="L7" i="2194"/>
  <c r="K7" i="2194"/>
  <c r="J7" i="2194"/>
  <c r="I7" i="2194"/>
  <c r="H7" i="2194"/>
  <c r="G7" i="2194"/>
  <c r="F7" i="2194"/>
  <c r="E7" i="2194"/>
  <c r="D7" i="2194"/>
  <c r="W33" i="2194" l="1"/>
  <c r="K33" i="2194"/>
  <c r="D33" i="2194"/>
  <c r="Z33" i="2194"/>
  <c r="Y33" i="2194"/>
  <c r="N33" i="2194"/>
  <c r="Q33" i="2194"/>
  <c r="E33" i="2194"/>
  <c r="M33" i="2194"/>
  <c r="V33" i="2194"/>
  <c r="AA33" i="2193"/>
  <c r="X33" i="2193"/>
  <c r="U33" i="2193"/>
  <c r="R33" i="2193"/>
  <c r="F33" i="2193"/>
  <c r="Y28" i="2193"/>
  <c r="X28" i="2193"/>
  <c r="S33" i="2193" s="1"/>
  <c r="W28" i="2193"/>
  <c r="V28" i="2193"/>
  <c r="U28" i="2193"/>
  <c r="T28" i="2193"/>
  <c r="S28" i="2193"/>
  <c r="R28" i="2193"/>
  <c r="Q28" i="2193"/>
  <c r="P28" i="2193"/>
  <c r="O28" i="2193"/>
  <c r="N28" i="2193"/>
  <c r="M28" i="2193"/>
  <c r="L28" i="2193"/>
  <c r="K28" i="2193"/>
  <c r="J28" i="2193"/>
  <c r="I28" i="2193"/>
  <c r="H28" i="2193"/>
  <c r="G28" i="2193"/>
  <c r="F28" i="2193"/>
  <c r="E28" i="2193"/>
  <c r="D28" i="2193"/>
  <c r="Y25" i="2193"/>
  <c r="X25" i="2193"/>
  <c r="W25" i="2193"/>
  <c r="V25" i="2193"/>
  <c r="U25" i="2193"/>
  <c r="T25" i="2193"/>
  <c r="S25" i="2193"/>
  <c r="R25" i="2193"/>
  <c r="Q25" i="2193"/>
  <c r="P25" i="2193"/>
  <c r="O25" i="2193"/>
  <c r="N25" i="2193"/>
  <c r="M25" i="2193"/>
  <c r="L25" i="2193"/>
  <c r="K25" i="2193"/>
  <c r="J25" i="2193"/>
  <c r="I25" i="2193"/>
  <c r="H25" i="2193"/>
  <c r="G25" i="2193"/>
  <c r="F25" i="2193"/>
  <c r="E25" i="2193"/>
  <c r="D25" i="2193"/>
  <c r="AE19" i="2193"/>
  <c r="AD19" i="2193"/>
  <c r="AC19" i="2193"/>
  <c r="AB19" i="2193"/>
  <c r="AA19" i="2193"/>
  <c r="Z19" i="2193"/>
  <c r="Y19" i="2193"/>
  <c r="X19" i="2193"/>
  <c r="T33" i="2193" s="1"/>
  <c r="W19" i="2193"/>
  <c r="V19" i="2193"/>
  <c r="U19" i="2193"/>
  <c r="T19" i="2193"/>
  <c r="S19" i="2193"/>
  <c r="R19" i="2193"/>
  <c r="Q19" i="2193"/>
  <c r="P19" i="2193"/>
  <c r="O19" i="2193"/>
  <c r="N19" i="2193"/>
  <c r="G33" i="2193" s="1"/>
  <c r="M19" i="2193"/>
  <c r="H33" i="2193" s="1"/>
  <c r="L19" i="2193"/>
  <c r="P33" i="2193" s="1"/>
  <c r="K19" i="2193"/>
  <c r="L33" i="2193" s="1"/>
  <c r="J19" i="2193"/>
  <c r="I19" i="2193"/>
  <c r="AB33" i="2193" s="1"/>
  <c r="H19" i="2193"/>
  <c r="G19" i="2193"/>
  <c r="O33" i="2193" s="1"/>
  <c r="F19" i="2193"/>
  <c r="E19" i="2193"/>
  <c r="D19" i="2193"/>
  <c r="AE16" i="2193"/>
  <c r="AD16" i="2193"/>
  <c r="AC16" i="2193"/>
  <c r="AB16" i="2193"/>
  <c r="AA16" i="2193"/>
  <c r="Z16" i="2193"/>
  <c r="X16" i="2193"/>
  <c r="W16" i="2193"/>
  <c r="V16" i="2193"/>
  <c r="U16" i="2193"/>
  <c r="T16" i="2193"/>
  <c r="S16" i="2193"/>
  <c r="R16" i="2193"/>
  <c r="Q16" i="2193"/>
  <c r="P16" i="2193"/>
  <c r="O16" i="2193"/>
  <c r="N16" i="2193"/>
  <c r="M16" i="2193"/>
  <c r="L16" i="2193"/>
  <c r="K16" i="2193"/>
  <c r="J16" i="2193"/>
  <c r="I16" i="2193"/>
  <c r="H16" i="2193"/>
  <c r="G16" i="2193"/>
  <c r="F16" i="2193"/>
  <c r="E16" i="2193"/>
  <c r="D16" i="2193"/>
  <c r="AE10" i="2193"/>
  <c r="AD10" i="2193"/>
  <c r="AC10" i="2193"/>
  <c r="AB10" i="2193"/>
  <c r="AA10" i="2193"/>
  <c r="Z10" i="2193"/>
  <c r="Y10" i="2193"/>
  <c r="X10" i="2193"/>
  <c r="W10" i="2193"/>
  <c r="V10" i="2193"/>
  <c r="U10" i="2193"/>
  <c r="T10" i="2193"/>
  <c r="S10" i="2193"/>
  <c r="R10" i="2193"/>
  <c r="Q10" i="2193"/>
  <c r="P10" i="2193"/>
  <c r="O10" i="2193"/>
  <c r="N10" i="2193"/>
  <c r="M10" i="2193"/>
  <c r="L10" i="2193"/>
  <c r="K10" i="2193"/>
  <c r="J10" i="2193"/>
  <c r="Q33" i="2193" s="1"/>
  <c r="I10" i="2193"/>
  <c r="H10" i="2193"/>
  <c r="G10" i="2193"/>
  <c r="F10" i="2193"/>
  <c r="E10" i="2193"/>
  <c r="D10" i="2193"/>
  <c r="AE7" i="2193"/>
  <c r="AD7" i="2193"/>
  <c r="AC7" i="2193"/>
  <c r="AB7" i="2193"/>
  <c r="AA7" i="2193"/>
  <c r="Z7" i="2193"/>
  <c r="Y7" i="2193"/>
  <c r="X7" i="2193"/>
  <c r="W7" i="2193"/>
  <c r="V7" i="2193"/>
  <c r="U7" i="2193"/>
  <c r="T7" i="2193"/>
  <c r="S7" i="2193"/>
  <c r="R7" i="2193"/>
  <c r="Q7" i="2193"/>
  <c r="P7" i="2193"/>
  <c r="O7" i="2193"/>
  <c r="N7" i="2193"/>
  <c r="M7" i="2193"/>
  <c r="L7" i="2193"/>
  <c r="K7" i="2193"/>
  <c r="J7" i="2193"/>
  <c r="I7" i="2193"/>
  <c r="H7" i="2193"/>
  <c r="G7" i="2193"/>
  <c r="F7" i="2193"/>
  <c r="E7" i="2193"/>
  <c r="D7" i="2193"/>
  <c r="J33" i="2193" l="1"/>
  <c r="W33" i="2193"/>
  <c r="N33" i="2193"/>
  <c r="AC33" i="2193"/>
  <c r="Z33" i="2193"/>
  <c r="D33" i="2193"/>
  <c r="Y33" i="2193"/>
  <c r="E33" i="2193"/>
  <c r="K33" i="2193"/>
  <c r="M33" i="2193"/>
  <c r="V33" i="2193"/>
  <c r="AA33" i="2192"/>
  <c r="X33" i="2192"/>
  <c r="U33" i="2192"/>
  <c r="R33" i="2192"/>
  <c r="F33" i="2192"/>
  <c r="Y28" i="2192"/>
  <c r="X28" i="2192"/>
  <c r="S33" i="2192" s="1"/>
  <c r="W28" i="2192"/>
  <c r="V28" i="2192"/>
  <c r="U28" i="2192"/>
  <c r="T28" i="2192"/>
  <c r="S28" i="2192"/>
  <c r="R28" i="2192"/>
  <c r="Q28" i="2192"/>
  <c r="P28" i="2192"/>
  <c r="O28" i="2192"/>
  <c r="N28" i="2192"/>
  <c r="M28" i="2192"/>
  <c r="L28" i="2192"/>
  <c r="K28" i="2192"/>
  <c r="J28" i="2192"/>
  <c r="I28" i="2192"/>
  <c r="H28" i="2192"/>
  <c r="G28" i="2192"/>
  <c r="F28" i="2192"/>
  <c r="E28" i="2192"/>
  <c r="D28" i="2192"/>
  <c r="Y25" i="2192"/>
  <c r="X25" i="2192"/>
  <c r="W25" i="2192"/>
  <c r="V25" i="2192"/>
  <c r="U25" i="2192"/>
  <c r="T25" i="2192"/>
  <c r="S25" i="2192"/>
  <c r="R25" i="2192"/>
  <c r="Q25" i="2192"/>
  <c r="P25" i="2192"/>
  <c r="O25" i="2192"/>
  <c r="N25" i="2192"/>
  <c r="M25" i="2192"/>
  <c r="L25" i="2192"/>
  <c r="K25" i="2192"/>
  <c r="J25" i="2192"/>
  <c r="I25" i="2192"/>
  <c r="H25" i="2192"/>
  <c r="G25" i="2192"/>
  <c r="F25" i="2192"/>
  <c r="E25" i="2192"/>
  <c r="D25" i="2192"/>
  <c r="AE19" i="2192"/>
  <c r="AD19" i="2192"/>
  <c r="AC19" i="2192"/>
  <c r="AB19" i="2192"/>
  <c r="AA19" i="2192"/>
  <c r="Z19" i="2192"/>
  <c r="Y19" i="2192"/>
  <c r="X19" i="2192"/>
  <c r="T33" i="2192" s="1"/>
  <c r="W19" i="2192"/>
  <c r="V19" i="2192"/>
  <c r="U19" i="2192"/>
  <c r="T19" i="2192"/>
  <c r="S19" i="2192"/>
  <c r="R19" i="2192"/>
  <c r="Q19" i="2192"/>
  <c r="P19" i="2192"/>
  <c r="O19" i="2192"/>
  <c r="N19" i="2192"/>
  <c r="G33" i="2192" s="1"/>
  <c r="M19" i="2192"/>
  <c r="H33" i="2192" s="1"/>
  <c r="L19" i="2192"/>
  <c r="P33" i="2192" s="1"/>
  <c r="K19" i="2192"/>
  <c r="L33" i="2192" s="1"/>
  <c r="J19" i="2192"/>
  <c r="I19" i="2192"/>
  <c r="AB33" i="2192" s="1"/>
  <c r="H19" i="2192"/>
  <c r="G19" i="2192"/>
  <c r="O33" i="2192" s="1"/>
  <c r="F19" i="2192"/>
  <c r="E19" i="2192"/>
  <c r="D19" i="2192"/>
  <c r="AE16" i="2192"/>
  <c r="AD16" i="2192"/>
  <c r="AC16" i="2192"/>
  <c r="AB16" i="2192"/>
  <c r="AA16" i="2192"/>
  <c r="Z16" i="2192"/>
  <c r="X16" i="2192"/>
  <c r="W16" i="2192"/>
  <c r="V16" i="2192"/>
  <c r="U16" i="2192"/>
  <c r="T16" i="2192"/>
  <c r="S16" i="2192"/>
  <c r="R16" i="2192"/>
  <c r="Q16" i="2192"/>
  <c r="P16" i="2192"/>
  <c r="O16" i="2192"/>
  <c r="N16" i="2192"/>
  <c r="M16" i="2192"/>
  <c r="L16" i="2192"/>
  <c r="K16" i="2192"/>
  <c r="J16" i="2192"/>
  <c r="I16" i="2192"/>
  <c r="H16" i="2192"/>
  <c r="G16" i="2192"/>
  <c r="F16" i="2192"/>
  <c r="E16" i="2192"/>
  <c r="D16" i="2192"/>
  <c r="AE10" i="2192"/>
  <c r="AD10" i="2192"/>
  <c r="AC10" i="2192"/>
  <c r="AB10" i="2192"/>
  <c r="AA10" i="2192"/>
  <c r="Z10" i="2192"/>
  <c r="Y10" i="2192"/>
  <c r="X10" i="2192"/>
  <c r="W10" i="2192"/>
  <c r="V10" i="2192"/>
  <c r="U10" i="2192"/>
  <c r="T10" i="2192"/>
  <c r="S10" i="2192"/>
  <c r="R10" i="2192"/>
  <c r="Q10" i="2192"/>
  <c r="P10" i="2192"/>
  <c r="O10" i="2192"/>
  <c r="N10" i="2192"/>
  <c r="M10" i="2192"/>
  <c r="E33" i="2192" s="1"/>
  <c r="L10" i="2192"/>
  <c r="K10" i="2192"/>
  <c r="J10" i="2192"/>
  <c r="Q33" i="2192" s="1"/>
  <c r="I10" i="2192"/>
  <c r="H10" i="2192"/>
  <c r="G10" i="2192"/>
  <c r="F10" i="2192"/>
  <c r="E10" i="2192"/>
  <c r="D10" i="2192"/>
  <c r="AE7" i="2192"/>
  <c r="AD7" i="2192"/>
  <c r="AC7" i="2192"/>
  <c r="AB7" i="2192"/>
  <c r="AA7" i="2192"/>
  <c r="Z7" i="2192"/>
  <c r="Y7" i="2192"/>
  <c r="X7" i="2192"/>
  <c r="W7" i="2192"/>
  <c r="V7" i="2192"/>
  <c r="U7" i="2192"/>
  <c r="T7" i="2192"/>
  <c r="S7" i="2192"/>
  <c r="R7" i="2192"/>
  <c r="Q7" i="2192"/>
  <c r="P7" i="2192"/>
  <c r="O7" i="2192"/>
  <c r="N7" i="2192"/>
  <c r="M7" i="2192"/>
  <c r="L7" i="2192"/>
  <c r="K7" i="2192"/>
  <c r="J7" i="2192"/>
  <c r="I7" i="2192"/>
  <c r="H7" i="2192"/>
  <c r="G7" i="2192"/>
  <c r="F7" i="2192"/>
  <c r="E7" i="2192"/>
  <c r="D7" i="2192"/>
  <c r="J33" i="2192" l="1"/>
  <c r="W33" i="2192"/>
  <c r="AC33" i="2192"/>
  <c r="D33" i="2192"/>
  <c r="Z33" i="2192"/>
  <c r="Y33" i="2192"/>
  <c r="N33" i="2192"/>
  <c r="K33" i="2192"/>
  <c r="M33" i="2192"/>
  <c r="V33" i="2192"/>
  <c r="AA33" i="2191"/>
  <c r="X33" i="2191"/>
  <c r="U33" i="2191"/>
  <c r="R33" i="2191"/>
  <c r="F33" i="2191"/>
  <c r="Y28" i="2191"/>
  <c r="X28" i="2191"/>
  <c r="S33" i="2191" s="1"/>
  <c r="W28" i="2191"/>
  <c r="V28" i="2191"/>
  <c r="U28" i="2191"/>
  <c r="T28" i="2191"/>
  <c r="S28" i="2191"/>
  <c r="R28" i="2191"/>
  <c r="Q28" i="2191"/>
  <c r="P28" i="2191"/>
  <c r="O28" i="2191"/>
  <c r="N28" i="2191"/>
  <c r="M28" i="2191"/>
  <c r="L28" i="2191"/>
  <c r="K28" i="2191"/>
  <c r="J28" i="2191"/>
  <c r="I28" i="2191"/>
  <c r="H28" i="2191"/>
  <c r="G28" i="2191"/>
  <c r="F28" i="2191"/>
  <c r="E28" i="2191"/>
  <c r="D28" i="2191"/>
  <c r="Y25" i="2191"/>
  <c r="X25" i="2191"/>
  <c r="W25" i="2191"/>
  <c r="V25" i="2191"/>
  <c r="U25" i="2191"/>
  <c r="T25" i="2191"/>
  <c r="S25" i="2191"/>
  <c r="R25" i="2191"/>
  <c r="Q25" i="2191"/>
  <c r="P25" i="2191"/>
  <c r="O25" i="2191"/>
  <c r="N25" i="2191"/>
  <c r="M25" i="2191"/>
  <c r="L25" i="2191"/>
  <c r="K25" i="2191"/>
  <c r="J25" i="2191"/>
  <c r="I25" i="2191"/>
  <c r="H25" i="2191"/>
  <c r="G25" i="2191"/>
  <c r="F25" i="2191"/>
  <c r="E25" i="2191"/>
  <c r="D25" i="2191"/>
  <c r="AE19" i="2191"/>
  <c r="AD19" i="2191"/>
  <c r="AC19" i="2191"/>
  <c r="AB19" i="2191"/>
  <c r="AA19" i="2191"/>
  <c r="Z19" i="2191"/>
  <c r="Y19" i="2191"/>
  <c r="X19" i="2191"/>
  <c r="T33" i="2191" s="1"/>
  <c r="W19" i="2191"/>
  <c r="V19" i="2191"/>
  <c r="U19" i="2191"/>
  <c r="T19" i="2191"/>
  <c r="S19" i="2191"/>
  <c r="R19" i="2191"/>
  <c r="Q19" i="2191"/>
  <c r="P19" i="2191"/>
  <c r="O19" i="2191"/>
  <c r="N19" i="2191"/>
  <c r="G33" i="2191" s="1"/>
  <c r="M19" i="2191"/>
  <c r="H33" i="2191" s="1"/>
  <c r="L19" i="2191"/>
  <c r="P33" i="2191" s="1"/>
  <c r="K19" i="2191"/>
  <c r="L33" i="2191" s="1"/>
  <c r="J19" i="2191"/>
  <c r="I19" i="2191"/>
  <c r="AB33" i="2191" s="1"/>
  <c r="H19" i="2191"/>
  <c r="G19" i="2191"/>
  <c r="O33" i="2191" s="1"/>
  <c r="F19" i="2191"/>
  <c r="E19" i="2191"/>
  <c r="D19" i="2191"/>
  <c r="AE16" i="2191"/>
  <c r="AD16" i="2191"/>
  <c r="AC16" i="2191"/>
  <c r="AB16" i="2191"/>
  <c r="AA16" i="2191"/>
  <c r="Z16" i="2191"/>
  <c r="X16" i="2191"/>
  <c r="W16" i="2191"/>
  <c r="V16" i="2191"/>
  <c r="U16" i="2191"/>
  <c r="T16" i="2191"/>
  <c r="S16" i="2191"/>
  <c r="R16" i="2191"/>
  <c r="Q16" i="2191"/>
  <c r="P16" i="2191"/>
  <c r="O16" i="2191"/>
  <c r="N16" i="2191"/>
  <c r="M16" i="2191"/>
  <c r="L16" i="2191"/>
  <c r="K16" i="2191"/>
  <c r="J16" i="2191"/>
  <c r="I16" i="2191"/>
  <c r="H16" i="2191"/>
  <c r="G16" i="2191"/>
  <c r="F16" i="2191"/>
  <c r="E16" i="2191"/>
  <c r="D16" i="2191"/>
  <c r="AE10" i="2191"/>
  <c r="AD10" i="2191"/>
  <c r="AC33" i="2191" s="1"/>
  <c r="AC10" i="2191"/>
  <c r="AB10" i="2191"/>
  <c r="AA10" i="2191"/>
  <c r="Z10" i="2191"/>
  <c r="Y10" i="2191"/>
  <c r="X10" i="2191"/>
  <c r="W10" i="2191"/>
  <c r="V10" i="2191"/>
  <c r="U10" i="2191"/>
  <c r="T10" i="2191"/>
  <c r="S10" i="2191"/>
  <c r="R10" i="2191"/>
  <c r="Q10" i="2191"/>
  <c r="P10" i="2191"/>
  <c r="O10" i="2191"/>
  <c r="N10" i="2191"/>
  <c r="M10" i="2191"/>
  <c r="L10" i="2191"/>
  <c r="K10" i="2191"/>
  <c r="J10" i="2191"/>
  <c r="Q33" i="2191" s="1"/>
  <c r="I10" i="2191"/>
  <c r="H10" i="2191"/>
  <c r="G10" i="2191"/>
  <c r="F10" i="2191"/>
  <c r="E10" i="2191"/>
  <c r="D10" i="2191"/>
  <c r="AE7" i="2191"/>
  <c r="AD7" i="2191"/>
  <c r="AC7" i="2191"/>
  <c r="AB7" i="2191"/>
  <c r="AA7" i="2191"/>
  <c r="Z7" i="2191"/>
  <c r="Y7" i="2191"/>
  <c r="X7" i="2191"/>
  <c r="W7" i="2191"/>
  <c r="V7" i="2191"/>
  <c r="U7" i="2191"/>
  <c r="T7" i="2191"/>
  <c r="S7" i="2191"/>
  <c r="R7" i="2191"/>
  <c r="Q7" i="2191"/>
  <c r="P7" i="2191"/>
  <c r="O7" i="2191"/>
  <c r="N7" i="2191"/>
  <c r="M7" i="2191"/>
  <c r="L7" i="2191"/>
  <c r="K7" i="2191"/>
  <c r="J7" i="2191"/>
  <c r="I7" i="2191"/>
  <c r="H7" i="2191"/>
  <c r="G7" i="2191"/>
  <c r="F7" i="2191"/>
  <c r="E7" i="2191"/>
  <c r="D7" i="2191"/>
  <c r="J33" i="2191" l="1"/>
  <c r="W33" i="2191"/>
  <c r="D33" i="2191"/>
  <c r="Z33" i="2191"/>
  <c r="Y33" i="2191"/>
  <c r="N33" i="2191"/>
  <c r="K33" i="2191"/>
  <c r="E33" i="2191"/>
  <c r="M33" i="2191"/>
  <c r="V33" i="2191"/>
  <c r="AA33" i="2190"/>
  <c r="X33" i="2190"/>
  <c r="U33" i="2190"/>
  <c r="R33" i="2190"/>
  <c r="F33" i="2190"/>
  <c r="Y28" i="2190"/>
  <c r="X28" i="2190"/>
  <c r="S33" i="2190" s="1"/>
  <c r="W28" i="2190"/>
  <c r="V28" i="2190"/>
  <c r="U28" i="2190"/>
  <c r="T28" i="2190"/>
  <c r="S28" i="2190"/>
  <c r="R28" i="2190"/>
  <c r="Q28" i="2190"/>
  <c r="P28" i="2190"/>
  <c r="O28" i="2190"/>
  <c r="N28" i="2190"/>
  <c r="M28" i="2190"/>
  <c r="L28" i="2190"/>
  <c r="K28" i="2190"/>
  <c r="J28" i="2190"/>
  <c r="I28" i="2190"/>
  <c r="H28" i="2190"/>
  <c r="G28" i="2190"/>
  <c r="F28" i="2190"/>
  <c r="E28" i="2190"/>
  <c r="D28" i="2190"/>
  <c r="Y25" i="2190"/>
  <c r="X25" i="2190"/>
  <c r="W25" i="2190"/>
  <c r="V25" i="2190"/>
  <c r="U25" i="2190"/>
  <c r="T25" i="2190"/>
  <c r="S25" i="2190"/>
  <c r="R25" i="2190"/>
  <c r="Q25" i="2190"/>
  <c r="P25" i="2190"/>
  <c r="O25" i="2190"/>
  <c r="N25" i="2190"/>
  <c r="M25" i="2190"/>
  <c r="L25" i="2190"/>
  <c r="K25" i="2190"/>
  <c r="J25" i="2190"/>
  <c r="I25" i="2190"/>
  <c r="H25" i="2190"/>
  <c r="G25" i="2190"/>
  <c r="F25" i="2190"/>
  <c r="E25" i="2190"/>
  <c r="D25" i="2190"/>
  <c r="AE19" i="2190"/>
  <c r="AD19" i="2190"/>
  <c r="AC19" i="2190"/>
  <c r="AB19" i="2190"/>
  <c r="AA19" i="2190"/>
  <c r="Z19" i="2190"/>
  <c r="Y19" i="2190"/>
  <c r="X19" i="2190"/>
  <c r="T33" i="2190" s="1"/>
  <c r="W19" i="2190"/>
  <c r="V19" i="2190"/>
  <c r="U19" i="2190"/>
  <c r="T19" i="2190"/>
  <c r="S19" i="2190"/>
  <c r="R19" i="2190"/>
  <c r="Q19" i="2190"/>
  <c r="P19" i="2190"/>
  <c r="O19" i="2190"/>
  <c r="N19" i="2190"/>
  <c r="G33" i="2190" s="1"/>
  <c r="M19" i="2190"/>
  <c r="H33" i="2190" s="1"/>
  <c r="L19" i="2190"/>
  <c r="P33" i="2190" s="1"/>
  <c r="K19" i="2190"/>
  <c r="L33" i="2190" s="1"/>
  <c r="J19" i="2190"/>
  <c r="I19" i="2190"/>
  <c r="AB33" i="2190" s="1"/>
  <c r="H19" i="2190"/>
  <c r="G19" i="2190"/>
  <c r="O33" i="2190" s="1"/>
  <c r="F19" i="2190"/>
  <c r="E19" i="2190"/>
  <c r="D19" i="2190"/>
  <c r="AE16" i="2190"/>
  <c r="AD16" i="2190"/>
  <c r="AC16" i="2190"/>
  <c r="AB16" i="2190"/>
  <c r="AA16" i="2190"/>
  <c r="Z16" i="2190"/>
  <c r="X16" i="2190"/>
  <c r="W16" i="2190"/>
  <c r="V16" i="2190"/>
  <c r="U16" i="2190"/>
  <c r="T16" i="2190"/>
  <c r="S16" i="2190"/>
  <c r="R16" i="2190"/>
  <c r="Q16" i="2190"/>
  <c r="P16" i="2190"/>
  <c r="O16" i="2190"/>
  <c r="N16" i="2190"/>
  <c r="M16" i="2190"/>
  <c r="L16" i="2190"/>
  <c r="K16" i="2190"/>
  <c r="J16" i="2190"/>
  <c r="I16" i="2190"/>
  <c r="H16" i="2190"/>
  <c r="G16" i="2190"/>
  <c r="F16" i="2190"/>
  <c r="E16" i="2190"/>
  <c r="D16" i="2190"/>
  <c r="AE10" i="2190"/>
  <c r="AD10" i="2190"/>
  <c r="AC33" i="2190" s="1"/>
  <c r="AC10" i="2190"/>
  <c r="AB10" i="2190"/>
  <c r="AA10" i="2190"/>
  <c r="Z10" i="2190"/>
  <c r="Y10" i="2190"/>
  <c r="X10" i="2190"/>
  <c r="W10" i="2190"/>
  <c r="V10" i="2190"/>
  <c r="U10" i="2190"/>
  <c r="T10" i="2190"/>
  <c r="S10" i="2190"/>
  <c r="R10" i="2190"/>
  <c r="Q10" i="2190"/>
  <c r="P10" i="2190"/>
  <c r="O10" i="2190"/>
  <c r="K33" i="2190" s="1"/>
  <c r="N10" i="2190"/>
  <c r="M10" i="2190"/>
  <c r="L10" i="2190"/>
  <c r="K10" i="2190"/>
  <c r="J10" i="2190"/>
  <c r="Q33" i="2190" s="1"/>
  <c r="I10" i="2190"/>
  <c r="E33" i="2190" s="1"/>
  <c r="H10" i="2190"/>
  <c r="G10" i="2190"/>
  <c r="F10" i="2190"/>
  <c r="E10" i="2190"/>
  <c r="D10" i="2190"/>
  <c r="AE7" i="2190"/>
  <c r="AD7" i="2190"/>
  <c r="AC7" i="2190"/>
  <c r="AB7" i="2190"/>
  <c r="AA7" i="2190"/>
  <c r="Z7" i="2190"/>
  <c r="Y7" i="2190"/>
  <c r="X7" i="2190"/>
  <c r="W7" i="2190"/>
  <c r="V7" i="2190"/>
  <c r="U7" i="2190"/>
  <c r="T7" i="2190"/>
  <c r="S7" i="2190"/>
  <c r="R7" i="2190"/>
  <c r="Q7" i="2190"/>
  <c r="P7" i="2190"/>
  <c r="O7" i="2190"/>
  <c r="N7" i="2190"/>
  <c r="M7" i="2190"/>
  <c r="L7" i="2190"/>
  <c r="K7" i="2190"/>
  <c r="J7" i="2190"/>
  <c r="I7" i="2190"/>
  <c r="H7" i="2190"/>
  <c r="G7" i="2190"/>
  <c r="F7" i="2190"/>
  <c r="E7" i="2190"/>
  <c r="D7" i="2190"/>
  <c r="M33" i="2190" l="1"/>
  <c r="J33" i="2190"/>
  <c r="W33" i="2190"/>
  <c r="D33" i="2190"/>
  <c r="Z33" i="2190"/>
  <c r="Y33" i="2190"/>
  <c r="N33" i="2190"/>
  <c r="V33" i="2190"/>
  <c r="AA33" i="2189"/>
  <c r="X33" i="2189"/>
  <c r="U33" i="2189"/>
  <c r="R33" i="2189"/>
  <c r="F33" i="2189"/>
  <c r="E33" i="2189"/>
  <c r="Y28" i="2189"/>
  <c r="X28" i="2189"/>
  <c r="S33" i="2189" s="1"/>
  <c r="W28" i="2189"/>
  <c r="V28" i="2189"/>
  <c r="U28" i="2189"/>
  <c r="T28" i="2189"/>
  <c r="S28" i="2189"/>
  <c r="R28" i="2189"/>
  <c r="Q28" i="2189"/>
  <c r="P28" i="2189"/>
  <c r="O28" i="2189"/>
  <c r="N28" i="2189"/>
  <c r="M28" i="2189"/>
  <c r="L28" i="2189"/>
  <c r="K28" i="2189"/>
  <c r="J28" i="2189"/>
  <c r="I28" i="2189"/>
  <c r="H28" i="2189"/>
  <c r="G28" i="2189"/>
  <c r="F28" i="2189"/>
  <c r="E28" i="2189"/>
  <c r="D28" i="2189"/>
  <c r="Y25" i="2189"/>
  <c r="X25" i="2189"/>
  <c r="W25" i="2189"/>
  <c r="V25" i="2189"/>
  <c r="U25" i="2189"/>
  <c r="T25" i="2189"/>
  <c r="S25" i="2189"/>
  <c r="R25" i="2189"/>
  <c r="Q25" i="2189"/>
  <c r="P25" i="2189"/>
  <c r="O25" i="2189"/>
  <c r="N25" i="2189"/>
  <c r="M25" i="2189"/>
  <c r="L25" i="2189"/>
  <c r="K25" i="2189"/>
  <c r="J25" i="2189"/>
  <c r="I25" i="2189"/>
  <c r="H25" i="2189"/>
  <c r="G25" i="2189"/>
  <c r="F25" i="2189"/>
  <c r="E25" i="2189"/>
  <c r="D25" i="2189"/>
  <c r="AE19" i="2189"/>
  <c r="AD19" i="2189"/>
  <c r="AC19" i="2189"/>
  <c r="AB19" i="2189"/>
  <c r="AA19" i="2189"/>
  <c r="Z19" i="2189"/>
  <c r="Y19" i="2189"/>
  <c r="X19" i="2189"/>
  <c r="T33" i="2189" s="1"/>
  <c r="W19" i="2189"/>
  <c r="V19" i="2189"/>
  <c r="U19" i="2189"/>
  <c r="T19" i="2189"/>
  <c r="S19" i="2189"/>
  <c r="R19" i="2189"/>
  <c r="Q19" i="2189"/>
  <c r="P19" i="2189"/>
  <c r="O19" i="2189"/>
  <c r="N19" i="2189"/>
  <c r="G33" i="2189" s="1"/>
  <c r="M19" i="2189"/>
  <c r="H33" i="2189" s="1"/>
  <c r="L19" i="2189"/>
  <c r="P33" i="2189" s="1"/>
  <c r="K19" i="2189"/>
  <c r="L33" i="2189" s="1"/>
  <c r="J19" i="2189"/>
  <c r="I19" i="2189"/>
  <c r="AB33" i="2189" s="1"/>
  <c r="H19" i="2189"/>
  <c r="G19" i="2189"/>
  <c r="O33" i="2189" s="1"/>
  <c r="F19" i="2189"/>
  <c r="E19" i="2189"/>
  <c r="D19" i="2189"/>
  <c r="AE16" i="2189"/>
  <c r="AD16" i="2189"/>
  <c r="AC16" i="2189"/>
  <c r="AB16" i="2189"/>
  <c r="AA16" i="2189"/>
  <c r="Z16" i="2189"/>
  <c r="X16" i="2189"/>
  <c r="W16" i="2189"/>
  <c r="V16" i="2189"/>
  <c r="U16" i="2189"/>
  <c r="T16" i="2189"/>
  <c r="S16" i="2189"/>
  <c r="R16" i="2189"/>
  <c r="Q16" i="2189"/>
  <c r="P16" i="2189"/>
  <c r="O16" i="2189"/>
  <c r="N16" i="2189"/>
  <c r="M16" i="2189"/>
  <c r="L16" i="2189"/>
  <c r="K16" i="2189"/>
  <c r="J16" i="2189"/>
  <c r="I16" i="2189"/>
  <c r="H16" i="2189"/>
  <c r="G16" i="2189"/>
  <c r="F16" i="2189"/>
  <c r="E16" i="2189"/>
  <c r="D16" i="2189"/>
  <c r="AE10" i="2189"/>
  <c r="AD10" i="2189"/>
  <c r="AC10" i="2189"/>
  <c r="AB10" i="2189"/>
  <c r="AA10" i="2189"/>
  <c r="Z10" i="2189"/>
  <c r="Y10" i="2189"/>
  <c r="X10" i="2189"/>
  <c r="W10" i="2189"/>
  <c r="V10" i="2189"/>
  <c r="U10" i="2189"/>
  <c r="T10" i="2189"/>
  <c r="S10" i="2189"/>
  <c r="R10" i="2189"/>
  <c r="Q10" i="2189"/>
  <c r="P10" i="2189"/>
  <c r="O10" i="2189"/>
  <c r="N10" i="2189"/>
  <c r="M10" i="2189"/>
  <c r="L10" i="2189"/>
  <c r="K10" i="2189"/>
  <c r="J10" i="2189"/>
  <c r="Q33" i="2189" s="1"/>
  <c r="I10" i="2189"/>
  <c r="H10" i="2189"/>
  <c r="G10" i="2189"/>
  <c r="F10" i="2189"/>
  <c r="J33" i="2189" s="1"/>
  <c r="E10" i="2189"/>
  <c r="D10" i="2189"/>
  <c r="AE7" i="2189"/>
  <c r="AD7" i="2189"/>
  <c r="AC7" i="2189"/>
  <c r="AB7" i="2189"/>
  <c r="AA7" i="2189"/>
  <c r="Z7" i="2189"/>
  <c r="Y7" i="2189"/>
  <c r="X7" i="2189"/>
  <c r="W7" i="2189"/>
  <c r="V7" i="2189"/>
  <c r="U7" i="2189"/>
  <c r="T7" i="2189"/>
  <c r="S7" i="2189"/>
  <c r="R7" i="2189"/>
  <c r="Q7" i="2189"/>
  <c r="P7" i="2189"/>
  <c r="O7" i="2189"/>
  <c r="N7" i="2189"/>
  <c r="M7" i="2189"/>
  <c r="L7" i="2189"/>
  <c r="K7" i="2189"/>
  <c r="J7" i="2189"/>
  <c r="I7" i="2189"/>
  <c r="H7" i="2189"/>
  <c r="G7" i="2189"/>
  <c r="F7" i="2189"/>
  <c r="E7" i="2189"/>
  <c r="D7" i="2189"/>
  <c r="W33" i="2189" l="1"/>
  <c r="N33" i="2189"/>
  <c r="AC33" i="2189"/>
  <c r="D33" i="2189"/>
  <c r="Z33" i="2189"/>
  <c r="Y33" i="2189"/>
  <c r="K33" i="2189"/>
  <c r="M33" i="2189"/>
  <c r="V33" i="2189"/>
  <c r="AA33" i="2188"/>
  <c r="X33" i="2188"/>
  <c r="U33" i="2188"/>
  <c r="R33" i="2188"/>
  <c r="F33" i="2188"/>
  <c r="Y28" i="2188"/>
  <c r="X28" i="2188"/>
  <c r="S33" i="2188" s="1"/>
  <c r="W28" i="2188"/>
  <c r="V28" i="2188"/>
  <c r="U28" i="2188"/>
  <c r="T28" i="2188"/>
  <c r="S28" i="2188"/>
  <c r="R28" i="2188"/>
  <c r="Q28" i="2188"/>
  <c r="P28" i="2188"/>
  <c r="O28" i="2188"/>
  <c r="N28" i="2188"/>
  <c r="M28" i="2188"/>
  <c r="L28" i="2188"/>
  <c r="K28" i="2188"/>
  <c r="J28" i="2188"/>
  <c r="I28" i="2188"/>
  <c r="H28" i="2188"/>
  <c r="G28" i="2188"/>
  <c r="F28" i="2188"/>
  <c r="E28" i="2188"/>
  <c r="D28" i="2188"/>
  <c r="Y25" i="2188"/>
  <c r="X25" i="2188"/>
  <c r="W25" i="2188"/>
  <c r="V25" i="2188"/>
  <c r="U25" i="2188"/>
  <c r="T25" i="2188"/>
  <c r="S25" i="2188"/>
  <c r="R25" i="2188"/>
  <c r="Q25" i="2188"/>
  <c r="P25" i="2188"/>
  <c r="O25" i="2188"/>
  <c r="N25" i="2188"/>
  <c r="M25" i="2188"/>
  <c r="L25" i="2188"/>
  <c r="K25" i="2188"/>
  <c r="J25" i="2188"/>
  <c r="I25" i="2188"/>
  <c r="H25" i="2188"/>
  <c r="G25" i="2188"/>
  <c r="F25" i="2188"/>
  <c r="E25" i="2188"/>
  <c r="D25" i="2188"/>
  <c r="AE19" i="2188"/>
  <c r="AD19" i="2188"/>
  <c r="AC19" i="2188"/>
  <c r="AB19" i="2188"/>
  <c r="AA19" i="2188"/>
  <c r="Z19" i="2188"/>
  <c r="Y19" i="2188"/>
  <c r="X19" i="2188"/>
  <c r="T33" i="2188" s="1"/>
  <c r="W19" i="2188"/>
  <c r="V19" i="2188"/>
  <c r="U19" i="2188"/>
  <c r="T19" i="2188"/>
  <c r="S19" i="2188"/>
  <c r="R19" i="2188"/>
  <c r="Q19" i="2188"/>
  <c r="P19" i="2188"/>
  <c r="O19" i="2188"/>
  <c r="N19" i="2188"/>
  <c r="G33" i="2188" s="1"/>
  <c r="M19" i="2188"/>
  <c r="H33" i="2188" s="1"/>
  <c r="L19" i="2188"/>
  <c r="P33" i="2188" s="1"/>
  <c r="K19" i="2188"/>
  <c r="L33" i="2188" s="1"/>
  <c r="J19" i="2188"/>
  <c r="I19" i="2188"/>
  <c r="AB33" i="2188" s="1"/>
  <c r="H19" i="2188"/>
  <c r="G19" i="2188"/>
  <c r="O33" i="2188" s="1"/>
  <c r="F19" i="2188"/>
  <c r="E19" i="2188"/>
  <c r="D19" i="2188"/>
  <c r="AE16" i="2188"/>
  <c r="AD16" i="2188"/>
  <c r="AC16" i="2188"/>
  <c r="AB16" i="2188"/>
  <c r="AA16" i="2188"/>
  <c r="Z16" i="2188"/>
  <c r="X16" i="2188"/>
  <c r="W16" i="2188"/>
  <c r="V16" i="2188"/>
  <c r="U16" i="2188"/>
  <c r="T16" i="2188"/>
  <c r="S16" i="2188"/>
  <c r="R16" i="2188"/>
  <c r="Q16" i="2188"/>
  <c r="P16" i="2188"/>
  <c r="O16" i="2188"/>
  <c r="N16" i="2188"/>
  <c r="M16" i="2188"/>
  <c r="L16" i="2188"/>
  <c r="K16" i="2188"/>
  <c r="J16" i="2188"/>
  <c r="I16" i="2188"/>
  <c r="H16" i="2188"/>
  <c r="G16" i="2188"/>
  <c r="F16" i="2188"/>
  <c r="E16" i="2188"/>
  <c r="D16" i="2188"/>
  <c r="AE10" i="2188"/>
  <c r="AD10" i="2188"/>
  <c r="AC10" i="2188"/>
  <c r="AB10" i="2188"/>
  <c r="AA10" i="2188"/>
  <c r="Z10" i="2188"/>
  <c r="Y10" i="2188"/>
  <c r="X10" i="2188"/>
  <c r="W10" i="2188"/>
  <c r="V10" i="2188"/>
  <c r="U10" i="2188"/>
  <c r="T10" i="2188"/>
  <c r="S10" i="2188"/>
  <c r="R10" i="2188"/>
  <c r="Q10" i="2188"/>
  <c r="P10" i="2188"/>
  <c r="O10" i="2188"/>
  <c r="N10" i="2188"/>
  <c r="M10" i="2188"/>
  <c r="E33" i="2188" s="1"/>
  <c r="L10" i="2188"/>
  <c r="K10" i="2188"/>
  <c r="J10" i="2188"/>
  <c r="Q33" i="2188" s="1"/>
  <c r="I10" i="2188"/>
  <c r="H10" i="2188"/>
  <c r="G10" i="2188"/>
  <c r="F10" i="2188"/>
  <c r="E10" i="2188"/>
  <c r="D10" i="2188"/>
  <c r="AE7" i="2188"/>
  <c r="AD7" i="2188"/>
  <c r="AC7" i="2188"/>
  <c r="AB7" i="2188"/>
  <c r="AA7" i="2188"/>
  <c r="Z7" i="2188"/>
  <c r="Y7" i="2188"/>
  <c r="X7" i="2188"/>
  <c r="W7" i="2188"/>
  <c r="V7" i="2188"/>
  <c r="U7" i="2188"/>
  <c r="T7" i="2188"/>
  <c r="S7" i="2188"/>
  <c r="R7" i="2188"/>
  <c r="Q7" i="2188"/>
  <c r="P7" i="2188"/>
  <c r="O7" i="2188"/>
  <c r="N7" i="2188"/>
  <c r="M7" i="2188"/>
  <c r="L7" i="2188"/>
  <c r="K7" i="2188"/>
  <c r="J7" i="2188"/>
  <c r="I7" i="2188"/>
  <c r="H7" i="2188"/>
  <c r="G7" i="2188"/>
  <c r="F7" i="2188"/>
  <c r="E7" i="2188"/>
  <c r="D7" i="2188"/>
  <c r="W33" i="2188" l="1"/>
  <c r="N33" i="2188"/>
  <c r="AC33" i="2188"/>
  <c r="D33" i="2188"/>
  <c r="Z33" i="2188"/>
  <c r="Y33" i="2188"/>
  <c r="K33" i="2188"/>
  <c r="J33" i="2188"/>
  <c r="M33" i="2188"/>
  <c r="V33" i="2188"/>
  <c r="AA33" i="2187"/>
  <c r="X33" i="2187"/>
  <c r="U33" i="2187"/>
  <c r="R33" i="2187"/>
  <c r="F33" i="2187"/>
  <c r="Y28" i="2187"/>
  <c r="X28" i="2187"/>
  <c r="S33" i="2187" s="1"/>
  <c r="W28" i="2187"/>
  <c r="V28" i="2187"/>
  <c r="U28" i="2187"/>
  <c r="T28" i="2187"/>
  <c r="S28" i="2187"/>
  <c r="R28" i="2187"/>
  <c r="Q28" i="2187"/>
  <c r="P28" i="2187"/>
  <c r="O28" i="2187"/>
  <c r="N28" i="2187"/>
  <c r="M28" i="2187"/>
  <c r="L28" i="2187"/>
  <c r="K28" i="2187"/>
  <c r="J28" i="2187"/>
  <c r="I28" i="2187"/>
  <c r="H28" i="2187"/>
  <c r="G28" i="2187"/>
  <c r="F28" i="2187"/>
  <c r="E28" i="2187"/>
  <c r="D28" i="2187"/>
  <c r="Y25" i="2187"/>
  <c r="X25" i="2187"/>
  <c r="W25" i="2187"/>
  <c r="V25" i="2187"/>
  <c r="U25" i="2187"/>
  <c r="T25" i="2187"/>
  <c r="S25" i="2187"/>
  <c r="R25" i="2187"/>
  <c r="Q25" i="2187"/>
  <c r="P25" i="2187"/>
  <c r="O25" i="2187"/>
  <c r="N25" i="2187"/>
  <c r="M25" i="2187"/>
  <c r="L25" i="2187"/>
  <c r="K25" i="2187"/>
  <c r="J25" i="2187"/>
  <c r="I25" i="2187"/>
  <c r="H25" i="2187"/>
  <c r="G25" i="2187"/>
  <c r="F25" i="2187"/>
  <c r="E25" i="2187"/>
  <c r="D25" i="2187"/>
  <c r="AE19" i="2187"/>
  <c r="AD19" i="2187"/>
  <c r="AC19" i="2187"/>
  <c r="AB19" i="2187"/>
  <c r="AA19" i="2187"/>
  <c r="Z19" i="2187"/>
  <c r="Y19" i="2187"/>
  <c r="X19" i="2187"/>
  <c r="T33" i="2187" s="1"/>
  <c r="W19" i="2187"/>
  <c r="V19" i="2187"/>
  <c r="U19" i="2187"/>
  <c r="T19" i="2187"/>
  <c r="S19" i="2187"/>
  <c r="R19" i="2187"/>
  <c r="Q19" i="2187"/>
  <c r="P19" i="2187"/>
  <c r="O19" i="2187"/>
  <c r="N19" i="2187"/>
  <c r="G33" i="2187" s="1"/>
  <c r="M19" i="2187"/>
  <c r="H33" i="2187" s="1"/>
  <c r="L19" i="2187"/>
  <c r="P33" i="2187" s="1"/>
  <c r="K19" i="2187"/>
  <c r="L33" i="2187" s="1"/>
  <c r="J19" i="2187"/>
  <c r="I19" i="2187"/>
  <c r="AB33" i="2187" s="1"/>
  <c r="H19" i="2187"/>
  <c r="G19" i="2187"/>
  <c r="O33" i="2187" s="1"/>
  <c r="F19" i="2187"/>
  <c r="E19" i="2187"/>
  <c r="D19" i="2187"/>
  <c r="AE16" i="2187"/>
  <c r="AD16" i="2187"/>
  <c r="AC16" i="2187"/>
  <c r="AB16" i="2187"/>
  <c r="AA16" i="2187"/>
  <c r="Z16" i="2187"/>
  <c r="X16" i="2187"/>
  <c r="W16" i="2187"/>
  <c r="V16" i="2187"/>
  <c r="U16" i="2187"/>
  <c r="T16" i="2187"/>
  <c r="S16" i="2187"/>
  <c r="R16" i="2187"/>
  <c r="Q16" i="2187"/>
  <c r="P16" i="2187"/>
  <c r="O16" i="2187"/>
  <c r="N16" i="2187"/>
  <c r="M16" i="2187"/>
  <c r="L16" i="2187"/>
  <c r="K16" i="2187"/>
  <c r="J16" i="2187"/>
  <c r="I16" i="2187"/>
  <c r="H16" i="2187"/>
  <c r="G16" i="2187"/>
  <c r="F16" i="2187"/>
  <c r="E16" i="2187"/>
  <c r="D16" i="2187"/>
  <c r="AE10" i="2187"/>
  <c r="AD10" i="2187"/>
  <c r="AC10" i="2187"/>
  <c r="AB10" i="2187"/>
  <c r="AA10" i="2187"/>
  <c r="Z10" i="2187"/>
  <c r="Y10" i="2187"/>
  <c r="X10" i="2187"/>
  <c r="W10" i="2187"/>
  <c r="V10" i="2187"/>
  <c r="U10" i="2187"/>
  <c r="T10" i="2187"/>
  <c r="S10" i="2187"/>
  <c r="R10" i="2187"/>
  <c r="Q10" i="2187"/>
  <c r="P10" i="2187"/>
  <c r="O10" i="2187"/>
  <c r="N10" i="2187"/>
  <c r="Q33" i="2187" s="1"/>
  <c r="M10" i="2187"/>
  <c r="E33" i="2187" s="1"/>
  <c r="L10" i="2187"/>
  <c r="K10" i="2187"/>
  <c r="J10" i="2187"/>
  <c r="I10" i="2187"/>
  <c r="H10" i="2187"/>
  <c r="G10" i="2187"/>
  <c r="F10" i="2187"/>
  <c r="E10" i="2187"/>
  <c r="D10" i="2187"/>
  <c r="AE7" i="2187"/>
  <c r="AD7" i="2187"/>
  <c r="AC7" i="2187"/>
  <c r="AB7" i="2187"/>
  <c r="AA7" i="2187"/>
  <c r="Z7" i="2187"/>
  <c r="Y7" i="2187"/>
  <c r="X7" i="2187"/>
  <c r="W7" i="2187"/>
  <c r="V7" i="2187"/>
  <c r="U7" i="2187"/>
  <c r="T7" i="2187"/>
  <c r="S7" i="2187"/>
  <c r="R7" i="2187"/>
  <c r="Q7" i="2187"/>
  <c r="P7" i="2187"/>
  <c r="O7" i="2187"/>
  <c r="N7" i="2187"/>
  <c r="M7" i="2187"/>
  <c r="L7" i="2187"/>
  <c r="K7" i="2187"/>
  <c r="J7" i="2187"/>
  <c r="I7" i="2187"/>
  <c r="H7" i="2187"/>
  <c r="G7" i="2187"/>
  <c r="F7" i="2187"/>
  <c r="E7" i="2187"/>
  <c r="D7" i="2187"/>
  <c r="J33" i="2187" l="1"/>
  <c r="W33" i="2187"/>
  <c r="N33" i="2187"/>
  <c r="AC33" i="2187"/>
  <c r="D33" i="2187"/>
  <c r="Z33" i="2187"/>
  <c r="Y33" i="2187"/>
  <c r="K33" i="2187"/>
  <c r="M33" i="2187"/>
  <c r="V33" i="2187"/>
  <c r="AA33" i="2186"/>
  <c r="X33" i="2186"/>
  <c r="U33" i="2186"/>
  <c r="R33" i="2186"/>
  <c r="F33" i="2186"/>
  <c r="Y28" i="2186"/>
  <c r="X28" i="2186"/>
  <c r="S33" i="2186" s="1"/>
  <c r="W28" i="2186"/>
  <c r="V28" i="2186"/>
  <c r="U28" i="2186"/>
  <c r="T28" i="2186"/>
  <c r="S28" i="2186"/>
  <c r="R28" i="2186"/>
  <c r="Q28" i="2186"/>
  <c r="P28" i="2186"/>
  <c r="O28" i="2186"/>
  <c r="N28" i="2186"/>
  <c r="M28" i="2186"/>
  <c r="L28" i="2186"/>
  <c r="K28" i="2186"/>
  <c r="J28" i="2186"/>
  <c r="I28" i="2186"/>
  <c r="H28" i="2186"/>
  <c r="G28" i="2186"/>
  <c r="F28" i="2186"/>
  <c r="E28" i="2186"/>
  <c r="D28" i="2186"/>
  <c r="Y25" i="2186"/>
  <c r="X25" i="2186"/>
  <c r="W25" i="2186"/>
  <c r="V25" i="2186"/>
  <c r="U25" i="2186"/>
  <c r="T25" i="2186"/>
  <c r="S25" i="2186"/>
  <c r="R25" i="2186"/>
  <c r="Q25" i="2186"/>
  <c r="P25" i="2186"/>
  <c r="O25" i="2186"/>
  <c r="N25" i="2186"/>
  <c r="M25" i="2186"/>
  <c r="L25" i="2186"/>
  <c r="K25" i="2186"/>
  <c r="J25" i="2186"/>
  <c r="I25" i="2186"/>
  <c r="H25" i="2186"/>
  <c r="G25" i="2186"/>
  <c r="F25" i="2186"/>
  <c r="E25" i="2186"/>
  <c r="D25" i="2186"/>
  <c r="AE19" i="2186"/>
  <c r="AD19" i="2186"/>
  <c r="AC19" i="2186"/>
  <c r="AB19" i="2186"/>
  <c r="AA19" i="2186"/>
  <c r="Z19" i="2186"/>
  <c r="Y19" i="2186"/>
  <c r="X19" i="2186"/>
  <c r="T33" i="2186" s="1"/>
  <c r="W19" i="2186"/>
  <c r="V19" i="2186"/>
  <c r="U19" i="2186"/>
  <c r="T19" i="2186"/>
  <c r="S19" i="2186"/>
  <c r="R19" i="2186"/>
  <c r="Q19" i="2186"/>
  <c r="P19" i="2186"/>
  <c r="O19" i="2186"/>
  <c r="N19" i="2186"/>
  <c r="G33" i="2186" s="1"/>
  <c r="M19" i="2186"/>
  <c r="H33" i="2186" s="1"/>
  <c r="L19" i="2186"/>
  <c r="P33" i="2186" s="1"/>
  <c r="K19" i="2186"/>
  <c r="L33" i="2186" s="1"/>
  <c r="J19" i="2186"/>
  <c r="I19" i="2186"/>
  <c r="AB33" i="2186" s="1"/>
  <c r="H19" i="2186"/>
  <c r="G19" i="2186"/>
  <c r="O33" i="2186" s="1"/>
  <c r="F19" i="2186"/>
  <c r="E19" i="2186"/>
  <c r="D19" i="2186"/>
  <c r="AE16" i="2186"/>
  <c r="AD16" i="2186"/>
  <c r="AC16" i="2186"/>
  <c r="AB16" i="2186"/>
  <c r="AA16" i="2186"/>
  <c r="Z16" i="2186"/>
  <c r="X16" i="2186"/>
  <c r="W16" i="2186"/>
  <c r="V16" i="2186"/>
  <c r="U16" i="2186"/>
  <c r="T16" i="2186"/>
  <c r="S16" i="2186"/>
  <c r="R16" i="2186"/>
  <c r="Q16" i="2186"/>
  <c r="P16" i="2186"/>
  <c r="O16" i="2186"/>
  <c r="N16" i="2186"/>
  <c r="M16" i="2186"/>
  <c r="L16" i="2186"/>
  <c r="K16" i="2186"/>
  <c r="J16" i="2186"/>
  <c r="I16" i="2186"/>
  <c r="H16" i="2186"/>
  <c r="G16" i="2186"/>
  <c r="F16" i="2186"/>
  <c r="E16" i="2186"/>
  <c r="D16" i="2186"/>
  <c r="AE10" i="2186"/>
  <c r="AD10" i="2186"/>
  <c r="AC10" i="2186"/>
  <c r="AB10" i="2186"/>
  <c r="AA10" i="2186"/>
  <c r="Z10" i="2186"/>
  <c r="Y10" i="2186"/>
  <c r="X10" i="2186"/>
  <c r="W10" i="2186"/>
  <c r="V10" i="2186"/>
  <c r="U10" i="2186"/>
  <c r="T10" i="2186"/>
  <c r="S10" i="2186"/>
  <c r="R10" i="2186"/>
  <c r="Q10" i="2186"/>
  <c r="P10" i="2186"/>
  <c r="O10" i="2186"/>
  <c r="N10" i="2186"/>
  <c r="M10" i="2186"/>
  <c r="L10" i="2186"/>
  <c r="K10" i="2186"/>
  <c r="J10" i="2186"/>
  <c r="I10" i="2186"/>
  <c r="H10" i="2186"/>
  <c r="G10" i="2186"/>
  <c r="F10" i="2186"/>
  <c r="E10" i="2186"/>
  <c r="D10" i="2186"/>
  <c r="AE7" i="2186"/>
  <c r="AD7" i="2186"/>
  <c r="AC7" i="2186"/>
  <c r="AB7" i="2186"/>
  <c r="AA7" i="2186"/>
  <c r="Z7" i="2186"/>
  <c r="Y7" i="2186"/>
  <c r="X7" i="2186"/>
  <c r="W7" i="2186"/>
  <c r="V7" i="2186"/>
  <c r="U7" i="2186"/>
  <c r="T7" i="2186"/>
  <c r="S7" i="2186"/>
  <c r="R7" i="2186"/>
  <c r="Q7" i="2186"/>
  <c r="P7" i="2186"/>
  <c r="O7" i="2186"/>
  <c r="N7" i="2186"/>
  <c r="M7" i="2186"/>
  <c r="L7" i="2186"/>
  <c r="K7" i="2186"/>
  <c r="J7" i="2186"/>
  <c r="I7" i="2186"/>
  <c r="H7" i="2186"/>
  <c r="G7" i="2186"/>
  <c r="F7" i="2186"/>
  <c r="E7" i="2186"/>
  <c r="D7" i="2186"/>
  <c r="K33" i="2186" l="1"/>
  <c r="J33" i="2186"/>
  <c r="W33" i="2186"/>
  <c r="AC33" i="2186"/>
  <c r="D33" i="2186"/>
  <c r="Z33" i="2186"/>
  <c r="Y33" i="2186"/>
  <c r="N33" i="2186"/>
  <c r="Q33" i="2186"/>
  <c r="E33" i="2186"/>
  <c r="M33" i="2186"/>
  <c r="V33" i="2186"/>
  <c r="AA33" i="2185"/>
  <c r="X33" i="2185"/>
  <c r="U33" i="2185"/>
  <c r="R33" i="2185"/>
  <c r="F33" i="2185"/>
  <c r="Y28" i="2185"/>
  <c r="X28" i="2185"/>
  <c r="S33" i="2185" s="1"/>
  <c r="W28" i="2185"/>
  <c r="V28" i="2185"/>
  <c r="U28" i="2185"/>
  <c r="T28" i="2185"/>
  <c r="S28" i="2185"/>
  <c r="R28" i="2185"/>
  <c r="Q28" i="2185"/>
  <c r="P28" i="2185"/>
  <c r="O28" i="2185"/>
  <c r="N28" i="2185"/>
  <c r="M28" i="2185"/>
  <c r="L28" i="2185"/>
  <c r="K28" i="2185"/>
  <c r="J28" i="2185"/>
  <c r="I28" i="2185"/>
  <c r="H28" i="2185"/>
  <c r="G28" i="2185"/>
  <c r="F28" i="2185"/>
  <c r="E28" i="2185"/>
  <c r="D28" i="2185"/>
  <c r="Y25" i="2185"/>
  <c r="X25" i="2185"/>
  <c r="W25" i="2185"/>
  <c r="V25" i="2185"/>
  <c r="U25" i="2185"/>
  <c r="T25" i="2185"/>
  <c r="S25" i="2185"/>
  <c r="R25" i="2185"/>
  <c r="Q25" i="2185"/>
  <c r="P25" i="2185"/>
  <c r="O25" i="2185"/>
  <c r="N25" i="2185"/>
  <c r="M25" i="2185"/>
  <c r="L25" i="2185"/>
  <c r="K25" i="2185"/>
  <c r="J25" i="2185"/>
  <c r="I25" i="2185"/>
  <c r="H25" i="2185"/>
  <c r="G25" i="2185"/>
  <c r="F25" i="2185"/>
  <c r="E25" i="2185"/>
  <c r="D25" i="2185"/>
  <c r="AE19" i="2185"/>
  <c r="AD19" i="2185"/>
  <c r="AC19" i="2185"/>
  <c r="AB19" i="2185"/>
  <c r="AA19" i="2185"/>
  <c r="Z19" i="2185"/>
  <c r="Y19" i="2185"/>
  <c r="X19" i="2185"/>
  <c r="T33" i="2185" s="1"/>
  <c r="W19" i="2185"/>
  <c r="V19" i="2185"/>
  <c r="U19" i="2185"/>
  <c r="T19" i="2185"/>
  <c r="S19" i="2185"/>
  <c r="R19" i="2185"/>
  <c r="Q19" i="2185"/>
  <c r="P19" i="2185"/>
  <c r="O19" i="2185"/>
  <c r="N19" i="2185"/>
  <c r="G33" i="2185" s="1"/>
  <c r="M19" i="2185"/>
  <c r="H33" i="2185" s="1"/>
  <c r="L19" i="2185"/>
  <c r="P33" i="2185" s="1"/>
  <c r="K19" i="2185"/>
  <c r="L33" i="2185" s="1"/>
  <c r="J19" i="2185"/>
  <c r="I19" i="2185"/>
  <c r="AB33" i="2185" s="1"/>
  <c r="H19" i="2185"/>
  <c r="G19" i="2185"/>
  <c r="O33" i="2185" s="1"/>
  <c r="F19" i="2185"/>
  <c r="E19" i="2185"/>
  <c r="D19" i="2185"/>
  <c r="AE16" i="2185"/>
  <c r="AD16" i="2185"/>
  <c r="AC16" i="2185"/>
  <c r="AB16" i="2185"/>
  <c r="AA16" i="2185"/>
  <c r="Z16" i="2185"/>
  <c r="X16" i="2185"/>
  <c r="W16" i="2185"/>
  <c r="V16" i="2185"/>
  <c r="U16" i="2185"/>
  <c r="T16" i="2185"/>
  <c r="S16" i="2185"/>
  <c r="R16" i="2185"/>
  <c r="Q16" i="2185"/>
  <c r="P16" i="2185"/>
  <c r="O16" i="2185"/>
  <c r="N16" i="2185"/>
  <c r="M16" i="2185"/>
  <c r="L16" i="2185"/>
  <c r="K16" i="2185"/>
  <c r="J16" i="2185"/>
  <c r="I16" i="2185"/>
  <c r="H16" i="2185"/>
  <c r="G16" i="2185"/>
  <c r="F16" i="2185"/>
  <c r="E16" i="2185"/>
  <c r="D16" i="2185"/>
  <c r="AE10" i="2185"/>
  <c r="AD10" i="2185"/>
  <c r="AC10" i="2185"/>
  <c r="AB10" i="2185"/>
  <c r="AA10" i="2185"/>
  <c r="Z10" i="2185"/>
  <c r="Y10" i="2185"/>
  <c r="X10" i="2185"/>
  <c r="W10" i="2185"/>
  <c r="V10" i="2185"/>
  <c r="U10" i="2185"/>
  <c r="T10" i="2185"/>
  <c r="S10" i="2185"/>
  <c r="R10" i="2185"/>
  <c r="Q10" i="2185"/>
  <c r="P10" i="2185"/>
  <c r="O10" i="2185"/>
  <c r="N10" i="2185"/>
  <c r="Q33" i="2185" s="1"/>
  <c r="M10" i="2185"/>
  <c r="E33" i="2185" s="1"/>
  <c r="L10" i="2185"/>
  <c r="K10" i="2185"/>
  <c r="J10" i="2185"/>
  <c r="I10" i="2185"/>
  <c r="H10" i="2185"/>
  <c r="G10" i="2185"/>
  <c r="F10" i="2185"/>
  <c r="E10" i="2185"/>
  <c r="D10" i="2185"/>
  <c r="AE7" i="2185"/>
  <c r="AD7" i="2185"/>
  <c r="AC7" i="2185"/>
  <c r="AB7" i="2185"/>
  <c r="AA7" i="2185"/>
  <c r="Z7" i="2185"/>
  <c r="Y7" i="2185"/>
  <c r="X7" i="2185"/>
  <c r="W7" i="2185"/>
  <c r="V7" i="2185"/>
  <c r="U7" i="2185"/>
  <c r="T7" i="2185"/>
  <c r="S7" i="2185"/>
  <c r="R7" i="2185"/>
  <c r="Q7" i="2185"/>
  <c r="P7" i="2185"/>
  <c r="O7" i="2185"/>
  <c r="N7" i="2185"/>
  <c r="M7" i="2185"/>
  <c r="L7" i="2185"/>
  <c r="K7" i="2185"/>
  <c r="J7" i="2185"/>
  <c r="I7" i="2185"/>
  <c r="H7" i="2185"/>
  <c r="G7" i="2185"/>
  <c r="F7" i="2185"/>
  <c r="E7" i="2185"/>
  <c r="D7" i="2185"/>
  <c r="J33" i="2185" l="1"/>
  <c r="W33" i="2185"/>
  <c r="N33" i="2185"/>
  <c r="AC33" i="2185"/>
  <c r="D33" i="2185"/>
  <c r="Z33" i="2185"/>
  <c r="Y33" i="2185"/>
  <c r="K33" i="2185"/>
  <c r="M33" i="2185"/>
  <c r="V33" i="2185"/>
  <c r="AA33" i="2184"/>
  <c r="X33" i="2184"/>
  <c r="U33" i="2184"/>
  <c r="R33" i="2184"/>
  <c r="F33" i="2184"/>
  <c r="Y28" i="2184"/>
  <c r="X28" i="2184"/>
  <c r="S33" i="2184" s="1"/>
  <c r="W28" i="2184"/>
  <c r="V28" i="2184"/>
  <c r="U28" i="2184"/>
  <c r="T28" i="2184"/>
  <c r="S28" i="2184"/>
  <c r="R28" i="2184"/>
  <c r="Q28" i="2184"/>
  <c r="P28" i="2184"/>
  <c r="O28" i="2184"/>
  <c r="N28" i="2184"/>
  <c r="M28" i="2184"/>
  <c r="L28" i="2184"/>
  <c r="K28" i="2184"/>
  <c r="J28" i="2184"/>
  <c r="I28" i="2184"/>
  <c r="H28" i="2184"/>
  <c r="G28" i="2184"/>
  <c r="F28" i="2184"/>
  <c r="E28" i="2184"/>
  <c r="D28" i="2184"/>
  <c r="Y25" i="2184"/>
  <c r="X25" i="2184"/>
  <c r="W25" i="2184"/>
  <c r="V25" i="2184"/>
  <c r="U25" i="2184"/>
  <c r="T25" i="2184"/>
  <c r="S25" i="2184"/>
  <c r="R25" i="2184"/>
  <c r="Q25" i="2184"/>
  <c r="P25" i="2184"/>
  <c r="O25" i="2184"/>
  <c r="N25" i="2184"/>
  <c r="M25" i="2184"/>
  <c r="L25" i="2184"/>
  <c r="K25" i="2184"/>
  <c r="J25" i="2184"/>
  <c r="I25" i="2184"/>
  <c r="H25" i="2184"/>
  <c r="G25" i="2184"/>
  <c r="F25" i="2184"/>
  <c r="E25" i="2184"/>
  <c r="D25" i="2184"/>
  <c r="AE19" i="2184"/>
  <c r="AD19" i="2184"/>
  <c r="AC19" i="2184"/>
  <c r="AB19" i="2184"/>
  <c r="AA19" i="2184"/>
  <c r="Z19" i="2184"/>
  <c r="Y19" i="2184"/>
  <c r="X19" i="2184"/>
  <c r="T33" i="2184" s="1"/>
  <c r="W19" i="2184"/>
  <c r="V19" i="2184"/>
  <c r="U19" i="2184"/>
  <c r="T19" i="2184"/>
  <c r="S19" i="2184"/>
  <c r="R19" i="2184"/>
  <c r="Q19" i="2184"/>
  <c r="P19" i="2184"/>
  <c r="O19" i="2184"/>
  <c r="N19" i="2184"/>
  <c r="G33" i="2184" s="1"/>
  <c r="M19" i="2184"/>
  <c r="H33" i="2184" s="1"/>
  <c r="L19" i="2184"/>
  <c r="P33" i="2184" s="1"/>
  <c r="K19" i="2184"/>
  <c r="L33" i="2184" s="1"/>
  <c r="J19" i="2184"/>
  <c r="I19" i="2184"/>
  <c r="AB33" i="2184" s="1"/>
  <c r="H19" i="2184"/>
  <c r="G19" i="2184"/>
  <c r="O33" i="2184" s="1"/>
  <c r="F19" i="2184"/>
  <c r="E19" i="2184"/>
  <c r="D19" i="2184"/>
  <c r="AE16" i="2184"/>
  <c r="AD16" i="2184"/>
  <c r="AC16" i="2184"/>
  <c r="AB16" i="2184"/>
  <c r="AA16" i="2184"/>
  <c r="Z16" i="2184"/>
  <c r="X16" i="2184"/>
  <c r="W16" i="2184"/>
  <c r="V16" i="2184"/>
  <c r="U16" i="2184"/>
  <c r="T16" i="2184"/>
  <c r="S16" i="2184"/>
  <c r="R16" i="2184"/>
  <c r="Q16" i="2184"/>
  <c r="P16" i="2184"/>
  <c r="O16" i="2184"/>
  <c r="N16" i="2184"/>
  <c r="M16" i="2184"/>
  <c r="L16" i="2184"/>
  <c r="K16" i="2184"/>
  <c r="J16" i="2184"/>
  <c r="I16" i="2184"/>
  <c r="H16" i="2184"/>
  <c r="G16" i="2184"/>
  <c r="F16" i="2184"/>
  <c r="E16" i="2184"/>
  <c r="D16" i="2184"/>
  <c r="AE10" i="2184"/>
  <c r="AD10" i="2184"/>
  <c r="AC10" i="2184"/>
  <c r="AB10" i="2184"/>
  <c r="AA10" i="2184"/>
  <c r="Z10" i="2184"/>
  <c r="Y10" i="2184"/>
  <c r="X10" i="2184"/>
  <c r="W10" i="2184"/>
  <c r="V10" i="2184"/>
  <c r="U10" i="2184"/>
  <c r="T10" i="2184"/>
  <c r="S10" i="2184"/>
  <c r="R10" i="2184"/>
  <c r="Q10" i="2184"/>
  <c r="P10" i="2184"/>
  <c r="O10" i="2184"/>
  <c r="N10" i="2184"/>
  <c r="M10" i="2184"/>
  <c r="L10" i="2184"/>
  <c r="K10" i="2184"/>
  <c r="J10" i="2184"/>
  <c r="Q33" i="2184" s="1"/>
  <c r="I10" i="2184"/>
  <c r="H10" i="2184"/>
  <c r="G10" i="2184"/>
  <c r="F10" i="2184"/>
  <c r="E10" i="2184"/>
  <c r="D10" i="2184"/>
  <c r="AE7" i="2184"/>
  <c r="AD7" i="2184"/>
  <c r="AC7" i="2184"/>
  <c r="AB7" i="2184"/>
  <c r="AA7" i="2184"/>
  <c r="Z7" i="2184"/>
  <c r="Y7" i="2184"/>
  <c r="X7" i="2184"/>
  <c r="W7" i="2184"/>
  <c r="V7" i="2184"/>
  <c r="U7" i="2184"/>
  <c r="T7" i="2184"/>
  <c r="S7" i="2184"/>
  <c r="R7" i="2184"/>
  <c r="Q7" i="2184"/>
  <c r="P7" i="2184"/>
  <c r="O7" i="2184"/>
  <c r="N7" i="2184"/>
  <c r="M7" i="2184"/>
  <c r="L7" i="2184"/>
  <c r="K7" i="2184"/>
  <c r="J7" i="2184"/>
  <c r="I7" i="2184"/>
  <c r="H7" i="2184"/>
  <c r="G7" i="2184"/>
  <c r="F7" i="2184"/>
  <c r="E7" i="2184"/>
  <c r="D7" i="2184"/>
  <c r="J33" i="2184" l="1"/>
  <c r="W33" i="2184"/>
  <c r="N33" i="2184"/>
  <c r="AC33" i="2184"/>
  <c r="D33" i="2184"/>
  <c r="Z33" i="2184"/>
  <c r="Y33" i="2184"/>
  <c r="K33" i="2184"/>
  <c r="E33" i="2184"/>
  <c r="M33" i="2184"/>
  <c r="V33" i="2184"/>
  <c r="AA33" i="2183"/>
  <c r="X33" i="2183"/>
  <c r="U33" i="2183"/>
  <c r="R33" i="2183"/>
  <c r="F33" i="2183"/>
  <c r="Y28" i="2183"/>
  <c r="X28" i="2183"/>
  <c r="S33" i="2183" s="1"/>
  <c r="W28" i="2183"/>
  <c r="V28" i="2183"/>
  <c r="U28" i="2183"/>
  <c r="T28" i="2183"/>
  <c r="S28" i="2183"/>
  <c r="R28" i="2183"/>
  <c r="Q28" i="2183"/>
  <c r="P28" i="2183"/>
  <c r="O28" i="2183"/>
  <c r="N28" i="2183"/>
  <c r="M28" i="2183"/>
  <c r="L28" i="2183"/>
  <c r="K28" i="2183"/>
  <c r="J28" i="2183"/>
  <c r="I28" i="2183"/>
  <c r="H28" i="2183"/>
  <c r="G28" i="2183"/>
  <c r="F28" i="2183"/>
  <c r="E28" i="2183"/>
  <c r="D28" i="2183"/>
  <c r="Y25" i="2183"/>
  <c r="X25" i="2183"/>
  <c r="W25" i="2183"/>
  <c r="V25" i="2183"/>
  <c r="U25" i="2183"/>
  <c r="T25" i="2183"/>
  <c r="S25" i="2183"/>
  <c r="R25" i="2183"/>
  <c r="Q25" i="2183"/>
  <c r="P25" i="2183"/>
  <c r="O25" i="2183"/>
  <c r="N25" i="2183"/>
  <c r="M25" i="2183"/>
  <c r="L25" i="2183"/>
  <c r="K25" i="2183"/>
  <c r="J25" i="2183"/>
  <c r="I25" i="2183"/>
  <c r="H25" i="2183"/>
  <c r="G25" i="2183"/>
  <c r="F25" i="2183"/>
  <c r="E25" i="2183"/>
  <c r="D25" i="2183"/>
  <c r="AE19" i="2183"/>
  <c r="AD19" i="2183"/>
  <c r="AC19" i="2183"/>
  <c r="AB19" i="2183"/>
  <c r="AA19" i="2183"/>
  <c r="Z19" i="2183"/>
  <c r="Y19" i="2183"/>
  <c r="X19" i="2183"/>
  <c r="T33" i="2183" s="1"/>
  <c r="W19" i="2183"/>
  <c r="V19" i="2183"/>
  <c r="U19" i="2183"/>
  <c r="T19" i="2183"/>
  <c r="S19" i="2183"/>
  <c r="R19" i="2183"/>
  <c r="Q19" i="2183"/>
  <c r="P19" i="2183"/>
  <c r="O19" i="2183"/>
  <c r="N19" i="2183"/>
  <c r="G33" i="2183" s="1"/>
  <c r="M19" i="2183"/>
  <c r="H33" i="2183" s="1"/>
  <c r="L19" i="2183"/>
  <c r="P33" i="2183" s="1"/>
  <c r="K19" i="2183"/>
  <c r="L33" i="2183" s="1"/>
  <c r="J19" i="2183"/>
  <c r="I19" i="2183"/>
  <c r="AB33" i="2183" s="1"/>
  <c r="H19" i="2183"/>
  <c r="G19" i="2183"/>
  <c r="O33" i="2183" s="1"/>
  <c r="F19" i="2183"/>
  <c r="E19" i="2183"/>
  <c r="D19" i="2183"/>
  <c r="AE16" i="2183"/>
  <c r="AD16" i="2183"/>
  <c r="AC16" i="2183"/>
  <c r="AB16" i="2183"/>
  <c r="AA16" i="2183"/>
  <c r="Z16" i="2183"/>
  <c r="X16" i="2183"/>
  <c r="W16" i="2183"/>
  <c r="V16" i="2183"/>
  <c r="U16" i="2183"/>
  <c r="T16" i="2183"/>
  <c r="S16" i="2183"/>
  <c r="R16" i="2183"/>
  <c r="Q16" i="2183"/>
  <c r="P16" i="2183"/>
  <c r="O16" i="2183"/>
  <c r="N16" i="2183"/>
  <c r="M16" i="2183"/>
  <c r="L16" i="2183"/>
  <c r="K16" i="2183"/>
  <c r="J16" i="2183"/>
  <c r="I16" i="2183"/>
  <c r="H16" i="2183"/>
  <c r="G16" i="2183"/>
  <c r="F16" i="2183"/>
  <c r="E16" i="2183"/>
  <c r="D16" i="2183"/>
  <c r="AE10" i="2183"/>
  <c r="AD10" i="2183"/>
  <c r="AC10" i="2183"/>
  <c r="AB10" i="2183"/>
  <c r="AA10" i="2183"/>
  <c r="Z10" i="2183"/>
  <c r="Y10" i="2183"/>
  <c r="X10" i="2183"/>
  <c r="W10" i="2183"/>
  <c r="V10" i="2183"/>
  <c r="U10" i="2183"/>
  <c r="T10" i="2183"/>
  <c r="S10" i="2183"/>
  <c r="R10" i="2183"/>
  <c r="Q10" i="2183"/>
  <c r="P10" i="2183"/>
  <c r="O10" i="2183"/>
  <c r="N10" i="2183"/>
  <c r="M10" i="2183"/>
  <c r="E33" i="2183" s="1"/>
  <c r="L10" i="2183"/>
  <c r="K10" i="2183"/>
  <c r="J10" i="2183"/>
  <c r="Q33" i="2183" s="1"/>
  <c r="I10" i="2183"/>
  <c r="H10" i="2183"/>
  <c r="G10" i="2183"/>
  <c r="F10" i="2183"/>
  <c r="E10" i="2183"/>
  <c r="D10" i="2183"/>
  <c r="AE7" i="2183"/>
  <c r="AD7" i="2183"/>
  <c r="AC7" i="2183"/>
  <c r="AB7" i="2183"/>
  <c r="AA7" i="2183"/>
  <c r="Z7" i="2183"/>
  <c r="Y7" i="2183"/>
  <c r="X7" i="2183"/>
  <c r="W7" i="2183"/>
  <c r="V7" i="2183"/>
  <c r="U7" i="2183"/>
  <c r="T7" i="2183"/>
  <c r="S7" i="2183"/>
  <c r="R7" i="2183"/>
  <c r="Q7" i="2183"/>
  <c r="P7" i="2183"/>
  <c r="O7" i="2183"/>
  <c r="N7" i="2183"/>
  <c r="M7" i="2183"/>
  <c r="L7" i="2183"/>
  <c r="K7" i="2183"/>
  <c r="J7" i="2183"/>
  <c r="I7" i="2183"/>
  <c r="H7" i="2183"/>
  <c r="G7" i="2183"/>
  <c r="F7" i="2183"/>
  <c r="E7" i="2183"/>
  <c r="D7" i="2183"/>
  <c r="J33" i="2183" l="1"/>
  <c r="W33" i="2183"/>
  <c r="N33" i="2183"/>
  <c r="AC33" i="2183"/>
  <c r="D33" i="2183"/>
  <c r="Z33" i="2183"/>
  <c r="Y33" i="2183"/>
  <c r="K33" i="2183"/>
  <c r="M33" i="2183"/>
  <c r="V33" i="2183"/>
  <c r="AA33" i="2182"/>
  <c r="X33" i="2182"/>
  <c r="U33" i="2182"/>
  <c r="R33" i="2182"/>
  <c r="F33" i="2182"/>
  <c r="Y28" i="2182"/>
  <c r="X28" i="2182"/>
  <c r="S33" i="2182" s="1"/>
  <c r="W28" i="2182"/>
  <c r="V28" i="2182"/>
  <c r="U28" i="2182"/>
  <c r="T28" i="2182"/>
  <c r="S28" i="2182"/>
  <c r="R28" i="2182"/>
  <c r="Q28" i="2182"/>
  <c r="P28" i="2182"/>
  <c r="O28" i="2182"/>
  <c r="N28" i="2182"/>
  <c r="M28" i="2182"/>
  <c r="L28" i="2182"/>
  <c r="K28" i="2182"/>
  <c r="J28" i="2182"/>
  <c r="I28" i="2182"/>
  <c r="H28" i="2182"/>
  <c r="G28" i="2182"/>
  <c r="F28" i="2182"/>
  <c r="E28" i="2182"/>
  <c r="D28" i="2182"/>
  <c r="Y25" i="2182"/>
  <c r="X25" i="2182"/>
  <c r="W25" i="2182"/>
  <c r="V25" i="2182"/>
  <c r="U25" i="2182"/>
  <c r="T25" i="2182"/>
  <c r="S25" i="2182"/>
  <c r="R25" i="2182"/>
  <c r="Q25" i="2182"/>
  <c r="P25" i="2182"/>
  <c r="O25" i="2182"/>
  <c r="N25" i="2182"/>
  <c r="M25" i="2182"/>
  <c r="L25" i="2182"/>
  <c r="K25" i="2182"/>
  <c r="J25" i="2182"/>
  <c r="I25" i="2182"/>
  <c r="H25" i="2182"/>
  <c r="G25" i="2182"/>
  <c r="F25" i="2182"/>
  <c r="E25" i="2182"/>
  <c r="D25" i="2182"/>
  <c r="AE19" i="2182"/>
  <c r="AD19" i="2182"/>
  <c r="AC19" i="2182"/>
  <c r="AB19" i="2182"/>
  <c r="AA19" i="2182"/>
  <c r="Z19" i="2182"/>
  <c r="Y19" i="2182"/>
  <c r="X19" i="2182"/>
  <c r="T33" i="2182" s="1"/>
  <c r="W19" i="2182"/>
  <c r="V19" i="2182"/>
  <c r="U19" i="2182"/>
  <c r="T19" i="2182"/>
  <c r="S19" i="2182"/>
  <c r="R19" i="2182"/>
  <c r="Q19" i="2182"/>
  <c r="P19" i="2182"/>
  <c r="O19" i="2182"/>
  <c r="N19" i="2182"/>
  <c r="G33" i="2182" s="1"/>
  <c r="M19" i="2182"/>
  <c r="H33" i="2182" s="1"/>
  <c r="L19" i="2182"/>
  <c r="P33" i="2182" s="1"/>
  <c r="K19" i="2182"/>
  <c r="L33" i="2182" s="1"/>
  <c r="J19" i="2182"/>
  <c r="I19" i="2182"/>
  <c r="AB33" i="2182" s="1"/>
  <c r="H19" i="2182"/>
  <c r="G19" i="2182"/>
  <c r="O33" i="2182" s="1"/>
  <c r="F19" i="2182"/>
  <c r="E19" i="2182"/>
  <c r="D19" i="2182"/>
  <c r="AE16" i="2182"/>
  <c r="AD16" i="2182"/>
  <c r="AC16" i="2182"/>
  <c r="AB16" i="2182"/>
  <c r="AA16" i="2182"/>
  <c r="Z16" i="2182"/>
  <c r="X16" i="2182"/>
  <c r="W16" i="2182"/>
  <c r="V16" i="2182"/>
  <c r="U16" i="2182"/>
  <c r="T16" i="2182"/>
  <c r="S16" i="2182"/>
  <c r="R16" i="2182"/>
  <c r="Q16" i="2182"/>
  <c r="P16" i="2182"/>
  <c r="O16" i="2182"/>
  <c r="N16" i="2182"/>
  <c r="M16" i="2182"/>
  <c r="L16" i="2182"/>
  <c r="K16" i="2182"/>
  <c r="J16" i="2182"/>
  <c r="I16" i="2182"/>
  <c r="H16" i="2182"/>
  <c r="G16" i="2182"/>
  <c r="F16" i="2182"/>
  <c r="E16" i="2182"/>
  <c r="D16" i="2182"/>
  <c r="AE10" i="2182"/>
  <c r="AD10" i="2182"/>
  <c r="AC33" i="2182" s="1"/>
  <c r="AC10" i="2182"/>
  <c r="AB10" i="2182"/>
  <c r="AA10" i="2182"/>
  <c r="Z10" i="2182"/>
  <c r="Y10" i="2182"/>
  <c r="X10" i="2182"/>
  <c r="W10" i="2182"/>
  <c r="V10" i="2182"/>
  <c r="U10" i="2182"/>
  <c r="T10" i="2182"/>
  <c r="S10" i="2182"/>
  <c r="R10" i="2182"/>
  <c r="Q10" i="2182"/>
  <c r="P10" i="2182"/>
  <c r="O10" i="2182"/>
  <c r="N10" i="2182"/>
  <c r="M10" i="2182"/>
  <c r="L10" i="2182"/>
  <c r="K10" i="2182"/>
  <c r="J10" i="2182"/>
  <c r="I10" i="2182"/>
  <c r="H10" i="2182"/>
  <c r="G10" i="2182"/>
  <c r="F10" i="2182"/>
  <c r="J33" i="2182" s="1"/>
  <c r="E10" i="2182"/>
  <c r="D10" i="2182"/>
  <c r="AE7" i="2182"/>
  <c r="AD7" i="2182"/>
  <c r="AC7" i="2182"/>
  <c r="AB7" i="2182"/>
  <c r="AA7" i="2182"/>
  <c r="Z7" i="2182"/>
  <c r="Y7" i="2182"/>
  <c r="X7" i="2182"/>
  <c r="W7" i="2182"/>
  <c r="V7" i="2182"/>
  <c r="U7" i="2182"/>
  <c r="T7" i="2182"/>
  <c r="S7" i="2182"/>
  <c r="R7" i="2182"/>
  <c r="Q7" i="2182"/>
  <c r="P7" i="2182"/>
  <c r="O7" i="2182"/>
  <c r="N7" i="2182"/>
  <c r="M7" i="2182"/>
  <c r="L7" i="2182"/>
  <c r="K7" i="2182"/>
  <c r="J7" i="2182"/>
  <c r="I7" i="2182"/>
  <c r="H7" i="2182"/>
  <c r="G7" i="2182"/>
  <c r="F7" i="2182"/>
  <c r="E7" i="2182"/>
  <c r="D7" i="2182"/>
  <c r="W33" i="2182" l="1"/>
  <c r="K33" i="2182"/>
  <c r="N33" i="2182"/>
  <c r="D33" i="2182"/>
  <c r="Z33" i="2182"/>
  <c r="Y33" i="2182"/>
  <c r="Q33" i="2182"/>
  <c r="E33" i="2182"/>
  <c r="M33" i="2182"/>
  <c r="V33" i="2182"/>
  <c r="AA33" i="2181"/>
  <c r="X33" i="2181"/>
  <c r="U33" i="2181"/>
  <c r="R33" i="2181"/>
  <c r="F33" i="2181"/>
  <c r="Y28" i="2181"/>
  <c r="X28" i="2181"/>
  <c r="S33" i="2181" s="1"/>
  <c r="W28" i="2181"/>
  <c r="V28" i="2181"/>
  <c r="U28" i="2181"/>
  <c r="T28" i="2181"/>
  <c r="S28" i="2181"/>
  <c r="R28" i="2181"/>
  <c r="Q28" i="2181"/>
  <c r="P28" i="2181"/>
  <c r="O28" i="2181"/>
  <c r="N28" i="2181"/>
  <c r="M28" i="2181"/>
  <c r="L28" i="2181"/>
  <c r="K28" i="2181"/>
  <c r="J28" i="2181"/>
  <c r="I28" i="2181"/>
  <c r="H28" i="2181"/>
  <c r="G28" i="2181"/>
  <c r="F28" i="2181"/>
  <c r="E28" i="2181"/>
  <c r="D28" i="2181"/>
  <c r="Y25" i="2181"/>
  <c r="X25" i="2181"/>
  <c r="W25" i="2181"/>
  <c r="V25" i="2181"/>
  <c r="U25" i="2181"/>
  <c r="T25" i="2181"/>
  <c r="S25" i="2181"/>
  <c r="R25" i="2181"/>
  <c r="Q25" i="2181"/>
  <c r="P25" i="2181"/>
  <c r="O25" i="2181"/>
  <c r="N25" i="2181"/>
  <c r="M25" i="2181"/>
  <c r="L25" i="2181"/>
  <c r="K25" i="2181"/>
  <c r="J25" i="2181"/>
  <c r="I25" i="2181"/>
  <c r="H25" i="2181"/>
  <c r="G25" i="2181"/>
  <c r="F25" i="2181"/>
  <c r="E25" i="2181"/>
  <c r="D25" i="2181"/>
  <c r="AE19" i="2181"/>
  <c r="AD19" i="2181"/>
  <c r="AC19" i="2181"/>
  <c r="AB19" i="2181"/>
  <c r="AA19" i="2181"/>
  <c r="Z19" i="2181"/>
  <c r="Y19" i="2181"/>
  <c r="X19" i="2181"/>
  <c r="T33" i="2181" s="1"/>
  <c r="W19" i="2181"/>
  <c r="V19" i="2181"/>
  <c r="U19" i="2181"/>
  <c r="T19" i="2181"/>
  <c r="S19" i="2181"/>
  <c r="R19" i="2181"/>
  <c r="Q19" i="2181"/>
  <c r="P19" i="2181"/>
  <c r="O19" i="2181"/>
  <c r="N19" i="2181"/>
  <c r="G33" i="2181" s="1"/>
  <c r="M19" i="2181"/>
  <c r="H33" i="2181" s="1"/>
  <c r="L19" i="2181"/>
  <c r="P33" i="2181" s="1"/>
  <c r="K19" i="2181"/>
  <c r="L33" i="2181" s="1"/>
  <c r="J19" i="2181"/>
  <c r="I19" i="2181"/>
  <c r="AB33" i="2181" s="1"/>
  <c r="H19" i="2181"/>
  <c r="G19" i="2181"/>
  <c r="O33" i="2181" s="1"/>
  <c r="F19" i="2181"/>
  <c r="E19" i="2181"/>
  <c r="D19" i="2181"/>
  <c r="AE16" i="2181"/>
  <c r="AD16" i="2181"/>
  <c r="AC16" i="2181"/>
  <c r="AB16" i="2181"/>
  <c r="AA16" i="2181"/>
  <c r="Z16" i="2181"/>
  <c r="X16" i="2181"/>
  <c r="W16" i="2181"/>
  <c r="V16" i="2181"/>
  <c r="U16" i="2181"/>
  <c r="T16" i="2181"/>
  <c r="S16" i="2181"/>
  <c r="R16" i="2181"/>
  <c r="Q16" i="2181"/>
  <c r="P16" i="2181"/>
  <c r="O16" i="2181"/>
  <c r="N16" i="2181"/>
  <c r="M16" i="2181"/>
  <c r="L16" i="2181"/>
  <c r="K16" i="2181"/>
  <c r="J16" i="2181"/>
  <c r="I16" i="2181"/>
  <c r="H16" i="2181"/>
  <c r="G16" i="2181"/>
  <c r="F16" i="2181"/>
  <c r="E16" i="2181"/>
  <c r="D16" i="2181"/>
  <c r="AE10" i="2181"/>
  <c r="AD10" i="2181"/>
  <c r="AC10" i="2181"/>
  <c r="AB10" i="2181"/>
  <c r="AA10" i="2181"/>
  <c r="Z10" i="2181"/>
  <c r="Y10" i="2181"/>
  <c r="X10" i="2181"/>
  <c r="W10" i="2181"/>
  <c r="V10" i="2181"/>
  <c r="U10" i="2181"/>
  <c r="T10" i="2181"/>
  <c r="S10" i="2181"/>
  <c r="R10" i="2181"/>
  <c r="Q10" i="2181"/>
  <c r="P10" i="2181"/>
  <c r="O10" i="2181"/>
  <c r="N10" i="2181"/>
  <c r="M10" i="2181"/>
  <c r="E33" i="2181" s="1"/>
  <c r="L10" i="2181"/>
  <c r="K10" i="2181"/>
  <c r="J10" i="2181"/>
  <c r="I10" i="2181"/>
  <c r="H10" i="2181"/>
  <c r="G10" i="2181"/>
  <c r="F10" i="2181"/>
  <c r="E10" i="2181"/>
  <c r="D10" i="2181"/>
  <c r="AE7" i="2181"/>
  <c r="AD7" i="2181"/>
  <c r="AC7" i="2181"/>
  <c r="AB7" i="2181"/>
  <c r="AA7" i="2181"/>
  <c r="Z7" i="2181"/>
  <c r="Y7" i="2181"/>
  <c r="X7" i="2181"/>
  <c r="W7" i="2181"/>
  <c r="V7" i="2181"/>
  <c r="U7" i="2181"/>
  <c r="T7" i="2181"/>
  <c r="S7" i="2181"/>
  <c r="R7" i="2181"/>
  <c r="Q7" i="2181"/>
  <c r="P7" i="2181"/>
  <c r="O7" i="2181"/>
  <c r="N7" i="2181"/>
  <c r="M7" i="2181"/>
  <c r="L7" i="2181"/>
  <c r="K7" i="2181"/>
  <c r="J7" i="2181"/>
  <c r="I7" i="2181"/>
  <c r="H7" i="2181"/>
  <c r="G7" i="2181"/>
  <c r="F7" i="2181"/>
  <c r="E7" i="2181"/>
  <c r="D7" i="2181"/>
  <c r="W33" i="2181" l="1"/>
  <c r="AC33" i="2181"/>
  <c r="Z33" i="2181"/>
  <c r="D33" i="2181"/>
  <c r="Y33" i="2181"/>
  <c r="N33" i="2181"/>
  <c r="Q33" i="2181"/>
  <c r="K33" i="2181"/>
  <c r="J33" i="2181"/>
  <c r="M33" i="2181"/>
  <c r="V33" i="2181"/>
  <c r="AA33" i="2180"/>
  <c r="X33" i="2180"/>
  <c r="U33" i="2180"/>
  <c r="R33" i="2180"/>
  <c r="F33" i="2180"/>
  <c r="Y28" i="2180"/>
  <c r="X28" i="2180"/>
  <c r="S33" i="2180" s="1"/>
  <c r="W28" i="2180"/>
  <c r="V28" i="2180"/>
  <c r="U28" i="2180"/>
  <c r="T28" i="2180"/>
  <c r="S28" i="2180"/>
  <c r="R28" i="2180"/>
  <c r="Q28" i="2180"/>
  <c r="P28" i="2180"/>
  <c r="O28" i="2180"/>
  <c r="N28" i="2180"/>
  <c r="M28" i="2180"/>
  <c r="L28" i="2180"/>
  <c r="K28" i="2180"/>
  <c r="J28" i="2180"/>
  <c r="I28" i="2180"/>
  <c r="H28" i="2180"/>
  <c r="G28" i="2180"/>
  <c r="F28" i="2180"/>
  <c r="E28" i="2180"/>
  <c r="D28" i="2180"/>
  <c r="Y25" i="2180"/>
  <c r="X25" i="2180"/>
  <c r="W25" i="2180"/>
  <c r="V25" i="2180"/>
  <c r="U25" i="2180"/>
  <c r="T25" i="2180"/>
  <c r="S25" i="2180"/>
  <c r="R25" i="2180"/>
  <c r="Q25" i="2180"/>
  <c r="P25" i="2180"/>
  <c r="O25" i="2180"/>
  <c r="N25" i="2180"/>
  <c r="M25" i="2180"/>
  <c r="L25" i="2180"/>
  <c r="K25" i="2180"/>
  <c r="J25" i="2180"/>
  <c r="I25" i="2180"/>
  <c r="H25" i="2180"/>
  <c r="G25" i="2180"/>
  <c r="F25" i="2180"/>
  <c r="E25" i="2180"/>
  <c r="D25" i="2180"/>
  <c r="AE19" i="2180"/>
  <c r="AD19" i="2180"/>
  <c r="AC19" i="2180"/>
  <c r="AB19" i="2180"/>
  <c r="AA19" i="2180"/>
  <c r="Z19" i="2180"/>
  <c r="Y19" i="2180"/>
  <c r="X19" i="2180"/>
  <c r="T33" i="2180" s="1"/>
  <c r="W19" i="2180"/>
  <c r="V19" i="2180"/>
  <c r="U19" i="2180"/>
  <c r="T19" i="2180"/>
  <c r="S19" i="2180"/>
  <c r="R19" i="2180"/>
  <c r="Q19" i="2180"/>
  <c r="P19" i="2180"/>
  <c r="O19" i="2180"/>
  <c r="N19" i="2180"/>
  <c r="G33" i="2180" s="1"/>
  <c r="M19" i="2180"/>
  <c r="H33" i="2180" s="1"/>
  <c r="L19" i="2180"/>
  <c r="P33" i="2180" s="1"/>
  <c r="K19" i="2180"/>
  <c r="L33" i="2180" s="1"/>
  <c r="J19" i="2180"/>
  <c r="I19" i="2180"/>
  <c r="AB33" i="2180" s="1"/>
  <c r="H19" i="2180"/>
  <c r="G19" i="2180"/>
  <c r="O33" i="2180" s="1"/>
  <c r="F19" i="2180"/>
  <c r="E19" i="2180"/>
  <c r="D19" i="2180"/>
  <c r="AE16" i="2180"/>
  <c r="AD16" i="2180"/>
  <c r="AC16" i="2180"/>
  <c r="AB16" i="2180"/>
  <c r="AA16" i="2180"/>
  <c r="Z16" i="2180"/>
  <c r="X16" i="2180"/>
  <c r="W16" i="2180"/>
  <c r="V16" i="2180"/>
  <c r="U16" i="2180"/>
  <c r="T16" i="2180"/>
  <c r="S16" i="2180"/>
  <c r="R16" i="2180"/>
  <c r="Q16" i="2180"/>
  <c r="P16" i="2180"/>
  <c r="O16" i="2180"/>
  <c r="N16" i="2180"/>
  <c r="M16" i="2180"/>
  <c r="L16" i="2180"/>
  <c r="K16" i="2180"/>
  <c r="J16" i="2180"/>
  <c r="I16" i="2180"/>
  <c r="H16" i="2180"/>
  <c r="G16" i="2180"/>
  <c r="F16" i="2180"/>
  <c r="E16" i="2180"/>
  <c r="D16" i="2180"/>
  <c r="AE10" i="2180"/>
  <c r="AD10" i="2180"/>
  <c r="AC10" i="2180"/>
  <c r="AB10" i="2180"/>
  <c r="AA10" i="2180"/>
  <c r="Z10" i="2180"/>
  <c r="Y10" i="2180"/>
  <c r="X10" i="2180"/>
  <c r="W10" i="2180"/>
  <c r="V10" i="2180"/>
  <c r="U10" i="2180"/>
  <c r="T10" i="2180"/>
  <c r="S10" i="2180"/>
  <c r="R10" i="2180"/>
  <c r="Q10" i="2180"/>
  <c r="P10" i="2180"/>
  <c r="O10" i="2180"/>
  <c r="N10" i="2180"/>
  <c r="M10" i="2180"/>
  <c r="L10" i="2180"/>
  <c r="K10" i="2180"/>
  <c r="J10" i="2180"/>
  <c r="Q33" i="2180" s="1"/>
  <c r="I10" i="2180"/>
  <c r="H10" i="2180"/>
  <c r="G10" i="2180"/>
  <c r="F10" i="2180"/>
  <c r="E10" i="2180"/>
  <c r="D10" i="2180"/>
  <c r="AE7" i="2180"/>
  <c r="AD7" i="2180"/>
  <c r="AC7" i="2180"/>
  <c r="AB7" i="2180"/>
  <c r="AA7" i="2180"/>
  <c r="Z7" i="2180"/>
  <c r="Y7" i="2180"/>
  <c r="X7" i="2180"/>
  <c r="W7" i="2180"/>
  <c r="V7" i="2180"/>
  <c r="U7" i="2180"/>
  <c r="T7" i="2180"/>
  <c r="S7" i="2180"/>
  <c r="R7" i="2180"/>
  <c r="Q7" i="2180"/>
  <c r="P7" i="2180"/>
  <c r="O7" i="2180"/>
  <c r="N7" i="2180"/>
  <c r="M7" i="2180"/>
  <c r="L7" i="2180"/>
  <c r="K7" i="2180"/>
  <c r="J7" i="2180"/>
  <c r="I7" i="2180"/>
  <c r="H7" i="2180"/>
  <c r="G7" i="2180"/>
  <c r="F7" i="2180"/>
  <c r="E7" i="2180"/>
  <c r="D7" i="2180"/>
  <c r="J33" i="2180" l="1"/>
  <c r="W33" i="2180"/>
  <c r="K33" i="2180"/>
  <c r="N33" i="2180"/>
  <c r="AC33" i="2180"/>
  <c r="D33" i="2180"/>
  <c r="Z33" i="2180"/>
  <c r="Y33" i="2180"/>
  <c r="E33" i="2180"/>
  <c r="M33" i="2180"/>
  <c r="V33" i="2180"/>
  <c r="AA33" i="2179"/>
  <c r="X33" i="2179"/>
  <c r="U33" i="2179"/>
  <c r="R33" i="2179"/>
  <c r="F33" i="2179"/>
  <c r="Y28" i="2179"/>
  <c r="X28" i="2179"/>
  <c r="S33" i="2179" s="1"/>
  <c r="W28" i="2179"/>
  <c r="V28" i="2179"/>
  <c r="U28" i="2179"/>
  <c r="T28" i="2179"/>
  <c r="S28" i="2179"/>
  <c r="R28" i="2179"/>
  <c r="Q28" i="2179"/>
  <c r="P28" i="2179"/>
  <c r="O28" i="2179"/>
  <c r="N28" i="2179"/>
  <c r="M28" i="2179"/>
  <c r="L28" i="2179"/>
  <c r="K28" i="2179"/>
  <c r="J28" i="2179"/>
  <c r="I28" i="2179"/>
  <c r="H28" i="2179"/>
  <c r="G28" i="2179"/>
  <c r="F28" i="2179"/>
  <c r="E28" i="2179"/>
  <c r="D28" i="2179"/>
  <c r="Y25" i="2179"/>
  <c r="X25" i="2179"/>
  <c r="W25" i="2179"/>
  <c r="V25" i="2179"/>
  <c r="U25" i="2179"/>
  <c r="T25" i="2179"/>
  <c r="S25" i="2179"/>
  <c r="R25" i="2179"/>
  <c r="Q25" i="2179"/>
  <c r="P25" i="2179"/>
  <c r="O25" i="2179"/>
  <c r="N25" i="2179"/>
  <c r="M25" i="2179"/>
  <c r="L25" i="2179"/>
  <c r="K25" i="2179"/>
  <c r="J25" i="2179"/>
  <c r="I25" i="2179"/>
  <c r="H25" i="2179"/>
  <c r="G25" i="2179"/>
  <c r="F25" i="2179"/>
  <c r="E25" i="2179"/>
  <c r="D25" i="2179"/>
  <c r="AE19" i="2179"/>
  <c r="AD19" i="2179"/>
  <c r="AC19" i="2179"/>
  <c r="AB19" i="2179"/>
  <c r="AA19" i="2179"/>
  <c r="Z19" i="2179"/>
  <c r="Y19" i="2179"/>
  <c r="X19" i="2179"/>
  <c r="T33" i="2179" s="1"/>
  <c r="W19" i="2179"/>
  <c r="V19" i="2179"/>
  <c r="U19" i="2179"/>
  <c r="T19" i="2179"/>
  <c r="S19" i="2179"/>
  <c r="R19" i="2179"/>
  <c r="Q19" i="2179"/>
  <c r="P19" i="2179"/>
  <c r="O19" i="2179"/>
  <c r="N19" i="2179"/>
  <c r="G33" i="2179" s="1"/>
  <c r="M19" i="2179"/>
  <c r="H33" i="2179" s="1"/>
  <c r="L19" i="2179"/>
  <c r="P33" i="2179" s="1"/>
  <c r="K19" i="2179"/>
  <c r="L33" i="2179" s="1"/>
  <c r="J19" i="2179"/>
  <c r="I19" i="2179"/>
  <c r="AB33" i="2179" s="1"/>
  <c r="H19" i="2179"/>
  <c r="G19" i="2179"/>
  <c r="O33" i="2179" s="1"/>
  <c r="F19" i="2179"/>
  <c r="E19" i="2179"/>
  <c r="D19" i="2179"/>
  <c r="AE16" i="2179"/>
  <c r="AD16" i="2179"/>
  <c r="AC16" i="2179"/>
  <c r="AB16" i="2179"/>
  <c r="AA16" i="2179"/>
  <c r="Z16" i="2179"/>
  <c r="X16" i="2179"/>
  <c r="W16" i="2179"/>
  <c r="V16" i="2179"/>
  <c r="U16" i="2179"/>
  <c r="T16" i="2179"/>
  <c r="S16" i="2179"/>
  <c r="R16" i="2179"/>
  <c r="Q16" i="2179"/>
  <c r="P16" i="2179"/>
  <c r="O16" i="2179"/>
  <c r="N16" i="2179"/>
  <c r="M16" i="2179"/>
  <c r="L16" i="2179"/>
  <c r="K16" i="2179"/>
  <c r="J16" i="2179"/>
  <c r="I16" i="2179"/>
  <c r="H16" i="2179"/>
  <c r="G16" i="2179"/>
  <c r="F16" i="2179"/>
  <c r="E16" i="2179"/>
  <c r="D16" i="2179"/>
  <c r="AE10" i="2179"/>
  <c r="AD10" i="2179"/>
  <c r="AC10" i="2179"/>
  <c r="AB10" i="2179"/>
  <c r="AA10" i="2179"/>
  <c r="Z10" i="2179"/>
  <c r="Y10" i="2179"/>
  <c r="X10" i="2179"/>
  <c r="W10" i="2179"/>
  <c r="V10" i="2179"/>
  <c r="U10" i="2179"/>
  <c r="T10" i="2179"/>
  <c r="S10" i="2179"/>
  <c r="R10" i="2179"/>
  <c r="Q10" i="2179"/>
  <c r="P10" i="2179"/>
  <c r="O10" i="2179"/>
  <c r="N10" i="2179"/>
  <c r="M10" i="2179"/>
  <c r="L10" i="2179"/>
  <c r="K10" i="2179"/>
  <c r="J10" i="2179"/>
  <c r="Q33" i="2179" s="1"/>
  <c r="I10" i="2179"/>
  <c r="H10" i="2179"/>
  <c r="G10" i="2179"/>
  <c r="F10" i="2179"/>
  <c r="E10" i="2179"/>
  <c r="D10" i="2179"/>
  <c r="AE7" i="2179"/>
  <c r="AD7" i="2179"/>
  <c r="AC7" i="2179"/>
  <c r="AB7" i="2179"/>
  <c r="AA7" i="2179"/>
  <c r="Z7" i="2179"/>
  <c r="Y7" i="2179"/>
  <c r="X7" i="2179"/>
  <c r="W7" i="2179"/>
  <c r="V7" i="2179"/>
  <c r="U7" i="2179"/>
  <c r="T7" i="2179"/>
  <c r="S7" i="2179"/>
  <c r="R7" i="2179"/>
  <c r="Q7" i="2179"/>
  <c r="P7" i="2179"/>
  <c r="O7" i="2179"/>
  <c r="N7" i="2179"/>
  <c r="M7" i="2179"/>
  <c r="L7" i="2179"/>
  <c r="K7" i="2179"/>
  <c r="J7" i="2179"/>
  <c r="I7" i="2179"/>
  <c r="H7" i="2179"/>
  <c r="G7" i="2179"/>
  <c r="F7" i="2179"/>
  <c r="E7" i="2179"/>
  <c r="D7" i="2179"/>
  <c r="J33" i="2179" l="1"/>
  <c r="W33" i="2179"/>
  <c r="AC33" i="2179"/>
  <c r="D33" i="2179"/>
  <c r="Z33" i="2179"/>
  <c r="Y33" i="2179"/>
  <c r="N33" i="2179"/>
  <c r="E33" i="2179"/>
  <c r="K33" i="2179"/>
  <c r="M33" i="2179"/>
  <c r="V33" i="2179"/>
  <c r="S51" i="13" l="1"/>
  <c r="S50" i="13"/>
  <c r="S49" i="13"/>
  <c r="S48" i="13"/>
  <c r="S47" i="13"/>
  <c r="S46" i="13"/>
  <c r="S45" i="13"/>
  <c r="S44" i="13"/>
  <c r="S43" i="13"/>
  <c r="S42" i="13"/>
  <c r="S41" i="13"/>
  <c r="S40" i="13"/>
  <c r="S39" i="13"/>
  <c r="S38" i="13"/>
  <c r="S37" i="13"/>
  <c r="S36" i="13"/>
  <c r="S35" i="13"/>
</calcChain>
</file>

<file path=xl/connections.xml><?xml version="1.0" encoding="utf-8"?>
<connections xmlns="http://schemas.openxmlformats.org/spreadsheetml/2006/main">
  <connection id="1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1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2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10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3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11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4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12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5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13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6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14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7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15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8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16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9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17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10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18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11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19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12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2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13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20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14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21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15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22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16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3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17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4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18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5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19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6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20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7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21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8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22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9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</connections>
</file>

<file path=xl/sharedStrings.xml><?xml version="1.0" encoding="utf-8"?>
<sst xmlns="http://schemas.openxmlformats.org/spreadsheetml/2006/main" count="30626" uniqueCount="645">
  <si>
    <t>空</t>
    <phoneticPr fontId="3" type="noConversion"/>
  </si>
  <si>
    <t>EG</t>
    <phoneticPr fontId="3" type="noConversion"/>
  </si>
  <si>
    <t>GAA</t>
    <phoneticPr fontId="3" type="noConversion"/>
  </si>
  <si>
    <t>EBR</t>
    <phoneticPr fontId="3" type="noConversion"/>
  </si>
  <si>
    <t>原料</t>
    <phoneticPr fontId="3" type="noConversion"/>
  </si>
  <si>
    <t>成品</t>
    <phoneticPr fontId="3" type="noConversion"/>
  </si>
  <si>
    <r>
      <rPr>
        <sz val="12"/>
        <rFont val="細明體"/>
        <family val="3"/>
        <charset val="136"/>
      </rPr>
      <t>產</t>
    </r>
    <r>
      <rPr>
        <sz val="12"/>
        <rFont val="DotumChe"/>
        <family val="3"/>
        <charset val="129"/>
      </rPr>
      <t>品</t>
    </r>
    <r>
      <rPr>
        <sz val="12"/>
        <rFont val="細明體"/>
        <family val="3"/>
        <charset val="136"/>
      </rPr>
      <t xml:space="preserve">      </t>
    </r>
    <r>
      <rPr>
        <sz val="12"/>
        <rFont val="DotumChe"/>
        <family val="3"/>
        <charset val="129"/>
      </rPr>
      <t>比重</t>
    </r>
    <r>
      <rPr>
        <sz val="12"/>
        <rFont val="細明體"/>
        <family val="3"/>
        <charset val="136"/>
      </rPr>
      <t xml:space="preserve">    </t>
    </r>
    <r>
      <rPr>
        <sz val="12"/>
        <rFont val="DotumChe"/>
        <family val="3"/>
        <charset val="129"/>
      </rPr>
      <t>溫度</t>
    </r>
    <phoneticPr fontId="3" type="noConversion"/>
  </si>
  <si>
    <t>IPA</t>
    <phoneticPr fontId="3" type="noConversion"/>
  </si>
  <si>
    <t>EG</t>
    <phoneticPr fontId="3" type="noConversion"/>
  </si>
  <si>
    <t>NMP</t>
    <phoneticPr fontId="3" type="noConversion"/>
  </si>
  <si>
    <t>Acetone</t>
    <phoneticPr fontId="3" type="noConversion"/>
  </si>
  <si>
    <t>SEP05</t>
    <phoneticPr fontId="3" type="noConversion"/>
  </si>
  <si>
    <t>PMA</t>
    <phoneticPr fontId="3" type="noConversion"/>
  </si>
  <si>
    <t>PM</t>
    <phoneticPr fontId="3" type="noConversion"/>
  </si>
  <si>
    <t>GAA</t>
    <phoneticPr fontId="3" type="noConversion"/>
  </si>
  <si>
    <r>
      <t>BDG+MEA
澄</t>
    </r>
    <r>
      <rPr>
        <sz val="14"/>
        <rFont val="細明體"/>
        <family val="3"/>
        <charset val="136"/>
      </rPr>
      <t>清</t>
    </r>
    <r>
      <rPr>
        <sz val="14"/>
        <rFont val="DotumChe"/>
        <family val="3"/>
        <charset val="129"/>
      </rPr>
      <t>液</t>
    </r>
    <phoneticPr fontId="3" type="noConversion"/>
  </si>
  <si>
    <t>ANONE</t>
    <phoneticPr fontId="3" type="noConversion"/>
  </si>
  <si>
    <t>EBR</t>
    <phoneticPr fontId="3" type="noConversion"/>
  </si>
  <si>
    <t>NBAC</t>
    <phoneticPr fontId="3" type="noConversion"/>
  </si>
  <si>
    <t>EBRUPS</t>
    <phoneticPr fontId="3" type="noConversion"/>
  </si>
  <si>
    <t>2SEP73(EBR)</t>
    <phoneticPr fontId="3" type="noConversion"/>
  </si>
  <si>
    <t>SEP11</t>
    <phoneticPr fontId="3" type="noConversion"/>
  </si>
  <si>
    <t>ETOH</t>
    <phoneticPr fontId="3" type="noConversion"/>
  </si>
  <si>
    <t>PG2</t>
    <phoneticPr fontId="3" type="noConversion"/>
  </si>
  <si>
    <t>EEP</t>
    <phoneticPr fontId="3" type="noConversion"/>
  </si>
  <si>
    <t>HEA     DPM</t>
    <phoneticPr fontId="3" type="noConversion"/>
  </si>
  <si>
    <t>C02</t>
  </si>
  <si>
    <t>C03</t>
  </si>
  <si>
    <t>C04</t>
  </si>
  <si>
    <t>C05</t>
  </si>
  <si>
    <t>C06</t>
  </si>
  <si>
    <t>槽號</t>
    <phoneticPr fontId="3" type="noConversion"/>
  </si>
  <si>
    <t>液位</t>
    <phoneticPr fontId="3" type="noConversion"/>
  </si>
  <si>
    <t>溫度</t>
    <phoneticPr fontId="3" type="noConversion"/>
  </si>
  <si>
    <t>DPM</t>
    <phoneticPr fontId="3" type="noConversion"/>
  </si>
  <si>
    <t xml:space="preserve"> </t>
    <phoneticPr fontId="2" type="noConversion"/>
  </si>
  <si>
    <t>品名</t>
    <phoneticPr fontId="3" type="noConversion"/>
  </si>
  <si>
    <t>時間</t>
    <phoneticPr fontId="3" type="noConversion"/>
  </si>
  <si>
    <t>TPM</t>
    <phoneticPr fontId="3" type="noConversion"/>
  </si>
  <si>
    <t>TK-603</t>
    <phoneticPr fontId="4" type="noConversion"/>
  </si>
  <si>
    <t>TK-641</t>
    <phoneticPr fontId="4" type="noConversion"/>
  </si>
  <si>
    <t>ACETONE</t>
    <phoneticPr fontId="3" type="noConversion"/>
  </si>
  <si>
    <t>HEA</t>
    <phoneticPr fontId="3" type="noConversion"/>
  </si>
  <si>
    <t>待處理品</t>
    <phoneticPr fontId="3" type="noConversion"/>
  </si>
  <si>
    <t>TK-601</t>
    <phoneticPr fontId="4" type="noConversion"/>
  </si>
  <si>
    <t>TK-602</t>
    <phoneticPr fontId="4" type="noConversion"/>
  </si>
  <si>
    <t>TK-604A</t>
    <phoneticPr fontId="4" type="noConversion"/>
  </si>
  <si>
    <t>TK-604B</t>
    <phoneticPr fontId="4" type="noConversion"/>
  </si>
  <si>
    <t>TK-612</t>
    <phoneticPr fontId="4" type="noConversion"/>
  </si>
  <si>
    <t>TK-621</t>
    <phoneticPr fontId="4" type="noConversion"/>
  </si>
  <si>
    <t>TK-622</t>
    <phoneticPr fontId="4" type="noConversion"/>
  </si>
  <si>
    <t>TK-631</t>
    <phoneticPr fontId="4" type="noConversion"/>
  </si>
  <si>
    <t>TK-643</t>
    <phoneticPr fontId="3" type="noConversion"/>
  </si>
  <si>
    <t>TK-645</t>
    <phoneticPr fontId="3" type="noConversion"/>
  </si>
  <si>
    <t>NMP-2</t>
    <phoneticPr fontId="3" type="noConversion"/>
  </si>
  <si>
    <t>TK-656</t>
    <phoneticPr fontId="3" type="noConversion"/>
  </si>
  <si>
    <t>TK-660</t>
    <phoneticPr fontId="3" type="noConversion"/>
  </si>
  <si>
    <t>TK-651</t>
    <phoneticPr fontId="3" type="noConversion"/>
  </si>
  <si>
    <t>TK-652</t>
    <phoneticPr fontId="3" type="noConversion"/>
  </si>
  <si>
    <t>TK-654</t>
    <phoneticPr fontId="3" type="noConversion"/>
  </si>
  <si>
    <t>TK-657</t>
    <phoneticPr fontId="3" type="noConversion"/>
  </si>
  <si>
    <t>TK-658</t>
    <phoneticPr fontId="3" type="noConversion"/>
  </si>
  <si>
    <t>TK-661</t>
    <phoneticPr fontId="3" type="noConversion"/>
  </si>
  <si>
    <t>TK-662</t>
    <phoneticPr fontId="3" type="noConversion"/>
  </si>
  <si>
    <t>TK-663</t>
    <phoneticPr fontId="3" type="noConversion"/>
  </si>
  <si>
    <t>TK-664</t>
    <phoneticPr fontId="3" type="noConversion"/>
  </si>
  <si>
    <t>TK-665</t>
    <phoneticPr fontId="3" type="noConversion"/>
  </si>
  <si>
    <t>TK-666</t>
    <phoneticPr fontId="3" type="noConversion"/>
  </si>
  <si>
    <t>TK-670</t>
    <phoneticPr fontId="3" type="noConversion"/>
  </si>
  <si>
    <t>記事欄</t>
    <phoneticPr fontId="3" type="noConversion"/>
  </si>
  <si>
    <r>
      <t>CPN環戊</t>
    </r>
    <r>
      <rPr>
        <sz val="14"/>
        <rFont val="細明體"/>
        <family val="3"/>
        <charset val="136"/>
      </rPr>
      <t>酮</t>
    </r>
    <phoneticPr fontId="3" type="noConversion"/>
  </si>
  <si>
    <t>CPN</t>
    <phoneticPr fontId="3" type="noConversion"/>
  </si>
  <si>
    <t>DPM-B1</t>
    <phoneticPr fontId="3" type="noConversion"/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</si>
  <si>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  <phoneticPr fontId="2" type="noConversion"/>
  </si>
  <si>
    <t>TK-671</t>
    <phoneticPr fontId="3" type="noConversion"/>
  </si>
  <si>
    <t>MIBC</t>
    <phoneticPr fontId="3" type="noConversion"/>
  </si>
  <si>
    <t>C08</t>
  </si>
  <si>
    <t>C09</t>
  </si>
  <si>
    <t>604A</t>
  </si>
  <si>
    <t>604B</t>
  </si>
  <si>
    <t>C01</t>
  </si>
  <si>
    <t>C07</t>
  </si>
  <si>
    <t>儲槽作業日報表</t>
    <phoneticPr fontId="3" type="noConversion"/>
  </si>
  <si>
    <t>待處理品</t>
    <phoneticPr fontId="2" type="noConversion"/>
  </si>
  <si>
    <t>成品</t>
    <phoneticPr fontId="2" type="noConversion"/>
  </si>
  <si>
    <t>原料</t>
    <phoneticPr fontId="2" type="noConversion"/>
  </si>
  <si>
    <t>TK-677</t>
  </si>
  <si>
    <t>TK-678</t>
  </si>
  <si>
    <t>TK-680</t>
  </si>
  <si>
    <t>TK-681</t>
  </si>
  <si>
    <t>TK-682</t>
  </si>
  <si>
    <t>TK-683</t>
  </si>
  <si>
    <t>TK-684</t>
  </si>
  <si>
    <t>TK-685</t>
  </si>
  <si>
    <t>TK-686</t>
  </si>
  <si>
    <t>TK-687</t>
  </si>
  <si>
    <t>TK-688</t>
  </si>
  <si>
    <t>TK-689</t>
  </si>
  <si>
    <t>TK-690</t>
  </si>
  <si>
    <t>TK-691</t>
  </si>
  <si>
    <t>TK-692</t>
  </si>
  <si>
    <t>TK-693</t>
  </si>
  <si>
    <t>TK-694</t>
  </si>
  <si>
    <t>TK-695</t>
  </si>
  <si>
    <t>TK-696</t>
  </si>
  <si>
    <t>TK-697</t>
  </si>
  <si>
    <t>TK-698</t>
  </si>
  <si>
    <t>EGE4</t>
    <phoneticPr fontId="2" type="noConversion"/>
  </si>
  <si>
    <t>TK-699</t>
  </si>
  <si>
    <t>CPNE4</t>
    <phoneticPr fontId="2" type="noConversion"/>
  </si>
  <si>
    <t>TK-611</t>
    <phoneticPr fontId="4" type="noConversion"/>
  </si>
  <si>
    <t>TK-613</t>
    <phoneticPr fontId="4" type="noConversion"/>
  </si>
  <si>
    <t>TK614</t>
    <phoneticPr fontId="4" type="noConversion"/>
  </si>
  <si>
    <t>TK-623</t>
    <phoneticPr fontId="4" type="noConversion"/>
  </si>
  <si>
    <t>TK-624</t>
    <phoneticPr fontId="4" type="noConversion"/>
  </si>
  <si>
    <t>TK-C01</t>
    <phoneticPr fontId="4" type="noConversion"/>
  </si>
  <si>
    <t>TK-C02</t>
    <phoneticPr fontId="4" type="noConversion"/>
  </si>
  <si>
    <t>TK-C03</t>
    <phoneticPr fontId="4" type="noConversion"/>
  </si>
  <si>
    <t>TK-C04</t>
    <phoneticPr fontId="4" type="noConversion"/>
  </si>
  <si>
    <t>TK-C05</t>
    <phoneticPr fontId="4" type="noConversion"/>
  </si>
  <si>
    <t>TK-C06</t>
    <phoneticPr fontId="4" type="noConversion"/>
  </si>
  <si>
    <t>TK-C07</t>
    <phoneticPr fontId="4" type="noConversion"/>
  </si>
  <si>
    <t>TK-C08</t>
    <phoneticPr fontId="4" type="noConversion"/>
  </si>
  <si>
    <t>TK-C09</t>
    <phoneticPr fontId="4" type="noConversion"/>
  </si>
  <si>
    <t>TK-632</t>
    <phoneticPr fontId="4" type="noConversion"/>
  </si>
  <si>
    <t>TK-633</t>
    <phoneticPr fontId="4" type="noConversion"/>
  </si>
  <si>
    <t>TK-634</t>
    <phoneticPr fontId="4" type="noConversion"/>
  </si>
  <si>
    <t>TK-642</t>
    <phoneticPr fontId="4" type="noConversion"/>
  </si>
  <si>
    <t>TK-653</t>
    <phoneticPr fontId="3" type="noConversion"/>
  </si>
  <si>
    <t>TK-655</t>
    <phoneticPr fontId="3" type="noConversion"/>
  </si>
  <si>
    <t>TK-659</t>
    <phoneticPr fontId="3" type="noConversion"/>
  </si>
  <si>
    <t>TK-667</t>
    <phoneticPr fontId="3" type="noConversion"/>
  </si>
  <si>
    <t>TK-668</t>
    <phoneticPr fontId="3" type="noConversion"/>
  </si>
  <si>
    <t>TK-669</t>
    <phoneticPr fontId="3" type="noConversion"/>
  </si>
  <si>
    <t>TK-672</t>
    <phoneticPr fontId="3" type="noConversion"/>
  </si>
  <si>
    <t xml:space="preserve"> TK-673</t>
    <phoneticPr fontId="3" type="noConversion"/>
  </si>
  <si>
    <t>TK-674</t>
    <phoneticPr fontId="3" type="noConversion"/>
  </si>
  <si>
    <t>TK-675</t>
    <phoneticPr fontId="3" type="noConversion"/>
  </si>
  <si>
    <t>TK-676</t>
    <phoneticPr fontId="3" type="noConversion"/>
  </si>
  <si>
    <t>底面積</t>
    <phoneticPr fontId="2" type="noConversion"/>
  </si>
  <si>
    <t>現為公升還要*密度=公斤KG</t>
    <phoneticPr fontId="2" type="noConversion"/>
  </si>
  <si>
    <t>最高液位</t>
    <phoneticPr fontId="2" type="noConversion"/>
  </si>
  <si>
    <t>675-678</t>
    <phoneticPr fontId="2" type="noConversion"/>
  </si>
  <si>
    <t>1mm</t>
    <phoneticPr fontId="2" type="noConversion"/>
  </si>
  <si>
    <t>4.6L</t>
    <phoneticPr fontId="2" type="noConversion"/>
  </si>
  <si>
    <t>桶底 1566L</t>
    <phoneticPr fontId="2" type="noConversion"/>
  </si>
  <si>
    <t>681-689,691</t>
    <phoneticPr fontId="2" type="noConversion"/>
  </si>
  <si>
    <t>18.322L</t>
    <phoneticPr fontId="2" type="noConversion"/>
  </si>
  <si>
    <t>桶底87L</t>
    <phoneticPr fontId="2" type="noConversion"/>
  </si>
  <si>
    <t>11.702L</t>
    <phoneticPr fontId="2" type="noConversion"/>
  </si>
  <si>
    <t>692-695</t>
    <phoneticPr fontId="2" type="noConversion"/>
  </si>
  <si>
    <t>35.891L</t>
    <phoneticPr fontId="2" type="noConversion"/>
  </si>
  <si>
    <t>696-699</t>
    <phoneticPr fontId="2" type="noConversion"/>
  </si>
  <si>
    <t>47.051L</t>
    <phoneticPr fontId="2" type="noConversion"/>
  </si>
  <si>
    <t>268.26L</t>
    <phoneticPr fontId="2" type="noConversion"/>
  </si>
  <si>
    <t>1026L</t>
    <phoneticPr fontId="2" type="noConversion"/>
  </si>
  <si>
    <t>514.88L</t>
    <phoneticPr fontId="2" type="noConversion"/>
  </si>
  <si>
    <t>2512.3L</t>
    <phoneticPr fontId="2" type="noConversion"/>
  </si>
  <si>
    <t>5453.1L</t>
    <phoneticPr fontId="2" type="noConversion"/>
  </si>
  <si>
    <t>液位</t>
    <phoneticPr fontId="2" type="noConversion"/>
  </si>
  <si>
    <t>CPNE3-R</t>
    <phoneticPr fontId="3" type="noConversion"/>
  </si>
  <si>
    <t xml:space="preserve">鴻勝化學科技股份有限公司                                    </t>
    <phoneticPr fontId="3" type="noConversion"/>
  </si>
  <si>
    <t xml:space="preserve">                                  </t>
    <phoneticPr fontId="2" type="noConversion"/>
  </si>
  <si>
    <t>500KL</t>
    <phoneticPr fontId="2" type="noConversion"/>
  </si>
  <si>
    <t>51.53L</t>
    <phoneticPr fontId="2" type="noConversion"/>
  </si>
  <si>
    <t>250KL</t>
    <phoneticPr fontId="2" type="noConversion"/>
  </si>
  <si>
    <t>33.183L</t>
    <phoneticPr fontId="2" type="noConversion"/>
  </si>
  <si>
    <t>125KL</t>
    <phoneticPr fontId="2" type="noConversion"/>
  </si>
  <si>
    <t>20.428L</t>
    <phoneticPr fontId="2" type="noConversion"/>
  </si>
  <si>
    <t>70KL</t>
    <phoneticPr fontId="2" type="noConversion"/>
  </si>
  <si>
    <t>50KL</t>
    <phoneticPr fontId="2" type="noConversion"/>
  </si>
  <si>
    <t>50KL
C01~C09
643,645</t>
    <phoneticPr fontId="2" type="noConversion"/>
  </si>
  <si>
    <t>上午:</t>
    <phoneticPr fontId="3" type="noConversion"/>
  </si>
  <si>
    <t>年       月       日</t>
    <phoneticPr fontId="3" type="noConversion"/>
  </si>
  <si>
    <t>備    註</t>
    <phoneticPr fontId="3" type="noConversion"/>
  </si>
  <si>
    <t>年         月         日</t>
    <phoneticPr fontId="3" type="noConversion"/>
  </si>
  <si>
    <t>槽　別</t>
    <phoneticPr fontId="3" type="noConversion"/>
  </si>
  <si>
    <t>液位(mm/%)</t>
    <phoneticPr fontId="3" type="noConversion"/>
  </si>
  <si>
    <t>數量(kg)</t>
    <phoneticPr fontId="4" type="noConversion"/>
  </si>
  <si>
    <t>溫度( ℃)</t>
    <phoneticPr fontId="3" type="noConversion"/>
  </si>
  <si>
    <r>
      <t>液位(</t>
    </r>
    <r>
      <rPr>
        <vertAlign val="superscript"/>
        <sz val="8"/>
        <rFont val="微軟正黑體"/>
        <family val="2"/>
        <charset val="136"/>
      </rPr>
      <t>mm</t>
    </r>
    <r>
      <rPr>
        <sz val="8"/>
        <rFont val="微軟正黑體"/>
        <family val="2"/>
        <charset val="136"/>
      </rPr>
      <t>/</t>
    </r>
    <r>
      <rPr>
        <vertAlign val="subscript"/>
        <sz val="8"/>
        <rFont val="微軟正黑體"/>
        <family val="2"/>
        <charset val="136"/>
      </rPr>
      <t>%</t>
    </r>
    <r>
      <rPr>
        <sz val="8"/>
        <rFont val="微軟正黑體"/>
        <family val="2"/>
        <charset val="136"/>
      </rPr>
      <t>)</t>
    </r>
    <phoneticPr fontId="4" type="noConversion"/>
  </si>
  <si>
    <t>總數量
(kg)</t>
    <phoneticPr fontId="3" type="noConversion"/>
  </si>
  <si>
    <t>經(副)理:</t>
    <phoneticPr fontId="4" type="noConversion"/>
  </si>
  <si>
    <t>課長:</t>
    <phoneticPr fontId="4" type="noConversion"/>
  </si>
  <si>
    <t>組(副)長:</t>
    <phoneticPr fontId="4" type="noConversion"/>
  </si>
  <si>
    <t>記錄員:</t>
    <phoneticPr fontId="4" type="noConversion"/>
  </si>
  <si>
    <t>EGHW</t>
    <phoneticPr fontId="3" type="noConversion"/>
  </si>
  <si>
    <t>GAA</t>
    <phoneticPr fontId="2" type="noConversion"/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</si>
  <si>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</si>
  <si>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</si>
  <si>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</si>
  <si>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</si>
  <si>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</si>
  <si>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</si>
  <si>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</si>
  <si>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</si>
  <si>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</si>
  <si>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</si>
  <si>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</si>
  <si>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F13</t>
  </si>
  <si>
    <t>F14</t>
  </si>
  <si>
    <t>F15</t>
  </si>
  <si>
    <t>F16</t>
  </si>
  <si>
    <t>F17</t>
  </si>
  <si>
    <t>F18</t>
  </si>
  <si>
    <t>F20</t>
  </si>
  <si>
    <t>F21</t>
  </si>
  <si>
    <t>F23</t>
  </si>
  <si>
    <t>品名</t>
  </si>
  <si>
    <t>編號</t>
  </si>
  <si>
    <t>日期</t>
  </si>
  <si>
    <t>重量</t>
  </si>
  <si>
    <t>來源</t>
  </si>
  <si>
    <t>小計</t>
  </si>
  <si>
    <t>IPA-R1</t>
  </si>
  <si>
    <t>備註</t>
  </si>
  <si>
    <t>總量</t>
  </si>
  <si>
    <t xml:space="preserve"> </t>
  </si>
  <si>
    <t>20170627</t>
  </si>
  <si>
    <t>80</t>
  </si>
  <si>
    <t>320</t>
  </si>
  <si>
    <t>BDGE</t>
  </si>
  <si>
    <t>50</t>
  </si>
  <si>
    <t>170</t>
  </si>
  <si>
    <t>160</t>
  </si>
  <si>
    <t>30</t>
  </si>
  <si>
    <t>20161229</t>
  </si>
  <si>
    <t>90</t>
  </si>
  <si>
    <t>60</t>
  </si>
  <si>
    <t>150</t>
  </si>
  <si>
    <t>20170126</t>
  </si>
  <si>
    <t>40</t>
  </si>
  <si>
    <t>GAAHW</t>
  </si>
  <si>
    <t>TK-602</t>
  </si>
  <si>
    <t>420</t>
  </si>
  <si>
    <t>ANONEHW</t>
  </si>
  <si>
    <t>220</t>
  </si>
  <si>
    <t>100</t>
  </si>
  <si>
    <t>ACTHW</t>
  </si>
  <si>
    <t>110</t>
  </si>
  <si>
    <t>180</t>
  </si>
  <si>
    <t>GBLHW</t>
  </si>
  <si>
    <t>3/19</t>
  </si>
  <si>
    <t>E-12</t>
  </si>
  <si>
    <t>8/26</t>
  </si>
  <si>
    <t>6/26</t>
  </si>
  <si>
    <t>53GL(20150916送驗)</t>
  </si>
  <si>
    <t>2/10</t>
  </si>
  <si>
    <t>115</t>
  </si>
  <si>
    <t>GB8704</t>
  </si>
  <si>
    <t>9/15</t>
  </si>
  <si>
    <t>6/22</t>
  </si>
  <si>
    <t>11/18</t>
  </si>
  <si>
    <t>5/27</t>
  </si>
  <si>
    <t>10</t>
  </si>
  <si>
    <t>9/27</t>
  </si>
  <si>
    <t>470</t>
  </si>
  <si>
    <t>20160223</t>
  </si>
  <si>
    <t>161126</t>
  </si>
  <si>
    <t>E-39</t>
  </si>
  <si>
    <t>20131211破桶換桶 970(20150916送驗)</t>
  </si>
  <si>
    <t>GB8705</t>
  </si>
  <si>
    <t>5/6</t>
  </si>
  <si>
    <t>230</t>
  </si>
  <si>
    <t>6/9</t>
  </si>
  <si>
    <t>10/15</t>
  </si>
  <si>
    <t>11/15</t>
  </si>
  <si>
    <t>20140409</t>
  </si>
  <si>
    <t>20150304</t>
  </si>
  <si>
    <t>20150511</t>
  </si>
  <si>
    <t>20150709</t>
  </si>
  <si>
    <t>20151214</t>
  </si>
  <si>
    <t>70</t>
  </si>
  <si>
    <t>(20150916送驗)</t>
  </si>
  <si>
    <t>20140521</t>
  </si>
  <si>
    <t>20141030</t>
  </si>
  <si>
    <t>1GAL</t>
  </si>
  <si>
    <t>20141222</t>
  </si>
  <si>
    <t>20141231</t>
  </si>
  <si>
    <t>20160324</t>
  </si>
  <si>
    <t>20160530</t>
  </si>
  <si>
    <t>20160831</t>
  </si>
  <si>
    <t>130</t>
  </si>
  <si>
    <t>GB8706-1</t>
  </si>
  <si>
    <t>GB8706-2</t>
  </si>
  <si>
    <t>53GL*2(20150916送驗)</t>
  </si>
  <si>
    <t>GB8707</t>
  </si>
  <si>
    <t>E39</t>
  </si>
  <si>
    <t>20170223</t>
  </si>
  <si>
    <t>GB8708</t>
  </si>
  <si>
    <t>NMPHW</t>
  </si>
  <si>
    <t>1010</t>
  </si>
  <si>
    <t>670</t>
  </si>
  <si>
    <t>MEK</t>
  </si>
  <si>
    <t>20</t>
  </si>
  <si>
    <t>EGHW</t>
  </si>
  <si>
    <t>140</t>
  </si>
  <si>
    <t>EEP</t>
  </si>
  <si>
    <t>400</t>
  </si>
  <si>
    <t>190</t>
  </si>
  <si>
    <t>120</t>
  </si>
  <si>
    <t>PG</t>
  </si>
  <si>
    <t>-30</t>
  </si>
  <si>
    <t>-20</t>
  </si>
  <si>
    <t>270</t>
  </si>
  <si>
    <t>1DPM-1
(DPM HAV)</t>
  </si>
  <si>
    <t>總量統計</t>
  </si>
  <si>
    <t>IPA</t>
  </si>
  <si>
    <t>EBR</t>
  </si>
  <si>
    <t>SEP05(E2)</t>
  </si>
  <si>
    <t>GAA</t>
  </si>
  <si>
    <t>ANONE</t>
  </si>
  <si>
    <t>#REF!</t>
  </si>
  <si>
    <t>5,609.0</t>
  </si>
  <si>
    <t>50.0</t>
  </si>
  <si>
    <t>ACT</t>
  </si>
  <si>
    <t>GBL</t>
  </si>
  <si>
    <t>NMP</t>
  </si>
  <si>
    <t>EG</t>
  </si>
  <si>
    <t>DPM HAV</t>
  </si>
  <si>
    <t>Sulfolane</t>
  </si>
  <si>
    <t>83.0</t>
  </si>
  <si>
    <t>4,050.0</t>
  </si>
  <si>
    <t>897.0</t>
  </si>
  <si>
    <t>103.0</t>
  </si>
  <si>
    <t>請直接以10進位，謝謝</t>
  </si>
  <si>
    <t>F19</t>
  </si>
  <si>
    <t>F24</t>
  </si>
  <si>
    <t>F25</t>
  </si>
  <si>
    <t>F26</t>
  </si>
  <si>
    <t>F27</t>
  </si>
  <si>
    <t>F28</t>
  </si>
  <si>
    <t>水份</t>
  </si>
  <si>
    <t>I9101</t>
  </si>
  <si>
    <t>20240326</t>
  </si>
  <si>
    <t>TK-604</t>
  </si>
  <si>
    <t>20240424</t>
  </si>
  <si>
    <t>I9102</t>
  </si>
  <si>
    <t>I9103</t>
  </si>
  <si>
    <t>C41</t>
  </si>
  <si>
    <t>I9104</t>
  </si>
  <si>
    <t>I9105</t>
  </si>
  <si>
    <t xml:space="preserve">1EBRHW
</t>
  </si>
  <si>
    <t>I9106</t>
  </si>
  <si>
    <t>I9107</t>
  </si>
  <si>
    <t>I9108</t>
  </si>
  <si>
    <t>I9109</t>
  </si>
  <si>
    <t>I9110</t>
  </si>
  <si>
    <t>I9111</t>
  </si>
  <si>
    <t>I9112</t>
  </si>
  <si>
    <t>I9113</t>
  </si>
  <si>
    <t>I9114</t>
  </si>
  <si>
    <t>I9115</t>
  </si>
  <si>
    <t>CPNE3</t>
  </si>
  <si>
    <t>I9116</t>
  </si>
  <si>
    <t>I9117</t>
  </si>
  <si>
    <t>CPNHW
(OEM)</t>
  </si>
  <si>
    <t>I9118</t>
  </si>
  <si>
    <t>I9119</t>
  </si>
  <si>
    <t>I9120</t>
  </si>
  <si>
    <t>I9121</t>
  </si>
  <si>
    <t>M
I
B
C
H
W</t>
  </si>
  <si>
    <t>R9101</t>
  </si>
  <si>
    <t>TK-601</t>
  </si>
  <si>
    <t>R9102</t>
  </si>
  <si>
    <t>290</t>
  </si>
  <si>
    <t>R9103</t>
  </si>
  <si>
    <t>0</t>
  </si>
  <si>
    <t>R9104</t>
  </si>
  <si>
    <t>R9105</t>
  </si>
  <si>
    <t>R9106</t>
  </si>
  <si>
    <t>R9107</t>
  </si>
  <si>
    <t>R9108</t>
  </si>
  <si>
    <t>R9109</t>
  </si>
  <si>
    <t>R9110</t>
  </si>
  <si>
    <t>G9101</t>
  </si>
  <si>
    <t>G9102</t>
  </si>
  <si>
    <t>G9103</t>
  </si>
  <si>
    <t>G9104</t>
  </si>
  <si>
    <t>G9105</t>
  </si>
  <si>
    <t>G9106</t>
  </si>
  <si>
    <t>G9107</t>
  </si>
  <si>
    <t>G9108</t>
  </si>
  <si>
    <t>AN9101</t>
  </si>
  <si>
    <t>AN9102</t>
  </si>
  <si>
    <t>-</t>
  </si>
  <si>
    <t>A9101</t>
  </si>
  <si>
    <t>20240425</t>
  </si>
  <si>
    <t>690</t>
  </si>
  <si>
    <t>A9102</t>
  </si>
  <si>
    <t>A9103</t>
  </si>
  <si>
    <t>A9104</t>
  </si>
  <si>
    <t>A9105</t>
  </si>
  <si>
    <t>A9106</t>
  </si>
  <si>
    <t>A9107</t>
  </si>
  <si>
    <t>A9108</t>
  </si>
  <si>
    <t>S208</t>
  </si>
  <si>
    <t>GB9101</t>
  </si>
  <si>
    <t>20210315</t>
  </si>
  <si>
    <t>-50</t>
  </si>
  <si>
    <t>換桶</t>
  </si>
  <si>
    <t>910</t>
  </si>
  <si>
    <t>1140</t>
  </si>
  <si>
    <t>20200818</t>
  </si>
  <si>
    <t>1130</t>
  </si>
  <si>
    <t>20161126</t>
  </si>
  <si>
    <t>2020/7/16</t>
  </si>
  <si>
    <t>研發取用</t>
  </si>
  <si>
    <t>1110</t>
  </si>
  <si>
    <t>20170728</t>
  </si>
  <si>
    <t>20170829</t>
  </si>
  <si>
    <t>20170927</t>
  </si>
  <si>
    <t>20171030</t>
  </si>
  <si>
    <t>20171129</t>
  </si>
  <si>
    <t>20171228</t>
  </si>
  <si>
    <t>20180129</t>
  </si>
  <si>
    <t>20180205</t>
  </si>
  <si>
    <t>-40</t>
  </si>
  <si>
    <t>20180328</t>
  </si>
  <si>
    <t>20180426</t>
  </si>
  <si>
    <t>20180530</t>
  </si>
  <si>
    <t>20180628</t>
  </si>
  <si>
    <t>20181130</t>
  </si>
  <si>
    <t>1150</t>
  </si>
  <si>
    <t>20180730</t>
  </si>
  <si>
    <t>20180890</t>
  </si>
  <si>
    <t>20180927</t>
  </si>
  <si>
    <t>20181030</t>
  </si>
  <si>
    <t>20181227</t>
  </si>
  <si>
    <t>20190130</t>
  </si>
  <si>
    <t>20190226</t>
  </si>
  <si>
    <t>20190328</t>
  </si>
  <si>
    <t>20190429</t>
  </si>
  <si>
    <t>20190530</t>
  </si>
  <si>
    <t>20190628</t>
  </si>
  <si>
    <t>20190730</t>
  </si>
  <si>
    <t>20190816</t>
  </si>
  <si>
    <t>GB8709</t>
  </si>
  <si>
    <t>20190829</t>
  </si>
  <si>
    <t>20190927</t>
  </si>
  <si>
    <t>20191029</t>
  </si>
  <si>
    <t>20191128</t>
  </si>
  <si>
    <t>20191226</t>
  </si>
  <si>
    <t>20200130</t>
  </si>
  <si>
    <t>20200226</t>
  </si>
  <si>
    <t>20200326</t>
  </si>
  <si>
    <t>20200430</t>
  </si>
  <si>
    <t>20200529</t>
  </si>
  <si>
    <t>20200629</t>
  </si>
  <si>
    <t>20200730</t>
  </si>
  <si>
    <t>20200827</t>
  </si>
  <si>
    <t>20200928</t>
  </si>
  <si>
    <t>20201028</t>
  </si>
  <si>
    <t>20201127</t>
  </si>
  <si>
    <t>GB9110</t>
  </si>
  <si>
    <t>20201225</t>
  </si>
  <si>
    <t>20210129</t>
  </si>
  <si>
    <t>20210224</t>
  </si>
  <si>
    <t>20210326</t>
  </si>
  <si>
    <t>1090</t>
  </si>
  <si>
    <t>20210427</t>
  </si>
  <si>
    <t>20210527</t>
  </si>
  <si>
    <t>20210629</t>
  </si>
  <si>
    <t>20210728</t>
  </si>
  <si>
    <t>20210826</t>
  </si>
  <si>
    <t>20210928</t>
  </si>
  <si>
    <t>20211027</t>
  </si>
  <si>
    <t>20211130</t>
  </si>
  <si>
    <t>20211229</t>
  </si>
  <si>
    <t>20220117</t>
  </si>
  <si>
    <t>GB9111</t>
  </si>
  <si>
    <t>20220126</t>
  </si>
  <si>
    <t>20220223</t>
  </si>
  <si>
    <t>20220329</t>
  </si>
  <si>
    <t>20220427</t>
  </si>
  <si>
    <t>20220629</t>
  </si>
  <si>
    <t>1080</t>
  </si>
  <si>
    <t>20220725</t>
  </si>
  <si>
    <t>20220826</t>
  </si>
  <si>
    <t>20220928</t>
  </si>
  <si>
    <t>20221025</t>
  </si>
  <si>
    <t>20221229</t>
  </si>
  <si>
    <t>20230130</t>
  </si>
  <si>
    <t>20230222</t>
  </si>
  <si>
    <t>20230327</t>
  </si>
  <si>
    <t>20230425</t>
  </si>
  <si>
    <t>20230529</t>
  </si>
  <si>
    <t>20230628</t>
  </si>
  <si>
    <t>20230725</t>
  </si>
  <si>
    <t>20230828</t>
  </si>
  <si>
    <t>20230926</t>
  </si>
  <si>
    <t>20231025</t>
  </si>
  <si>
    <t>GB9112</t>
  </si>
  <si>
    <t>20231122</t>
  </si>
  <si>
    <t>20231226</t>
  </si>
  <si>
    <t>8,920</t>
  </si>
  <si>
    <t>E9101</t>
  </si>
  <si>
    <t>E9102</t>
  </si>
  <si>
    <t>20240226</t>
  </si>
  <si>
    <t>350</t>
  </si>
  <si>
    <t>TK603</t>
  </si>
  <si>
    <t>E9103</t>
  </si>
  <si>
    <t>E9104</t>
  </si>
  <si>
    <t>E9105</t>
  </si>
  <si>
    <t>990</t>
  </si>
  <si>
    <t>285</t>
  </si>
  <si>
    <t>20240124</t>
  </si>
  <si>
    <t>20240202</t>
  </si>
  <si>
    <t>E9107</t>
  </si>
  <si>
    <t>E9108</t>
  </si>
  <si>
    <t>E9109</t>
  </si>
  <si>
    <t>E9110</t>
  </si>
  <si>
    <t>E9111</t>
  </si>
  <si>
    <t>C9101</t>
  </si>
  <si>
    <t>C9102</t>
  </si>
  <si>
    <t>C9103</t>
  </si>
  <si>
    <t>C9104</t>
  </si>
  <si>
    <t>20240426</t>
  </si>
  <si>
    <t>870</t>
  </si>
  <si>
    <t>C9105</t>
  </si>
  <si>
    <t>C9106</t>
  </si>
  <si>
    <t>C9107</t>
  </si>
  <si>
    <t>C9108</t>
  </si>
  <si>
    <t>C9109</t>
  </si>
  <si>
    <t>C9110</t>
  </si>
  <si>
    <t>C9111</t>
  </si>
  <si>
    <t>C9112</t>
  </si>
  <si>
    <t>C9113</t>
  </si>
  <si>
    <t>C9114</t>
  </si>
  <si>
    <t>C9115</t>
  </si>
  <si>
    <t>N9101</t>
  </si>
  <si>
    <t>20240320</t>
  </si>
  <si>
    <t>930</t>
  </si>
  <si>
    <t>N9102</t>
  </si>
  <si>
    <t>N9103</t>
  </si>
  <si>
    <t>TK611</t>
  </si>
  <si>
    <t>20240401</t>
  </si>
  <si>
    <t>N9104</t>
  </si>
  <si>
    <t>940</t>
  </si>
  <si>
    <t>N9105</t>
  </si>
  <si>
    <t>N9106</t>
  </si>
  <si>
    <t>N9107</t>
  </si>
  <si>
    <t>N9108</t>
  </si>
  <si>
    <t>N9109</t>
  </si>
  <si>
    <t>N9110</t>
  </si>
  <si>
    <t>N9111</t>
  </si>
  <si>
    <t>N9112</t>
  </si>
  <si>
    <t>N9113</t>
  </si>
  <si>
    <t>N9114</t>
  </si>
  <si>
    <t>N9115</t>
  </si>
  <si>
    <t>N9116</t>
  </si>
  <si>
    <t>N
S
E
H
W</t>
  </si>
  <si>
    <t>NS9101</t>
  </si>
  <si>
    <t>NS9102</t>
  </si>
  <si>
    <t>M9101</t>
  </si>
  <si>
    <t>20220407</t>
  </si>
  <si>
    <t>20230428</t>
  </si>
  <si>
    <t>TK667</t>
  </si>
  <si>
    <t>M9102</t>
  </si>
  <si>
    <t>M9103</t>
  </si>
  <si>
    <t>M9104</t>
  </si>
  <si>
    <t>M9105</t>
  </si>
  <si>
    <t>2,030</t>
  </si>
  <si>
    <t>D9101</t>
  </si>
  <si>
    <t>D9102</t>
  </si>
  <si>
    <t>D9103</t>
  </si>
  <si>
    <t>D9104</t>
  </si>
  <si>
    <t>D9105</t>
  </si>
  <si>
    <t>c</t>
  </si>
  <si>
    <t xml:space="preserve"> </t>
    <phoneticPr fontId="3" type="noConversion"/>
  </si>
  <si>
    <t>20240528</t>
  </si>
  <si>
    <t>250</t>
  </si>
  <si>
    <t>20240516</t>
  </si>
  <si>
    <t>840</t>
  </si>
  <si>
    <t>(回收液)</t>
  </si>
  <si>
    <t>1,440</t>
  </si>
  <si>
    <t>310</t>
  </si>
  <si>
    <t>730</t>
  </si>
  <si>
    <t>200</t>
  </si>
  <si>
    <t>890</t>
  </si>
  <si>
    <t>1030</t>
  </si>
  <si>
    <t>E9106
(5/30重驗)</t>
  </si>
  <si>
    <t>360</t>
  </si>
  <si>
    <t>20240523</t>
  </si>
  <si>
    <t>850</t>
  </si>
  <si>
    <t>880</t>
  </si>
  <si>
    <t>630</t>
  </si>
  <si>
    <t>202406XX</t>
  </si>
  <si>
    <t>TK675等單</t>
  </si>
  <si>
    <t>20240619</t>
  </si>
  <si>
    <t>530</t>
  </si>
  <si>
    <t>2024/6/24 14:52</t>
  </si>
  <si>
    <t>標記1</t>
  </si>
  <si>
    <t>標記2</t>
  </si>
  <si>
    <t>960</t>
  </si>
  <si>
    <t>1020</t>
  </si>
  <si>
    <t>7,100</t>
  </si>
  <si>
    <t>20240624</t>
  </si>
  <si>
    <t>810</t>
  </si>
  <si>
    <t>860</t>
  </si>
  <si>
    <t>9310</t>
  </si>
  <si>
    <t>830</t>
  </si>
  <si>
    <t>3,880</t>
  </si>
  <si>
    <t>2,270.0</t>
  </si>
  <si>
    <t>CPNE4R</t>
    <phoneticPr fontId="2" type="noConversion"/>
  </si>
  <si>
    <t>PMUPS</t>
    <phoneticPr fontId="3" type="noConversion"/>
  </si>
  <si>
    <t>待處理廢水</t>
    <phoneticPr fontId="2" type="noConversion"/>
  </si>
  <si>
    <t>EBR-P1R</t>
  </si>
  <si>
    <t>NMPUPS</t>
    <phoneticPr fontId="3" type="noConversion"/>
  </si>
  <si>
    <t>ACTUPS</t>
    <phoneticPr fontId="3" type="noConversion"/>
  </si>
  <si>
    <t>EGUPS</t>
  </si>
  <si>
    <t>EGUPS</t>
    <phoneticPr fontId="3" type="noConversion"/>
  </si>
  <si>
    <t>IPAUPS</t>
  </si>
  <si>
    <t>IPAUPS</t>
    <phoneticPr fontId="3" type="noConversion"/>
  </si>
  <si>
    <t>EBR-P1</t>
    <phoneticPr fontId="3" type="noConversion"/>
  </si>
  <si>
    <t>CPN-P1</t>
    <phoneticPr fontId="3" type="noConversion"/>
  </si>
  <si>
    <t>CPN-P1R</t>
  </si>
  <si>
    <t>IPAHW</t>
    <phoneticPr fontId="3" type="noConversion"/>
  </si>
  <si>
    <t>HEAVY ENDS</t>
    <phoneticPr fontId="3" type="noConversion"/>
  </si>
  <si>
    <t>CPN-R</t>
    <phoneticPr fontId="3" type="noConversion"/>
  </si>
  <si>
    <t>NBAC-P1</t>
    <phoneticPr fontId="3" type="noConversion"/>
  </si>
  <si>
    <t>NBAC-P1R</t>
    <phoneticPr fontId="3" type="noConversion"/>
  </si>
  <si>
    <t>CPNE3</t>
    <phoneticPr fontId="3" type="noConversion"/>
  </si>
  <si>
    <t>CPN</t>
  </si>
  <si>
    <t>SEP73E3</t>
    <phoneticPr fontId="3" type="noConversion"/>
  </si>
  <si>
    <t>GAAUPS</t>
    <phoneticPr fontId="3" type="noConversion"/>
  </si>
  <si>
    <t>IPAHQ</t>
    <phoneticPr fontId="2" type="noConversion"/>
  </si>
  <si>
    <t>CPNE3(T)</t>
    <phoneticPr fontId="2" type="noConversion"/>
  </si>
  <si>
    <t>CPN</t>
    <phoneticPr fontId="2" type="noConversion"/>
  </si>
  <si>
    <t>IPA</t>
    <phoneticPr fontId="2" type="noConversion"/>
  </si>
  <si>
    <t>EBR-P1</t>
    <phoneticPr fontId="2" type="noConversion"/>
  </si>
  <si>
    <t>C50110-INV-01(01)</t>
    <phoneticPr fontId="3" type="noConversion"/>
  </si>
  <si>
    <t>DPM-1</t>
    <phoneticPr fontId="3" type="noConversion"/>
  </si>
  <si>
    <t>CPNE3</t>
    <phoneticPr fontId="2" type="noConversion"/>
  </si>
  <si>
    <t xml:space="preserve"> 液位</t>
  </si>
  <si>
    <t>待處理廢水</t>
    <phoneticPr fontId="3" type="noConversion"/>
  </si>
  <si>
    <r>
      <t>EBR</t>
    </r>
    <r>
      <rPr>
        <sz val="7"/>
        <color rgb="FFC00000"/>
        <rFont val="微軟正黑體"/>
        <family val="2"/>
        <charset val="136"/>
      </rPr>
      <t>廢溶劑</t>
    </r>
    <phoneticPr fontId="3" type="noConversion"/>
  </si>
  <si>
    <t>EBR95</t>
    <phoneticPr fontId="3" type="noConversion"/>
  </si>
  <si>
    <t>1.儲槽集水井是否關閉(雨天時打開)______
2.馬達pump是否關閉________________
3.現場是否有洩漏__________________
4.儲槽壓力是否正常________________ 
5.儲槽周邊是否異常________________ 
6.現場1T桶GHS標示是否脫落或模糊 ______ 
7.蒸氣是否開啟 ______   當天預報最低氣溫 21
蒸氣壓力 ______ (最低氣溫低於16度開啟)</t>
    <phoneticPr fontId="3" type="noConversion"/>
  </si>
  <si>
    <t>林東和</t>
    <phoneticPr fontId="2" type="noConversion"/>
  </si>
  <si>
    <t>蘇明宏</t>
    <phoneticPr fontId="2" type="noConversion"/>
  </si>
  <si>
    <t>PMA-C</t>
    <phoneticPr fontId="3" type="noConversion"/>
  </si>
  <si>
    <t>1.儲槽集水井是否關閉(雨天時打開)______
2.馬達pump是否關閉________________
3.現場是否有洩漏__________________
4.儲槽壓力是否正常________________ 
5.儲槽周邊是否異常________________ 
6.現場1T桶GHS標示是否脫落或模糊 ______ 
7.蒸氣是否開啟 ______   當天預報最低氣溫 28
蒸氣壓力 ______ (最低氣溫低於16度開啟)</t>
    <phoneticPr fontId="3" type="noConversion"/>
  </si>
  <si>
    <t>1.儲槽集水井是否關閉(雨天時打開)______
2.馬達pump是否關閉________________
3.現場是否有洩漏__________________
4.儲槽壓力是否正常________________ 
5.儲槽周邊是否異常________________ 
6.現場1T桶GHS標示是否脫落或模糊 ______ 
7.蒸氣是否開啟 ______   當天預報最低氣溫 26
蒸氣壓力 ______ (最低氣溫低於16度開啟)</t>
    <phoneticPr fontId="3" type="noConversion"/>
  </si>
  <si>
    <t>1.儲槽集水井是否關閉(雨天時打開)______
2.馬達pump是否關閉________________
3.現場是否有洩漏__________________
4.儲槽壓力是否正常________________ 
5.儲槽周邊是否異常________________ 
6.現場1T桶GHS標示是否脫落或模糊 ______ 
7.蒸氣是否開啟 ______   當天預報最低氣溫 25
蒸氣壓力 ______ (最低氣溫低於16度開啟)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</si>
</sst>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9">
    <numFmt numFmtId="176" formatCode="_(&quot;$&quot;* #,##0.00_);_(&quot;$&quot;* \(#,##0.00\);_(&quot;$&quot;* &quot;-&quot;??_);_(@_)"/>
    <numFmt numFmtId="177" formatCode="_(* #,##0.00_);_(* \(#,##0.00\);_(* &quot;-&quot;??_);_(@_)"/>
    <numFmt numFmtId="178" formatCode="0_);[Red]\(0\)"/>
    <numFmt numFmtId="179" formatCode="0_ "/>
    <numFmt numFmtId="180" formatCode="#,##0.0000"/>
    <numFmt numFmtId="181" formatCode="0.0000_ "/>
    <numFmt numFmtId="182" formatCode="0.0000"/>
    <numFmt numFmtId="183" formatCode="[&lt;0]&quot;0&quot;;0"/>
    <numFmt numFmtId="184" formatCode="m&quot;月&quot;d&quot;日&quot;"/>
  </numFmts>
  <fonts count="36">
    <font>
      <sz val="12"/>
      <color theme="1"/>
      <name val="新細明體"/>
      <family val="2"/>
      <scheme val="minor"/>
    </font>
    <font>
      <sz val="12"/>
      <name val="新細明體"/>
      <family val="1"/>
      <charset val="136"/>
    </font>
    <font>
      <sz val="9"/>
      <name val="新細明體"/>
      <family val="3"/>
      <charset val="136"/>
      <scheme val="minor"/>
    </font>
    <font>
      <sz val="9"/>
      <name val="新細明體"/>
      <family val="1"/>
      <charset val="136"/>
    </font>
    <font>
      <sz val="9"/>
      <name val="細明體"/>
      <family val="3"/>
      <charset val="136"/>
    </font>
    <font>
      <sz val="12"/>
      <color theme="1"/>
      <name val="新細明體"/>
      <family val="1"/>
      <charset val="136"/>
      <scheme val="minor"/>
    </font>
    <font>
      <sz val="12"/>
      <name val="DotumChe"/>
      <family val="3"/>
      <charset val="129"/>
    </font>
    <font>
      <sz val="12"/>
      <name val="細明體"/>
      <family val="3"/>
      <charset val="136"/>
    </font>
    <font>
      <sz val="14"/>
      <name val="DotumChe"/>
      <family val="3"/>
      <charset val="129"/>
    </font>
    <font>
      <b/>
      <sz val="14"/>
      <color rgb="FF0000FF"/>
      <name val="DotumChe"/>
      <family val="3"/>
      <charset val="129"/>
    </font>
    <font>
      <sz val="14"/>
      <name val="細明體"/>
      <family val="3"/>
      <charset val="136"/>
    </font>
    <font>
      <sz val="18"/>
      <color rgb="FFFF0000"/>
      <name val="微軟正黑體"/>
      <family val="2"/>
      <charset val="136"/>
    </font>
    <font>
      <b/>
      <sz val="12"/>
      <name val="微軟正黑體"/>
      <family val="2"/>
      <charset val="136"/>
    </font>
    <font>
      <sz val="12"/>
      <name val="微軟正黑體"/>
      <family val="2"/>
      <charset val="136"/>
    </font>
    <font>
      <sz val="14"/>
      <name val="微軟正黑體"/>
      <family val="2"/>
      <charset val="136"/>
    </font>
    <font>
      <sz val="6"/>
      <name val="微軟正黑體"/>
      <family val="2"/>
      <charset val="136"/>
    </font>
    <font>
      <sz val="16"/>
      <name val="微軟正黑體"/>
      <family val="2"/>
      <charset val="136"/>
    </font>
    <font>
      <sz val="10"/>
      <name val="微軟正黑體"/>
      <family val="2"/>
      <charset val="136"/>
    </font>
    <font>
      <sz val="11"/>
      <name val="微軟正黑體"/>
      <family val="2"/>
      <charset val="136"/>
    </font>
    <font>
      <sz val="14"/>
      <color rgb="FFFF0000"/>
      <name val="微軟正黑體"/>
      <family val="2"/>
      <charset val="136"/>
    </font>
    <font>
      <sz val="8"/>
      <name val="微軟正黑體"/>
      <family val="2"/>
      <charset val="136"/>
    </font>
    <font>
      <u/>
      <sz val="16"/>
      <name val="微軟正黑體"/>
      <family val="2"/>
      <charset val="136"/>
    </font>
    <font>
      <sz val="9"/>
      <name val="微軟正黑體"/>
      <family val="2"/>
      <charset val="136"/>
    </font>
    <font>
      <vertAlign val="superscript"/>
      <sz val="8"/>
      <name val="微軟正黑體"/>
      <family val="2"/>
      <charset val="136"/>
    </font>
    <font>
      <vertAlign val="subscript"/>
      <sz val="8"/>
      <name val="微軟正黑體"/>
      <family val="2"/>
      <charset val="136"/>
    </font>
    <font>
      <u/>
      <sz val="9"/>
      <name val="微軟正黑體"/>
      <family val="2"/>
      <charset val="136"/>
    </font>
    <font>
      <sz val="7"/>
      <name val="微軟正黑體"/>
      <family val="2"/>
      <charset val="136"/>
    </font>
    <font>
      <sz val="9"/>
      <color theme="1"/>
      <name val="微軟正黑體"/>
      <family val="2"/>
      <charset val="136"/>
    </font>
    <font>
      <sz val="7.5"/>
      <name val="微軟正黑體"/>
      <family val="2"/>
      <charset val="136"/>
    </font>
    <font>
      <u/>
      <sz val="9"/>
      <color theme="7" tint="-0.499984740745262"/>
      <name val="微軟正黑體"/>
      <family val="2"/>
      <charset val="136"/>
    </font>
    <font>
      <sz val="9"/>
      <color theme="7" tint="-0.499984740745262"/>
      <name val="微軟正黑體"/>
      <family val="2"/>
      <charset val="136"/>
    </font>
    <font>
      <sz val="8.5"/>
      <name val="微軟正黑體"/>
      <family val="2"/>
      <charset val="136"/>
    </font>
    <font>
      <b/>
      <sz val="22"/>
      <name val="微軟正黑體"/>
      <family val="2"/>
      <charset val="136"/>
    </font>
    <font>
      <sz val="8"/>
      <color rgb="FFC00000"/>
      <name val="微軟正黑體"/>
      <family val="2"/>
      <charset val="136"/>
    </font>
    <font>
      <sz val="7"/>
      <color rgb="FFC00000"/>
      <name val="微軟正黑體"/>
      <family val="2"/>
      <charset val="136"/>
    </font>
    <font>
      <sz val="12"/>
      <color rgb="FF000000"/>
      <name val="新細明體"/>
      <family val="1"/>
      <charset val="136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5" tint="0.59999389629810485"/>
        <bgColor indexed="64"/>
      </patternFill>
    </fill>
  </fills>
  <borders count="6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dashed">
        <color indexed="64"/>
      </left>
      <right style="dashed">
        <color indexed="64"/>
      </right>
      <top/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dashed">
        <color indexed="64"/>
      </left>
      <right style="dashed">
        <color indexed="64"/>
      </right>
      <top/>
      <bottom style="double">
        <color indexed="64"/>
      </bottom>
      <diagonal/>
    </border>
    <border>
      <left style="dashed">
        <color indexed="64"/>
      </left>
      <right style="dashed">
        <color indexed="64"/>
      </right>
      <top style="hair">
        <color indexed="64"/>
      </top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dashed">
        <color indexed="64"/>
      </left>
      <right style="dashed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dashed">
        <color indexed="64"/>
      </left>
      <right style="dashed">
        <color indexed="64"/>
      </right>
      <top style="hair">
        <color indexed="64"/>
      </top>
      <bottom style="hair">
        <color indexed="64"/>
      </bottom>
      <diagonal/>
    </border>
    <border>
      <left style="dashed">
        <color indexed="64"/>
      </left>
      <right style="dashed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 style="dotted">
        <color indexed="64"/>
      </bottom>
      <diagonal/>
    </border>
    <border>
      <left style="dashed">
        <color indexed="64"/>
      </left>
      <right style="dashed">
        <color indexed="64"/>
      </right>
      <top style="hair">
        <color indexed="64"/>
      </top>
      <bottom style="dotted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64"/>
      </left>
      <right/>
      <top style="double">
        <color indexed="64"/>
      </top>
      <bottom style="hair">
        <color indexed="64"/>
      </bottom>
      <diagonal/>
    </border>
    <border>
      <left style="dashed">
        <color indexed="64"/>
      </left>
      <right style="dashed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double">
        <color indexed="64"/>
      </bottom>
      <diagonal/>
    </border>
    <border>
      <left/>
      <right style="dashed">
        <color indexed="64"/>
      </right>
      <top/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 diagonalDown="1">
      <left style="thin">
        <color indexed="64"/>
      </left>
      <right/>
      <top style="thin">
        <color indexed="64"/>
      </top>
      <bottom/>
      <diagonal style="thin">
        <color indexed="64"/>
      </diagonal>
    </border>
    <border diagonalDown="1">
      <left/>
      <right style="thin">
        <color indexed="64"/>
      </right>
      <top style="thin">
        <color indexed="64"/>
      </top>
      <bottom/>
      <diagonal style="thin">
        <color indexed="64"/>
      </diagonal>
    </border>
    <border diagonalDown="1">
      <left style="thin">
        <color indexed="64"/>
      </left>
      <right/>
      <top/>
      <bottom style="thin">
        <color indexed="64"/>
      </bottom>
      <diagonal style="thin">
        <color indexed="64"/>
      </diagonal>
    </border>
    <border diagonalDown="1">
      <left/>
      <right style="thin">
        <color indexed="64"/>
      </right>
      <top/>
      <bottom style="thin">
        <color indexed="64"/>
      </bottom>
      <diagonal style="thin">
        <color indexed="64"/>
      </diagonal>
    </border>
    <border>
      <left style="double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/>
      <top style="double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hair">
        <color indexed="64"/>
      </right>
      <top style="hair">
        <color indexed="64"/>
      </top>
      <bottom/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double">
        <color indexed="64"/>
      </bottom>
      <diagonal/>
    </border>
    <border>
      <left style="double">
        <color indexed="64"/>
      </left>
      <right/>
      <top/>
      <bottom/>
      <diagonal/>
    </border>
  </borders>
  <cellStyleXfs count="23">
    <xf numFmtId="0" fontId="0" fillId="0" borderId="0"/>
    <xf numFmtId="0" fontId="1" fillId="0" borderId="0"/>
    <xf numFmtId="0" fontId="1" fillId="0" borderId="0"/>
    <xf numFmtId="177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5" fillId="0" borderId="0">
      <alignment vertical="center"/>
    </xf>
    <xf numFmtId="177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177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177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177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177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177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177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177" fontId="1" fillId="0" borderId="0" applyFont="0" applyFill="0" applyBorder="0" applyAlignment="0" applyProtection="0"/>
    <xf numFmtId="176" fontId="1" fillId="0" borderId="0" applyFont="0" applyFill="0" applyBorder="0" applyAlignment="0" applyProtection="0"/>
  </cellStyleXfs>
  <cellXfs count="242">
    <xf numFmtId="0" fontId="0" fillId="0" borderId="0" xfId="0"/>
    <xf numFmtId="0" fontId="6" fillId="3" borderId="5" xfId="1" applyFont="1" applyFill="1" applyBorder="1" applyAlignment="1">
      <alignment horizontal="left" vertical="center" wrapText="1"/>
    </xf>
    <xf numFmtId="0" fontId="8" fillId="3" borderId="17" xfId="1" applyFont="1" applyFill="1" applyBorder="1" applyAlignment="1">
      <alignment horizontal="center" vertical="center"/>
    </xf>
    <xf numFmtId="49" fontId="9" fillId="4" borderId="17" xfId="1" applyNumberFormat="1" applyFont="1" applyFill="1" applyBorder="1" applyAlignment="1">
      <alignment horizontal="center" vertical="center"/>
    </xf>
    <xf numFmtId="0" fontId="8" fillId="3" borderId="17" xfId="1" applyFont="1" applyFill="1" applyBorder="1" applyAlignment="1">
      <alignment horizontal="center" vertical="center" wrapText="1"/>
    </xf>
    <xf numFmtId="180" fontId="9" fillId="4" borderId="17" xfId="1" applyNumberFormat="1" applyFont="1" applyFill="1" applyBorder="1" applyAlignment="1">
      <alignment horizontal="center" vertical="center" wrapText="1"/>
    </xf>
    <xf numFmtId="0" fontId="8" fillId="0" borderId="0" xfId="1" applyFont="1" applyAlignment="1">
      <alignment vertical="center"/>
    </xf>
    <xf numFmtId="0" fontId="8" fillId="0" borderId="18" xfId="1" applyFont="1" applyFill="1" applyBorder="1" applyAlignment="1">
      <alignment horizontal="center" vertical="center" wrapText="1"/>
    </xf>
    <xf numFmtId="0" fontId="8" fillId="0" borderId="19" xfId="1" applyFont="1" applyFill="1" applyBorder="1" applyAlignment="1">
      <alignment horizontal="center" vertical="center"/>
    </xf>
    <xf numFmtId="0" fontId="8" fillId="4" borderId="19" xfId="1" applyFont="1" applyFill="1" applyBorder="1" applyAlignment="1">
      <alignment horizontal="center" vertical="center"/>
    </xf>
    <xf numFmtId="0" fontId="8" fillId="0" borderId="19" xfId="1" applyFont="1" applyFill="1" applyBorder="1" applyAlignment="1">
      <alignment horizontal="center" vertical="center" wrapText="1"/>
    </xf>
    <xf numFmtId="181" fontId="8" fillId="0" borderId="19" xfId="1" applyNumberFormat="1" applyFont="1" applyFill="1" applyBorder="1" applyAlignment="1">
      <alignment horizontal="center" vertical="center"/>
    </xf>
    <xf numFmtId="0" fontId="8" fillId="0" borderId="0" xfId="1" applyFont="1" applyFill="1" applyBorder="1" applyAlignment="1">
      <alignment horizontal="center" vertical="center"/>
    </xf>
    <xf numFmtId="0" fontId="8" fillId="0" borderId="0" xfId="1" applyFont="1" applyFill="1" applyAlignment="1">
      <alignment vertical="center"/>
    </xf>
    <xf numFmtId="0" fontId="8" fillId="0" borderId="19" xfId="1" applyNumberFormat="1" applyFont="1" applyFill="1" applyBorder="1" applyAlignment="1">
      <alignment horizontal="center" vertical="center"/>
    </xf>
    <xf numFmtId="0" fontId="8" fillId="0" borderId="20" xfId="1" applyFont="1" applyBorder="1" applyAlignment="1">
      <alignment horizontal="center" vertical="center"/>
    </xf>
    <xf numFmtId="180" fontId="8" fillId="0" borderId="21" xfId="1" applyNumberFormat="1" applyFont="1" applyBorder="1" applyAlignment="1">
      <alignment horizontal="center" vertical="center"/>
    </xf>
    <xf numFmtId="180" fontId="8" fillId="4" borderId="21" xfId="1" applyNumberFormat="1" applyFont="1" applyFill="1" applyBorder="1" applyAlignment="1">
      <alignment horizontal="center" vertical="center"/>
    </xf>
    <xf numFmtId="180" fontId="8" fillId="0" borderId="22" xfId="1" applyNumberFormat="1" applyFont="1" applyBorder="1" applyAlignment="1">
      <alignment horizontal="center" vertical="center"/>
    </xf>
    <xf numFmtId="180" fontId="8" fillId="4" borderId="22" xfId="1" applyNumberFormat="1" applyFont="1" applyFill="1" applyBorder="1" applyAlignment="1">
      <alignment horizontal="center" vertical="center"/>
    </xf>
    <xf numFmtId="180" fontId="8" fillId="0" borderId="23" xfId="1" applyNumberFormat="1" applyFont="1" applyBorder="1" applyAlignment="1">
      <alignment horizontal="center" vertical="center"/>
    </xf>
    <xf numFmtId="0" fontId="8" fillId="0" borderId="24" xfId="1" applyFont="1" applyBorder="1" applyAlignment="1">
      <alignment horizontal="center" vertical="center"/>
    </xf>
    <xf numFmtId="180" fontId="8" fillId="0" borderId="25" xfId="1" applyNumberFormat="1" applyFont="1" applyBorder="1" applyAlignment="1">
      <alignment horizontal="center" vertical="center"/>
    </xf>
    <xf numFmtId="180" fontId="8" fillId="0" borderId="19" xfId="1" applyNumberFormat="1" applyFont="1" applyBorder="1" applyAlignment="1">
      <alignment horizontal="center" vertical="center"/>
    </xf>
    <xf numFmtId="180" fontId="8" fillId="4" borderId="19" xfId="1" applyNumberFormat="1" applyFont="1" applyFill="1" applyBorder="1" applyAlignment="1">
      <alignment horizontal="center" vertical="center"/>
    </xf>
    <xf numFmtId="180" fontId="8" fillId="0" borderId="0" xfId="1" applyNumberFormat="1" applyFont="1" applyAlignment="1">
      <alignment horizontal="center" vertical="center"/>
    </xf>
    <xf numFmtId="0" fontId="8" fillId="0" borderId="26" xfId="1" applyFont="1" applyBorder="1" applyAlignment="1">
      <alignment horizontal="center" vertical="center"/>
    </xf>
    <xf numFmtId="180" fontId="8" fillId="0" borderId="27" xfId="1" applyNumberFormat="1" applyFont="1" applyBorder="1" applyAlignment="1">
      <alignment horizontal="center" vertical="center"/>
    </xf>
    <xf numFmtId="180" fontId="8" fillId="0" borderId="28" xfId="1" applyNumberFormat="1" applyFont="1" applyBorder="1" applyAlignment="1">
      <alignment horizontal="center" vertical="center"/>
    </xf>
    <xf numFmtId="180" fontId="8" fillId="4" borderId="28" xfId="1" applyNumberFormat="1" applyFont="1" applyFill="1" applyBorder="1" applyAlignment="1">
      <alignment horizontal="center" vertical="center"/>
    </xf>
    <xf numFmtId="180" fontId="8" fillId="4" borderId="27" xfId="1" applyNumberFormat="1" applyFont="1" applyFill="1" applyBorder="1" applyAlignment="1">
      <alignment horizontal="center" vertical="center"/>
    </xf>
    <xf numFmtId="180" fontId="8" fillId="0" borderId="25" xfId="1" applyNumberFormat="1" applyFont="1" applyFill="1" applyBorder="1" applyAlignment="1">
      <alignment horizontal="center" vertical="center"/>
    </xf>
    <xf numFmtId="0" fontId="8" fillId="0" borderId="29" xfId="1" applyFont="1" applyBorder="1" applyAlignment="1">
      <alignment horizontal="center" vertical="center"/>
    </xf>
    <xf numFmtId="180" fontId="8" fillId="0" borderId="30" xfId="1" applyNumberFormat="1" applyFont="1" applyBorder="1" applyAlignment="1">
      <alignment horizontal="center" vertical="center"/>
    </xf>
    <xf numFmtId="180" fontId="8" fillId="0" borderId="21" xfId="1" applyNumberFormat="1" applyFont="1" applyBorder="1" applyAlignment="1">
      <alignment horizontal="center" vertical="center" wrapText="1"/>
    </xf>
    <xf numFmtId="180" fontId="8" fillId="0" borderId="25" xfId="1" applyNumberFormat="1" applyFont="1" applyBorder="1" applyAlignment="1">
      <alignment horizontal="center" vertical="center" wrapText="1"/>
    </xf>
    <xf numFmtId="180" fontId="8" fillId="0" borderId="27" xfId="1" applyNumberFormat="1" applyFont="1" applyBorder="1" applyAlignment="1">
      <alignment horizontal="center" vertical="center" wrapText="1"/>
    </xf>
    <xf numFmtId="180" fontId="8" fillId="0" borderId="27" xfId="1" applyNumberFormat="1" applyFont="1" applyFill="1" applyBorder="1" applyAlignment="1">
      <alignment horizontal="center" vertical="center"/>
    </xf>
    <xf numFmtId="0" fontId="8" fillId="0" borderId="31" xfId="1" applyFont="1" applyBorder="1" applyAlignment="1">
      <alignment horizontal="center" vertical="center"/>
    </xf>
    <xf numFmtId="180" fontId="8" fillId="0" borderId="22" xfId="1" applyNumberFormat="1" applyFont="1" applyBorder="1" applyAlignment="1">
      <alignment horizontal="center" vertical="center" wrapText="1"/>
    </xf>
    <xf numFmtId="180" fontId="8" fillId="0" borderId="22" xfId="1" applyNumberFormat="1" applyFont="1" applyBorder="1" applyAlignment="1">
      <alignment horizontal="center" wrapText="1"/>
    </xf>
    <xf numFmtId="180" fontId="8" fillId="0" borderId="22" xfId="1" applyNumberFormat="1" applyFont="1" applyFill="1" applyBorder="1" applyAlignment="1">
      <alignment horizontal="center" vertical="center"/>
    </xf>
    <xf numFmtId="0" fontId="8" fillId="0" borderId="32" xfId="1" applyFont="1" applyBorder="1" applyAlignment="1">
      <alignment horizontal="center" vertical="center"/>
    </xf>
    <xf numFmtId="180" fontId="8" fillId="0" borderId="33" xfId="1" applyNumberFormat="1" applyFont="1" applyBorder="1" applyAlignment="1">
      <alignment horizontal="center" vertical="center"/>
    </xf>
    <xf numFmtId="180" fontId="8" fillId="0" borderId="25" xfId="1" applyNumberFormat="1" applyFont="1" applyBorder="1" applyAlignment="1">
      <alignment horizontal="center" wrapText="1"/>
    </xf>
    <xf numFmtId="180" fontId="8" fillId="0" borderId="27" xfId="1" applyNumberFormat="1" applyFont="1" applyBorder="1" applyAlignment="1">
      <alignment horizontal="center" wrapText="1"/>
    </xf>
    <xf numFmtId="0" fontId="8" fillId="0" borderId="34" xfId="1" applyFont="1" applyBorder="1" applyAlignment="1">
      <alignment horizontal="center" vertical="center"/>
    </xf>
    <xf numFmtId="0" fontId="8" fillId="0" borderId="0" xfId="1" applyFont="1" applyAlignment="1">
      <alignment horizontal="center" vertical="center"/>
    </xf>
    <xf numFmtId="0" fontId="8" fillId="0" borderId="35" xfId="1" applyFont="1" applyBorder="1" applyAlignment="1">
      <alignment horizontal="center" vertical="center"/>
    </xf>
    <xf numFmtId="181" fontId="8" fillId="0" borderId="0" xfId="1" applyNumberFormat="1" applyFont="1" applyAlignment="1">
      <alignment horizontal="center" vertical="center"/>
    </xf>
    <xf numFmtId="0" fontId="8" fillId="0" borderId="36" xfId="1" applyFont="1" applyBorder="1" applyAlignment="1">
      <alignment vertical="center"/>
    </xf>
    <xf numFmtId="180" fontId="8" fillId="0" borderId="0" xfId="1" applyNumberFormat="1" applyFont="1" applyAlignment="1">
      <alignment vertical="center"/>
    </xf>
    <xf numFmtId="182" fontId="8" fillId="0" borderId="19" xfId="1" applyNumberFormat="1" applyFont="1" applyFill="1" applyBorder="1" applyAlignment="1">
      <alignment horizontal="center" vertical="center"/>
    </xf>
    <xf numFmtId="0" fontId="13" fillId="0" borderId="0" xfId="1" applyFont="1" applyAlignment="1">
      <alignment vertical="center"/>
    </xf>
    <xf numFmtId="0" fontId="13" fillId="0" borderId="0" xfId="1" applyFont="1"/>
    <xf numFmtId="0" fontId="13" fillId="0" borderId="0" xfId="1" applyFont="1" applyAlignment="1">
      <alignment horizontal="center" vertical="center"/>
    </xf>
    <xf numFmtId="0" fontId="15" fillId="0" borderId="0" xfId="1" applyFont="1" applyAlignment="1">
      <alignment horizontal="center" vertical="center"/>
    </xf>
    <xf numFmtId="0" fontId="16" fillId="0" borderId="0" xfId="1" applyFont="1" applyAlignment="1">
      <alignment horizontal="center" vertical="center"/>
    </xf>
    <xf numFmtId="0" fontId="17" fillId="0" borderId="0" xfId="1" applyFont="1" applyAlignment="1">
      <alignment vertical="center" wrapText="1"/>
    </xf>
    <xf numFmtId="0" fontId="15" fillId="0" borderId="0" xfId="1" applyFont="1" applyAlignment="1">
      <alignment vertical="center"/>
    </xf>
    <xf numFmtId="0" fontId="18" fillId="0" borderId="0" xfId="1" applyFont="1" applyAlignment="1">
      <alignment horizontal="right" vertical="center"/>
    </xf>
    <xf numFmtId="0" fontId="19" fillId="0" borderId="0" xfId="1" applyFont="1" applyAlignment="1">
      <alignment vertical="center"/>
    </xf>
    <xf numFmtId="3" fontId="11" fillId="0" borderId="0" xfId="1" applyNumberFormat="1" applyFont="1" applyAlignment="1">
      <alignment horizontal="center" vertical="center"/>
    </xf>
    <xf numFmtId="0" fontId="13" fillId="0" borderId="0" xfId="1" applyFont="1" applyAlignment="1">
      <alignment horizontal="center"/>
    </xf>
    <xf numFmtId="0" fontId="13" fillId="2" borderId="0" xfId="1" applyFont="1" applyFill="1"/>
    <xf numFmtId="0" fontId="13" fillId="2" borderId="0" xfId="1" applyFont="1" applyFill="1" applyBorder="1"/>
    <xf numFmtId="0" fontId="14" fillId="2" borderId="0" xfId="1" applyFont="1" applyFill="1"/>
    <xf numFmtId="0" fontId="17" fillId="2" borderId="3" xfId="1" applyFont="1" applyFill="1" applyBorder="1" applyAlignment="1">
      <alignment horizontal="center" vertical="center"/>
    </xf>
    <xf numFmtId="0" fontId="22" fillId="2" borderId="3" xfId="1" applyFont="1" applyFill="1" applyBorder="1" applyAlignment="1">
      <alignment horizontal="center" vertical="center"/>
    </xf>
    <xf numFmtId="0" fontId="13" fillId="2" borderId="3" xfId="1" applyFont="1" applyFill="1" applyBorder="1"/>
    <xf numFmtId="0" fontId="20" fillId="2" borderId="3" xfId="1" applyFont="1" applyFill="1" applyBorder="1" applyAlignment="1">
      <alignment horizontal="center" vertical="top" wrapText="1"/>
    </xf>
    <xf numFmtId="183" fontId="22" fillId="2" borderId="3" xfId="2" applyNumberFormat="1" applyFont="1" applyFill="1" applyBorder="1" applyAlignment="1">
      <alignment horizontal="center" vertical="center"/>
    </xf>
    <xf numFmtId="0" fontId="20" fillId="2" borderId="0" xfId="1" applyFont="1" applyFill="1"/>
    <xf numFmtId="179" fontId="22" fillId="2" borderId="3" xfId="1" applyNumberFormat="1" applyFont="1" applyFill="1" applyBorder="1" applyAlignment="1">
      <alignment horizontal="center" vertical="center"/>
    </xf>
    <xf numFmtId="0" fontId="22" fillId="2" borderId="3" xfId="0" applyFont="1" applyFill="1" applyBorder="1" applyAlignment="1">
      <alignment horizontal="center" vertical="center"/>
    </xf>
    <xf numFmtId="178" fontId="13" fillId="2" borderId="0" xfId="1" applyNumberFormat="1" applyFont="1" applyFill="1"/>
    <xf numFmtId="0" fontId="25" fillId="2" borderId="3" xfId="1" applyFont="1" applyFill="1" applyBorder="1" applyAlignment="1">
      <alignment horizontal="center" vertical="center" wrapText="1"/>
    </xf>
    <xf numFmtId="0" fontId="20" fillId="2" borderId="3" xfId="1" applyFont="1" applyFill="1" applyBorder="1" applyAlignment="1">
      <alignment horizontal="center" vertical="top"/>
    </xf>
    <xf numFmtId="183" fontId="22" fillId="2" borderId="4" xfId="2" applyNumberFormat="1" applyFont="1" applyFill="1" applyBorder="1" applyAlignment="1">
      <alignment horizontal="center" vertical="center"/>
    </xf>
    <xf numFmtId="0" fontId="20" fillId="2" borderId="7" xfId="1" applyFont="1" applyFill="1" applyBorder="1" applyAlignment="1">
      <alignment horizontal="center" vertical="center"/>
    </xf>
    <xf numFmtId="0" fontId="20" fillId="2" borderId="39" xfId="1" applyFont="1" applyFill="1" applyBorder="1" applyAlignment="1">
      <alignment horizontal="center" vertical="center"/>
    </xf>
    <xf numFmtId="0" fontId="22" fillId="2" borderId="2" xfId="0" applyFont="1" applyFill="1" applyBorder="1" applyAlignment="1">
      <alignment horizontal="center" vertical="center"/>
    </xf>
    <xf numFmtId="20" fontId="17" fillId="2" borderId="8" xfId="1" applyNumberFormat="1" applyFont="1" applyFill="1" applyBorder="1" applyAlignment="1">
      <alignment horizontal="center" vertical="center"/>
    </xf>
    <xf numFmtId="0" fontId="20" fillId="2" borderId="8" xfId="1" applyFont="1" applyFill="1" applyBorder="1" applyAlignment="1">
      <alignment horizontal="center" vertical="center"/>
    </xf>
    <xf numFmtId="0" fontId="22" fillId="2" borderId="8" xfId="0" applyFont="1" applyFill="1" applyBorder="1" applyAlignment="1">
      <alignment horizontal="center" vertical="center"/>
    </xf>
    <xf numFmtId="0" fontId="17" fillId="2" borderId="4" xfId="1" applyFont="1" applyFill="1" applyBorder="1" applyAlignment="1">
      <alignment horizontal="center" vertical="center"/>
    </xf>
    <xf numFmtId="0" fontId="22" fillId="2" borderId="40" xfId="1" applyFont="1" applyFill="1" applyBorder="1" applyAlignment="1">
      <alignment horizontal="center" vertical="center"/>
    </xf>
    <xf numFmtId="0" fontId="27" fillId="2" borderId="40" xfId="1" applyFont="1" applyFill="1" applyBorder="1" applyAlignment="1">
      <alignment horizontal="center" vertical="center"/>
    </xf>
    <xf numFmtId="0" fontId="22" fillId="2" borderId="3" xfId="1" applyFont="1" applyFill="1" applyBorder="1" applyAlignment="1">
      <alignment horizontal="center" vertical="top"/>
    </xf>
    <xf numFmtId="0" fontId="27" fillId="2" borderId="3" xfId="1" applyFont="1" applyFill="1" applyBorder="1" applyAlignment="1">
      <alignment horizontal="center" vertical="top"/>
    </xf>
    <xf numFmtId="183" fontId="27" fillId="2" borderId="3" xfId="2" applyNumberFormat="1" applyFont="1" applyFill="1" applyBorder="1" applyAlignment="1">
      <alignment horizontal="center" vertical="center"/>
    </xf>
    <xf numFmtId="183" fontId="22" fillId="2" borderId="3" xfId="1" applyNumberFormat="1" applyFont="1" applyFill="1" applyBorder="1" applyAlignment="1">
      <alignment horizontal="center" vertical="center" wrapText="1"/>
    </xf>
    <xf numFmtId="183" fontId="27" fillId="2" borderId="3" xfId="1" applyNumberFormat="1" applyFont="1" applyFill="1" applyBorder="1" applyAlignment="1">
      <alignment horizontal="center" vertical="center" wrapText="1"/>
    </xf>
    <xf numFmtId="0" fontId="27" fillId="2" borderId="3" xfId="0" applyFont="1" applyFill="1" applyBorder="1" applyAlignment="1">
      <alignment horizontal="center" vertical="center"/>
    </xf>
    <xf numFmtId="0" fontId="28" fillId="2" borderId="1" xfId="1" applyFont="1" applyFill="1" applyBorder="1" applyAlignment="1">
      <alignment horizontal="center" vertical="center"/>
    </xf>
    <xf numFmtId="178" fontId="13" fillId="2" borderId="0" xfId="1" applyNumberFormat="1" applyFont="1" applyFill="1" applyAlignment="1">
      <alignment wrapText="1"/>
    </xf>
    <xf numFmtId="0" fontId="20" fillId="2" borderId="3" xfId="1" applyFont="1" applyFill="1" applyBorder="1" applyAlignment="1">
      <alignment horizontal="center" vertical="center" wrapText="1"/>
    </xf>
    <xf numFmtId="0" fontId="20" fillId="2" borderId="11" xfId="1" applyFont="1" applyFill="1" applyBorder="1" applyAlignment="1">
      <alignment horizontal="center" vertical="center" wrapText="1"/>
    </xf>
    <xf numFmtId="0" fontId="20" fillId="2" borderId="5" xfId="1" applyFont="1" applyFill="1" applyBorder="1" applyAlignment="1">
      <alignment horizontal="center" vertical="center"/>
    </xf>
    <xf numFmtId="0" fontId="15" fillId="2" borderId="12" xfId="1" applyFont="1" applyFill="1" applyBorder="1" applyAlignment="1">
      <alignment horizontal="center" vertical="center" wrapText="1"/>
    </xf>
    <xf numFmtId="178" fontId="20" fillId="2" borderId="11" xfId="1" applyNumberFormat="1" applyFont="1" applyFill="1" applyBorder="1" applyAlignment="1">
      <alignment horizontal="center" vertical="center" wrapText="1"/>
    </xf>
    <xf numFmtId="179" fontId="13" fillId="2" borderId="0" xfId="1" applyNumberFormat="1" applyFont="1" applyFill="1"/>
    <xf numFmtId="9" fontId="13" fillId="2" borderId="0" xfId="5" applyFont="1" applyFill="1"/>
    <xf numFmtId="0" fontId="13" fillId="2" borderId="0" xfId="1" applyFont="1" applyFill="1" applyAlignment="1">
      <alignment horizontal="left" vertical="center"/>
    </xf>
    <xf numFmtId="0" fontId="26" fillId="2" borderId="3" xfId="1" applyFont="1" applyFill="1" applyBorder="1" applyAlignment="1">
      <alignment horizontal="center" vertical="top"/>
    </xf>
    <xf numFmtId="0" fontId="29" fillId="2" borderId="3" xfId="1" applyFont="1" applyFill="1" applyBorder="1" applyAlignment="1">
      <alignment horizontal="center" vertical="center" wrapText="1"/>
    </xf>
    <xf numFmtId="183" fontId="30" fillId="2" borderId="4" xfId="2" applyNumberFormat="1" applyFont="1" applyFill="1" applyBorder="1" applyAlignment="1">
      <alignment horizontal="center" vertical="center"/>
    </xf>
    <xf numFmtId="179" fontId="30" fillId="2" borderId="3" xfId="1" applyNumberFormat="1" applyFont="1" applyFill="1" applyBorder="1" applyAlignment="1">
      <alignment horizontal="center" vertical="center"/>
    </xf>
    <xf numFmtId="0" fontId="30" fillId="2" borderId="3" xfId="0" applyFont="1" applyFill="1" applyBorder="1" applyAlignment="1">
      <alignment horizontal="center" vertical="center"/>
    </xf>
    <xf numFmtId="183" fontId="30" fillId="2" borderId="3" xfId="2" applyNumberFormat="1" applyFont="1" applyFill="1" applyBorder="1" applyAlignment="1">
      <alignment horizontal="center" vertical="center"/>
    </xf>
    <xf numFmtId="0" fontId="30" fillId="2" borderId="2" xfId="0" applyFont="1" applyFill="1" applyBorder="1" applyAlignment="1">
      <alignment horizontal="center" vertical="center"/>
    </xf>
    <xf numFmtId="0" fontId="13" fillId="0" borderId="0" xfId="1" applyFont="1" applyAlignment="1" applyProtection="1">
      <alignment vertical="center"/>
      <protection locked="0"/>
    </xf>
    <xf numFmtId="0" fontId="13" fillId="0" borderId="0" xfId="1" applyFont="1" applyProtection="1">
      <protection locked="0"/>
    </xf>
    <xf numFmtId="0" fontId="12" fillId="0" borderId="23" xfId="1" applyFont="1" applyBorder="1" applyAlignment="1" applyProtection="1">
      <alignment vertical="center"/>
      <protection locked="0"/>
    </xf>
    <xf numFmtId="0" fontId="13" fillId="0" borderId="46" xfId="1" applyFont="1" applyBorder="1" applyAlignment="1" applyProtection="1">
      <alignment horizontal="center" vertical="center"/>
      <protection locked="0"/>
    </xf>
    <xf numFmtId="0" fontId="13" fillId="0" borderId="47" xfId="1" applyFont="1" applyBorder="1" applyAlignment="1" applyProtection="1">
      <alignment horizontal="center" vertical="center"/>
      <protection locked="0"/>
    </xf>
    <xf numFmtId="0" fontId="13" fillId="0" borderId="48" xfId="1" applyFont="1" applyBorder="1" applyAlignment="1" applyProtection="1">
      <alignment horizontal="center" vertical="center"/>
      <protection locked="0"/>
    </xf>
    <xf numFmtId="0" fontId="13" fillId="0" borderId="49" xfId="1" applyFont="1" applyBorder="1" applyAlignment="1" applyProtection="1">
      <alignment horizontal="center" vertical="center"/>
      <protection locked="0"/>
    </xf>
    <xf numFmtId="0" fontId="14" fillId="0" borderId="50" xfId="1" applyFont="1" applyBorder="1" applyAlignment="1" applyProtection="1">
      <alignment horizontal="center" vertical="center"/>
      <protection locked="0"/>
    </xf>
    <xf numFmtId="0" fontId="18" fillId="0" borderId="51" xfId="1" applyFont="1" applyBorder="1" applyAlignment="1" applyProtection="1">
      <alignment horizontal="center" vertical="center"/>
      <protection locked="0"/>
    </xf>
    <xf numFmtId="0" fontId="18" fillId="0" borderId="52" xfId="1" applyFont="1" applyBorder="1" applyAlignment="1" applyProtection="1">
      <alignment vertical="center"/>
      <protection locked="0"/>
    </xf>
    <xf numFmtId="0" fontId="18" fillId="0" borderId="53" xfId="1" applyFont="1" applyBorder="1" applyAlignment="1" applyProtection="1">
      <alignment vertical="center"/>
      <protection locked="0"/>
    </xf>
    <xf numFmtId="0" fontId="18" fillId="0" borderId="51" xfId="1" applyFont="1" applyFill="1" applyBorder="1" applyAlignment="1" applyProtection="1">
      <alignment horizontal="center" vertical="center"/>
      <protection locked="0"/>
    </xf>
    <xf numFmtId="0" fontId="18" fillId="0" borderId="54" xfId="1" applyFont="1" applyBorder="1" applyAlignment="1" applyProtection="1">
      <alignment vertical="center"/>
      <protection locked="0"/>
    </xf>
    <xf numFmtId="0" fontId="18" fillId="2" borderId="54" xfId="1" applyFont="1" applyFill="1" applyBorder="1" applyAlignment="1" applyProtection="1">
      <alignment vertical="center"/>
      <protection locked="0"/>
    </xf>
    <xf numFmtId="0" fontId="18" fillId="2" borderId="52" xfId="1" applyFont="1" applyFill="1" applyBorder="1" applyAlignment="1" applyProtection="1">
      <alignment vertical="center"/>
      <protection locked="0"/>
    </xf>
    <xf numFmtId="0" fontId="18" fillId="2" borderId="53" xfId="1" applyFont="1" applyFill="1" applyBorder="1" applyAlignment="1" applyProtection="1">
      <alignment vertical="center"/>
      <protection locked="0"/>
    </xf>
    <xf numFmtId="0" fontId="18" fillId="2" borderId="51" xfId="1" applyFont="1" applyFill="1" applyBorder="1" applyAlignment="1" applyProtection="1">
      <alignment horizontal="center" vertical="center"/>
      <protection locked="0"/>
    </xf>
    <xf numFmtId="0" fontId="18" fillId="2" borderId="57" xfId="1" applyFont="1" applyFill="1" applyBorder="1" applyAlignment="1" applyProtection="1">
      <alignment horizontal="center" vertical="center"/>
      <protection locked="0"/>
    </xf>
    <xf numFmtId="0" fontId="18" fillId="0" borderId="58" xfId="1" applyFont="1" applyFill="1" applyBorder="1" applyAlignment="1" applyProtection="1">
      <alignment horizontal="center" vertical="center"/>
      <protection locked="0"/>
    </xf>
    <xf numFmtId="0" fontId="18" fillId="0" borderId="59" xfId="1" applyFont="1" applyBorder="1" applyAlignment="1" applyProtection="1">
      <alignment vertical="center"/>
      <protection locked="0"/>
    </xf>
    <xf numFmtId="0" fontId="18" fillId="0" borderId="58" xfId="1" applyFont="1" applyBorder="1" applyAlignment="1" applyProtection="1">
      <alignment horizontal="center" vertical="center"/>
      <protection locked="0"/>
    </xf>
    <xf numFmtId="0" fontId="18" fillId="0" borderId="63" xfId="1" applyFont="1" applyBorder="1" applyAlignment="1" applyProtection="1">
      <alignment vertical="center"/>
      <protection locked="0"/>
    </xf>
    <xf numFmtId="0" fontId="18" fillId="2" borderId="54" xfId="1" applyFont="1" applyFill="1" applyBorder="1" applyAlignment="1" applyProtection="1">
      <alignment vertical="center"/>
    </xf>
    <xf numFmtId="0" fontId="18" fillId="2" borderId="53" xfId="1" applyFont="1" applyFill="1" applyBorder="1" applyAlignment="1" applyProtection="1">
      <alignment vertical="center"/>
    </xf>
    <xf numFmtId="184" fontId="13" fillId="2" borderId="0" xfId="1" applyNumberFormat="1" applyFont="1" applyFill="1"/>
    <xf numFmtId="9" fontId="11" fillId="0" borderId="0" xfId="1" applyNumberFormat="1" applyFont="1" applyAlignment="1">
      <alignment horizontal="center" vertical="center"/>
    </xf>
    <xf numFmtId="0" fontId="11" fillId="0" borderId="0" xfId="1" applyFont="1" applyAlignment="1">
      <alignment horizontal="center" vertical="center"/>
    </xf>
    <xf numFmtId="0" fontId="15" fillId="2" borderId="3" xfId="1" applyFont="1" applyFill="1" applyBorder="1" applyAlignment="1">
      <alignment horizontal="center" vertical="top"/>
    </xf>
    <xf numFmtId="0" fontId="13" fillId="0" borderId="0" xfId="1" applyFont="1" applyAlignment="1">
      <alignment horizontal="right" vertical="center"/>
    </xf>
    <xf numFmtId="0" fontId="32" fillId="0" borderId="0" xfId="1" applyFont="1"/>
    <xf numFmtId="0" fontId="22" fillId="2" borderId="3" xfId="1" applyFont="1" applyFill="1" applyBorder="1" applyAlignment="1">
      <alignment horizontal="center" vertical="top" wrapText="1"/>
    </xf>
    <xf numFmtId="0" fontId="17" fillId="2" borderId="3" xfId="1" applyFont="1" applyFill="1" applyBorder="1" applyAlignment="1">
      <alignment horizontal="center" vertical="top" wrapText="1"/>
    </xf>
    <xf numFmtId="0" fontId="17" fillId="2" borderId="3" xfId="1" applyFont="1" applyFill="1" applyBorder="1" applyAlignment="1">
      <alignment horizontal="center" vertical="top"/>
    </xf>
    <xf numFmtId="0" fontId="33" fillId="2" borderId="3" xfId="1" applyFont="1" applyFill="1" applyBorder="1" applyAlignment="1">
      <alignment horizontal="center" vertical="top"/>
    </xf>
    <xf numFmtId="0" fontId="20" fillId="2" borderId="3" xfId="1" applyFont="1" applyFill="1" applyBorder="1" applyAlignment="1">
      <alignment horizontal="center" vertical="center"/>
    </xf>
    <xf numFmtId="0" fontId="15" fillId="2" borderId="5" xfId="1" applyFont="1" applyFill="1" applyBorder="1" applyAlignment="1">
      <alignment horizontal="center" vertical="center" wrapText="1"/>
    </xf>
    <xf numFmtId="0" fontId="13" fillId="2" borderId="0" xfId="1" applyFont="1" applyFill="1" applyAlignment="1">
      <alignment horizontal="center" vertical="center"/>
    </xf>
    <xf numFmtId="0" fontId="13" fillId="2" borderId="0" xfId="1" applyFont="1" applyFill="1" applyAlignment="1">
      <alignment horizontal="center" vertical="center"/>
    </xf>
    <xf numFmtId="0" fontId="15" fillId="2" borderId="5" xfId="1" applyFont="1" applyFill="1" applyBorder="1" applyAlignment="1">
      <alignment horizontal="center" vertical="center" wrapText="1"/>
    </xf>
    <xf numFmtId="0" fontId="20" fillId="2" borderId="3" xfId="1" applyFont="1" applyFill="1" applyBorder="1" applyAlignment="1">
      <alignment horizontal="center" vertical="center"/>
    </xf>
    <xf numFmtId="0" fontId="20" fillId="2" borderId="3" xfId="1" applyFont="1" applyFill="1" applyBorder="1" applyAlignment="1">
      <alignment horizontal="center" vertical="center"/>
    </xf>
    <xf numFmtId="0" fontId="15" fillId="2" borderId="5" xfId="1" applyFont="1" applyFill="1" applyBorder="1" applyAlignment="1">
      <alignment horizontal="center" vertical="center" wrapText="1"/>
    </xf>
    <xf numFmtId="0" fontId="13" fillId="2" borderId="0" xfId="1" applyFont="1" applyFill="1" applyAlignment="1">
      <alignment horizontal="center" vertical="center"/>
    </xf>
    <xf numFmtId="0" fontId="13" fillId="2" borderId="0" xfId="1" applyFont="1" applyFill="1" applyAlignment="1">
      <alignment horizontal="center" vertical="center"/>
    </xf>
    <xf numFmtId="0" fontId="15" fillId="2" borderId="5" xfId="1" applyFont="1" applyFill="1" applyBorder="1" applyAlignment="1">
      <alignment horizontal="center" vertical="center" wrapText="1"/>
    </xf>
    <xf numFmtId="0" fontId="20" fillId="2" borderId="3" xfId="1" applyFont="1" applyFill="1" applyBorder="1" applyAlignment="1">
      <alignment horizontal="center" vertical="center"/>
    </xf>
    <xf numFmtId="0" fontId="13" fillId="2" borderId="0" xfId="1" applyFont="1" applyFill="1" applyAlignment="1">
      <alignment horizontal="center" vertical="center"/>
    </xf>
    <xf numFmtId="0" fontId="15" fillId="2" borderId="5" xfId="1" applyFont="1" applyFill="1" applyBorder="1" applyAlignment="1">
      <alignment horizontal="center" vertical="center" wrapText="1"/>
    </xf>
    <xf numFmtId="0" fontId="20" fillId="2" borderId="3" xfId="1" applyFont="1" applyFill="1" applyBorder="1" applyAlignment="1">
      <alignment horizontal="center" vertical="center"/>
    </xf>
    <xf numFmtId="0" fontId="13" fillId="2" borderId="0" xfId="1" applyFont="1" applyFill="1" applyAlignment="1">
      <alignment horizontal="center" vertical="center"/>
    </xf>
    <xf numFmtId="0" fontId="15" fillId="2" borderId="5" xfId="1" applyFont="1" applyFill="1" applyBorder="1" applyAlignment="1">
      <alignment horizontal="center" vertical="center" wrapText="1"/>
    </xf>
    <xf numFmtId="0" fontId="20" fillId="2" borderId="3" xfId="1" applyFont="1" applyFill="1" applyBorder="1" applyAlignment="1">
      <alignment horizontal="center" vertical="center"/>
    </xf>
    <xf numFmtId="0" fontId="19" fillId="0" borderId="0" xfId="1" applyFont="1" applyAlignment="1">
      <alignment horizontal="left" vertical="center"/>
    </xf>
    <xf numFmtId="0" fontId="13" fillId="0" borderId="0" xfId="1" applyFont="1" applyAlignment="1">
      <alignment horizontal="right" vertical="center"/>
    </xf>
    <xf numFmtId="0" fontId="12" fillId="0" borderId="0" xfId="1" applyFont="1" applyBorder="1" applyAlignment="1" applyProtection="1">
      <alignment horizontal="center" vertical="center"/>
      <protection locked="0"/>
    </xf>
    <xf numFmtId="0" fontId="20" fillId="0" borderId="55" xfId="1" applyFont="1" applyBorder="1" applyAlignment="1" applyProtection="1">
      <alignment horizontal="left" vertical="top" wrapText="1"/>
      <protection locked="0"/>
    </xf>
    <xf numFmtId="0" fontId="20" fillId="0" borderId="56" xfId="1" applyFont="1" applyBorder="1" applyAlignment="1" applyProtection="1">
      <alignment horizontal="left" vertical="top" wrapText="1"/>
      <protection locked="0"/>
    </xf>
    <xf numFmtId="0" fontId="20" fillId="0" borderId="60" xfId="1" applyFont="1" applyBorder="1" applyAlignment="1" applyProtection="1">
      <alignment horizontal="left" vertical="top" wrapText="1"/>
      <protection locked="0"/>
    </xf>
    <xf numFmtId="49" fontId="11" fillId="0" borderId="64" xfId="1" applyNumberFormat="1" applyFont="1" applyBorder="1" applyAlignment="1">
      <alignment horizontal="center" vertical="center" wrapText="1"/>
    </xf>
    <xf numFmtId="9" fontId="11" fillId="0" borderId="0" xfId="1" applyNumberFormat="1" applyFont="1" applyAlignment="1">
      <alignment horizontal="center" vertical="center"/>
    </xf>
    <xf numFmtId="0" fontId="11" fillId="0" borderId="0" xfId="1" applyFont="1" applyAlignment="1">
      <alignment horizontal="center" vertical="center"/>
    </xf>
    <xf numFmtId="0" fontId="17" fillId="2" borderId="40" xfId="1" applyFont="1" applyFill="1" applyBorder="1" applyAlignment="1">
      <alignment horizontal="center" vertical="center"/>
    </xf>
    <xf numFmtId="0" fontId="17" fillId="2" borderId="1" xfId="1" applyFont="1" applyFill="1" applyBorder="1" applyAlignment="1">
      <alignment horizontal="center" vertical="center"/>
    </xf>
    <xf numFmtId="0" fontId="17" fillId="2" borderId="41" xfId="1" applyFont="1" applyFill="1" applyBorder="1" applyAlignment="1">
      <alignment horizontal="center" vertical="center"/>
    </xf>
    <xf numFmtId="0" fontId="20" fillId="2" borderId="37" xfId="1" applyNumberFormat="1" applyFont="1" applyFill="1" applyBorder="1" applyAlignment="1">
      <alignment horizontal="left" vertical="top" wrapText="1"/>
    </xf>
    <xf numFmtId="0" fontId="31" fillId="2" borderId="38" xfId="1" applyNumberFormat="1" applyFont="1" applyFill="1" applyBorder="1" applyAlignment="1">
      <alignment horizontal="left" vertical="top" wrapText="1"/>
    </xf>
    <xf numFmtId="0" fontId="31" fillId="2" borderId="39" xfId="1" applyNumberFormat="1" applyFont="1" applyFill="1" applyBorder="1" applyAlignment="1">
      <alignment horizontal="left" vertical="top" wrapText="1"/>
    </xf>
    <xf numFmtId="0" fontId="31" fillId="2" borderId="18" xfId="1" applyNumberFormat="1" applyFont="1" applyFill="1" applyBorder="1" applyAlignment="1">
      <alignment horizontal="left" vertical="top" wrapText="1"/>
    </xf>
    <xf numFmtId="0" fontId="31" fillId="2" borderId="0" xfId="1" applyNumberFormat="1" applyFont="1" applyFill="1" applyBorder="1" applyAlignment="1">
      <alignment horizontal="left" vertical="top" wrapText="1"/>
    </xf>
    <xf numFmtId="0" fontId="31" fillId="2" borderId="36" xfId="1" applyNumberFormat="1" applyFont="1" applyFill="1" applyBorder="1" applyAlignment="1">
      <alignment horizontal="left" vertical="top" wrapText="1"/>
    </xf>
    <xf numFmtId="0" fontId="31" fillId="2" borderId="40" xfId="1" applyNumberFormat="1" applyFont="1" applyFill="1" applyBorder="1" applyAlignment="1">
      <alignment horizontal="left" vertical="top" wrapText="1"/>
    </xf>
    <xf numFmtId="0" fontId="31" fillId="2" borderId="1" xfId="1" applyNumberFormat="1" applyFont="1" applyFill="1" applyBorder="1" applyAlignment="1">
      <alignment horizontal="left" vertical="top" wrapText="1"/>
    </xf>
    <xf numFmtId="0" fontId="31" fillId="2" borderId="41" xfId="1" applyNumberFormat="1" applyFont="1" applyFill="1" applyBorder="1" applyAlignment="1">
      <alignment horizontal="left" vertical="top" wrapText="1"/>
    </xf>
    <xf numFmtId="20" fontId="17" fillId="2" borderId="3" xfId="1" applyNumberFormat="1" applyFont="1" applyFill="1" applyBorder="1" applyAlignment="1">
      <alignment horizontal="center" vertical="center"/>
    </xf>
    <xf numFmtId="0" fontId="16" fillId="2" borderId="0" xfId="1" applyFont="1" applyFill="1" applyAlignment="1">
      <alignment horizontal="center"/>
    </xf>
    <xf numFmtId="0" fontId="21" fillId="2" borderId="0" xfId="1" applyFont="1" applyFill="1" applyBorder="1" applyAlignment="1">
      <alignment horizontal="center"/>
    </xf>
    <xf numFmtId="31" fontId="13" fillId="2" borderId="1" xfId="1" applyNumberFormat="1" applyFont="1" applyFill="1" applyBorder="1" applyAlignment="1">
      <alignment horizontal="right"/>
    </xf>
    <xf numFmtId="0" fontId="20" fillId="2" borderId="3" xfId="1" applyFont="1" applyFill="1" applyBorder="1" applyAlignment="1">
      <alignment horizontal="center" vertical="center"/>
    </xf>
    <xf numFmtId="0" fontId="14" fillId="2" borderId="10" xfId="1" applyFont="1" applyFill="1" applyBorder="1" applyAlignment="1">
      <alignment horizontal="center" vertical="center"/>
    </xf>
    <xf numFmtId="0" fontId="14" fillId="2" borderId="8" xfId="1" applyFont="1" applyFill="1" applyBorder="1" applyAlignment="1">
      <alignment horizontal="center" vertical="center"/>
    </xf>
    <xf numFmtId="0" fontId="14" fillId="2" borderId="9" xfId="1" applyFont="1" applyFill="1" applyBorder="1" applyAlignment="1">
      <alignment horizontal="center" vertical="center"/>
    </xf>
    <xf numFmtId="0" fontId="20" fillId="2" borderId="2" xfId="1" applyFont="1" applyFill="1" applyBorder="1" applyAlignment="1">
      <alignment horizontal="center" vertical="center"/>
    </xf>
    <xf numFmtId="0" fontId="20" fillId="2" borderId="4" xfId="1" applyFont="1" applyFill="1" applyBorder="1" applyAlignment="1">
      <alignment horizontal="center" vertical="center"/>
    </xf>
    <xf numFmtId="20" fontId="17" fillId="2" borderId="2" xfId="1" applyNumberFormat="1" applyFont="1" applyFill="1" applyBorder="1" applyAlignment="1">
      <alignment horizontal="center" vertical="center"/>
    </xf>
    <xf numFmtId="20" fontId="17" fillId="2" borderId="6" xfId="1" applyNumberFormat="1" applyFont="1" applyFill="1" applyBorder="1" applyAlignment="1">
      <alignment horizontal="center" vertical="center"/>
    </xf>
    <xf numFmtId="20" fontId="17" fillId="2" borderId="4" xfId="1" applyNumberFormat="1" applyFont="1" applyFill="1" applyBorder="1" applyAlignment="1">
      <alignment horizontal="center" vertical="center"/>
    </xf>
    <xf numFmtId="0" fontId="13" fillId="2" borderId="42" xfId="1" applyFont="1" applyFill="1" applyBorder="1" applyAlignment="1">
      <alignment horizontal="center"/>
    </xf>
    <xf numFmtId="0" fontId="13" fillId="2" borderId="43" xfId="1" applyFont="1" applyFill="1" applyBorder="1" applyAlignment="1">
      <alignment horizontal="center"/>
    </xf>
    <xf numFmtId="0" fontId="13" fillId="2" borderId="44" xfId="1" applyFont="1" applyFill="1" applyBorder="1" applyAlignment="1">
      <alignment horizontal="center"/>
    </xf>
    <xf numFmtId="0" fontId="13" fillId="2" borderId="45" xfId="1" applyFont="1" applyFill="1" applyBorder="1" applyAlignment="1">
      <alignment horizontal="center"/>
    </xf>
    <xf numFmtId="0" fontId="14" fillId="2" borderId="5" xfId="1" applyFont="1" applyFill="1" applyBorder="1" applyAlignment="1">
      <alignment horizontal="center" vertical="center"/>
    </xf>
    <xf numFmtId="0" fontId="14" fillId="2" borderId="37" xfId="1" applyFont="1" applyFill="1" applyBorder="1" applyAlignment="1">
      <alignment horizontal="center" vertical="center" wrapText="1"/>
    </xf>
    <xf numFmtId="0" fontId="14" fillId="2" borderId="39" xfId="1" applyFont="1" applyFill="1" applyBorder="1" applyAlignment="1">
      <alignment horizontal="center" vertical="center" wrapText="1"/>
    </xf>
    <xf numFmtId="0" fontId="14" fillId="2" borderId="40" xfId="1" applyFont="1" applyFill="1" applyBorder="1" applyAlignment="1">
      <alignment horizontal="center" vertical="center" wrapText="1"/>
    </xf>
    <xf numFmtId="0" fontId="14" fillId="2" borderId="41" xfId="1" applyFont="1" applyFill="1" applyBorder="1" applyAlignment="1">
      <alignment horizontal="center" vertical="center" wrapText="1"/>
    </xf>
    <xf numFmtId="179" fontId="20" fillId="2" borderId="2" xfId="1" applyNumberFormat="1" applyFont="1" applyFill="1" applyBorder="1" applyAlignment="1">
      <alignment horizontal="center" vertical="center" wrapText="1"/>
    </xf>
    <xf numFmtId="179" fontId="20" fillId="2" borderId="4" xfId="1" applyNumberFormat="1" applyFont="1" applyFill="1" applyBorder="1" applyAlignment="1">
      <alignment horizontal="center" vertical="center" wrapText="1"/>
    </xf>
    <xf numFmtId="178" fontId="20" fillId="2" borderId="13" xfId="3" applyNumberFormat="1" applyFont="1" applyFill="1" applyBorder="1" applyAlignment="1">
      <alignment horizontal="center" vertical="center"/>
    </xf>
    <xf numFmtId="178" fontId="20" fillId="2" borderId="15" xfId="3" applyNumberFormat="1" applyFont="1" applyFill="1" applyBorder="1" applyAlignment="1">
      <alignment horizontal="center" vertical="center"/>
    </xf>
    <xf numFmtId="178" fontId="20" fillId="2" borderId="14" xfId="3" applyNumberFormat="1" applyFont="1" applyFill="1" applyBorder="1" applyAlignment="1">
      <alignment horizontal="center" vertical="center"/>
    </xf>
    <xf numFmtId="178" fontId="20" fillId="2" borderId="16" xfId="3" applyNumberFormat="1" applyFont="1" applyFill="1" applyBorder="1" applyAlignment="1">
      <alignment horizontal="center" vertical="center"/>
    </xf>
    <xf numFmtId="0" fontId="13" fillId="2" borderId="10" xfId="1" applyFont="1" applyFill="1" applyBorder="1" applyAlignment="1">
      <alignment horizontal="center"/>
    </xf>
    <xf numFmtId="0" fontId="13" fillId="2" borderId="8" xfId="1" applyFont="1" applyFill="1" applyBorder="1" applyAlignment="1">
      <alignment horizontal="center"/>
    </xf>
    <xf numFmtId="0" fontId="13" fillId="2" borderId="9" xfId="1" applyFont="1" applyFill="1" applyBorder="1" applyAlignment="1">
      <alignment horizontal="center"/>
    </xf>
    <xf numFmtId="0" fontId="15" fillId="2" borderId="5" xfId="1" applyFont="1" applyFill="1" applyBorder="1" applyAlignment="1">
      <alignment horizontal="center" vertical="center" wrapText="1"/>
    </xf>
    <xf numFmtId="0" fontId="15" fillId="2" borderId="9" xfId="1" applyFont="1" applyFill="1" applyBorder="1" applyAlignment="1">
      <alignment horizontal="center" vertical="center" wrapText="1"/>
    </xf>
    <xf numFmtId="179" fontId="20" fillId="2" borderId="14" xfId="1" applyNumberFormat="1" applyFont="1" applyFill="1" applyBorder="1" applyAlignment="1">
      <alignment horizontal="center" vertical="center" wrapText="1"/>
    </xf>
    <xf numFmtId="179" fontId="20" fillId="2" borderId="16" xfId="1" applyNumberFormat="1" applyFont="1" applyFill="1" applyBorder="1" applyAlignment="1">
      <alignment horizontal="center" vertical="center" wrapText="1"/>
    </xf>
    <xf numFmtId="179" fontId="20" fillId="2" borderId="13" xfId="1" applyNumberFormat="1" applyFont="1" applyFill="1" applyBorder="1" applyAlignment="1">
      <alignment horizontal="center" vertical="center" wrapText="1"/>
    </xf>
    <xf numFmtId="179" fontId="20" fillId="2" borderId="15" xfId="1" applyNumberFormat="1" applyFont="1" applyFill="1" applyBorder="1" applyAlignment="1">
      <alignment horizontal="center" vertical="center" wrapText="1"/>
    </xf>
    <xf numFmtId="179" fontId="20" fillId="2" borderId="13" xfId="4" applyNumberFormat="1" applyFont="1" applyFill="1" applyBorder="1" applyAlignment="1">
      <alignment horizontal="center" vertical="center" wrapText="1"/>
    </xf>
    <xf numFmtId="179" fontId="20" fillId="2" borderId="15" xfId="4" applyNumberFormat="1" applyFont="1" applyFill="1" applyBorder="1" applyAlignment="1">
      <alignment horizontal="center" vertical="center" wrapText="1"/>
    </xf>
    <xf numFmtId="0" fontId="13" fillId="2" borderId="0" xfId="1" applyFont="1" applyFill="1" applyAlignment="1">
      <alignment horizontal="center" vertical="center"/>
    </xf>
    <xf numFmtId="178" fontId="14" fillId="2" borderId="0" xfId="1" applyNumberFormat="1" applyFont="1" applyFill="1" applyAlignment="1">
      <alignment horizontal="center" vertical="center"/>
    </xf>
    <xf numFmtId="179" fontId="20" fillId="2" borderId="2" xfId="1" applyNumberFormat="1" applyFont="1" applyFill="1" applyBorder="1" applyAlignment="1">
      <alignment horizontal="center" vertical="center"/>
    </xf>
    <xf numFmtId="179" fontId="20" fillId="2" borderId="4" xfId="1" applyNumberFormat="1" applyFont="1" applyFill="1" applyBorder="1" applyAlignment="1">
      <alignment horizontal="center" vertical="center"/>
    </xf>
    <xf numFmtId="179" fontId="20" fillId="2" borderId="13" xfId="1" applyNumberFormat="1" applyFont="1" applyFill="1" applyBorder="1" applyAlignment="1">
      <alignment horizontal="center" vertical="center"/>
    </xf>
    <xf numFmtId="179" fontId="20" fillId="2" borderId="15" xfId="1" applyNumberFormat="1" applyFont="1" applyFill="1" applyBorder="1" applyAlignment="1">
      <alignment horizontal="center" vertical="center"/>
    </xf>
    <xf numFmtId="179" fontId="20" fillId="2" borderId="14" xfId="1" applyNumberFormat="1" applyFont="1" applyFill="1" applyBorder="1" applyAlignment="1">
      <alignment horizontal="center" vertical="center"/>
    </xf>
    <xf numFmtId="179" fontId="20" fillId="2" borderId="16" xfId="1" applyNumberFormat="1" applyFont="1" applyFill="1" applyBorder="1" applyAlignment="1">
      <alignment horizontal="center" vertical="center"/>
    </xf>
    <xf numFmtId="178" fontId="20" fillId="2" borderId="2" xfId="1" applyNumberFormat="1" applyFont="1" applyFill="1" applyBorder="1" applyAlignment="1">
      <alignment horizontal="center" vertical="center"/>
    </xf>
    <xf numFmtId="178" fontId="20" fillId="2" borderId="4" xfId="1" applyNumberFormat="1" applyFont="1" applyFill="1" applyBorder="1" applyAlignment="1">
      <alignment horizontal="center" vertical="center"/>
    </xf>
    <xf numFmtId="179" fontId="20" fillId="2" borderId="37" xfId="1" applyNumberFormat="1" applyFont="1" applyFill="1" applyBorder="1" applyAlignment="1">
      <alignment horizontal="center" vertical="center"/>
    </xf>
    <xf numFmtId="179" fontId="20" fillId="2" borderId="61" xfId="1" applyNumberFormat="1" applyFont="1" applyFill="1" applyBorder="1" applyAlignment="1">
      <alignment horizontal="center" vertical="center"/>
    </xf>
    <xf numFmtId="179" fontId="20" fillId="2" borderId="40" xfId="1" applyNumberFormat="1" applyFont="1" applyFill="1" applyBorder="1" applyAlignment="1">
      <alignment horizontal="center" vertical="center"/>
    </xf>
    <xf numFmtId="179" fontId="20" fillId="2" borderId="62" xfId="1" applyNumberFormat="1" applyFont="1" applyFill="1" applyBorder="1" applyAlignment="1">
      <alignment horizontal="center" vertical="center"/>
    </xf>
    <xf numFmtId="0" fontId="13" fillId="2" borderId="38" xfId="1" applyFont="1" applyFill="1" applyBorder="1" applyAlignment="1">
      <alignment horizontal="center"/>
    </xf>
    <xf numFmtId="178" fontId="20" fillId="2" borderId="2" xfId="1" applyNumberFormat="1" applyFont="1" applyFill="1" applyBorder="1" applyAlignment="1">
      <alignment horizontal="center" vertical="center" wrapText="1"/>
    </xf>
    <xf numFmtId="178" fontId="20" fillId="2" borderId="4" xfId="1" applyNumberFormat="1" applyFont="1" applyFill="1" applyBorder="1" applyAlignment="1">
      <alignment horizontal="center" vertical="center" wrapText="1"/>
    </xf>
    <xf numFmtId="178" fontId="20" fillId="2" borderId="14" xfId="1" applyNumberFormat="1" applyFont="1" applyFill="1" applyBorder="1" applyAlignment="1">
      <alignment horizontal="center" vertical="center"/>
    </xf>
    <xf numFmtId="178" fontId="20" fillId="2" borderId="16" xfId="1" applyNumberFormat="1" applyFont="1" applyFill="1" applyBorder="1" applyAlignment="1">
      <alignment horizontal="center" vertical="center"/>
    </xf>
  </cellXfs>
  <cellStyles count="23">
    <cellStyle name="一般" xfId="0" builtinId="0"/>
    <cellStyle name="一般 2" xfId="1"/>
    <cellStyle name="一般 2 2" xfId="6"/>
    <cellStyle name="一般 3" xfId="2"/>
    <cellStyle name="千分位 2" xfId="3"/>
    <cellStyle name="千分位 2 2" xfId="7"/>
    <cellStyle name="千分位 2 2 2" xfId="9"/>
    <cellStyle name="千分位 2 2 2 2" xfId="13"/>
    <cellStyle name="千分位 2 2 2 2 2" xfId="21"/>
    <cellStyle name="千分位 2 2 2 3" xfId="17"/>
    <cellStyle name="千分位 2 2 3" xfId="11"/>
    <cellStyle name="千分位 2 2 3 2" xfId="19"/>
    <cellStyle name="千分位 2 2 4" xfId="15"/>
    <cellStyle name="百分比 2" xfId="5"/>
    <cellStyle name="貨幣 2" xfId="4"/>
    <cellStyle name="貨幣 2 2" xfId="8"/>
    <cellStyle name="貨幣 2 2 2" xfId="10"/>
    <cellStyle name="貨幣 2 2 2 2" xfId="14"/>
    <cellStyle name="貨幣 2 2 2 2 2" xfId="22"/>
    <cellStyle name="貨幣 2 2 2 3" xfId="18"/>
    <cellStyle name="貨幣 2 2 3" xfId="12"/>
    <cellStyle name="貨幣 2 2 3 2" xfId="20"/>
    <cellStyle name="貨幣 2 2 4" xfId="16"/>
  </cellStyles>
  <dxfs count="286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Medium9"/>
  <colors>
    <mruColors>
      <color rgb="FFFF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onnections" Target="connection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30480</xdr:colOff>
          <xdr:row>15</xdr:row>
          <xdr:rowOff>198120</xdr:rowOff>
        </xdr:from>
        <xdr:to>
          <xdr:col>15</xdr:col>
          <xdr:colOff>495300</xdr:colOff>
          <xdr:row>22</xdr:row>
          <xdr:rowOff>388620</xdr:rowOff>
        </xdr:to>
        <xdr:sp macro="" textlink="">
          <xdr:nvSpPr>
            <xdr:cNvPr id="2247681" name="CommandButton1" hidden="1">
              <a:extLst>
                <a:ext uri="{63B3BB69-23CF-44E3-9099-C40C66FF867C}">
                  <a14:compatExt spid="_x0000_s22476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22860</xdr:colOff>
          <xdr:row>25</xdr:row>
          <xdr:rowOff>60960</xdr:rowOff>
        </xdr:from>
        <xdr:to>
          <xdr:col>15</xdr:col>
          <xdr:colOff>548640</xdr:colOff>
          <xdr:row>32</xdr:row>
          <xdr:rowOff>0</xdr:rowOff>
        </xdr:to>
        <xdr:sp macro="" textlink="">
          <xdr:nvSpPr>
            <xdr:cNvPr id="2247682" name="CommandButton2" hidden="1">
              <a:extLst>
                <a:ext uri="{63B3BB69-23CF-44E3-9099-C40C66FF867C}">
                  <a14:compatExt spid="_x0000_s22476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866177" name="Button 1" hidden="1">
              <a:extLst>
                <a:ext uri="{63B3BB69-23CF-44E3-9099-C40C66FF867C}">
                  <a14:compatExt spid="_x0000_s28661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868225" name="Button 1" hidden="1">
              <a:extLst>
                <a:ext uri="{63B3BB69-23CF-44E3-9099-C40C66FF867C}">
                  <a14:compatExt spid="_x0000_s28682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869249" name="Button 1" hidden="1">
              <a:extLst>
                <a:ext uri="{63B3BB69-23CF-44E3-9099-C40C66FF867C}">
                  <a14:compatExt spid="_x0000_s28692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870273" name="Button 1" hidden="1">
              <a:extLst>
                <a:ext uri="{63B3BB69-23CF-44E3-9099-C40C66FF867C}">
                  <a14:compatExt spid="_x0000_s28702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871297" name="Button 1" hidden="1">
              <a:extLst>
                <a:ext uri="{63B3BB69-23CF-44E3-9099-C40C66FF867C}">
                  <a14:compatExt spid="_x0000_s28712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872321" name="Button 1" hidden="1">
              <a:extLst>
                <a:ext uri="{63B3BB69-23CF-44E3-9099-C40C66FF867C}">
                  <a14:compatExt spid="_x0000_s2872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873345" name="Button 1" hidden="1">
              <a:extLst>
                <a:ext uri="{63B3BB69-23CF-44E3-9099-C40C66FF867C}">
                  <a14:compatExt spid="_x0000_s28733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875393" name="Button 1" hidden="1">
              <a:extLst>
                <a:ext uri="{63B3BB69-23CF-44E3-9099-C40C66FF867C}">
                  <a14:compatExt spid="_x0000_s28753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877441" name="Button 1" hidden="1">
              <a:extLst>
                <a:ext uri="{63B3BB69-23CF-44E3-9099-C40C66FF867C}">
                  <a14:compatExt spid="_x0000_s28774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878465" name="Button 1" hidden="1">
              <a:extLst>
                <a:ext uri="{63B3BB69-23CF-44E3-9099-C40C66FF867C}">
                  <a14:compatExt spid="_x0000_s28784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879489" name="Button 1" hidden="1">
              <a:extLst>
                <a:ext uri="{63B3BB69-23CF-44E3-9099-C40C66FF867C}">
                  <a14:compatExt spid="_x0000_s28794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880513" name="Button 1" hidden="1">
              <a:extLst>
                <a:ext uri="{63B3BB69-23CF-44E3-9099-C40C66FF867C}">
                  <a14:compatExt spid="_x0000_s28805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881537" name="Button 1" hidden="1">
              <a:extLst>
                <a:ext uri="{63B3BB69-23CF-44E3-9099-C40C66FF867C}">
                  <a14:compatExt spid="_x0000_s28815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882561" name="Button 1" hidden="1">
              <a:extLst>
                <a:ext uri="{63B3BB69-23CF-44E3-9099-C40C66FF867C}">
                  <a14:compatExt spid="_x0000_s28825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884609" name="Button 1" hidden="1">
              <a:extLst>
                <a:ext uri="{63B3BB69-23CF-44E3-9099-C40C66FF867C}">
                  <a14:compatExt spid="_x0000_s28846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885633" name="Button 1" hidden="1">
              <a:extLst>
                <a:ext uri="{63B3BB69-23CF-44E3-9099-C40C66FF867C}">
                  <a14:compatExt spid="_x0000_s28856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886657" name="Button 1" hidden="1">
              <a:extLst>
                <a:ext uri="{63B3BB69-23CF-44E3-9099-C40C66FF867C}">
                  <a14:compatExt spid="_x0000_s28866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887681" name="Button 1" hidden="1">
              <a:extLst>
                <a:ext uri="{63B3BB69-23CF-44E3-9099-C40C66FF867C}">
                  <a14:compatExt spid="_x0000_s28876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888705" name="Button 1" hidden="1">
              <a:extLst>
                <a:ext uri="{63B3BB69-23CF-44E3-9099-C40C66FF867C}">
                  <a14:compatExt spid="_x0000_s28887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889729" name="Button 1" hidden="1">
              <a:extLst>
                <a:ext uri="{63B3BB69-23CF-44E3-9099-C40C66FF867C}">
                  <a14:compatExt spid="_x0000_s28897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890753" name="Button 1" hidden="1">
              <a:extLst>
                <a:ext uri="{63B3BB69-23CF-44E3-9099-C40C66FF867C}">
                  <a14:compatExt spid="_x0000_s28907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892801" name="Button 1" hidden="1">
              <a:extLst>
                <a:ext uri="{63B3BB69-23CF-44E3-9099-C40C66FF867C}">
                  <a14:compatExt spid="_x0000_s28928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取樣回收每月庫存表 0620更新" connectionId="15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2.xml><?xml version="1.0" encoding="utf-8"?>
<queryTable xmlns="http://schemas.openxmlformats.org/spreadsheetml/2006/main" name="取樣回收每月庫存表 0620更新" connectionId="1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3.xml><?xml version="1.0" encoding="utf-8"?>
<queryTable xmlns="http://schemas.openxmlformats.org/spreadsheetml/2006/main" name="取樣回收每月庫存表 0620更新" connectionId="12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4.xml><?xml version="1.0" encoding="utf-8"?>
<queryTable xmlns="http://schemas.openxmlformats.org/spreadsheetml/2006/main" name="取樣回收每月庫存表 0620更新" connectionId="16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5.xml><?xml version="1.0" encoding="utf-8"?>
<queryTable xmlns="http://schemas.openxmlformats.org/spreadsheetml/2006/main" name="取樣回收每月庫存表 0620更新" connectionId="17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6.xml><?xml version="1.0" encoding="utf-8"?>
<queryTable xmlns="http://schemas.openxmlformats.org/spreadsheetml/2006/main" name="取樣回收每月庫存表 0620更新" connectionId="18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7.xml><?xml version="1.0" encoding="utf-8"?>
<queryTable xmlns="http://schemas.openxmlformats.org/spreadsheetml/2006/main" name="取樣回收每月庫存表 0620更新" connectionId="19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8.xml><?xml version="1.0" encoding="utf-8"?>
<queryTable xmlns="http://schemas.openxmlformats.org/spreadsheetml/2006/main" name="取樣回收每月庫存表 0620更新" connectionId="20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9.xml><?xml version="1.0" encoding="utf-8"?>
<queryTable xmlns="http://schemas.openxmlformats.org/spreadsheetml/2006/main" name="取樣回收每月庫存表 0620更新" connectionId="21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10.xml><?xml version="1.0" encoding="utf-8"?>
<queryTable xmlns="http://schemas.openxmlformats.org/spreadsheetml/2006/main" name="取樣回收每月庫存表 0620更新" connectionId="22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11.xml><?xml version="1.0" encoding="utf-8"?>
<queryTable xmlns="http://schemas.openxmlformats.org/spreadsheetml/2006/main" name="取樣回收每月庫存表 0620更新" connectionId="2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12.xml><?xml version="1.0" encoding="utf-8"?>
<queryTable xmlns="http://schemas.openxmlformats.org/spreadsheetml/2006/main" name="取樣回收每月庫存表 0620更新" connectionId="3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13.xml><?xml version="1.0" encoding="utf-8"?>
<queryTable xmlns="http://schemas.openxmlformats.org/spreadsheetml/2006/main" name="取樣回收每月庫存表 0620更新" connectionId="4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14.xml><?xml version="1.0" encoding="utf-8"?>
<queryTable xmlns="http://schemas.openxmlformats.org/spreadsheetml/2006/main" name="取樣回收每月庫存表 0620更新" connectionId="5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15.xml><?xml version="1.0" encoding="utf-8"?>
<queryTable xmlns="http://schemas.openxmlformats.org/spreadsheetml/2006/main" name="取樣回收每月庫存表 0620更新" connectionId="6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16.xml><?xml version="1.0" encoding="utf-8"?>
<queryTable xmlns="http://schemas.openxmlformats.org/spreadsheetml/2006/main" name="取樣回收每月庫存表 0620更新" connectionId="7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17.xml><?xml version="1.0" encoding="utf-8"?>
<queryTable xmlns="http://schemas.openxmlformats.org/spreadsheetml/2006/main" name="取樣回收每月庫存表 0620更新" connectionId="8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18.xml><?xml version="1.0" encoding="utf-8"?>
<queryTable xmlns="http://schemas.openxmlformats.org/spreadsheetml/2006/main" name="取樣回收每月庫存表 0620更新" connectionId="9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19.xml><?xml version="1.0" encoding="utf-8"?>
<queryTable xmlns="http://schemas.openxmlformats.org/spreadsheetml/2006/main" name="取樣回收每月庫存表 0620更新" connectionId="10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20.xml><?xml version="1.0" encoding="utf-8"?>
<queryTable xmlns="http://schemas.openxmlformats.org/spreadsheetml/2006/main" name="取樣回收每月庫存表 0620更新" connectionId="11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21.xml><?xml version="1.0" encoding="utf-8"?>
<queryTable xmlns="http://schemas.openxmlformats.org/spreadsheetml/2006/main" name="取樣回收每月庫存表 0620更新" connectionId="13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22.xml><?xml version="1.0" encoding="utf-8"?>
<queryTable xmlns="http://schemas.openxmlformats.org/spreadsheetml/2006/main" name="取樣回收每月庫存表 0620更新" connectionId="14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6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7.xml"/></Relationships>
</file>

<file path=xl/tables/_rels/table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8.xml"/></Relationships>
</file>

<file path=xl/tables/_rels/table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9.xml"/></Relationships>
</file>

<file path=xl/tables/_rels/table2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0.xml"/></Relationships>
</file>

<file path=xl/tables/_rels/table2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1.xml"/></Relationships>
</file>

<file path=xl/tables/_rels/table2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2.xml"/></Relationships>
</file>

<file path=xl/tables/table1.xml><?xml version="1.0" encoding="utf-8"?>
<table xmlns="http://schemas.openxmlformats.org/spreadsheetml/2006/main" id="22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31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31" ref="AG13:BH189" tableType="queryTable" totalsRowShown="0" headerRowDxfId="2766" dataDxfId="2765" headerRowCellStyle="一般 2" dataCellStyle="一般 2">
  <autoFilter ref="AG13:BH189"/>
  <tableColumns count="28">
    <tableColumn id="1" uniqueName="1" name="請直接以10進位，謝謝" queryTableFieldId="1" dataDxfId="2764" dataCellStyle="一般 2"/>
    <tableColumn id="2" uniqueName="2" name="F2" queryTableFieldId="2" dataDxfId="2763" dataCellStyle="一般 2"/>
    <tableColumn id="3" uniqueName="3" name="F3" queryTableFieldId="3" dataDxfId="2762" dataCellStyle="一般 2"/>
    <tableColumn id="4" uniqueName="4" name="F4" queryTableFieldId="4" dataDxfId="2761" dataCellStyle="一般 2"/>
    <tableColumn id="5" uniqueName="5" name="F5" queryTableFieldId="5" dataDxfId="2760" dataCellStyle="一般 2"/>
    <tableColumn id="6" uniqueName="6" name="F6" queryTableFieldId="6" dataDxfId="2759" dataCellStyle="一般 2"/>
    <tableColumn id="7" uniqueName="7" name="F7" queryTableFieldId="7" dataDxfId="2758" dataCellStyle="一般 2"/>
    <tableColumn id="8" uniqueName="8" name="F8" queryTableFieldId="8" dataDxfId="2757" dataCellStyle="一般 2"/>
    <tableColumn id="9" uniqueName="9" name="F9" queryTableFieldId="9" dataDxfId="2756" dataCellStyle="一般 2"/>
    <tableColumn id="10" uniqueName="10" name="F10" queryTableFieldId="10" dataDxfId="2755" dataCellStyle="一般 2"/>
    <tableColumn id="11" uniqueName="11" name="F11" queryTableFieldId="11" dataDxfId="2754" dataCellStyle="一般 2"/>
    <tableColumn id="12" uniqueName="12" name="F12" queryTableFieldId="12" dataDxfId="2753" dataCellStyle="一般 2"/>
    <tableColumn id="13" uniqueName="13" name="F13" queryTableFieldId="13" dataDxfId="2752" dataCellStyle="一般 2"/>
    <tableColumn id="14" uniqueName="14" name="F14" queryTableFieldId="14" dataDxfId="2751" dataCellStyle="一般 2"/>
    <tableColumn id="15" uniqueName="15" name="F15" queryTableFieldId="15" dataDxfId="2750" dataCellStyle="一般 2"/>
    <tableColumn id="16" uniqueName="16" name="F16" queryTableFieldId="16" dataDxfId="2749" dataCellStyle="一般 2"/>
    <tableColumn id="17" uniqueName="17" name="F17" queryTableFieldId="17" dataDxfId="2748" dataCellStyle="一般 2"/>
    <tableColumn id="18" uniqueName="18" name="F18" queryTableFieldId="18" dataDxfId="2747" dataCellStyle="一般 2"/>
    <tableColumn id="19" uniqueName="19" name="F19" queryTableFieldId="19" dataDxfId="2746" dataCellStyle="一般 2"/>
    <tableColumn id="20" uniqueName="20" name="F20" queryTableFieldId="20" dataDxfId="2745" dataCellStyle="一般 2"/>
    <tableColumn id="21" uniqueName="21" name="F21" queryTableFieldId="21" dataDxfId="2744" dataCellStyle="一般 2"/>
    <tableColumn id="22" uniqueName="22" name="2024/6/24 14:52" queryTableFieldId="22" dataDxfId="2743" dataCellStyle="一般 2"/>
    <tableColumn id="23" uniqueName="23" name="F23" queryTableFieldId="23" dataDxfId="2742" dataCellStyle="一般 2"/>
    <tableColumn id="24" uniqueName="24" name="F24" queryTableFieldId="24" dataDxfId="2741" dataCellStyle="一般 2"/>
    <tableColumn id="25" uniqueName="25" name="F25" queryTableFieldId="25" dataDxfId="2740" dataCellStyle="一般 2"/>
    <tableColumn id="26" uniqueName="26" name="F26" queryTableFieldId="26" dataDxfId="2739" dataCellStyle="一般 2"/>
    <tableColumn id="27" uniqueName="27" name="F27" queryTableFieldId="27" dataDxfId="2738" dataCellStyle="一般 2"/>
    <tableColumn id="28" uniqueName="28" name="F28" queryTableFieldId="28" dataDxfId="2737" dataCellStyle="一般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32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32" ref="AG13:BH189" tableType="queryTable" totalsRowShown="0" headerRowDxfId="2636" dataDxfId="2635" headerRowCellStyle="一般 2" dataCellStyle="一般 2">
  <autoFilter ref="AG13:BH189"/>
  <tableColumns count="28">
    <tableColumn id="1" uniqueName="1" name="請直接以10進位，謝謝" queryTableFieldId="1" dataDxfId="2634" dataCellStyle="一般 2"/>
    <tableColumn id="2" uniqueName="2" name="F2" queryTableFieldId="2" dataDxfId="2633" dataCellStyle="一般 2"/>
    <tableColumn id="3" uniqueName="3" name="F3" queryTableFieldId="3" dataDxfId="2632" dataCellStyle="一般 2"/>
    <tableColumn id="4" uniqueName="4" name="F4" queryTableFieldId="4" dataDxfId="2631" dataCellStyle="一般 2"/>
    <tableColumn id="5" uniqueName="5" name="F5" queryTableFieldId="5" dataDxfId="2630" dataCellStyle="一般 2"/>
    <tableColumn id="6" uniqueName="6" name="F6" queryTableFieldId="6" dataDxfId="2629" dataCellStyle="一般 2"/>
    <tableColumn id="7" uniqueName="7" name="F7" queryTableFieldId="7" dataDxfId="2628" dataCellStyle="一般 2"/>
    <tableColumn id="8" uniqueName="8" name="F8" queryTableFieldId="8" dataDxfId="2627" dataCellStyle="一般 2"/>
    <tableColumn id="9" uniqueName="9" name="F9" queryTableFieldId="9" dataDxfId="2626" dataCellStyle="一般 2"/>
    <tableColumn id="10" uniqueName="10" name="F10" queryTableFieldId="10" dataDxfId="2625" dataCellStyle="一般 2"/>
    <tableColumn id="11" uniqueName="11" name="F11" queryTableFieldId="11" dataDxfId="2624" dataCellStyle="一般 2"/>
    <tableColumn id="12" uniqueName="12" name="F12" queryTableFieldId="12" dataDxfId="2623" dataCellStyle="一般 2"/>
    <tableColumn id="13" uniqueName="13" name="F13" queryTableFieldId="13" dataDxfId="2622" dataCellStyle="一般 2"/>
    <tableColumn id="14" uniqueName="14" name="F14" queryTableFieldId="14" dataDxfId="2621" dataCellStyle="一般 2"/>
    <tableColumn id="15" uniqueName="15" name="F15" queryTableFieldId="15" dataDxfId="2620" dataCellStyle="一般 2"/>
    <tableColumn id="16" uniqueName="16" name="F16" queryTableFieldId="16" dataDxfId="2619" dataCellStyle="一般 2"/>
    <tableColumn id="17" uniqueName="17" name="F17" queryTableFieldId="17" dataDxfId="2618" dataCellStyle="一般 2"/>
    <tableColumn id="18" uniqueName="18" name="F18" queryTableFieldId="18" dataDxfId="2617" dataCellStyle="一般 2"/>
    <tableColumn id="19" uniqueName="19" name="F19" queryTableFieldId="19" dataDxfId="2616" dataCellStyle="一般 2"/>
    <tableColumn id="20" uniqueName="20" name="F20" queryTableFieldId="20" dataDxfId="2615" dataCellStyle="一般 2"/>
    <tableColumn id="21" uniqueName="21" name="F21" queryTableFieldId="21" dataDxfId="2614" dataCellStyle="一般 2"/>
    <tableColumn id="22" uniqueName="22" name="2024/6/24 14:52" queryTableFieldId="22" dataDxfId="2613" dataCellStyle="一般 2"/>
    <tableColumn id="23" uniqueName="23" name="F23" queryTableFieldId="23" dataDxfId="2612" dataCellStyle="一般 2"/>
    <tableColumn id="24" uniqueName="24" name="F24" queryTableFieldId="24" dataDxfId="2611" dataCellStyle="一般 2"/>
    <tableColumn id="25" uniqueName="25" name="F25" queryTableFieldId="25" dataDxfId="2610" dataCellStyle="一般 2"/>
    <tableColumn id="26" uniqueName="26" name="F26" queryTableFieldId="26" dataDxfId="2609" dataCellStyle="一般 2"/>
    <tableColumn id="27" uniqueName="27" name="F27" queryTableFieldId="27" dataDxfId="2608" dataCellStyle="一般 2"/>
    <tableColumn id="28" uniqueName="28" name="F28" queryTableFieldId="28" dataDxfId="2607" dataCellStyle="一般 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33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33" ref="AG13:BH189" tableType="queryTable" totalsRowShown="0" headerRowDxfId="2506" dataDxfId="2505" headerRowCellStyle="一般 2" dataCellStyle="一般 2">
  <autoFilter ref="AG13:BH189"/>
  <tableColumns count="28">
    <tableColumn id="1" uniqueName="1" name="請直接以10進位，謝謝" queryTableFieldId="1" dataDxfId="2504" dataCellStyle="一般 2"/>
    <tableColumn id="2" uniqueName="2" name="F2" queryTableFieldId="2" dataDxfId="2503" dataCellStyle="一般 2"/>
    <tableColumn id="3" uniqueName="3" name="F3" queryTableFieldId="3" dataDxfId="2502" dataCellStyle="一般 2"/>
    <tableColumn id="4" uniqueName="4" name="F4" queryTableFieldId="4" dataDxfId="2501" dataCellStyle="一般 2"/>
    <tableColumn id="5" uniqueName="5" name="F5" queryTableFieldId="5" dataDxfId="2500" dataCellStyle="一般 2"/>
    <tableColumn id="6" uniqueName="6" name="F6" queryTableFieldId="6" dataDxfId="2499" dataCellStyle="一般 2"/>
    <tableColumn id="7" uniqueName="7" name="F7" queryTableFieldId="7" dataDxfId="2498" dataCellStyle="一般 2"/>
    <tableColumn id="8" uniqueName="8" name="F8" queryTableFieldId="8" dataDxfId="2497" dataCellStyle="一般 2"/>
    <tableColumn id="9" uniqueName="9" name="F9" queryTableFieldId="9" dataDxfId="2496" dataCellStyle="一般 2"/>
    <tableColumn id="10" uniqueName="10" name="F10" queryTableFieldId="10" dataDxfId="2495" dataCellStyle="一般 2"/>
    <tableColumn id="11" uniqueName="11" name="F11" queryTableFieldId="11" dataDxfId="2494" dataCellStyle="一般 2"/>
    <tableColumn id="12" uniqueName="12" name="F12" queryTableFieldId="12" dataDxfId="2493" dataCellStyle="一般 2"/>
    <tableColumn id="13" uniqueName="13" name="F13" queryTableFieldId="13" dataDxfId="2492" dataCellStyle="一般 2"/>
    <tableColumn id="14" uniqueName="14" name="F14" queryTableFieldId="14" dataDxfId="2491" dataCellStyle="一般 2"/>
    <tableColumn id="15" uniqueName="15" name="F15" queryTableFieldId="15" dataDxfId="2490" dataCellStyle="一般 2"/>
    <tableColumn id="16" uniqueName="16" name="F16" queryTableFieldId="16" dataDxfId="2489" dataCellStyle="一般 2"/>
    <tableColumn id="17" uniqueName="17" name="F17" queryTableFieldId="17" dataDxfId="2488" dataCellStyle="一般 2"/>
    <tableColumn id="18" uniqueName="18" name="F18" queryTableFieldId="18" dataDxfId="2487" dataCellStyle="一般 2"/>
    <tableColumn id="19" uniqueName="19" name="F19" queryTableFieldId="19" dataDxfId="2486" dataCellStyle="一般 2"/>
    <tableColumn id="20" uniqueName="20" name="F20" queryTableFieldId="20" dataDxfId="2485" dataCellStyle="一般 2"/>
    <tableColumn id="21" uniqueName="21" name="F21" queryTableFieldId="21" dataDxfId="2484" dataCellStyle="一般 2"/>
    <tableColumn id="22" uniqueName="22" name="2024/6/24 14:52" queryTableFieldId="22" dataDxfId="2483" dataCellStyle="一般 2"/>
    <tableColumn id="23" uniqueName="23" name="F23" queryTableFieldId="23" dataDxfId="2482" dataCellStyle="一般 2"/>
    <tableColumn id="24" uniqueName="24" name="F24" queryTableFieldId="24" dataDxfId="2481" dataCellStyle="一般 2"/>
    <tableColumn id="25" uniqueName="25" name="F25" queryTableFieldId="25" dataDxfId="2480" dataCellStyle="一般 2"/>
    <tableColumn id="26" uniqueName="26" name="F26" queryTableFieldId="26" dataDxfId="2479" dataCellStyle="一般 2"/>
    <tableColumn id="27" uniqueName="27" name="F27" queryTableFieldId="27" dataDxfId="2478" dataCellStyle="一般 2"/>
    <tableColumn id="28" uniqueName="28" name="F28" queryTableFieldId="28" dataDxfId="2477" dataCellStyle="一般 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3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34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34" ref="AG13:BH189" tableType="queryTable" totalsRowShown="0" headerRowDxfId="2376" dataDxfId="2375" headerRowCellStyle="一般 2" dataCellStyle="一般 2">
  <autoFilter ref="AG13:BH189"/>
  <tableColumns count="28">
    <tableColumn id="1" uniqueName="1" name="請直接以10進位，謝謝" queryTableFieldId="1" dataDxfId="2374" dataCellStyle="一般 2"/>
    <tableColumn id="2" uniqueName="2" name="F2" queryTableFieldId="2" dataDxfId="2373" dataCellStyle="一般 2"/>
    <tableColumn id="3" uniqueName="3" name="F3" queryTableFieldId="3" dataDxfId="2372" dataCellStyle="一般 2"/>
    <tableColumn id="4" uniqueName="4" name="F4" queryTableFieldId="4" dataDxfId="2371" dataCellStyle="一般 2"/>
    <tableColumn id="5" uniqueName="5" name="F5" queryTableFieldId="5" dataDxfId="2370" dataCellStyle="一般 2"/>
    <tableColumn id="6" uniqueName="6" name="F6" queryTableFieldId="6" dataDxfId="2369" dataCellStyle="一般 2"/>
    <tableColumn id="7" uniqueName="7" name="F7" queryTableFieldId="7" dataDxfId="2368" dataCellStyle="一般 2"/>
    <tableColumn id="8" uniqueName="8" name="F8" queryTableFieldId="8" dataDxfId="2367" dataCellStyle="一般 2"/>
    <tableColumn id="9" uniqueName="9" name="F9" queryTableFieldId="9" dataDxfId="2366" dataCellStyle="一般 2"/>
    <tableColumn id="10" uniqueName="10" name="F10" queryTableFieldId="10" dataDxfId="2365" dataCellStyle="一般 2"/>
    <tableColumn id="11" uniqueName="11" name="F11" queryTableFieldId="11" dataDxfId="2364" dataCellStyle="一般 2"/>
    <tableColumn id="12" uniqueName="12" name="F12" queryTableFieldId="12" dataDxfId="2363" dataCellStyle="一般 2"/>
    <tableColumn id="13" uniqueName="13" name="F13" queryTableFieldId="13" dataDxfId="2362" dataCellStyle="一般 2"/>
    <tableColumn id="14" uniqueName="14" name="F14" queryTableFieldId="14" dataDxfId="2361" dataCellStyle="一般 2"/>
    <tableColumn id="15" uniqueName="15" name="F15" queryTableFieldId="15" dataDxfId="2360" dataCellStyle="一般 2"/>
    <tableColumn id="16" uniqueName="16" name="F16" queryTableFieldId="16" dataDxfId="2359" dataCellStyle="一般 2"/>
    <tableColumn id="17" uniqueName="17" name="F17" queryTableFieldId="17" dataDxfId="2358" dataCellStyle="一般 2"/>
    <tableColumn id="18" uniqueName="18" name="F18" queryTableFieldId="18" dataDxfId="2357" dataCellStyle="一般 2"/>
    <tableColumn id="19" uniqueName="19" name="F19" queryTableFieldId="19" dataDxfId="2356" dataCellStyle="一般 2"/>
    <tableColumn id="20" uniqueName="20" name="F20" queryTableFieldId="20" dataDxfId="2355" dataCellStyle="一般 2"/>
    <tableColumn id="21" uniqueName="21" name="F21" queryTableFieldId="21" dataDxfId="2354" dataCellStyle="一般 2"/>
    <tableColumn id="22" uniqueName="22" name="2024/6/24 14:52" queryTableFieldId="22" dataDxfId="2353" dataCellStyle="一般 2"/>
    <tableColumn id="23" uniqueName="23" name="F23" queryTableFieldId="23" dataDxfId="2352" dataCellStyle="一般 2"/>
    <tableColumn id="24" uniqueName="24" name="F24" queryTableFieldId="24" dataDxfId="2351" dataCellStyle="一般 2"/>
    <tableColumn id="25" uniqueName="25" name="F25" queryTableFieldId="25" dataDxfId="2350" dataCellStyle="一般 2"/>
    <tableColumn id="26" uniqueName="26" name="F26" queryTableFieldId="26" dataDxfId="2349" dataCellStyle="一般 2"/>
    <tableColumn id="27" uniqueName="27" name="F27" queryTableFieldId="27" dataDxfId="2348" dataCellStyle="一般 2"/>
    <tableColumn id="28" uniqueName="28" name="F28" queryTableFieldId="28" dataDxfId="2347" dataCellStyle="一般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4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35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35" ref="AG13:BH189" tableType="queryTable" totalsRowShown="0" headerRowDxfId="2246" dataDxfId="2245" headerRowCellStyle="一般 2" dataCellStyle="一般 2">
  <autoFilter ref="AG13:BH189"/>
  <tableColumns count="28">
    <tableColumn id="1" uniqueName="1" name="請直接以10進位，謝謝" queryTableFieldId="1" dataDxfId="2244" dataCellStyle="一般 2"/>
    <tableColumn id="2" uniqueName="2" name="F2" queryTableFieldId="2" dataDxfId="2243" dataCellStyle="一般 2"/>
    <tableColumn id="3" uniqueName="3" name="F3" queryTableFieldId="3" dataDxfId="2242" dataCellStyle="一般 2"/>
    <tableColumn id="4" uniqueName="4" name="F4" queryTableFieldId="4" dataDxfId="2241" dataCellStyle="一般 2"/>
    <tableColumn id="5" uniqueName="5" name="F5" queryTableFieldId="5" dataDxfId="2240" dataCellStyle="一般 2"/>
    <tableColumn id="6" uniqueName="6" name="F6" queryTableFieldId="6" dataDxfId="2239" dataCellStyle="一般 2"/>
    <tableColumn id="7" uniqueName="7" name="F7" queryTableFieldId="7" dataDxfId="2238" dataCellStyle="一般 2"/>
    <tableColumn id="8" uniqueName="8" name="F8" queryTableFieldId="8" dataDxfId="2237" dataCellStyle="一般 2"/>
    <tableColumn id="9" uniqueName="9" name="F9" queryTableFieldId="9" dataDxfId="2236" dataCellStyle="一般 2"/>
    <tableColumn id="10" uniqueName="10" name="F10" queryTableFieldId="10" dataDxfId="2235" dataCellStyle="一般 2"/>
    <tableColumn id="11" uniqueName="11" name="F11" queryTableFieldId="11" dataDxfId="2234" dataCellStyle="一般 2"/>
    <tableColumn id="12" uniqueName="12" name="F12" queryTableFieldId="12" dataDxfId="2233" dataCellStyle="一般 2"/>
    <tableColumn id="13" uniqueName="13" name="F13" queryTableFieldId="13" dataDxfId="2232" dataCellStyle="一般 2"/>
    <tableColumn id="14" uniqueName="14" name="F14" queryTableFieldId="14" dataDxfId="2231" dataCellStyle="一般 2"/>
    <tableColumn id="15" uniqueName="15" name="F15" queryTableFieldId="15" dataDxfId="2230" dataCellStyle="一般 2"/>
    <tableColumn id="16" uniqueName="16" name="F16" queryTableFieldId="16" dataDxfId="2229" dataCellStyle="一般 2"/>
    <tableColumn id="17" uniqueName="17" name="F17" queryTableFieldId="17" dataDxfId="2228" dataCellStyle="一般 2"/>
    <tableColumn id="18" uniqueName="18" name="F18" queryTableFieldId="18" dataDxfId="2227" dataCellStyle="一般 2"/>
    <tableColumn id="19" uniqueName="19" name="F19" queryTableFieldId="19" dataDxfId="2226" dataCellStyle="一般 2"/>
    <tableColumn id="20" uniqueName="20" name="F20" queryTableFieldId="20" dataDxfId="2225" dataCellStyle="一般 2"/>
    <tableColumn id="21" uniqueName="21" name="F21" queryTableFieldId="21" dataDxfId="2224" dataCellStyle="一般 2"/>
    <tableColumn id="22" uniqueName="22" name="2024/6/24 14:52" queryTableFieldId="22" dataDxfId="2223" dataCellStyle="一般 2"/>
    <tableColumn id="23" uniqueName="23" name="F23" queryTableFieldId="23" dataDxfId="2222" dataCellStyle="一般 2"/>
    <tableColumn id="24" uniqueName="24" name="F24" queryTableFieldId="24" dataDxfId="2221" dataCellStyle="一般 2"/>
    <tableColumn id="25" uniqueName="25" name="F25" queryTableFieldId="25" dataDxfId="2220" dataCellStyle="一般 2"/>
    <tableColumn id="26" uniqueName="26" name="F26" queryTableFieldId="26" dataDxfId="2219" dataCellStyle="一般 2"/>
    <tableColumn id="27" uniqueName="27" name="F27" queryTableFieldId="27" dataDxfId="2218" dataCellStyle="一般 2"/>
    <tableColumn id="28" uniqueName="28" name="F28" queryTableFieldId="28" dataDxfId="2217" dataCellStyle="一般 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5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36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36" ref="AG13:BH189" tableType="queryTable" totalsRowShown="0" headerRowDxfId="2116" dataDxfId="2115" headerRowCellStyle="一般 2" dataCellStyle="一般 2">
  <autoFilter ref="AG13:BH189"/>
  <tableColumns count="28">
    <tableColumn id="1" uniqueName="1" name="請直接以10進位，謝謝" queryTableFieldId="1" dataDxfId="2114" dataCellStyle="一般 2"/>
    <tableColumn id="2" uniqueName="2" name="F2" queryTableFieldId="2" dataDxfId="2113" dataCellStyle="一般 2"/>
    <tableColumn id="3" uniqueName="3" name="F3" queryTableFieldId="3" dataDxfId="2112" dataCellStyle="一般 2"/>
    <tableColumn id="4" uniqueName="4" name="F4" queryTableFieldId="4" dataDxfId="2111" dataCellStyle="一般 2"/>
    <tableColumn id="5" uniqueName="5" name="F5" queryTableFieldId="5" dataDxfId="2110" dataCellStyle="一般 2"/>
    <tableColumn id="6" uniqueName="6" name="F6" queryTableFieldId="6" dataDxfId="2109" dataCellStyle="一般 2"/>
    <tableColumn id="7" uniqueName="7" name="F7" queryTableFieldId="7" dataDxfId="2108" dataCellStyle="一般 2"/>
    <tableColumn id="8" uniqueName="8" name="F8" queryTableFieldId="8" dataDxfId="2107" dataCellStyle="一般 2"/>
    <tableColumn id="9" uniqueName="9" name="F9" queryTableFieldId="9" dataDxfId="2106" dataCellStyle="一般 2"/>
    <tableColumn id="10" uniqueName="10" name="F10" queryTableFieldId="10" dataDxfId="2105" dataCellStyle="一般 2"/>
    <tableColumn id="11" uniqueName="11" name="F11" queryTableFieldId="11" dataDxfId="2104" dataCellStyle="一般 2"/>
    <tableColumn id="12" uniqueName="12" name="F12" queryTableFieldId="12" dataDxfId="2103" dataCellStyle="一般 2"/>
    <tableColumn id="13" uniqueName="13" name="F13" queryTableFieldId="13" dataDxfId="2102" dataCellStyle="一般 2"/>
    <tableColumn id="14" uniqueName="14" name="F14" queryTableFieldId="14" dataDxfId="2101" dataCellStyle="一般 2"/>
    <tableColumn id="15" uniqueName="15" name="F15" queryTableFieldId="15" dataDxfId="2100" dataCellStyle="一般 2"/>
    <tableColumn id="16" uniqueName="16" name="F16" queryTableFieldId="16" dataDxfId="2099" dataCellStyle="一般 2"/>
    <tableColumn id="17" uniqueName="17" name="F17" queryTableFieldId="17" dataDxfId="2098" dataCellStyle="一般 2"/>
    <tableColumn id="18" uniqueName="18" name="F18" queryTableFieldId="18" dataDxfId="2097" dataCellStyle="一般 2"/>
    <tableColumn id="19" uniqueName="19" name="F19" queryTableFieldId="19" dataDxfId="2096" dataCellStyle="一般 2"/>
    <tableColumn id="20" uniqueName="20" name="F20" queryTableFieldId="20" dataDxfId="2095" dataCellStyle="一般 2"/>
    <tableColumn id="21" uniqueName="21" name="F21" queryTableFieldId="21" dataDxfId="2094" dataCellStyle="一般 2"/>
    <tableColumn id="22" uniqueName="22" name="2024/6/24 14:52" queryTableFieldId="22" dataDxfId="2093" dataCellStyle="一般 2"/>
    <tableColumn id="23" uniqueName="23" name="F23" queryTableFieldId="23" dataDxfId="2092" dataCellStyle="一般 2"/>
    <tableColumn id="24" uniqueName="24" name="F24" queryTableFieldId="24" dataDxfId="2091" dataCellStyle="一般 2"/>
    <tableColumn id="25" uniqueName="25" name="F25" queryTableFieldId="25" dataDxfId="2090" dataCellStyle="一般 2"/>
    <tableColumn id="26" uniqueName="26" name="F26" queryTableFieldId="26" dataDxfId="2089" dataCellStyle="一般 2"/>
    <tableColumn id="27" uniqueName="27" name="F27" queryTableFieldId="27" dataDxfId="2088" dataCellStyle="一般 2"/>
    <tableColumn id="28" uniqueName="28" name="F28" queryTableFieldId="28" dataDxfId="2087" dataCellStyle="一般 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6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37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37" ref="AG13:BH189" tableType="queryTable" totalsRowShown="0" headerRowDxfId="1986" dataDxfId="1985" headerRowCellStyle="一般 2" dataCellStyle="一般 2">
  <autoFilter ref="AG13:BH189"/>
  <tableColumns count="28">
    <tableColumn id="1" uniqueName="1" name="請直接以10進位，謝謝" queryTableFieldId="1" dataDxfId="1984" dataCellStyle="一般 2"/>
    <tableColumn id="2" uniqueName="2" name="F2" queryTableFieldId="2" dataDxfId="1983" dataCellStyle="一般 2"/>
    <tableColumn id="3" uniqueName="3" name="F3" queryTableFieldId="3" dataDxfId="1982" dataCellStyle="一般 2"/>
    <tableColumn id="4" uniqueName="4" name="F4" queryTableFieldId="4" dataDxfId="1981" dataCellStyle="一般 2"/>
    <tableColumn id="5" uniqueName="5" name="F5" queryTableFieldId="5" dataDxfId="1980" dataCellStyle="一般 2"/>
    <tableColumn id="6" uniqueName="6" name="F6" queryTableFieldId="6" dataDxfId="1979" dataCellStyle="一般 2"/>
    <tableColumn id="7" uniqueName="7" name="F7" queryTableFieldId="7" dataDxfId="1978" dataCellStyle="一般 2"/>
    <tableColumn id="8" uniqueName="8" name="F8" queryTableFieldId="8" dataDxfId="1977" dataCellStyle="一般 2"/>
    <tableColumn id="9" uniqueName="9" name="F9" queryTableFieldId="9" dataDxfId="1976" dataCellStyle="一般 2"/>
    <tableColumn id="10" uniqueName="10" name="F10" queryTableFieldId="10" dataDxfId="1975" dataCellStyle="一般 2"/>
    <tableColumn id="11" uniqueName="11" name="F11" queryTableFieldId="11" dataDxfId="1974" dataCellStyle="一般 2"/>
    <tableColumn id="12" uniqueName="12" name="F12" queryTableFieldId="12" dataDxfId="1973" dataCellStyle="一般 2"/>
    <tableColumn id="13" uniqueName="13" name="F13" queryTableFieldId="13" dataDxfId="1972" dataCellStyle="一般 2"/>
    <tableColumn id="14" uniqueName="14" name="F14" queryTableFieldId="14" dataDxfId="1971" dataCellStyle="一般 2"/>
    <tableColumn id="15" uniqueName="15" name="F15" queryTableFieldId="15" dataDxfId="1970" dataCellStyle="一般 2"/>
    <tableColumn id="16" uniqueName="16" name="F16" queryTableFieldId="16" dataDxfId="1969" dataCellStyle="一般 2"/>
    <tableColumn id="17" uniqueName="17" name="F17" queryTableFieldId="17" dataDxfId="1968" dataCellStyle="一般 2"/>
    <tableColumn id="18" uniqueName="18" name="F18" queryTableFieldId="18" dataDxfId="1967" dataCellStyle="一般 2"/>
    <tableColumn id="19" uniqueName="19" name="F19" queryTableFieldId="19" dataDxfId="1966" dataCellStyle="一般 2"/>
    <tableColumn id="20" uniqueName="20" name="F20" queryTableFieldId="20" dataDxfId="1965" dataCellStyle="一般 2"/>
    <tableColumn id="21" uniqueName="21" name="F21" queryTableFieldId="21" dataDxfId="1964" dataCellStyle="一般 2"/>
    <tableColumn id="22" uniqueName="22" name="2024/6/24 14:52" queryTableFieldId="22" dataDxfId="1963" dataCellStyle="一般 2"/>
    <tableColumn id="23" uniqueName="23" name="F23" queryTableFieldId="23" dataDxfId="1962" dataCellStyle="一般 2"/>
    <tableColumn id="24" uniqueName="24" name="F24" queryTableFieldId="24" dataDxfId="1961" dataCellStyle="一般 2"/>
    <tableColumn id="25" uniqueName="25" name="F25" queryTableFieldId="25" dataDxfId="1960" dataCellStyle="一般 2"/>
    <tableColumn id="26" uniqueName="26" name="F26" queryTableFieldId="26" dataDxfId="1959" dataCellStyle="一般 2"/>
    <tableColumn id="27" uniqueName="27" name="F27" queryTableFieldId="27" dataDxfId="1958" dataCellStyle="一般 2"/>
    <tableColumn id="28" uniqueName="28" name="F28" queryTableFieldId="28" dataDxfId="1957" dataCellStyle="一般 2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38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38" ref="AG13:BH189" tableType="queryTable" totalsRowShown="0" headerRowDxfId="1856" dataDxfId="1855" headerRowCellStyle="一般 2" dataCellStyle="一般 2">
  <autoFilter ref="AG13:BH189"/>
  <tableColumns count="28">
    <tableColumn id="1" uniqueName="1" name="請直接以10進位，謝謝" queryTableFieldId="1" dataDxfId="1854" dataCellStyle="一般 2"/>
    <tableColumn id="2" uniqueName="2" name="F2" queryTableFieldId="2" dataDxfId="1853" dataCellStyle="一般 2"/>
    <tableColumn id="3" uniqueName="3" name="F3" queryTableFieldId="3" dataDxfId="1852" dataCellStyle="一般 2"/>
    <tableColumn id="4" uniqueName="4" name="F4" queryTableFieldId="4" dataDxfId="1851" dataCellStyle="一般 2"/>
    <tableColumn id="5" uniqueName="5" name="F5" queryTableFieldId="5" dataDxfId="1850" dataCellStyle="一般 2"/>
    <tableColumn id="6" uniqueName="6" name="F6" queryTableFieldId="6" dataDxfId="1849" dataCellStyle="一般 2"/>
    <tableColumn id="7" uniqueName="7" name="F7" queryTableFieldId="7" dataDxfId="1848" dataCellStyle="一般 2"/>
    <tableColumn id="8" uniqueName="8" name="F8" queryTableFieldId="8" dataDxfId="1847" dataCellStyle="一般 2"/>
    <tableColumn id="9" uniqueName="9" name="F9" queryTableFieldId="9" dataDxfId="1846" dataCellStyle="一般 2"/>
    <tableColumn id="10" uniqueName="10" name="F10" queryTableFieldId="10" dataDxfId="1845" dataCellStyle="一般 2"/>
    <tableColumn id="11" uniqueName="11" name="F11" queryTableFieldId="11" dataDxfId="1844" dataCellStyle="一般 2"/>
    <tableColumn id="12" uniqueName="12" name="F12" queryTableFieldId="12" dataDxfId="1843" dataCellStyle="一般 2"/>
    <tableColumn id="13" uniqueName="13" name="F13" queryTableFieldId="13" dataDxfId="1842" dataCellStyle="一般 2"/>
    <tableColumn id="14" uniqueName="14" name="F14" queryTableFieldId="14" dataDxfId="1841" dataCellStyle="一般 2"/>
    <tableColumn id="15" uniqueName="15" name="F15" queryTableFieldId="15" dataDxfId="1840" dataCellStyle="一般 2"/>
    <tableColumn id="16" uniqueName="16" name="F16" queryTableFieldId="16" dataDxfId="1839" dataCellStyle="一般 2"/>
    <tableColumn id="17" uniqueName="17" name="F17" queryTableFieldId="17" dataDxfId="1838" dataCellStyle="一般 2"/>
    <tableColumn id="18" uniqueName="18" name="F18" queryTableFieldId="18" dataDxfId="1837" dataCellStyle="一般 2"/>
    <tableColumn id="19" uniqueName="19" name="F19" queryTableFieldId="19" dataDxfId="1836" dataCellStyle="一般 2"/>
    <tableColumn id="20" uniqueName="20" name="F20" queryTableFieldId="20" dataDxfId="1835" dataCellStyle="一般 2"/>
    <tableColumn id="21" uniqueName="21" name="F21" queryTableFieldId="21" dataDxfId="1834" dataCellStyle="一般 2"/>
    <tableColumn id="22" uniqueName="22" name="2024/6/24 14:52" queryTableFieldId="22" dataDxfId="1833" dataCellStyle="一般 2"/>
    <tableColumn id="23" uniqueName="23" name="F23" queryTableFieldId="23" dataDxfId="1832" dataCellStyle="一般 2"/>
    <tableColumn id="24" uniqueName="24" name="F24" queryTableFieldId="24" dataDxfId="1831" dataCellStyle="一般 2"/>
    <tableColumn id="25" uniqueName="25" name="F25" queryTableFieldId="25" dataDxfId="1830" dataCellStyle="一般 2"/>
    <tableColumn id="26" uniqueName="26" name="F26" queryTableFieldId="26" dataDxfId="1829" dataCellStyle="一般 2"/>
    <tableColumn id="27" uniqueName="27" name="F27" queryTableFieldId="27" dataDxfId="1828" dataCellStyle="一般 2"/>
    <tableColumn id="28" uniqueName="28" name="F28" queryTableFieldId="28" dataDxfId="1827" dataCellStyle="一般 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8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39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39" ref="AG13:BH189" tableType="queryTable" totalsRowShown="0" headerRowDxfId="1726" dataDxfId="1725" headerRowCellStyle="一般 2" dataCellStyle="一般 2">
  <autoFilter ref="AG13:BH189"/>
  <tableColumns count="28">
    <tableColumn id="1" uniqueName="1" name="請直接以10進位，謝謝" queryTableFieldId="1" dataDxfId="1724" dataCellStyle="一般 2"/>
    <tableColumn id="2" uniqueName="2" name="F2" queryTableFieldId="2" dataDxfId="1723" dataCellStyle="一般 2"/>
    <tableColumn id="3" uniqueName="3" name="F3" queryTableFieldId="3" dataDxfId="1722" dataCellStyle="一般 2"/>
    <tableColumn id="4" uniqueName="4" name="F4" queryTableFieldId="4" dataDxfId="1721" dataCellStyle="一般 2"/>
    <tableColumn id="5" uniqueName="5" name="F5" queryTableFieldId="5" dataDxfId="1720" dataCellStyle="一般 2"/>
    <tableColumn id="6" uniqueName="6" name="F6" queryTableFieldId="6" dataDxfId="1719" dataCellStyle="一般 2"/>
    <tableColumn id="7" uniqueName="7" name="F7" queryTableFieldId="7" dataDxfId="1718" dataCellStyle="一般 2"/>
    <tableColumn id="8" uniqueName="8" name="F8" queryTableFieldId="8" dataDxfId="1717" dataCellStyle="一般 2"/>
    <tableColumn id="9" uniqueName="9" name="F9" queryTableFieldId="9" dataDxfId="1716" dataCellStyle="一般 2"/>
    <tableColumn id="10" uniqueName="10" name="F10" queryTableFieldId="10" dataDxfId="1715" dataCellStyle="一般 2"/>
    <tableColumn id="11" uniqueName="11" name="F11" queryTableFieldId="11" dataDxfId="1714" dataCellStyle="一般 2"/>
    <tableColumn id="12" uniqueName="12" name="F12" queryTableFieldId="12" dataDxfId="1713" dataCellStyle="一般 2"/>
    <tableColumn id="13" uniqueName="13" name="F13" queryTableFieldId="13" dataDxfId="1712" dataCellStyle="一般 2"/>
    <tableColumn id="14" uniqueName="14" name="F14" queryTableFieldId="14" dataDxfId="1711" dataCellStyle="一般 2"/>
    <tableColumn id="15" uniqueName="15" name="F15" queryTableFieldId="15" dataDxfId="1710" dataCellStyle="一般 2"/>
    <tableColumn id="16" uniqueName="16" name="F16" queryTableFieldId="16" dataDxfId="1709" dataCellStyle="一般 2"/>
    <tableColumn id="17" uniqueName="17" name="F17" queryTableFieldId="17" dataDxfId="1708" dataCellStyle="一般 2"/>
    <tableColumn id="18" uniqueName="18" name="F18" queryTableFieldId="18" dataDxfId="1707" dataCellStyle="一般 2"/>
    <tableColumn id="19" uniqueName="19" name="F19" queryTableFieldId="19" dataDxfId="1706" dataCellStyle="一般 2"/>
    <tableColumn id="20" uniqueName="20" name="F20" queryTableFieldId="20" dataDxfId="1705" dataCellStyle="一般 2"/>
    <tableColumn id="21" uniqueName="21" name="F21" queryTableFieldId="21" dataDxfId="1704" dataCellStyle="一般 2"/>
    <tableColumn id="22" uniqueName="22" name="2024/6/24 14:52" queryTableFieldId="22" dataDxfId="1703" dataCellStyle="一般 2"/>
    <tableColumn id="23" uniqueName="23" name="F23" queryTableFieldId="23" dataDxfId="1702" dataCellStyle="一般 2"/>
    <tableColumn id="24" uniqueName="24" name="F24" queryTableFieldId="24" dataDxfId="1701" dataCellStyle="一般 2"/>
    <tableColumn id="25" uniqueName="25" name="F25" queryTableFieldId="25" dataDxfId="1700" dataCellStyle="一般 2"/>
    <tableColumn id="26" uniqueName="26" name="F26" queryTableFieldId="26" dataDxfId="1699" dataCellStyle="一般 2"/>
    <tableColumn id="27" uniqueName="27" name="F27" queryTableFieldId="27" dataDxfId="1698" dataCellStyle="一般 2"/>
    <tableColumn id="28" uniqueName="28" name="F28" queryTableFieldId="28" dataDxfId="1697" dataCellStyle="一般 2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0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0" ref="AG13:BH189" tableType="queryTable" totalsRowShown="0" headerRowDxfId="1596" dataDxfId="1595" headerRowCellStyle="一般 2" dataCellStyle="一般 2">
  <autoFilter ref="AG13:BH189"/>
  <tableColumns count="28">
    <tableColumn id="1" uniqueName="1" name="請直接以10進位，謝謝" queryTableFieldId="1" dataDxfId="1594" dataCellStyle="一般 2"/>
    <tableColumn id="2" uniqueName="2" name="F2" queryTableFieldId="2" dataDxfId="1593" dataCellStyle="一般 2"/>
    <tableColumn id="3" uniqueName="3" name="F3" queryTableFieldId="3" dataDxfId="1592" dataCellStyle="一般 2"/>
    <tableColumn id="4" uniqueName="4" name="F4" queryTableFieldId="4" dataDxfId="1591" dataCellStyle="一般 2"/>
    <tableColumn id="5" uniqueName="5" name="F5" queryTableFieldId="5" dataDxfId="1590" dataCellStyle="一般 2"/>
    <tableColumn id="6" uniqueName="6" name="F6" queryTableFieldId="6" dataDxfId="1589" dataCellStyle="一般 2"/>
    <tableColumn id="7" uniqueName="7" name="F7" queryTableFieldId="7" dataDxfId="1588" dataCellStyle="一般 2"/>
    <tableColumn id="8" uniqueName="8" name="F8" queryTableFieldId="8" dataDxfId="1587" dataCellStyle="一般 2"/>
    <tableColumn id="9" uniqueName="9" name="F9" queryTableFieldId="9" dataDxfId="1586" dataCellStyle="一般 2"/>
    <tableColumn id="10" uniqueName="10" name="F10" queryTableFieldId="10" dataDxfId="1585" dataCellStyle="一般 2"/>
    <tableColumn id="11" uniqueName="11" name="F11" queryTableFieldId="11" dataDxfId="1584" dataCellStyle="一般 2"/>
    <tableColumn id="12" uniqueName="12" name="F12" queryTableFieldId="12" dataDxfId="1583" dataCellStyle="一般 2"/>
    <tableColumn id="13" uniqueName="13" name="F13" queryTableFieldId="13" dataDxfId="1582" dataCellStyle="一般 2"/>
    <tableColumn id="14" uniqueName="14" name="F14" queryTableFieldId="14" dataDxfId="1581" dataCellStyle="一般 2"/>
    <tableColumn id="15" uniqueName="15" name="F15" queryTableFieldId="15" dataDxfId="1580" dataCellStyle="一般 2"/>
    <tableColumn id="16" uniqueName="16" name="F16" queryTableFieldId="16" dataDxfId="1579" dataCellStyle="一般 2"/>
    <tableColumn id="17" uniqueName="17" name="F17" queryTableFieldId="17" dataDxfId="1578" dataCellStyle="一般 2"/>
    <tableColumn id="18" uniqueName="18" name="F18" queryTableFieldId="18" dataDxfId="1577" dataCellStyle="一般 2"/>
    <tableColumn id="19" uniqueName="19" name="F19" queryTableFieldId="19" dataDxfId="1576" dataCellStyle="一般 2"/>
    <tableColumn id="20" uniqueName="20" name="F20" queryTableFieldId="20" dataDxfId="1575" dataCellStyle="一般 2"/>
    <tableColumn id="21" uniqueName="21" name="F21" queryTableFieldId="21" dataDxfId="1574" dataCellStyle="一般 2"/>
    <tableColumn id="22" uniqueName="22" name="2024/6/24 14:52" queryTableFieldId="22" dataDxfId="1573" dataCellStyle="一般 2"/>
    <tableColumn id="23" uniqueName="23" name="F23" queryTableFieldId="23" dataDxfId="1572" dataCellStyle="一般 2"/>
    <tableColumn id="24" uniqueName="24" name="F24" queryTableFieldId="24" dataDxfId="1571" dataCellStyle="一般 2"/>
    <tableColumn id="25" uniqueName="25" name="F25" queryTableFieldId="25" dataDxfId="1570" dataCellStyle="一般 2"/>
    <tableColumn id="26" uniqueName="26" name="F26" queryTableFieldId="26" dataDxfId="1569" dataCellStyle="一般 2"/>
    <tableColumn id="27" uniqueName="27" name="F27" queryTableFieldId="27" dataDxfId="1568" dataCellStyle="一般 2"/>
    <tableColumn id="28" uniqueName="28" name="F28" queryTableFieldId="28" dataDxfId="1567" dataCellStyle="一般 2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10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1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1" ref="AG13:BH189" tableType="queryTable" totalsRowShown="0" headerRowDxfId="1466" dataDxfId="1465" headerRowCellStyle="一般 2" dataCellStyle="一般 2">
  <autoFilter ref="AG13:BH189"/>
  <tableColumns count="28">
    <tableColumn id="1" uniqueName="1" name="請直接以10進位，謝謝" queryTableFieldId="1" dataDxfId="1464" dataCellStyle="一般 2"/>
    <tableColumn id="2" uniqueName="2" name="F2" queryTableFieldId="2" dataDxfId="1463" dataCellStyle="一般 2"/>
    <tableColumn id="3" uniqueName="3" name="F3" queryTableFieldId="3" dataDxfId="1462" dataCellStyle="一般 2"/>
    <tableColumn id="4" uniqueName="4" name="F4" queryTableFieldId="4" dataDxfId="1461" dataCellStyle="一般 2"/>
    <tableColumn id="5" uniqueName="5" name="F5" queryTableFieldId="5" dataDxfId="1460" dataCellStyle="一般 2"/>
    <tableColumn id="6" uniqueName="6" name="F6" queryTableFieldId="6" dataDxfId="1459" dataCellStyle="一般 2"/>
    <tableColumn id="7" uniqueName="7" name="F7" queryTableFieldId="7" dataDxfId="1458" dataCellStyle="一般 2"/>
    <tableColumn id="8" uniqueName="8" name="F8" queryTableFieldId="8" dataDxfId="1457" dataCellStyle="一般 2"/>
    <tableColumn id="9" uniqueName="9" name="F9" queryTableFieldId="9" dataDxfId="1456" dataCellStyle="一般 2"/>
    <tableColumn id="10" uniqueName="10" name="F10" queryTableFieldId="10" dataDxfId="1455" dataCellStyle="一般 2"/>
    <tableColumn id="11" uniqueName="11" name="F11" queryTableFieldId="11" dataDxfId="1454" dataCellStyle="一般 2"/>
    <tableColumn id="12" uniqueName="12" name="F12" queryTableFieldId="12" dataDxfId="1453" dataCellStyle="一般 2"/>
    <tableColumn id="13" uniqueName="13" name="F13" queryTableFieldId="13" dataDxfId="1452" dataCellStyle="一般 2"/>
    <tableColumn id="14" uniqueName="14" name="F14" queryTableFieldId="14" dataDxfId="1451" dataCellStyle="一般 2"/>
    <tableColumn id="15" uniqueName="15" name="F15" queryTableFieldId="15" dataDxfId="1450" dataCellStyle="一般 2"/>
    <tableColumn id="16" uniqueName="16" name="F16" queryTableFieldId="16" dataDxfId="1449" dataCellStyle="一般 2"/>
    <tableColumn id="17" uniqueName="17" name="F17" queryTableFieldId="17" dataDxfId="1448" dataCellStyle="一般 2"/>
    <tableColumn id="18" uniqueName="18" name="F18" queryTableFieldId="18" dataDxfId="1447" dataCellStyle="一般 2"/>
    <tableColumn id="19" uniqueName="19" name="F19" queryTableFieldId="19" dataDxfId="1446" dataCellStyle="一般 2"/>
    <tableColumn id="20" uniqueName="20" name="F20" queryTableFieldId="20" dataDxfId="1445" dataCellStyle="一般 2"/>
    <tableColumn id="21" uniqueName="21" name="F21" queryTableFieldId="21" dataDxfId="1444" dataCellStyle="一般 2"/>
    <tableColumn id="22" uniqueName="22" name="2024/6/24 14:52" queryTableFieldId="22" dataDxfId="1443" dataCellStyle="一般 2"/>
    <tableColumn id="23" uniqueName="23" name="F23" queryTableFieldId="23" dataDxfId="1442" dataCellStyle="一般 2"/>
    <tableColumn id="24" uniqueName="24" name="F24" queryTableFieldId="24" dataDxfId="1441" dataCellStyle="一般 2"/>
    <tableColumn id="25" uniqueName="25" name="F25" queryTableFieldId="25" dataDxfId="1440" dataCellStyle="一般 2"/>
    <tableColumn id="26" uniqueName="26" name="F26" queryTableFieldId="26" dataDxfId="1439" dataCellStyle="一般 2"/>
    <tableColumn id="27" uniqueName="27" name="F27" queryTableFieldId="27" dataDxfId="1438" dataCellStyle="一般 2"/>
    <tableColumn id="28" uniqueName="28" name="F28" queryTableFieldId="28" dataDxfId="1437" dataCellStyle="一般 2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11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2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2" ref="AG13:BH189" tableType="queryTable" totalsRowShown="0" headerRowDxfId="1336" dataDxfId="1335" headerRowCellStyle="一般 2" dataCellStyle="一般 2">
  <autoFilter ref="AG13:BH189"/>
  <tableColumns count="28">
    <tableColumn id="1" uniqueName="1" name="請直接以10進位，謝謝" queryTableFieldId="1" dataDxfId="1334" dataCellStyle="一般 2"/>
    <tableColumn id="2" uniqueName="2" name="F2" queryTableFieldId="2" dataDxfId="1333" dataCellStyle="一般 2"/>
    <tableColumn id="3" uniqueName="3" name="F3" queryTableFieldId="3" dataDxfId="1332" dataCellStyle="一般 2"/>
    <tableColumn id="4" uniqueName="4" name="F4" queryTableFieldId="4" dataDxfId="1331" dataCellStyle="一般 2"/>
    <tableColumn id="5" uniqueName="5" name="F5" queryTableFieldId="5" dataDxfId="1330" dataCellStyle="一般 2"/>
    <tableColumn id="6" uniqueName="6" name="F6" queryTableFieldId="6" dataDxfId="1329" dataCellStyle="一般 2"/>
    <tableColumn id="7" uniqueName="7" name="F7" queryTableFieldId="7" dataDxfId="1328" dataCellStyle="一般 2"/>
    <tableColumn id="8" uniqueName="8" name="F8" queryTableFieldId="8" dataDxfId="1327" dataCellStyle="一般 2"/>
    <tableColumn id="9" uniqueName="9" name="F9" queryTableFieldId="9" dataDxfId="1326" dataCellStyle="一般 2"/>
    <tableColumn id="10" uniqueName="10" name="F10" queryTableFieldId="10" dataDxfId="1325" dataCellStyle="一般 2"/>
    <tableColumn id="11" uniqueName="11" name="F11" queryTableFieldId="11" dataDxfId="1324" dataCellStyle="一般 2"/>
    <tableColumn id="12" uniqueName="12" name="F12" queryTableFieldId="12" dataDxfId="1323" dataCellStyle="一般 2"/>
    <tableColumn id="13" uniqueName="13" name="F13" queryTableFieldId="13" dataDxfId="1322" dataCellStyle="一般 2"/>
    <tableColumn id="14" uniqueName="14" name="F14" queryTableFieldId="14" dataDxfId="1321" dataCellStyle="一般 2"/>
    <tableColumn id="15" uniqueName="15" name="F15" queryTableFieldId="15" dataDxfId="1320" dataCellStyle="一般 2"/>
    <tableColumn id="16" uniqueName="16" name="F16" queryTableFieldId="16" dataDxfId="1319" dataCellStyle="一般 2"/>
    <tableColumn id="17" uniqueName="17" name="F17" queryTableFieldId="17" dataDxfId="1318" dataCellStyle="一般 2"/>
    <tableColumn id="18" uniqueName="18" name="F18" queryTableFieldId="18" dataDxfId="1317" dataCellStyle="一般 2"/>
    <tableColumn id="19" uniqueName="19" name="F19" queryTableFieldId="19" dataDxfId="1316" dataCellStyle="一般 2"/>
    <tableColumn id="20" uniqueName="20" name="F20" queryTableFieldId="20" dataDxfId="1315" dataCellStyle="一般 2"/>
    <tableColumn id="21" uniqueName="21" name="F21" queryTableFieldId="21" dataDxfId="1314" dataCellStyle="一般 2"/>
    <tableColumn id="22" uniqueName="22" name="2024/6/24 14:52" queryTableFieldId="22" dataDxfId="1313" dataCellStyle="一般 2"/>
    <tableColumn id="23" uniqueName="23" name="F23" queryTableFieldId="23" dataDxfId="1312" dataCellStyle="一般 2"/>
    <tableColumn id="24" uniqueName="24" name="F24" queryTableFieldId="24" dataDxfId="1311" dataCellStyle="一般 2"/>
    <tableColumn id="25" uniqueName="25" name="F25" queryTableFieldId="25" dataDxfId="1310" dataCellStyle="一般 2"/>
    <tableColumn id="26" uniqueName="26" name="F26" queryTableFieldId="26" dataDxfId="1309" dataCellStyle="一般 2"/>
    <tableColumn id="27" uniqueName="27" name="F27" queryTableFieldId="27" dataDxfId="1308" dataCellStyle="一般 2"/>
    <tableColumn id="28" uniqueName="28" name="F28" queryTableFieldId="28" dataDxfId="1307" dataCellStyle="一般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12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3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3" ref="AG13:BH189" tableType="queryTable" totalsRowShown="0" headerRowDxfId="1206" dataDxfId="1205" headerRowCellStyle="一般 2" dataCellStyle="一般 2">
  <autoFilter ref="AG13:BH189"/>
  <tableColumns count="28">
    <tableColumn id="1" uniqueName="1" name="請直接以10進位，謝謝" queryTableFieldId="1" dataDxfId="1204" dataCellStyle="一般 2"/>
    <tableColumn id="2" uniqueName="2" name="F2" queryTableFieldId="2" dataDxfId="1203" dataCellStyle="一般 2"/>
    <tableColumn id="3" uniqueName="3" name="F3" queryTableFieldId="3" dataDxfId="1202" dataCellStyle="一般 2"/>
    <tableColumn id="4" uniqueName="4" name="F4" queryTableFieldId="4" dataDxfId="1201" dataCellStyle="一般 2"/>
    <tableColumn id="5" uniqueName="5" name="F5" queryTableFieldId="5" dataDxfId="1200" dataCellStyle="一般 2"/>
    <tableColumn id="6" uniqueName="6" name="F6" queryTableFieldId="6" dataDxfId="1199" dataCellStyle="一般 2"/>
    <tableColumn id="7" uniqueName="7" name="F7" queryTableFieldId="7" dataDxfId="1198" dataCellStyle="一般 2"/>
    <tableColumn id="8" uniqueName="8" name="F8" queryTableFieldId="8" dataDxfId="1197" dataCellStyle="一般 2"/>
    <tableColumn id="9" uniqueName="9" name="F9" queryTableFieldId="9" dataDxfId="1196" dataCellStyle="一般 2"/>
    <tableColumn id="10" uniqueName="10" name="F10" queryTableFieldId="10" dataDxfId="1195" dataCellStyle="一般 2"/>
    <tableColumn id="11" uniqueName="11" name="F11" queryTableFieldId="11" dataDxfId="1194" dataCellStyle="一般 2"/>
    <tableColumn id="12" uniqueName="12" name="F12" queryTableFieldId="12" dataDxfId="1193" dataCellStyle="一般 2"/>
    <tableColumn id="13" uniqueName="13" name="F13" queryTableFieldId="13" dataDxfId="1192" dataCellStyle="一般 2"/>
    <tableColumn id="14" uniqueName="14" name="F14" queryTableFieldId="14" dataDxfId="1191" dataCellStyle="一般 2"/>
    <tableColumn id="15" uniqueName="15" name="F15" queryTableFieldId="15" dataDxfId="1190" dataCellStyle="一般 2"/>
    <tableColumn id="16" uniqueName="16" name="F16" queryTableFieldId="16" dataDxfId="1189" dataCellStyle="一般 2"/>
    <tableColumn id="17" uniqueName="17" name="F17" queryTableFieldId="17" dataDxfId="1188" dataCellStyle="一般 2"/>
    <tableColumn id="18" uniqueName="18" name="F18" queryTableFieldId="18" dataDxfId="1187" dataCellStyle="一般 2"/>
    <tableColumn id="19" uniqueName="19" name="F19" queryTableFieldId="19" dataDxfId="1186" dataCellStyle="一般 2"/>
    <tableColumn id="20" uniqueName="20" name="F20" queryTableFieldId="20" dataDxfId="1185" dataCellStyle="一般 2"/>
    <tableColumn id="21" uniqueName="21" name="F21" queryTableFieldId="21" dataDxfId="1184" dataCellStyle="一般 2"/>
    <tableColumn id="22" uniqueName="22" name="2024/6/24 14:52" queryTableFieldId="22" dataDxfId="1183" dataCellStyle="一般 2"/>
    <tableColumn id="23" uniqueName="23" name="F23" queryTableFieldId="23" dataDxfId="1182" dataCellStyle="一般 2"/>
    <tableColumn id="24" uniqueName="24" name="F24" queryTableFieldId="24" dataDxfId="1181" dataCellStyle="一般 2"/>
    <tableColumn id="25" uniqueName="25" name="F25" queryTableFieldId="25" dataDxfId="1180" dataCellStyle="一般 2"/>
    <tableColumn id="26" uniqueName="26" name="F26" queryTableFieldId="26" dataDxfId="1179" dataCellStyle="一般 2"/>
    <tableColumn id="27" uniqueName="27" name="F27" queryTableFieldId="27" dataDxfId="1178" dataCellStyle="一般 2"/>
    <tableColumn id="28" uniqueName="28" name="F28" queryTableFieldId="28" dataDxfId="1177" dataCellStyle="一般 2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13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4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4" ref="AG13:BH189" tableType="queryTable" totalsRowShown="0" headerRowDxfId="1076" dataDxfId="1075" headerRowCellStyle="一般 2" dataCellStyle="一般 2">
  <autoFilter ref="AG13:BH189"/>
  <tableColumns count="28">
    <tableColumn id="1" uniqueName="1" name="請直接以10進位，謝謝" queryTableFieldId="1" dataDxfId="1074" dataCellStyle="一般 2"/>
    <tableColumn id="2" uniqueName="2" name="F2" queryTableFieldId="2" dataDxfId="1073" dataCellStyle="一般 2"/>
    <tableColumn id="3" uniqueName="3" name="F3" queryTableFieldId="3" dataDxfId="1072" dataCellStyle="一般 2"/>
    <tableColumn id="4" uniqueName="4" name="F4" queryTableFieldId="4" dataDxfId="1071" dataCellStyle="一般 2"/>
    <tableColumn id="5" uniqueName="5" name="F5" queryTableFieldId="5" dataDxfId="1070" dataCellStyle="一般 2"/>
    <tableColumn id="6" uniqueName="6" name="F6" queryTableFieldId="6" dataDxfId="1069" dataCellStyle="一般 2"/>
    <tableColumn id="7" uniqueName="7" name="F7" queryTableFieldId="7" dataDxfId="1068" dataCellStyle="一般 2"/>
    <tableColumn id="8" uniqueName="8" name="F8" queryTableFieldId="8" dataDxfId="1067" dataCellStyle="一般 2"/>
    <tableColumn id="9" uniqueName="9" name="F9" queryTableFieldId="9" dataDxfId="1066" dataCellStyle="一般 2"/>
    <tableColumn id="10" uniqueName="10" name="F10" queryTableFieldId="10" dataDxfId="1065" dataCellStyle="一般 2"/>
    <tableColumn id="11" uniqueName="11" name="F11" queryTableFieldId="11" dataDxfId="1064" dataCellStyle="一般 2"/>
    <tableColumn id="12" uniqueName="12" name="F12" queryTableFieldId="12" dataDxfId="1063" dataCellStyle="一般 2"/>
    <tableColumn id="13" uniqueName="13" name="F13" queryTableFieldId="13" dataDxfId="1062" dataCellStyle="一般 2"/>
    <tableColumn id="14" uniqueName="14" name="F14" queryTableFieldId="14" dataDxfId="1061" dataCellStyle="一般 2"/>
    <tableColumn id="15" uniqueName="15" name="F15" queryTableFieldId="15" dataDxfId="1060" dataCellStyle="一般 2"/>
    <tableColumn id="16" uniqueName="16" name="F16" queryTableFieldId="16" dataDxfId="1059" dataCellStyle="一般 2"/>
    <tableColumn id="17" uniqueName="17" name="F17" queryTableFieldId="17" dataDxfId="1058" dataCellStyle="一般 2"/>
    <tableColumn id="18" uniqueName="18" name="F18" queryTableFieldId="18" dataDxfId="1057" dataCellStyle="一般 2"/>
    <tableColumn id="19" uniqueName="19" name="F19" queryTableFieldId="19" dataDxfId="1056" dataCellStyle="一般 2"/>
    <tableColumn id="20" uniqueName="20" name="F20" queryTableFieldId="20" dataDxfId="1055" dataCellStyle="一般 2"/>
    <tableColumn id="21" uniqueName="21" name="F21" queryTableFieldId="21" dataDxfId="1054" dataCellStyle="一般 2"/>
    <tableColumn id="22" uniqueName="22" name="2024/6/24 14:52" queryTableFieldId="22" dataDxfId="1053" dataCellStyle="一般 2"/>
    <tableColumn id="23" uniqueName="23" name="F23" queryTableFieldId="23" dataDxfId="1052" dataCellStyle="一般 2"/>
    <tableColumn id="24" uniqueName="24" name="F24" queryTableFieldId="24" dataDxfId="1051" dataCellStyle="一般 2"/>
    <tableColumn id="25" uniqueName="25" name="F25" queryTableFieldId="25" dataDxfId="1050" dataCellStyle="一般 2"/>
    <tableColumn id="26" uniqueName="26" name="F26" queryTableFieldId="26" dataDxfId="1049" dataCellStyle="一般 2"/>
    <tableColumn id="27" uniqueName="27" name="F27" queryTableFieldId="27" dataDxfId="1048" dataCellStyle="一般 2"/>
    <tableColumn id="28" uniqueName="28" name="F28" queryTableFieldId="28" dataDxfId="1047" dataCellStyle="一般 2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14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5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5" ref="AG13:BH189" tableType="queryTable" totalsRowShown="0" headerRowDxfId="946" dataDxfId="945" headerRowCellStyle="一般 2" dataCellStyle="一般 2">
  <autoFilter ref="AG13:BH189"/>
  <tableColumns count="28">
    <tableColumn id="1" uniqueName="1" name="請直接以10進位，謝謝" queryTableFieldId="1" dataDxfId="944" dataCellStyle="一般 2"/>
    <tableColumn id="2" uniqueName="2" name="F2" queryTableFieldId="2" dataDxfId="943" dataCellStyle="一般 2"/>
    <tableColumn id="3" uniqueName="3" name="F3" queryTableFieldId="3" dataDxfId="942" dataCellStyle="一般 2"/>
    <tableColumn id="4" uniqueName="4" name="F4" queryTableFieldId="4" dataDxfId="941" dataCellStyle="一般 2"/>
    <tableColumn id="5" uniqueName="5" name="F5" queryTableFieldId="5" dataDxfId="940" dataCellStyle="一般 2"/>
    <tableColumn id="6" uniqueName="6" name="F6" queryTableFieldId="6" dataDxfId="939" dataCellStyle="一般 2"/>
    <tableColumn id="7" uniqueName="7" name="F7" queryTableFieldId="7" dataDxfId="938" dataCellStyle="一般 2"/>
    <tableColumn id="8" uniqueName="8" name="F8" queryTableFieldId="8" dataDxfId="937" dataCellStyle="一般 2"/>
    <tableColumn id="9" uniqueName="9" name="F9" queryTableFieldId="9" dataDxfId="936" dataCellStyle="一般 2"/>
    <tableColumn id="10" uniqueName="10" name="F10" queryTableFieldId="10" dataDxfId="935" dataCellStyle="一般 2"/>
    <tableColumn id="11" uniqueName="11" name="F11" queryTableFieldId="11" dataDxfId="934" dataCellStyle="一般 2"/>
    <tableColumn id="12" uniqueName="12" name="F12" queryTableFieldId="12" dataDxfId="933" dataCellStyle="一般 2"/>
    <tableColumn id="13" uniqueName="13" name="F13" queryTableFieldId="13" dataDxfId="932" dataCellStyle="一般 2"/>
    <tableColumn id="14" uniqueName="14" name="F14" queryTableFieldId="14" dataDxfId="931" dataCellStyle="一般 2"/>
    <tableColumn id="15" uniqueName="15" name="F15" queryTableFieldId="15" dataDxfId="930" dataCellStyle="一般 2"/>
    <tableColumn id="16" uniqueName="16" name="F16" queryTableFieldId="16" dataDxfId="929" dataCellStyle="一般 2"/>
    <tableColumn id="17" uniqueName="17" name="F17" queryTableFieldId="17" dataDxfId="928" dataCellStyle="一般 2"/>
    <tableColumn id="18" uniqueName="18" name="F18" queryTableFieldId="18" dataDxfId="927" dataCellStyle="一般 2"/>
    <tableColumn id="19" uniqueName="19" name="F19" queryTableFieldId="19" dataDxfId="926" dataCellStyle="一般 2"/>
    <tableColumn id="20" uniqueName="20" name="F20" queryTableFieldId="20" dataDxfId="925" dataCellStyle="一般 2"/>
    <tableColumn id="21" uniqueName="21" name="F21" queryTableFieldId="21" dataDxfId="924" dataCellStyle="一般 2"/>
    <tableColumn id="22" uniqueName="22" name="2024/6/24 14:52" queryTableFieldId="22" dataDxfId="923" dataCellStyle="一般 2"/>
    <tableColumn id="23" uniqueName="23" name="F23" queryTableFieldId="23" dataDxfId="922" dataCellStyle="一般 2"/>
    <tableColumn id="24" uniqueName="24" name="F24" queryTableFieldId="24" dataDxfId="921" dataCellStyle="一般 2"/>
    <tableColumn id="25" uniqueName="25" name="F25" queryTableFieldId="25" dataDxfId="920" dataCellStyle="一般 2"/>
    <tableColumn id="26" uniqueName="26" name="F26" queryTableFieldId="26" dataDxfId="919" dataCellStyle="一般 2"/>
    <tableColumn id="27" uniqueName="27" name="F27" queryTableFieldId="27" dataDxfId="918" dataCellStyle="一般 2"/>
    <tableColumn id="28" uniqueName="28" name="F28" queryTableFieldId="28" dataDxfId="917" dataCellStyle="一般 2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id="15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6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6" ref="AG13:BH189" tableType="queryTable" totalsRowShown="0" headerRowDxfId="815" dataDxfId="814" headerRowCellStyle="一般 2" dataCellStyle="一般 2">
  <autoFilter ref="AG13:BH189"/>
  <tableColumns count="28">
    <tableColumn id="1" uniqueName="1" name="請直接以10進位，謝謝" queryTableFieldId="1" dataDxfId="813" dataCellStyle="一般 2"/>
    <tableColumn id="2" uniqueName="2" name="F2" queryTableFieldId="2" dataDxfId="812" dataCellStyle="一般 2"/>
    <tableColumn id="3" uniqueName="3" name="F3" queryTableFieldId="3" dataDxfId="811" dataCellStyle="一般 2"/>
    <tableColumn id="4" uniqueName="4" name="F4" queryTableFieldId="4" dataDxfId="810" dataCellStyle="一般 2"/>
    <tableColumn id="5" uniqueName="5" name="F5" queryTableFieldId="5" dataDxfId="809" dataCellStyle="一般 2"/>
    <tableColumn id="6" uniqueName="6" name="F6" queryTableFieldId="6" dataDxfId="808" dataCellStyle="一般 2"/>
    <tableColumn id="7" uniqueName="7" name="F7" queryTableFieldId="7" dataDxfId="807" dataCellStyle="一般 2"/>
    <tableColumn id="8" uniqueName="8" name="F8" queryTableFieldId="8" dataDxfId="806" dataCellStyle="一般 2"/>
    <tableColumn id="9" uniqueName="9" name="F9" queryTableFieldId="9" dataDxfId="805" dataCellStyle="一般 2"/>
    <tableColumn id="10" uniqueName="10" name="F10" queryTableFieldId="10" dataDxfId="804" dataCellStyle="一般 2"/>
    <tableColumn id="11" uniqueName="11" name="F11" queryTableFieldId="11" dataDxfId="803" dataCellStyle="一般 2"/>
    <tableColumn id="12" uniqueName="12" name="F12" queryTableFieldId="12" dataDxfId="802" dataCellStyle="一般 2"/>
    <tableColumn id="13" uniqueName="13" name="F13" queryTableFieldId="13" dataDxfId="801" dataCellStyle="一般 2"/>
    <tableColumn id="14" uniqueName="14" name="F14" queryTableFieldId="14" dataDxfId="800" dataCellStyle="一般 2"/>
    <tableColumn id="15" uniqueName="15" name="F15" queryTableFieldId="15" dataDxfId="799" dataCellStyle="一般 2"/>
    <tableColumn id="16" uniqueName="16" name="F16" queryTableFieldId="16" dataDxfId="798" dataCellStyle="一般 2"/>
    <tableColumn id="17" uniqueName="17" name="F17" queryTableFieldId="17" dataDxfId="797" dataCellStyle="一般 2"/>
    <tableColumn id="18" uniqueName="18" name="F18" queryTableFieldId="18" dataDxfId="796" dataCellStyle="一般 2"/>
    <tableColumn id="19" uniqueName="19" name="F19" queryTableFieldId="19" dataDxfId="795" dataCellStyle="一般 2"/>
    <tableColumn id="20" uniqueName="20" name="F20" queryTableFieldId="20" dataDxfId="794" dataCellStyle="一般 2"/>
    <tableColumn id="21" uniqueName="21" name="F21" queryTableFieldId="21" dataDxfId="793" dataCellStyle="一般 2"/>
    <tableColumn id="22" uniqueName="22" name="2024/6/24 14:52" queryTableFieldId="22" dataDxfId="792" dataCellStyle="一般 2"/>
    <tableColumn id="23" uniqueName="23" name="F23" queryTableFieldId="23" dataDxfId="791" dataCellStyle="一般 2"/>
    <tableColumn id="24" uniqueName="24" name="F24" queryTableFieldId="24" dataDxfId="790" dataCellStyle="一般 2"/>
    <tableColumn id="25" uniqueName="25" name="F25" queryTableFieldId="25" dataDxfId="789" dataCellStyle="一般 2"/>
    <tableColumn id="26" uniqueName="26" name="F26" queryTableFieldId="26" dataDxfId="788" dataCellStyle="一般 2"/>
    <tableColumn id="27" uniqueName="27" name="F27" queryTableFieldId="27" dataDxfId="787" dataCellStyle="一般 2"/>
    <tableColumn id="28" uniqueName="28" name="F28" queryTableFieldId="28" dataDxfId="786" dataCellStyle="一般 2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id="16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7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7" ref="AG13:BH189" tableType="queryTable" totalsRowShown="0" headerRowDxfId="684" dataDxfId="683" headerRowCellStyle="一般 2" dataCellStyle="一般 2">
  <autoFilter ref="AG13:BH189"/>
  <tableColumns count="28">
    <tableColumn id="1" uniqueName="1" name="請直接以10進位，謝謝" queryTableFieldId="1" dataDxfId="682" dataCellStyle="一般 2"/>
    <tableColumn id="2" uniqueName="2" name="F2" queryTableFieldId="2" dataDxfId="681" dataCellStyle="一般 2"/>
    <tableColumn id="3" uniqueName="3" name="F3" queryTableFieldId="3" dataDxfId="680" dataCellStyle="一般 2"/>
    <tableColumn id="4" uniqueName="4" name="F4" queryTableFieldId="4" dataDxfId="679" dataCellStyle="一般 2"/>
    <tableColumn id="5" uniqueName="5" name="F5" queryTableFieldId="5" dataDxfId="678" dataCellStyle="一般 2"/>
    <tableColumn id="6" uniqueName="6" name="F6" queryTableFieldId="6" dataDxfId="677" dataCellStyle="一般 2"/>
    <tableColumn id="7" uniqueName="7" name="F7" queryTableFieldId="7" dataDxfId="676" dataCellStyle="一般 2"/>
    <tableColumn id="8" uniqueName="8" name="F8" queryTableFieldId="8" dataDxfId="675" dataCellStyle="一般 2"/>
    <tableColumn id="9" uniqueName="9" name="F9" queryTableFieldId="9" dataDxfId="674" dataCellStyle="一般 2"/>
    <tableColumn id="10" uniqueName="10" name="F10" queryTableFieldId="10" dataDxfId="673" dataCellStyle="一般 2"/>
    <tableColumn id="11" uniqueName="11" name="F11" queryTableFieldId="11" dataDxfId="672" dataCellStyle="一般 2"/>
    <tableColumn id="12" uniqueName="12" name="F12" queryTableFieldId="12" dataDxfId="671" dataCellStyle="一般 2"/>
    <tableColumn id="13" uniqueName="13" name="F13" queryTableFieldId="13" dataDxfId="670" dataCellStyle="一般 2"/>
    <tableColumn id="14" uniqueName="14" name="F14" queryTableFieldId="14" dataDxfId="669" dataCellStyle="一般 2"/>
    <tableColumn id="15" uniqueName="15" name="F15" queryTableFieldId="15" dataDxfId="668" dataCellStyle="一般 2"/>
    <tableColumn id="16" uniqueName="16" name="F16" queryTableFieldId="16" dataDxfId="667" dataCellStyle="一般 2"/>
    <tableColumn id="17" uniqueName="17" name="F17" queryTableFieldId="17" dataDxfId="666" dataCellStyle="一般 2"/>
    <tableColumn id="18" uniqueName="18" name="F18" queryTableFieldId="18" dataDxfId="665" dataCellStyle="一般 2"/>
    <tableColumn id="19" uniqueName="19" name="F19" queryTableFieldId="19" dataDxfId="664" dataCellStyle="一般 2"/>
    <tableColumn id="20" uniqueName="20" name="F20" queryTableFieldId="20" dataDxfId="663" dataCellStyle="一般 2"/>
    <tableColumn id="21" uniqueName="21" name="F21" queryTableFieldId="21" dataDxfId="662" dataCellStyle="一般 2"/>
    <tableColumn id="22" uniqueName="22" name="2024/6/24 14:52" queryTableFieldId="22" dataDxfId="661" dataCellStyle="一般 2"/>
    <tableColumn id="23" uniqueName="23" name="F23" queryTableFieldId="23" dataDxfId="660" dataCellStyle="一般 2"/>
    <tableColumn id="24" uniqueName="24" name="F24" queryTableFieldId="24" dataDxfId="659" dataCellStyle="一般 2"/>
    <tableColumn id="25" uniqueName="25" name="F25" queryTableFieldId="25" dataDxfId="658" dataCellStyle="一般 2"/>
    <tableColumn id="26" uniqueName="26" name="F26" queryTableFieldId="26" dataDxfId="657" dataCellStyle="一般 2"/>
    <tableColumn id="27" uniqueName="27" name="F27" queryTableFieldId="27" dataDxfId="656" dataCellStyle="一般 2"/>
    <tableColumn id="28" uniqueName="28" name="F28" queryTableFieldId="28" dataDxfId="655" dataCellStyle="一般 2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id="17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8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8" ref="AG13:BH189" tableType="queryTable" totalsRowShown="0" headerRowDxfId="553" dataDxfId="552" headerRowCellStyle="一般 2" dataCellStyle="一般 2">
  <autoFilter ref="AG13:BH189"/>
  <tableColumns count="28">
    <tableColumn id="1" uniqueName="1" name="請直接以10進位，謝謝" queryTableFieldId="1" dataDxfId="551" dataCellStyle="一般 2"/>
    <tableColumn id="2" uniqueName="2" name="F2" queryTableFieldId="2" dataDxfId="550" dataCellStyle="一般 2"/>
    <tableColumn id="3" uniqueName="3" name="F3" queryTableFieldId="3" dataDxfId="549" dataCellStyle="一般 2"/>
    <tableColumn id="4" uniqueName="4" name="F4" queryTableFieldId="4" dataDxfId="548" dataCellStyle="一般 2"/>
    <tableColumn id="5" uniqueName="5" name="F5" queryTableFieldId="5" dataDxfId="547" dataCellStyle="一般 2"/>
    <tableColumn id="6" uniqueName="6" name="F6" queryTableFieldId="6" dataDxfId="546" dataCellStyle="一般 2"/>
    <tableColumn id="7" uniqueName="7" name="F7" queryTableFieldId="7" dataDxfId="545" dataCellStyle="一般 2"/>
    <tableColumn id="8" uniqueName="8" name="F8" queryTableFieldId="8" dataDxfId="544" dataCellStyle="一般 2"/>
    <tableColumn id="9" uniqueName="9" name="F9" queryTableFieldId="9" dataDxfId="543" dataCellStyle="一般 2"/>
    <tableColumn id="10" uniqueName="10" name="F10" queryTableFieldId="10" dataDxfId="542" dataCellStyle="一般 2"/>
    <tableColumn id="11" uniqueName="11" name="F11" queryTableFieldId="11" dataDxfId="541" dataCellStyle="一般 2"/>
    <tableColumn id="12" uniqueName="12" name="F12" queryTableFieldId="12" dataDxfId="540" dataCellStyle="一般 2"/>
    <tableColumn id="13" uniqueName="13" name="F13" queryTableFieldId="13" dataDxfId="539" dataCellStyle="一般 2"/>
    <tableColumn id="14" uniqueName="14" name="F14" queryTableFieldId="14" dataDxfId="538" dataCellStyle="一般 2"/>
    <tableColumn id="15" uniqueName="15" name="F15" queryTableFieldId="15" dataDxfId="537" dataCellStyle="一般 2"/>
    <tableColumn id="16" uniqueName="16" name="F16" queryTableFieldId="16" dataDxfId="536" dataCellStyle="一般 2"/>
    <tableColumn id="17" uniqueName="17" name="F17" queryTableFieldId="17" dataDxfId="535" dataCellStyle="一般 2"/>
    <tableColumn id="18" uniqueName="18" name="F18" queryTableFieldId="18" dataDxfId="534" dataCellStyle="一般 2"/>
    <tableColumn id="19" uniqueName="19" name="F19" queryTableFieldId="19" dataDxfId="533" dataCellStyle="一般 2"/>
    <tableColumn id="20" uniqueName="20" name="F20" queryTableFieldId="20" dataDxfId="532" dataCellStyle="一般 2"/>
    <tableColumn id="21" uniqueName="21" name="F21" queryTableFieldId="21" dataDxfId="531" dataCellStyle="一般 2"/>
    <tableColumn id="22" uniqueName="22" name="2024/6/24 14:52" queryTableFieldId="22" dataDxfId="530" dataCellStyle="一般 2"/>
    <tableColumn id="23" uniqueName="23" name="F23" queryTableFieldId="23" dataDxfId="529" dataCellStyle="一般 2"/>
    <tableColumn id="24" uniqueName="24" name="F24" queryTableFieldId="24" dataDxfId="528" dataCellStyle="一般 2"/>
    <tableColumn id="25" uniqueName="25" name="F25" queryTableFieldId="25" dataDxfId="527" dataCellStyle="一般 2"/>
    <tableColumn id="26" uniqueName="26" name="F26" queryTableFieldId="26" dataDxfId="526" dataCellStyle="一般 2"/>
    <tableColumn id="27" uniqueName="27" name="F27" queryTableFieldId="27" dataDxfId="525" dataCellStyle="一般 2"/>
    <tableColumn id="28" uniqueName="28" name="F28" queryTableFieldId="28" dataDxfId="524" dataCellStyle="一般 2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id="18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9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9" ref="AG13:BH189" tableType="queryTable" totalsRowShown="0" headerRowDxfId="422" dataDxfId="421" headerRowCellStyle="一般 2" dataCellStyle="一般 2">
  <autoFilter ref="AG13:BH189"/>
  <tableColumns count="28">
    <tableColumn id="1" uniqueName="1" name="請直接以10進位，謝謝" queryTableFieldId="1" dataDxfId="420" dataCellStyle="一般 2"/>
    <tableColumn id="2" uniqueName="2" name="F2" queryTableFieldId="2" dataDxfId="419" dataCellStyle="一般 2"/>
    <tableColumn id="3" uniqueName="3" name="F3" queryTableFieldId="3" dataDxfId="418" dataCellStyle="一般 2"/>
    <tableColumn id="4" uniqueName="4" name="F4" queryTableFieldId="4" dataDxfId="417" dataCellStyle="一般 2"/>
    <tableColumn id="5" uniqueName="5" name="F5" queryTableFieldId="5" dataDxfId="416" dataCellStyle="一般 2"/>
    <tableColumn id="6" uniqueName="6" name="F6" queryTableFieldId="6" dataDxfId="415" dataCellStyle="一般 2"/>
    <tableColumn id="7" uniqueName="7" name="F7" queryTableFieldId="7" dataDxfId="414" dataCellStyle="一般 2"/>
    <tableColumn id="8" uniqueName="8" name="F8" queryTableFieldId="8" dataDxfId="413" dataCellStyle="一般 2"/>
    <tableColumn id="9" uniqueName="9" name="F9" queryTableFieldId="9" dataDxfId="412" dataCellStyle="一般 2"/>
    <tableColumn id="10" uniqueName="10" name="F10" queryTableFieldId="10" dataDxfId="411" dataCellStyle="一般 2"/>
    <tableColumn id="11" uniqueName="11" name="F11" queryTableFieldId="11" dataDxfId="410" dataCellStyle="一般 2"/>
    <tableColumn id="12" uniqueName="12" name="F12" queryTableFieldId="12" dataDxfId="409" dataCellStyle="一般 2"/>
    <tableColumn id="13" uniqueName="13" name="F13" queryTableFieldId="13" dataDxfId="408" dataCellStyle="一般 2"/>
    <tableColumn id="14" uniqueName="14" name="F14" queryTableFieldId="14" dataDxfId="407" dataCellStyle="一般 2"/>
    <tableColumn id="15" uniqueName="15" name="F15" queryTableFieldId="15" dataDxfId="406" dataCellStyle="一般 2"/>
    <tableColumn id="16" uniqueName="16" name="F16" queryTableFieldId="16" dataDxfId="405" dataCellStyle="一般 2"/>
    <tableColumn id="17" uniqueName="17" name="F17" queryTableFieldId="17" dataDxfId="404" dataCellStyle="一般 2"/>
    <tableColumn id="18" uniqueName="18" name="F18" queryTableFieldId="18" dataDxfId="403" dataCellStyle="一般 2"/>
    <tableColumn id="19" uniqueName="19" name="F19" queryTableFieldId="19" dataDxfId="402" dataCellStyle="一般 2"/>
    <tableColumn id="20" uniqueName="20" name="F20" queryTableFieldId="20" dataDxfId="401" dataCellStyle="一般 2"/>
    <tableColumn id="21" uniqueName="21" name="F21" queryTableFieldId="21" dataDxfId="400" dataCellStyle="一般 2"/>
    <tableColumn id="22" uniqueName="22" name="2024/6/24 14:52" queryTableFieldId="22" dataDxfId="399" dataCellStyle="一般 2"/>
    <tableColumn id="23" uniqueName="23" name="F23" queryTableFieldId="23" dataDxfId="398" dataCellStyle="一般 2"/>
    <tableColumn id="24" uniqueName="24" name="F24" queryTableFieldId="24" dataDxfId="397" dataCellStyle="一般 2"/>
    <tableColumn id="25" uniqueName="25" name="F25" queryTableFieldId="25" dataDxfId="396" dataCellStyle="一般 2"/>
    <tableColumn id="26" uniqueName="26" name="F26" queryTableFieldId="26" dataDxfId="395" dataCellStyle="一般 2"/>
    <tableColumn id="27" uniqueName="27" name="F27" queryTableFieldId="27" dataDxfId="394" dataCellStyle="一般 2"/>
    <tableColumn id="28" uniqueName="28" name="F28" queryTableFieldId="28" dataDxfId="393" dataCellStyle="一般 2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id="19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20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20" ref="AG13:BH189" tableType="queryTable" totalsRowShown="0" headerRowDxfId="291" dataDxfId="290" headerRowCellStyle="一般 2" dataCellStyle="一般 2">
  <autoFilter ref="AG13:BH189"/>
  <tableColumns count="28">
    <tableColumn id="1" uniqueName="1" name="請直接以10進位，謝謝" queryTableFieldId="1" dataDxfId="289" dataCellStyle="一般 2"/>
    <tableColumn id="2" uniqueName="2" name="F2" queryTableFieldId="2" dataDxfId="288" dataCellStyle="一般 2"/>
    <tableColumn id="3" uniqueName="3" name="F3" queryTableFieldId="3" dataDxfId="287" dataCellStyle="一般 2"/>
    <tableColumn id="4" uniqueName="4" name="F4" queryTableFieldId="4" dataDxfId="286" dataCellStyle="一般 2"/>
    <tableColumn id="5" uniqueName="5" name="F5" queryTableFieldId="5" dataDxfId="285" dataCellStyle="一般 2"/>
    <tableColumn id="6" uniqueName="6" name="F6" queryTableFieldId="6" dataDxfId="284" dataCellStyle="一般 2"/>
    <tableColumn id="7" uniqueName="7" name="F7" queryTableFieldId="7" dataDxfId="283" dataCellStyle="一般 2"/>
    <tableColumn id="8" uniqueName="8" name="F8" queryTableFieldId="8" dataDxfId="282" dataCellStyle="一般 2"/>
    <tableColumn id="9" uniqueName="9" name="F9" queryTableFieldId="9" dataDxfId="281" dataCellStyle="一般 2"/>
    <tableColumn id="10" uniqueName="10" name="F10" queryTableFieldId="10" dataDxfId="280" dataCellStyle="一般 2"/>
    <tableColumn id="11" uniqueName="11" name="F11" queryTableFieldId="11" dataDxfId="279" dataCellStyle="一般 2"/>
    <tableColumn id="12" uniqueName="12" name="F12" queryTableFieldId="12" dataDxfId="278" dataCellStyle="一般 2"/>
    <tableColumn id="13" uniqueName="13" name="F13" queryTableFieldId="13" dataDxfId="277" dataCellStyle="一般 2"/>
    <tableColumn id="14" uniqueName="14" name="F14" queryTableFieldId="14" dataDxfId="276" dataCellStyle="一般 2"/>
    <tableColumn id="15" uniqueName="15" name="F15" queryTableFieldId="15" dataDxfId="275" dataCellStyle="一般 2"/>
    <tableColumn id="16" uniqueName="16" name="F16" queryTableFieldId="16" dataDxfId="274" dataCellStyle="一般 2"/>
    <tableColumn id="17" uniqueName="17" name="F17" queryTableFieldId="17" dataDxfId="273" dataCellStyle="一般 2"/>
    <tableColumn id="18" uniqueName="18" name="F18" queryTableFieldId="18" dataDxfId="272" dataCellStyle="一般 2"/>
    <tableColumn id="19" uniqueName="19" name="F19" queryTableFieldId="19" dataDxfId="271" dataCellStyle="一般 2"/>
    <tableColumn id="20" uniqueName="20" name="F20" queryTableFieldId="20" dataDxfId="270" dataCellStyle="一般 2"/>
    <tableColumn id="21" uniqueName="21" name="F21" queryTableFieldId="21" dataDxfId="269" dataCellStyle="一般 2"/>
    <tableColumn id="22" uniqueName="22" name="2024/6/24 14:52" queryTableFieldId="22" dataDxfId="268" dataCellStyle="一般 2"/>
    <tableColumn id="23" uniqueName="23" name="F23" queryTableFieldId="23" dataDxfId="267" dataCellStyle="一般 2"/>
    <tableColumn id="24" uniqueName="24" name="F24" queryTableFieldId="24" dataDxfId="266" dataCellStyle="一般 2"/>
    <tableColumn id="25" uniqueName="25" name="F25" queryTableFieldId="25" dataDxfId="265" dataCellStyle="一般 2"/>
    <tableColumn id="26" uniqueName="26" name="F26" queryTableFieldId="26" dataDxfId="264" dataCellStyle="一般 2"/>
    <tableColumn id="27" uniqueName="27" name="F27" queryTableFieldId="27" dataDxfId="263" dataCellStyle="一般 2"/>
    <tableColumn id="28" uniqueName="28" name="F28" queryTableFieldId="28" dataDxfId="262" dataCellStyle="一般 2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id="20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21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21" ref="AG13:BH189" tableType="queryTable" totalsRowShown="0" headerRowDxfId="160" dataDxfId="159" headerRowCellStyle="一般 2" dataCellStyle="一般 2">
  <autoFilter ref="AG13:BH189"/>
  <tableColumns count="28">
    <tableColumn id="1" uniqueName="1" name="請直接以10進位，謝謝" queryTableFieldId="1" dataDxfId="158" dataCellStyle="一般 2"/>
    <tableColumn id="2" uniqueName="2" name="F2" queryTableFieldId="2" dataDxfId="157" dataCellStyle="一般 2"/>
    <tableColumn id="3" uniqueName="3" name="F3" queryTableFieldId="3" dataDxfId="156" dataCellStyle="一般 2"/>
    <tableColumn id="4" uniqueName="4" name="F4" queryTableFieldId="4" dataDxfId="155" dataCellStyle="一般 2"/>
    <tableColumn id="5" uniqueName="5" name="F5" queryTableFieldId="5" dataDxfId="154" dataCellStyle="一般 2"/>
    <tableColumn id="6" uniqueName="6" name="F6" queryTableFieldId="6" dataDxfId="153" dataCellStyle="一般 2"/>
    <tableColumn id="7" uniqueName="7" name="F7" queryTableFieldId="7" dataDxfId="152" dataCellStyle="一般 2"/>
    <tableColumn id="8" uniqueName="8" name="F8" queryTableFieldId="8" dataDxfId="151" dataCellStyle="一般 2"/>
    <tableColumn id="9" uniqueName="9" name="F9" queryTableFieldId="9" dataDxfId="150" dataCellStyle="一般 2"/>
    <tableColumn id="10" uniqueName="10" name="F10" queryTableFieldId="10" dataDxfId="149" dataCellStyle="一般 2"/>
    <tableColumn id="11" uniqueName="11" name="F11" queryTableFieldId="11" dataDxfId="148" dataCellStyle="一般 2"/>
    <tableColumn id="12" uniqueName="12" name="F12" queryTableFieldId="12" dataDxfId="147" dataCellStyle="一般 2"/>
    <tableColumn id="13" uniqueName="13" name="F13" queryTableFieldId="13" dataDxfId="146" dataCellStyle="一般 2"/>
    <tableColumn id="14" uniqueName="14" name="F14" queryTableFieldId="14" dataDxfId="145" dataCellStyle="一般 2"/>
    <tableColumn id="15" uniqueName="15" name="F15" queryTableFieldId="15" dataDxfId="144" dataCellStyle="一般 2"/>
    <tableColumn id="16" uniqueName="16" name="F16" queryTableFieldId="16" dataDxfId="143" dataCellStyle="一般 2"/>
    <tableColumn id="17" uniqueName="17" name="F17" queryTableFieldId="17" dataDxfId="142" dataCellStyle="一般 2"/>
    <tableColumn id="18" uniqueName="18" name="F18" queryTableFieldId="18" dataDxfId="141" dataCellStyle="一般 2"/>
    <tableColumn id="19" uniqueName="19" name="F19" queryTableFieldId="19" dataDxfId="140" dataCellStyle="一般 2"/>
    <tableColumn id="20" uniqueName="20" name="F20" queryTableFieldId="20" dataDxfId="139" dataCellStyle="一般 2"/>
    <tableColumn id="21" uniqueName="21" name="F21" queryTableFieldId="21" dataDxfId="138" dataCellStyle="一般 2"/>
    <tableColumn id="22" uniqueName="22" name="2024/6/24 14:52" queryTableFieldId="22" dataDxfId="137" dataCellStyle="一般 2"/>
    <tableColumn id="23" uniqueName="23" name="F23" queryTableFieldId="23" dataDxfId="136" dataCellStyle="一般 2"/>
    <tableColumn id="24" uniqueName="24" name="F24" queryTableFieldId="24" dataDxfId="135" dataCellStyle="一般 2"/>
    <tableColumn id="25" uniqueName="25" name="F25" queryTableFieldId="25" dataDxfId="134" dataCellStyle="一般 2"/>
    <tableColumn id="26" uniqueName="26" name="F26" queryTableFieldId="26" dataDxfId="133" dataCellStyle="一般 2"/>
    <tableColumn id="27" uniqueName="27" name="F27" queryTableFieldId="27" dataDxfId="132" dataCellStyle="一般 2"/>
    <tableColumn id="28" uniqueName="28" name="F28" queryTableFieldId="28" dataDxfId="131" dataCellStyle="一般 2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id="21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22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22" ref="AG13:BH189" tableType="queryTable" totalsRowShown="0" headerRowDxfId="29" dataDxfId="28" headerRowCellStyle="一般 2" dataCellStyle="一般 2">
  <autoFilter ref="AG13:BH189"/>
  <tableColumns count="28">
    <tableColumn id="1" uniqueName="1" name="請直接以10進位，謝謝" queryTableFieldId="1" dataDxfId="27" dataCellStyle="一般 2"/>
    <tableColumn id="2" uniqueName="2" name="F2" queryTableFieldId="2" dataDxfId="26" dataCellStyle="一般 2"/>
    <tableColumn id="3" uniqueName="3" name="F3" queryTableFieldId="3" dataDxfId="25" dataCellStyle="一般 2"/>
    <tableColumn id="4" uniqueName="4" name="F4" queryTableFieldId="4" dataDxfId="24" dataCellStyle="一般 2"/>
    <tableColumn id="5" uniqueName="5" name="F5" queryTableFieldId="5" dataDxfId="23" dataCellStyle="一般 2"/>
    <tableColumn id="6" uniqueName="6" name="F6" queryTableFieldId="6" dataDxfId="22" dataCellStyle="一般 2"/>
    <tableColumn id="7" uniqueName="7" name="F7" queryTableFieldId="7" dataDxfId="21" dataCellStyle="一般 2"/>
    <tableColumn id="8" uniqueName="8" name="F8" queryTableFieldId="8" dataDxfId="20" dataCellStyle="一般 2"/>
    <tableColumn id="9" uniqueName="9" name="F9" queryTableFieldId="9" dataDxfId="19" dataCellStyle="一般 2"/>
    <tableColumn id="10" uniqueName="10" name="F10" queryTableFieldId="10" dataDxfId="18" dataCellStyle="一般 2"/>
    <tableColumn id="11" uniqueName="11" name="F11" queryTableFieldId="11" dataDxfId="17" dataCellStyle="一般 2"/>
    <tableColumn id="12" uniqueName="12" name="F12" queryTableFieldId="12" dataDxfId="16" dataCellStyle="一般 2"/>
    <tableColumn id="13" uniqueName="13" name="F13" queryTableFieldId="13" dataDxfId="15" dataCellStyle="一般 2"/>
    <tableColumn id="14" uniqueName="14" name="F14" queryTableFieldId="14" dataDxfId="14" dataCellStyle="一般 2"/>
    <tableColumn id="15" uniqueName="15" name="F15" queryTableFieldId="15" dataDxfId="13" dataCellStyle="一般 2"/>
    <tableColumn id="16" uniqueName="16" name="F16" queryTableFieldId="16" dataDxfId="12" dataCellStyle="一般 2"/>
    <tableColumn id="17" uniqueName="17" name="F17" queryTableFieldId="17" dataDxfId="11" dataCellStyle="一般 2"/>
    <tableColumn id="18" uniqueName="18" name="F18" queryTableFieldId="18" dataDxfId="10" dataCellStyle="一般 2"/>
    <tableColumn id="19" uniqueName="19" name="F19" queryTableFieldId="19" dataDxfId="9" dataCellStyle="一般 2"/>
    <tableColumn id="20" uniqueName="20" name="F20" queryTableFieldId="20" dataDxfId="8" dataCellStyle="一般 2"/>
    <tableColumn id="21" uniqueName="21" name="F21" queryTableFieldId="21" dataDxfId="7" dataCellStyle="一般 2"/>
    <tableColumn id="22" uniqueName="22" name="2024/6/24 14:52" queryTableFieldId="22" dataDxfId="6" dataCellStyle="一般 2"/>
    <tableColumn id="23" uniqueName="23" name="F23" queryTableFieldId="23" dataDxfId="5" dataCellStyle="一般 2"/>
    <tableColumn id="24" uniqueName="24" name="F24" queryTableFieldId="24" dataDxfId="4" dataCellStyle="一般 2"/>
    <tableColumn id="25" uniqueName="25" name="F25" queryTableFieldId="25" dataDxfId="3" dataCellStyle="一般 2"/>
    <tableColumn id="26" uniqueName="26" name="F26" queryTableFieldId="26" dataDxfId="2" dataCellStyle="一般 2"/>
    <tableColumn id="27" uniqueName="27" name="F27" queryTableFieldId="27" dataDxfId="1" dataCellStyle="一般 2"/>
    <tableColumn id="28" uniqueName="28" name="F28" queryTableFieldId="28" dataDxfId="0" dataCellStyle="一般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C8357890-2BA6-4CC5-90A2-87AD6187BD32}">
  <we:reference id="wa104381026" version="1.2.0.0" store="zh-TW" storeType="OMEX"/>
  <we:alternateReferences>
    <we:reference id="WA104381026" version="1.2.0.0" store="WA104381026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3.xml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5" Type="http://schemas.openxmlformats.org/officeDocument/2006/relationships/table" Target="../tables/table4.xml"/><Relationship Id="rId4" Type="http://schemas.openxmlformats.org/officeDocument/2006/relationships/ctrlProp" Target="../ctrlProps/ctrlProp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5" Type="http://schemas.openxmlformats.org/officeDocument/2006/relationships/table" Target="../tables/table5.xml"/><Relationship Id="rId4" Type="http://schemas.openxmlformats.org/officeDocument/2006/relationships/ctrlProp" Target="../ctrlProps/ctrlProp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5" Type="http://schemas.openxmlformats.org/officeDocument/2006/relationships/table" Target="../tables/table6.xml"/><Relationship Id="rId4" Type="http://schemas.openxmlformats.org/officeDocument/2006/relationships/ctrlProp" Target="../ctrlProps/ctrlProp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5" Type="http://schemas.openxmlformats.org/officeDocument/2006/relationships/table" Target="../tables/table7.xml"/><Relationship Id="rId4" Type="http://schemas.openxmlformats.org/officeDocument/2006/relationships/ctrlProp" Target="../ctrlProps/ctrlProp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5" Type="http://schemas.openxmlformats.org/officeDocument/2006/relationships/table" Target="../tables/table8.xml"/><Relationship Id="rId4" Type="http://schemas.openxmlformats.org/officeDocument/2006/relationships/ctrlProp" Target="../ctrlProps/ctrlProp8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5" Type="http://schemas.openxmlformats.org/officeDocument/2006/relationships/table" Target="../tables/table9.xml"/><Relationship Id="rId4" Type="http://schemas.openxmlformats.org/officeDocument/2006/relationships/ctrlProp" Target="../ctrlProps/ctrlProp9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5" Type="http://schemas.openxmlformats.org/officeDocument/2006/relationships/table" Target="../tables/table10.xml"/><Relationship Id="rId4" Type="http://schemas.openxmlformats.org/officeDocument/2006/relationships/ctrlProp" Target="../ctrlProps/ctrlProp10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5" Type="http://schemas.openxmlformats.org/officeDocument/2006/relationships/table" Target="../tables/table11.xml"/><Relationship Id="rId4" Type="http://schemas.openxmlformats.org/officeDocument/2006/relationships/ctrlProp" Target="../ctrlProps/ctrlProp11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Relationship Id="rId5" Type="http://schemas.openxmlformats.org/officeDocument/2006/relationships/table" Target="../tables/table12.xml"/><Relationship Id="rId4" Type="http://schemas.openxmlformats.org/officeDocument/2006/relationships/ctrlProp" Target="../ctrlProps/ctrlProp1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Relationship Id="rId5" Type="http://schemas.openxmlformats.org/officeDocument/2006/relationships/table" Target="../tables/table13.xml"/><Relationship Id="rId4" Type="http://schemas.openxmlformats.org/officeDocument/2006/relationships/ctrlProp" Target="../ctrlProps/ctrlProp13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Relationship Id="rId5" Type="http://schemas.openxmlformats.org/officeDocument/2006/relationships/table" Target="../tables/table14.xml"/><Relationship Id="rId4" Type="http://schemas.openxmlformats.org/officeDocument/2006/relationships/ctrlProp" Target="../ctrlProps/ctrlProp14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7.bin"/><Relationship Id="rId5" Type="http://schemas.openxmlformats.org/officeDocument/2006/relationships/table" Target="../tables/table15.xml"/><Relationship Id="rId4" Type="http://schemas.openxmlformats.org/officeDocument/2006/relationships/ctrlProp" Target="../ctrlProps/ctrlProp15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8.bin"/><Relationship Id="rId5" Type="http://schemas.openxmlformats.org/officeDocument/2006/relationships/table" Target="../tables/table16.xml"/><Relationship Id="rId4" Type="http://schemas.openxmlformats.org/officeDocument/2006/relationships/ctrlProp" Target="../ctrlProps/ctrlProp16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9.bin"/><Relationship Id="rId5" Type="http://schemas.openxmlformats.org/officeDocument/2006/relationships/table" Target="../tables/table17.xml"/><Relationship Id="rId4" Type="http://schemas.openxmlformats.org/officeDocument/2006/relationships/ctrlProp" Target="../ctrlProps/ctrlProp17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0.bin"/><Relationship Id="rId5" Type="http://schemas.openxmlformats.org/officeDocument/2006/relationships/table" Target="../tables/table18.xml"/><Relationship Id="rId4" Type="http://schemas.openxmlformats.org/officeDocument/2006/relationships/ctrlProp" Target="../ctrlProps/ctrlProp18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1.bin"/><Relationship Id="rId5" Type="http://schemas.openxmlformats.org/officeDocument/2006/relationships/table" Target="../tables/table19.xml"/><Relationship Id="rId4" Type="http://schemas.openxmlformats.org/officeDocument/2006/relationships/ctrlProp" Target="../ctrlProps/ctrlProp19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2.bin"/><Relationship Id="rId5" Type="http://schemas.openxmlformats.org/officeDocument/2006/relationships/table" Target="../tables/table20.xml"/><Relationship Id="rId4" Type="http://schemas.openxmlformats.org/officeDocument/2006/relationships/ctrlProp" Target="../ctrlProps/ctrlProp20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3.bin"/><Relationship Id="rId5" Type="http://schemas.openxmlformats.org/officeDocument/2006/relationships/table" Target="../tables/table21.xml"/><Relationship Id="rId4" Type="http://schemas.openxmlformats.org/officeDocument/2006/relationships/ctrlProp" Target="../ctrlProps/ctrlProp21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3.v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4.bin"/><Relationship Id="rId5" Type="http://schemas.openxmlformats.org/officeDocument/2006/relationships/table" Target="../tables/table22.xml"/><Relationship Id="rId4" Type="http://schemas.openxmlformats.org/officeDocument/2006/relationships/ctrlProp" Target="../ctrlProps/ctrlProp2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21">
    <pageSetUpPr fitToPage="1"/>
  </sheetPr>
  <dimension ref="A1:X100"/>
  <sheetViews>
    <sheetView view="pageBreakPreview" topLeftCell="A23" zoomScale="70" zoomScaleNormal="100" zoomScaleSheetLayoutView="70" workbookViewId="0">
      <selection activeCell="K44" sqref="K44"/>
    </sheetView>
  </sheetViews>
  <sheetFormatPr defaultColWidth="9" defaultRowHeight="15.6"/>
  <cols>
    <col min="1" max="1" width="7.33203125" style="54" customWidth="1"/>
    <col min="2" max="2" width="8.6640625" style="54" customWidth="1"/>
    <col min="3" max="3" width="6.6640625" style="54" customWidth="1"/>
    <col min="4" max="4" width="7.33203125" style="54" customWidth="1"/>
    <col min="5" max="5" width="8.6640625" style="54" customWidth="1"/>
    <col min="6" max="6" width="6.6640625" style="54" customWidth="1"/>
    <col min="7" max="7" width="7.33203125" style="54" customWidth="1"/>
    <col min="8" max="8" width="8.6640625" style="54" customWidth="1"/>
    <col min="9" max="9" width="6.6640625" style="54" customWidth="1"/>
    <col min="10" max="10" width="7.33203125" style="54" customWidth="1"/>
    <col min="11" max="11" width="8.6640625" style="54" customWidth="1"/>
    <col min="12" max="12" width="6.6640625" style="54" customWidth="1"/>
    <col min="13" max="13" width="23.88671875" style="54" customWidth="1"/>
    <col min="14" max="14" width="17.6640625" style="54" customWidth="1"/>
    <col min="15" max="16" width="11.88671875" style="54" customWidth="1"/>
    <col min="17" max="17" width="17.44140625" style="63" customWidth="1"/>
    <col min="18" max="18" width="13.6640625" style="63" customWidth="1"/>
    <col min="19" max="19" width="14.33203125" style="63" customWidth="1"/>
    <col min="20" max="20" width="9" style="54"/>
    <col min="21" max="21" width="20.77734375" style="54" bestFit="1" customWidth="1"/>
    <col min="22" max="22" width="9" style="54"/>
    <col min="23" max="23" width="13.77734375" style="54" bestFit="1" customWidth="1"/>
    <col min="24" max="16384" width="9" style="54"/>
  </cols>
  <sheetData>
    <row r="1" spans="1:24" s="53" customFormat="1" ht="21" customHeight="1" thickBot="1">
      <c r="A1" s="165" t="s">
        <v>172</v>
      </c>
      <c r="B1" s="165"/>
      <c r="C1" s="111"/>
      <c r="D1" s="111"/>
      <c r="E1" s="112"/>
      <c r="F1" s="111"/>
      <c r="G1" s="113"/>
      <c r="H1" s="113"/>
      <c r="I1" s="113"/>
      <c r="J1" s="113"/>
      <c r="K1" s="113"/>
      <c r="L1" s="113"/>
      <c r="M1" s="113" t="s">
        <v>173</v>
      </c>
      <c r="Q1" s="55"/>
      <c r="R1" s="55"/>
      <c r="S1" s="55"/>
    </row>
    <row r="2" spans="1:24" s="59" customFormat="1" ht="25.65" customHeight="1" thickTop="1" thickBot="1">
      <c r="A2" s="114" t="s">
        <v>31</v>
      </c>
      <c r="B2" s="115" t="s">
        <v>159</v>
      </c>
      <c r="C2" s="116" t="s">
        <v>33</v>
      </c>
      <c r="D2" s="114" t="s">
        <v>31</v>
      </c>
      <c r="E2" s="115" t="s">
        <v>159</v>
      </c>
      <c r="F2" s="117" t="s">
        <v>33</v>
      </c>
      <c r="G2" s="114" t="s">
        <v>31</v>
      </c>
      <c r="H2" s="115" t="s">
        <v>32</v>
      </c>
      <c r="I2" s="117" t="s">
        <v>33</v>
      </c>
      <c r="J2" s="114" t="s">
        <v>31</v>
      </c>
      <c r="K2" s="115" t="s">
        <v>32</v>
      </c>
      <c r="L2" s="117" t="s">
        <v>33</v>
      </c>
      <c r="M2" s="118" t="s">
        <v>174</v>
      </c>
      <c r="N2" s="56"/>
      <c r="O2" s="56"/>
      <c r="P2" s="57" t="s">
        <v>139</v>
      </c>
      <c r="Q2" s="58" t="s">
        <v>140</v>
      </c>
      <c r="S2" s="60" t="s">
        <v>141</v>
      </c>
      <c r="U2" s="137" t="s">
        <v>142</v>
      </c>
      <c r="V2" s="136">
        <v>0.01</v>
      </c>
      <c r="W2" s="137" t="s">
        <v>154</v>
      </c>
      <c r="X2" s="61" t="s">
        <v>145</v>
      </c>
    </row>
    <row r="3" spans="1:24" s="53" customFormat="1" ht="22.2" customHeight="1" thickTop="1">
      <c r="A3" s="119">
        <v>601</v>
      </c>
      <c r="B3" s="120">
        <v>3693</v>
      </c>
      <c r="C3" s="121">
        <v>27</v>
      </c>
      <c r="D3" s="122" t="s">
        <v>76</v>
      </c>
      <c r="E3" s="120">
        <v>7170</v>
      </c>
      <c r="F3" s="121">
        <v>18</v>
      </c>
      <c r="G3" s="119">
        <v>661</v>
      </c>
      <c r="H3" s="120">
        <v>5688</v>
      </c>
      <c r="I3" s="123">
        <v>28</v>
      </c>
      <c r="J3" s="119">
        <v>681</v>
      </c>
      <c r="K3" s="120">
        <v>3030</v>
      </c>
      <c r="L3" s="124">
        <v>28</v>
      </c>
      <c r="M3" s="166" t="s">
        <v>569</v>
      </c>
      <c r="N3" s="137" t="s">
        <v>142</v>
      </c>
      <c r="O3" s="137" t="s">
        <v>143</v>
      </c>
      <c r="P3" s="137" t="s">
        <v>144</v>
      </c>
      <c r="Q3" s="61" t="s">
        <v>145</v>
      </c>
      <c r="S3" s="53">
        <v>5900</v>
      </c>
      <c r="U3" s="137" t="s">
        <v>146</v>
      </c>
      <c r="V3" s="136">
        <v>0.01</v>
      </c>
      <c r="W3" s="137" t="s">
        <v>155</v>
      </c>
      <c r="X3" s="61" t="s">
        <v>148</v>
      </c>
    </row>
    <row r="4" spans="1:24" s="53" customFormat="1" ht="22.2" customHeight="1">
      <c r="A4" s="119">
        <v>602</v>
      </c>
      <c r="B4" s="120">
        <v>7534</v>
      </c>
      <c r="C4" s="121">
        <v>28</v>
      </c>
      <c r="D4" s="122" t="s">
        <v>77</v>
      </c>
      <c r="E4" s="120">
        <v>6956</v>
      </c>
      <c r="F4" s="121">
        <v>27</v>
      </c>
      <c r="G4" s="119">
        <v>662</v>
      </c>
      <c r="H4" s="120">
        <v>559</v>
      </c>
      <c r="I4" s="123">
        <v>25</v>
      </c>
      <c r="J4" s="119">
        <v>682</v>
      </c>
      <c r="K4" s="120">
        <v>3918</v>
      </c>
      <c r="L4" s="133">
        <v>28</v>
      </c>
      <c r="M4" s="167"/>
      <c r="N4" s="137" t="s">
        <v>146</v>
      </c>
      <c r="O4" s="137" t="s">
        <v>143</v>
      </c>
      <c r="P4" s="137" t="s">
        <v>147</v>
      </c>
      <c r="Q4" s="61" t="s">
        <v>148</v>
      </c>
      <c r="S4" s="53">
        <v>5600</v>
      </c>
      <c r="U4" s="62">
        <v>680690</v>
      </c>
      <c r="V4" s="136">
        <v>0.01</v>
      </c>
      <c r="W4" s="137" t="s">
        <v>156</v>
      </c>
      <c r="X4" s="61" t="s">
        <v>148</v>
      </c>
    </row>
    <row r="5" spans="1:24" s="53" customFormat="1" ht="22.2" customHeight="1">
      <c r="A5" s="119">
        <v>603</v>
      </c>
      <c r="B5" s="120">
        <v>5838</v>
      </c>
      <c r="C5" s="121">
        <v>26</v>
      </c>
      <c r="D5" s="122">
        <v>631</v>
      </c>
      <c r="E5" s="120">
        <v>3726</v>
      </c>
      <c r="F5" s="121">
        <v>25</v>
      </c>
      <c r="G5" s="119">
        <v>663</v>
      </c>
      <c r="H5" s="120">
        <v>1947</v>
      </c>
      <c r="I5" s="123">
        <v>29</v>
      </c>
      <c r="J5" s="119">
        <v>683</v>
      </c>
      <c r="K5" s="120">
        <v>2581</v>
      </c>
      <c r="L5" s="133">
        <v>28</v>
      </c>
      <c r="M5" s="167"/>
      <c r="N5" s="62">
        <v>680690</v>
      </c>
      <c r="O5" s="137" t="s">
        <v>143</v>
      </c>
      <c r="P5" s="137" t="s">
        <v>149</v>
      </c>
      <c r="Q5" s="61" t="s">
        <v>148</v>
      </c>
      <c r="S5" s="53">
        <v>4100</v>
      </c>
      <c r="U5" s="137" t="s">
        <v>150</v>
      </c>
      <c r="V5" s="136">
        <v>0.01</v>
      </c>
      <c r="W5" s="137" t="s">
        <v>157</v>
      </c>
      <c r="X5" s="61" t="s">
        <v>148</v>
      </c>
    </row>
    <row r="6" spans="1:24" s="53" customFormat="1" ht="22.2" customHeight="1">
      <c r="A6" s="119" t="s">
        <v>78</v>
      </c>
      <c r="B6" s="125">
        <v>1749</v>
      </c>
      <c r="C6" s="126">
        <v>28</v>
      </c>
      <c r="D6" s="127">
        <v>632</v>
      </c>
      <c r="E6" s="125">
        <v>0</v>
      </c>
      <c r="F6" s="126">
        <v>27</v>
      </c>
      <c r="G6" s="127">
        <v>664</v>
      </c>
      <c r="H6" s="120">
        <v>0</v>
      </c>
      <c r="I6" s="124">
        <v>27</v>
      </c>
      <c r="J6" s="127">
        <v>684</v>
      </c>
      <c r="K6" s="125">
        <v>1305</v>
      </c>
      <c r="L6" s="133">
        <v>27</v>
      </c>
      <c r="M6" s="167"/>
      <c r="N6" s="137" t="s">
        <v>150</v>
      </c>
      <c r="O6" s="137" t="s">
        <v>143</v>
      </c>
      <c r="P6" s="137" t="s">
        <v>151</v>
      </c>
      <c r="Q6" s="61" t="s">
        <v>148</v>
      </c>
      <c r="S6" s="53">
        <v>7000</v>
      </c>
      <c r="U6" s="137" t="s">
        <v>152</v>
      </c>
      <c r="V6" s="136">
        <v>0.01</v>
      </c>
      <c r="W6" s="137" t="s">
        <v>158</v>
      </c>
      <c r="X6" s="61" t="s">
        <v>148</v>
      </c>
    </row>
    <row r="7" spans="1:24" s="53" customFormat="1" ht="22.2" customHeight="1">
      <c r="A7" s="119" t="s">
        <v>79</v>
      </c>
      <c r="B7" s="125">
        <v>5857</v>
      </c>
      <c r="C7" s="126">
        <v>25</v>
      </c>
      <c r="D7" s="127">
        <v>633</v>
      </c>
      <c r="E7" s="125">
        <v>2041</v>
      </c>
      <c r="F7" s="126">
        <v>23</v>
      </c>
      <c r="G7" s="127">
        <v>665</v>
      </c>
      <c r="H7" s="125">
        <v>4449</v>
      </c>
      <c r="I7" s="124">
        <v>27</v>
      </c>
      <c r="J7" s="127">
        <v>685</v>
      </c>
      <c r="K7" s="125">
        <v>224</v>
      </c>
      <c r="L7" s="133">
        <v>25</v>
      </c>
      <c r="M7" s="167"/>
      <c r="N7" s="137" t="s">
        <v>152</v>
      </c>
      <c r="O7" s="137" t="s">
        <v>143</v>
      </c>
      <c r="P7" s="137" t="s">
        <v>153</v>
      </c>
      <c r="Q7" s="61" t="s">
        <v>148</v>
      </c>
      <c r="S7" s="53">
        <v>11590</v>
      </c>
      <c r="X7" s="55"/>
    </row>
    <row r="8" spans="1:24" s="53" customFormat="1" ht="22.2" customHeight="1">
      <c r="A8" s="119">
        <v>611</v>
      </c>
      <c r="B8" s="125">
        <v>38.630000000000003</v>
      </c>
      <c r="C8" s="134">
        <v>25</v>
      </c>
      <c r="D8" s="127">
        <v>634</v>
      </c>
      <c r="E8" s="125">
        <v>3243</v>
      </c>
      <c r="F8" s="126">
        <v>25</v>
      </c>
      <c r="G8" s="127">
        <v>666</v>
      </c>
      <c r="H8" s="125">
        <v>2672</v>
      </c>
      <c r="I8" s="124">
        <v>27</v>
      </c>
      <c r="J8" s="127">
        <v>686</v>
      </c>
      <c r="K8" s="125">
        <v>302</v>
      </c>
      <c r="L8" s="133">
        <v>26</v>
      </c>
      <c r="M8" s="167"/>
      <c r="N8" s="137" t="s">
        <v>163</v>
      </c>
      <c r="O8" s="137" t="s">
        <v>143</v>
      </c>
      <c r="P8" s="137" t="s">
        <v>164</v>
      </c>
      <c r="Q8" s="61" t="s">
        <v>148</v>
      </c>
      <c r="S8" s="53">
        <v>9200</v>
      </c>
    </row>
    <row r="9" spans="1:24" s="53" customFormat="1" ht="22.2" customHeight="1">
      <c r="A9" s="119">
        <v>612</v>
      </c>
      <c r="B9" s="125">
        <v>76.87</v>
      </c>
      <c r="C9" s="134">
        <v>25</v>
      </c>
      <c r="D9" s="127">
        <v>641</v>
      </c>
      <c r="E9" s="125">
        <v>5007</v>
      </c>
      <c r="F9" s="126">
        <v>30</v>
      </c>
      <c r="G9" s="127">
        <v>667</v>
      </c>
      <c r="H9" s="125">
        <v>641</v>
      </c>
      <c r="I9" s="124">
        <v>31</v>
      </c>
      <c r="J9" s="127">
        <v>687</v>
      </c>
      <c r="K9" s="125">
        <v>324</v>
      </c>
      <c r="L9" s="133">
        <v>25</v>
      </c>
      <c r="M9" s="167"/>
      <c r="N9" s="137" t="s">
        <v>165</v>
      </c>
      <c r="O9" s="137" t="s">
        <v>143</v>
      </c>
      <c r="P9" s="137" t="s">
        <v>166</v>
      </c>
      <c r="Q9" s="61" t="s">
        <v>148</v>
      </c>
      <c r="S9" s="53">
        <v>6800</v>
      </c>
    </row>
    <row r="10" spans="1:24" s="53" customFormat="1" ht="22.2" customHeight="1">
      <c r="A10" s="119">
        <v>613</v>
      </c>
      <c r="B10" s="125">
        <v>6.71</v>
      </c>
      <c r="C10" s="134">
        <v>25</v>
      </c>
      <c r="D10" s="127">
        <v>642</v>
      </c>
      <c r="E10" s="125">
        <v>4800</v>
      </c>
      <c r="F10" s="126">
        <v>27</v>
      </c>
      <c r="G10" s="127">
        <v>668</v>
      </c>
      <c r="H10" s="125">
        <v>4904</v>
      </c>
      <c r="I10" s="124">
        <v>30</v>
      </c>
      <c r="J10" s="127">
        <v>688</v>
      </c>
      <c r="K10" s="125">
        <v>2636</v>
      </c>
      <c r="L10" s="133">
        <v>24</v>
      </c>
      <c r="M10" s="167"/>
      <c r="N10" s="137" t="s">
        <v>167</v>
      </c>
      <c r="O10" s="136" t="s">
        <v>143</v>
      </c>
      <c r="P10" s="137" t="s">
        <v>168</v>
      </c>
      <c r="Q10" s="61" t="s">
        <v>148</v>
      </c>
      <c r="S10" s="53">
        <v>5500</v>
      </c>
    </row>
    <row r="11" spans="1:24" s="53" customFormat="1" ht="22.2" customHeight="1">
      <c r="A11" s="119">
        <v>614</v>
      </c>
      <c r="B11" s="125">
        <v>6.95</v>
      </c>
      <c r="C11" s="134">
        <v>25</v>
      </c>
      <c r="D11" s="127">
        <v>643</v>
      </c>
      <c r="E11" s="125">
        <v>5186</v>
      </c>
      <c r="F11" s="126">
        <v>25</v>
      </c>
      <c r="G11" s="127">
        <v>669</v>
      </c>
      <c r="H11" s="125">
        <v>1285</v>
      </c>
      <c r="I11" s="124">
        <v>29</v>
      </c>
      <c r="J11" s="127">
        <v>689</v>
      </c>
      <c r="K11" s="125">
        <v>341</v>
      </c>
      <c r="L11" s="133">
        <v>26</v>
      </c>
      <c r="M11" s="167"/>
      <c r="N11" s="137" t="s">
        <v>169</v>
      </c>
      <c r="O11" s="136" t="s">
        <v>143</v>
      </c>
      <c r="P11" s="137">
        <v>9.0746000000000002</v>
      </c>
      <c r="Q11" s="61" t="s">
        <v>148</v>
      </c>
      <c r="S11" s="53">
        <v>7100</v>
      </c>
    </row>
    <row r="12" spans="1:24" s="53" customFormat="1" ht="22.2" customHeight="1">
      <c r="A12" s="119">
        <v>621</v>
      </c>
      <c r="B12" s="125">
        <v>5018</v>
      </c>
      <c r="C12" s="126">
        <v>28</v>
      </c>
      <c r="D12" s="127">
        <v>645</v>
      </c>
      <c r="E12" s="125">
        <v>1482</v>
      </c>
      <c r="F12" s="126">
        <v>25</v>
      </c>
      <c r="G12" s="127">
        <v>670</v>
      </c>
      <c r="H12" s="125">
        <v>-2366</v>
      </c>
      <c r="I12" s="124">
        <v>29</v>
      </c>
      <c r="J12" s="127">
        <v>690</v>
      </c>
      <c r="K12" s="125">
        <v>1122</v>
      </c>
      <c r="L12" s="124">
        <v>26</v>
      </c>
      <c r="M12" s="167"/>
      <c r="N12" s="62" t="s">
        <v>170</v>
      </c>
      <c r="O12" s="136" t="s">
        <v>143</v>
      </c>
      <c r="P12" s="137">
        <v>9.0746000000000002</v>
      </c>
      <c r="Q12" s="61" t="s">
        <v>148</v>
      </c>
      <c r="S12" s="53">
        <v>5500</v>
      </c>
    </row>
    <row r="13" spans="1:24" s="53" customFormat="1" ht="22.2" customHeight="1">
      <c r="A13" s="119">
        <v>622</v>
      </c>
      <c r="B13" s="125">
        <v>6117</v>
      </c>
      <c r="C13" s="126">
        <v>29</v>
      </c>
      <c r="D13" s="127">
        <v>651</v>
      </c>
      <c r="E13" s="125">
        <v>3401</v>
      </c>
      <c r="F13" s="126">
        <v>31</v>
      </c>
      <c r="G13" s="127">
        <v>671</v>
      </c>
      <c r="H13" s="125">
        <v>1269</v>
      </c>
      <c r="I13" s="124">
        <v>28</v>
      </c>
      <c r="J13" s="127">
        <v>691</v>
      </c>
      <c r="K13" s="125">
        <v>1470</v>
      </c>
      <c r="L13" s="133">
        <v>28</v>
      </c>
      <c r="M13" s="167"/>
      <c r="N13" s="169" t="s">
        <v>171</v>
      </c>
      <c r="O13" s="170" t="s">
        <v>143</v>
      </c>
      <c r="P13" s="171">
        <v>7.0686</v>
      </c>
      <c r="Q13" s="163" t="s">
        <v>148</v>
      </c>
      <c r="S13" s="164">
        <v>7000</v>
      </c>
    </row>
    <row r="14" spans="1:24" s="53" customFormat="1" ht="22.2" customHeight="1">
      <c r="A14" s="119">
        <v>623</v>
      </c>
      <c r="B14" s="125">
        <v>221</v>
      </c>
      <c r="C14" s="126">
        <v>29</v>
      </c>
      <c r="D14" s="127">
        <v>652</v>
      </c>
      <c r="E14" s="125">
        <v>1424</v>
      </c>
      <c r="F14" s="126">
        <v>26</v>
      </c>
      <c r="G14" s="127">
        <v>672</v>
      </c>
      <c r="H14" s="125">
        <v>2542</v>
      </c>
      <c r="I14" s="124">
        <v>26</v>
      </c>
      <c r="J14" s="127">
        <v>692</v>
      </c>
      <c r="K14" s="125">
        <v>6003</v>
      </c>
      <c r="L14" s="133">
        <v>28</v>
      </c>
      <c r="M14" s="167"/>
      <c r="N14" s="169"/>
      <c r="O14" s="170"/>
      <c r="P14" s="171"/>
      <c r="Q14" s="163"/>
      <c r="S14" s="164"/>
    </row>
    <row r="15" spans="1:24" s="53" customFormat="1" ht="22.2" customHeight="1">
      <c r="A15" s="122">
        <v>624</v>
      </c>
      <c r="B15" s="125">
        <v>3233</v>
      </c>
      <c r="C15" s="126">
        <v>25</v>
      </c>
      <c r="D15" s="128">
        <v>653</v>
      </c>
      <c r="E15" s="125">
        <v>2029</v>
      </c>
      <c r="F15" s="126">
        <v>24</v>
      </c>
      <c r="G15" s="127">
        <v>673</v>
      </c>
      <c r="H15" s="125">
        <v>0</v>
      </c>
      <c r="I15" s="124">
        <v>26</v>
      </c>
      <c r="J15" s="127">
        <v>693</v>
      </c>
      <c r="K15" s="125">
        <v>2521</v>
      </c>
      <c r="L15" s="133">
        <v>25</v>
      </c>
      <c r="M15" s="167"/>
      <c r="N15" s="169"/>
      <c r="O15" s="170"/>
      <c r="P15" s="171"/>
      <c r="Q15" s="163"/>
      <c r="R15" s="55"/>
      <c r="S15" s="139">
        <v>6000</v>
      </c>
    </row>
    <row r="16" spans="1:24" s="53" customFormat="1" ht="22.2" customHeight="1">
      <c r="A16" s="122" t="s">
        <v>80</v>
      </c>
      <c r="B16" s="125">
        <v>7306</v>
      </c>
      <c r="C16" s="126">
        <v>31</v>
      </c>
      <c r="D16" s="127">
        <v>654</v>
      </c>
      <c r="E16" s="125">
        <v>2632</v>
      </c>
      <c r="F16" s="126">
        <v>28</v>
      </c>
      <c r="G16" s="127">
        <v>674</v>
      </c>
      <c r="H16" s="125">
        <v>0</v>
      </c>
      <c r="I16" s="124">
        <v>25</v>
      </c>
      <c r="J16" s="127">
        <v>694</v>
      </c>
      <c r="K16" s="125">
        <v>367</v>
      </c>
      <c r="L16" s="133">
        <v>33</v>
      </c>
      <c r="M16" s="167"/>
      <c r="Q16" s="55"/>
      <c r="R16" s="55"/>
      <c r="S16" s="55"/>
    </row>
    <row r="17" spans="1:19" s="53" customFormat="1" ht="22.2" customHeight="1">
      <c r="A17" s="122" t="s">
        <v>26</v>
      </c>
      <c r="B17" s="125">
        <v>4623</v>
      </c>
      <c r="C17" s="126">
        <v>36</v>
      </c>
      <c r="D17" s="128">
        <v>655</v>
      </c>
      <c r="E17" s="125">
        <v>906</v>
      </c>
      <c r="F17" s="126">
        <v>28</v>
      </c>
      <c r="G17" s="127">
        <v>675</v>
      </c>
      <c r="H17" s="125">
        <v>5.72</v>
      </c>
      <c r="I17" s="133">
        <v>25</v>
      </c>
      <c r="J17" s="127">
        <v>695</v>
      </c>
      <c r="K17" s="125">
        <v>6408</v>
      </c>
      <c r="L17" s="133">
        <v>28</v>
      </c>
      <c r="M17" s="167"/>
      <c r="Q17" s="55"/>
      <c r="R17" s="55"/>
      <c r="S17" s="55"/>
    </row>
    <row r="18" spans="1:19" s="53" customFormat="1" ht="22.2" customHeight="1">
      <c r="A18" s="122" t="s">
        <v>27</v>
      </c>
      <c r="B18" s="125">
        <v>55</v>
      </c>
      <c r="C18" s="126">
        <v>25</v>
      </c>
      <c r="D18" s="127">
        <v>656</v>
      </c>
      <c r="E18" s="125">
        <v>3359</v>
      </c>
      <c r="F18" s="126">
        <v>27</v>
      </c>
      <c r="G18" s="127">
        <v>676</v>
      </c>
      <c r="H18" s="125">
        <v>60.98</v>
      </c>
      <c r="I18" s="133">
        <v>25</v>
      </c>
      <c r="J18" s="127">
        <v>696</v>
      </c>
      <c r="K18" s="125">
        <v>883</v>
      </c>
      <c r="L18" s="133">
        <v>25</v>
      </c>
      <c r="M18" s="167"/>
      <c r="Q18" s="55"/>
      <c r="R18" s="55"/>
      <c r="S18" s="55"/>
    </row>
    <row r="19" spans="1:19" s="53" customFormat="1" ht="22.2" customHeight="1">
      <c r="A19" s="122" t="s">
        <v>28</v>
      </c>
      <c r="B19" s="125">
        <v>0</v>
      </c>
      <c r="C19" s="126">
        <v>22</v>
      </c>
      <c r="D19" s="127">
        <v>657</v>
      </c>
      <c r="E19" s="125">
        <v>5843</v>
      </c>
      <c r="F19" s="126">
        <v>28</v>
      </c>
      <c r="G19" s="127">
        <v>677</v>
      </c>
      <c r="H19" s="125">
        <v>2.97</v>
      </c>
      <c r="I19" s="133">
        <v>25</v>
      </c>
      <c r="J19" s="127">
        <v>697</v>
      </c>
      <c r="K19" s="125">
        <v>408</v>
      </c>
      <c r="L19" s="133">
        <v>24</v>
      </c>
      <c r="M19" s="167"/>
      <c r="Q19" s="55"/>
      <c r="R19" s="55"/>
      <c r="S19" s="55"/>
    </row>
    <row r="20" spans="1:19" s="53" customFormat="1" ht="22.2" customHeight="1">
      <c r="A20" s="122" t="s">
        <v>29</v>
      </c>
      <c r="B20" s="125">
        <v>0</v>
      </c>
      <c r="C20" s="126">
        <v>28</v>
      </c>
      <c r="D20" s="128">
        <v>658</v>
      </c>
      <c r="E20" s="125">
        <v>6017</v>
      </c>
      <c r="F20" s="126">
        <v>29</v>
      </c>
      <c r="G20" s="127">
        <v>678</v>
      </c>
      <c r="H20" s="125">
        <v>5.79</v>
      </c>
      <c r="I20" s="133">
        <v>25</v>
      </c>
      <c r="J20" s="127">
        <v>698</v>
      </c>
      <c r="K20" s="125">
        <v>4914</v>
      </c>
      <c r="L20" s="133">
        <v>26</v>
      </c>
      <c r="M20" s="167"/>
      <c r="Q20" s="55"/>
      <c r="R20" s="55"/>
      <c r="S20" s="55"/>
    </row>
    <row r="21" spans="1:19" s="53" customFormat="1" ht="22.2" customHeight="1">
      <c r="A21" s="122" t="s">
        <v>30</v>
      </c>
      <c r="B21" s="125">
        <v>6541</v>
      </c>
      <c r="C21" s="126">
        <v>28</v>
      </c>
      <c r="D21" s="127">
        <v>659</v>
      </c>
      <c r="E21" s="125">
        <v>376</v>
      </c>
      <c r="F21" s="126">
        <v>25</v>
      </c>
      <c r="G21" s="127">
        <v>680</v>
      </c>
      <c r="H21" s="125">
        <v>7</v>
      </c>
      <c r="I21" s="133">
        <v>29</v>
      </c>
      <c r="J21" s="127">
        <v>699</v>
      </c>
      <c r="K21" s="125">
        <v>5245</v>
      </c>
      <c r="L21" s="133">
        <v>31</v>
      </c>
      <c r="M21" s="167"/>
      <c r="Q21" s="55"/>
      <c r="R21" s="55"/>
      <c r="S21" s="55"/>
    </row>
    <row r="22" spans="1:19" s="53" customFormat="1" ht="22.2" customHeight="1" thickBot="1">
      <c r="A22" s="129" t="s">
        <v>81</v>
      </c>
      <c r="B22" s="130">
        <v>7053</v>
      </c>
      <c r="C22" s="130">
        <v>27</v>
      </c>
      <c r="D22" s="131">
        <v>660</v>
      </c>
      <c r="E22" s="130">
        <v>7013</v>
      </c>
      <c r="F22" s="132">
        <v>28</v>
      </c>
      <c r="G22" s="131"/>
      <c r="H22" s="130"/>
      <c r="I22" s="132"/>
      <c r="J22" s="131"/>
      <c r="K22" s="130"/>
      <c r="L22" s="132"/>
      <c r="M22" s="168"/>
      <c r="Q22" s="55"/>
      <c r="R22" s="55"/>
      <c r="S22" s="55"/>
    </row>
    <row r="23" spans="1:19" ht="36.6" customHeight="1" thickTop="1">
      <c r="A23" s="112"/>
      <c r="B23" s="112"/>
      <c r="C23" s="112"/>
      <c r="D23" s="112"/>
      <c r="E23" s="112"/>
      <c r="F23" s="112"/>
      <c r="G23" s="112"/>
      <c r="H23" s="112"/>
      <c r="I23" s="112"/>
      <c r="J23" s="112"/>
      <c r="K23" s="112"/>
      <c r="L23" s="112"/>
      <c r="M23" s="112"/>
    </row>
    <row r="24" spans="1:19" ht="21" customHeight="1" thickBot="1">
      <c r="A24" s="165"/>
      <c r="B24" s="165"/>
      <c r="C24" s="111"/>
      <c r="D24" s="111"/>
      <c r="E24" s="111"/>
      <c r="F24" s="111"/>
      <c r="G24" s="111"/>
      <c r="H24" s="111"/>
      <c r="I24" s="113"/>
      <c r="J24" s="111"/>
      <c r="K24" s="111"/>
      <c r="L24" s="113"/>
      <c r="M24" s="113" t="s">
        <v>175</v>
      </c>
    </row>
    <row r="25" spans="1:19" ht="20.100000000000001" customHeight="1" thickTop="1" thickBot="1">
      <c r="A25" s="114" t="s">
        <v>31</v>
      </c>
      <c r="B25" s="115" t="s">
        <v>159</v>
      </c>
      <c r="C25" s="116" t="s">
        <v>33</v>
      </c>
      <c r="D25" s="114" t="s">
        <v>31</v>
      </c>
      <c r="E25" s="115" t="s">
        <v>159</v>
      </c>
      <c r="F25" s="117" t="s">
        <v>33</v>
      </c>
      <c r="G25" s="114" t="s">
        <v>31</v>
      </c>
      <c r="H25" s="115" t="s">
        <v>32</v>
      </c>
      <c r="I25" s="117" t="s">
        <v>33</v>
      </c>
      <c r="J25" s="114" t="s">
        <v>31</v>
      </c>
      <c r="K25" s="115" t="s">
        <v>32</v>
      </c>
      <c r="L25" s="117" t="s">
        <v>33</v>
      </c>
      <c r="M25" s="118" t="s">
        <v>174</v>
      </c>
    </row>
    <row r="26" spans="1:19" ht="21.75" customHeight="1" thickTop="1">
      <c r="A26" s="119">
        <v>601</v>
      </c>
      <c r="B26" s="120">
        <v>4058</v>
      </c>
      <c r="C26" s="121">
        <v>30</v>
      </c>
      <c r="D26" s="122" t="s">
        <v>76</v>
      </c>
      <c r="E26" s="120">
        <v>7178</v>
      </c>
      <c r="F26" s="121">
        <v>20</v>
      </c>
      <c r="G26" s="119">
        <v>661</v>
      </c>
      <c r="H26" s="120">
        <v>5695</v>
      </c>
      <c r="I26" s="123">
        <v>30</v>
      </c>
      <c r="J26" s="119">
        <v>681</v>
      </c>
      <c r="K26" s="120">
        <v>2607</v>
      </c>
      <c r="L26" s="124">
        <v>31</v>
      </c>
      <c r="M26" s="166"/>
    </row>
    <row r="27" spans="1:19" ht="21.75" customHeight="1">
      <c r="A27" s="119">
        <v>602</v>
      </c>
      <c r="B27" s="120">
        <v>7534</v>
      </c>
      <c r="C27" s="121">
        <v>28</v>
      </c>
      <c r="D27" s="122" t="s">
        <v>77</v>
      </c>
      <c r="E27" s="120">
        <v>6968</v>
      </c>
      <c r="F27" s="121">
        <v>29</v>
      </c>
      <c r="G27" s="119">
        <v>662</v>
      </c>
      <c r="H27" s="120">
        <v>556</v>
      </c>
      <c r="I27" s="123">
        <v>36</v>
      </c>
      <c r="J27" s="119">
        <v>682</v>
      </c>
      <c r="K27" s="120">
        <v>3167</v>
      </c>
      <c r="L27" s="133">
        <v>30</v>
      </c>
      <c r="M27" s="167"/>
    </row>
    <row r="28" spans="1:19" ht="21.75" customHeight="1">
      <c r="A28" s="119">
        <v>603</v>
      </c>
      <c r="B28" s="120">
        <v>5842</v>
      </c>
      <c r="C28" s="121">
        <v>30</v>
      </c>
      <c r="D28" s="122">
        <v>631</v>
      </c>
      <c r="E28" s="120">
        <v>673</v>
      </c>
      <c r="F28" s="121">
        <v>35</v>
      </c>
      <c r="G28" s="119">
        <v>663</v>
      </c>
      <c r="H28" s="120">
        <v>1948</v>
      </c>
      <c r="I28" s="123">
        <v>30</v>
      </c>
      <c r="J28" s="119">
        <v>683</v>
      </c>
      <c r="K28" s="120">
        <v>1408</v>
      </c>
      <c r="L28" s="133">
        <v>30</v>
      </c>
      <c r="M28" s="167"/>
    </row>
    <row r="29" spans="1:19" ht="21.75" customHeight="1">
      <c r="A29" s="119" t="s">
        <v>78</v>
      </c>
      <c r="B29" s="125">
        <v>3072</v>
      </c>
      <c r="C29" s="126">
        <v>30</v>
      </c>
      <c r="D29" s="127">
        <v>632</v>
      </c>
      <c r="E29" s="125">
        <v>0</v>
      </c>
      <c r="F29" s="126">
        <v>47</v>
      </c>
      <c r="G29" s="127">
        <v>664</v>
      </c>
      <c r="H29" s="120">
        <v>0</v>
      </c>
      <c r="I29" s="124">
        <v>34</v>
      </c>
      <c r="J29" s="127">
        <v>684</v>
      </c>
      <c r="K29" s="125">
        <v>1303</v>
      </c>
      <c r="L29" s="133">
        <v>28</v>
      </c>
      <c r="M29" s="167"/>
    </row>
    <row r="30" spans="1:19" ht="21.75" customHeight="1">
      <c r="A30" s="119" t="s">
        <v>79</v>
      </c>
      <c r="B30" s="125">
        <v>5570</v>
      </c>
      <c r="C30" s="126">
        <v>28</v>
      </c>
      <c r="D30" s="127">
        <v>633</v>
      </c>
      <c r="E30" s="125">
        <v>1913</v>
      </c>
      <c r="F30" s="126">
        <v>26</v>
      </c>
      <c r="G30" s="127">
        <v>665</v>
      </c>
      <c r="H30" s="125">
        <v>4453</v>
      </c>
      <c r="I30" s="124">
        <v>30</v>
      </c>
      <c r="J30" s="127">
        <v>685</v>
      </c>
      <c r="K30" s="125">
        <v>218</v>
      </c>
      <c r="L30" s="133">
        <v>31</v>
      </c>
      <c r="M30" s="167"/>
    </row>
    <row r="31" spans="1:19" ht="21.75" customHeight="1">
      <c r="A31" s="119">
        <v>611</v>
      </c>
      <c r="B31" s="125">
        <v>38.65</v>
      </c>
      <c r="C31" s="134">
        <v>25</v>
      </c>
      <c r="D31" s="127">
        <v>634</v>
      </c>
      <c r="E31" s="125">
        <v>2947</v>
      </c>
      <c r="F31" s="126">
        <v>31</v>
      </c>
      <c r="G31" s="127">
        <v>666</v>
      </c>
      <c r="H31" s="125">
        <v>2674</v>
      </c>
      <c r="I31" s="124">
        <v>30</v>
      </c>
      <c r="J31" s="127">
        <v>686</v>
      </c>
      <c r="K31" s="125">
        <v>294</v>
      </c>
      <c r="L31" s="133">
        <v>34</v>
      </c>
      <c r="M31" s="167"/>
    </row>
    <row r="32" spans="1:19" ht="21.75" customHeight="1">
      <c r="A32" s="119">
        <v>612</v>
      </c>
      <c r="B32" s="125">
        <v>77.02</v>
      </c>
      <c r="C32" s="134">
        <v>25</v>
      </c>
      <c r="D32" s="127">
        <v>641</v>
      </c>
      <c r="E32" s="125">
        <v>5478</v>
      </c>
      <c r="F32" s="126">
        <v>37</v>
      </c>
      <c r="G32" s="127">
        <v>667</v>
      </c>
      <c r="H32" s="125">
        <v>-656</v>
      </c>
      <c r="I32" s="124">
        <v>38</v>
      </c>
      <c r="J32" s="127">
        <v>687</v>
      </c>
      <c r="K32" s="125">
        <v>2646</v>
      </c>
      <c r="L32" s="133">
        <v>35</v>
      </c>
      <c r="M32" s="167"/>
    </row>
    <row r="33" spans="1:13" ht="21.75" customHeight="1">
      <c r="A33" s="119">
        <v>613</v>
      </c>
      <c r="B33" s="125">
        <v>6.78</v>
      </c>
      <c r="C33" s="134">
        <v>25</v>
      </c>
      <c r="D33" s="127">
        <v>642</v>
      </c>
      <c r="E33" s="125">
        <v>4795</v>
      </c>
      <c r="F33" s="126">
        <v>30</v>
      </c>
      <c r="G33" s="127">
        <v>668</v>
      </c>
      <c r="H33" s="125">
        <v>4903</v>
      </c>
      <c r="I33" s="124">
        <v>35</v>
      </c>
      <c r="J33" s="127">
        <v>688</v>
      </c>
      <c r="K33" s="125">
        <v>3798</v>
      </c>
      <c r="L33" s="133">
        <v>27</v>
      </c>
      <c r="M33" s="167"/>
    </row>
    <row r="34" spans="1:13" ht="21.75" customHeight="1">
      <c r="A34" s="119">
        <v>614</v>
      </c>
      <c r="B34" s="125">
        <v>90.07</v>
      </c>
      <c r="C34" s="134">
        <v>25</v>
      </c>
      <c r="D34" s="127">
        <v>643</v>
      </c>
      <c r="E34" s="125">
        <v>5197</v>
      </c>
      <c r="F34" s="126">
        <v>36</v>
      </c>
      <c r="G34" s="127">
        <v>669</v>
      </c>
      <c r="H34" s="125">
        <v>1284</v>
      </c>
      <c r="I34" s="124">
        <v>31</v>
      </c>
      <c r="J34" s="127">
        <v>689</v>
      </c>
      <c r="K34" s="125">
        <v>334</v>
      </c>
      <c r="L34" s="133">
        <v>31</v>
      </c>
      <c r="M34" s="167"/>
    </row>
    <row r="35" spans="1:13" ht="21.75" customHeight="1">
      <c r="A35" s="119">
        <v>621</v>
      </c>
      <c r="B35" s="125">
        <v>5020</v>
      </c>
      <c r="C35" s="126">
        <v>40</v>
      </c>
      <c r="D35" s="127">
        <v>645</v>
      </c>
      <c r="E35" s="125">
        <v>1484</v>
      </c>
      <c r="F35" s="126">
        <v>36</v>
      </c>
      <c r="G35" s="127">
        <v>670</v>
      </c>
      <c r="H35" s="125">
        <v>-9909</v>
      </c>
      <c r="I35" s="124">
        <v>31</v>
      </c>
      <c r="J35" s="127">
        <v>690</v>
      </c>
      <c r="K35" s="125">
        <v>1119</v>
      </c>
      <c r="L35" s="124">
        <v>29</v>
      </c>
      <c r="M35" s="167"/>
    </row>
    <row r="36" spans="1:13" ht="21.75" customHeight="1">
      <c r="A36" s="119">
        <v>622</v>
      </c>
      <c r="B36" s="125">
        <v>6124</v>
      </c>
      <c r="C36" s="126">
        <v>32</v>
      </c>
      <c r="D36" s="127">
        <v>651</v>
      </c>
      <c r="E36" s="125">
        <v>3650</v>
      </c>
      <c r="F36" s="126">
        <v>32</v>
      </c>
      <c r="G36" s="127">
        <v>671</v>
      </c>
      <c r="H36" s="125">
        <v>1268</v>
      </c>
      <c r="I36" s="124">
        <v>32</v>
      </c>
      <c r="J36" s="127">
        <v>691</v>
      </c>
      <c r="K36" s="125">
        <v>1750</v>
      </c>
      <c r="L36" s="133">
        <v>30</v>
      </c>
      <c r="M36" s="167"/>
    </row>
    <row r="37" spans="1:13" ht="21.75" customHeight="1">
      <c r="A37" s="119">
        <v>623</v>
      </c>
      <c r="B37" s="125">
        <v>220</v>
      </c>
      <c r="C37" s="126">
        <v>42</v>
      </c>
      <c r="D37" s="127">
        <v>652</v>
      </c>
      <c r="E37" s="125">
        <v>1545</v>
      </c>
      <c r="F37" s="126">
        <v>29</v>
      </c>
      <c r="G37" s="127">
        <v>672</v>
      </c>
      <c r="H37" s="125">
        <v>2546</v>
      </c>
      <c r="I37" s="124">
        <v>28</v>
      </c>
      <c r="J37" s="127">
        <v>692</v>
      </c>
      <c r="K37" s="125">
        <v>5083</v>
      </c>
      <c r="L37" s="133">
        <v>30</v>
      </c>
      <c r="M37" s="167"/>
    </row>
    <row r="38" spans="1:13" ht="21.75" customHeight="1">
      <c r="A38" s="122">
        <v>624</v>
      </c>
      <c r="B38" s="125">
        <v>2872</v>
      </c>
      <c r="C38" s="126">
        <v>30</v>
      </c>
      <c r="D38" s="128">
        <v>653</v>
      </c>
      <c r="E38" s="125">
        <v>2032</v>
      </c>
      <c r="F38" s="126">
        <v>26</v>
      </c>
      <c r="G38" s="127">
        <v>673</v>
      </c>
      <c r="H38" s="125">
        <v>20</v>
      </c>
      <c r="I38" s="124">
        <v>33</v>
      </c>
      <c r="J38" s="127">
        <v>693</v>
      </c>
      <c r="K38" s="125">
        <v>2518</v>
      </c>
      <c r="L38" s="133">
        <v>28</v>
      </c>
      <c r="M38" s="167"/>
    </row>
    <row r="39" spans="1:13" ht="21.75" customHeight="1">
      <c r="A39" s="122" t="s">
        <v>80</v>
      </c>
      <c r="B39" s="125">
        <v>7316</v>
      </c>
      <c r="C39" s="126">
        <v>34</v>
      </c>
      <c r="D39" s="127">
        <v>654</v>
      </c>
      <c r="E39" s="125">
        <v>2632</v>
      </c>
      <c r="F39" s="126">
        <v>30</v>
      </c>
      <c r="G39" s="127">
        <v>674</v>
      </c>
      <c r="H39" s="125">
        <v>0</v>
      </c>
      <c r="I39" s="124">
        <v>33</v>
      </c>
      <c r="J39" s="127">
        <v>694</v>
      </c>
      <c r="K39" s="125">
        <v>365</v>
      </c>
      <c r="L39" s="133">
        <v>37</v>
      </c>
      <c r="M39" s="167"/>
    </row>
    <row r="40" spans="1:13" ht="21.75" customHeight="1">
      <c r="A40" s="122" t="s">
        <v>26</v>
      </c>
      <c r="B40" s="125">
        <v>7238</v>
      </c>
      <c r="C40" s="126">
        <v>35</v>
      </c>
      <c r="D40" s="128">
        <v>655</v>
      </c>
      <c r="E40" s="125">
        <v>978</v>
      </c>
      <c r="F40" s="126">
        <v>32</v>
      </c>
      <c r="G40" s="127">
        <v>675</v>
      </c>
      <c r="H40" s="125">
        <v>33.840000000000003</v>
      </c>
      <c r="I40" s="133">
        <v>25</v>
      </c>
      <c r="J40" s="127">
        <v>695</v>
      </c>
      <c r="K40" s="125">
        <v>6493</v>
      </c>
      <c r="L40" s="133">
        <v>30</v>
      </c>
      <c r="M40" s="167"/>
    </row>
    <row r="41" spans="1:13" ht="21.75" customHeight="1">
      <c r="A41" s="122" t="s">
        <v>27</v>
      </c>
      <c r="B41" s="125">
        <v>5318</v>
      </c>
      <c r="C41" s="126">
        <v>25</v>
      </c>
      <c r="D41" s="127">
        <v>656</v>
      </c>
      <c r="E41" s="125">
        <v>3361</v>
      </c>
      <c r="F41" s="126">
        <v>31</v>
      </c>
      <c r="G41" s="127">
        <v>676</v>
      </c>
      <c r="H41" s="125">
        <v>84.54</v>
      </c>
      <c r="I41" s="133">
        <v>25</v>
      </c>
      <c r="J41" s="127">
        <v>696</v>
      </c>
      <c r="K41" s="125">
        <v>878</v>
      </c>
      <c r="L41" s="133">
        <v>26</v>
      </c>
      <c r="M41" s="167"/>
    </row>
    <row r="42" spans="1:13" ht="21.75" customHeight="1">
      <c r="A42" s="122" t="s">
        <v>28</v>
      </c>
      <c r="B42" s="125">
        <v>3351</v>
      </c>
      <c r="C42" s="126">
        <v>22</v>
      </c>
      <c r="D42" s="127">
        <v>657</v>
      </c>
      <c r="E42" s="125">
        <v>5860</v>
      </c>
      <c r="F42" s="126">
        <v>30</v>
      </c>
      <c r="G42" s="127">
        <v>677</v>
      </c>
      <c r="H42" s="125">
        <v>2.98</v>
      </c>
      <c r="I42" s="133">
        <v>25</v>
      </c>
      <c r="J42" s="127">
        <v>697</v>
      </c>
      <c r="K42" s="125">
        <v>404</v>
      </c>
      <c r="L42" s="133">
        <v>26</v>
      </c>
      <c r="M42" s="167"/>
    </row>
    <row r="43" spans="1:13" ht="21.75" customHeight="1">
      <c r="A43" s="122" t="s">
        <v>29</v>
      </c>
      <c r="B43" s="125">
        <v>0</v>
      </c>
      <c r="C43" s="126">
        <v>34</v>
      </c>
      <c r="D43" s="128">
        <v>658</v>
      </c>
      <c r="E43" s="125">
        <v>6030</v>
      </c>
      <c r="F43" s="126">
        <v>34</v>
      </c>
      <c r="G43" s="127">
        <v>678</v>
      </c>
      <c r="H43" s="125">
        <v>5.77</v>
      </c>
      <c r="I43" s="133">
        <v>25</v>
      </c>
      <c r="J43" s="127">
        <v>698</v>
      </c>
      <c r="K43" s="125">
        <v>4913</v>
      </c>
      <c r="L43" s="133">
        <v>26</v>
      </c>
      <c r="M43" s="167"/>
    </row>
    <row r="44" spans="1:13" ht="21.75" customHeight="1">
      <c r="A44" s="122" t="s">
        <v>30</v>
      </c>
      <c r="B44" s="125">
        <v>1608</v>
      </c>
      <c r="C44" s="126">
        <v>28</v>
      </c>
      <c r="D44" s="127">
        <v>659</v>
      </c>
      <c r="E44" s="125">
        <v>377</v>
      </c>
      <c r="F44" s="126">
        <v>34</v>
      </c>
      <c r="G44" s="127">
        <v>680</v>
      </c>
      <c r="H44" s="125">
        <v>3</v>
      </c>
      <c r="I44" s="133">
        <v>31</v>
      </c>
      <c r="J44" s="127">
        <v>699</v>
      </c>
      <c r="K44" s="125">
        <v>6005</v>
      </c>
      <c r="L44" s="133">
        <v>34</v>
      </c>
      <c r="M44" s="167"/>
    </row>
    <row r="45" spans="1:13" ht="21.75" customHeight="1" thickBot="1">
      <c r="A45" s="129" t="s">
        <v>81</v>
      </c>
      <c r="B45" s="130">
        <v>7062</v>
      </c>
      <c r="C45" s="130">
        <v>29</v>
      </c>
      <c r="D45" s="131">
        <v>660</v>
      </c>
      <c r="E45" s="130">
        <v>4542</v>
      </c>
      <c r="F45" s="132">
        <v>33</v>
      </c>
      <c r="G45" s="131"/>
      <c r="H45" s="130"/>
      <c r="I45" s="132"/>
      <c r="J45" s="131"/>
      <c r="K45" s="130"/>
      <c r="L45" s="132"/>
      <c r="M45" s="168"/>
    </row>
    <row r="46" spans="1:13" ht="16.2" thickTop="1"/>
    <row r="100" spans="1:1" ht="25.5" customHeight="1">
      <c r="A100" s="140" t="s">
        <v>634</v>
      </c>
    </row>
  </sheetData>
  <sheetProtection selectLockedCells="1"/>
  <mergeCells count="9">
    <mergeCell ref="Q13:Q15"/>
    <mergeCell ref="S13:S14"/>
    <mergeCell ref="A24:B24"/>
    <mergeCell ref="M26:M45"/>
    <mergeCell ref="A1:B1"/>
    <mergeCell ref="M3:M22"/>
    <mergeCell ref="N13:N15"/>
    <mergeCell ref="O13:O15"/>
    <mergeCell ref="P13:P15"/>
  </mergeCells>
  <phoneticPr fontId="2" type="noConversion"/>
  <dataValidations count="11">
    <dataValidation type="custom" errorStyle="warning" allowBlank="1" showInputMessage="1" showErrorMessage="1" error="***你在睡喔,醒醒好嗎" sqref="E8 B6:B7 B4 B15 E31 B29:B30 B27 B38">
      <formula1>B4&lt;=9100</formula1>
    </dataValidation>
    <dataValidation type="custom" errorStyle="warning" allowBlank="1" showInputMessage="1" showErrorMessage="1" error="***你在睡喔,醒醒好嗎" sqref="B8:B11 H17:H20 B31:B34 H40:H43">
      <formula1>B8&lt;=100</formula1>
    </dataValidation>
    <dataValidation type="custom" errorStyle="warning" allowBlank="1" showInputMessage="1" showErrorMessage="1" error="***你在睡喔,醒醒好嗎" sqref="E3:E4 B16:B22 E20:E22 H3:H16 E26:E27 B39:B45 E43:E45 H26:H39 E19 E42">
      <formula1>B3&lt;=7400</formula1>
    </dataValidation>
    <dataValidation type="custom" errorStyle="warning" allowBlank="1" showInputMessage="1" showErrorMessage="1" error="***你在睡喔,醒醒好嗎" sqref="E14:E18 E37:E41">
      <formula1>E14&lt;=5500</formula1>
    </dataValidation>
    <dataValidation type="custom" errorStyle="warning" allowBlank="1" showInputMessage="1" showErrorMessage="1" error="***你在睡喔,醒醒好嗎" sqref="H21 K12 H44 K35">
      <formula1>H12&lt;=4100</formula1>
    </dataValidation>
    <dataValidation type="custom" errorStyle="warning" allowBlank="1" showInputMessage="1" showErrorMessage="1" error="***你在睡喔,醒醒好嗎" sqref="E5:E6 B5 K14:K17 B12:B13 B3 E28:E29 B28 K37:K40 B35:B36 B26">
      <formula1>B3&lt;=7000</formula1>
    </dataValidation>
    <dataValidation type="custom" errorStyle="warning" allowBlank="1" showInputMessage="1" showErrorMessage="1" error="***你在睡喔,醒醒好嗎" sqref="K18:K21 K41:K44">
      <formula1>K18&lt;=12000</formula1>
    </dataValidation>
    <dataValidation type="custom" errorStyle="warning" allowBlank="1" showInputMessage="1" showErrorMessage="1" error="***你在睡喔,醒醒好嗎" sqref="B14 E7 K13 E9:E10 E13 K3:K7 K9:K10 B37 E30 E36 K26:K30 K32:K33 K36 E32:E33">
      <formula1>B3&lt;=5600</formula1>
    </dataValidation>
    <dataValidation type="custom" errorStyle="warning" allowBlank="1" showInputMessage="1" showErrorMessage="1" error="***你在睡喔,醒醒好嗎" sqref="K11 K8 K34 K31">
      <formula1>K8&lt;=5700</formula1>
    </dataValidation>
    <dataValidation type="custom" errorStyle="warning" allowBlank="1" showInputMessage="1" showErrorMessage="1" error="***你在睡喔,醒醒好嗎" sqref="E12 E34:E35">
      <formula1>E12&lt;=6000</formula1>
    </dataValidation>
    <dataValidation type="custom" errorStyle="warning" allowBlank="1" showInputMessage="1" showErrorMessage="1" error="***你在睡喔,醒醒好嗎" sqref="E11">
      <formula1>E11&lt;=6000</formula1>
    </dataValidation>
  </dataValidations>
  <printOptions horizontalCentered="1"/>
  <pageMargins left="0.39370078740157483" right="0.19685039370078741" top="0.19685039370078741" bottom="0" header="0" footer="0"/>
  <pageSetup paperSize="9" scale="84" pageOrder="overThenDown" orientation="portrait" horizontalDpi="180" verticalDpi="18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247681" r:id="rId4" name="CommandButton1">
          <controlPr autoLine="0" r:id="rId5">
            <anchor moveWithCells="1">
              <from>
                <xdr:col>13</xdr:col>
                <xdr:colOff>30480</xdr:colOff>
                <xdr:row>15</xdr:row>
                <xdr:rowOff>198120</xdr:rowOff>
              </from>
              <to>
                <xdr:col>15</xdr:col>
                <xdr:colOff>495300</xdr:colOff>
                <xdr:row>22</xdr:row>
                <xdr:rowOff>388620</xdr:rowOff>
              </to>
            </anchor>
          </controlPr>
        </control>
      </mc:Choice>
      <mc:Fallback>
        <control shapeId="2247681" r:id="rId4" name="CommandButton1"/>
      </mc:Fallback>
    </mc:AlternateContent>
    <mc:AlternateContent xmlns:mc="http://schemas.openxmlformats.org/markup-compatibility/2006">
      <mc:Choice Requires="x14">
        <control shapeId="2247682" r:id="rId6" name="CommandButton2">
          <controlPr autoLine="0" r:id="rId7">
            <anchor moveWithCells="1">
              <from>
                <xdr:col>13</xdr:col>
                <xdr:colOff>22860</xdr:colOff>
                <xdr:row>25</xdr:row>
                <xdr:rowOff>60960</xdr:rowOff>
              </from>
              <to>
                <xdr:col>15</xdr:col>
                <xdr:colOff>548640</xdr:colOff>
                <xdr:row>32</xdr:row>
                <xdr:rowOff>0</xdr:rowOff>
              </to>
            </anchor>
          </controlPr>
        </control>
      </mc:Choice>
      <mc:Fallback>
        <control shapeId="2247682" r:id="rId6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>
    <pageSetUpPr fitToPage="1"/>
  </sheetPr>
  <dimension ref="A1:X93"/>
  <sheetViews>
    <sheetView showRuler="0" view="pageBreakPreview" zoomScale="60" zoomScaleNormal="60" workbookViewId="0">
      <pane ySplit="1" topLeftCell="A14" activePane="bottomLeft" state="frozen"/>
      <selection activeCell="AA15" sqref="AA15"/>
      <selection pane="bottomLeft" activeCell="AA15" sqref="AA15"/>
    </sheetView>
  </sheetViews>
  <sheetFormatPr defaultColWidth="9" defaultRowHeight="16.2"/>
  <cols>
    <col min="1" max="1" width="9.44140625" style="47" customWidth="1"/>
    <col min="2" max="10" width="10.6640625" style="47" customWidth="1"/>
    <col min="11" max="12" width="10.6640625" style="6" customWidth="1"/>
    <col min="13" max="13" width="10.6640625" style="50" customWidth="1"/>
    <col min="14" max="16" width="10.6640625" style="6" customWidth="1"/>
    <col min="17" max="17" width="12.88671875" style="47" customWidth="1"/>
    <col min="18" max="18" width="10.6640625" style="6" customWidth="1"/>
    <col min="19" max="19" width="10.6640625" style="47" customWidth="1"/>
    <col min="20" max="20" width="10.6640625" style="6" customWidth="1"/>
    <col min="21" max="21" width="10.6640625" style="51" customWidth="1"/>
    <col min="22" max="23" width="9.88671875" style="6" bestFit="1" customWidth="1"/>
    <col min="24" max="24" width="15.44140625" style="6" bestFit="1" customWidth="1"/>
    <col min="25" max="16384" width="9" style="6"/>
  </cols>
  <sheetData>
    <row r="1" spans="1:24" ht="49.2" customHeight="1">
      <c r="A1" s="1" t="s">
        <v>6</v>
      </c>
      <c r="B1" s="2" t="s">
        <v>7</v>
      </c>
      <c r="C1" s="2" t="s">
        <v>8</v>
      </c>
      <c r="D1" s="2" t="s">
        <v>9</v>
      </c>
      <c r="E1" s="2" t="s">
        <v>10</v>
      </c>
      <c r="F1" s="3" t="s">
        <v>11</v>
      </c>
      <c r="G1" s="2" t="s">
        <v>12</v>
      </c>
      <c r="H1" s="2" t="s">
        <v>13</v>
      </c>
      <c r="I1" s="2" t="s">
        <v>14</v>
      </c>
      <c r="J1" s="4" t="s">
        <v>15</v>
      </c>
      <c r="K1" s="2" t="s">
        <v>16</v>
      </c>
      <c r="L1" s="2" t="s">
        <v>17</v>
      </c>
      <c r="M1" s="2" t="s">
        <v>18</v>
      </c>
      <c r="N1" s="2" t="s">
        <v>19</v>
      </c>
      <c r="O1" s="4" t="s">
        <v>20</v>
      </c>
      <c r="P1" s="3" t="s">
        <v>21</v>
      </c>
      <c r="Q1" s="2" t="s">
        <v>70</v>
      </c>
      <c r="R1" s="2" t="s">
        <v>22</v>
      </c>
      <c r="S1" s="2" t="s">
        <v>23</v>
      </c>
      <c r="T1" s="2" t="s">
        <v>24</v>
      </c>
      <c r="U1" s="5" t="s">
        <v>25</v>
      </c>
      <c r="V1" s="5" t="s">
        <v>34</v>
      </c>
      <c r="W1" s="5" t="s">
        <v>38</v>
      </c>
      <c r="X1" s="5" t="s">
        <v>75</v>
      </c>
    </row>
    <row r="2" spans="1:24" s="13" customFormat="1" ht="26.4" customHeight="1" thickBot="1">
      <c r="A2" s="7">
        <v>1</v>
      </c>
      <c r="B2" s="8">
        <v>0.80020000000000002</v>
      </c>
      <c r="C2" s="8">
        <v>1.1264000000000001</v>
      </c>
      <c r="D2" s="8">
        <v>1.0450999999999999</v>
      </c>
      <c r="E2" s="8">
        <v>0.81089999999999995</v>
      </c>
      <c r="F2" s="9"/>
      <c r="G2" s="8">
        <v>0.80520000000000003</v>
      </c>
      <c r="H2" s="8">
        <v>0.93820000000000003</v>
      </c>
      <c r="I2" s="8">
        <v>1.0691999999999999</v>
      </c>
      <c r="J2" s="10">
        <v>0.98939999999999995</v>
      </c>
      <c r="K2" s="8">
        <v>0.96160000000000001</v>
      </c>
      <c r="L2" s="11">
        <v>0.95099999999999996</v>
      </c>
      <c r="M2" s="8"/>
      <c r="N2" s="11">
        <v>0.94899999999999995</v>
      </c>
      <c r="O2" s="11">
        <v>0.93500000000000005</v>
      </c>
      <c r="P2" s="9"/>
      <c r="Q2" s="27">
        <v>0.95454000000000006</v>
      </c>
      <c r="R2" s="8">
        <v>0.82220000000000004</v>
      </c>
      <c r="S2" s="12">
        <v>1.0519000000000001</v>
      </c>
      <c r="T2" s="8">
        <v>0.96960000000000002</v>
      </c>
      <c r="U2" s="8">
        <v>1.028</v>
      </c>
      <c r="V2" s="16">
        <v>0.96399999999999997</v>
      </c>
      <c r="W2" s="16">
        <v>0.97658999999999996</v>
      </c>
      <c r="X2" s="16">
        <v>0.81481000000000003</v>
      </c>
    </row>
    <row r="3" spans="1:24" s="13" customFormat="1" ht="26.4" customHeight="1" thickTop="1" thickBot="1">
      <c r="A3" s="7">
        <v>2</v>
      </c>
      <c r="B3" s="8">
        <v>0.79930000000000001</v>
      </c>
      <c r="C3" s="8">
        <v>1.1257999999999999</v>
      </c>
      <c r="D3" s="8">
        <v>1.0471999999999999</v>
      </c>
      <c r="E3" s="14">
        <v>0.81</v>
      </c>
      <c r="F3" s="9"/>
      <c r="G3" s="8">
        <v>0.80420000000000003</v>
      </c>
      <c r="H3" s="8">
        <v>0.93730000000000002</v>
      </c>
      <c r="I3" s="8">
        <v>1.0681</v>
      </c>
      <c r="J3" s="10">
        <v>0.98939999999999995</v>
      </c>
      <c r="K3" s="8">
        <v>0.9607</v>
      </c>
      <c r="L3" s="11">
        <v>0.96</v>
      </c>
      <c r="M3" s="8"/>
      <c r="N3" s="11">
        <v>0.94899999999999995</v>
      </c>
      <c r="O3" s="11">
        <v>0.93500000000000005</v>
      </c>
      <c r="P3" s="9"/>
      <c r="Q3" s="27">
        <v>0.95454000000000006</v>
      </c>
      <c r="R3" s="8">
        <v>0.82120000000000004</v>
      </c>
      <c r="S3" s="12">
        <v>1.0511999999999999</v>
      </c>
      <c r="T3" s="8">
        <v>0.96870000000000001</v>
      </c>
      <c r="U3" s="8">
        <v>1.028</v>
      </c>
      <c r="V3" s="16">
        <v>0.96399999999999997</v>
      </c>
      <c r="W3" s="16">
        <v>0.97658999999999996</v>
      </c>
      <c r="X3" s="16">
        <v>0.81481000000000003</v>
      </c>
    </row>
    <row r="4" spans="1:24" s="13" customFormat="1" ht="26.4" customHeight="1" thickTop="1" thickBot="1">
      <c r="A4" s="7">
        <v>3</v>
      </c>
      <c r="B4" s="8">
        <v>0.7984</v>
      </c>
      <c r="C4" s="8">
        <v>1.1251</v>
      </c>
      <c r="D4" s="8">
        <v>1.0463</v>
      </c>
      <c r="E4" s="8">
        <v>0.80910000000000004</v>
      </c>
      <c r="F4" s="9"/>
      <c r="G4" s="8">
        <v>0.80320000000000003</v>
      </c>
      <c r="H4" s="8">
        <v>0.93630000000000002</v>
      </c>
      <c r="I4" s="14">
        <v>1.0669999999999999</v>
      </c>
      <c r="J4" s="10">
        <v>0.98939999999999995</v>
      </c>
      <c r="K4" s="8">
        <v>0.95989999999999998</v>
      </c>
      <c r="L4" s="11">
        <v>0.95899999999999996</v>
      </c>
      <c r="M4" s="8"/>
      <c r="N4" s="11">
        <v>0.94899999999999995</v>
      </c>
      <c r="O4" s="11">
        <v>0.93500000000000005</v>
      </c>
      <c r="P4" s="9"/>
      <c r="Q4" s="27">
        <v>0.95454000000000006</v>
      </c>
      <c r="R4" s="8">
        <v>0.82020000000000004</v>
      </c>
      <c r="S4" s="12">
        <v>1.0504</v>
      </c>
      <c r="T4" s="8">
        <v>0.96789999999999998</v>
      </c>
      <c r="U4" s="8">
        <v>1.028</v>
      </c>
      <c r="V4" s="16">
        <v>0.96399999999999997</v>
      </c>
      <c r="W4" s="16">
        <v>0.97658999999999996</v>
      </c>
      <c r="X4" s="16">
        <v>0.81481000000000003</v>
      </c>
    </row>
    <row r="5" spans="1:24" s="13" customFormat="1" ht="24" customHeight="1" thickTop="1" thickBot="1">
      <c r="A5" s="7">
        <v>4</v>
      </c>
      <c r="B5" s="8">
        <v>0.79749999999999999</v>
      </c>
      <c r="C5" s="8">
        <v>1.1245000000000001</v>
      </c>
      <c r="D5" s="8">
        <v>1.0454000000000001</v>
      </c>
      <c r="E5" s="8">
        <v>0.80820000000000003</v>
      </c>
      <c r="F5" s="9"/>
      <c r="G5" s="8">
        <v>0.80220000000000002</v>
      </c>
      <c r="H5" s="8">
        <v>0.93530000000000002</v>
      </c>
      <c r="I5" s="8">
        <v>1.0658000000000001</v>
      </c>
      <c r="J5" s="10">
        <v>0.98939999999999995</v>
      </c>
      <c r="K5" s="8">
        <v>0.95899999999999996</v>
      </c>
      <c r="L5" s="11">
        <v>0.95799999999999996</v>
      </c>
      <c r="M5" s="8"/>
      <c r="N5" s="11">
        <v>0.94899999999999995</v>
      </c>
      <c r="O5" s="11">
        <v>0.93500000000000005</v>
      </c>
      <c r="P5" s="9"/>
      <c r="Q5" s="27">
        <v>0.95454000000000006</v>
      </c>
      <c r="R5" s="8">
        <v>0.81920000000000004</v>
      </c>
      <c r="S5" s="12">
        <v>1.0497000000000001</v>
      </c>
      <c r="T5" s="8">
        <v>0.96699999999999997</v>
      </c>
      <c r="U5" s="8">
        <v>1.028</v>
      </c>
      <c r="V5" s="16">
        <v>0.96399999999999997</v>
      </c>
      <c r="W5" s="16">
        <v>0.97658999999999996</v>
      </c>
      <c r="X5" s="16">
        <v>0.81481000000000003</v>
      </c>
    </row>
    <row r="6" spans="1:24" ht="22.5" customHeight="1" thickTop="1" thickBot="1">
      <c r="A6" s="15">
        <v>5</v>
      </c>
      <c r="B6" s="16">
        <v>0.79659999999999997</v>
      </c>
      <c r="C6" s="16">
        <v>1.1237999999999999</v>
      </c>
      <c r="D6" s="16">
        <v>1.0445</v>
      </c>
      <c r="E6" s="16">
        <v>0.80730000000000002</v>
      </c>
      <c r="F6" s="17"/>
      <c r="G6" s="16">
        <v>0.80120000000000002</v>
      </c>
      <c r="H6" s="16">
        <v>0.93440000000000001</v>
      </c>
      <c r="I6" s="16">
        <v>1.0647</v>
      </c>
      <c r="J6" s="16">
        <v>0.98939999999999995</v>
      </c>
      <c r="K6" s="16">
        <v>0.95820000000000005</v>
      </c>
      <c r="L6" s="16">
        <v>0.95699999999999996</v>
      </c>
      <c r="M6" s="18"/>
      <c r="N6" s="18">
        <v>0.94899999999999995</v>
      </c>
      <c r="O6" s="18">
        <v>0.93500000000000005</v>
      </c>
      <c r="P6" s="19"/>
      <c r="Q6" s="27">
        <v>0.95454000000000006</v>
      </c>
      <c r="R6" s="18">
        <v>0.81820000000000004</v>
      </c>
      <c r="S6" s="20">
        <v>1.0488</v>
      </c>
      <c r="T6" s="16">
        <v>0.96609999999999996</v>
      </c>
      <c r="U6" s="16">
        <v>1.028</v>
      </c>
      <c r="V6" s="16">
        <v>0.96399999999999997</v>
      </c>
      <c r="W6" s="16">
        <v>0.97658999999999996</v>
      </c>
      <c r="X6" s="16">
        <v>0.81481000000000003</v>
      </c>
    </row>
    <row r="7" spans="1:24" ht="22.5" customHeight="1" thickTop="1" thickBot="1">
      <c r="A7" s="21">
        <v>6</v>
      </c>
      <c r="B7" s="22">
        <v>0.79569999999999996</v>
      </c>
      <c r="C7" s="22">
        <v>1.123</v>
      </c>
      <c r="D7" s="22">
        <v>1.0436000000000001</v>
      </c>
      <c r="E7" s="22">
        <v>0.80620000000000003</v>
      </c>
      <c r="F7" s="22"/>
      <c r="G7" s="22">
        <v>0.80020000000000002</v>
      </c>
      <c r="H7" s="22">
        <v>0.93340000000000001</v>
      </c>
      <c r="I7" s="22">
        <v>1.0636000000000001</v>
      </c>
      <c r="J7" s="22">
        <v>0.98939999999999995</v>
      </c>
      <c r="K7" s="22">
        <v>0.95730000000000004</v>
      </c>
      <c r="L7" s="22">
        <v>0.95599999999999996</v>
      </c>
      <c r="M7" s="16">
        <v>0.88029999999999997</v>
      </c>
      <c r="N7" s="23">
        <v>0.94799999999999995</v>
      </c>
      <c r="O7" s="23">
        <v>0.93500000000000005</v>
      </c>
      <c r="P7" s="24"/>
      <c r="Q7" s="27">
        <v>0.95454000000000006</v>
      </c>
      <c r="R7" s="23">
        <v>0.81720000000000004</v>
      </c>
      <c r="S7" s="25">
        <v>1.0481</v>
      </c>
      <c r="T7" s="22">
        <v>0.96509999999999996</v>
      </c>
      <c r="U7" s="8">
        <v>1.028</v>
      </c>
      <c r="V7" s="16">
        <v>0.96399999999999997</v>
      </c>
      <c r="W7" s="16">
        <v>0.9758</v>
      </c>
      <c r="X7" s="16">
        <v>0.81481000000000003</v>
      </c>
    </row>
    <row r="8" spans="1:24" ht="22.5" customHeight="1" thickTop="1" thickBot="1">
      <c r="A8" s="26">
        <v>7</v>
      </c>
      <c r="B8" s="27">
        <v>0.79479999999999995</v>
      </c>
      <c r="C8" s="27">
        <v>1.1222000000000001</v>
      </c>
      <c r="D8" s="27">
        <v>1.0427</v>
      </c>
      <c r="E8" s="27">
        <v>0.80510000000000004</v>
      </c>
      <c r="F8" s="27"/>
      <c r="G8" s="28">
        <v>0.79920000000000002</v>
      </c>
      <c r="H8" s="28">
        <v>0.9325</v>
      </c>
      <c r="I8" s="28">
        <v>1.0625</v>
      </c>
      <c r="J8" s="28">
        <v>0.98939999999999995</v>
      </c>
      <c r="K8" s="28">
        <v>0.95640000000000003</v>
      </c>
      <c r="L8" s="28">
        <v>0.95499999999999996</v>
      </c>
      <c r="M8" s="22">
        <v>0.88029999999999997</v>
      </c>
      <c r="N8" s="28">
        <v>0.94799999999999995</v>
      </c>
      <c r="O8" s="28">
        <v>0.93500000000000005</v>
      </c>
      <c r="P8" s="29"/>
      <c r="Q8" s="27">
        <v>0.95454000000000006</v>
      </c>
      <c r="R8" s="28">
        <v>0.81620000000000004</v>
      </c>
      <c r="S8" s="25">
        <v>1.0472999999999999</v>
      </c>
      <c r="T8" s="22">
        <v>0.96430000000000005</v>
      </c>
      <c r="U8" s="8">
        <v>1.028</v>
      </c>
      <c r="V8" s="16">
        <v>0.96399999999999997</v>
      </c>
      <c r="W8" s="16">
        <v>0.97501000000000004</v>
      </c>
      <c r="X8" s="16">
        <v>0.81481000000000003</v>
      </c>
    </row>
    <row r="9" spans="1:24" ht="22.5" customHeight="1" thickTop="1" thickBot="1">
      <c r="A9" s="26">
        <v>8</v>
      </c>
      <c r="B9" s="27">
        <v>0.79400000000000004</v>
      </c>
      <c r="C9" s="27">
        <v>1.1214</v>
      </c>
      <c r="D9" s="27">
        <v>1.0418000000000001</v>
      </c>
      <c r="E9" s="27">
        <v>0.80389999999999995</v>
      </c>
      <c r="F9" s="27"/>
      <c r="G9" s="27">
        <v>0.79820000000000002</v>
      </c>
      <c r="H9" s="27">
        <v>0.93149999999999999</v>
      </c>
      <c r="I9" s="27">
        <v>1.0613999999999999</v>
      </c>
      <c r="J9" s="27">
        <v>0.98939999999999995</v>
      </c>
      <c r="K9" s="27">
        <v>0.9556</v>
      </c>
      <c r="L9" s="27">
        <v>0.95399999999999996</v>
      </c>
      <c r="M9" s="27">
        <v>0.88029999999999997</v>
      </c>
      <c r="N9" s="28">
        <v>0.94799999999999995</v>
      </c>
      <c r="O9" s="28">
        <v>0.93500000000000005</v>
      </c>
      <c r="P9" s="29"/>
      <c r="Q9" s="27">
        <v>0.95454000000000006</v>
      </c>
      <c r="R9" s="28">
        <v>0.81520000000000004</v>
      </c>
      <c r="S9" s="27">
        <v>1.0465</v>
      </c>
      <c r="T9" s="22">
        <v>0.96330000000000005</v>
      </c>
      <c r="U9" s="8">
        <v>1.028</v>
      </c>
      <c r="V9" s="16">
        <v>0.96399999999999997</v>
      </c>
      <c r="W9" s="16">
        <v>0.97422000000000009</v>
      </c>
      <c r="X9" s="16">
        <v>0.81481000000000003</v>
      </c>
    </row>
    <row r="10" spans="1:24" ht="22.5" customHeight="1" thickTop="1" thickBot="1">
      <c r="A10" s="26">
        <v>9</v>
      </c>
      <c r="B10" s="27">
        <v>0.79310000000000003</v>
      </c>
      <c r="C10" s="27">
        <v>1.1206</v>
      </c>
      <c r="D10" s="27">
        <v>1.0408999999999999</v>
      </c>
      <c r="E10" s="27">
        <v>0.80269999999999997</v>
      </c>
      <c r="F10" s="27"/>
      <c r="G10" s="27">
        <v>0.79720000000000002</v>
      </c>
      <c r="H10" s="27">
        <v>0.93059999999999998</v>
      </c>
      <c r="I10" s="27">
        <v>1.0602</v>
      </c>
      <c r="J10" s="27">
        <v>0.98939999999999995</v>
      </c>
      <c r="K10" s="27">
        <v>0.95469999999999999</v>
      </c>
      <c r="L10" s="27">
        <v>0.95299999999999996</v>
      </c>
      <c r="M10" s="27">
        <v>0.88029999999999997</v>
      </c>
      <c r="N10" s="27">
        <v>0.94799999999999995</v>
      </c>
      <c r="O10" s="27">
        <v>0.93400000000000005</v>
      </c>
      <c r="P10" s="30"/>
      <c r="Q10" s="27">
        <v>0.95454000000000006</v>
      </c>
      <c r="R10" s="27">
        <v>0.81420000000000003</v>
      </c>
      <c r="S10" s="27">
        <v>1.0458000000000001</v>
      </c>
      <c r="T10" s="27">
        <v>0.96230000000000004</v>
      </c>
      <c r="U10" s="8">
        <v>1.028</v>
      </c>
      <c r="V10" s="16">
        <v>0.96399999999999997</v>
      </c>
      <c r="W10" s="16">
        <v>0.97343000000000013</v>
      </c>
      <c r="X10" s="16">
        <v>0.81481000000000003</v>
      </c>
    </row>
    <row r="11" spans="1:24" ht="22.5" customHeight="1" thickTop="1" thickBot="1">
      <c r="A11" s="15">
        <v>10</v>
      </c>
      <c r="B11" s="16">
        <v>0.7923</v>
      </c>
      <c r="C11" s="16">
        <v>1.1197999999999999</v>
      </c>
      <c r="D11" s="16">
        <v>1.04</v>
      </c>
      <c r="E11" s="16">
        <v>0.80159999999999998</v>
      </c>
      <c r="F11" s="16">
        <v>0.94240000000000002</v>
      </c>
      <c r="G11" s="16">
        <v>0.97619999999999996</v>
      </c>
      <c r="H11" s="16">
        <v>0.92969999999999997</v>
      </c>
      <c r="I11" s="16">
        <v>1.0590999999999999</v>
      </c>
      <c r="J11" s="16">
        <v>0.98850000000000005</v>
      </c>
      <c r="K11" s="16">
        <v>0.95379999999999998</v>
      </c>
      <c r="L11" s="16">
        <v>0.95199999999999996</v>
      </c>
      <c r="M11" s="16">
        <v>0.88029999999999997</v>
      </c>
      <c r="N11" s="16">
        <v>0.94799999999999995</v>
      </c>
      <c r="O11" s="16">
        <v>0.93400000000000005</v>
      </c>
      <c r="P11" s="16">
        <v>0.94511999999999996</v>
      </c>
      <c r="Q11" s="27">
        <v>0.95454000000000006</v>
      </c>
      <c r="R11" s="16">
        <v>0.81320000000000003</v>
      </c>
      <c r="S11" s="16">
        <v>1.0449999999999999</v>
      </c>
      <c r="T11" s="16">
        <v>0.96140000000000003</v>
      </c>
      <c r="U11" s="16">
        <v>1.028</v>
      </c>
      <c r="V11" s="16">
        <v>0.96399999999999997</v>
      </c>
      <c r="W11" s="16">
        <v>0.97264000000000017</v>
      </c>
      <c r="X11" s="16">
        <v>0.81481000000000003</v>
      </c>
    </row>
    <row r="12" spans="1:24" ht="22.5" customHeight="1" thickTop="1" thickBot="1">
      <c r="A12" s="21">
        <v>11</v>
      </c>
      <c r="B12" s="22">
        <v>0.79139999999999999</v>
      </c>
      <c r="C12" s="22">
        <v>1.119</v>
      </c>
      <c r="D12" s="22">
        <v>1.0390999999999999</v>
      </c>
      <c r="E12" s="22">
        <v>0.8004</v>
      </c>
      <c r="F12" s="22">
        <v>0.94155</v>
      </c>
      <c r="G12" s="22">
        <v>0.97519999999999996</v>
      </c>
      <c r="H12" s="22">
        <v>0.92869999999999997</v>
      </c>
      <c r="I12" s="22">
        <v>1.0580000000000001</v>
      </c>
      <c r="J12" s="22">
        <v>0.98770000000000002</v>
      </c>
      <c r="K12" s="22">
        <v>0.95299999999999996</v>
      </c>
      <c r="L12" s="22">
        <v>0.95099999999999996</v>
      </c>
      <c r="M12" s="22">
        <v>0.88029999999999997</v>
      </c>
      <c r="N12" s="22">
        <v>0.94</v>
      </c>
      <c r="O12" s="22">
        <v>0.93400000000000005</v>
      </c>
      <c r="P12" s="22">
        <v>0.94420000000000004</v>
      </c>
      <c r="Q12" s="27">
        <v>0.95454000000000006</v>
      </c>
      <c r="R12" s="31">
        <v>0.81220000000000003</v>
      </c>
      <c r="S12" s="22">
        <v>1.0442</v>
      </c>
      <c r="T12" s="22">
        <v>0.96040000000000003</v>
      </c>
      <c r="U12" s="8">
        <v>1.028</v>
      </c>
      <c r="V12" s="16">
        <v>0.96399999999999997</v>
      </c>
      <c r="W12" s="16">
        <v>0.97192000000000012</v>
      </c>
      <c r="X12" s="16">
        <v>0.8145</v>
      </c>
    </row>
    <row r="13" spans="1:24" ht="22.5" customHeight="1" thickTop="1" thickBot="1">
      <c r="A13" s="26">
        <v>12</v>
      </c>
      <c r="B13" s="27">
        <v>0.79059999999999997</v>
      </c>
      <c r="C13" s="27">
        <v>1.1182000000000001</v>
      </c>
      <c r="D13" s="27">
        <v>1.0383</v>
      </c>
      <c r="E13" s="27">
        <v>0.79930000000000001</v>
      </c>
      <c r="F13" s="27">
        <v>0.94059999999999999</v>
      </c>
      <c r="G13" s="27">
        <v>0.97419999999999995</v>
      </c>
      <c r="H13" s="27">
        <v>0.92769999999999997</v>
      </c>
      <c r="I13" s="27">
        <v>1.0569</v>
      </c>
      <c r="J13" s="27">
        <v>0.9869</v>
      </c>
      <c r="K13" s="27">
        <v>0.95209999999999995</v>
      </c>
      <c r="L13" s="27">
        <v>0.95</v>
      </c>
      <c r="M13" s="27">
        <v>0.88029999999999997</v>
      </c>
      <c r="N13" s="27">
        <v>0.94</v>
      </c>
      <c r="O13" s="27">
        <v>0.93400000000000005</v>
      </c>
      <c r="P13" s="27">
        <v>0.94320999999999999</v>
      </c>
      <c r="Q13" s="27">
        <v>0.95454000000000006</v>
      </c>
      <c r="R13" s="27">
        <v>0.81120000000000003</v>
      </c>
      <c r="S13" s="27">
        <v>1.0434000000000001</v>
      </c>
      <c r="T13" s="22">
        <v>0.96050000000000002</v>
      </c>
      <c r="U13" s="8">
        <v>1.028</v>
      </c>
      <c r="V13" s="16">
        <v>0.96399999999999997</v>
      </c>
      <c r="W13" s="16">
        <v>0.97120000000000006</v>
      </c>
      <c r="X13" s="16">
        <v>0.81410000000000005</v>
      </c>
    </row>
    <row r="14" spans="1:24" ht="22.5" customHeight="1" thickTop="1" thickBot="1">
      <c r="A14" s="26">
        <v>13</v>
      </c>
      <c r="B14" s="27">
        <v>0.78969999999999996</v>
      </c>
      <c r="C14" s="27">
        <v>1.1173999999999999</v>
      </c>
      <c r="D14" s="27">
        <v>1.0374000000000001</v>
      </c>
      <c r="E14" s="27">
        <v>0.79810000000000003</v>
      </c>
      <c r="F14" s="27">
        <v>0.93964999999999999</v>
      </c>
      <c r="G14" s="27">
        <v>0.97319999999999995</v>
      </c>
      <c r="H14" s="27">
        <v>0.92669999999999997</v>
      </c>
      <c r="I14" s="27">
        <v>1.0558000000000001</v>
      </c>
      <c r="J14" s="27">
        <v>0.98609999999999998</v>
      </c>
      <c r="K14" s="27">
        <v>0.95130000000000003</v>
      </c>
      <c r="L14" s="27">
        <v>0.94899999999999995</v>
      </c>
      <c r="M14" s="27">
        <v>0.88029999999999997</v>
      </c>
      <c r="N14" s="27">
        <v>0.94</v>
      </c>
      <c r="O14" s="27">
        <v>0.93400000000000005</v>
      </c>
      <c r="P14" s="27">
        <v>0.94220999999999999</v>
      </c>
      <c r="Q14" s="27">
        <v>0.95454000000000006</v>
      </c>
      <c r="R14" s="27">
        <v>0.81020000000000003</v>
      </c>
      <c r="S14" s="27">
        <v>1.0427</v>
      </c>
      <c r="T14" s="22">
        <v>0.95950000000000002</v>
      </c>
      <c r="U14" s="8">
        <v>1.028</v>
      </c>
      <c r="V14" s="16">
        <v>0.96399999999999997</v>
      </c>
      <c r="W14" s="16">
        <v>0.97048000000000001</v>
      </c>
      <c r="X14" s="16">
        <v>0.81369999999999998</v>
      </c>
    </row>
    <row r="15" spans="1:24" ht="22.5" customHeight="1" thickTop="1" thickBot="1">
      <c r="A15" s="32">
        <v>14</v>
      </c>
      <c r="B15" s="33">
        <v>0.78890000000000005</v>
      </c>
      <c r="C15" s="33">
        <v>1.1166</v>
      </c>
      <c r="D15" s="33">
        <v>1.0365</v>
      </c>
      <c r="E15" s="27">
        <v>0.79700000000000004</v>
      </c>
      <c r="F15" s="27">
        <v>0.93937999999999999</v>
      </c>
      <c r="G15" s="27">
        <v>0.97219999999999995</v>
      </c>
      <c r="H15" s="27">
        <v>0.92569999999999997</v>
      </c>
      <c r="I15" s="27">
        <v>1.0546</v>
      </c>
      <c r="J15" s="27">
        <v>0.98529999999999995</v>
      </c>
      <c r="K15" s="27">
        <v>0.95040000000000002</v>
      </c>
      <c r="L15" s="27">
        <v>0.94799999999999995</v>
      </c>
      <c r="M15" s="27">
        <v>0.88029999999999997</v>
      </c>
      <c r="N15" s="27">
        <v>0.94</v>
      </c>
      <c r="O15" s="27">
        <v>0.93400000000000005</v>
      </c>
      <c r="P15" s="27">
        <v>0.94116999999999995</v>
      </c>
      <c r="Q15" s="27">
        <v>0.95454000000000006</v>
      </c>
      <c r="R15" s="27">
        <v>0.80920000000000003</v>
      </c>
      <c r="S15" s="27">
        <v>1.0419</v>
      </c>
      <c r="T15" s="27">
        <v>0.95850000000000002</v>
      </c>
      <c r="U15" s="8">
        <v>1.028</v>
      </c>
      <c r="V15" s="16">
        <v>0.96399999999999997</v>
      </c>
      <c r="W15" s="16">
        <v>0.96975999999999996</v>
      </c>
      <c r="X15" s="16">
        <v>0.81330000000000002</v>
      </c>
    </row>
    <row r="16" spans="1:24" ht="22.5" customHeight="1" thickTop="1" thickBot="1">
      <c r="A16" s="15">
        <v>15</v>
      </c>
      <c r="B16" s="16">
        <v>0.78800000000000003</v>
      </c>
      <c r="C16" s="16">
        <v>1.1157999999999999</v>
      </c>
      <c r="D16" s="16">
        <v>1.0356000000000001</v>
      </c>
      <c r="E16" s="16">
        <v>0.79469999999999996</v>
      </c>
      <c r="F16" s="16">
        <v>0.93791999999999998</v>
      </c>
      <c r="G16" s="16">
        <v>0.97119999999999995</v>
      </c>
      <c r="H16" s="16">
        <v>0.92469999999999997</v>
      </c>
      <c r="I16" s="16">
        <v>1.0535000000000001</v>
      </c>
      <c r="J16" s="16">
        <v>0.98450000000000004</v>
      </c>
      <c r="K16" s="34">
        <v>0.94950000000000001</v>
      </c>
      <c r="L16" s="16">
        <v>0.94699999999999995</v>
      </c>
      <c r="M16" s="16">
        <v>0.88029999999999997</v>
      </c>
      <c r="N16" s="16">
        <v>0.94</v>
      </c>
      <c r="O16" s="16">
        <v>0.93400000000000005</v>
      </c>
      <c r="P16" s="16">
        <v>0.94037000000000004</v>
      </c>
      <c r="Q16" s="27">
        <v>0.95454000000000006</v>
      </c>
      <c r="R16" s="16">
        <v>0.80830000000000002</v>
      </c>
      <c r="S16" s="16">
        <v>1.0411999999999999</v>
      </c>
      <c r="T16" s="16">
        <v>0.95750000000000002</v>
      </c>
      <c r="U16" s="16">
        <v>1.028</v>
      </c>
      <c r="V16" s="16">
        <v>0.96399999999999997</v>
      </c>
      <c r="W16" s="16">
        <v>0.9690399999999999</v>
      </c>
      <c r="X16" s="16">
        <v>0.81293000000000004</v>
      </c>
    </row>
    <row r="17" spans="1:24" ht="22.5" customHeight="1" thickTop="1" thickBot="1">
      <c r="A17" s="21">
        <v>16</v>
      </c>
      <c r="B17" s="22">
        <v>0.78720000000000001</v>
      </c>
      <c r="C17" s="22">
        <v>1.1152</v>
      </c>
      <c r="D17" s="22">
        <v>1.0347999999999999</v>
      </c>
      <c r="E17" s="22">
        <v>0.79359999999999997</v>
      </c>
      <c r="F17" s="22">
        <v>0.93676999999999999</v>
      </c>
      <c r="G17" s="22">
        <v>0.97</v>
      </c>
      <c r="H17" s="22">
        <v>0.92369999999999997</v>
      </c>
      <c r="I17" s="22">
        <v>1.0524</v>
      </c>
      <c r="J17" s="22">
        <v>0.98370000000000002</v>
      </c>
      <c r="K17" s="35">
        <v>0.9486</v>
      </c>
      <c r="L17" s="22">
        <v>0.94599999999999995</v>
      </c>
      <c r="M17" s="22">
        <v>0.88029999999999997</v>
      </c>
      <c r="N17" s="22">
        <v>0.94</v>
      </c>
      <c r="O17" s="22">
        <v>0.93400000000000005</v>
      </c>
      <c r="P17" s="22">
        <v>0.93915999999999999</v>
      </c>
      <c r="Q17" s="27">
        <v>0.9536</v>
      </c>
      <c r="R17" s="22">
        <v>0.80740000000000001</v>
      </c>
      <c r="S17" s="22">
        <v>1.0404</v>
      </c>
      <c r="T17" s="22">
        <v>0.95650000000000002</v>
      </c>
      <c r="U17" s="8">
        <v>1.028</v>
      </c>
      <c r="V17" s="16">
        <v>0.96399999999999997</v>
      </c>
      <c r="W17" s="16">
        <v>0.96829999999999994</v>
      </c>
      <c r="X17" s="16">
        <v>0.81200000000000006</v>
      </c>
    </row>
    <row r="18" spans="1:24" ht="22.5" customHeight="1" thickTop="1" thickBot="1">
      <c r="A18" s="26">
        <v>17</v>
      </c>
      <c r="B18" s="27">
        <v>0.78639999999999999</v>
      </c>
      <c r="C18" s="27">
        <v>1.1145</v>
      </c>
      <c r="D18" s="27">
        <v>1.0339</v>
      </c>
      <c r="E18" s="27">
        <v>0.79249999999999998</v>
      </c>
      <c r="F18" s="27">
        <v>0.93696999999999997</v>
      </c>
      <c r="G18" s="27">
        <v>0.96899999999999997</v>
      </c>
      <c r="H18" s="27">
        <v>0.92269999999999996</v>
      </c>
      <c r="I18" s="27">
        <v>1.0512999999999999</v>
      </c>
      <c r="J18" s="27">
        <v>0.98260000000000003</v>
      </c>
      <c r="K18" s="36">
        <v>0.94779999999999998</v>
      </c>
      <c r="L18" s="27">
        <v>0.94499999999999995</v>
      </c>
      <c r="M18" s="27">
        <v>0.88029999999999997</v>
      </c>
      <c r="N18" s="27">
        <v>0.94</v>
      </c>
      <c r="O18" s="27">
        <v>0.93400000000000005</v>
      </c>
      <c r="P18" s="27">
        <v>0.93815000000000004</v>
      </c>
      <c r="Q18" s="27">
        <v>0.95279999999999998</v>
      </c>
      <c r="R18" s="27">
        <v>0.80649999999999999</v>
      </c>
      <c r="S18" s="27">
        <v>1.0397000000000001</v>
      </c>
      <c r="T18" s="22">
        <v>0.95489999999999997</v>
      </c>
      <c r="U18" s="8">
        <v>1.028</v>
      </c>
      <c r="V18" s="16">
        <v>0.96399999999999997</v>
      </c>
      <c r="W18" s="16">
        <v>0.96755999999999998</v>
      </c>
      <c r="X18" s="16">
        <v>0.81110000000000004</v>
      </c>
    </row>
    <row r="19" spans="1:24" ht="22.5" customHeight="1" thickTop="1" thickBot="1">
      <c r="A19" s="26">
        <v>18</v>
      </c>
      <c r="B19" s="27">
        <v>0.78569999999999995</v>
      </c>
      <c r="C19" s="27">
        <v>1.1138999999999999</v>
      </c>
      <c r="D19" s="27">
        <v>1.0330999999999999</v>
      </c>
      <c r="E19" s="27">
        <v>0.79139999999999999</v>
      </c>
      <c r="F19" s="27">
        <v>0.93486000000000002</v>
      </c>
      <c r="G19" s="27">
        <v>0.96799999999999997</v>
      </c>
      <c r="H19" s="27">
        <v>0.92169999999999996</v>
      </c>
      <c r="I19" s="27">
        <v>1.0502</v>
      </c>
      <c r="J19" s="27">
        <v>0.98209999999999997</v>
      </c>
      <c r="K19" s="36">
        <v>0.94689999999999996</v>
      </c>
      <c r="L19" s="27">
        <v>0.94399999999999995</v>
      </c>
      <c r="M19" s="27">
        <v>0.88029999999999997</v>
      </c>
      <c r="N19" s="27">
        <v>0.94</v>
      </c>
      <c r="O19" s="27">
        <v>0.93400000000000005</v>
      </c>
      <c r="P19" s="27">
        <v>0.93713999999999997</v>
      </c>
      <c r="Q19" s="27">
        <v>0.95201000000000002</v>
      </c>
      <c r="R19" s="37">
        <v>0.80569999999999997</v>
      </c>
      <c r="S19" s="27">
        <v>1.0389999999999999</v>
      </c>
      <c r="T19" s="22">
        <v>0.95320000000000005</v>
      </c>
      <c r="U19" s="8">
        <v>1.028</v>
      </c>
      <c r="V19" s="16">
        <v>0.96399999999999997</v>
      </c>
      <c r="W19" s="16">
        <v>0.96682000000000001</v>
      </c>
      <c r="X19" s="16">
        <v>0.81020000000000003</v>
      </c>
    </row>
    <row r="20" spans="1:24" ht="22.5" customHeight="1" thickTop="1" thickBot="1">
      <c r="A20" s="26">
        <v>19</v>
      </c>
      <c r="B20" s="27">
        <v>0.78490000000000004</v>
      </c>
      <c r="C20" s="27">
        <v>1.1132</v>
      </c>
      <c r="D20" s="27">
        <v>1.0322</v>
      </c>
      <c r="E20" s="27">
        <v>0.7903</v>
      </c>
      <c r="F20" s="27">
        <v>0.93391000000000002</v>
      </c>
      <c r="G20" s="27">
        <v>0.96699999999999997</v>
      </c>
      <c r="H20" s="27">
        <v>0.92069999999999996</v>
      </c>
      <c r="I20" s="27">
        <v>1.0489999999999999</v>
      </c>
      <c r="J20" s="27">
        <v>0.98129999999999995</v>
      </c>
      <c r="K20" s="36">
        <v>0.94599999999999995</v>
      </c>
      <c r="L20" s="27">
        <v>0.94299999999999995</v>
      </c>
      <c r="M20" s="27">
        <v>0.88029999999999997</v>
      </c>
      <c r="N20" s="27">
        <v>0.94</v>
      </c>
      <c r="O20" s="27">
        <v>0.93400000000000005</v>
      </c>
      <c r="P20" s="27">
        <v>0.93613000000000002</v>
      </c>
      <c r="Q20" s="27">
        <v>0.95123000000000002</v>
      </c>
      <c r="R20" s="37">
        <v>0.80479999999999996</v>
      </c>
      <c r="S20" s="27">
        <v>1.0371999999999999</v>
      </c>
      <c r="T20" s="22">
        <v>0.9516</v>
      </c>
      <c r="U20" s="8">
        <v>1.028</v>
      </c>
      <c r="V20" s="16">
        <v>0.96399999999999997</v>
      </c>
      <c r="W20" s="16">
        <v>0.96608000000000005</v>
      </c>
      <c r="X20" s="16">
        <v>0.80920000000000003</v>
      </c>
    </row>
    <row r="21" spans="1:24" ht="22.5" customHeight="1" thickTop="1" thickBot="1">
      <c r="A21" s="38">
        <v>20</v>
      </c>
      <c r="B21" s="28">
        <v>0.78410000000000002</v>
      </c>
      <c r="C21" s="28">
        <v>1.1126</v>
      </c>
      <c r="D21" s="28">
        <v>1.0314000000000001</v>
      </c>
      <c r="E21" s="18">
        <v>0.78920000000000001</v>
      </c>
      <c r="F21" s="16">
        <v>0.93288000000000004</v>
      </c>
      <c r="G21" s="18">
        <v>0.96589999999999998</v>
      </c>
      <c r="H21" s="18">
        <v>0.91969999999999996</v>
      </c>
      <c r="I21" s="18">
        <v>1.0479000000000001</v>
      </c>
      <c r="J21" s="18">
        <v>0.98050000000000004</v>
      </c>
      <c r="K21" s="39">
        <v>0.94520000000000004</v>
      </c>
      <c r="L21" s="18">
        <v>0.94199999999999995</v>
      </c>
      <c r="M21" s="40">
        <v>0.88029999999999997</v>
      </c>
      <c r="N21" s="18">
        <v>0.94</v>
      </c>
      <c r="O21" s="18">
        <v>0.93</v>
      </c>
      <c r="P21" s="16">
        <v>0.93506</v>
      </c>
      <c r="Q21" s="27">
        <v>0.95038</v>
      </c>
      <c r="R21" s="41">
        <v>0.80369999999999997</v>
      </c>
      <c r="S21" s="18">
        <v>1.0363899999999999</v>
      </c>
      <c r="T21" s="16">
        <v>0.95</v>
      </c>
      <c r="U21" s="16">
        <v>1.028</v>
      </c>
      <c r="V21" s="16">
        <v>0.96399999999999997</v>
      </c>
      <c r="W21" s="16">
        <v>0.96534000000000009</v>
      </c>
      <c r="X21" s="16">
        <v>0.80813999999999997</v>
      </c>
    </row>
    <row r="22" spans="1:24" ht="22.5" customHeight="1" thickTop="1" thickBot="1">
      <c r="A22" s="42">
        <v>21</v>
      </c>
      <c r="B22" s="43">
        <v>0.78320000000000001</v>
      </c>
      <c r="C22" s="43">
        <v>1.1119000000000001</v>
      </c>
      <c r="D22" s="43">
        <v>1.0305</v>
      </c>
      <c r="E22" s="22">
        <v>0.78800000000000003</v>
      </c>
      <c r="F22" s="22">
        <v>0.93198000000000003</v>
      </c>
      <c r="G22" s="22">
        <v>0.96489999999999998</v>
      </c>
      <c r="H22" s="22">
        <v>0.91879999999999995</v>
      </c>
      <c r="I22" s="22">
        <v>1.0468</v>
      </c>
      <c r="J22" s="22">
        <v>0.97960000000000003</v>
      </c>
      <c r="K22" s="35">
        <v>0.94430000000000003</v>
      </c>
      <c r="L22" s="22">
        <v>0.94099999999999995</v>
      </c>
      <c r="M22" s="44">
        <v>0.87909999999999999</v>
      </c>
      <c r="N22" s="22">
        <v>0.94</v>
      </c>
      <c r="O22" s="22">
        <v>0.93</v>
      </c>
      <c r="P22" s="16">
        <v>0.93506</v>
      </c>
      <c r="Q22" s="27">
        <v>0.94969000000000003</v>
      </c>
      <c r="R22" s="31">
        <v>0.80289999999999995</v>
      </c>
      <c r="S22" s="22">
        <v>1.03566</v>
      </c>
      <c r="T22" s="22">
        <v>0.94889999999999997</v>
      </c>
      <c r="U22" s="8">
        <v>1.028</v>
      </c>
      <c r="V22" s="8">
        <v>0.96079999999999999</v>
      </c>
      <c r="W22" s="52">
        <v>0.96470000000000011</v>
      </c>
      <c r="X22" s="52">
        <v>0.80730000000000002</v>
      </c>
    </row>
    <row r="23" spans="1:24" ht="22.5" customHeight="1" thickTop="1">
      <c r="A23" s="26">
        <v>22</v>
      </c>
      <c r="B23" s="27">
        <v>0.7823</v>
      </c>
      <c r="C23" s="27">
        <v>1.1111</v>
      </c>
      <c r="D23" s="27">
        <v>1.0295000000000001</v>
      </c>
      <c r="E23" s="27">
        <v>0.78680000000000005</v>
      </c>
      <c r="F23" s="27">
        <v>0.93115999999999999</v>
      </c>
      <c r="G23" s="27">
        <v>0.96379999999999999</v>
      </c>
      <c r="H23" s="27">
        <v>0.91779999999999995</v>
      </c>
      <c r="I23" s="27">
        <v>1.0457000000000001</v>
      </c>
      <c r="J23" s="27">
        <v>0.9788</v>
      </c>
      <c r="K23" s="36">
        <v>0.94330000000000003</v>
      </c>
      <c r="L23" s="27">
        <v>0.94</v>
      </c>
      <c r="M23" s="45">
        <v>0.878</v>
      </c>
      <c r="N23" s="27">
        <v>0.93200000000000005</v>
      </c>
      <c r="O23" s="27">
        <v>0.93</v>
      </c>
      <c r="P23" s="27">
        <v>0.93327000000000004</v>
      </c>
      <c r="Q23" s="27">
        <v>0.94908999999999999</v>
      </c>
      <c r="R23" s="37">
        <v>0.80179999999999996</v>
      </c>
      <c r="S23" s="27">
        <v>1.0349299999999999</v>
      </c>
      <c r="T23" s="22">
        <v>0.94730000000000003</v>
      </c>
      <c r="U23" s="8">
        <v>1.028</v>
      </c>
      <c r="V23" s="8">
        <v>0.96079999999999999</v>
      </c>
      <c r="W23" s="52">
        <v>0.96406000000000014</v>
      </c>
      <c r="X23" s="52">
        <v>0.80669999999999997</v>
      </c>
    </row>
    <row r="24" spans="1:24" ht="22.5" customHeight="1">
      <c r="A24" s="26">
        <v>23</v>
      </c>
      <c r="B24" s="27">
        <v>0.78139999999999998</v>
      </c>
      <c r="C24" s="27">
        <v>1.1104000000000001</v>
      </c>
      <c r="D24" s="27">
        <v>1.0286</v>
      </c>
      <c r="E24" s="27">
        <v>0.78559999999999997</v>
      </c>
      <c r="F24" s="27">
        <v>0.93006999999999995</v>
      </c>
      <c r="G24" s="27">
        <v>0.96220000000000006</v>
      </c>
      <c r="H24" s="27">
        <v>0.91669999999999996</v>
      </c>
      <c r="I24" s="27">
        <v>1.0446</v>
      </c>
      <c r="J24" s="27">
        <v>0.97799999999999998</v>
      </c>
      <c r="K24" s="36">
        <v>0.94240000000000002</v>
      </c>
      <c r="L24" s="27">
        <v>0.93899999999999995</v>
      </c>
      <c r="M24" s="45">
        <v>0.877</v>
      </c>
      <c r="N24" s="27">
        <v>0.93200000000000005</v>
      </c>
      <c r="O24" s="27">
        <v>0.93</v>
      </c>
      <c r="P24" s="27">
        <v>0.93208999999999997</v>
      </c>
      <c r="Q24" s="27">
        <v>0.94820000000000004</v>
      </c>
      <c r="R24" s="37">
        <v>0.80089999999999995</v>
      </c>
      <c r="S24" s="27">
        <v>1.0341899999999999</v>
      </c>
      <c r="T24" s="22">
        <v>0.94599999999999995</v>
      </c>
      <c r="U24" s="8">
        <v>1.0269999999999999</v>
      </c>
      <c r="V24" s="8">
        <v>0.96079999999999999</v>
      </c>
      <c r="W24" s="52">
        <v>0.96342000000000017</v>
      </c>
      <c r="X24" s="52">
        <v>0.80610000000000004</v>
      </c>
    </row>
    <row r="25" spans="1:24" ht="22.5" customHeight="1">
      <c r="A25" s="26">
        <v>24</v>
      </c>
      <c r="B25" s="27">
        <v>0.78049999999999997</v>
      </c>
      <c r="C25" s="27">
        <v>1.1095999999999999</v>
      </c>
      <c r="D25" s="27">
        <v>1.0276000000000001</v>
      </c>
      <c r="E25" s="27">
        <v>0.78439999999999999</v>
      </c>
      <c r="F25" s="27">
        <v>0.92910000000000004</v>
      </c>
      <c r="G25" s="27">
        <v>0.96120000000000005</v>
      </c>
      <c r="H25" s="27">
        <v>0.91569999999999996</v>
      </c>
      <c r="I25" s="27">
        <v>1.0434000000000001</v>
      </c>
      <c r="J25" s="27">
        <v>0.97719999999999996</v>
      </c>
      <c r="K25" s="36">
        <v>0.9415</v>
      </c>
      <c r="L25" s="27">
        <v>0.93799999999999994</v>
      </c>
      <c r="M25" s="45">
        <v>0.87590000000000001</v>
      </c>
      <c r="N25" s="27">
        <v>0.93200000000000005</v>
      </c>
      <c r="O25" s="27">
        <v>0.93</v>
      </c>
      <c r="P25" s="27">
        <v>0.93159999999999998</v>
      </c>
      <c r="Q25" s="27">
        <v>0.94747000000000003</v>
      </c>
      <c r="R25" s="37">
        <v>0.8</v>
      </c>
      <c r="S25" s="27">
        <v>1.03346</v>
      </c>
      <c r="T25" s="22">
        <v>0.9446</v>
      </c>
      <c r="U25" s="8">
        <v>1.026</v>
      </c>
      <c r="V25" s="8">
        <v>0.96079999999999999</v>
      </c>
      <c r="W25" s="52">
        <v>0.96278000000000019</v>
      </c>
      <c r="X25" s="52">
        <v>0.80549999999999999</v>
      </c>
    </row>
    <row r="26" spans="1:24" ht="22.5" customHeight="1" thickBot="1">
      <c r="A26" s="46">
        <v>25</v>
      </c>
      <c r="B26" s="18">
        <v>0.77959999999999996</v>
      </c>
      <c r="C26" s="18">
        <v>1.1089</v>
      </c>
      <c r="D26" s="18">
        <v>1.0266999999999999</v>
      </c>
      <c r="E26" s="18">
        <v>0.78320000000000001</v>
      </c>
      <c r="F26" s="16">
        <v>0.92813000000000001</v>
      </c>
      <c r="G26" s="18">
        <v>0.96020000000000005</v>
      </c>
      <c r="H26" s="18">
        <v>0.91469999999999996</v>
      </c>
      <c r="I26" s="18">
        <v>1.0423</v>
      </c>
      <c r="J26" s="18">
        <v>0.97640000000000005</v>
      </c>
      <c r="K26" s="39">
        <v>0.9405</v>
      </c>
      <c r="L26" s="18">
        <v>0.93700000000000006</v>
      </c>
      <c r="M26" s="40">
        <v>0.87509999999999999</v>
      </c>
      <c r="N26" s="18">
        <v>0.93</v>
      </c>
      <c r="O26" s="18">
        <v>0.92600000000000005</v>
      </c>
      <c r="P26" s="16">
        <v>0.93084</v>
      </c>
      <c r="Q26" s="27">
        <v>0.94674000000000003</v>
      </c>
      <c r="R26" s="41">
        <v>0.79910000000000003</v>
      </c>
      <c r="S26" s="18">
        <v>1.0327299999999999</v>
      </c>
      <c r="T26" s="16">
        <v>0.94330000000000003</v>
      </c>
      <c r="U26" s="16">
        <v>1.0249999999999999</v>
      </c>
      <c r="V26" s="8">
        <v>0.96079999999999999</v>
      </c>
      <c r="W26" s="52">
        <v>0.96214000000000022</v>
      </c>
      <c r="X26" s="52">
        <v>0.80493999999999999</v>
      </c>
    </row>
    <row r="27" spans="1:24" ht="22.5" customHeight="1" thickTop="1" thickBot="1">
      <c r="A27" s="21">
        <v>26</v>
      </c>
      <c r="B27" s="22">
        <v>0.77869999999999995</v>
      </c>
      <c r="C27" s="22">
        <v>1.1081000000000001</v>
      </c>
      <c r="D27" s="22">
        <v>1.0258</v>
      </c>
      <c r="E27" s="22">
        <v>0.78210000000000002</v>
      </c>
      <c r="F27" s="22">
        <v>0.92717000000000005</v>
      </c>
      <c r="G27" s="22">
        <v>0.95899999999999996</v>
      </c>
      <c r="H27" s="22">
        <v>0.91390000000000005</v>
      </c>
      <c r="I27" s="22">
        <v>1.0411999999999999</v>
      </c>
      <c r="J27" s="22">
        <v>0.97550000000000003</v>
      </c>
      <c r="K27" s="35">
        <v>0.93959999999999999</v>
      </c>
      <c r="L27" s="22">
        <v>0.93600000000000005</v>
      </c>
      <c r="M27" s="44">
        <v>0.87409999999999999</v>
      </c>
      <c r="N27" s="22">
        <v>0.93</v>
      </c>
      <c r="O27" s="22">
        <v>0.92600000000000005</v>
      </c>
      <c r="P27" s="22">
        <v>0.92906</v>
      </c>
      <c r="Q27" s="27">
        <v>0.94603000000000004</v>
      </c>
      <c r="R27" s="31">
        <v>0.79820000000000002</v>
      </c>
      <c r="S27" s="22">
        <v>1.031998</v>
      </c>
      <c r="T27" s="22">
        <v>0.94220000000000004</v>
      </c>
      <c r="U27" s="8">
        <v>1.024</v>
      </c>
      <c r="V27" s="16">
        <v>0.95760000000000001</v>
      </c>
      <c r="W27" s="52">
        <v>0.96155000000000024</v>
      </c>
      <c r="X27" s="52">
        <v>0.80459999999999998</v>
      </c>
    </row>
    <row r="28" spans="1:24" ht="22.5" customHeight="1" thickTop="1" thickBot="1">
      <c r="A28" s="26">
        <v>27</v>
      </c>
      <c r="B28" s="27">
        <v>0.77790000000000004</v>
      </c>
      <c r="C28" s="27">
        <v>1.1073999999999999</v>
      </c>
      <c r="D28" s="27">
        <v>1.0247999999999999</v>
      </c>
      <c r="E28" s="27">
        <v>0.78100000000000003</v>
      </c>
      <c r="F28" s="27">
        <v>0.92620999999999998</v>
      </c>
      <c r="G28" s="27">
        <v>0.95799999999999996</v>
      </c>
      <c r="H28" s="27">
        <v>0.91290000000000004</v>
      </c>
      <c r="I28" s="27">
        <v>1.0401</v>
      </c>
      <c r="J28" s="27">
        <v>0.97470000000000001</v>
      </c>
      <c r="K28" s="36">
        <v>0.93869999999999998</v>
      </c>
      <c r="L28" s="27">
        <v>0.93500000000000005</v>
      </c>
      <c r="M28" s="45">
        <v>0.87309999999999999</v>
      </c>
      <c r="N28" s="27">
        <v>0.93</v>
      </c>
      <c r="O28" s="27">
        <v>0.92600000000000005</v>
      </c>
      <c r="P28" s="27">
        <v>0.92805000000000004</v>
      </c>
      <c r="Q28" s="27">
        <v>0.94532000000000005</v>
      </c>
      <c r="R28" s="37">
        <v>0.79720000000000002</v>
      </c>
      <c r="S28" s="27">
        <v>1.031266</v>
      </c>
      <c r="T28" s="22">
        <v>0.94120000000000004</v>
      </c>
      <c r="U28" s="8">
        <v>1.0229999999999999</v>
      </c>
      <c r="V28" s="16">
        <v>0.95760000000000001</v>
      </c>
      <c r="W28" s="52">
        <v>0.96096000000000026</v>
      </c>
      <c r="X28" s="52">
        <v>0.80430000000000001</v>
      </c>
    </row>
    <row r="29" spans="1:24" ht="22.5" customHeight="1" thickTop="1" thickBot="1">
      <c r="A29" s="26">
        <v>28</v>
      </c>
      <c r="B29" s="27">
        <v>0.77700000000000002</v>
      </c>
      <c r="C29" s="27">
        <v>1.1066</v>
      </c>
      <c r="D29" s="27">
        <v>1.0239</v>
      </c>
      <c r="E29" s="27">
        <v>0.77980000000000005</v>
      </c>
      <c r="F29" s="27">
        <v>0.92527000000000004</v>
      </c>
      <c r="G29" s="27">
        <v>0.95699999999999996</v>
      </c>
      <c r="H29" s="27">
        <v>0.91200000000000003</v>
      </c>
      <c r="I29" s="27">
        <v>1.0389999999999999</v>
      </c>
      <c r="J29" s="27">
        <v>0.97389999999999999</v>
      </c>
      <c r="K29" s="36">
        <v>0.93779999999999997</v>
      </c>
      <c r="L29" s="27">
        <v>0.93400000000000005</v>
      </c>
      <c r="M29" s="45">
        <v>0.872</v>
      </c>
      <c r="N29" s="27">
        <v>0.93</v>
      </c>
      <c r="O29" s="27">
        <v>0.92600000000000005</v>
      </c>
      <c r="P29" s="27">
        <v>0.92706</v>
      </c>
      <c r="Q29" s="27">
        <v>0.94462000000000002</v>
      </c>
      <c r="R29" s="37">
        <v>0.79630000000000001</v>
      </c>
      <c r="S29" s="27">
        <v>1.0305340000000001</v>
      </c>
      <c r="T29" s="22">
        <v>0.94010000000000005</v>
      </c>
      <c r="U29" s="8">
        <v>1.022</v>
      </c>
      <c r="V29" s="16">
        <v>0.95760000000000001</v>
      </c>
      <c r="W29" s="52">
        <v>0.96037000000000028</v>
      </c>
      <c r="X29" s="52">
        <v>0.80400000000000005</v>
      </c>
    </row>
    <row r="30" spans="1:24" ht="22.5" customHeight="1" thickTop="1" thickBot="1">
      <c r="A30" s="26">
        <v>29</v>
      </c>
      <c r="B30" s="27">
        <v>0.7762</v>
      </c>
      <c r="C30" s="27">
        <v>1.1059000000000001</v>
      </c>
      <c r="D30" s="27">
        <v>1.0228999999999999</v>
      </c>
      <c r="E30" s="27">
        <v>0.77869999999999995</v>
      </c>
      <c r="F30" s="27">
        <v>0.92430000000000001</v>
      </c>
      <c r="G30" s="27">
        <v>0.95589999999999997</v>
      </c>
      <c r="H30" s="27">
        <v>0.91100000000000003</v>
      </c>
      <c r="I30" s="27">
        <v>1.0378000000000001</v>
      </c>
      <c r="J30" s="27">
        <v>0.97309999999999997</v>
      </c>
      <c r="K30" s="36">
        <v>0.93689999999999996</v>
      </c>
      <c r="L30" s="27">
        <v>0.93300000000000005</v>
      </c>
      <c r="M30" s="45">
        <v>0.871</v>
      </c>
      <c r="N30" s="27">
        <v>0.93</v>
      </c>
      <c r="O30" s="27">
        <v>0.92600000000000005</v>
      </c>
      <c r="P30" s="27">
        <v>0.92603000000000002</v>
      </c>
      <c r="Q30" s="27">
        <v>0.94393000000000005</v>
      </c>
      <c r="R30" s="37">
        <v>0.79549999999999998</v>
      </c>
      <c r="S30" s="27">
        <v>1.0298020000000001</v>
      </c>
      <c r="T30" s="22">
        <v>0.93910000000000005</v>
      </c>
      <c r="U30" s="8">
        <v>1.0209999999999999</v>
      </c>
      <c r="V30" s="16">
        <v>0.95760000000000001</v>
      </c>
      <c r="W30" s="52">
        <v>0.9597800000000003</v>
      </c>
      <c r="X30" s="52">
        <v>0.80369999999999997</v>
      </c>
    </row>
    <row r="31" spans="1:24" ht="22.5" customHeight="1" thickTop="1" thickBot="1">
      <c r="A31" s="38">
        <v>30</v>
      </c>
      <c r="B31" s="28">
        <v>0.77529999999999999</v>
      </c>
      <c r="C31" s="28">
        <v>1.1051</v>
      </c>
      <c r="D31" s="28">
        <v>1.022</v>
      </c>
      <c r="E31" s="18">
        <v>0.77759999999999996</v>
      </c>
      <c r="F31" s="16">
        <v>0.92340999999999995</v>
      </c>
      <c r="G31" s="18">
        <v>0.95469999999999999</v>
      </c>
      <c r="H31" s="18">
        <v>0.91</v>
      </c>
      <c r="I31" s="18">
        <v>1.0367</v>
      </c>
      <c r="J31" s="18">
        <v>0.97230000000000005</v>
      </c>
      <c r="K31" s="39">
        <v>0.93600000000000005</v>
      </c>
      <c r="L31" s="18">
        <v>0.93200000000000005</v>
      </c>
      <c r="M31" s="40">
        <v>0.86990000000000001</v>
      </c>
      <c r="N31" s="18">
        <v>0.93</v>
      </c>
      <c r="O31" s="18">
        <v>0.92200000000000004</v>
      </c>
      <c r="P31" s="16">
        <v>0.92508999999999997</v>
      </c>
      <c r="Q31" s="27">
        <v>0.94333</v>
      </c>
      <c r="R31" s="41">
        <v>0.79459999999999997</v>
      </c>
      <c r="S31" s="18">
        <v>1.0289999999999999</v>
      </c>
      <c r="T31" s="16">
        <v>0.93810000000000004</v>
      </c>
      <c r="U31" s="16">
        <v>1.02</v>
      </c>
      <c r="V31" s="16">
        <v>0.95760000000000001</v>
      </c>
      <c r="W31" s="52">
        <v>0.95919000000000032</v>
      </c>
      <c r="X31" s="52">
        <v>0.80335999999999996</v>
      </c>
    </row>
    <row r="32" spans="1:24" ht="22.5" customHeight="1" thickTop="1" thickBot="1">
      <c r="A32" s="42">
        <v>31</v>
      </c>
      <c r="B32" s="43">
        <v>0.77439999999999998</v>
      </c>
      <c r="C32" s="43">
        <v>1.1041000000000001</v>
      </c>
      <c r="D32" s="43">
        <v>1.0210999999999999</v>
      </c>
      <c r="E32" s="22">
        <v>0.77644999999999997</v>
      </c>
      <c r="F32" s="22">
        <v>0.92235</v>
      </c>
      <c r="G32" s="22">
        <v>0.95370999999999995</v>
      </c>
      <c r="H32" s="22">
        <v>0.90905000000000002</v>
      </c>
      <c r="I32" s="22">
        <v>1.0356000000000001</v>
      </c>
      <c r="J32" s="22">
        <v>0.97140000000000004</v>
      </c>
      <c r="K32" s="35">
        <v>0.93510000000000004</v>
      </c>
      <c r="L32" s="22">
        <v>0.93100000000000005</v>
      </c>
      <c r="M32" s="44">
        <v>0.86887000000000003</v>
      </c>
      <c r="N32" s="22">
        <v>0.93</v>
      </c>
      <c r="O32" s="22">
        <v>0.92279999999999995</v>
      </c>
      <c r="P32" s="22">
        <v>0.92406999999999995</v>
      </c>
      <c r="Q32" s="27">
        <v>0.94257999999999997</v>
      </c>
      <c r="R32" s="31">
        <v>0.79379999999999995</v>
      </c>
      <c r="S32" s="22">
        <v>1.028268</v>
      </c>
      <c r="T32" s="22">
        <v>0.93710000000000004</v>
      </c>
      <c r="U32" s="8">
        <v>1.0189999999999999</v>
      </c>
      <c r="V32" s="16">
        <v>0.95760000000000001</v>
      </c>
      <c r="W32" s="52">
        <v>0.95860000000000034</v>
      </c>
      <c r="X32" s="52">
        <v>0.80249999999999999</v>
      </c>
    </row>
    <row r="33" spans="1:24" ht="22.5" customHeight="1" thickTop="1" thickBot="1">
      <c r="A33" s="26">
        <v>32</v>
      </c>
      <c r="B33" s="27">
        <v>0.77349999999999997</v>
      </c>
      <c r="C33" s="27">
        <v>1.103</v>
      </c>
      <c r="D33" s="27">
        <v>1.0202</v>
      </c>
      <c r="E33" s="27">
        <v>0.77532000000000001</v>
      </c>
      <c r="F33" s="27">
        <v>0.9214</v>
      </c>
      <c r="G33" s="27">
        <v>0.95264000000000004</v>
      </c>
      <c r="H33" s="27">
        <v>0.90808</v>
      </c>
      <c r="I33" s="27">
        <v>1.0345</v>
      </c>
      <c r="J33" s="27">
        <v>0.97060000000000002</v>
      </c>
      <c r="K33" s="36">
        <v>0.93420000000000003</v>
      </c>
      <c r="L33" s="27">
        <v>0.93</v>
      </c>
      <c r="M33" s="45">
        <v>0.86782000000000004</v>
      </c>
      <c r="N33" s="27">
        <v>0.93</v>
      </c>
      <c r="O33" s="27">
        <v>0.92200000000000004</v>
      </c>
      <c r="P33" s="27">
        <v>0.92298000000000002</v>
      </c>
      <c r="Q33" s="27">
        <v>0.94189999999999996</v>
      </c>
      <c r="R33" s="37">
        <v>0.79300000000000004</v>
      </c>
      <c r="S33" s="27">
        <v>1.027536</v>
      </c>
      <c r="T33" s="22">
        <v>0.93600000000000005</v>
      </c>
      <c r="U33" s="8">
        <v>1.018</v>
      </c>
      <c r="V33" s="16">
        <v>0.95760000000000001</v>
      </c>
      <c r="W33" s="52">
        <v>0.95801000000000036</v>
      </c>
      <c r="X33" s="52">
        <v>0.80159999999999998</v>
      </c>
    </row>
    <row r="34" spans="1:24" ht="22.5" customHeight="1" thickTop="1" thickBot="1">
      <c r="A34" s="26">
        <v>33</v>
      </c>
      <c r="B34" s="27">
        <v>0.77270000000000005</v>
      </c>
      <c r="C34" s="27">
        <v>1.1020000000000001</v>
      </c>
      <c r="D34" s="27">
        <v>1.0194000000000001</v>
      </c>
      <c r="E34" s="27">
        <v>0.77419000000000004</v>
      </c>
      <c r="F34" s="27">
        <v>0.92042999999999997</v>
      </c>
      <c r="G34" s="27">
        <v>0.95157000000000003</v>
      </c>
      <c r="H34" s="27">
        <v>0.90710999999999997</v>
      </c>
      <c r="I34" s="27">
        <v>1.0334000000000001</v>
      </c>
      <c r="J34" s="27">
        <v>0.9698</v>
      </c>
      <c r="K34" s="36">
        <v>0.93330000000000002</v>
      </c>
      <c r="L34" s="27">
        <v>0.92900000000000005</v>
      </c>
      <c r="M34" s="45">
        <v>0.86677000000000004</v>
      </c>
      <c r="N34" s="27">
        <v>0.93</v>
      </c>
      <c r="O34" s="27">
        <v>0.92120000000000002</v>
      </c>
      <c r="P34" s="27">
        <v>0.92198999999999998</v>
      </c>
      <c r="Q34" s="27">
        <v>0.94125000000000003</v>
      </c>
      <c r="R34" s="37">
        <v>0.7923</v>
      </c>
      <c r="S34" s="27">
        <v>1.0268040000000001</v>
      </c>
      <c r="T34" s="22">
        <v>0.93500000000000005</v>
      </c>
      <c r="U34" s="8">
        <v>1.0169999999999999</v>
      </c>
      <c r="V34" s="16">
        <v>0.95760000000000001</v>
      </c>
      <c r="W34" s="52">
        <v>0.95742000000000038</v>
      </c>
      <c r="X34" s="52">
        <v>0.80069999999999997</v>
      </c>
    </row>
    <row r="35" spans="1:24" ht="22.5" customHeight="1" thickTop="1" thickBot="1">
      <c r="A35" s="26">
        <v>34</v>
      </c>
      <c r="B35" s="27">
        <v>0.77180000000000004</v>
      </c>
      <c r="C35" s="27">
        <v>1.1009</v>
      </c>
      <c r="D35" s="27">
        <v>1.0185</v>
      </c>
      <c r="E35" s="27">
        <v>0.77305999999999997</v>
      </c>
      <c r="F35" s="27">
        <v>0.91946000000000006</v>
      </c>
      <c r="G35" s="27">
        <v>0.95050000000000001</v>
      </c>
      <c r="H35" s="27">
        <v>0.90613999999999995</v>
      </c>
      <c r="I35" s="27">
        <v>1.0322</v>
      </c>
      <c r="J35" s="27">
        <v>0.96899999999999997</v>
      </c>
      <c r="K35" s="36">
        <v>0.93240000000000001</v>
      </c>
      <c r="L35" s="27">
        <v>0.92800000000000005</v>
      </c>
      <c r="M35" s="45">
        <v>0.86572000000000005</v>
      </c>
      <c r="N35" s="27">
        <v>0.93</v>
      </c>
      <c r="O35" s="27">
        <v>0.9204</v>
      </c>
      <c r="P35" s="27">
        <v>0.92093999999999998</v>
      </c>
      <c r="Q35" s="27">
        <v>0.94059000000000004</v>
      </c>
      <c r="R35" s="37">
        <v>0.79159999999999997</v>
      </c>
      <c r="S35" s="27">
        <f>S34-0.000732</f>
        <v>1.0260720000000001</v>
      </c>
      <c r="T35" s="22">
        <v>0.93400000000000005</v>
      </c>
      <c r="U35" s="8">
        <v>1.016</v>
      </c>
      <c r="V35" s="16">
        <v>0.95760000000000001</v>
      </c>
      <c r="W35" s="52">
        <v>0.9568300000000004</v>
      </c>
      <c r="X35" s="52">
        <v>0.79979999999999996</v>
      </c>
    </row>
    <row r="36" spans="1:24" ht="22.5" customHeight="1" thickTop="1" thickBot="1">
      <c r="A36" s="46">
        <v>35</v>
      </c>
      <c r="B36" s="18">
        <v>0.77090000000000003</v>
      </c>
      <c r="C36" s="18">
        <v>1.0999000000000001</v>
      </c>
      <c r="D36" s="18">
        <v>1.0176000000000001</v>
      </c>
      <c r="E36" s="18">
        <v>0.77193000000000001</v>
      </c>
      <c r="F36" s="16">
        <v>0.91851000000000005</v>
      </c>
      <c r="G36" s="18">
        <v>0.94943</v>
      </c>
      <c r="H36" s="18">
        <v>0.90517000000000003</v>
      </c>
      <c r="I36" s="18">
        <v>1.0310999999999999</v>
      </c>
      <c r="J36" s="18">
        <v>0.96819999999999995</v>
      </c>
      <c r="K36" s="39">
        <v>0.93149999999999999</v>
      </c>
      <c r="L36" s="18">
        <v>0.92700000000000005</v>
      </c>
      <c r="M36" s="40">
        <v>0.86467000000000005</v>
      </c>
      <c r="N36" s="18">
        <v>0.93</v>
      </c>
      <c r="O36" s="18">
        <v>0.91959999999999997</v>
      </c>
      <c r="P36" s="16">
        <v>0.91995000000000005</v>
      </c>
      <c r="Q36" s="27">
        <v>0.93994</v>
      </c>
      <c r="R36" s="41">
        <v>0.79079999999999995</v>
      </c>
      <c r="S36" s="18">
        <f>S35-0.000732</f>
        <v>1.0253400000000001</v>
      </c>
      <c r="T36" s="16">
        <v>0.93300000000000005</v>
      </c>
      <c r="U36" s="16">
        <v>1.0149999999999999</v>
      </c>
      <c r="V36" s="16">
        <v>0.95760000000000001</v>
      </c>
      <c r="W36" s="52">
        <v>0.95624000000000042</v>
      </c>
      <c r="X36" s="52">
        <v>0.79900000000000004</v>
      </c>
    </row>
    <row r="37" spans="1:24" ht="22.5" customHeight="1" thickTop="1" thickBot="1">
      <c r="A37" s="21">
        <v>36</v>
      </c>
      <c r="B37" s="22">
        <v>0.77</v>
      </c>
      <c r="C37" s="22">
        <v>1.0988</v>
      </c>
      <c r="D37" s="22">
        <v>1.0166999999999999</v>
      </c>
      <c r="E37" s="22">
        <v>0.77080000000000004</v>
      </c>
      <c r="F37" s="22">
        <v>0.91754999999999998</v>
      </c>
      <c r="G37" s="22">
        <v>0.94835999999999998</v>
      </c>
      <c r="H37" s="22">
        <v>0.9042</v>
      </c>
      <c r="I37" s="22">
        <v>1.03</v>
      </c>
      <c r="J37" s="22">
        <v>0.96730000000000005</v>
      </c>
      <c r="K37" s="35">
        <v>0.93059999999999998</v>
      </c>
      <c r="L37" s="22">
        <v>0.92600000000000005</v>
      </c>
      <c r="M37" s="44">
        <v>0.86362000000000005</v>
      </c>
      <c r="N37" s="22">
        <v>0.93</v>
      </c>
      <c r="O37" s="22">
        <v>0.91879999999999995</v>
      </c>
      <c r="P37" s="22">
        <v>0.91888999999999998</v>
      </c>
      <c r="Q37" s="27">
        <v>0.93930000000000002</v>
      </c>
      <c r="R37" s="31">
        <v>0.79008</v>
      </c>
      <c r="S37" s="22">
        <f t="shared" ref="S37:S51" si="0">S36-0.000732</f>
        <v>1.0246080000000002</v>
      </c>
      <c r="T37" s="22">
        <v>0.93194666666666703</v>
      </c>
      <c r="U37" s="8">
        <v>1.0142</v>
      </c>
      <c r="V37" s="16">
        <v>0.95760000000000001</v>
      </c>
      <c r="W37" s="52">
        <v>0.95565000000000044</v>
      </c>
      <c r="X37" s="52">
        <v>0.7984</v>
      </c>
    </row>
    <row r="38" spans="1:24" ht="22.5" customHeight="1" thickTop="1" thickBot="1">
      <c r="A38" s="26">
        <v>37</v>
      </c>
      <c r="B38" s="27">
        <v>0.76910000000000001</v>
      </c>
      <c r="C38" s="27">
        <v>1.0978000000000001</v>
      </c>
      <c r="D38" s="27">
        <v>1.0158</v>
      </c>
      <c r="E38" s="27">
        <v>0.76929999999999998</v>
      </c>
      <c r="F38" s="27">
        <v>0.91654000000000002</v>
      </c>
      <c r="G38" s="27">
        <v>0.94699999999999995</v>
      </c>
      <c r="H38" s="27">
        <v>0.90310000000000001</v>
      </c>
      <c r="I38" s="27">
        <v>1.0288999999999999</v>
      </c>
      <c r="J38" s="27">
        <v>0.96650000000000003</v>
      </c>
      <c r="K38" s="36">
        <v>0.92979999999999996</v>
      </c>
      <c r="L38" s="27">
        <v>0.92500000000000004</v>
      </c>
      <c r="M38" s="45">
        <v>0.86270000000000002</v>
      </c>
      <c r="N38" s="27">
        <v>0.92600000000000005</v>
      </c>
      <c r="O38" s="27">
        <v>0.92200000000000004</v>
      </c>
      <c r="P38" s="27">
        <v>0.91785000000000005</v>
      </c>
      <c r="Q38" s="27">
        <v>0.93864999999999998</v>
      </c>
      <c r="R38" s="37">
        <v>0.78934000000000004</v>
      </c>
      <c r="S38" s="27">
        <f t="shared" si="0"/>
        <v>1.0238760000000002</v>
      </c>
      <c r="T38" s="22">
        <v>0.930922424242424</v>
      </c>
      <c r="U38" s="8">
        <v>1.0134000000000001</v>
      </c>
      <c r="V38" s="16">
        <v>0.95760000000000001</v>
      </c>
      <c r="W38" s="52">
        <v>0.95506000000000046</v>
      </c>
      <c r="X38" s="52">
        <v>0.79779999999999995</v>
      </c>
    </row>
    <row r="39" spans="1:24" ht="22.5" customHeight="1" thickTop="1" thickBot="1">
      <c r="A39" s="26">
        <v>38</v>
      </c>
      <c r="B39" s="27">
        <v>0.76829999999999998</v>
      </c>
      <c r="C39" s="27">
        <v>1.0967</v>
      </c>
      <c r="D39" s="27">
        <v>1.0149999999999999</v>
      </c>
      <c r="E39" s="27">
        <v>0.7681</v>
      </c>
      <c r="F39" s="27">
        <v>0.91556999999999999</v>
      </c>
      <c r="G39" s="27">
        <v>0.94589999999999996</v>
      </c>
      <c r="H39" s="27">
        <v>0.90210000000000001</v>
      </c>
      <c r="I39" s="27">
        <v>1.0278</v>
      </c>
      <c r="J39" s="27">
        <v>0.9657</v>
      </c>
      <c r="K39" s="36">
        <v>0.92889999999999995</v>
      </c>
      <c r="L39" s="27">
        <v>0.92400000000000004</v>
      </c>
      <c r="M39" s="45">
        <v>0.86170000000000002</v>
      </c>
      <c r="N39" s="27">
        <v>0.92600000000000005</v>
      </c>
      <c r="O39" s="27">
        <v>0.92200000000000004</v>
      </c>
      <c r="P39" s="27">
        <v>0.91686000000000001</v>
      </c>
      <c r="Q39" s="27">
        <v>0.93801999999999996</v>
      </c>
      <c r="R39" s="37">
        <v>0.78859999999999997</v>
      </c>
      <c r="S39" s="27">
        <f t="shared" si="0"/>
        <v>1.0231440000000003</v>
      </c>
      <c r="T39" s="22">
        <v>0.92989818181818196</v>
      </c>
      <c r="U39" s="8">
        <v>1.0125999999999999</v>
      </c>
      <c r="V39" s="16">
        <v>0.95760000000000001</v>
      </c>
      <c r="W39" s="52">
        <v>0.95447000000000048</v>
      </c>
      <c r="X39" s="52">
        <v>0.79720000000000002</v>
      </c>
    </row>
    <row r="40" spans="1:24" ht="22.5" customHeight="1" thickTop="1" thickBot="1">
      <c r="A40" s="26">
        <v>39</v>
      </c>
      <c r="B40" s="27">
        <v>0.76739999999999997</v>
      </c>
      <c r="C40" s="27">
        <v>1.0956999999999999</v>
      </c>
      <c r="D40" s="27">
        <v>1.0141</v>
      </c>
      <c r="E40" s="27">
        <v>0.76700000000000002</v>
      </c>
      <c r="F40" s="27">
        <v>0.91459999999999997</v>
      </c>
      <c r="G40" s="27">
        <v>0.94489999999999996</v>
      </c>
      <c r="H40" s="27">
        <v>0.90110000000000001</v>
      </c>
      <c r="I40" s="27">
        <v>1.0266</v>
      </c>
      <c r="J40" s="27">
        <v>0.96489999999999998</v>
      </c>
      <c r="K40" s="36">
        <v>0.92810000000000004</v>
      </c>
      <c r="L40" s="27">
        <v>0.92300000000000004</v>
      </c>
      <c r="M40" s="45">
        <v>0.86070000000000002</v>
      </c>
      <c r="N40" s="27">
        <v>0.92600000000000005</v>
      </c>
      <c r="O40" s="27">
        <v>0.92200000000000004</v>
      </c>
      <c r="P40" s="27">
        <v>0.91579999999999995</v>
      </c>
      <c r="Q40" s="27">
        <v>0.93740000000000001</v>
      </c>
      <c r="R40" s="37">
        <v>0.78786</v>
      </c>
      <c r="S40" s="27">
        <f t="shared" si="0"/>
        <v>1.0224120000000003</v>
      </c>
      <c r="T40" s="22">
        <v>0.92887393939393903</v>
      </c>
      <c r="U40" s="8">
        <v>1.0118</v>
      </c>
      <c r="V40" s="16">
        <v>0.95760000000000001</v>
      </c>
      <c r="W40" s="52">
        <v>0.95388000000000051</v>
      </c>
      <c r="X40" s="52">
        <v>0.79659999999999997</v>
      </c>
    </row>
    <row r="41" spans="1:24" ht="22.5" customHeight="1" thickTop="1" thickBot="1">
      <c r="A41" s="46">
        <v>40</v>
      </c>
      <c r="B41" s="18">
        <v>0.76649999999999996</v>
      </c>
      <c r="C41" s="18">
        <v>1.0946</v>
      </c>
      <c r="D41" s="18">
        <v>1.0132000000000001</v>
      </c>
      <c r="E41" s="18">
        <v>0.76580000000000004</v>
      </c>
      <c r="F41" s="16">
        <v>0.91366000000000003</v>
      </c>
      <c r="G41" s="18">
        <v>0.94389999999999996</v>
      </c>
      <c r="H41" s="18">
        <v>0.9002</v>
      </c>
      <c r="I41" s="18">
        <v>1.0255000000000001</v>
      </c>
      <c r="J41" s="18">
        <v>0.96409999999999996</v>
      </c>
      <c r="K41" s="39">
        <v>0.92720000000000002</v>
      </c>
      <c r="L41" s="18">
        <v>0.92200000000000004</v>
      </c>
      <c r="M41" s="40">
        <v>0.85970000000000002</v>
      </c>
      <c r="N41" s="18">
        <v>0.92600000000000005</v>
      </c>
      <c r="O41" s="18">
        <v>0.92200000000000004</v>
      </c>
      <c r="P41" s="16">
        <v>0.91478000000000004</v>
      </c>
      <c r="Q41" s="27">
        <v>0.93681999999999999</v>
      </c>
      <c r="R41" s="41">
        <v>0.78712000000000004</v>
      </c>
      <c r="S41" s="18">
        <f t="shared" si="0"/>
        <v>1.0216800000000004</v>
      </c>
      <c r="T41" s="16">
        <v>0.92784969696969699</v>
      </c>
      <c r="U41" s="16">
        <v>1.0109999999999999</v>
      </c>
      <c r="V41" s="16">
        <v>0.95760000000000001</v>
      </c>
      <c r="W41" s="52">
        <v>0.95329000000000053</v>
      </c>
      <c r="X41" s="52">
        <v>0.79620000000000002</v>
      </c>
    </row>
    <row r="42" spans="1:24" ht="22.5" customHeight="1" thickTop="1" thickBot="1">
      <c r="A42" s="21">
        <v>41</v>
      </c>
      <c r="B42" s="22">
        <v>0.76559999999999995</v>
      </c>
      <c r="C42" s="22">
        <v>1.0935999999999999</v>
      </c>
      <c r="D42" s="22">
        <v>1.0123</v>
      </c>
      <c r="E42" s="22">
        <v>0.76459999999999995</v>
      </c>
      <c r="F42" s="22">
        <v>0.91269</v>
      </c>
      <c r="G42" s="22">
        <v>0.94289999999999996</v>
      </c>
      <c r="H42" s="22">
        <v>0.8992</v>
      </c>
      <c r="I42" s="22">
        <v>1.0244</v>
      </c>
      <c r="J42" s="22">
        <v>0.96330000000000005</v>
      </c>
      <c r="K42" s="22">
        <v>0.9264</v>
      </c>
      <c r="L42" s="22">
        <v>0.92100000000000004</v>
      </c>
      <c r="M42" s="44">
        <v>0.85870000000000002</v>
      </c>
      <c r="N42" s="22">
        <v>0.92600000000000005</v>
      </c>
      <c r="O42" s="22">
        <v>0.92200000000000004</v>
      </c>
      <c r="P42" s="22">
        <v>0.91374999999999995</v>
      </c>
      <c r="Q42" s="27">
        <v>0.93681999999999999</v>
      </c>
      <c r="R42" s="31">
        <v>0.78637999999999997</v>
      </c>
      <c r="S42" s="22">
        <f t="shared" si="0"/>
        <v>1.0209480000000004</v>
      </c>
      <c r="T42" s="22">
        <v>0.92682545454545395</v>
      </c>
      <c r="U42" s="8">
        <v>1.0098</v>
      </c>
      <c r="V42" s="16">
        <v>0.95760000000000001</v>
      </c>
      <c r="W42" s="52">
        <v>0.95329000000000053</v>
      </c>
      <c r="X42" s="52">
        <v>0.79620000000000002</v>
      </c>
    </row>
    <row r="43" spans="1:24" ht="22.5" customHeight="1" thickTop="1" thickBot="1">
      <c r="A43" s="26">
        <v>42</v>
      </c>
      <c r="B43" s="27">
        <v>0.76470000000000005</v>
      </c>
      <c r="C43" s="27">
        <v>1.0925</v>
      </c>
      <c r="D43" s="27">
        <v>1.0114000000000001</v>
      </c>
      <c r="E43" s="27">
        <v>0.76349999999999996</v>
      </c>
      <c r="F43" s="27">
        <v>0.91171999999999997</v>
      </c>
      <c r="G43" s="22">
        <v>0.94189999999999996</v>
      </c>
      <c r="H43" s="22">
        <v>0.8982</v>
      </c>
      <c r="I43" s="22">
        <v>1.0233000000000001</v>
      </c>
      <c r="J43" s="27">
        <v>0.96250000000000002</v>
      </c>
      <c r="K43" s="22">
        <v>0.92549999999999999</v>
      </c>
      <c r="L43" s="22">
        <v>0.92</v>
      </c>
      <c r="M43" s="45">
        <v>0.85770000000000002</v>
      </c>
      <c r="N43" s="22">
        <v>0.92600000000000005</v>
      </c>
      <c r="O43" s="27">
        <v>0.92200000000000004</v>
      </c>
      <c r="P43" s="27">
        <v>0.91273000000000004</v>
      </c>
      <c r="Q43" s="27">
        <v>0.93681999999999999</v>
      </c>
      <c r="R43" s="37">
        <v>0.78564000000000001</v>
      </c>
      <c r="S43" s="27">
        <f t="shared" si="0"/>
        <v>1.0202160000000005</v>
      </c>
      <c r="T43" s="22">
        <v>0.92580121212121202</v>
      </c>
      <c r="U43" s="8">
        <v>1.0085999999999999</v>
      </c>
      <c r="V43" s="16">
        <v>0.95760000000000001</v>
      </c>
      <c r="W43" s="52">
        <v>0.95329000000000053</v>
      </c>
      <c r="X43" s="52">
        <v>0.79620000000000002</v>
      </c>
    </row>
    <row r="44" spans="1:24" ht="22.5" customHeight="1" thickTop="1" thickBot="1">
      <c r="A44" s="26">
        <v>43</v>
      </c>
      <c r="B44" s="27">
        <v>0.76390000000000002</v>
      </c>
      <c r="C44" s="27">
        <v>1.0914999999999999</v>
      </c>
      <c r="D44" s="27">
        <v>1.0105999999999999</v>
      </c>
      <c r="E44" s="27">
        <v>0.76229999999999998</v>
      </c>
      <c r="F44" s="27">
        <v>0.91073000000000004</v>
      </c>
      <c r="G44" s="27">
        <v>0.94089999999999996</v>
      </c>
      <c r="H44" s="27">
        <v>0.8972</v>
      </c>
      <c r="I44" s="27">
        <v>1.0222</v>
      </c>
      <c r="J44" s="27">
        <v>0.9617</v>
      </c>
      <c r="K44" s="27">
        <v>0.92459999999999998</v>
      </c>
      <c r="L44" s="27">
        <v>0.91900000000000004</v>
      </c>
      <c r="M44" s="45">
        <v>0.85670000000000002</v>
      </c>
      <c r="N44" s="22">
        <v>0.92600000000000005</v>
      </c>
      <c r="O44" s="27">
        <v>0.92200000000000004</v>
      </c>
      <c r="P44" s="27">
        <v>0.91168000000000005</v>
      </c>
      <c r="Q44" s="27">
        <v>0.93681999999999999</v>
      </c>
      <c r="R44" s="37">
        <v>0.78490000000000004</v>
      </c>
      <c r="S44" s="27">
        <f t="shared" si="0"/>
        <v>1.0194840000000005</v>
      </c>
      <c r="T44" s="22">
        <v>0.92477696969696899</v>
      </c>
      <c r="U44" s="8">
        <v>1.0074000000000001</v>
      </c>
      <c r="V44" s="16">
        <v>0.95760000000000001</v>
      </c>
      <c r="W44" s="52">
        <v>0.95329000000000053</v>
      </c>
      <c r="X44" s="52">
        <v>0.79620000000000002</v>
      </c>
    </row>
    <row r="45" spans="1:24" ht="22.5" customHeight="1" thickTop="1" thickBot="1">
      <c r="A45" s="26">
        <v>44</v>
      </c>
      <c r="B45" s="27">
        <v>0.76300000000000001</v>
      </c>
      <c r="C45" s="27">
        <v>1.0904</v>
      </c>
      <c r="D45" s="27">
        <v>1.0097</v>
      </c>
      <c r="E45" s="27">
        <v>0.76119999999999999</v>
      </c>
      <c r="F45" s="27">
        <v>0.90983999999999998</v>
      </c>
      <c r="G45" s="27">
        <v>0.93389999999999995</v>
      </c>
      <c r="H45" s="22">
        <v>0.8962</v>
      </c>
      <c r="I45" s="22">
        <v>1.0209999999999999</v>
      </c>
      <c r="J45" s="27">
        <v>0.96089999999999998</v>
      </c>
      <c r="K45" s="27">
        <v>0.92369999999999997</v>
      </c>
      <c r="L45" s="27">
        <v>0.91800000000000004</v>
      </c>
      <c r="M45" s="45">
        <v>0.85570000000000002</v>
      </c>
      <c r="N45" s="22">
        <v>0.92600000000000005</v>
      </c>
      <c r="O45" s="27">
        <v>0.92200000000000004</v>
      </c>
      <c r="P45" s="27">
        <v>0.91064999999999996</v>
      </c>
      <c r="Q45" s="27">
        <v>0.93681999999999999</v>
      </c>
      <c r="R45" s="37">
        <v>0.78415999999999997</v>
      </c>
      <c r="S45" s="27">
        <f t="shared" si="0"/>
        <v>1.0187520000000005</v>
      </c>
      <c r="T45" s="22">
        <v>0.92375272727272695</v>
      </c>
      <c r="U45" s="8">
        <v>1.0062</v>
      </c>
      <c r="V45" s="16">
        <v>0.95760000000000001</v>
      </c>
      <c r="W45" s="52">
        <v>0.95329000000000053</v>
      </c>
      <c r="X45" s="52">
        <v>0.79620000000000002</v>
      </c>
    </row>
    <row r="46" spans="1:24" ht="22.5" customHeight="1" thickTop="1" thickBot="1">
      <c r="A46" s="46">
        <v>45</v>
      </c>
      <c r="B46" s="18">
        <v>0.7621</v>
      </c>
      <c r="C46" s="18">
        <v>1.0893999999999999</v>
      </c>
      <c r="D46" s="18">
        <v>1.0087999999999999</v>
      </c>
      <c r="E46" s="18">
        <v>0.76</v>
      </c>
      <c r="F46" s="16">
        <v>0.90878000000000003</v>
      </c>
      <c r="G46" s="18">
        <v>0.93889999999999996</v>
      </c>
      <c r="H46" s="18">
        <v>0.8952</v>
      </c>
      <c r="I46" s="18">
        <v>1.0199</v>
      </c>
      <c r="J46" s="18">
        <v>0.96009999999999995</v>
      </c>
      <c r="K46" s="18">
        <v>0.92279999999999995</v>
      </c>
      <c r="L46" s="18">
        <v>0.91700000000000004</v>
      </c>
      <c r="M46" s="40">
        <v>0.85470000000000002</v>
      </c>
      <c r="N46" s="16">
        <v>0.92600000000000005</v>
      </c>
      <c r="O46" s="18">
        <v>0.92200000000000004</v>
      </c>
      <c r="P46" s="16">
        <v>0.90963000000000005</v>
      </c>
      <c r="Q46" s="27">
        <v>0.93681999999999999</v>
      </c>
      <c r="R46" s="41">
        <v>0.78342000000000001</v>
      </c>
      <c r="S46" s="18">
        <f t="shared" si="0"/>
        <v>1.0180200000000006</v>
      </c>
      <c r="T46" s="16">
        <v>0.92272848484848502</v>
      </c>
      <c r="U46" s="16">
        <v>1.0049999999999999</v>
      </c>
      <c r="V46" s="16">
        <v>0.95760000000000001</v>
      </c>
      <c r="W46" s="52">
        <v>0.95329000000000053</v>
      </c>
      <c r="X46" s="52">
        <v>0.79620000000000002</v>
      </c>
    </row>
    <row r="47" spans="1:24" ht="17.399999999999999" thickTop="1" thickBot="1">
      <c r="A47" s="47">
        <v>46</v>
      </c>
      <c r="B47" s="22">
        <v>0.76124999999999998</v>
      </c>
      <c r="C47" s="22">
        <v>1.08833</v>
      </c>
      <c r="D47" s="22">
        <v>1.0079499999999999</v>
      </c>
      <c r="E47" s="22">
        <v>0.75887000000000004</v>
      </c>
      <c r="F47" s="22">
        <v>0.90781999999999996</v>
      </c>
      <c r="G47" s="22">
        <v>0.93489999999999995</v>
      </c>
      <c r="H47" s="22">
        <v>0.89419999999999999</v>
      </c>
      <c r="I47" s="22">
        <v>1.0187999999999999</v>
      </c>
      <c r="J47" s="22">
        <v>0.95930000000000004</v>
      </c>
      <c r="K47" s="22">
        <v>0.92190000000000005</v>
      </c>
      <c r="L47" s="22">
        <v>0.91600000000000004</v>
      </c>
      <c r="M47" s="44">
        <v>0.85370000000000001</v>
      </c>
      <c r="N47" s="22">
        <v>0.92600000000000005</v>
      </c>
      <c r="O47" s="22">
        <v>0.92200000000000004</v>
      </c>
      <c r="P47" s="22">
        <v>0.90856000000000003</v>
      </c>
      <c r="Q47" s="27">
        <v>0.93681999999999999</v>
      </c>
      <c r="R47" s="31">
        <v>0.78268000000000004</v>
      </c>
      <c r="S47" s="22">
        <f t="shared" si="0"/>
        <v>1.0172880000000006</v>
      </c>
      <c r="T47" s="22">
        <v>0.92170424242424398</v>
      </c>
      <c r="U47" s="8">
        <v>1.0038</v>
      </c>
      <c r="V47" s="16">
        <v>0.95760000000000001</v>
      </c>
      <c r="W47" s="52">
        <v>0.95329000000000053</v>
      </c>
      <c r="X47" s="52">
        <v>0.79620000000000002</v>
      </c>
    </row>
    <row r="48" spans="1:24" ht="17.399999999999999" thickTop="1" thickBot="1">
      <c r="A48" s="47">
        <v>47</v>
      </c>
      <c r="B48" s="27">
        <v>0.76037999999999994</v>
      </c>
      <c r="C48" s="27">
        <v>1.08728</v>
      </c>
      <c r="D48" s="27">
        <v>1.00708</v>
      </c>
      <c r="E48" s="27">
        <v>0.75771999999999995</v>
      </c>
      <c r="F48" s="27">
        <v>0.90683000000000002</v>
      </c>
      <c r="G48" s="22">
        <v>0.93330000000000002</v>
      </c>
      <c r="H48" s="22">
        <v>0.89319999999999999</v>
      </c>
      <c r="I48" s="22">
        <v>1.0177</v>
      </c>
      <c r="J48" s="27">
        <v>0.95850000000000002</v>
      </c>
      <c r="K48" s="22">
        <v>0.92100000000000004</v>
      </c>
      <c r="L48" s="22">
        <v>0.91500000000000004</v>
      </c>
      <c r="M48" s="45">
        <v>0.85270000000000001</v>
      </c>
      <c r="N48" s="22">
        <v>0.92600000000000005</v>
      </c>
      <c r="O48" s="27">
        <v>0.92200000000000004</v>
      </c>
      <c r="P48" s="27">
        <v>0.90751999999999999</v>
      </c>
      <c r="Q48" s="27">
        <v>0.93681999999999999</v>
      </c>
      <c r="R48" s="37">
        <v>0.78193999999999997</v>
      </c>
      <c r="S48" s="27">
        <f t="shared" si="0"/>
        <v>1.0165560000000007</v>
      </c>
      <c r="T48" s="22">
        <v>0.92068000000000205</v>
      </c>
      <c r="U48" s="8">
        <v>1.0025999999999999</v>
      </c>
      <c r="V48" s="16">
        <v>0.95760000000000001</v>
      </c>
      <c r="W48" s="52">
        <v>0.95329000000000053</v>
      </c>
      <c r="X48" s="52">
        <v>0.79620000000000002</v>
      </c>
    </row>
    <row r="49" spans="1:24" ht="17.399999999999999" thickTop="1" thickBot="1">
      <c r="A49" s="47">
        <v>48</v>
      </c>
      <c r="B49" s="27">
        <v>0.75951000000000002</v>
      </c>
      <c r="C49" s="27">
        <v>1.08623</v>
      </c>
      <c r="D49" s="27">
        <v>1.00621</v>
      </c>
      <c r="E49" s="27">
        <v>0.75656999999999996</v>
      </c>
      <c r="F49" s="27">
        <v>0.90585000000000004</v>
      </c>
      <c r="G49" s="27">
        <v>0.93169999999999997</v>
      </c>
      <c r="H49" s="27">
        <v>0.89219999999999999</v>
      </c>
      <c r="I49" s="27">
        <v>1.0165999999999999</v>
      </c>
      <c r="J49" s="27">
        <v>0.9577</v>
      </c>
      <c r="K49" s="27">
        <v>0.92010000000000003</v>
      </c>
      <c r="L49" s="27">
        <v>0.91400000000000003</v>
      </c>
      <c r="M49" s="45">
        <v>0.85170000000000001</v>
      </c>
      <c r="N49" s="22">
        <v>0.92600000000000005</v>
      </c>
      <c r="O49" s="27">
        <v>0.92200000000000004</v>
      </c>
      <c r="P49" s="27">
        <v>0.90647999999999995</v>
      </c>
      <c r="Q49" s="27">
        <v>0.93681999999999999</v>
      </c>
      <c r="R49" s="37">
        <v>0.78120000000000001</v>
      </c>
      <c r="S49" s="27">
        <f t="shared" si="0"/>
        <v>1.0158240000000007</v>
      </c>
      <c r="T49" s="22">
        <v>0.91965575757576001</v>
      </c>
      <c r="U49" s="8">
        <v>1.0014000000000001</v>
      </c>
      <c r="V49" s="16">
        <v>0.95760000000000001</v>
      </c>
      <c r="W49" s="52">
        <v>0.95329000000000053</v>
      </c>
      <c r="X49" s="52">
        <v>0.79620000000000002</v>
      </c>
    </row>
    <row r="50" spans="1:24" ht="17.399999999999999" thickTop="1" thickBot="1">
      <c r="A50" s="47">
        <v>49</v>
      </c>
      <c r="B50" s="27">
        <v>0.75863999999999998</v>
      </c>
      <c r="C50" s="27">
        <v>1.08518</v>
      </c>
      <c r="D50" s="27">
        <v>1.0053399999999999</v>
      </c>
      <c r="E50" s="27">
        <v>0.75541999999999998</v>
      </c>
      <c r="F50" s="27">
        <v>0.90488000000000002</v>
      </c>
      <c r="G50" s="27">
        <v>0.93010000000000004</v>
      </c>
      <c r="H50" s="22">
        <v>0.89119999999999999</v>
      </c>
      <c r="I50" s="22">
        <v>1.0154000000000001</v>
      </c>
      <c r="J50" s="27">
        <v>0.95689999999999997</v>
      </c>
      <c r="K50" s="27">
        <v>0.91920000000000002</v>
      </c>
      <c r="L50" s="27">
        <v>0.91300000000000003</v>
      </c>
      <c r="M50" s="45">
        <v>0.85070000000000001</v>
      </c>
      <c r="N50" s="22">
        <v>0.92600000000000005</v>
      </c>
      <c r="O50" s="27">
        <v>0.92200000000000004</v>
      </c>
      <c r="P50" s="27">
        <v>0.90542999999999996</v>
      </c>
      <c r="Q50" s="27">
        <v>0.93681999999999999</v>
      </c>
      <c r="R50" s="37">
        <v>0.78046000000000004</v>
      </c>
      <c r="S50" s="27">
        <f t="shared" si="0"/>
        <v>1.0150920000000008</v>
      </c>
      <c r="T50" s="22">
        <v>0.91863151515151897</v>
      </c>
      <c r="U50" s="8">
        <v>1.0002</v>
      </c>
      <c r="V50" s="16">
        <v>0.95760000000000001</v>
      </c>
      <c r="W50" s="52">
        <v>0.95329000000000053</v>
      </c>
      <c r="X50" s="52">
        <v>0.79620000000000002</v>
      </c>
    </row>
    <row r="51" spans="1:24" ht="17.399999999999999" thickTop="1" thickBot="1">
      <c r="A51" s="48">
        <v>50</v>
      </c>
      <c r="B51" s="18">
        <v>0.75777000000000005</v>
      </c>
      <c r="C51" s="18">
        <v>1.08413</v>
      </c>
      <c r="D51" s="18">
        <v>1.00447</v>
      </c>
      <c r="E51" s="18">
        <v>0.75427</v>
      </c>
      <c r="F51" s="16">
        <v>0.90390999999999999</v>
      </c>
      <c r="G51" s="18">
        <v>0.92849999999999999</v>
      </c>
      <c r="H51" s="18">
        <v>0.89019999999999999</v>
      </c>
      <c r="I51" s="18">
        <v>1.0143</v>
      </c>
      <c r="J51" s="18">
        <v>0.95609999999999995</v>
      </c>
      <c r="K51" s="18">
        <v>0.91830000000000001</v>
      </c>
      <c r="L51" s="18">
        <v>0.91200000000000003</v>
      </c>
      <c r="M51" s="40">
        <v>0.84970000000000001</v>
      </c>
      <c r="N51" s="16">
        <v>0.92600000000000005</v>
      </c>
      <c r="O51" s="18">
        <v>0.92200000000000004</v>
      </c>
      <c r="P51" s="16">
        <v>0.90439000000000003</v>
      </c>
      <c r="Q51" s="27">
        <v>0.93681999999999999</v>
      </c>
      <c r="R51" s="41">
        <v>0.77971999999999997</v>
      </c>
      <c r="S51" s="18">
        <f t="shared" si="0"/>
        <v>1.0143600000000008</v>
      </c>
      <c r="T51" s="16">
        <v>0.91760727272727705</v>
      </c>
      <c r="U51" s="16">
        <v>0.999</v>
      </c>
      <c r="V51" s="16">
        <v>0.95760000000000001</v>
      </c>
      <c r="W51" s="52">
        <v>0.95329000000000053</v>
      </c>
      <c r="X51" s="52">
        <v>0.79620000000000002</v>
      </c>
    </row>
    <row r="52" spans="1:24" ht="17.399999999999999" thickTop="1" thickBot="1">
      <c r="A52" s="48">
        <v>51</v>
      </c>
      <c r="B52" s="49"/>
      <c r="C52" s="49"/>
      <c r="D52" s="49"/>
      <c r="E52" s="49"/>
      <c r="F52" s="49"/>
      <c r="G52" s="49"/>
      <c r="H52" s="49"/>
      <c r="I52" s="49">
        <v>1.0132000000000001</v>
      </c>
      <c r="J52" s="49"/>
      <c r="U52" s="8"/>
    </row>
    <row r="53" spans="1:24" ht="17.399999999999999" thickTop="1" thickBot="1">
      <c r="A53" s="48">
        <v>52</v>
      </c>
      <c r="I53" s="47">
        <v>1.0121</v>
      </c>
      <c r="U53" s="8"/>
    </row>
    <row r="54" spans="1:24" ht="17.399999999999999" thickTop="1" thickBot="1">
      <c r="A54" s="48">
        <v>53</v>
      </c>
      <c r="I54" s="47">
        <v>1.0109999999999999</v>
      </c>
      <c r="U54" s="8"/>
    </row>
    <row r="55" spans="1:24" ht="17.399999999999999" thickTop="1" thickBot="1">
      <c r="A55" s="48">
        <v>54</v>
      </c>
      <c r="I55" s="47">
        <v>1.0098</v>
      </c>
      <c r="U55" s="8"/>
    </row>
    <row r="56" spans="1:24" ht="17.399999999999999" thickTop="1" thickBot="1">
      <c r="A56" s="48">
        <v>55</v>
      </c>
      <c r="I56" s="47">
        <v>1.0086999999999999</v>
      </c>
      <c r="U56" s="8"/>
    </row>
    <row r="57" spans="1:24" ht="17.399999999999999" thickTop="1" thickBot="1">
      <c r="A57" s="48">
        <v>56</v>
      </c>
      <c r="I57" s="47">
        <v>1.0076000000000001</v>
      </c>
      <c r="U57" s="8"/>
    </row>
    <row r="58" spans="1:24" ht="17.399999999999999" thickTop="1" thickBot="1">
      <c r="A58" s="48">
        <v>57</v>
      </c>
      <c r="I58" s="47">
        <v>1.0065</v>
      </c>
      <c r="U58" s="8"/>
    </row>
    <row r="59" spans="1:24" ht="17.399999999999999" thickTop="1" thickBot="1">
      <c r="A59" s="48">
        <v>58</v>
      </c>
      <c r="I59" s="47">
        <v>1.0054000000000001</v>
      </c>
      <c r="U59" s="8"/>
    </row>
    <row r="60" spans="1:24" ht="17.399999999999999" thickTop="1" thickBot="1">
      <c r="A60" s="48">
        <v>59</v>
      </c>
      <c r="I60" s="47">
        <v>1.0042</v>
      </c>
      <c r="U60" s="8"/>
    </row>
    <row r="61" spans="1:24" ht="17.399999999999999" thickTop="1" thickBot="1">
      <c r="A61" s="48">
        <v>60</v>
      </c>
      <c r="I61" s="47">
        <v>1.0031000000000001</v>
      </c>
      <c r="U61" s="8"/>
    </row>
    <row r="62" spans="1:24" ht="16.8" thickTop="1">
      <c r="U62" s="8"/>
    </row>
    <row r="63" spans="1:24">
      <c r="U63" s="8"/>
    </row>
    <row r="64" spans="1:24">
      <c r="U64" s="8"/>
    </row>
    <row r="65" spans="21:21">
      <c r="U65" s="8"/>
    </row>
    <row r="66" spans="21:21">
      <c r="U66" s="8"/>
    </row>
    <row r="67" spans="21:21">
      <c r="U67" s="8"/>
    </row>
    <row r="68" spans="21:21">
      <c r="U68" s="8"/>
    </row>
    <row r="69" spans="21:21">
      <c r="U69" s="8"/>
    </row>
    <row r="70" spans="21:21">
      <c r="U70" s="8"/>
    </row>
    <row r="71" spans="21:21">
      <c r="U71" s="8"/>
    </row>
    <row r="72" spans="21:21">
      <c r="U72" s="8"/>
    </row>
    <row r="73" spans="21:21">
      <c r="U73" s="8"/>
    </row>
    <row r="74" spans="21:21">
      <c r="U74" s="8"/>
    </row>
    <row r="75" spans="21:21">
      <c r="U75" s="8"/>
    </row>
    <row r="76" spans="21:21">
      <c r="U76" s="8"/>
    </row>
    <row r="77" spans="21:21">
      <c r="U77" s="8"/>
    </row>
    <row r="78" spans="21:21">
      <c r="U78" s="8"/>
    </row>
    <row r="79" spans="21:21">
      <c r="U79" s="8"/>
    </row>
    <row r="80" spans="21:21">
      <c r="U80" s="8"/>
    </row>
    <row r="81" spans="21:21">
      <c r="U81" s="8"/>
    </row>
    <row r="82" spans="21:21">
      <c r="U82" s="8"/>
    </row>
    <row r="83" spans="21:21">
      <c r="U83" s="8"/>
    </row>
    <row r="84" spans="21:21">
      <c r="U84" s="8"/>
    </row>
    <row r="85" spans="21:21">
      <c r="U85" s="8"/>
    </row>
    <row r="86" spans="21:21">
      <c r="U86" s="8"/>
    </row>
    <row r="87" spans="21:21">
      <c r="U87" s="8"/>
    </row>
    <row r="88" spans="21:21">
      <c r="U88" s="8"/>
    </row>
    <row r="89" spans="21:21">
      <c r="U89" s="8"/>
    </row>
    <row r="90" spans="21:21">
      <c r="U90" s="8"/>
    </row>
    <row r="91" spans="21:21">
      <c r="U91" s="8"/>
    </row>
    <row r="92" spans="21:21">
      <c r="U92" s="8"/>
    </row>
    <row r="93" spans="21:21">
      <c r="U93" s="8"/>
    </row>
  </sheetData>
  <phoneticPr fontId="2" type="noConversion"/>
  <pageMargins left="0.42" right="0.2" top="0.36" bottom="0.43" header="0.5" footer="0.5"/>
  <pageSetup paperSize="9" scale="41" orientation="landscape" verticalDpi="18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899">
    <pageSetUpPr fitToPage="1"/>
  </sheetPr>
  <dimension ref="A1:CU223"/>
  <sheetViews>
    <sheetView view="pageBreakPreview" topLeftCell="A5" zoomScale="70" zoomScaleNormal="100" zoomScaleSheetLayoutView="70" workbookViewId="0">
      <selection activeCell="I25" sqref="I25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185" t="s" ph="1">
        <v>161</v>
      </c>
      <c r="C1" s="185" ph="1"/>
      <c r="D1" s="185" ph="1"/>
      <c r="E1" s="185" ph="1"/>
      <c r="F1" s="185" ph="1"/>
      <c r="G1" s="185" ph="1"/>
      <c r="H1" s="185" ph="1"/>
      <c r="I1" s="185" ph="1"/>
      <c r="J1" s="185" ph="1"/>
      <c r="K1" s="185" ph="1"/>
      <c r="L1" s="185" ph="1"/>
      <c r="M1" s="185" ph="1"/>
      <c r="N1" s="185" ph="1"/>
      <c r="O1" s="185" ph="1"/>
      <c r="P1" s="185" ph="1"/>
      <c r="Q1" s="185" ph="1"/>
      <c r="R1" s="185" ph="1"/>
      <c r="S1" s="185" ph="1"/>
      <c r="T1" s="185" ph="1"/>
      <c r="U1" s="185" ph="1"/>
      <c r="V1" s="185" ph="1"/>
      <c r="W1" s="185" ph="1"/>
      <c r="X1" s="185" ph="1"/>
      <c r="Y1" s="185" ph="1"/>
      <c r="Z1" s="185" ph="1"/>
      <c r="AA1" s="185" ph="1"/>
      <c r="AB1" s="185" ph="1"/>
      <c r="AC1" s="185" ph="1"/>
      <c r="AD1" s="185" ph="1"/>
      <c r="AE1" s="185" ph="1"/>
    </row>
    <row r="2" spans="1:99" s="66" customFormat="1" ht="24" customHeight="1" ph="1">
      <c r="B2" s="186" t="s" ph="1">
        <v>82</v>
      </c>
      <c r="C2" s="186" ph="1"/>
      <c r="D2" s="186" ph="1"/>
      <c r="E2" s="186" ph="1"/>
      <c r="F2" s="186" ph="1"/>
      <c r="G2" s="186" ph="1"/>
      <c r="H2" s="186" ph="1"/>
      <c r="I2" s="186" ph="1"/>
      <c r="J2" s="186" ph="1"/>
      <c r="K2" s="186" ph="1"/>
      <c r="L2" s="186" ph="1"/>
      <c r="M2" s="186" ph="1"/>
      <c r="N2" s="186" ph="1"/>
      <c r="O2" s="186" ph="1"/>
      <c r="P2" s="186" ph="1"/>
      <c r="Q2" s="186" ph="1"/>
      <c r="R2" s="186" ph="1"/>
      <c r="S2" s="186" ph="1"/>
      <c r="T2" s="186" ph="1"/>
      <c r="U2" s="186" ph="1"/>
      <c r="V2" s="186" ph="1"/>
      <c r="W2" s="186" ph="1"/>
      <c r="X2" s="186" ph="1"/>
      <c r="Y2" s="186" ph="1"/>
      <c r="Z2" s="186" ph="1"/>
      <c r="AA2" s="186" ph="1"/>
      <c r="AB2" s="186" ph="1"/>
      <c r="AC2" s="186" ph="1"/>
      <c r="AD2" s="186" ph="1"/>
      <c r="AE2" s="186" ph="1"/>
    </row>
    <row r="3" spans="1:99" ht="21" customHeight="1" ph="1">
      <c r="B3" s="187" ph="1">
        <v>46171</v>
      </c>
      <c r="C3" s="187"/>
      <c r="D3" s="187"/>
      <c r="E3" s="187"/>
      <c r="F3" s="187"/>
      <c r="G3" s="187"/>
      <c r="H3" s="187"/>
      <c r="I3" s="187"/>
      <c r="J3" s="187"/>
      <c r="K3" s="187"/>
      <c r="L3" s="187"/>
      <c r="M3" s="187"/>
      <c r="N3" s="187"/>
      <c r="O3" s="187"/>
      <c r="P3" s="187"/>
      <c r="Q3" s="187"/>
      <c r="R3" s="187"/>
      <c r="S3" s="187"/>
      <c r="T3" s="187"/>
      <c r="U3" s="187"/>
      <c r="V3" s="187"/>
      <c r="W3" s="187"/>
      <c r="X3" s="187"/>
      <c r="Y3" s="187"/>
      <c r="Z3" s="187"/>
      <c r="AA3" s="187"/>
      <c r="AB3" s="187"/>
      <c r="AC3" s="187"/>
      <c r="AD3" s="187"/>
      <c r="AE3" s="187"/>
    </row>
    <row r="4" spans="1:99" s="69" customFormat="1" ph="1">
      <c r="A4" s="65" ph="1"/>
      <c r="B4" s="188" t="s" ph="1">
        <v>37</v>
      </c>
      <c r="C4" s="67" t="s" ph="1">
        <v>176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110</v>
      </c>
      <c r="J4" s="68" t="s" ph="1">
        <v>48</v>
      </c>
      <c r="K4" s="68" t="s" ph="1">
        <v>111</v>
      </c>
      <c r="L4" s="68" t="s" ph="1">
        <v>112</v>
      </c>
      <c r="M4" s="68" t="s" ph="1">
        <v>49</v>
      </c>
      <c r="N4" s="68" t="s" ph="1">
        <v>50</v>
      </c>
      <c r="O4" s="68" t="s" ph="1">
        <v>113</v>
      </c>
      <c r="P4" s="68" t="s" ph="1">
        <v>114</v>
      </c>
      <c r="Q4" s="68" t="s" ph="1">
        <v>115</v>
      </c>
      <c r="R4" s="68" t="s" ph="1">
        <v>116</v>
      </c>
      <c r="S4" s="68" t="s" ph="1">
        <v>117</v>
      </c>
      <c r="T4" s="68" t="s" ph="1">
        <v>118</v>
      </c>
      <c r="U4" s="68" t="s" ph="1">
        <v>119</v>
      </c>
      <c r="V4" s="68" t="s" ph="1">
        <v>120</v>
      </c>
      <c r="W4" s="68" t="s" ph="1">
        <v>121</v>
      </c>
      <c r="X4" s="68" t="s" ph="1">
        <v>122</v>
      </c>
      <c r="Y4" s="68" t="s" ph="1">
        <v>123</v>
      </c>
      <c r="Z4" s="68" t="s" ph="1">
        <v>51</v>
      </c>
      <c r="AA4" s="68" t="s" ph="1">
        <v>124</v>
      </c>
      <c r="AB4" s="68" t="s" ph="1">
        <v>125</v>
      </c>
      <c r="AC4" s="68" t="s" ph="1">
        <v>126</v>
      </c>
      <c r="AD4" s="68" t="s" ph="1">
        <v>40</v>
      </c>
      <c r="AE4" s="68" t="s" ph="1">
        <v>127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188" ph="1"/>
      <c r="C5" s="67" t="s" ph="1">
        <v>36</v>
      </c>
      <c r="D5" s="70" t="s" ph="1">
        <v>160</v>
      </c>
      <c r="E5" s="142" t="s" ph="1">
        <v>7</v>
      </c>
      <c r="F5" s="142" t="s" ph="1">
        <v>1</v>
      </c>
      <c r="G5" s="142" t="s" ph="1">
        <v>7</v>
      </c>
      <c r="H5" s="142" t="s" ph="1">
        <v>7</v>
      </c>
      <c r="I5" s="141" t="s" ph="1">
        <v>608</v>
      </c>
      <c r="J5" s="141" t="s" ph="1">
        <v>609</v>
      </c>
      <c r="K5" s="141" t="s" ph="1">
        <v>611</v>
      </c>
      <c r="L5" s="141" t="s" ph="1">
        <v>613</v>
      </c>
      <c r="M5" s="141" t="s" ph="1">
        <v>608</v>
      </c>
      <c r="N5" s="70" t="s" ph="1">
        <v>609</v>
      </c>
      <c r="O5" s="70" t="s" ph="1">
        <v>611</v>
      </c>
      <c r="P5" s="70" t="s" ph="1">
        <v>613</v>
      </c>
      <c r="Q5" s="70" t="s" ph="1">
        <v>607</v>
      </c>
      <c r="R5" s="70" t="s" ph="1">
        <v>607</v>
      </c>
      <c r="S5" s="70" t="s" ph="1">
        <v>607</v>
      </c>
      <c r="T5" s="70" t="s" ph="1">
        <v>607</v>
      </c>
      <c r="U5" s="70" t="s" ph="1">
        <v>607</v>
      </c>
      <c r="V5" s="70" t="s" ph="1">
        <v>607</v>
      </c>
      <c r="W5" s="70" t="s" ph="1">
        <v>607</v>
      </c>
      <c r="X5" s="70" t="s" ph="1">
        <v>607</v>
      </c>
      <c r="Y5" s="70" t="s" ph="1">
        <v>607</v>
      </c>
      <c r="Z5" s="70" t="s" ph="1">
        <v>614</v>
      </c>
      <c r="AA5" s="70" t="s" ph="1">
        <v>54</v>
      </c>
      <c r="AB5" s="70" t="s" ph="1">
        <v>54</v>
      </c>
      <c r="AC5" s="70" t="s" ph="1">
        <v>615</v>
      </c>
      <c r="AD5" s="71" t="s">
        <v>72</v>
      </c>
      <c r="AE5" s="71" t="s">
        <v>635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184" ph="1">
        <v>0.33333333333333331</v>
      </c>
      <c r="C6" s="145" t="s" ph="1">
        <v>177</v>
      </c>
      <c r="D6" s="71">
        <v>2120</v>
      </c>
      <c r="E6" s="71">
        <v>7829</v>
      </c>
      <c r="F6" s="71">
        <v>5847</v>
      </c>
      <c r="G6" s="71">
        <v>1665</v>
      </c>
      <c r="H6" s="71">
        <v>1190</v>
      </c>
      <c r="I6" s="71">
        <v>52.43</v>
      </c>
      <c r="J6" s="71">
        <v>6.27</v>
      </c>
      <c r="K6" s="71">
        <v>7.52</v>
      </c>
      <c r="L6" s="71">
        <v>6.95</v>
      </c>
      <c r="M6" s="71">
        <v>6399</v>
      </c>
      <c r="N6" s="71">
        <v>1347</v>
      </c>
      <c r="O6" s="71">
        <v>5121</v>
      </c>
      <c r="P6" s="71">
        <v>1923</v>
      </c>
      <c r="Q6" s="71">
        <v>0</v>
      </c>
      <c r="R6" s="71">
        <v>4330</v>
      </c>
      <c r="S6" s="71">
        <v>5792</v>
      </c>
      <c r="T6" s="71">
        <v>7070</v>
      </c>
      <c r="U6" s="71">
        <v>5328</v>
      </c>
      <c r="V6" s="71">
        <v>0</v>
      </c>
      <c r="W6" s="71">
        <v>0</v>
      </c>
      <c r="X6" s="71">
        <v>0</v>
      </c>
      <c r="Y6" s="71">
        <v>0</v>
      </c>
      <c r="Z6" s="71">
        <v>3107</v>
      </c>
      <c r="AA6" s="71">
        <v>0</v>
      </c>
      <c r="AB6" s="71">
        <v>3705</v>
      </c>
      <c r="AC6" s="71">
        <v>4963</v>
      </c>
      <c r="AD6" s="71">
        <v>3909</v>
      </c>
      <c r="AE6" s="71">
        <v>5167</v>
      </c>
    </row>
    <row r="7" spans="1:99" s="72" customFormat="1" ht="22.2" ph="1">
      <c r="B7" s="184" ph="1"/>
      <c r="C7" s="68" t="s" ph="1">
        <v>178</v>
      </c>
      <c r="D7" s="73" ph="1">
        <f>D6*33.183*LOOKUP(D8,密度!$A$2:$A$50,密度!$Q$2:$Q$50)</f>
        <v>66501.333547200004</v>
      </c>
      <c r="E7" s="73" ph="1">
        <f>E6*51.53*LOOKUP(E8,密度!$A$2:$A$50,密度!$B$2:$B$50)</f>
        <v>313826.929023</v>
      </c>
      <c r="F7" s="73" ph="1">
        <f>F6*33.183*LOOKUP(F8,密度!$A$2:$A$50,密度!$C$2:$C$50)</f>
        <v>214858.85650739996</v>
      </c>
      <c r="G7" s="73" ph="1">
        <f xml:space="preserve"> (G6+2)*51.53*LOOKUP(G8,密度!$A$2:$A$50,密度!$B$2:$B$50)</f>
        <v>66968.037595999995</v>
      </c>
      <c r="H7" s="73" ph="1">
        <f>(H6)*51.53*LOOKUP(H8,密度!$A$2:$A$50,密度!$B$2:$B$50)</f>
        <v>47805.617720000002</v>
      </c>
      <c r="I7" s="73" ph="1">
        <f>I6*290.8*1.0267</f>
        <v>15653.729394799999</v>
      </c>
      <c r="J7" s="73" ph="1">
        <f>J6*290.8*0.7892</f>
        <v>1438.9609872000001</v>
      </c>
      <c r="K7" s="73" ph="1">
        <f>K6*290.8*1.1126</f>
        <v>2433.0514816</v>
      </c>
      <c r="L7" s="73" ph="1">
        <f>L6*290.8*0.777</f>
        <v>1570.3636200000001</v>
      </c>
      <c r="M7" s="73" ph="1">
        <f>M6*33.183*LOOKUP(M8,密度!$A$2:$A$50,密度!$D$2:$D$50)</f>
        <v>217200.55758929998</v>
      </c>
      <c r="N7" s="73" ph="1">
        <f>N6*33.183*LOOKUP(N8,密度!$A$2:$A$50,密度!$E$2:$E$50)</f>
        <v>34756.776777599996</v>
      </c>
      <c r="O7" s="73" ph="1">
        <f>O6*20.428*LOOKUP(O8,密度!$A$2:$A$50,密度!$C$2:$C$50)</f>
        <v>115386.80216399999</v>
      </c>
      <c r="P7" s="73" ph="1">
        <f>P6*51.53*LOOKUP(P8,密度!$A$2:$A$50,密度!$B$2:$B$50)</f>
        <v>76915.357877999995</v>
      </c>
      <c r="Q7" s="73" ph="1">
        <f>Q6*1.5*1.5*3.1416*LOOKUP(W8,密度!$A$2:$A$50,密度!$L$2:$L$50)</f>
        <v>0</v>
      </c>
      <c r="R7" s="73" ph="1">
        <f>R6*1.5*1.5*3.1416*LOOKUP(R8,密度!$A$2:$A$50,密度!$L$2:$L$50)</f>
        <v>28433.938302000002</v>
      </c>
      <c r="S7" s="73" ph="1">
        <f>S6*1.5*1.5*3.1416*LOOKUP(S8,密度!$A$2:$A$50,密度!$L$2:$L$50)</f>
        <v>38402.968665599998</v>
      </c>
      <c r="T7" s="73" ph="1">
        <f>T6*1.5*1.5*3.1416*LOOKUP(T8,密度!$A$2:$A$50,密度!$L$2:$L$50)</f>
        <v>46926.526877999997</v>
      </c>
      <c r="U7" s="73" ph="1">
        <f>U6*1.5*1.5*3.1416*LOOKUP(U8,密度!$A$2:$A$50,密度!$L$2:$L$50)</f>
        <v>35213.503248000001</v>
      </c>
      <c r="V7" s="73" ph="1">
        <f>V6*1.5*1.5*3.1416*LOOKUP(V8,密度!$A$2:$A$50,密度!$L$2:$L$50)</f>
        <v>0</v>
      </c>
      <c r="W7" s="73" ph="1">
        <f>W6*1.5*1.5*3.1416*LOOKUP(W8,密度!$A$2:$A$50,密度!$L$2:$L$50)</f>
        <v>0</v>
      </c>
      <c r="X7" s="73" ph="1">
        <f>X6*1.5*1.5*3.1416*LOOKUP(X8,密度!$A$2:$A$50,密度!$L$2:$L$50)</f>
        <v>0</v>
      </c>
      <c r="Y7" s="73" ph="1">
        <f>Y6*1.5*1.5*3.1416*LOOKUP(Y8,密度!$A$2:$A$50,密度!$L$2:$L$50)</f>
        <v>0</v>
      </c>
      <c r="Z7" s="73" ph="1">
        <f>Z6*33.183*LOOKUP(Z8,密度!$A$2:$A$50,密度!$L$2:$L$50)</f>
        <v>96501.207816000009</v>
      </c>
      <c r="AA7" s="73" ph="1">
        <f>AA6*33.183*LOOKUP(AA8,密度!$A$2:$A$50,密度!$D$2:$D$50)</f>
        <v>0</v>
      </c>
      <c r="AB7" s="73" ph="1">
        <f>AB6*20.428*LOOKUP(AB8,密度!$A$2:$A$50,密度!$D$2:$D$50)</f>
        <v>77918.469330000007</v>
      </c>
      <c r="AC7" s="73" ph="1">
        <f>AC6*51.53*LOOKUP(AC8,密度!$A$2:$A$50,密度!$Q$2:$Q$50)</f>
        <v>241250.41208870002</v>
      </c>
      <c r="AD7" s="73" ph="1">
        <f>AD6*20.428*LOOKUP(AD8,密度!$A$2:$A$50,密度!$V$2:$V$50)</f>
        <v>76467.282595199998</v>
      </c>
      <c r="AE7" s="73" ph="1">
        <f>AE6*20.428</f>
        <v>105551.47600000001</v>
      </c>
    </row>
    <row r="8" spans="1:99" ph="1">
      <c r="B8" s="184" ph="1"/>
      <c r="C8" s="68" t="s" ph="1">
        <v>179</v>
      </c>
      <c r="D8" s="74">
        <v>27</v>
      </c>
      <c r="E8" s="74">
        <v>27</v>
      </c>
      <c r="F8" s="74">
        <v>27</v>
      </c>
      <c r="G8" s="74">
        <v>25</v>
      </c>
      <c r="H8" s="74">
        <v>25</v>
      </c>
      <c r="I8" s="74">
        <v>25</v>
      </c>
      <c r="J8" s="74">
        <v>25</v>
      </c>
      <c r="K8" s="74">
        <v>25</v>
      </c>
      <c r="L8" s="74">
        <v>25</v>
      </c>
      <c r="M8" s="74">
        <v>29</v>
      </c>
      <c r="N8" s="74">
        <v>30</v>
      </c>
      <c r="O8" s="74">
        <v>32</v>
      </c>
      <c r="P8" s="74">
        <v>29</v>
      </c>
      <c r="Q8" s="74">
        <v>29</v>
      </c>
      <c r="R8" s="74">
        <v>33</v>
      </c>
      <c r="S8" s="74">
        <v>24</v>
      </c>
      <c r="T8" s="74">
        <v>23</v>
      </c>
      <c r="U8" s="74">
        <v>27</v>
      </c>
      <c r="V8" s="74">
        <v>28</v>
      </c>
      <c r="W8" s="74">
        <v>27</v>
      </c>
      <c r="X8" s="74">
        <v>29</v>
      </c>
      <c r="Y8" s="74">
        <v>26</v>
      </c>
      <c r="Z8" s="74">
        <v>26</v>
      </c>
      <c r="AA8" s="74">
        <v>32</v>
      </c>
      <c r="AB8" s="74">
        <v>22</v>
      </c>
      <c r="AC8" s="74">
        <v>30</v>
      </c>
      <c r="AD8" s="74">
        <v>31</v>
      </c>
      <c r="AE8" s="74">
        <v>28</v>
      </c>
    </row>
    <row r="9" spans="1:99" ht="26.4" ph="1">
      <c r="B9" s="184" ph="1">
        <v>0.66666666666666663</v>
      </c>
      <c r="C9" s="145" t="s" ph="1">
        <v>180</v>
      </c>
      <c r="D9" s="71">
        <v>1418</v>
      </c>
      <c r="E9" s="71">
        <v>7829</v>
      </c>
      <c r="F9" s="71">
        <v>5848</v>
      </c>
      <c r="G9" s="71">
        <v>1665</v>
      </c>
      <c r="H9" s="71">
        <v>1196</v>
      </c>
      <c r="I9" s="71">
        <v>52.43</v>
      </c>
      <c r="J9" s="71">
        <v>6.26</v>
      </c>
      <c r="K9" s="71">
        <v>8.15</v>
      </c>
      <c r="L9" s="71">
        <v>68</v>
      </c>
      <c r="M9" s="71">
        <v>6400</v>
      </c>
      <c r="N9" s="71">
        <v>1344</v>
      </c>
      <c r="O9" s="71">
        <v>5122</v>
      </c>
      <c r="P9" s="71">
        <v>1916</v>
      </c>
      <c r="Q9" s="71">
        <v>0</v>
      </c>
      <c r="R9" s="71">
        <v>0</v>
      </c>
      <c r="S9" s="71">
        <v>5401</v>
      </c>
      <c r="T9" s="71">
        <v>7076</v>
      </c>
      <c r="U9" s="71">
        <v>7020</v>
      </c>
      <c r="V9" s="71">
        <v>3789</v>
      </c>
      <c r="W9" s="71">
        <v>0</v>
      </c>
      <c r="X9" s="71">
        <v>0</v>
      </c>
      <c r="Y9" s="71">
        <v>0</v>
      </c>
      <c r="Z9" s="71">
        <v>4160</v>
      </c>
      <c r="AA9" s="71">
        <v>0</v>
      </c>
      <c r="AB9" s="71">
        <v>3706</v>
      </c>
      <c r="AC9" s="71">
        <v>5240</v>
      </c>
      <c r="AD9" s="71">
        <v>3908</v>
      </c>
      <c r="AE9" s="71">
        <v>5067</v>
      </c>
    </row>
    <row r="10" spans="1:99" s="72" customFormat="1" ht="22.2" ph="1">
      <c r="B10" s="184" ph="1"/>
      <c r="C10" s="145" t="s" ph="1">
        <v>178</v>
      </c>
      <c r="D10" s="73" ph="1">
        <f>D9*33.183*LOOKUP(D11,密度!$A$2:$A$50,密度!$Q$2:$Q$50)</f>
        <v>44386.972495019996</v>
      </c>
      <c r="E10" s="73" ph="1">
        <f>E9*51.53*LOOKUP(E11,密度!$A$2:$A$50,密度!$B$2:$B$50)</f>
        <v>312778.01526099996</v>
      </c>
      <c r="F10" s="73" ph="1">
        <f>F9*33.183*LOOKUP(F11,密度!$A$2:$A$50,密度!$C$2:$C$50)</f>
        <v>214604.52208560004</v>
      </c>
      <c r="G10" s="73" ph="1">
        <f xml:space="preserve"> (G9+2)*51.53*LOOKUP(G11,密度!$A$2:$A$50,密度!$B$2:$B$50)</f>
        <v>66744.69627</v>
      </c>
      <c r="H10" s="73" ph="1">
        <f>(H9)*51.53*LOOKUP(H11,密度!$A$2:$A$50,密度!$B$2:$B$50)</f>
        <v>47886.416760000007</v>
      </c>
      <c r="I10" s="73" ph="1">
        <f>I9*290.8*1.0267</f>
        <v>15653.729394799999</v>
      </c>
      <c r="J10" s="73" ph="1">
        <f>J9*290.8*0.7892</f>
        <v>1436.6659935999999</v>
      </c>
      <c r="K10" s="73" ph="1">
        <f>K9*290.8*1.1126</f>
        <v>2636.8842519999998</v>
      </c>
      <c r="L10" s="73" ph="1">
        <f>L9*290.8*0.777</f>
        <v>15364.708800000002</v>
      </c>
      <c r="M10" s="73" ph="1">
        <f>M9*33.183*LOOKUP(M11,密度!$A$2:$A$50,密度!$D$2:$D$50)</f>
        <v>217043.36640000003</v>
      </c>
      <c r="N10" s="73" ph="1">
        <f>N9*33.183*LOOKUP(N11,密度!$A$2:$A$50,密度!$E$2:$E$50)</f>
        <v>34577.684144639999</v>
      </c>
      <c r="O10" s="73" ph="1">
        <f>O9*20.428*LOOKUP(O11,密度!$A$2:$A$50,密度!$C$2:$C$50)</f>
        <v>114969.8789408</v>
      </c>
      <c r="P10" s="73" ph="1">
        <f>P9*51.53*LOOKUP(P11,密度!$A$2:$A$50,密度!$B$2:$B$50)</f>
        <v>76546.516443999993</v>
      </c>
      <c r="Q10" s="73" ph="1">
        <f>Q9*1.5*1.5*3.1416*LOOKUP(W11,密度!$A$2:$A$50,密度!$L$2:$L$50)</f>
        <v>0</v>
      </c>
      <c r="R10" s="73" ph="1">
        <f>R9*1.5*1.5*3.1416*LOOKUP(R11,密度!$A$2:$A$50,密度!$L$2:$L$50)</f>
        <v>0</v>
      </c>
      <c r="S10" s="73" ph="1">
        <f>S9*1.5*1.5*3.1416*LOOKUP(S11,密度!$A$2:$A$50,密度!$L$2:$L$50)</f>
        <v>35772.325558200006</v>
      </c>
      <c r="T10" s="73" ph="1">
        <f>T9*1.5*1.5*3.1416*LOOKUP(T11,密度!$A$2:$A$50,密度!$L$2:$L$50)</f>
        <v>46866.316543200002</v>
      </c>
      <c r="U10" s="73" ph="1">
        <f>U9*1.5*1.5*3.1416*LOOKUP(U11,密度!$A$2:$A$50,密度!$L$2:$L$50)</f>
        <v>46396.169820000003</v>
      </c>
      <c r="V10" s="73" ph="1">
        <f>V9*1.5*1.5*3.1416*LOOKUP(V11,密度!$A$2:$A$50,密度!$L$2:$L$50)</f>
        <v>25015.252323600002</v>
      </c>
      <c r="W10" s="73" ph="1">
        <f>W9*1.5*1.5*3.1416*LOOKUP(W11,密度!$A$2:$A$50,密度!$L$2:$L$50)</f>
        <v>0</v>
      </c>
      <c r="X10" s="73" ph="1">
        <f>X9*1.5*1.5*3.1416*LOOKUP(X11,密度!$A$2:$A$50,密度!$L$2:$L$50)</f>
        <v>0</v>
      </c>
      <c r="Y10" s="73" ph="1">
        <f>Y9*1.5*1.5*3.1416*LOOKUP(Y11,密度!$A$2:$A$50,密度!$L$2:$L$50)</f>
        <v>0</v>
      </c>
      <c r="Z10" s="73" ph="1">
        <f>Z9*33.183*LOOKUP(Z11,密度!$A$2:$A$50,密度!$L$2:$L$50)</f>
        <v>128240.34912</v>
      </c>
      <c r="AA10" s="73" ph="1">
        <f>AA9*33.183*LOOKUP(AA11,密度!$A$2:$A$50,密度!$D$2:$D$50)</f>
        <v>0</v>
      </c>
      <c r="AB10" s="73" ph="1">
        <f>AB9*20.428*LOOKUP(AB11,密度!$A$2:$A$50,密度!$D$2:$D$50)</f>
        <v>77795.658236800009</v>
      </c>
      <c r="AC10" s="73" ph="1">
        <f>AC9*51.53*LOOKUP(AC11,密度!$A$2:$A$50,密度!$Q$2:$Q$50)</f>
        <v>254715.32527600002</v>
      </c>
      <c r="AD10" s="73" ph="1">
        <f>AD9*20.428*LOOKUP(AD11,密度!$A$2:$A$50,密度!$V$2:$V$50)</f>
        <v>76447.720742399993</v>
      </c>
      <c r="AE10" s="73" ph="1">
        <f>AE9*20.428</f>
        <v>103508.67600000001</v>
      </c>
    </row>
    <row r="11" spans="1:99" ph="1">
      <c r="A11" s="64" t="s" ph="1">
        <v>162</v>
      </c>
      <c r="B11" s="184" ph="1"/>
      <c r="C11" s="145" t="s" ph="1">
        <v>179</v>
      </c>
      <c r="D11" s="74">
        <v>30</v>
      </c>
      <c r="E11" s="74">
        <v>30</v>
      </c>
      <c r="F11" s="74">
        <v>29</v>
      </c>
      <c r="G11" s="74">
        <v>28</v>
      </c>
      <c r="H11" s="74">
        <v>28</v>
      </c>
      <c r="I11" s="74">
        <v>25</v>
      </c>
      <c r="J11" s="74">
        <v>25</v>
      </c>
      <c r="K11" s="74">
        <v>25</v>
      </c>
      <c r="L11" s="74">
        <v>25</v>
      </c>
      <c r="M11" s="74">
        <v>30</v>
      </c>
      <c r="N11" s="74">
        <v>32</v>
      </c>
      <c r="O11" s="74">
        <v>36</v>
      </c>
      <c r="P11" s="74">
        <v>30</v>
      </c>
      <c r="Q11" s="74">
        <v>39</v>
      </c>
      <c r="R11" s="74">
        <v>37</v>
      </c>
      <c r="S11" s="74">
        <v>25</v>
      </c>
      <c r="T11" s="74">
        <v>25</v>
      </c>
      <c r="U11" s="74">
        <v>27</v>
      </c>
      <c r="V11" s="74">
        <v>28</v>
      </c>
      <c r="W11" s="74">
        <v>29</v>
      </c>
      <c r="X11" s="74">
        <v>25</v>
      </c>
      <c r="Y11" s="74">
        <v>30</v>
      </c>
      <c r="Z11" s="74">
        <v>33</v>
      </c>
      <c r="AA11" s="74">
        <v>45</v>
      </c>
      <c r="AB11" s="74">
        <v>24</v>
      </c>
      <c r="AC11" s="74">
        <v>30</v>
      </c>
      <c r="AD11" s="74">
        <v>36</v>
      </c>
      <c r="AE11" s="74">
        <v>30</v>
      </c>
    </row>
    <row r="12" spans="1:99" ht="9.9" customHeight="1" ph="1"/>
    <row r="13" spans="1:99" s="72" customFormat="1" ht="29.25" customHeight="1" ph="1">
      <c r="B13" s="192" t="s" ph="1">
        <v>37</v>
      </c>
      <c r="C13" s="145" t="s" ph="1">
        <v>176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128</v>
      </c>
      <c r="I13" s="76" t="s" ph="1">
        <v>59</v>
      </c>
      <c r="J13" s="76" t="s" ph="1">
        <v>129</v>
      </c>
      <c r="K13" s="76" t="s" ph="1">
        <v>55</v>
      </c>
      <c r="L13" s="76" t="s" ph="1">
        <v>60</v>
      </c>
      <c r="M13" s="76" t="s" ph="1">
        <v>61</v>
      </c>
      <c r="N13" s="76" t="s" ph="1">
        <v>130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131</v>
      </c>
      <c r="W13" s="76" t="s" ph="1">
        <v>132</v>
      </c>
      <c r="X13" s="76" t="s" ph="1">
        <v>133</v>
      </c>
      <c r="Y13" s="105" t="s" ph="1">
        <v>68</v>
      </c>
      <c r="Z13" s="76" t="s" ph="1">
        <v>74</v>
      </c>
      <c r="AA13" s="76" t="s" ph="1">
        <v>134</v>
      </c>
      <c r="AB13" s="76" t="s" ph="1">
        <v>135</v>
      </c>
      <c r="AC13" s="76" t="s" ph="1">
        <v>136</v>
      </c>
      <c r="AD13" s="76" t="s" ph="1">
        <v>137</v>
      </c>
      <c r="AE13" s="76" t="s" ph="1">
        <v>138</v>
      </c>
      <c r="AG13" s="72" t="s" ph="1">
        <v>325</v>
      </c>
      <c r="AH13" s="72" t="s" ph="1">
        <v>188</v>
      </c>
      <c r="AI13" s="72" t="s" ph="1">
        <v>189</v>
      </c>
      <c r="AJ13" s="72" t="s" ph="1">
        <v>190</v>
      </c>
      <c r="AK13" s="72" t="s" ph="1">
        <v>191</v>
      </c>
      <c r="AL13" s="72" t="s" ph="1">
        <v>192</v>
      </c>
      <c r="AM13" s="72" t="s" ph="1">
        <v>193</v>
      </c>
      <c r="AN13" s="72" t="s" ph="1">
        <v>194</v>
      </c>
      <c r="AO13" s="72" t="s" ph="1">
        <v>195</v>
      </c>
      <c r="AP13" s="72" t="s" ph="1">
        <v>196</v>
      </c>
      <c r="AQ13" s="72" t="s" ph="1">
        <v>197</v>
      </c>
      <c r="AR13" s="72" t="s" ph="1">
        <v>198</v>
      </c>
      <c r="AS13" s="72" t="s" ph="1">
        <v>199</v>
      </c>
      <c r="AT13" s="72" t="s" ph="1">
        <v>200</v>
      </c>
      <c r="AU13" s="72" t="s" ph="1">
        <v>201</v>
      </c>
      <c r="AV13" s="72" t="s" ph="1">
        <v>202</v>
      </c>
      <c r="AW13" s="72" t="s" ph="1">
        <v>203</v>
      </c>
      <c r="AX13" s="72" t="s" ph="1">
        <v>204</v>
      </c>
      <c r="AY13" s="72" t="s" ph="1">
        <v>326</v>
      </c>
      <c r="AZ13" s="72" t="s" ph="1">
        <v>205</v>
      </c>
      <c r="BA13" s="72" t="s" ph="1">
        <v>206</v>
      </c>
      <c r="BB13" s="72" t="s" ph="1">
        <v>591</v>
      </c>
      <c r="BC13" s="72" t="s" ph="1">
        <v>207</v>
      </c>
      <c r="BD13" s="72" t="s" ph="1">
        <v>327</v>
      </c>
      <c r="BE13" s="72" t="s" ph="1">
        <v>328</v>
      </c>
      <c r="BF13" s="72" t="s" ph="1">
        <v>329</v>
      </c>
      <c r="BG13" s="72" t="s" ph="1">
        <v>330</v>
      </c>
      <c r="BH13" s="72" t="s" ph="1">
        <v>331</v>
      </c>
    </row>
    <row r="14" spans="1:99" s="72" customFormat="1" ht="24" ph="1">
      <c r="B14" s="193" ph="1"/>
      <c r="C14" s="67" t="s" ph="1">
        <v>36</v>
      </c>
      <c r="D14" s="77" t="s" ph="1">
        <v>616</v>
      </c>
      <c r="E14" s="77" t="s" ph="1">
        <v>616</v>
      </c>
      <c r="F14" s="144" t="s" ph="1">
        <v>636</v>
      </c>
      <c r="G14" s="77" t="s" ph="1">
        <v>617</v>
      </c>
      <c r="H14" s="77" t="s" ph="1">
        <v>637</v>
      </c>
      <c r="I14" s="138" t="s" ph="1">
        <v>618</v>
      </c>
      <c r="J14" s="77" t="s" ph="1">
        <v>619</v>
      </c>
      <c r="K14" s="77" t="s" ph="1">
        <v>186</v>
      </c>
      <c r="L14" s="77" t="s" ph="1">
        <v>41</v>
      </c>
      <c r="M14" s="104" t="s" ph="1">
        <v>620</v>
      </c>
      <c r="N14" s="104" t="s" ph="1">
        <v>621</v>
      </c>
      <c r="O14" s="104" t="s" ph="1">
        <v>619</v>
      </c>
      <c r="P14" s="77" t="s" ph="1">
        <v>622</v>
      </c>
      <c r="Q14" s="77" t="s" ph="1">
        <v>622</v>
      </c>
      <c r="R14" s="88" t="s" ph="1">
        <v>7</v>
      </c>
      <c r="S14" s="77" t="s" ph="1">
        <v>71</v>
      </c>
      <c r="T14" s="77" t="s" ph="1">
        <v>624</v>
      </c>
      <c r="U14" s="77" t="s" ph="1">
        <v>605</v>
      </c>
      <c r="V14" s="77" t="s" ph="1">
        <v>633</v>
      </c>
      <c r="W14" s="77" t="s" ph="1">
        <v>622</v>
      </c>
      <c r="X14" s="77" t="s" ph="1">
        <v>625</v>
      </c>
      <c r="Y14" s="143" t="s" ph="1">
        <v>0</v>
      </c>
      <c r="Z14" s="77" t="s" ph="1">
        <v>54</v>
      </c>
      <c r="AA14" s="77" t="s" ph="1">
        <v>613</v>
      </c>
      <c r="AB14" s="77" t="s" ph="1">
        <v>632</v>
      </c>
      <c r="AC14" s="77" t="s" ph="1">
        <v>632</v>
      </c>
      <c r="AD14" s="77" t="s" ph="1">
        <v>612</v>
      </c>
      <c r="AE14" s="77" t="s" ph="1">
        <v>612</v>
      </c>
      <c r="AG14" s="72" t="s" ph="1">
        <v>208</v>
      </c>
      <c r="AI14" s="72" t="s" ph="1">
        <v>209</v>
      </c>
      <c r="AJ14" s="72" t="s" ph="1">
        <v>332</v>
      </c>
      <c r="AK14" s="72" t="s" ph="1">
        <v>210</v>
      </c>
      <c r="AM14" s="72" t="s" ph="1">
        <v>212</v>
      </c>
      <c r="AN14" s="72" t="s" ph="1">
        <v>210</v>
      </c>
      <c r="AO14" s="72" t="s" ph="1">
        <v>211</v>
      </c>
      <c r="AP14" s="72" t="s" ph="1">
        <v>212</v>
      </c>
      <c r="AQ14" s="72" t="s" ph="1">
        <v>210</v>
      </c>
      <c r="AR14" s="72" t="s" ph="1">
        <v>211</v>
      </c>
      <c r="AS14" s="72" t="s" ph="1">
        <v>212</v>
      </c>
      <c r="AT14" s="72" t="s" ph="1">
        <v>210</v>
      </c>
      <c r="AU14" s="72" t="s" ph="1">
        <v>211</v>
      </c>
      <c r="AV14" s="72" t="s" ph="1">
        <v>212</v>
      </c>
      <c r="AW14" s="72" t="s" ph="1">
        <v>210</v>
      </c>
      <c r="AX14" s="72" t="s" ph="1">
        <v>211</v>
      </c>
      <c r="AY14" s="72" t="s" ph="1">
        <v>212</v>
      </c>
      <c r="AZ14" s="72" t="s" ph="1">
        <v>211</v>
      </c>
    </row>
    <row r="15" spans="1:99" ph="1">
      <c r="B15" s="194" ph="1">
        <v>0.33333333333333331</v>
      </c>
      <c r="C15" s="145" t="s" ph="1">
        <v>177</v>
      </c>
      <c r="D15" s="78">
        <v>277</v>
      </c>
      <c r="E15" s="78">
        <v>6210</v>
      </c>
      <c r="F15" s="78">
        <v>3011</v>
      </c>
      <c r="G15" s="78">
        <v>4350</v>
      </c>
      <c r="H15" s="78">
        <v>0</v>
      </c>
      <c r="I15" s="78">
        <v>2595</v>
      </c>
      <c r="J15" s="78">
        <v>2470</v>
      </c>
      <c r="K15" s="78">
        <v>2282</v>
      </c>
      <c r="L15" s="78">
        <v>3585</v>
      </c>
      <c r="M15" s="78">
        <v>6521</v>
      </c>
      <c r="N15" s="78">
        <v>1836</v>
      </c>
      <c r="O15" s="78">
        <v>3760</v>
      </c>
      <c r="P15" s="78">
        <v>1048</v>
      </c>
      <c r="Q15" s="78">
        <v>0</v>
      </c>
      <c r="R15" s="78">
        <v>0</v>
      </c>
      <c r="S15" s="78">
        <v>0</v>
      </c>
      <c r="T15" s="78">
        <v>4098</v>
      </c>
      <c r="U15" s="78">
        <v>4883</v>
      </c>
      <c r="V15" s="78">
        <v>2025</v>
      </c>
      <c r="W15" s="71">
        <v>931</v>
      </c>
      <c r="X15" s="78">
        <v>1391</v>
      </c>
      <c r="Y15" s="106">
        <v>-2370</v>
      </c>
      <c r="Z15" s="78">
        <v>1955</v>
      </c>
      <c r="AA15" s="78">
        <v>2598</v>
      </c>
      <c r="AB15" s="78" ph="1">
        <v>5357</v>
      </c>
      <c r="AC15" s="78" ph="1">
        <v>7324</v>
      </c>
      <c r="AD15" s="78">
        <v>5.54</v>
      </c>
      <c r="AE15" s="78">
        <v>67.430000000000007</v>
      </c>
      <c r="AG15" s="64" t="s" ph="1">
        <v>214</v>
      </c>
      <c r="AH15" s="64" ph="1">
        <v>1</v>
      </c>
      <c r="AI15" s="64" t="s" ph="1">
        <v>333</v>
      </c>
      <c r="AK15" s="64" t="s" ph="1">
        <v>587</v>
      </c>
      <c r="AM15" s="64" t="s" ph="1">
        <v>335</v>
      </c>
      <c r="AZ15" s="64" t="s" ph="1">
        <v>216</v>
      </c>
      <c r="BA15" s="64" ph="1">
        <v>0</v>
      </c>
    </row>
    <row r="16" spans="1:99" s="72" customFormat="1" ht="22.2" ph="1">
      <c r="B16" s="195" ph="1"/>
      <c r="C16" s="145" t="s" ph="1">
        <v>178</v>
      </c>
      <c r="D16" s="73" ph="1">
        <f>D15*7.0686*LOOKUP(D17,密度!$A$2:$A$50,密度!$L$2:$L$50)</f>
        <v>1832.6900592</v>
      </c>
      <c r="E16" s="73" ph="1">
        <f>E15*7.0686*LOOKUP(E17,密度!$A$2:$A$50,密度!$L$2:$L$50)</f>
        <v>41086.661616000005</v>
      </c>
      <c r="F16" s="73" ph="1">
        <f>F15*9.0746*LOOKUP(F17,密度!$A$2:$A$50,密度!$L$2:$L$50)</f>
        <v>25410.967158000003</v>
      </c>
      <c r="G16" s="73" ph="1">
        <f>G15*9.0746*LOOKUP(G17,密度!$A$2:$A$50,密度!$B$2:$B$50)</f>
        <v>30640.114662</v>
      </c>
      <c r="H16" s="73" ph="1">
        <f>H15*9.0746*LOOKUP(H17,密度!$A$2:$A$50,密度!$L$2:$L$50)</f>
        <v>0</v>
      </c>
      <c r="I16" s="73" ph="1">
        <f>I15*9.0746*LOOKUP(I17,密度!$A$2:$A$50,密度!$U$2:$U$50)</f>
        <v>24137.301674999999</v>
      </c>
      <c r="J16" s="73" ph="1">
        <f>J15*9.0746*LOOKUP(J17,密度!$A$2:$A$50,密度!$L$2:$L$50)</f>
        <v>20710.778087999999</v>
      </c>
      <c r="K16" s="73" ph="1">
        <f>K15*9.0746*LOOKUP(K17,密度!$A$2:$A$50,密度!$C$2:$C$50)</f>
        <v>22884.67292972</v>
      </c>
      <c r="L16" s="73" ph="1">
        <f>L15*9.0746*LOOKUP(L17,密度!$A$2:$A$50,密度!$E$2:$E$50)</f>
        <v>25297.226121600001</v>
      </c>
      <c r="M16" s="73" ph="1">
        <f>M15*9.0746*LOOKUP(M17,密度!$A$2:$A$50,密度!$M$2:$M$50)</f>
        <v>51476.738395339999</v>
      </c>
      <c r="N16" s="73" ph="1">
        <f>N15*9.0746*LOOKUP(N17,密度!$A$2:$A$50,密度!$M$2:$M$50)</f>
        <v>14563.350030959999</v>
      </c>
      <c r="O16" s="73" ph="1">
        <f>O15*9.0746*LOOKUP(O17,密度!$A$2:$A$50,密度!$G$2:$G$50)</f>
        <v>32574.837531199999</v>
      </c>
      <c r="P16" s="73" ph="1">
        <f ca="1">P15*9.0746*LOOKUP(P17,密度!$A$2:$A$51,密度!$Q$2:$Q$50)</f>
        <v>8996.9163422239999</v>
      </c>
      <c r="Q16" s="73" ph="1">
        <f>Q15*9.0746*LOOKUP(Q17,密度!$A$2:$A$50,密度!$Q$2:$Q$50)</f>
        <v>0</v>
      </c>
      <c r="R16" s="73" ph="1">
        <f>MAX(R15*9.0746*LOOKUP(R17,密度!$A$2:$A$50,密度!$B$2:$B$50),0)</f>
        <v>0</v>
      </c>
      <c r="S16" s="73" ph="1">
        <f>S15*9.0746*LOOKUP(S17,密度!$A$2:$A$50,密度!$Q$2:$Q$50)</f>
        <v>0</v>
      </c>
      <c r="T16" s="73" ph="1">
        <f>T15*9.0746*LOOKUP(T17,密度!$A$2:$A$50,密度!$O$2:$O$50)</f>
        <v>34435.820200800001</v>
      </c>
      <c r="U16" s="73" ph="1">
        <f>U15*9.0746*LOOKUP(U17,密度!$A$2:$A$50,密度!$H$2:$H$50)</f>
        <v>40451.760026220007</v>
      </c>
      <c r="V16" s="73" ph="1">
        <f>MAX(5600*LOOKUP(V17,密度!$A$2:$A$50,密度!$Q$2:$Q$50)+V15*9.0476*LOOKUP(V17,密度!$A$2:$A$50,密度!$Q$2:$Q$50),0)</f>
        <v>22565.764828700001</v>
      </c>
      <c r="W16" s="73" ph="1">
        <f>MAX(5600*LOOKUP(W17,密度!$A$2:$A$50,密度!$Q$2:$Q$50)+W15*9.0476*LOOKUP(W17,密度!$A$2:$A$50,密度!$Q$2:$Q$50),0)</f>
        <v>13228.614304948</v>
      </c>
      <c r="X16" s="73" ph="1">
        <f>MAX(5600*LOOKUP(X17,密度!$A$2:$A$50,密度!$I$2:$I$50)+X15*9.0476*LOOKUP(X17,密度!$A$2:$A$50,密度!$I$2:$I$50),0)</f>
        <v>18852.608865719998</v>
      </c>
      <c r="Y16" s="107" ph="1">
        <v>0</v>
      </c>
      <c r="Z16" s="73" ph="1">
        <f>Z15*9.0746*LOOKUP(Z17,密度!$A$2:$A$50,密度!$D$2:$D$50)</f>
        <v>18131.141546000003</v>
      </c>
      <c r="AA16" s="73" ph="1">
        <f>AA15*9.0746*LOOKUP(AA17,密度!$A$2:$A$50,密度!$B$2:$B$50)</f>
        <v>18299.544342959998</v>
      </c>
      <c r="AB16" s="73" ph="1">
        <f>AB15*9.0746*LOOKUP(AB17,密度!$A$2:$A$50,密度!$L$2:$L$50)</f>
        <v>45161.135313800005</v>
      </c>
      <c r="AC16" s="73" ph="1">
        <f>AC15*9.0746*LOOKUP(AC17,密度!$A$2:$A$50,密度!$L$2:$L$50)</f>
        <v>62009.391583200006</v>
      </c>
      <c r="AD16" s="73" ph="1">
        <f>AD15*268.68*LOOKUP(AD17,密度!$A$2:$A$50,密度!B2:B50)+IF(AD15&lt;=0,0,1566*LOOKUP(AD17,密度!$A$2:$A$50,密度!B2:B50))</f>
        <v>2381.2782211200001</v>
      </c>
      <c r="AE16" s="73" ph="1">
        <f>AE15*268.68*LOOKUP(AE17,密度!$A$2:$A$50,密度!B2:B50)+IF(AE15&lt;=0,0,1566*LOOKUP(AE17,密度!$A$2:$A$50,密度!B2:B50))</f>
        <v>15344.93883504</v>
      </c>
      <c r="AH16" s="72" ph="1">
        <v>2</v>
      </c>
      <c r="AI16" s="72" t="s" ph="1">
        <v>337</v>
      </c>
      <c r="AZ16" s="72" t="s" ph="1">
        <v>216</v>
      </c>
      <c r="BA16" s="72" ph="1">
        <v>0</v>
      </c>
    </row>
    <row r="17" spans="1:57" ph="1">
      <c r="A17" s="64" t="s" ph="1">
        <v>73</v>
      </c>
      <c r="B17" s="196" ph="1"/>
      <c r="C17" s="79" t="s" ph="1">
        <v>179</v>
      </c>
      <c r="D17" s="74">
        <v>26</v>
      </c>
      <c r="E17" s="74">
        <v>26</v>
      </c>
      <c r="F17" s="74">
        <v>32</v>
      </c>
      <c r="G17" s="74">
        <v>29</v>
      </c>
      <c r="H17" s="74">
        <v>22</v>
      </c>
      <c r="I17" s="74">
        <v>25</v>
      </c>
      <c r="J17" s="74">
        <v>38</v>
      </c>
      <c r="K17" s="74">
        <v>30</v>
      </c>
      <c r="L17" s="74">
        <v>30</v>
      </c>
      <c r="M17" s="74">
        <v>30</v>
      </c>
      <c r="N17" s="74">
        <v>26</v>
      </c>
      <c r="O17" s="74">
        <v>30</v>
      </c>
      <c r="P17" s="74">
        <v>26</v>
      </c>
      <c r="Q17" s="74">
        <v>26</v>
      </c>
      <c r="R17" s="74">
        <v>26</v>
      </c>
      <c r="S17" s="74">
        <v>27</v>
      </c>
      <c r="T17" s="74">
        <v>29</v>
      </c>
      <c r="U17" s="74">
        <v>27</v>
      </c>
      <c r="V17" s="74">
        <v>30</v>
      </c>
      <c r="W17" s="74">
        <v>30</v>
      </c>
      <c r="X17" s="74">
        <v>30</v>
      </c>
      <c r="Y17" s="108">
        <v>30</v>
      </c>
      <c r="Z17" s="74">
        <v>30</v>
      </c>
      <c r="AA17" s="74">
        <v>29</v>
      </c>
      <c r="AB17" s="74">
        <v>33</v>
      </c>
      <c r="AC17" s="74">
        <v>29</v>
      </c>
      <c r="AD17" s="74">
        <v>25</v>
      </c>
      <c r="AE17" s="74">
        <v>25</v>
      </c>
      <c r="AH17" s="64" ph="1">
        <v>3</v>
      </c>
      <c r="AI17" s="64" t="s" ph="1">
        <v>338</v>
      </c>
      <c r="AK17" s="64" t="s" ph="1">
        <v>570</v>
      </c>
      <c r="AL17" s="64" ph="1">
        <v>80</v>
      </c>
      <c r="AM17" s="64" t="s" ph="1">
        <v>335</v>
      </c>
      <c r="AZ17" s="64" t="s" ph="1">
        <v>216</v>
      </c>
      <c r="BA17" s="64" ph="1">
        <v>80</v>
      </c>
      <c r="BD17" s="64" t="s" ph="1">
        <v>214</v>
      </c>
      <c r="BE17" s="64" ph="1">
        <v>2270</v>
      </c>
    </row>
    <row r="18" spans="1:57" ht="26.4" ph="1">
      <c r="B18" s="194" ph="1">
        <v>0.66666666666666663</v>
      </c>
      <c r="C18" s="79" t="s" ph="1">
        <v>180</v>
      </c>
      <c r="D18" s="71">
        <v>1902</v>
      </c>
      <c r="E18" s="71">
        <v>3758</v>
      </c>
      <c r="F18" s="71">
        <v>3018</v>
      </c>
      <c r="G18" s="71">
        <v>4423</v>
      </c>
      <c r="H18" s="71">
        <v>0</v>
      </c>
      <c r="I18" s="71">
        <v>5174</v>
      </c>
      <c r="J18" s="71">
        <v>3138</v>
      </c>
      <c r="K18" s="71">
        <v>2283</v>
      </c>
      <c r="L18" s="71">
        <v>3587</v>
      </c>
      <c r="M18" s="71">
        <v>3567</v>
      </c>
      <c r="N18" s="71">
        <v>1837</v>
      </c>
      <c r="O18" s="71">
        <v>3761</v>
      </c>
      <c r="P18" s="71">
        <v>1046</v>
      </c>
      <c r="Q18" s="71">
        <v>0</v>
      </c>
      <c r="R18" s="71">
        <v>0</v>
      </c>
      <c r="S18" s="71">
        <v>0</v>
      </c>
      <c r="T18" s="71">
        <v>4099</v>
      </c>
      <c r="U18" s="71">
        <v>4884</v>
      </c>
      <c r="V18" s="71">
        <v>2636</v>
      </c>
      <c r="W18" s="71">
        <v>997</v>
      </c>
      <c r="X18" s="71">
        <v>1389</v>
      </c>
      <c r="Y18" s="109">
        <v>-9908</v>
      </c>
      <c r="Z18" s="71">
        <v>1954</v>
      </c>
      <c r="AA18" s="71">
        <v>2600</v>
      </c>
      <c r="AB18" s="71">
        <v>5357</v>
      </c>
      <c r="AC18" s="71">
        <v>7324</v>
      </c>
      <c r="AD18" s="71">
        <v>40</v>
      </c>
      <c r="AE18" s="71">
        <v>84.89</v>
      </c>
      <c r="AH18" s="64" ph="1">
        <v>4</v>
      </c>
      <c r="AI18" s="64" t="s" ph="1">
        <v>340</v>
      </c>
      <c r="AJ18" s="64" t="s" ph="1">
        <v>588</v>
      </c>
      <c r="AK18" s="64" t="s" ph="1">
        <v>587</v>
      </c>
      <c r="AL18" s="64" ph="1">
        <v>740</v>
      </c>
      <c r="AM18" s="64" t="s" ph="1">
        <v>339</v>
      </c>
      <c r="AZ18" s="64" t="s" ph="1">
        <v>216</v>
      </c>
      <c r="BA18" s="64" ph="1">
        <v>740</v>
      </c>
    </row>
    <row r="19" spans="1:57" s="72" customFormat="1" ht="22.2" ph="1">
      <c r="B19" s="195" ph="1"/>
      <c r="C19" s="145" t="s" ph="1">
        <v>178</v>
      </c>
      <c r="D19" s="73" ph="1">
        <f>D18*7.0686*LOOKUP(D20,密度!$A$2:$A$50,密度!$L$2:$L$50)</f>
        <v>12476.4748416</v>
      </c>
      <c r="E19" s="73" ph="1">
        <f>E18*7.0686*LOOKUP(E20,密度!$A$2:$A$50,密度!$L$2:$L$50)</f>
        <v>24651.205286400003</v>
      </c>
      <c r="F19" s="73" ph="1">
        <f>F18*9.0746*LOOKUP(F20,密度!$A$2:$A$50,密度!$L$2:$L$50)</f>
        <v>25415.268518400004</v>
      </c>
      <c r="G19" s="73" ph="1">
        <f>G18*9.0746*LOOKUP(G20,密度!$A$2:$A$50,密度!$B$2:$B$50)</f>
        <v>31154.305091960003</v>
      </c>
      <c r="H19" s="73" ph="1">
        <f>H18*9.0746*LOOKUP(H20,密度!$A$2:$A$50,密度!$L$2:$L$50)</f>
        <v>0</v>
      </c>
      <c r="I19" s="73" ph="1">
        <f>I18*9.0746*LOOKUP(I20,密度!$A$2:$A$50,密度!$U$2:$U$50)</f>
        <v>47543.575353039996</v>
      </c>
      <c r="J19" s="73" ph="1">
        <f>J18*9.0746*LOOKUP(J20,密度!$A$2:$A$50,密度!$L$2:$L$50)</f>
        <v>26254.959405599999</v>
      </c>
      <c r="K19" s="73" ph="1">
        <f>K18*9.0746*LOOKUP(K20,密度!$A$2:$A$50,密度!$C$2:$C$50)</f>
        <v>22894.701270179998</v>
      </c>
      <c r="L19" s="73" ph="1">
        <f>L18*9.0746*LOOKUP(L20,密度!$A$2:$A$50,密度!$E$2:$E$50)</f>
        <v>25273.905760789999</v>
      </c>
      <c r="M19" s="73" ph="1">
        <f>M18*9.0746*LOOKUP(M20,密度!$A$2:$A$50,密度!$M$2:$M$50)</f>
        <v>28124.538353034</v>
      </c>
      <c r="N19" s="73" ph="1">
        <f>N18*9.0746*LOOKUP(N20,密度!$A$2:$A$50,密度!$M$2:$M$50)</f>
        <v>14536.275054399999</v>
      </c>
      <c r="O19" s="73" ph="1">
        <f>O18*9.0746*LOOKUP(O20,密度!$A$2:$A$50,密度!$G$2:$G$50)</f>
        <v>32583.50105182</v>
      </c>
      <c r="P19" s="73" ph="1">
        <f ca="1">P18*9.0746*LOOKUP(P20,密度!$A$2:$A$51,密度!$Q$2:$Q$50)</f>
        <v>8928.1100026439999</v>
      </c>
      <c r="Q19" s="73" ph="1">
        <f>Q18*9.0746*LOOKUP(Q20,密度!$A$2:$A$50,密度!$Q$2:$Q$50)</f>
        <v>0</v>
      </c>
      <c r="R19" s="73" ph="1">
        <f>MAX(R18*9.0746*LOOKUP(R20,密度!$A$2:$A$50,密度!$B$2:$B$50),0)</f>
        <v>0</v>
      </c>
      <c r="S19" s="73" ph="1">
        <f>S18*9.0746*LOOKUP(S20,密度!$A$2:$A$50,密度!$Q$2:$Q$50)</f>
        <v>0</v>
      </c>
      <c r="T19" s="73" ph="1">
        <f>T18*9.0746*LOOKUP(T20,密度!$A$2:$A$50,密度!$O$2:$O$50)</f>
        <v>34325.193567119997</v>
      </c>
      <c r="U19" s="73" ph="1">
        <f>U18*9.0746*LOOKUP(U20,密度!$A$2:$A$50,密度!$H$2:$H$50)</f>
        <v>40331.515224000002</v>
      </c>
      <c r="V19" s="73" ph="1">
        <f>MAX(5600*LOOKUP(V20,密度!$A$2:$A$50,密度!$Q$2:$Q$50)+V18*9.0476*LOOKUP(V20,密度!$A$2:$A$50,密度!$Q$2:$Q$50),0)</f>
        <v>27699.880373423999</v>
      </c>
      <c r="W19" s="73" ph="1">
        <f>MAX(5600*LOOKUP(W20,密度!$A$2:$A$50,密度!$Q$2:$Q$50)+W18*9.0476*LOOKUP(W20,密度!$A$2:$A$50,密度!$Q$2:$Q$50),0)</f>
        <v>13751.855837747999</v>
      </c>
      <c r="X19" s="73" ph="1">
        <f>MAX(5600*LOOKUP(X20,密度!$A$2:$A$50,密度!$I$2:$I$50)+X18*9.0476*LOOKUP(X20,密度!$A$2:$A$50,密度!$I$2:$I$50),0)</f>
        <v>18833.849571879997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18105.908713239998</v>
      </c>
      <c r="AA19" s="73" ph="1">
        <f>AA18*9.0746*LOOKUP(AA20,密度!$A$2:$A$50,密度!$B$2:$B$50)</f>
        <v>18292.397187999999</v>
      </c>
      <c r="AB19" s="73" ph="1">
        <f>AB18*9.0746*LOOKUP(AB20,密度!$A$2:$A$50,密度!$L$2:$L$50)</f>
        <v>45209.747946000003</v>
      </c>
      <c r="AC19" s="73" ph="1">
        <f>AC18*9.0746*LOOKUP(AC20,密度!$A$2:$A$50,密度!$L$2:$L$50)</f>
        <v>61942.929212800002</v>
      </c>
      <c r="AD19" s="73" ph="1">
        <f>AD18*268.68*LOOKUP(AD20,密度!$A$2:$A$50,密度!B5:B53)+IF(AD18&lt;=0,0,1566*LOOKUP(AD20,密度!$A$2:$A$50,密度!B5:B53))</f>
        <v>9567.3564000000006</v>
      </c>
      <c r="AE19" s="73" ph="1">
        <f>AE18*268.68*LOOKUP(AE20,密度!$A$2:$A$50,密度!B5:B53)+IF(AE18&lt;=0,0,1566*LOOKUP(AE20,密度!$A$2:$A$50,密度!B5:B53))</f>
        <v>18938.788520400001</v>
      </c>
      <c r="AH19" s="72" ph="1">
        <v>5</v>
      </c>
      <c r="AI19" s="72" t="s" ph="1">
        <v>341</v>
      </c>
      <c r="AZ19" s="72" t="s" ph="1">
        <v>216</v>
      </c>
      <c r="BA19" s="72" ph="1">
        <v>0</v>
      </c>
      <c r="BD19" s="72" t="s" ph="1">
        <v>342</v>
      </c>
      <c r="BE19" s="72" ph="1">
        <v>1440</v>
      </c>
    </row>
    <row r="20" spans="1:57" ph="1">
      <c r="A20" s="72" ph="1"/>
      <c r="B20" s="195" ph="1"/>
      <c r="C20" s="80" t="s" ph="1">
        <v>179</v>
      </c>
      <c r="D20" s="81">
        <v>34</v>
      </c>
      <c r="E20" s="81">
        <v>34</v>
      </c>
      <c r="F20" s="81">
        <v>34</v>
      </c>
      <c r="G20" s="81">
        <v>29</v>
      </c>
      <c r="H20" s="81">
        <v>26</v>
      </c>
      <c r="I20" s="81">
        <v>38</v>
      </c>
      <c r="J20" s="81">
        <v>40</v>
      </c>
      <c r="K20" s="81">
        <v>30</v>
      </c>
      <c r="L20" s="81">
        <v>31</v>
      </c>
      <c r="M20" s="81">
        <v>31</v>
      </c>
      <c r="N20" s="81">
        <v>28</v>
      </c>
      <c r="O20" s="81">
        <v>30</v>
      </c>
      <c r="P20" s="81">
        <v>34</v>
      </c>
      <c r="Q20" s="81">
        <v>34</v>
      </c>
      <c r="R20" s="81">
        <v>31</v>
      </c>
      <c r="S20" s="81">
        <v>32</v>
      </c>
      <c r="T20" s="81">
        <v>31</v>
      </c>
      <c r="U20" s="81">
        <v>30</v>
      </c>
      <c r="V20" s="81">
        <v>34</v>
      </c>
      <c r="W20" s="81">
        <v>34</v>
      </c>
      <c r="X20" s="81">
        <v>30</v>
      </c>
      <c r="Y20" s="110">
        <v>30</v>
      </c>
      <c r="Z20" s="81">
        <v>31</v>
      </c>
      <c r="AA20" s="81">
        <v>30</v>
      </c>
      <c r="AB20" s="81">
        <v>32</v>
      </c>
      <c r="AC20" s="81">
        <v>30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343</v>
      </c>
      <c r="AZ20" s="64" t="s" ph="1">
        <v>216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344</v>
      </c>
      <c r="AZ21" s="64" t="s" ph="1">
        <v>216</v>
      </c>
      <c r="BA21" s="64" ph="1">
        <v>0</v>
      </c>
      <c r="BD21" s="64" t="s" ph="1">
        <v>232</v>
      </c>
      <c r="BE21" s="64" ph="1">
        <v>730</v>
      </c>
    </row>
    <row r="22" spans="1:57" ph="1">
      <c r="A22" s="72" ph="1"/>
      <c r="B22" s="193" t="s" ph="1">
        <v>37</v>
      </c>
      <c r="C22" s="85" t="s" ph="1">
        <v>176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172" t="s" ph="1">
        <v>69</v>
      </c>
      <c r="AA22" s="173"/>
      <c r="AB22" s="173"/>
      <c r="AC22" s="173"/>
      <c r="AD22" s="173"/>
      <c r="AE22" s="174"/>
      <c r="AH22" s="64" ph="1">
        <v>8</v>
      </c>
      <c r="AI22" s="64" t="s" ph="1">
        <v>345</v>
      </c>
      <c r="AZ22" s="64" t="s" ph="1">
        <v>216</v>
      </c>
      <c r="BA22" s="64" ph="1">
        <v>0</v>
      </c>
    </row>
    <row r="23" spans="1:57" ph="1">
      <c r="A23" s="72" ph="1"/>
      <c r="B23" s="188" ph="1"/>
      <c r="C23" s="67" t="s" ph="1">
        <v>36</v>
      </c>
      <c r="D23" s="88" t="s" ph="1">
        <v>109</v>
      </c>
      <c r="E23" s="88" t="s" ph="1">
        <v>107</v>
      </c>
      <c r="F23" s="88" t="s" ph="1">
        <v>109</v>
      </c>
      <c r="G23" s="88" t="s" ph="1">
        <v>626</v>
      </c>
      <c r="H23" s="88" t="s" ph="1">
        <v>626</v>
      </c>
      <c r="I23" s="88" t="s" ph="1">
        <v>627</v>
      </c>
      <c r="J23" s="88" t="s" ph="1">
        <v>628</v>
      </c>
      <c r="K23" s="88" t="s" ph="1">
        <v>628</v>
      </c>
      <c r="L23" s="88" t="s" ph="1">
        <v>628</v>
      </c>
      <c r="M23" s="88" t="s" ph="1">
        <v>623</v>
      </c>
      <c r="N23" s="88" t="s" ph="1">
        <v>623</v>
      </c>
      <c r="O23" s="88" t="s" ph="1">
        <v>318</v>
      </c>
      <c r="P23" s="88" t="s" ph="1">
        <v>629</v>
      </c>
      <c r="Q23" s="89" t="s" ph="1">
        <v>629</v>
      </c>
      <c r="R23" s="88" t="s" ph="1">
        <v>610</v>
      </c>
      <c r="S23" s="88" t="s" ph="1">
        <v>629</v>
      </c>
      <c r="T23" s="88" t="s" ph="1">
        <v>604</v>
      </c>
      <c r="U23" s="104" t="s" ph="1">
        <v>606</v>
      </c>
      <c r="V23" s="88" t="s" ph="1">
        <v>629</v>
      </c>
      <c r="W23" s="88" t="s" ph="1">
        <v>629</v>
      </c>
      <c r="X23" s="88" t="s" ph="1">
        <v>187</v>
      </c>
      <c r="Y23" s="88" t="s" ph="1">
        <v>630</v>
      </c>
      <c r="Z23" s="175" t="s" ph="1">
        <v>638</v>
      </c>
      <c r="AA23" s="176"/>
      <c r="AB23" s="176"/>
      <c r="AC23" s="176"/>
      <c r="AD23" s="176"/>
      <c r="AE23" s="177"/>
      <c r="AH23" s="64" ph="1">
        <v>9</v>
      </c>
      <c r="AI23" s="64" t="s" ph="1">
        <v>346</v>
      </c>
      <c r="AZ23" s="64" t="s" ph="1">
        <v>216</v>
      </c>
      <c r="BA23" s="64" ph="1">
        <v>0</v>
      </c>
      <c r="BD23" s="64" t="s" ph="1">
        <v>238</v>
      </c>
      <c r="BE23" s="64" ph="1">
        <v>890</v>
      </c>
    </row>
    <row r="24" spans="1:57" ph="1">
      <c r="A24" s="72" ph="1"/>
      <c r="B24" s="184" ph="1">
        <v>0.33333333333333331</v>
      </c>
      <c r="C24" s="145" t="s" ph="1">
        <v>177</v>
      </c>
      <c r="D24" s="71">
        <v>3.13</v>
      </c>
      <c r="E24" s="71">
        <v>0</v>
      </c>
      <c r="F24" s="71">
        <v>1549</v>
      </c>
      <c r="G24" s="71">
        <v>3577</v>
      </c>
      <c r="H24" s="71">
        <v>3046</v>
      </c>
      <c r="I24" s="71">
        <v>2798</v>
      </c>
      <c r="J24" s="71">
        <v>209</v>
      </c>
      <c r="K24" s="71">
        <v>248</v>
      </c>
      <c r="L24" s="71">
        <v>471</v>
      </c>
      <c r="M24" s="71">
        <v>360</v>
      </c>
      <c r="N24" s="71">
        <v>227</v>
      </c>
      <c r="O24" s="71">
        <v>1674</v>
      </c>
      <c r="P24" s="71">
        <v>1965</v>
      </c>
      <c r="Q24" s="90">
        <v>2389</v>
      </c>
      <c r="R24" s="71">
        <v>4229</v>
      </c>
      <c r="S24" s="71">
        <v>5506</v>
      </c>
      <c r="T24" s="71">
        <v>506</v>
      </c>
      <c r="U24" s="71">
        <v>5555</v>
      </c>
      <c r="V24" s="71">
        <v>1017</v>
      </c>
      <c r="W24" s="71">
        <v>8683</v>
      </c>
      <c r="X24" s="71">
        <v>3259</v>
      </c>
      <c r="Y24" s="71">
        <v>4095</v>
      </c>
      <c r="Z24" s="178"/>
      <c r="AA24" s="179"/>
      <c r="AB24" s="179"/>
      <c r="AC24" s="179"/>
      <c r="AD24" s="179"/>
      <c r="AE24" s="180"/>
      <c r="AH24" s="64" ph="1">
        <v>10</v>
      </c>
      <c r="AI24" s="64" t="s" ph="1">
        <v>347</v>
      </c>
      <c r="AZ24" s="64" t="s" ph="1">
        <v>216</v>
      </c>
      <c r="BA24" s="64" ph="1">
        <v>0</v>
      </c>
    </row>
    <row r="25" spans="1:57" ph="1">
      <c r="A25" s="72" ph="1"/>
      <c r="B25" s="184" ph="1"/>
      <c r="C25" s="68" t="s" ph="1">
        <v>178</v>
      </c>
      <c r="D25" s="91" ph="1">
        <f>D24*268.68*LOOKUP(D26,密度!$A$2:$A$50,密度!$Q$2:$Q$50)+IF(D24&lt;=0,0,1566*LOOKUP(D26,密度!$A$2:$A$50,密度!$Q$2:$Q$50))</f>
        <v>2278.7732630159999</v>
      </c>
      <c r="E25" s="91" ph="1">
        <f>E24*268.68*LOOKUP(E26,密度!$A$2:$A$50,密度!$C$2:$C$50)+IF(E24&lt;=0,0,1566*LOOKUP(E26,密度!$A$2:$A$50,密度!$C$2:$C$50))</f>
        <v>0</v>
      </c>
      <c r="F25" s="91" ph="1">
        <f>F24*11.702*LOOKUP(F26,密度!$A$2:$A$50,密度!$Q$2:$Q$50)</f>
        <v>17135.246557360002</v>
      </c>
      <c r="G25" s="91" ph="1">
        <f>G24*18.322*LOOKUP(G26,密度!$A$2:$A$50,密度!$B$2:$B$50)</f>
        <v>50922.865937999995</v>
      </c>
      <c r="H25" s="91" ph="1">
        <f>H24*18.322*LOOKUP(H26,密度!$A$2:$A$50,密度!$B$2:$B$50)</f>
        <v>43363.446923999996</v>
      </c>
      <c r="I25" s="91" ph="1">
        <f>I24*18.322*LOOKUP(I26,密度!$A$2:$A$50,密度!$Q$2:$Q$50)</f>
        <v>48498.186324679999</v>
      </c>
      <c r="J25" s="91" ph="1">
        <f>J24*18.322*LOOKUP(J26,密度!$A$2:$A$50,密度!$Q$2:$Q$50)</f>
        <v>3617.2314767599996</v>
      </c>
      <c r="K25" s="91" ph="1">
        <f>K24*18.322*LOOKUP(K26,密度!$A$2:$A$50,密度!$Q$2:$Q$50)</f>
        <v>4289.0819940800002</v>
      </c>
      <c r="L25" s="91" ph="1">
        <f>L24*18.322*LOOKUP(L26,密度!$A$2:$A$50,密度!$Q$2:$Q$50)</f>
        <v>8151.7513184400004</v>
      </c>
      <c r="M25" s="91" ph="1">
        <f>M24*18.322*LOOKUP(M26,密度!$A$2:$A$50,密度!$Q$2:$Q$50)</f>
        <v>6230.6379504000006</v>
      </c>
      <c r="N25" s="91" ph="1">
        <f>N24*18.322*LOOKUP(N26,密度!$A$2:$A$50,密度!$Q$2:$Q$50)</f>
        <v>3931.6747400800004</v>
      </c>
      <c r="O25" s="91" ph="1">
        <f>O24*18.322*LOOKUP(O26,密度!$A$2:$A$50,密度!$C$2:$C$50)</f>
        <v>33940.559584800001</v>
      </c>
      <c r="P25" s="91" ph="1">
        <f>P24*11.702*LOOKUP(P26,密度!$A$2:$A$50,密度!$B$2:$B$50)</f>
        <v>17887.367097000002</v>
      </c>
      <c r="Q25" s="92" ph="1">
        <f>Q24*18.322*LOOKUP(Q26,密度!$A$2:$A$50,密度!$B$2:$B$50)</f>
        <v>34084.678604599998</v>
      </c>
      <c r="R25" s="91" ph="1">
        <f>R24*35.891*LOOKUP(R26,密度!$A$2:$A$50,密度!$C$2:$C$50)</f>
        <v>168084.53738859997</v>
      </c>
      <c r="S25" s="91" ph="1">
        <f>S24*35.891*LOOKUP(S26,密度!$A$2:$A$50,密度!$B$2:$B$50)</f>
        <v>153725.36660340001</v>
      </c>
      <c r="T25" s="91" ph="1">
        <f>T24*35.891*LOOKUP(T26,密度!$A$2:$A$50,密度!$Q$2:$Q$50)</f>
        <v>17142.567364779999</v>
      </c>
      <c r="U25" s="91" ph="1">
        <f>U24*35.891</f>
        <v>199374.505</v>
      </c>
      <c r="V25" s="91" ph="1">
        <f>V24*47.051*LOOKUP(V26,密度!$A$2:$A$50,密度!$B$2:$B$50)</f>
        <v>37347.601693500001</v>
      </c>
      <c r="W25" s="91" ph="1">
        <f>W24*47.051*LOOKUP(W26,密度!$A$2:$A$50,密度!$B$2:$B$50)</f>
        <v>318500.7722068</v>
      </c>
      <c r="X25" s="91" ph="1">
        <f>X24*47.051*LOOKUP(X26,密度!$A$2:$A$61,密度!$I$2:$I$61)</f>
        <v>159656.7844108</v>
      </c>
      <c r="Y25" s="91" ph="1">
        <f>Y24*47.051*LOOKUP(Y26,密度!$A$2:$A$50,密度!$L$2:$L$50)</f>
        <v>179572.02354000002</v>
      </c>
      <c r="Z25" s="178"/>
      <c r="AA25" s="179"/>
      <c r="AB25" s="179"/>
      <c r="AC25" s="179"/>
      <c r="AD25" s="179"/>
      <c r="AE25" s="180"/>
      <c r="AH25" s="64" ph="1">
        <v>11</v>
      </c>
      <c r="AI25" s="64" t="s" ph="1">
        <v>348</v>
      </c>
      <c r="AZ25" s="64" t="s" ph="1">
        <v>216</v>
      </c>
      <c r="BA25" s="64" ph="1">
        <v>0</v>
      </c>
      <c r="BD25" s="64" t="s" ph="1">
        <v>241</v>
      </c>
      <c r="BE25" s="64" ph="1">
        <v>8920</v>
      </c>
    </row>
    <row r="26" spans="1:57" ph="1">
      <c r="A26" s="72" ph="1"/>
      <c r="B26" s="184" ph="1"/>
      <c r="C26" s="68" t="s" ph="1">
        <v>179</v>
      </c>
      <c r="D26" s="74">
        <v>25</v>
      </c>
      <c r="E26" s="74">
        <v>25</v>
      </c>
      <c r="F26" s="74">
        <v>27</v>
      </c>
      <c r="G26" s="74">
        <v>28</v>
      </c>
      <c r="H26" s="74">
        <v>28</v>
      </c>
      <c r="I26" s="74">
        <v>26</v>
      </c>
      <c r="J26" s="74">
        <v>28</v>
      </c>
      <c r="K26" s="74">
        <v>29</v>
      </c>
      <c r="L26" s="74">
        <v>28</v>
      </c>
      <c r="M26" s="74">
        <v>28</v>
      </c>
      <c r="N26" s="74">
        <v>27</v>
      </c>
      <c r="O26" s="74">
        <v>28</v>
      </c>
      <c r="P26" s="74">
        <v>27</v>
      </c>
      <c r="Q26" s="93">
        <v>26</v>
      </c>
      <c r="R26" s="74">
        <v>27</v>
      </c>
      <c r="S26" s="74">
        <v>27</v>
      </c>
      <c r="T26" s="74">
        <v>29</v>
      </c>
      <c r="U26" s="74">
        <v>25</v>
      </c>
      <c r="V26" s="74">
        <v>24</v>
      </c>
      <c r="W26" s="74">
        <v>25</v>
      </c>
      <c r="X26" s="74">
        <v>26</v>
      </c>
      <c r="Y26" s="74">
        <v>30</v>
      </c>
      <c r="Z26" s="178"/>
      <c r="AA26" s="179"/>
      <c r="AB26" s="179"/>
      <c r="AC26" s="179"/>
      <c r="AD26" s="179"/>
      <c r="AE26" s="180"/>
      <c r="AH26" s="64" ph="1">
        <v>12</v>
      </c>
      <c r="AI26" s="64" t="s" ph="1">
        <v>349</v>
      </c>
      <c r="AZ26" s="64" t="s" ph="1">
        <v>216</v>
      </c>
      <c r="BA26" s="64" ph="1">
        <v>0</v>
      </c>
    </row>
    <row r="27" spans="1:57" ht="26.4" ph="1">
      <c r="A27" s="72" ph="1"/>
      <c r="B27" s="184" ph="1">
        <v>0.66666666666666663</v>
      </c>
      <c r="C27" s="145" t="s" ph="1">
        <v>180</v>
      </c>
      <c r="D27" s="71">
        <v>3.11</v>
      </c>
      <c r="E27" s="71">
        <v>11.34</v>
      </c>
      <c r="F27" s="71">
        <v>1549</v>
      </c>
      <c r="G27" s="71">
        <v>2802</v>
      </c>
      <c r="H27" s="71">
        <v>2589</v>
      </c>
      <c r="I27" s="71">
        <v>1630</v>
      </c>
      <c r="J27" s="71">
        <v>202</v>
      </c>
      <c r="K27" s="71">
        <v>244</v>
      </c>
      <c r="L27" s="71">
        <v>466</v>
      </c>
      <c r="M27" s="71">
        <v>356</v>
      </c>
      <c r="N27" s="71">
        <v>224</v>
      </c>
      <c r="O27" s="71">
        <v>1669</v>
      </c>
      <c r="P27" s="71">
        <v>729</v>
      </c>
      <c r="Q27" s="90">
        <v>2693</v>
      </c>
      <c r="R27" s="71">
        <v>4576</v>
      </c>
      <c r="S27" s="71">
        <v>5502</v>
      </c>
      <c r="T27" s="71">
        <v>504</v>
      </c>
      <c r="U27" s="71">
        <v>5612</v>
      </c>
      <c r="V27" s="71">
        <v>1014</v>
      </c>
      <c r="W27" s="71">
        <v>8684</v>
      </c>
      <c r="X27" s="71">
        <v>3134</v>
      </c>
      <c r="Y27" s="71">
        <v>2487</v>
      </c>
      <c r="Z27" s="178"/>
      <c r="AA27" s="179"/>
      <c r="AB27" s="179"/>
      <c r="AC27" s="179"/>
      <c r="AD27" s="179"/>
      <c r="AE27" s="180"/>
      <c r="AH27" s="64" ph="1">
        <v>13</v>
      </c>
      <c r="AI27" s="64" t="s" ph="1">
        <v>350</v>
      </c>
      <c r="AZ27" s="64" t="s" ph="1">
        <v>216</v>
      </c>
      <c r="BA27" s="64" ph="1">
        <v>0</v>
      </c>
      <c r="BD27" s="64" t="s" ph="1">
        <v>295</v>
      </c>
      <c r="BE27" s="64" ph="1">
        <v>7100</v>
      </c>
    </row>
    <row r="28" spans="1:57" ph="1">
      <c r="A28" s="72" ph="1"/>
      <c r="B28" s="184" ph="1"/>
      <c r="C28" s="145" t="s" ph="1">
        <v>178</v>
      </c>
      <c r="D28" s="91" ph="1">
        <f>D27*268.68*LOOKUP(D29,密度!$A$2:$A$50,密度!$Q$2:$Q$50)+IF(D27&lt;=0,0,1566*LOOKUP(D29,密度!$A$2:$A$50,密度!$Q$2:$Q$50))</f>
        <v>2273.685860952</v>
      </c>
      <c r="E28" s="91" ph="1">
        <f>E27*268.68*LOOKUP(E29,密度!$A$2:$A$50,密度!$C$2:$C$50)+IF(E27&lt;=0,0,1566*LOOKUP(E29,密度!$A$2:$A$50,密度!$C$2:$C$50))</f>
        <v>5115.1685176800001</v>
      </c>
      <c r="F28" s="91" ph="1">
        <f>F27*11.702*LOOKUP(F29,密度!$A$2:$A$50,密度!$Q$2:$Q$50)</f>
        <v>17099.175025340002</v>
      </c>
      <c r="G28" s="91" ph="1">
        <f>G27*18.322*LOOKUP(G29,密度!$A$2:$A$50,密度!$B$2:$B$50)</f>
        <v>39710.131733999995</v>
      </c>
      <c r="H28" s="91" ph="1">
        <f>H27*18.322*LOOKUP(H29,密度!$A$2:$A$50,密度!$B$2:$B$50)</f>
        <v>36691.481462999996</v>
      </c>
      <c r="I28" s="91" ph="1">
        <f>I27*18.322*LOOKUP(I29,密度!$A$2:$A$50,密度!$Q$2:$Q$50)</f>
        <v>28172.418383799995</v>
      </c>
      <c r="J28" s="91" ph="1">
        <f>J27*18.322*LOOKUP(J29,密度!$A$2:$A$50,密度!$Q$2:$Q$50)</f>
        <v>3467.21204008</v>
      </c>
      <c r="K28" s="91" ph="1">
        <f>K27*18.322*LOOKUP(K29,密度!$A$2:$A$50,密度!$Q$2:$Q$50)</f>
        <v>4210.8279991999998</v>
      </c>
      <c r="L28" s="91" ph="1">
        <f>L27*18.322*LOOKUP(L29,密度!$A$2:$A$50,密度!$Q$2:$Q$50)</f>
        <v>8054.2005931599997</v>
      </c>
      <c r="M28" s="91" ph="1">
        <f>M27*18.322*LOOKUP(M29,密度!$A$2:$A$50,密度!$Q$2:$Q$50)</f>
        <v>6114.3152368000001</v>
      </c>
      <c r="N28" s="91" ph="1">
        <f>N27*18.322*LOOKUP(N29,密度!$A$2:$A$50,密度!$Q$2:$Q$50)</f>
        <v>3863.0104799999999</v>
      </c>
      <c r="O28" s="91" ph="1">
        <f>O27*18.322*LOOKUP(O29,密度!$A$2:$A$50,密度!$C$2:$C$50)</f>
        <v>33817.7783662</v>
      </c>
      <c r="P28" s="91" ph="1">
        <f>P27*11.702*LOOKUP(P29,密度!$A$2:$A$50,密度!$B$2:$B$50)</f>
        <v>6613.8966774</v>
      </c>
      <c r="Q28" s="92" ph="1">
        <f>Q27*18.322*LOOKUP(Q29,密度!$A$2:$A$50,密度!$B$2:$B$50)</f>
        <v>38125.903514200007</v>
      </c>
      <c r="R28" s="91" ph="1">
        <f>R27*35.891*LOOKUP(R29,密度!$A$2:$A$50,密度!$C$2:$C$50)</f>
        <v>181334.31018559998</v>
      </c>
      <c r="S28" s="91" ph="1">
        <f>S27*35.891*LOOKUP(S29,密度!$A$2:$A$50,密度!$B$2:$B$50)</f>
        <v>153100.26023459999</v>
      </c>
      <c r="T28" s="91" ph="1">
        <f>T27*35.891*LOOKUP(T29,密度!$A$2:$A$50,密度!$Q$2:$Q$50)</f>
        <v>17038.089381599999</v>
      </c>
      <c r="U28" s="91" ph="1">
        <f>U27*35.891</f>
        <v>201420.29199999999</v>
      </c>
      <c r="V28" s="91" ph="1">
        <f>V27*47.051*LOOKUP(V29,密度!$A$2:$A$50,密度!$B$2:$B$50)</f>
        <v>37151.554291799999</v>
      </c>
      <c r="W28" s="91" ph="1">
        <f>W27*47.051*LOOKUP(W29,密度!$A$2:$A$50,密度!$B$2:$B$50)</f>
        <v>318905.184962</v>
      </c>
      <c r="X28" s="91" ph="1">
        <f>X27*47.051*LOOKUP(X29,密度!$A$2:$A$61,密度!$I$2:$I$61)</f>
        <v>153533.09676079999</v>
      </c>
      <c r="Y28" s="91" ph="1">
        <f>Y27*47.051*LOOKUP(Y29,密度!$A$2:$A$50,密度!$L$2:$L$50)</f>
        <v>108473.680899</v>
      </c>
      <c r="Z28" s="178"/>
      <c r="AA28" s="179"/>
      <c r="AB28" s="179"/>
      <c r="AC28" s="179"/>
      <c r="AD28" s="179"/>
      <c r="AE28" s="180"/>
      <c r="AH28" s="64" ph="1">
        <v>14</v>
      </c>
      <c r="AI28" s="64" t="s" ph="1">
        <v>351</v>
      </c>
      <c r="AZ28" s="64" t="s" ph="1">
        <v>216</v>
      </c>
      <c r="BA28" s="64" ph="1">
        <v>0</v>
      </c>
    </row>
    <row r="29" spans="1:57" ph="1">
      <c r="A29" s="72" ph="1"/>
      <c r="B29" s="184" ph="1"/>
      <c r="C29" s="145" t="s" ph="1">
        <v>179</v>
      </c>
      <c r="D29" s="74">
        <v>25</v>
      </c>
      <c r="E29" s="74">
        <v>25</v>
      </c>
      <c r="F29" s="74">
        <v>30</v>
      </c>
      <c r="G29" s="74">
        <v>32</v>
      </c>
      <c r="H29" s="74">
        <v>32</v>
      </c>
      <c r="I29" s="74">
        <v>30</v>
      </c>
      <c r="J29" s="74">
        <v>40</v>
      </c>
      <c r="K29" s="74">
        <v>32</v>
      </c>
      <c r="L29" s="74">
        <v>30</v>
      </c>
      <c r="M29" s="74">
        <v>39</v>
      </c>
      <c r="N29" s="74">
        <v>33</v>
      </c>
      <c r="O29" s="74">
        <v>29</v>
      </c>
      <c r="P29" s="74">
        <v>30</v>
      </c>
      <c r="Q29" s="93">
        <v>33</v>
      </c>
      <c r="R29" s="74">
        <v>31</v>
      </c>
      <c r="S29" s="74">
        <v>30</v>
      </c>
      <c r="T29" s="74">
        <v>32</v>
      </c>
      <c r="U29" s="74">
        <v>30</v>
      </c>
      <c r="V29" s="74">
        <v>26</v>
      </c>
      <c r="W29" s="74">
        <v>24</v>
      </c>
      <c r="X29" s="74">
        <v>26</v>
      </c>
      <c r="Y29" s="74">
        <v>35</v>
      </c>
      <c r="Z29" s="181"/>
      <c r="AA29" s="182"/>
      <c r="AB29" s="182"/>
      <c r="AC29" s="182"/>
      <c r="AD29" s="182"/>
      <c r="AE29" s="183"/>
      <c r="AH29" s="64" ph="1">
        <v>15</v>
      </c>
      <c r="AI29" s="64" t="s" ph="1">
        <v>352</v>
      </c>
      <c r="AZ29" s="64" t="s" ph="1">
        <v>216</v>
      </c>
      <c r="BA29" s="64" ph="1">
        <v>0</v>
      </c>
      <c r="BD29" s="64" t="s" ph="1">
        <v>353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354</v>
      </c>
      <c r="AZ30" s="64" t="s" ph="1">
        <v>216</v>
      </c>
      <c r="BA30" s="64" ph="1">
        <v>0</v>
      </c>
    </row>
    <row r="31" spans="1:57" ht="28.2" ph="1">
      <c r="A31" s="64"/>
      <c r="B31" s="197" t="s" ph="1">
        <v>35</v>
      </c>
      <c r="C31" s="198" ph="1"/>
      <c r="D31" s="201" t="s" ph="1">
        <v>9</v>
      </c>
      <c r="E31" s="190" ph="1"/>
      <c r="F31" s="191" ph="1"/>
      <c r="G31" s="201" t="s" ph="1">
        <v>18</v>
      </c>
      <c r="H31" s="190" ph="1"/>
      <c r="I31" s="191" ph="1"/>
      <c r="J31" s="189" t="s" ph="1">
        <v>1</v>
      </c>
      <c r="K31" s="190" ph="1"/>
      <c r="L31" s="191" ph="1"/>
      <c r="M31" s="189" t="s" ph="1">
        <v>7</v>
      </c>
      <c r="N31" s="190" ph="1"/>
      <c r="O31" s="191" ph="1"/>
      <c r="P31" s="189" t="s" ph="1">
        <v>41</v>
      </c>
      <c r="Q31" s="190"/>
      <c r="R31" s="191"/>
      <c r="S31" s="189" t="s" ph="1">
        <v>2</v>
      </c>
      <c r="T31" s="190"/>
      <c r="U31" s="191"/>
      <c r="V31" s="189" t="s" ph="1">
        <v>71</v>
      </c>
      <c r="W31" s="190" ph="1"/>
      <c r="X31" s="191" ph="1"/>
      <c r="Y31" s="189" t="s" ph="1">
        <v>3</v>
      </c>
      <c r="Z31" s="190" ph="1"/>
      <c r="AA31" s="191" ph="1"/>
      <c r="AB31" s="212" t="s">
        <v>42</v>
      </c>
      <c r="AC31" s="213"/>
      <c r="AD31" s="213"/>
      <c r="AE31" s="214"/>
      <c r="AH31" s="64" ph="1">
        <v>17</v>
      </c>
      <c r="AI31" s="64" t="s" ph="1">
        <v>355</v>
      </c>
      <c r="AZ31" s="64" t="s" ph="1">
        <v>216</v>
      </c>
      <c r="BA31" s="64" ph="1">
        <v>0</v>
      </c>
      <c r="BD31" s="64" t="s" ph="1">
        <v>356</v>
      </c>
      <c r="BE31" s="64" ph="1">
        <v>9310</v>
      </c>
    </row>
    <row r="32" spans="1:57" ph="1">
      <c r="A32" s="64"/>
      <c r="B32" s="199" ph="1"/>
      <c r="C32" s="200" ph="1"/>
      <c r="D32" s="96" t="s" ph="1">
        <v>4</v>
      </c>
      <c r="E32" s="145" t="s" ph="1">
        <v>5</v>
      </c>
      <c r="F32" s="146" t="s" ph="1">
        <v>43</v>
      </c>
      <c r="G32" s="97" t="s" ph="1">
        <v>4</v>
      </c>
      <c r="H32" s="145" t="s" ph="1">
        <v>5</v>
      </c>
      <c r="I32" s="146" t="s" ph="1">
        <v>43</v>
      </c>
      <c r="J32" s="97" t="s" ph="1">
        <v>4</v>
      </c>
      <c r="K32" s="145" t="s" ph="1">
        <v>5</v>
      </c>
      <c r="L32" s="146" t="s" ph="1">
        <v>43</v>
      </c>
      <c r="M32" s="97" t="s" ph="1">
        <v>4</v>
      </c>
      <c r="N32" s="145" t="s" ph="1">
        <v>5</v>
      </c>
      <c r="O32" s="146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45" t="s" ph="1">
        <v>5</v>
      </c>
      <c r="U32" s="99" t="s" ph="1">
        <v>43</v>
      </c>
      <c r="V32" s="97" t="s" ph="1">
        <v>4</v>
      </c>
      <c r="W32" s="145" t="s" ph="1">
        <v>5</v>
      </c>
      <c r="X32" s="99" t="s" ph="1">
        <v>43</v>
      </c>
      <c r="Y32" s="100" t="s" ph="1">
        <v>4</v>
      </c>
      <c r="Z32" s="145" t="s" ph="1">
        <v>5</v>
      </c>
      <c r="AA32" s="146" t="s" ph="1">
        <v>43</v>
      </c>
      <c r="AB32" s="97" t="s" ph="1">
        <v>85</v>
      </c>
      <c r="AC32" s="145" t="s" ph="1">
        <v>84</v>
      </c>
      <c r="AD32" s="215" t="s" ph="1">
        <v>83</v>
      </c>
      <c r="AE32" s="216"/>
      <c r="AH32" s="64" ph="1">
        <v>18</v>
      </c>
      <c r="AI32" s="64" t="s" ph="1">
        <v>357</v>
      </c>
      <c r="AZ32" s="64" t="s" ph="1">
        <v>216</v>
      </c>
      <c r="BA32" s="64" ph="1">
        <v>0</v>
      </c>
    </row>
    <row r="33" spans="1:57" ph="1">
      <c r="A33" s="64"/>
      <c r="B33" s="202" t="s" ph="1">
        <v>181</v>
      </c>
      <c r="C33" s="203" ph="1"/>
      <c r="D33" s="206" ph="1">
        <f>AA10+AB10+Z19</f>
        <v>95901.566950040011</v>
      </c>
      <c r="E33" s="206" ph="1">
        <f>M10+I10</f>
        <v>232697.09579480003</v>
      </c>
      <c r="F33" s="208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1522252632456786910111213141516171819202123456789101112131415161718192022232424356789101112131415161718192021222345678910111213141516171819202345678910111213149101516171819222123234567891012131415161711181920212224252345678910111213131[[#This Row],[F25]]</f>
        <v>3880</v>
      </c>
      <c r="G33" s="210" ph="1">
        <f>N19</f>
        <v>14536.275054399999</v>
      </c>
      <c r="H33" s="206" ph="1">
        <f>M19</f>
        <v>28124.538353034</v>
      </c>
      <c r="I33" s="219" ph="1">
        <v>0</v>
      </c>
      <c r="J33" s="217" ph="1">
        <f>F10+O28</f>
        <v>248422.30045180005</v>
      </c>
      <c r="K33" s="206" ph="1">
        <f>O10+K10+E28+R28</f>
        <v>304056.24189607997</v>
      </c>
      <c r="L33" s="221" ph="1">
        <f>K19</f>
        <v>22894.701270179998</v>
      </c>
      <c r="M33" s="217" ph="1">
        <f>G10+H10+W28+S28+V28+E10+R19+P28+Q28</f>
        <v>981305.92797099997</v>
      </c>
      <c r="N33" s="206" ph="1">
        <f>L10+P10++G28+H28+AD19+AE19</f>
        <v>196818.98336139999</v>
      </c>
      <c r="O33" s="219" ph="1">
        <f>G19</f>
        <v>31154.305091960003</v>
      </c>
      <c r="P33" s="217" ph="1">
        <f>L19</f>
        <v>25273.905760789999</v>
      </c>
      <c r="Q33" s="206" ph="1">
        <f>J10+N10</f>
        <v>36014.350138239999</v>
      </c>
      <c r="R33" s="219" ph="1">
        <f>BE23</f>
        <v>890</v>
      </c>
      <c r="S33" s="217" ph="1">
        <f>X28</f>
        <v>153533.09676079999</v>
      </c>
      <c r="T33" s="206" ph="1">
        <f>X19</f>
        <v>18833.849571879997</v>
      </c>
      <c r="U33" s="227" ph="1">
        <f>BE21</f>
        <v>730</v>
      </c>
      <c r="V33" s="238" ph="1">
        <f ca="1">P19+Q19+S19+M28+N28+J28+D10+AC10+D19+E19+H19+J19+O19+V19+W19+K28+L28</f>
        <v>471157.85091949592</v>
      </c>
      <c r="W33" s="238" ph="1">
        <f>D28+F28+T28+I28</f>
        <v>64583.368651691992</v>
      </c>
      <c r="X33" s="219" ph="1">
        <f>BE29+BE31</f>
        <v>10200</v>
      </c>
      <c r="Y33" s="240" ph="1">
        <f>+Q10+R10+S10+T10+U10+V10+W10+X10+Y10</f>
        <v>154050.06424500002</v>
      </c>
      <c r="Z33" s="225" ph="1">
        <f>T19+U19+Y28+Z10</f>
        <v>311370.73881012003</v>
      </c>
      <c r="AA33" s="227" ph="1">
        <f>BE19</f>
        <v>1440</v>
      </c>
      <c r="AB33" s="229" ph="1">
        <f>I19</f>
        <v>47543.575353039996</v>
      </c>
      <c r="AC33" s="231" ph="1">
        <f>AD10+AB19</f>
        <v>121657.4686884</v>
      </c>
      <c r="AD33" s="233" ph="1">
        <v>0</v>
      </c>
      <c r="AE33" s="234"/>
      <c r="AH33" s="64" ph="1">
        <v>19</v>
      </c>
      <c r="AI33" s="64" t="s" ph="1">
        <v>358</v>
      </c>
      <c r="AJ33" s="64" t="s" ph="1">
        <v>592</v>
      </c>
      <c r="AK33" s="64" t="s" ph="1">
        <v>589</v>
      </c>
      <c r="AL33" s="64" ph="1">
        <v>730</v>
      </c>
      <c r="AM33" s="64" t="s" ph="1">
        <v>339</v>
      </c>
      <c r="AZ33" s="64" t="s" ph="1">
        <v>216</v>
      </c>
      <c r="BA33" s="64" ph="1">
        <v>730</v>
      </c>
      <c r="BD33" s="64" t="s" ph="1">
        <v>290</v>
      </c>
      <c r="BE33" s="64" ph="1">
        <v>3880</v>
      </c>
    </row>
    <row r="34" spans="1:57" ph="1">
      <c r="A34" s="64"/>
      <c r="B34" s="204" ph="1"/>
      <c r="C34" s="205" ph="1"/>
      <c r="D34" s="207" ph="1"/>
      <c r="E34" s="207" ph="1"/>
      <c r="F34" s="209" ph="1"/>
      <c r="G34" s="211" ph="1"/>
      <c r="H34" s="207" ph="1"/>
      <c r="I34" s="220" ph="1"/>
      <c r="J34" s="218" ph="1"/>
      <c r="K34" s="207" ph="1"/>
      <c r="L34" s="222" ph="1"/>
      <c r="M34" s="218" ph="1"/>
      <c r="N34" s="207" ph="1"/>
      <c r="O34" s="220" ph="1"/>
      <c r="P34" s="218" ph="1"/>
      <c r="Q34" s="207" ph="1"/>
      <c r="R34" s="220" ph="1"/>
      <c r="S34" s="218" ph="1"/>
      <c r="T34" s="207"/>
      <c r="U34" s="228"/>
      <c r="V34" s="239" ph="1"/>
      <c r="W34" s="239" ph="1"/>
      <c r="X34" s="220" ph="1"/>
      <c r="Y34" s="241" ph="1"/>
      <c r="Z34" s="226" ph="1"/>
      <c r="AA34" s="228" ph="1"/>
      <c r="AB34" s="230"/>
      <c r="AC34" s="232"/>
      <c r="AD34" s="235"/>
      <c r="AE34" s="236"/>
      <c r="AH34" s="64" ph="1">
        <v>20</v>
      </c>
      <c r="AI34" s="64" t="s" ph="1">
        <v>359</v>
      </c>
      <c r="AJ34" s="64" t="s" ph="1">
        <v>593</v>
      </c>
      <c r="AK34" s="64" t="s" ph="1">
        <v>589</v>
      </c>
      <c r="AL34" s="64" ph="1">
        <v>720</v>
      </c>
      <c r="AM34" s="64" t="s" ph="1">
        <v>339</v>
      </c>
      <c r="AZ34" s="64" t="s" ph="1">
        <v>216</v>
      </c>
      <c r="BA34" s="64" ph="1">
        <v>720</v>
      </c>
    </row>
    <row r="35" spans="1:57" ph="1">
      <c r="A35" s="64"/>
      <c r="AC35" s="237" t="s" ph="1">
        <v>631</v>
      </c>
      <c r="AD35" s="237"/>
      <c r="AE35" s="237"/>
      <c r="AH35" s="64" ph="1">
        <v>21</v>
      </c>
      <c r="AI35" s="64" t="s" ph="1">
        <v>360</v>
      </c>
      <c r="AZ35" s="64" t="s" ph="1">
        <v>216</v>
      </c>
      <c r="BA35" s="64" ph="1">
        <v>0</v>
      </c>
      <c r="BD35" s="64" t="s" ph="1">
        <v>361</v>
      </c>
      <c r="BE35" s="64" ph="1">
        <v>2030</v>
      </c>
    </row>
    <row r="36" spans="1:57" ht="28.2" ph="1">
      <c r="A36" s="64"/>
      <c r="B36" s="103" t="s" ph="1">
        <v>182</v>
      </c>
      <c r="I36" s="223" t="s" ph="1">
        <v>183</v>
      </c>
      <c r="J36" s="223" ph="1"/>
      <c r="K36" s="101" ph="1"/>
      <c r="P36" s="101" ph="1"/>
      <c r="R36" s="223" t="s" ph="1">
        <v>184</v>
      </c>
      <c r="S36" s="223" ph="1"/>
      <c r="Y36" s="102" ph="1"/>
      <c r="Z36" s="147" t="s" ph="1">
        <v>185</v>
      </c>
      <c r="AA36" s="147" ph="1"/>
      <c r="AB36" s="224" t="s" ph="1">
        <v>639</v>
      </c>
      <c r="AC36" s="224" ph="1"/>
      <c r="AD36" s="224" ph="1"/>
      <c r="AE36" s="224" ph="1"/>
      <c r="BA36" s="64" ph="1">
        <v>2270</v>
      </c>
    </row>
    <row r="37" spans="1:57" s="147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47" t="s" ph="1">
        <v>342</v>
      </c>
      <c r="AI37" s="147" t="s" ph="1">
        <v>209</v>
      </c>
      <c r="AJ37" s="147" t="s" ph="1">
        <v>210</v>
      </c>
      <c r="AK37" s="147" t="s" ph="1">
        <v>211</v>
      </c>
      <c r="AM37" s="147" t="s" ph="1">
        <v>210</v>
      </c>
      <c r="AN37" s="147" t="s" ph="1">
        <v>211</v>
      </c>
      <c r="AO37" s="147" t="s" ph="1">
        <v>212</v>
      </c>
      <c r="AP37" s="147" t="s" ph="1">
        <v>210</v>
      </c>
      <c r="AQ37" s="147" t="s" ph="1">
        <v>211</v>
      </c>
      <c r="AR37" s="147" t="s" ph="1">
        <v>212</v>
      </c>
      <c r="AS37" s="147" t="s" ph="1">
        <v>210</v>
      </c>
      <c r="AT37" s="147" t="s" ph="1">
        <v>211</v>
      </c>
      <c r="AU37" s="147" t="s" ph="1">
        <v>212</v>
      </c>
      <c r="AV37" s="147" t="s" ph="1">
        <v>210</v>
      </c>
      <c r="AW37" s="147" t="s" ph="1">
        <v>211</v>
      </c>
      <c r="AX37" s="147" t="s" ph="1">
        <v>212</v>
      </c>
      <c r="AY37" s="147" t="s" ph="1">
        <v>211</v>
      </c>
      <c r="AZ37" s="147" t="s" ph="1">
        <v>213</v>
      </c>
      <c r="BD37" s="147" t="s" ph="1">
        <v>305</v>
      </c>
      <c r="BE37" s="147" ph="1">
        <v>0</v>
      </c>
    </row>
    <row r="38" spans="1:57" ph="1">
      <c r="AE38" s="64" ph="1"/>
      <c r="AH38" s="64" ph="1">
        <v>1</v>
      </c>
      <c r="AI38" s="64" t="s" ph="1">
        <v>362</v>
      </c>
      <c r="AY38" s="64" t="s" ph="1">
        <v>216</v>
      </c>
      <c r="AZ38" s="64" t="s" ph="1">
        <v>367</v>
      </c>
    </row>
    <row r="39" spans="1:57" ph="1">
      <c r="AH39" s="64" ph="1">
        <v>2</v>
      </c>
      <c r="AI39" s="64" t="s" ph="1">
        <v>364</v>
      </c>
      <c r="AJ39" s="64" t="s" ph="1">
        <v>336</v>
      </c>
      <c r="AK39" s="64" t="s" ph="1">
        <v>365</v>
      </c>
      <c r="AM39" s="64" t="s" ph="1">
        <v>570</v>
      </c>
      <c r="AN39" s="64" t="s" ph="1">
        <v>228</v>
      </c>
      <c r="AO39" s="64" t="s" ph="1">
        <v>363</v>
      </c>
      <c r="AY39" s="64" t="s" ph="1">
        <v>216</v>
      </c>
      <c r="AZ39" s="64" t="s" ph="1">
        <v>499</v>
      </c>
    </row>
    <row r="40" spans="1:57" ph="1">
      <c r="AH40" s="64" ph="1">
        <v>3</v>
      </c>
      <c r="AI40" s="64" t="s" ph="1">
        <v>366</v>
      </c>
      <c r="AJ40" s="64" t="s" ph="1">
        <v>570</v>
      </c>
      <c r="AK40" s="64" t="s" ph="1">
        <v>571</v>
      </c>
      <c r="AY40" s="64" t="s" ph="1">
        <v>216</v>
      </c>
      <c r="AZ40" s="64" t="s" ph="1">
        <v>571</v>
      </c>
    </row>
    <row r="41" spans="1:57" ph="1">
      <c r="AH41" s="64" ph="1">
        <v>4</v>
      </c>
      <c r="AI41" s="64" t="s" ph="1">
        <v>368</v>
      </c>
      <c r="AJ41" s="64" t="s" ph="1">
        <v>572</v>
      </c>
      <c r="AK41" s="64" t="s" ph="1">
        <v>573</v>
      </c>
      <c r="AM41" s="64" t="s" ph="1">
        <v>574</v>
      </c>
      <c r="AY41" s="64" t="s" ph="1">
        <v>216</v>
      </c>
      <c r="AZ41" s="64" t="s" ph="1">
        <v>573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369</v>
      </c>
      <c r="AY42" s="64" t="s" ph="1">
        <v>216</v>
      </c>
      <c r="AZ42" s="64" t="s" ph="1">
        <v>367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370</v>
      </c>
      <c r="AY43" s="64" t="s" ph="1">
        <v>216</v>
      </c>
      <c r="AZ43" s="64" t="s" ph="1">
        <v>367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371</v>
      </c>
      <c r="AV44" s="64" t="s" ph="1">
        <v>217</v>
      </c>
      <c r="AY44" s="64" t="s" ph="1">
        <v>216</v>
      </c>
      <c r="AZ44" s="64" t="s" ph="1">
        <v>367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372</v>
      </c>
      <c r="AV45" s="64" t="s" ph="1">
        <v>217</v>
      </c>
      <c r="AY45" s="64" t="s" ph="1">
        <v>216</v>
      </c>
      <c r="AZ45" s="64" t="s" ph="1">
        <v>367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373</v>
      </c>
      <c r="AV46" s="64" t="s" ph="1">
        <v>217</v>
      </c>
      <c r="AY46" s="64" t="s" ph="1">
        <v>216</v>
      </c>
      <c r="AZ46" s="64" t="s" ph="1">
        <v>367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374</v>
      </c>
      <c r="AV47" s="64" t="s" ph="1">
        <v>217</v>
      </c>
      <c r="AY47" s="64" t="s" ph="1">
        <v>216</v>
      </c>
      <c r="AZ47" s="64" t="s" ph="1">
        <v>367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575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232</v>
      </c>
      <c r="AI49" s="64" t="s" ph="1">
        <v>209</v>
      </c>
      <c r="AJ49" s="64" t="s" ph="1">
        <v>210</v>
      </c>
      <c r="AK49" s="64" t="s" ph="1">
        <v>211</v>
      </c>
      <c r="AM49" s="64" t="s" ph="1">
        <v>210</v>
      </c>
      <c r="AN49" s="64" t="s" ph="1">
        <v>211</v>
      </c>
      <c r="AO49" s="64" t="s" ph="1">
        <v>212</v>
      </c>
      <c r="AP49" s="64" t="s" ph="1">
        <v>210</v>
      </c>
      <c r="AQ49" s="64" t="s" ph="1">
        <v>211</v>
      </c>
      <c r="AR49" s="64" t="s" ph="1">
        <v>212</v>
      </c>
      <c r="AS49" s="64" t="s" ph="1">
        <v>210</v>
      </c>
      <c r="AT49" s="64" t="s" ph="1">
        <v>211</v>
      </c>
      <c r="AU49" s="64" t="s" ph="1">
        <v>212</v>
      </c>
      <c r="AV49" s="64" t="s" ph="1">
        <v>210</v>
      </c>
      <c r="AW49" s="64" t="s" ph="1">
        <v>211</v>
      </c>
      <c r="AX49" s="64" t="s" ph="1">
        <v>212</v>
      </c>
      <c r="AY49" s="64" t="s" ph="1">
        <v>211</v>
      </c>
      <c r="AZ49" s="64" t="s" ph="1">
        <v>213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375</v>
      </c>
      <c r="AY50" s="64" t="s" ph="1">
        <v>216</v>
      </c>
      <c r="AZ50" s="64" t="s" ph="1">
        <v>367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376</v>
      </c>
      <c r="AY51" s="64" t="s" ph="1">
        <v>216</v>
      </c>
      <c r="AZ51" s="64" t="s" ph="1">
        <v>367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377</v>
      </c>
      <c r="AJ52" s="64" t="s" ph="1">
        <v>334</v>
      </c>
      <c r="AK52" s="64" t="s" ph="1">
        <v>228</v>
      </c>
      <c r="AM52" s="64" t="s" ph="1">
        <v>336</v>
      </c>
      <c r="AN52" s="64" t="s" ph="1">
        <v>300</v>
      </c>
      <c r="AO52" s="64" t="s" ph="1">
        <v>233</v>
      </c>
      <c r="AP52" s="64" t="s" ph="1">
        <v>570</v>
      </c>
      <c r="AQ52" s="64" t="s" ph="1">
        <v>282</v>
      </c>
      <c r="AR52" s="64" t="s" ph="1">
        <v>233</v>
      </c>
      <c r="AY52" s="64" t="s" ph="1">
        <v>216</v>
      </c>
      <c r="AZ52" s="64" t="s" ph="1">
        <v>576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378</v>
      </c>
      <c r="AY53" s="64" t="s" ph="1">
        <v>216</v>
      </c>
      <c r="AZ53" s="64" t="s" ph="1">
        <v>367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379</v>
      </c>
      <c r="AJ54" s="64" t="s" ph="1">
        <v>334</v>
      </c>
      <c r="AK54" s="64" t="s" ph="1">
        <v>219</v>
      </c>
      <c r="AM54" s="64" t="s" ph="1">
        <v>336</v>
      </c>
      <c r="AN54" s="64" t="s" ph="1">
        <v>224</v>
      </c>
      <c r="AO54" s="64" t="s" ph="1">
        <v>233</v>
      </c>
      <c r="AP54" s="64" t="s" ph="1">
        <v>570</v>
      </c>
      <c r="AQ54" s="64" t="s" ph="1">
        <v>240</v>
      </c>
      <c r="AR54" s="64" t="s" ph="1">
        <v>233</v>
      </c>
      <c r="AY54" s="64" t="s" ph="1">
        <v>216</v>
      </c>
      <c r="AZ54" s="64" t="s" ph="1">
        <v>234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380</v>
      </c>
      <c r="AY55" s="64" t="s" ph="1">
        <v>216</v>
      </c>
      <c r="AZ55" s="64" t="s" ph="1">
        <v>367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381</v>
      </c>
      <c r="AY56" s="64" t="s" ph="1">
        <v>216</v>
      </c>
      <c r="AZ56" s="64" t="s" ph="1">
        <v>367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382</v>
      </c>
      <c r="AY57" s="64" t="s" ph="1">
        <v>216</v>
      </c>
      <c r="AZ57" s="64" t="s" ph="1">
        <v>367</v>
      </c>
    </row>
    <row r="58" spans="16:52" ph="1">
      <c r="P58" s="64"/>
      <c r="AN58" s="64" t="s" ph="1">
        <v>217</v>
      </c>
      <c r="AZ58" s="64" t="s" ph="1">
        <v>577</v>
      </c>
    </row>
    <row r="59" spans="16:52" ph="1">
      <c r="V59" s="64"/>
      <c r="AG59" s="64" t="s" ph="1">
        <v>235</v>
      </c>
      <c r="AI59" s="64" t="s" ph="1">
        <v>209</v>
      </c>
      <c r="AJ59" s="64" t="s" ph="1">
        <v>210</v>
      </c>
      <c r="AK59" s="64" t="s" ph="1">
        <v>211</v>
      </c>
      <c r="AM59" s="64" t="s" ph="1">
        <v>210</v>
      </c>
      <c r="AN59" s="64" t="s" ph="1">
        <v>211</v>
      </c>
      <c r="AO59" s="64" t="s" ph="1">
        <v>212</v>
      </c>
      <c r="AP59" s="64" t="s" ph="1">
        <v>210</v>
      </c>
      <c r="AQ59" s="64" t="s" ph="1">
        <v>211</v>
      </c>
      <c r="AR59" s="64" t="s" ph="1">
        <v>212</v>
      </c>
      <c r="AS59" s="64" t="s" ph="1">
        <v>210</v>
      </c>
      <c r="AT59" s="64" t="s" ph="1">
        <v>211</v>
      </c>
      <c r="AU59" s="64" t="s" ph="1">
        <v>212</v>
      </c>
      <c r="AV59" s="64" t="s" ph="1">
        <v>210</v>
      </c>
      <c r="AW59" s="64" t="s" ph="1">
        <v>211</v>
      </c>
      <c r="AX59" s="64" t="s" ph="1">
        <v>212</v>
      </c>
      <c r="AY59" s="64" t="s" ph="1">
        <v>211</v>
      </c>
      <c r="AZ59" s="64" t="s" ph="1">
        <v>213</v>
      </c>
    </row>
    <row r="60" spans="16:52" ph="1">
      <c r="R60" s="64"/>
      <c r="S60" s="64"/>
      <c r="T60" s="64"/>
      <c r="AH60" s="64" ph="1">
        <v>1</v>
      </c>
      <c r="AI60" s="64" t="s" ph="1">
        <v>383</v>
      </c>
      <c r="AY60" s="64" t="s" ph="1">
        <v>216</v>
      </c>
      <c r="AZ60" s="64" t="s" ph="1">
        <v>367</v>
      </c>
    </row>
    <row r="61" spans="16:52" ph="1">
      <c r="AH61" s="64" ph="1">
        <v>2</v>
      </c>
      <c r="AI61" s="64" t="s" ph="1">
        <v>384</v>
      </c>
      <c r="AS61" s="64" t="s" ph="1">
        <v>217</v>
      </c>
      <c r="AY61" s="64" t="s" ph="1">
        <v>216</v>
      </c>
      <c r="AZ61" s="64" t="s" ph="1">
        <v>367</v>
      </c>
    </row>
    <row r="62" spans="16:52" ph="1">
      <c r="AZ62" s="64" t="s" ph="1">
        <v>385</v>
      </c>
    </row>
    <row r="63" spans="16:52" ph="1">
      <c r="AG63" s="64" t="s" ph="1">
        <v>238</v>
      </c>
      <c r="AI63" s="64" t="s" ph="1">
        <v>209</v>
      </c>
      <c r="AJ63" s="64" t="s" ph="1">
        <v>210</v>
      </c>
      <c r="AK63" s="64" t="s" ph="1">
        <v>211</v>
      </c>
      <c r="AM63" s="64" t="s" ph="1">
        <v>210</v>
      </c>
      <c r="AN63" s="64" t="s" ph="1">
        <v>211</v>
      </c>
      <c r="AO63" s="64" t="s" ph="1">
        <v>212</v>
      </c>
      <c r="AP63" s="64" t="s" ph="1">
        <v>210</v>
      </c>
      <c r="AQ63" s="64" t="s" ph="1">
        <v>211</v>
      </c>
      <c r="AR63" s="64" t="s" ph="1">
        <v>212</v>
      </c>
      <c r="AS63" s="64" t="s" ph="1">
        <v>210</v>
      </c>
      <c r="AT63" s="64" t="s" ph="1">
        <v>211</v>
      </c>
      <c r="AU63" s="64" t="s" ph="1">
        <v>212</v>
      </c>
      <c r="AV63" s="64" t="s" ph="1">
        <v>210</v>
      </c>
      <c r="AW63" s="64" t="s" ph="1">
        <v>211</v>
      </c>
      <c r="AX63" s="64" t="s" ph="1">
        <v>212</v>
      </c>
      <c r="AY63" s="64" t="s" ph="1">
        <v>211</v>
      </c>
      <c r="AZ63" s="64" t="s" ph="1">
        <v>213</v>
      </c>
    </row>
    <row r="64" spans="16:52" ph="1">
      <c r="AH64" s="64" ph="1">
        <v>1</v>
      </c>
      <c r="AI64" s="64" t="s" ph="1">
        <v>386</v>
      </c>
      <c r="AJ64" s="64" t="s" ph="1">
        <v>387</v>
      </c>
      <c r="AK64" s="64" t="s" ph="1">
        <v>388</v>
      </c>
      <c r="AY64" s="64" t="s" ph="1">
        <v>216</v>
      </c>
      <c r="AZ64" s="64" t="s" ph="1">
        <v>388</v>
      </c>
    </row>
    <row r="65" spans="33:52" ph="1">
      <c r="AH65" s="64" ph="1">
        <v>2</v>
      </c>
      <c r="AI65" s="64" t="s" ph="1">
        <v>389</v>
      </c>
      <c r="AY65" s="64" t="s" ph="1">
        <v>216</v>
      </c>
      <c r="AZ65" s="64" t="s" ph="1">
        <v>367</v>
      </c>
    </row>
    <row r="66" spans="33:52" ph="1">
      <c r="AH66" s="64" ph="1">
        <v>3</v>
      </c>
      <c r="AI66" s="64" t="s" ph="1">
        <v>390</v>
      </c>
      <c r="AY66" s="64" t="s" ph="1">
        <v>216</v>
      </c>
      <c r="AZ66" s="64" t="s" ph="1">
        <v>367</v>
      </c>
    </row>
    <row r="67" spans="33:52" ph="1">
      <c r="AH67" s="64" ph="1">
        <v>4</v>
      </c>
      <c r="AI67" s="64" t="s" ph="1">
        <v>391</v>
      </c>
      <c r="AY67" s="64" t="s" ph="1">
        <v>216</v>
      </c>
      <c r="AZ67" s="64" t="s" ph="1">
        <v>367</v>
      </c>
    </row>
    <row r="68" spans="33:52" ph="1">
      <c r="AH68" s="64" ph="1">
        <v>5</v>
      </c>
      <c r="AI68" s="64" t="s" ph="1">
        <v>392</v>
      </c>
      <c r="AY68" s="64" t="s" ph="1">
        <v>216</v>
      </c>
      <c r="AZ68" s="64" t="s" ph="1">
        <v>367</v>
      </c>
    </row>
    <row r="69" spans="33:52" ph="1">
      <c r="AH69" s="64" ph="1">
        <v>6</v>
      </c>
      <c r="AI69" s="64" t="s" ph="1">
        <v>393</v>
      </c>
      <c r="AY69" s="64" t="s" ph="1">
        <v>216</v>
      </c>
      <c r="AZ69" s="64" t="s" ph="1">
        <v>367</v>
      </c>
    </row>
    <row r="70" spans="33:52" ph="1">
      <c r="AI70" s="64" t="s" ph="1">
        <v>394</v>
      </c>
      <c r="AY70" s="64" t="s" ph="1">
        <v>216</v>
      </c>
      <c r="AZ70" s="64" t="s" ph="1">
        <v>367</v>
      </c>
    </row>
    <row r="71" spans="33:52" ph="1">
      <c r="AH71" s="64" ph="1">
        <v>7</v>
      </c>
      <c r="AI71" s="64" t="s" ph="1">
        <v>395</v>
      </c>
      <c r="AJ71" s="64" t="s" ph="1">
        <v>334</v>
      </c>
      <c r="AK71" s="64" t="s" ph="1">
        <v>228</v>
      </c>
      <c r="AM71" s="64" t="s" ph="1">
        <v>336</v>
      </c>
      <c r="AN71" s="64" t="s" ph="1">
        <v>228</v>
      </c>
      <c r="AO71" s="64" t="s" ph="1">
        <v>396</v>
      </c>
      <c r="AP71" s="64" t="s" ph="1">
        <v>570</v>
      </c>
      <c r="AQ71" s="64" t="s" ph="1">
        <v>219</v>
      </c>
      <c r="AR71" s="64" t="s" ph="1">
        <v>396</v>
      </c>
      <c r="AY71" s="64" t="s" ph="1">
        <v>216</v>
      </c>
      <c r="AZ71" s="64" t="s" ph="1">
        <v>578</v>
      </c>
    </row>
    <row r="72" spans="33:52" ph="1">
      <c r="AZ72" s="64" t="s" ph="1">
        <v>579</v>
      </c>
    </row>
    <row r="73" spans="33:52" ph="1">
      <c r="AG73" s="64" t="s" ph="1">
        <v>241</v>
      </c>
      <c r="AI73" s="64" t="s" ph="1">
        <v>209</v>
      </c>
      <c r="AJ73" s="64" t="s" ph="1">
        <v>210</v>
      </c>
      <c r="AK73" s="64" t="s" ph="1">
        <v>211</v>
      </c>
      <c r="AM73" s="64" t="s" ph="1">
        <v>210</v>
      </c>
      <c r="AN73" s="64" t="s" ph="1">
        <v>211</v>
      </c>
      <c r="AO73" s="64" t="s" ph="1">
        <v>212</v>
      </c>
      <c r="AP73" s="64" t="s" ph="1">
        <v>210</v>
      </c>
      <c r="AQ73" s="64" t="s" ph="1">
        <v>211</v>
      </c>
      <c r="AR73" s="64" t="s" ph="1">
        <v>212</v>
      </c>
      <c r="AS73" s="64" t="s" ph="1">
        <v>210</v>
      </c>
      <c r="AT73" s="64" t="s" ph="1">
        <v>211</v>
      </c>
      <c r="AU73" s="64" t="s" ph="1">
        <v>212</v>
      </c>
      <c r="AV73" s="64" t="s" ph="1">
        <v>210</v>
      </c>
      <c r="AW73" s="64" t="s" ph="1">
        <v>211</v>
      </c>
      <c r="AX73" s="64" t="s" ph="1">
        <v>212</v>
      </c>
      <c r="AY73" s="64" t="s" ph="1">
        <v>211</v>
      </c>
      <c r="AZ73" s="64" t="s" ph="1">
        <v>213</v>
      </c>
    </row>
    <row r="74" spans="33:52" ph="1">
      <c r="AH74" s="64" ph="1">
        <v>1</v>
      </c>
      <c r="AI74" s="64" t="s" ph="1">
        <v>397</v>
      </c>
      <c r="AJ74" s="64" t="s" ph="1">
        <v>242</v>
      </c>
      <c r="AK74" s="64" t="s" ph="1">
        <v>224</v>
      </c>
      <c r="AM74" s="64" t="s" ph="1">
        <v>244</v>
      </c>
      <c r="AN74" s="64" t="s" ph="1">
        <v>254</v>
      </c>
      <c r="AO74" s="64" t="s" ph="1">
        <v>243</v>
      </c>
      <c r="AP74" s="64" t="s" ph="1">
        <v>245</v>
      </c>
      <c r="AQ74" s="64" t="s" ph="1">
        <v>222</v>
      </c>
      <c r="AR74" s="64" t="s" ph="1">
        <v>243</v>
      </c>
      <c r="AS74" s="64" t="s" ph="1">
        <v>215</v>
      </c>
      <c r="AT74" s="64" t="s" ph="1">
        <v>217</v>
      </c>
      <c r="AV74" s="64" t="s" ph="1">
        <v>398</v>
      </c>
      <c r="AW74" s="64" t="s" ph="1">
        <v>399</v>
      </c>
      <c r="AX74" s="64" t="s" ph="1">
        <v>400</v>
      </c>
      <c r="AY74" s="64" t="s" ph="1">
        <v>216</v>
      </c>
      <c r="AZ74" s="64" t="s" ph="1">
        <v>401</v>
      </c>
    </row>
    <row r="75" spans="33:52" ph="1">
      <c r="AJ75" s="64" t="s" ph="1">
        <v>247</v>
      </c>
      <c r="AK75" s="64" t="s" ph="1">
        <v>300</v>
      </c>
      <c r="AM75" s="64" t="s" ph="1">
        <v>245</v>
      </c>
      <c r="AN75" s="64" t="s" ph="1">
        <v>225</v>
      </c>
      <c r="AO75" s="64" t="s" ph="1">
        <v>243</v>
      </c>
      <c r="AS75" s="64" t="s" ph="1">
        <v>215</v>
      </c>
      <c r="AT75" s="64" t="s" ph="1">
        <v>246</v>
      </c>
    </row>
    <row r="76" spans="33:52" ph="1">
      <c r="AJ76" s="64" t="s" ph="1">
        <v>247</v>
      </c>
      <c r="AK76" s="64" t="s" ph="1">
        <v>240</v>
      </c>
      <c r="AM76" s="64" t="s" ph="1">
        <v>245</v>
      </c>
      <c r="AN76" s="64" t="s" ph="1">
        <v>228</v>
      </c>
      <c r="AO76" s="64" t="s" ph="1">
        <v>243</v>
      </c>
      <c r="AS76" s="64" t="s" ph="1">
        <v>215</v>
      </c>
      <c r="AT76" s="64" t="s" ph="1">
        <v>246</v>
      </c>
    </row>
    <row r="77" spans="33:52" ph="1">
      <c r="AJ77" s="64" t="s" ph="1">
        <v>283</v>
      </c>
      <c r="AK77" s="64" t="s" ph="1">
        <v>240</v>
      </c>
      <c r="AM77" s="64" t="s" ph="1">
        <v>284</v>
      </c>
      <c r="AN77" s="64" t="s" ph="1">
        <v>223</v>
      </c>
      <c r="AO77" s="64" t="s" ph="1">
        <v>243</v>
      </c>
      <c r="AS77" s="64" t="s" ph="1">
        <v>215</v>
      </c>
      <c r="AT77" s="64" t="s" ph="1">
        <v>285</v>
      </c>
    </row>
    <row r="78" spans="33:52" ph="1">
      <c r="AH78" s="64" ph="1">
        <v>2</v>
      </c>
      <c r="AI78" s="64" t="s" ph="1">
        <v>249</v>
      </c>
      <c r="AJ78" s="64" t="s" ph="1">
        <v>250</v>
      </c>
      <c r="AK78" s="64" t="s" ph="1">
        <v>219</v>
      </c>
      <c r="AM78" s="64" t="s" ph="1">
        <v>251</v>
      </c>
      <c r="AN78" s="64" t="s" ph="1">
        <v>254</v>
      </c>
      <c r="AO78" s="64" t="s" ph="1">
        <v>243</v>
      </c>
      <c r="AP78" s="64" t="s" ph="1">
        <v>252</v>
      </c>
      <c r="AQ78" s="64" t="s" ph="1">
        <v>298</v>
      </c>
      <c r="AR78" s="64" t="s" ph="1">
        <v>243</v>
      </c>
      <c r="AS78" s="64" t="s" ph="1">
        <v>253</v>
      </c>
      <c r="AT78" s="64" t="s" ph="1">
        <v>254</v>
      </c>
      <c r="AU78" s="64" t="s" ph="1">
        <v>243</v>
      </c>
      <c r="AV78" s="64" t="s" ph="1">
        <v>255</v>
      </c>
      <c r="AW78" s="64" t="s" ph="1">
        <v>243</v>
      </c>
      <c r="AY78" s="64" t="s" ph="1">
        <v>216</v>
      </c>
      <c r="AZ78" s="64" t="s" ph="1">
        <v>402</v>
      </c>
    </row>
    <row r="79" spans="33:52" ph="1">
      <c r="AJ79" s="64" t="s" ph="1">
        <v>245</v>
      </c>
      <c r="AK79" s="64" t="s" ph="1">
        <v>256</v>
      </c>
      <c r="AM79" s="64" t="s" ph="1">
        <v>257</v>
      </c>
      <c r="AN79" s="64" t="s" ph="1">
        <v>225</v>
      </c>
      <c r="AO79" s="64" t="s" ph="1">
        <v>243</v>
      </c>
      <c r="AP79" s="64" t="s" ph="1">
        <v>258</v>
      </c>
      <c r="AQ79" s="64" t="s" ph="1">
        <v>223</v>
      </c>
      <c r="AR79" s="64" t="s" ph="1">
        <v>259</v>
      </c>
      <c r="AS79" s="64" t="s" ph="1">
        <v>215</v>
      </c>
      <c r="AT79" s="64" t="s" ph="1">
        <v>260</v>
      </c>
      <c r="AV79" s="64" t="s" ph="1">
        <v>403</v>
      </c>
      <c r="AW79" s="64" t="s" ph="1">
        <v>302</v>
      </c>
      <c r="AX79" s="64" t="s" ph="1">
        <v>400</v>
      </c>
    </row>
    <row r="80" spans="33:52" ph="1">
      <c r="AH80" s="64" ph="1">
        <v>3</v>
      </c>
      <c r="AI80" s="64" t="s" ph="1">
        <v>261</v>
      </c>
      <c r="AJ80" s="64" t="s" ph="1">
        <v>262</v>
      </c>
      <c r="AK80" s="64" t="s" ph="1">
        <v>263</v>
      </c>
      <c r="AM80" s="64" t="s" ph="1">
        <v>264</v>
      </c>
      <c r="AN80" s="64" t="s" ph="1">
        <v>254</v>
      </c>
      <c r="AO80" s="64" t="s" ph="1">
        <v>243</v>
      </c>
      <c r="AP80" s="64" t="s" ph="1">
        <v>265</v>
      </c>
      <c r="AQ80" s="64" t="s" ph="1">
        <v>228</v>
      </c>
      <c r="AR80" s="64" t="s" ph="1">
        <v>243</v>
      </c>
      <c r="AS80" s="64" t="s" ph="1">
        <v>266</v>
      </c>
      <c r="AT80" s="64" t="s" ph="1">
        <v>227</v>
      </c>
      <c r="AU80" s="64" t="s" ph="1">
        <v>243</v>
      </c>
      <c r="AV80" s="64" t="s" ph="1">
        <v>267</v>
      </c>
      <c r="AW80" s="64" t="s" ph="1">
        <v>243</v>
      </c>
      <c r="AY80" s="64" t="s" ph="1">
        <v>216</v>
      </c>
      <c r="AZ80" s="64" t="s" ph="1">
        <v>404</v>
      </c>
    </row>
    <row r="81" spans="34:52" ph="1">
      <c r="AJ81" s="64" t="s" ph="1">
        <v>268</v>
      </c>
      <c r="AK81" s="64" t="s" ph="1">
        <v>222</v>
      </c>
      <c r="AM81" s="64" t="s" ph="1">
        <v>269</v>
      </c>
      <c r="AN81" s="64" t="s" ph="1">
        <v>225</v>
      </c>
      <c r="AO81" s="64" t="s" ph="1">
        <v>243</v>
      </c>
      <c r="AP81" s="64" t="s" ph="1">
        <v>270</v>
      </c>
      <c r="AQ81" s="64" t="s" ph="1">
        <v>254</v>
      </c>
      <c r="AR81" s="64" t="s" ph="1">
        <v>243</v>
      </c>
      <c r="AS81" s="64" t="s" ph="1">
        <v>271</v>
      </c>
      <c r="AT81" s="64" t="s" ph="1">
        <v>272</v>
      </c>
      <c r="AU81" s="64" t="s" ph="1">
        <v>243</v>
      </c>
      <c r="AV81" s="64" t="s" ph="1">
        <v>273</v>
      </c>
    </row>
    <row r="82" spans="34:52" ph="1">
      <c r="AJ82" s="64" t="s" ph="1">
        <v>274</v>
      </c>
      <c r="AK82" s="64" t="s" ph="1">
        <v>222</v>
      </c>
      <c r="AM82" s="64" t="s" ph="1">
        <v>275</v>
      </c>
      <c r="AN82" s="64" t="s" ph="1">
        <v>272</v>
      </c>
      <c r="AO82" s="64" t="s" ph="1">
        <v>276</v>
      </c>
      <c r="AP82" s="64" t="s" ph="1">
        <v>277</v>
      </c>
      <c r="AQ82" s="64" t="s" ph="1">
        <v>254</v>
      </c>
      <c r="AR82" s="64" t="s" ph="1">
        <v>243</v>
      </c>
      <c r="AS82" s="64" t="s" ph="1">
        <v>278</v>
      </c>
      <c r="AT82" s="64" t="s" ph="1">
        <v>229</v>
      </c>
      <c r="AU82" s="64" t="s" ph="1">
        <v>243</v>
      </c>
      <c r="AV82" s="64" t="s" ph="1">
        <v>403</v>
      </c>
      <c r="AW82" s="64" t="s" ph="1">
        <v>303</v>
      </c>
      <c r="AX82" s="64" t="s" ph="1">
        <v>400</v>
      </c>
    </row>
    <row r="83" spans="34:52" ph="1">
      <c r="AJ83" s="64" t="s" ph="1">
        <v>279</v>
      </c>
      <c r="AK83" s="64" t="s" ph="1">
        <v>296</v>
      </c>
      <c r="AM83" s="64" t="s" ph="1">
        <v>280</v>
      </c>
      <c r="AN83" s="64" t="s" ph="1">
        <v>228</v>
      </c>
      <c r="AO83" s="64" t="s" ph="1">
        <v>259</v>
      </c>
      <c r="AP83" s="64" t="s" ph="1">
        <v>281</v>
      </c>
      <c r="AQ83" s="64" t="s" ph="1">
        <v>282</v>
      </c>
      <c r="AR83" s="64" t="s" ph="1">
        <v>259</v>
      </c>
      <c r="AS83" s="64" t="s" ph="1">
        <v>405</v>
      </c>
      <c r="AT83" s="64" t="s" ph="1">
        <v>254</v>
      </c>
      <c r="AU83" s="64" t="s" ph="1">
        <v>259</v>
      </c>
      <c r="AV83" s="64" t="s" ph="1">
        <v>406</v>
      </c>
      <c r="AW83" s="64" t="s" ph="1">
        <v>303</v>
      </c>
      <c r="AX83" s="64" t="s" ph="1">
        <v>407</v>
      </c>
    </row>
    <row r="84" spans="34:52" ph="1">
      <c r="AH84" s="64" ph="1">
        <v>4</v>
      </c>
      <c r="AI84" s="64" t="s" ph="1">
        <v>286</v>
      </c>
      <c r="AJ84" s="64" t="s" ph="1">
        <v>226</v>
      </c>
      <c r="AK84" s="64" t="s" ph="1">
        <v>229</v>
      </c>
      <c r="AM84" s="64" t="s" ph="1">
        <v>230</v>
      </c>
      <c r="AN84" s="64" t="s" ph="1">
        <v>223</v>
      </c>
      <c r="AO84" s="64" t="s" ph="1">
        <v>259</v>
      </c>
      <c r="AP84" s="64" t="s" ph="1">
        <v>288</v>
      </c>
      <c r="AQ84" s="64" t="s" ph="1">
        <v>222</v>
      </c>
      <c r="AR84" s="64" t="s" ph="1">
        <v>259</v>
      </c>
      <c r="AS84" s="64" t="s" ph="1">
        <v>288</v>
      </c>
      <c r="AT84" s="64" t="s" ph="1">
        <v>224</v>
      </c>
      <c r="AU84" s="64" t="s" ph="1">
        <v>259</v>
      </c>
      <c r="AY84" s="64" t="s" ph="1">
        <v>216</v>
      </c>
      <c r="AZ84" s="64" t="s" ph="1">
        <v>408</v>
      </c>
    </row>
    <row r="85" spans="34:52" ph="1">
      <c r="AJ85" s="64" t="s" ph="1">
        <v>218</v>
      </c>
      <c r="AK85" s="64" t="s" ph="1">
        <v>222</v>
      </c>
      <c r="AM85" s="64" t="s" ph="1">
        <v>409</v>
      </c>
      <c r="AN85" s="64" t="s" ph="1">
        <v>229</v>
      </c>
      <c r="AO85" s="64" t="s" ph="1">
        <v>259</v>
      </c>
      <c r="AP85" s="64" t="s" ph="1">
        <v>410</v>
      </c>
      <c r="AQ85" s="64" t="s" ph="1">
        <v>225</v>
      </c>
      <c r="AR85" s="64" t="s" ph="1">
        <v>259</v>
      </c>
      <c r="AS85" s="64" t="s" ph="1">
        <v>411</v>
      </c>
      <c r="AT85" s="64" t="s" ph="1">
        <v>225</v>
      </c>
      <c r="AU85" s="64" t="s" ph="1">
        <v>259</v>
      </c>
    </row>
    <row r="86" spans="34:52" ph="1">
      <c r="AJ86" s="64" t="s" ph="1">
        <v>412</v>
      </c>
      <c r="AK86" s="64" t="s" ph="1">
        <v>231</v>
      </c>
      <c r="AM86" s="64" t="s" ph="1">
        <v>413</v>
      </c>
      <c r="AN86" s="64" t="s" ph="1">
        <v>272</v>
      </c>
      <c r="AO86" s="64" t="s" ph="1">
        <v>259</v>
      </c>
      <c r="AP86" s="64" t="s" ph="1">
        <v>414</v>
      </c>
      <c r="AQ86" s="64" t="s" ph="1">
        <v>219</v>
      </c>
      <c r="AR86" s="64" t="s" ph="1">
        <v>259</v>
      </c>
      <c r="AS86" s="64" t="s" ph="1">
        <v>415</v>
      </c>
      <c r="AT86" s="64" t="s" ph="1">
        <v>237</v>
      </c>
      <c r="AU86" s="64" t="s" ph="1">
        <v>259</v>
      </c>
    </row>
    <row r="87" spans="34:52" ph="1">
      <c r="AJ87" s="64" t="s" ph="1">
        <v>416</v>
      </c>
      <c r="AK87" s="64" t="s" ph="1">
        <v>272</v>
      </c>
      <c r="AM87" s="64" t="s" ph="1">
        <v>403</v>
      </c>
      <c r="AN87" s="64" t="s" ph="1">
        <v>417</v>
      </c>
      <c r="AO87" s="64" t="s" ph="1">
        <v>400</v>
      </c>
    </row>
    <row r="88" spans="34:52" ph="1">
      <c r="AH88" s="64" ph="1">
        <v>5</v>
      </c>
      <c r="AI88" s="64" t="s" ph="1">
        <v>289</v>
      </c>
      <c r="AJ88" s="64" t="s" ph="1">
        <v>418</v>
      </c>
      <c r="AK88" s="64" t="s" ph="1">
        <v>272</v>
      </c>
      <c r="AM88" s="64" t="s" ph="1">
        <v>419</v>
      </c>
      <c r="AN88" s="64" t="s" ph="1">
        <v>272</v>
      </c>
      <c r="AO88" s="64" t="s" ph="1">
        <v>259</v>
      </c>
      <c r="AP88" s="64" t="s" ph="1">
        <v>420</v>
      </c>
      <c r="AQ88" s="64" t="s" ph="1">
        <v>222</v>
      </c>
      <c r="AR88" s="64" t="s" ph="1">
        <v>259</v>
      </c>
      <c r="AS88" s="64" t="s" ph="1">
        <v>421</v>
      </c>
      <c r="AT88" s="64" t="s" ph="1">
        <v>272</v>
      </c>
      <c r="AU88" s="64" t="s" ph="1">
        <v>259</v>
      </c>
      <c r="AV88" s="64" t="s" ph="1">
        <v>422</v>
      </c>
      <c r="AW88" s="64" t="s" ph="1">
        <v>227</v>
      </c>
      <c r="AX88" s="64" t="s" ph="1">
        <v>259</v>
      </c>
      <c r="AY88" s="64" t="s" ph="1">
        <v>216</v>
      </c>
      <c r="AZ88" s="64" t="s" ph="1">
        <v>423</v>
      </c>
    </row>
    <row r="89" spans="34:52" ph="1">
      <c r="AJ89" s="64" t="s" ph="1">
        <v>424</v>
      </c>
      <c r="AK89" s="64" t="s" ph="1">
        <v>225</v>
      </c>
      <c r="AM89" s="64" t="s" ph="1">
        <v>425</v>
      </c>
      <c r="AN89" s="64" t="s" ph="1">
        <v>228</v>
      </c>
      <c r="AO89" s="64" t="s" ph="1">
        <v>259</v>
      </c>
      <c r="AP89" s="64" t="s" ph="1">
        <v>426</v>
      </c>
      <c r="AQ89" s="64" t="s" ph="1">
        <v>237</v>
      </c>
      <c r="AR89" s="64" t="s" ph="1">
        <v>259</v>
      </c>
      <c r="AS89" s="64" t="s" ph="1">
        <v>427</v>
      </c>
      <c r="AT89" s="64" t="s" ph="1">
        <v>272</v>
      </c>
      <c r="AU89" s="64" t="s" ph="1">
        <v>259</v>
      </c>
      <c r="AV89" s="64" t="s" ph="1">
        <v>428</v>
      </c>
      <c r="AW89" s="64" t="s" ph="1">
        <v>254</v>
      </c>
      <c r="AX89" s="64" t="s" ph="1">
        <v>287</v>
      </c>
    </row>
    <row r="90" spans="34:52" ph="1">
      <c r="AJ90" s="64" t="s" ph="1">
        <v>429</v>
      </c>
      <c r="AK90" s="64" t="s" ph="1">
        <v>228</v>
      </c>
      <c r="AM90" s="64" t="s" ph="1">
        <v>430</v>
      </c>
      <c r="AN90" s="64" t="s" ph="1">
        <v>225</v>
      </c>
      <c r="AO90" s="64" t="s" ph="1">
        <v>259</v>
      </c>
      <c r="AP90" s="64" t="s" ph="1">
        <v>431</v>
      </c>
      <c r="AQ90" s="64" t="s" ph="1">
        <v>294</v>
      </c>
      <c r="AR90" s="64" t="s" ph="1">
        <v>259</v>
      </c>
      <c r="AS90" s="64" t="s" ph="1">
        <v>432</v>
      </c>
      <c r="AT90" s="64" t="s" ph="1">
        <v>282</v>
      </c>
      <c r="AU90" s="64" t="s" ph="1">
        <v>259</v>
      </c>
      <c r="AV90" s="64" t="s" ph="1">
        <v>433</v>
      </c>
      <c r="AW90" s="64" t="s" ph="1">
        <v>219</v>
      </c>
      <c r="AX90" s="64" t="s" ph="1">
        <v>259</v>
      </c>
    </row>
    <row r="91" spans="34:52" ph="1">
      <c r="AJ91" s="64" t="s" ph="1">
        <v>434</v>
      </c>
      <c r="AK91" s="64" t="s" ph="1">
        <v>272</v>
      </c>
      <c r="AM91" s="64" t="s" ph="1">
        <v>435</v>
      </c>
      <c r="AN91" s="64" t="s" ph="1">
        <v>239</v>
      </c>
      <c r="AO91" s="64" t="s" ph="1">
        <v>259</v>
      </c>
      <c r="AP91" s="64" t="s" ph="1">
        <v>436</v>
      </c>
      <c r="AQ91" s="64" t="s" ph="1">
        <v>219</v>
      </c>
      <c r="AS91" s="64" t="s" ph="1">
        <v>403</v>
      </c>
      <c r="AT91" s="64" t="s" ph="1">
        <v>399</v>
      </c>
      <c r="AU91" s="64" t="s" ph="1">
        <v>400</v>
      </c>
    </row>
    <row r="92" spans="34:52" ph="1">
      <c r="AH92" s="64" ph="1">
        <v>6</v>
      </c>
      <c r="AI92" s="64" t="s" ph="1">
        <v>437</v>
      </c>
      <c r="AJ92" s="64" t="s" ph="1">
        <v>438</v>
      </c>
      <c r="AK92" s="64" t="s" ph="1">
        <v>367</v>
      </c>
      <c r="AM92" s="64" t="s" ph="1">
        <v>439</v>
      </c>
      <c r="AN92" s="64" t="s" ph="1">
        <v>227</v>
      </c>
      <c r="AO92" s="64" t="s" ph="1">
        <v>259</v>
      </c>
      <c r="AP92" s="64" t="s" ph="1">
        <v>440</v>
      </c>
      <c r="AQ92" s="64" t="s" ph="1">
        <v>299</v>
      </c>
      <c r="AR92" s="64" t="s" ph="1">
        <v>259</v>
      </c>
      <c r="AS92" s="64" t="s" ph="1">
        <v>441</v>
      </c>
      <c r="AT92" s="64" t="s" ph="1">
        <v>272</v>
      </c>
      <c r="AU92" s="64" t="s" ph="1">
        <v>259</v>
      </c>
      <c r="AV92" s="64" t="s" ph="1">
        <v>442</v>
      </c>
      <c r="AW92" s="64" t="s" ph="1">
        <v>228</v>
      </c>
      <c r="AX92" s="64" t="s" ph="1">
        <v>259</v>
      </c>
      <c r="AY92" s="64" t="s" ph="1">
        <v>216</v>
      </c>
      <c r="AZ92" s="64" t="s" ph="1">
        <v>423</v>
      </c>
    </row>
    <row r="93" spans="34:52" ph="1">
      <c r="AJ93" s="64" t="s" ph="1">
        <v>443</v>
      </c>
      <c r="AK93" s="64" t="s" ph="1">
        <v>222</v>
      </c>
      <c r="AM93" s="64" t="s" ph="1">
        <v>444</v>
      </c>
      <c r="AN93" s="64" t="s" ph="1">
        <v>227</v>
      </c>
      <c r="AO93" s="64" t="s" ph="1">
        <v>259</v>
      </c>
      <c r="AP93" s="64" t="s" ph="1">
        <v>445</v>
      </c>
      <c r="AQ93" s="64" t="s" ph="1">
        <v>231</v>
      </c>
      <c r="AR93" s="64" t="s" ph="1">
        <v>259</v>
      </c>
      <c r="AS93" s="64" t="s" ph="1">
        <v>446</v>
      </c>
      <c r="AT93" s="64" t="s" ph="1">
        <v>237</v>
      </c>
      <c r="AU93" s="64" t="s" ph="1">
        <v>259</v>
      </c>
      <c r="AV93" s="64" t="s" ph="1">
        <v>447</v>
      </c>
      <c r="AW93" s="64" t="s" ph="1">
        <v>231</v>
      </c>
      <c r="AX93" s="64" t="s" ph="1">
        <v>259</v>
      </c>
    </row>
    <row r="94" spans="34:52" ph="1">
      <c r="AJ94" s="64" t="s" ph="1">
        <v>448</v>
      </c>
      <c r="AK94" s="64" t="s" ph="1">
        <v>294</v>
      </c>
      <c r="AM94" s="64" t="s" ph="1">
        <v>449</v>
      </c>
      <c r="AN94" s="64" t="s" ph="1">
        <v>231</v>
      </c>
      <c r="AO94" s="64" t="s" ph="1">
        <v>259</v>
      </c>
      <c r="AP94" s="64" t="s" ph="1">
        <v>450</v>
      </c>
      <c r="AQ94" s="64" t="s" ph="1">
        <v>239</v>
      </c>
      <c r="AR94" s="64" t="s" ph="1">
        <v>259</v>
      </c>
      <c r="AS94" s="64" t="s" ph="1">
        <v>451</v>
      </c>
      <c r="AT94" s="64" t="s" ph="1">
        <v>225</v>
      </c>
      <c r="AU94" s="64" t="s" ph="1">
        <v>259</v>
      </c>
      <c r="AV94" s="64" t="s" ph="1">
        <v>452</v>
      </c>
      <c r="AW94" s="64" t="s" ph="1">
        <v>225</v>
      </c>
      <c r="AX94" s="64" t="s" ph="1">
        <v>259</v>
      </c>
    </row>
    <row r="95" spans="34:52" ph="1">
      <c r="AJ95" s="64" t="s" ph="1">
        <v>453</v>
      </c>
      <c r="AK95" s="64" t="s" ph="1">
        <v>299</v>
      </c>
    </row>
    <row r="96" spans="34:52" ph="1">
      <c r="AH96" s="64" ph="1">
        <v>7</v>
      </c>
      <c r="AI96" s="64" t="s" ph="1">
        <v>454</v>
      </c>
      <c r="AJ96" s="64" t="s" ph="1">
        <v>453</v>
      </c>
      <c r="AK96" s="64" t="s" ph="1">
        <v>254</v>
      </c>
      <c r="AM96" s="64" t="s" ph="1">
        <v>455</v>
      </c>
      <c r="AN96" s="64" t="s" ph="1">
        <v>228</v>
      </c>
      <c r="AO96" s="64" t="s" ph="1">
        <v>259</v>
      </c>
      <c r="AP96" s="64" t="s" ph="1">
        <v>456</v>
      </c>
      <c r="AQ96" s="64" t="s" ph="1">
        <v>272</v>
      </c>
      <c r="AR96" s="64" t="s" ph="1">
        <v>287</v>
      </c>
      <c r="AS96" s="64" t="s" ph="1">
        <v>457</v>
      </c>
      <c r="AT96" s="64" t="s" ph="1">
        <v>231</v>
      </c>
      <c r="AU96" s="64" t="s" ph="1">
        <v>287</v>
      </c>
      <c r="AV96" s="64" t="s" ph="1">
        <v>458</v>
      </c>
      <c r="AW96" s="64" t="s" ph="1">
        <v>227</v>
      </c>
      <c r="AX96" s="64" t="s" ph="1">
        <v>287</v>
      </c>
      <c r="AY96" s="64" t="s" ph="1">
        <v>216</v>
      </c>
      <c r="AZ96" s="64" t="s" ph="1">
        <v>459</v>
      </c>
    </row>
    <row r="97" spans="33:52" ph="1">
      <c r="AJ97" s="64" t="s" ph="1">
        <v>460</v>
      </c>
      <c r="AK97" s="64" t="s" ph="1">
        <v>282</v>
      </c>
      <c r="AM97" s="64" t="s" ph="1">
        <v>461</v>
      </c>
      <c r="AN97" s="64" t="s" ph="1">
        <v>225</v>
      </c>
      <c r="AO97" s="64" t="s" ph="1">
        <v>259</v>
      </c>
      <c r="AP97" s="64" t="s" ph="1">
        <v>462</v>
      </c>
      <c r="AQ97" s="64" t="s" ph="1">
        <v>219</v>
      </c>
      <c r="AR97" s="64" t="s" ph="1">
        <v>287</v>
      </c>
      <c r="AS97" s="64" t="s" ph="1">
        <v>463</v>
      </c>
      <c r="AT97" s="64" t="s" ph="1">
        <v>222</v>
      </c>
      <c r="AU97" s="64" t="s" ph="1">
        <v>287</v>
      </c>
      <c r="AV97" s="64" t="s" ph="1">
        <v>464</v>
      </c>
      <c r="AW97" s="64" t="s" ph="1">
        <v>228</v>
      </c>
      <c r="AX97" s="64" t="s" ph="1">
        <v>287</v>
      </c>
    </row>
    <row r="98" spans="33:52" ph="1">
      <c r="AJ98" s="64" t="s" ph="1">
        <v>465</v>
      </c>
      <c r="AK98" s="64" t="s" ph="1">
        <v>231</v>
      </c>
      <c r="AM98" s="64" t="s" ph="1">
        <v>466</v>
      </c>
      <c r="AN98" s="64" t="s" ph="1">
        <v>239</v>
      </c>
      <c r="AO98" s="64" t="s" ph="1">
        <v>259</v>
      </c>
      <c r="AP98" s="64" t="s" ph="1">
        <v>467</v>
      </c>
      <c r="AQ98" s="64" t="s" ph="1">
        <v>219</v>
      </c>
      <c r="AR98" s="64" t="s" ph="1">
        <v>287</v>
      </c>
      <c r="AS98" s="64" t="s" ph="1">
        <v>468</v>
      </c>
      <c r="AT98" s="64" t="s" ph="1">
        <v>299</v>
      </c>
      <c r="AU98" s="64" t="s" ph="1">
        <v>287</v>
      </c>
      <c r="AV98" s="64" t="s" ph="1">
        <v>469</v>
      </c>
      <c r="AW98" s="64" t="s" ph="1">
        <v>222</v>
      </c>
      <c r="AX98" s="64" t="s" ph="1">
        <v>287</v>
      </c>
    </row>
    <row r="99" spans="33:52" ph="1">
      <c r="AH99" s="64" ph="1">
        <v>8</v>
      </c>
      <c r="AI99" s="64" t="s" ph="1">
        <v>470</v>
      </c>
      <c r="AJ99" s="64" t="s" ph="1">
        <v>471</v>
      </c>
      <c r="AK99" s="64" t="s" ph="1">
        <v>367</v>
      </c>
      <c r="AM99" s="64" t="s" ph="1">
        <v>472</v>
      </c>
      <c r="AN99" s="64" t="s" ph="1">
        <v>254</v>
      </c>
      <c r="AO99" s="64" t="s" ph="1">
        <v>259</v>
      </c>
      <c r="AP99" s="64" t="s" ph="1">
        <v>473</v>
      </c>
      <c r="AQ99" s="64" t="s" ph="1">
        <v>224</v>
      </c>
      <c r="AR99" s="64" t="s" ph="1">
        <v>287</v>
      </c>
      <c r="AS99" s="64" t="s" ph="1">
        <v>474</v>
      </c>
      <c r="AT99" s="64" t="s" ph="1">
        <v>239</v>
      </c>
      <c r="AU99" s="64" t="s" ph="1">
        <v>287</v>
      </c>
      <c r="AV99" s="64" t="s" ph="1">
        <v>475</v>
      </c>
      <c r="AW99" s="64" t="s" ph="1">
        <v>224</v>
      </c>
      <c r="AX99" s="64" t="s" ph="1">
        <v>287</v>
      </c>
      <c r="AY99" s="64" t="s" ph="1">
        <v>216</v>
      </c>
      <c r="AZ99" s="64" t="s" ph="1">
        <v>476</v>
      </c>
    </row>
    <row r="100" spans="33:52" ph="1">
      <c r="AJ100" s="64" t="s" ph="1">
        <v>477</v>
      </c>
      <c r="AK100" s="64" t="s" ph="1">
        <v>222</v>
      </c>
      <c r="AM100" s="64" t="s" ph="1">
        <v>478</v>
      </c>
      <c r="AN100" s="64" t="s" ph="1">
        <v>294</v>
      </c>
      <c r="AO100" s="64" t="s" ph="1">
        <v>259</v>
      </c>
      <c r="AP100" s="64" t="s" ph="1">
        <v>479</v>
      </c>
      <c r="AQ100" s="64" t="s" ph="1">
        <v>300</v>
      </c>
      <c r="AR100" s="64" t="s" ph="1">
        <v>287</v>
      </c>
      <c r="AS100" s="64" t="s" ph="1">
        <v>480</v>
      </c>
      <c r="AT100" s="64" t="s" ph="1">
        <v>367</v>
      </c>
      <c r="AU100" s="64" t="s" ph="1">
        <v>259</v>
      </c>
      <c r="AV100" s="64" t="s" ph="1">
        <v>481</v>
      </c>
      <c r="AW100" s="64" t="s" ph="1">
        <v>367</v>
      </c>
      <c r="AX100" s="64" t="s" ph="1">
        <v>259</v>
      </c>
    </row>
    <row r="101" spans="33:52" ph="1">
      <c r="AJ101" s="64" t="s" ph="1">
        <v>482</v>
      </c>
      <c r="AK101" s="64" t="s" ph="1">
        <v>367</v>
      </c>
      <c r="AM101" s="64" t="s" ph="1">
        <v>483</v>
      </c>
      <c r="AN101" s="64" t="s" ph="1">
        <v>225</v>
      </c>
      <c r="AO101" s="64" t="s" ph="1">
        <v>259</v>
      </c>
      <c r="AP101" s="64" t="s" ph="1">
        <v>484</v>
      </c>
      <c r="AQ101" s="64" t="s" ph="1">
        <v>237</v>
      </c>
      <c r="AR101" s="64" t="s" ph="1">
        <v>287</v>
      </c>
      <c r="AS101" s="64" t="s" ph="1">
        <v>485</v>
      </c>
      <c r="AT101" s="64" t="s" ph="1">
        <v>294</v>
      </c>
      <c r="AU101" s="64" t="s" ph="1">
        <v>287</v>
      </c>
      <c r="AV101" s="64" t="s" ph="1">
        <v>486</v>
      </c>
      <c r="AW101" s="64" t="s" ph="1">
        <v>225</v>
      </c>
      <c r="AX101" s="64" t="s" ph="1">
        <v>259</v>
      </c>
    </row>
    <row r="102" spans="33:52" ph="1">
      <c r="AJ102" s="64" t="s" ph="1">
        <v>487</v>
      </c>
      <c r="AK102" s="64" t="s" ph="1">
        <v>222</v>
      </c>
      <c r="AM102" s="64" t="s" ph="1">
        <v>488</v>
      </c>
      <c r="AN102" s="64" t="s" ph="1">
        <v>231</v>
      </c>
      <c r="AO102" s="64" t="s" ph="1">
        <v>259</v>
      </c>
      <c r="AP102" s="64" t="s" ph="1">
        <v>489</v>
      </c>
      <c r="AQ102" s="64" t="s" ph="1">
        <v>237</v>
      </c>
      <c r="AR102" s="64" t="s" ph="1">
        <v>259</v>
      </c>
      <c r="AS102" s="64" t="s" ph="1">
        <v>490</v>
      </c>
      <c r="AT102" s="64" t="s" ph="1">
        <v>254</v>
      </c>
      <c r="AU102" s="64" t="s" ph="1">
        <v>259</v>
      </c>
      <c r="AV102" s="64" t="s" ph="1">
        <v>491</v>
      </c>
      <c r="AW102" s="64" t="s" ph="1">
        <v>272</v>
      </c>
      <c r="AX102" s="64" t="s" ph="1">
        <v>259</v>
      </c>
    </row>
    <row r="103" spans="33:52" ph="1">
      <c r="AH103" s="64" ph="1">
        <v>9</v>
      </c>
      <c r="AI103" s="64" t="s" ph="1">
        <v>492</v>
      </c>
      <c r="AJ103" s="64" t="s" ph="1">
        <v>493</v>
      </c>
      <c r="AK103" s="64" t="s" ph="1">
        <v>367</v>
      </c>
      <c r="AM103" s="64" t="s" ph="1">
        <v>494</v>
      </c>
      <c r="AN103" s="64" t="s" ph="1">
        <v>282</v>
      </c>
      <c r="AO103" s="64" t="s" ph="1">
        <v>259</v>
      </c>
      <c r="AP103" s="64" t="s" ph="1">
        <v>336</v>
      </c>
      <c r="AQ103" s="64" t="s" ph="1">
        <v>225</v>
      </c>
      <c r="AR103" s="64" t="s" ph="1">
        <v>259</v>
      </c>
      <c r="AS103" s="64" t="s" ph="1">
        <v>570</v>
      </c>
      <c r="AT103" s="64" t="s" ph="1">
        <v>367</v>
      </c>
      <c r="AU103" s="64" t="s" ph="1">
        <v>259</v>
      </c>
      <c r="AY103" s="64" t="s" ph="1">
        <v>216</v>
      </c>
      <c r="AZ103" s="64" t="s" ph="1">
        <v>224</v>
      </c>
    </row>
    <row r="104" spans="33:52" ph="1">
      <c r="AZ104" s="64" t="s" ph="1">
        <v>495</v>
      </c>
    </row>
    <row r="105" spans="33:52" ph="1">
      <c r="AG105" s="64" t="s" ph="1">
        <v>295</v>
      </c>
      <c r="AI105" s="64" t="s" ph="1">
        <v>209</v>
      </c>
      <c r="AJ105" s="64" t="s" ph="1">
        <v>210</v>
      </c>
      <c r="AK105" s="64" t="s" ph="1">
        <v>211</v>
      </c>
      <c r="AM105" s="64" t="s" ph="1">
        <v>210</v>
      </c>
      <c r="AN105" s="64" t="s" ph="1">
        <v>211</v>
      </c>
      <c r="AO105" s="64" t="s" ph="1">
        <v>212</v>
      </c>
      <c r="AP105" s="64" t="s" ph="1">
        <v>210</v>
      </c>
      <c r="AQ105" s="64" t="s" ph="1">
        <v>211</v>
      </c>
      <c r="AR105" s="64" t="s" ph="1">
        <v>212</v>
      </c>
      <c r="AS105" s="64" t="s" ph="1">
        <v>210</v>
      </c>
      <c r="AT105" s="64" t="s" ph="1">
        <v>211</v>
      </c>
      <c r="AU105" s="64" t="s" ph="1">
        <v>212</v>
      </c>
      <c r="AV105" s="64" t="s" ph="1">
        <v>210</v>
      </c>
      <c r="AW105" s="64" t="s" ph="1">
        <v>211</v>
      </c>
      <c r="AX105" s="64" t="s" ph="1">
        <v>212</v>
      </c>
      <c r="AZ105" s="64" t="s" ph="1">
        <v>213</v>
      </c>
    </row>
    <row r="106" spans="33:52" ph="1">
      <c r="AH106" s="64" ph="1">
        <v>1</v>
      </c>
      <c r="AI106" s="64" t="s" ph="1">
        <v>496</v>
      </c>
      <c r="AJ106" s="64" t="s" ph="1">
        <v>570</v>
      </c>
      <c r="AK106" s="64" t="s" ph="1">
        <v>231</v>
      </c>
      <c r="AZ106" s="64" t="s" ph="1">
        <v>231</v>
      </c>
    </row>
    <row r="107" spans="33:52" ph="1">
      <c r="AH107" s="64" ph="1">
        <v>2</v>
      </c>
      <c r="AI107" s="64" t="s" ph="1">
        <v>497</v>
      </c>
      <c r="AJ107" s="64" t="s" ph="1">
        <v>498</v>
      </c>
      <c r="AK107" s="64" t="s" ph="1">
        <v>228</v>
      </c>
      <c r="AM107" s="64" t="s" ph="1">
        <v>334</v>
      </c>
      <c r="AN107" s="64" t="s" ph="1">
        <v>499</v>
      </c>
      <c r="AO107" s="64" t="s" ph="1">
        <v>500</v>
      </c>
      <c r="AP107" s="64" t="s" ph="1">
        <v>336</v>
      </c>
      <c r="AQ107" s="64" t="s" ph="1">
        <v>304</v>
      </c>
      <c r="AR107" s="64" t="s" ph="1">
        <v>500</v>
      </c>
      <c r="AS107" s="64" t="s" ph="1">
        <v>570</v>
      </c>
      <c r="AT107" s="64" t="s" ph="1">
        <v>499</v>
      </c>
      <c r="AU107" s="64" t="s" ph="1">
        <v>500</v>
      </c>
      <c r="AY107" s="64" t="s" ph="1">
        <v>216</v>
      </c>
      <c r="AZ107" s="64" t="s" ph="1">
        <v>580</v>
      </c>
    </row>
    <row r="108" spans="33:52" ph="1">
      <c r="AH108" s="64" ph="1">
        <v>3</v>
      </c>
      <c r="AI108" s="64" t="s" ph="1">
        <v>501</v>
      </c>
      <c r="AY108" s="64" t="s" ph="1">
        <v>216</v>
      </c>
      <c r="AZ108" s="64" t="s" ph="1">
        <v>367</v>
      </c>
    </row>
    <row r="109" spans="33:52" ph="1">
      <c r="AH109" s="64" ph="1">
        <v>4</v>
      </c>
      <c r="AI109" s="64" t="s" ph="1">
        <v>502</v>
      </c>
      <c r="AY109" s="64" t="s" ph="1">
        <v>216</v>
      </c>
      <c r="AZ109" s="64" t="s" ph="1">
        <v>367</v>
      </c>
    </row>
    <row r="110" spans="33:52" ph="1">
      <c r="AH110" s="64" ph="1">
        <v>5</v>
      </c>
      <c r="AI110" s="64" t="s" ph="1">
        <v>503</v>
      </c>
      <c r="AY110" s="64" t="s" ph="1">
        <v>216</v>
      </c>
      <c r="AZ110" s="64" t="s" ph="1">
        <v>367</v>
      </c>
    </row>
    <row r="111" spans="33:52" ph="1">
      <c r="AH111" s="64" ph="1">
        <v>6</v>
      </c>
      <c r="AI111" s="64" t="s" ph="1">
        <v>581</v>
      </c>
      <c r="AJ111" s="64" t="s" ph="1">
        <v>486</v>
      </c>
      <c r="AK111" s="64" t="s" ph="1">
        <v>225</v>
      </c>
      <c r="AM111" s="64" t="s" ph="1">
        <v>487</v>
      </c>
      <c r="AN111" s="64" t="s" ph="1">
        <v>219</v>
      </c>
      <c r="AO111" s="64" t="s" ph="1">
        <v>500</v>
      </c>
      <c r="AP111" s="64" t="s" ph="1">
        <v>488</v>
      </c>
      <c r="AQ111" s="64" t="s" ph="1">
        <v>228</v>
      </c>
      <c r="AR111" s="64" t="s" ph="1">
        <v>500</v>
      </c>
      <c r="AS111" s="64" t="s" ph="1">
        <v>489</v>
      </c>
      <c r="AT111" s="64" t="s" ph="1">
        <v>237</v>
      </c>
      <c r="AU111" s="64" t="s" ph="1">
        <v>500</v>
      </c>
      <c r="AV111" s="64" t="s" ph="1">
        <v>490</v>
      </c>
      <c r="AW111" s="64" t="s" ph="1">
        <v>227</v>
      </c>
      <c r="AX111" s="64" t="s" ph="1">
        <v>500</v>
      </c>
      <c r="AY111" s="64" t="s" ph="1">
        <v>216</v>
      </c>
      <c r="AZ111" s="64" t="s" ph="1">
        <v>504</v>
      </c>
    </row>
    <row r="112" spans="33:52" ph="1">
      <c r="AJ112" s="64" t="s" ph="1">
        <v>491</v>
      </c>
      <c r="AK112" s="64" t="s" ph="1">
        <v>272</v>
      </c>
      <c r="AM112" s="64" t="s" ph="1">
        <v>493</v>
      </c>
      <c r="AN112" s="64" t="s" ph="1">
        <v>296</v>
      </c>
      <c r="AO112" s="64" t="s" ph="1">
        <v>500</v>
      </c>
      <c r="AP112" s="64" t="s" ph="1">
        <v>494</v>
      </c>
      <c r="AQ112" s="64" t="s" ph="1">
        <v>505</v>
      </c>
      <c r="AR112" s="64" t="s" ph="1">
        <v>500</v>
      </c>
      <c r="AS112" s="64" t="s" ph="1">
        <v>506</v>
      </c>
      <c r="AT112" s="64" t="s" ph="1">
        <v>248</v>
      </c>
      <c r="AU112" s="64" t="s" ph="1">
        <v>500</v>
      </c>
      <c r="AV112" s="64" t="s" ph="1">
        <v>507</v>
      </c>
      <c r="AW112" s="64" t="s" ph="1">
        <v>294</v>
      </c>
      <c r="AX112" s="64" t="s" ph="1">
        <v>500</v>
      </c>
    </row>
    <row r="113" spans="33:52" ph="1">
      <c r="AH113" s="64" ph="1">
        <v>7</v>
      </c>
      <c r="AI113" s="64" t="s" ph="1">
        <v>508</v>
      </c>
      <c r="AJ113" s="64" t="s" ph="1">
        <v>589</v>
      </c>
      <c r="AK113" s="64" t="s" ph="1">
        <v>594</v>
      </c>
      <c r="AY113" s="64" t="s" ph="1">
        <v>216</v>
      </c>
      <c r="AZ113" s="64" t="s" ph="1">
        <v>594</v>
      </c>
    </row>
    <row r="114" spans="33:52" ph="1">
      <c r="AH114" s="64" ph="1">
        <v>8</v>
      </c>
      <c r="AI114" s="64" t="s" ph="1">
        <v>509</v>
      </c>
      <c r="AJ114" s="64" t="s" ph="1">
        <v>589</v>
      </c>
      <c r="AK114" s="64" t="s" ph="1">
        <v>595</v>
      </c>
      <c r="AY114" s="64" t="s" ph="1">
        <v>216</v>
      </c>
      <c r="AZ114" s="64" t="s" ph="1">
        <v>595</v>
      </c>
    </row>
    <row r="115" spans="33:52" ph="1">
      <c r="AH115" s="64" ph="1">
        <v>9</v>
      </c>
      <c r="AI115" s="64" t="s" ph="1">
        <v>510</v>
      </c>
      <c r="AJ115" s="64" t="s" ph="1">
        <v>589</v>
      </c>
      <c r="AK115" s="64" t="s" ph="1">
        <v>595</v>
      </c>
      <c r="AY115" s="64" t="s" ph="1">
        <v>216</v>
      </c>
      <c r="AZ115" s="64" t="s" ph="1">
        <v>595</v>
      </c>
    </row>
    <row r="116" spans="33:52" ph="1">
      <c r="AH116" s="64" ph="1">
        <v>10</v>
      </c>
      <c r="AI116" s="64" t="s" ph="1">
        <v>511</v>
      </c>
      <c r="AJ116" s="64" t="s" ph="1">
        <v>589</v>
      </c>
      <c r="AK116" s="64" t="s" ph="1">
        <v>595</v>
      </c>
      <c r="AY116" s="64" t="s" ph="1">
        <v>216</v>
      </c>
      <c r="AZ116" s="64" t="s" ph="1">
        <v>595</v>
      </c>
    </row>
    <row r="117" spans="33:52" ph="1">
      <c r="AH117" s="64" ph="1">
        <v>11</v>
      </c>
      <c r="AI117" s="64" t="s" ph="1">
        <v>512</v>
      </c>
      <c r="AJ117" s="64" t="s" ph="1">
        <v>589</v>
      </c>
      <c r="AK117" s="64" t="s" ph="1">
        <v>595</v>
      </c>
      <c r="AY117" s="64" t="s" ph="1">
        <v>216</v>
      </c>
      <c r="AZ117" s="64" t="s" ph="1">
        <v>595</v>
      </c>
    </row>
    <row r="118" spans="33:52" ph="1">
      <c r="AZ118" s="64" t="s" ph="1">
        <v>596</v>
      </c>
    </row>
    <row r="119" spans="33:52" ph="1">
      <c r="AI119" s="64" t="s" ph="1">
        <v>209</v>
      </c>
      <c r="AJ119" s="64" t="s" ph="1">
        <v>210</v>
      </c>
      <c r="AK119" s="64" t="s" ph="1">
        <v>211</v>
      </c>
      <c r="AM119" s="64" t="s" ph="1">
        <v>210</v>
      </c>
      <c r="AN119" s="64" t="s" ph="1">
        <v>211</v>
      </c>
      <c r="AO119" s="64" t="s" ph="1">
        <v>212</v>
      </c>
      <c r="AP119" s="64" t="s" ph="1">
        <v>210</v>
      </c>
      <c r="AQ119" s="64" t="s" ph="1">
        <v>211</v>
      </c>
      <c r="AR119" s="64" t="s" ph="1">
        <v>212</v>
      </c>
      <c r="AS119" s="64" t="s" ph="1">
        <v>210</v>
      </c>
      <c r="AT119" s="64" t="s" ph="1">
        <v>211</v>
      </c>
      <c r="AU119" s="64" t="s" ph="1">
        <v>212</v>
      </c>
      <c r="AV119" s="64" t="s" ph="1">
        <v>210</v>
      </c>
      <c r="AW119" s="64" t="s" ph="1">
        <v>211</v>
      </c>
      <c r="AX119" s="64" t="s" ph="1">
        <v>212</v>
      </c>
      <c r="AY119" s="64" t="s" ph="1">
        <v>211</v>
      </c>
      <c r="AZ119" s="64" t="s" ph="1">
        <v>213</v>
      </c>
    </row>
    <row r="120" spans="33:52" ph="1">
      <c r="AG120" s="64" t="s" ph="1">
        <v>353</v>
      </c>
      <c r="AH120" s="64" ph="1">
        <v>1</v>
      </c>
      <c r="AI120" s="64" t="s" ph="1">
        <v>513</v>
      </c>
      <c r="AJ120" s="64" t="s" ph="1">
        <v>587</v>
      </c>
      <c r="AK120" s="64" t="s" ph="1">
        <v>367</v>
      </c>
      <c r="AY120" s="64" t="s" ph="1">
        <v>216</v>
      </c>
      <c r="AZ120" s="64" t="s" ph="1">
        <v>367</v>
      </c>
    </row>
    <row r="121" spans="33:52" ph="1">
      <c r="AH121" s="64" ph="1">
        <v>2</v>
      </c>
      <c r="AI121" s="64" t="s" ph="1">
        <v>514</v>
      </c>
      <c r="AY121" s="64" t="s" ph="1">
        <v>216</v>
      </c>
      <c r="AZ121" s="64" t="s" ph="1">
        <v>367</v>
      </c>
    </row>
    <row r="122" spans="33:52" ph="1">
      <c r="AH122" s="64" ph="1">
        <v>3</v>
      </c>
      <c r="AI122" s="64" t="s" ph="1">
        <v>515</v>
      </c>
      <c r="AJ122" s="64" t="s" ph="1">
        <v>570</v>
      </c>
      <c r="AK122" s="64" t="s" ph="1">
        <v>582</v>
      </c>
      <c r="AM122" s="64" t="s" ph="1">
        <v>597</v>
      </c>
      <c r="AN122" s="64" t="s" ph="1">
        <v>590</v>
      </c>
      <c r="AO122" s="64" t="s" ph="1">
        <v>91</v>
      </c>
      <c r="AY122" s="64" t="s" ph="1">
        <v>216</v>
      </c>
      <c r="AZ122" s="64" t="s" ph="1">
        <v>579</v>
      </c>
    </row>
    <row r="123" spans="33:52" ph="1">
      <c r="AY123" s="64" t="s" ph="1">
        <v>216</v>
      </c>
      <c r="AZ123" s="64" t="s" ph="1">
        <v>579</v>
      </c>
    </row>
    <row r="124" spans="33:52" ph="1">
      <c r="AG124" s="64" t="s" ph="1">
        <v>356</v>
      </c>
      <c r="AH124" s="64" ph="1">
        <v>4</v>
      </c>
      <c r="AI124" s="64" t="s" ph="1">
        <v>516</v>
      </c>
      <c r="AJ124" s="64" t="s" ph="1">
        <v>517</v>
      </c>
      <c r="AK124" s="64" t="s" ph="1">
        <v>518</v>
      </c>
      <c r="AY124" s="64" t="s" ph="1">
        <v>216</v>
      </c>
      <c r="AZ124" s="64" t="s" ph="1">
        <v>518</v>
      </c>
    </row>
    <row r="125" spans="33:52" ph="1">
      <c r="AH125" s="64" ph="1">
        <v>5</v>
      </c>
      <c r="AI125" s="64" t="s" ph="1">
        <v>519</v>
      </c>
      <c r="AJ125" s="64" t="s" ph="1">
        <v>517</v>
      </c>
      <c r="AK125" s="64" t="s" ph="1">
        <v>518</v>
      </c>
      <c r="AY125" s="64" t="s" ph="1">
        <v>216</v>
      </c>
      <c r="AZ125" s="64" t="s" ph="1">
        <v>518</v>
      </c>
    </row>
    <row r="126" spans="33:52" ph="1">
      <c r="AH126" s="64" ph="1">
        <v>6</v>
      </c>
      <c r="AI126" s="64" t="s" ph="1">
        <v>520</v>
      </c>
      <c r="AJ126" s="64" t="s" ph="1">
        <v>589</v>
      </c>
      <c r="AK126" s="64" t="s" ph="1">
        <v>598</v>
      </c>
      <c r="AY126" s="64" t="s" ph="1">
        <v>216</v>
      </c>
      <c r="AZ126" s="64" t="s" ph="1">
        <v>598</v>
      </c>
    </row>
    <row r="127" spans="33:52" ph="1">
      <c r="AH127" s="64" ph="1">
        <v>7</v>
      </c>
      <c r="AI127" s="64" t="s" ph="1">
        <v>521</v>
      </c>
      <c r="AJ127" s="64" t="s" ph="1">
        <v>589</v>
      </c>
      <c r="AK127" s="64" t="s" ph="1">
        <v>599</v>
      </c>
      <c r="AY127" s="64" t="s" ph="1">
        <v>216</v>
      </c>
      <c r="AZ127" s="64" t="s" ph="1">
        <v>599</v>
      </c>
    </row>
    <row r="128" spans="33:52" ph="1">
      <c r="AH128" s="64" ph="1">
        <v>8</v>
      </c>
      <c r="AI128" s="64" t="s" ph="1">
        <v>522</v>
      </c>
      <c r="AY128" s="64" t="s" ph="1">
        <v>216</v>
      </c>
      <c r="AZ128" s="64" t="s" ph="1">
        <v>367</v>
      </c>
    </row>
    <row r="129" spans="33:52" ph="1">
      <c r="AH129" s="64" ph="1">
        <v>9</v>
      </c>
      <c r="AI129" s="64" t="s" ph="1">
        <v>523</v>
      </c>
      <c r="AY129" s="64" t="s" ph="1">
        <v>216</v>
      </c>
      <c r="AZ129" s="64" t="s" ph="1">
        <v>367</v>
      </c>
    </row>
    <row r="130" spans="33:52" ph="1">
      <c r="AH130" s="64" ph="1">
        <v>10</v>
      </c>
      <c r="AI130" s="64" t="s" ph="1">
        <v>524</v>
      </c>
      <c r="AY130" s="64" t="s" ph="1">
        <v>216</v>
      </c>
      <c r="AZ130" s="64" t="s" ph="1">
        <v>367</v>
      </c>
    </row>
    <row r="131" spans="33:52" ph="1">
      <c r="AH131" s="64" ph="1">
        <v>11</v>
      </c>
      <c r="AI131" s="64" t="s" ph="1">
        <v>525</v>
      </c>
      <c r="AJ131" s="64" t="s" ph="1">
        <v>583</v>
      </c>
      <c r="AK131" s="64" t="s" ph="1">
        <v>579</v>
      </c>
      <c r="AY131" s="64" t="s" ph="1">
        <v>216</v>
      </c>
      <c r="AZ131" s="64" t="s" ph="1">
        <v>579</v>
      </c>
    </row>
    <row r="132" spans="33:52" ph="1">
      <c r="AH132" s="64" ph="1">
        <v>12</v>
      </c>
      <c r="AI132" s="64" t="s" ph="1">
        <v>526</v>
      </c>
      <c r="AJ132" s="64" t="s" ph="1">
        <v>583</v>
      </c>
      <c r="AK132" s="64" t="s" ph="1">
        <v>518</v>
      </c>
      <c r="AY132" s="64" t="s" ph="1">
        <v>216</v>
      </c>
      <c r="AZ132" s="64" t="s" ph="1">
        <v>518</v>
      </c>
    </row>
    <row r="133" spans="33:52" ph="1">
      <c r="AH133" s="64" ph="1">
        <v>13</v>
      </c>
      <c r="AI133" s="64" t="s" ph="1">
        <v>527</v>
      </c>
      <c r="AJ133" s="64" t="s" ph="1">
        <v>583</v>
      </c>
      <c r="AK133" s="64" t="s" ph="1">
        <v>584</v>
      </c>
      <c r="AY133" s="64" t="s" ph="1">
        <v>216</v>
      </c>
      <c r="AZ133" s="64" t="s" ph="1">
        <v>584</v>
      </c>
    </row>
    <row r="134" spans="33:52" ph="1">
      <c r="AH134" s="64" ph="1">
        <v>14</v>
      </c>
      <c r="AI134" s="64" t="s" ph="1">
        <v>528</v>
      </c>
      <c r="AJ134" s="64" t="s" ph="1">
        <v>583</v>
      </c>
      <c r="AK134" s="64" t="s" ph="1">
        <v>585</v>
      </c>
      <c r="AY134" s="64" t="s" ph="1">
        <v>216</v>
      </c>
      <c r="AZ134" s="64" t="s" ph="1">
        <v>585</v>
      </c>
    </row>
    <row r="135" spans="33:52" ph="1">
      <c r="AH135" s="64" ph="1">
        <v>15</v>
      </c>
      <c r="AI135" s="64" t="s" ph="1">
        <v>529</v>
      </c>
      <c r="AJ135" s="64" t="s" ph="1">
        <v>583</v>
      </c>
      <c r="AK135" s="64" t="s" ph="1">
        <v>586</v>
      </c>
      <c r="AY135" s="64" t="s" ph="1">
        <v>216</v>
      </c>
      <c r="AZ135" s="64" t="s" ph="1">
        <v>586</v>
      </c>
    </row>
    <row r="136" spans="33:52" ph="1">
      <c r="AZ136" s="64" t="s" ph="1">
        <v>600</v>
      </c>
    </row>
    <row r="137" spans="33:52" ph="1">
      <c r="AG137" s="64" t="s" ph="1">
        <v>290</v>
      </c>
      <c r="AI137" s="64" t="s" ph="1">
        <v>209</v>
      </c>
      <c r="AJ137" s="64" t="s" ph="1">
        <v>210</v>
      </c>
      <c r="AK137" s="64" t="s" ph="1">
        <v>211</v>
      </c>
      <c r="AM137" s="64" t="s" ph="1">
        <v>210</v>
      </c>
      <c r="AN137" s="64" t="s" ph="1">
        <v>211</v>
      </c>
      <c r="AO137" s="64" t="s" ph="1">
        <v>212</v>
      </c>
      <c r="AP137" s="64" t="s" ph="1">
        <v>210</v>
      </c>
      <c r="AQ137" s="64" t="s" ph="1">
        <v>211</v>
      </c>
      <c r="AR137" s="64" t="s" ph="1">
        <v>212</v>
      </c>
      <c r="AS137" s="64" t="s" ph="1">
        <v>210</v>
      </c>
      <c r="AT137" s="64" t="s" ph="1">
        <v>211</v>
      </c>
      <c r="AU137" s="64" t="s" ph="1">
        <v>212</v>
      </c>
      <c r="AV137" s="64" t="s" ph="1">
        <v>210</v>
      </c>
      <c r="AW137" s="64" t="s" ph="1">
        <v>211</v>
      </c>
      <c r="AX137" s="64" t="s" ph="1">
        <v>212</v>
      </c>
      <c r="AY137" s="64" t="s" ph="1">
        <v>211</v>
      </c>
      <c r="AZ137" s="64" t="s" ph="1">
        <v>213</v>
      </c>
    </row>
    <row r="138" spans="33:52" ph="1">
      <c r="AH138" s="64" ph="1">
        <v>1</v>
      </c>
      <c r="AI138" s="64" t="s" ph="1">
        <v>530</v>
      </c>
      <c r="AJ138" s="64" t="s" ph="1">
        <v>531</v>
      </c>
      <c r="AK138" s="64" t="s" ph="1">
        <v>532</v>
      </c>
      <c r="AY138" s="64" t="s" ph="1">
        <v>216</v>
      </c>
      <c r="AZ138" s="64" t="s" ph="1">
        <v>532</v>
      </c>
    </row>
    <row r="139" spans="33:52" ph="1">
      <c r="AH139" s="64" ph="1">
        <v>2</v>
      </c>
      <c r="AI139" s="64" t="s" ph="1">
        <v>533</v>
      </c>
      <c r="AJ139" s="64" t="s" ph="1">
        <v>589</v>
      </c>
      <c r="AK139" s="64" t="s" ph="1">
        <v>601</v>
      </c>
      <c r="AY139" s="64" t="s" ph="1">
        <v>216</v>
      </c>
      <c r="AZ139" s="64" t="s" ph="1">
        <v>601</v>
      </c>
    </row>
    <row r="140" spans="33:52" ph="1">
      <c r="AH140" s="64" ph="1">
        <v>3</v>
      </c>
      <c r="AI140" s="64" t="s" ph="1">
        <v>534</v>
      </c>
      <c r="AJ140" s="64" t="s" ph="1">
        <v>487</v>
      </c>
      <c r="AK140" s="64" t="s" ph="1">
        <v>299</v>
      </c>
      <c r="AM140" s="64" t="s" ph="1">
        <v>488</v>
      </c>
      <c r="AN140" s="64" t="s" ph="1">
        <v>219</v>
      </c>
      <c r="AO140" s="64" t="s" ph="1">
        <v>535</v>
      </c>
      <c r="AP140" s="64" t="s" ph="1">
        <v>489</v>
      </c>
      <c r="AQ140" s="64" t="s" ph="1">
        <v>236</v>
      </c>
      <c r="AR140" s="64" t="s" ph="1">
        <v>535</v>
      </c>
      <c r="AS140" s="64" t="s" ph="1">
        <v>490</v>
      </c>
      <c r="AT140" s="64" t="s" ph="1">
        <v>229</v>
      </c>
      <c r="AU140" s="64" t="s" ph="1">
        <v>535</v>
      </c>
      <c r="AV140" s="64" t="s" ph="1">
        <v>491</v>
      </c>
      <c r="AW140" s="64" t="s" ph="1">
        <v>222</v>
      </c>
      <c r="AX140" s="64" t="s" ph="1">
        <v>535</v>
      </c>
      <c r="AY140" s="64" t="s" ph="1">
        <v>216</v>
      </c>
      <c r="AZ140" s="64" t="s" ph="1">
        <v>291</v>
      </c>
    </row>
    <row r="141" spans="33:52" ph="1">
      <c r="AJ141" s="64" t="s" ph="1">
        <v>493</v>
      </c>
      <c r="AK141" s="64" t="s" ph="1">
        <v>222</v>
      </c>
      <c r="AM141" s="64" t="s" ph="1">
        <v>494</v>
      </c>
      <c r="AN141" s="64" t="s" ph="1">
        <v>225</v>
      </c>
      <c r="AO141" s="64" t="s" ph="1">
        <v>535</v>
      </c>
      <c r="AP141" s="64" t="s" ph="1">
        <v>506</v>
      </c>
      <c r="AQ141" s="64" t="s" ph="1">
        <v>294</v>
      </c>
      <c r="AR141" s="64" t="s" ph="1">
        <v>535</v>
      </c>
      <c r="AS141" s="64" t="s" ph="1">
        <v>498</v>
      </c>
      <c r="AT141" s="64" t="s" ph="1">
        <v>222</v>
      </c>
      <c r="AU141" s="64" t="s" ph="1">
        <v>535</v>
      </c>
      <c r="AV141" s="64" t="s" ph="1">
        <v>334</v>
      </c>
      <c r="AW141" s="64" t="s" ph="1">
        <v>228</v>
      </c>
      <c r="AX141" s="64" t="s" ph="1">
        <v>535</v>
      </c>
    </row>
    <row r="142" spans="33:52" ph="1">
      <c r="AJ142" s="64" t="s" ph="1">
        <v>536</v>
      </c>
      <c r="AK142" s="64" t="s" ph="1">
        <v>239</v>
      </c>
    </row>
    <row r="143" spans="33:52" ph="1">
      <c r="AH143" s="64" ph="1">
        <v>4</v>
      </c>
      <c r="AI143" s="64" t="s" ph="1">
        <v>537</v>
      </c>
      <c r="AJ143" s="64" t="s" ph="1">
        <v>517</v>
      </c>
      <c r="AK143" s="64" t="s" ph="1">
        <v>538</v>
      </c>
      <c r="AY143" s="64" t="s" ph="1">
        <v>216</v>
      </c>
      <c r="AZ143" s="64" t="s" ph="1">
        <v>538</v>
      </c>
    </row>
    <row r="144" spans="33:52" ph="1">
      <c r="AH144" s="64" ph="1">
        <v>5</v>
      </c>
      <c r="AI144" s="64" t="s" ph="1">
        <v>539</v>
      </c>
      <c r="AY144" s="64" t="s" ph="1">
        <v>216</v>
      </c>
      <c r="AZ144" s="64" t="s" ph="1">
        <v>367</v>
      </c>
    </row>
    <row r="145" spans="33:52" ph="1">
      <c r="AH145" s="64" ph="1">
        <v>6</v>
      </c>
      <c r="AI145" s="64" t="s" ph="1">
        <v>540</v>
      </c>
      <c r="AY145" s="64" t="s" ph="1">
        <v>216</v>
      </c>
      <c r="AZ145" s="64" t="s" ph="1">
        <v>367</v>
      </c>
    </row>
    <row r="146" spans="33:52" ph="1">
      <c r="AH146" s="64" ph="1">
        <v>7</v>
      </c>
      <c r="AI146" s="64" t="s" ph="1">
        <v>541</v>
      </c>
      <c r="AY146" s="64" t="s" ph="1">
        <v>216</v>
      </c>
      <c r="AZ146" s="64" t="s" ph="1">
        <v>367</v>
      </c>
    </row>
    <row r="147" spans="33:52" ph="1">
      <c r="AH147" s="64" ph="1">
        <v>8</v>
      </c>
      <c r="AI147" s="64" t="s" ph="1">
        <v>542</v>
      </c>
      <c r="AY147" s="64" t="s" ph="1">
        <v>216</v>
      </c>
      <c r="AZ147" s="64" t="s" ph="1">
        <v>367</v>
      </c>
    </row>
    <row r="148" spans="33:52" ph="1">
      <c r="AH148" s="64" ph="1">
        <v>9</v>
      </c>
      <c r="AI148" s="64" t="s" ph="1">
        <v>543</v>
      </c>
      <c r="AY148" s="64" t="s" ph="1">
        <v>216</v>
      </c>
      <c r="AZ148" s="64" t="s" ph="1">
        <v>367</v>
      </c>
    </row>
    <row r="149" spans="33:52" ph="1">
      <c r="AH149" s="64" ph="1">
        <v>10</v>
      </c>
      <c r="AI149" s="64" t="s" ph="1">
        <v>544</v>
      </c>
      <c r="AY149" s="64" t="s" ph="1">
        <v>216</v>
      </c>
      <c r="AZ149" s="64" t="s" ph="1">
        <v>367</v>
      </c>
    </row>
    <row r="150" spans="33:52" ph="1">
      <c r="AH150" s="64" ph="1">
        <v>11</v>
      </c>
      <c r="AI150" s="64" t="s" ph="1">
        <v>545</v>
      </c>
      <c r="AY150" s="64" t="s" ph="1">
        <v>216</v>
      </c>
      <c r="AZ150" s="64" t="s" ph="1">
        <v>367</v>
      </c>
    </row>
    <row r="151" spans="33:52" ph="1">
      <c r="AH151" s="64" ph="1">
        <v>12</v>
      </c>
      <c r="AI151" s="64" t="s" ph="1">
        <v>546</v>
      </c>
      <c r="AY151" s="64" t="s" ph="1">
        <v>216</v>
      </c>
      <c r="AZ151" s="64" t="s" ph="1">
        <v>367</v>
      </c>
    </row>
    <row r="152" spans="33:52" ph="1">
      <c r="AH152" s="64" ph="1">
        <v>13</v>
      </c>
      <c r="AI152" s="64" t="s" ph="1">
        <v>547</v>
      </c>
      <c r="AY152" s="64" t="s" ph="1">
        <v>216</v>
      </c>
      <c r="AZ152" s="64" t="s" ph="1">
        <v>367</v>
      </c>
    </row>
    <row r="153" spans="33:52" ph="1">
      <c r="AH153" s="64" ph="1">
        <v>14</v>
      </c>
      <c r="AI153" s="64" t="s" ph="1">
        <v>548</v>
      </c>
      <c r="AY153" s="64" t="s" ph="1">
        <v>216</v>
      </c>
      <c r="AZ153" s="64" t="s" ph="1">
        <v>367</v>
      </c>
    </row>
    <row r="154" spans="33:52" ph="1">
      <c r="AH154" s="64" ph="1">
        <v>15</v>
      </c>
      <c r="AI154" s="64" t="s" ph="1">
        <v>549</v>
      </c>
      <c r="AY154" s="64" t="s" ph="1">
        <v>216</v>
      </c>
      <c r="AZ154" s="64" t="s" ph="1">
        <v>367</v>
      </c>
    </row>
    <row r="155" spans="33:52" ph="1">
      <c r="AH155" s="64" ph="1">
        <v>16</v>
      </c>
      <c r="AI155" s="64" t="s" ph="1">
        <v>550</v>
      </c>
      <c r="AJ155" s="64" t="s" ph="1">
        <v>336</v>
      </c>
      <c r="AK155" s="64" t="s" ph="1">
        <v>231</v>
      </c>
      <c r="AM155" s="64" t="s" ph="1">
        <v>570</v>
      </c>
      <c r="AN155" s="64" t="s" ph="1">
        <v>282</v>
      </c>
      <c r="AO155" s="64" t="s" ph="1">
        <v>535</v>
      </c>
      <c r="AY155" s="64" t="s" ph="1">
        <v>216</v>
      </c>
      <c r="AZ155" s="64" t="s" ph="1">
        <v>223</v>
      </c>
    </row>
    <row r="156" spans="33:52" ph="1">
      <c r="AZ156" s="64" t="s" ph="1">
        <v>602</v>
      </c>
    </row>
    <row r="157" spans="33:52" ph="1">
      <c r="AG157" s="64" t="s" ph="1">
        <v>551</v>
      </c>
      <c r="AI157" s="64" t="s" ph="1">
        <v>209</v>
      </c>
      <c r="AJ157" s="64" t="s" ph="1">
        <v>210</v>
      </c>
      <c r="AK157" s="64" t="s" ph="1">
        <v>211</v>
      </c>
      <c r="AM157" s="64" t="s" ph="1">
        <v>210</v>
      </c>
      <c r="AN157" s="64" t="s" ph="1">
        <v>211</v>
      </c>
      <c r="AO157" s="64" t="s" ph="1">
        <v>212</v>
      </c>
      <c r="AP157" s="64" t="s" ph="1">
        <v>210</v>
      </c>
      <c r="AQ157" s="64" t="s" ph="1">
        <v>211</v>
      </c>
      <c r="AR157" s="64" t="s" ph="1">
        <v>212</v>
      </c>
      <c r="AS157" s="64" t="s" ph="1">
        <v>210</v>
      </c>
      <c r="AT157" s="64" t="s" ph="1">
        <v>211</v>
      </c>
      <c r="AU157" s="64" t="s" ph="1">
        <v>212</v>
      </c>
      <c r="AV157" s="64" t="s" ph="1">
        <v>210</v>
      </c>
      <c r="AW157" s="64" t="s" ph="1">
        <v>211</v>
      </c>
      <c r="AX157" s="64" t="s" ph="1">
        <v>212</v>
      </c>
      <c r="AY157" s="64" t="s" ph="1">
        <v>211</v>
      </c>
      <c r="AZ157" s="64" t="s" ph="1">
        <v>213</v>
      </c>
    </row>
    <row r="158" spans="33:52" ph="1">
      <c r="AH158" s="64" ph="1">
        <v>1</v>
      </c>
      <c r="AI158" s="64" t="s" ph="1">
        <v>552</v>
      </c>
      <c r="AY158" s="64" t="s" ph="1">
        <v>216</v>
      </c>
      <c r="AZ158" s="64" t="s" ph="1">
        <v>367</v>
      </c>
    </row>
    <row r="159" spans="33:52" ph="1">
      <c r="AH159" s="64" ph="1">
        <v>2</v>
      </c>
      <c r="AI159" s="64" t="s" ph="1">
        <v>553</v>
      </c>
      <c r="AY159" s="64" t="s" ph="1">
        <v>216</v>
      </c>
      <c r="AZ159" s="64" t="s" ph="1">
        <v>367</v>
      </c>
    </row>
    <row r="160" spans="33:52" ph="1">
      <c r="AZ160" s="64" t="s" ph="1">
        <v>385</v>
      </c>
    </row>
    <row r="161" spans="33:52" ph="1">
      <c r="AG161" s="64" t="s" ph="1">
        <v>361</v>
      </c>
      <c r="AI161" s="64" t="s" ph="1">
        <v>209</v>
      </c>
      <c r="AJ161" s="64" t="s" ph="1">
        <v>210</v>
      </c>
      <c r="AK161" s="64" t="s" ph="1">
        <v>211</v>
      </c>
      <c r="AM161" s="64" t="s" ph="1">
        <v>210</v>
      </c>
      <c r="AN161" s="64" t="s" ph="1">
        <v>211</v>
      </c>
      <c r="AO161" s="64" t="s" ph="1">
        <v>212</v>
      </c>
      <c r="AP161" s="64" t="s" ph="1">
        <v>210</v>
      </c>
      <c r="AQ161" s="64" t="s" ph="1">
        <v>211</v>
      </c>
      <c r="AR161" s="64" t="s" ph="1">
        <v>212</v>
      </c>
      <c r="AS161" s="64" t="s" ph="1">
        <v>210</v>
      </c>
      <c r="AT161" s="64" t="s" ph="1">
        <v>211</v>
      </c>
      <c r="AU161" s="64" t="s" ph="1">
        <v>212</v>
      </c>
      <c r="AV161" s="64" t="s" ph="1">
        <v>210</v>
      </c>
      <c r="AW161" s="64" t="s" ph="1">
        <v>211</v>
      </c>
      <c r="AX161" s="64" t="s" ph="1">
        <v>212</v>
      </c>
      <c r="AY161" s="64" t="s" ph="1">
        <v>211</v>
      </c>
      <c r="AZ161" s="64" t="s" ph="1">
        <v>213</v>
      </c>
    </row>
    <row r="162" spans="33:52" ph="1">
      <c r="AH162" s="64" ph="1">
        <v>1</v>
      </c>
      <c r="AI162" s="64" t="s" ph="1">
        <v>554</v>
      </c>
      <c r="AJ162" s="64" t="s" ph="1">
        <v>555</v>
      </c>
      <c r="AK162" s="64" t="s" ph="1">
        <v>499</v>
      </c>
      <c r="AM162" s="64" t="s" ph="1">
        <v>556</v>
      </c>
      <c r="AN162" s="64" t="s" ph="1">
        <v>220</v>
      </c>
      <c r="AO162" s="64" t="s" ph="1">
        <v>557</v>
      </c>
      <c r="AY162" s="64" t="s" ph="1">
        <v>216</v>
      </c>
      <c r="AZ162" s="64" t="s" ph="1">
        <v>292</v>
      </c>
    </row>
    <row r="163" spans="33:52" ph="1">
      <c r="AH163" s="64" ph="1">
        <v>2</v>
      </c>
      <c r="AI163" s="64" t="s" ph="1">
        <v>558</v>
      </c>
      <c r="AJ163" s="64" t="s" ph="1">
        <v>555</v>
      </c>
      <c r="AK163" s="64" t="s" ph="1">
        <v>388</v>
      </c>
      <c r="AY163" s="64" t="s" ph="1">
        <v>216</v>
      </c>
      <c r="AZ163" s="64" t="s" ph="1">
        <v>388</v>
      </c>
    </row>
    <row r="164" spans="33:52" ph="1">
      <c r="AH164" s="64" ph="1">
        <v>3</v>
      </c>
      <c r="AI164" s="64" t="s" ph="1">
        <v>559</v>
      </c>
      <c r="AJ164" s="64" t="s" ph="1">
        <v>555</v>
      </c>
      <c r="AK164" s="64" t="s" ph="1">
        <v>292</v>
      </c>
      <c r="AY164" s="64" t="s" ph="1">
        <v>216</v>
      </c>
      <c r="AZ164" s="64" t="s" ph="1">
        <v>292</v>
      </c>
    </row>
    <row r="165" spans="33:52" ph="1">
      <c r="AH165" s="64" ph="1">
        <v>4</v>
      </c>
      <c r="AI165" s="64" t="s" ph="1">
        <v>560</v>
      </c>
      <c r="AY165" s="64" t="s" ph="1">
        <v>216</v>
      </c>
      <c r="AZ165" s="64" t="s" ph="1">
        <v>367</v>
      </c>
    </row>
    <row r="166" spans="33:52" ph="1">
      <c r="AH166" s="64" ph="1">
        <v>5</v>
      </c>
      <c r="AI166" s="64" t="s" ph="1">
        <v>561</v>
      </c>
      <c r="AY166" s="64" t="s" ph="1">
        <v>216</v>
      </c>
      <c r="AZ166" s="64" t="s" ph="1">
        <v>367</v>
      </c>
    </row>
    <row r="167" spans="33:52" ph="1">
      <c r="AZ167" s="64" t="s" ph="1">
        <v>562</v>
      </c>
    </row>
    <row r="168" spans="33:52" ph="1">
      <c r="AG168" s="64" t="s" ph="1">
        <v>305</v>
      </c>
      <c r="AI168" s="64" t="s" ph="1">
        <v>209</v>
      </c>
      <c r="AJ168" s="64" t="s" ph="1">
        <v>210</v>
      </c>
      <c r="AK168" s="64" t="s" ph="1">
        <v>211</v>
      </c>
      <c r="AM168" s="64" t="s" ph="1">
        <v>210</v>
      </c>
      <c r="AN168" s="64" t="s" ph="1">
        <v>211</v>
      </c>
      <c r="AO168" s="64" t="s" ph="1">
        <v>212</v>
      </c>
      <c r="AP168" s="64" t="s" ph="1">
        <v>210</v>
      </c>
      <c r="AQ168" s="64" t="s" ph="1">
        <v>211</v>
      </c>
      <c r="AR168" s="64" t="s" ph="1">
        <v>212</v>
      </c>
      <c r="AS168" s="64" t="s" ph="1">
        <v>210</v>
      </c>
      <c r="AT168" s="64" t="s" ph="1">
        <v>211</v>
      </c>
      <c r="AU168" s="64" t="s" ph="1">
        <v>212</v>
      </c>
      <c r="AV168" s="64" t="s" ph="1">
        <v>210</v>
      </c>
      <c r="AW168" s="64" t="s" ph="1">
        <v>211</v>
      </c>
      <c r="AX168" s="64" t="s" ph="1">
        <v>212</v>
      </c>
      <c r="AY168" s="64" t="s" ph="1">
        <v>211</v>
      </c>
      <c r="AZ168" s="64" t="s" ph="1">
        <v>213</v>
      </c>
    </row>
    <row r="169" spans="33:52" ph="1">
      <c r="AH169" s="64" ph="1">
        <v>1</v>
      </c>
      <c r="AI169" s="64" t="s" ph="1">
        <v>563</v>
      </c>
      <c r="AY169" s="64" t="s" ph="1">
        <v>216</v>
      </c>
      <c r="AZ169" s="64" t="s" ph="1">
        <v>367</v>
      </c>
    </row>
    <row r="170" spans="33:52" ph="1">
      <c r="AH170" s="64" ph="1">
        <v>2</v>
      </c>
      <c r="AI170" s="64" t="s" ph="1">
        <v>564</v>
      </c>
      <c r="AY170" s="64" t="s" ph="1">
        <v>216</v>
      </c>
      <c r="AZ170" s="64" t="s" ph="1">
        <v>367</v>
      </c>
    </row>
    <row r="171" spans="33:52" ph="1">
      <c r="AH171" s="64" ph="1">
        <v>3</v>
      </c>
      <c r="AI171" s="64" t="s" ph="1">
        <v>565</v>
      </c>
      <c r="AY171" s="64" t="s" ph="1">
        <v>216</v>
      </c>
      <c r="AZ171" s="64" t="s" ph="1">
        <v>367</v>
      </c>
    </row>
    <row r="172" spans="33:52" ph="1">
      <c r="AH172" s="64" ph="1">
        <v>4</v>
      </c>
      <c r="AI172" s="64" t="s" ph="1">
        <v>566</v>
      </c>
      <c r="AY172" s="64" t="s" ph="1">
        <v>216</v>
      </c>
      <c r="AZ172" s="64" t="s" ph="1">
        <v>367</v>
      </c>
    </row>
    <row r="173" spans="33:52" ph="1">
      <c r="AH173" s="64" ph="1">
        <v>5</v>
      </c>
      <c r="AI173" s="64" t="s" ph="1">
        <v>567</v>
      </c>
      <c r="AY173" s="64" t="s" ph="1">
        <v>216</v>
      </c>
      <c r="AZ173" s="64" t="s" ph="1">
        <v>367</v>
      </c>
    </row>
    <row r="174" spans="33:52" ph="1">
      <c r="AZ174" s="64" t="s" ph="1">
        <v>385</v>
      </c>
    </row>
    <row r="175" spans="33:52" ph="1">
      <c r="AJ175" s="64" t="s" ph="1">
        <v>306</v>
      </c>
    </row>
    <row r="176" spans="33:52" ph="1">
      <c r="AJ176" s="64" t="s" ph="1">
        <v>307</v>
      </c>
      <c r="AK176" s="64" t="s" ph="1">
        <v>308</v>
      </c>
      <c r="AM176" s="64" t="s" ph="1">
        <v>309</v>
      </c>
      <c r="AO176" s="64" t="s" ph="1">
        <v>310</v>
      </c>
      <c r="AP176" s="64" t="s" ph="1">
        <v>311</v>
      </c>
      <c r="AQ176" s="64" t="s" ph="1">
        <v>301</v>
      </c>
      <c r="AR176" s="64" t="s" ph="1">
        <v>221</v>
      </c>
    </row>
    <row r="177" spans="36:56" ph="1">
      <c r="AJ177" s="64" t="s" ph="1">
        <v>603</v>
      </c>
      <c r="AK177" s="64" t="s" ph="1">
        <v>312</v>
      </c>
      <c r="AO177" s="64" t="s" ph="1">
        <v>312</v>
      </c>
      <c r="AP177" s="64" t="s" ph="1">
        <v>312</v>
      </c>
      <c r="AQ177" s="64" t="s" ph="1">
        <v>313</v>
      </c>
      <c r="AR177" s="64" t="s" ph="1">
        <v>314</v>
      </c>
    </row>
    <row r="179" spans="36:56" ph="1">
      <c r="AJ179" s="64" t="s" ph="1">
        <v>315</v>
      </c>
      <c r="AK179" s="64" t="s" ph="1">
        <v>316</v>
      </c>
      <c r="AM179" s="64" t="s" ph="1">
        <v>317</v>
      </c>
      <c r="AN179" s="64" t="s" ph="1">
        <v>293</v>
      </c>
      <c r="AO179" s="64" t="s" ph="1">
        <v>318</v>
      </c>
      <c r="AP179" s="64" t="s" ph="1">
        <v>297</v>
      </c>
      <c r="AQ179" s="64" t="s" ph="1">
        <v>319</v>
      </c>
      <c r="AR179" s="64" t="s" ph="1">
        <v>320</v>
      </c>
    </row>
    <row r="180" spans="36:56" ph="1">
      <c r="AJ180" s="64" t="s" ph="1">
        <v>312</v>
      </c>
      <c r="AK180" s="64" t="s" ph="1">
        <v>312</v>
      </c>
      <c r="AL180" s="64" ph="1">
        <v>116</v>
      </c>
      <c r="AM180" s="64" t="s" ph="1">
        <v>312</v>
      </c>
      <c r="AN180" s="64" t="s" ph="1">
        <v>321</v>
      </c>
      <c r="AO180" s="64" t="s" ph="1">
        <v>312</v>
      </c>
      <c r="AP180" s="64" t="s" ph="1">
        <v>322</v>
      </c>
      <c r="AQ180" s="64" t="s" ph="1">
        <v>323</v>
      </c>
      <c r="AR180" s="64" t="s" ph="1">
        <v>324</v>
      </c>
    </row>
    <row r="189" spans="36:56" ph="1">
      <c r="BD189" s="64" t="s" ph="1">
        <v>568</v>
      </c>
    </row>
    <row r="223" spans="18:18" ph="1">
      <c r="R223" s="135" ph="1">
        <v>45496</v>
      </c>
    </row>
  </sheetData>
  <mergeCells count="58"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S31:U31"/>
    <mergeCell ref="V31:X31"/>
    <mergeCell ref="Y31:AA31"/>
    <mergeCell ref="AB31:AE31"/>
    <mergeCell ref="AD32:AE32"/>
    <mergeCell ref="B33:C34"/>
    <mergeCell ref="D33:D34"/>
    <mergeCell ref="E33:E34"/>
    <mergeCell ref="F33:F34"/>
    <mergeCell ref="G33:G34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</mergeCells>
  <phoneticPr fontId="2" type="noConversion"/>
  <conditionalFormatting sqref="D4:D11">
    <cfRule type="expression" dxfId="2866" priority="100">
      <formula>ABS(D$7-D$10)&gt;=1000</formula>
    </cfRule>
  </conditionalFormatting>
  <conditionalFormatting sqref="E4 E6:E11">
    <cfRule type="expression" dxfId="2865" priority="99">
      <formula>ABS(E$7-E$10)&gt;=1000</formula>
    </cfRule>
  </conditionalFormatting>
  <conditionalFormatting sqref="F4:F11">
    <cfRule type="expression" dxfId="2864" priority="98">
      <formula>ABS(F$7-F$10)&gt;=1000</formula>
    </cfRule>
  </conditionalFormatting>
  <conditionalFormatting sqref="G4:G11">
    <cfRule type="expression" dxfId="2863" priority="97">
      <formula>ABS(G$7-G$10)&gt;=1000</formula>
    </cfRule>
  </conditionalFormatting>
  <conditionalFormatting sqref="H4:H11">
    <cfRule type="expression" dxfId="2862" priority="96">
      <formula>ABS(H$7-H$10)&gt;=1000</formula>
    </cfRule>
  </conditionalFormatting>
  <conditionalFormatting sqref="I4:I11">
    <cfRule type="expression" dxfId="2861" priority="95">
      <formula>ABS(I$7-I$10)&gt;=1000</formula>
    </cfRule>
  </conditionalFormatting>
  <conditionalFormatting sqref="J4:J11">
    <cfRule type="expression" dxfId="2860" priority="94">
      <formula>ABS(J$7-J$10)&gt;=1000</formula>
    </cfRule>
  </conditionalFormatting>
  <conditionalFormatting sqref="K4:K11">
    <cfRule type="expression" dxfId="2859" priority="93">
      <formula>ABS(K$7-K$10)&gt;=1000</formula>
    </cfRule>
  </conditionalFormatting>
  <conditionalFormatting sqref="L4:L11">
    <cfRule type="expression" dxfId="2858" priority="92">
      <formula>ABS(L$7-L$10)&gt;=1000</formula>
    </cfRule>
  </conditionalFormatting>
  <conditionalFormatting sqref="M4 M6:M11">
    <cfRule type="expression" dxfId="2857" priority="91">
      <formula>ABS(M$7-M$10)&gt;=1000</formula>
    </cfRule>
  </conditionalFormatting>
  <conditionalFormatting sqref="N4 N6:N11">
    <cfRule type="expression" dxfId="2856" priority="90">
      <formula>ABS(N$7-N$10)&gt;=1000</formula>
    </cfRule>
  </conditionalFormatting>
  <conditionalFormatting sqref="O4 O6:O11">
    <cfRule type="expression" dxfId="2855" priority="89">
      <formula>ABS(O$7-O$10)&gt;=1000</formula>
    </cfRule>
  </conditionalFormatting>
  <conditionalFormatting sqref="P4 P6:P11">
    <cfRule type="expression" dxfId="2854" priority="88">
      <formula>ABS(P$7-P$10)&gt;=1000</formula>
    </cfRule>
  </conditionalFormatting>
  <conditionalFormatting sqref="Q4:Q11">
    <cfRule type="expression" dxfId="2853" priority="87">
      <formula>ABS(Q$7-Q$10)&gt;=1000</formula>
    </cfRule>
  </conditionalFormatting>
  <conditionalFormatting sqref="R4:R11">
    <cfRule type="expression" dxfId="2852" priority="86">
      <formula>ABS(R$7-R$10)&gt;=1000</formula>
    </cfRule>
  </conditionalFormatting>
  <conditionalFormatting sqref="S4:S11">
    <cfRule type="expression" dxfId="2851" priority="85">
      <formula>ABS(S$7-S$10)&gt;=1000</formula>
    </cfRule>
  </conditionalFormatting>
  <conditionalFormatting sqref="T4:T9 T11">
    <cfRule type="expression" dxfId="2850" priority="84">
      <formula>ABS(T$7-T$10)&gt;=1000</formula>
    </cfRule>
  </conditionalFormatting>
  <conditionalFormatting sqref="U4:U9 U11">
    <cfRule type="expression" dxfId="2849" priority="83">
      <formula>ABS(U$7-U$10)&gt;=1000</formula>
    </cfRule>
  </conditionalFormatting>
  <conditionalFormatting sqref="V4:V9 V11">
    <cfRule type="expression" dxfId="2848" priority="82">
      <formula>ABS(V$7-V$10)&gt;=1000</formula>
    </cfRule>
  </conditionalFormatting>
  <conditionalFormatting sqref="W4:W9 W11">
    <cfRule type="expression" dxfId="2847" priority="81">
      <formula>ABS(W$7-W$10)&gt;=1000</formula>
    </cfRule>
  </conditionalFormatting>
  <conditionalFormatting sqref="X4:X9 X11">
    <cfRule type="expression" dxfId="2846" priority="80">
      <formula>ABS(X$7-X$10)&gt;=1000</formula>
    </cfRule>
  </conditionalFormatting>
  <conditionalFormatting sqref="Y4:Y9 Y11">
    <cfRule type="expression" dxfId="2845" priority="79">
      <formula>ABS(Y$7-Y$10)&gt;=1000</formula>
    </cfRule>
  </conditionalFormatting>
  <conditionalFormatting sqref="Z4:Z11">
    <cfRule type="expression" dxfId="2844" priority="78">
      <formula>ABS(Z$7-Z$10)&gt;=1000</formula>
    </cfRule>
  </conditionalFormatting>
  <conditionalFormatting sqref="AA4:AA11">
    <cfRule type="expression" dxfId="2843" priority="77">
      <formula>ABS(AA$7-AA$10)&gt;=1000</formula>
    </cfRule>
  </conditionalFormatting>
  <conditionalFormatting sqref="AB4:AB11">
    <cfRule type="expression" dxfId="2842" priority="76">
      <formula>ABS(AB$7-AB$10)&gt;=1000</formula>
    </cfRule>
  </conditionalFormatting>
  <conditionalFormatting sqref="AC4 AC6:AC11">
    <cfRule type="expression" dxfId="2841" priority="75">
      <formula>ABS(AC$7-AC$10)&gt;=1000</formula>
    </cfRule>
  </conditionalFormatting>
  <conditionalFormatting sqref="AD4 AD6:AD11">
    <cfRule type="expression" dxfId="2840" priority="74">
      <formula>ABS(AD$7-AD$10)&gt;=1000</formula>
    </cfRule>
  </conditionalFormatting>
  <conditionalFormatting sqref="AE4 AE6:AE11">
    <cfRule type="expression" dxfId="2839" priority="73">
      <formula>ABS(AE$7-AE$10)&gt;=1000</formula>
    </cfRule>
  </conditionalFormatting>
  <conditionalFormatting sqref="D13:D20">
    <cfRule type="expression" dxfId="2838" priority="72">
      <formula>ABS(D$16-D$19)&gt;=1000</formula>
    </cfRule>
  </conditionalFormatting>
  <conditionalFormatting sqref="E13:E20">
    <cfRule type="expression" dxfId="2837" priority="71">
      <formula>ABS(E$16-E$19)&gt;=1000</formula>
    </cfRule>
  </conditionalFormatting>
  <conditionalFormatting sqref="F13 F15:F20">
    <cfRule type="expression" dxfId="2836" priority="70">
      <formula>ABS(F$16-F$19)&gt;=1000</formula>
    </cfRule>
  </conditionalFormatting>
  <conditionalFormatting sqref="G13:G20">
    <cfRule type="expression" dxfId="2835" priority="69">
      <formula>ABS(G$16-G$19)&gt;=1000</formula>
    </cfRule>
  </conditionalFormatting>
  <conditionalFormatting sqref="H13 H15:H20">
    <cfRule type="expression" dxfId="2834" priority="68">
      <formula>ABS(H$16-H$19)&gt;=1000</formula>
    </cfRule>
  </conditionalFormatting>
  <conditionalFormatting sqref="I13:I20">
    <cfRule type="expression" dxfId="2833" priority="67">
      <formula>ABS(I$16-I$19)&gt;=1000</formula>
    </cfRule>
  </conditionalFormatting>
  <conditionalFormatting sqref="J13:J20">
    <cfRule type="expression" dxfId="2832" priority="66">
      <formula>ABS(J$16-J$19)&gt;=1000</formula>
    </cfRule>
  </conditionalFormatting>
  <conditionalFormatting sqref="L13:L20">
    <cfRule type="expression" dxfId="2831" priority="65">
      <formula>ABS(L$16-L$19)&gt;=1000</formula>
    </cfRule>
  </conditionalFormatting>
  <conditionalFormatting sqref="M13 M15 M17:M18 M20">
    <cfRule type="expression" dxfId="2830" priority="64">
      <formula>ABS(M$16-M$19)&gt;=1000</formula>
    </cfRule>
  </conditionalFormatting>
  <conditionalFormatting sqref="N13:N20">
    <cfRule type="expression" dxfId="2829" priority="63">
      <formula>ABS(N$16-N$19)&gt;=1000</formula>
    </cfRule>
  </conditionalFormatting>
  <conditionalFormatting sqref="O13:O20">
    <cfRule type="expression" dxfId="2828" priority="62">
      <formula>ABS(O$16-O$19)&gt;=1000</formula>
    </cfRule>
  </conditionalFormatting>
  <conditionalFormatting sqref="P13:P20">
    <cfRule type="expression" dxfId="2827" priority="61">
      <formula>ABS(P$16-P$19)&gt;=1000</formula>
    </cfRule>
  </conditionalFormatting>
  <conditionalFormatting sqref="Q13 Q15:Q20">
    <cfRule type="expression" dxfId="2826" priority="60">
      <formula>ABS(Q$16-Q$19)&gt;=1000</formula>
    </cfRule>
  </conditionalFormatting>
  <conditionalFormatting sqref="R13:R20">
    <cfRule type="expression" dxfId="2825" priority="59">
      <formula>ABS(R$16-R$19)&gt;=1000</formula>
    </cfRule>
  </conditionalFormatting>
  <conditionalFormatting sqref="S13:S20">
    <cfRule type="expression" dxfId="2824" priority="58">
      <formula>ABS(S$16-S$19)&gt;=1000</formula>
    </cfRule>
  </conditionalFormatting>
  <conditionalFormatting sqref="T13:T20">
    <cfRule type="expression" dxfId="2823" priority="57">
      <formula>ABS(T$16-T$19)&gt;=1000</formula>
    </cfRule>
  </conditionalFormatting>
  <conditionalFormatting sqref="U13:U20">
    <cfRule type="expression" dxfId="2822" priority="56">
      <formula>ABS(U$16-U$19)&gt;=1000</formula>
    </cfRule>
  </conditionalFormatting>
  <conditionalFormatting sqref="V13:V20">
    <cfRule type="expression" dxfId="2821" priority="55">
      <formula>ABS(V$16-V$19)&gt;=1000</formula>
    </cfRule>
  </conditionalFormatting>
  <conditionalFormatting sqref="W13 W20 W15:W18">
    <cfRule type="expression" dxfId="2820" priority="54">
      <formula>ABS(W$16-W$19)&gt;=1000</formula>
    </cfRule>
  </conditionalFormatting>
  <conditionalFormatting sqref="X13 X15:X20 Y19">
    <cfRule type="expression" dxfId="2819" priority="53">
      <formula>ABS(X$16-X$19)&gt;=1000</formula>
    </cfRule>
  </conditionalFormatting>
  <conditionalFormatting sqref="Y13 Y15:Y18 Y20">
    <cfRule type="expression" dxfId="2818" priority="52">
      <formula>ABS(Y$16-Y$19)&gt;=1000</formula>
    </cfRule>
  </conditionalFormatting>
  <conditionalFormatting sqref="Z13:Z20">
    <cfRule type="expression" dxfId="2817" priority="51">
      <formula>ABS(Z$16-Z$19)&gt;=1000</formula>
    </cfRule>
  </conditionalFormatting>
  <conditionalFormatting sqref="AA13:AA20">
    <cfRule type="expression" dxfId="2816" priority="50">
      <formula>ABS(AA$16-AA$19)&gt;=1000</formula>
    </cfRule>
  </conditionalFormatting>
  <conditionalFormatting sqref="AB13 AB15:AB20">
    <cfRule type="expression" dxfId="2815" priority="49">
      <formula>ABS(AB$16-AB$19)&gt;=1000</formula>
    </cfRule>
  </conditionalFormatting>
  <conditionalFormatting sqref="AC13 AC15:AC20">
    <cfRule type="expression" dxfId="2814" priority="48">
      <formula>ABS(AC$16-AC$19)&gt;=1000</formula>
    </cfRule>
  </conditionalFormatting>
  <conditionalFormatting sqref="AD13:AD20">
    <cfRule type="expression" dxfId="2813" priority="47">
      <formula>ABS(AD$16-AD$19)&gt;=1000</formula>
    </cfRule>
  </conditionalFormatting>
  <conditionalFormatting sqref="AE13:AE20">
    <cfRule type="expression" dxfId="2812" priority="46">
      <formula>ABS(AE$16-AE$19)&gt;=1000</formula>
    </cfRule>
  </conditionalFormatting>
  <conditionalFormatting sqref="D22:D29">
    <cfRule type="expression" dxfId="2811" priority="45">
      <formula>ABS(D$25-D$28)&gt;=1000</formula>
    </cfRule>
  </conditionalFormatting>
  <conditionalFormatting sqref="E22:E29">
    <cfRule type="expression" dxfId="2810" priority="44">
      <formula>ABS(E$25-E$28)&gt;=1000</formula>
    </cfRule>
  </conditionalFormatting>
  <conditionalFormatting sqref="F22:F29">
    <cfRule type="expression" dxfId="2809" priority="43">
      <formula>ABS(F$25-F$28)&gt;=1000</formula>
    </cfRule>
  </conditionalFormatting>
  <conditionalFormatting sqref="G22:G29">
    <cfRule type="expression" dxfId="2808" priority="42">
      <formula>ABS(G$25-G$28)&gt;=1000</formula>
    </cfRule>
  </conditionalFormatting>
  <conditionalFormatting sqref="H22:H29">
    <cfRule type="expression" dxfId="2807" priority="41">
      <formula>ABS(H$25-H$28)&gt;=1000</formula>
    </cfRule>
  </conditionalFormatting>
  <conditionalFormatting sqref="I22 I24:I29">
    <cfRule type="expression" dxfId="2806" priority="40">
      <formula>ABS(I$25-I$28)&gt;=1000</formula>
    </cfRule>
  </conditionalFormatting>
  <conditionalFormatting sqref="J22:J29 K22">
    <cfRule type="expression" dxfId="2805" priority="39">
      <formula>ABS(J$25-J$28)&gt;=1000</formula>
    </cfRule>
  </conditionalFormatting>
  <conditionalFormatting sqref="K23:K29 L25 L28">
    <cfRule type="expression" dxfId="2804" priority="38">
      <formula>ABS(K$25-K$28)&gt;=1000</formula>
    </cfRule>
  </conditionalFormatting>
  <conditionalFormatting sqref="L22 L26:L27 L29 L24">
    <cfRule type="expression" dxfId="2803" priority="37">
      <formula>ABS(L$25-L$28)&gt;=1000</formula>
    </cfRule>
  </conditionalFormatting>
  <conditionalFormatting sqref="M22:M29">
    <cfRule type="expression" dxfId="2802" priority="36">
      <formula>ABS(M$25-M$28)&gt;=1000</formula>
    </cfRule>
  </conditionalFormatting>
  <conditionalFormatting sqref="N22:N29">
    <cfRule type="expression" dxfId="2801" priority="35">
      <formula>ABS(N$25-N$28)&gt;=1000</formula>
    </cfRule>
  </conditionalFormatting>
  <conditionalFormatting sqref="O22:O29">
    <cfRule type="expression" dxfId="2800" priority="34">
      <formula>ABS(O$25-O$28)&gt;=1000</formula>
    </cfRule>
  </conditionalFormatting>
  <conditionalFormatting sqref="P22:P29">
    <cfRule type="expression" dxfId="2799" priority="33">
      <formula>ABS(P$25-P$28)&gt;=1000</formula>
    </cfRule>
  </conditionalFormatting>
  <conditionalFormatting sqref="Q22:Q29">
    <cfRule type="expression" dxfId="2798" priority="32">
      <formula>ABS(Q$25-Q$28)&gt;=1000</formula>
    </cfRule>
  </conditionalFormatting>
  <conditionalFormatting sqref="R22:R29">
    <cfRule type="expression" dxfId="2797" priority="31">
      <formula>ABS(R$25-R$28)&gt;=1000</formula>
    </cfRule>
  </conditionalFormatting>
  <conditionalFormatting sqref="S22:S29">
    <cfRule type="expression" dxfId="2796" priority="30">
      <formula>ABS(S$25-S$28)&gt;=1000</formula>
    </cfRule>
  </conditionalFormatting>
  <conditionalFormatting sqref="T22:T29">
    <cfRule type="expression" dxfId="2795" priority="29">
      <formula>ABS(T$25-T$28)&gt;=1000</formula>
    </cfRule>
  </conditionalFormatting>
  <conditionalFormatting sqref="U22:U29">
    <cfRule type="expression" dxfId="2794" priority="28">
      <formula>ABS(U$25-U$28)&gt;=1000</formula>
    </cfRule>
  </conditionalFormatting>
  <conditionalFormatting sqref="V22:V29">
    <cfRule type="expression" dxfId="2793" priority="27">
      <formula>ABS(V$25-V$28)&gt;=1000</formula>
    </cfRule>
  </conditionalFormatting>
  <conditionalFormatting sqref="W22:W29">
    <cfRule type="expression" dxfId="2792" priority="26">
      <formula>ABS(W$25-W$28)&gt;=1000</formula>
    </cfRule>
  </conditionalFormatting>
  <conditionalFormatting sqref="X22:X29">
    <cfRule type="expression" dxfId="2791" priority="25">
      <formula>ABS(X$25-X$28)&gt;=1000</formula>
    </cfRule>
  </conditionalFormatting>
  <conditionalFormatting sqref="Y22:Y29">
    <cfRule type="expression" dxfId="2790" priority="24">
      <formula>ABS(Y$25-Y$28)&gt;=1000</formula>
    </cfRule>
  </conditionalFormatting>
  <conditionalFormatting sqref="I23">
    <cfRule type="expression" dxfId="2789" priority="23">
      <formula>ABS(I$25-I$28)&gt;=1000</formula>
    </cfRule>
  </conditionalFormatting>
  <conditionalFormatting sqref="Q14">
    <cfRule type="expression" dxfId="2788" priority="22">
      <formula>ABS(Q$16-Q$19)&gt;=1000</formula>
    </cfRule>
  </conditionalFormatting>
  <conditionalFormatting sqref="W14">
    <cfRule type="expression" dxfId="2787" priority="21">
      <formula>ABS(W$16-W$19)&gt;=1000</formula>
    </cfRule>
  </conditionalFormatting>
  <conditionalFormatting sqref="X14">
    <cfRule type="expression" dxfId="2786" priority="20">
      <formula>ABS(X$16-X$19)&gt;=1000</formula>
    </cfRule>
  </conditionalFormatting>
  <conditionalFormatting sqref="T10:Y10">
    <cfRule type="expression" dxfId="2785" priority="19">
      <formula>ABS(T$7-T$10)&gt;=1000</formula>
    </cfRule>
  </conditionalFormatting>
  <conditionalFormatting sqref="W19">
    <cfRule type="expression" dxfId="2784" priority="18">
      <formula>ABS(W$16-W$19)&gt;=1000</formula>
    </cfRule>
  </conditionalFormatting>
  <conditionalFormatting sqref="AC5">
    <cfRule type="expression" dxfId="2783" priority="17">
      <formula>ABS(AC$7-AC$10)&gt;=1000</formula>
    </cfRule>
  </conditionalFormatting>
  <conditionalFormatting sqref="M14">
    <cfRule type="expression" dxfId="2782" priority="16">
      <formula>ABS(M$16-M$19)&gt;=1000</formula>
    </cfRule>
  </conditionalFormatting>
  <conditionalFormatting sqref="M16">
    <cfRule type="expression" dxfId="2781" priority="15">
      <formula>ABS(M$16-M$19)&gt;=1000</formula>
    </cfRule>
  </conditionalFormatting>
  <conditionalFormatting sqref="M19">
    <cfRule type="expression" dxfId="2780" priority="14">
      <formula>ABS(M$16-M$19)&gt;=1000</formula>
    </cfRule>
  </conditionalFormatting>
  <conditionalFormatting sqref="K13:K20">
    <cfRule type="expression" dxfId="2779" priority="13">
      <formula>ABS(K$16-K$19)&gt;=1000</formula>
    </cfRule>
  </conditionalFormatting>
  <conditionalFormatting sqref="E5">
    <cfRule type="expression" dxfId="2778" priority="12">
      <formula>ABS(E$7-E$10)&gt;=1000</formula>
    </cfRule>
  </conditionalFormatting>
  <conditionalFormatting sqref="AB14:AC14">
    <cfRule type="expression" dxfId="2777" priority="11">
      <formula>ABS(AB$16-AB$19)&gt;=1000</formula>
    </cfRule>
  </conditionalFormatting>
  <conditionalFormatting sqref="M5">
    <cfRule type="expression" dxfId="2776" priority="10">
      <formula>ABS(M$7-M$10)&gt;=1000</formula>
    </cfRule>
  </conditionalFormatting>
  <conditionalFormatting sqref="N5">
    <cfRule type="expression" dxfId="2775" priority="9">
      <formula>ABS(N$7-N$10)&gt;=1000</formula>
    </cfRule>
  </conditionalFormatting>
  <conditionalFormatting sqref="O5">
    <cfRule type="expression" dxfId="2774" priority="8">
      <formula>ABS(O$7-O$10)&gt;=1000</formula>
    </cfRule>
  </conditionalFormatting>
  <conditionalFormatting sqref="P5">
    <cfRule type="expression" dxfId="2773" priority="7">
      <formula>ABS(P$7-P$10)&gt;=1000</formula>
    </cfRule>
  </conditionalFormatting>
  <conditionalFormatting sqref="L23">
    <cfRule type="expression" dxfId="2772" priority="6">
      <formula>ABS(L$25-L$28)&gt;=1000</formula>
    </cfRule>
  </conditionalFormatting>
  <conditionalFormatting sqref="Y14">
    <cfRule type="expression" dxfId="2771" priority="5">
      <formula>ABS(Y$16-Y$19)&gt;=1000</formula>
    </cfRule>
  </conditionalFormatting>
  <conditionalFormatting sqref="F14">
    <cfRule type="expression" dxfId="2770" priority="4">
      <formula>ABS(F$16-F$19)&gt;=1000</formula>
    </cfRule>
  </conditionalFormatting>
  <conditionalFormatting sqref="H14">
    <cfRule type="expression" dxfId="2769" priority="3">
      <formula>ABS(H$16-H$19)&gt;=1000</formula>
    </cfRule>
  </conditionalFormatting>
  <conditionalFormatting sqref="AD5">
    <cfRule type="expression" dxfId="2768" priority="2">
      <formula>ABS(AD$7-AD$10)&gt;=1000</formula>
    </cfRule>
  </conditionalFormatting>
  <conditionalFormatting sqref="AE5">
    <cfRule type="expression" dxfId="2767" priority="1">
      <formula>ABS(AE$7-AE$10)&gt;=1000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6177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900">
    <pageSetUpPr fitToPage="1"/>
  </sheetPr>
  <dimension ref="A1:CU223"/>
  <sheetViews>
    <sheetView view="pageBreakPreview" topLeftCell="A24" zoomScale="70" zoomScaleNormal="100" zoomScaleSheetLayoutView="70" workbookViewId="0">
      <selection activeCell="AB38" sqref="AB38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185" t="s" ph="1">
        <v>161</v>
      </c>
      <c r="C1" s="185" ph="1"/>
      <c r="D1" s="185" ph="1"/>
      <c r="E1" s="185" ph="1"/>
      <c r="F1" s="185" ph="1"/>
      <c r="G1" s="185" ph="1"/>
      <c r="H1" s="185" ph="1"/>
      <c r="I1" s="185" ph="1"/>
      <c r="J1" s="185" ph="1"/>
      <c r="K1" s="185" ph="1"/>
      <c r="L1" s="185" ph="1"/>
      <c r="M1" s="185" ph="1"/>
      <c r="N1" s="185" ph="1"/>
      <c r="O1" s="185" ph="1"/>
      <c r="P1" s="185" ph="1"/>
      <c r="Q1" s="185" ph="1"/>
      <c r="R1" s="185" ph="1"/>
      <c r="S1" s="185" ph="1"/>
      <c r="T1" s="185" ph="1"/>
      <c r="U1" s="185" ph="1"/>
      <c r="V1" s="185" ph="1"/>
      <c r="W1" s="185" ph="1"/>
      <c r="X1" s="185" ph="1"/>
      <c r="Y1" s="185" ph="1"/>
      <c r="Z1" s="185" ph="1"/>
      <c r="AA1" s="185" ph="1"/>
      <c r="AB1" s="185" ph="1"/>
      <c r="AC1" s="185" ph="1"/>
      <c r="AD1" s="185" ph="1"/>
      <c r="AE1" s="185" ph="1"/>
    </row>
    <row r="2" spans="1:99" s="66" customFormat="1" ht="24" customHeight="1" ph="1">
      <c r="B2" s="186" t="s" ph="1">
        <v>82</v>
      </c>
      <c r="C2" s="186" ph="1"/>
      <c r="D2" s="186" ph="1"/>
      <c r="E2" s="186" ph="1"/>
      <c r="F2" s="186" ph="1"/>
      <c r="G2" s="186" ph="1"/>
      <c r="H2" s="186" ph="1"/>
      <c r="I2" s="186" ph="1"/>
      <c r="J2" s="186" ph="1"/>
      <c r="K2" s="186" ph="1"/>
      <c r="L2" s="186" ph="1"/>
      <c r="M2" s="186" ph="1"/>
      <c r="N2" s="186" ph="1"/>
      <c r="O2" s="186" ph="1"/>
      <c r="P2" s="186" ph="1"/>
      <c r="Q2" s="186" ph="1"/>
      <c r="R2" s="186" ph="1"/>
      <c r="S2" s="186" ph="1"/>
      <c r="T2" s="186" ph="1"/>
      <c r="U2" s="186" ph="1"/>
      <c r="V2" s="186" ph="1"/>
      <c r="W2" s="186" ph="1"/>
      <c r="X2" s="186" ph="1"/>
      <c r="Y2" s="186" ph="1"/>
      <c r="Z2" s="186" ph="1"/>
      <c r="AA2" s="186" ph="1"/>
      <c r="AB2" s="186" ph="1"/>
      <c r="AC2" s="186" ph="1"/>
      <c r="AD2" s="186" ph="1"/>
      <c r="AE2" s="186" ph="1"/>
    </row>
    <row r="3" spans="1:99" ht="21" customHeight="1" ph="1">
      <c r="B3" s="187" ph="1">
        <v>46174</v>
      </c>
      <c r="C3" s="187"/>
      <c r="D3" s="187"/>
      <c r="E3" s="187"/>
      <c r="F3" s="187"/>
      <c r="G3" s="187"/>
      <c r="H3" s="187"/>
      <c r="I3" s="187"/>
      <c r="J3" s="187"/>
      <c r="K3" s="187"/>
      <c r="L3" s="187"/>
      <c r="M3" s="187"/>
      <c r="N3" s="187"/>
      <c r="O3" s="187"/>
      <c r="P3" s="187"/>
      <c r="Q3" s="187"/>
      <c r="R3" s="187"/>
      <c r="S3" s="187"/>
      <c r="T3" s="187"/>
      <c r="U3" s="187"/>
      <c r="V3" s="187"/>
      <c r="W3" s="187"/>
      <c r="X3" s="187"/>
      <c r="Y3" s="187"/>
      <c r="Z3" s="187"/>
      <c r="AA3" s="187"/>
      <c r="AB3" s="187"/>
      <c r="AC3" s="187"/>
      <c r="AD3" s="187"/>
      <c r="AE3" s="187"/>
    </row>
    <row r="4" spans="1:99" s="69" customFormat="1" ph="1">
      <c r="A4" s="65" ph="1"/>
      <c r="B4" s="188" t="s" ph="1">
        <v>37</v>
      </c>
      <c r="C4" s="67" t="s" ph="1">
        <v>176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110</v>
      </c>
      <c r="J4" s="68" t="s" ph="1">
        <v>48</v>
      </c>
      <c r="K4" s="68" t="s" ph="1">
        <v>111</v>
      </c>
      <c r="L4" s="68" t="s" ph="1">
        <v>112</v>
      </c>
      <c r="M4" s="68" t="s" ph="1">
        <v>49</v>
      </c>
      <c r="N4" s="68" t="s" ph="1">
        <v>50</v>
      </c>
      <c r="O4" s="68" t="s" ph="1">
        <v>113</v>
      </c>
      <c r="P4" s="68" t="s" ph="1">
        <v>114</v>
      </c>
      <c r="Q4" s="68" t="s" ph="1">
        <v>115</v>
      </c>
      <c r="R4" s="68" t="s" ph="1">
        <v>116</v>
      </c>
      <c r="S4" s="68" t="s" ph="1">
        <v>117</v>
      </c>
      <c r="T4" s="68" t="s" ph="1">
        <v>118</v>
      </c>
      <c r="U4" s="68" t="s" ph="1">
        <v>119</v>
      </c>
      <c r="V4" s="68" t="s" ph="1">
        <v>120</v>
      </c>
      <c r="W4" s="68" t="s" ph="1">
        <v>121</v>
      </c>
      <c r="X4" s="68" t="s" ph="1">
        <v>122</v>
      </c>
      <c r="Y4" s="68" t="s" ph="1">
        <v>123</v>
      </c>
      <c r="Z4" s="68" t="s" ph="1">
        <v>51</v>
      </c>
      <c r="AA4" s="68" t="s" ph="1">
        <v>124</v>
      </c>
      <c r="AB4" s="68" t="s" ph="1">
        <v>125</v>
      </c>
      <c r="AC4" s="68" t="s" ph="1">
        <v>126</v>
      </c>
      <c r="AD4" s="68" t="s" ph="1">
        <v>40</v>
      </c>
      <c r="AE4" s="68" t="s" ph="1">
        <v>127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188" ph="1"/>
      <c r="C5" s="67" t="s" ph="1">
        <v>36</v>
      </c>
      <c r="D5" s="70" t="s" ph="1">
        <v>160</v>
      </c>
      <c r="E5" s="142" t="s" ph="1">
        <v>7</v>
      </c>
      <c r="F5" s="142" t="s" ph="1">
        <v>1</v>
      </c>
      <c r="G5" s="142" t="s" ph="1">
        <v>7</v>
      </c>
      <c r="H5" s="142" t="s" ph="1">
        <v>7</v>
      </c>
      <c r="I5" s="141" t="s" ph="1">
        <v>608</v>
      </c>
      <c r="J5" s="141" t="s" ph="1">
        <v>609</v>
      </c>
      <c r="K5" s="141" t="s" ph="1">
        <v>611</v>
      </c>
      <c r="L5" s="141" t="s" ph="1">
        <v>613</v>
      </c>
      <c r="M5" s="141" t="s" ph="1">
        <v>608</v>
      </c>
      <c r="N5" s="70" t="s" ph="1">
        <v>609</v>
      </c>
      <c r="O5" s="70" t="s" ph="1">
        <v>611</v>
      </c>
      <c r="P5" s="70" t="s" ph="1">
        <v>613</v>
      </c>
      <c r="Q5" s="70" t="s" ph="1">
        <v>607</v>
      </c>
      <c r="R5" s="70" t="s" ph="1">
        <v>607</v>
      </c>
      <c r="S5" s="70" t="s" ph="1">
        <v>607</v>
      </c>
      <c r="T5" s="70" t="s" ph="1">
        <v>607</v>
      </c>
      <c r="U5" s="70" t="s" ph="1">
        <v>607</v>
      </c>
      <c r="V5" s="70" t="s" ph="1">
        <v>607</v>
      </c>
      <c r="W5" s="70" t="s" ph="1">
        <v>607</v>
      </c>
      <c r="X5" s="70" t="s" ph="1">
        <v>607</v>
      </c>
      <c r="Y5" s="70" t="s" ph="1">
        <v>607</v>
      </c>
      <c r="Z5" s="70" t="s" ph="1">
        <v>614</v>
      </c>
      <c r="AA5" s="70" t="s" ph="1">
        <v>54</v>
      </c>
      <c r="AB5" s="70" t="s" ph="1">
        <v>54</v>
      </c>
      <c r="AC5" s="70" t="s" ph="1">
        <v>615</v>
      </c>
      <c r="AD5" s="71" t="s">
        <v>72</v>
      </c>
      <c r="AE5" s="71" t="s">
        <v>635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184" ph="1">
        <v>0.33333333333333331</v>
      </c>
      <c r="C6" s="150" t="s" ph="1">
        <v>177</v>
      </c>
      <c r="D6" s="71">
        <v>1964</v>
      </c>
      <c r="E6" s="71">
        <v>7815</v>
      </c>
      <c r="F6" s="71">
        <v>5842</v>
      </c>
      <c r="G6" s="71">
        <v>1660</v>
      </c>
      <c r="H6" s="71">
        <v>0</v>
      </c>
      <c r="I6" s="71">
        <v>52.33</v>
      </c>
      <c r="J6" s="71">
        <v>6.28</v>
      </c>
      <c r="K6" s="71">
        <v>62.65</v>
      </c>
      <c r="L6" s="71">
        <v>6.64</v>
      </c>
      <c r="M6" s="71">
        <v>6387</v>
      </c>
      <c r="N6" s="71">
        <v>1135</v>
      </c>
      <c r="O6" s="71">
        <v>5114</v>
      </c>
      <c r="P6" s="71">
        <v>2411</v>
      </c>
      <c r="Q6" s="71">
        <v>0</v>
      </c>
      <c r="R6" s="71">
        <v>0</v>
      </c>
      <c r="S6" s="71">
        <v>0</v>
      </c>
      <c r="T6" s="71">
        <v>806</v>
      </c>
      <c r="U6" s="71">
        <v>7014</v>
      </c>
      <c r="V6" s="71">
        <v>6294</v>
      </c>
      <c r="W6" s="71">
        <v>7140</v>
      </c>
      <c r="X6" s="71">
        <v>6202</v>
      </c>
      <c r="Y6" s="71">
        <v>6730</v>
      </c>
      <c r="Z6" s="71">
        <v>5960</v>
      </c>
      <c r="AA6" s="71">
        <v>0</v>
      </c>
      <c r="AB6" s="71">
        <v>3697</v>
      </c>
      <c r="AC6" s="71">
        <v>4980</v>
      </c>
      <c r="AD6" s="71">
        <v>3890</v>
      </c>
      <c r="AE6" s="71">
        <v>4906</v>
      </c>
    </row>
    <row r="7" spans="1:99" s="72" customFormat="1" ht="22.2" ph="1">
      <c r="B7" s="184" ph="1"/>
      <c r="C7" s="68" t="s" ph="1">
        <v>178</v>
      </c>
      <c r="D7" s="73" ph="1">
        <f>D6*33.183*LOOKUP(D8,密度!$A$2:$A$50,密度!$Q$2:$Q$50)</f>
        <v>61517.25092916</v>
      </c>
      <c r="E7" s="73" ph="1">
        <f>E6*51.53*LOOKUP(E8,密度!$A$2:$A$50,密度!$B$2:$B$50)</f>
        <v>313950.33821999998</v>
      </c>
      <c r="F7" s="73" ph="1">
        <f>F6*33.183*LOOKUP(F8,密度!$A$2:$A$50,密度!$C$2:$C$50)</f>
        <v>214965.90486540002</v>
      </c>
      <c r="G7" s="73" ph="1">
        <f xml:space="preserve"> (G6+2)*51.53*LOOKUP(G8,密度!$A$2:$A$50,密度!$B$2:$B$50)</f>
        <v>66690.095082</v>
      </c>
      <c r="H7" s="73" ph="1">
        <f>(H6)*51.53*LOOKUP(H8,密度!$A$2:$A$50,密度!$B$2:$B$50)</f>
        <v>0</v>
      </c>
      <c r="I7" s="73" ph="1">
        <f>I6*290.8*1.0267</f>
        <v>15623.872958799999</v>
      </c>
      <c r="J7" s="73" ph="1">
        <f>J6*290.8*0.7892</f>
        <v>1441.2559808000001</v>
      </c>
      <c r="K7" s="73" ph="1">
        <f>K6*290.8*1.1126</f>
        <v>20270.036612</v>
      </c>
      <c r="L7" s="73" ph="1">
        <f>L6*290.8*0.777</f>
        <v>1500.318624</v>
      </c>
      <c r="M7" s="73" ph="1">
        <f>M6*33.183*LOOKUP(M8,密度!$A$2:$A$50,密度!$D$2:$D$50)</f>
        <v>217407.86838180001</v>
      </c>
      <c r="N7" s="73" ph="1">
        <f>N6*33.183*LOOKUP(N8,密度!$A$2:$A$50,密度!$E$2:$E$50)</f>
        <v>29456.0015805</v>
      </c>
      <c r="O7" s="73" ph="1">
        <f>O6*20.428*LOOKUP(O8,密度!$A$2:$A$50,密度!$C$2:$C$50)</f>
        <v>115448.46203919999</v>
      </c>
      <c r="P7" s="73" ph="1">
        <f>P6*51.53*LOOKUP(P8,密度!$A$2:$A$50,密度!$B$2:$B$50)</f>
        <v>96856.591868000003</v>
      </c>
      <c r="Q7" s="73" ph="1">
        <f>Q6*1.5*1.5*3.1416*LOOKUP(W8,密度!$A$2:$A$50,密度!$L$2:$L$50)</f>
        <v>0</v>
      </c>
      <c r="R7" s="73" ph="1">
        <f>R6*1.5*1.5*3.1416*LOOKUP(R8,密度!$A$2:$A$50,密度!$L$2:$L$50)</f>
        <v>0</v>
      </c>
      <c r="S7" s="73" ph="1">
        <f>S6*1.5*1.5*3.1416*LOOKUP(S8,密度!$A$2:$A$50,密度!$L$2:$L$50)</f>
        <v>0</v>
      </c>
      <c r="T7" s="73" ph="1">
        <f>T6*1.5*1.5*3.1416*LOOKUP(T8,密度!$A$2:$A$50,密度!$L$2:$L$50)</f>
        <v>5366.8486871999994</v>
      </c>
      <c r="U7" s="73" ph="1">
        <f>U6*1.5*1.5*3.1416*LOOKUP(U8,密度!$A$2:$A$50,密度!$L$2:$L$50)</f>
        <v>46356.514974000005</v>
      </c>
      <c r="V7" s="73" ph="1">
        <f>V6*1.5*1.5*3.1416*LOOKUP(V8,密度!$A$2:$A$50,密度!$L$2:$L$50)</f>
        <v>41553.443685600003</v>
      </c>
      <c r="W7" s="73" ph="1">
        <f>W6*1.5*1.5*3.1416*LOOKUP(W8,密度!$A$2:$A$50,密度!$L$2:$L$50)</f>
        <v>47239.736543999999</v>
      </c>
      <c r="X7" s="73" ph="1">
        <f>X6*1.5*1.5*3.1416*LOOKUP(X8,密度!$A$2:$A$50,密度!$L$2:$L$50)</f>
        <v>41077.571396400002</v>
      </c>
      <c r="Y7" s="73" ph="1">
        <f>Y6*1.5*1.5*3.1416*LOOKUP(Y8,密度!$A$2:$A$50,密度!$L$2:$L$50)</f>
        <v>44574.662286000006</v>
      </c>
      <c r="Z7" s="73" ph="1">
        <f>Z6*33.183*LOOKUP(Z8,密度!$A$2:$A$50,密度!$L$2:$L$50)</f>
        <v>185508.89783999999</v>
      </c>
      <c r="AA7" s="73" ph="1">
        <f>AA6*33.183*LOOKUP(AA8,密度!$A$2:$A$50,密度!$D$2:$D$50)</f>
        <v>0</v>
      </c>
      <c r="AB7" s="73" ph="1">
        <f>AB6*20.428*LOOKUP(AB8,密度!$A$2:$A$50,密度!$D$2:$D$50)</f>
        <v>77954.134575200005</v>
      </c>
      <c r="AC7" s="73" ph="1">
        <f>AC6*51.53*LOOKUP(AC8,密度!$A$2:$A$50,密度!$Q$2:$Q$50)</f>
        <v>243326.51508000001</v>
      </c>
      <c r="AD7" s="73" ph="1">
        <f>AD6*20.428*LOOKUP(AD8,密度!$A$2:$A$50,密度!$V$2:$V$50)</f>
        <v>76095.607392000005</v>
      </c>
      <c r="AE7" s="73" ph="1">
        <f>AE6*20.428</f>
        <v>100219.76800000001</v>
      </c>
    </row>
    <row r="8" spans="1:99" ph="1">
      <c r="B8" s="184" ph="1"/>
      <c r="C8" s="68" t="s" ph="1">
        <v>179</v>
      </c>
      <c r="D8" s="74">
        <v>29</v>
      </c>
      <c r="E8" s="74">
        <v>25</v>
      </c>
      <c r="F8" s="74">
        <v>25</v>
      </c>
      <c r="G8" s="74">
        <v>26</v>
      </c>
      <c r="H8" s="74">
        <v>22</v>
      </c>
      <c r="I8" s="74">
        <v>25</v>
      </c>
      <c r="J8" s="74">
        <v>25</v>
      </c>
      <c r="K8" s="74">
        <v>25</v>
      </c>
      <c r="L8" s="74">
        <v>25</v>
      </c>
      <c r="M8" s="74">
        <v>26</v>
      </c>
      <c r="N8" s="74">
        <v>26</v>
      </c>
      <c r="O8" s="74">
        <v>30</v>
      </c>
      <c r="P8" s="74">
        <v>25</v>
      </c>
      <c r="Q8" s="74">
        <v>26</v>
      </c>
      <c r="R8" s="74">
        <v>29</v>
      </c>
      <c r="S8" s="74">
        <v>21</v>
      </c>
      <c r="T8" s="74">
        <v>20</v>
      </c>
      <c r="U8" s="74">
        <v>27</v>
      </c>
      <c r="V8" s="74">
        <v>28</v>
      </c>
      <c r="W8" s="74">
        <v>26</v>
      </c>
      <c r="X8" s="74">
        <v>25</v>
      </c>
      <c r="Y8" s="74">
        <v>25</v>
      </c>
      <c r="Z8" s="74">
        <v>24</v>
      </c>
      <c r="AA8" s="74">
        <v>24</v>
      </c>
      <c r="AB8" s="74">
        <v>19</v>
      </c>
      <c r="AC8" s="74">
        <v>23</v>
      </c>
      <c r="AD8" s="74">
        <v>26</v>
      </c>
      <c r="AE8" s="74">
        <v>28</v>
      </c>
    </row>
    <row r="9" spans="1:99" ht="26.4" ph="1">
      <c r="B9" s="184" ph="1">
        <v>0.66666666666666663</v>
      </c>
      <c r="C9" s="150" t="s" ph="1">
        <v>180</v>
      </c>
      <c r="D9" s="71">
        <v>1986</v>
      </c>
      <c r="E9" s="71">
        <v>7814</v>
      </c>
      <c r="F9" s="71">
        <v>5844</v>
      </c>
      <c r="G9" s="71">
        <v>1660</v>
      </c>
      <c r="H9" s="71">
        <v>0</v>
      </c>
      <c r="I9" s="71">
        <v>52.32</v>
      </c>
      <c r="J9" s="71">
        <v>6.3</v>
      </c>
      <c r="K9" s="71">
        <v>63.01</v>
      </c>
      <c r="L9" s="71">
        <v>7.07</v>
      </c>
      <c r="M9" s="71">
        <v>6387</v>
      </c>
      <c r="N9" s="71">
        <v>848</v>
      </c>
      <c r="O9" s="71">
        <v>5114</v>
      </c>
      <c r="P9" s="71">
        <v>2495</v>
      </c>
      <c r="Q9" s="71">
        <v>3074</v>
      </c>
      <c r="R9" s="71">
        <v>2673</v>
      </c>
      <c r="S9" s="71">
        <v>0</v>
      </c>
      <c r="T9" s="71">
        <v>0</v>
      </c>
      <c r="U9" s="71">
        <v>3497</v>
      </c>
      <c r="V9" s="71">
        <v>6300</v>
      </c>
      <c r="W9" s="71">
        <v>7148</v>
      </c>
      <c r="X9" s="71">
        <v>6207</v>
      </c>
      <c r="Y9" s="71">
        <v>6738</v>
      </c>
      <c r="Z9" s="71">
        <v>3684</v>
      </c>
      <c r="AA9" s="71">
        <v>0</v>
      </c>
      <c r="AB9" s="71">
        <v>3610</v>
      </c>
      <c r="AC9" s="71">
        <v>5080</v>
      </c>
      <c r="AD9" s="71">
        <v>3890</v>
      </c>
      <c r="AE9" s="71">
        <v>4941</v>
      </c>
    </row>
    <row r="10" spans="1:99" s="72" customFormat="1" ht="22.2" ph="1">
      <c r="B10" s="184" ph="1"/>
      <c r="C10" s="150" t="s" ph="1">
        <v>178</v>
      </c>
      <c r="D10" s="73" ph="1">
        <f>D9*33.183*LOOKUP(D11,密度!$A$2:$A$50,密度!$Q$2:$Q$50)</f>
        <v>62206.344371339997</v>
      </c>
      <c r="E10" s="73" ph="1">
        <f>E9*51.53*LOOKUP(E11,密度!$A$2:$A$50,密度!$B$2:$B$50)</f>
        <v>313547.77555399999</v>
      </c>
      <c r="F10" s="73" ph="1">
        <f>F9*33.183*LOOKUP(F11,密度!$A$2:$A$50,密度!$C$2:$C$50)</f>
        <v>214593.4787832</v>
      </c>
      <c r="G10" s="73" ph="1">
        <f xml:space="preserve"> (G9+2)*51.53*LOOKUP(G11,密度!$A$2:$A$50,密度!$B$2:$B$50)</f>
        <v>66475.987932000004</v>
      </c>
      <c r="H10" s="73" ph="1">
        <f>(H9)*51.53*LOOKUP(H11,密度!$A$2:$A$50,密度!$B$2:$B$50)</f>
        <v>0</v>
      </c>
      <c r="I10" s="73" ph="1">
        <f>I9*290.8*1.0267</f>
        <v>15620.8873152</v>
      </c>
      <c r="J10" s="73" ph="1">
        <f>J9*290.8*0.7892</f>
        <v>1445.8459680000001</v>
      </c>
      <c r="K10" s="73" ph="1">
        <f>K9*290.8*1.1126</f>
        <v>20386.5124808</v>
      </c>
      <c r="L10" s="73" ph="1">
        <f>L9*290.8*0.777</f>
        <v>1597.4778120000001</v>
      </c>
      <c r="M10" s="73" ph="1">
        <f>M9*33.183*LOOKUP(M11,密度!$A$2:$A$50,密度!$D$2:$D$50)</f>
        <v>217598.61422069999</v>
      </c>
      <c r="N10" s="73" ph="1">
        <f>N9*33.183*LOOKUP(N11,密度!$A$2:$A$50,密度!$E$2:$E$50)</f>
        <v>21848.669416799999</v>
      </c>
      <c r="O10" s="73" ph="1">
        <f>O9*20.428*LOOKUP(O11,密度!$A$2:$A$50,密度!$C$2:$C$50)</f>
        <v>114905.22432080001</v>
      </c>
      <c r="P10" s="73" ph="1">
        <f>P9*51.53*LOOKUP(P11,密度!$A$2:$A$50,密度!$B$2:$B$50)</f>
        <v>99896.830950000003</v>
      </c>
      <c r="Q10" s="73" ph="1">
        <f>Q9*1.5*1.5*3.1416*LOOKUP(W11,密度!$A$2:$A$50,密度!$L$2:$L$50)</f>
        <v>20294.770557600001</v>
      </c>
      <c r="R10" s="73" ph="1">
        <f>R9*1.5*1.5*3.1416*LOOKUP(R11,密度!$A$2:$A$50,密度!$L$2:$L$50)</f>
        <v>17571.762054000003</v>
      </c>
      <c r="S10" s="73" ph="1">
        <f>S9*1.5*1.5*3.1416*LOOKUP(S11,密度!$A$2:$A$50,密度!$L$2:$L$50)</f>
        <v>0</v>
      </c>
      <c r="T10" s="73" ph="1">
        <f>T9*1.5*1.5*3.1416*LOOKUP(T11,密度!$A$2:$A$50,密度!$L$2:$L$50)</f>
        <v>0</v>
      </c>
      <c r="U10" s="73" ph="1">
        <f>U9*1.5*1.5*3.1416*LOOKUP(U11,密度!$A$2:$A$50,密度!$L$2:$L$50)</f>
        <v>23087.447182799999</v>
      </c>
      <c r="V10" s="73" ph="1">
        <f>V9*1.5*1.5*3.1416*LOOKUP(V11,密度!$A$2:$A$50,密度!$L$2:$L$50)</f>
        <v>41593.056120000001</v>
      </c>
      <c r="W10" s="73" ph="1">
        <f>W9*1.5*1.5*3.1416*LOOKUP(W11,密度!$A$2:$A$50,密度!$L$2:$L$50)</f>
        <v>47191.613515200006</v>
      </c>
      <c r="X10" s="73" ph="1">
        <f>X9*1.5*1.5*3.1416*LOOKUP(X11,密度!$A$2:$A$50,密度!$L$2:$L$50)</f>
        <v>40979.0633868</v>
      </c>
      <c r="Y10" s="73" ph="1">
        <f>Y9*1.5*1.5*3.1416*LOOKUP(Y11,密度!$A$2:$A$50,密度!$L$2:$L$50)</f>
        <v>44580.020284799997</v>
      </c>
      <c r="Z10" s="73" ph="1">
        <f>Z9*33.183*LOOKUP(Z11,密度!$A$2:$A$50,密度!$L$2:$L$50)</f>
        <v>113933.43230400002</v>
      </c>
      <c r="AA10" s="73" ph="1">
        <f>AA9*33.183*LOOKUP(AA11,密度!$A$2:$A$50,密度!$D$2:$D$50)</f>
        <v>0</v>
      </c>
      <c r="AB10" s="73" ph="1">
        <f>AB9*20.428*LOOKUP(AB11,密度!$A$2:$A$50,密度!$D$2:$D$50)</f>
        <v>75854.189287999994</v>
      </c>
      <c r="AC10" s="73" ph="1">
        <f>AC9*51.53*LOOKUP(AC11,密度!$A$2:$A$50,密度!$Q$2:$Q$50)</f>
        <v>247644.543572</v>
      </c>
      <c r="AD10" s="73" ph="1">
        <f>AD9*20.428*LOOKUP(AD11,密度!$A$2:$A$50,密度!$V$2:$V$50)</f>
        <v>76095.607392000005</v>
      </c>
      <c r="AE10" s="73" ph="1">
        <f>AE9*20.428</f>
        <v>100934.74800000001</v>
      </c>
    </row>
    <row r="11" spans="1:99" ph="1">
      <c r="A11" s="64" t="s" ph="1">
        <v>162</v>
      </c>
      <c r="B11" s="184" ph="1"/>
      <c r="C11" s="150" t="s" ph="1">
        <v>179</v>
      </c>
      <c r="D11" s="74">
        <v>29</v>
      </c>
      <c r="E11" s="74">
        <v>26</v>
      </c>
      <c r="F11" s="74">
        <v>28</v>
      </c>
      <c r="G11" s="74">
        <v>29</v>
      </c>
      <c r="H11" s="74">
        <v>30</v>
      </c>
      <c r="I11" s="74">
        <v>25</v>
      </c>
      <c r="J11" s="74">
        <v>25</v>
      </c>
      <c r="K11" s="74">
        <v>25</v>
      </c>
      <c r="L11" s="74">
        <v>25</v>
      </c>
      <c r="M11" s="74">
        <v>25</v>
      </c>
      <c r="N11" s="74">
        <v>31</v>
      </c>
      <c r="O11" s="74">
        <v>35</v>
      </c>
      <c r="P11" s="74">
        <v>28</v>
      </c>
      <c r="Q11" s="74">
        <v>28</v>
      </c>
      <c r="R11" s="74">
        <v>32</v>
      </c>
      <c r="S11" s="74">
        <v>25</v>
      </c>
      <c r="T11" s="74">
        <v>36</v>
      </c>
      <c r="U11" s="74">
        <v>28</v>
      </c>
      <c r="V11" s="74">
        <v>28</v>
      </c>
      <c r="W11" s="74">
        <v>28</v>
      </c>
      <c r="X11" s="74">
        <v>28</v>
      </c>
      <c r="Y11" s="74">
        <v>26</v>
      </c>
      <c r="Z11" s="74">
        <v>30</v>
      </c>
      <c r="AA11" s="74">
        <v>39</v>
      </c>
      <c r="AB11" s="74">
        <v>23</v>
      </c>
      <c r="AC11" s="74">
        <v>26</v>
      </c>
      <c r="AD11" s="74">
        <v>34</v>
      </c>
      <c r="AE11" s="74">
        <v>30</v>
      </c>
    </row>
    <row r="12" spans="1:99" ht="9.9" customHeight="1" ph="1"/>
    <row r="13" spans="1:99" s="72" customFormat="1" ht="29.25" customHeight="1" ph="1">
      <c r="B13" s="192" t="s" ph="1">
        <v>37</v>
      </c>
      <c r="C13" s="150" t="s" ph="1">
        <v>176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128</v>
      </c>
      <c r="I13" s="76" t="s" ph="1">
        <v>59</v>
      </c>
      <c r="J13" s="76" t="s" ph="1">
        <v>129</v>
      </c>
      <c r="K13" s="76" t="s" ph="1">
        <v>55</v>
      </c>
      <c r="L13" s="76" t="s" ph="1">
        <v>60</v>
      </c>
      <c r="M13" s="76" t="s" ph="1">
        <v>61</v>
      </c>
      <c r="N13" s="76" t="s" ph="1">
        <v>130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131</v>
      </c>
      <c r="W13" s="76" t="s" ph="1">
        <v>132</v>
      </c>
      <c r="X13" s="76" t="s" ph="1">
        <v>133</v>
      </c>
      <c r="Y13" s="105" t="s" ph="1">
        <v>68</v>
      </c>
      <c r="Z13" s="76" t="s" ph="1">
        <v>74</v>
      </c>
      <c r="AA13" s="76" t="s" ph="1">
        <v>134</v>
      </c>
      <c r="AB13" s="76" t="s" ph="1">
        <v>135</v>
      </c>
      <c r="AC13" s="76" t="s" ph="1">
        <v>136</v>
      </c>
      <c r="AD13" s="76" t="s" ph="1">
        <v>137</v>
      </c>
      <c r="AE13" s="76" t="s" ph="1">
        <v>138</v>
      </c>
      <c r="AG13" s="72" t="s" ph="1">
        <v>325</v>
      </c>
      <c r="AH13" s="72" t="s" ph="1">
        <v>188</v>
      </c>
      <c r="AI13" s="72" t="s" ph="1">
        <v>189</v>
      </c>
      <c r="AJ13" s="72" t="s" ph="1">
        <v>190</v>
      </c>
      <c r="AK13" s="72" t="s" ph="1">
        <v>191</v>
      </c>
      <c r="AL13" s="72" t="s" ph="1">
        <v>192</v>
      </c>
      <c r="AM13" s="72" t="s" ph="1">
        <v>193</v>
      </c>
      <c r="AN13" s="72" t="s" ph="1">
        <v>194</v>
      </c>
      <c r="AO13" s="72" t="s" ph="1">
        <v>195</v>
      </c>
      <c r="AP13" s="72" t="s" ph="1">
        <v>196</v>
      </c>
      <c r="AQ13" s="72" t="s" ph="1">
        <v>197</v>
      </c>
      <c r="AR13" s="72" t="s" ph="1">
        <v>198</v>
      </c>
      <c r="AS13" s="72" t="s" ph="1">
        <v>199</v>
      </c>
      <c r="AT13" s="72" t="s" ph="1">
        <v>200</v>
      </c>
      <c r="AU13" s="72" t="s" ph="1">
        <v>201</v>
      </c>
      <c r="AV13" s="72" t="s" ph="1">
        <v>202</v>
      </c>
      <c r="AW13" s="72" t="s" ph="1">
        <v>203</v>
      </c>
      <c r="AX13" s="72" t="s" ph="1">
        <v>204</v>
      </c>
      <c r="AY13" s="72" t="s" ph="1">
        <v>326</v>
      </c>
      <c r="AZ13" s="72" t="s" ph="1">
        <v>205</v>
      </c>
      <c r="BA13" s="72" t="s" ph="1">
        <v>206</v>
      </c>
      <c r="BB13" s="72" t="s" ph="1">
        <v>591</v>
      </c>
      <c r="BC13" s="72" t="s" ph="1">
        <v>207</v>
      </c>
      <c r="BD13" s="72" t="s" ph="1">
        <v>327</v>
      </c>
      <c r="BE13" s="72" t="s" ph="1">
        <v>328</v>
      </c>
      <c r="BF13" s="72" t="s" ph="1">
        <v>329</v>
      </c>
      <c r="BG13" s="72" t="s" ph="1">
        <v>330</v>
      </c>
      <c r="BH13" s="72" t="s" ph="1">
        <v>331</v>
      </c>
    </row>
    <row r="14" spans="1:99" s="72" customFormat="1" ht="24" ph="1">
      <c r="B14" s="193" ph="1"/>
      <c r="C14" s="67" t="s" ph="1">
        <v>36</v>
      </c>
      <c r="D14" s="77" t="s" ph="1">
        <v>616</v>
      </c>
      <c r="E14" s="77" t="s" ph="1">
        <v>616</v>
      </c>
      <c r="F14" s="144" t="s" ph="1">
        <v>636</v>
      </c>
      <c r="G14" s="77" t="s" ph="1">
        <v>617</v>
      </c>
      <c r="H14" s="77" t="s" ph="1">
        <v>637</v>
      </c>
      <c r="I14" s="138" t="s" ph="1">
        <v>618</v>
      </c>
      <c r="J14" s="77" t="s" ph="1">
        <v>619</v>
      </c>
      <c r="K14" s="77" t="s" ph="1">
        <v>186</v>
      </c>
      <c r="L14" s="77" t="s" ph="1">
        <v>41</v>
      </c>
      <c r="M14" s="104" t="s" ph="1">
        <v>620</v>
      </c>
      <c r="N14" s="104" t="s" ph="1">
        <v>621</v>
      </c>
      <c r="O14" s="104" t="s" ph="1">
        <v>619</v>
      </c>
      <c r="P14" s="77" t="s" ph="1">
        <v>622</v>
      </c>
      <c r="Q14" s="77" t="s" ph="1">
        <v>622</v>
      </c>
      <c r="R14" s="88" t="s" ph="1">
        <v>7</v>
      </c>
      <c r="S14" s="77" t="s" ph="1">
        <v>71</v>
      </c>
      <c r="T14" s="77" t="s" ph="1">
        <v>624</v>
      </c>
      <c r="U14" s="77" t="s" ph="1">
        <v>605</v>
      </c>
      <c r="V14" s="77" t="s" ph="1">
        <v>633</v>
      </c>
      <c r="W14" s="77" t="s" ph="1">
        <v>622</v>
      </c>
      <c r="X14" s="77" t="s" ph="1">
        <v>625</v>
      </c>
      <c r="Y14" s="143" t="s" ph="1">
        <v>0</v>
      </c>
      <c r="Z14" s="77" t="s" ph="1">
        <v>54</v>
      </c>
      <c r="AA14" s="77" t="s" ph="1">
        <v>613</v>
      </c>
      <c r="AB14" s="77" t="s" ph="1">
        <v>632</v>
      </c>
      <c r="AC14" s="77" t="s" ph="1">
        <v>632</v>
      </c>
      <c r="AD14" s="77" t="s" ph="1">
        <v>612</v>
      </c>
      <c r="AE14" s="77" t="s" ph="1">
        <v>612</v>
      </c>
      <c r="AG14" s="72" t="s" ph="1">
        <v>208</v>
      </c>
      <c r="AI14" s="72" t="s" ph="1">
        <v>209</v>
      </c>
      <c r="AJ14" s="72" t="s" ph="1">
        <v>332</v>
      </c>
      <c r="AK14" s="72" t="s" ph="1">
        <v>210</v>
      </c>
      <c r="AM14" s="72" t="s" ph="1">
        <v>212</v>
      </c>
      <c r="AN14" s="72" t="s" ph="1">
        <v>210</v>
      </c>
      <c r="AO14" s="72" t="s" ph="1">
        <v>211</v>
      </c>
      <c r="AP14" s="72" t="s" ph="1">
        <v>212</v>
      </c>
      <c r="AQ14" s="72" t="s" ph="1">
        <v>210</v>
      </c>
      <c r="AR14" s="72" t="s" ph="1">
        <v>211</v>
      </c>
      <c r="AS14" s="72" t="s" ph="1">
        <v>212</v>
      </c>
      <c r="AT14" s="72" t="s" ph="1">
        <v>210</v>
      </c>
      <c r="AU14" s="72" t="s" ph="1">
        <v>211</v>
      </c>
      <c r="AV14" s="72" t="s" ph="1">
        <v>212</v>
      </c>
      <c r="AW14" s="72" t="s" ph="1">
        <v>210</v>
      </c>
      <c r="AX14" s="72" t="s" ph="1">
        <v>211</v>
      </c>
      <c r="AY14" s="72" t="s" ph="1">
        <v>212</v>
      </c>
      <c r="AZ14" s="72" t="s" ph="1">
        <v>211</v>
      </c>
    </row>
    <row r="15" spans="1:99" ph="1">
      <c r="B15" s="194" ph="1">
        <v>0.33333333333333331</v>
      </c>
      <c r="C15" s="150" t="s" ph="1">
        <v>177</v>
      </c>
      <c r="D15" s="78">
        <v>4914</v>
      </c>
      <c r="E15" s="78">
        <v>58</v>
      </c>
      <c r="F15" s="78">
        <v>3877</v>
      </c>
      <c r="G15" s="78">
        <v>4991</v>
      </c>
      <c r="H15" s="78">
        <v>0</v>
      </c>
      <c r="I15" s="78">
        <v>5164</v>
      </c>
      <c r="J15" s="78">
        <v>233</v>
      </c>
      <c r="K15" s="78">
        <v>2279</v>
      </c>
      <c r="L15" s="78">
        <v>3573</v>
      </c>
      <c r="M15" s="78">
        <v>7162</v>
      </c>
      <c r="N15" s="78">
        <v>3992</v>
      </c>
      <c r="O15" s="78">
        <v>4375</v>
      </c>
      <c r="P15" s="78">
        <v>96</v>
      </c>
      <c r="Q15" s="78">
        <v>0</v>
      </c>
      <c r="R15" s="78">
        <v>0</v>
      </c>
      <c r="S15" s="78">
        <v>0</v>
      </c>
      <c r="T15" s="78">
        <v>4086</v>
      </c>
      <c r="U15" s="78">
        <v>4869</v>
      </c>
      <c r="V15" s="78">
        <v>-817</v>
      </c>
      <c r="W15" s="71">
        <v>-809</v>
      </c>
      <c r="X15" s="78">
        <v>1387</v>
      </c>
      <c r="Y15" s="106">
        <v>-9907</v>
      </c>
      <c r="Z15" s="78">
        <v>1949</v>
      </c>
      <c r="AA15" s="78">
        <v>2584</v>
      </c>
      <c r="AB15" s="78" ph="1">
        <v>5334</v>
      </c>
      <c r="AC15" s="78" ph="1">
        <v>7292</v>
      </c>
      <c r="AD15" s="78">
        <v>5.65</v>
      </c>
      <c r="AE15" s="78">
        <v>62.46</v>
      </c>
      <c r="AG15" s="64" t="s" ph="1">
        <v>214</v>
      </c>
      <c r="AH15" s="64" ph="1">
        <v>1</v>
      </c>
      <c r="AI15" s="64" t="s" ph="1">
        <v>333</v>
      </c>
      <c r="AK15" s="64" t="s" ph="1">
        <v>587</v>
      </c>
      <c r="AM15" s="64" t="s" ph="1">
        <v>335</v>
      </c>
      <c r="AZ15" s="64" t="s" ph="1">
        <v>216</v>
      </c>
      <c r="BA15" s="64" ph="1">
        <v>0</v>
      </c>
    </row>
    <row r="16" spans="1:99" s="72" customFormat="1" ht="22.2" ph="1">
      <c r="B16" s="195" ph="1"/>
      <c r="C16" s="150" t="s" ph="1">
        <v>178</v>
      </c>
      <c r="D16" s="73" ph="1">
        <f>D15*7.0686*LOOKUP(D17,密度!$A$2:$A$50,密度!$L$2:$L$50)</f>
        <v>32581.5241752</v>
      </c>
      <c r="E16" s="73" ph="1">
        <f>E15*7.0686*LOOKUP(E17,密度!$A$2:$A$50,密度!$L$2:$L$50)</f>
        <v>384.56011439999997</v>
      </c>
      <c r="F16" s="73" ph="1">
        <f>F15*9.0746*LOOKUP(F17,密度!$A$2:$A$50,密度!$L$2:$L$50)</f>
        <v>32825.015178600006</v>
      </c>
      <c r="G16" s="73" ph="1">
        <f>G15*9.0746*LOOKUP(G17,密度!$A$2:$A$50,密度!$B$2:$B$50)</f>
        <v>35268.357580819997</v>
      </c>
      <c r="H16" s="73" ph="1">
        <f>H15*9.0746*LOOKUP(H17,密度!$A$2:$A$50,密度!$L$2:$L$50)</f>
        <v>0</v>
      </c>
      <c r="I16" s="73" ph="1">
        <f>I15*9.0746*LOOKUP(I17,密度!$A$2:$A$50,密度!$U$2:$U$50)</f>
        <v>48032.76526</v>
      </c>
      <c r="J16" s="73" ph="1">
        <f>J15*9.0746*LOOKUP(J17,密度!$A$2:$A$50,密度!$L$2:$L$50)</f>
        <v>1981.1757466000001</v>
      </c>
      <c r="K16" s="73" ph="1">
        <f>K15*9.0746*LOOKUP(K17,密度!$A$2:$A$50,密度!$C$2:$C$50)</f>
        <v>22916.630948540002</v>
      </c>
      <c r="L16" s="73" ph="1">
        <f>L15*9.0746*LOOKUP(L17,密度!$A$2:$A$50,密度!$E$2:$E$50)</f>
        <v>25283.881014840001</v>
      </c>
      <c r="M16" s="73" ph="1">
        <f>M15*9.0746*LOOKUP(M17,密度!$A$2:$A$50,密度!$M$2:$M$50)</f>
        <v>56673.272694399995</v>
      </c>
      <c r="N16" s="73" ph="1">
        <f>N15*9.0746*LOOKUP(N17,密度!$A$2:$A$50,密度!$M$2:$M$50)</f>
        <v>31701.200380320002</v>
      </c>
      <c r="O16" s="73" ph="1">
        <f>O15*9.0746*LOOKUP(O17,密度!$A$2:$A$50,密度!$G$2:$G$50)</f>
        <v>38033.917249999999</v>
      </c>
      <c r="P16" s="73" ph="1">
        <f ca="1">P15*9.0746*LOOKUP(P17,密度!$A$2:$A$51,密度!$Q$2:$Q$50)</f>
        <v>824.76353318400004</v>
      </c>
      <c r="Q16" s="73" ph="1">
        <f>Q15*9.0746*LOOKUP(Q17,密度!$A$2:$A$50,密度!$Q$2:$Q$50)</f>
        <v>0</v>
      </c>
      <c r="R16" s="73" ph="1">
        <f>MAX(R15*9.0746*LOOKUP(R17,密度!$A$2:$A$50,密度!$B$2:$B$50),0)</f>
        <v>0</v>
      </c>
      <c r="S16" s="73" ph="1">
        <f>S15*9.0746*LOOKUP(S17,密度!$A$2:$A$50,密度!$Q$2:$Q$50)</f>
        <v>0</v>
      </c>
      <c r="T16" s="73" ph="1">
        <f>T15*9.0746*LOOKUP(T17,密度!$A$2:$A$50,密度!$O$2:$O$50)</f>
        <v>34334.9832456</v>
      </c>
      <c r="U16" s="73" ph="1">
        <f>U15*9.0746*LOOKUP(U17,密度!$A$2:$A$50,密度!$H$2:$H$50)</f>
        <v>40459.497030179999</v>
      </c>
      <c r="V16" s="73" ph="1">
        <f>MAX(5600*LOOKUP(V17,密度!$A$2:$A$50,密度!$Q$2:$Q$50)+V15*9.0476*LOOKUP(V17,密度!$A$2:$A$50,密度!$Q$2:$Q$50),0)</f>
        <v>0</v>
      </c>
      <c r="W16" s="73" ph="1">
        <f>MAX(5600*LOOKUP(W17,密度!$A$2:$A$50,密度!$Q$2:$Q$50)+W15*9.0476*LOOKUP(W17,密度!$A$2:$A$50,密度!$Q$2:$Q$50),0)</f>
        <v>0</v>
      </c>
      <c r="X16" s="73" ph="1">
        <f>MAX(5600*LOOKUP(X17,密度!$A$2:$A$50,密度!$I$2:$I$50)+X15*9.0476*LOOKUP(X17,密度!$A$2:$A$50,密度!$I$2:$I$50),0)</f>
        <v>18856.833026799999</v>
      </c>
      <c r="Y16" s="107" ph="1">
        <v>0</v>
      </c>
      <c r="Z16" s="73" ph="1">
        <f>Z15*9.0746*LOOKUP(Z17,密度!$A$2:$A$50,密度!$D$2:$D$50)</f>
        <v>18109.100250060001</v>
      </c>
      <c r="AA16" s="73" ph="1">
        <f>AA15*9.0746*LOOKUP(AA17,密度!$A$2:$A$50,密度!$B$2:$B$50)</f>
        <v>18280.65828544</v>
      </c>
      <c r="AB16" s="73" ph="1">
        <f>AB15*9.0746*LOOKUP(AB17,密度!$A$2:$A$50,密度!$L$2:$L$50)</f>
        <v>45209.257917600007</v>
      </c>
      <c r="AC16" s="73" ph="1">
        <f>AC15*9.0746*LOOKUP(AC17,密度!$A$2:$A$50,密度!$L$2:$L$50)</f>
        <v>62003.148258400004</v>
      </c>
      <c r="AD16" s="73" ph="1">
        <f>AD15*268.68*LOOKUP(AD17,密度!$A$2:$A$50,密度!B2:B50)+IF(AD15&lt;=0,0,1566*LOOKUP(AD17,密度!$A$2:$A$50,密度!B2:B50))</f>
        <v>2404.3191431999999</v>
      </c>
      <c r="AE16" s="73" ph="1">
        <f>AE15*268.68*LOOKUP(AE17,密度!$A$2:$A$50,密度!B2:B50)+IF(AE15&lt;=0,0,1566*LOOKUP(AE17,密度!$A$2:$A$50,密度!B2:B50))</f>
        <v>14303.908082880002</v>
      </c>
      <c r="AH16" s="72" ph="1">
        <v>2</v>
      </c>
      <c r="AI16" s="72" t="s" ph="1">
        <v>337</v>
      </c>
      <c r="AZ16" s="72" t="s" ph="1">
        <v>216</v>
      </c>
      <c r="BA16" s="72" ph="1">
        <v>0</v>
      </c>
    </row>
    <row r="17" spans="1:57" ph="1">
      <c r="A17" s="64" t="s" ph="1">
        <v>73</v>
      </c>
      <c r="B17" s="196" ph="1"/>
      <c r="C17" s="79" t="s" ph="1">
        <v>179</v>
      </c>
      <c r="D17" s="74">
        <v>24</v>
      </c>
      <c r="E17" s="74">
        <v>24</v>
      </c>
      <c r="F17" s="74">
        <v>29</v>
      </c>
      <c r="G17" s="74">
        <v>26</v>
      </c>
      <c r="H17" s="74">
        <v>20</v>
      </c>
      <c r="I17" s="74">
        <v>25</v>
      </c>
      <c r="J17" s="74">
        <v>25</v>
      </c>
      <c r="K17" s="74">
        <v>26</v>
      </c>
      <c r="L17" s="74">
        <v>28</v>
      </c>
      <c r="M17" s="74">
        <v>28</v>
      </c>
      <c r="N17" s="74">
        <v>25</v>
      </c>
      <c r="O17" s="74">
        <v>27</v>
      </c>
      <c r="P17" s="74">
        <v>25</v>
      </c>
      <c r="Q17" s="74">
        <v>24</v>
      </c>
      <c r="R17" s="74">
        <v>25</v>
      </c>
      <c r="S17" s="74">
        <v>25</v>
      </c>
      <c r="T17" s="74">
        <v>26</v>
      </c>
      <c r="U17" s="74">
        <v>24</v>
      </c>
      <c r="V17" s="74">
        <v>25</v>
      </c>
      <c r="W17" s="74">
        <v>26</v>
      </c>
      <c r="X17" s="74">
        <v>28</v>
      </c>
      <c r="Y17" s="108">
        <v>28</v>
      </c>
      <c r="Z17" s="74">
        <v>28</v>
      </c>
      <c r="AA17" s="74">
        <v>25</v>
      </c>
      <c r="AB17" s="74">
        <v>28</v>
      </c>
      <c r="AC17" s="74">
        <v>25</v>
      </c>
      <c r="AD17" s="74">
        <v>25</v>
      </c>
      <c r="AE17" s="74">
        <v>25</v>
      </c>
      <c r="AH17" s="64" ph="1">
        <v>3</v>
      </c>
      <c r="AI17" s="64" t="s" ph="1">
        <v>338</v>
      </c>
      <c r="AK17" s="64" t="s" ph="1">
        <v>570</v>
      </c>
      <c r="AL17" s="64" ph="1">
        <v>80</v>
      </c>
      <c r="AM17" s="64" t="s" ph="1">
        <v>335</v>
      </c>
      <c r="AZ17" s="64" t="s" ph="1">
        <v>216</v>
      </c>
      <c r="BA17" s="64" ph="1">
        <v>80</v>
      </c>
      <c r="BD17" s="64" t="s" ph="1">
        <v>214</v>
      </c>
      <c r="BE17" s="64" ph="1">
        <v>2270</v>
      </c>
    </row>
    <row r="18" spans="1:57" ht="26.4" ph="1">
      <c r="B18" s="194" ph="1">
        <v>0.66666666666666663</v>
      </c>
      <c r="C18" s="79" t="s" ph="1">
        <v>180</v>
      </c>
      <c r="D18" s="71">
        <v>3342</v>
      </c>
      <c r="E18" s="71">
        <v>1210</v>
      </c>
      <c r="F18" s="71">
        <v>4008</v>
      </c>
      <c r="G18" s="71">
        <v>1696</v>
      </c>
      <c r="H18" s="71">
        <v>0</v>
      </c>
      <c r="I18" s="71">
        <v>5166</v>
      </c>
      <c r="J18" s="71">
        <v>345</v>
      </c>
      <c r="K18" s="71">
        <v>2280</v>
      </c>
      <c r="L18" s="71">
        <v>3578</v>
      </c>
      <c r="M18" s="71">
        <v>7173</v>
      </c>
      <c r="N18" s="71">
        <v>5614</v>
      </c>
      <c r="O18" s="71">
        <v>4601</v>
      </c>
      <c r="P18" s="71">
        <v>0</v>
      </c>
      <c r="Q18" s="71">
        <v>890</v>
      </c>
      <c r="R18" s="71">
        <v>0</v>
      </c>
      <c r="S18" s="71">
        <v>0</v>
      </c>
      <c r="T18" s="71">
        <v>4081</v>
      </c>
      <c r="U18" s="71">
        <v>6682</v>
      </c>
      <c r="V18" s="71">
        <v>-817</v>
      </c>
      <c r="W18" s="71">
        <v>-809</v>
      </c>
      <c r="X18" s="71">
        <v>1387</v>
      </c>
      <c r="Y18" s="109">
        <v>-9907</v>
      </c>
      <c r="Z18" s="71">
        <v>1950</v>
      </c>
      <c r="AA18" s="71">
        <v>2586</v>
      </c>
      <c r="AB18" s="71">
        <v>5337</v>
      </c>
      <c r="AC18" s="71">
        <v>7294</v>
      </c>
      <c r="AD18" s="71">
        <v>33.46</v>
      </c>
      <c r="AE18" s="71">
        <v>84.62</v>
      </c>
      <c r="AH18" s="64" ph="1">
        <v>4</v>
      </c>
      <c r="AI18" s="64" t="s" ph="1">
        <v>340</v>
      </c>
      <c r="AJ18" s="64" t="s" ph="1">
        <v>588</v>
      </c>
      <c r="AK18" s="64" t="s" ph="1">
        <v>587</v>
      </c>
      <c r="AL18" s="64" ph="1">
        <v>740</v>
      </c>
      <c r="AM18" s="64" t="s" ph="1">
        <v>339</v>
      </c>
      <c r="AZ18" s="64" t="s" ph="1">
        <v>216</v>
      </c>
      <c r="BA18" s="64" ph="1">
        <v>740</v>
      </c>
    </row>
    <row r="19" spans="1:57" s="72" customFormat="1" ht="22.2" ph="1">
      <c r="B19" s="195" ph="1"/>
      <c r="C19" s="150" t="s" ph="1">
        <v>178</v>
      </c>
      <c r="D19" s="73" ph="1">
        <f>D18*7.0686*LOOKUP(D20,密度!$A$2:$A$50,密度!$L$2:$L$50)</f>
        <v>21922.386393600002</v>
      </c>
      <c r="E19" s="73" ph="1">
        <f>E18*7.0686*LOOKUP(E20,密度!$A$2:$A$50,密度!$L$2:$L$50)</f>
        <v>7937.1895679999998</v>
      </c>
      <c r="F19" s="73" ph="1">
        <f>F18*9.0746*LOOKUP(F20,密度!$A$2:$A$50,密度!$L$2:$L$50)</f>
        <v>33861.398020799999</v>
      </c>
      <c r="G19" s="73" ph="1">
        <f>G18*9.0746*LOOKUP(G20,密度!$A$2:$A$50,密度!$B$2:$B$50)</f>
        <v>11958.4352832</v>
      </c>
      <c r="H19" s="73" ph="1">
        <f>H18*9.0746*LOOKUP(H20,密度!$A$2:$A$50,密度!$L$2:$L$50)</f>
        <v>0</v>
      </c>
      <c r="I19" s="73" ph="1">
        <f>I18*9.0746*LOOKUP(I20,密度!$A$2:$A$50,密度!$U$2:$U$50)</f>
        <v>47723.212504800002</v>
      </c>
      <c r="J19" s="73" ph="1">
        <f>J18*9.0746*LOOKUP(J20,密度!$A$2:$A$50,密度!$L$2:$L$50)</f>
        <v>2911.5854100000001</v>
      </c>
      <c r="K19" s="73" ph="1">
        <f>K18*9.0746*LOOKUP(K20,密度!$A$2:$A$50,密度!$C$2:$C$50)</f>
        <v>22864.616248800001</v>
      </c>
      <c r="L19" s="73" ph="1">
        <f>L18*9.0746*LOOKUP(L20,密度!$A$2:$A$50,密度!$E$2:$E$50)</f>
        <v>25027.04261104</v>
      </c>
      <c r="M19" s="73" ph="1">
        <f>M18*9.0746*LOOKUP(M20,密度!$A$2:$A$50,密度!$M$2:$M$50)</f>
        <v>56488.231255356004</v>
      </c>
      <c r="N19" s="73" ph="1">
        <f>N18*9.0746*LOOKUP(N20,密度!$A$2:$A$50,密度!$M$2:$M$50)</f>
        <v>44530.853526040002</v>
      </c>
      <c r="O19" s="73" ph="1">
        <f>O18*9.0746*LOOKUP(O20,密度!$A$2:$A$50,密度!$G$2:$G$50)</f>
        <v>39860.858372620001</v>
      </c>
      <c r="P19" s="73" ph="1">
        <f ca="1">P18*9.0746*LOOKUP(P20,密度!$A$2:$A$51,密度!$Q$2:$Q$50)</f>
        <v>0</v>
      </c>
      <c r="Q19" s="73" ph="1">
        <f>Q18*9.0746*LOOKUP(Q20,密度!$A$2:$A$50,密度!$Q$2:$Q$50)</f>
        <v>7596.5754324600002</v>
      </c>
      <c r="R19" s="73" ph="1">
        <f>MAX(R18*9.0746*LOOKUP(R20,密度!$A$2:$A$50,密度!$B$2:$B$50),0)</f>
        <v>0</v>
      </c>
      <c r="S19" s="73" ph="1">
        <f>S18*9.0746*LOOKUP(S20,密度!$A$2:$A$50,密度!$Q$2:$Q$50)</f>
        <v>0</v>
      </c>
      <c r="T19" s="73" ph="1">
        <f>T18*9.0746*LOOKUP(T20,密度!$A$2:$A$50,密度!$O$2:$O$50)</f>
        <v>34292.967847600004</v>
      </c>
      <c r="U19" s="73" ph="1">
        <f>U18*9.0746*LOOKUP(U20,密度!$A$2:$A$50,密度!$H$2:$H$50)</f>
        <v>55355.040035880003</v>
      </c>
      <c r="V19" s="73" ph="1">
        <f>MAX(5600*LOOKUP(V20,密度!$A$2:$A$50,密度!$Q$2:$Q$50)+V18*9.0476*LOOKUP(V20,密度!$A$2:$A$50,密度!$Q$2:$Q$50),0)</f>
        <v>0</v>
      </c>
      <c r="W19" s="73" ph="1">
        <f>MAX(5600*LOOKUP(W20,密度!$A$2:$A$50,密度!$Q$2:$Q$50)+W18*9.0476*LOOKUP(W20,密度!$A$2:$A$50,密度!$Q$2:$Q$50),0)</f>
        <v>0</v>
      </c>
      <c r="X19" s="73" ph="1">
        <f>MAX(5600*LOOKUP(X20,密度!$A$2:$A$50,密度!$I$2:$I$50)+X18*9.0476*LOOKUP(X20,密度!$A$2:$A$50,密度!$I$2:$I$50),0)</f>
        <v>18856.833026799999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18100.696262999998</v>
      </c>
      <c r="AA19" s="73" ph="1">
        <f>AA18*9.0746*LOOKUP(AA20,密度!$A$2:$A$50,密度!$B$2:$B$50)</f>
        <v>18273.687177719999</v>
      </c>
      <c r="AB19" s="73" ph="1">
        <f>AB18*9.0746*LOOKUP(AB20,密度!$A$2:$A$50,密度!$L$2:$L$50)</f>
        <v>45186.253806600005</v>
      </c>
      <c r="AC19" s="73" ph="1">
        <f>AC18*9.0746*LOOKUP(AC20,密度!$A$2:$A$50,密度!$L$2:$L$50)</f>
        <v>61887.773794000008</v>
      </c>
      <c r="AD19" s="73" ph="1">
        <f>AD18*268.68*LOOKUP(AD20,密度!$A$2:$A$50,密度!B5:B53)+IF(AD18&lt;=0,0,1566*LOOKUP(AD20,密度!$A$2:$A$50,密度!B5:B53))</f>
        <v>8202.0374855999999</v>
      </c>
      <c r="AE19" s="73" ph="1">
        <f>AE18*268.68*LOOKUP(AE20,密度!$A$2:$A$50,密度!B5:B53)+IF(AE18&lt;=0,0,1566*LOOKUP(AE20,密度!$A$2:$A$50,密度!B5:B53))</f>
        <v>18882.422143200001</v>
      </c>
      <c r="AH19" s="72" ph="1">
        <v>5</v>
      </c>
      <c r="AI19" s="72" t="s" ph="1">
        <v>341</v>
      </c>
      <c r="AZ19" s="72" t="s" ph="1">
        <v>216</v>
      </c>
      <c r="BA19" s="72" ph="1">
        <v>0</v>
      </c>
      <c r="BD19" s="72" t="s" ph="1">
        <v>342</v>
      </c>
      <c r="BE19" s="72" ph="1">
        <v>1440</v>
      </c>
    </row>
    <row r="20" spans="1:57" ph="1">
      <c r="A20" s="72" ph="1"/>
      <c r="B20" s="195" ph="1"/>
      <c r="C20" s="80" t="s" ph="1">
        <v>179</v>
      </c>
      <c r="D20" s="81">
        <v>34</v>
      </c>
      <c r="E20" s="81">
        <v>34</v>
      </c>
      <c r="F20" s="81">
        <v>31</v>
      </c>
      <c r="G20" s="81">
        <v>28</v>
      </c>
      <c r="H20" s="81">
        <v>24</v>
      </c>
      <c r="I20" s="81">
        <v>32</v>
      </c>
      <c r="J20" s="81">
        <v>32</v>
      </c>
      <c r="K20" s="81">
        <v>30</v>
      </c>
      <c r="L20" s="81">
        <v>36</v>
      </c>
      <c r="M20" s="81">
        <v>32</v>
      </c>
      <c r="N20" s="81">
        <v>26</v>
      </c>
      <c r="O20" s="81">
        <v>30</v>
      </c>
      <c r="P20" s="81">
        <v>34</v>
      </c>
      <c r="Q20" s="81">
        <v>34</v>
      </c>
      <c r="R20" s="81">
        <v>31</v>
      </c>
      <c r="S20" s="81">
        <v>30</v>
      </c>
      <c r="T20" s="81">
        <v>29</v>
      </c>
      <c r="U20" s="81">
        <v>27</v>
      </c>
      <c r="V20" s="81">
        <v>32</v>
      </c>
      <c r="W20" s="81">
        <v>32</v>
      </c>
      <c r="X20" s="81">
        <v>28</v>
      </c>
      <c r="Y20" s="110">
        <v>28</v>
      </c>
      <c r="Z20" s="81">
        <v>29</v>
      </c>
      <c r="AA20" s="81">
        <v>26</v>
      </c>
      <c r="AB20" s="81">
        <v>29</v>
      </c>
      <c r="AC20" s="81">
        <v>27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343</v>
      </c>
      <c r="AZ20" s="64" t="s" ph="1">
        <v>216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344</v>
      </c>
      <c r="AZ21" s="64" t="s" ph="1">
        <v>216</v>
      </c>
      <c r="BA21" s="64" ph="1">
        <v>0</v>
      </c>
      <c r="BD21" s="64" t="s" ph="1">
        <v>232</v>
      </c>
      <c r="BE21" s="64" ph="1">
        <v>730</v>
      </c>
    </row>
    <row r="22" spans="1:57" ph="1">
      <c r="A22" s="72" ph="1"/>
      <c r="B22" s="193" t="s" ph="1">
        <v>37</v>
      </c>
      <c r="C22" s="85" t="s" ph="1">
        <v>176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172" t="s" ph="1">
        <v>69</v>
      </c>
      <c r="AA22" s="173"/>
      <c r="AB22" s="173"/>
      <c r="AC22" s="173"/>
      <c r="AD22" s="173"/>
      <c r="AE22" s="174"/>
      <c r="AH22" s="64" ph="1">
        <v>8</v>
      </c>
      <c r="AI22" s="64" t="s" ph="1">
        <v>345</v>
      </c>
      <c r="AZ22" s="64" t="s" ph="1">
        <v>216</v>
      </c>
      <c r="BA22" s="64" ph="1">
        <v>0</v>
      </c>
    </row>
    <row r="23" spans="1:57" ph="1">
      <c r="A23" s="72" ph="1"/>
      <c r="B23" s="188" ph="1"/>
      <c r="C23" s="67" t="s" ph="1">
        <v>36</v>
      </c>
      <c r="D23" s="88" t="s" ph="1">
        <v>109</v>
      </c>
      <c r="E23" s="88" t="s" ph="1">
        <v>107</v>
      </c>
      <c r="F23" s="88" t="s" ph="1">
        <v>109</v>
      </c>
      <c r="G23" s="88" t="s" ph="1">
        <v>626</v>
      </c>
      <c r="H23" s="88" t="s" ph="1">
        <v>626</v>
      </c>
      <c r="I23" s="88" t="s" ph="1">
        <v>627</v>
      </c>
      <c r="J23" s="88" t="s" ph="1">
        <v>628</v>
      </c>
      <c r="K23" s="88" t="s" ph="1">
        <v>628</v>
      </c>
      <c r="L23" s="88" t="s" ph="1">
        <v>628</v>
      </c>
      <c r="M23" s="88" t="s" ph="1">
        <v>623</v>
      </c>
      <c r="N23" s="88" t="s" ph="1">
        <v>623</v>
      </c>
      <c r="O23" s="88" t="s" ph="1">
        <v>318</v>
      </c>
      <c r="P23" s="88" t="s" ph="1">
        <v>629</v>
      </c>
      <c r="Q23" s="89" t="s" ph="1">
        <v>629</v>
      </c>
      <c r="R23" s="88" t="s" ph="1">
        <v>610</v>
      </c>
      <c r="S23" s="88" t="s" ph="1">
        <v>629</v>
      </c>
      <c r="T23" s="88" t="s" ph="1">
        <v>604</v>
      </c>
      <c r="U23" s="104" t="s" ph="1">
        <v>606</v>
      </c>
      <c r="V23" s="88" t="s" ph="1">
        <v>629</v>
      </c>
      <c r="W23" s="88" t="s" ph="1">
        <v>629</v>
      </c>
      <c r="X23" s="88" t="s" ph="1">
        <v>187</v>
      </c>
      <c r="Y23" s="88" t="s" ph="1">
        <v>630</v>
      </c>
      <c r="Z23" s="175" t="s" ph="1">
        <v>638</v>
      </c>
      <c r="AA23" s="176"/>
      <c r="AB23" s="176"/>
      <c r="AC23" s="176"/>
      <c r="AD23" s="176"/>
      <c r="AE23" s="177"/>
      <c r="AH23" s="64" ph="1">
        <v>9</v>
      </c>
      <c r="AI23" s="64" t="s" ph="1">
        <v>346</v>
      </c>
      <c r="AZ23" s="64" t="s" ph="1">
        <v>216</v>
      </c>
      <c r="BA23" s="64" ph="1">
        <v>0</v>
      </c>
      <c r="BD23" s="64" t="s" ph="1">
        <v>238</v>
      </c>
      <c r="BE23" s="64" ph="1">
        <v>890</v>
      </c>
    </row>
    <row r="24" spans="1:57" ph="1">
      <c r="A24" s="72" ph="1"/>
      <c r="B24" s="184" ph="1">
        <v>0.33333333333333331</v>
      </c>
      <c r="C24" s="150" t="s" ph="1">
        <v>177</v>
      </c>
      <c r="D24" s="71">
        <v>3.04</v>
      </c>
      <c r="E24" s="71">
        <v>67.62</v>
      </c>
      <c r="F24" s="71">
        <v>1545</v>
      </c>
      <c r="G24" s="71">
        <v>2596</v>
      </c>
      <c r="H24" s="71">
        <v>3223</v>
      </c>
      <c r="I24" s="71">
        <v>2689</v>
      </c>
      <c r="J24" s="71">
        <v>209</v>
      </c>
      <c r="K24" s="71">
        <v>248</v>
      </c>
      <c r="L24" s="71">
        <v>470</v>
      </c>
      <c r="M24" s="71">
        <v>359</v>
      </c>
      <c r="N24" s="71">
        <v>227</v>
      </c>
      <c r="O24" s="71">
        <v>1670</v>
      </c>
      <c r="P24" s="71">
        <v>326</v>
      </c>
      <c r="Q24" s="90">
        <v>3588</v>
      </c>
      <c r="R24" s="71">
        <v>6378</v>
      </c>
      <c r="S24" s="71">
        <v>5498</v>
      </c>
      <c r="T24" s="71">
        <v>508</v>
      </c>
      <c r="U24" s="71">
        <v>5918</v>
      </c>
      <c r="V24" s="71">
        <v>1017</v>
      </c>
      <c r="W24" s="71">
        <v>7625</v>
      </c>
      <c r="X24" s="71">
        <v>3134</v>
      </c>
      <c r="Y24" s="71">
        <v>2788</v>
      </c>
      <c r="Z24" s="178"/>
      <c r="AA24" s="179"/>
      <c r="AB24" s="179"/>
      <c r="AC24" s="179"/>
      <c r="AD24" s="179"/>
      <c r="AE24" s="180"/>
      <c r="AH24" s="64" ph="1">
        <v>10</v>
      </c>
      <c r="AI24" s="64" t="s" ph="1">
        <v>347</v>
      </c>
      <c r="AZ24" s="64" t="s" ph="1">
        <v>216</v>
      </c>
      <c r="BA24" s="64" ph="1">
        <v>0</v>
      </c>
    </row>
    <row r="25" spans="1:57" ph="1">
      <c r="A25" s="72" ph="1"/>
      <c r="B25" s="184" ph="1"/>
      <c r="C25" s="68" t="s" ph="1">
        <v>178</v>
      </c>
      <c r="D25" s="91" ph="1">
        <f>D24*268.68*LOOKUP(D26,密度!$A$2:$A$50,密度!$Q$2:$Q$50)+IF(D24&lt;=0,0,1566*LOOKUP(D26,密度!$A$2:$A$50,密度!$Q$2:$Q$50))</f>
        <v>2255.8799537280001</v>
      </c>
      <c r="E25" s="91" ph="1">
        <f>E24*268.68*LOOKUP(E26,密度!$A$2:$A$50,密度!$C$2:$C$50)+IF(E24&lt;=0,0,1566*LOOKUP(E26,密度!$A$2:$A$50,密度!$C$2:$C$50))</f>
        <v>21883.189620240006</v>
      </c>
      <c r="F25" s="91" ph="1">
        <f>F24*11.702*LOOKUP(F26,密度!$A$2:$A$50,密度!$Q$2:$Q$50)</f>
        <v>17116.671036600001</v>
      </c>
      <c r="G25" s="91" ph="1">
        <f>G24*18.322*LOOKUP(G26,密度!$A$2:$A$50,密度!$B$2:$B$50)</f>
        <v>36957.159624</v>
      </c>
      <c r="H25" s="91" ph="1">
        <f>H24*18.322*LOOKUP(H26,密度!$A$2:$A$50,密度!$B$2:$B$50)</f>
        <v>45883.253261999998</v>
      </c>
      <c r="I25" s="91" ph="1">
        <f>I24*18.322*LOOKUP(I26,密度!$A$2:$A$50,密度!$Q$2:$Q$50)</f>
        <v>46679.817419260005</v>
      </c>
      <c r="J25" s="91" ph="1">
        <f>J24*18.322*LOOKUP(J26,密度!$A$2:$A$50,密度!$Q$2:$Q$50)</f>
        <v>3625.34958852</v>
      </c>
      <c r="K25" s="91" ph="1">
        <f>K24*18.322*LOOKUP(K26,密度!$A$2:$A$50,密度!$Q$2:$Q$50)</f>
        <v>4301.8502294399996</v>
      </c>
      <c r="L25" s="91" ph="1">
        <f>L24*18.322*LOOKUP(L26,密度!$A$2:$A$50,密度!$Q$2:$Q$50)</f>
        <v>8146.5859802000004</v>
      </c>
      <c r="M25" s="91" ph="1">
        <f>M24*18.322*LOOKUP(M26,密度!$A$2:$A$50,密度!$Q$2:$Q$50)</f>
        <v>6232.0767770600005</v>
      </c>
      <c r="N25" s="91" ph="1">
        <f>N24*18.322*LOOKUP(N26,密度!$A$2:$A$50,密度!$Q$2:$Q$50)</f>
        <v>3940.6167921800002</v>
      </c>
      <c r="O25" s="91" ph="1">
        <f>O24*18.322*LOOKUP(O26,密度!$A$2:$A$50,密度!$C$2:$C$50)</f>
        <v>33905.355693999998</v>
      </c>
      <c r="P25" s="91" ph="1">
        <f>P24*11.702*LOOKUP(P26,密度!$A$2:$A$50,密度!$B$2:$B$50)</f>
        <v>2977.491986</v>
      </c>
      <c r="Q25" s="92" ph="1">
        <f>Q24*18.322*LOOKUP(Q26,密度!$A$2:$A$50,密度!$B$2:$B$50)</f>
        <v>51026.872603199998</v>
      </c>
      <c r="R25" s="91" ph="1">
        <f>R24*35.891*LOOKUP(R26,密度!$A$2:$A$50,密度!$C$2:$C$50)</f>
        <v>252971.53306979997</v>
      </c>
      <c r="S25" s="91" ph="1">
        <f>S24*35.891*LOOKUP(S26,密度!$A$2:$A$50,密度!$B$2:$B$50)</f>
        <v>153324.41388599999</v>
      </c>
      <c r="T25" s="91" ph="1">
        <f>T24*35.891*LOOKUP(T26,密度!$A$2:$A$50,密度!$Q$2:$Q$50)</f>
        <v>17173.3123132</v>
      </c>
      <c r="U25" s="91" ph="1">
        <f>U24*35.891</f>
        <v>212402.93799999999</v>
      </c>
      <c r="V25" s="91" ph="1">
        <f>V24*47.051*LOOKUP(V26,密度!$A$2:$A$50,密度!$B$2:$B$50)</f>
        <v>37304.535913199994</v>
      </c>
      <c r="W25" s="91" ph="1">
        <f>W24*47.051*LOOKUP(W26,密度!$A$2:$A$50,密度!$B$2:$B$50)</f>
        <v>280015.20443749998</v>
      </c>
      <c r="X25" s="91" ph="1">
        <f>X24*47.051*LOOKUP(X26,密度!$A$2:$A$61,密度!$I$2:$I$61)</f>
        <v>153370.8931434</v>
      </c>
      <c r="Y25" s="91" ph="1">
        <f>Y24*47.051*LOOKUP(Y26,密度!$A$2:$A$50,密度!$L$2:$L$50)</f>
        <v>122389.249404</v>
      </c>
      <c r="Z25" s="178"/>
      <c r="AA25" s="179"/>
      <c r="AB25" s="179"/>
      <c r="AC25" s="179"/>
      <c r="AD25" s="179"/>
      <c r="AE25" s="180"/>
      <c r="AH25" s="64" ph="1">
        <v>11</v>
      </c>
      <c r="AI25" s="64" t="s" ph="1">
        <v>348</v>
      </c>
      <c r="AZ25" s="64" t="s" ph="1">
        <v>216</v>
      </c>
      <c r="BA25" s="64" ph="1">
        <v>0</v>
      </c>
      <c r="BD25" s="64" t="s" ph="1">
        <v>241</v>
      </c>
      <c r="BE25" s="64" ph="1">
        <v>8920</v>
      </c>
    </row>
    <row r="26" spans="1:57" ph="1">
      <c r="A26" s="72" ph="1"/>
      <c r="B26" s="184" ph="1"/>
      <c r="C26" s="68" t="s" ph="1">
        <v>179</v>
      </c>
      <c r="D26" s="74">
        <v>25</v>
      </c>
      <c r="E26" s="74">
        <v>25</v>
      </c>
      <c r="F26" s="74">
        <v>25</v>
      </c>
      <c r="G26" s="74">
        <v>28</v>
      </c>
      <c r="H26" s="74">
        <v>28</v>
      </c>
      <c r="I26" s="74">
        <v>24</v>
      </c>
      <c r="J26" s="74">
        <v>25</v>
      </c>
      <c r="K26" s="74">
        <v>25</v>
      </c>
      <c r="L26" s="74">
        <v>26</v>
      </c>
      <c r="M26" s="74">
        <v>24</v>
      </c>
      <c r="N26" s="74">
        <v>24</v>
      </c>
      <c r="O26" s="74">
        <v>26</v>
      </c>
      <c r="P26" s="74">
        <v>24</v>
      </c>
      <c r="Q26" s="93">
        <v>29</v>
      </c>
      <c r="R26" s="74">
        <v>30</v>
      </c>
      <c r="S26" s="74">
        <v>28</v>
      </c>
      <c r="T26" s="74">
        <v>32</v>
      </c>
      <c r="U26" s="74">
        <v>30</v>
      </c>
      <c r="V26" s="74">
        <v>25</v>
      </c>
      <c r="W26" s="74">
        <v>24</v>
      </c>
      <c r="X26" s="74">
        <v>27</v>
      </c>
      <c r="Y26" s="74">
        <v>29</v>
      </c>
      <c r="Z26" s="178"/>
      <c r="AA26" s="179"/>
      <c r="AB26" s="179"/>
      <c r="AC26" s="179"/>
      <c r="AD26" s="179"/>
      <c r="AE26" s="180"/>
      <c r="AH26" s="64" ph="1">
        <v>12</v>
      </c>
      <c r="AI26" s="64" t="s" ph="1">
        <v>349</v>
      </c>
      <c r="AZ26" s="64" t="s" ph="1">
        <v>216</v>
      </c>
      <c r="BA26" s="64" ph="1">
        <v>0</v>
      </c>
    </row>
    <row r="27" spans="1:57" ht="26.4" ph="1">
      <c r="A27" s="72" ph="1"/>
      <c r="B27" s="184" ph="1">
        <v>0.66666666666666663</v>
      </c>
      <c r="C27" s="150" t="s" ph="1">
        <v>180</v>
      </c>
      <c r="D27" s="71">
        <v>3.04</v>
      </c>
      <c r="E27" s="71">
        <v>66.650000000000006</v>
      </c>
      <c r="F27" s="71">
        <v>1545</v>
      </c>
      <c r="G27" s="71">
        <v>2175</v>
      </c>
      <c r="H27" s="71">
        <v>2734</v>
      </c>
      <c r="I27" s="71">
        <v>1006</v>
      </c>
      <c r="J27" s="71">
        <v>202</v>
      </c>
      <c r="K27" s="71">
        <v>244</v>
      </c>
      <c r="L27" s="71">
        <v>465</v>
      </c>
      <c r="M27" s="71">
        <v>2592</v>
      </c>
      <c r="N27" s="71">
        <v>223</v>
      </c>
      <c r="O27" s="71">
        <v>736</v>
      </c>
      <c r="P27" s="71">
        <v>322</v>
      </c>
      <c r="Q27" s="90">
        <v>3958</v>
      </c>
      <c r="R27" s="71">
        <v>6832</v>
      </c>
      <c r="S27" s="71">
        <v>5494</v>
      </c>
      <c r="T27" s="71">
        <v>505</v>
      </c>
      <c r="U27" s="71">
        <v>5800</v>
      </c>
      <c r="V27" s="71">
        <v>1012</v>
      </c>
      <c r="W27" s="71">
        <v>7331</v>
      </c>
      <c r="X27" s="71">
        <v>3134</v>
      </c>
      <c r="Y27" s="71">
        <v>3447</v>
      </c>
      <c r="Z27" s="178"/>
      <c r="AA27" s="179"/>
      <c r="AB27" s="179"/>
      <c r="AC27" s="179"/>
      <c r="AD27" s="179"/>
      <c r="AE27" s="180"/>
      <c r="AH27" s="64" ph="1">
        <v>13</v>
      </c>
      <c r="AI27" s="64" t="s" ph="1">
        <v>350</v>
      </c>
      <c r="AZ27" s="64" t="s" ph="1">
        <v>216</v>
      </c>
      <c r="BA27" s="64" ph="1">
        <v>0</v>
      </c>
      <c r="BD27" s="64" t="s" ph="1">
        <v>295</v>
      </c>
      <c r="BE27" s="64" ph="1">
        <v>7100</v>
      </c>
    </row>
    <row r="28" spans="1:57" ph="1">
      <c r="A28" s="72" ph="1"/>
      <c r="B28" s="184" ph="1"/>
      <c r="C28" s="150" t="s" ph="1">
        <v>178</v>
      </c>
      <c r="D28" s="91" ph="1">
        <f>D27*268.68*LOOKUP(D29,密度!$A$2:$A$50,密度!$Q$2:$Q$50)+IF(D27&lt;=0,0,1566*LOOKUP(D29,密度!$A$2:$A$50,密度!$Q$2:$Q$50))</f>
        <v>2255.8799537280001</v>
      </c>
      <c r="E28" s="91" ph="1">
        <f>E27*268.68*LOOKUP(E29,密度!$A$2:$A$50,密度!$C$2:$C$50)+IF(E27&lt;=0,0,1566*LOOKUP(E29,密度!$A$2:$A$50,密度!$C$2:$C$50))</f>
        <v>21594.188545800003</v>
      </c>
      <c r="F28" s="91" ph="1">
        <f>F27*11.702*LOOKUP(F29,密度!$A$2:$A$50,密度!$Q$2:$Q$50)</f>
        <v>17103.834527700001</v>
      </c>
      <c r="G28" s="91" ph="1">
        <f>G27*18.322*LOOKUP(G29,密度!$A$2:$A$50,密度!$B$2:$B$50)</f>
        <v>30895.976354999999</v>
      </c>
      <c r="H28" s="91" ph="1">
        <f>H27*18.322*LOOKUP(H29,密度!$A$2:$A$50,密度!$B$2:$B$50)</f>
        <v>38836.597404399996</v>
      </c>
      <c r="I28" s="91" ph="1">
        <f>I27*18.322*LOOKUP(I29,密度!$A$2:$A$50,密度!$Q$2:$Q$50)</f>
        <v>17437.160629960003</v>
      </c>
      <c r="J28" s="91" ph="1">
        <f>J27*18.322*LOOKUP(J29,密度!$A$2:$A$50,密度!$Q$2:$Q$50)</f>
        <v>3481.16497596</v>
      </c>
      <c r="K28" s="91" ph="1">
        <f>K27*18.322*LOOKUP(K29,密度!$A$2:$A$50,密度!$Q$2:$Q$50)</f>
        <v>4222.9879441600006</v>
      </c>
      <c r="L28" s="91" ph="1">
        <f>L27*18.322*LOOKUP(L29,密度!$A$2:$A$50,密度!$Q$2:$Q$50)</f>
        <v>8059.9201719000002</v>
      </c>
      <c r="M28" s="91" ph="1">
        <f>M27*18.322*LOOKUP(M29,密度!$A$2:$A$50,密度!$Q$2:$Q$50)</f>
        <v>44893.836679679996</v>
      </c>
      <c r="N28" s="91" ph="1">
        <f>N27*18.322*LOOKUP(N29,密度!$A$2:$A$50,密度!$Q$2:$Q$50)</f>
        <v>3851.1990194800001</v>
      </c>
      <c r="O28" s="91" ph="1">
        <f>O27*18.322*LOOKUP(O29,密度!$A$2:$A$50,密度!$C$2:$C$50)</f>
        <v>14922.492147200001</v>
      </c>
      <c r="P28" s="91" ph="1">
        <f>P27*11.702*LOOKUP(P29,密度!$A$2:$A$50,密度!$B$2:$B$50)</f>
        <v>2917.9732735999996</v>
      </c>
      <c r="Q28" s="92" ph="1">
        <f>Q27*18.322*LOOKUP(Q29,密度!$A$2:$A$50,密度!$B$2:$B$50)</f>
        <v>56223.574442799996</v>
      </c>
      <c r="R28" s="91" ph="1">
        <f>R27*35.891*LOOKUP(R29,密度!$A$2:$A$50,密度!$C$2:$C$50)</f>
        <v>270978.60049119999</v>
      </c>
      <c r="S28" s="91" ph="1">
        <f>S27*35.891*LOOKUP(S29,密度!$A$2:$A$50,密度!$B$2:$B$50)</f>
        <v>152877.64989619999</v>
      </c>
      <c r="T28" s="91" ph="1">
        <f>T27*35.891*LOOKUP(T29,密度!$A$2:$A$50,密度!$Q$2:$Q$50)</f>
        <v>17097.813800149997</v>
      </c>
      <c r="U28" s="91" ph="1">
        <f>U27*35.891</f>
        <v>208167.8</v>
      </c>
      <c r="V28" s="91" ph="1">
        <f>V27*47.051*LOOKUP(V29,密度!$A$2:$A$50,密度!$B$2:$B$50)</f>
        <v>37121.131115199998</v>
      </c>
      <c r="W28" s="91" ph="1">
        <f>W27*47.051*LOOKUP(W29,密度!$A$2:$A$50,密度!$B$2:$B$50)</f>
        <v>269218.55262049998</v>
      </c>
      <c r="X28" s="91" ph="1">
        <f>X27*47.051*LOOKUP(X29,密度!$A$2:$A$61,密度!$I$2:$I$61)</f>
        <v>153533.09676079999</v>
      </c>
      <c r="Y28" s="91" ph="1">
        <f>Y27*47.051*LOOKUP(Y29,密度!$A$2:$A$50,密度!$L$2:$L$50)</f>
        <v>150994.04600700003</v>
      </c>
      <c r="Z28" s="178"/>
      <c r="AA28" s="179"/>
      <c r="AB28" s="179"/>
      <c r="AC28" s="179"/>
      <c r="AD28" s="179"/>
      <c r="AE28" s="180"/>
      <c r="AH28" s="64" ph="1">
        <v>14</v>
      </c>
      <c r="AI28" s="64" t="s" ph="1">
        <v>351</v>
      </c>
      <c r="AZ28" s="64" t="s" ph="1">
        <v>216</v>
      </c>
      <c r="BA28" s="64" ph="1">
        <v>0</v>
      </c>
    </row>
    <row r="29" spans="1:57" ph="1">
      <c r="A29" s="72" ph="1"/>
      <c r="B29" s="184" ph="1"/>
      <c r="C29" s="150" t="s" ph="1">
        <v>179</v>
      </c>
      <c r="D29" s="74">
        <v>25</v>
      </c>
      <c r="E29" s="74">
        <v>25</v>
      </c>
      <c r="F29" s="74">
        <v>26</v>
      </c>
      <c r="G29" s="74">
        <v>30</v>
      </c>
      <c r="H29" s="74">
        <v>30</v>
      </c>
      <c r="I29" s="74">
        <v>26</v>
      </c>
      <c r="J29" s="74">
        <v>34</v>
      </c>
      <c r="K29" s="74">
        <v>28</v>
      </c>
      <c r="L29" s="74">
        <v>26</v>
      </c>
      <c r="M29" s="74">
        <v>27</v>
      </c>
      <c r="N29" s="74">
        <v>31</v>
      </c>
      <c r="O29" s="74">
        <v>28</v>
      </c>
      <c r="P29" s="74">
        <v>31</v>
      </c>
      <c r="Q29" s="93">
        <v>30</v>
      </c>
      <c r="R29" s="74">
        <v>30</v>
      </c>
      <c r="S29" s="74">
        <v>30</v>
      </c>
      <c r="T29" s="74">
        <v>30</v>
      </c>
      <c r="U29" s="74">
        <v>29</v>
      </c>
      <c r="V29" s="74">
        <v>25</v>
      </c>
      <c r="W29" s="74">
        <v>24</v>
      </c>
      <c r="X29" s="74">
        <v>26</v>
      </c>
      <c r="Y29" s="74">
        <v>31</v>
      </c>
      <c r="Z29" s="181"/>
      <c r="AA29" s="182"/>
      <c r="AB29" s="182"/>
      <c r="AC29" s="182"/>
      <c r="AD29" s="182"/>
      <c r="AE29" s="183"/>
      <c r="AH29" s="64" ph="1">
        <v>15</v>
      </c>
      <c r="AI29" s="64" t="s" ph="1">
        <v>352</v>
      </c>
      <c r="AZ29" s="64" t="s" ph="1">
        <v>216</v>
      </c>
      <c r="BA29" s="64" ph="1">
        <v>0</v>
      </c>
      <c r="BD29" s="64" t="s" ph="1">
        <v>353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354</v>
      </c>
      <c r="AZ30" s="64" t="s" ph="1">
        <v>216</v>
      </c>
      <c r="BA30" s="64" ph="1">
        <v>0</v>
      </c>
    </row>
    <row r="31" spans="1:57" ht="28.2" ph="1">
      <c r="A31" s="64"/>
      <c r="B31" s="197" t="s" ph="1">
        <v>35</v>
      </c>
      <c r="C31" s="198" ph="1"/>
      <c r="D31" s="201" t="s" ph="1">
        <v>9</v>
      </c>
      <c r="E31" s="190" ph="1"/>
      <c r="F31" s="191" ph="1"/>
      <c r="G31" s="201" t="s" ph="1">
        <v>18</v>
      </c>
      <c r="H31" s="190" ph="1"/>
      <c r="I31" s="191" ph="1"/>
      <c r="J31" s="189" t="s" ph="1">
        <v>1</v>
      </c>
      <c r="K31" s="190" ph="1"/>
      <c r="L31" s="191" ph="1"/>
      <c r="M31" s="189" t="s" ph="1">
        <v>7</v>
      </c>
      <c r="N31" s="190" ph="1"/>
      <c r="O31" s="191" ph="1"/>
      <c r="P31" s="189" t="s" ph="1">
        <v>41</v>
      </c>
      <c r="Q31" s="190"/>
      <c r="R31" s="191"/>
      <c r="S31" s="189" t="s" ph="1">
        <v>2</v>
      </c>
      <c r="T31" s="190"/>
      <c r="U31" s="191"/>
      <c r="V31" s="189" t="s" ph="1">
        <v>71</v>
      </c>
      <c r="W31" s="190" ph="1"/>
      <c r="X31" s="191" ph="1"/>
      <c r="Y31" s="189" t="s" ph="1">
        <v>3</v>
      </c>
      <c r="Z31" s="190" ph="1"/>
      <c r="AA31" s="191" ph="1"/>
      <c r="AB31" s="212" t="s">
        <v>42</v>
      </c>
      <c r="AC31" s="213"/>
      <c r="AD31" s="213"/>
      <c r="AE31" s="214"/>
      <c r="AH31" s="64" ph="1">
        <v>17</v>
      </c>
      <c r="AI31" s="64" t="s" ph="1">
        <v>355</v>
      </c>
      <c r="AZ31" s="64" t="s" ph="1">
        <v>216</v>
      </c>
      <c r="BA31" s="64" ph="1">
        <v>0</v>
      </c>
      <c r="BD31" s="64" t="s" ph="1">
        <v>356</v>
      </c>
      <c r="BE31" s="64" ph="1">
        <v>9310</v>
      </c>
    </row>
    <row r="32" spans="1:57" ph="1">
      <c r="A32" s="64"/>
      <c r="B32" s="199" ph="1"/>
      <c r="C32" s="200" ph="1"/>
      <c r="D32" s="96" t="s" ph="1">
        <v>4</v>
      </c>
      <c r="E32" s="150" t="s" ph="1">
        <v>5</v>
      </c>
      <c r="F32" s="149" t="s" ph="1">
        <v>43</v>
      </c>
      <c r="G32" s="97" t="s" ph="1">
        <v>4</v>
      </c>
      <c r="H32" s="150" t="s" ph="1">
        <v>5</v>
      </c>
      <c r="I32" s="149" t="s" ph="1">
        <v>43</v>
      </c>
      <c r="J32" s="97" t="s" ph="1">
        <v>4</v>
      </c>
      <c r="K32" s="150" t="s" ph="1">
        <v>5</v>
      </c>
      <c r="L32" s="149" t="s" ph="1">
        <v>43</v>
      </c>
      <c r="M32" s="97" t="s" ph="1">
        <v>4</v>
      </c>
      <c r="N32" s="150" t="s" ph="1">
        <v>5</v>
      </c>
      <c r="O32" s="149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50" t="s" ph="1">
        <v>5</v>
      </c>
      <c r="U32" s="99" t="s" ph="1">
        <v>43</v>
      </c>
      <c r="V32" s="97" t="s" ph="1">
        <v>4</v>
      </c>
      <c r="W32" s="150" t="s" ph="1">
        <v>5</v>
      </c>
      <c r="X32" s="99" t="s" ph="1">
        <v>43</v>
      </c>
      <c r="Y32" s="100" t="s" ph="1">
        <v>4</v>
      </c>
      <c r="Z32" s="150" t="s" ph="1">
        <v>5</v>
      </c>
      <c r="AA32" s="149" t="s" ph="1">
        <v>43</v>
      </c>
      <c r="AB32" s="97" t="s" ph="1">
        <v>85</v>
      </c>
      <c r="AC32" s="150" t="s" ph="1">
        <v>84</v>
      </c>
      <c r="AD32" s="215" t="s" ph="1">
        <v>83</v>
      </c>
      <c r="AE32" s="216"/>
      <c r="AH32" s="64" ph="1">
        <v>18</v>
      </c>
      <c r="AI32" s="64" t="s" ph="1">
        <v>357</v>
      </c>
      <c r="AZ32" s="64" t="s" ph="1">
        <v>216</v>
      </c>
      <c r="BA32" s="64" ph="1">
        <v>0</v>
      </c>
    </row>
    <row r="33" spans="1:57" ph="1">
      <c r="A33" s="64"/>
      <c r="B33" s="202" t="s" ph="1">
        <v>181</v>
      </c>
      <c r="C33" s="203" ph="1"/>
      <c r="D33" s="206" ph="1">
        <f>AA10+AB10+Z19</f>
        <v>93954.885550999985</v>
      </c>
      <c r="E33" s="206" ph="1">
        <f>M10+I10</f>
        <v>233219.5015359</v>
      </c>
      <c r="F33" s="208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1522252632456786910111213141516171819202123456789101112131415161718192022232424356789101112131415161718192021222345678910111213141516171819202345678910111213149101516171819222123234567891012131415161711181920212224252345678910111213132[[#This Row],[F25]]</f>
        <v>3880</v>
      </c>
      <c r="G33" s="210" ph="1">
        <f>N19</f>
        <v>44530.853526040002</v>
      </c>
      <c r="H33" s="206" ph="1">
        <f>M19</f>
        <v>56488.231255356004</v>
      </c>
      <c r="I33" s="219" ph="1">
        <v>0</v>
      </c>
      <c r="J33" s="217" ph="1">
        <f>F10+O28</f>
        <v>229515.97093040001</v>
      </c>
      <c r="K33" s="206" ph="1">
        <f>O10+K10+E28+R28</f>
        <v>427864.52583860001</v>
      </c>
      <c r="L33" s="221" ph="1">
        <f>K19</f>
        <v>22864.616248800001</v>
      </c>
      <c r="M33" s="217" ph="1">
        <f>G10+H10+W28+S28+V28+E10+R19+P28+Q28</f>
        <v>898382.64483429992</v>
      </c>
      <c r="N33" s="206" ph="1">
        <f>L10+P10++G28+H28+AD19+AE19</f>
        <v>198311.34215020001</v>
      </c>
      <c r="O33" s="219" ph="1">
        <f>G19</f>
        <v>11958.4352832</v>
      </c>
      <c r="P33" s="217" ph="1">
        <f>L19</f>
        <v>25027.04261104</v>
      </c>
      <c r="Q33" s="206" ph="1">
        <f>J10+N10</f>
        <v>23294.515384800001</v>
      </c>
      <c r="R33" s="219" ph="1">
        <f>BE23</f>
        <v>890</v>
      </c>
      <c r="S33" s="217" ph="1">
        <f>X28</f>
        <v>153533.09676079999</v>
      </c>
      <c r="T33" s="206" ph="1">
        <f>X19</f>
        <v>18856.833026799999</v>
      </c>
      <c r="U33" s="227" ph="1">
        <f>BE21</f>
        <v>730</v>
      </c>
      <c r="V33" s="238" ph="1">
        <f ca="1">P19+Q19+S19+M28+N28+J28+D10+AC10+D19+E19+H19+J19+O19+V19+W19+K28+L28</f>
        <v>454588.59191120003</v>
      </c>
      <c r="W33" s="238" ph="1">
        <f>D28+F28+T28+I28</f>
        <v>53894.688911537996</v>
      </c>
      <c r="X33" s="219" ph="1">
        <f>BE29+BE31</f>
        <v>10200</v>
      </c>
      <c r="Y33" s="240" ph="1">
        <f>+Q10+R10+S10+T10+U10+V10+W10+X10+Y10</f>
        <v>235297.73310120002</v>
      </c>
      <c r="Z33" s="225" ph="1">
        <f>T19+U19+Y28+Z10</f>
        <v>354575.48619448004</v>
      </c>
      <c r="AA33" s="227" ph="1">
        <f>BE19</f>
        <v>1440</v>
      </c>
      <c r="AB33" s="229" ph="1">
        <f>I19</f>
        <v>47723.212504800002</v>
      </c>
      <c r="AC33" s="231" ph="1">
        <f>AD10+AB19</f>
        <v>121281.8611986</v>
      </c>
      <c r="AD33" s="233" ph="1">
        <v>0</v>
      </c>
      <c r="AE33" s="234"/>
      <c r="AH33" s="64" ph="1">
        <v>19</v>
      </c>
      <c r="AI33" s="64" t="s" ph="1">
        <v>358</v>
      </c>
      <c r="AJ33" s="64" t="s" ph="1">
        <v>592</v>
      </c>
      <c r="AK33" s="64" t="s" ph="1">
        <v>589</v>
      </c>
      <c r="AL33" s="64" ph="1">
        <v>730</v>
      </c>
      <c r="AM33" s="64" t="s" ph="1">
        <v>339</v>
      </c>
      <c r="AZ33" s="64" t="s" ph="1">
        <v>216</v>
      </c>
      <c r="BA33" s="64" ph="1">
        <v>730</v>
      </c>
      <c r="BD33" s="64" t="s" ph="1">
        <v>290</v>
      </c>
      <c r="BE33" s="64" ph="1">
        <v>3880</v>
      </c>
    </row>
    <row r="34" spans="1:57" ph="1">
      <c r="A34" s="64"/>
      <c r="B34" s="204" ph="1"/>
      <c r="C34" s="205" ph="1"/>
      <c r="D34" s="207" ph="1"/>
      <c r="E34" s="207" ph="1"/>
      <c r="F34" s="209" ph="1"/>
      <c r="G34" s="211" ph="1"/>
      <c r="H34" s="207" ph="1"/>
      <c r="I34" s="220" ph="1"/>
      <c r="J34" s="218" ph="1"/>
      <c r="K34" s="207" ph="1"/>
      <c r="L34" s="222" ph="1"/>
      <c r="M34" s="218" ph="1"/>
      <c r="N34" s="207" ph="1"/>
      <c r="O34" s="220" ph="1"/>
      <c r="P34" s="218" ph="1"/>
      <c r="Q34" s="207" ph="1"/>
      <c r="R34" s="220" ph="1"/>
      <c r="S34" s="218" ph="1"/>
      <c r="T34" s="207"/>
      <c r="U34" s="228"/>
      <c r="V34" s="239" ph="1"/>
      <c r="W34" s="239" ph="1"/>
      <c r="X34" s="220" ph="1"/>
      <c r="Y34" s="241" ph="1"/>
      <c r="Z34" s="226" ph="1"/>
      <c r="AA34" s="228" ph="1"/>
      <c r="AB34" s="230"/>
      <c r="AC34" s="232"/>
      <c r="AD34" s="235"/>
      <c r="AE34" s="236"/>
      <c r="AH34" s="64" ph="1">
        <v>20</v>
      </c>
      <c r="AI34" s="64" t="s" ph="1">
        <v>359</v>
      </c>
      <c r="AJ34" s="64" t="s" ph="1">
        <v>593</v>
      </c>
      <c r="AK34" s="64" t="s" ph="1">
        <v>589</v>
      </c>
      <c r="AL34" s="64" ph="1">
        <v>720</v>
      </c>
      <c r="AM34" s="64" t="s" ph="1">
        <v>339</v>
      </c>
      <c r="AZ34" s="64" t="s" ph="1">
        <v>216</v>
      </c>
      <c r="BA34" s="64" ph="1">
        <v>720</v>
      </c>
    </row>
    <row r="35" spans="1:57" ph="1">
      <c r="A35" s="64"/>
      <c r="AC35" s="237" t="s" ph="1">
        <v>631</v>
      </c>
      <c r="AD35" s="237"/>
      <c r="AE35" s="237"/>
      <c r="AH35" s="64" ph="1">
        <v>21</v>
      </c>
      <c r="AI35" s="64" t="s" ph="1">
        <v>360</v>
      </c>
      <c r="AZ35" s="64" t="s" ph="1">
        <v>216</v>
      </c>
      <c r="BA35" s="64" ph="1">
        <v>0</v>
      </c>
      <c r="BD35" s="64" t="s" ph="1">
        <v>361</v>
      </c>
      <c r="BE35" s="64" ph="1">
        <v>2030</v>
      </c>
    </row>
    <row r="36" spans="1:57" ht="28.2" ph="1">
      <c r="A36" s="64"/>
      <c r="B36" s="103" t="s" ph="1">
        <v>182</v>
      </c>
      <c r="I36" s="223" t="s" ph="1">
        <v>183</v>
      </c>
      <c r="J36" s="223" ph="1"/>
      <c r="K36" s="101" ph="1"/>
      <c r="P36" s="101" ph="1"/>
      <c r="R36" s="223" t="s" ph="1">
        <v>184</v>
      </c>
      <c r="S36" s="223" ph="1"/>
      <c r="Y36" s="102" ph="1"/>
      <c r="Z36" s="148" t="s" ph="1">
        <v>185</v>
      </c>
      <c r="AA36" s="148" ph="1"/>
      <c r="AB36" s="224" t="s" ph="1">
        <v>640</v>
      </c>
      <c r="AC36" s="224" ph="1"/>
      <c r="AD36" s="224" ph="1"/>
      <c r="AE36" s="224" ph="1"/>
      <c r="BA36" s="64" ph="1">
        <v>2270</v>
      </c>
    </row>
    <row r="37" spans="1:57" s="148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48" t="s" ph="1">
        <v>342</v>
      </c>
      <c r="AI37" s="148" t="s" ph="1">
        <v>209</v>
      </c>
      <c r="AJ37" s="148" t="s" ph="1">
        <v>210</v>
      </c>
      <c r="AK37" s="148" t="s" ph="1">
        <v>211</v>
      </c>
      <c r="AM37" s="148" t="s" ph="1">
        <v>210</v>
      </c>
      <c r="AN37" s="148" t="s" ph="1">
        <v>211</v>
      </c>
      <c r="AO37" s="148" t="s" ph="1">
        <v>212</v>
      </c>
      <c r="AP37" s="148" t="s" ph="1">
        <v>210</v>
      </c>
      <c r="AQ37" s="148" t="s" ph="1">
        <v>211</v>
      </c>
      <c r="AR37" s="148" t="s" ph="1">
        <v>212</v>
      </c>
      <c r="AS37" s="148" t="s" ph="1">
        <v>210</v>
      </c>
      <c r="AT37" s="148" t="s" ph="1">
        <v>211</v>
      </c>
      <c r="AU37" s="148" t="s" ph="1">
        <v>212</v>
      </c>
      <c r="AV37" s="148" t="s" ph="1">
        <v>210</v>
      </c>
      <c r="AW37" s="148" t="s" ph="1">
        <v>211</v>
      </c>
      <c r="AX37" s="148" t="s" ph="1">
        <v>212</v>
      </c>
      <c r="AY37" s="148" t="s" ph="1">
        <v>211</v>
      </c>
      <c r="AZ37" s="148" t="s" ph="1">
        <v>213</v>
      </c>
      <c r="BD37" s="148" t="s" ph="1">
        <v>305</v>
      </c>
      <c r="BE37" s="148" ph="1">
        <v>0</v>
      </c>
    </row>
    <row r="38" spans="1:57" ph="1">
      <c r="AE38" s="64" ph="1"/>
      <c r="AH38" s="64" ph="1">
        <v>1</v>
      </c>
      <c r="AI38" s="64" t="s" ph="1">
        <v>362</v>
      </c>
      <c r="AY38" s="64" t="s" ph="1">
        <v>216</v>
      </c>
      <c r="AZ38" s="64" t="s" ph="1">
        <v>367</v>
      </c>
    </row>
    <row r="39" spans="1:57" ph="1">
      <c r="AH39" s="64" ph="1">
        <v>2</v>
      </c>
      <c r="AI39" s="64" t="s" ph="1">
        <v>364</v>
      </c>
      <c r="AJ39" s="64" t="s" ph="1">
        <v>336</v>
      </c>
      <c r="AK39" s="64" t="s" ph="1">
        <v>365</v>
      </c>
      <c r="AM39" s="64" t="s" ph="1">
        <v>570</v>
      </c>
      <c r="AN39" s="64" t="s" ph="1">
        <v>228</v>
      </c>
      <c r="AO39" s="64" t="s" ph="1">
        <v>363</v>
      </c>
      <c r="AY39" s="64" t="s" ph="1">
        <v>216</v>
      </c>
      <c r="AZ39" s="64" t="s" ph="1">
        <v>499</v>
      </c>
    </row>
    <row r="40" spans="1:57" ph="1">
      <c r="AH40" s="64" ph="1">
        <v>3</v>
      </c>
      <c r="AI40" s="64" t="s" ph="1">
        <v>366</v>
      </c>
      <c r="AJ40" s="64" t="s" ph="1">
        <v>570</v>
      </c>
      <c r="AK40" s="64" t="s" ph="1">
        <v>571</v>
      </c>
      <c r="AY40" s="64" t="s" ph="1">
        <v>216</v>
      </c>
      <c r="AZ40" s="64" t="s" ph="1">
        <v>571</v>
      </c>
    </row>
    <row r="41" spans="1:57" ph="1">
      <c r="AH41" s="64" ph="1">
        <v>4</v>
      </c>
      <c r="AI41" s="64" t="s" ph="1">
        <v>368</v>
      </c>
      <c r="AJ41" s="64" t="s" ph="1">
        <v>572</v>
      </c>
      <c r="AK41" s="64" t="s" ph="1">
        <v>573</v>
      </c>
      <c r="AM41" s="64" t="s" ph="1">
        <v>574</v>
      </c>
      <c r="AY41" s="64" t="s" ph="1">
        <v>216</v>
      </c>
      <c r="AZ41" s="64" t="s" ph="1">
        <v>573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369</v>
      </c>
      <c r="AY42" s="64" t="s" ph="1">
        <v>216</v>
      </c>
      <c r="AZ42" s="64" t="s" ph="1">
        <v>367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370</v>
      </c>
      <c r="AY43" s="64" t="s" ph="1">
        <v>216</v>
      </c>
      <c r="AZ43" s="64" t="s" ph="1">
        <v>367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371</v>
      </c>
      <c r="AV44" s="64" t="s" ph="1">
        <v>217</v>
      </c>
      <c r="AY44" s="64" t="s" ph="1">
        <v>216</v>
      </c>
      <c r="AZ44" s="64" t="s" ph="1">
        <v>367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372</v>
      </c>
      <c r="AV45" s="64" t="s" ph="1">
        <v>217</v>
      </c>
      <c r="AY45" s="64" t="s" ph="1">
        <v>216</v>
      </c>
      <c r="AZ45" s="64" t="s" ph="1">
        <v>367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373</v>
      </c>
      <c r="AV46" s="64" t="s" ph="1">
        <v>217</v>
      </c>
      <c r="AY46" s="64" t="s" ph="1">
        <v>216</v>
      </c>
      <c r="AZ46" s="64" t="s" ph="1">
        <v>367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374</v>
      </c>
      <c r="AV47" s="64" t="s" ph="1">
        <v>217</v>
      </c>
      <c r="AY47" s="64" t="s" ph="1">
        <v>216</v>
      </c>
      <c r="AZ47" s="64" t="s" ph="1">
        <v>367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575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232</v>
      </c>
      <c r="AI49" s="64" t="s" ph="1">
        <v>209</v>
      </c>
      <c r="AJ49" s="64" t="s" ph="1">
        <v>210</v>
      </c>
      <c r="AK49" s="64" t="s" ph="1">
        <v>211</v>
      </c>
      <c r="AM49" s="64" t="s" ph="1">
        <v>210</v>
      </c>
      <c r="AN49" s="64" t="s" ph="1">
        <v>211</v>
      </c>
      <c r="AO49" s="64" t="s" ph="1">
        <v>212</v>
      </c>
      <c r="AP49" s="64" t="s" ph="1">
        <v>210</v>
      </c>
      <c r="AQ49" s="64" t="s" ph="1">
        <v>211</v>
      </c>
      <c r="AR49" s="64" t="s" ph="1">
        <v>212</v>
      </c>
      <c r="AS49" s="64" t="s" ph="1">
        <v>210</v>
      </c>
      <c r="AT49" s="64" t="s" ph="1">
        <v>211</v>
      </c>
      <c r="AU49" s="64" t="s" ph="1">
        <v>212</v>
      </c>
      <c r="AV49" s="64" t="s" ph="1">
        <v>210</v>
      </c>
      <c r="AW49" s="64" t="s" ph="1">
        <v>211</v>
      </c>
      <c r="AX49" s="64" t="s" ph="1">
        <v>212</v>
      </c>
      <c r="AY49" s="64" t="s" ph="1">
        <v>211</v>
      </c>
      <c r="AZ49" s="64" t="s" ph="1">
        <v>213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375</v>
      </c>
      <c r="AY50" s="64" t="s" ph="1">
        <v>216</v>
      </c>
      <c r="AZ50" s="64" t="s" ph="1">
        <v>367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376</v>
      </c>
      <c r="AY51" s="64" t="s" ph="1">
        <v>216</v>
      </c>
      <c r="AZ51" s="64" t="s" ph="1">
        <v>367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377</v>
      </c>
      <c r="AJ52" s="64" t="s" ph="1">
        <v>334</v>
      </c>
      <c r="AK52" s="64" t="s" ph="1">
        <v>228</v>
      </c>
      <c r="AM52" s="64" t="s" ph="1">
        <v>336</v>
      </c>
      <c r="AN52" s="64" t="s" ph="1">
        <v>300</v>
      </c>
      <c r="AO52" s="64" t="s" ph="1">
        <v>233</v>
      </c>
      <c r="AP52" s="64" t="s" ph="1">
        <v>570</v>
      </c>
      <c r="AQ52" s="64" t="s" ph="1">
        <v>282</v>
      </c>
      <c r="AR52" s="64" t="s" ph="1">
        <v>233</v>
      </c>
      <c r="AY52" s="64" t="s" ph="1">
        <v>216</v>
      </c>
      <c r="AZ52" s="64" t="s" ph="1">
        <v>576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378</v>
      </c>
      <c r="AY53" s="64" t="s" ph="1">
        <v>216</v>
      </c>
      <c r="AZ53" s="64" t="s" ph="1">
        <v>367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379</v>
      </c>
      <c r="AJ54" s="64" t="s" ph="1">
        <v>334</v>
      </c>
      <c r="AK54" s="64" t="s" ph="1">
        <v>219</v>
      </c>
      <c r="AM54" s="64" t="s" ph="1">
        <v>336</v>
      </c>
      <c r="AN54" s="64" t="s" ph="1">
        <v>224</v>
      </c>
      <c r="AO54" s="64" t="s" ph="1">
        <v>233</v>
      </c>
      <c r="AP54" s="64" t="s" ph="1">
        <v>570</v>
      </c>
      <c r="AQ54" s="64" t="s" ph="1">
        <v>240</v>
      </c>
      <c r="AR54" s="64" t="s" ph="1">
        <v>233</v>
      </c>
      <c r="AY54" s="64" t="s" ph="1">
        <v>216</v>
      </c>
      <c r="AZ54" s="64" t="s" ph="1">
        <v>234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380</v>
      </c>
      <c r="AY55" s="64" t="s" ph="1">
        <v>216</v>
      </c>
      <c r="AZ55" s="64" t="s" ph="1">
        <v>367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381</v>
      </c>
      <c r="AY56" s="64" t="s" ph="1">
        <v>216</v>
      </c>
      <c r="AZ56" s="64" t="s" ph="1">
        <v>367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382</v>
      </c>
      <c r="AY57" s="64" t="s" ph="1">
        <v>216</v>
      </c>
      <c r="AZ57" s="64" t="s" ph="1">
        <v>367</v>
      </c>
    </row>
    <row r="58" spans="16:52" ph="1">
      <c r="P58" s="64"/>
      <c r="AN58" s="64" t="s" ph="1">
        <v>217</v>
      </c>
      <c r="AZ58" s="64" t="s" ph="1">
        <v>577</v>
      </c>
    </row>
    <row r="59" spans="16:52" ph="1">
      <c r="V59" s="64"/>
      <c r="AG59" s="64" t="s" ph="1">
        <v>235</v>
      </c>
      <c r="AI59" s="64" t="s" ph="1">
        <v>209</v>
      </c>
      <c r="AJ59" s="64" t="s" ph="1">
        <v>210</v>
      </c>
      <c r="AK59" s="64" t="s" ph="1">
        <v>211</v>
      </c>
      <c r="AM59" s="64" t="s" ph="1">
        <v>210</v>
      </c>
      <c r="AN59" s="64" t="s" ph="1">
        <v>211</v>
      </c>
      <c r="AO59" s="64" t="s" ph="1">
        <v>212</v>
      </c>
      <c r="AP59" s="64" t="s" ph="1">
        <v>210</v>
      </c>
      <c r="AQ59" s="64" t="s" ph="1">
        <v>211</v>
      </c>
      <c r="AR59" s="64" t="s" ph="1">
        <v>212</v>
      </c>
      <c r="AS59" s="64" t="s" ph="1">
        <v>210</v>
      </c>
      <c r="AT59" s="64" t="s" ph="1">
        <v>211</v>
      </c>
      <c r="AU59" s="64" t="s" ph="1">
        <v>212</v>
      </c>
      <c r="AV59" s="64" t="s" ph="1">
        <v>210</v>
      </c>
      <c r="AW59" s="64" t="s" ph="1">
        <v>211</v>
      </c>
      <c r="AX59" s="64" t="s" ph="1">
        <v>212</v>
      </c>
      <c r="AY59" s="64" t="s" ph="1">
        <v>211</v>
      </c>
      <c r="AZ59" s="64" t="s" ph="1">
        <v>213</v>
      </c>
    </row>
    <row r="60" spans="16:52" ph="1">
      <c r="R60" s="64"/>
      <c r="S60" s="64"/>
      <c r="T60" s="64"/>
      <c r="AH60" s="64" ph="1">
        <v>1</v>
      </c>
      <c r="AI60" s="64" t="s" ph="1">
        <v>383</v>
      </c>
      <c r="AY60" s="64" t="s" ph="1">
        <v>216</v>
      </c>
      <c r="AZ60" s="64" t="s" ph="1">
        <v>367</v>
      </c>
    </row>
    <row r="61" spans="16:52" ph="1">
      <c r="AH61" s="64" ph="1">
        <v>2</v>
      </c>
      <c r="AI61" s="64" t="s" ph="1">
        <v>384</v>
      </c>
      <c r="AS61" s="64" t="s" ph="1">
        <v>217</v>
      </c>
      <c r="AY61" s="64" t="s" ph="1">
        <v>216</v>
      </c>
      <c r="AZ61" s="64" t="s" ph="1">
        <v>367</v>
      </c>
    </row>
    <row r="62" spans="16:52" ph="1">
      <c r="AZ62" s="64" t="s" ph="1">
        <v>385</v>
      </c>
    </row>
    <row r="63" spans="16:52" ph="1">
      <c r="AG63" s="64" t="s" ph="1">
        <v>238</v>
      </c>
      <c r="AI63" s="64" t="s" ph="1">
        <v>209</v>
      </c>
      <c r="AJ63" s="64" t="s" ph="1">
        <v>210</v>
      </c>
      <c r="AK63" s="64" t="s" ph="1">
        <v>211</v>
      </c>
      <c r="AM63" s="64" t="s" ph="1">
        <v>210</v>
      </c>
      <c r="AN63" s="64" t="s" ph="1">
        <v>211</v>
      </c>
      <c r="AO63" s="64" t="s" ph="1">
        <v>212</v>
      </c>
      <c r="AP63" s="64" t="s" ph="1">
        <v>210</v>
      </c>
      <c r="AQ63" s="64" t="s" ph="1">
        <v>211</v>
      </c>
      <c r="AR63" s="64" t="s" ph="1">
        <v>212</v>
      </c>
      <c r="AS63" s="64" t="s" ph="1">
        <v>210</v>
      </c>
      <c r="AT63" s="64" t="s" ph="1">
        <v>211</v>
      </c>
      <c r="AU63" s="64" t="s" ph="1">
        <v>212</v>
      </c>
      <c r="AV63" s="64" t="s" ph="1">
        <v>210</v>
      </c>
      <c r="AW63" s="64" t="s" ph="1">
        <v>211</v>
      </c>
      <c r="AX63" s="64" t="s" ph="1">
        <v>212</v>
      </c>
      <c r="AY63" s="64" t="s" ph="1">
        <v>211</v>
      </c>
      <c r="AZ63" s="64" t="s" ph="1">
        <v>213</v>
      </c>
    </row>
    <row r="64" spans="16:52" ph="1">
      <c r="AH64" s="64" ph="1">
        <v>1</v>
      </c>
      <c r="AI64" s="64" t="s" ph="1">
        <v>386</v>
      </c>
      <c r="AJ64" s="64" t="s" ph="1">
        <v>387</v>
      </c>
      <c r="AK64" s="64" t="s" ph="1">
        <v>388</v>
      </c>
      <c r="AY64" s="64" t="s" ph="1">
        <v>216</v>
      </c>
      <c r="AZ64" s="64" t="s" ph="1">
        <v>388</v>
      </c>
    </row>
    <row r="65" spans="33:52" ph="1">
      <c r="AH65" s="64" ph="1">
        <v>2</v>
      </c>
      <c r="AI65" s="64" t="s" ph="1">
        <v>389</v>
      </c>
      <c r="AY65" s="64" t="s" ph="1">
        <v>216</v>
      </c>
      <c r="AZ65" s="64" t="s" ph="1">
        <v>367</v>
      </c>
    </row>
    <row r="66" spans="33:52" ph="1">
      <c r="AH66" s="64" ph="1">
        <v>3</v>
      </c>
      <c r="AI66" s="64" t="s" ph="1">
        <v>390</v>
      </c>
      <c r="AY66" s="64" t="s" ph="1">
        <v>216</v>
      </c>
      <c r="AZ66" s="64" t="s" ph="1">
        <v>367</v>
      </c>
    </row>
    <row r="67" spans="33:52" ph="1">
      <c r="AH67" s="64" ph="1">
        <v>4</v>
      </c>
      <c r="AI67" s="64" t="s" ph="1">
        <v>391</v>
      </c>
      <c r="AY67" s="64" t="s" ph="1">
        <v>216</v>
      </c>
      <c r="AZ67" s="64" t="s" ph="1">
        <v>367</v>
      </c>
    </row>
    <row r="68" spans="33:52" ph="1">
      <c r="AH68" s="64" ph="1">
        <v>5</v>
      </c>
      <c r="AI68" s="64" t="s" ph="1">
        <v>392</v>
      </c>
      <c r="AY68" s="64" t="s" ph="1">
        <v>216</v>
      </c>
      <c r="AZ68" s="64" t="s" ph="1">
        <v>367</v>
      </c>
    </row>
    <row r="69" spans="33:52" ph="1">
      <c r="AH69" s="64" ph="1">
        <v>6</v>
      </c>
      <c r="AI69" s="64" t="s" ph="1">
        <v>393</v>
      </c>
      <c r="AY69" s="64" t="s" ph="1">
        <v>216</v>
      </c>
      <c r="AZ69" s="64" t="s" ph="1">
        <v>367</v>
      </c>
    </row>
    <row r="70" spans="33:52" ph="1">
      <c r="AI70" s="64" t="s" ph="1">
        <v>394</v>
      </c>
      <c r="AY70" s="64" t="s" ph="1">
        <v>216</v>
      </c>
      <c r="AZ70" s="64" t="s" ph="1">
        <v>367</v>
      </c>
    </row>
    <row r="71" spans="33:52" ph="1">
      <c r="AH71" s="64" ph="1">
        <v>7</v>
      </c>
      <c r="AI71" s="64" t="s" ph="1">
        <v>395</v>
      </c>
      <c r="AJ71" s="64" t="s" ph="1">
        <v>334</v>
      </c>
      <c r="AK71" s="64" t="s" ph="1">
        <v>228</v>
      </c>
      <c r="AM71" s="64" t="s" ph="1">
        <v>336</v>
      </c>
      <c r="AN71" s="64" t="s" ph="1">
        <v>228</v>
      </c>
      <c r="AO71" s="64" t="s" ph="1">
        <v>396</v>
      </c>
      <c r="AP71" s="64" t="s" ph="1">
        <v>570</v>
      </c>
      <c r="AQ71" s="64" t="s" ph="1">
        <v>219</v>
      </c>
      <c r="AR71" s="64" t="s" ph="1">
        <v>396</v>
      </c>
      <c r="AY71" s="64" t="s" ph="1">
        <v>216</v>
      </c>
      <c r="AZ71" s="64" t="s" ph="1">
        <v>578</v>
      </c>
    </row>
    <row r="72" spans="33:52" ph="1">
      <c r="AZ72" s="64" t="s" ph="1">
        <v>579</v>
      </c>
    </row>
    <row r="73" spans="33:52" ph="1">
      <c r="AG73" s="64" t="s" ph="1">
        <v>241</v>
      </c>
      <c r="AI73" s="64" t="s" ph="1">
        <v>209</v>
      </c>
      <c r="AJ73" s="64" t="s" ph="1">
        <v>210</v>
      </c>
      <c r="AK73" s="64" t="s" ph="1">
        <v>211</v>
      </c>
      <c r="AM73" s="64" t="s" ph="1">
        <v>210</v>
      </c>
      <c r="AN73" s="64" t="s" ph="1">
        <v>211</v>
      </c>
      <c r="AO73" s="64" t="s" ph="1">
        <v>212</v>
      </c>
      <c r="AP73" s="64" t="s" ph="1">
        <v>210</v>
      </c>
      <c r="AQ73" s="64" t="s" ph="1">
        <v>211</v>
      </c>
      <c r="AR73" s="64" t="s" ph="1">
        <v>212</v>
      </c>
      <c r="AS73" s="64" t="s" ph="1">
        <v>210</v>
      </c>
      <c r="AT73" s="64" t="s" ph="1">
        <v>211</v>
      </c>
      <c r="AU73" s="64" t="s" ph="1">
        <v>212</v>
      </c>
      <c r="AV73" s="64" t="s" ph="1">
        <v>210</v>
      </c>
      <c r="AW73" s="64" t="s" ph="1">
        <v>211</v>
      </c>
      <c r="AX73" s="64" t="s" ph="1">
        <v>212</v>
      </c>
      <c r="AY73" s="64" t="s" ph="1">
        <v>211</v>
      </c>
      <c r="AZ73" s="64" t="s" ph="1">
        <v>213</v>
      </c>
    </row>
    <row r="74" spans="33:52" ph="1">
      <c r="AH74" s="64" ph="1">
        <v>1</v>
      </c>
      <c r="AI74" s="64" t="s" ph="1">
        <v>397</v>
      </c>
      <c r="AJ74" s="64" t="s" ph="1">
        <v>242</v>
      </c>
      <c r="AK74" s="64" t="s" ph="1">
        <v>224</v>
      </c>
      <c r="AM74" s="64" t="s" ph="1">
        <v>244</v>
      </c>
      <c r="AN74" s="64" t="s" ph="1">
        <v>254</v>
      </c>
      <c r="AO74" s="64" t="s" ph="1">
        <v>243</v>
      </c>
      <c r="AP74" s="64" t="s" ph="1">
        <v>245</v>
      </c>
      <c r="AQ74" s="64" t="s" ph="1">
        <v>222</v>
      </c>
      <c r="AR74" s="64" t="s" ph="1">
        <v>243</v>
      </c>
      <c r="AS74" s="64" t="s" ph="1">
        <v>215</v>
      </c>
      <c r="AT74" s="64" t="s" ph="1">
        <v>217</v>
      </c>
      <c r="AV74" s="64" t="s" ph="1">
        <v>398</v>
      </c>
      <c r="AW74" s="64" t="s" ph="1">
        <v>399</v>
      </c>
      <c r="AX74" s="64" t="s" ph="1">
        <v>400</v>
      </c>
      <c r="AY74" s="64" t="s" ph="1">
        <v>216</v>
      </c>
      <c r="AZ74" s="64" t="s" ph="1">
        <v>401</v>
      </c>
    </row>
    <row r="75" spans="33:52" ph="1">
      <c r="AJ75" s="64" t="s" ph="1">
        <v>247</v>
      </c>
      <c r="AK75" s="64" t="s" ph="1">
        <v>300</v>
      </c>
      <c r="AM75" s="64" t="s" ph="1">
        <v>245</v>
      </c>
      <c r="AN75" s="64" t="s" ph="1">
        <v>225</v>
      </c>
      <c r="AO75" s="64" t="s" ph="1">
        <v>243</v>
      </c>
      <c r="AS75" s="64" t="s" ph="1">
        <v>215</v>
      </c>
      <c r="AT75" s="64" t="s" ph="1">
        <v>246</v>
      </c>
    </row>
    <row r="76" spans="33:52" ph="1">
      <c r="AJ76" s="64" t="s" ph="1">
        <v>247</v>
      </c>
      <c r="AK76" s="64" t="s" ph="1">
        <v>240</v>
      </c>
      <c r="AM76" s="64" t="s" ph="1">
        <v>245</v>
      </c>
      <c r="AN76" s="64" t="s" ph="1">
        <v>228</v>
      </c>
      <c r="AO76" s="64" t="s" ph="1">
        <v>243</v>
      </c>
      <c r="AS76" s="64" t="s" ph="1">
        <v>215</v>
      </c>
      <c r="AT76" s="64" t="s" ph="1">
        <v>246</v>
      </c>
    </row>
    <row r="77" spans="33:52" ph="1">
      <c r="AJ77" s="64" t="s" ph="1">
        <v>283</v>
      </c>
      <c r="AK77" s="64" t="s" ph="1">
        <v>240</v>
      </c>
      <c r="AM77" s="64" t="s" ph="1">
        <v>284</v>
      </c>
      <c r="AN77" s="64" t="s" ph="1">
        <v>223</v>
      </c>
      <c r="AO77" s="64" t="s" ph="1">
        <v>243</v>
      </c>
      <c r="AS77" s="64" t="s" ph="1">
        <v>215</v>
      </c>
      <c r="AT77" s="64" t="s" ph="1">
        <v>285</v>
      </c>
    </row>
    <row r="78" spans="33:52" ph="1">
      <c r="AH78" s="64" ph="1">
        <v>2</v>
      </c>
      <c r="AI78" s="64" t="s" ph="1">
        <v>249</v>
      </c>
      <c r="AJ78" s="64" t="s" ph="1">
        <v>250</v>
      </c>
      <c r="AK78" s="64" t="s" ph="1">
        <v>219</v>
      </c>
      <c r="AM78" s="64" t="s" ph="1">
        <v>251</v>
      </c>
      <c r="AN78" s="64" t="s" ph="1">
        <v>254</v>
      </c>
      <c r="AO78" s="64" t="s" ph="1">
        <v>243</v>
      </c>
      <c r="AP78" s="64" t="s" ph="1">
        <v>252</v>
      </c>
      <c r="AQ78" s="64" t="s" ph="1">
        <v>298</v>
      </c>
      <c r="AR78" s="64" t="s" ph="1">
        <v>243</v>
      </c>
      <c r="AS78" s="64" t="s" ph="1">
        <v>253</v>
      </c>
      <c r="AT78" s="64" t="s" ph="1">
        <v>254</v>
      </c>
      <c r="AU78" s="64" t="s" ph="1">
        <v>243</v>
      </c>
      <c r="AV78" s="64" t="s" ph="1">
        <v>255</v>
      </c>
      <c r="AW78" s="64" t="s" ph="1">
        <v>243</v>
      </c>
      <c r="AY78" s="64" t="s" ph="1">
        <v>216</v>
      </c>
      <c r="AZ78" s="64" t="s" ph="1">
        <v>402</v>
      </c>
    </row>
    <row r="79" spans="33:52" ph="1">
      <c r="AJ79" s="64" t="s" ph="1">
        <v>245</v>
      </c>
      <c r="AK79" s="64" t="s" ph="1">
        <v>256</v>
      </c>
      <c r="AM79" s="64" t="s" ph="1">
        <v>257</v>
      </c>
      <c r="AN79" s="64" t="s" ph="1">
        <v>225</v>
      </c>
      <c r="AO79" s="64" t="s" ph="1">
        <v>243</v>
      </c>
      <c r="AP79" s="64" t="s" ph="1">
        <v>258</v>
      </c>
      <c r="AQ79" s="64" t="s" ph="1">
        <v>223</v>
      </c>
      <c r="AR79" s="64" t="s" ph="1">
        <v>259</v>
      </c>
      <c r="AS79" s="64" t="s" ph="1">
        <v>215</v>
      </c>
      <c r="AT79" s="64" t="s" ph="1">
        <v>260</v>
      </c>
      <c r="AV79" s="64" t="s" ph="1">
        <v>403</v>
      </c>
      <c r="AW79" s="64" t="s" ph="1">
        <v>302</v>
      </c>
      <c r="AX79" s="64" t="s" ph="1">
        <v>400</v>
      </c>
    </row>
    <row r="80" spans="33:52" ph="1">
      <c r="AH80" s="64" ph="1">
        <v>3</v>
      </c>
      <c r="AI80" s="64" t="s" ph="1">
        <v>261</v>
      </c>
      <c r="AJ80" s="64" t="s" ph="1">
        <v>262</v>
      </c>
      <c r="AK80" s="64" t="s" ph="1">
        <v>263</v>
      </c>
      <c r="AM80" s="64" t="s" ph="1">
        <v>264</v>
      </c>
      <c r="AN80" s="64" t="s" ph="1">
        <v>254</v>
      </c>
      <c r="AO80" s="64" t="s" ph="1">
        <v>243</v>
      </c>
      <c r="AP80" s="64" t="s" ph="1">
        <v>265</v>
      </c>
      <c r="AQ80" s="64" t="s" ph="1">
        <v>228</v>
      </c>
      <c r="AR80" s="64" t="s" ph="1">
        <v>243</v>
      </c>
      <c r="AS80" s="64" t="s" ph="1">
        <v>266</v>
      </c>
      <c r="AT80" s="64" t="s" ph="1">
        <v>227</v>
      </c>
      <c r="AU80" s="64" t="s" ph="1">
        <v>243</v>
      </c>
      <c r="AV80" s="64" t="s" ph="1">
        <v>267</v>
      </c>
      <c r="AW80" s="64" t="s" ph="1">
        <v>243</v>
      </c>
      <c r="AY80" s="64" t="s" ph="1">
        <v>216</v>
      </c>
      <c r="AZ80" s="64" t="s" ph="1">
        <v>404</v>
      </c>
    </row>
    <row r="81" spans="34:52" ph="1">
      <c r="AJ81" s="64" t="s" ph="1">
        <v>268</v>
      </c>
      <c r="AK81" s="64" t="s" ph="1">
        <v>222</v>
      </c>
      <c r="AM81" s="64" t="s" ph="1">
        <v>269</v>
      </c>
      <c r="AN81" s="64" t="s" ph="1">
        <v>225</v>
      </c>
      <c r="AO81" s="64" t="s" ph="1">
        <v>243</v>
      </c>
      <c r="AP81" s="64" t="s" ph="1">
        <v>270</v>
      </c>
      <c r="AQ81" s="64" t="s" ph="1">
        <v>254</v>
      </c>
      <c r="AR81" s="64" t="s" ph="1">
        <v>243</v>
      </c>
      <c r="AS81" s="64" t="s" ph="1">
        <v>271</v>
      </c>
      <c r="AT81" s="64" t="s" ph="1">
        <v>272</v>
      </c>
      <c r="AU81" s="64" t="s" ph="1">
        <v>243</v>
      </c>
      <c r="AV81" s="64" t="s" ph="1">
        <v>273</v>
      </c>
    </row>
    <row r="82" spans="34:52" ph="1">
      <c r="AJ82" s="64" t="s" ph="1">
        <v>274</v>
      </c>
      <c r="AK82" s="64" t="s" ph="1">
        <v>222</v>
      </c>
      <c r="AM82" s="64" t="s" ph="1">
        <v>275</v>
      </c>
      <c r="AN82" s="64" t="s" ph="1">
        <v>272</v>
      </c>
      <c r="AO82" s="64" t="s" ph="1">
        <v>276</v>
      </c>
      <c r="AP82" s="64" t="s" ph="1">
        <v>277</v>
      </c>
      <c r="AQ82" s="64" t="s" ph="1">
        <v>254</v>
      </c>
      <c r="AR82" s="64" t="s" ph="1">
        <v>243</v>
      </c>
      <c r="AS82" s="64" t="s" ph="1">
        <v>278</v>
      </c>
      <c r="AT82" s="64" t="s" ph="1">
        <v>229</v>
      </c>
      <c r="AU82" s="64" t="s" ph="1">
        <v>243</v>
      </c>
      <c r="AV82" s="64" t="s" ph="1">
        <v>403</v>
      </c>
      <c r="AW82" s="64" t="s" ph="1">
        <v>303</v>
      </c>
      <c r="AX82" s="64" t="s" ph="1">
        <v>400</v>
      </c>
    </row>
    <row r="83" spans="34:52" ph="1">
      <c r="AJ83" s="64" t="s" ph="1">
        <v>279</v>
      </c>
      <c r="AK83" s="64" t="s" ph="1">
        <v>296</v>
      </c>
      <c r="AM83" s="64" t="s" ph="1">
        <v>280</v>
      </c>
      <c r="AN83" s="64" t="s" ph="1">
        <v>228</v>
      </c>
      <c r="AO83" s="64" t="s" ph="1">
        <v>259</v>
      </c>
      <c r="AP83" s="64" t="s" ph="1">
        <v>281</v>
      </c>
      <c r="AQ83" s="64" t="s" ph="1">
        <v>282</v>
      </c>
      <c r="AR83" s="64" t="s" ph="1">
        <v>259</v>
      </c>
      <c r="AS83" s="64" t="s" ph="1">
        <v>405</v>
      </c>
      <c r="AT83" s="64" t="s" ph="1">
        <v>254</v>
      </c>
      <c r="AU83" s="64" t="s" ph="1">
        <v>259</v>
      </c>
      <c r="AV83" s="64" t="s" ph="1">
        <v>406</v>
      </c>
      <c r="AW83" s="64" t="s" ph="1">
        <v>303</v>
      </c>
      <c r="AX83" s="64" t="s" ph="1">
        <v>407</v>
      </c>
    </row>
    <row r="84" spans="34:52" ph="1">
      <c r="AH84" s="64" ph="1">
        <v>4</v>
      </c>
      <c r="AI84" s="64" t="s" ph="1">
        <v>286</v>
      </c>
      <c r="AJ84" s="64" t="s" ph="1">
        <v>226</v>
      </c>
      <c r="AK84" s="64" t="s" ph="1">
        <v>229</v>
      </c>
      <c r="AM84" s="64" t="s" ph="1">
        <v>230</v>
      </c>
      <c r="AN84" s="64" t="s" ph="1">
        <v>223</v>
      </c>
      <c r="AO84" s="64" t="s" ph="1">
        <v>259</v>
      </c>
      <c r="AP84" s="64" t="s" ph="1">
        <v>288</v>
      </c>
      <c r="AQ84" s="64" t="s" ph="1">
        <v>222</v>
      </c>
      <c r="AR84" s="64" t="s" ph="1">
        <v>259</v>
      </c>
      <c r="AS84" s="64" t="s" ph="1">
        <v>288</v>
      </c>
      <c r="AT84" s="64" t="s" ph="1">
        <v>224</v>
      </c>
      <c r="AU84" s="64" t="s" ph="1">
        <v>259</v>
      </c>
      <c r="AY84" s="64" t="s" ph="1">
        <v>216</v>
      </c>
      <c r="AZ84" s="64" t="s" ph="1">
        <v>408</v>
      </c>
    </row>
    <row r="85" spans="34:52" ph="1">
      <c r="AJ85" s="64" t="s" ph="1">
        <v>218</v>
      </c>
      <c r="AK85" s="64" t="s" ph="1">
        <v>222</v>
      </c>
      <c r="AM85" s="64" t="s" ph="1">
        <v>409</v>
      </c>
      <c r="AN85" s="64" t="s" ph="1">
        <v>229</v>
      </c>
      <c r="AO85" s="64" t="s" ph="1">
        <v>259</v>
      </c>
      <c r="AP85" s="64" t="s" ph="1">
        <v>410</v>
      </c>
      <c r="AQ85" s="64" t="s" ph="1">
        <v>225</v>
      </c>
      <c r="AR85" s="64" t="s" ph="1">
        <v>259</v>
      </c>
      <c r="AS85" s="64" t="s" ph="1">
        <v>411</v>
      </c>
      <c r="AT85" s="64" t="s" ph="1">
        <v>225</v>
      </c>
      <c r="AU85" s="64" t="s" ph="1">
        <v>259</v>
      </c>
    </row>
    <row r="86" spans="34:52" ph="1">
      <c r="AJ86" s="64" t="s" ph="1">
        <v>412</v>
      </c>
      <c r="AK86" s="64" t="s" ph="1">
        <v>231</v>
      </c>
      <c r="AM86" s="64" t="s" ph="1">
        <v>413</v>
      </c>
      <c r="AN86" s="64" t="s" ph="1">
        <v>272</v>
      </c>
      <c r="AO86" s="64" t="s" ph="1">
        <v>259</v>
      </c>
      <c r="AP86" s="64" t="s" ph="1">
        <v>414</v>
      </c>
      <c r="AQ86" s="64" t="s" ph="1">
        <v>219</v>
      </c>
      <c r="AR86" s="64" t="s" ph="1">
        <v>259</v>
      </c>
      <c r="AS86" s="64" t="s" ph="1">
        <v>415</v>
      </c>
      <c r="AT86" s="64" t="s" ph="1">
        <v>237</v>
      </c>
      <c r="AU86" s="64" t="s" ph="1">
        <v>259</v>
      </c>
    </row>
    <row r="87" spans="34:52" ph="1">
      <c r="AJ87" s="64" t="s" ph="1">
        <v>416</v>
      </c>
      <c r="AK87" s="64" t="s" ph="1">
        <v>272</v>
      </c>
      <c r="AM87" s="64" t="s" ph="1">
        <v>403</v>
      </c>
      <c r="AN87" s="64" t="s" ph="1">
        <v>417</v>
      </c>
      <c r="AO87" s="64" t="s" ph="1">
        <v>400</v>
      </c>
    </row>
    <row r="88" spans="34:52" ph="1">
      <c r="AH88" s="64" ph="1">
        <v>5</v>
      </c>
      <c r="AI88" s="64" t="s" ph="1">
        <v>289</v>
      </c>
      <c r="AJ88" s="64" t="s" ph="1">
        <v>418</v>
      </c>
      <c r="AK88" s="64" t="s" ph="1">
        <v>272</v>
      </c>
      <c r="AM88" s="64" t="s" ph="1">
        <v>419</v>
      </c>
      <c r="AN88" s="64" t="s" ph="1">
        <v>272</v>
      </c>
      <c r="AO88" s="64" t="s" ph="1">
        <v>259</v>
      </c>
      <c r="AP88" s="64" t="s" ph="1">
        <v>420</v>
      </c>
      <c r="AQ88" s="64" t="s" ph="1">
        <v>222</v>
      </c>
      <c r="AR88" s="64" t="s" ph="1">
        <v>259</v>
      </c>
      <c r="AS88" s="64" t="s" ph="1">
        <v>421</v>
      </c>
      <c r="AT88" s="64" t="s" ph="1">
        <v>272</v>
      </c>
      <c r="AU88" s="64" t="s" ph="1">
        <v>259</v>
      </c>
      <c r="AV88" s="64" t="s" ph="1">
        <v>422</v>
      </c>
      <c r="AW88" s="64" t="s" ph="1">
        <v>227</v>
      </c>
      <c r="AX88" s="64" t="s" ph="1">
        <v>259</v>
      </c>
      <c r="AY88" s="64" t="s" ph="1">
        <v>216</v>
      </c>
      <c r="AZ88" s="64" t="s" ph="1">
        <v>423</v>
      </c>
    </row>
    <row r="89" spans="34:52" ph="1">
      <c r="AJ89" s="64" t="s" ph="1">
        <v>424</v>
      </c>
      <c r="AK89" s="64" t="s" ph="1">
        <v>225</v>
      </c>
      <c r="AM89" s="64" t="s" ph="1">
        <v>425</v>
      </c>
      <c r="AN89" s="64" t="s" ph="1">
        <v>228</v>
      </c>
      <c r="AO89" s="64" t="s" ph="1">
        <v>259</v>
      </c>
      <c r="AP89" s="64" t="s" ph="1">
        <v>426</v>
      </c>
      <c r="AQ89" s="64" t="s" ph="1">
        <v>237</v>
      </c>
      <c r="AR89" s="64" t="s" ph="1">
        <v>259</v>
      </c>
      <c r="AS89" s="64" t="s" ph="1">
        <v>427</v>
      </c>
      <c r="AT89" s="64" t="s" ph="1">
        <v>272</v>
      </c>
      <c r="AU89" s="64" t="s" ph="1">
        <v>259</v>
      </c>
      <c r="AV89" s="64" t="s" ph="1">
        <v>428</v>
      </c>
      <c r="AW89" s="64" t="s" ph="1">
        <v>254</v>
      </c>
      <c r="AX89" s="64" t="s" ph="1">
        <v>287</v>
      </c>
    </row>
    <row r="90" spans="34:52" ph="1">
      <c r="AJ90" s="64" t="s" ph="1">
        <v>429</v>
      </c>
      <c r="AK90" s="64" t="s" ph="1">
        <v>228</v>
      </c>
      <c r="AM90" s="64" t="s" ph="1">
        <v>430</v>
      </c>
      <c r="AN90" s="64" t="s" ph="1">
        <v>225</v>
      </c>
      <c r="AO90" s="64" t="s" ph="1">
        <v>259</v>
      </c>
      <c r="AP90" s="64" t="s" ph="1">
        <v>431</v>
      </c>
      <c r="AQ90" s="64" t="s" ph="1">
        <v>294</v>
      </c>
      <c r="AR90" s="64" t="s" ph="1">
        <v>259</v>
      </c>
      <c r="AS90" s="64" t="s" ph="1">
        <v>432</v>
      </c>
      <c r="AT90" s="64" t="s" ph="1">
        <v>282</v>
      </c>
      <c r="AU90" s="64" t="s" ph="1">
        <v>259</v>
      </c>
      <c r="AV90" s="64" t="s" ph="1">
        <v>433</v>
      </c>
      <c r="AW90" s="64" t="s" ph="1">
        <v>219</v>
      </c>
      <c r="AX90" s="64" t="s" ph="1">
        <v>259</v>
      </c>
    </row>
    <row r="91" spans="34:52" ph="1">
      <c r="AJ91" s="64" t="s" ph="1">
        <v>434</v>
      </c>
      <c r="AK91" s="64" t="s" ph="1">
        <v>272</v>
      </c>
      <c r="AM91" s="64" t="s" ph="1">
        <v>435</v>
      </c>
      <c r="AN91" s="64" t="s" ph="1">
        <v>239</v>
      </c>
      <c r="AO91" s="64" t="s" ph="1">
        <v>259</v>
      </c>
      <c r="AP91" s="64" t="s" ph="1">
        <v>436</v>
      </c>
      <c r="AQ91" s="64" t="s" ph="1">
        <v>219</v>
      </c>
      <c r="AS91" s="64" t="s" ph="1">
        <v>403</v>
      </c>
      <c r="AT91" s="64" t="s" ph="1">
        <v>399</v>
      </c>
      <c r="AU91" s="64" t="s" ph="1">
        <v>400</v>
      </c>
    </row>
    <row r="92" spans="34:52" ph="1">
      <c r="AH92" s="64" ph="1">
        <v>6</v>
      </c>
      <c r="AI92" s="64" t="s" ph="1">
        <v>437</v>
      </c>
      <c r="AJ92" s="64" t="s" ph="1">
        <v>438</v>
      </c>
      <c r="AK92" s="64" t="s" ph="1">
        <v>367</v>
      </c>
      <c r="AM92" s="64" t="s" ph="1">
        <v>439</v>
      </c>
      <c r="AN92" s="64" t="s" ph="1">
        <v>227</v>
      </c>
      <c r="AO92" s="64" t="s" ph="1">
        <v>259</v>
      </c>
      <c r="AP92" s="64" t="s" ph="1">
        <v>440</v>
      </c>
      <c r="AQ92" s="64" t="s" ph="1">
        <v>299</v>
      </c>
      <c r="AR92" s="64" t="s" ph="1">
        <v>259</v>
      </c>
      <c r="AS92" s="64" t="s" ph="1">
        <v>441</v>
      </c>
      <c r="AT92" s="64" t="s" ph="1">
        <v>272</v>
      </c>
      <c r="AU92" s="64" t="s" ph="1">
        <v>259</v>
      </c>
      <c r="AV92" s="64" t="s" ph="1">
        <v>442</v>
      </c>
      <c r="AW92" s="64" t="s" ph="1">
        <v>228</v>
      </c>
      <c r="AX92" s="64" t="s" ph="1">
        <v>259</v>
      </c>
      <c r="AY92" s="64" t="s" ph="1">
        <v>216</v>
      </c>
      <c r="AZ92" s="64" t="s" ph="1">
        <v>423</v>
      </c>
    </row>
    <row r="93" spans="34:52" ph="1">
      <c r="AJ93" s="64" t="s" ph="1">
        <v>443</v>
      </c>
      <c r="AK93" s="64" t="s" ph="1">
        <v>222</v>
      </c>
      <c r="AM93" s="64" t="s" ph="1">
        <v>444</v>
      </c>
      <c r="AN93" s="64" t="s" ph="1">
        <v>227</v>
      </c>
      <c r="AO93" s="64" t="s" ph="1">
        <v>259</v>
      </c>
      <c r="AP93" s="64" t="s" ph="1">
        <v>445</v>
      </c>
      <c r="AQ93" s="64" t="s" ph="1">
        <v>231</v>
      </c>
      <c r="AR93" s="64" t="s" ph="1">
        <v>259</v>
      </c>
      <c r="AS93" s="64" t="s" ph="1">
        <v>446</v>
      </c>
      <c r="AT93" s="64" t="s" ph="1">
        <v>237</v>
      </c>
      <c r="AU93" s="64" t="s" ph="1">
        <v>259</v>
      </c>
      <c r="AV93" s="64" t="s" ph="1">
        <v>447</v>
      </c>
      <c r="AW93" s="64" t="s" ph="1">
        <v>231</v>
      </c>
      <c r="AX93" s="64" t="s" ph="1">
        <v>259</v>
      </c>
    </row>
    <row r="94" spans="34:52" ph="1">
      <c r="AJ94" s="64" t="s" ph="1">
        <v>448</v>
      </c>
      <c r="AK94" s="64" t="s" ph="1">
        <v>294</v>
      </c>
      <c r="AM94" s="64" t="s" ph="1">
        <v>449</v>
      </c>
      <c r="AN94" s="64" t="s" ph="1">
        <v>231</v>
      </c>
      <c r="AO94" s="64" t="s" ph="1">
        <v>259</v>
      </c>
      <c r="AP94" s="64" t="s" ph="1">
        <v>450</v>
      </c>
      <c r="AQ94" s="64" t="s" ph="1">
        <v>239</v>
      </c>
      <c r="AR94" s="64" t="s" ph="1">
        <v>259</v>
      </c>
      <c r="AS94" s="64" t="s" ph="1">
        <v>451</v>
      </c>
      <c r="AT94" s="64" t="s" ph="1">
        <v>225</v>
      </c>
      <c r="AU94" s="64" t="s" ph="1">
        <v>259</v>
      </c>
      <c r="AV94" s="64" t="s" ph="1">
        <v>452</v>
      </c>
      <c r="AW94" s="64" t="s" ph="1">
        <v>225</v>
      </c>
      <c r="AX94" s="64" t="s" ph="1">
        <v>259</v>
      </c>
    </row>
    <row r="95" spans="34:52" ph="1">
      <c r="AJ95" s="64" t="s" ph="1">
        <v>453</v>
      </c>
      <c r="AK95" s="64" t="s" ph="1">
        <v>299</v>
      </c>
    </row>
    <row r="96" spans="34:52" ph="1">
      <c r="AH96" s="64" ph="1">
        <v>7</v>
      </c>
      <c r="AI96" s="64" t="s" ph="1">
        <v>454</v>
      </c>
      <c r="AJ96" s="64" t="s" ph="1">
        <v>453</v>
      </c>
      <c r="AK96" s="64" t="s" ph="1">
        <v>254</v>
      </c>
      <c r="AM96" s="64" t="s" ph="1">
        <v>455</v>
      </c>
      <c r="AN96" s="64" t="s" ph="1">
        <v>228</v>
      </c>
      <c r="AO96" s="64" t="s" ph="1">
        <v>259</v>
      </c>
      <c r="AP96" s="64" t="s" ph="1">
        <v>456</v>
      </c>
      <c r="AQ96" s="64" t="s" ph="1">
        <v>272</v>
      </c>
      <c r="AR96" s="64" t="s" ph="1">
        <v>287</v>
      </c>
      <c r="AS96" s="64" t="s" ph="1">
        <v>457</v>
      </c>
      <c r="AT96" s="64" t="s" ph="1">
        <v>231</v>
      </c>
      <c r="AU96" s="64" t="s" ph="1">
        <v>287</v>
      </c>
      <c r="AV96" s="64" t="s" ph="1">
        <v>458</v>
      </c>
      <c r="AW96" s="64" t="s" ph="1">
        <v>227</v>
      </c>
      <c r="AX96" s="64" t="s" ph="1">
        <v>287</v>
      </c>
      <c r="AY96" s="64" t="s" ph="1">
        <v>216</v>
      </c>
      <c r="AZ96" s="64" t="s" ph="1">
        <v>459</v>
      </c>
    </row>
    <row r="97" spans="33:52" ph="1">
      <c r="AJ97" s="64" t="s" ph="1">
        <v>460</v>
      </c>
      <c r="AK97" s="64" t="s" ph="1">
        <v>282</v>
      </c>
      <c r="AM97" s="64" t="s" ph="1">
        <v>461</v>
      </c>
      <c r="AN97" s="64" t="s" ph="1">
        <v>225</v>
      </c>
      <c r="AO97" s="64" t="s" ph="1">
        <v>259</v>
      </c>
      <c r="AP97" s="64" t="s" ph="1">
        <v>462</v>
      </c>
      <c r="AQ97" s="64" t="s" ph="1">
        <v>219</v>
      </c>
      <c r="AR97" s="64" t="s" ph="1">
        <v>287</v>
      </c>
      <c r="AS97" s="64" t="s" ph="1">
        <v>463</v>
      </c>
      <c r="AT97" s="64" t="s" ph="1">
        <v>222</v>
      </c>
      <c r="AU97" s="64" t="s" ph="1">
        <v>287</v>
      </c>
      <c r="AV97" s="64" t="s" ph="1">
        <v>464</v>
      </c>
      <c r="AW97" s="64" t="s" ph="1">
        <v>228</v>
      </c>
      <c r="AX97" s="64" t="s" ph="1">
        <v>287</v>
      </c>
    </row>
    <row r="98" spans="33:52" ph="1">
      <c r="AJ98" s="64" t="s" ph="1">
        <v>465</v>
      </c>
      <c r="AK98" s="64" t="s" ph="1">
        <v>231</v>
      </c>
      <c r="AM98" s="64" t="s" ph="1">
        <v>466</v>
      </c>
      <c r="AN98" s="64" t="s" ph="1">
        <v>239</v>
      </c>
      <c r="AO98" s="64" t="s" ph="1">
        <v>259</v>
      </c>
      <c r="AP98" s="64" t="s" ph="1">
        <v>467</v>
      </c>
      <c r="AQ98" s="64" t="s" ph="1">
        <v>219</v>
      </c>
      <c r="AR98" s="64" t="s" ph="1">
        <v>287</v>
      </c>
      <c r="AS98" s="64" t="s" ph="1">
        <v>468</v>
      </c>
      <c r="AT98" s="64" t="s" ph="1">
        <v>299</v>
      </c>
      <c r="AU98" s="64" t="s" ph="1">
        <v>287</v>
      </c>
      <c r="AV98" s="64" t="s" ph="1">
        <v>469</v>
      </c>
      <c r="AW98" s="64" t="s" ph="1">
        <v>222</v>
      </c>
      <c r="AX98" s="64" t="s" ph="1">
        <v>287</v>
      </c>
    </row>
    <row r="99" spans="33:52" ph="1">
      <c r="AH99" s="64" ph="1">
        <v>8</v>
      </c>
      <c r="AI99" s="64" t="s" ph="1">
        <v>470</v>
      </c>
      <c r="AJ99" s="64" t="s" ph="1">
        <v>471</v>
      </c>
      <c r="AK99" s="64" t="s" ph="1">
        <v>367</v>
      </c>
      <c r="AM99" s="64" t="s" ph="1">
        <v>472</v>
      </c>
      <c r="AN99" s="64" t="s" ph="1">
        <v>254</v>
      </c>
      <c r="AO99" s="64" t="s" ph="1">
        <v>259</v>
      </c>
      <c r="AP99" s="64" t="s" ph="1">
        <v>473</v>
      </c>
      <c r="AQ99" s="64" t="s" ph="1">
        <v>224</v>
      </c>
      <c r="AR99" s="64" t="s" ph="1">
        <v>287</v>
      </c>
      <c r="AS99" s="64" t="s" ph="1">
        <v>474</v>
      </c>
      <c r="AT99" s="64" t="s" ph="1">
        <v>239</v>
      </c>
      <c r="AU99" s="64" t="s" ph="1">
        <v>287</v>
      </c>
      <c r="AV99" s="64" t="s" ph="1">
        <v>475</v>
      </c>
      <c r="AW99" s="64" t="s" ph="1">
        <v>224</v>
      </c>
      <c r="AX99" s="64" t="s" ph="1">
        <v>287</v>
      </c>
      <c r="AY99" s="64" t="s" ph="1">
        <v>216</v>
      </c>
      <c r="AZ99" s="64" t="s" ph="1">
        <v>476</v>
      </c>
    </row>
    <row r="100" spans="33:52" ph="1">
      <c r="AJ100" s="64" t="s" ph="1">
        <v>477</v>
      </c>
      <c r="AK100" s="64" t="s" ph="1">
        <v>222</v>
      </c>
      <c r="AM100" s="64" t="s" ph="1">
        <v>478</v>
      </c>
      <c r="AN100" s="64" t="s" ph="1">
        <v>294</v>
      </c>
      <c r="AO100" s="64" t="s" ph="1">
        <v>259</v>
      </c>
      <c r="AP100" s="64" t="s" ph="1">
        <v>479</v>
      </c>
      <c r="AQ100" s="64" t="s" ph="1">
        <v>300</v>
      </c>
      <c r="AR100" s="64" t="s" ph="1">
        <v>287</v>
      </c>
      <c r="AS100" s="64" t="s" ph="1">
        <v>480</v>
      </c>
      <c r="AT100" s="64" t="s" ph="1">
        <v>367</v>
      </c>
      <c r="AU100" s="64" t="s" ph="1">
        <v>259</v>
      </c>
      <c r="AV100" s="64" t="s" ph="1">
        <v>481</v>
      </c>
      <c r="AW100" s="64" t="s" ph="1">
        <v>367</v>
      </c>
      <c r="AX100" s="64" t="s" ph="1">
        <v>259</v>
      </c>
    </row>
    <row r="101" spans="33:52" ph="1">
      <c r="AJ101" s="64" t="s" ph="1">
        <v>482</v>
      </c>
      <c r="AK101" s="64" t="s" ph="1">
        <v>367</v>
      </c>
      <c r="AM101" s="64" t="s" ph="1">
        <v>483</v>
      </c>
      <c r="AN101" s="64" t="s" ph="1">
        <v>225</v>
      </c>
      <c r="AO101" s="64" t="s" ph="1">
        <v>259</v>
      </c>
      <c r="AP101" s="64" t="s" ph="1">
        <v>484</v>
      </c>
      <c r="AQ101" s="64" t="s" ph="1">
        <v>237</v>
      </c>
      <c r="AR101" s="64" t="s" ph="1">
        <v>287</v>
      </c>
      <c r="AS101" s="64" t="s" ph="1">
        <v>485</v>
      </c>
      <c r="AT101" s="64" t="s" ph="1">
        <v>294</v>
      </c>
      <c r="AU101" s="64" t="s" ph="1">
        <v>287</v>
      </c>
      <c r="AV101" s="64" t="s" ph="1">
        <v>486</v>
      </c>
      <c r="AW101" s="64" t="s" ph="1">
        <v>225</v>
      </c>
      <c r="AX101" s="64" t="s" ph="1">
        <v>259</v>
      </c>
    </row>
    <row r="102" spans="33:52" ph="1">
      <c r="AJ102" s="64" t="s" ph="1">
        <v>487</v>
      </c>
      <c r="AK102" s="64" t="s" ph="1">
        <v>222</v>
      </c>
      <c r="AM102" s="64" t="s" ph="1">
        <v>488</v>
      </c>
      <c r="AN102" s="64" t="s" ph="1">
        <v>231</v>
      </c>
      <c r="AO102" s="64" t="s" ph="1">
        <v>259</v>
      </c>
      <c r="AP102" s="64" t="s" ph="1">
        <v>489</v>
      </c>
      <c r="AQ102" s="64" t="s" ph="1">
        <v>237</v>
      </c>
      <c r="AR102" s="64" t="s" ph="1">
        <v>259</v>
      </c>
      <c r="AS102" s="64" t="s" ph="1">
        <v>490</v>
      </c>
      <c r="AT102" s="64" t="s" ph="1">
        <v>254</v>
      </c>
      <c r="AU102" s="64" t="s" ph="1">
        <v>259</v>
      </c>
      <c r="AV102" s="64" t="s" ph="1">
        <v>491</v>
      </c>
      <c r="AW102" s="64" t="s" ph="1">
        <v>272</v>
      </c>
      <c r="AX102" s="64" t="s" ph="1">
        <v>259</v>
      </c>
    </row>
    <row r="103" spans="33:52" ph="1">
      <c r="AH103" s="64" ph="1">
        <v>9</v>
      </c>
      <c r="AI103" s="64" t="s" ph="1">
        <v>492</v>
      </c>
      <c r="AJ103" s="64" t="s" ph="1">
        <v>493</v>
      </c>
      <c r="AK103" s="64" t="s" ph="1">
        <v>367</v>
      </c>
      <c r="AM103" s="64" t="s" ph="1">
        <v>494</v>
      </c>
      <c r="AN103" s="64" t="s" ph="1">
        <v>282</v>
      </c>
      <c r="AO103" s="64" t="s" ph="1">
        <v>259</v>
      </c>
      <c r="AP103" s="64" t="s" ph="1">
        <v>336</v>
      </c>
      <c r="AQ103" s="64" t="s" ph="1">
        <v>225</v>
      </c>
      <c r="AR103" s="64" t="s" ph="1">
        <v>259</v>
      </c>
      <c r="AS103" s="64" t="s" ph="1">
        <v>570</v>
      </c>
      <c r="AT103" s="64" t="s" ph="1">
        <v>367</v>
      </c>
      <c r="AU103" s="64" t="s" ph="1">
        <v>259</v>
      </c>
      <c r="AY103" s="64" t="s" ph="1">
        <v>216</v>
      </c>
      <c r="AZ103" s="64" t="s" ph="1">
        <v>224</v>
      </c>
    </row>
    <row r="104" spans="33:52" ph="1">
      <c r="AZ104" s="64" t="s" ph="1">
        <v>495</v>
      </c>
    </row>
    <row r="105" spans="33:52" ph="1">
      <c r="AG105" s="64" t="s" ph="1">
        <v>295</v>
      </c>
      <c r="AI105" s="64" t="s" ph="1">
        <v>209</v>
      </c>
      <c r="AJ105" s="64" t="s" ph="1">
        <v>210</v>
      </c>
      <c r="AK105" s="64" t="s" ph="1">
        <v>211</v>
      </c>
      <c r="AM105" s="64" t="s" ph="1">
        <v>210</v>
      </c>
      <c r="AN105" s="64" t="s" ph="1">
        <v>211</v>
      </c>
      <c r="AO105" s="64" t="s" ph="1">
        <v>212</v>
      </c>
      <c r="AP105" s="64" t="s" ph="1">
        <v>210</v>
      </c>
      <c r="AQ105" s="64" t="s" ph="1">
        <v>211</v>
      </c>
      <c r="AR105" s="64" t="s" ph="1">
        <v>212</v>
      </c>
      <c r="AS105" s="64" t="s" ph="1">
        <v>210</v>
      </c>
      <c r="AT105" s="64" t="s" ph="1">
        <v>211</v>
      </c>
      <c r="AU105" s="64" t="s" ph="1">
        <v>212</v>
      </c>
      <c r="AV105" s="64" t="s" ph="1">
        <v>210</v>
      </c>
      <c r="AW105" s="64" t="s" ph="1">
        <v>211</v>
      </c>
      <c r="AX105" s="64" t="s" ph="1">
        <v>212</v>
      </c>
      <c r="AZ105" s="64" t="s" ph="1">
        <v>213</v>
      </c>
    </row>
    <row r="106" spans="33:52" ph="1">
      <c r="AH106" s="64" ph="1">
        <v>1</v>
      </c>
      <c r="AI106" s="64" t="s" ph="1">
        <v>496</v>
      </c>
      <c r="AJ106" s="64" t="s" ph="1">
        <v>570</v>
      </c>
      <c r="AK106" s="64" t="s" ph="1">
        <v>231</v>
      </c>
      <c r="AZ106" s="64" t="s" ph="1">
        <v>231</v>
      </c>
    </row>
    <row r="107" spans="33:52" ph="1">
      <c r="AH107" s="64" ph="1">
        <v>2</v>
      </c>
      <c r="AI107" s="64" t="s" ph="1">
        <v>497</v>
      </c>
      <c r="AJ107" s="64" t="s" ph="1">
        <v>498</v>
      </c>
      <c r="AK107" s="64" t="s" ph="1">
        <v>228</v>
      </c>
      <c r="AM107" s="64" t="s" ph="1">
        <v>334</v>
      </c>
      <c r="AN107" s="64" t="s" ph="1">
        <v>499</v>
      </c>
      <c r="AO107" s="64" t="s" ph="1">
        <v>500</v>
      </c>
      <c r="AP107" s="64" t="s" ph="1">
        <v>336</v>
      </c>
      <c r="AQ107" s="64" t="s" ph="1">
        <v>304</v>
      </c>
      <c r="AR107" s="64" t="s" ph="1">
        <v>500</v>
      </c>
      <c r="AS107" s="64" t="s" ph="1">
        <v>570</v>
      </c>
      <c r="AT107" s="64" t="s" ph="1">
        <v>499</v>
      </c>
      <c r="AU107" s="64" t="s" ph="1">
        <v>500</v>
      </c>
      <c r="AY107" s="64" t="s" ph="1">
        <v>216</v>
      </c>
      <c r="AZ107" s="64" t="s" ph="1">
        <v>580</v>
      </c>
    </row>
    <row r="108" spans="33:52" ph="1">
      <c r="AH108" s="64" ph="1">
        <v>3</v>
      </c>
      <c r="AI108" s="64" t="s" ph="1">
        <v>501</v>
      </c>
      <c r="AY108" s="64" t="s" ph="1">
        <v>216</v>
      </c>
      <c r="AZ108" s="64" t="s" ph="1">
        <v>367</v>
      </c>
    </row>
    <row r="109" spans="33:52" ph="1">
      <c r="AH109" s="64" ph="1">
        <v>4</v>
      </c>
      <c r="AI109" s="64" t="s" ph="1">
        <v>502</v>
      </c>
      <c r="AY109" s="64" t="s" ph="1">
        <v>216</v>
      </c>
      <c r="AZ109" s="64" t="s" ph="1">
        <v>367</v>
      </c>
    </row>
    <row r="110" spans="33:52" ph="1">
      <c r="AH110" s="64" ph="1">
        <v>5</v>
      </c>
      <c r="AI110" s="64" t="s" ph="1">
        <v>503</v>
      </c>
      <c r="AY110" s="64" t="s" ph="1">
        <v>216</v>
      </c>
      <c r="AZ110" s="64" t="s" ph="1">
        <v>367</v>
      </c>
    </row>
    <row r="111" spans="33:52" ph="1">
      <c r="AH111" s="64" ph="1">
        <v>6</v>
      </c>
      <c r="AI111" s="64" t="s" ph="1">
        <v>581</v>
      </c>
      <c r="AJ111" s="64" t="s" ph="1">
        <v>486</v>
      </c>
      <c r="AK111" s="64" t="s" ph="1">
        <v>225</v>
      </c>
      <c r="AM111" s="64" t="s" ph="1">
        <v>487</v>
      </c>
      <c r="AN111" s="64" t="s" ph="1">
        <v>219</v>
      </c>
      <c r="AO111" s="64" t="s" ph="1">
        <v>500</v>
      </c>
      <c r="AP111" s="64" t="s" ph="1">
        <v>488</v>
      </c>
      <c r="AQ111" s="64" t="s" ph="1">
        <v>228</v>
      </c>
      <c r="AR111" s="64" t="s" ph="1">
        <v>500</v>
      </c>
      <c r="AS111" s="64" t="s" ph="1">
        <v>489</v>
      </c>
      <c r="AT111" s="64" t="s" ph="1">
        <v>237</v>
      </c>
      <c r="AU111" s="64" t="s" ph="1">
        <v>500</v>
      </c>
      <c r="AV111" s="64" t="s" ph="1">
        <v>490</v>
      </c>
      <c r="AW111" s="64" t="s" ph="1">
        <v>227</v>
      </c>
      <c r="AX111" s="64" t="s" ph="1">
        <v>500</v>
      </c>
      <c r="AY111" s="64" t="s" ph="1">
        <v>216</v>
      </c>
      <c r="AZ111" s="64" t="s" ph="1">
        <v>504</v>
      </c>
    </row>
    <row r="112" spans="33:52" ph="1">
      <c r="AJ112" s="64" t="s" ph="1">
        <v>491</v>
      </c>
      <c r="AK112" s="64" t="s" ph="1">
        <v>272</v>
      </c>
      <c r="AM112" s="64" t="s" ph="1">
        <v>493</v>
      </c>
      <c r="AN112" s="64" t="s" ph="1">
        <v>296</v>
      </c>
      <c r="AO112" s="64" t="s" ph="1">
        <v>500</v>
      </c>
      <c r="AP112" s="64" t="s" ph="1">
        <v>494</v>
      </c>
      <c r="AQ112" s="64" t="s" ph="1">
        <v>505</v>
      </c>
      <c r="AR112" s="64" t="s" ph="1">
        <v>500</v>
      </c>
      <c r="AS112" s="64" t="s" ph="1">
        <v>506</v>
      </c>
      <c r="AT112" s="64" t="s" ph="1">
        <v>248</v>
      </c>
      <c r="AU112" s="64" t="s" ph="1">
        <v>500</v>
      </c>
      <c r="AV112" s="64" t="s" ph="1">
        <v>507</v>
      </c>
      <c r="AW112" s="64" t="s" ph="1">
        <v>294</v>
      </c>
      <c r="AX112" s="64" t="s" ph="1">
        <v>500</v>
      </c>
    </row>
    <row r="113" spans="33:52" ph="1">
      <c r="AH113" s="64" ph="1">
        <v>7</v>
      </c>
      <c r="AI113" s="64" t="s" ph="1">
        <v>508</v>
      </c>
      <c r="AJ113" s="64" t="s" ph="1">
        <v>589</v>
      </c>
      <c r="AK113" s="64" t="s" ph="1">
        <v>594</v>
      </c>
      <c r="AY113" s="64" t="s" ph="1">
        <v>216</v>
      </c>
      <c r="AZ113" s="64" t="s" ph="1">
        <v>594</v>
      </c>
    </row>
    <row r="114" spans="33:52" ph="1">
      <c r="AH114" s="64" ph="1">
        <v>8</v>
      </c>
      <c r="AI114" s="64" t="s" ph="1">
        <v>509</v>
      </c>
      <c r="AJ114" s="64" t="s" ph="1">
        <v>589</v>
      </c>
      <c r="AK114" s="64" t="s" ph="1">
        <v>595</v>
      </c>
      <c r="AY114" s="64" t="s" ph="1">
        <v>216</v>
      </c>
      <c r="AZ114" s="64" t="s" ph="1">
        <v>595</v>
      </c>
    </row>
    <row r="115" spans="33:52" ph="1">
      <c r="AH115" s="64" ph="1">
        <v>9</v>
      </c>
      <c r="AI115" s="64" t="s" ph="1">
        <v>510</v>
      </c>
      <c r="AJ115" s="64" t="s" ph="1">
        <v>589</v>
      </c>
      <c r="AK115" s="64" t="s" ph="1">
        <v>595</v>
      </c>
      <c r="AY115" s="64" t="s" ph="1">
        <v>216</v>
      </c>
      <c r="AZ115" s="64" t="s" ph="1">
        <v>595</v>
      </c>
    </row>
    <row r="116" spans="33:52" ph="1">
      <c r="AH116" s="64" ph="1">
        <v>10</v>
      </c>
      <c r="AI116" s="64" t="s" ph="1">
        <v>511</v>
      </c>
      <c r="AJ116" s="64" t="s" ph="1">
        <v>589</v>
      </c>
      <c r="AK116" s="64" t="s" ph="1">
        <v>595</v>
      </c>
      <c r="AY116" s="64" t="s" ph="1">
        <v>216</v>
      </c>
      <c r="AZ116" s="64" t="s" ph="1">
        <v>595</v>
      </c>
    </row>
    <row r="117" spans="33:52" ph="1">
      <c r="AH117" s="64" ph="1">
        <v>11</v>
      </c>
      <c r="AI117" s="64" t="s" ph="1">
        <v>512</v>
      </c>
      <c r="AJ117" s="64" t="s" ph="1">
        <v>589</v>
      </c>
      <c r="AK117" s="64" t="s" ph="1">
        <v>595</v>
      </c>
      <c r="AY117" s="64" t="s" ph="1">
        <v>216</v>
      </c>
      <c r="AZ117" s="64" t="s" ph="1">
        <v>595</v>
      </c>
    </row>
    <row r="118" spans="33:52" ph="1">
      <c r="AZ118" s="64" t="s" ph="1">
        <v>596</v>
      </c>
    </row>
    <row r="119" spans="33:52" ph="1">
      <c r="AI119" s="64" t="s" ph="1">
        <v>209</v>
      </c>
      <c r="AJ119" s="64" t="s" ph="1">
        <v>210</v>
      </c>
      <c r="AK119" s="64" t="s" ph="1">
        <v>211</v>
      </c>
      <c r="AM119" s="64" t="s" ph="1">
        <v>210</v>
      </c>
      <c r="AN119" s="64" t="s" ph="1">
        <v>211</v>
      </c>
      <c r="AO119" s="64" t="s" ph="1">
        <v>212</v>
      </c>
      <c r="AP119" s="64" t="s" ph="1">
        <v>210</v>
      </c>
      <c r="AQ119" s="64" t="s" ph="1">
        <v>211</v>
      </c>
      <c r="AR119" s="64" t="s" ph="1">
        <v>212</v>
      </c>
      <c r="AS119" s="64" t="s" ph="1">
        <v>210</v>
      </c>
      <c r="AT119" s="64" t="s" ph="1">
        <v>211</v>
      </c>
      <c r="AU119" s="64" t="s" ph="1">
        <v>212</v>
      </c>
      <c r="AV119" s="64" t="s" ph="1">
        <v>210</v>
      </c>
      <c r="AW119" s="64" t="s" ph="1">
        <v>211</v>
      </c>
      <c r="AX119" s="64" t="s" ph="1">
        <v>212</v>
      </c>
      <c r="AY119" s="64" t="s" ph="1">
        <v>211</v>
      </c>
      <c r="AZ119" s="64" t="s" ph="1">
        <v>213</v>
      </c>
    </row>
    <row r="120" spans="33:52" ph="1">
      <c r="AG120" s="64" t="s" ph="1">
        <v>353</v>
      </c>
      <c r="AH120" s="64" ph="1">
        <v>1</v>
      </c>
      <c r="AI120" s="64" t="s" ph="1">
        <v>513</v>
      </c>
      <c r="AJ120" s="64" t="s" ph="1">
        <v>587</v>
      </c>
      <c r="AK120" s="64" t="s" ph="1">
        <v>367</v>
      </c>
      <c r="AY120" s="64" t="s" ph="1">
        <v>216</v>
      </c>
      <c r="AZ120" s="64" t="s" ph="1">
        <v>367</v>
      </c>
    </row>
    <row r="121" spans="33:52" ph="1">
      <c r="AH121" s="64" ph="1">
        <v>2</v>
      </c>
      <c r="AI121" s="64" t="s" ph="1">
        <v>514</v>
      </c>
      <c r="AY121" s="64" t="s" ph="1">
        <v>216</v>
      </c>
      <c r="AZ121" s="64" t="s" ph="1">
        <v>367</v>
      </c>
    </row>
    <row r="122" spans="33:52" ph="1">
      <c r="AH122" s="64" ph="1">
        <v>3</v>
      </c>
      <c r="AI122" s="64" t="s" ph="1">
        <v>515</v>
      </c>
      <c r="AJ122" s="64" t="s" ph="1">
        <v>570</v>
      </c>
      <c r="AK122" s="64" t="s" ph="1">
        <v>582</v>
      </c>
      <c r="AM122" s="64" t="s" ph="1">
        <v>597</v>
      </c>
      <c r="AN122" s="64" t="s" ph="1">
        <v>590</v>
      </c>
      <c r="AO122" s="64" t="s" ph="1">
        <v>91</v>
      </c>
      <c r="AY122" s="64" t="s" ph="1">
        <v>216</v>
      </c>
      <c r="AZ122" s="64" t="s" ph="1">
        <v>579</v>
      </c>
    </row>
    <row r="123" spans="33:52" ph="1">
      <c r="AY123" s="64" t="s" ph="1">
        <v>216</v>
      </c>
      <c r="AZ123" s="64" t="s" ph="1">
        <v>579</v>
      </c>
    </row>
    <row r="124" spans="33:52" ph="1">
      <c r="AG124" s="64" t="s" ph="1">
        <v>356</v>
      </c>
      <c r="AH124" s="64" ph="1">
        <v>4</v>
      </c>
      <c r="AI124" s="64" t="s" ph="1">
        <v>516</v>
      </c>
      <c r="AJ124" s="64" t="s" ph="1">
        <v>517</v>
      </c>
      <c r="AK124" s="64" t="s" ph="1">
        <v>518</v>
      </c>
      <c r="AY124" s="64" t="s" ph="1">
        <v>216</v>
      </c>
      <c r="AZ124" s="64" t="s" ph="1">
        <v>518</v>
      </c>
    </row>
    <row r="125" spans="33:52" ph="1">
      <c r="AH125" s="64" ph="1">
        <v>5</v>
      </c>
      <c r="AI125" s="64" t="s" ph="1">
        <v>519</v>
      </c>
      <c r="AJ125" s="64" t="s" ph="1">
        <v>517</v>
      </c>
      <c r="AK125" s="64" t="s" ph="1">
        <v>518</v>
      </c>
      <c r="AY125" s="64" t="s" ph="1">
        <v>216</v>
      </c>
      <c r="AZ125" s="64" t="s" ph="1">
        <v>518</v>
      </c>
    </row>
    <row r="126" spans="33:52" ph="1">
      <c r="AH126" s="64" ph="1">
        <v>6</v>
      </c>
      <c r="AI126" s="64" t="s" ph="1">
        <v>520</v>
      </c>
      <c r="AJ126" s="64" t="s" ph="1">
        <v>589</v>
      </c>
      <c r="AK126" s="64" t="s" ph="1">
        <v>598</v>
      </c>
      <c r="AY126" s="64" t="s" ph="1">
        <v>216</v>
      </c>
      <c r="AZ126" s="64" t="s" ph="1">
        <v>598</v>
      </c>
    </row>
    <row r="127" spans="33:52" ph="1">
      <c r="AH127" s="64" ph="1">
        <v>7</v>
      </c>
      <c r="AI127" s="64" t="s" ph="1">
        <v>521</v>
      </c>
      <c r="AJ127" s="64" t="s" ph="1">
        <v>589</v>
      </c>
      <c r="AK127" s="64" t="s" ph="1">
        <v>599</v>
      </c>
      <c r="AY127" s="64" t="s" ph="1">
        <v>216</v>
      </c>
      <c r="AZ127" s="64" t="s" ph="1">
        <v>599</v>
      </c>
    </row>
    <row r="128" spans="33:52" ph="1">
      <c r="AH128" s="64" ph="1">
        <v>8</v>
      </c>
      <c r="AI128" s="64" t="s" ph="1">
        <v>522</v>
      </c>
      <c r="AY128" s="64" t="s" ph="1">
        <v>216</v>
      </c>
      <c r="AZ128" s="64" t="s" ph="1">
        <v>367</v>
      </c>
    </row>
    <row r="129" spans="33:52" ph="1">
      <c r="AH129" s="64" ph="1">
        <v>9</v>
      </c>
      <c r="AI129" s="64" t="s" ph="1">
        <v>523</v>
      </c>
      <c r="AY129" s="64" t="s" ph="1">
        <v>216</v>
      </c>
      <c r="AZ129" s="64" t="s" ph="1">
        <v>367</v>
      </c>
    </row>
    <row r="130" spans="33:52" ph="1">
      <c r="AH130" s="64" ph="1">
        <v>10</v>
      </c>
      <c r="AI130" s="64" t="s" ph="1">
        <v>524</v>
      </c>
      <c r="AY130" s="64" t="s" ph="1">
        <v>216</v>
      </c>
      <c r="AZ130" s="64" t="s" ph="1">
        <v>367</v>
      </c>
    </row>
    <row r="131" spans="33:52" ph="1">
      <c r="AH131" s="64" ph="1">
        <v>11</v>
      </c>
      <c r="AI131" s="64" t="s" ph="1">
        <v>525</v>
      </c>
      <c r="AJ131" s="64" t="s" ph="1">
        <v>583</v>
      </c>
      <c r="AK131" s="64" t="s" ph="1">
        <v>579</v>
      </c>
      <c r="AY131" s="64" t="s" ph="1">
        <v>216</v>
      </c>
      <c r="AZ131" s="64" t="s" ph="1">
        <v>579</v>
      </c>
    </row>
    <row r="132" spans="33:52" ph="1">
      <c r="AH132" s="64" ph="1">
        <v>12</v>
      </c>
      <c r="AI132" s="64" t="s" ph="1">
        <v>526</v>
      </c>
      <c r="AJ132" s="64" t="s" ph="1">
        <v>583</v>
      </c>
      <c r="AK132" s="64" t="s" ph="1">
        <v>518</v>
      </c>
      <c r="AY132" s="64" t="s" ph="1">
        <v>216</v>
      </c>
      <c r="AZ132" s="64" t="s" ph="1">
        <v>518</v>
      </c>
    </row>
    <row r="133" spans="33:52" ph="1">
      <c r="AH133" s="64" ph="1">
        <v>13</v>
      </c>
      <c r="AI133" s="64" t="s" ph="1">
        <v>527</v>
      </c>
      <c r="AJ133" s="64" t="s" ph="1">
        <v>583</v>
      </c>
      <c r="AK133" s="64" t="s" ph="1">
        <v>584</v>
      </c>
      <c r="AY133" s="64" t="s" ph="1">
        <v>216</v>
      </c>
      <c r="AZ133" s="64" t="s" ph="1">
        <v>584</v>
      </c>
    </row>
    <row r="134" spans="33:52" ph="1">
      <c r="AH134" s="64" ph="1">
        <v>14</v>
      </c>
      <c r="AI134" s="64" t="s" ph="1">
        <v>528</v>
      </c>
      <c r="AJ134" s="64" t="s" ph="1">
        <v>583</v>
      </c>
      <c r="AK134" s="64" t="s" ph="1">
        <v>585</v>
      </c>
      <c r="AY134" s="64" t="s" ph="1">
        <v>216</v>
      </c>
      <c r="AZ134" s="64" t="s" ph="1">
        <v>585</v>
      </c>
    </row>
    <row r="135" spans="33:52" ph="1">
      <c r="AH135" s="64" ph="1">
        <v>15</v>
      </c>
      <c r="AI135" s="64" t="s" ph="1">
        <v>529</v>
      </c>
      <c r="AJ135" s="64" t="s" ph="1">
        <v>583</v>
      </c>
      <c r="AK135" s="64" t="s" ph="1">
        <v>586</v>
      </c>
      <c r="AY135" s="64" t="s" ph="1">
        <v>216</v>
      </c>
      <c r="AZ135" s="64" t="s" ph="1">
        <v>586</v>
      </c>
    </row>
    <row r="136" spans="33:52" ph="1">
      <c r="AZ136" s="64" t="s" ph="1">
        <v>600</v>
      </c>
    </row>
    <row r="137" spans="33:52" ph="1">
      <c r="AG137" s="64" t="s" ph="1">
        <v>290</v>
      </c>
      <c r="AI137" s="64" t="s" ph="1">
        <v>209</v>
      </c>
      <c r="AJ137" s="64" t="s" ph="1">
        <v>210</v>
      </c>
      <c r="AK137" s="64" t="s" ph="1">
        <v>211</v>
      </c>
      <c r="AM137" s="64" t="s" ph="1">
        <v>210</v>
      </c>
      <c r="AN137" s="64" t="s" ph="1">
        <v>211</v>
      </c>
      <c r="AO137" s="64" t="s" ph="1">
        <v>212</v>
      </c>
      <c r="AP137" s="64" t="s" ph="1">
        <v>210</v>
      </c>
      <c r="AQ137" s="64" t="s" ph="1">
        <v>211</v>
      </c>
      <c r="AR137" s="64" t="s" ph="1">
        <v>212</v>
      </c>
      <c r="AS137" s="64" t="s" ph="1">
        <v>210</v>
      </c>
      <c r="AT137" s="64" t="s" ph="1">
        <v>211</v>
      </c>
      <c r="AU137" s="64" t="s" ph="1">
        <v>212</v>
      </c>
      <c r="AV137" s="64" t="s" ph="1">
        <v>210</v>
      </c>
      <c r="AW137" s="64" t="s" ph="1">
        <v>211</v>
      </c>
      <c r="AX137" s="64" t="s" ph="1">
        <v>212</v>
      </c>
      <c r="AY137" s="64" t="s" ph="1">
        <v>211</v>
      </c>
      <c r="AZ137" s="64" t="s" ph="1">
        <v>213</v>
      </c>
    </row>
    <row r="138" spans="33:52" ph="1">
      <c r="AH138" s="64" ph="1">
        <v>1</v>
      </c>
      <c r="AI138" s="64" t="s" ph="1">
        <v>530</v>
      </c>
      <c r="AJ138" s="64" t="s" ph="1">
        <v>531</v>
      </c>
      <c r="AK138" s="64" t="s" ph="1">
        <v>532</v>
      </c>
      <c r="AY138" s="64" t="s" ph="1">
        <v>216</v>
      </c>
      <c r="AZ138" s="64" t="s" ph="1">
        <v>532</v>
      </c>
    </row>
    <row r="139" spans="33:52" ph="1">
      <c r="AH139" s="64" ph="1">
        <v>2</v>
      </c>
      <c r="AI139" s="64" t="s" ph="1">
        <v>533</v>
      </c>
      <c r="AJ139" s="64" t="s" ph="1">
        <v>589</v>
      </c>
      <c r="AK139" s="64" t="s" ph="1">
        <v>601</v>
      </c>
      <c r="AY139" s="64" t="s" ph="1">
        <v>216</v>
      </c>
      <c r="AZ139" s="64" t="s" ph="1">
        <v>601</v>
      </c>
    </row>
    <row r="140" spans="33:52" ph="1">
      <c r="AH140" s="64" ph="1">
        <v>3</v>
      </c>
      <c r="AI140" s="64" t="s" ph="1">
        <v>534</v>
      </c>
      <c r="AJ140" s="64" t="s" ph="1">
        <v>487</v>
      </c>
      <c r="AK140" s="64" t="s" ph="1">
        <v>299</v>
      </c>
      <c r="AM140" s="64" t="s" ph="1">
        <v>488</v>
      </c>
      <c r="AN140" s="64" t="s" ph="1">
        <v>219</v>
      </c>
      <c r="AO140" s="64" t="s" ph="1">
        <v>535</v>
      </c>
      <c r="AP140" s="64" t="s" ph="1">
        <v>489</v>
      </c>
      <c r="AQ140" s="64" t="s" ph="1">
        <v>236</v>
      </c>
      <c r="AR140" s="64" t="s" ph="1">
        <v>535</v>
      </c>
      <c r="AS140" s="64" t="s" ph="1">
        <v>490</v>
      </c>
      <c r="AT140" s="64" t="s" ph="1">
        <v>229</v>
      </c>
      <c r="AU140" s="64" t="s" ph="1">
        <v>535</v>
      </c>
      <c r="AV140" s="64" t="s" ph="1">
        <v>491</v>
      </c>
      <c r="AW140" s="64" t="s" ph="1">
        <v>222</v>
      </c>
      <c r="AX140" s="64" t="s" ph="1">
        <v>535</v>
      </c>
      <c r="AY140" s="64" t="s" ph="1">
        <v>216</v>
      </c>
      <c r="AZ140" s="64" t="s" ph="1">
        <v>291</v>
      </c>
    </row>
    <row r="141" spans="33:52" ph="1">
      <c r="AJ141" s="64" t="s" ph="1">
        <v>493</v>
      </c>
      <c r="AK141" s="64" t="s" ph="1">
        <v>222</v>
      </c>
      <c r="AM141" s="64" t="s" ph="1">
        <v>494</v>
      </c>
      <c r="AN141" s="64" t="s" ph="1">
        <v>225</v>
      </c>
      <c r="AO141" s="64" t="s" ph="1">
        <v>535</v>
      </c>
      <c r="AP141" s="64" t="s" ph="1">
        <v>506</v>
      </c>
      <c r="AQ141" s="64" t="s" ph="1">
        <v>294</v>
      </c>
      <c r="AR141" s="64" t="s" ph="1">
        <v>535</v>
      </c>
      <c r="AS141" s="64" t="s" ph="1">
        <v>498</v>
      </c>
      <c r="AT141" s="64" t="s" ph="1">
        <v>222</v>
      </c>
      <c r="AU141" s="64" t="s" ph="1">
        <v>535</v>
      </c>
      <c r="AV141" s="64" t="s" ph="1">
        <v>334</v>
      </c>
      <c r="AW141" s="64" t="s" ph="1">
        <v>228</v>
      </c>
      <c r="AX141" s="64" t="s" ph="1">
        <v>535</v>
      </c>
    </row>
    <row r="142" spans="33:52" ph="1">
      <c r="AJ142" s="64" t="s" ph="1">
        <v>536</v>
      </c>
      <c r="AK142" s="64" t="s" ph="1">
        <v>239</v>
      </c>
    </row>
    <row r="143" spans="33:52" ph="1">
      <c r="AH143" s="64" ph="1">
        <v>4</v>
      </c>
      <c r="AI143" s="64" t="s" ph="1">
        <v>537</v>
      </c>
      <c r="AJ143" s="64" t="s" ph="1">
        <v>517</v>
      </c>
      <c r="AK143" s="64" t="s" ph="1">
        <v>538</v>
      </c>
      <c r="AY143" s="64" t="s" ph="1">
        <v>216</v>
      </c>
      <c r="AZ143" s="64" t="s" ph="1">
        <v>538</v>
      </c>
    </row>
    <row r="144" spans="33:52" ph="1">
      <c r="AH144" s="64" ph="1">
        <v>5</v>
      </c>
      <c r="AI144" s="64" t="s" ph="1">
        <v>539</v>
      </c>
      <c r="AY144" s="64" t="s" ph="1">
        <v>216</v>
      </c>
      <c r="AZ144" s="64" t="s" ph="1">
        <v>367</v>
      </c>
    </row>
    <row r="145" spans="33:52" ph="1">
      <c r="AH145" s="64" ph="1">
        <v>6</v>
      </c>
      <c r="AI145" s="64" t="s" ph="1">
        <v>540</v>
      </c>
      <c r="AY145" s="64" t="s" ph="1">
        <v>216</v>
      </c>
      <c r="AZ145" s="64" t="s" ph="1">
        <v>367</v>
      </c>
    </row>
    <row r="146" spans="33:52" ph="1">
      <c r="AH146" s="64" ph="1">
        <v>7</v>
      </c>
      <c r="AI146" s="64" t="s" ph="1">
        <v>541</v>
      </c>
      <c r="AY146" s="64" t="s" ph="1">
        <v>216</v>
      </c>
      <c r="AZ146" s="64" t="s" ph="1">
        <v>367</v>
      </c>
    </row>
    <row r="147" spans="33:52" ph="1">
      <c r="AH147" s="64" ph="1">
        <v>8</v>
      </c>
      <c r="AI147" s="64" t="s" ph="1">
        <v>542</v>
      </c>
      <c r="AY147" s="64" t="s" ph="1">
        <v>216</v>
      </c>
      <c r="AZ147" s="64" t="s" ph="1">
        <v>367</v>
      </c>
    </row>
    <row r="148" spans="33:52" ph="1">
      <c r="AH148" s="64" ph="1">
        <v>9</v>
      </c>
      <c r="AI148" s="64" t="s" ph="1">
        <v>543</v>
      </c>
      <c r="AY148" s="64" t="s" ph="1">
        <v>216</v>
      </c>
      <c r="AZ148" s="64" t="s" ph="1">
        <v>367</v>
      </c>
    </row>
    <row r="149" spans="33:52" ph="1">
      <c r="AH149" s="64" ph="1">
        <v>10</v>
      </c>
      <c r="AI149" s="64" t="s" ph="1">
        <v>544</v>
      </c>
      <c r="AY149" s="64" t="s" ph="1">
        <v>216</v>
      </c>
      <c r="AZ149" s="64" t="s" ph="1">
        <v>367</v>
      </c>
    </row>
    <row r="150" spans="33:52" ph="1">
      <c r="AH150" s="64" ph="1">
        <v>11</v>
      </c>
      <c r="AI150" s="64" t="s" ph="1">
        <v>545</v>
      </c>
      <c r="AY150" s="64" t="s" ph="1">
        <v>216</v>
      </c>
      <c r="AZ150" s="64" t="s" ph="1">
        <v>367</v>
      </c>
    </row>
    <row r="151" spans="33:52" ph="1">
      <c r="AH151" s="64" ph="1">
        <v>12</v>
      </c>
      <c r="AI151" s="64" t="s" ph="1">
        <v>546</v>
      </c>
      <c r="AY151" s="64" t="s" ph="1">
        <v>216</v>
      </c>
      <c r="AZ151" s="64" t="s" ph="1">
        <v>367</v>
      </c>
    </row>
    <row r="152" spans="33:52" ph="1">
      <c r="AH152" s="64" ph="1">
        <v>13</v>
      </c>
      <c r="AI152" s="64" t="s" ph="1">
        <v>547</v>
      </c>
      <c r="AY152" s="64" t="s" ph="1">
        <v>216</v>
      </c>
      <c r="AZ152" s="64" t="s" ph="1">
        <v>367</v>
      </c>
    </row>
    <row r="153" spans="33:52" ph="1">
      <c r="AH153" s="64" ph="1">
        <v>14</v>
      </c>
      <c r="AI153" s="64" t="s" ph="1">
        <v>548</v>
      </c>
      <c r="AY153" s="64" t="s" ph="1">
        <v>216</v>
      </c>
      <c r="AZ153" s="64" t="s" ph="1">
        <v>367</v>
      </c>
    </row>
    <row r="154" spans="33:52" ph="1">
      <c r="AH154" s="64" ph="1">
        <v>15</v>
      </c>
      <c r="AI154" s="64" t="s" ph="1">
        <v>549</v>
      </c>
      <c r="AY154" s="64" t="s" ph="1">
        <v>216</v>
      </c>
      <c r="AZ154" s="64" t="s" ph="1">
        <v>367</v>
      </c>
    </row>
    <row r="155" spans="33:52" ph="1">
      <c r="AH155" s="64" ph="1">
        <v>16</v>
      </c>
      <c r="AI155" s="64" t="s" ph="1">
        <v>550</v>
      </c>
      <c r="AJ155" s="64" t="s" ph="1">
        <v>336</v>
      </c>
      <c r="AK155" s="64" t="s" ph="1">
        <v>231</v>
      </c>
      <c r="AM155" s="64" t="s" ph="1">
        <v>570</v>
      </c>
      <c r="AN155" s="64" t="s" ph="1">
        <v>282</v>
      </c>
      <c r="AO155" s="64" t="s" ph="1">
        <v>535</v>
      </c>
      <c r="AY155" s="64" t="s" ph="1">
        <v>216</v>
      </c>
      <c r="AZ155" s="64" t="s" ph="1">
        <v>223</v>
      </c>
    </row>
    <row r="156" spans="33:52" ph="1">
      <c r="AZ156" s="64" t="s" ph="1">
        <v>602</v>
      </c>
    </row>
    <row r="157" spans="33:52" ph="1">
      <c r="AG157" s="64" t="s" ph="1">
        <v>551</v>
      </c>
      <c r="AI157" s="64" t="s" ph="1">
        <v>209</v>
      </c>
      <c r="AJ157" s="64" t="s" ph="1">
        <v>210</v>
      </c>
      <c r="AK157" s="64" t="s" ph="1">
        <v>211</v>
      </c>
      <c r="AM157" s="64" t="s" ph="1">
        <v>210</v>
      </c>
      <c r="AN157" s="64" t="s" ph="1">
        <v>211</v>
      </c>
      <c r="AO157" s="64" t="s" ph="1">
        <v>212</v>
      </c>
      <c r="AP157" s="64" t="s" ph="1">
        <v>210</v>
      </c>
      <c r="AQ157" s="64" t="s" ph="1">
        <v>211</v>
      </c>
      <c r="AR157" s="64" t="s" ph="1">
        <v>212</v>
      </c>
      <c r="AS157" s="64" t="s" ph="1">
        <v>210</v>
      </c>
      <c r="AT157" s="64" t="s" ph="1">
        <v>211</v>
      </c>
      <c r="AU157" s="64" t="s" ph="1">
        <v>212</v>
      </c>
      <c r="AV157" s="64" t="s" ph="1">
        <v>210</v>
      </c>
      <c r="AW157" s="64" t="s" ph="1">
        <v>211</v>
      </c>
      <c r="AX157" s="64" t="s" ph="1">
        <v>212</v>
      </c>
      <c r="AY157" s="64" t="s" ph="1">
        <v>211</v>
      </c>
      <c r="AZ157" s="64" t="s" ph="1">
        <v>213</v>
      </c>
    </row>
    <row r="158" spans="33:52" ph="1">
      <c r="AH158" s="64" ph="1">
        <v>1</v>
      </c>
      <c r="AI158" s="64" t="s" ph="1">
        <v>552</v>
      </c>
      <c r="AY158" s="64" t="s" ph="1">
        <v>216</v>
      </c>
      <c r="AZ158" s="64" t="s" ph="1">
        <v>367</v>
      </c>
    </row>
    <row r="159" spans="33:52" ph="1">
      <c r="AH159" s="64" ph="1">
        <v>2</v>
      </c>
      <c r="AI159" s="64" t="s" ph="1">
        <v>553</v>
      </c>
      <c r="AY159" s="64" t="s" ph="1">
        <v>216</v>
      </c>
      <c r="AZ159" s="64" t="s" ph="1">
        <v>367</v>
      </c>
    </row>
    <row r="160" spans="33:52" ph="1">
      <c r="AZ160" s="64" t="s" ph="1">
        <v>385</v>
      </c>
    </row>
    <row r="161" spans="33:52" ph="1">
      <c r="AG161" s="64" t="s" ph="1">
        <v>361</v>
      </c>
      <c r="AI161" s="64" t="s" ph="1">
        <v>209</v>
      </c>
      <c r="AJ161" s="64" t="s" ph="1">
        <v>210</v>
      </c>
      <c r="AK161" s="64" t="s" ph="1">
        <v>211</v>
      </c>
      <c r="AM161" s="64" t="s" ph="1">
        <v>210</v>
      </c>
      <c r="AN161" s="64" t="s" ph="1">
        <v>211</v>
      </c>
      <c r="AO161" s="64" t="s" ph="1">
        <v>212</v>
      </c>
      <c r="AP161" s="64" t="s" ph="1">
        <v>210</v>
      </c>
      <c r="AQ161" s="64" t="s" ph="1">
        <v>211</v>
      </c>
      <c r="AR161" s="64" t="s" ph="1">
        <v>212</v>
      </c>
      <c r="AS161" s="64" t="s" ph="1">
        <v>210</v>
      </c>
      <c r="AT161" s="64" t="s" ph="1">
        <v>211</v>
      </c>
      <c r="AU161" s="64" t="s" ph="1">
        <v>212</v>
      </c>
      <c r="AV161" s="64" t="s" ph="1">
        <v>210</v>
      </c>
      <c r="AW161" s="64" t="s" ph="1">
        <v>211</v>
      </c>
      <c r="AX161" s="64" t="s" ph="1">
        <v>212</v>
      </c>
      <c r="AY161" s="64" t="s" ph="1">
        <v>211</v>
      </c>
      <c r="AZ161" s="64" t="s" ph="1">
        <v>213</v>
      </c>
    </row>
    <row r="162" spans="33:52" ph="1">
      <c r="AH162" s="64" ph="1">
        <v>1</v>
      </c>
      <c r="AI162" s="64" t="s" ph="1">
        <v>554</v>
      </c>
      <c r="AJ162" s="64" t="s" ph="1">
        <v>555</v>
      </c>
      <c r="AK162" s="64" t="s" ph="1">
        <v>499</v>
      </c>
      <c r="AM162" s="64" t="s" ph="1">
        <v>556</v>
      </c>
      <c r="AN162" s="64" t="s" ph="1">
        <v>220</v>
      </c>
      <c r="AO162" s="64" t="s" ph="1">
        <v>557</v>
      </c>
      <c r="AY162" s="64" t="s" ph="1">
        <v>216</v>
      </c>
      <c r="AZ162" s="64" t="s" ph="1">
        <v>292</v>
      </c>
    </row>
    <row r="163" spans="33:52" ph="1">
      <c r="AH163" s="64" ph="1">
        <v>2</v>
      </c>
      <c r="AI163" s="64" t="s" ph="1">
        <v>558</v>
      </c>
      <c r="AJ163" s="64" t="s" ph="1">
        <v>555</v>
      </c>
      <c r="AK163" s="64" t="s" ph="1">
        <v>388</v>
      </c>
      <c r="AY163" s="64" t="s" ph="1">
        <v>216</v>
      </c>
      <c r="AZ163" s="64" t="s" ph="1">
        <v>388</v>
      </c>
    </row>
    <row r="164" spans="33:52" ph="1">
      <c r="AH164" s="64" ph="1">
        <v>3</v>
      </c>
      <c r="AI164" s="64" t="s" ph="1">
        <v>559</v>
      </c>
      <c r="AJ164" s="64" t="s" ph="1">
        <v>555</v>
      </c>
      <c r="AK164" s="64" t="s" ph="1">
        <v>292</v>
      </c>
      <c r="AY164" s="64" t="s" ph="1">
        <v>216</v>
      </c>
      <c r="AZ164" s="64" t="s" ph="1">
        <v>292</v>
      </c>
    </row>
    <row r="165" spans="33:52" ph="1">
      <c r="AH165" s="64" ph="1">
        <v>4</v>
      </c>
      <c r="AI165" s="64" t="s" ph="1">
        <v>560</v>
      </c>
      <c r="AY165" s="64" t="s" ph="1">
        <v>216</v>
      </c>
      <c r="AZ165" s="64" t="s" ph="1">
        <v>367</v>
      </c>
    </row>
    <row r="166" spans="33:52" ph="1">
      <c r="AH166" s="64" ph="1">
        <v>5</v>
      </c>
      <c r="AI166" s="64" t="s" ph="1">
        <v>561</v>
      </c>
      <c r="AY166" s="64" t="s" ph="1">
        <v>216</v>
      </c>
      <c r="AZ166" s="64" t="s" ph="1">
        <v>367</v>
      </c>
    </row>
    <row r="167" spans="33:52" ph="1">
      <c r="AZ167" s="64" t="s" ph="1">
        <v>562</v>
      </c>
    </row>
    <row r="168" spans="33:52" ph="1">
      <c r="AG168" s="64" t="s" ph="1">
        <v>305</v>
      </c>
      <c r="AI168" s="64" t="s" ph="1">
        <v>209</v>
      </c>
      <c r="AJ168" s="64" t="s" ph="1">
        <v>210</v>
      </c>
      <c r="AK168" s="64" t="s" ph="1">
        <v>211</v>
      </c>
      <c r="AM168" s="64" t="s" ph="1">
        <v>210</v>
      </c>
      <c r="AN168" s="64" t="s" ph="1">
        <v>211</v>
      </c>
      <c r="AO168" s="64" t="s" ph="1">
        <v>212</v>
      </c>
      <c r="AP168" s="64" t="s" ph="1">
        <v>210</v>
      </c>
      <c r="AQ168" s="64" t="s" ph="1">
        <v>211</v>
      </c>
      <c r="AR168" s="64" t="s" ph="1">
        <v>212</v>
      </c>
      <c r="AS168" s="64" t="s" ph="1">
        <v>210</v>
      </c>
      <c r="AT168" s="64" t="s" ph="1">
        <v>211</v>
      </c>
      <c r="AU168" s="64" t="s" ph="1">
        <v>212</v>
      </c>
      <c r="AV168" s="64" t="s" ph="1">
        <v>210</v>
      </c>
      <c r="AW168" s="64" t="s" ph="1">
        <v>211</v>
      </c>
      <c r="AX168" s="64" t="s" ph="1">
        <v>212</v>
      </c>
      <c r="AY168" s="64" t="s" ph="1">
        <v>211</v>
      </c>
      <c r="AZ168" s="64" t="s" ph="1">
        <v>213</v>
      </c>
    </row>
    <row r="169" spans="33:52" ph="1">
      <c r="AH169" s="64" ph="1">
        <v>1</v>
      </c>
      <c r="AI169" s="64" t="s" ph="1">
        <v>563</v>
      </c>
      <c r="AY169" s="64" t="s" ph="1">
        <v>216</v>
      </c>
      <c r="AZ169" s="64" t="s" ph="1">
        <v>367</v>
      </c>
    </row>
    <row r="170" spans="33:52" ph="1">
      <c r="AH170" s="64" ph="1">
        <v>2</v>
      </c>
      <c r="AI170" s="64" t="s" ph="1">
        <v>564</v>
      </c>
      <c r="AY170" s="64" t="s" ph="1">
        <v>216</v>
      </c>
      <c r="AZ170" s="64" t="s" ph="1">
        <v>367</v>
      </c>
    </row>
    <row r="171" spans="33:52" ph="1">
      <c r="AH171" s="64" ph="1">
        <v>3</v>
      </c>
      <c r="AI171" s="64" t="s" ph="1">
        <v>565</v>
      </c>
      <c r="AY171" s="64" t="s" ph="1">
        <v>216</v>
      </c>
      <c r="AZ171" s="64" t="s" ph="1">
        <v>367</v>
      </c>
    </row>
    <row r="172" spans="33:52" ph="1">
      <c r="AH172" s="64" ph="1">
        <v>4</v>
      </c>
      <c r="AI172" s="64" t="s" ph="1">
        <v>566</v>
      </c>
      <c r="AY172" s="64" t="s" ph="1">
        <v>216</v>
      </c>
      <c r="AZ172" s="64" t="s" ph="1">
        <v>367</v>
      </c>
    </row>
    <row r="173" spans="33:52" ph="1">
      <c r="AH173" s="64" ph="1">
        <v>5</v>
      </c>
      <c r="AI173" s="64" t="s" ph="1">
        <v>567</v>
      </c>
      <c r="AY173" s="64" t="s" ph="1">
        <v>216</v>
      </c>
      <c r="AZ173" s="64" t="s" ph="1">
        <v>367</v>
      </c>
    </row>
    <row r="174" spans="33:52" ph="1">
      <c r="AZ174" s="64" t="s" ph="1">
        <v>385</v>
      </c>
    </row>
    <row r="175" spans="33:52" ph="1">
      <c r="AJ175" s="64" t="s" ph="1">
        <v>306</v>
      </c>
    </row>
    <row r="176" spans="33:52" ph="1">
      <c r="AJ176" s="64" t="s" ph="1">
        <v>307</v>
      </c>
      <c r="AK176" s="64" t="s" ph="1">
        <v>308</v>
      </c>
      <c r="AM176" s="64" t="s" ph="1">
        <v>309</v>
      </c>
      <c r="AO176" s="64" t="s" ph="1">
        <v>310</v>
      </c>
      <c r="AP176" s="64" t="s" ph="1">
        <v>311</v>
      </c>
      <c r="AQ176" s="64" t="s" ph="1">
        <v>301</v>
      </c>
      <c r="AR176" s="64" t="s" ph="1">
        <v>221</v>
      </c>
    </row>
    <row r="177" spans="36:56" ph="1">
      <c r="AJ177" s="64" t="s" ph="1">
        <v>603</v>
      </c>
      <c r="AK177" s="64" t="s" ph="1">
        <v>312</v>
      </c>
      <c r="AO177" s="64" t="s" ph="1">
        <v>312</v>
      </c>
      <c r="AP177" s="64" t="s" ph="1">
        <v>312</v>
      </c>
      <c r="AQ177" s="64" t="s" ph="1">
        <v>313</v>
      </c>
      <c r="AR177" s="64" t="s" ph="1">
        <v>314</v>
      </c>
    </row>
    <row r="179" spans="36:56" ph="1">
      <c r="AJ179" s="64" t="s" ph="1">
        <v>315</v>
      </c>
      <c r="AK179" s="64" t="s" ph="1">
        <v>316</v>
      </c>
      <c r="AM179" s="64" t="s" ph="1">
        <v>317</v>
      </c>
      <c r="AN179" s="64" t="s" ph="1">
        <v>293</v>
      </c>
      <c r="AO179" s="64" t="s" ph="1">
        <v>318</v>
      </c>
      <c r="AP179" s="64" t="s" ph="1">
        <v>297</v>
      </c>
      <c r="AQ179" s="64" t="s" ph="1">
        <v>319</v>
      </c>
      <c r="AR179" s="64" t="s" ph="1">
        <v>320</v>
      </c>
    </row>
    <row r="180" spans="36:56" ph="1">
      <c r="AJ180" s="64" t="s" ph="1">
        <v>312</v>
      </c>
      <c r="AK180" s="64" t="s" ph="1">
        <v>312</v>
      </c>
      <c r="AL180" s="64" ph="1">
        <v>116</v>
      </c>
      <c r="AM180" s="64" t="s" ph="1">
        <v>312</v>
      </c>
      <c r="AN180" s="64" t="s" ph="1">
        <v>321</v>
      </c>
      <c r="AO180" s="64" t="s" ph="1">
        <v>312</v>
      </c>
      <c r="AP180" s="64" t="s" ph="1">
        <v>322</v>
      </c>
      <c r="AQ180" s="64" t="s" ph="1">
        <v>323</v>
      </c>
      <c r="AR180" s="64" t="s" ph="1">
        <v>324</v>
      </c>
    </row>
    <row r="189" spans="36:56" ph="1">
      <c r="BD189" s="64" t="s" ph="1">
        <v>568</v>
      </c>
    </row>
    <row r="223" spans="18:18" ph="1">
      <c r="R223" s="135" ph="1">
        <v>45496</v>
      </c>
    </row>
  </sheetData>
  <mergeCells count="58"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B33:C34"/>
    <mergeCell ref="D33:D34"/>
    <mergeCell ref="E33:E34"/>
    <mergeCell ref="F33:F34"/>
    <mergeCell ref="G33:G34"/>
    <mergeCell ref="S31:U31"/>
    <mergeCell ref="V31:X31"/>
    <mergeCell ref="Y31:AA31"/>
    <mergeCell ref="AB31:AE31"/>
    <mergeCell ref="AD32:AE32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</mergeCells>
  <phoneticPr fontId="2" type="noConversion"/>
  <conditionalFormatting sqref="D4:D11">
    <cfRule type="expression" dxfId="2736" priority="100">
      <formula>ABS(D$7-D$10)&gt;=1000</formula>
    </cfRule>
  </conditionalFormatting>
  <conditionalFormatting sqref="E4 E6:E11">
    <cfRule type="expression" dxfId="2735" priority="99">
      <formula>ABS(E$7-E$10)&gt;=1000</formula>
    </cfRule>
  </conditionalFormatting>
  <conditionalFormatting sqref="F4:F11">
    <cfRule type="expression" dxfId="2734" priority="98">
      <formula>ABS(F$7-F$10)&gt;=1000</formula>
    </cfRule>
  </conditionalFormatting>
  <conditionalFormatting sqref="G4:G11">
    <cfRule type="expression" dxfId="2733" priority="97">
      <formula>ABS(G$7-G$10)&gt;=1000</formula>
    </cfRule>
  </conditionalFormatting>
  <conditionalFormatting sqref="H4:H11">
    <cfRule type="expression" dxfId="2732" priority="96">
      <formula>ABS(H$7-H$10)&gt;=1000</formula>
    </cfRule>
  </conditionalFormatting>
  <conditionalFormatting sqref="I4:I11">
    <cfRule type="expression" dxfId="2731" priority="95">
      <formula>ABS(I$7-I$10)&gt;=1000</formula>
    </cfRule>
  </conditionalFormatting>
  <conditionalFormatting sqref="J4:J11">
    <cfRule type="expression" dxfId="2730" priority="94">
      <formula>ABS(J$7-J$10)&gt;=1000</formula>
    </cfRule>
  </conditionalFormatting>
  <conditionalFormatting sqref="K4:K11">
    <cfRule type="expression" dxfId="2729" priority="93">
      <formula>ABS(K$7-K$10)&gt;=1000</formula>
    </cfRule>
  </conditionalFormatting>
  <conditionalFormatting sqref="L4:L11">
    <cfRule type="expression" dxfId="2728" priority="92">
      <formula>ABS(L$7-L$10)&gt;=1000</formula>
    </cfRule>
  </conditionalFormatting>
  <conditionalFormatting sqref="M4 M6:M11">
    <cfRule type="expression" dxfId="2727" priority="91">
      <formula>ABS(M$7-M$10)&gt;=1000</formula>
    </cfRule>
  </conditionalFormatting>
  <conditionalFormatting sqref="N4 N6:N11">
    <cfRule type="expression" dxfId="2726" priority="90">
      <formula>ABS(N$7-N$10)&gt;=1000</formula>
    </cfRule>
  </conditionalFormatting>
  <conditionalFormatting sqref="O4 O6:O11">
    <cfRule type="expression" dxfId="2725" priority="89">
      <formula>ABS(O$7-O$10)&gt;=1000</formula>
    </cfRule>
  </conditionalFormatting>
  <conditionalFormatting sqref="P4 P6:P11">
    <cfRule type="expression" dxfId="2724" priority="88">
      <formula>ABS(P$7-P$10)&gt;=1000</formula>
    </cfRule>
  </conditionalFormatting>
  <conditionalFormatting sqref="Q4:Q11">
    <cfRule type="expression" dxfId="2723" priority="87">
      <formula>ABS(Q$7-Q$10)&gt;=1000</formula>
    </cfRule>
  </conditionalFormatting>
  <conditionalFormatting sqref="R4:R11">
    <cfRule type="expression" dxfId="2722" priority="86">
      <formula>ABS(R$7-R$10)&gt;=1000</formula>
    </cfRule>
  </conditionalFormatting>
  <conditionalFormatting sqref="S4:S11">
    <cfRule type="expression" dxfId="2721" priority="85">
      <formula>ABS(S$7-S$10)&gt;=1000</formula>
    </cfRule>
  </conditionalFormatting>
  <conditionalFormatting sqref="T4:T9 T11">
    <cfRule type="expression" dxfId="2720" priority="84">
      <formula>ABS(T$7-T$10)&gt;=1000</formula>
    </cfRule>
  </conditionalFormatting>
  <conditionalFormatting sqref="U4:U9 U11">
    <cfRule type="expression" dxfId="2719" priority="83">
      <formula>ABS(U$7-U$10)&gt;=1000</formula>
    </cfRule>
  </conditionalFormatting>
  <conditionalFormatting sqref="V4:V9 V11">
    <cfRule type="expression" dxfId="2718" priority="82">
      <formula>ABS(V$7-V$10)&gt;=1000</formula>
    </cfRule>
  </conditionalFormatting>
  <conditionalFormatting sqref="W4:W9 W11">
    <cfRule type="expression" dxfId="2717" priority="81">
      <formula>ABS(W$7-W$10)&gt;=1000</formula>
    </cfRule>
  </conditionalFormatting>
  <conditionalFormatting sqref="X4:X9 X11">
    <cfRule type="expression" dxfId="2716" priority="80">
      <formula>ABS(X$7-X$10)&gt;=1000</formula>
    </cfRule>
  </conditionalFormatting>
  <conditionalFormatting sqref="Y4:Y9 Y11">
    <cfRule type="expression" dxfId="2715" priority="79">
      <formula>ABS(Y$7-Y$10)&gt;=1000</formula>
    </cfRule>
  </conditionalFormatting>
  <conditionalFormatting sqref="Z4:Z11">
    <cfRule type="expression" dxfId="2714" priority="78">
      <formula>ABS(Z$7-Z$10)&gt;=1000</formula>
    </cfRule>
  </conditionalFormatting>
  <conditionalFormatting sqref="AA4:AA11">
    <cfRule type="expression" dxfId="2713" priority="77">
      <formula>ABS(AA$7-AA$10)&gt;=1000</formula>
    </cfRule>
  </conditionalFormatting>
  <conditionalFormatting sqref="AB4:AB11">
    <cfRule type="expression" dxfId="2712" priority="76">
      <formula>ABS(AB$7-AB$10)&gt;=1000</formula>
    </cfRule>
  </conditionalFormatting>
  <conditionalFormatting sqref="AC4 AC6:AC11">
    <cfRule type="expression" dxfId="2711" priority="75">
      <formula>ABS(AC$7-AC$10)&gt;=1000</formula>
    </cfRule>
  </conditionalFormatting>
  <conditionalFormatting sqref="AD4 AD6:AD11">
    <cfRule type="expression" dxfId="2710" priority="74">
      <formula>ABS(AD$7-AD$10)&gt;=1000</formula>
    </cfRule>
  </conditionalFormatting>
  <conditionalFormatting sqref="AE4 AE6:AE11">
    <cfRule type="expression" dxfId="2709" priority="73">
      <formula>ABS(AE$7-AE$10)&gt;=1000</formula>
    </cfRule>
  </conditionalFormatting>
  <conditionalFormatting sqref="D13:D20">
    <cfRule type="expression" dxfId="2708" priority="72">
      <formula>ABS(D$16-D$19)&gt;=1000</formula>
    </cfRule>
  </conditionalFormatting>
  <conditionalFormatting sqref="E13:E20">
    <cfRule type="expression" dxfId="2707" priority="71">
      <formula>ABS(E$16-E$19)&gt;=1000</formula>
    </cfRule>
  </conditionalFormatting>
  <conditionalFormatting sqref="F13 F15:F20">
    <cfRule type="expression" dxfId="2706" priority="70">
      <formula>ABS(F$16-F$19)&gt;=1000</formula>
    </cfRule>
  </conditionalFormatting>
  <conditionalFormatting sqref="G13:G20">
    <cfRule type="expression" dxfId="2705" priority="69">
      <formula>ABS(G$16-G$19)&gt;=1000</formula>
    </cfRule>
  </conditionalFormatting>
  <conditionalFormatting sqref="H13 H15:H20">
    <cfRule type="expression" dxfId="2704" priority="68">
      <formula>ABS(H$16-H$19)&gt;=1000</formula>
    </cfRule>
  </conditionalFormatting>
  <conditionalFormatting sqref="I13:I20">
    <cfRule type="expression" dxfId="2703" priority="67">
      <formula>ABS(I$16-I$19)&gt;=1000</formula>
    </cfRule>
  </conditionalFormatting>
  <conditionalFormatting sqref="J13:J20">
    <cfRule type="expression" dxfId="2702" priority="66">
      <formula>ABS(J$16-J$19)&gt;=1000</formula>
    </cfRule>
  </conditionalFormatting>
  <conditionalFormatting sqref="L13:L20">
    <cfRule type="expression" dxfId="2701" priority="65">
      <formula>ABS(L$16-L$19)&gt;=1000</formula>
    </cfRule>
  </conditionalFormatting>
  <conditionalFormatting sqref="M13 M15 M17:M18 M20">
    <cfRule type="expression" dxfId="2700" priority="64">
      <formula>ABS(M$16-M$19)&gt;=1000</formula>
    </cfRule>
  </conditionalFormatting>
  <conditionalFormatting sqref="N13:N20">
    <cfRule type="expression" dxfId="2699" priority="63">
      <formula>ABS(N$16-N$19)&gt;=1000</formula>
    </cfRule>
  </conditionalFormatting>
  <conditionalFormatting sqref="O13:O20">
    <cfRule type="expression" dxfId="2698" priority="62">
      <formula>ABS(O$16-O$19)&gt;=1000</formula>
    </cfRule>
  </conditionalFormatting>
  <conditionalFormatting sqref="P13:P20">
    <cfRule type="expression" dxfId="2697" priority="61">
      <formula>ABS(P$16-P$19)&gt;=1000</formula>
    </cfRule>
  </conditionalFormatting>
  <conditionalFormatting sqref="Q13 Q15:Q20">
    <cfRule type="expression" dxfId="2696" priority="60">
      <formula>ABS(Q$16-Q$19)&gt;=1000</formula>
    </cfRule>
  </conditionalFormatting>
  <conditionalFormatting sqref="R13:R20">
    <cfRule type="expression" dxfId="2695" priority="59">
      <formula>ABS(R$16-R$19)&gt;=1000</formula>
    </cfRule>
  </conditionalFormatting>
  <conditionalFormatting sqref="S13:S20">
    <cfRule type="expression" dxfId="2694" priority="58">
      <formula>ABS(S$16-S$19)&gt;=1000</formula>
    </cfRule>
  </conditionalFormatting>
  <conditionalFormatting sqref="T13:T20">
    <cfRule type="expression" dxfId="2693" priority="57">
      <formula>ABS(T$16-T$19)&gt;=1000</formula>
    </cfRule>
  </conditionalFormatting>
  <conditionalFormatting sqref="U13:U20">
    <cfRule type="expression" dxfId="2692" priority="56">
      <formula>ABS(U$16-U$19)&gt;=1000</formula>
    </cfRule>
  </conditionalFormatting>
  <conditionalFormatting sqref="V13:V20">
    <cfRule type="expression" dxfId="2691" priority="55">
      <formula>ABS(V$16-V$19)&gt;=1000</formula>
    </cfRule>
  </conditionalFormatting>
  <conditionalFormatting sqref="W13 W20 W15:W18">
    <cfRule type="expression" dxfId="2690" priority="54">
      <formula>ABS(W$16-W$19)&gt;=1000</formula>
    </cfRule>
  </conditionalFormatting>
  <conditionalFormatting sqref="X13 X15:X20 Y19">
    <cfRule type="expression" dxfId="2689" priority="53">
      <formula>ABS(X$16-X$19)&gt;=1000</formula>
    </cfRule>
  </conditionalFormatting>
  <conditionalFormatting sqref="Y13 Y15:Y18 Y20">
    <cfRule type="expression" dxfId="2688" priority="52">
      <formula>ABS(Y$16-Y$19)&gt;=1000</formula>
    </cfRule>
  </conditionalFormatting>
  <conditionalFormatting sqref="Z13:Z20">
    <cfRule type="expression" dxfId="2687" priority="51">
      <formula>ABS(Z$16-Z$19)&gt;=1000</formula>
    </cfRule>
  </conditionalFormatting>
  <conditionalFormatting sqref="AA13:AA20">
    <cfRule type="expression" dxfId="2686" priority="50">
      <formula>ABS(AA$16-AA$19)&gt;=1000</formula>
    </cfRule>
  </conditionalFormatting>
  <conditionalFormatting sqref="AB13 AB15:AB20">
    <cfRule type="expression" dxfId="2685" priority="49">
      <formula>ABS(AB$16-AB$19)&gt;=1000</formula>
    </cfRule>
  </conditionalFormatting>
  <conditionalFormatting sqref="AC13 AC15:AC20">
    <cfRule type="expression" dxfId="2684" priority="48">
      <formula>ABS(AC$16-AC$19)&gt;=1000</formula>
    </cfRule>
  </conditionalFormatting>
  <conditionalFormatting sqref="AD13:AD20">
    <cfRule type="expression" dxfId="2683" priority="47">
      <formula>ABS(AD$16-AD$19)&gt;=1000</formula>
    </cfRule>
  </conditionalFormatting>
  <conditionalFormatting sqref="AE13:AE20">
    <cfRule type="expression" dxfId="2682" priority="46">
      <formula>ABS(AE$16-AE$19)&gt;=1000</formula>
    </cfRule>
  </conditionalFormatting>
  <conditionalFormatting sqref="D22:D29">
    <cfRule type="expression" dxfId="2681" priority="45">
      <formula>ABS(D$25-D$28)&gt;=1000</formula>
    </cfRule>
  </conditionalFormatting>
  <conditionalFormatting sqref="E22:E29">
    <cfRule type="expression" dxfId="2680" priority="44">
      <formula>ABS(E$25-E$28)&gt;=1000</formula>
    </cfRule>
  </conditionalFormatting>
  <conditionalFormatting sqref="F22:F29">
    <cfRule type="expression" dxfId="2679" priority="43">
      <formula>ABS(F$25-F$28)&gt;=1000</formula>
    </cfRule>
  </conditionalFormatting>
  <conditionalFormatting sqref="G22:G29">
    <cfRule type="expression" dxfId="2678" priority="42">
      <formula>ABS(G$25-G$28)&gt;=1000</formula>
    </cfRule>
  </conditionalFormatting>
  <conditionalFormatting sqref="H22:H29">
    <cfRule type="expression" dxfId="2677" priority="41">
      <formula>ABS(H$25-H$28)&gt;=1000</formula>
    </cfRule>
  </conditionalFormatting>
  <conditionalFormatting sqref="I22 I24:I29">
    <cfRule type="expression" dxfId="2676" priority="40">
      <formula>ABS(I$25-I$28)&gt;=1000</formula>
    </cfRule>
  </conditionalFormatting>
  <conditionalFormatting sqref="J22:J29 K22">
    <cfRule type="expression" dxfId="2675" priority="39">
      <formula>ABS(J$25-J$28)&gt;=1000</formula>
    </cfRule>
  </conditionalFormatting>
  <conditionalFormatting sqref="K23:K29 L25 L28">
    <cfRule type="expression" dxfId="2674" priority="38">
      <formula>ABS(K$25-K$28)&gt;=1000</formula>
    </cfRule>
  </conditionalFormatting>
  <conditionalFormatting sqref="L22 L26:L27 L29 L24">
    <cfRule type="expression" dxfId="2673" priority="37">
      <formula>ABS(L$25-L$28)&gt;=1000</formula>
    </cfRule>
  </conditionalFormatting>
  <conditionalFormatting sqref="M22:M29">
    <cfRule type="expression" dxfId="2672" priority="36">
      <formula>ABS(M$25-M$28)&gt;=1000</formula>
    </cfRule>
  </conditionalFormatting>
  <conditionalFormatting sqref="N22:N29">
    <cfRule type="expression" dxfId="2671" priority="35">
      <formula>ABS(N$25-N$28)&gt;=1000</formula>
    </cfRule>
  </conditionalFormatting>
  <conditionalFormatting sqref="O22:O29">
    <cfRule type="expression" dxfId="2670" priority="34">
      <formula>ABS(O$25-O$28)&gt;=1000</formula>
    </cfRule>
  </conditionalFormatting>
  <conditionalFormatting sqref="P22:P29">
    <cfRule type="expression" dxfId="2669" priority="33">
      <formula>ABS(P$25-P$28)&gt;=1000</formula>
    </cfRule>
  </conditionalFormatting>
  <conditionalFormatting sqref="Q22:Q29">
    <cfRule type="expression" dxfId="2668" priority="32">
      <formula>ABS(Q$25-Q$28)&gt;=1000</formula>
    </cfRule>
  </conditionalFormatting>
  <conditionalFormatting sqref="R22:R29">
    <cfRule type="expression" dxfId="2667" priority="31">
      <formula>ABS(R$25-R$28)&gt;=1000</formula>
    </cfRule>
  </conditionalFormatting>
  <conditionalFormatting sqref="S22:S29">
    <cfRule type="expression" dxfId="2666" priority="30">
      <formula>ABS(S$25-S$28)&gt;=1000</formula>
    </cfRule>
  </conditionalFormatting>
  <conditionalFormatting sqref="T22:T29">
    <cfRule type="expression" dxfId="2665" priority="29">
      <formula>ABS(T$25-T$28)&gt;=1000</formula>
    </cfRule>
  </conditionalFormatting>
  <conditionalFormatting sqref="U22:U29">
    <cfRule type="expression" dxfId="2664" priority="28">
      <formula>ABS(U$25-U$28)&gt;=1000</formula>
    </cfRule>
  </conditionalFormatting>
  <conditionalFormatting sqref="V22:V29">
    <cfRule type="expression" dxfId="2663" priority="27">
      <formula>ABS(V$25-V$28)&gt;=1000</formula>
    </cfRule>
  </conditionalFormatting>
  <conditionalFormatting sqref="W22:W29">
    <cfRule type="expression" dxfId="2662" priority="26">
      <formula>ABS(W$25-W$28)&gt;=1000</formula>
    </cfRule>
  </conditionalFormatting>
  <conditionalFormatting sqref="X22:X29">
    <cfRule type="expression" dxfId="2661" priority="25">
      <formula>ABS(X$25-X$28)&gt;=1000</formula>
    </cfRule>
  </conditionalFormatting>
  <conditionalFormatting sqref="Y22:Y29">
    <cfRule type="expression" dxfId="2660" priority="24">
      <formula>ABS(Y$25-Y$28)&gt;=1000</formula>
    </cfRule>
  </conditionalFormatting>
  <conditionalFormatting sqref="I23">
    <cfRule type="expression" dxfId="2659" priority="23">
      <formula>ABS(I$25-I$28)&gt;=1000</formula>
    </cfRule>
  </conditionalFormatting>
  <conditionalFormatting sqref="Q14">
    <cfRule type="expression" dxfId="2658" priority="22">
      <formula>ABS(Q$16-Q$19)&gt;=1000</formula>
    </cfRule>
  </conditionalFormatting>
  <conditionalFormatting sqref="W14">
    <cfRule type="expression" dxfId="2657" priority="21">
      <formula>ABS(W$16-W$19)&gt;=1000</formula>
    </cfRule>
  </conditionalFormatting>
  <conditionalFormatting sqref="X14">
    <cfRule type="expression" dxfId="2656" priority="20">
      <formula>ABS(X$16-X$19)&gt;=1000</formula>
    </cfRule>
  </conditionalFormatting>
  <conditionalFormatting sqref="T10:Y10">
    <cfRule type="expression" dxfId="2655" priority="19">
      <formula>ABS(T$7-T$10)&gt;=1000</formula>
    </cfRule>
  </conditionalFormatting>
  <conditionalFormatting sqref="W19">
    <cfRule type="expression" dxfId="2654" priority="18">
      <formula>ABS(W$16-W$19)&gt;=1000</formula>
    </cfRule>
  </conditionalFormatting>
  <conditionalFormatting sqref="AC5">
    <cfRule type="expression" dxfId="2653" priority="17">
      <formula>ABS(AC$7-AC$10)&gt;=1000</formula>
    </cfRule>
  </conditionalFormatting>
  <conditionalFormatting sqref="M14">
    <cfRule type="expression" dxfId="2652" priority="16">
      <formula>ABS(M$16-M$19)&gt;=1000</formula>
    </cfRule>
  </conditionalFormatting>
  <conditionalFormatting sqref="M16">
    <cfRule type="expression" dxfId="2651" priority="15">
      <formula>ABS(M$16-M$19)&gt;=1000</formula>
    </cfRule>
  </conditionalFormatting>
  <conditionalFormatting sqref="M19">
    <cfRule type="expression" dxfId="2650" priority="14">
      <formula>ABS(M$16-M$19)&gt;=1000</formula>
    </cfRule>
  </conditionalFormatting>
  <conditionalFormatting sqref="K13:K20">
    <cfRule type="expression" dxfId="2649" priority="13">
      <formula>ABS(K$16-K$19)&gt;=1000</formula>
    </cfRule>
  </conditionalFormatting>
  <conditionalFormatting sqref="E5">
    <cfRule type="expression" dxfId="2648" priority="12">
      <formula>ABS(E$7-E$10)&gt;=1000</formula>
    </cfRule>
  </conditionalFormatting>
  <conditionalFormatting sqref="AB14:AC14">
    <cfRule type="expression" dxfId="2647" priority="11">
      <formula>ABS(AB$16-AB$19)&gt;=1000</formula>
    </cfRule>
  </conditionalFormatting>
  <conditionalFormatting sqref="M5">
    <cfRule type="expression" dxfId="2646" priority="10">
      <formula>ABS(M$7-M$10)&gt;=1000</formula>
    </cfRule>
  </conditionalFormatting>
  <conditionalFormatting sqref="N5">
    <cfRule type="expression" dxfId="2645" priority="9">
      <formula>ABS(N$7-N$10)&gt;=1000</formula>
    </cfRule>
  </conditionalFormatting>
  <conditionalFormatting sqref="O5">
    <cfRule type="expression" dxfId="2644" priority="8">
      <formula>ABS(O$7-O$10)&gt;=1000</formula>
    </cfRule>
  </conditionalFormatting>
  <conditionalFormatting sqref="P5">
    <cfRule type="expression" dxfId="2643" priority="7">
      <formula>ABS(P$7-P$10)&gt;=1000</formula>
    </cfRule>
  </conditionalFormatting>
  <conditionalFormatting sqref="L23">
    <cfRule type="expression" dxfId="2642" priority="6">
      <formula>ABS(L$25-L$28)&gt;=1000</formula>
    </cfRule>
  </conditionalFormatting>
  <conditionalFormatting sqref="Y14">
    <cfRule type="expression" dxfId="2641" priority="5">
      <formula>ABS(Y$16-Y$19)&gt;=1000</formula>
    </cfRule>
  </conditionalFormatting>
  <conditionalFormatting sqref="F14">
    <cfRule type="expression" dxfId="2640" priority="4">
      <formula>ABS(F$16-F$19)&gt;=1000</formula>
    </cfRule>
  </conditionalFormatting>
  <conditionalFormatting sqref="H14">
    <cfRule type="expression" dxfId="2639" priority="3">
      <formula>ABS(H$16-H$19)&gt;=1000</formula>
    </cfRule>
  </conditionalFormatting>
  <conditionalFormatting sqref="AD5">
    <cfRule type="expression" dxfId="2638" priority="2">
      <formula>ABS(AD$7-AD$10)&gt;=1000</formula>
    </cfRule>
  </conditionalFormatting>
  <conditionalFormatting sqref="AE5">
    <cfRule type="expression" dxfId="2637" priority="1">
      <formula>ABS(AE$7-AE$10)&gt;=1000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8225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901">
    <pageSetUpPr fitToPage="1"/>
  </sheetPr>
  <dimension ref="A1:CU223"/>
  <sheetViews>
    <sheetView view="pageBreakPreview" topLeftCell="A6" zoomScale="70" zoomScaleNormal="100" zoomScaleSheetLayoutView="70" workbookViewId="0">
      <selection activeCell="AB38" sqref="AB38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185" t="s" ph="1">
        <v>161</v>
      </c>
      <c r="C1" s="185" ph="1"/>
      <c r="D1" s="185" ph="1"/>
      <c r="E1" s="185" ph="1"/>
      <c r="F1" s="185" ph="1"/>
      <c r="G1" s="185" ph="1"/>
      <c r="H1" s="185" ph="1"/>
      <c r="I1" s="185" ph="1"/>
      <c r="J1" s="185" ph="1"/>
      <c r="K1" s="185" ph="1"/>
      <c r="L1" s="185" ph="1"/>
      <c r="M1" s="185" ph="1"/>
      <c r="N1" s="185" ph="1"/>
      <c r="O1" s="185" ph="1"/>
      <c r="P1" s="185" ph="1"/>
      <c r="Q1" s="185" ph="1"/>
      <c r="R1" s="185" ph="1"/>
      <c r="S1" s="185" ph="1"/>
      <c r="T1" s="185" ph="1"/>
      <c r="U1" s="185" ph="1"/>
      <c r="V1" s="185" ph="1"/>
      <c r="W1" s="185" ph="1"/>
      <c r="X1" s="185" ph="1"/>
      <c r="Y1" s="185" ph="1"/>
      <c r="Z1" s="185" ph="1"/>
      <c r="AA1" s="185" ph="1"/>
      <c r="AB1" s="185" ph="1"/>
      <c r="AC1" s="185" ph="1"/>
      <c r="AD1" s="185" ph="1"/>
      <c r="AE1" s="185" ph="1"/>
    </row>
    <row r="2" spans="1:99" s="66" customFormat="1" ht="24" customHeight="1" ph="1">
      <c r="B2" s="186" t="s" ph="1">
        <v>82</v>
      </c>
      <c r="C2" s="186" ph="1"/>
      <c r="D2" s="186" ph="1"/>
      <c r="E2" s="186" ph="1"/>
      <c r="F2" s="186" ph="1"/>
      <c r="G2" s="186" ph="1"/>
      <c r="H2" s="186" ph="1"/>
      <c r="I2" s="186" ph="1"/>
      <c r="J2" s="186" ph="1"/>
      <c r="K2" s="186" ph="1"/>
      <c r="L2" s="186" ph="1"/>
      <c r="M2" s="186" ph="1"/>
      <c r="N2" s="186" ph="1"/>
      <c r="O2" s="186" ph="1"/>
      <c r="P2" s="186" ph="1"/>
      <c r="Q2" s="186" ph="1"/>
      <c r="R2" s="186" ph="1"/>
      <c r="S2" s="186" ph="1"/>
      <c r="T2" s="186" ph="1"/>
      <c r="U2" s="186" ph="1"/>
      <c r="V2" s="186" ph="1"/>
      <c r="W2" s="186" ph="1"/>
      <c r="X2" s="186" ph="1"/>
      <c r="Y2" s="186" ph="1"/>
      <c r="Z2" s="186" ph="1"/>
      <c r="AA2" s="186" ph="1"/>
      <c r="AB2" s="186" ph="1"/>
      <c r="AC2" s="186" ph="1"/>
      <c r="AD2" s="186" ph="1"/>
      <c r="AE2" s="186" ph="1"/>
    </row>
    <row r="3" spans="1:99" ht="21" customHeight="1" ph="1">
      <c r="B3" s="187" ph="1">
        <v>46175</v>
      </c>
      <c r="C3" s="187"/>
      <c r="D3" s="187"/>
      <c r="E3" s="187"/>
      <c r="F3" s="187"/>
      <c r="G3" s="187"/>
      <c r="H3" s="187"/>
      <c r="I3" s="187"/>
      <c r="J3" s="187"/>
      <c r="K3" s="187"/>
      <c r="L3" s="187"/>
      <c r="M3" s="187"/>
      <c r="N3" s="187"/>
      <c r="O3" s="187"/>
      <c r="P3" s="187"/>
      <c r="Q3" s="187"/>
      <c r="R3" s="187"/>
      <c r="S3" s="187"/>
      <c r="T3" s="187"/>
      <c r="U3" s="187"/>
      <c r="V3" s="187"/>
      <c r="W3" s="187"/>
      <c r="X3" s="187"/>
      <c r="Y3" s="187"/>
      <c r="Z3" s="187"/>
      <c r="AA3" s="187"/>
      <c r="AB3" s="187"/>
      <c r="AC3" s="187"/>
      <c r="AD3" s="187"/>
      <c r="AE3" s="187"/>
    </row>
    <row r="4" spans="1:99" s="69" customFormat="1" ph="1">
      <c r="A4" s="65" ph="1"/>
      <c r="B4" s="188" t="s" ph="1">
        <v>37</v>
      </c>
      <c r="C4" s="67" t="s" ph="1">
        <v>176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110</v>
      </c>
      <c r="J4" s="68" t="s" ph="1">
        <v>48</v>
      </c>
      <c r="K4" s="68" t="s" ph="1">
        <v>111</v>
      </c>
      <c r="L4" s="68" t="s" ph="1">
        <v>112</v>
      </c>
      <c r="M4" s="68" t="s" ph="1">
        <v>49</v>
      </c>
      <c r="N4" s="68" t="s" ph="1">
        <v>50</v>
      </c>
      <c r="O4" s="68" t="s" ph="1">
        <v>113</v>
      </c>
      <c r="P4" s="68" t="s" ph="1">
        <v>114</v>
      </c>
      <c r="Q4" s="68" t="s" ph="1">
        <v>115</v>
      </c>
      <c r="R4" s="68" t="s" ph="1">
        <v>116</v>
      </c>
      <c r="S4" s="68" t="s" ph="1">
        <v>117</v>
      </c>
      <c r="T4" s="68" t="s" ph="1">
        <v>118</v>
      </c>
      <c r="U4" s="68" t="s" ph="1">
        <v>119</v>
      </c>
      <c r="V4" s="68" t="s" ph="1">
        <v>120</v>
      </c>
      <c r="W4" s="68" t="s" ph="1">
        <v>121</v>
      </c>
      <c r="X4" s="68" t="s" ph="1">
        <v>122</v>
      </c>
      <c r="Y4" s="68" t="s" ph="1">
        <v>123</v>
      </c>
      <c r="Z4" s="68" t="s" ph="1">
        <v>51</v>
      </c>
      <c r="AA4" s="68" t="s" ph="1">
        <v>124</v>
      </c>
      <c r="AB4" s="68" t="s" ph="1">
        <v>125</v>
      </c>
      <c r="AC4" s="68" t="s" ph="1">
        <v>126</v>
      </c>
      <c r="AD4" s="68" t="s" ph="1">
        <v>40</v>
      </c>
      <c r="AE4" s="68" t="s" ph="1">
        <v>127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188" ph="1"/>
      <c r="C5" s="67" t="s" ph="1">
        <v>36</v>
      </c>
      <c r="D5" s="70" t="s" ph="1">
        <v>160</v>
      </c>
      <c r="E5" s="142" t="s" ph="1">
        <v>7</v>
      </c>
      <c r="F5" s="142" t="s" ph="1">
        <v>1</v>
      </c>
      <c r="G5" s="142" t="s" ph="1">
        <v>7</v>
      </c>
      <c r="H5" s="142" t="s" ph="1">
        <v>7</v>
      </c>
      <c r="I5" s="141" t="s" ph="1">
        <v>608</v>
      </c>
      <c r="J5" s="141" t="s" ph="1">
        <v>609</v>
      </c>
      <c r="K5" s="141" t="s" ph="1">
        <v>611</v>
      </c>
      <c r="L5" s="141" t="s" ph="1">
        <v>613</v>
      </c>
      <c r="M5" s="141" t="s" ph="1">
        <v>608</v>
      </c>
      <c r="N5" s="70" t="s" ph="1">
        <v>609</v>
      </c>
      <c r="O5" s="70" t="s" ph="1">
        <v>611</v>
      </c>
      <c r="P5" s="70" t="s" ph="1">
        <v>613</v>
      </c>
      <c r="Q5" s="70" t="s" ph="1">
        <v>607</v>
      </c>
      <c r="R5" s="70" t="s" ph="1">
        <v>607</v>
      </c>
      <c r="S5" s="70" t="s" ph="1">
        <v>607</v>
      </c>
      <c r="T5" s="70" t="s" ph="1">
        <v>607</v>
      </c>
      <c r="U5" s="70" t="s" ph="1">
        <v>607</v>
      </c>
      <c r="V5" s="70" t="s" ph="1">
        <v>607</v>
      </c>
      <c r="W5" s="70" t="s" ph="1">
        <v>607</v>
      </c>
      <c r="X5" s="70" t="s" ph="1">
        <v>607</v>
      </c>
      <c r="Y5" s="70" t="s" ph="1">
        <v>607</v>
      </c>
      <c r="Z5" s="70" t="s" ph="1">
        <v>614</v>
      </c>
      <c r="AA5" s="70" t="s" ph="1">
        <v>54</v>
      </c>
      <c r="AB5" s="70" t="s" ph="1">
        <v>54</v>
      </c>
      <c r="AC5" s="70" t="s" ph="1">
        <v>615</v>
      </c>
      <c r="AD5" s="71" t="s">
        <v>72</v>
      </c>
      <c r="AE5" s="71" t="s">
        <v>635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184" ph="1">
        <v>0.33333333333333331</v>
      </c>
      <c r="C6" s="150" t="s" ph="1">
        <v>177</v>
      </c>
      <c r="D6" s="71">
        <v>1989</v>
      </c>
      <c r="E6" s="71">
        <v>7814</v>
      </c>
      <c r="F6" s="71">
        <v>5842</v>
      </c>
      <c r="G6" s="71">
        <v>1659</v>
      </c>
      <c r="H6" s="71">
        <v>0</v>
      </c>
      <c r="I6" s="71">
        <v>52.33</v>
      </c>
      <c r="J6" s="71">
        <v>6.25</v>
      </c>
      <c r="K6" s="71">
        <v>62.73</v>
      </c>
      <c r="L6" s="71">
        <v>6.8</v>
      </c>
      <c r="M6" s="71">
        <v>6386</v>
      </c>
      <c r="N6" s="71">
        <v>845</v>
      </c>
      <c r="O6" s="71">
        <v>5114</v>
      </c>
      <c r="P6" s="71">
        <v>2523</v>
      </c>
      <c r="Q6" s="71">
        <v>3234</v>
      </c>
      <c r="R6" s="71">
        <v>2717</v>
      </c>
      <c r="S6" s="71">
        <v>0</v>
      </c>
      <c r="T6" s="71">
        <v>0</v>
      </c>
      <c r="U6" s="71">
        <v>0</v>
      </c>
      <c r="V6" s="71">
        <v>1483</v>
      </c>
      <c r="W6" s="71">
        <v>7148</v>
      </c>
      <c r="X6" s="71">
        <v>6206</v>
      </c>
      <c r="Y6" s="71">
        <v>6738</v>
      </c>
      <c r="Z6" s="71">
        <v>3663</v>
      </c>
      <c r="AA6" s="71">
        <v>0</v>
      </c>
      <c r="AB6" s="71">
        <v>3602</v>
      </c>
      <c r="AC6" s="71">
        <v>4697</v>
      </c>
      <c r="AD6" s="71">
        <v>3889</v>
      </c>
      <c r="AE6" s="71">
        <v>4840</v>
      </c>
    </row>
    <row r="7" spans="1:99" s="72" customFormat="1" ht="22.2" ph="1">
      <c r="B7" s="184" ph="1"/>
      <c r="C7" s="68" t="s" ph="1">
        <v>178</v>
      </c>
      <c r="D7" s="73" ph="1">
        <f>D6*33.183*LOOKUP(D8,密度!$A$2:$A$50,密度!$Q$2:$Q$50)</f>
        <v>62345.852339939993</v>
      </c>
      <c r="E7" s="73" ph="1">
        <f>E6*51.53*LOOKUP(E8,密度!$A$2:$A$50,密度!$B$2:$B$50)</f>
        <v>313910.16543199995</v>
      </c>
      <c r="F7" s="73" ph="1">
        <f>F6*33.183*LOOKUP(F8,密度!$A$2:$A$50,密度!$C$2:$C$50)</f>
        <v>214810.82079660002</v>
      </c>
      <c r="G7" s="73" ph="1">
        <f xml:space="preserve"> (G6+2)*51.53*LOOKUP(G8,密度!$A$2:$A$50,密度!$B$2:$B$50)</f>
        <v>66581.495607000004</v>
      </c>
      <c r="H7" s="73" ph="1">
        <f>(H6)*51.53*LOOKUP(H8,密度!$A$2:$A$50,密度!$B$2:$B$50)</f>
        <v>0</v>
      </c>
      <c r="I7" s="73" ph="1">
        <f>I6*290.8*1.0267</f>
        <v>15623.872958799999</v>
      </c>
      <c r="J7" s="73" ph="1">
        <f>J6*290.8*0.7892</f>
        <v>1434.3710000000001</v>
      </c>
      <c r="K7" s="73" ph="1">
        <f>K6*290.8*1.1126</f>
        <v>20295.920138399997</v>
      </c>
      <c r="L7" s="73" ph="1">
        <f>L6*290.8*0.777</f>
        <v>1536.4708800000001</v>
      </c>
      <c r="M7" s="73" ph="1">
        <f>M6*33.183*LOOKUP(M8,密度!$A$2:$A$50,密度!$D$2:$D$50)</f>
        <v>216971.20664820002</v>
      </c>
      <c r="N7" s="73" ph="1">
        <f>N6*33.183*LOOKUP(N8,密度!$A$2:$A$50,密度!$E$2:$E$50)</f>
        <v>21898.954934999998</v>
      </c>
      <c r="O7" s="73" ph="1">
        <f>O6*20.428*LOOKUP(O8,密度!$A$2:$A$50,密度!$C$2:$C$50)</f>
        <v>115448.46203919999</v>
      </c>
      <c r="P7" s="73" ph="1">
        <f>P6*51.53*LOOKUP(P8,密度!$A$2:$A$50,密度!$B$2:$B$50)</f>
        <v>101238.93495299999</v>
      </c>
      <c r="Q7" s="73" ph="1">
        <f>Q6*1.5*1.5*3.1416*LOOKUP(W8,密度!$A$2:$A$50,密度!$L$2:$L$50)</f>
        <v>21373.961994000001</v>
      </c>
      <c r="R7" s="73" ph="1">
        <f>R6*1.5*1.5*3.1416*LOOKUP(R8,密度!$A$2:$A$50,密度!$L$2:$L$50)</f>
        <v>17899.419938400002</v>
      </c>
      <c r="S7" s="73" ph="1">
        <f>S6*1.5*1.5*3.1416*LOOKUP(S8,密度!$A$2:$A$50,密度!$L$2:$L$50)</f>
        <v>0</v>
      </c>
      <c r="T7" s="73" ph="1">
        <f>T6*1.5*1.5*3.1416*LOOKUP(T8,密度!$A$2:$A$50,密度!$L$2:$L$50)</f>
        <v>0</v>
      </c>
      <c r="U7" s="73" ph="1">
        <f>U6*1.5*1.5*3.1416*LOOKUP(U8,密度!$A$2:$A$50,密度!$L$2:$L$50)</f>
        <v>0</v>
      </c>
      <c r="V7" s="73" ph="1">
        <f>V6*1.5*1.5*3.1416*LOOKUP(V8,密度!$A$2:$A$50,密度!$L$2:$L$50)</f>
        <v>9790.8733692000005</v>
      </c>
      <c r="W7" s="73" ph="1">
        <f>W6*1.5*1.5*3.1416*LOOKUP(W8,密度!$A$2:$A$50,密度!$L$2:$L$50)</f>
        <v>47242.139868000006</v>
      </c>
      <c r="X7" s="73" ph="1">
        <f>X6*1.5*1.5*3.1416*LOOKUP(X8,密度!$A$2:$A$50,密度!$L$2:$L$50)</f>
        <v>41104.064509200005</v>
      </c>
      <c r="Y7" s="73" ph="1">
        <f>Y6*1.5*1.5*3.1416*LOOKUP(Y8,密度!$A$2:$A$50,密度!$L$2:$L$50)</f>
        <v>44580.020284799997</v>
      </c>
      <c r="Z7" s="73" ph="1">
        <f>Z6*33.183*LOOKUP(Z8,密度!$A$2:$A$50,密度!$L$2:$L$50)</f>
        <v>113891.721273</v>
      </c>
      <c r="AA7" s="73" ph="1">
        <f>AA6*33.183*LOOKUP(AA8,密度!$A$2:$A$50,密度!$D$2:$D$50)</f>
        <v>0</v>
      </c>
      <c r="AB7" s="73" ph="1">
        <f>AB6*20.428*LOOKUP(AB8,密度!$A$2:$A$50,密度!$D$2:$D$50)</f>
        <v>75892.119998400012</v>
      </c>
      <c r="AC7" s="73" ph="1">
        <f>AC6*51.53*LOOKUP(AC8,密度!$A$2:$A$50,密度!$Q$2:$Q$50)</f>
        <v>228632.43361420001</v>
      </c>
      <c r="AD7" s="73" ph="1">
        <f>AD6*20.428*LOOKUP(AD8,密度!$A$2:$A$50,密度!$V$2:$V$50)</f>
        <v>76076.0455392</v>
      </c>
      <c r="AE7" s="73" ph="1">
        <f>AE6*20.428</f>
        <v>98871.52</v>
      </c>
    </row>
    <row r="8" spans="1:99" ph="1">
      <c r="B8" s="184" ph="1"/>
      <c r="C8" s="68" t="s" ph="1">
        <v>179</v>
      </c>
      <c r="D8" s="74">
        <v>28</v>
      </c>
      <c r="E8" s="74">
        <v>25</v>
      </c>
      <c r="F8" s="74">
        <v>26</v>
      </c>
      <c r="G8" s="74">
        <v>27</v>
      </c>
      <c r="H8" s="74">
        <v>24</v>
      </c>
      <c r="I8" s="74">
        <v>25</v>
      </c>
      <c r="J8" s="74">
        <v>25</v>
      </c>
      <c r="K8" s="74">
        <v>25</v>
      </c>
      <c r="L8" s="74">
        <v>25</v>
      </c>
      <c r="M8" s="74">
        <v>28</v>
      </c>
      <c r="N8" s="74">
        <v>27</v>
      </c>
      <c r="O8" s="74">
        <v>30</v>
      </c>
      <c r="P8" s="74">
        <v>26</v>
      </c>
      <c r="Q8" s="74">
        <v>28</v>
      </c>
      <c r="R8" s="74">
        <v>30</v>
      </c>
      <c r="S8" s="74">
        <v>23</v>
      </c>
      <c r="T8" s="74">
        <v>22</v>
      </c>
      <c r="U8" s="74">
        <v>28</v>
      </c>
      <c r="V8" s="74">
        <v>28</v>
      </c>
      <c r="W8" s="74">
        <v>27</v>
      </c>
      <c r="X8" s="74">
        <v>25</v>
      </c>
      <c r="Y8" s="74">
        <v>26</v>
      </c>
      <c r="Z8" s="74">
        <v>25</v>
      </c>
      <c r="AA8" s="74">
        <v>26</v>
      </c>
      <c r="AB8" s="74">
        <v>20</v>
      </c>
      <c r="AC8" s="74">
        <v>28</v>
      </c>
      <c r="AD8" s="74">
        <v>26</v>
      </c>
      <c r="AE8" s="74">
        <v>28</v>
      </c>
    </row>
    <row r="9" spans="1:99" ht="26.4" ph="1">
      <c r="B9" s="184" ph="1">
        <v>0.66666666666666663</v>
      </c>
      <c r="C9" s="150" t="s" ph="1">
        <v>180</v>
      </c>
      <c r="D9" s="71">
        <v>1986</v>
      </c>
      <c r="E9" s="71">
        <v>7814</v>
      </c>
      <c r="F9" s="71">
        <v>5844</v>
      </c>
      <c r="G9" s="71">
        <v>1659</v>
      </c>
      <c r="H9" s="71">
        <v>0</v>
      </c>
      <c r="I9" s="71">
        <v>42.92</v>
      </c>
      <c r="J9" s="71">
        <v>6.28</v>
      </c>
      <c r="K9" s="71">
        <v>62.95</v>
      </c>
      <c r="L9" s="71">
        <v>73.69</v>
      </c>
      <c r="M9" s="71">
        <v>6388</v>
      </c>
      <c r="N9" s="71">
        <v>848</v>
      </c>
      <c r="O9" s="71">
        <v>5114</v>
      </c>
      <c r="P9" s="71">
        <v>1922</v>
      </c>
      <c r="Q9" s="71">
        <v>5405</v>
      </c>
      <c r="R9" s="71">
        <v>5901</v>
      </c>
      <c r="S9" s="71">
        <v>5190</v>
      </c>
      <c r="T9" s="71">
        <v>3000</v>
      </c>
      <c r="U9" s="71">
        <v>0</v>
      </c>
      <c r="V9" s="71">
        <v>0</v>
      </c>
      <c r="W9" s="71">
        <v>7148</v>
      </c>
      <c r="X9" s="71">
        <v>6211</v>
      </c>
      <c r="Y9" s="71">
        <v>6747</v>
      </c>
      <c r="Z9" s="71">
        <v>2151</v>
      </c>
      <c r="AA9" s="71">
        <v>0</v>
      </c>
      <c r="AB9" s="71">
        <v>3524</v>
      </c>
      <c r="AC9" s="71">
        <v>4802</v>
      </c>
      <c r="AD9" s="71">
        <v>3889</v>
      </c>
      <c r="AE9" s="71">
        <v>4815</v>
      </c>
    </row>
    <row r="10" spans="1:99" s="72" customFormat="1" ht="22.2" ph="1">
      <c r="B10" s="184" ph="1"/>
      <c r="C10" s="150" t="s" ph="1">
        <v>178</v>
      </c>
      <c r="D10" s="73" ph="1">
        <f>D9*33.183*LOOKUP(D11,密度!$A$2:$A$50,密度!$Q$2:$Q$50)</f>
        <v>62166.803508539997</v>
      </c>
      <c r="E10" s="73" ph="1">
        <f>E9*51.53*LOOKUP(E11,密度!$A$2:$A$50,密度!$B$2:$B$50)</f>
        <v>312863.26133999997</v>
      </c>
      <c r="F10" s="73" ph="1">
        <f>F9*33.183*LOOKUP(F11,密度!$A$2:$A$50,密度!$C$2:$C$50)</f>
        <v>214302.59660519997</v>
      </c>
      <c r="G10" s="73" ph="1">
        <f xml:space="preserve"> (G9+2)*51.53*LOOKUP(G11,密度!$A$2:$A$50,密度!$B$2:$B$50)</f>
        <v>66435.990346000006</v>
      </c>
      <c r="H10" s="73" ph="1">
        <f>(H9)*51.53*LOOKUP(H11,密度!$A$2:$A$50,密度!$B$2:$B$50)</f>
        <v>0</v>
      </c>
      <c r="I10" s="73" ph="1">
        <f>I9*290.8*1.0267</f>
        <v>12814.3823312</v>
      </c>
      <c r="J10" s="73" ph="1">
        <f>J9*290.8*0.7892</f>
        <v>1441.2559808000001</v>
      </c>
      <c r="K10" s="73" ph="1">
        <f>K9*290.8*1.1126</f>
        <v>20367.099836000001</v>
      </c>
      <c r="L10" s="73" ph="1">
        <f>L9*290.8*0.777</f>
        <v>16650.373404000002</v>
      </c>
      <c r="M10" s="73" ph="1">
        <f>M9*33.183*LOOKUP(M11,密度!$A$2:$A$50,密度!$D$2:$D$50)</f>
        <v>215322.1774632</v>
      </c>
      <c r="N10" s="73" ph="1">
        <f>N9*33.183*LOOKUP(N11,密度!$A$2:$A$50,密度!$E$2:$E$50)</f>
        <v>21721.48030512</v>
      </c>
      <c r="O10" s="73" ph="1">
        <f>O9*20.428*LOOKUP(O11,密度!$A$2:$A$50,密度!$C$2:$C$50)</f>
        <v>114905.22432080001</v>
      </c>
      <c r="P10" s="73" ph="1">
        <f>P9*51.53*LOOKUP(P11,密度!$A$2:$A$50,密度!$B$2:$B$50)</f>
        <v>76786.223698000002</v>
      </c>
      <c r="Q10" s="73" ph="1">
        <f>Q9*1.5*1.5*3.1416*LOOKUP(W11,密度!$A$2:$A$50,密度!$L$2:$L$50)</f>
        <v>35645.995538999996</v>
      </c>
      <c r="R10" s="73" ph="1">
        <f>R9*1.5*1.5*3.1416*LOOKUP(R11,密度!$A$2:$A$50,密度!$L$2:$L$50)</f>
        <v>38666.846572199996</v>
      </c>
      <c r="S10" s="73" ph="1">
        <f>S9*1.5*1.5*3.1416*LOOKUP(S11,密度!$A$2:$A$50,密度!$L$2:$L$50)</f>
        <v>34374.813858000001</v>
      </c>
      <c r="T10" s="73" ph="1">
        <f>T9*1.5*1.5*3.1416*LOOKUP(T11,密度!$A$2:$A$50,密度!$L$2:$L$50)</f>
        <v>19933.451999999997</v>
      </c>
      <c r="U10" s="73" ph="1">
        <f>U9*1.5*1.5*3.1416*LOOKUP(U11,密度!$A$2:$A$50,密度!$L$2:$L$50)</f>
        <v>0</v>
      </c>
      <c r="V10" s="73" ph="1">
        <f>V9*1.5*1.5*3.1416*LOOKUP(V11,密度!$A$2:$A$50,密度!$L$2:$L$50)</f>
        <v>0</v>
      </c>
      <c r="W10" s="73" ph="1">
        <f>W9*1.5*1.5*3.1416*LOOKUP(W11,密度!$A$2:$A$50,密度!$L$2:$L$50)</f>
        <v>47141.087162400006</v>
      </c>
      <c r="X10" s="73" ph="1">
        <f>X9*1.5*1.5*3.1416*LOOKUP(X11,密度!$A$2:$A$50,密度!$L$2:$L$50)</f>
        <v>41444.502422400001</v>
      </c>
      <c r="Y10" s="73" ph="1">
        <f>Y9*1.5*1.5*3.1416*LOOKUP(Y11,密度!$A$2:$A$50,密度!$L$2:$L$50)</f>
        <v>44544.182482800003</v>
      </c>
      <c r="Z10" s="73" ph="1">
        <f>Z9*33.183*LOOKUP(Z11,密度!$A$2:$A$50,密度!$L$2:$L$50)</f>
        <v>66451.645323000004</v>
      </c>
      <c r="AA10" s="73" ph="1">
        <f>AA9*33.183*LOOKUP(AA11,密度!$A$2:$A$50,密度!$D$2:$D$50)</f>
        <v>0</v>
      </c>
      <c r="AB10" s="73" ph="1">
        <f>AB9*20.428*LOOKUP(AB11,密度!$A$2:$A$50,密度!$D$2:$D$50)</f>
        <v>74047.1365792</v>
      </c>
      <c r="AC10" s="73" ph="1">
        <f>AC9*51.53*LOOKUP(AC11,密度!$A$2:$A$50,密度!$Q$2:$Q$50)</f>
        <v>233424.23510980001</v>
      </c>
      <c r="AD10" s="73" ph="1">
        <f>AD9*20.428*LOOKUP(AD11,密度!$A$2:$A$50,密度!$V$2:$V$50)</f>
        <v>76076.0455392</v>
      </c>
      <c r="AE10" s="73" ph="1">
        <f>AE9*20.428</f>
        <v>98360.82</v>
      </c>
    </row>
    <row r="11" spans="1:99" ph="1">
      <c r="A11" s="64" t="s" ph="1">
        <v>162</v>
      </c>
      <c r="B11" s="184" ph="1"/>
      <c r="C11" s="150" t="s" ph="1">
        <v>179</v>
      </c>
      <c r="D11" s="74">
        <v>30</v>
      </c>
      <c r="E11" s="74">
        <v>28</v>
      </c>
      <c r="F11" s="74">
        <v>30</v>
      </c>
      <c r="G11" s="74">
        <v>29</v>
      </c>
      <c r="H11" s="74">
        <v>32</v>
      </c>
      <c r="I11" s="74">
        <v>25</v>
      </c>
      <c r="J11" s="74">
        <v>25</v>
      </c>
      <c r="K11" s="74">
        <v>25</v>
      </c>
      <c r="L11" s="74">
        <v>25</v>
      </c>
      <c r="M11" s="74">
        <v>37</v>
      </c>
      <c r="N11" s="74">
        <v>35</v>
      </c>
      <c r="O11" s="74">
        <v>35</v>
      </c>
      <c r="P11" s="74">
        <v>30</v>
      </c>
      <c r="Q11" s="74">
        <v>31</v>
      </c>
      <c r="R11" s="74">
        <v>35</v>
      </c>
      <c r="S11" s="74">
        <v>25</v>
      </c>
      <c r="T11" s="74">
        <v>22</v>
      </c>
      <c r="U11" s="74">
        <v>32</v>
      </c>
      <c r="V11" s="74">
        <v>28</v>
      </c>
      <c r="W11" s="74">
        <v>29</v>
      </c>
      <c r="X11" s="74">
        <v>18</v>
      </c>
      <c r="Y11" s="74">
        <v>28</v>
      </c>
      <c r="Z11" s="74">
        <v>31</v>
      </c>
      <c r="AA11" s="74">
        <v>43</v>
      </c>
      <c r="AB11" s="74">
        <v>23</v>
      </c>
      <c r="AC11" s="74">
        <v>30</v>
      </c>
      <c r="AD11" s="74">
        <v>33</v>
      </c>
      <c r="AE11" s="74">
        <v>30</v>
      </c>
    </row>
    <row r="12" spans="1:99" ht="9.9" customHeight="1" ph="1"/>
    <row r="13" spans="1:99" s="72" customFormat="1" ht="29.25" customHeight="1" ph="1">
      <c r="B13" s="192" t="s" ph="1">
        <v>37</v>
      </c>
      <c r="C13" s="150" t="s" ph="1">
        <v>176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128</v>
      </c>
      <c r="I13" s="76" t="s" ph="1">
        <v>59</v>
      </c>
      <c r="J13" s="76" t="s" ph="1">
        <v>129</v>
      </c>
      <c r="K13" s="76" t="s" ph="1">
        <v>55</v>
      </c>
      <c r="L13" s="76" t="s" ph="1">
        <v>60</v>
      </c>
      <c r="M13" s="76" t="s" ph="1">
        <v>61</v>
      </c>
      <c r="N13" s="76" t="s" ph="1">
        <v>130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131</v>
      </c>
      <c r="W13" s="76" t="s" ph="1">
        <v>132</v>
      </c>
      <c r="X13" s="76" t="s" ph="1">
        <v>133</v>
      </c>
      <c r="Y13" s="105" t="s" ph="1">
        <v>68</v>
      </c>
      <c r="Z13" s="76" t="s" ph="1">
        <v>74</v>
      </c>
      <c r="AA13" s="76" t="s" ph="1">
        <v>134</v>
      </c>
      <c r="AB13" s="76" t="s" ph="1">
        <v>135</v>
      </c>
      <c r="AC13" s="76" t="s" ph="1">
        <v>136</v>
      </c>
      <c r="AD13" s="76" t="s" ph="1">
        <v>137</v>
      </c>
      <c r="AE13" s="76" t="s" ph="1">
        <v>138</v>
      </c>
      <c r="AG13" s="72" t="s" ph="1">
        <v>325</v>
      </c>
      <c r="AH13" s="72" t="s" ph="1">
        <v>188</v>
      </c>
      <c r="AI13" s="72" t="s" ph="1">
        <v>189</v>
      </c>
      <c r="AJ13" s="72" t="s" ph="1">
        <v>190</v>
      </c>
      <c r="AK13" s="72" t="s" ph="1">
        <v>191</v>
      </c>
      <c r="AL13" s="72" t="s" ph="1">
        <v>192</v>
      </c>
      <c r="AM13" s="72" t="s" ph="1">
        <v>193</v>
      </c>
      <c r="AN13" s="72" t="s" ph="1">
        <v>194</v>
      </c>
      <c r="AO13" s="72" t="s" ph="1">
        <v>195</v>
      </c>
      <c r="AP13" s="72" t="s" ph="1">
        <v>196</v>
      </c>
      <c r="AQ13" s="72" t="s" ph="1">
        <v>197</v>
      </c>
      <c r="AR13" s="72" t="s" ph="1">
        <v>198</v>
      </c>
      <c r="AS13" s="72" t="s" ph="1">
        <v>199</v>
      </c>
      <c r="AT13" s="72" t="s" ph="1">
        <v>200</v>
      </c>
      <c r="AU13" s="72" t="s" ph="1">
        <v>201</v>
      </c>
      <c r="AV13" s="72" t="s" ph="1">
        <v>202</v>
      </c>
      <c r="AW13" s="72" t="s" ph="1">
        <v>203</v>
      </c>
      <c r="AX13" s="72" t="s" ph="1">
        <v>204</v>
      </c>
      <c r="AY13" s="72" t="s" ph="1">
        <v>326</v>
      </c>
      <c r="AZ13" s="72" t="s" ph="1">
        <v>205</v>
      </c>
      <c r="BA13" s="72" t="s" ph="1">
        <v>206</v>
      </c>
      <c r="BB13" s="72" t="s" ph="1">
        <v>591</v>
      </c>
      <c r="BC13" s="72" t="s" ph="1">
        <v>207</v>
      </c>
      <c r="BD13" s="72" t="s" ph="1">
        <v>327</v>
      </c>
      <c r="BE13" s="72" t="s" ph="1">
        <v>328</v>
      </c>
      <c r="BF13" s="72" t="s" ph="1">
        <v>329</v>
      </c>
      <c r="BG13" s="72" t="s" ph="1">
        <v>330</v>
      </c>
      <c r="BH13" s="72" t="s" ph="1">
        <v>331</v>
      </c>
    </row>
    <row r="14" spans="1:99" s="72" customFormat="1" ht="24" ph="1">
      <c r="B14" s="193" ph="1"/>
      <c r="C14" s="67" t="s" ph="1">
        <v>36</v>
      </c>
      <c r="D14" s="77" t="s" ph="1">
        <v>616</v>
      </c>
      <c r="E14" s="77" t="s" ph="1">
        <v>616</v>
      </c>
      <c r="F14" s="144" t="s" ph="1">
        <v>636</v>
      </c>
      <c r="G14" s="77" t="s" ph="1">
        <v>617</v>
      </c>
      <c r="H14" s="77" t="s" ph="1">
        <v>637</v>
      </c>
      <c r="I14" s="138" t="s" ph="1">
        <v>618</v>
      </c>
      <c r="J14" s="77" t="s" ph="1">
        <v>619</v>
      </c>
      <c r="K14" s="77" t="s" ph="1">
        <v>186</v>
      </c>
      <c r="L14" s="77" t="s" ph="1">
        <v>41</v>
      </c>
      <c r="M14" s="104" t="s" ph="1">
        <v>620</v>
      </c>
      <c r="N14" s="104" t="s" ph="1">
        <v>621</v>
      </c>
      <c r="O14" s="104" t="s" ph="1">
        <v>619</v>
      </c>
      <c r="P14" s="77" t="s" ph="1">
        <v>622</v>
      </c>
      <c r="Q14" s="77" t="s" ph="1">
        <v>622</v>
      </c>
      <c r="R14" s="88" t="s" ph="1">
        <v>7</v>
      </c>
      <c r="S14" s="77" t="s" ph="1">
        <v>71</v>
      </c>
      <c r="T14" s="77" t="s" ph="1">
        <v>624</v>
      </c>
      <c r="U14" s="77" t="s" ph="1">
        <v>605</v>
      </c>
      <c r="V14" s="77" t="s" ph="1">
        <v>633</v>
      </c>
      <c r="W14" s="77" t="s" ph="1">
        <v>622</v>
      </c>
      <c r="X14" s="77" t="s" ph="1">
        <v>625</v>
      </c>
      <c r="Y14" s="143" t="s" ph="1">
        <v>0</v>
      </c>
      <c r="Z14" s="77" t="s" ph="1">
        <v>54</v>
      </c>
      <c r="AA14" s="77" t="s" ph="1">
        <v>613</v>
      </c>
      <c r="AB14" s="77" t="s" ph="1">
        <v>632</v>
      </c>
      <c r="AC14" s="77" t="s" ph="1">
        <v>632</v>
      </c>
      <c r="AD14" s="77" t="s" ph="1">
        <v>612</v>
      </c>
      <c r="AE14" s="77" t="s" ph="1">
        <v>612</v>
      </c>
      <c r="AG14" s="72" t="s" ph="1">
        <v>208</v>
      </c>
      <c r="AI14" s="72" t="s" ph="1">
        <v>209</v>
      </c>
      <c r="AJ14" s="72" t="s" ph="1">
        <v>332</v>
      </c>
      <c r="AK14" s="72" t="s" ph="1">
        <v>210</v>
      </c>
      <c r="AM14" s="72" t="s" ph="1">
        <v>212</v>
      </c>
      <c r="AN14" s="72" t="s" ph="1">
        <v>210</v>
      </c>
      <c r="AO14" s="72" t="s" ph="1">
        <v>211</v>
      </c>
      <c r="AP14" s="72" t="s" ph="1">
        <v>212</v>
      </c>
      <c r="AQ14" s="72" t="s" ph="1">
        <v>210</v>
      </c>
      <c r="AR14" s="72" t="s" ph="1">
        <v>211</v>
      </c>
      <c r="AS14" s="72" t="s" ph="1">
        <v>212</v>
      </c>
      <c r="AT14" s="72" t="s" ph="1">
        <v>210</v>
      </c>
      <c r="AU14" s="72" t="s" ph="1">
        <v>211</v>
      </c>
      <c r="AV14" s="72" t="s" ph="1">
        <v>212</v>
      </c>
      <c r="AW14" s="72" t="s" ph="1">
        <v>210</v>
      </c>
      <c r="AX14" s="72" t="s" ph="1">
        <v>211</v>
      </c>
      <c r="AY14" s="72" t="s" ph="1">
        <v>212</v>
      </c>
      <c r="AZ14" s="72" t="s" ph="1">
        <v>211</v>
      </c>
    </row>
    <row r="15" spans="1:99" ph="1">
      <c r="B15" s="194" ph="1">
        <v>0.33333333333333331</v>
      </c>
      <c r="C15" s="150" t="s" ph="1">
        <v>177</v>
      </c>
      <c r="D15" s="78">
        <v>1756</v>
      </c>
      <c r="E15" s="78">
        <v>1211</v>
      </c>
      <c r="F15" s="78">
        <v>4276</v>
      </c>
      <c r="G15" s="78">
        <v>1974</v>
      </c>
      <c r="H15" s="78">
        <v>0</v>
      </c>
      <c r="I15" s="78">
        <v>5164</v>
      </c>
      <c r="J15" s="78">
        <v>476</v>
      </c>
      <c r="K15" s="78">
        <v>2279</v>
      </c>
      <c r="L15" s="78">
        <v>3572</v>
      </c>
      <c r="M15" s="78">
        <v>7167</v>
      </c>
      <c r="N15" s="78">
        <v>5612</v>
      </c>
      <c r="O15" s="78">
        <v>5076</v>
      </c>
      <c r="P15" s="78">
        <v>0</v>
      </c>
      <c r="Q15" s="78">
        <v>3229</v>
      </c>
      <c r="R15" s="78">
        <v>0</v>
      </c>
      <c r="S15" s="78">
        <v>0</v>
      </c>
      <c r="T15" s="78">
        <v>4080</v>
      </c>
      <c r="U15" s="78">
        <v>6717</v>
      </c>
      <c r="V15" s="78">
        <v>-817</v>
      </c>
      <c r="W15" s="71">
        <v>-809</v>
      </c>
      <c r="X15" s="78">
        <v>1386</v>
      </c>
      <c r="Y15" s="106">
        <v>-2367</v>
      </c>
      <c r="Z15" s="78">
        <v>1949</v>
      </c>
      <c r="AA15" s="78">
        <v>2583</v>
      </c>
      <c r="AB15" s="78" ph="1">
        <v>5334</v>
      </c>
      <c r="AC15" s="78" ph="1">
        <v>7293</v>
      </c>
      <c r="AD15" s="78">
        <v>0</v>
      </c>
      <c r="AE15" s="78">
        <v>49.8</v>
      </c>
      <c r="AG15" s="64" t="s" ph="1">
        <v>214</v>
      </c>
      <c r="AH15" s="64" ph="1">
        <v>1</v>
      </c>
      <c r="AI15" s="64" t="s" ph="1">
        <v>333</v>
      </c>
      <c r="AK15" s="64" t="s" ph="1">
        <v>587</v>
      </c>
      <c r="AM15" s="64" t="s" ph="1">
        <v>335</v>
      </c>
      <c r="AZ15" s="64" t="s" ph="1">
        <v>216</v>
      </c>
      <c r="BA15" s="64" ph="1">
        <v>0</v>
      </c>
    </row>
    <row r="16" spans="1:99" s="72" customFormat="1" ht="22.2" ph="1">
      <c r="B16" s="195" ph="1"/>
      <c r="C16" s="150" t="s" ph="1">
        <v>178</v>
      </c>
      <c r="D16" s="73" ph="1">
        <f>D15*7.0686*LOOKUP(D17,密度!$A$2:$A$50,密度!$L$2:$L$50)</f>
        <v>11543.589288000001</v>
      </c>
      <c r="E16" s="73" ph="1">
        <f>E15*7.0686*LOOKUP(E17,密度!$A$2:$A$50,密度!$L$2:$L$50)</f>
        <v>7960.8693780000003</v>
      </c>
      <c r="F16" s="73" ph="1">
        <f>F15*9.0746*LOOKUP(F17,密度!$A$2:$A$50,密度!$L$2:$L$50)</f>
        <v>36164.386307200002</v>
      </c>
      <c r="G16" s="73" ph="1">
        <f>G15*9.0746*LOOKUP(G17,密度!$A$2:$A$50,密度!$B$2:$B$50)</f>
        <v>13949.055873479998</v>
      </c>
      <c r="H16" s="73" ph="1">
        <f>H15*9.0746*LOOKUP(H17,密度!$A$2:$A$50,密度!$L$2:$L$50)</f>
        <v>0</v>
      </c>
      <c r="I16" s="73" ph="1">
        <f>I15*9.0746*LOOKUP(I17,密度!$A$2:$A$50,密度!$U$2:$U$50)</f>
        <v>47939.042791199994</v>
      </c>
      <c r="J16" s="73" ph="1">
        <f>J15*9.0746*LOOKUP(J17,密度!$A$2:$A$50,密度!$L$2:$L$50)</f>
        <v>4034.4219664000007</v>
      </c>
      <c r="K16" s="73" ph="1">
        <f>K15*9.0746*LOOKUP(K17,密度!$A$2:$A$50,密度!$C$2:$C$50)</f>
        <v>22902.154239159998</v>
      </c>
      <c r="L16" s="73" ph="1">
        <f>L15*9.0746*LOOKUP(L17,密度!$A$2:$A$50,密度!$E$2:$E$50)</f>
        <v>25276.804641760002</v>
      </c>
      <c r="M16" s="73" ph="1">
        <f>M15*9.0746*LOOKUP(M17,密度!$A$2:$A$50,密度!$M$2:$M$50)</f>
        <v>56576.258868179997</v>
      </c>
      <c r="N16" s="73" ph="1">
        <f>N15*9.0746*LOOKUP(N17,密度!$A$2:$A$50,密度!$M$2:$M$50)</f>
        <v>44565.915965519998</v>
      </c>
      <c r="O16" s="73" ph="1">
        <f>O15*9.0746*LOOKUP(O17,密度!$A$2:$A$50,密度!$G$2:$G$50)</f>
        <v>44031.305870639997</v>
      </c>
      <c r="P16" s="73" ph="1">
        <f ca="1">P15*9.0746*LOOKUP(P17,密度!$A$2:$A$51,密度!$Q$2:$Q$50)</f>
        <v>0</v>
      </c>
      <c r="Q16" s="73" ph="1">
        <f>Q15*9.0746*LOOKUP(Q17,密度!$A$2:$A$50,密度!$Q$2:$Q$50)</f>
        <v>27599.443974460002</v>
      </c>
      <c r="R16" s="73" ph="1">
        <f>MAX(R15*9.0746*LOOKUP(R17,密度!$A$2:$A$50,密度!$B$2:$B$50),0)</f>
        <v>0</v>
      </c>
      <c r="S16" s="73" ph="1">
        <f>S15*9.0746*LOOKUP(S17,密度!$A$2:$A$50,密度!$Q$2:$Q$50)</f>
        <v>0</v>
      </c>
      <c r="T16" s="73" ph="1">
        <f>T15*9.0746*LOOKUP(T17,密度!$A$2:$A$50,密度!$O$2:$O$50)</f>
        <v>34284.564768000004</v>
      </c>
      <c r="U16" s="73" ph="1">
        <f>U15*9.0746*LOOKUP(U17,密度!$A$2:$A$50,密度!$H$2:$H$50)</f>
        <v>55590.128438400003</v>
      </c>
      <c r="V16" s="73" ph="1">
        <f>MAX(5600*LOOKUP(V17,密度!$A$2:$A$50,密度!$Q$2:$Q$50)+V15*9.0476*LOOKUP(V17,密度!$A$2:$A$50,密度!$Q$2:$Q$50),0)</f>
        <v>0</v>
      </c>
      <c r="W16" s="73" ph="1">
        <f>MAX(5600*LOOKUP(W17,密度!$A$2:$A$50,密度!$Q$2:$Q$50)+W15*9.0476*LOOKUP(W17,密度!$A$2:$A$50,密度!$Q$2:$Q$50),0)</f>
        <v>0</v>
      </c>
      <c r="X16" s="73" ph="1">
        <f>MAX(5600*LOOKUP(X17,密度!$A$2:$A$50,密度!$I$2:$I$50)+X15*9.0476*LOOKUP(X17,密度!$A$2:$A$50,密度!$I$2:$I$50),0)</f>
        <v>18847.4325704</v>
      </c>
      <c r="Y16" s="107" ph="1">
        <v>0</v>
      </c>
      <c r="Z16" s="73" ph="1">
        <f>Z15*9.0746*LOOKUP(Z17,密度!$A$2:$A$50,密度!$D$2:$D$50)</f>
        <v>18109.100250060001</v>
      </c>
      <c r="AA16" s="73" ph="1">
        <f>AA15*9.0746*LOOKUP(AA17,密度!$A$2:$A$50,密度!$B$2:$B$50)</f>
        <v>18273.583727279998</v>
      </c>
      <c r="AB16" s="73" ph="1">
        <f>AB15*9.0746*LOOKUP(AB17,密度!$A$2:$A$50,密度!$L$2:$L$50)</f>
        <v>45209.257917600007</v>
      </c>
      <c r="AC16" s="73" ph="1">
        <f>AC15*9.0746*LOOKUP(AC17,密度!$A$2:$A$50,密度!$L$2:$L$50)</f>
        <v>62011.651158599998</v>
      </c>
      <c r="AD16" s="73" ph="1">
        <f>AD15*268.68*LOOKUP(AD17,密度!$A$2:$A$50,密度!B2:B50)+IF(AD15&lt;=0,0,1566*LOOKUP(AD17,密度!$A$2:$A$50,密度!B2:B50))</f>
        <v>0</v>
      </c>
      <c r="AE16" s="73" ph="1">
        <f>AE15*268.68*LOOKUP(AE17,密度!$A$2:$A$50,密度!B2:B50)+IF(AE15&lt;=0,0,1566*LOOKUP(AE17,密度!$A$2:$A$50,密度!B2:B50))</f>
        <v>11652.107414399999</v>
      </c>
      <c r="AH16" s="72" ph="1">
        <v>2</v>
      </c>
      <c r="AI16" s="72" t="s" ph="1">
        <v>337</v>
      </c>
      <c r="AZ16" s="72" t="s" ph="1">
        <v>216</v>
      </c>
      <c r="BA16" s="72" ph="1">
        <v>0</v>
      </c>
    </row>
    <row r="17" spans="1:57" ph="1">
      <c r="A17" s="64" t="s" ph="1">
        <v>73</v>
      </c>
      <c r="B17" s="196" ph="1"/>
      <c r="C17" s="79" t="s" ph="1">
        <v>179</v>
      </c>
      <c r="D17" s="74">
        <v>32</v>
      </c>
      <c r="E17" s="74">
        <v>32</v>
      </c>
      <c r="F17" s="74">
        <v>30</v>
      </c>
      <c r="G17" s="74">
        <v>26</v>
      </c>
      <c r="H17" s="74">
        <v>22</v>
      </c>
      <c r="I17" s="74">
        <v>27</v>
      </c>
      <c r="J17" s="74">
        <v>28</v>
      </c>
      <c r="K17" s="74">
        <v>27</v>
      </c>
      <c r="L17" s="74">
        <v>28</v>
      </c>
      <c r="M17" s="74">
        <v>30</v>
      </c>
      <c r="N17" s="74">
        <v>25</v>
      </c>
      <c r="O17" s="74">
        <v>29</v>
      </c>
      <c r="P17" s="74">
        <v>26</v>
      </c>
      <c r="Q17" s="74">
        <v>32</v>
      </c>
      <c r="R17" s="74">
        <v>28</v>
      </c>
      <c r="S17" s="74">
        <v>27</v>
      </c>
      <c r="T17" s="74">
        <v>27</v>
      </c>
      <c r="U17" s="74">
        <v>28</v>
      </c>
      <c r="V17" s="74">
        <v>29</v>
      </c>
      <c r="W17" s="74">
        <v>29</v>
      </c>
      <c r="X17" s="74">
        <v>28</v>
      </c>
      <c r="Y17" s="108">
        <v>28</v>
      </c>
      <c r="Z17" s="74">
        <v>28</v>
      </c>
      <c r="AA17" s="74">
        <v>25</v>
      </c>
      <c r="AB17" s="74">
        <v>28</v>
      </c>
      <c r="AC17" s="74">
        <v>25</v>
      </c>
      <c r="AD17" s="74">
        <v>25</v>
      </c>
      <c r="AE17" s="74">
        <v>25</v>
      </c>
      <c r="AH17" s="64" ph="1">
        <v>3</v>
      </c>
      <c r="AI17" s="64" t="s" ph="1">
        <v>338</v>
      </c>
      <c r="AK17" s="64" t="s" ph="1">
        <v>570</v>
      </c>
      <c r="AL17" s="64" ph="1">
        <v>80</v>
      </c>
      <c r="AM17" s="64" t="s" ph="1">
        <v>335</v>
      </c>
      <c r="AZ17" s="64" t="s" ph="1">
        <v>216</v>
      </c>
      <c r="BA17" s="64" ph="1">
        <v>80</v>
      </c>
      <c r="BD17" s="64" t="s" ph="1">
        <v>214</v>
      </c>
      <c r="BE17" s="64" ph="1">
        <v>2270</v>
      </c>
    </row>
    <row r="18" spans="1:57" ht="26.4" ph="1">
      <c r="B18" s="194" ph="1">
        <v>0.66666666666666663</v>
      </c>
      <c r="C18" s="79" t="s" ph="1">
        <v>180</v>
      </c>
      <c r="D18" s="71">
        <v>0</v>
      </c>
      <c r="E18" s="71">
        <v>2340</v>
      </c>
      <c r="F18" s="71">
        <v>4374</v>
      </c>
      <c r="G18" s="71">
        <v>2112</v>
      </c>
      <c r="H18" s="71">
        <v>0</v>
      </c>
      <c r="I18" s="71">
        <v>5167</v>
      </c>
      <c r="J18" s="71">
        <v>490</v>
      </c>
      <c r="K18" s="71">
        <v>2279</v>
      </c>
      <c r="L18" s="71">
        <v>3580</v>
      </c>
      <c r="M18" s="71">
        <v>6222</v>
      </c>
      <c r="N18" s="71">
        <v>3648</v>
      </c>
      <c r="O18" s="71">
        <v>5295</v>
      </c>
      <c r="P18" s="71">
        <v>0</v>
      </c>
      <c r="Q18" s="71">
        <v>4321</v>
      </c>
      <c r="R18" s="71">
        <v>1963</v>
      </c>
      <c r="S18" s="71">
        <v>0</v>
      </c>
      <c r="T18" s="71">
        <v>4083</v>
      </c>
      <c r="U18" s="71">
        <v>6715</v>
      </c>
      <c r="V18" s="71">
        <v>-817</v>
      </c>
      <c r="W18" s="71">
        <v>-809</v>
      </c>
      <c r="X18" s="71">
        <v>1384</v>
      </c>
      <c r="Y18" s="109">
        <v>-9908</v>
      </c>
      <c r="Z18" s="71">
        <v>1949</v>
      </c>
      <c r="AA18" s="71">
        <v>2585</v>
      </c>
      <c r="AB18" s="71">
        <v>5337</v>
      </c>
      <c r="AC18" s="71">
        <v>7296</v>
      </c>
      <c r="AD18" s="71">
        <v>7.77</v>
      </c>
      <c r="AE18" s="71">
        <v>84.62</v>
      </c>
      <c r="AH18" s="64" ph="1">
        <v>4</v>
      </c>
      <c r="AI18" s="64" t="s" ph="1">
        <v>340</v>
      </c>
      <c r="AJ18" s="64" t="s" ph="1">
        <v>588</v>
      </c>
      <c r="AK18" s="64" t="s" ph="1">
        <v>587</v>
      </c>
      <c r="AL18" s="64" ph="1">
        <v>740</v>
      </c>
      <c r="AM18" s="64" t="s" ph="1">
        <v>339</v>
      </c>
      <c r="AZ18" s="64" t="s" ph="1">
        <v>216</v>
      </c>
      <c r="BA18" s="64" ph="1">
        <v>740</v>
      </c>
    </row>
    <row r="19" spans="1:57" s="72" customFormat="1" ht="22.2" ph="1">
      <c r="B19" s="195" ph="1"/>
      <c r="C19" s="150" t="s" ph="1">
        <v>178</v>
      </c>
      <c r="D19" s="73" ph="1">
        <f>D18*7.0686*LOOKUP(D20,密度!$A$2:$A$50,密度!$L$2:$L$50)</f>
        <v>0</v>
      </c>
      <c r="E19" s="73" ph="1">
        <f>E18*7.0686*LOOKUP(E20,密度!$A$2:$A$50,密度!$L$2:$L$50)</f>
        <v>15333.065748000003</v>
      </c>
      <c r="F19" s="73" ph="1">
        <f>F18*9.0746*LOOKUP(F20,密度!$A$2:$A$50,密度!$L$2:$L$50)</f>
        <v>36874.147071600004</v>
      </c>
      <c r="G19" s="73" ph="1">
        <f>G18*9.0746*LOOKUP(G20,密度!$A$2:$A$50,密度!$B$2:$B$50)</f>
        <v>14876.303946239999</v>
      </c>
      <c r="H19" s="73" ph="1">
        <f>H18*9.0746*LOOKUP(H20,密度!$A$2:$A$50,密度!$L$2:$L$50)</f>
        <v>0</v>
      </c>
      <c r="I19" s="73" ph="1">
        <f>I18*9.0746*LOOKUP(I20,密度!$A$2:$A$50,密度!$U$2:$U$50)</f>
        <v>47516.763539880005</v>
      </c>
      <c r="J19" s="73" ph="1">
        <f>J18*9.0746*LOOKUP(J20,密度!$A$2:$A$50,密度!$L$2:$L$50)</f>
        <v>4113.0624500000004</v>
      </c>
      <c r="K19" s="73" ph="1">
        <f>K18*9.0746*LOOKUP(K20,密度!$A$2:$A$50,密度!$C$2:$C$50)</f>
        <v>22854.58790834</v>
      </c>
      <c r="L19" s="73" ph="1">
        <f>L18*9.0746*LOOKUP(L20,密度!$A$2:$A$50,密度!$E$2:$E$50)</f>
        <v>25261.944076799999</v>
      </c>
      <c r="M19" s="73" ph="1">
        <f>M18*9.0746*LOOKUP(M20,密度!$A$2:$A$50,密度!$M$2:$M$50)</f>
        <v>48939.707463324004</v>
      </c>
      <c r="N19" s="73" ph="1">
        <f>N18*9.0746*LOOKUP(N20,密度!$A$2:$A$50,密度!$M$2:$M$50)</f>
        <v>28866.8107776</v>
      </c>
      <c r="O19" s="73" ph="1">
        <f>O18*9.0746*LOOKUP(O20,密度!$A$2:$A$50,密度!$G$2:$G$50)</f>
        <v>45873.341682899998</v>
      </c>
      <c r="P19" s="73" ph="1">
        <f ca="1">P18*9.0746*LOOKUP(P20,密度!$A$2:$A$51,密度!$Q$2:$Q$50)</f>
        <v>0</v>
      </c>
      <c r="Q19" s="73" ph="1">
        <f>Q18*9.0746*LOOKUP(Q20,密度!$A$2:$A$50,密度!$Q$2:$Q$50)</f>
        <v>36856.313123204003</v>
      </c>
      <c r="R19" s="73" ph="1">
        <f>MAX(R18*9.0746*LOOKUP(R20,密度!$A$2:$A$50,密度!$B$2:$B$50),0)</f>
        <v>13778.695685299999</v>
      </c>
      <c r="S19" s="73" ph="1">
        <f>S18*9.0746*LOOKUP(S20,密度!$A$2:$A$50,密度!$Q$2:$Q$50)</f>
        <v>0</v>
      </c>
      <c r="T19" s="73" ph="1">
        <f>T18*9.0746*LOOKUP(T20,密度!$A$2:$A$50,密度!$O$2:$O$50)</f>
        <v>34161.567639600005</v>
      </c>
      <c r="U19" s="73" ph="1">
        <f>U18*9.0746*LOOKUP(U20,密度!$A$2:$A$50,密度!$H$2:$H$50)</f>
        <v>55451.704490000004</v>
      </c>
      <c r="V19" s="73" ph="1">
        <f>MAX(5600*LOOKUP(V20,密度!$A$2:$A$50,密度!$Q$2:$Q$50)+V18*9.0476*LOOKUP(V20,密度!$A$2:$A$50,密度!$Q$2:$Q$50),0)</f>
        <v>0</v>
      </c>
      <c r="W19" s="73" ph="1">
        <f>MAX(5600*LOOKUP(W20,密度!$A$2:$A$50,密度!$Q$2:$Q$50)+W18*9.0476*LOOKUP(W20,密度!$A$2:$A$50,密度!$Q$2:$Q$50),0)</f>
        <v>0</v>
      </c>
      <c r="X19" s="73" ph="1">
        <f>MAX(5600*LOOKUP(X20,密度!$A$2:$A$50,密度!$I$2:$I$50)+X18*9.0476*LOOKUP(X20,密度!$A$2:$A$50,密度!$I$2:$I$50),0)</f>
        <v>18786.951337279999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18075.496098800002</v>
      </c>
      <c r="AA19" s="73" ph="1">
        <f>AA18*9.0746*LOOKUP(AA20,密度!$A$2:$A$50,密度!$B$2:$B$50)</f>
        <v>18226.742457</v>
      </c>
      <c r="AB19" s="73" ph="1">
        <f>AB18*9.0746*LOOKUP(AB20,密度!$A$2:$A$50,密度!$L$2:$L$50)</f>
        <v>45137.822666400003</v>
      </c>
      <c r="AC19" s="73" ph="1">
        <f>AC18*9.0746*LOOKUP(AC20,密度!$A$2:$A$50,密度!$L$2:$L$50)</f>
        <v>61706.118451200004</v>
      </c>
      <c r="AD19" s="73" ph="1">
        <f>AD18*268.68*LOOKUP(AD20,密度!$A$2:$A$50,密度!B5:B53)+IF(AD18&lt;=0,0,1566*LOOKUP(AD20,密度!$A$2:$A$50,密度!B5:B53))</f>
        <v>2838.8810771999997</v>
      </c>
      <c r="AE19" s="73" ph="1">
        <f>AE18*268.68*LOOKUP(AE20,密度!$A$2:$A$50,密度!B5:B53)+IF(AE18&lt;=0,0,1566*LOOKUP(AE20,密度!$A$2:$A$50,密度!B5:B53))</f>
        <v>18882.422143200001</v>
      </c>
      <c r="AH19" s="72" ph="1">
        <v>5</v>
      </c>
      <c r="AI19" s="72" t="s" ph="1">
        <v>341</v>
      </c>
      <c r="AZ19" s="72" t="s" ph="1">
        <v>216</v>
      </c>
      <c r="BA19" s="72" ph="1">
        <v>0</v>
      </c>
      <c r="BD19" s="72" t="s" ph="1">
        <v>342</v>
      </c>
      <c r="BE19" s="72" ph="1">
        <v>1440</v>
      </c>
    </row>
    <row r="20" spans="1:57" ph="1">
      <c r="A20" s="72" ph="1"/>
      <c r="B20" s="195" ph="1"/>
      <c r="C20" s="80" t="s" ph="1">
        <v>179</v>
      </c>
      <c r="D20" s="81">
        <v>35</v>
      </c>
      <c r="E20" s="81">
        <v>35</v>
      </c>
      <c r="F20" s="81">
        <v>33</v>
      </c>
      <c r="G20" s="81">
        <v>29</v>
      </c>
      <c r="H20" s="81">
        <v>29</v>
      </c>
      <c r="I20" s="81">
        <v>37</v>
      </c>
      <c r="J20" s="81">
        <v>37</v>
      </c>
      <c r="K20" s="81">
        <v>30</v>
      </c>
      <c r="L20" s="81">
        <v>30</v>
      </c>
      <c r="M20" s="81">
        <v>33</v>
      </c>
      <c r="N20" s="81">
        <v>28</v>
      </c>
      <c r="O20" s="81">
        <v>30</v>
      </c>
      <c r="P20" s="81">
        <v>35</v>
      </c>
      <c r="Q20" s="81">
        <v>35</v>
      </c>
      <c r="R20" s="81">
        <v>32</v>
      </c>
      <c r="S20" s="81">
        <v>37</v>
      </c>
      <c r="T20" s="81">
        <v>30</v>
      </c>
      <c r="U20" s="81">
        <v>30</v>
      </c>
      <c r="V20" s="81">
        <v>34</v>
      </c>
      <c r="W20" s="81">
        <v>34</v>
      </c>
      <c r="X20" s="81">
        <v>30</v>
      </c>
      <c r="Y20" s="110">
        <v>30</v>
      </c>
      <c r="Z20" s="81">
        <v>30</v>
      </c>
      <c r="AA20" s="81">
        <v>28</v>
      </c>
      <c r="AB20" s="81">
        <v>30</v>
      </c>
      <c r="AC20" s="81">
        <v>30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343</v>
      </c>
      <c r="AZ20" s="64" t="s" ph="1">
        <v>216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344</v>
      </c>
      <c r="AZ21" s="64" t="s" ph="1">
        <v>216</v>
      </c>
      <c r="BA21" s="64" ph="1">
        <v>0</v>
      </c>
      <c r="BD21" s="64" t="s" ph="1">
        <v>232</v>
      </c>
      <c r="BE21" s="64" ph="1">
        <v>730</v>
      </c>
    </row>
    <row r="22" spans="1:57" ph="1">
      <c r="A22" s="72" ph="1"/>
      <c r="B22" s="193" t="s" ph="1">
        <v>37</v>
      </c>
      <c r="C22" s="85" t="s" ph="1">
        <v>176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172" t="s" ph="1">
        <v>69</v>
      </c>
      <c r="AA22" s="173"/>
      <c r="AB22" s="173"/>
      <c r="AC22" s="173"/>
      <c r="AD22" s="173"/>
      <c r="AE22" s="174"/>
      <c r="AH22" s="64" ph="1">
        <v>8</v>
      </c>
      <c r="AI22" s="64" t="s" ph="1">
        <v>345</v>
      </c>
      <c r="AZ22" s="64" t="s" ph="1">
        <v>216</v>
      </c>
      <c r="BA22" s="64" ph="1">
        <v>0</v>
      </c>
    </row>
    <row r="23" spans="1:57" ph="1">
      <c r="A23" s="72" ph="1"/>
      <c r="B23" s="188" ph="1"/>
      <c r="C23" s="67" t="s" ph="1">
        <v>36</v>
      </c>
      <c r="D23" s="88" t="s" ph="1">
        <v>109</v>
      </c>
      <c r="E23" s="88" t="s" ph="1">
        <v>107</v>
      </c>
      <c r="F23" s="88" t="s" ph="1">
        <v>109</v>
      </c>
      <c r="G23" s="88" t="s" ph="1">
        <v>626</v>
      </c>
      <c r="H23" s="88" t="s" ph="1">
        <v>626</v>
      </c>
      <c r="I23" s="88" t="s" ph="1">
        <v>627</v>
      </c>
      <c r="J23" s="88" t="s" ph="1">
        <v>628</v>
      </c>
      <c r="K23" s="88" t="s" ph="1">
        <v>628</v>
      </c>
      <c r="L23" s="88" t="s" ph="1">
        <v>628</v>
      </c>
      <c r="M23" s="88" t="s" ph="1">
        <v>623</v>
      </c>
      <c r="N23" s="88" t="s" ph="1">
        <v>623</v>
      </c>
      <c r="O23" s="88" t="s" ph="1">
        <v>318</v>
      </c>
      <c r="P23" s="88" t="s" ph="1">
        <v>629</v>
      </c>
      <c r="Q23" s="89" t="s" ph="1">
        <v>629</v>
      </c>
      <c r="R23" s="88" t="s" ph="1">
        <v>610</v>
      </c>
      <c r="S23" s="88" t="s" ph="1">
        <v>629</v>
      </c>
      <c r="T23" s="88" t="s" ph="1">
        <v>604</v>
      </c>
      <c r="U23" s="104" t="s" ph="1">
        <v>606</v>
      </c>
      <c r="V23" s="88" t="s" ph="1">
        <v>629</v>
      </c>
      <c r="W23" s="88" t="s" ph="1">
        <v>629</v>
      </c>
      <c r="X23" s="88" t="s" ph="1">
        <v>187</v>
      </c>
      <c r="Y23" s="88" t="s" ph="1">
        <v>630</v>
      </c>
      <c r="Z23" s="175" t="s" ph="1">
        <v>638</v>
      </c>
      <c r="AA23" s="176"/>
      <c r="AB23" s="176"/>
      <c r="AC23" s="176"/>
      <c r="AD23" s="176"/>
      <c r="AE23" s="177"/>
      <c r="AH23" s="64" ph="1">
        <v>9</v>
      </c>
      <c r="AI23" s="64" t="s" ph="1">
        <v>346</v>
      </c>
      <c r="AZ23" s="64" t="s" ph="1">
        <v>216</v>
      </c>
      <c r="BA23" s="64" ph="1">
        <v>0</v>
      </c>
      <c r="BD23" s="64" t="s" ph="1">
        <v>238</v>
      </c>
      <c r="BE23" s="64" ph="1">
        <v>890</v>
      </c>
    </row>
    <row r="24" spans="1:57" ph="1">
      <c r="A24" s="72" ph="1"/>
      <c r="B24" s="184" ph="1">
        <v>0.33333333333333331</v>
      </c>
      <c r="C24" s="150" t="s" ph="1">
        <v>177</v>
      </c>
      <c r="D24" s="71">
        <v>3.05</v>
      </c>
      <c r="E24" s="71">
        <v>0</v>
      </c>
      <c r="F24" s="71">
        <v>1546</v>
      </c>
      <c r="G24" s="71">
        <v>2560</v>
      </c>
      <c r="H24" s="71">
        <v>3174</v>
      </c>
      <c r="I24" s="71">
        <v>1007</v>
      </c>
      <c r="J24" s="71">
        <v>209</v>
      </c>
      <c r="K24" s="71">
        <v>248</v>
      </c>
      <c r="L24" s="71">
        <v>469</v>
      </c>
      <c r="M24" s="71">
        <v>2592</v>
      </c>
      <c r="N24" s="71">
        <v>227</v>
      </c>
      <c r="O24" s="71">
        <v>1651</v>
      </c>
      <c r="P24" s="71">
        <v>840</v>
      </c>
      <c r="Q24" s="90">
        <v>4184</v>
      </c>
      <c r="R24" s="71">
        <v>6834</v>
      </c>
      <c r="S24" s="71">
        <v>5498</v>
      </c>
      <c r="T24" s="71">
        <v>509</v>
      </c>
      <c r="U24" s="71">
        <v>5956</v>
      </c>
      <c r="V24" s="71">
        <v>1015</v>
      </c>
      <c r="W24" s="71">
        <v>6675</v>
      </c>
      <c r="X24" s="71">
        <v>3133</v>
      </c>
      <c r="Y24" s="71">
        <v>4690</v>
      </c>
      <c r="Z24" s="178"/>
      <c r="AA24" s="179"/>
      <c r="AB24" s="179"/>
      <c r="AC24" s="179"/>
      <c r="AD24" s="179"/>
      <c r="AE24" s="180"/>
      <c r="AH24" s="64" ph="1">
        <v>10</v>
      </c>
      <c r="AI24" s="64" t="s" ph="1">
        <v>347</v>
      </c>
      <c r="AZ24" s="64" t="s" ph="1">
        <v>216</v>
      </c>
      <c r="BA24" s="64" ph="1">
        <v>0</v>
      </c>
    </row>
    <row r="25" spans="1:57" ph="1">
      <c r="A25" s="72" ph="1"/>
      <c r="B25" s="184" ph="1"/>
      <c r="C25" s="68" t="s" ph="1">
        <v>178</v>
      </c>
      <c r="D25" s="91" ph="1">
        <f>D24*268.68*LOOKUP(D26,密度!$A$2:$A$50,密度!$Q$2:$Q$50)+IF(D24&lt;=0,0,1566*LOOKUP(D26,密度!$A$2:$A$50,密度!$Q$2:$Q$50))</f>
        <v>2258.4236547599999</v>
      </c>
      <c r="E25" s="91" ph="1">
        <f>E24*268.68*LOOKUP(E26,密度!$A$2:$A$50,密度!$C$2:$C$50)+IF(E24&lt;=0,0,1566*LOOKUP(E26,密度!$A$2:$A$50,密度!$C$2:$C$50))</f>
        <v>0</v>
      </c>
      <c r="F25" s="91" ph="1">
        <f>F24*11.702*LOOKUP(F26,密度!$A$2:$A$50,密度!$Q$2:$Q$50)</f>
        <v>17127.74978808</v>
      </c>
      <c r="G25" s="91" ph="1">
        <f>G24*18.322*LOOKUP(G26,密度!$A$2:$A$50,密度!$B$2:$B$50)</f>
        <v>36407.133183999998</v>
      </c>
      <c r="H25" s="91" ph="1">
        <f>H24*18.322*LOOKUP(H26,密度!$A$2:$A$50,密度!$B$2:$B$50)</f>
        <v>45185.679755999998</v>
      </c>
      <c r="I25" s="91" ph="1">
        <f>I24*18.322*LOOKUP(I26,密度!$A$2:$A$50,密度!$Q$2:$Q$50)</f>
        <v>17454.49379162</v>
      </c>
      <c r="J25" s="91" ph="1">
        <f>J24*18.322*LOOKUP(J26,密度!$A$2:$A$50,密度!$Q$2:$Q$50)</f>
        <v>3622.6307869399998</v>
      </c>
      <c r="K25" s="91" ph="1">
        <f>K24*18.322*LOOKUP(K26,密度!$A$2:$A$50,密度!$Q$2:$Q$50)</f>
        <v>4298.6240916799998</v>
      </c>
      <c r="L25" s="91" ph="1">
        <f>L24*18.322*LOOKUP(L26,密度!$A$2:$A$50,密度!$Q$2:$Q$50)</f>
        <v>8129.2528185400006</v>
      </c>
      <c r="M25" s="91" ph="1">
        <f>M24*18.322*LOOKUP(M26,密度!$A$2:$A$50,密度!$Q$2:$Q$50)</f>
        <v>44860.593242880001</v>
      </c>
      <c r="N25" s="91" ph="1">
        <f>N24*18.322*LOOKUP(N26,密度!$A$2:$A$50,密度!$Q$2:$Q$50)</f>
        <v>3928.7633742800003</v>
      </c>
      <c r="O25" s="91" ph="1">
        <f>O24*18.322*LOOKUP(O26,密度!$A$2:$A$50,密度!$C$2:$C$50)</f>
        <v>33453.056969800004</v>
      </c>
      <c r="P25" s="91" ph="1">
        <f>P24*11.702*LOOKUP(P26,密度!$A$2:$A$50,密度!$B$2:$B$50)</f>
        <v>7663.2185279999994</v>
      </c>
      <c r="Q25" s="92" ph="1">
        <f>Q24*18.322*LOOKUP(Q26,密度!$A$2:$A$50,密度!$B$2:$B$50)</f>
        <v>59502.908297599992</v>
      </c>
      <c r="R25" s="91" ph="1">
        <f>R24*35.891*LOOKUP(R26,密度!$A$2:$A$50,密度!$C$2:$C$50)</f>
        <v>271057.92677939998</v>
      </c>
      <c r="S25" s="91" ph="1">
        <f>S24*35.891*LOOKUP(S26,密度!$A$2:$A$50,密度!$B$2:$B$50)</f>
        <v>153166.5509116</v>
      </c>
      <c r="T25" s="91" ph="1">
        <f>T24*35.891*LOOKUP(T26,密度!$A$2:$A$50,密度!$Q$2:$Q$50)</f>
        <v>17256.808417780001</v>
      </c>
      <c r="U25" s="91" ph="1">
        <f>U24*35.891</f>
        <v>213766.796</v>
      </c>
      <c r="V25" s="91" ph="1">
        <f>V24*47.051*LOOKUP(V26,密度!$A$2:$A$50,密度!$B$2:$B$50)</f>
        <v>37231.173993999997</v>
      </c>
      <c r="W25" s="91" ph="1">
        <f>W24*47.051*LOOKUP(W26,密度!$A$2:$A$50,密度!$B$2:$B$50)</f>
        <v>244845.40532999998</v>
      </c>
      <c r="X25" s="91" ph="1">
        <f>X24*47.051*LOOKUP(X26,密度!$A$2:$A$61,密度!$I$2:$I$61)</f>
        <v>153321.95539829999</v>
      </c>
      <c r="Y25" s="91" ph="1">
        <f>Y24*47.051*LOOKUP(Y26,密度!$A$2:$A$50,密度!$L$2:$L$50)</f>
        <v>205884.35427000001</v>
      </c>
      <c r="Z25" s="178"/>
      <c r="AA25" s="179"/>
      <c r="AB25" s="179"/>
      <c r="AC25" s="179"/>
      <c r="AD25" s="179"/>
      <c r="AE25" s="180"/>
      <c r="AH25" s="64" ph="1">
        <v>11</v>
      </c>
      <c r="AI25" s="64" t="s" ph="1">
        <v>348</v>
      </c>
      <c r="AZ25" s="64" t="s" ph="1">
        <v>216</v>
      </c>
      <c r="BA25" s="64" ph="1">
        <v>0</v>
      </c>
      <c r="BD25" s="64" t="s" ph="1">
        <v>241</v>
      </c>
      <c r="BE25" s="64" ph="1">
        <v>8920</v>
      </c>
    </row>
    <row r="26" spans="1:57" ph="1">
      <c r="A26" s="72" ph="1"/>
      <c r="B26" s="184" ph="1"/>
      <c r="C26" s="68" t="s" ph="1">
        <v>179</v>
      </c>
      <c r="D26" s="74">
        <v>25</v>
      </c>
      <c r="E26" s="74">
        <v>25</v>
      </c>
      <c r="F26" s="74">
        <v>25</v>
      </c>
      <c r="G26" s="74">
        <v>29</v>
      </c>
      <c r="H26" s="74">
        <v>28</v>
      </c>
      <c r="I26" s="74">
        <v>26</v>
      </c>
      <c r="J26" s="74">
        <v>26</v>
      </c>
      <c r="K26" s="74">
        <v>26</v>
      </c>
      <c r="L26" s="74">
        <v>26</v>
      </c>
      <c r="M26" s="74">
        <v>28</v>
      </c>
      <c r="N26" s="74">
        <v>28</v>
      </c>
      <c r="O26" s="74">
        <v>29</v>
      </c>
      <c r="P26" s="74">
        <v>25</v>
      </c>
      <c r="Q26" s="93">
        <v>29</v>
      </c>
      <c r="R26" s="74">
        <v>30</v>
      </c>
      <c r="S26" s="74">
        <v>29</v>
      </c>
      <c r="T26" s="74">
        <v>28</v>
      </c>
      <c r="U26" s="74">
        <v>29</v>
      </c>
      <c r="V26" s="74">
        <v>25</v>
      </c>
      <c r="W26" s="74">
        <v>25</v>
      </c>
      <c r="X26" s="74">
        <v>27</v>
      </c>
      <c r="Y26" s="74">
        <v>29</v>
      </c>
      <c r="Z26" s="178"/>
      <c r="AA26" s="179"/>
      <c r="AB26" s="179"/>
      <c r="AC26" s="179"/>
      <c r="AD26" s="179"/>
      <c r="AE26" s="180"/>
      <c r="AH26" s="64" ph="1">
        <v>12</v>
      </c>
      <c r="AI26" s="64" t="s" ph="1">
        <v>349</v>
      </c>
      <c r="AZ26" s="64" t="s" ph="1">
        <v>216</v>
      </c>
      <c r="BA26" s="64" ph="1">
        <v>0</v>
      </c>
    </row>
    <row r="27" spans="1:57" ht="26.4" ph="1">
      <c r="A27" s="72" ph="1"/>
      <c r="B27" s="184" ph="1">
        <v>0.66666666666666663</v>
      </c>
      <c r="C27" s="150" t="s" ph="1">
        <v>180</v>
      </c>
      <c r="D27" s="71">
        <v>3.02</v>
      </c>
      <c r="E27" s="71">
        <v>38.15</v>
      </c>
      <c r="F27" s="71">
        <v>732</v>
      </c>
      <c r="G27" s="71">
        <v>2088</v>
      </c>
      <c r="H27" s="71">
        <v>2722</v>
      </c>
      <c r="I27" s="71">
        <v>131</v>
      </c>
      <c r="J27" s="71">
        <v>202</v>
      </c>
      <c r="K27" s="71">
        <v>244</v>
      </c>
      <c r="L27" s="71">
        <v>465</v>
      </c>
      <c r="M27" s="71">
        <v>4835</v>
      </c>
      <c r="N27" s="71">
        <v>1071</v>
      </c>
      <c r="O27" s="71">
        <v>2502</v>
      </c>
      <c r="P27" s="71">
        <v>840</v>
      </c>
      <c r="Q27" s="90">
        <v>4648</v>
      </c>
      <c r="R27" s="71">
        <v>6275</v>
      </c>
      <c r="S27" s="71">
        <v>5494</v>
      </c>
      <c r="T27" s="71">
        <v>505</v>
      </c>
      <c r="U27" s="71">
        <v>6107</v>
      </c>
      <c r="V27" s="71">
        <v>1013</v>
      </c>
      <c r="W27" s="71">
        <v>6369</v>
      </c>
      <c r="X27" s="71">
        <v>3008</v>
      </c>
      <c r="Y27" s="71">
        <v>5022</v>
      </c>
      <c r="Z27" s="178"/>
      <c r="AA27" s="179"/>
      <c r="AB27" s="179"/>
      <c r="AC27" s="179"/>
      <c r="AD27" s="179"/>
      <c r="AE27" s="180"/>
      <c r="AH27" s="64" ph="1">
        <v>13</v>
      </c>
      <c r="AI27" s="64" t="s" ph="1">
        <v>350</v>
      </c>
      <c r="AZ27" s="64" t="s" ph="1">
        <v>216</v>
      </c>
      <c r="BA27" s="64" ph="1">
        <v>0</v>
      </c>
      <c r="BD27" s="64" t="s" ph="1">
        <v>295</v>
      </c>
      <c r="BE27" s="64" ph="1">
        <v>7100</v>
      </c>
    </row>
    <row r="28" spans="1:57" ph="1">
      <c r="A28" s="72" ph="1"/>
      <c r="B28" s="184" ph="1"/>
      <c r="C28" s="150" t="s" ph="1">
        <v>178</v>
      </c>
      <c r="D28" s="91" ph="1">
        <f>D27*268.68*LOOKUP(D29,密度!$A$2:$A$50,密度!$Q$2:$Q$50)+IF(D27&lt;=0,0,1566*LOOKUP(D29,密度!$A$2:$A$50,密度!$Q$2:$Q$50))</f>
        <v>2250.7925516639998</v>
      </c>
      <c r="E28" s="91" ph="1">
        <f>E27*268.68*LOOKUP(E29,密度!$A$2:$A$50,密度!$C$2:$C$50)+IF(E27&lt;=0,0,1566*LOOKUP(E29,密度!$A$2:$A$50,密度!$C$2:$C$50))</f>
        <v>13102.9198638</v>
      </c>
      <c r="F28" s="91" ph="1">
        <f>F27*11.702*LOOKUP(F29,密度!$A$2:$A$50,密度!$Q$2:$Q$50)</f>
        <v>8080.4364871199996</v>
      </c>
      <c r="G28" s="91" ph="1">
        <f>G27*18.322*LOOKUP(G29,密度!$A$2:$A$50,密度!$B$2:$B$50)</f>
        <v>29660.137300799997</v>
      </c>
      <c r="H28" s="91" ph="1">
        <f>H27*18.322*LOOKUP(H29,密度!$A$2:$A$50,密度!$B$2:$B$50)</f>
        <v>38750.920067999999</v>
      </c>
      <c r="I28" s="91" ph="1">
        <f>I27*18.322*LOOKUP(I29,密度!$A$2:$A$50,密度!$Q$2:$Q$50)</f>
        <v>2260.7314257999997</v>
      </c>
      <c r="J28" s="91" ph="1">
        <f>J27*18.322*LOOKUP(J29,密度!$A$2:$A$50,密度!$Q$2:$Q$50)</f>
        <v>3473.9849505999996</v>
      </c>
      <c r="K28" s="91" ph="1">
        <f>K27*18.322*LOOKUP(K29,密度!$A$2:$A$50,密度!$Q$2:$Q$50)</f>
        <v>4219.9032522400003</v>
      </c>
      <c r="L28" s="91" ph="1">
        <f>L27*18.322*LOOKUP(L29,密度!$A$2:$A$50,密度!$Q$2:$Q$50)</f>
        <v>8047.9073525999993</v>
      </c>
      <c r="M28" s="91" ph="1">
        <f>M27*18.322*LOOKUP(M29,密度!$A$2:$A$50,密度!$Q$2:$Q$50)</f>
        <v>83742.939948400002</v>
      </c>
      <c r="N28" s="91" ph="1">
        <f>N27*18.322*LOOKUP(N29,密度!$A$2:$A$50,密度!$Q$2:$Q$50)</f>
        <v>18563.816137859998</v>
      </c>
      <c r="O28" s="91" ph="1">
        <f>O27*18.322*LOOKUP(O29,密度!$A$2:$A$50,密度!$C$2:$C$50)</f>
        <v>50659.600784399998</v>
      </c>
      <c r="P28" s="91" ph="1">
        <f>P27*11.702*LOOKUP(P29,密度!$A$2:$A$50,密度!$B$2:$B$50)</f>
        <v>7629.7976159999998</v>
      </c>
      <c r="Q28" s="92" ph="1">
        <f>Q27*18.322*LOOKUP(Q29,密度!$A$2:$A$50,密度!$B$2:$B$50)</f>
        <v>66025.056596800001</v>
      </c>
      <c r="R28" s="91" ph="1">
        <f>R27*35.891*LOOKUP(R29,密度!$A$2:$A$50,密度!$C$2:$C$50)</f>
        <v>248661.01320250001</v>
      </c>
      <c r="S28" s="91" ph="1">
        <f>S27*35.891*LOOKUP(S29,密度!$A$2:$A$50,密度!$B$2:$B$50)</f>
        <v>152700.18325759997</v>
      </c>
      <c r="T28" s="91" ph="1">
        <f>T27*35.891*LOOKUP(T29,密度!$A$2:$A$50,密度!$Q$2:$Q$50)</f>
        <v>17071.895114499999</v>
      </c>
      <c r="U28" s="91" ph="1">
        <f>U27*35.891</f>
        <v>219186.337</v>
      </c>
      <c r="V28" s="91" ph="1">
        <f>V27*47.051*LOOKUP(V29,密度!$A$2:$A$50,密度!$B$2:$B$50)</f>
        <v>37157.8120748</v>
      </c>
      <c r="W28" s="91" ph="1">
        <f>W27*47.051*LOOKUP(W29,密度!$A$2:$A$50,密度!$B$2:$B$50)</f>
        <v>233621.03169239999</v>
      </c>
      <c r="X28" s="91" ph="1">
        <f>X27*47.051*LOOKUP(X29,密度!$A$2:$A$61,密度!$I$2:$I$61)</f>
        <v>147204.7372608</v>
      </c>
      <c r="Y28" s="91" ph="1">
        <f>Y27*47.051*LOOKUP(Y29,密度!$A$2:$A$50,密度!$L$2:$L$50)</f>
        <v>219749.81346</v>
      </c>
      <c r="Z28" s="178"/>
      <c r="AA28" s="179"/>
      <c r="AB28" s="179"/>
      <c r="AC28" s="179"/>
      <c r="AD28" s="179"/>
      <c r="AE28" s="180"/>
      <c r="AH28" s="64" ph="1">
        <v>14</v>
      </c>
      <c r="AI28" s="64" t="s" ph="1">
        <v>351</v>
      </c>
      <c r="AZ28" s="64" t="s" ph="1">
        <v>216</v>
      </c>
      <c r="BA28" s="64" ph="1">
        <v>0</v>
      </c>
    </row>
    <row r="29" spans="1:57" ph="1">
      <c r="A29" s="72" ph="1"/>
      <c r="B29" s="184" ph="1"/>
      <c r="C29" s="150" t="s" ph="1">
        <v>179</v>
      </c>
      <c r="D29" s="74">
        <v>25</v>
      </c>
      <c r="E29" s="74">
        <v>25</v>
      </c>
      <c r="F29" s="74">
        <v>30</v>
      </c>
      <c r="G29" s="74">
        <v>30</v>
      </c>
      <c r="H29" s="74">
        <v>28</v>
      </c>
      <c r="I29" s="74">
        <v>32</v>
      </c>
      <c r="J29" s="74">
        <v>37</v>
      </c>
      <c r="K29" s="74">
        <v>29</v>
      </c>
      <c r="L29" s="74">
        <v>28</v>
      </c>
      <c r="M29" s="74">
        <v>27</v>
      </c>
      <c r="N29" s="74">
        <v>26</v>
      </c>
      <c r="O29" s="74">
        <v>30</v>
      </c>
      <c r="P29" s="74">
        <v>29</v>
      </c>
      <c r="Q29" s="93">
        <v>30</v>
      </c>
      <c r="R29" s="74">
        <v>31</v>
      </c>
      <c r="S29" s="74">
        <v>31</v>
      </c>
      <c r="T29" s="74">
        <v>32</v>
      </c>
      <c r="U29" s="74">
        <v>30</v>
      </c>
      <c r="V29" s="74">
        <v>25</v>
      </c>
      <c r="W29" s="74">
        <v>25</v>
      </c>
      <c r="X29" s="74">
        <v>27</v>
      </c>
      <c r="Y29" s="74">
        <v>32</v>
      </c>
      <c r="Z29" s="181"/>
      <c r="AA29" s="182"/>
      <c r="AB29" s="182"/>
      <c r="AC29" s="182"/>
      <c r="AD29" s="182"/>
      <c r="AE29" s="183"/>
      <c r="AH29" s="64" ph="1">
        <v>15</v>
      </c>
      <c r="AI29" s="64" t="s" ph="1">
        <v>352</v>
      </c>
      <c r="AZ29" s="64" t="s" ph="1">
        <v>216</v>
      </c>
      <c r="BA29" s="64" ph="1">
        <v>0</v>
      </c>
      <c r="BD29" s="64" t="s" ph="1">
        <v>353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354</v>
      </c>
      <c r="AZ30" s="64" t="s" ph="1">
        <v>216</v>
      </c>
      <c r="BA30" s="64" ph="1">
        <v>0</v>
      </c>
    </row>
    <row r="31" spans="1:57" ht="28.2" ph="1">
      <c r="A31" s="64"/>
      <c r="B31" s="197" t="s" ph="1">
        <v>35</v>
      </c>
      <c r="C31" s="198" ph="1"/>
      <c r="D31" s="201" t="s" ph="1">
        <v>9</v>
      </c>
      <c r="E31" s="190" ph="1"/>
      <c r="F31" s="191" ph="1"/>
      <c r="G31" s="201" t="s" ph="1">
        <v>18</v>
      </c>
      <c r="H31" s="190" ph="1"/>
      <c r="I31" s="191" ph="1"/>
      <c r="J31" s="189" t="s" ph="1">
        <v>1</v>
      </c>
      <c r="K31" s="190" ph="1"/>
      <c r="L31" s="191" ph="1"/>
      <c r="M31" s="189" t="s" ph="1">
        <v>7</v>
      </c>
      <c r="N31" s="190" ph="1"/>
      <c r="O31" s="191" ph="1"/>
      <c r="P31" s="189" t="s" ph="1">
        <v>41</v>
      </c>
      <c r="Q31" s="190"/>
      <c r="R31" s="191"/>
      <c r="S31" s="189" t="s" ph="1">
        <v>2</v>
      </c>
      <c r="T31" s="190"/>
      <c r="U31" s="191"/>
      <c r="V31" s="189" t="s" ph="1">
        <v>71</v>
      </c>
      <c r="W31" s="190" ph="1"/>
      <c r="X31" s="191" ph="1"/>
      <c r="Y31" s="189" t="s" ph="1">
        <v>3</v>
      </c>
      <c r="Z31" s="190" ph="1"/>
      <c r="AA31" s="191" ph="1"/>
      <c r="AB31" s="212" t="s">
        <v>42</v>
      </c>
      <c r="AC31" s="213"/>
      <c r="AD31" s="213"/>
      <c r="AE31" s="214"/>
      <c r="AH31" s="64" ph="1">
        <v>17</v>
      </c>
      <c r="AI31" s="64" t="s" ph="1">
        <v>355</v>
      </c>
      <c r="AZ31" s="64" t="s" ph="1">
        <v>216</v>
      </c>
      <c r="BA31" s="64" ph="1">
        <v>0</v>
      </c>
      <c r="BD31" s="64" t="s" ph="1">
        <v>356</v>
      </c>
      <c r="BE31" s="64" ph="1">
        <v>9310</v>
      </c>
    </row>
    <row r="32" spans="1:57" ph="1">
      <c r="A32" s="64"/>
      <c r="B32" s="199" ph="1"/>
      <c r="C32" s="200" ph="1"/>
      <c r="D32" s="96" t="s" ph="1">
        <v>4</v>
      </c>
      <c r="E32" s="150" t="s" ph="1">
        <v>5</v>
      </c>
      <c r="F32" s="149" t="s" ph="1">
        <v>43</v>
      </c>
      <c r="G32" s="97" t="s" ph="1">
        <v>4</v>
      </c>
      <c r="H32" s="150" t="s" ph="1">
        <v>5</v>
      </c>
      <c r="I32" s="149" t="s" ph="1">
        <v>43</v>
      </c>
      <c r="J32" s="97" t="s" ph="1">
        <v>4</v>
      </c>
      <c r="K32" s="150" t="s" ph="1">
        <v>5</v>
      </c>
      <c r="L32" s="149" t="s" ph="1">
        <v>43</v>
      </c>
      <c r="M32" s="97" t="s" ph="1">
        <v>4</v>
      </c>
      <c r="N32" s="150" t="s" ph="1">
        <v>5</v>
      </c>
      <c r="O32" s="149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50" t="s" ph="1">
        <v>5</v>
      </c>
      <c r="U32" s="99" t="s" ph="1">
        <v>43</v>
      </c>
      <c r="V32" s="97" t="s" ph="1">
        <v>4</v>
      </c>
      <c r="W32" s="150" t="s" ph="1">
        <v>5</v>
      </c>
      <c r="X32" s="99" t="s" ph="1">
        <v>43</v>
      </c>
      <c r="Y32" s="100" t="s" ph="1">
        <v>4</v>
      </c>
      <c r="Z32" s="150" t="s" ph="1">
        <v>5</v>
      </c>
      <c r="AA32" s="149" t="s" ph="1">
        <v>43</v>
      </c>
      <c r="AB32" s="97" t="s" ph="1">
        <v>85</v>
      </c>
      <c r="AC32" s="150" t="s" ph="1">
        <v>84</v>
      </c>
      <c r="AD32" s="215" t="s" ph="1">
        <v>83</v>
      </c>
      <c r="AE32" s="216"/>
      <c r="AH32" s="64" ph="1">
        <v>18</v>
      </c>
      <c r="AI32" s="64" t="s" ph="1">
        <v>357</v>
      </c>
      <c r="AZ32" s="64" t="s" ph="1">
        <v>216</v>
      </c>
      <c r="BA32" s="64" ph="1">
        <v>0</v>
      </c>
    </row>
    <row r="33" spans="1:57" ph="1">
      <c r="A33" s="64"/>
      <c r="B33" s="202" t="s" ph="1">
        <v>181</v>
      </c>
      <c r="C33" s="203" ph="1"/>
      <c r="D33" s="206" ph="1">
        <f>AA10+AB10+Z19</f>
        <v>92122.632677999994</v>
      </c>
      <c r="E33" s="206" ph="1">
        <f>M10+I10</f>
        <v>228136.5597944</v>
      </c>
      <c r="F33" s="208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1522252632456786910111213141516171819202123456789101112131415161718192022232424356789101112131415161718192021222345678910111213141516171819202345678910111213149101516171819222123234567891012131415161711181920212224252345678910111213133[[#This Row],[F25]]</f>
        <v>3880</v>
      </c>
      <c r="G33" s="210" ph="1">
        <f>N19</f>
        <v>28866.8107776</v>
      </c>
      <c r="H33" s="206" ph="1">
        <f>M19</f>
        <v>48939.707463324004</v>
      </c>
      <c r="I33" s="219" ph="1">
        <v>0</v>
      </c>
      <c r="J33" s="217" ph="1">
        <f>F10+O28</f>
        <v>264962.19738959998</v>
      </c>
      <c r="K33" s="206" ph="1">
        <f>O10+K10+E28+R28</f>
        <v>397036.25722310005</v>
      </c>
      <c r="L33" s="221" ph="1">
        <f>K19</f>
        <v>22854.58790834</v>
      </c>
      <c r="M33" s="217" ph="1">
        <f>G10+H10+W28+S28+V28+E10+R19+P28+Q28</f>
        <v>890211.82860890008</v>
      </c>
      <c r="N33" s="206" ph="1">
        <f>L10+P10++G28+H28+AD19+AE19</f>
        <v>183568.95769119999</v>
      </c>
      <c r="O33" s="219" ph="1">
        <f>G19</f>
        <v>14876.303946239999</v>
      </c>
      <c r="P33" s="217" ph="1">
        <f>L19</f>
        <v>25261.944076799999</v>
      </c>
      <c r="Q33" s="206" ph="1">
        <f>J10+N10</f>
        <v>23162.73628592</v>
      </c>
      <c r="R33" s="219" ph="1">
        <f>BE23</f>
        <v>890</v>
      </c>
      <c r="S33" s="217" ph="1">
        <f>X28</f>
        <v>147204.7372608</v>
      </c>
      <c r="T33" s="206" ph="1">
        <f>X19</f>
        <v>18786.951337279999</v>
      </c>
      <c r="U33" s="227" ph="1">
        <f>BE21</f>
        <v>730</v>
      </c>
      <c r="V33" s="238" ph="1">
        <f ca="1">P19+Q19+S19+M28+N28+J28+D10+AC10+D19+E19+H19+J19+O19+V19+W19+K28+L28</f>
        <v>515815.373264144</v>
      </c>
      <c r="W33" s="238" ph="1">
        <f>D28+F28+T28+I28</f>
        <v>29663.855579084</v>
      </c>
      <c r="X33" s="219" ph="1">
        <f>BE29+BE31</f>
        <v>10200</v>
      </c>
      <c r="Y33" s="240" ph="1">
        <f>+Q10+R10+S10+T10+U10+V10+W10+X10+Y10</f>
        <v>261750.88003679999</v>
      </c>
      <c r="Z33" s="225" ph="1">
        <f>T19+U19+Y28+Z10</f>
        <v>375814.73091260006</v>
      </c>
      <c r="AA33" s="227" ph="1">
        <f>BE19</f>
        <v>1440</v>
      </c>
      <c r="AB33" s="229" ph="1">
        <f>I19</f>
        <v>47516.763539880005</v>
      </c>
      <c r="AC33" s="231" ph="1">
        <f>AD10+AB19</f>
        <v>121213.86820560001</v>
      </c>
      <c r="AD33" s="233" ph="1">
        <v>0</v>
      </c>
      <c r="AE33" s="234"/>
      <c r="AH33" s="64" ph="1">
        <v>19</v>
      </c>
      <c r="AI33" s="64" t="s" ph="1">
        <v>358</v>
      </c>
      <c r="AJ33" s="64" t="s" ph="1">
        <v>592</v>
      </c>
      <c r="AK33" s="64" t="s" ph="1">
        <v>589</v>
      </c>
      <c r="AL33" s="64" ph="1">
        <v>730</v>
      </c>
      <c r="AM33" s="64" t="s" ph="1">
        <v>339</v>
      </c>
      <c r="AZ33" s="64" t="s" ph="1">
        <v>216</v>
      </c>
      <c r="BA33" s="64" ph="1">
        <v>730</v>
      </c>
      <c r="BD33" s="64" t="s" ph="1">
        <v>290</v>
      </c>
      <c r="BE33" s="64" ph="1">
        <v>3880</v>
      </c>
    </row>
    <row r="34" spans="1:57" ph="1">
      <c r="A34" s="64"/>
      <c r="B34" s="204" ph="1"/>
      <c r="C34" s="205" ph="1"/>
      <c r="D34" s="207" ph="1"/>
      <c r="E34" s="207" ph="1"/>
      <c r="F34" s="209" ph="1"/>
      <c r="G34" s="211" ph="1"/>
      <c r="H34" s="207" ph="1"/>
      <c r="I34" s="220" ph="1"/>
      <c r="J34" s="218" ph="1"/>
      <c r="K34" s="207" ph="1"/>
      <c r="L34" s="222" ph="1"/>
      <c r="M34" s="218" ph="1"/>
      <c r="N34" s="207" ph="1"/>
      <c r="O34" s="220" ph="1"/>
      <c r="P34" s="218" ph="1"/>
      <c r="Q34" s="207" ph="1"/>
      <c r="R34" s="220" ph="1"/>
      <c r="S34" s="218" ph="1"/>
      <c r="T34" s="207"/>
      <c r="U34" s="228"/>
      <c r="V34" s="239" ph="1"/>
      <c r="W34" s="239" ph="1"/>
      <c r="X34" s="220" ph="1"/>
      <c r="Y34" s="241" ph="1"/>
      <c r="Z34" s="226" ph="1"/>
      <c r="AA34" s="228" ph="1"/>
      <c r="AB34" s="230"/>
      <c r="AC34" s="232"/>
      <c r="AD34" s="235"/>
      <c r="AE34" s="236"/>
      <c r="AH34" s="64" ph="1">
        <v>20</v>
      </c>
      <c r="AI34" s="64" t="s" ph="1">
        <v>359</v>
      </c>
      <c r="AJ34" s="64" t="s" ph="1">
        <v>593</v>
      </c>
      <c r="AK34" s="64" t="s" ph="1">
        <v>589</v>
      </c>
      <c r="AL34" s="64" ph="1">
        <v>720</v>
      </c>
      <c r="AM34" s="64" t="s" ph="1">
        <v>339</v>
      </c>
      <c r="AZ34" s="64" t="s" ph="1">
        <v>216</v>
      </c>
      <c r="BA34" s="64" ph="1">
        <v>720</v>
      </c>
    </row>
    <row r="35" spans="1:57" ph="1">
      <c r="A35" s="64"/>
      <c r="AC35" s="237" t="s" ph="1">
        <v>631</v>
      </c>
      <c r="AD35" s="237"/>
      <c r="AE35" s="237"/>
      <c r="AH35" s="64" ph="1">
        <v>21</v>
      </c>
      <c r="AI35" s="64" t="s" ph="1">
        <v>360</v>
      </c>
      <c r="AZ35" s="64" t="s" ph="1">
        <v>216</v>
      </c>
      <c r="BA35" s="64" ph="1">
        <v>0</v>
      </c>
      <c r="BD35" s="64" t="s" ph="1">
        <v>361</v>
      </c>
      <c r="BE35" s="64" ph="1">
        <v>2030</v>
      </c>
    </row>
    <row r="36" spans="1:57" ht="28.2" ph="1">
      <c r="A36" s="64"/>
      <c r="B36" s="103" t="s" ph="1">
        <v>182</v>
      </c>
      <c r="I36" s="223" t="s" ph="1">
        <v>183</v>
      </c>
      <c r="J36" s="223" ph="1"/>
      <c r="K36" s="101" ph="1"/>
      <c r="P36" s="101" ph="1"/>
      <c r="R36" s="223" t="s" ph="1">
        <v>184</v>
      </c>
      <c r="S36" s="223" ph="1"/>
      <c r="Y36" s="102" ph="1"/>
      <c r="Z36" s="148" t="s" ph="1">
        <v>185</v>
      </c>
      <c r="AA36" s="148" ph="1"/>
      <c r="AB36" s="224" t="s" ph="1">
        <v>640</v>
      </c>
      <c r="AC36" s="224" ph="1"/>
      <c r="AD36" s="224" ph="1"/>
      <c r="AE36" s="224" ph="1"/>
      <c r="BA36" s="64" ph="1">
        <v>2270</v>
      </c>
    </row>
    <row r="37" spans="1:57" s="148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48" t="s" ph="1">
        <v>342</v>
      </c>
      <c r="AI37" s="148" t="s" ph="1">
        <v>209</v>
      </c>
      <c r="AJ37" s="148" t="s" ph="1">
        <v>210</v>
      </c>
      <c r="AK37" s="148" t="s" ph="1">
        <v>211</v>
      </c>
      <c r="AM37" s="148" t="s" ph="1">
        <v>210</v>
      </c>
      <c r="AN37" s="148" t="s" ph="1">
        <v>211</v>
      </c>
      <c r="AO37" s="148" t="s" ph="1">
        <v>212</v>
      </c>
      <c r="AP37" s="148" t="s" ph="1">
        <v>210</v>
      </c>
      <c r="AQ37" s="148" t="s" ph="1">
        <v>211</v>
      </c>
      <c r="AR37" s="148" t="s" ph="1">
        <v>212</v>
      </c>
      <c r="AS37" s="148" t="s" ph="1">
        <v>210</v>
      </c>
      <c r="AT37" s="148" t="s" ph="1">
        <v>211</v>
      </c>
      <c r="AU37" s="148" t="s" ph="1">
        <v>212</v>
      </c>
      <c r="AV37" s="148" t="s" ph="1">
        <v>210</v>
      </c>
      <c r="AW37" s="148" t="s" ph="1">
        <v>211</v>
      </c>
      <c r="AX37" s="148" t="s" ph="1">
        <v>212</v>
      </c>
      <c r="AY37" s="148" t="s" ph="1">
        <v>211</v>
      </c>
      <c r="AZ37" s="148" t="s" ph="1">
        <v>213</v>
      </c>
      <c r="BD37" s="148" t="s" ph="1">
        <v>305</v>
      </c>
      <c r="BE37" s="148" ph="1">
        <v>0</v>
      </c>
    </row>
    <row r="38" spans="1:57" ph="1">
      <c r="AE38" s="64" ph="1"/>
      <c r="AH38" s="64" ph="1">
        <v>1</v>
      </c>
      <c r="AI38" s="64" t="s" ph="1">
        <v>362</v>
      </c>
      <c r="AY38" s="64" t="s" ph="1">
        <v>216</v>
      </c>
      <c r="AZ38" s="64" t="s" ph="1">
        <v>367</v>
      </c>
    </row>
    <row r="39" spans="1:57" ph="1">
      <c r="AH39" s="64" ph="1">
        <v>2</v>
      </c>
      <c r="AI39" s="64" t="s" ph="1">
        <v>364</v>
      </c>
      <c r="AJ39" s="64" t="s" ph="1">
        <v>336</v>
      </c>
      <c r="AK39" s="64" t="s" ph="1">
        <v>365</v>
      </c>
      <c r="AM39" s="64" t="s" ph="1">
        <v>570</v>
      </c>
      <c r="AN39" s="64" t="s" ph="1">
        <v>228</v>
      </c>
      <c r="AO39" s="64" t="s" ph="1">
        <v>363</v>
      </c>
      <c r="AY39" s="64" t="s" ph="1">
        <v>216</v>
      </c>
      <c r="AZ39" s="64" t="s" ph="1">
        <v>499</v>
      </c>
    </row>
    <row r="40" spans="1:57" ph="1">
      <c r="AH40" s="64" ph="1">
        <v>3</v>
      </c>
      <c r="AI40" s="64" t="s" ph="1">
        <v>366</v>
      </c>
      <c r="AJ40" s="64" t="s" ph="1">
        <v>570</v>
      </c>
      <c r="AK40" s="64" t="s" ph="1">
        <v>571</v>
      </c>
      <c r="AY40" s="64" t="s" ph="1">
        <v>216</v>
      </c>
      <c r="AZ40" s="64" t="s" ph="1">
        <v>571</v>
      </c>
    </row>
    <row r="41" spans="1:57" ph="1">
      <c r="AH41" s="64" ph="1">
        <v>4</v>
      </c>
      <c r="AI41" s="64" t="s" ph="1">
        <v>368</v>
      </c>
      <c r="AJ41" s="64" t="s" ph="1">
        <v>572</v>
      </c>
      <c r="AK41" s="64" t="s" ph="1">
        <v>573</v>
      </c>
      <c r="AM41" s="64" t="s" ph="1">
        <v>574</v>
      </c>
      <c r="AY41" s="64" t="s" ph="1">
        <v>216</v>
      </c>
      <c r="AZ41" s="64" t="s" ph="1">
        <v>573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369</v>
      </c>
      <c r="AY42" s="64" t="s" ph="1">
        <v>216</v>
      </c>
      <c r="AZ42" s="64" t="s" ph="1">
        <v>367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370</v>
      </c>
      <c r="AY43" s="64" t="s" ph="1">
        <v>216</v>
      </c>
      <c r="AZ43" s="64" t="s" ph="1">
        <v>367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371</v>
      </c>
      <c r="AV44" s="64" t="s" ph="1">
        <v>217</v>
      </c>
      <c r="AY44" s="64" t="s" ph="1">
        <v>216</v>
      </c>
      <c r="AZ44" s="64" t="s" ph="1">
        <v>367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372</v>
      </c>
      <c r="AV45" s="64" t="s" ph="1">
        <v>217</v>
      </c>
      <c r="AY45" s="64" t="s" ph="1">
        <v>216</v>
      </c>
      <c r="AZ45" s="64" t="s" ph="1">
        <v>367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373</v>
      </c>
      <c r="AV46" s="64" t="s" ph="1">
        <v>217</v>
      </c>
      <c r="AY46" s="64" t="s" ph="1">
        <v>216</v>
      </c>
      <c r="AZ46" s="64" t="s" ph="1">
        <v>367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374</v>
      </c>
      <c r="AV47" s="64" t="s" ph="1">
        <v>217</v>
      </c>
      <c r="AY47" s="64" t="s" ph="1">
        <v>216</v>
      </c>
      <c r="AZ47" s="64" t="s" ph="1">
        <v>367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575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232</v>
      </c>
      <c r="AI49" s="64" t="s" ph="1">
        <v>209</v>
      </c>
      <c r="AJ49" s="64" t="s" ph="1">
        <v>210</v>
      </c>
      <c r="AK49" s="64" t="s" ph="1">
        <v>211</v>
      </c>
      <c r="AM49" s="64" t="s" ph="1">
        <v>210</v>
      </c>
      <c r="AN49" s="64" t="s" ph="1">
        <v>211</v>
      </c>
      <c r="AO49" s="64" t="s" ph="1">
        <v>212</v>
      </c>
      <c r="AP49" s="64" t="s" ph="1">
        <v>210</v>
      </c>
      <c r="AQ49" s="64" t="s" ph="1">
        <v>211</v>
      </c>
      <c r="AR49" s="64" t="s" ph="1">
        <v>212</v>
      </c>
      <c r="AS49" s="64" t="s" ph="1">
        <v>210</v>
      </c>
      <c r="AT49" s="64" t="s" ph="1">
        <v>211</v>
      </c>
      <c r="AU49" s="64" t="s" ph="1">
        <v>212</v>
      </c>
      <c r="AV49" s="64" t="s" ph="1">
        <v>210</v>
      </c>
      <c r="AW49" s="64" t="s" ph="1">
        <v>211</v>
      </c>
      <c r="AX49" s="64" t="s" ph="1">
        <v>212</v>
      </c>
      <c r="AY49" s="64" t="s" ph="1">
        <v>211</v>
      </c>
      <c r="AZ49" s="64" t="s" ph="1">
        <v>213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375</v>
      </c>
      <c r="AY50" s="64" t="s" ph="1">
        <v>216</v>
      </c>
      <c r="AZ50" s="64" t="s" ph="1">
        <v>367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376</v>
      </c>
      <c r="AY51" s="64" t="s" ph="1">
        <v>216</v>
      </c>
      <c r="AZ51" s="64" t="s" ph="1">
        <v>367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377</v>
      </c>
      <c r="AJ52" s="64" t="s" ph="1">
        <v>334</v>
      </c>
      <c r="AK52" s="64" t="s" ph="1">
        <v>228</v>
      </c>
      <c r="AM52" s="64" t="s" ph="1">
        <v>336</v>
      </c>
      <c r="AN52" s="64" t="s" ph="1">
        <v>300</v>
      </c>
      <c r="AO52" s="64" t="s" ph="1">
        <v>233</v>
      </c>
      <c r="AP52" s="64" t="s" ph="1">
        <v>570</v>
      </c>
      <c r="AQ52" s="64" t="s" ph="1">
        <v>282</v>
      </c>
      <c r="AR52" s="64" t="s" ph="1">
        <v>233</v>
      </c>
      <c r="AY52" s="64" t="s" ph="1">
        <v>216</v>
      </c>
      <c r="AZ52" s="64" t="s" ph="1">
        <v>576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378</v>
      </c>
      <c r="AY53" s="64" t="s" ph="1">
        <v>216</v>
      </c>
      <c r="AZ53" s="64" t="s" ph="1">
        <v>367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379</v>
      </c>
      <c r="AJ54" s="64" t="s" ph="1">
        <v>334</v>
      </c>
      <c r="AK54" s="64" t="s" ph="1">
        <v>219</v>
      </c>
      <c r="AM54" s="64" t="s" ph="1">
        <v>336</v>
      </c>
      <c r="AN54" s="64" t="s" ph="1">
        <v>224</v>
      </c>
      <c r="AO54" s="64" t="s" ph="1">
        <v>233</v>
      </c>
      <c r="AP54" s="64" t="s" ph="1">
        <v>570</v>
      </c>
      <c r="AQ54" s="64" t="s" ph="1">
        <v>240</v>
      </c>
      <c r="AR54" s="64" t="s" ph="1">
        <v>233</v>
      </c>
      <c r="AY54" s="64" t="s" ph="1">
        <v>216</v>
      </c>
      <c r="AZ54" s="64" t="s" ph="1">
        <v>234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380</v>
      </c>
      <c r="AY55" s="64" t="s" ph="1">
        <v>216</v>
      </c>
      <c r="AZ55" s="64" t="s" ph="1">
        <v>367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381</v>
      </c>
      <c r="AY56" s="64" t="s" ph="1">
        <v>216</v>
      </c>
      <c r="AZ56" s="64" t="s" ph="1">
        <v>367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382</v>
      </c>
      <c r="AY57" s="64" t="s" ph="1">
        <v>216</v>
      </c>
      <c r="AZ57" s="64" t="s" ph="1">
        <v>367</v>
      </c>
    </row>
    <row r="58" spans="16:52" ph="1">
      <c r="P58" s="64"/>
      <c r="AN58" s="64" t="s" ph="1">
        <v>217</v>
      </c>
      <c r="AZ58" s="64" t="s" ph="1">
        <v>577</v>
      </c>
    </row>
    <row r="59" spans="16:52" ph="1">
      <c r="V59" s="64"/>
      <c r="AG59" s="64" t="s" ph="1">
        <v>235</v>
      </c>
      <c r="AI59" s="64" t="s" ph="1">
        <v>209</v>
      </c>
      <c r="AJ59" s="64" t="s" ph="1">
        <v>210</v>
      </c>
      <c r="AK59" s="64" t="s" ph="1">
        <v>211</v>
      </c>
      <c r="AM59" s="64" t="s" ph="1">
        <v>210</v>
      </c>
      <c r="AN59" s="64" t="s" ph="1">
        <v>211</v>
      </c>
      <c r="AO59" s="64" t="s" ph="1">
        <v>212</v>
      </c>
      <c r="AP59" s="64" t="s" ph="1">
        <v>210</v>
      </c>
      <c r="AQ59" s="64" t="s" ph="1">
        <v>211</v>
      </c>
      <c r="AR59" s="64" t="s" ph="1">
        <v>212</v>
      </c>
      <c r="AS59" s="64" t="s" ph="1">
        <v>210</v>
      </c>
      <c r="AT59" s="64" t="s" ph="1">
        <v>211</v>
      </c>
      <c r="AU59" s="64" t="s" ph="1">
        <v>212</v>
      </c>
      <c r="AV59" s="64" t="s" ph="1">
        <v>210</v>
      </c>
      <c r="AW59" s="64" t="s" ph="1">
        <v>211</v>
      </c>
      <c r="AX59" s="64" t="s" ph="1">
        <v>212</v>
      </c>
      <c r="AY59" s="64" t="s" ph="1">
        <v>211</v>
      </c>
      <c r="AZ59" s="64" t="s" ph="1">
        <v>213</v>
      </c>
    </row>
    <row r="60" spans="16:52" ph="1">
      <c r="R60" s="64"/>
      <c r="S60" s="64"/>
      <c r="T60" s="64"/>
      <c r="AH60" s="64" ph="1">
        <v>1</v>
      </c>
      <c r="AI60" s="64" t="s" ph="1">
        <v>383</v>
      </c>
      <c r="AY60" s="64" t="s" ph="1">
        <v>216</v>
      </c>
      <c r="AZ60" s="64" t="s" ph="1">
        <v>367</v>
      </c>
    </row>
    <row r="61" spans="16:52" ph="1">
      <c r="AH61" s="64" ph="1">
        <v>2</v>
      </c>
      <c r="AI61" s="64" t="s" ph="1">
        <v>384</v>
      </c>
      <c r="AS61" s="64" t="s" ph="1">
        <v>217</v>
      </c>
      <c r="AY61" s="64" t="s" ph="1">
        <v>216</v>
      </c>
      <c r="AZ61" s="64" t="s" ph="1">
        <v>367</v>
      </c>
    </row>
    <row r="62" spans="16:52" ph="1">
      <c r="AZ62" s="64" t="s" ph="1">
        <v>385</v>
      </c>
    </row>
    <row r="63" spans="16:52" ph="1">
      <c r="AG63" s="64" t="s" ph="1">
        <v>238</v>
      </c>
      <c r="AI63" s="64" t="s" ph="1">
        <v>209</v>
      </c>
      <c r="AJ63" s="64" t="s" ph="1">
        <v>210</v>
      </c>
      <c r="AK63" s="64" t="s" ph="1">
        <v>211</v>
      </c>
      <c r="AM63" s="64" t="s" ph="1">
        <v>210</v>
      </c>
      <c r="AN63" s="64" t="s" ph="1">
        <v>211</v>
      </c>
      <c r="AO63" s="64" t="s" ph="1">
        <v>212</v>
      </c>
      <c r="AP63" s="64" t="s" ph="1">
        <v>210</v>
      </c>
      <c r="AQ63" s="64" t="s" ph="1">
        <v>211</v>
      </c>
      <c r="AR63" s="64" t="s" ph="1">
        <v>212</v>
      </c>
      <c r="AS63" s="64" t="s" ph="1">
        <v>210</v>
      </c>
      <c r="AT63" s="64" t="s" ph="1">
        <v>211</v>
      </c>
      <c r="AU63" s="64" t="s" ph="1">
        <v>212</v>
      </c>
      <c r="AV63" s="64" t="s" ph="1">
        <v>210</v>
      </c>
      <c r="AW63" s="64" t="s" ph="1">
        <v>211</v>
      </c>
      <c r="AX63" s="64" t="s" ph="1">
        <v>212</v>
      </c>
      <c r="AY63" s="64" t="s" ph="1">
        <v>211</v>
      </c>
      <c r="AZ63" s="64" t="s" ph="1">
        <v>213</v>
      </c>
    </row>
    <row r="64" spans="16:52" ph="1">
      <c r="AH64" s="64" ph="1">
        <v>1</v>
      </c>
      <c r="AI64" s="64" t="s" ph="1">
        <v>386</v>
      </c>
      <c r="AJ64" s="64" t="s" ph="1">
        <v>387</v>
      </c>
      <c r="AK64" s="64" t="s" ph="1">
        <v>388</v>
      </c>
      <c r="AY64" s="64" t="s" ph="1">
        <v>216</v>
      </c>
      <c r="AZ64" s="64" t="s" ph="1">
        <v>388</v>
      </c>
    </row>
    <row r="65" spans="33:52" ph="1">
      <c r="AH65" s="64" ph="1">
        <v>2</v>
      </c>
      <c r="AI65" s="64" t="s" ph="1">
        <v>389</v>
      </c>
      <c r="AY65" s="64" t="s" ph="1">
        <v>216</v>
      </c>
      <c r="AZ65" s="64" t="s" ph="1">
        <v>367</v>
      </c>
    </row>
    <row r="66" spans="33:52" ph="1">
      <c r="AH66" s="64" ph="1">
        <v>3</v>
      </c>
      <c r="AI66" s="64" t="s" ph="1">
        <v>390</v>
      </c>
      <c r="AY66" s="64" t="s" ph="1">
        <v>216</v>
      </c>
      <c r="AZ66" s="64" t="s" ph="1">
        <v>367</v>
      </c>
    </row>
    <row r="67" spans="33:52" ph="1">
      <c r="AH67" s="64" ph="1">
        <v>4</v>
      </c>
      <c r="AI67" s="64" t="s" ph="1">
        <v>391</v>
      </c>
      <c r="AY67" s="64" t="s" ph="1">
        <v>216</v>
      </c>
      <c r="AZ67" s="64" t="s" ph="1">
        <v>367</v>
      </c>
    </row>
    <row r="68" spans="33:52" ph="1">
      <c r="AH68" s="64" ph="1">
        <v>5</v>
      </c>
      <c r="AI68" s="64" t="s" ph="1">
        <v>392</v>
      </c>
      <c r="AY68" s="64" t="s" ph="1">
        <v>216</v>
      </c>
      <c r="AZ68" s="64" t="s" ph="1">
        <v>367</v>
      </c>
    </row>
    <row r="69" spans="33:52" ph="1">
      <c r="AH69" s="64" ph="1">
        <v>6</v>
      </c>
      <c r="AI69" s="64" t="s" ph="1">
        <v>393</v>
      </c>
      <c r="AY69" s="64" t="s" ph="1">
        <v>216</v>
      </c>
      <c r="AZ69" s="64" t="s" ph="1">
        <v>367</v>
      </c>
    </row>
    <row r="70" spans="33:52" ph="1">
      <c r="AI70" s="64" t="s" ph="1">
        <v>394</v>
      </c>
      <c r="AY70" s="64" t="s" ph="1">
        <v>216</v>
      </c>
      <c r="AZ70" s="64" t="s" ph="1">
        <v>367</v>
      </c>
    </row>
    <row r="71" spans="33:52" ph="1">
      <c r="AH71" s="64" ph="1">
        <v>7</v>
      </c>
      <c r="AI71" s="64" t="s" ph="1">
        <v>395</v>
      </c>
      <c r="AJ71" s="64" t="s" ph="1">
        <v>334</v>
      </c>
      <c r="AK71" s="64" t="s" ph="1">
        <v>228</v>
      </c>
      <c r="AM71" s="64" t="s" ph="1">
        <v>336</v>
      </c>
      <c r="AN71" s="64" t="s" ph="1">
        <v>228</v>
      </c>
      <c r="AO71" s="64" t="s" ph="1">
        <v>396</v>
      </c>
      <c r="AP71" s="64" t="s" ph="1">
        <v>570</v>
      </c>
      <c r="AQ71" s="64" t="s" ph="1">
        <v>219</v>
      </c>
      <c r="AR71" s="64" t="s" ph="1">
        <v>396</v>
      </c>
      <c r="AY71" s="64" t="s" ph="1">
        <v>216</v>
      </c>
      <c r="AZ71" s="64" t="s" ph="1">
        <v>578</v>
      </c>
    </row>
    <row r="72" spans="33:52" ph="1">
      <c r="AZ72" s="64" t="s" ph="1">
        <v>579</v>
      </c>
    </row>
    <row r="73" spans="33:52" ph="1">
      <c r="AG73" s="64" t="s" ph="1">
        <v>241</v>
      </c>
      <c r="AI73" s="64" t="s" ph="1">
        <v>209</v>
      </c>
      <c r="AJ73" s="64" t="s" ph="1">
        <v>210</v>
      </c>
      <c r="AK73" s="64" t="s" ph="1">
        <v>211</v>
      </c>
      <c r="AM73" s="64" t="s" ph="1">
        <v>210</v>
      </c>
      <c r="AN73" s="64" t="s" ph="1">
        <v>211</v>
      </c>
      <c r="AO73" s="64" t="s" ph="1">
        <v>212</v>
      </c>
      <c r="AP73" s="64" t="s" ph="1">
        <v>210</v>
      </c>
      <c r="AQ73" s="64" t="s" ph="1">
        <v>211</v>
      </c>
      <c r="AR73" s="64" t="s" ph="1">
        <v>212</v>
      </c>
      <c r="AS73" s="64" t="s" ph="1">
        <v>210</v>
      </c>
      <c r="AT73" s="64" t="s" ph="1">
        <v>211</v>
      </c>
      <c r="AU73" s="64" t="s" ph="1">
        <v>212</v>
      </c>
      <c r="AV73" s="64" t="s" ph="1">
        <v>210</v>
      </c>
      <c r="AW73" s="64" t="s" ph="1">
        <v>211</v>
      </c>
      <c r="AX73" s="64" t="s" ph="1">
        <v>212</v>
      </c>
      <c r="AY73" s="64" t="s" ph="1">
        <v>211</v>
      </c>
      <c r="AZ73" s="64" t="s" ph="1">
        <v>213</v>
      </c>
    </row>
    <row r="74" spans="33:52" ph="1">
      <c r="AH74" s="64" ph="1">
        <v>1</v>
      </c>
      <c r="AI74" s="64" t="s" ph="1">
        <v>397</v>
      </c>
      <c r="AJ74" s="64" t="s" ph="1">
        <v>242</v>
      </c>
      <c r="AK74" s="64" t="s" ph="1">
        <v>224</v>
      </c>
      <c r="AM74" s="64" t="s" ph="1">
        <v>244</v>
      </c>
      <c r="AN74" s="64" t="s" ph="1">
        <v>254</v>
      </c>
      <c r="AO74" s="64" t="s" ph="1">
        <v>243</v>
      </c>
      <c r="AP74" s="64" t="s" ph="1">
        <v>245</v>
      </c>
      <c r="AQ74" s="64" t="s" ph="1">
        <v>222</v>
      </c>
      <c r="AR74" s="64" t="s" ph="1">
        <v>243</v>
      </c>
      <c r="AS74" s="64" t="s" ph="1">
        <v>215</v>
      </c>
      <c r="AT74" s="64" t="s" ph="1">
        <v>217</v>
      </c>
      <c r="AV74" s="64" t="s" ph="1">
        <v>398</v>
      </c>
      <c r="AW74" s="64" t="s" ph="1">
        <v>399</v>
      </c>
      <c r="AX74" s="64" t="s" ph="1">
        <v>400</v>
      </c>
      <c r="AY74" s="64" t="s" ph="1">
        <v>216</v>
      </c>
      <c r="AZ74" s="64" t="s" ph="1">
        <v>401</v>
      </c>
    </row>
    <row r="75" spans="33:52" ph="1">
      <c r="AJ75" s="64" t="s" ph="1">
        <v>247</v>
      </c>
      <c r="AK75" s="64" t="s" ph="1">
        <v>300</v>
      </c>
      <c r="AM75" s="64" t="s" ph="1">
        <v>245</v>
      </c>
      <c r="AN75" s="64" t="s" ph="1">
        <v>225</v>
      </c>
      <c r="AO75" s="64" t="s" ph="1">
        <v>243</v>
      </c>
      <c r="AS75" s="64" t="s" ph="1">
        <v>215</v>
      </c>
      <c r="AT75" s="64" t="s" ph="1">
        <v>246</v>
      </c>
    </row>
    <row r="76" spans="33:52" ph="1">
      <c r="AJ76" s="64" t="s" ph="1">
        <v>247</v>
      </c>
      <c r="AK76" s="64" t="s" ph="1">
        <v>240</v>
      </c>
      <c r="AM76" s="64" t="s" ph="1">
        <v>245</v>
      </c>
      <c r="AN76" s="64" t="s" ph="1">
        <v>228</v>
      </c>
      <c r="AO76" s="64" t="s" ph="1">
        <v>243</v>
      </c>
      <c r="AS76" s="64" t="s" ph="1">
        <v>215</v>
      </c>
      <c r="AT76" s="64" t="s" ph="1">
        <v>246</v>
      </c>
    </row>
    <row r="77" spans="33:52" ph="1">
      <c r="AJ77" s="64" t="s" ph="1">
        <v>283</v>
      </c>
      <c r="AK77" s="64" t="s" ph="1">
        <v>240</v>
      </c>
      <c r="AM77" s="64" t="s" ph="1">
        <v>284</v>
      </c>
      <c r="AN77" s="64" t="s" ph="1">
        <v>223</v>
      </c>
      <c r="AO77" s="64" t="s" ph="1">
        <v>243</v>
      </c>
      <c r="AS77" s="64" t="s" ph="1">
        <v>215</v>
      </c>
      <c r="AT77" s="64" t="s" ph="1">
        <v>285</v>
      </c>
    </row>
    <row r="78" spans="33:52" ph="1">
      <c r="AH78" s="64" ph="1">
        <v>2</v>
      </c>
      <c r="AI78" s="64" t="s" ph="1">
        <v>249</v>
      </c>
      <c r="AJ78" s="64" t="s" ph="1">
        <v>250</v>
      </c>
      <c r="AK78" s="64" t="s" ph="1">
        <v>219</v>
      </c>
      <c r="AM78" s="64" t="s" ph="1">
        <v>251</v>
      </c>
      <c r="AN78" s="64" t="s" ph="1">
        <v>254</v>
      </c>
      <c r="AO78" s="64" t="s" ph="1">
        <v>243</v>
      </c>
      <c r="AP78" s="64" t="s" ph="1">
        <v>252</v>
      </c>
      <c r="AQ78" s="64" t="s" ph="1">
        <v>298</v>
      </c>
      <c r="AR78" s="64" t="s" ph="1">
        <v>243</v>
      </c>
      <c r="AS78" s="64" t="s" ph="1">
        <v>253</v>
      </c>
      <c r="AT78" s="64" t="s" ph="1">
        <v>254</v>
      </c>
      <c r="AU78" s="64" t="s" ph="1">
        <v>243</v>
      </c>
      <c r="AV78" s="64" t="s" ph="1">
        <v>255</v>
      </c>
      <c r="AW78" s="64" t="s" ph="1">
        <v>243</v>
      </c>
      <c r="AY78" s="64" t="s" ph="1">
        <v>216</v>
      </c>
      <c r="AZ78" s="64" t="s" ph="1">
        <v>402</v>
      </c>
    </row>
    <row r="79" spans="33:52" ph="1">
      <c r="AJ79" s="64" t="s" ph="1">
        <v>245</v>
      </c>
      <c r="AK79" s="64" t="s" ph="1">
        <v>256</v>
      </c>
      <c r="AM79" s="64" t="s" ph="1">
        <v>257</v>
      </c>
      <c r="AN79" s="64" t="s" ph="1">
        <v>225</v>
      </c>
      <c r="AO79" s="64" t="s" ph="1">
        <v>243</v>
      </c>
      <c r="AP79" s="64" t="s" ph="1">
        <v>258</v>
      </c>
      <c r="AQ79" s="64" t="s" ph="1">
        <v>223</v>
      </c>
      <c r="AR79" s="64" t="s" ph="1">
        <v>259</v>
      </c>
      <c r="AS79" s="64" t="s" ph="1">
        <v>215</v>
      </c>
      <c r="AT79" s="64" t="s" ph="1">
        <v>260</v>
      </c>
      <c r="AV79" s="64" t="s" ph="1">
        <v>403</v>
      </c>
      <c r="AW79" s="64" t="s" ph="1">
        <v>302</v>
      </c>
      <c r="AX79" s="64" t="s" ph="1">
        <v>400</v>
      </c>
    </row>
    <row r="80" spans="33:52" ph="1">
      <c r="AH80" s="64" ph="1">
        <v>3</v>
      </c>
      <c r="AI80" s="64" t="s" ph="1">
        <v>261</v>
      </c>
      <c r="AJ80" s="64" t="s" ph="1">
        <v>262</v>
      </c>
      <c r="AK80" s="64" t="s" ph="1">
        <v>263</v>
      </c>
      <c r="AM80" s="64" t="s" ph="1">
        <v>264</v>
      </c>
      <c r="AN80" s="64" t="s" ph="1">
        <v>254</v>
      </c>
      <c r="AO80" s="64" t="s" ph="1">
        <v>243</v>
      </c>
      <c r="AP80" s="64" t="s" ph="1">
        <v>265</v>
      </c>
      <c r="AQ80" s="64" t="s" ph="1">
        <v>228</v>
      </c>
      <c r="AR80" s="64" t="s" ph="1">
        <v>243</v>
      </c>
      <c r="AS80" s="64" t="s" ph="1">
        <v>266</v>
      </c>
      <c r="AT80" s="64" t="s" ph="1">
        <v>227</v>
      </c>
      <c r="AU80" s="64" t="s" ph="1">
        <v>243</v>
      </c>
      <c r="AV80" s="64" t="s" ph="1">
        <v>267</v>
      </c>
      <c r="AW80" s="64" t="s" ph="1">
        <v>243</v>
      </c>
      <c r="AY80" s="64" t="s" ph="1">
        <v>216</v>
      </c>
      <c r="AZ80" s="64" t="s" ph="1">
        <v>404</v>
      </c>
    </row>
    <row r="81" spans="34:52" ph="1">
      <c r="AJ81" s="64" t="s" ph="1">
        <v>268</v>
      </c>
      <c r="AK81" s="64" t="s" ph="1">
        <v>222</v>
      </c>
      <c r="AM81" s="64" t="s" ph="1">
        <v>269</v>
      </c>
      <c r="AN81" s="64" t="s" ph="1">
        <v>225</v>
      </c>
      <c r="AO81" s="64" t="s" ph="1">
        <v>243</v>
      </c>
      <c r="AP81" s="64" t="s" ph="1">
        <v>270</v>
      </c>
      <c r="AQ81" s="64" t="s" ph="1">
        <v>254</v>
      </c>
      <c r="AR81" s="64" t="s" ph="1">
        <v>243</v>
      </c>
      <c r="AS81" s="64" t="s" ph="1">
        <v>271</v>
      </c>
      <c r="AT81" s="64" t="s" ph="1">
        <v>272</v>
      </c>
      <c r="AU81" s="64" t="s" ph="1">
        <v>243</v>
      </c>
      <c r="AV81" s="64" t="s" ph="1">
        <v>273</v>
      </c>
    </row>
    <row r="82" spans="34:52" ph="1">
      <c r="AJ82" s="64" t="s" ph="1">
        <v>274</v>
      </c>
      <c r="AK82" s="64" t="s" ph="1">
        <v>222</v>
      </c>
      <c r="AM82" s="64" t="s" ph="1">
        <v>275</v>
      </c>
      <c r="AN82" s="64" t="s" ph="1">
        <v>272</v>
      </c>
      <c r="AO82" s="64" t="s" ph="1">
        <v>276</v>
      </c>
      <c r="AP82" s="64" t="s" ph="1">
        <v>277</v>
      </c>
      <c r="AQ82" s="64" t="s" ph="1">
        <v>254</v>
      </c>
      <c r="AR82" s="64" t="s" ph="1">
        <v>243</v>
      </c>
      <c r="AS82" s="64" t="s" ph="1">
        <v>278</v>
      </c>
      <c r="AT82" s="64" t="s" ph="1">
        <v>229</v>
      </c>
      <c r="AU82" s="64" t="s" ph="1">
        <v>243</v>
      </c>
      <c r="AV82" s="64" t="s" ph="1">
        <v>403</v>
      </c>
      <c r="AW82" s="64" t="s" ph="1">
        <v>303</v>
      </c>
      <c r="AX82" s="64" t="s" ph="1">
        <v>400</v>
      </c>
    </row>
    <row r="83" spans="34:52" ph="1">
      <c r="AJ83" s="64" t="s" ph="1">
        <v>279</v>
      </c>
      <c r="AK83" s="64" t="s" ph="1">
        <v>296</v>
      </c>
      <c r="AM83" s="64" t="s" ph="1">
        <v>280</v>
      </c>
      <c r="AN83" s="64" t="s" ph="1">
        <v>228</v>
      </c>
      <c r="AO83" s="64" t="s" ph="1">
        <v>259</v>
      </c>
      <c r="AP83" s="64" t="s" ph="1">
        <v>281</v>
      </c>
      <c r="AQ83" s="64" t="s" ph="1">
        <v>282</v>
      </c>
      <c r="AR83" s="64" t="s" ph="1">
        <v>259</v>
      </c>
      <c r="AS83" s="64" t="s" ph="1">
        <v>405</v>
      </c>
      <c r="AT83" s="64" t="s" ph="1">
        <v>254</v>
      </c>
      <c r="AU83" s="64" t="s" ph="1">
        <v>259</v>
      </c>
      <c r="AV83" s="64" t="s" ph="1">
        <v>406</v>
      </c>
      <c r="AW83" s="64" t="s" ph="1">
        <v>303</v>
      </c>
      <c r="AX83" s="64" t="s" ph="1">
        <v>407</v>
      </c>
    </row>
    <row r="84" spans="34:52" ph="1">
      <c r="AH84" s="64" ph="1">
        <v>4</v>
      </c>
      <c r="AI84" s="64" t="s" ph="1">
        <v>286</v>
      </c>
      <c r="AJ84" s="64" t="s" ph="1">
        <v>226</v>
      </c>
      <c r="AK84" s="64" t="s" ph="1">
        <v>229</v>
      </c>
      <c r="AM84" s="64" t="s" ph="1">
        <v>230</v>
      </c>
      <c r="AN84" s="64" t="s" ph="1">
        <v>223</v>
      </c>
      <c r="AO84" s="64" t="s" ph="1">
        <v>259</v>
      </c>
      <c r="AP84" s="64" t="s" ph="1">
        <v>288</v>
      </c>
      <c r="AQ84" s="64" t="s" ph="1">
        <v>222</v>
      </c>
      <c r="AR84" s="64" t="s" ph="1">
        <v>259</v>
      </c>
      <c r="AS84" s="64" t="s" ph="1">
        <v>288</v>
      </c>
      <c r="AT84" s="64" t="s" ph="1">
        <v>224</v>
      </c>
      <c r="AU84" s="64" t="s" ph="1">
        <v>259</v>
      </c>
      <c r="AY84" s="64" t="s" ph="1">
        <v>216</v>
      </c>
      <c r="AZ84" s="64" t="s" ph="1">
        <v>408</v>
      </c>
    </row>
    <row r="85" spans="34:52" ph="1">
      <c r="AJ85" s="64" t="s" ph="1">
        <v>218</v>
      </c>
      <c r="AK85" s="64" t="s" ph="1">
        <v>222</v>
      </c>
      <c r="AM85" s="64" t="s" ph="1">
        <v>409</v>
      </c>
      <c r="AN85" s="64" t="s" ph="1">
        <v>229</v>
      </c>
      <c r="AO85" s="64" t="s" ph="1">
        <v>259</v>
      </c>
      <c r="AP85" s="64" t="s" ph="1">
        <v>410</v>
      </c>
      <c r="AQ85" s="64" t="s" ph="1">
        <v>225</v>
      </c>
      <c r="AR85" s="64" t="s" ph="1">
        <v>259</v>
      </c>
      <c r="AS85" s="64" t="s" ph="1">
        <v>411</v>
      </c>
      <c r="AT85" s="64" t="s" ph="1">
        <v>225</v>
      </c>
      <c r="AU85" s="64" t="s" ph="1">
        <v>259</v>
      </c>
    </row>
    <row r="86" spans="34:52" ph="1">
      <c r="AJ86" s="64" t="s" ph="1">
        <v>412</v>
      </c>
      <c r="AK86" s="64" t="s" ph="1">
        <v>231</v>
      </c>
      <c r="AM86" s="64" t="s" ph="1">
        <v>413</v>
      </c>
      <c r="AN86" s="64" t="s" ph="1">
        <v>272</v>
      </c>
      <c r="AO86" s="64" t="s" ph="1">
        <v>259</v>
      </c>
      <c r="AP86" s="64" t="s" ph="1">
        <v>414</v>
      </c>
      <c r="AQ86" s="64" t="s" ph="1">
        <v>219</v>
      </c>
      <c r="AR86" s="64" t="s" ph="1">
        <v>259</v>
      </c>
      <c r="AS86" s="64" t="s" ph="1">
        <v>415</v>
      </c>
      <c r="AT86" s="64" t="s" ph="1">
        <v>237</v>
      </c>
      <c r="AU86" s="64" t="s" ph="1">
        <v>259</v>
      </c>
    </row>
    <row r="87" spans="34:52" ph="1">
      <c r="AJ87" s="64" t="s" ph="1">
        <v>416</v>
      </c>
      <c r="AK87" s="64" t="s" ph="1">
        <v>272</v>
      </c>
      <c r="AM87" s="64" t="s" ph="1">
        <v>403</v>
      </c>
      <c r="AN87" s="64" t="s" ph="1">
        <v>417</v>
      </c>
      <c r="AO87" s="64" t="s" ph="1">
        <v>400</v>
      </c>
    </row>
    <row r="88" spans="34:52" ph="1">
      <c r="AH88" s="64" ph="1">
        <v>5</v>
      </c>
      <c r="AI88" s="64" t="s" ph="1">
        <v>289</v>
      </c>
      <c r="AJ88" s="64" t="s" ph="1">
        <v>418</v>
      </c>
      <c r="AK88" s="64" t="s" ph="1">
        <v>272</v>
      </c>
      <c r="AM88" s="64" t="s" ph="1">
        <v>419</v>
      </c>
      <c r="AN88" s="64" t="s" ph="1">
        <v>272</v>
      </c>
      <c r="AO88" s="64" t="s" ph="1">
        <v>259</v>
      </c>
      <c r="AP88" s="64" t="s" ph="1">
        <v>420</v>
      </c>
      <c r="AQ88" s="64" t="s" ph="1">
        <v>222</v>
      </c>
      <c r="AR88" s="64" t="s" ph="1">
        <v>259</v>
      </c>
      <c r="AS88" s="64" t="s" ph="1">
        <v>421</v>
      </c>
      <c r="AT88" s="64" t="s" ph="1">
        <v>272</v>
      </c>
      <c r="AU88" s="64" t="s" ph="1">
        <v>259</v>
      </c>
      <c r="AV88" s="64" t="s" ph="1">
        <v>422</v>
      </c>
      <c r="AW88" s="64" t="s" ph="1">
        <v>227</v>
      </c>
      <c r="AX88" s="64" t="s" ph="1">
        <v>259</v>
      </c>
      <c r="AY88" s="64" t="s" ph="1">
        <v>216</v>
      </c>
      <c r="AZ88" s="64" t="s" ph="1">
        <v>423</v>
      </c>
    </row>
    <row r="89" spans="34:52" ph="1">
      <c r="AJ89" s="64" t="s" ph="1">
        <v>424</v>
      </c>
      <c r="AK89" s="64" t="s" ph="1">
        <v>225</v>
      </c>
      <c r="AM89" s="64" t="s" ph="1">
        <v>425</v>
      </c>
      <c r="AN89" s="64" t="s" ph="1">
        <v>228</v>
      </c>
      <c r="AO89" s="64" t="s" ph="1">
        <v>259</v>
      </c>
      <c r="AP89" s="64" t="s" ph="1">
        <v>426</v>
      </c>
      <c r="AQ89" s="64" t="s" ph="1">
        <v>237</v>
      </c>
      <c r="AR89" s="64" t="s" ph="1">
        <v>259</v>
      </c>
      <c r="AS89" s="64" t="s" ph="1">
        <v>427</v>
      </c>
      <c r="AT89" s="64" t="s" ph="1">
        <v>272</v>
      </c>
      <c r="AU89" s="64" t="s" ph="1">
        <v>259</v>
      </c>
      <c r="AV89" s="64" t="s" ph="1">
        <v>428</v>
      </c>
      <c r="AW89" s="64" t="s" ph="1">
        <v>254</v>
      </c>
      <c r="AX89" s="64" t="s" ph="1">
        <v>287</v>
      </c>
    </row>
    <row r="90" spans="34:52" ph="1">
      <c r="AJ90" s="64" t="s" ph="1">
        <v>429</v>
      </c>
      <c r="AK90" s="64" t="s" ph="1">
        <v>228</v>
      </c>
      <c r="AM90" s="64" t="s" ph="1">
        <v>430</v>
      </c>
      <c r="AN90" s="64" t="s" ph="1">
        <v>225</v>
      </c>
      <c r="AO90" s="64" t="s" ph="1">
        <v>259</v>
      </c>
      <c r="AP90" s="64" t="s" ph="1">
        <v>431</v>
      </c>
      <c r="AQ90" s="64" t="s" ph="1">
        <v>294</v>
      </c>
      <c r="AR90" s="64" t="s" ph="1">
        <v>259</v>
      </c>
      <c r="AS90" s="64" t="s" ph="1">
        <v>432</v>
      </c>
      <c r="AT90" s="64" t="s" ph="1">
        <v>282</v>
      </c>
      <c r="AU90" s="64" t="s" ph="1">
        <v>259</v>
      </c>
      <c r="AV90" s="64" t="s" ph="1">
        <v>433</v>
      </c>
      <c r="AW90" s="64" t="s" ph="1">
        <v>219</v>
      </c>
      <c r="AX90" s="64" t="s" ph="1">
        <v>259</v>
      </c>
    </row>
    <row r="91" spans="34:52" ph="1">
      <c r="AJ91" s="64" t="s" ph="1">
        <v>434</v>
      </c>
      <c r="AK91" s="64" t="s" ph="1">
        <v>272</v>
      </c>
      <c r="AM91" s="64" t="s" ph="1">
        <v>435</v>
      </c>
      <c r="AN91" s="64" t="s" ph="1">
        <v>239</v>
      </c>
      <c r="AO91" s="64" t="s" ph="1">
        <v>259</v>
      </c>
      <c r="AP91" s="64" t="s" ph="1">
        <v>436</v>
      </c>
      <c r="AQ91" s="64" t="s" ph="1">
        <v>219</v>
      </c>
      <c r="AS91" s="64" t="s" ph="1">
        <v>403</v>
      </c>
      <c r="AT91" s="64" t="s" ph="1">
        <v>399</v>
      </c>
      <c r="AU91" s="64" t="s" ph="1">
        <v>400</v>
      </c>
    </row>
    <row r="92" spans="34:52" ph="1">
      <c r="AH92" s="64" ph="1">
        <v>6</v>
      </c>
      <c r="AI92" s="64" t="s" ph="1">
        <v>437</v>
      </c>
      <c r="AJ92" s="64" t="s" ph="1">
        <v>438</v>
      </c>
      <c r="AK92" s="64" t="s" ph="1">
        <v>367</v>
      </c>
      <c r="AM92" s="64" t="s" ph="1">
        <v>439</v>
      </c>
      <c r="AN92" s="64" t="s" ph="1">
        <v>227</v>
      </c>
      <c r="AO92" s="64" t="s" ph="1">
        <v>259</v>
      </c>
      <c r="AP92" s="64" t="s" ph="1">
        <v>440</v>
      </c>
      <c r="AQ92" s="64" t="s" ph="1">
        <v>299</v>
      </c>
      <c r="AR92" s="64" t="s" ph="1">
        <v>259</v>
      </c>
      <c r="AS92" s="64" t="s" ph="1">
        <v>441</v>
      </c>
      <c r="AT92" s="64" t="s" ph="1">
        <v>272</v>
      </c>
      <c r="AU92" s="64" t="s" ph="1">
        <v>259</v>
      </c>
      <c r="AV92" s="64" t="s" ph="1">
        <v>442</v>
      </c>
      <c r="AW92" s="64" t="s" ph="1">
        <v>228</v>
      </c>
      <c r="AX92" s="64" t="s" ph="1">
        <v>259</v>
      </c>
      <c r="AY92" s="64" t="s" ph="1">
        <v>216</v>
      </c>
      <c r="AZ92" s="64" t="s" ph="1">
        <v>423</v>
      </c>
    </row>
    <row r="93" spans="34:52" ph="1">
      <c r="AJ93" s="64" t="s" ph="1">
        <v>443</v>
      </c>
      <c r="AK93" s="64" t="s" ph="1">
        <v>222</v>
      </c>
      <c r="AM93" s="64" t="s" ph="1">
        <v>444</v>
      </c>
      <c r="AN93" s="64" t="s" ph="1">
        <v>227</v>
      </c>
      <c r="AO93" s="64" t="s" ph="1">
        <v>259</v>
      </c>
      <c r="AP93" s="64" t="s" ph="1">
        <v>445</v>
      </c>
      <c r="AQ93" s="64" t="s" ph="1">
        <v>231</v>
      </c>
      <c r="AR93" s="64" t="s" ph="1">
        <v>259</v>
      </c>
      <c r="AS93" s="64" t="s" ph="1">
        <v>446</v>
      </c>
      <c r="AT93" s="64" t="s" ph="1">
        <v>237</v>
      </c>
      <c r="AU93" s="64" t="s" ph="1">
        <v>259</v>
      </c>
      <c r="AV93" s="64" t="s" ph="1">
        <v>447</v>
      </c>
      <c r="AW93" s="64" t="s" ph="1">
        <v>231</v>
      </c>
      <c r="AX93" s="64" t="s" ph="1">
        <v>259</v>
      </c>
    </row>
    <row r="94" spans="34:52" ph="1">
      <c r="AJ94" s="64" t="s" ph="1">
        <v>448</v>
      </c>
      <c r="AK94" s="64" t="s" ph="1">
        <v>294</v>
      </c>
      <c r="AM94" s="64" t="s" ph="1">
        <v>449</v>
      </c>
      <c r="AN94" s="64" t="s" ph="1">
        <v>231</v>
      </c>
      <c r="AO94" s="64" t="s" ph="1">
        <v>259</v>
      </c>
      <c r="AP94" s="64" t="s" ph="1">
        <v>450</v>
      </c>
      <c r="AQ94" s="64" t="s" ph="1">
        <v>239</v>
      </c>
      <c r="AR94" s="64" t="s" ph="1">
        <v>259</v>
      </c>
      <c r="AS94" s="64" t="s" ph="1">
        <v>451</v>
      </c>
      <c r="AT94" s="64" t="s" ph="1">
        <v>225</v>
      </c>
      <c r="AU94" s="64" t="s" ph="1">
        <v>259</v>
      </c>
      <c r="AV94" s="64" t="s" ph="1">
        <v>452</v>
      </c>
      <c r="AW94" s="64" t="s" ph="1">
        <v>225</v>
      </c>
      <c r="AX94" s="64" t="s" ph="1">
        <v>259</v>
      </c>
    </row>
    <row r="95" spans="34:52" ph="1">
      <c r="AJ95" s="64" t="s" ph="1">
        <v>453</v>
      </c>
      <c r="AK95" s="64" t="s" ph="1">
        <v>299</v>
      </c>
    </row>
    <row r="96" spans="34:52" ph="1">
      <c r="AH96" s="64" ph="1">
        <v>7</v>
      </c>
      <c r="AI96" s="64" t="s" ph="1">
        <v>454</v>
      </c>
      <c r="AJ96" s="64" t="s" ph="1">
        <v>453</v>
      </c>
      <c r="AK96" s="64" t="s" ph="1">
        <v>254</v>
      </c>
      <c r="AM96" s="64" t="s" ph="1">
        <v>455</v>
      </c>
      <c r="AN96" s="64" t="s" ph="1">
        <v>228</v>
      </c>
      <c r="AO96" s="64" t="s" ph="1">
        <v>259</v>
      </c>
      <c r="AP96" s="64" t="s" ph="1">
        <v>456</v>
      </c>
      <c r="AQ96" s="64" t="s" ph="1">
        <v>272</v>
      </c>
      <c r="AR96" s="64" t="s" ph="1">
        <v>287</v>
      </c>
      <c r="AS96" s="64" t="s" ph="1">
        <v>457</v>
      </c>
      <c r="AT96" s="64" t="s" ph="1">
        <v>231</v>
      </c>
      <c r="AU96" s="64" t="s" ph="1">
        <v>287</v>
      </c>
      <c r="AV96" s="64" t="s" ph="1">
        <v>458</v>
      </c>
      <c r="AW96" s="64" t="s" ph="1">
        <v>227</v>
      </c>
      <c r="AX96" s="64" t="s" ph="1">
        <v>287</v>
      </c>
      <c r="AY96" s="64" t="s" ph="1">
        <v>216</v>
      </c>
      <c r="AZ96" s="64" t="s" ph="1">
        <v>459</v>
      </c>
    </row>
    <row r="97" spans="33:52" ph="1">
      <c r="AJ97" s="64" t="s" ph="1">
        <v>460</v>
      </c>
      <c r="AK97" s="64" t="s" ph="1">
        <v>282</v>
      </c>
      <c r="AM97" s="64" t="s" ph="1">
        <v>461</v>
      </c>
      <c r="AN97" s="64" t="s" ph="1">
        <v>225</v>
      </c>
      <c r="AO97" s="64" t="s" ph="1">
        <v>259</v>
      </c>
      <c r="AP97" s="64" t="s" ph="1">
        <v>462</v>
      </c>
      <c r="AQ97" s="64" t="s" ph="1">
        <v>219</v>
      </c>
      <c r="AR97" s="64" t="s" ph="1">
        <v>287</v>
      </c>
      <c r="AS97" s="64" t="s" ph="1">
        <v>463</v>
      </c>
      <c r="AT97" s="64" t="s" ph="1">
        <v>222</v>
      </c>
      <c r="AU97" s="64" t="s" ph="1">
        <v>287</v>
      </c>
      <c r="AV97" s="64" t="s" ph="1">
        <v>464</v>
      </c>
      <c r="AW97" s="64" t="s" ph="1">
        <v>228</v>
      </c>
      <c r="AX97" s="64" t="s" ph="1">
        <v>287</v>
      </c>
    </row>
    <row r="98" spans="33:52" ph="1">
      <c r="AJ98" s="64" t="s" ph="1">
        <v>465</v>
      </c>
      <c r="AK98" s="64" t="s" ph="1">
        <v>231</v>
      </c>
      <c r="AM98" s="64" t="s" ph="1">
        <v>466</v>
      </c>
      <c r="AN98" s="64" t="s" ph="1">
        <v>239</v>
      </c>
      <c r="AO98" s="64" t="s" ph="1">
        <v>259</v>
      </c>
      <c r="AP98" s="64" t="s" ph="1">
        <v>467</v>
      </c>
      <c r="AQ98" s="64" t="s" ph="1">
        <v>219</v>
      </c>
      <c r="AR98" s="64" t="s" ph="1">
        <v>287</v>
      </c>
      <c r="AS98" s="64" t="s" ph="1">
        <v>468</v>
      </c>
      <c r="AT98" s="64" t="s" ph="1">
        <v>299</v>
      </c>
      <c r="AU98" s="64" t="s" ph="1">
        <v>287</v>
      </c>
      <c r="AV98" s="64" t="s" ph="1">
        <v>469</v>
      </c>
      <c r="AW98" s="64" t="s" ph="1">
        <v>222</v>
      </c>
      <c r="AX98" s="64" t="s" ph="1">
        <v>287</v>
      </c>
    </row>
    <row r="99" spans="33:52" ph="1">
      <c r="AH99" s="64" ph="1">
        <v>8</v>
      </c>
      <c r="AI99" s="64" t="s" ph="1">
        <v>470</v>
      </c>
      <c r="AJ99" s="64" t="s" ph="1">
        <v>471</v>
      </c>
      <c r="AK99" s="64" t="s" ph="1">
        <v>367</v>
      </c>
      <c r="AM99" s="64" t="s" ph="1">
        <v>472</v>
      </c>
      <c r="AN99" s="64" t="s" ph="1">
        <v>254</v>
      </c>
      <c r="AO99" s="64" t="s" ph="1">
        <v>259</v>
      </c>
      <c r="AP99" s="64" t="s" ph="1">
        <v>473</v>
      </c>
      <c r="AQ99" s="64" t="s" ph="1">
        <v>224</v>
      </c>
      <c r="AR99" s="64" t="s" ph="1">
        <v>287</v>
      </c>
      <c r="AS99" s="64" t="s" ph="1">
        <v>474</v>
      </c>
      <c r="AT99" s="64" t="s" ph="1">
        <v>239</v>
      </c>
      <c r="AU99" s="64" t="s" ph="1">
        <v>287</v>
      </c>
      <c r="AV99" s="64" t="s" ph="1">
        <v>475</v>
      </c>
      <c r="AW99" s="64" t="s" ph="1">
        <v>224</v>
      </c>
      <c r="AX99" s="64" t="s" ph="1">
        <v>287</v>
      </c>
      <c r="AY99" s="64" t="s" ph="1">
        <v>216</v>
      </c>
      <c r="AZ99" s="64" t="s" ph="1">
        <v>476</v>
      </c>
    </row>
    <row r="100" spans="33:52" ph="1">
      <c r="AJ100" s="64" t="s" ph="1">
        <v>477</v>
      </c>
      <c r="AK100" s="64" t="s" ph="1">
        <v>222</v>
      </c>
      <c r="AM100" s="64" t="s" ph="1">
        <v>478</v>
      </c>
      <c r="AN100" s="64" t="s" ph="1">
        <v>294</v>
      </c>
      <c r="AO100" s="64" t="s" ph="1">
        <v>259</v>
      </c>
      <c r="AP100" s="64" t="s" ph="1">
        <v>479</v>
      </c>
      <c r="AQ100" s="64" t="s" ph="1">
        <v>300</v>
      </c>
      <c r="AR100" s="64" t="s" ph="1">
        <v>287</v>
      </c>
      <c r="AS100" s="64" t="s" ph="1">
        <v>480</v>
      </c>
      <c r="AT100" s="64" t="s" ph="1">
        <v>367</v>
      </c>
      <c r="AU100" s="64" t="s" ph="1">
        <v>259</v>
      </c>
      <c r="AV100" s="64" t="s" ph="1">
        <v>481</v>
      </c>
      <c r="AW100" s="64" t="s" ph="1">
        <v>367</v>
      </c>
      <c r="AX100" s="64" t="s" ph="1">
        <v>259</v>
      </c>
    </row>
    <row r="101" spans="33:52" ph="1">
      <c r="AJ101" s="64" t="s" ph="1">
        <v>482</v>
      </c>
      <c r="AK101" s="64" t="s" ph="1">
        <v>367</v>
      </c>
      <c r="AM101" s="64" t="s" ph="1">
        <v>483</v>
      </c>
      <c r="AN101" s="64" t="s" ph="1">
        <v>225</v>
      </c>
      <c r="AO101" s="64" t="s" ph="1">
        <v>259</v>
      </c>
      <c r="AP101" s="64" t="s" ph="1">
        <v>484</v>
      </c>
      <c r="AQ101" s="64" t="s" ph="1">
        <v>237</v>
      </c>
      <c r="AR101" s="64" t="s" ph="1">
        <v>287</v>
      </c>
      <c r="AS101" s="64" t="s" ph="1">
        <v>485</v>
      </c>
      <c r="AT101" s="64" t="s" ph="1">
        <v>294</v>
      </c>
      <c r="AU101" s="64" t="s" ph="1">
        <v>287</v>
      </c>
      <c r="AV101" s="64" t="s" ph="1">
        <v>486</v>
      </c>
      <c r="AW101" s="64" t="s" ph="1">
        <v>225</v>
      </c>
      <c r="AX101" s="64" t="s" ph="1">
        <v>259</v>
      </c>
    </row>
    <row r="102" spans="33:52" ph="1">
      <c r="AJ102" s="64" t="s" ph="1">
        <v>487</v>
      </c>
      <c r="AK102" s="64" t="s" ph="1">
        <v>222</v>
      </c>
      <c r="AM102" s="64" t="s" ph="1">
        <v>488</v>
      </c>
      <c r="AN102" s="64" t="s" ph="1">
        <v>231</v>
      </c>
      <c r="AO102" s="64" t="s" ph="1">
        <v>259</v>
      </c>
      <c r="AP102" s="64" t="s" ph="1">
        <v>489</v>
      </c>
      <c r="AQ102" s="64" t="s" ph="1">
        <v>237</v>
      </c>
      <c r="AR102" s="64" t="s" ph="1">
        <v>259</v>
      </c>
      <c r="AS102" s="64" t="s" ph="1">
        <v>490</v>
      </c>
      <c r="AT102" s="64" t="s" ph="1">
        <v>254</v>
      </c>
      <c r="AU102" s="64" t="s" ph="1">
        <v>259</v>
      </c>
      <c r="AV102" s="64" t="s" ph="1">
        <v>491</v>
      </c>
      <c r="AW102" s="64" t="s" ph="1">
        <v>272</v>
      </c>
      <c r="AX102" s="64" t="s" ph="1">
        <v>259</v>
      </c>
    </row>
    <row r="103" spans="33:52" ph="1">
      <c r="AH103" s="64" ph="1">
        <v>9</v>
      </c>
      <c r="AI103" s="64" t="s" ph="1">
        <v>492</v>
      </c>
      <c r="AJ103" s="64" t="s" ph="1">
        <v>493</v>
      </c>
      <c r="AK103" s="64" t="s" ph="1">
        <v>367</v>
      </c>
      <c r="AM103" s="64" t="s" ph="1">
        <v>494</v>
      </c>
      <c r="AN103" s="64" t="s" ph="1">
        <v>282</v>
      </c>
      <c r="AO103" s="64" t="s" ph="1">
        <v>259</v>
      </c>
      <c r="AP103" s="64" t="s" ph="1">
        <v>336</v>
      </c>
      <c r="AQ103" s="64" t="s" ph="1">
        <v>225</v>
      </c>
      <c r="AR103" s="64" t="s" ph="1">
        <v>259</v>
      </c>
      <c r="AS103" s="64" t="s" ph="1">
        <v>570</v>
      </c>
      <c r="AT103" s="64" t="s" ph="1">
        <v>367</v>
      </c>
      <c r="AU103" s="64" t="s" ph="1">
        <v>259</v>
      </c>
      <c r="AY103" s="64" t="s" ph="1">
        <v>216</v>
      </c>
      <c r="AZ103" s="64" t="s" ph="1">
        <v>224</v>
      </c>
    </row>
    <row r="104" spans="33:52" ph="1">
      <c r="AZ104" s="64" t="s" ph="1">
        <v>495</v>
      </c>
    </row>
    <row r="105" spans="33:52" ph="1">
      <c r="AG105" s="64" t="s" ph="1">
        <v>295</v>
      </c>
      <c r="AI105" s="64" t="s" ph="1">
        <v>209</v>
      </c>
      <c r="AJ105" s="64" t="s" ph="1">
        <v>210</v>
      </c>
      <c r="AK105" s="64" t="s" ph="1">
        <v>211</v>
      </c>
      <c r="AM105" s="64" t="s" ph="1">
        <v>210</v>
      </c>
      <c r="AN105" s="64" t="s" ph="1">
        <v>211</v>
      </c>
      <c r="AO105" s="64" t="s" ph="1">
        <v>212</v>
      </c>
      <c r="AP105" s="64" t="s" ph="1">
        <v>210</v>
      </c>
      <c r="AQ105" s="64" t="s" ph="1">
        <v>211</v>
      </c>
      <c r="AR105" s="64" t="s" ph="1">
        <v>212</v>
      </c>
      <c r="AS105" s="64" t="s" ph="1">
        <v>210</v>
      </c>
      <c r="AT105" s="64" t="s" ph="1">
        <v>211</v>
      </c>
      <c r="AU105" s="64" t="s" ph="1">
        <v>212</v>
      </c>
      <c r="AV105" s="64" t="s" ph="1">
        <v>210</v>
      </c>
      <c r="AW105" s="64" t="s" ph="1">
        <v>211</v>
      </c>
      <c r="AX105" s="64" t="s" ph="1">
        <v>212</v>
      </c>
      <c r="AZ105" s="64" t="s" ph="1">
        <v>213</v>
      </c>
    </row>
    <row r="106" spans="33:52" ph="1">
      <c r="AH106" s="64" ph="1">
        <v>1</v>
      </c>
      <c r="AI106" s="64" t="s" ph="1">
        <v>496</v>
      </c>
      <c r="AJ106" s="64" t="s" ph="1">
        <v>570</v>
      </c>
      <c r="AK106" s="64" t="s" ph="1">
        <v>231</v>
      </c>
      <c r="AZ106" s="64" t="s" ph="1">
        <v>231</v>
      </c>
    </row>
    <row r="107" spans="33:52" ph="1">
      <c r="AH107" s="64" ph="1">
        <v>2</v>
      </c>
      <c r="AI107" s="64" t="s" ph="1">
        <v>497</v>
      </c>
      <c r="AJ107" s="64" t="s" ph="1">
        <v>498</v>
      </c>
      <c r="AK107" s="64" t="s" ph="1">
        <v>228</v>
      </c>
      <c r="AM107" s="64" t="s" ph="1">
        <v>334</v>
      </c>
      <c r="AN107" s="64" t="s" ph="1">
        <v>499</v>
      </c>
      <c r="AO107" s="64" t="s" ph="1">
        <v>500</v>
      </c>
      <c r="AP107" s="64" t="s" ph="1">
        <v>336</v>
      </c>
      <c r="AQ107" s="64" t="s" ph="1">
        <v>304</v>
      </c>
      <c r="AR107" s="64" t="s" ph="1">
        <v>500</v>
      </c>
      <c r="AS107" s="64" t="s" ph="1">
        <v>570</v>
      </c>
      <c r="AT107" s="64" t="s" ph="1">
        <v>499</v>
      </c>
      <c r="AU107" s="64" t="s" ph="1">
        <v>500</v>
      </c>
      <c r="AY107" s="64" t="s" ph="1">
        <v>216</v>
      </c>
      <c r="AZ107" s="64" t="s" ph="1">
        <v>580</v>
      </c>
    </row>
    <row r="108" spans="33:52" ph="1">
      <c r="AH108" s="64" ph="1">
        <v>3</v>
      </c>
      <c r="AI108" s="64" t="s" ph="1">
        <v>501</v>
      </c>
      <c r="AY108" s="64" t="s" ph="1">
        <v>216</v>
      </c>
      <c r="AZ108" s="64" t="s" ph="1">
        <v>367</v>
      </c>
    </row>
    <row r="109" spans="33:52" ph="1">
      <c r="AH109" s="64" ph="1">
        <v>4</v>
      </c>
      <c r="AI109" s="64" t="s" ph="1">
        <v>502</v>
      </c>
      <c r="AY109" s="64" t="s" ph="1">
        <v>216</v>
      </c>
      <c r="AZ109" s="64" t="s" ph="1">
        <v>367</v>
      </c>
    </row>
    <row r="110" spans="33:52" ph="1">
      <c r="AH110" s="64" ph="1">
        <v>5</v>
      </c>
      <c r="AI110" s="64" t="s" ph="1">
        <v>503</v>
      </c>
      <c r="AY110" s="64" t="s" ph="1">
        <v>216</v>
      </c>
      <c r="AZ110" s="64" t="s" ph="1">
        <v>367</v>
      </c>
    </row>
    <row r="111" spans="33:52" ph="1">
      <c r="AH111" s="64" ph="1">
        <v>6</v>
      </c>
      <c r="AI111" s="64" t="s" ph="1">
        <v>581</v>
      </c>
      <c r="AJ111" s="64" t="s" ph="1">
        <v>486</v>
      </c>
      <c r="AK111" s="64" t="s" ph="1">
        <v>225</v>
      </c>
      <c r="AM111" s="64" t="s" ph="1">
        <v>487</v>
      </c>
      <c r="AN111" s="64" t="s" ph="1">
        <v>219</v>
      </c>
      <c r="AO111" s="64" t="s" ph="1">
        <v>500</v>
      </c>
      <c r="AP111" s="64" t="s" ph="1">
        <v>488</v>
      </c>
      <c r="AQ111" s="64" t="s" ph="1">
        <v>228</v>
      </c>
      <c r="AR111" s="64" t="s" ph="1">
        <v>500</v>
      </c>
      <c r="AS111" s="64" t="s" ph="1">
        <v>489</v>
      </c>
      <c r="AT111" s="64" t="s" ph="1">
        <v>237</v>
      </c>
      <c r="AU111" s="64" t="s" ph="1">
        <v>500</v>
      </c>
      <c r="AV111" s="64" t="s" ph="1">
        <v>490</v>
      </c>
      <c r="AW111" s="64" t="s" ph="1">
        <v>227</v>
      </c>
      <c r="AX111" s="64" t="s" ph="1">
        <v>500</v>
      </c>
      <c r="AY111" s="64" t="s" ph="1">
        <v>216</v>
      </c>
      <c r="AZ111" s="64" t="s" ph="1">
        <v>504</v>
      </c>
    </row>
    <row r="112" spans="33:52" ph="1">
      <c r="AJ112" s="64" t="s" ph="1">
        <v>491</v>
      </c>
      <c r="AK112" s="64" t="s" ph="1">
        <v>272</v>
      </c>
      <c r="AM112" s="64" t="s" ph="1">
        <v>493</v>
      </c>
      <c r="AN112" s="64" t="s" ph="1">
        <v>296</v>
      </c>
      <c r="AO112" s="64" t="s" ph="1">
        <v>500</v>
      </c>
      <c r="AP112" s="64" t="s" ph="1">
        <v>494</v>
      </c>
      <c r="AQ112" s="64" t="s" ph="1">
        <v>505</v>
      </c>
      <c r="AR112" s="64" t="s" ph="1">
        <v>500</v>
      </c>
      <c r="AS112" s="64" t="s" ph="1">
        <v>506</v>
      </c>
      <c r="AT112" s="64" t="s" ph="1">
        <v>248</v>
      </c>
      <c r="AU112" s="64" t="s" ph="1">
        <v>500</v>
      </c>
      <c r="AV112" s="64" t="s" ph="1">
        <v>507</v>
      </c>
      <c r="AW112" s="64" t="s" ph="1">
        <v>294</v>
      </c>
      <c r="AX112" s="64" t="s" ph="1">
        <v>500</v>
      </c>
    </row>
    <row r="113" spans="33:52" ph="1">
      <c r="AH113" s="64" ph="1">
        <v>7</v>
      </c>
      <c r="AI113" s="64" t="s" ph="1">
        <v>508</v>
      </c>
      <c r="AJ113" s="64" t="s" ph="1">
        <v>589</v>
      </c>
      <c r="AK113" s="64" t="s" ph="1">
        <v>594</v>
      </c>
      <c r="AY113" s="64" t="s" ph="1">
        <v>216</v>
      </c>
      <c r="AZ113" s="64" t="s" ph="1">
        <v>594</v>
      </c>
    </row>
    <row r="114" spans="33:52" ph="1">
      <c r="AH114" s="64" ph="1">
        <v>8</v>
      </c>
      <c r="AI114" s="64" t="s" ph="1">
        <v>509</v>
      </c>
      <c r="AJ114" s="64" t="s" ph="1">
        <v>589</v>
      </c>
      <c r="AK114" s="64" t="s" ph="1">
        <v>595</v>
      </c>
      <c r="AY114" s="64" t="s" ph="1">
        <v>216</v>
      </c>
      <c r="AZ114" s="64" t="s" ph="1">
        <v>595</v>
      </c>
    </row>
    <row r="115" spans="33:52" ph="1">
      <c r="AH115" s="64" ph="1">
        <v>9</v>
      </c>
      <c r="AI115" s="64" t="s" ph="1">
        <v>510</v>
      </c>
      <c r="AJ115" s="64" t="s" ph="1">
        <v>589</v>
      </c>
      <c r="AK115" s="64" t="s" ph="1">
        <v>595</v>
      </c>
      <c r="AY115" s="64" t="s" ph="1">
        <v>216</v>
      </c>
      <c r="AZ115" s="64" t="s" ph="1">
        <v>595</v>
      </c>
    </row>
    <row r="116" spans="33:52" ph="1">
      <c r="AH116" s="64" ph="1">
        <v>10</v>
      </c>
      <c r="AI116" s="64" t="s" ph="1">
        <v>511</v>
      </c>
      <c r="AJ116" s="64" t="s" ph="1">
        <v>589</v>
      </c>
      <c r="AK116" s="64" t="s" ph="1">
        <v>595</v>
      </c>
      <c r="AY116" s="64" t="s" ph="1">
        <v>216</v>
      </c>
      <c r="AZ116" s="64" t="s" ph="1">
        <v>595</v>
      </c>
    </row>
    <row r="117" spans="33:52" ph="1">
      <c r="AH117" s="64" ph="1">
        <v>11</v>
      </c>
      <c r="AI117" s="64" t="s" ph="1">
        <v>512</v>
      </c>
      <c r="AJ117" s="64" t="s" ph="1">
        <v>589</v>
      </c>
      <c r="AK117" s="64" t="s" ph="1">
        <v>595</v>
      </c>
      <c r="AY117" s="64" t="s" ph="1">
        <v>216</v>
      </c>
      <c r="AZ117" s="64" t="s" ph="1">
        <v>595</v>
      </c>
    </row>
    <row r="118" spans="33:52" ph="1">
      <c r="AZ118" s="64" t="s" ph="1">
        <v>596</v>
      </c>
    </row>
    <row r="119" spans="33:52" ph="1">
      <c r="AI119" s="64" t="s" ph="1">
        <v>209</v>
      </c>
      <c r="AJ119" s="64" t="s" ph="1">
        <v>210</v>
      </c>
      <c r="AK119" s="64" t="s" ph="1">
        <v>211</v>
      </c>
      <c r="AM119" s="64" t="s" ph="1">
        <v>210</v>
      </c>
      <c r="AN119" s="64" t="s" ph="1">
        <v>211</v>
      </c>
      <c r="AO119" s="64" t="s" ph="1">
        <v>212</v>
      </c>
      <c r="AP119" s="64" t="s" ph="1">
        <v>210</v>
      </c>
      <c r="AQ119" s="64" t="s" ph="1">
        <v>211</v>
      </c>
      <c r="AR119" s="64" t="s" ph="1">
        <v>212</v>
      </c>
      <c r="AS119" s="64" t="s" ph="1">
        <v>210</v>
      </c>
      <c r="AT119" s="64" t="s" ph="1">
        <v>211</v>
      </c>
      <c r="AU119" s="64" t="s" ph="1">
        <v>212</v>
      </c>
      <c r="AV119" s="64" t="s" ph="1">
        <v>210</v>
      </c>
      <c r="AW119" s="64" t="s" ph="1">
        <v>211</v>
      </c>
      <c r="AX119" s="64" t="s" ph="1">
        <v>212</v>
      </c>
      <c r="AY119" s="64" t="s" ph="1">
        <v>211</v>
      </c>
      <c r="AZ119" s="64" t="s" ph="1">
        <v>213</v>
      </c>
    </row>
    <row r="120" spans="33:52" ph="1">
      <c r="AG120" s="64" t="s" ph="1">
        <v>353</v>
      </c>
      <c r="AH120" s="64" ph="1">
        <v>1</v>
      </c>
      <c r="AI120" s="64" t="s" ph="1">
        <v>513</v>
      </c>
      <c r="AJ120" s="64" t="s" ph="1">
        <v>587</v>
      </c>
      <c r="AK120" s="64" t="s" ph="1">
        <v>367</v>
      </c>
      <c r="AY120" s="64" t="s" ph="1">
        <v>216</v>
      </c>
      <c r="AZ120" s="64" t="s" ph="1">
        <v>367</v>
      </c>
    </row>
    <row r="121" spans="33:52" ph="1">
      <c r="AH121" s="64" ph="1">
        <v>2</v>
      </c>
      <c r="AI121" s="64" t="s" ph="1">
        <v>514</v>
      </c>
      <c r="AY121" s="64" t="s" ph="1">
        <v>216</v>
      </c>
      <c r="AZ121" s="64" t="s" ph="1">
        <v>367</v>
      </c>
    </row>
    <row r="122" spans="33:52" ph="1">
      <c r="AH122" s="64" ph="1">
        <v>3</v>
      </c>
      <c r="AI122" s="64" t="s" ph="1">
        <v>515</v>
      </c>
      <c r="AJ122" s="64" t="s" ph="1">
        <v>570</v>
      </c>
      <c r="AK122" s="64" t="s" ph="1">
        <v>582</v>
      </c>
      <c r="AM122" s="64" t="s" ph="1">
        <v>597</v>
      </c>
      <c r="AN122" s="64" t="s" ph="1">
        <v>590</v>
      </c>
      <c r="AO122" s="64" t="s" ph="1">
        <v>91</v>
      </c>
      <c r="AY122" s="64" t="s" ph="1">
        <v>216</v>
      </c>
      <c r="AZ122" s="64" t="s" ph="1">
        <v>579</v>
      </c>
    </row>
    <row r="123" spans="33:52" ph="1">
      <c r="AY123" s="64" t="s" ph="1">
        <v>216</v>
      </c>
      <c r="AZ123" s="64" t="s" ph="1">
        <v>579</v>
      </c>
    </row>
    <row r="124" spans="33:52" ph="1">
      <c r="AG124" s="64" t="s" ph="1">
        <v>356</v>
      </c>
      <c r="AH124" s="64" ph="1">
        <v>4</v>
      </c>
      <c r="AI124" s="64" t="s" ph="1">
        <v>516</v>
      </c>
      <c r="AJ124" s="64" t="s" ph="1">
        <v>517</v>
      </c>
      <c r="AK124" s="64" t="s" ph="1">
        <v>518</v>
      </c>
      <c r="AY124" s="64" t="s" ph="1">
        <v>216</v>
      </c>
      <c r="AZ124" s="64" t="s" ph="1">
        <v>518</v>
      </c>
    </row>
    <row r="125" spans="33:52" ph="1">
      <c r="AH125" s="64" ph="1">
        <v>5</v>
      </c>
      <c r="AI125" s="64" t="s" ph="1">
        <v>519</v>
      </c>
      <c r="AJ125" s="64" t="s" ph="1">
        <v>517</v>
      </c>
      <c r="AK125" s="64" t="s" ph="1">
        <v>518</v>
      </c>
      <c r="AY125" s="64" t="s" ph="1">
        <v>216</v>
      </c>
      <c r="AZ125" s="64" t="s" ph="1">
        <v>518</v>
      </c>
    </row>
    <row r="126" spans="33:52" ph="1">
      <c r="AH126" s="64" ph="1">
        <v>6</v>
      </c>
      <c r="AI126" s="64" t="s" ph="1">
        <v>520</v>
      </c>
      <c r="AJ126" s="64" t="s" ph="1">
        <v>589</v>
      </c>
      <c r="AK126" s="64" t="s" ph="1">
        <v>598</v>
      </c>
      <c r="AY126" s="64" t="s" ph="1">
        <v>216</v>
      </c>
      <c r="AZ126" s="64" t="s" ph="1">
        <v>598</v>
      </c>
    </row>
    <row r="127" spans="33:52" ph="1">
      <c r="AH127" s="64" ph="1">
        <v>7</v>
      </c>
      <c r="AI127" s="64" t="s" ph="1">
        <v>521</v>
      </c>
      <c r="AJ127" s="64" t="s" ph="1">
        <v>589</v>
      </c>
      <c r="AK127" s="64" t="s" ph="1">
        <v>599</v>
      </c>
      <c r="AY127" s="64" t="s" ph="1">
        <v>216</v>
      </c>
      <c r="AZ127" s="64" t="s" ph="1">
        <v>599</v>
      </c>
    </row>
    <row r="128" spans="33:52" ph="1">
      <c r="AH128" s="64" ph="1">
        <v>8</v>
      </c>
      <c r="AI128" s="64" t="s" ph="1">
        <v>522</v>
      </c>
      <c r="AY128" s="64" t="s" ph="1">
        <v>216</v>
      </c>
      <c r="AZ128" s="64" t="s" ph="1">
        <v>367</v>
      </c>
    </row>
    <row r="129" spans="33:52" ph="1">
      <c r="AH129" s="64" ph="1">
        <v>9</v>
      </c>
      <c r="AI129" s="64" t="s" ph="1">
        <v>523</v>
      </c>
      <c r="AY129" s="64" t="s" ph="1">
        <v>216</v>
      </c>
      <c r="AZ129" s="64" t="s" ph="1">
        <v>367</v>
      </c>
    </row>
    <row r="130" spans="33:52" ph="1">
      <c r="AH130" s="64" ph="1">
        <v>10</v>
      </c>
      <c r="AI130" s="64" t="s" ph="1">
        <v>524</v>
      </c>
      <c r="AY130" s="64" t="s" ph="1">
        <v>216</v>
      </c>
      <c r="AZ130" s="64" t="s" ph="1">
        <v>367</v>
      </c>
    </row>
    <row r="131" spans="33:52" ph="1">
      <c r="AH131" s="64" ph="1">
        <v>11</v>
      </c>
      <c r="AI131" s="64" t="s" ph="1">
        <v>525</v>
      </c>
      <c r="AJ131" s="64" t="s" ph="1">
        <v>583</v>
      </c>
      <c r="AK131" s="64" t="s" ph="1">
        <v>579</v>
      </c>
      <c r="AY131" s="64" t="s" ph="1">
        <v>216</v>
      </c>
      <c r="AZ131" s="64" t="s" ph="1">
        <v>579</v>
      </c>
    </row>
    <row r="132" spans="33:52" ph="1">
      <c r="AH132" s="64" ph="1">
        <v>12</v>
      </c>
      <c r="AI132" s="64" t="s" ph="1">
        <v>526</v>
      </c>
      <c r="AJ132" s="64" t="s" ph="1">
        <v>583</v>
      </c>
      <c r="AK132" s="64" t="s" ph="1">
        <v>518</v>
      </c>
      <c r="AY132" s="64" t="s" ph="1">
        <v>216</v>
      </c>
      <c r="AZ132" s="64" t="s" ph="1">
        <v>518</v>
      </c>
    </row>
    <row r="133" spans="33:52" ph="1">
      <c r="AH133" s="64" ph="1">
        <v>13</v>
      </c>
      <c r="AI133" s="64" t="s" ph="1">
        <v>527</v>
      </c>
      <c r="AJ133" s="64" t="s" ph="1">
        <v>583</v>
      </c>
      <c r="AK133" s="64" t="s" ph="1">
        <v>584</v>
      </c>
      <c r="AY133" s="64" t="s" ph="1">
        <v>216</v>
      </c>
      <c r="AZ133" s="64" t="s" ph="1">
        <v>584</v>
      </c>
    </row>
    <row r="134" spans="33:52" ph="1">
      <c r="AH134" s="64" ph="1">
        <v>14</v>
      </c>
      <c r="AI134" s="64" t="s" ph="1">
        <v>528</v>
      </c>
      <c r="AJ134" s="64" t="s" ph="1">
        <v>583</v>
      </c>
      <c r="AK134" s="64" t="s" ph="1">
        <v>585</v>
      </c>
      <c r="AY134" s="64" t="s" ph="1">
        <v>216</v>
      </c>
      <c r="AZ134" s="64" t="s" ph="1">
        <v>585</v>
      </c>
    </row>
    <row r="135" spans="33:52" ph="1">
      <c r="AH135" s="64" ph="1">
        <v>15</v>
      </c>
      <c r="AI135" s="64" t="s" ph="1">
        <v>529</v>
      </c>
      <c r="AJ135" s="64" t="s" ph="1">
        <v>583</v>
      </c>
      <c r="AK135" s="64" t="s" ph="1">
        <v>586</v>
      </c>
      <c r="AY135" s="64" t="s" ph="1">
        <v>216</v>
      </c>
      <c r="AZ135" s="64" t="s" ph="1">
        <v>586</v>
      </c>
    </row>
    <row r="136" spans="33:52" ph="1">
      <c r="AZ136" s="64" t="s" ph="1">
        <v>600</v>
      </c>
    </row>
    <row r="137" spans="33:52" ph="1">
      <c r="AG137" s="64" t="s" ph="1">
        <v>290</v>
      </c>
      <c r="AI137" s="64" t="s" ph="1">
        <v>209</v>
      </c>
      <c r="AJ137" s="64" t="s" ph="1">
        <v>210</v>
      </c>
      <c r="AK137" s="64" t="s" ph="1">
        <v>211</v>
      </c>
      <c r="AM137" s="64" t="s" ph="1">
        <v>210</v>
      </c>
      <c r="AN137" s="64" t="s" ph="1">
        <v>211</v>
      </c>
      <c r="AO137" s="64" t="s" ph="1">
        <v>212</v>
      </c>
      <c r="AP137" s="64" t="s" ph="1">
        <v>210</v>
      </c>
      <c r="AQ137" s="64" t="s" ph="1">
        <v>211</v>
      </c>
      <c r="AR137" s="64" t="s" ph="1">
        <v>212</v>
      </c>
      <c r="AS137" s="64" t="s" ph="1">
        <v>210</v>
      </c>
      <c r="AT137" s="64" t="s" ph="1">
        <v>211</v>
      </c>
      <c r="AU137" s="64" t="s" ph="1">
        <v>212</v>
      </c>
      <c r="AV137" s="64" t="s" ph="1">
        <v>210</v>
      </c>
      <c r="AW137" s="64" t="s" ph="1">
        <v>211</v>
      </c>
      <c r="AX137" s="64" t="s" ph="1">
        <v>212</v>
      </c>
      <c r="AY137" s="64" t="s" ph="1">
        <v>211</v>
      </c>
      <c r="AZ137" s="64" t="s" ph="1">
        <v>213</v>
      </c>
    </row>
    <row r="138" spans="33:52" ph="1">
      <c r="AH138" s="64" ph="1">
        <v>1</v>
      </c>
      <c r="AI138" s="64" t="s" ph="1">
        <v>530</v>
      </c>
      <c r="AJ138" s="64" t="s" ph="1">
        <v>531</v>
      </c>
      <c r="AK138" s="64" t="s" ph="1">
        <v>532</v>
      </c>
      <c r="AY138" s="64" t="s" ph="1">
        <v>216</v>
      </c>
      <c r="AZ138" s="64" t="s" ph="1">
        <v>532</v>
      </c>
    </row>
    <row r="139" spans="33:52" ph="1">
      <c r="AH139" s="64" ph="1">
        <v>2</v>
      </c>
      <c r="AI139" s="64" t="s" ph="1">
        <v>533</v>
      </c>
      <c r="AJ139" s="64" t="s" ph="1">
        <v>589</v>
      </c>
      <c r="AK139" s="64" t="s" ph="1">
        <v>601</v>
      </c>
      <c r="AY139" s="64" t="s" ph="1">
        <v>216</v>
      </c>
      <c r="AZ139" s="64" t="s" ph="1">
        <v>601</v>
      </c>
    </row>
    <row r="140" spans="33:52" ph="1">
      <c r="AH140" s="64" ph="1">
        <v>3</v>
      </c>
      <c r="AI140" s="64" t="s" ph="1">
        <v>534</v>
      </c>
      <c r="AJ140" s="64" t="s" ph="1">
        <v>487</v>
      </c>
      <c r="AK140" s="64" t="s" ph="1">
        <v>299</v>
      </c>
      <c r="AM140" s="64" t="s" ph="1">
        <v>488</v>
      </c>
      <c r="AN140" s="64" t="s" ph="1">
        <v>219</v>
      </c>
      <c r="AO140" s="64" t="s" ph="1">
        <v>535</v>
      </c>
      <c r="AP140" s="64" t="s" ph="1">
        <v>489</v>
      </c>
      <c r="AQ140" s="64" t="s" ph="1">
        <v>236</v>
      </c>
      <c r="AR140" s="64" t="s" ph="1">
        <v>535</v>
      </c>
      <c r="AS140" s="64" t="s" ph="1">
        <v>490</v>
      </c>
      <c r="AT140" s="64" t="s" ph="1">
        <v>229</v>
      </c>
      <c r="AU140" s="64" t="s" ph="1">
        <v>535</v>
      </c>
      <c r="AV140" s="64" t="s" ph="1">
        <v>491</v>
      </c>
      <c r="AW140" s="64" t="s" ph="1">
        <v>222</v>
      </c>
      <c r="AX140" s="64" t="s" ph="1">
        <v>535</v>
      </c>
      <c r="AY140" s="64" t="s" ph="1">
        <v>216</v>
      </c>
      <c r="AZ140" s="64" t="s" ph="1">
        <v>291</v>
      </c>
    </row>
    <row r="141" spans="33:52" ph="1">
      <c r="AJ141" s="64" t="s" ph="1">
        <v>493</v>
      </c>
      <c r="AK141" s="64" t="s" ph="1">
        <v>222</v>
      </c>
      <c r="AM141" s="64" t="s" ph="1">
        <v>494</v>
      </c>
      <c r="AN141" s="64" t="s" ph="1">
        <v>225</v>
      </c>
      <c r="AO141" s="64" t="s" ph="1">
        <v>535</v>
      </c>
      <c r="AP141" s="64" t="s" ph="1">
        <v>506</v>
      </c>
      <c r="AQ141" s="64" t="s" ph="1">
        <v>294</v>
      </c>
      <c r="AR141" s="64" t="s" ph="1">
        <v>535</v>
      </c>
      <c r="AS141" s="64" t="s" ph="1">
        <v>498</v>
      </c>
      <c r="AT141" s="64" t="s" ph="1">
        <v>222</v>
      </c>
      <c r="AU141" s="64" t="s" ph="1">
        <v>535</v>
      </c>
      <c r="AV141" s="64" t="s" ph="1">
        <v>334</v>
      </c>
      <c r="AW141" s="64" t="s" ph="1">
        <v>228</v>
      </c>
      <c r="AX141" s="64" t="s" ph="1">
        <v>535</v>
      </c>
    </row>
    <row r="142" spans="33:52" ph="1">
      <c r="AJ142" s="64" t="s" ph="1">
        <v>536</v>
      </c>
      <c r="AK142" s="64" t="s" ph="1">
        <v>239</v>
      </c>
    </row>
    <row r="143" spans="33:52" ph="1">
      <c r="AH143" s="64" ph="1">
        <v>4</v>
      </c>
      <c r="AI143" s="64" t="s" ph="1">
        <v>537</v>
      </c>
      <c r="AJ143" s="64" t="s" ph="1">
        <v>517</v>
      </c>
      <c r="AK143" s="64" t="s" ph="1">
        <v>538</v>
      </c>
      <c r="AY143" s="64" t="s" ph="1">
        <v>216</v>
      </c>
      <c r="AZ143" s="64" t="s" ph="1">
        <v>538</v>
      </c>
    </row>
    <row r="144" spans="33:52" ph="1">
      <c r="AH144" s="64" ph="1">
        <v>5</v>
      </c>
      <c r="AI144" s="64" t="s" ph="1">
        <v>539</v>
      </c>
      <c r="AY144" s="64" t="s" ph="1">
        <v>216</v>
      </c>
      <c r="AZ144" s="64" t="s" ph="1">
        <v>367</v>
      </c>
    </row>
    <row r="145" spans="33:52" ph="1">
      <c r="AH145" s="64" ph="1">
        <v>6</v>
      </c>
      <c r="AI145" s="64" t="s" ph="1">
        <v>540</v>
      </c>
      <c r="AY145" s="64" t="s" ph="1">
        <v>216</v>
      </c>
      <c r="AZ145" s="64" t="s" ph="1">
        <v>367</v>
      </c>
    </row>
    <row r="146" spans="33:52" ph="1">
      <c r="AH146" s="64" ph="1">
        <v>7</v>
      </c>
      <c r="AI146" s="64" t="s" ph="1">
        <v>541</v>
      </c>
      <c r="AY146" s="64" t="s" ph="1">
        <v>216</v>
      </c>
      <c r="AZ146" s="64" t="s" ph="1">
        <v>367</v>
      </c>
    </row>
    <row r="147" spans="33:52" ph="1">
      <c r="AH147" s="64" ph="1">
        <v>8</v>
      </c>
      <c r="AI147" s="64" t="s" ph="1">
        <v>542</v>
      </c>
      <c r="AY147" s="64" t="s" ph="1">
        <v>216</v>
      </c>
      <c r="AZ147" s="64" t="s" ph="1">
        <v>367</v>
      </c>
    </row>
    <row r="148" spans="33:52" ph="1">
      <c r="AH148" s="64" ph="1">
        <v>9</v>
      </c>
      <c r="AI148" s="64" t="s" ph="1">
        <v>543</v>
      </c>
      <c r="AY148" s="64" t="s" ph="1">
        <v>216</v>
      </c>
      <c r="AZ148" s="64" t="s" ph="1">
        <v>367</v>
      </c>
    </row>
    <row r="149" spans="33:52" ph="1">
      <c r="AH149" s="64" ph="1">
        <v>10</v>
      </c>
      <c r="AI149" s="64" t="s" ph="1">
        <v>544</v>
      </c>
      <c r="AY149" s="64" t="s" ph="1">
        <v>216</v>
      </c>
      <c r="AZ149" s="64" t="s" ph="1">
        <v>367</v>
      </c>
    </row>
    <row r="150" spans="33:52" ph="1">
      <c r="AH150" s="64" ph="1">
        <v>11</v>
      </c>
      <c r="AI150" s="64" t="s" ph="1">
        <v>545</v>
      </c>
      <c r="AY150" s="64" t="s" ph="1">
        <v>216</v>
      </c>
      <c r="AZ150" s="64" t="s" ph="1">
        <v>367</v>
      </c>
    </row>
    <row r="151" spans="33:52" ph="1">
      <c r="AH151" s="64" ph="1">
        <v>12</v>
      </c>
      <c r="AI151" s="64" t="s" ph="1">
        <v>546</v>
      </c>
      <c r="AY151" s="64" t="s" ph="1">
        <v>216</v>
      </c>
      <c r="AZ151" s="64" t="s" ph="1">
        <v>367</v>
      </c>
    </row>
    <row r="152" spans="33:52" ph="1">
      <c r="AH152" s="64" ph="1">
        <v>13</v>
      </c>
      <c r="AI152" s="64" t="s" ph="1">
        <v>547</v>
      </c>
      <c r="AY152" s="64" t="s" ph="1">
        <v>216</v>
      </c>
      <c r="AZ152" s="64" t="s" ph="1">
        <v>367</v>
      </c>
    </row>
    <row r="153" spans="33:52" ph="1">
      <c r="AH153" s="64" ph="1">
        <v>14</v>
      </c>
      <c r="AI153" s="64" t="s" ph="1">
        <v>548</v>
      </c>
      <c r="AY153" s="64" t="s" ph="1">
        <v>216</v>
      </c>
      <c r="AZ153" s="64" t="s" ph="1">
        <v>367</v>
      </c>
    </row>
    <row r="154" spans="33:52" ph="1">
      <c r="AH154" s="64" ph="1">
        <v>15</v>
      </c>
      <c r="AI154" s="64" t="s" ph="1">
        <v>549</v>
      </c>
      <c r="AY154" s="64" t="s" ph="1">
        <v>216</v>
      </c>
      <c r="AZ154" s="64" t="s" ph="1">
        <v>367</v>
      </c>
    </row>
    <row r="155" spans="33:52" ph="1">
      <c r="AH155" s="64" ph="1">
        <v>16</v>
      </c>
      <c r="AI155" s="64" t="s" ph="1">
        <v>550</v>
      </c>
      <c r="AJ155" s="64" t="s" ph="1">
        <v>336</v>
      </c>
      <c r="AK155" s="64" t="s" ph="1">
        <v>231</v>
      </c>
      <c r="AM155" s="64" t="s" ph="1">
        <v>570</v>
      </c>
      <c r="AN155" s="64" t="s" ph="1">
        <v>282</v>
      </c>
      <c r="AO155" s="64" t="s" ph="1">
        <v>535</v>
      </c>
      <c r="AY155" s="64" t="s" ph="1">
        <v>216</v>
      </c>
      <c r="AZ155" s="64" t="s" ph="1">
        <v>223</v>
      </c>
    </row>
    <row r="156" spans="33:52" ph="1">
      <c r="AZ156" s="64" t="s" ph="1">
        <v>602</v>
      </c>
    </row>
    <row r="157" spans="33:52" ph="1">
      <c r="AG157" s="64" t="s" ph="1">
        <v>551</v>
      </c>
      <c r="AI157" s="64" t="s" ph="1">
        <v>209</v>
      </c>
      <c r="AJ157" s="64" t="s" ph="1">
        <v>210</v>
      </c>
      <c r="AK157" s="64" t="s" ph="1">
        <v>211</v>
      </c>
      <c r="AM157" s="64" t="s" ph="1">
        <v>210</v>
      </c>
      <c r="AN157" s="64" t="s" ph="1">
        <v>211</v>
      </c>
      <c r="AO157" s="64" t="s" ph="1">
        <v>212</v>
      </c>
      <c r="AP157" s="64" t="s" ph="1">
        <v>210</v>
      </c>
      <c r="AQ157" s="64" t="s" ph="1">
        <v>211</v>
      </c>
      <c r="AR157" s="64" t="s" ph="1">
        <v>212</v>
      </c>
      <c r="AS157" s="64" t="s" ph="1">
        <v>210</v>
      </c>
      <c r="AT157" s="64" t="s" ph="1">
        <v>211</v>
      </c>
      <c r="AU157" s="64" t="s" ph="1">
        <v>212</v>
      </c>
      <c r="AV157" s="64" t="s" ph="1">
        <v>210</v>
      </c>
      <c r="AW157" s="64" t="s" ph="1">
        <v>211</v>
      </c>
      <c r="AX157" s="64" t="s" ph="1">
        <v>212</v>
      </c>
      <c r="AY157" s="64" t="s" ph="1">
        <v>211</v>
      </c>
      <c r="AZ157" s="64" t="s" ph="1">
        <v>213</v>
      </c>
    </row>
    <row r="158" spans="33:52" ph="1">
      <c r="AH158" s="64" ph="1">
        <v>1</v>
      </c>
      <c r="AI158" s="64" t="s" ph="1">
        <v>552</v>
      </c>
      <c r="AY158" s="64" t="s" ph="1">
        <v>216</v>
      </c>
      <c r="AZ158" s="64" t="s" ph="1">
        <v>367</v>
      </c>
    </row>
    <row r="159" spans="33:52" ph="1">
      <c r="AH159" s="64" ph="1">
        <v>2</v>
      </c>
      <c r="AI159" s="64" t="s" ph="1">
        <v>553</v>
      </c>
      <c r="AY159" s="64" t="s" ph="1">
        <v>216</v>
      </c>
      <c r="AZ159" s="64" t="s" ph="1">
        <v>367</v>
      </c>
    </row>
    <row r="160" spans="33:52" ph="1">
      <c r="AZ160" s="64" t="s" ph="1">
        <v>385</v>
      </c>
    </row>
    <row r="161" spans="33:52" ph="1">
      <c r="AG161" s="64" t="s" ph="1">
        <v>361</v>
      </c>
      <c r="AI161" s="64" t="s" ph="1">
        <v>209</v>
      </c>
      <c r="AJ161" s="64" t="s" ph="1">
        <v>210</v>
      </c>
      <c r="AK161" s="64" t="s" ph="1">
        <v>211</v>
      </c>
      <c r="AM161" s="64" t="s" ph="1">
        <v>210</v>
      </c>
      <c r="AN161" s="64" t="s" ph="1">
        <v>211</v>
      </c>
      <c r="AO161" s="64" t="s" ph="1">
        <v>212</v>
      </c>
      <c r="AP161" s="64" t="s" ph="1">
        <v>210</v>
      </c>
      <c r="AQ161" s="64" t="s" ph="1">
        <v>211</v>
      </c>
      <c r="AR161" s="64" t="s" ph="1">
        <v>212</v>
      </c>
      <c r="AS161" s="64" t="s" ph="1">
        <v>210</v>
      </c>
      <c r="AT161" s="64" t="s" ph="1">
        <v>211</v>
      </c>
      <c r="AU161" s="64" t="s" ph="1">
        <v>212</v>
      </c>
      <c r="AV161" s="64" t="s" ph="1">
        <v>210</v>
      </c>
      <c r="AW161" s="64" t="s" ph="1">
        <v>211</v>
      </c>
      <c r="AX161" s="64" t="s" ph="1">
        <v>212</v>
      </c>
      <c r="AY161" s="64" t="s" ph="1">
        <v>211</v>
      </c>
      <c r="AZ161" s="64" t="s" ph="1">
        <v>213</v>
      </c>
    </row>
    <row r="162" spans="33:52" ph="1">
      <c r="AH162" s="64" ph="1">
        <v>1</v>
      </c>
      <c r="AI162" s="64" t="s" ph="1">
        <v>554</v>
      </c>
      <c r="AJ162" s="64" t="s" ph="1">
        <v>555</v>
      </c>
      <c r="AK162" s="64" t="s" ph="1">
        <v>499</v>
      </c>
      <c r="AM162" s="64" t="s" ph="1">
        <v>556</v>
      </c>
      <c r="AN162" s="64" t="s" ph="1">
        <v>220</v>
      </c>
      <c r="AO162" s="64" t="s" ph="1">
        <v>557</v>
      </c>
      <c r="AY162" s="64" t="s" ph="1">
        <v>216</v>
      </c>
      <c r="AZ162" s="64" t="s" ph="1">
        <v>292</v>
      </c>
    </row>
    <row r="163" spans="33:52" ph="1">
      <c r="AH163" s="64" ph="1">
        <v>2</v>
      </c>
      <c r="AI163" s="64" t="s" ph="1">
        <v>558</v>
      </c>
      <c r="AJ163" s="64" t="s" ph="1">
        <v>555</v>
      </c>
      <c r="AK163" s="64" t="s" ph="1">
        <v>388</v>
      </c>
      <c r="AY163" s="64" t="s" ph="1">
        <v>216</v>
      </c>
      <c r="AZ163" s="64" t="s" ph="1">
        <v>388</v>
      </c>
    </row>
    <row r="164" spans="33:52" ph="1">
      <c r="AH164" s="64" ph="1">
        <v>3</v>
      </c>
      <c r="AI164" s="64" t="s" ph="1">
        <v>559</v>
      </c>
      <c r="AJ164" s="64" t="s" ph="1">
        <v>555</v>
      </c>
      <c r="AK164" s="64" t="s" ph="1">
        <v>292</v>
      </c>
      <c r="AY164" s="64" t="s" ph="1">
        <v>216</v>
      </c>
      <c r="AZ164" s="64" t="s" ph="1">
        <v>292</v>
      </c>
    </row>
    <row r="165" spans="33:52" ph="1">
      <c r="AH165" s="64" ph="1">
        <v>4</v>
      </c>
      <c r="AI165" s="64" t="s" ph="1">
        <v>560</v>
      </c>
      <c r="AY165" s="64" t="s" ph="1">
        <v>216</v>
      </c>
      <c r="AZ165" s="64" t="s" ph="1">
        <v>367</v>
      </c>
    </row>
    <row r="166" spans="33:52" ph="1">
      <c r="AH166" s="64" ph="1">
        <v>5</v>
      </c>
      <c r="AI166" s="64" t="s" ph="1">
        <v>561</v>
      </c>
      <c r="AY166" s="64" t="s" ph="1">
        <v>216</v>
      </c>
      <c r="AZ166" s="64" t="s" ph="1">
        <v>367</v>
      </c>
    </row>
    <row r="167" spans="33:52" ph="1">
      <c r="AZ167" s="64" t="s" ph="1">
        <v>562</v>
      </c>
    </row>
    <row r="168" spans="33:52" ph="1">
      <c r="AG168" s="64" t="s" ph="1">
        <v>305</v>
      </c>
      <c r="AI168" s="64" t="s" ph="1">
        <v>209</v>
      </c>
      <c r="AJ168" s="64" t="s" ph="1">
        <v>210</v>
      </c>
      <c r="AK168" s="64" t="s" ph="1">
        <v>211</v>
      </c>
      <c r="AM168" s="64" t="s" ph="1">
        <v>210</v>
      </c>
      <c r="AN168" s="64" t="s" ph="1">
        <v>211</v>
      </c>
      <c r="AO168" s="64" t="s" ph="1">
        <v>212</v>
      </c>
      <c r="AP168" s="64" t="s" ph="1">
        <v>210</v>
      </c>
      <c r="AQ168" s="64" t="s" ph="1">
        <v>211</v>
      </c>
      <c r="AR168" s="64" t="s" ph="1">
        <v>212</v>
      </c>
      <c r="AS168" s="64" t="s" ph="1">
        <v>210</v>
      </c>
      <c r="AT168" s="64" t="s" ph="1">
        <v>211</v>
      </c>
      <c r="AU168" s="64" t="s" ph="1">
        <v>212</v>
      </c>
      <c r="AV168" s="64" t="s" ph="1">
        <v>210</v>
      </c>
      <c r="AW168" s="64" t="s" ph="1">
        <v>211</v>
      </c>
      <c r="AX168" s="64" t="s" ph="1">
        <v>212</v>
      </c>
      <c r="AY168" s="64" t="s" ph="1">
        <v>211</v>
      </c>
      <c r="AZ168" s="64" t="s" ph="1">
        <v>213</v>
      </c>
    </row>
    <row r="169" spans="33:52" ph="1">
      <c r="AH169" s="64" ph="1">
        <v>1</v>
      </c>
      <c r="AI169" s="64" t="s" ph="1">
        <v>563</v>
      </c>
      <c r="AY169" s="64" t="s" ph="1">
        <v>216</v>
      </c>
      <c r="AZ169" s="64" t="s" ph="1">
        <v>367</v>
      </c>
    </row>
    <row r="170" spans="33:52" ph="1">
      <c r="AH170" s="64" ph="1">
        <v>2</v>
      </c>
      <c r="AI170" s="64" t="s" ph="1">
        <v>564</v>
      </c>
      <c r="AY170" s="64" t="s" ph="1">
        <v>216</v>
      </c>
      <c r="AZ170" s="64" t="s" ph="1">
        <v>367</v>
      </c>
    </row>
    <row r="171" spans="33:52" ph="1">
      <c r="AH171" s="64" ph="1">
        <v>3</v>
      </c>
      <c r="AI171" s="64" t="s" ph="1">
        <v>565</v>
      </c>
      <c r="AY171" s="64" t="s" ph="1">
        <v>216</v>
      </c>
      <c r="AZ171" s="64" t="s" ph="1">
        <v>367</v>
      </c>
    </row>
    <row r="172" spans="33:52" ph="1">
      <c r="AH172" s="64" ph="1">
        <v>4</v>
      </c>
      <c r="AI172" s="64" t="s" ph="1">
        <v>566</v>
      </c>
      <c r="AY172" s="64" t="s" ph="1">
        <v>216</v>
      </c>
      <c r="AZ172" s="64" t="s" ph="1">
        <v>367</v>
      </c>
    </row>
    <row r="173" spans="33:52" ph="1">
      <c r="AH173" s="64" ph="1">
        <v>5</v>
      </c>
      <c r="AI173" s="64" t="s" ph="1">
        <v>567</v>
      </c>
      <c r="AY173" s="64" t="s" ph="1">
        <v>216</v>
      </c>
      <c r="AZ173" s="64" t="s" ph="1">
        <v>367</v>
      </c>
    </row>
    <row r="174" spans="33:52" ph="1">
      <c r="AZ174" s="64" t="s" ph="1">
        <v>385</v>
      </c>
    </row>
    <row r="175" spans="33:52" ph="1">
      <c r="AJ175" s="64" t="s" ph="1">
        <v>306</v>
      </c>
    </row>
    <row r="176" spans="33:52" ph="1">
      <c r="AJ176" s="64" t="s" ph="1">
        <v>307</v>
      </c>
      <c r="AK176" s="64" t="s" ph="1">
        <v>308</v>
      </c>
      <c r="AM176" s="64" t="s" ph="1">
        <v>309</v>
      </c>
      <c r="AO176" s="64" t="s" ph="1">
        <v>310</v>
      </c>
      <c r="AP176" s="64" t="s" ph="1">
        <v>311</v>
      </c>
      <c r="AQ176" s="64" t="s" ph="1">
        <v>301</v>
      </c>
      <c r="AR176" s="64" t="s" ph="1">
        <v>221</v>
      </c>
    </row>
    <row r="177" spans="36:56" ph="1">
      <c r="AJ177" s="64" t="s" ph="1">
        <v>603</v>
      </c>
      <c r="AK177" s="64" t="s" ph="1">
        <v>312</v>
      </c>
      <c r="AO177" s="64" t="s" ph="1">
        <v>312</v>
      </c>
      <c r="AP177" s="64" t="s" ph="1">
        <v>312</v>
      </c>
      <c r="AQ177" s="64" t="s" ph="1">
        <v>313</v>
      </c>
      <c r="AR177" s="64" t="s" ph="1">
        <v>314</v>
      </c>
    </row>
    <row r="179" spans="36:56" ph="1">
      <c r="AJ179" s="64" t="s" ph="1">
        <v>315</v>
      </c>
      <c r="AK179" s="64" t="s" ph="1">
        <v>316</v>
      </c>
      <c r="AM179" s="64" t="s" ph="1">
        <v>317</v>
      </c>
      <c r="AN179" s="64" t="s" ph="1">
        <v>293</v>
      </c>
      <c r="AO179" s="64" t="s" ph="1">
        <v>318</v>
      </c>
      <c r="AP179" s="64" t="s" ph="1">
        <v>297</v>
      </c>
      <c r="AQ179" s="64" t="s" ph="1">
        <v>319</v>
      </c>
      <c r="AR179" s="64" t="s" ph="1">
        <v>320</v>
      </c>
    </row>
    <row r="180" spans="36:56" ph="1">
      <c r="AJ180" s="64" t="s" ph="1">
        <v>312</v>
      </c>
      <c r="AK180" s="64" t="s" ph="1">
        <v>312</v>
      </c>
      <c r="AL180" s="64" ph="1">
        <v>116</v>
      </c>
      <c r="AM180" s="64" t="s" ph="1">
        <v>312</v>
      </c>
      <c r="AN180" s="64" t="s" ph="1">
        <v>321</v>
      </c>
      <c r="AO180" s="64" t="s" ph="1">
        <v>312</v>
      </c>
      <c r="AP180" s="64" t="s" ph="1">
        <v>322</v>
      </c>
      <c r="AQ180" s="64" t="s" ph="1">
        <v>323</v>
      </c>
      <c r="AR180" s="64" t="s" ph="1">
        <v>324</v>
      </c>
    </row>
    <row r="189" spans="36:56" ph="1">
      <c r="BD189" s="64" t="s" ph="1">
        <v>568</v>
      </c>
    </row>
    <row r="223" spans="18:18" ph="1">
      <c r="R223" s="135" ph="1">
        <v>45496</v>
      </c>
    </row>
  </sheetData>
  <mergeCells count="58"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B33:C34"/>
    <mergeCell ref="D33:D34"/>
    <mergeCell ref="E33:E34"/>
    <mergeCell ref="F33:F34"/>
    <mergeCell ref="G33:G34"/>
    <mergeCell ref="S31:U31"/>
    <mergeCell ref="V31:X31"/>
    <mergeCell ref="Y31:AA31"/>
    <mergeCell ref="AB31:AE31"/>
    <mergeCell ref="AD32:AE32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</mergeCells>
  <phoneticPr fontId="2" type="noConversion"/>
  <conditionalFormatting sqref="D4:D11">
    <cfRule type="expression" dxfId="2606" priority="100">
      <formula>ABS(D$7-D$10)&gt;=1000</formula>
    </cfRule>
  </conditionalFormatting>
  <conditionalFormatting sqref="E4 E6:E11">
    <cfRule type="expression" dxfId="2605" priority="99">
      <formula>ABS(E$7-E$10)&gt;=1000</formula>
    </cfRule>
  </conditionalFormatting>
  <conditionalFormatting sqref="F4:F11">
    <cfRule type="expression" dxfId="2604" priority="98">
      <formula>ABS(F$7-F$10)&gt;=1000</formula>
    </cfRule>
  </conditionalFormatting>
  <conditionalFormatting sqref="G4:G11">
    <cfRule type="expression" dxfId="2603" priority="97">
      <formula>ABS(G$7-G$10)&gt;=1000</formula>
    </cfRule>
  </conditionalFormatting>
  <conditionalFormatting sqref="H4:H11">
    <cfRule type="expression" dxfId="2602" priority="96">
      <formula>ABS(H$7-H$10)&gt;=1000</formula>
    </cfRule>
  </conditionalFormatting>
  <conditionalFormatting sqref="I4:I11">
    <cfRule type="expression" dxfId="2601" priority="95">
      <formula>ABS(I$7-I$10)&gt;=1000</formula>
    </cfRule>
  </conditionalFormatting>
  <conditionalFormatting sqref="J4:J11">
    <cfRule type="expression" dxfId="2600" priority="94">
      <formula>ABS(J$7-J$10)&gt;=1000</formula>
    </cfRule>
  </conditionalFormatting>
  <conditionalFormatting sqref="K4:K11">
    <cfRule type="expression" dxfId="2599" priority="93">
      <formula>ABS(K$7-K$10)&gt;=1000</formula>
    </cfRule>
  </conditionalFormatting>
  <conditionalFormatting sqref="L4:L11">
    <cfRule type="expression" dxfId="2598" priority="92">
      <formula>ABS(L$7-L$10)&gt;=1000</formula>
    </cfRule>
  </conditionalFormatting>
  <conditionalFormatting sqref="M4 M6:M11">
    <cfRule type="expression" dxfId="2597" priority="91">
      <formula>ABS(M$7-M$10)&gt;=1000</formula>
    </cfRule>
  </conditionalFormatting>
  <conditionalFormatting sqref="N4 N6:N11">
    <cfRule type="expression" dxfId="2596" priority="90">
      <formula>ABS(N$7-N$10)&gt;=1000</formula>
    </cfRule>
  </conditionalFormatting>
  <conditionalFormatting sqref="O4 O6:O11">
    <cfRule type="expression" dxfId="2595" priority="89">
      <formula>ABS(O$7-O$10)&gt;=1000</formula>
    </cfRule>
  </conditionalFormatting>
  <conditionalFormatting sqref="P4 P6:P11">
    <cfRule type="expression" dxfId="2594" priority="88">
      <formula>ABS(P$7-P$10)&gt;=1000</formula>
    </cfRule>
  </conditionalFormatting>
  <conditionalFormatting sqref="Q4:Q11">
    <cfRule type="expression" dxfId="2593" priority="87">
      <formula>ABS(Q$7-Q$10)&gt;=1000</formula>
    </cfRule>
  </conditionalFormatting>
  <conditionalFormatting sqref="R4:R11">
    <cfRule type="expression" dxfId="2592" priority="86">
      <formula>ABS(R$7-R$10)&gt;=1000</formula>
    </cfRule>
  </conditionalFormatting>
  <conditionalFormatting sqref="S4:S11">
    <cfRule type="expression" dxfId="2591" priority="85">
      <formula>ABS(S$7-S$10)&gt;=1000</formula>
    </cfRule>
  </conditionalFormatting>
  <conditionalFormatting sqref="T4:T9 T11">
    <cfRule type="expression" dxfId="2590" priority="84">
      <formula>ABS(T$7-T$10)&gt;=1000</formula>
    </cfRule>
  </conditionalFormatting>
  <conditionalFormatting sqref="U4:U9 U11">
    <cfRule type="expression" dxfId="2589" priority="83">
      <formula>ABS(U$7-U$10)&gt;=1000</formula>
    </cfRule>
  </conditionalFormatting>
  <conditionalFormatting sqref="V4:V9 V11">
    <cfRule type="expression" dxfId="2588" priority="82">
      <formula>ABS(V$7-V$10)&gt;=1000</formula>
    </cfRule>
  </conditionalFormatting>
  <conditionalFormatting sqref="W4:W9 W11">
    <cfRule type="expression" dxfId="2587" priority="81">
      <formula>ABS(W$7-W$10)&gt;=1000</formula>
    </cfRule>
  </conditionalFormatting>
  <conditionalFormatting sqref="X4:X9 X11">
    <cfRule type="expression" dxfId="2586" priority="80">
      <formula>ABS(X$7-X$10)&gt;=1000</formula>
    </cfRule>
  </conditionalFormatting>
  <conditionalFormatting sqref="Y4:Y9 Y11">
    <cfRule type="expression" dxfId="2585" priority="79">
      <formula>ABS(Y$7-Y$10)&gt;=1000</formula>
    </cfRule>
  </conditionalFormatting>
  <conditionalFormatting sqref="Z4:Z11">
    <cfRule type="expression" dxfId="2584" priority="78">
      <formula>ABS(Z$7-Z$10)&gt;=1000</formula>
    </cfRule>
  </conditionalFormatting>
  <conditionalFormatting sqref="AA4:AA11">
    <cfRule type="expression" dxfId="2583" priority="77">
      <formula>ABS(AA$7-AA$10)&gt;=1000</formula>
    </cfRule>
  </conditionalFormatting>
  <conditionalFormatting sqref="AB4:AB11">
    <cfRule type="expression" dxfId="2582" priority="76">
      <formula>ABS(AB$7-AB$10)&gt;=1000</formula>
    </cfRule>
  </conditionalFormatting>
  <conditionalFormatting sqref="AC4 AC6:AC11">
    <cfRule type="expression" dxfId="2581" priority="75">
      <formula>ABS(AC$7-AC$10)&gt;=1000</formula>
    </cfRule>
  </conditionalFormatting>
  <conditionalFormatting sqref="AD4 AD6:AD11">
    <cfRule type="expression" dxfId="2580" priority="74">
      <formula>ABS(AD$7-AD$10)&gt;=1000</formula>
    </cfRule>
  </conditionalFormatting>
  <conditionalFormatting sqref="AE4 AE6:AE11">
    <cfRule type="expression" dxfId="2579" priority="73">
      <formula>ABS(AE$7-AE$10)&gt;=1000</formula>
    </cfRule>
  </conditionalFormatting>
  <conditionalFormatting sqref="D13:D20">
    <cfRule type="expression" dxfId="2578" priority="72">
      <formula>ABS(D$16-D$19)&gt;=1000</formula>
    </cfRule>
  </conditionalFormatting>
  <conditionalFormatting sqref="E13:E20">
    <cfRule type="expression" dxfId="2577" priority="71">
      <formula>ABS(E$16-E$19)&gt;=1000</formula>
    </cfRule>
  </conditionalFormatting>
  <conditionalFormatting sqref="F13 F15:F20">
    <cfRule type="expression" dxfId="2576" priority="70">
      <formula>ABS(F$16-F$19)&gt;=1000</formula>
    </cfRule>
  </conditionalFormatting>
  <conditionalFormatting sqref="G13:G20">
    <cfRule type="expression" dxfId="2575" priority="69">
      <formula>ABS(G$16-G$19)&gt;=1000</formula>
    </cfRule>
  </conditionalFormatting>
  <conditionalFormatting sqref="H13 H15:H20">
    <cfRule type="expression" dxfId="2574" priority="68">
      <formula>ABS(H$16-H$19)&gt;=1000</formula>
    </cfRule>
  </conditionalFormatting>
  <conditionalFormatting sqref="I13:I20">
    <cfRule type="expression" dxfId="2573" priority="67">
      <formula>ABS(I$16-I$19)&gt;=1000</formula>
    </cfRule>
  </conditionalFormatting>
  <conditionalFormatting sqref="J13:J20">
    <cfRule type="expression" dxfId="2572" priority="66">
      <formula>ABS(J$16-J$19)&gt;=1000</formula>
    </cfRule>
  </conditionalFormatting>
  <conditionalFormatting sqref="L13:L20">
    <cfRule type="expression" dxfId="2571" priority="65">
      <formula>ABS(L$16-L$19)&gt;=1000</formula>
    </cfRule>
  </conditionalFormatting>
  <conditionalFormatting sqref="M13 M15 M17:M18 M20">
    <cfRule type="expression" dxfId="2570" priority="64">
      <formula>ABS(M$16-M$19)&gt;=1000</formula>
    </cfRule>
  </conditionalFormatting>
  <conditionalFormatting sqref="N13:N20">
    <cfRule type="expression" dxfId="2569" priority="63">
      <formula>ABS(N$16-N$19)&gt;=1000</formula>
    </cfRule>
  </conditionalFormatting>
  <conditionalFormatting sqref="O13:O20">
    <cfRule type="expression" dxfId="2568" priority="62">
      <formula>ABS(O$16-O$19)&gt;=1000</formula>
    </cfRule>
  </conditionalFormatting>
  <conditionalFormatting sqref="P13:P20">
    <cfRule type="expression" dxfId="2567" priority="61">
      <formula>ABS(P$16-P$19)&gt;=1000</formula>
    </cfRule>
  </conditionalFormatting>
  <conditionalFormatting sqref="Q13 Q15:Q20">
    <cfRule type="expression" dxfId="2566" priority="60">
      <formula>ABS(Q$16-Q$19)&gt;=1000</formula>
    </cfRule>
  </conditionalFormatting>
  <conditionalFormatting sqref="R13:R20">
    <cfRule type="expression" dxfId="2565" priority="59">
      <formula>ABS(R$16-R$19)&gt;=1000</formula>
    </cfRule>
  </conditionalFormatting>
  <conditionalFormatting sqref="S13:S20">
    <cfRule type="expression" dxfId="2564" priority="58">
      <formula>ABS(S$16-S$19)&gt;=1000</formula>
    </cfRule>
  </conditionalFormatting>
  <conditionalFormatting sqref="T13:T20">
    <cfRule type="expression" dxfId="2563" priority="57">
      <formula>ABS(T$16-T$19)&gt;=1000</formula>
    </cfRule>
  </conditionalFormatting>
  <conditionalFormatting sqref="U13:U20">
    <cfRule type="expression" dxfId="2562" priority="56">
      <formula>ABS(U$16-U$19)&gt;=1000</formula>
    </cfRule>
  </conditionalFormatting>
  <conditionalFormatting sqref="V13:V20">
    <cfRule type="expression" dxfId="2561" priority="55">
      <formula>ABS(V$16-V$19)&gt;=1000</formula>
    </cfRule>
  </conditionalFormatting>
  <conditionalFormatting sqref="W13 W20 W15:W18">
    <cfRule type="expression" dxfId="2560" priority="54">
      <formula>ABS(W$16-W$19)&gt;=1000</formula>
    </cfRule>
  </conditionalFormatting>
  <conditionalFormatting sqref="X13 X15:X20 Y19">
    <cfRule type="expression" dxfId="2559" priority="53">
      <formula>ABS(X$16-X$19)&gt;=1000</formula>
    </cfRule>
  </conditionalFormatting>
  <conditionalFormatting sqref="Y13 Y15:Y18 Y20">
    <cfRule type="expression" dxfId="2558" priority="52">
      <formula>ABS(Y$16-Y$19)&gt;=1000</formula>
    </cfRule>
  </conditionalFormatting>
  <conditionalFormatting sqref="Z13:Z20">
    <cfRule type="expression" dxfId="2557" priority="51">
      <formula>ABS(Z$16-Z$19)&gt;=1000</formula>
    </cfRule>
  </conditionalFormatting>
  <conditionalFormatting sqref="AA13:AA20">
    <cfRule type="expression" dxfId="2556" priority="50">
      <formula>ABS(AA$16-AA$19)&gt;=1000</formula>
    </cfRule>
  </conditionalFormatting>
  <conditionalFormatting sqref="AB13 AB15:AB20">
    <cfRule type="expression" dxfId="2555" priority="49">
      <formula>ABS(AB$16-AB$19)&gt;=1000</formula>
    </cfRule>
  </conditionalFormatting>
  <conditionalFormatting sqref="AC13 AC15:AC20">
    <cfRule type="expression" dxfId="2554" priority="48">
      <formula>ABS(AC$16-AC$19)&gt;=1000</formula>
    </cfRule>
  </conditionalFormatting>
  <conditionalFormatting sqref="AD13:AD20">
    <cfRule type="expression" dxfId="2553" priority="47">
      <formula>ABS(AD$16-AD$19)&gt;=1000</formula>
    </cfRule>
  </conditionalFormatting>
  <conditionalFormatting sqref="AE13:AE20">
    <cfRule type="expression" dxfId="2552" priority="46">
      <formula>ABS(AE$16-AE$19)&gt;=1000</formula>
    </cfRule>
  </conditionalFormatting>
  <conditionalFormatting sqref="D22:D29">
    <cfRule type="expression" dxfId="2551" priority="45">
      <formula>ABS(D$25-D$28)&gt;=1000</formula>
    </cfRule>
  </conditionalFormatting>
  <conditionalFormatting sqref="E22:E29">
    <cfRule type="expression" dxfId="2550" priority="44">
      <formula>ABS(E$25-E$28)&gt;=1000</formula>
    </cfRule>
  </conditionalFormatting>
  <conditionalFormatting sqref="F22:F29">
    <cfRule type="expression" dxfId="2549" priority="43">
      <formula>ABS(F$25-F$28)&gt;=1000</formula>
    </cfRule>
  </conditionalFormatting>
  <conditionalFormatting sqref="G22:G29">
    <cfRule type="expression" dxfId="2548" priority="42">
      <formula>ABS(G$25-G$28)&gt;=1000</formula>
    </cfRule>
  </conditionalFormatting>
  <conditionalFormatting sqref="H22:H29">
    <cfRule type="expression" dxfId="2547" priority="41">
      <formula>ABS(H$25-H$28)&gt;=1000</formula>
    </cfRule>
  </conditionalFormatting>
  <conditionalFormatting sqref="I22 I24:I29">
    <cfRule type="expression" dxfId="2546" priority="40">
      <formula>ABS(I$25-I$28)&gt;=1000</formula>
    </cfRule>
  </conditionalFormatting>
  <conditionalFormatting sqref="J22:J29 K22">
    <cfRule type="expression" dxfId="2545" priority="39">
      <formula>ABS(J$25-J$28)&gt;=1000</formula>
    </cfRule>
  </conditionalFormatting>
  <conditionalFormatting sqref="K23:K29 L25 L28">
    <cfRule type="expression" dxfId="2544" priority="38">
      <formula>ABS(K$25-K$28)&gt;=1000</formula>
    </cfRule>
  </conditionalFormatting>
  <conditionalFormatting sqref="L22 L26:L27 L29 L24">
    <cfRule type="expression" dxfId="2543" priority="37">
      <formula>ABS(L$25-L$28)&gt;=1000</formula>
    </cfRule>
  </conditionalFormatting>
  <conditionalFormatting sqref="M22:M29">
    <cfRule type="expression" dxfId="2542" priority="36">
      <formula>ABS(M$25-M$28)&gt;=1000</formula>
    </cfRule>
  </conditionalFormatting>
  <conditionalFormatting sqref="N22:N29">
    <cfRule type="expression" dxfId="2541" priority="35">
      <formula>ABS(N$25-N$28)&gt;=1000</formula>
    </cfRule>
  </conditionalFormatting>
  <conditionalFormatting sqref="O22:O29">
    <cfRule type="expression" dxfId="2540" priority="34">
      <formula>ABS(O$25-O$28)&gt;=1000</formula>
    </cfRule>
  </conditionalFormatting>
  <conditionalFormatting sqref="P22:P29">
    <cfRule type="expression" dxfId="2539" priority="33">
      <formula>ABS(P$25-P$28)&gt;=1000</formula>
    </cfRule>
  </conditionalFormatting>
  <conditionalFormatting sqref="Q22:Q29">
    <cfRule type="expression" dxfId="2538" priority="32">
      <formula>ABS(Q$25-Q$28)&gt;=1000</formula>
    </cfRule>
  </conditionalFormatting>
  <conditionalFormatting sqref="R22:R29">
    <cfRule type="expression" dxfId="2537" priority="31">
      <formula>ABS(R$25-R$28)&gt;=1000</formula>
    </cfRule>
  </conditionalFormatting>
  <conditionalFormatting sqref="S22:S29">
    <cfRule type="expression" dxfId="2536" priority="30">
      <formula>ABS(S$25-S$28)&gt;=1000</formula>
    </cfRule>
  </conditionalFormatting>
  <conditionalFormatting sqref="T22:T29">
    <cfRule type="expression" dxfId="2535" priority="29">
      <formula>ABS(T$25-T$28)&gt;=1000</formula>
    </cfRule>
  </conditionalFormatting>
  <conditionalFormatting sqref="U22:U29">
    <cfRule type="expression" dxfId="2534" priority="28">
      <formula>ABS(U$25-U$28)&gt;=1000</formula>
    </cfRule>
  </conditionalFormatting>
  <conditionalFormatting sqref="V22:V29">
    <cfRule type="expression" dxfId="2533" priority="27">
      <formula>ABS(V$25-V$28)&gt;=1000</formula>
    </cfRule>
  </conditionalFormatting>
  <conditionalFormatting sqref="W22:W29">
    <cfRule type="expression" dxfId="2532" priority="26">
      <formula>ABS(W$25-W$28)&gt;=1000</formula>
    </cfRule>
  </conditionalFormatting>
  <conditionalFormatting sqref="X22:X29">
    <cfRule type="expression" dxfId="2531" priority="25">
      <formula>ABS(X$25-X$28)&gt;=1000</formula>
    </cfRule>
  </conditionalFormatting>
  <conditionalFormatting sqref="Y22:Y29">
    <cfRule type="expression" dxfId="2530" priority="24">
      <formula>ABS(Y$25-Y$28)&gt;=1000</formula>
    </cfRule>
  </conditionalFormatting>
  <conditionalFormatting sqref="I23">
    <cfRule type="expression" dxfId="2529" priority="23">
      <formula>ABS(I$25-I$28)&gt;=1000</formula>
    </cfRule>
  </conditionalFormatting>
  <conditionalFormatting sqref="Q14">
    <cfRule type="expression" dxfId="2528" priority="22">
      <formula>ABS(Q$16-Q$19)&gt;=1000</formula>
    </cfRule>
  </conditionalFormatting>
  <conditionalFormatting sqref="W14">
    <cfRule type="expression" dxfId="2527" priority="21">
      <formula>ABS(W$16-W$19)&gt;=1000</formula>
    </cfRule>
  </conditionalFormatting>
  <conditionalFormatting sqref="X14">
    <cfRule type="expression" dxfId="2526" priority="20">
      <formula>ABS(X$16-X$19)&gt;=1000</formula>
    </cfRule>
  </conditionalFormatting>
  <conditionalFormatting sqref="T10:Y10">
    <cfRule type="expression" dxfId="2525" priority="19">
      <formula>ABS(T$7-T$10)&gt;=1000</formula>
    </cfRule>
  </conditionalFormatting>
  <conditionalFormatting sqref="W19">
    <cfRule type="expression" dxfId="2524" priority="18">
      <formula>ABS(W$16-W$19)&gt;=1000</formula>
    </cfRule>
  </conditionalFormatting>
  <conditionalFormatting sqref="AC5">
    <cfRule type="expression" dxfId="2523" priority="17">
      <formula>ABS(AC$7-AC$10)&gt;=1000</formula>
    </cfRule>
  </conditionalFormatting>
  <conditionalFormatting sqref="M14">
    <cfRule type="expression" dxfId="2522" priority="16">
      <formula>ABS(M$16-M$19)&gt;=1000</formula>
    </cfRule>
  </conditionalFormatting>
  <conditionalFormatting sqref="M16">
    <cfRule type="expression" dxfId="2521" priority="15">
      <formula>ABS(M$16-M$19)&gt;=1000</formula>
    </cfRule>
  </conditionalFormatting>
  <conditionalFormatting sqref="M19">
    <cfRule type="expression" dxfId="2520" priority="14">
      <formula>ABS(M$16-M$19)&gt;=1000</formula>
    </cfRule>
  </conditionalFormatting>
  <conditionalFormatting sqref="K13:K20">
    <cfRule type="expression" dxfId="2519" priority="13">
      <formula>ABS(K$16-K$19)&gt;=1000</formula>
    </cfRule>
  </conditionalFormatting>
  <conditionalFormatting sqref="E5">
    <cfRule type="expression" dxfId="2518" priority="12">
      <formula>ABS(E$7-E$10)&gt;=1000</formula>
    </cfRule>
  </conditionalFormatting>
  <conditionalFormatting sqref="AB14:AC14">
    <cfRule type="expression" dxfId="2517" priority="11">
      <formula>ABS(AB$16-AB$19)&gt;=1000</formula>
    </cfRule>
  </conditionalFormatting>
  <conditionalFormatting sqref="M5">
    <cfRule type="expression" dxfId="2516" priority="10">
      <formula>ABS(M$7-M$10)&gt;=1000</formula>
    </cfRule>
  </conditionalFormatting>
  <conditionalFormatting sqref="N5">
    <cfRule type="expression" dxfId="2515" priority="9">
      <formula>ABS(N$7-N$10)&gt;=1000</formula>
    </cfRule>
  </conditionalFormatting>
  <conditionalFormatting sqref="O5">
    <cfRule type="expression" dxfId="2514" priority="8">
      <formula>ABS(O$7-O$10)&gt;=1000</formula>
    </cfRule>
  </conditionalFormatting>
  <conditionalFormatting sqref="P5">
    <cfRule type="expression" dxfId="2513" priority="7">
      <formula>ABS(P$7-P$10)&gt;=1000</formula>
    </cfRule>
  </conditionalFormatting>
  <conditionalFormatting sqref="L23">
    <cfRule type="expression" dxfId="2512" priority="6">
      <formula>ABS(L$25-L$28)&gt;=1000</formula>
    </cfRule>
  </conditionalFormatting>
  <conditionalFormatting sqref="Y14">
    <cfRule type="expression" dxfId="2511" priority="5">
      <formula>ABS(Y$16-Y$19)&gt;=1000</formula>
    </cfRule>
  </conditionalFormatting>
  <conditionalFormatting sqref="F14">
    <cfRule type="expression" dxfId="2510" priority="4">
      <formula>ABS(F$16-F$19)&gt;=1000</formula>
    </cfRule>
  </conditionalFormatting>
  <conditionalFormatting sqref="H14">
    <cfRule type="expression" dxfId="2509" priority="3">
      <formula>ABS(H$16-H$19)&gt;=1000</formula>
    </cfRule>
  </conditionalFormatting>
  <conditionalFormatting sqref="AD5">
    <cfRule type="expression" dxfId="2508" priority="2">
      <formula>ABS(AD$7-AD$10)&gt;=1000</formula>
    </cfRule>
  </conditionalFormatting>
  <conditionalFormatting sqref="AE5">
    <cfRule type="expression" dxfId="2507" priority="1">
      <formula>ABS(AE$7-AE$10)&gt;=1000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9249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902">
    <pageSetUpPr fitToPage="1"/>
  </sheetPr>
  <dimension ref="A1:CU223"/>
  <sheetViews>
    <sheetView view="pageBreakPreview" topLeftCell="A6" zoomScale="70" zoomScaleNormal="100" zoomScaleSheetLayoutView="70" workbookViewId="0">
      <selection activeCell="L11" sqref="L11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185" t="s" ph="1">
        <v>161</v>
      </c>
      <c r="C1" s="185" ph="1"/>
      <c r="D1" s="185" ph="1"/>
      <c r="E1" s="185" ph="1"/>
      <c r="F1" s="185" ph="1"/>
      <c r="G1" s="185" ph="1"/>
      <c r="H1" s="185" ph="1"/>
      <c r="I1" s="185" ph="1"/>
      <c r="J1" s="185" ph="1"/>
      <c r="K1" s="185" ph="1"/>
      <c r="L1" s="185" ph="1"/>
      <c r="M1" s="185" ph="1"/>
      <c r="N1" s="185" ph="1"/>
      <c r="O1" s="185" ph="1"/>
      <c r="P1" s="185" ph="1"/>
      <c r="Q1" s="185" ph="1"/>
      <c r="R1" s="185" ph="1"/>
      <c r="S1" s="185" ph="1"/>
      <c r="T1" s="185" ph="1"/>
      <c r="U1" s="185" ph="1"/>
      <c r="V1" s="185" ph="1"/>
      <c r="W1" s="185" ph="1"/>
      <c r="X1" s="185" ph="1"/>
      <c r="Y1" s="185" ph="1"/>
      <c r="Z1" s="185" ph="1"/>
      <c r="AA1" s="185" ph="1"/>
      <c r="AB1" s="185" ph="1"/>
      <c r="AC1" s="185" ph="1"/>
      <c r="AD1" s="185" ph="1"/>
      <c r="AE1" s="185" ph="1"/>
    </row>
    <row r="2" spans="1:99" s="66" customFormat="1" ht="24" customHeight="1" ph="1">
      <c r="B2" s="186" t="s" ph="1">
        <v>82</v>
      </c>
      <c r="C2" s="186" ph="1"/>
      <c r="D2" s="186" ph="1"/>
      <c r="E2" s="186" ph="1"/>
      <c r="F2" s="186" ph="1"/>
      <c r="G2" s="186" ph="1"/>
      <c r="H2" s="186" ph="1"/>
      <c r="I2" s="186" ph="1"/>
      <c r="J2" s="186" ph="1"/>
      <c r="K2" s="186" ph="1"/>
      <c r="L2" s="186" ph="1"/>
      <c r="M2" s="186" ph="1"/>
      <c r="N2" s="186" ph="1"/>
      <c r="O2" s="186" ph="1"/>
      <c r="P2" s="186" ph="1"/>
      <c r="Q2" s="186" ph="1"/>
      <c r="R2" s="186" ph="1"/>
      <c r="S2" s="186" ph="1"/>
      <c r="T2" s="186" ph="1"/>
      <c r="U2" s="186" ph="1"/>
      <c r="V2" s="186" ph="1"/>
      <c r="W2" s="186" ph="1"/>
      <c r="X2" s="186" ph="1"/>
      <c r="Y2" s="186" ph="1"/>
      <c r="Z2" s="186" ph="1"/>
      <c r="AA2" s="186" ph="1"/>
      <c r="AB2" s="186" ph="1"/>
      <c r="AC2" s="186" ph="1"/>
      <c r="AD2" s="186" ph="1"/>
      <c r="AE2" s="186" ph="1"/>
    </row>
    <row r="3" spans="1:99" ht="21" customHeight="1" ph="1">
      <c r="B3" s="187" ph="1">
        <v>46176</v>
      </c>
      <c r="C3" s="187"/>
      <c r="D3" s="187"/>
      <c r="E3" s="187"/>
      <c r="F3" s="187"/>
      <c r="G3" s="187"/>
      <c r="H3" s="187"/>
      <c r="I3" s="187"/>
      <c r="J3" s="187"/>
      <c r="K3" s="187"/>
      <c r="L3" s="187"/>
      <c r="M3" s="187"/>
      <c r="N3" s="187"/>
      <c r="O3" s="187"/>
      <c r="P3" s="187"/>
      <c r="Q3" s="187"/>
      <c r="R3" s="187"/>
      <c r="S3" s="187"/>
      <c r="T3" s="187"/>
      <c r="U3" s="187"/>
      <c r="V3" s="187"/>
      <c r="W3" s="187"/>
      <c r="X3" s="187"/>
      <c r="Y3" s="187"/>
      <c r="Z3" s="187"/>
      <c r="AA3" s="187"/>
      <c r="AB3" s="187"/>
      <c r="AC3" s="187"/>
      <c r="AD3" s="187"/>
      <c r="AE3" s="187"/>
    </row>
    <row r="4" spans="1:99" s="69" customFormat="1" ph="1">
      <c r="A4" s="65" ph="1"/>
      <c r="B4" s="188" t="s" ph="1">
        <v>37</v>
      </c>
      <c r="C4" s="67" t="s" ph="1">
        <v>176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110</v>
      </c>
      <c r="J4" s="68" t="s" ph="1">
        <v>48</v>
      </c>
      <c r="K4" s="68" t="s" ph="1">
        <v>111</v>
      </c>
      <c r="L4" s="68" t="s" ph="1">
        <v>112</v>
      </c>
      <c r="M4" s="68" t="s" ph="1">
        <v>49</v>
      </c>
      <c r="N4" s="68" t="s" ph="1">
        <v>50</v>
      </c>
      <c r="O4" s="68" t="s" ph="1">
        <v>113</v>
      </c>
      <c r="P4" s="68" t="s" ph="1">
        <v>114</v>
      </c>
      <c r="Q4" s="68" t="s" ph="1">
        <v>115</v>
      </c>
      <c r="R4" s="68" t="s" ph="1">
        <v>116</v>
      </c>
      <c r="S4" s="68" t="s" ph="1">
        <v>117</v>
      </c>
      <c r="T4" s="68" t="s" ph="1">
        <v>118</v>
      </c>
      <c r="U4" s="68" t="s" ph="1">
        <v>119</v>
      </c>
      <c r="V4" s="68" t="s" ph="1">
        <v>120</v>
      </c>
      <c r="W4" s="68" t="s" ph="1">
        <v>121</v>
      </c>
      <c r="X4" s="68" t="s" ph="1">
        <v>122</v>
      </c>
      <c r="Y4" s="68" t="s" ph="1">
        <v>123</v>
      </c>
      <c r="Z4" s="68" t="s" ph="1">
        <v>51</v>
      </c>
      <c r="AA4" s="68" t="s" ph="1">
        <v>124</v>
      </c>
      <c r="AB4" s="68" t="s" ph="1">
        <v>125</v>
      </c>
      <c r="AC4" s="68" t="s" ph="1">
        <v>126</v>
      </c>
      <c r="AD4" s="68" t="s" ph="1">
        <v>40</v>
      </c>
      <c r="AE4" s="68" t="s" ph="1">
        <v>127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188" ph="1"/>
      <c r="C5" s="67" t="s" ph="1">
        <v>36</v>
      </c>
      <c r="D5" s="70" t="s" ph="1">
        <v>160</v>
      </c>
      <c r="E5" s="142" t="s" ph="1">
        <v>7</v>
      </c>
      <c r="F5" s="142" t="s" ph="1">
        <v>1</v>
      </c>
      <c r="G5" s="142" t="s" ph="1">
        <v>7</v>
      </c>
      <c r="H5" s="142" t="s" ph="1">
        <v>7</v>
      </c>
      <c r="I5" s="141" t="s" ph="1">
        <v>608</v>
      </c>
      <c r="J5" s="141" t="s" ph="1">
        <v>609</v>
      </c>
      <c r="K5" s="141" t="s" ph="1">
        <v>611</v>
      </c>
      <c r="L5" s="141" t="s" ph="1">
        <v>613</v>
      </c>
      <c r="M5" s="141" t="s" ph="1">
        <v>608</v>
      </c>
      <c r="N5" s="70" t="s" ph="1">
        <v>609</v>
      </c>
      <c r="O5" s="70" t="s" ph="1">
        <v>611</v>
      </c>
      <c r="P5" s="70" t="s" ph="1">
        <v>613</v>
      </c>
      <c r="Q5" s="70" t="s" ph="1">
        <v>607</v>
      </c>
      <c r="R5" s="70" t="s" ph="1">
        <v>607</v>
      </c>
      <c r="S5" s="70" t="s" ph="1">
        <v>607</v>
      </c>
      <c r="T5" s="70" t="s" ph="1">
        <v>607</v>
      </c>
      <c r="U5" s="70" t="s" ph="1">
        <v>607</v>
      </c>
      <c r="V5" s="70" t="s" ph="1">
        <v>607</v>
      </c>
      <c r="W5" s="70" t="s" ph="1">
        <v>607</v>
      </c>
      <c r="X5" s="70" t="s" ph="1">
        <v>607</v>
      </c>
      <c r="Y5" s="70" t="s" ph="1">
        <v>607</v>
      </c>
      <c r="Z5" s="70" t="s" ph="1">
        <v>614</v>
      </c>
      <c r="AA5" s="70" t="s" ph="1">
        <v>54</v>
      </c>
      <c r="AB5" s="70" t="s" ph="1">
        <v>54</v>
      </c>
      <c r="AC5" s="70" t="s" ph="1">
        <v>615</v>
      </c>
      <c r="AD5" s="71" t="s">
        <v>72</v>
      </c>
      <c r="AE5" s="71" t="s">
        <v>635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184" ph="1">
        <v>0.33333333333333331</v>
      </c>
      <c r="C6" s="150" t="s" ph="1">
        <v>177</v>
      </c>
      <c r="D6" s="71">
        <v>1988</v>
      </c>
      <c r="E6" s="71">
        <v>7815</v>
      </c>
      <c r="F6" s="71">
        <v>5842</v>
      </c>
      <c r="G6" s="71">
        <v>1657</v>
      </c>
      <c r="H6" s="71">
        <v>0</v>
      </c>
      <c r="I6" s="71">
        <v>38.630000000000003</v>
      </c>
      <c r="J6" s="71">
        <v>6.2</v>
      </c>
      <c r="K6" s="71">
        <v>62.97</v>
      </c>
      <c r="L6" s="71">
        <v>6.57</v>
      </c>
      <c r="M6" s="71">
        <v>6387</v>
      </c>
      <c r="N6" s="71">
        <v>847</v>
      </c>
      <c r="O6" s="71">
        <v>5113</v>
      </c>
      <c r="P6" s="71">
        <v>2385</v>
      </c>
      <c r="Q6" s="71">
        <v>7054</v>
      </c>
      <c r="R6" s="71">
        <v>7056</v>
      </c>
      <c r="S6" s="71">
        <v>5698</v>
      </c>
      <c r="T6" s="71">
        <v>6177</v>
      </c>
      <c r="U6" s="71">
        <v>0</v>
      </c>
      <c r="V6" s="71">
        <v>0</v>
      </c>
      <c r="W6" s="71">
        <v>0</v>
      </c>
      <c r="X6" s="71">
        <v>5619</v>
      </c>
      <c r="Y6" s="71">
        <v>6746</v>
      </c>
      <c r="Z6" s="71">
        <v>2133</v>
      </c>
      <c r="AA6" s="71">
        <v>0</v>
      </c>
      <c r="AB6" s="71">
        <v>3523</v>
      </c>
      <c r="AC6" s="71">
        <v>4293</v>
      </c>
      <c r="AD6" s="71">
        <v>3887</v>
      </c>
      <c r="AE6" s="71">
        <v>4825</v>
      </c>
    </row>
    <row r="7" spans="1:99" s="72" customFormat="1" ht="22.2" ph="1">
      <c r="B7" s="184" ph="1"/>
      <c r="C7" s="68" t="s" ph="1">
        <v>178</v>
      </c>
      <c r="D7" s="73" ph="1">
        <f>D6*33.183*LOOKUP(D8,密度!$A$2:$A$50,密度!$Q$2:$Q$50)</f>
        <v>62314.507014480005</v>
      </c>
      <c r="E7" s="73" ph="1">
        <f>E6*51.53*LOOKUP(E8,密度!$A$2:$A$50,密度!$B$2:$B$50)</f>
        <v>313950.33821999998</v>
      </c>
      <c r="F7" s="73" ph="1">
        <f>F6*33.183*LOOKUP(F8,密度!$A$2:$A$50,密度!$C$2:$C$50)</f>
        <v>214675.1222364</v>
      </c>
      <c r="G7" s="73" ph="1">
        <f xml:space="preserve"> (G6+2)*51.53*LOOKUP(G8,密度!$A$2:$A$50,密度!$B$2:$B$50)</f>
        <v>66501.32523300001</v>
      </c>
      <c r="H7" s="73" ph="1">
        <f>(H6)*51.53*LOOKUP(H8,密度!$A$2:$A$50,密度!$B$2:$B$50)</f>
        <v>0</v>
      </c>
      <c r="I7" s="73" ph="1">
        <f>I6*290.8*1.0267</f>
        <v>11533.5412268</v>
      </c>
      <c r="J7" s="73" ph="1">
        <f>J6*290.8*0.7892</f>
        <v>1422.8960320000001</v>
      </c>
      <c r="K7" s="73" ph="1">
        <f>K6*290.8*1.1126</f>
        <v>20373.5707176</v>
      </c>
      <c r="L7" s="73" ph="1">
        <f>L6*290.8*0.777</f>
        <v>1484.5020120000001</v>
      </c>
      <c r="M7" s="73" ph="1">
        <f>M6*33.183*LOOKUP(M8,密度!$A$2:$A$50,密度!$D$2:$D$50)</f>
        <v>217005.1827219</v>
      </c>
      <c r="N7" s="73" ph="1">
        <f>N6*33.183*LOOKUP(N8,密度!$A$2:$A$50,密度!$E$2:$E$50)</f>
        <v>21950.786781000003</v>
      </c>
      <c r="O7" s="73" ph="1">
        <f>O6*20.428*LOOKUP(O8,密度!$A$2:$A$50,密度!$C$2:$C$50)</f>
        <v>115425.8870564</v>
      </c>
      <c r="P7" s="73" ph="1">
        <f>P6*51.53*LOOKUP(P8,密度!$A$2:$A$50,密度!$B$2:$B$50)</f>
        <v>95701.49023499999</v>
      </c>
      <c r="Q7" s="73" ph="1">
        <f>Q6*1.5*1.5*3.1416*LOOKUP(W8,密度!$A$2:$A$50,密度!$L$2:$L$50)</f>
        <v>46620.880614000002</v>
      </c>
      <c r="R7" s="73" ph="1">
        <f>R6*1.5*1.5*3.1416*LOOKUP(R8,密度!$A$2:$A$50,密度!$L$2:$L$50)</f>
        <v>46384.718688000001</v>
      </c>
      <c r="S7" s="73" ph="1">
        <f>S6*1.5*1.5*3.1416*LOOKUP(S8,密度!$A$2:$A$50,密度!$L$2:$L$50)</f>
        <v>37819.992949199994</v>
      </c>
      <c r="T7" s="73" ph="1">
        <f>T6*1.5*1.5*3.1416*LOOKUP(T8,密度!$A$2:$A$50,密度!$L$2:$L$50)</f>
        <v>41042.977668</v>
      </c>
      <c r="U7" s="73" ph="1">
        <f>U6*1.5*1.5*3.1416*LOOKUP(U8,密度!$A$2:$A$50,密度!$L$2:$L$50)</f>
        <v>0</v>
      </c>
      <c r="V7" s="73" ph="1">
        <f>V6*1.5*1.5*3.1416*LOOKUP(V8,密度!$A$2:$A$50,密度!$L$2:$L$50)</f>
        <v>0</v>
      </c>
      <c r="W7" s="73" ph="1">
        <f>W6*1.5*1.5*3.1416*LOOKUP(W8,密度!$A$2:$A$50,密度!$L$2:$L$50)</f>
        <v>0</v>
      </c>
      <c r="X7" s="73" ph="1">
        <f>X6*1.5*1.5*3.1416*LOOKUP(X8,密度!$A$2:$A$50,密度!$L$2:$L$50)</f>
        <v>37494.229449599996</v>
      </c>
      <c r="Y7" s="73" ph="1">
        <f>Y6*1.5*1.5*3.1416*LOOKUP(Y8,密度!$A$2:$A$50,密度!$L$2:$L$50)</f>
        <v>44585.265186000004</v>
      </c>
      <c r="Z7" s="73" ph="1">
        <f>Z6*33.183*LOOKUP(Z8,密度!$A$2:$A$50,密度!$L$2:$L$50)</f>
        <v>66249.461303999997</v>
      </c>
      <c r="AA7" s="73" ph="1">
        <f>AA6*33.183*LOOKUP(AA8,密度!$A$2:$A$50,密度!$D$2:$D$50)</f>
        <v>0</v>
      </c>
      <c r="AB7" s="73" ph="1">
        <f>AB6*20.428*LOOKUP(AB8,密度!$A$2:$A$50,密度!$D$2:$D$50)</f>
        <v>74227.634301600003</v>
      </c>
      <c r="AC7" s="73" ph="1">
        <f>AC6*51.53*LOOKUP(AC8,密度!$A$2:$A$50,密度!$Q$2:$Q$50)</f>
        <v>209436.2038746</v>
      </c>
      <c r="AD7" s="73" ph="1">
        <f>AD6*20.428*LOOKUP(AD8,密度!$A$2:$A$50,密度!$V$2:$V$50)</f>
        <v>76036.921833600005</v>
      </c>
      <c r="AE7" s="73" ph="1">
        <f>AE6*20.428</f>
        <v>98565.1</v>
      </c>
    </row>
    <row r="8" spans="1:99" ph="1">
      <c r="B8" s="184" ph="1"/>
      <c r="C8" s="68" t="s" ph="1">
        <v>179</v>
      </c>
      <c r="D8" s="74">
        <v>28</v>
      </c>
      <c r="E8" s="74">
        <v>25</v>
      </c>
      <c r="F8" s="74">
        <v>27</v>
      </c>
      <c r="G8" s="74">
        <v>27</v>
      </c>
      <c r="H8" s="74">
        <v>23</v>
      </c>
      <c r="I8" s="74">
        <v>25</v>
      </c>
      <c r="J8" s="74">
        <v>25</v>
      </c>
      <c r="K8" s="74">
        <v>25</v>
      </c>
      <c r="L8" s="74">
        <v>25</v>
      </c>
      <c r="M8" s="74">
        <v>28</v>
      </c>
      <c r="N8" s="74">
        <v>27</v>
      </c>
      <c r="O8" s="74">
        <v>30</v>
      </c>
      <c r="P8" s="74">
        <v>26</v>
      </c>
      <c r="Q8" s="74">
        <v>29</v>
      </c>
      <c r="R8" s="74">
        <v>32</v>
      </c>
      <c r="S8" s="74">
        <v>23</v>
      </c>
      <c r="T8" s="74">
        <v>22</v>
      </c>
      <c r="U8" s="74">
        <v>27</v>
      </c>
      <c r="V8" s="74">
        <v>28</v>
      </c>
      <c r="W8" s="74">
        <v>27</v>
      </c>
      <c r="X8" s="74">
        <v>18</v>
      </c>
      <c r="Y8" s="74">
        <v>27</v>
      </c>
      <c r="Z8" s="74">
        <v>26</v>
      </c>
      <c r="AA8" s="74">
        <v>27</v>
      </c>
      <c r="AB8" s="74">
        <v>20</v>
      </c>
      <c r="AC8" s="74">
        <v>25</v>
      </c>
      <c r="AD8" s="74">
        <v>26</v>
      </c>
      <c r="AE8" s="74">
        <v>28</v>
      </c>
    </row>
    <row r="9" spans="1:99" ht="26.4" ph="1">
      <c r="B9" s="184" ph="1">
        <v>0.66666666666666663</v>
      </c>
      <c r="C9" s="150" t="s" ph="1">
        <v>180</v>
      </c>
      <c r="D9" s="71">
        <v>1985</v>
      </c>
      <c r="E9" s="71">
        <v>7814</v>
      </c>
      <c r="F9" s="71">
        <v>5846</v>
      </c>
      <c r="G9" s="71">
        <v>1659</v>
      </c>
      <c r="H9" s="71">
        <v>1332</v>
      </c>
      <c r="I9" s="71">
        <v>38.619999999999997</v>
      </c>
      <c r="J9" s="71">
        <v>6.28</v>
      </c>
      <c r="K9" s="71">
        <v>63.02</v>
      </c>
      <c r="L9" s="71">
        <v>38.85</v>
      </c>
      <c r="M9" s="71">
        <v>6390</v>
      </c>
      <c r="N9" s="71">
        <v>816</v>
      </c>
      <c r="O9" s="71">
        <v>5114</v>
      </c>
      <c r="P9" s="71">
        <v>1828</v>
      </c>
      <c r="Q9" s="71">
        <v>7064</v>
      </c>
      <c r="R9" s="71">
        <v>7065</v>
      </c>
      <c r="S9" s="71">
        <v>5708</v>
      </c>
      <c r="T9" s="71">
        <v>6184</v>
      </c>
      <c r="U9" s="71">
        <v>3234</v>
      </c>
      <c r="V9" s="71">
        <v>0</v>
      </c>
      <c r="W9" s="71">
        <v>2671</v>
      </c>
      <c r="X9" s="71">
        <v>896</v>
      </c>
      <c r="Y9" s="71">
        <v>6756</v>
      </c>
      <c r="Z9" s="71">
        <v>613</v>
      </c>
      <c r="AA9" s="71">
        <v>0</v>
      </c>
      <c r="AB9" s="71">
        <v>3463</v>
      </c>
      <c r="AC9" s="71">
        <v>4188</v>
      </c>
      <c r="AD9" s="71">
        <v>3889</v>
      </c>
      <c r="AE9" s="71">
        <v>4588</v>
      </c>
    </row>
    <row r="10" spans="1:99" s="72" customFormat="1" ht="22.2" ph="1">
      <c r="B10" s="184" ph="1"/>
      <c r="C10" s="150" t="s" ph="1">
        <v>178</v>
      </c>
      <c r="D10" s="73" ph="1">
        <f>D9*33.183*LOOKUP(D11,密度!$A$2:$A$50,密度!$Q$2:$Q$50)</f>
        <v>62135.500989150001</v>
      </c>
      <c r="E10" s="73" ph="1">
        <f>E9*51.53*LOOKUP(E11,密度!$A$2:$A$50,密度!$B$2:$B$50)</f>
        <v>312541.13700399996</v>
      </c>
      <c r="F10" s="73" ph="1">
        <f>F9*33.183*LOOKUP(F11,密度!$A$2:$A$50,密度!$C$2:$C$50)</f>
        <v>214375.9376718</v>
      </c>
      <c r="G10" s="73" ph="1">
        <f xml:space="preserve"> (G9+2)*51.53*LOOKUP(G11,密度!$A$2:$A$50,密度!$B$2:$B$50)</f>
        <v>66358.958148999998</v>
      </c>
      <c r="H10" s="73" ph="1">
        <f>(H9)*51.53*LOOKUP(H11,密度!$A$2:$A$50,密度!$B$2:$B$50)</f>
        <v>53215.010388000002</v>
      </c>
      <c r="I10" s="73" ph="1">
        <f>I9*290.8*1.0267</f>
        <v>11530.555583199999</v>
      </c>
      <c r="J10" s="73" ph="1">
        <f>J9*290.8*0.7892</f>
        <v>1441.2559808000001</v>
      </c>
      <c r="K10" s="73" ph="1">
        <f>K9*290.8*1.1126</f>
        <v>20389.747921599999</v>
      </c>
      <c r="L10" s="73" ph="1">
        <f>L9*290.8*0.777</f>
        <v>8778.2196600000025</v>
      </c>
      <c r="M10" s="73" ph="1">
        <f>M9*33.183*LOOKUP(M11,密度!$A$2:$A$50,密度!$D$2:$D$50)</f>
        <v>216704.23613999999</v>
      </c>
      <c r="N10" s="73" ph="1">
        <f>N9*33.183*LOOKUP(N11,密度!$A$2:$A$50,密度!$E$2:$E$50)</f>
        <v>20768.310576</v>
      </c>
      <c r="O10" s="73" ph="1">
        <f>O9*20.428*LOOKUP(O11,密度!$A$2:$A$50,密度!$C$2:$C$50)</f>
        <v>114905.22432080001</v>
      </c>
      <c r="P10" s="73" ph="1">
        <f>P9*51.53*LOOKUP(P11,密度!$A$2:$A$50,密度!$B$2:$B$50)</f>
        <v>72946.03289599999</v>
      </c>
      <c r="Q10" s="73" ph="1">
        <f>Q9*1.5*1.5*3.1416*LOOKUP(W11,密度!$A$2:$A$50,密度!$L$2:$L$50)</f>
        <v>46587.106843200003</v>
      </c>
      <c r="R10" s="73" ph="1">
        <f>R9*1.5*1.5*3.1416*LOOKUP(R11,密度!$A$2:$A$50,密度!$L$2:$L$50)</f>
        <v>46344.003552000002</v>
      </c>
      <c r="S10" s="73" ph="1">
        <f>S9*1.5*1.5*3.1416*LOOKUP(S11,密度!$A$2:$A$50,密度!$L$2:$L$50)</f>
        <v>37805.671965600006</v>
      </c>
      <c r="T10" s="73" ph="1">
        <f>T9*1.5*1.5*3.1416*LOOKUP(T11,密度!$A$2:$A$50,密度!$L$2:$L$50)</f>
        <v>40958.352388799998</v>
      </c>
      <c r="U10" s="73" ph="1">
        <f>U9*1.5*1.5*3.1416*LOOKUP(U11,密度!$A$2:$A$50,密度!$L$2:$L$50)</f>
        <v>21351.1021416</v>
      </c>
      <c r="V10" s="73" ph="1">
        <f>V9*1.5*1.5*3.1416*LOOKUP(V11,密度!$A$2:$A$50,密度!$L$2:$L$50)</f>
        <v>0</v>
      </c>
      <c r="W10" s="73" ph="1">
        <f>W9*1.5*1.5*3.1416*LOOKUP(W11,密度!$A$2:$A$50,密度!$L$2:$L$50)</f>
        <v>17615.255149799999</v>
      </c>
      <c r="X10" s="73" ph="1">
        <f>X9*1.5*1.5*3.1416*LOOKUP(X11,密度!$A$2:$A$50,密度!$L$2:$L$50)</f>
        <v>5890.1230079999996</v>
      </c>
      <c r="Y10" s="73" ph="1">
        <f>Y9*1.5*1.5*3.1416*LOOKUP(Y11,密度!$A$2:$A$50,密度!$L$2:$L$50)</f>
        <v>44555.845672800002</v>
      </c>
      <c r="Z10" s="73" ph="1">
        <f>Z9*33.183*LOOKUP(Z11,密度!$A$2:$A$50,密度!$L$2:$L$50)</f>
        <v>18856.272933</v>
      </c>
      <c r="AA10" s="73" ph="1">
        <f>AA9*33.183*LOOKUP(AA11,密度!$A$2:$A$50,密度!$D$2:$D$50)</f>
        <v>0</v>
      </c>
      <c r="AB10" s="73" ph="1">
        <f>AB9*20.428*LOOKUP(AB11,密度!$A$2:$A$50,密度!$D$2:$D$50)</f>
        <v>72694.647726400013</v>
      </c>
      <c r="AC10" s="73" ph="1">
        <f>AC9*51.53*LOOKUP(AC11,密度!$A$2:$A$50,密度!$Q$2:$Q$50)</f>
        <v>203577.82104120002</v>
      </c>
      <c r="AD10" s="73" ph="1">
        <f>AD9*20.428*LOOKUP(AD11,密度!$A$2:$A$50,密度!$V$2:$V$50)</f>
        <v>76076.0455392</v>
      </c>
      <c r="AE10" s="73" ph="1">
        <f>AE9*20.428</f>
        <v>93723.664000000004</v>
      </c>
    </row>
    <row r="11" spans="1:99" ph="1">
      <c r="A11" s="64" t="s" ph="1">
        <v>162</v>
      </c>
      <c r="B11" s="184" ph="1"/>
      <c r="C11" s="150" t="s" ph="1">
        <v>179</v>
      </c>
      <c r="D11" s="74">
        <v>30</v>
      </c>
      <c r="E11" s="74">
        <v>29</v>
      </c>
      <c r="F11" s="74">
        <v>30</v>
      </c>
      <c r="G11" s="74">
        <v>30</v>
      </c>
      <c r="H11" s="74">
        <v>30</v>
      </c>
      <c r="I11" s="74">
        <v>25</v>
      </c>
      <c r="J11" s="74">
        <v>25</v>
      </c>
      <c r="K11" s="74">
        <v>25</v>
      </c>
      <c r="L11" s="74">
        <v>25</v>
      </c>
      <c r="M11" s="74">
        <v>30</v>
      </c>
      <c r="N11" s="74">
        <v>39</v>
      </c>
      <c r="O11" s="74">
        <v>35</v>
      </c>
      <c r="P11" s="74">
        <v>31</v>
      </c>
      <c r="Q11" s="74">
        <v>32</v>
      </c>
      <c r="R11" s="74">
        <v>34</v>
      </c>
      <c r="S11" s="74">
        <v>25</v>
      </c>
      <c r="T11" s="74">
        <v>25</v>
      </c>
      <c r="U11" s="74">
        <v>28</v>
      </c>
      <c r="V11" s="74">
        <v>28</v>
      </c>
      <c r="W11" s="74">
        <v>29</v>
      </c>
      <c r="X11" s="74">
        <v>32</v>
      </c>
      <c r="Y11" s="74">
        <v>29</v>
      </c>
      <c r="Z11" s="74">
        <v>35</v>
      </c>
      <c r="AA11" s="74">
        <v>48</v>
      </c>
      <c r="AB11" s="74">
        <v>24</v>
      </c>
      <c r="AC11" s="74">
        <v>30</v>
      </c>
      <c r="AD11" s="74">
        <v>33</v>
      </c>
      <c r="AE11" s="74">
        <v>30</v>
      </c>
    </row>
    <row r="12" spans="1:99" ht="9.9" customHeight="1" ph="1"/>
    <row r="13" spans="1:99" s="72" customFormat="1" ht="29.25" customHeight="1" ph="1">
      <c r="B13" s="192" t="s" ph="1">
        <v>37</v>
      </c>
      <c r="C13" s="150" t="s" ph="1">
        <v>176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128</v>
      </c>
      <c r="I13" s="76" t="s" ph="1">
        <v>59</v>
      </c>
      <c r="J13" s="76" t="s" ph="1">
        <v>129</v>
      </c>
      <c r="K13" s="76" t="s" ph="1">
        <v>55</v>
      </c>
      <c r="L13" s="76" t="s" ph="1">
        <v>60</v>
      </c>
      <c r="M13" s="76" t="s" ph="1">
        <v>61</v>
      </c>
      <c r="N13" s="76" t="s" ph="1">
        <v>130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131</v>
      </c>
      <c r="W13" s="76" t="s" ph="1">
        <v>132</v>
      </c>
      <c r="X13" s="76" t="s" ph="1">
        <v>133</v>
      </c>
      <c r="Y13" s="105" t="s" ph="1">
        <v>68</v>
      </c>
      <c r="Z13" s="76" t="s" ph="1">
        <v>74</v>
      </c>
      <c r="AA13" s="76" t="s" ph="1">
        <v>134</v>
      </c>
      <c r="AB13" s="76" t="s" ph="1">
        <v>135</v>
      </c>
      <c r="AC13" s="76" t="s" ph="1">
        <v>136</v>
      </c>
      <c r="AD13" s="76" t="s" ph="1">
        <v>137</v>
      </c>
      <c r="AE13" s="76" t="s" ph="1">
        <v>138</v>
      </c>
      <c r="AG13" s="72" t="s" ph="1">
        <v>325</v>
      </c>
      <c r="AH13" s="72" t="s" ph="1">
        <v>188</v>
      </c>
      <c r="AI13" s="72" t="s" ph="1">
        <v>189</v>
      </c>
      <c r="AJ13" s="72" t="s" ph="1">
        <v>190</v>
      </c>
      <c r="AK13" s="72" t="s" ph="1">
        <v>191</v>
      </c>
      <c r="AL13" s="72" t="s" ph="1">
        <v>192</v>
      </c>
      <c r="AM13" s="72" t="s" ph="1">
        <v>193</v>
      </c>
      <c r="AN13" s="72" t="s" ph="1">
        <v>194</v>
      </c>
      <c r="AO13" s="72" t="s" ph="1">
        <v>195</v>
      </c>
      <c r="AP13" s="72" t="s" ph="1">
        <v>196</v>
      </c>
      <c r="AQ13" s="72" t="s" ph="1">
        <v>197</v>
      </c>
      <c r="AR13" s="72" t="s" ph="1">
        <v>198</v>
      </c>
      <c r="AS13" s="72" t="s" ph="1">
        <v>199</v>
      </c>
      <c r="AT13" s="72" t="s" ph="1">
        <v>200</v>
      </c>
      <c r="AU13" s="72" t="s" ph="1">
        <v>201</v>
      </c>
      <c r="AV13" s="72" t="s" ph="1">
        <v>202</v>
      </c>
      <c r="AW13" s="72" t="s" ph="1">
        <v>203</v>
      </c>
      <c r="AX13" s="72" t="s" ph="1">
        <v>204</v>
      </c>
      <c r="AY13" s="72" t="s" ph="1">
        <v>326</v>
      </c>
      <c r="AZ13" s="72" t="s" ph="1">
        <v>205</v>
      </c>
      <c r="BA13" s="72" t="s" ph="1">
        <v>206</v>
      </c>
      <c r="BB13" s="72" t="s" ph="1">
        <v>591</v>
      </c>
      <c r="BC13" s="72" t="s" ph="1">
        <v>207</v>
      </c>
      <c r="BD13" s="72" t="s" ph="1">
        <v>327</v>
      </c>
      <c r="BE13" s="72" t="s" ph="1">
        <v>328</v>
      </c>
      <c r="BF13" s="72" t="s" ph="1">
        <v>329</v>
      </c>
      <c r="BG13" s="72" t="s" ph="1">
        <v>330</v>
      </c>
      <c r="BH13" s="72" t="s" ph="1">
        <v>331</v>
      </c>
    </row>
    <row r="14" spans="1:99" s="72" customFormat="1" ht="24" ph="1">
      <c r="B14" s="193" ph="1"/>
      <c r="C14" s="67" t="s" ph="1">
        <v>36</v>
      </c>
      <c r="D14" s="77" t="s" ph="1">
        <v>616</v>
      </c>
      <c r="E14" s="77" t="s" ph="1">
        <v>616</v>
      </c>
      <c r="F14" s="144" t="s" ph="1">
        <v>636</v>
      </c>
      <c r="G14" s="77" t="s" ph="1">
        <v>617</v>
      </c>
      <c r="H14" s="77" t="s" ph="1">
        <v>637</v>
      </c>
      <c r="I14" s="138" t="s" ph="1">
        <v>618</v>
      </c>
      <c r="J14" s="77" t="s" ph="1">
        <v>619</v>
      </c>
      <c r="K14" s="77" t="s" ph="1">
        <v>186</v>
      </c>
      <c r="L14" s="77" t="s" ph="1">
        <v>41</v>
      </c>
      <c r="M14" s="104" t="s" ph="1">
        <v>620</v>
      </c>
      <c r="N14" s="104" t="s" ph="1">
        <v>621</v>
      </c>
      <c r="O14" s="104" t="s" ph="1">
        <v>619</v>
      </c>
      <c r="P14" s="77" t="s" ph="1">
        <v>622</v>
      </c>
      <c r="Q14" s="77" t="s" ph="1">
        <v>622</v>
      </c>
      <c r="R14" s="88" t="s" ph="1">
        <v>7</v>
      </c>
      <c r="S14" s="77" t="s" ph="1">
        <v>71</v>
      </c>
      <c r="T14" s="77" t="s" ph="1">
        <v>624</v>
      </c>
      <c r="U14" s="77" t="s" ph="1">
        <v>605</v>
      </c>
      <c r="V14" s="77" t="s" ph="1">
        <v>633</v>
      </c>
      <c r="W14" s="77" t="s" ph="1">
        <v>622</v>
      </c>
      <c r="X14" s="77" t="s" ph="1">
        <v>625</v>
      </c>
      <c r="Y14" s="143" t="s" ph="1">
        <v>0</v>
      </c>
      <c r="Z14" s="77" t="s" ph="1">
        <v>54</v>
      </c>
      <c r="AA14" s="77" t="s" ph="1">
        <v>613</v>
      </c>
      <c r="AB14" s="77" t="s" ph="1">
        <v>632</v>
      </c>
      <c r="AC14" s="77" t="s" ph="1">
        <v>632</v>
      </c>
      <c r="AD14" s="77" t="s" ph="1">
        <v>612</v>
      </c>
      <c r="AE14" s="77" t="s" ph="1">
        <v>612</v>
      </c>
      <c r="AG14" s="72" t="s" ph="1">
        <v>208</v>
      </c>
      <c r="AI14" s="72" t="s" ph="1">
        <v>209</v>
      </c>
      <c r="AJ14" s="72" t="s" ph="1">
        <v>332</v>
      </c>
      <c r="AK14" s="72" t="s" ph="1">
        <v>210</v>
      </c>
      <c r="AM14" s="72" t="s" ph="1">
        <v>212</v>
      </c>
      <c r="AN14" s="72" t="s" ph="1">
        <v>210</v>
      </c>
      <c r="AO14" s="72" t="s" ph="1">
        <v>211</v>
      </c>
      <c r="AP14" s="72" t="s" ph="1">
        <v>212</v>
      </c>
      <c r="AQ14" s="72" t="s" ph="1">
        <v>210</v>
      </c>
      <c r="AR14" s="72" t="s" ph="1">
        <v>211</v>
      </c>
      <c r="AS14" s="72" t="s" ph="1">
        <v>212</v>
      </c>
      <c r="AT14" s="72" t="s" ph="1">
        <v>210</v>
      </c>
      <c r="AU14" s="72" t="s" ph="1">
        <v>211</v>
      </c>
      <c r="AV14" s="72" t="s" ph="1">
        <v>212</v>
      </c>
      <c r="AW14" s="72" t="s" ph="1">
        <v>210</v>
      </c>
      <c r="AX14" s="72" t="s" ph="1">
        <v>211</v>
      </c>
      <c r="AY14" s="72" t="s" ph="1">
        <v>212</v>
      </c>
      <c r="AZ14" s="72" t="s" ph="1">
        <v>211</v>
      </c>
    </row>
    <row r="15" spans="1:99" ph="1">
      <c r="B15" s="194" ph="1">
        <v>0.33333333333333331</v>
      </c>
      <c r="C15" s="150" t="s" ph="1">
        <v>177</v>
      </c>
      <c r="D15" s="78">
        <v>0</v>
      </c>
      <c r="E15" s="78">
        <v>796</v>
      </c>
      <c r="F15" s="78">
        <v>5434</v>
      </c>
      <c r="G15" s="78">
        <v>2421</v>
      </c>
      <c r="H15" s="78">
        <v>0</v>
      </c>
      <c r="I15" s="78">
        <v>5165</v>
      </c>
      <c r="J15" s="78">
        <v>576</v>
      </c>
      <c r="K15" s="78">
        <v>2280</v>
      </c>
      <c r="L15" s="78">
        <v>3575</v>
      </c>
      <c r="M15" s="78">
        <v>7181</v>
      </c>
      <c r="N15" s="78">
        <v>2650</v>
      </c>
      <c r="O15" s="78">
        <v>5765</v>
      </c>
      <c r="P15" s="78">
        <v>0</v>
      </c>
      <c r="Q15" s="78">
        <v>6753</v>
      </c>
      <c r="R15" s="78">
        <v>1962</v>
      </c>
      <c r="S15" s="78">
        <v>0</v>
      </c>
      <c r="T15" s="78">
        <v>4082</v>
      </c>
      <c r="U15" s="78">
        <v>6712</v>
      </c>
      <c r="V15" s="78">
        <v>-817</v>
      </c>
      <c r="W15" s="71">
        <v>-809</v>
      </c>
      <c r="X15" s="78">
        <v>1386</v>
      </c>
      <c r="Y15" s="106">
        <v>-2369</v>
      </c>
      <c r="Z15" s="78">
        <v>1951</v>
      </c>
      <c r="AA15" s="78">
        <v>2585</v>
      </c>
      <c r="AB15" s="78" ph="1">
        <v>5336</v>
      </c>
      <c r="AC15" s="78" ph="1">
        <v>7296</v>
      </c>
      <c r="AD15" s="78">
        <v>5.55</v>
      </c>
      <c r="AE15" s="78">
        <v>36.299999999999997</v>
      </c>
      <c r="AG15" s="64" t="s" ph="1">
        <v>214</v>
      </c>
      <c r="AH15" s="64" ph="1">
        <v>1</v>
      </c>
      <c r="AI15" s="64" t="s" ph="1">
        <v>333</v>
      </c>
      <c r="AK15" s="64" t="s" ph="1">
        <v>587</v>
      </c>
      <c r="AM15" s="64" t="s" ph="1">
        <v>335</v>
      </c>
      <c r="AZ15" s="64" t="s" ph="1">
        <v>216</v>
      </c>
      <c r="BA15" s="64" ph="1">
        <v>0</v>
      </c>
    </row>
    <row r="16" spans="1:99" s="72" customFormat="1" ht="22.2" ph="1">
      <c r="B16" s="195" ph="1"/>
      <c r="C16" s="150" t="s" ph="1">
        <v>178</v>
      </c>
      <c r="D16" s="73" ph="1">
        <f>D15*7.0686*LOOKUP(D17,密度!$A$2:$A$50,密度!$L$2:$L$50)</f>
        <v>0</v>
      </c>
      <c r="E16" s="73" ph="1">
        <f>E15*7.0686*LOOKUP(E17,密度!$A$2:$A$50,密度!$L$2:$L$50)</f>
        <v>5232.7432079999999</v>
      </c>
      <c r="F16" s="73" ph="1">
        <f>F15*9.0746*LOOKUP(F17,密度!$A$2:$A$50,密度!$L$2:$L$50)</f>
        <v>45711.645922800002</v>
      </c>
      <c r="G16" s="73" ph="1">
        <f>G15*9.0746*LOOKUP(G17,密度!$A$2:$A$50,密度!$B$2:$B$50)</f>
        <v>17070.384328200002</v>
      </c>
      <c r="H16" s="73" ph="1">
        <f>H15*9.0746*LOOKUP(H17,密度!$A$2:$A$50,密度!$L$2:$L$50)</f>
        <v>0</v>
      </c>
      <c r="I16" s="73" ph="1">
        <f>I15*9.0746*LOOKUP(I17,密度!$A$2:$A$50,密度!$U$2:$U$50)</f>
        <v>47807.715179999999</v>
      </c>
      <c r="J16" s="73" ph="1">
        <f>J15*9.0746*LOOKUP(J17,密度!$A$2:$A$50,密度!$L$2:$L$50)</f>
        <v>4881.9896064000004</v>
      </c>
      <c r="K16" s="73" ph="1">
        <f>K15*9.0746*LOOKUP(K17,密度!$A$2:$A$50,密度!$C$2:$C$50)</f>
        <v>22895.651380800002</v>
      </c>
      <c r="L16" s="73" ph="1">
        <f>L15*9.0746*LOOKUP(L17,密度!$A$2:$A$50,密度!$E$2:$E$50)</f>
        <v>25226.662032</v>
      </c>
      <c r="M16" s="73" ph="1">
        <f>M15*9.0746*LOOKUP(M17,密度!$A$2:$A$50,密度!$M$2:$M$50)</f>
        <v>56686.774791740005</v>
      </c>
      <c r="N16" s="73" ph="1">
        <f>N15*9.0746*LOOKUP(N17,密度!$A$2:$A$50,密度!$M$2:$M$50)</f>
        <v>21044.133519000003</v>
      </c>
      <c r="O16" s="73" ph="1">
        <f>O15*9.0746*LOOKUP(O17,密度!$A$2:$A$50,密度!$G$2:$G$50)</f>
        <v>50007.974457100005</v>
      </c>
      <c r="P16" s="73" ph="1">
        <f ca="1">P15*9.0746*LOOKUP(P17,密度!$A$2:$A$51,密度!$Q$2:$Q$50)</f>
        <v>0</v>
      </c>
      <c r="Q16" s="73" ph="1">
        <f>Q15*9.0746*LOOKUP(Q17,密度!$A$2:$A$50,密度!$Q$2:$Q$50)</f>
        <v>57720.360842219998</v>
      </c>
      <c r="R16" s="73" ph="1">
        <f>MAX(R15*9.0746*LOOKUP(R17,密度!$A$2:$A$50,密度!$B$2:$B$50),0)</f>
        <v>13819.74826824</v>
      </c>
      <c r="S16" s="73" ph="1">
        <f>S15*9.0746*LOOKUP(S17,密度!$A$2:$A$50,密度!$Q$2:$Q$50)</f>
        <v>0</v>
      </c>
      <c r="T16" s="73" ph="1">
        <f>T15*9.0746*LOOKUP(T17,密度!$A$2:$A$50,密度!$O$2:$O$50)</f>
        <v>34301.370927200005</v>
      </c>
      <c r="U16" s="73" ph="1">
        <f>U15*9.0746*LOOKUP(U17,密度!$A$2:$A$50,密度!$H$2:$H$50)</f>
        <v>55664.474821280004</v>
      </c>
      <c r="V16" s="73" ph="1">
        <f>MAX(5600*LOOKUP(V17,密度!$A$2:$A$50,密度!$Q$2:$Q$50)+V15*9.0476*LOOKUP(V17,密度!$A$2:$A$50,密度!$Q$2:$Q$50),0)</f>
        <v>0</v>
      </c>
      <c r="W16" s="73" ph="1">
        <f>MAX(5600*LOOKUP(W17,密度!$A$2:$A$50,密度!$Q$2:$Q$50)+W15*9.0476*LOOKUP(W17,密度!$A$2:$A$50,密度!$Q$2:$Q$50),0)</f>
        <v>0</v>
      </c>
      <c r="X16" s="73" ph="1">
        <f>MAX(5600*LOOKUP(X17,密度!$A$2:$A$50,密度!$I$2:$I$50)+X15*9.0476*LOOKUP(X17,密度!$A$2:$A$50,密度!$I$2:$I$50),0)</f>
        <v>18825.66460208</v>
      </c>
      <c r="Y16" s="107" ph="1">
        <v>0</v>
      </c>
      <c r="Z16" s="73" ph="1">
        <f>Z15*9.0746*LOOKUP(Z17,密度!$A$2:$A$50,密度!$D$2:$D$50)</f>
        <v>18109.978671339999</v>
      </c>
      <c r="AA16" s="73" ph="1">
        <f>AA15*9.0746*LOOKUP(AA17,密度!$A$2:$A$50,密度!$B$2:$B$50)</f>
        <v>18266.620786699998</v>
      </c>
      <c r="AB16" s="73" ph="1">
        <f>AB15*9.0746*LOOKUP(AB17,密度!$A$2:$A$50,密度!$L$2:$L$50)</f>
        <v>45226.209270400002</v>
      </c>
      <c r="AC16" s="73" ph="1">
        <f>AC15*9.0746*LOOKUP(AC17,密度!$A$2:$A$50,密度!$L$2:$L$50)</f>
        <v>61970.951577600004</v>
      </c>
      <c r="AD16" s="73" ph="1">
        <f>AD15*268.68*LOOKUP(AD17,密度!$A$2:$A$50,密度!B2:B50)+IF(AD15&lt;=0,0,1566*LOOKUP(AD17,密度!$A$2:$A$50,密度!B2:B50))</f>
        <v>2383.3728504000001</v>
      </c>
      <c r="AE16" s="73" ph="1">
        <f>AE15*268.68*LOOKUP(AE17,密度!$A$2:$A$50,密度!B2:B50)+IF(AE15&lt;=0,0,1566*LOOKUP(AE17,密度!$A$2:$A$50,密度!B2:B50))</f>
        <v>8824.3578863999992</v>
      </c>
      <c r="AH16" s="72" ph="1">
        <v>2</v>
      </c>
      <c r="AI16" s="72" t="s" ph="1">
        <v>337</v>
      </c>
      <c r="AZ16" s="72" t="s" ph="1">
        <v>216</v>
      </c>
      <c r="BA16" s="72" ph="1">
        <v>0</v>
      </c>
    </row>
    <row r="17" spans="1:57" ph="1">
      <c r="A17" s="64" t="s" ph="1">
        <v>73</v>
      </c>
      <c r="B17" s="196" ph="1"/>
      <c r="C17" s="79" t="s" ph="1">
        <v>179</v>
      </c>
      <c r="D17" s="74">
        <v>32</v>
      </c>
      <c r="E17" s="74">
        <v>32</v>
      </c>
      <c r="F17" s="74">
        <v>35</v>
      </c>
      <c r="G17" s="74">
        <v>28</v>
      </c>
      <c r="H17" s="74">
        <v>22</v>
      </c>
      <c r="I17" s="74">
        <v>30</v>
      </c>
      <c r="J17" s="74">
        <v>28</v>
      </c>
      <c r="K17" s="74">
        <v>28</v>
      </c>
      <c r="L17" s="74">
        <v>30</v>
      </c>
      <c r="M17" s="74">
        <v>30</v>
      </c>
      <c r="N17" s="74">
        <v>25</v>
      </c>
      <c r="O17" s="74">
        <v>29</v>
      </c>
      <c r="P17" s="74">
        <v>25</v>
      </c>
      <c r="Q17" s="74">
        <v>32</v>
      </c>
      <c r="R17" s="74">
        <v>29</v>
      </c>
      <c r="S17" s="74">
        <v>27</v>
      </c>
      <c r="T17" s="74">
        <v>27</v>
      </c>
      <c r="U17" s="74">
        <v>26</v>
      </c>
      <c r="V17" s="74">
        <v>29</v>
      </c>
      <c r="W17" s="74">
        <v>29</v>
      </c>
      <c r="X17" s="74">
        <v>29</v>
      </c>
      <c r="Y17" s="108">
        <v>29</v>
      </c>
      <c r="Z17" s="74">
        <v>29</v>
      </c>
      <c r="AA17" s="74">
        <v>26</v>
      </c>
      <c r="AB17" s="74">
        <v>28</v>
      </c>
      <c r="AC17" s="74">
        <v>26</v>
      </c>
      <c r="AD17" s="74">
        <v>25</v>
      </c>
      <c r="AE17" s="74">
        <v>25</v>
      </c>
      <c r="AH17" s="64" ph="1">
        <v>3</v>
      </c>
      <c r="AI17" s="64" t="s" ph="1">
        <v>338</v>
      </c>
      <c r="AK17" s="64" t="s" ph="1">
        <v>570</v>
      </c>
      <c r="AL17" s="64" ph="1">
        <v>80</v>
      </c>
      <c r="AM17" s="64" t="s" ph="1">
        <v>335</v>
      </c>
      <c r="AZ17" s="64" t="s" ph="1">
        <v>216</v>
      </c>
      <c r="BA17" s="64" ph="1">
        <v>80</v>
      </c>
      <c r="BD17" s="64" t="s" ph="1">
        <v>214</v>
      </c>
      <c r="BE17" s="64" ph="1">
        <v>2270</v>
      </c>
    </row>
    <row r="18" spans="1:57" ht="26.4" ph="1">
      <c r="B18" s="194" ph="1">
        <v>0.66666666666666663</v>
      </c>
      <c r="C18" s="79" t="s" ph="1">
        <v>180</v>
      </c>
      <c r="D18" s="71">
        <v>0</v>
      </c>
      <c r="E18" s="71">
        <v>2310</v>
      </c>
      <c r="F18" s="71">
        <v>3307</v>
      </c>
      <c r="G18" s="71">
        <v>2564</v>
      </c>
      <c r="H18" s="71">
        <v>0</v>
      </c>
      <c r="I18" s="71">
        <v>5170</v>
      </c>
      <c r="J18" s="71">
        <v>603</v>
      </c>
      <c r="K18" s="71">
        <v>2280</v>
      </c>
      <c r="L18" s="71">
        <v>3584</v>
      </c>
      <c r="M18" s="71">
        <v>4865</v>
      </c>
      <c r="N18" s="71">
        <v>3484</v>
      </c>
      <c r="O18" s="71">
        <v>6014</v>
      </c>
      <c r="P18" s="71">
        <v>850</v>
      </c>
      <c r="Q18" s="71">
        <v>7001</v>
      </c>
      <c r="R18" s="71">
        <v>1963</v>
      </c>
      <c r="S18" s="71">
        <v>0</v>
      </c>
      <c r="T18" s="71">
        <v>2973</v>
      </c>
      <c r="U18" s="71">
        <v>6717</v>
      </c>
      <c r="V18" s="71">
        <v>-817</v>
      </c>
      <c r="W18" s="71">
        <v>-809</v>
      </c>
      <c r="X18" s="71">
        <v>1386</v>
      </c>
      <c r="Y18" s="109">
        <v>-9909</v>
      </c>
      <c r="Z18" s="71">
        <v>1911</v>
      </c>
      <c r="AA18" s="71">
        <v>2587</v>
      </c>
      <c r="AB18" s="71">
        <v>5342</v>
      </c>
      <c r="AC18" s="71">
        <v>7302</v>
      </c>
      <c r="AD18" s="71">
        <v>5.79</v>
      </c>
      <c r="AE18" s="71">
        <v>84.57</v>
      </c>
      <c r="AH18" s="64" ph="1">
        <v>4</v>
      </c>
      <c r="AI18" s="64" t="s" ph="1">
        <v>340</v>
      </c>
      <c r="AJ18" s="64" t="s" ph="1">
        <v>588</v>
      </c>
      <c r="AK18" s="64" t="s" ph="1">
        <v>587</v>
      </c>
      <c r="AL18" s="64" ph="1">
        <v>740</v>
      </c>
      <c r="AM18" s="64" t="s" ph="1">
        <v>339</v>
      </c>
      <c r="AZ18" s="64" t="s" ph="1">
        <v>216</v>
      </c>
      <c r="BA18" s="64" ph="1">
        <v>740</v>
      </c>
    </row>
    <row r="19" spans="1:57" s="72" customFormat="1" ht="22.2" ph="1">
      <c r="B19" s="195" ph="1"/>
      <c r="C19" s="150" t="s" ph="1">
        <v>178</v>
      </c>
      <c r="D19" s="73" ph="1">
        <f>D18*7.0686*LOOKUP(D20,密度!$A$2:$A$50,密度!$L$2:$L$50)</f>
        <v>0</v>
      </c>
      <c r="E19" s="73" ph="1">
        <f>E18*7.0686*LOOKUP(E20,密度!$A$2:$A$50,密度!$L$2:$L$50)</f>
        <v>15152.816448000001</v>
      </c>
      <c r="F19" s="73" ph="1">
        <f>F18*9.0746*LOOKUP(F20,密度!$A$2:$A$50,密度!$L$2:$L$50)</f>
        <v>27818.993939399999</v>
      </c>
      <c r="G19" s="73" ph="1">
        <f>G18*9.0746*LOOKUP(G20,密度!$A$2:$A$50,密度!$B$2:$B$50)</f>
        <v>18039.11784232</v>
      </c>
      <c r="H19" s="73" ph="1">
        <f>H18*9.0746*LOOKUP(H20,密度!$A$2:$A$50,密度!$L$2:$L$50)</f>
        <v>0</v>
      </c>
      <c r="I19" s="73" ph="1">
        <f>I18*9.0746*LOOKUP(I20,密度!$A$2:$A$50,密度!$U$2:$U$50)</f>
        <v>47431.754501999996</v>
      </c>
      <c r="J19" s="73" ph="1">
        <f>J18*9.0746*LOOKUP(J20,密度!$A$2:$A$50,密度!$L$2:$L$50)</f>
        <v>5045.1690636000003</v>
      </c>
      <c r="K19" s="73" ph="1">
        <f>K18*9.0746*LOOKUP(K20,密度!$A$2:$A$50,密度!$C$2:$C$50)</f>
        <v>22800.476976000002</v>
      </c>
      <c r="L19" s="73" ph="1">
        <f>L18*9.0746*LOOKUP(L20,密度!$A$2:$A$50,密度!$E$2:$E$50)</f>
        <v>25252.767841279998</v>
      </c>
      <c r="M19" s="73" ph="1">
        <f>M18*9.0746*LOOKUP(M20,密度!$A$2:$A$50,密度!$M$2:$M$50)</f>
        <v>38219.745093880003</v>
      </c>
      <c r="N19" s="73" ph="1">
        <f>N18*9.0746*LOOKUP(N20,密度!$A$2:$A$50,密度!$M$2:$M$50)</f>
        <v>27569.0703808</v>
      </c>
      <c r="O19" s="73" ph="1">
        <f>O18*9.0746*LOOKUP(O20,密度!$A$2:$A$50,密度!$G$2:$G$50)</f>
        <v>52048.384110724</v>
      </c>
      <c r="P19" s="73" ph="1">
        <f ca="1">P18*9.0746*LOOKUP(P20,密度!$A$2:$A$51,密度!$Q$2:$Q$50)</f>
        <v>7250.1425953999997</v>
      </c>
      <c r="Q19" s="73" ph="1">
        <f>Q18*9.0746*LOOKUP(Q20,密度!$A$2:$A$50,密度!$Q$2:$Q$50)</f>
        <v>59756.881576014006</v>
      </c>
      <c r="R19" s="73" ph="1">
        <f>MAX(R18*9.0746*LOOKUP(R20,密度!$A$2:$A$50,密度!$B$2:$B$50),0)</f>
        <v>13778.695685299999</v>
      </c>
      <c r="S19" s="73" ph="1">
        <f>S18*9.0746*LOOKUP(S20,密度!$A$2:$A$50,密度!$Q$2:$Q$50)</f>
        <v>0</v>
      </c>
      <c r="T19" s="73" ph="1">
        <f>T18*9.0746*LOOKUP(T20,密度!$A$2:$A$50,密度!$O$2:$O$50)</f>
        <v>24896.023536240002</v>
      </c>
      <c r="U19" s="73" ph="1">
        <f>U18*9.0746*LOOKUP(U20,密度!$A$2:$A$50,密度!$H$2:$H$50)</f>
        <v>55468.220262000003</v>
      </c>
      <c r="V19" s="73" ph="1">
        <f>MAX(5600*LOOKUP(V20,密度!$A$2:$A$50,密度!$Q$2:$Q$50)+V18*9.0476*LOOKUP(V20,密度!$A$2:$A$50,密度!$Q$2:$Q$50),0)</f>
        <v>0</v>
      </c>
      <c r="W19" s="73" ph="1">
        <f>MAX(5600*LOOKUP(W20,密度!$A$2:$A$50,密度!$Q$2:$Q$50)+W18*9.0476*LOOKUP(W20,密度!$A$2:$A$50,密度!$Q$2:$Q$50),0)</f>
        <v>0</v>
      </c>
      <c r="X19" s="73" ph="1">
        <f>MAX(5600*LOOKUP(X20,密度!$A$2:$A$50,密度!$I$2:$I$50)+X18*9.0476*LOOKUP(X20,密度!$A$2:$A$50,密度!$I$2:$I$50),0)</f>
        <v>18805.710631119997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17723.074933200001</v>
      </c>
      <c r="AA19" s="73" ph="1">
        <f>AA18*9.0746*LOOKUP(AA20,密度!$A$2:$A$50,密度!$B$2:$B$50)</f>
        <v>18222.06359324</v>
      </c>
      <c r="AB19" s="73" ph="1">
        <f>AB18*9.0746*LOOKUP(AB20,密度!$A$2:$A$50,密度!$L$2:$L$50)</f>
        <v>45180.110302400004</v>
      </c>
      <c r="AC19" s="73" ph="1">
        <f>AC18*9.0746*LOOKUP(AC20,密度!$A$2:$A$50,密度!$L$2:$L$50)</f>
        <v>61690.600885200001</v>
      </c>
      <c r="AD19" s="73" ph="1">
        <f>AD18*268.68*LOOKUP(AD20,密度!$A$2:$A$50,密度!B5:B53)+IF(AD18&lt;=0,0,1566*LOOKUP(AD20,密度!$A$2:$A$50,密度!B5:B53))</f>
        <v>2425.5276444000001</v>
      </c>
      <c r="AE19" s="73" ph="1">
        <f>AE18*268.68*LOOKUP(AE20,密度!$A$2:$A$50,密度!B5:B53)+IF(AE18&lt;=0,0,1566*LOOKUP(AE20,密度!$A$2:$A$50,密度!B5:B53))</f>
        <v>18871.983925199998</v>
      </c>
      <c r="AH19" s="72" ph="1">
        <v>5</v>
      </c>
      <c r="AI19" s="72" t="s" ph="1">
        <v>341</v>
      </c>
      <c r="AZ19" s="72" t="s" ph="1">
        <v>216</v>
      </c>
      <c r="BA19" s="72" ph="1">
        <v>0</v>
      </c>
      <c r="BD19" s="72" t="s" ph="1">
        <v>342</v>
      </c>
      <c r="BE19" s="72" ph="1">
        <v>1440</v>
      </c>
    </row>
    <row r="20" spans="1:57" ph="1">
      <c r="A20" s="72" ph="1"/>
      <c r="B20" s="195" ph="1"/>
      <c r="C20" s="80" t="s" ph="1">
        <v>179</v>
      </c>
      <c r="D20" s="81">
        <v>34</v>
      </c>
      <c r="E20" s="81">
        <v>34</v>
      </c>
      <c r="F20" s="81">
        <v>35</v>
      </c>
      <c r="G20" s="81">
        <v>30</v>
      </c>
      <c r="H20" s="81">
        <v>30</v>
      </c>
      <c r="I20" s="81">
        <v>40</v>
      </c>
      <c r="J20" s="81">
        <v>40</v>
      </c>
      <c r="K20" s="81">
        <v>33</v>
      </c>
      <c r="L20" s="81">
        <v>31</v>
      </c>
      <c r="M20" s="81">
        <v>34</v>
      </c>
      <c r="N20" s="81">
        <v>28</v>
      </c>
      <c r="O20" s="81">
        <v>31</v>
      </c>
      <c r="P20" s="81">
        <v>35</v>
      </c>
      <c r="Q20" s="81">
        <v>34</v>
      </c>
      <c r="R20" s="81">
        <v>32</v>
      </c>
      <c r="S20" s="81">
        <v>35</v>
      </c>
      <c r="T20" s="81">
        <v>31</v>
      </c>
      <c r="U20" s="81">
        <v>30</v>
      </c>
      <c r="V20" s="81">
        <v>34</v>
      </c>
      <c r="W20" s="81">
        <v>34</v>
      </c>
      <c r="X20" s="81">
        <v>30</v>
      </c>
      <c r="Y20" s="110">
        <v>30</v>
      </c>
      <c r="Z20" s="81">
        <v>30</v>
      </c>
      <c r="AA20" s="81">
        <v>29</v>
      </c>
      <c r="AB20" s="81">
        <v>30</v>
      </c>
      <c r="AC20" s="81">
        <v>31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343</v>
      </c>
      <c r="AZ20" s="64" t="s" ph="1">
        <v>216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344</v>
      </c>
      <c r="AZ21" s="64" t="s" ph="1">
        <v>216</v>
      </c>
      <c r="BA21" s="64" ph="1">
        <v>0</v>
      </c>
      <c r="BD21" s="64" t="s" ph="1">
        <v>232</v>
      </c>
      <c r="BE21" s="64" ph="1">
        <v>730</v>
      </c>
    </row>
    <row r="22" spans="1:57" ph="1">
      <c r="A22" s="72" ph="1"/>
      <c r="B22" s="193" t="s" ph="1">
        <v>37</v>
      </c>
      <c r="C22" s="85" t="s" ph="1">
        <v>176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172" t="s" ph="1">
        <v>69</v>
      </c>
      <c r="AA22" s="173"/>
      <c r="AB22" s="173"/>
      <c r="AC22" s="173"/>
      <c r="AD22" s="173"/>
      <c r="AE22" s="174"/>
      <c r="AH22" s="64" ph="1">
        <v>8</v>
      </c>
      <c r="AI22" s="64" t="s" ph="1">
        <v>345</v>
      </c>
      <c r="AZ22" s="64" t="s" ph="1">
        <v>216</v>
      </c>
      <c r="BA22" s="64" ph="1">
        <v>0</v>
      </c>
    </row>
    <row r="23" spans="1:57" ph="1">
      <c r="A23" s="72" ph="1"/>
      <c r="B23" s="188" ph="1"/>
      <c r="C23" s="67" t="s" ph="1">
        <v>36</v>
      </c>
      <c r="D23" s="88" t="s" ph="1">
        <v>109</v>
      </c>
      <c r="E23" s="88" t="s" ph="1">
        <v>107</v>
      </c>
      <c r="F23" s="88" t="s" ph="1">
        <v>109</v>
      </c>
      <c r="G23" s="88" t="s" ph="1">
        <v>626</v>
      </c>
      <c r="H23" s="88" t="s" ph="1">
        <v>626</v>
      </c>
      <c r="I23" s="88" t="s" ph="1">
        <v>627</v>
      </c>
      <c r="J23" s="88" t="s" ph="1">
        <v>628</v>
      </c>
      <c r="K23" s="88" t="s" ph="1">
        <v>628</v>
      </c>
      <c r="L23" s="88" t="s" ph="1">
        <v>628</v>
      </c>
      <c r="M23" s="88" t="s" ph="1">
        <v>623</v>
      </c>
      <c r="N23" s="88" t="s" ph="1">
        <v>623</v>
      </c>
      <c r="O23" s="88" t="s" ph="1">
        <v>318</v>
      </c>
      <c r="P23" s="88" t="s" ph="1">
        <v>629</v>
      </c>
      <c r="Q23" s="89" t="s" ph="1">
        <v>629</v>
      </c>
      <c r="R23" s="88" t="s" ph="1">
        <v>610</v>
      </c>
      <c r="S23" s="88" t="s" ph="1">
        <v>629</v>
      </c>
      <c r="T23" s="88" t="s" ph="1">
        <v>604</v>
      </c>
      <c r="U23" s="104" t="s" ph="1">
        <v>606</v>
      </c>
      <c r="V23" s="88" t="s" ph="1">
        <v>629</v>
      </c>
      <c r="W23" s="88" t="s" ph="1">
        <v>629</v>
      </c>
      <c r="X23" s="88" t="s" ph="1">
        <v>187</v>
      </c>
      <c r="Y23" s="88" t="s" ph="1">
        <v>630</v>
      </c>
      <c r="Z23" s="175" t="s" ph="1">
        <v>638</v>
      </c>
      <c r="AA23" s="176"/>
      <c r="AB23" s="176"/>
      <c r="AC23" s="176"/>
      <c r="AD23" s="176"/>
      <c r="AE23" s="177"/>
      <c r="AH23" s="64" ph="1">
        <v>9</v>
      </c>
      <c r="AI23" s="64" t="s" ph="1">
        <v>346</v>
      </c>
      <c r="AZ23" s="64" t="s" ph="1">
        <v>216</v>
      </c>
      <c r="BA23" s="64" ph="1">
        <v>0</v>
      </c>
      <c r="BD23" s="64" t="s" ph="1">
        <v>238</v>
      </c>
      <c r="BE23" s="64" ph="1">
        <v>890</v>
      </c>
    </row>
    <row r="24" spans="1:57" ph="1">
      <c r="A24" s="72" ph="1"/>
      <c r="B24" s="184" ph="1">
        <v>0.33333333333333331</v>
      </c>
      <c r="C24" s="150" t="s" ph="1">
        <v>177</v>
      </c>
      <c r="D24" s="71">
        <v>3.07</v>
      </c>
      <c r="E24" s="71">
        <v>66.930000000000007</v>
      </c>
      <c r="F24" s="71">
        <v>126</v>
      </c>
      <c r="G24" s="71">
        <v>2554</v>
      </c>
      <c r="H24" s="71">
        <v>3189</v>
      </c>
      <c r="I24" s="71">
        <v>132</v>
      </c>
      <c r="J24" s="71">
        <v>208</v>
      </c>
      <c r="K24" s="71">
        <v>248</v>
      </c>
      <c r="L24" s="71">
        <v>469</v>
      </c>
      <c r="M24" s="71">
        <v>4838</v>
      </c>
      <c r="N24" s="71">
        <v>2464</v>
      </c>
      <c r="O24" s="71">
        <v>2506</v>
      </c>
      <c r="P24" s="71">
        <v>845</v>
      </c>
      <c r="Q24" s="90">
        <v>4788</v>
      </c>
      <c r="R24" s="71">
        <v>6135</v>
      </c>
      <c r="S24" s="71">
        <v>5497</v>
      </c>
      <c r="T24" s="71">
        <v>509</v>
      </c>
      <c r="U24" s="71">
        <v>6275</v>
      </c>
      <c r="V24" s="71">
        <v>1015</v>
      </c>
      <c r="W24" s="71">
        <v>5701</v>
      </c>
      <c r="X24" s="71">
        <v>3009</v>
      </c>
      <c r="Y24" s="71">
        <v>5971</v>
      </c>
      <c r="Z24" s="178"/>
      <c r="AA24" s="179"/>
      <c r="AB24" s="179"/>
      <c r="AC24" s="179"/>
      <c r="AD24" s="179"/>
      <c r="AE24" s="180"/>
      <c r="AH24" s="64" ph="1">
        <v>10</v>
      </c>
      <c r="AI24" s="64" t="s" ph="1">
        <v>347</v>
      </c>
      <c r="AZ24" s="64" t="s" ph="1">
        <v>216</v>
      </c>
      <c r="BA24" s="64" ph="1">
        <v>0</v>
      </c>
    </row>
    <row r="25" spans="1:57" ph="1">
      <c r="A25" s="72" ph="1"/>
      <c r="B25" s="184" ph="1"/>
      <c r="C25" s="68" t="s" ph="1">
        <v>178</v>
      </c>
      <c r="D25" s="91" ph="1">
        <f>D24*268.68*LOOKUP(D26,密度!$A$2:$A$50,密度!$Q$2:$Q$50)+IF(D24&lt;=0,0,1566*LOOKUP(D26,密度!$A$2:$A$50,密度!$Q$2:$Q$50))</f>
        <v>2263.5110568239998</v>
      </c>
      <c r="E25" s="91" ph="1">
        <f>E24*268.68*LOOKUP(E26,密度!$A$2:$A$50,密度!$C$2:$C$50)+IF(E24&lt;=0,0,1566*LOOKUP(E26,密度!$A$2:$A$50,密度!$C$2:$C$50))</f>
        <v>21677.611536360004</v>
      </c>
      <c r="F25" s="91" ph="1">
        <f>F24*11.702*LOOKUP(F26,密度!$A$2:$A$50,密度!$Q$2:$Q$50)</f>
        <v>1395.92268648</v>
      </c>
      <c r="G25" s="91" ph="1">
        <f>G24*18.322*LOOKUP(G26,密度!$A$2:$A$50,密度!$B$2:$B$50)</f>
        <v>36279.6890164</v>
      </c>
      <c r="H25" s="91" ph="1">
        <f>H24*18.322*LOOKUP(H26,密度!$A$2:$A$50,密度!$B$2:$B$50)</f>
        <v>45399.222666000001</v>
      </c>
      <c r="I25" s="91" ph="1">
        <f>I24*18.322*LOOKUP(I26,密度!$A$2:$A$50,密度!$Q$2:$Q$50)</f>
        <v>2287.9773391200001</v>
      </c>
      <c r="J25" s="91" ph="1">
        <f>J24*18.322*LOOKUP(J26,密度!$A$2:$A$50,密度!$Q$2:$Q$50)</f>
        <v>3605.2976252799999</v>
      </c>
      <c r="K25" s="91" ph="1">
        <f>K24*18.322*LOOKUP(K26,密度!$A$2:$A$50,密度!$Q$2:$Q$50)</f>
        <v>4295.39795392</v>
      </c>
      <c r="L25" s="91" ph="1">
        <f>L24*18.322*LOOKUP(L26,密度!$A$2:$A$50,密度!$Q$2:$Q$50)</f>
        <v>8129.2528185400006</v>
      </c>
      <c r="M25" s="91" ph="1">
        <f>M24*18.322*LOOKUP(M26,密度!$A$2:$A$50,密度!$Q$2:$Q$50)</f>
        <v>83732.851122320004</v>
      </c>
      <c r="N25" s="91" ph="1">
        <f>N24*18.322*LOOKUP(N26,密度!$A$2:$A$50,密度!$Q$2:$Q$50)</f>
        <v>42645.255304959996</v>
      </c>
      <c r="O25" s="91" ph="1">
        <f>O24*18.322*LOOKUP(O26,密度!$A$2:$A$50,密度!$C$2:$C$50)</f>
        <v>50809.463751200004</v>
      </c>
      <c r="P25" s="91" ph="1">
        <f>P24*11.702*LOOKUP(P26,密度!$A$2:$A$50,密度!$B$2:$B$50)</f>
        <v>7692.0230010000005</v>
      </c>
      <c r="Q25" s="92" ph="1">
        <f>Q24*18.322*LOOKUP(Q26,密度!$A$2:$A$50,密度!$B$2:$B$50)</f>
        <v>68162.896871999998</v>
      </c>
      <c r="R25" s="91" ph="1">
        <f>R24*35.891*LOOKUP(R26,密度!$A$2:$A$50,密度!$C$2:$C$50)</f>
        <v>243333.3890535</v>
      </c>
      <c r="S25" s="91" ph="1">
        <f>S24*35.891*LOOKUP(S26,密度!$A$2:$A$50,密度!$B$2:$B$50)</f>
        <v>153296.526579</v>
      </c>
      <c r="T25" s="91" ph="1">
        <f>T24*35.891*LOOKUP(T26,密度!$A$2:$A$50,密度!$Q$2:$Q$50)</f>
        <v>17207.1180461</v>
      </c>
      <c r="U25" s="91" ph="1">
        <f>U24*35.891</f>
        <v>225216.02499999999</v>
      </c>
      <c r="V25" s="91" ph="1">
        <f>V24*47.051*LOOKUP(V26,密度!$A$2:$A$50,密度!$B$2:$B$50)</f>
        <v>37231.173993999997</v>
      </c>
      <c r="W25" s="91" ph="1">
        <f>W24*47.051*LOOKUP(W26,密度!$A$2:$A$50,密度!$B$2:$B$50)</f>
        <v>209359.5646555</v>
      </c>
      <c r="X25" s="91" ph="1">
        <f>X24*47.051*LOOKUP(X26,密度!$A$2:$A$61,密度!$I$2:$I$61)</f>
        <v>147409.40911079998</v>
      </c>
      <c r="Y25" s="91" ph="1">
        <f>Y24*47.051*LOOKUP(Y26,密度!$A$2:$A$50,密度!$L$2:$L$50)</f>
        <v>261275.61453000002</v>
      </c>
      <c r="Z25" s="178"/>
      <c r="AA25" s="179"/>
      <c r="AB25" s="179"/>
      <c r="AC25" s="179"/>
      <c r="AD25" s="179"/>
      <c r="AE25" s="180"/>
      <c r="AH25" s="64" ph="1">
        <v>11</v>
      </c>
      <c r="AI25" s="64" t="s" ph="1">
        <v>348</v>
      </c>
      <c r="AZ25" s="64" t="s" ph="1">
        <v>216</v>
      </c>
      <c r="BA25" s="64" ph="1">
        <v>0</v>
      </c>
      <c r="BD25" s="64" t="s" ph="1">
        <v>241</v>
      </c>
      <c r="BE25" s="64" ph="1">
        <v>8920</v>
      </c>
    </row>
    <row r="26" spans="1:57" ph="1">
      <c r="A26" s="72" ph="1"/>
      <c r="B26" s="184" ph="1"/>
      <c r="C26" s="68" t="s" ph="1">
        <v>179</v>
      </c>
      <c r="D26" s="74">
        <v>25</v>
      </c>
      <c r="E26" s="74">
        <v>25</v>
      </c>
      <c r="F26" s="74">
        <v>25</v>
      </c>
      <c r="G26" s="74">
        <v>30</v>
      </c>
      <c r="H26" s="74">
        <v>28</v>
      </c>
      <c r="I26" s="74">
        <v>26</v>
      </c>
      <c r="J26" s="74">
        <v>26</v>
      </c>
      <c r="K26" s="74">
        <v>27</v>
      </c>
      <c r="L26" s="74">
        <v>26</v>
      </c>
      <c r="M26" s="74">
        <v>28</v>
      </c>
      <c r="N26" s="74">
        <v>28</v>
      </c>
      <c r="O26" s="74">
        <v>28</v>
      </c>
      <c r="P26" s="74">
        <v>27</v>
      </c>
      <c r="Q26" s="93">
        <v>28</v>
      </c>
      <c r="R26" s="74">
        <v>30</v>
      </c>
      <c r="S26" s="74">
        <v>28</v>
      </c>
      <c r="T26" s="74">
        <v>32</v>
      </c>
      <c r="U26" s="74">
        <v>30</v>
      </c>
      <c r="V26" s="74">
        <v>25</v>
      </c>
      <c r="W26" s="74">
        <v>24</v>
      </c>
      <c r="X26" s="74">
        <v>26</v>
      </c>
      <c r="Y26" s="74">
        <v>32</v>
      </c>
      <c r="Z26" s="178"/>
      <c r="AA26" s="179"/>
      <c r="AB26" s="179"/>
      <c r="AC26" s="179"/>
      <c r="AD26" s="179"/>
      <c r="AE26" s="180"/>
      <c r="AH26" s="64" ph="1">
        <v>12</v>
      </c>
      <c r="AI26" s="64" t="s" ph="1">
        <v>349</v>
      </c>
      <c r="AZ26" s="64" t="s" ph="1">
        <v>216</v>
      </c>
      <c r="BA26" s="64" ph="1">
        <v>0</v>
      </c>
    </row>
    <row r="27" spans="1:57" ht="26.4" ph="1">
      <c r="A27" s="72" ph="1"/>
      <c r="B27" s="184" ph="1">
        <v>0.66666666666666663</v>
      </c>
      <c r="C27" s="150" t="s" ph="1">
        <v>180</v>
      </c>
      <c r="D27" s="71">
        <v>3.06</v>
      </c>
      <c r="E27" s="71">
        <v>67.16</v>
      </c>
      <c r="F27" s="71">
        <v>123</v>
      </c>
      <c r="G27" s="71">
        <v>2093</v>
      </c>
      <c r="H27" s="71">
        <v>2671</v>
      </c>
      <c r="I27" s="71">
        <v>130</v>
      </c>
      <c r="J27" s="71">
        <v>201</v>
      </c>
      <c r="K27" s="71">
        <v>243</v>
      </c>
      <c r="L27" s="71">
        <v>464</v>
      </c>
      <c r="M27" s="71">
        <v>4839</v>
      </c>
      <c r="N27" s="71">
        <v>2462</v>
      </c>
      <c r="O27" s="71">
        <v>2501</v>
      </c>
      <c r="P27" s="71">
        <v>842</v>
      </c>
      <c r="Q27" s="90">
        <v>5075</v>
      </c>
      <c r="R27" s="71">
        <v>6582</v>
      </c>
      <c r="S27" s="71">
        <v>5495</v>
      </c>
      <c r="T27" s="71">
        <v>506</v>
      </c>
      <c r="U27" s="71">
        <v>6273</v>
      </c>
      <c r="V27" s="71">
        <v>1013</v>
      </c>
      <c r="W27" s="71">
        <v>5402</v>
      </c>
      <c r="X27" s="71">
        <v>2410</v>
      </c>
      <c r="Y27" s="71">
        <v>6668</v>
      </c>
      <c r="Z27" s="178"/>
      <c r="AA27" s="179"/>
      <c r="AB27" s="179"/>
      <c r="AC27" s="179"/>
      <c r="AD27" s="179"/>
      <c r="AE27" s="180"/>
      <c r="AH27" s="64" ph="1">
        <v>13</v>
      </c>
      <c r="AI27" s="64" t="s" ph="1">
        <v>350</v>
      </c>
      <c r="AZ27" s="64" t="s" ph="1">
        <v>216</v>
      </c>
      <c r="BA27" s="64" ph="1">
        <v>0</v>
      </c>
      <c r="BD27" s="64" t="s" ph="1">
        <v>295</v>
      </c>
      <c r="BE27" s="64" ph="1">
        <v>7100</v>
      </c>
    </row>
    <row r="28" spans="1:57" ph="1">
      <c r="A28" s="72" ph="1"/>
      <c r="B28" s="184" ph="1"/>
      <c r="C28" s="150" t="s" ph="1">
        <v>178</v>
      </c>
      <c r="D28" s="91" ph="1">
        <f>D27*268.68*LOOKUP(D29,密度!$A$2:$A$50,密度!$Q$2:$Q$50)+IF(D27&lt;=0,0,1566*LOOKUP(D29,密度!$A$2:$A$50,密度!$Q$2:$Q$50))</f>
        <v>2260.967355792</v>
      </c>
      <c r="E28" s="91" ph="1">
        <f>E27*268.68*LOOKUP(E29,密度!$A$2:$A$50,密度!$C$2:$C$50)+IF(E27&lt;=0,0,1566*LOOKUP(E29,密度!$A$2:$A$50,密度!$C$2:$C$50))</f>
        <v>21746.137564320001</v>
      </c>
      <c r="F28" s="91" ph="1">
        <f>F27*11.702*LOOKUP(F29,密度!$A$2:$A$50,密度!$Q$2:$Q$50)</f>
        <v>1357.77826218</v>
      </c>
      <c r="G28" s="91" ph="1">
        <f>G27*18.322*LOOKUP(G29,密度!$A$2:$A$50,密度!$B$2:$B$50)</f>
        <v>29696.649382399995</v>
      </c>
      <c r="H28" s="91" ph="1">
        <f>H27*18.322*LOOKUP(H29,密度!$A$2:$A$50,密度!$B$2:$B$50)</f>
        <v>37941.679468599999</v>
      </c>
      <c r="I28" s="91" ph="1">
        <f>I27*18.322*LOOKUP(I29,密度!$A$2:$A$50,密度!$Q$2:$Q$50)</f>
        <v>2240.3536973999999</v>
      </c>
      <c r="J28" s="91" ph="1">
        <f>J27*18.322*LOOKUP(J29,密度!$A$2:$A$50,密度!$Q$2:$Q$50)</f>
        <v>3456.7870052999997</v>
      </c>
      <c r="K28" s="91" ph="1">
        <f>K27*18.322*LOOKUP(K29,密度!$A$2:$A$50,密度!$Q$2:$Q$50)</f>
        <v>4199.9372191800003</v>
      </c>
      <c r="L28" s="91" ph="1">
        <f>L27*18.322*LOOKUP(L29,密度!$A$2:$A$50,密度!$Q$2:$Q$50)</f>
        <v>8019.6332086399998</v>
      </c>
      <c r="M28" s="91" ph="1">
        <f>M27*18.322*LOOKUP(M29,密度!$A$2:$A$50,密度!$Q$2:$Q$50)</f>
        <v>83750.158449959999</v>
      </c>
      <c r="N28" s="91" ph="1">
        <f>N27*18.322*LOOKUP(N29,密度!$A$2:$A$50,密度!$Q$2:$Q$50)</f>
        <v>42610.640649679997</v>
      </c>
      <c r="O28" s="91" ph="1">
        <f>O27*18.322*LOOKUP(O29,密度!$A$2:$A$50,密度!$C$2:$C$50)</f>
        <v>50676.011799800006</v>
      </c>
      <c r="P28" s="91" ph="1">
        <f>P27*11.702*LOOKUP(P29,密度!$A$2:$A$50,密度!$B$2:$B$50)</f>
        <v>7647.9638008000002</v>
      </c>
      <c r="Q28" s="92" ph="1">
        <f>Q27*18.322*LOOKUP(Q29,密度!$A$2:$A$50,密度!$B$2:$B$50)</f>
        <v>72006.925759999998</v>
      </c>
      <c r="R28" s="91" ph="1">
        <f>R27*35.891*LOOKUP(R29,密度!$A$2:$A$50,密度!$C$2:$C$50)</f>
        <v>261062.81446619995</v>
      </c>
      <c r="S28" s="91" ph="1">
        <f>S27*35.891*LOOKUP(S29,密度!$A$2:$A$50,密度!$B$2:$B$50)</f>
        <v>151524.92887349997</v>
      </c>
      <c r="T28" s="91" ph="1">
        <f>T27*35.891*LOOKUP(T29,密度!$A$2:$A$50,密度!$Q$2:$Q$50)</f>
        <v>17070.105589239996</v>
      </c>
      <c r="U28" s="91" ph="1">
        <f>U27*35.891</f>
        <v>225144.24299999999</v>
      </c>
      <c r="V28" s="91" ph="1">
        <f>V27*47.051*LOOKUP(V29,密度!$A$2:$A$50,密度!$B$2:$B$50)</f>
        <v>37114.915678099998</v>
      </c>
      <c r="W28" s="91" ph="1">
        <f>W27*47.051*LOOKUP(W29,密度!$A$2:$A$50,密度!$B$2:$B$50)</f>
        <v>198379.29631100001</v>
      </c>
      <c r="X28" s="91" ph="1">
        <f>X27*47.051*LOOKUP(X29,密度!$A$2:$A$61,密度!$I$2:$I$61)</f>
        <v>117939.965691</v>
      </c>
      <c r="Y28" s="91" ph="1">
        <f>Y27*47.051*LOOKUP(Y29,密度!$A$2:$A$50,密度!$L$2:$L$50)</f>
        <v>291460.80717200006</v>
      </c>
      <c r="Z28" s="178"/>
      <c r="AA28" s="179"/>
      <c r="AB28" s="179"/>
      <c r="AC28" s="179"/>
      <c r="AD28" s="179"/>
      <c r="AE28" s="180"/>
      <c r="AH28" s="64" ph="1">
        <v>14</v>
      </c>
      <c r="AI28" s="64" t="s" ph="1">
        <v>351</v>
      </c>
      <c r="AZ28" s="64" t="s" ph="1">
        <v>216</v>
      </c>
      <c r="BA28" s="64" ph="1">
        <v>0</v>
      </c>
    </row>
    <row r="29" spans="1:57" ph="1">
      <c r="A29" s="72" ph="1"/>
      <c r="B29" s="184" ph="1"/>
      <c r="C29" s="150" t="s" ph="1">
        <v>179</v>
      </c>
      <c r="D29" s="74">
        <v>25</v>
      </c>
      <c r="E29" s="74">
        <v>25</v>
      </c>
      <c r="F29" s="74">
        <v>30</v>
      </c>
      <c r="G29" s="74">
        <v>31</v>
      </c>
      <c r="H29" s="74">
        <v>30</v>
      </c>
      <c r="I29" s="74">
        <v>34</v>
      </c>
      <c r="J29" s="74">
        <v>37</v>
      </c>
      <c r="K29" s="74">
        <v>30</v>
      </c>
      <c r="L29" s="74">
        <v>30</v>
      </c>
      <c r="M29" s="74">
        <v>28</v>
      </c>
      <c r="N29" s="74">
        <v>28</v>
      </c>
      <c r="O29" s="74">
        <v>29</v>
      </c>
      <c r="P29" s="74">
        <v>29</v>
      </c>
      <c r="Q29" s="93">
        <v>31</v>
      </c>
      <c r="R29" s="74">
        <v>30</v>
      </c>
      <c r="S29" s="74">
        <v>38</v>
      </c>
      <c r="T29" s="74">
        <v>35</v>
      </c>
      <c r="U29" s="74">
        <v>30</v>
      </c>
      <c r="V29" s="74">
        <v>26</v>
      </c>
      <c r="W29" s="74">
        <v>24</v>
      </c>
      <c r="X29" s="74">
        <v>27</v>
      </c>
      <c r="Y29" s="74">
        <v>33</v>
      </c>
      <c r="Z29" s="181"/>
      <c r="AA29" s="182"/>
      <c r="AB29" s="182"/>
      <c r="AC29" s="182"/>
      <c r="AD29" s="182"/>
      <c r="AE29" s="183"/>
      <c r="AH29" s="64" ph="1">
        <v>15</v>
      </c>
      <c r="AI29" s="64" t="s" ph="1">
        <v>352</v>
      </c>
      <c r="AZ29" s="64" t="s" ph="1">
        <v>216</v>
      </c>
      <c r="BA29" s="64" ph="1">
        <v>0</v>
      </c>
      <c r="BD29" s="64" t="s" ph="1">
        <v>353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354</v>
      </c>
      <c r="AZ30" s="64" t="s" ph="1">
        <v>216</v>
      </c>
      <c r="BA30" s="64" ph="1">
        <v>0</v>
      </c>
    </row>
    <row r="31" spans="1:57" ht="28.2" ph="1">
      <c r="A31" s="64"/>
      <c r="B31" s="197" t="s" ph="1">
        <v>35</v>
      </c>
      <c r="C31" s="198" ph="1"/>
      <c r="D31" s="201" t="s" ph="1">
        <v>9</v>
      </c>
      <c r="E31" s="190" ph="1"/>
      <c r="F31" s="191" ph="1"/>
      <c r="G31" s="201" t="s" ph="1">
        <v>18</v>
      </c>
      <c r="H31" s="190" ph="1"/>
      <c r="I31" s="191" ph="1"/>
      <c r="J31" s="189" t="s" ph="1">
        <v>1</v>
      </c>
      <c r="K31" s="190" ph="1"/>
      <c r="L31" s="191" ph="1"/>
      <c r="M31" s="189" t="s" ph="1">
        <v>7</v>
      </c>
      <c r="N31" s="190" ph="1"/>
      <c r="O31" s="191" ph="1"/>
      <c r="P31" s="189" t="s" ph="1">
        <v>41</v>
      </c>
      <c r="Q31" s="190"/>
      <c r="R31" s="191"/>
      <c r="S31" s="189" t="s" ph="1">
        <v>2</v>
      </c>
      <c r="T31" s="190"/>
      <c r="U31" s="191"/>
      <c r="V31" s="189" t="s" ph="1">
        <v>71</v>
      </c>
      <c r="W31" s="190" ph="1"/>
      <c r="X31" s="191" ph="1"/>
      <c r="Y31" s="189" t="s" ph="1">
        <v>3</v>
      </c>
      <c r="Z31" s="190" ph="1"/>
      <c r="AA31" s="191" ph="1"/>
      <c r="AB31" s="212" t="s">
        <v>42</v>
      </c>
      <c r="AC31" s="213"/>
      <c r="AD31" s="213"/>
      <c r="AE31" s="214"/>
      <c r="AH31" s="64" ph="1">
        <v>17</v>
      </c>
      <c r="AI31" s="64" t="s" ph="1">
        <v>355</v>
      </c>
      <c r="AZ31" s="64" t="s" ph="1">
        <v>216</v>
      </c>
      <c r="BA31" s="64" ph="1">
        <v>0</v>
      </c>
      <c r="BD31" s="64" t="s" ph="1">
        <v>356</v>
      </c>
      <c r="BE31" s="64" ph="1">
        <v>9310</v>
      </c>
    </row>
    <row r="32" spans="1:57" ph="1">
      <c r="A32" s="64"/>
      <c r="B32" s="199" ph="1"/>
      <c r="C32" s="200" ph="1"/>
      <c r="D32" s="96" t="s" ph="1">
        <v>4</v>
      </c>
      <c r="E32" s="150" t="s" ph="1">
        <v>5</v>
      </c>
      <c r="F32" s="149" t="s" ph="1">
        <v>43</v>
      </c>
      <c r="G32" s="97" t="s" ph="1">
        <v>4</v>
      </c>
      <c r="H32" s="150" t="s" ph="1">
        <v>5</v>
      </c>
      <c r="I32" s="149" t="s" ph="1">
        <v>43</v>
      </c>
      <c r="J32" s="97" t="s" ph="1">
        <v>4</v>
      </c>
      <c r="K32" s="150" t="s" ph="1">
        <v>5</v>
      </c>
      <c r="L32" s="149" t="s" ph="1">
        <v>43</v>
      </c>
      <c r="M32" s="97" t="s" ph="1">
        <v>4</v>
      </c>
      <c r="N32" s="150" t="s" ph="1">
        <v>5</v>
      </c>
      <c r="O32" s="149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50" t="s" ph="1">
        <v>5</v>
      </c>
      <c r="U32" s="99" t="s" ph="1">
        <v>43</v>
      </c>
      <c r="V32" s="97" t="s" ph="1">
        <v>4</v>
      </c>
      <c r="W32" s="150" t="s" ph="1">
        <v>5</v>
      </c>
      <c r="X32" s="99" t="s" ph="1">
        <v>43</v>
      </c>
      <c r="Y32" s="100" t="s" ph="1">
        <v>4</v>
      </c>
      <c r="Z32" s="150" t="s" ph="1">
        <v>5</v>
      </c>
      <c r="AA32" s="149" t="s" ph="1">
        <v>43</v>
      </c>
      <c r="AB32" s="97" t="s" ph="1">
        <v>85</v>
      </c>
      <c r="AC32" s="150" t="s" ph="1">
        <v>84</v>
      </c>
      <c r="AD32" s="215" t="s" ph="1">
        <v>83</v>
      </c>
      <c r="AE32" s="216"/>
      <c r="AH32" s="64" ph="1">
        <v>18</v>
      </c>
      <c r="AI32" s="64" t="s" ph="1">
        <v>357</v>
      </c>
      <c r="AZ32" s="64" t="s" ph="1">
        <v>216</v>
      </c>
      <c r="BA32" s="64" ph="1">
        <v>0</v>
      </c>
    </row>
    <row r="33" spans="1:57" ph="1">
      <c r="A33" s="64"/>
      <c r="B33" s="202" t="s" ph="1">
        <v>181</v>
      </c>
      <c r="C33" s="203" ph="1"/>
      <c r="D33" s="206" ph="1">
        <f>AA10+AB10+Z19</f>
        <v>90417.722659600011</v>
      </c>
      <c r="E33" s="206" ph="1">
        <f>M10+I10</f>
        <v>228234.7917232</v>
      </c>
      <c r="F33" s="208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1522252632456786910111213141516171819202123456789101112131415161718192022232424356789101112131415161718192021222345678910111213141516171819202345678910111213149101516171819222123234567891012131415161711181920212224252345678910111213134[[#This Row],[F25]]</f>
        <v>3880</v>
      </c>
      <c r="G33" s="210" ph="1">
        <f>N19</f>
        <v>27569.0703808</v>
      </c>
      <c r="H33" s="206" ph="1">
        <f>M19</f>
        <v>38219.745093880003</v>
      </c>
      <c r="I33" s="219" ph="1">
        <v>0</v>
      </c>
      <c r="J33" s="217" ph="1">
        <f>F10+O28</f>
        <v>265051.9494716</v>
      </c>
      <c r="K33" s="206" ph="1">
        <f>O10+K10+E28+R28</f>
        <v>418103.92427292001</v>
      </c>
      <c r="L33" s="221" ph="1">
        <f>K19</f>
        <v>22800.476976000002</v>
      </c>
      <c r="M33" s="217" ph="1">
        <f>G10+H10+W28+S28+V28+E10+R19+P28+Q28</f>
        <v>912567.83164970006</v>
      </c>
      <c r="N33" s="206" ph="1">
        <f>L10+P10++G28+H28+AD19+AE19</f>
        <v>170660.09297659999</v>
      </c>
      <c r="O33" s="219" ph="1">
        <f>G19</f>
        <v>18039.11784232</v>
      </c>
      <c r="P33" s="217" ph="1">
        <f>L19</f>
        <v>25252.767841279998</v>
      </c>
      <c r="Q33" s="206" ph="1">
        <f>J10+N10</f>
        <v>22209.5665568</v>
      </c>
      <c r="R33" s="219" ph="1">
        <f>BE23</f>
        <v>890</v>
      </c>
      <c r="S33" s="217" ph="1">
        <f>X28</f>
        <v>117939.965691</v>
      </c>
      <c r="T33" s="206" ph="1">
        <f>X19</f>
        <v>18805.710631119997</v>
      </c>
      <c r="U33" s="227" ph="1">
        <f>BE21</f>
        <v>730</v>
      </c>
      <c r="V33" s="238" ph="1">
        <f ca="1">P19+Q19+S19+M28+N28+J28+D10+AC10+D19+E19+H19+J19+O19+V19+W19+K28+L28</f>
        <v>547003.87235684809</v>
      </c>
      <c r="W33" s="238" ph="1">
        <f>D28+F28+T28+I28</f>
        <v>22929.204904611994</v>
      </c>
      <c r="X33" s="219" ph="1">
        <f>BE29+BE31</f>
        <v>10200</v>
      </c>
      <c r="Y33" s="240" ph="1">
        <f>+Q10+R10+S10+T10+U10+V10+W10+X10+Y10</f>
        <v>261107.46072180002</v>
      </c>
      <c r="Z33" s="225" ph="1">
        <f>T19+U19+Y28+Z10</f>
        <v>390681.32390324003</v>
      </c>
      <c r="AA33" s="227" ph="1">
        <f>BE19</f>
        <v>1440</v>
      </c>
      <c r="AB33" s="229" ph="1">
        <f>I19</f>
        <v>47431.754501999996</v>
      </c>
      <c r="AC33" s="231" ph="1">
        <f>AD10+AB19</f>
        <v>121256.1558416</v>
      </c>
      <c r="AD33" s="233" ph="1">
        <v>0</v>
      </c>
      <c r="AE33" s="234"/>
      <c r="AH33" s="64" ph="1">
        <v>19</v>
      </c>
      <c r="AI33" s="64" t="s" ph="1">
        <v>358</v>
      </c>
      <c r="AJ33" s="64" t="s" ph="1">
        <v>592</v>
      </c>
      <c r="AK33" s="64" t="s" ph="1">
        <v>589</v>
      </c>
      <c r="AL33" s="64" ph="1">
        <v>730</v>
      </c>
      <c r="AM33" s="64" t="s" ph="1">
        <v>339</v>
      </c>
      <c r="AZ33" s="64" t="s" ph="1">
        <v>216</v>
      </c>
      <c r="BA33" s="64" ph="1">
        <v>730</v>
      </c>
      <c r="BD33" s="64" t="s" ph="1">
        <v>290</v>
      </c>
      <c r="BE33" s="64" ph="1">
        <v>3880</v>
      </c>
    </row>
    <row r="34" spans="1:57" ph="1">
      <c r="A34" s="64"/>
      <c r="B34" s="204" ph="1"/>
      <c r="C34" s="205" ph="1"/>
      <c r="D34" s="207" ph="1"/>
      <c r="E34" s="207" ph="1"/>
      <c r="F34" s="209" ph="1"/>
      <c r="G34" s="211" ph="1"/>
      <c r="H34" s="207" ph="1"/>
      <c r="I34" s="220" ph="1"/>
      <c r="J34" s="218" ph="1"/>
      <c r="K34" s="207" ph="1"/>
      <c r="L34" s="222" ph="1"/>
      <c r="M34" s="218" ph="1"/>
      <c r="N34" s="207" ph="1"/>
      <c r="O34" s="220" ph="1"/>
      <c r="P34" s="218" ph="1"/>
      <c r="Q34" s="207" ph="1"/>
      <c r="R34" s="220" ph="1"/>
      <c r="S34" s="218" ph="1"/>
      <c r="T34" s="207"/>
      <c r="U34" s="228"/>
      <c r="V34" s="239" ph="1"/>
      <c r="W34" s="239" ph="1"/>
      <c r="X34" s="220" ph="1"/>
      <c r="Y34" s="241" ph="1"/>
      <c r="Z34" s="226" ph="1"/>
      <c r="AA34" s="228" ph="1"/>
      <c r="AB34" s="230"/>
      <c r="AC34" s="232"/>
      <c r="AD34" s="235"/>
      <c r="AE34" s="236"/>
      <c r="AH34" s="64" ph="1">
        <v>20</v>
      </c>
      <c r="AI34" s="64" t="s" ph="1">
        <v>359</v>
      </c>
      <c r="AJ34" s="64" t="s" ph="1">
        <v>593</v>
      </c>
      <c r="AK34" s="64" t="s" ph="1">
        <v>589</v>
      </c>
      <c r="AL34" s="64" ph="1">
        <v>720</v>
      </c>
      <c r="AM34" s="64" t="s" ph="1">
        <v>339</v>
      </c>
      <c r="AZ34" s="64" t="s" ph="1">
        <v>216</v>
      </c>
      <c r="BA34" s="64" ph="1">
        <v>720</v>
      </c>
    </row>
    <row r="35" spans="1:57" ph="1">
      <c r="A35" s="64"/>
      <c r="AC35" s="237" t="s" ph="1">
        <v>631</v>
      </c>
      <c r="AD35" s="237"/>
      <c r="AE35" s="237"/>
      <c r="AH35" s="64" ph="1">
        <v>21</v>
      </c>
      <c r="AI35" s="64" t="s" ph="1">
        <v>360</v>
      </c>
      <c r="AZ35" s="64" t="s" ph="1">
        <v>216</v>
      </c>
      <c r="BA35" s="64" ph="1">
        <v>0</v>
      </c>
      <c r="BD35" s="64" t="s" ph="1">
        <v>361</v>
      </c>
      <c r="BE35" s="64" ph="1">
        <v>2030</v>
      </c>
    </row>
    <row r="36" spans="1:57" ht="28.2" ph="1">
      <c r="A36" s="64"/>
      <c r="B36" s="103" t="s" ph="1">
        <v>182</v>
      </c>
      <c r="I36" s="223" t="s" ph="1">
        <v>183</v>
      </c>
      <c r="J36" s="223" ph="1"/>
      <c r="K36" s="101" ph="1"/>
      <c r="P36" s="101" ph="1"/>
      <c r="R36" s="223" t="s" ph="1">
        <v>184</v>
      </c>
      <c r="S36" s="223" ph="1"/>
      <c r="Y36" s="102" ph="1"/>
      <c r="Z36" s="148" t="s" ph="1">
        <v>185</v>
      </c>
      <c r="AA36" s="148" ph="1"/>
      <c r="AB36" s="224" t="s" ph="1">
        <v>640</v>
      </c>
      <c r="AC36" s="224" ph="1"/>
      <c r="AD36" s="224" ph="1"/>
      <c r="AE36" s="224" ph="1"/>
      <c r="BA36" s="64" ph="1">
        <v>2270</v>
      </c>
    </row>
    <row r="37" spans="1:57" s="148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48" t="s" ph="1">
        <v>342</v>
      </c>
      <c r="AI37" s="148" t="s" ph="1">
        <v>209</v>
      </c>
      <c r="AJ37" s="148" t="s" ph="1">
        <v>210</v>
      </c>
      <c r="AK37" s="148" t="s" ph="1">
        <v>211</v>
      </c>
      <c r="AM37" s="148" t="s" ph="1">
        <v>210</v>
      </c>
      <c r="AN37" s="148" t="s" ph="1">
        <v>211</v>
      </c>
      <c r="AO37" s="148" t="s" ph="1">
        <v>212</v>
      </c>
      <c r="AP37" s="148" t="s" ph="1">
        <v>210</v>
      </c>
      <c r="AQ37" s="148" t="s" ph="1">
        <v>211</v>
      </c>
      <c r="AR37" s="148" t="s" ph="1">
        <v>212</v>
      </c>
      <c r="AS37" s="148" t="s" ph="1">
        <v>210</v>
      </c>
      <c r="AT37" s="148" t="s" ph="1">
        <v>211</v>
      </c>
      <c r="AU37" s="148" t="s" ph="1">
        <v>212</v>
      </c>
      <c r="AV37" s="148" t="s" ph="1">
        <v>210</v>
      </c>
      <c r="AW37" s="148" t="s" ph="1">
        <v>211</v>
      </c>
      <c r="AX37" s="148" t="s" ph="1">
        <v>212</v>
      </c>
      <c r="AY37" s="148" t="s" ph="1">
        <v>211</v>
      </c>
      <c r="AZ37" s="148" t="s" ph="1">
        <v>213</v>
      </c>
      <c r="BD37" s="148" t="s" ph="1">
        <v>305</v>
      </c>
      <c r="BE37" s="148" ph="1">
        <v>0</v>
      </c>
    </row>
    <row r="38" spans="1:57" ph="1">
      <c r="AE38" s="64" ph="1"/>
      <c r="AH38" s="64" ph="1">
        <v>1</v>
      </c>
      <c r="AI38" s="64" t="s" ph="1">
        <v>362</v>
      </c>
      <c r="AY38" s="64" t="s" ph="1">
        <v>216</v>
      </c>
      <c r="AZ38" s="64" t="s" ph="1">
        <v>367</v>
      </c>
    </row>
    <row r="39" spans="1:57" ph="1">
      <c r="AH39" s="64" ph="1">
        <v>2</v>
      </c>
      <c r="AI39" s="64" t="s" ph="1">
        <v>364</v>
      </c>
      <c r="AJ39" s="64" t="s" ph="1">
        <v>336</v>
      </c>
      <c r="AK39" s="64" t="s" ph="1">
        <v>365</v>
      </c>
      <c r="AM39" s="64" t="s" ph="1">
        <v>570</v>
      </c>
      <c r="AN39" s="64" t="s" ph="1">
        <v>228</v>
      </c>
      <c r="AO39" s="64" t="s" ph="1">
        <v>363</v>
      </c>
      <c r="AY39" s="64" t="s" ph="1">
        <v>216</v>
      </c>
      <c r="AZ39" s="64" t="s" ph="1">
        <v>499</v>
      </c>
    </row>
    <row r="40" spans="1:57" ph="1">
      <c r="AH40" s="64" ph="1">
        <v>3</v>
      </c>
      <c r="AI40" s="64" t="s" ph="1">
        <v>366</v>
      </c>
      <c r="AJ40" s="64" t="s" ph="1">
        <v>570</v>
      </c>
      <c r="AK40" s="64" t="s" ph="1">
        <v>571</v>
      </c>
      <c r="AY40" s="64" t="s" ph="1">
        <v>216</v>
      </c>
      <c r="AZ40" s="64" t="s" ph="1">
        <v>571</v>
      </c>
    </row>
    <row r="41" spans="1:57" ph="1">
      <c r="AH41" s="64" ph="1">
        <v>4</v>
      </c>
      <c r="AI41" s="64" t="s" ph="1">
        <v>368</v>
      </c>
      <c r="AJ41" s="64" t="s" ph="1">
        <v>572</v>
      </c>
      <c r="AK41" s="64" t="s" ph="1">
        <v>573</v>
      </c>
      <c r="AM41" s="64" t="s" ph="1">
        <v>574</v>
      </c>
      <c r="AY41" s="64" t="s" ph="1">
        <v>216</v>
      </c>
      <c r="AZ41" s="64" t="s" ph="1">
        <v>573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369</v>
      </c>
      <c r="AY42" s="64" t="s" ph="1">
        <v>216</v>
      </c>
      <c r="AZ42" s="64" t="s" ph="1">
        <v>367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370</v>
      </c>
      <c r="AY43" s="64" t="s" ph="1">
        <v>216</v>
      </c>
      <c r="AZ43" s="64" t="s" ph="1">
        <v>367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371</v>
      </c>
      <c r="AV44" s="64" t="s" ph="1">
        <v>217</v>
      </c>
      <c r="AY44" s="64" t="s" ph="1">
        <v>216</v>
      </c>
      <c r="AZ44" s="64" t="s" ph="1">
        <v>367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372</v>
      </c>
      <c r="AV45" s="64" t="s" ph="1">
        <v>217</v>
      </c>
      <c r="AY45" s="64" t="s" ph="1">
        <v>216</v>
      </c>
      <c r="AZ45" s="64" t="s" ph="1">
        <v>367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373</v>
      </c>
      <c r="AV46" s="64" t="s" ph="1">
        <v>217</v>
      </c>
      <c r="AY46" s="64" t="s" ph="1">
        <v>216</v>
      </c>
      <c r="AZ46" s="64" t="s" ph="1">
        <v>367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374</v>
      </c>
      <c r="AV47" s="64" t="s" ph="1">
        <v>217</v>
      </c>
      <c r="AY47" s="64" t="s" ph="1">
        <v>216</v>
      </c>
      <c r="AZ47" s="64" t="s" ph="1">
        <v>367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575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232</v>
      </c>
      <c r="AI49" s="64" t="s" ph="1">
        <v>209</v>
      </c>
      <c r="AJ49" s="64" t="s" ph="1">
        <v>210</v>
      </c>
      <c r="AK49" s="64" t="s" ph="1">
        <v>211</v>
      </c>
      <c r="AM49" s="64" t="s" ph="1">
        <v>210</v>
      </c>
      <c r="AN49" s="64" t="s" ph="1">
        <v>211</v>
      </c>
      <c r="AO49" s="64" t="s" ph="1">
        <v>212</v>
      </c>
      <c r="AP49" s="64" t="s" ph="1">
        <v>210</v>
      </c>
      <c r="AQ49" s="64" t="s" ph="1">
        <v>211</v>
      </c>
      <c r="AR49" s="64" t="s" ph="1">
        <v>212</v>
      </c>
      <c r="AS49" s="64" t="s" ph="1">
        <v>210</v>
      </c>
      <c r="AT49" s="64" t="s" ph="1">
        <v>211</v>
      </c>
      <c r="AU49" s="64" t="s" ph="1">
        <v>212</v>
      </c>
      <c r="AV49" s="64" t="s" ph="1">
        <v>210</v>
      </c>
      <c r="AW49" s="64" t="s" ph="1">
        <v>211</v>
      </c>
      <c r="AX49" s="64" t="s" ph="1">
        <v>212</v>
      </c>
      <c r="AY49" s="64" t="s" ph="1">
        <v>211</v>
      </c>
      <c r="AZ49" s="64" t="s" ph="1">
        <v>213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375</v>
      </c>
      <c r="AY50" s="64" t="s" ph="1">
        <v>216</v>
      </c>
      <c r="AZ50" s="64" t="s" ph="1">
        <v>367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376</v>
      </c>
      <c r="AY51" s="64" t="s" ph="1">
        <v>216</v>
      </c>
      <c r="AZ51" s="64" t="s" ph="1">
        <v>367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377</v>
      </c>
      <c r="AJ52" s="64" t="s" ph="1">
        <v>334</v>
      </c>
      <c r="AK52" s="64" t="s" ph="1">
        <v>228</v>
      </c>
      <c r="AM52" s="64" t="s" ph="1">
        <v>336</v>
      </c>
      <c r="AN52" s="64" t="s" ph="1">
        <v>300</v>
      </c>
      <c r="AO52" s="64" t="s" ph="1">
        <v>233</v>
      </c>
      <c r="AP52" s="64" t="s" ph="1">
        <v>570</v>
      </c>
      <c r="AQ52" s="64" t="s" ph="1">
        <v>282</v>
      </c>
      <c r="AR52" s="64" t="s" ph="1">
        <v>233</v>
      </c>
      <c r="AY52" s="64" t="s" ph="1">
        <v>216</v>
      </c>
      <c r="AZ52" s="64" t="s" ph="1">
        <v>576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378</v>
      </c>
      <c r="AY53" s="64" t="s" ph="1">
        <v>216</v>
      </c>
      <c r="AZ53" s="64" t="s" ph="1">
        <v>367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379</v>
      </c>
      <c r="AJ54" s="64" t="s" ph="1">
        <v>334</v>
      </c>
      <c r="AK54" s="64" t="s" ph="1">
        <v>219</v>
      </c>
      <c r="AM54" s="64" t="s" ph="1">
        <v>336</v>
      </c>
      <c r="AN54" s="64" t="s" ph="1">
        <v>224</v>
      </c>
      <c r="AO54" s="64" t="s" ph="1">
        <v>233</v>
      </c>
      <c r="AP54" s="64" t="s" ph="1">
        <v>570</v>
      </c>
      <c r="AQ54" s="64" t="s" ph="1">
        <v>240</v>
      </c>
      <c r="AR54" s="64" t="s" ph="1">
        <v>233</v>
      </c>
      <c r="AY54" s="64" t="s" ph="1">
        <v>216</v>
      </c>
      <c r="AZ54" s="64" t="s" ph="1">
        <v>234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380</v>
      </c>
      <c r="AY55" s="64" t="s" ph="1">
        <v>216</v>
      </c>
      <c r="AZ55" s="64" t="s" ph="1">
        <v>367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381</v>
      </c>
      <c r="AY56" s="64" t="s" ph="1">
        <v>216</v>
      </c>
      <c r="AZ56" s="64" t="s" ph="1">
        <v>367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382</v>
      </c>
      <c r="AY57" s="64" t="s" ph="1">
        <v>216</v>
      </c>
      <c r="AZ57" s="64" t="s" ph="1">
        <v>367</v>
      </c>
    </row>
    <row r="58" spans="16:52" ph="1">
      <c r="P58" s="64"/>
      <c r="AN58" s="64" t="s" ph="1">
        <v>217</v>
      </c>
      <c r="AZ58" s="64" t="s" ph="1">
        <v>577</v>
      </c>
    </row>
    <row r="59" spans="16:52" ph="1">
      <c r="V59" s="64"/>
      <c r="AG59" s="64" t="s" ph="1">
        <v>235</v>
      </c>
      <c r="AI59" s="64" t="s" ph="1">
        <v>209</v>
      </c>
      <c r="AJ59" s="64" t="s" ph="1">
        <v>210</v>
      </c>
      <c r="AK59" s="64" t="s" ph="1">
        <v>211</v>
      </c>
      <c r="AM59" s="64" t="s" ph="1">
        <v>210</v>
      </c>
      <c r="AN59" s="64" t="s" ph="1">
        <v>211</v>
      </c>
      <c r="AO59" s="64" t="s" ph="1">
        <v>212</v>
      </c>
      <c r="AP59" s="64" t="s" ph="1">
        <v>210</v>
      </c>
      <c r="AQ59" s="64" t="s" ph="1">
        <v>211</v>
      </c>
      <c r="AR59" s="64" t="s" ph="1">
        <v>212</v>
      </c>
      <c r="AS59" s="64" t="s" ph="1">
        <v>210</v>
      </c>
      <c r="AT59" s="64" t="s" ph="1">
        <v>211</v>
      </c>
      <c r="AU59" s="64" t="s" ph="1">
        <v>212</v>
      </c>
      <c r="AV59" s="64" t="s" ph="1">
        <v>210</v>
      </c>
      <c r="AW59" s="64" t="s" ph="1">
        <v>211</v>
      </c>
      <c r="AX59" s="64" t="s" ph="1">
        <v>212</v>
      </c>
      <c r="AY59" s="64" t="s" ph="1">
        <v>211</v>
      </c>
      <c r="AZ59" s="64" t="s" ph="1">
        <v>213</v>
      </c>
    </row>
    <row r="60" spans="16:52" ph="1">
      <c r="R60" s="64"/>
      <c r="S60" s="64"/>
      <c r="T60" s="64"/>
      <c r="AH60" s="64" ph="1">
        <v>1</v>
      </c>
      <c r="AI60" s="64" t="s" ph="1">
        <v>383</v>
      </c>
      <c r="AY60" s="64" t="s" ph="1">
        <v>216</v>
      </c>
      <c r="AZ60" s="64" t="s" ph="1">
        <v>367</v>
      </c>
    </row>
    <row r="61" spans="16:52" ph="1">
      <c r="AH61" s="64" ph="1">
        <v>2</v>
      </c>
      <c r="AI61" s="64" t="s" ph="1">
        <v>384</v>
      </c>
      <c r="AS61" s="64" t="s" ph="1">
        <v>217</v>
      </c>
      <c r="AY61" s="64" t="s" ph="1">
        <v>216</v>
      </c>
      <c r="AZ61" s="64" t="s" ph="1">
        <v>367</v>
      </c>
    </row>
    <row r="62" spans="16:52" ph="1">
      <c r="AZ62" s="64" t="s" ph="1">
        <v>385</v>
      </c>
    </row>
    <row r="63" spans="16:52" ph="1">
      <c r="AG63" s="64" t="s" ph="1">
        <v>238</v>
      </c>
      <c r="AI63" s="64" t="s" ph="1">
        <v>209</v>
      </c>
      <c r="AJ63" s="64" t="s" ph="1">
        <v>210</v>
      </c>
      <c r="AK63" s="64" t="s" ph="1">
        <v>211</v>
      </c>
      <c r="AM63" s="64" t="s" ph="1">
        <v>210</v>
      </c>
      <c r="AN63" s="64" t="s" ph="1">
        <v>211</v>
      </c>
      <c r="AO63" s="64" t="s" ph="1">
        <v>212</v>
      </c>
      <c r="AP63" s="64" t="s" ph="1">
        <v>210</v>
      </c>
      <c r="AQ63" s="64" t="s" ph="1">
        <v>211</v>
      </c>
      <c r="AR63" s="64" t="s" ph="1">
        <v>212</v>
      </c>
      <c r="AS63" s="64" t="s" ph="1">
        <v>210</v>
      </c>
      <c r="AT63" s="64" t="s" ph="1">
        <v>211</v>
      </c>
      <c r="AU63" s="64" t="s" ph="1">
        <v>212</v>
      </c>
      <c r="AV63" s="64" t="s" ph="1">
        <v>210</v>
      </c>
      <c r="AW63" s="64" t="s" ph="1">
        <v>211</v>
      </c>
      <c r="AX63" s="64" t="s" ph="1">
        <v>212</v>
      </c>
      <c r="AY63" s="64" t="s" ph="1">
        <v>211</v>
      </c>
      <c r="AZ63" s="64" t="s" ph="1">
        <v>213</v>
      </c>
    </row>
    <row r="64" spans="16:52" ph="1">
      <c r="AH64" s="64" ph="1">
        <v>1</v>
      </c>
      <c r="AI64" s="64" t="s" ph="1">
        <v>386</v>
      </c>
      <c r="AJ64" s="64" t="s" ph="1">
        <v>387</v>
      </c>
      <c r="AK64" s="64" t="s" ph="1">
        <v>388</v>
      </c>
      <c r="AY64" s="64" t="s" ph="1">
        <v>216</v>
      </c>
      <c r="AZ64" s="64" t="s" ph="1">
        <v>388</v>
      </c>
    </row>
    <row r="65" spans="33:52" ph="1">
      <c r="AH65" s="64" ph="1">
        <v>2</v>
      </c>
      <c r="AI65" s="64" t="s" ph="1">
        <v>389</v>
      </c>
      <c r="AY65" s="64" t="s" ph="1">
        <v>216</v>
      </c>
      <c r="AZ65" s="64" t="s" ph="1">
        <v>367</v>
      </c>
    </row>
    <row r="66" spans="33:52" ph="1">
      <c r="AH66" s="64" ph="1">
        <v>3</v>
      </c>
      <c r="AI66" s="64" t="s" ph="1">
        <v>390</v>
      </c>
      <c r="AY66" s="64" t="s" ph="1">
        <v>216</v>
      </c>
      <c r="AZ66" s="64" t="s" ph="1">
        <v>367</v>
      </c>
    </row>
    <row r="67" spans="33:52" ph="1">
      <c r="AH67" s="64" ph="1">
        <v>4</v>
      </c>
      <c r="AI67" s="64" t="s" ph="1">
        <v>391</v>
      </c>
      <c r="AY67" s="64" t="s" ph="1">
        <v>216</v>
      </c>
      <c r="AZ67" s="64" t="s" ph="1">
        <v>367</v>
      </c>
    </row>
    <row r="68" spans="33:52" ph="1">
      <c r="AH68" s="64" ph="1">
        <v>5</v>
      </c>
      <c r="AI68" s="64" t="s" ph="1">
        <v>392</v>
      </c>
      <c r="AY68" s="64" t="s" ph="1">
        <v>216</v>
      </c>
      <c r="AZ68" s="64" t="s" ph="1">
        <v>367</v>
      </c>
    </row>
    <row r="69" spans="33:52" ph="1">
      <c r="AH69" s="64" ph="1">
        <v>6</v>
      </c>
      <c r="AI69" s="64" t="s" ph="1">
        <v>393</v>
      </c>
      <c r="AY69" s="64" t="s" ph="1">
        <v>216</v>
      </c>
      <c r="AZ69" s="64" t="s" ph="1">
        <v>367</v>
      </c>
    </row>
    <row r="70" spans="33:52" ph="1">
      <c r="AI70" s="64" t="s" ph="1">
        <v>394</v>
      </c>
      <c r="AY70" s="64" t="s" ph="1">
        <v>216</v>
      </c>
      <c r="AZ70" s="64" t="s" ph="1">
        <v>367</v>
      </c>
    </row>
    <row r="71" spans="33:52" ph="1">
      <c r="AH71" s="64" ph="1">
        <v>7</v>
      </c>
      <c r="AI71" s="64" t="s" ph="1">
        <v>395</v>
      </c>
      <c r="AJ71" s="64" t="s" ph="1">
        <v>334</v>
      </c>
      <c r="AK71" s="64" t="s" ph="1">
        <v>228</v>
      </c>
      <c r="AM71" s="64" t="s" ph="1">
        <v>336</v>
      </c>
      <c r="AN71" s="64" t="s" ph="1">
        <v>228</v>
      </c>
      <c r="AO71" s="64" t="s" ph="1">
        <v>396</v>
      </c>
      <c r="AP71" s="64" t="s" ph="1">
        <v>570</v>
      </c>
      <c r="AQ71" s="64" t="s" ph="1">
        <v>219</v>
      </c>
      <c r="AR71" s="64" t="s" ph="1">
        <v>396</v>
      </c>
      <c r="AY71" s="64" t="s" ph="1">
        <v>216</v>
      </c>
      <c r="AZ71" s="64" t="s" ph="1">
        <v>578</v>
      </c>
    </row>
    <row r="72" spans="33:52" ph="1">
      <c r="AZ72" s="64" t="s" ph="1">
        <v>579</v>
      </c>
    </row>
    <row r="73" spans="33:52" ph="1">
      <c r="AG73" s="64" t="s" ph="1">
        <v>241</v>
      </c>
      <c r="AI73" s="64" t="s" ph="1">
        <v>209</v>
      </c>
      <c r="AJ73" s="64" t="s" ph="1">
        <v>210</v>
      </c>
      <c r="AK73" s="64" t="s" ph="1">
        <v>211</v>
      </c>
      <c r="AM73" s="64" t="s" ph="1">
        <v>210</v>
      </c>
      <c r="AN73" s="64" t="s" ph="1">
        <v>211</v>
      </c>
      <c r="AO73" s="64" t="s" ph="1">
        <v>212</v>
      </c>
      <c r="AP73" s="64" t="s" ph="1">
        <v>210</v>
      </c>
      <c r="AQ73" s="64" t="s" ph="1">
        <v>211</v>
      </c>
      <c r="AR73" s="64" t="s" ph="1">
        <v>212</v>
      </c>
      <c r="AS73" s="64" t="s" ph="1">
        <v>210</v>
      </c>
      <c r="AT73" s="64" t="s" ph="1">
        <v>211</v>
      </c>
      <c r="AU73" s="64" t="s" ph="1">
        <v>212</v>
      </c>
      <c r="AV73" s="64" t="s" ph="1">
        <v>210</v>
      </c>
      <c r="AW73" s="64" t="s" ph="1">
        <v>211</v>
      </c>
      <c r="AX73" s="64" t="s" ph="1">
        <v>212</v>
      </c>
      <c r="AY73" s="64" t="s" ph="1">
        <v>211</v>
      </c>
      <c r="AZ73" s="64" t="s" ph="1">
        <v>213</v>
      </c>
    </row>
    <row r="74" spans="33:52" ph="1">
      <c r="AH74" s="64" ph="1">
        <v>1</v>
      </c>
      <c r="AI74" s="64" t="s" ph="1">
        <v>397</v>
      </c>
      <c r="AJ74" s="64" t="s" ph="1">
        <v>242</v>
      </c>
      <c r="AK74" s="64" t="s" ph="1">
        <v>224</v>
      </c>
      <c r="AM74" s="64" t="s" ph="1">
        <v>244</v>
      </c>
      <c r="AN74" s="64" t="s" ph="1">
        <v>254</v>
      </c>
      <c r="AO74" s="64" t="s" ph="1">
        <v>243</v>
      </c>
      <c r="AP74" s="64" t="s" ph="1">
        <v>245</v>
      </c>
      <c r="AQ74" s="64" t="s" ph="1">
        <v>222</v>
      </c>
      <c r="AR74" s="64" t="s" ph="1">
        <v>243</v>
      </c>
      <c r="AS74" s="64" t="s" ph="1">
        <v>215</v>
      </c>
      <c r="AT74" s="64" t="s" ph="1">
        <v>217</v>
      </c>
      <c r="AV74" s="64" t="s" ph="1">
        <v>398</v>
      </c>
      <c r="AW74" s="64" t="s" ph="1">
        <v>399</v>
      </c>
      <c r="AX74" s="64" t="s" ph="1">
        <v>400</v>
      </c>
      <c r="AY74" s="64" t="s" ph="1">
        <v>216</v>
      </c>
      <c r="AZ74" s="64" t="s" ph="1">
        <v>401</v>
      </c>
    </row>
    <row r="75" spans="33:52" ph="1">
      <c r="AJ75" s="64" t="s" ph="1">
        <v>247</v>
      </c>
      <c r="AK75" s="64" t="s" ph="1">
        <v>300</v>
      </c>
      <c r="AM75" s="64" t="s" ph="1">
        <v>245</v>
      </c>
      <c r="AN75" s="64" t="s" ph="1">
        <v>225</v>
      </c>
      <c r="AO75" s="64" t="s" ph="1">
        <v>243</v>
      </c>
      <c r="AS75" s="64" t="s" ph="1">
        <v>215</v>
      </c>
      <c r="AT75" s="64" t="s" ph="1">
        <v>246</v>
      </c>
    </row>
    <row r="76" spans="33:52" ph="1">
      <c r="AJ76" s="64" t="s" ph="1">
        <v>247</v>
      </c>
      <c r="AK76" s="64" t="s" ph="1">
        <v>240</v>
      </c>
      <c r="AM76" s="64" t="s" ph="1">
        <v>245</v>
      </c>
      <c r="AN76" s="64" t="s" ph="1">
        <v>228</v>
      </c>
      <c r="AO76" s="64" t="s" ph="1">
        <v>243</v>
      </c>
      <c r="AS76" s="64" t="s" ph="1">
        <v>215</v>
      </c>
      <c r="AT76" s="64" t="s" ph="1">
        <v>246</v>
      </c>
    </row>
    <row r="77" spans="33:52" ph="1">
      <c r="AJ77" s="64" t="s" ph="1">
        <v>283</v>
      </c>
      <c r="AK77" s="64" t="s" ph="1">
        <v>240</v>
      </c>
      <c r="AM77" s="64" t="s" ph="1">
        <v>284</v>
      </c>
      <c r="AN77" s="64" t="s" ph="1">
        <v>223</v>
      </c>
      <c r="AO77" s="64" t="s" ph="1">
        <v>243</v>
      </c>
      <c r="AS77" s="64" t="s" ph="1">
        <v>215</v>
      </c>
      <c r="AT77" s="64" t="s" ph="1">
        <v>285</v>
      </c>
    </row>
    <row r="78" spans="33:52" ph="1">
      <c r="AH78" s="64" ph="1">
        <v>2</v>
      </c>
      <c r="AI78" s="64" t="s" ph="1">
        <v>249</v>
      </c>
      <c r="AJ78" s="64" t="s" ph="1">
        <v>250</v>
      </c>
      <c r="AK78" s="64" t="s" ph="1">
        <v>219</v>
      </c>
      <c r="AM78" s="64" t="s" ph="1">
        <v>251</v>
      </c>
      <c r="AN78" s="64" t="s" ph="1">
        <v>254</v>
      </c>
      <c r="AO78" s="64" t="s" ph="1">
        <v>243</v>
      </c>
      <c r="AP78" s="64" t="s" ph="1">
        <v>252</v>
      </c>
      <c r="AQ78" s="64" t="s" ph="1">
        <v>298</v>
      </c>
      <c r="AR78" s="64" t="s" ph="1">
        <v>243</v>
      </c>
      <c r="AS78" s="64" t="s" ph="1">
        <v>253</v>
      </c>
      <c r="AT78" s="64" t="s" ph="1">
        <v>254</v>
      </c>
      <c r="AU78" s="64" t="s" ph="1">
        <v>243</v>
      </c>
      <c r="AV78" s="64" t="s" ph="1">
        <v>255</v>
      </c>
      <c r="AW78" s="64" t="s" ph="1">
        <v>243</v>
      </c>
      <c r="AY78" s="64" t="s" ph="1">
        <v>216</v>
      </c>
      <c r="AZ78" s="64" t="s" ph="1">
        <v>402</v>
      </c>
    </row>
    <row r="79" spans="33:52" ph="1">
      <c r="AJ79" s="64" t="s" ph="1">
        <v>245</v>
      </c>
      <c r="AK79" s="64" t="s" ph="1">
        <v>256</v>
      </c>
      <c r="AM79" s="64" t="s" ph="1">
        <v>257</v>
      </c>
      <c r="AN79" s="64" t="s" ph="1">
        <v>225</v>
      </c>
      <c r="AO79" s="64" t="s" ph="1">
        <v>243</v>
      </c>
      <c r="AP79" s="64" t="s" ph="1">
        <v>258</v>
      </c>
      <c r="AQ79" s="64" t="s" ph="1">
        <v>223</v>
      </c>
      <c r="AR79" s="64" t="s" ph="1">
        <v>259</v>
      </c>
      <c r="AS79" s="64" t="s" ph="1">
        <v>215</v>
      </c>
      <c r="AT79" s="64" t="s" ph="1">
        <v>260</v>
      </c>
      <c r="AV79" s="64" t="s" ph="1">
        <v>403</v>
      </c>
      <c r="AW79" s="64" t="s" ph="1">
        <v>302</v>
      </c>
      <c r="AX79" s="64" t="s" ph="1">
        <v>400</v>
      </c>
    </row>
    <row r="80" spans="33:52" ph="1">
      <c r="AH80" s="64" ph="1">
        <v>3</v>
      </c>
      <c r="AI80" s="64" t="s" ph="1">
        <v>261</v>
      </c>
      <c r="AJ80" s="64" t="s" ph="1">
        <v>262</v>
      </c>
      <c r="AK80" s="64" t="s" ph="1">
        <v>263</v>
      </c>
      <c r="AM80" s="64" t="s" ph="1">
        <v>264</v>
      </c>
      <c r="AN80" s="64" t="s" ph="1">
        <v>254</v>
      </c>
      <c r="AO80" s="64" t="s" ph="1">
        <v>243</v>
      </c>
      <c r="AP80" s="64" t="s" ph="1">
        <v>265</v>
      </c>
      <c r="AQ80" s="64" t="s" ph="1">
        <v>228</v>
      </c>
      <c r="AR80" s="64" t="s" ph="1">
        <v>243</v>
      </c>
      <c r="AS80" s="64" t="s" ph="1">
        <v>266</v>
      </c>
      <c r="AT80" s="64" t="s" ph="1">
        <v>227</v>
      </c>
      <c r="AU80" s="64" t="s" ph="1">
        <v>243</v>
      </c>
      <c r="AV80" s="64" t="s" ph="1">
        <v>267</v>
      </c>
      <c r="AW80" s="64" t="s" ph="1">
        <v>243</v>
      </c>
      <c r="AY80" s="64" t="s" ph="1">
        <v>216</v>
      </c>
      <c r="AZ80" s="64" t="s" ph="1">
        <v>404</v>
      </c>
    </row>
    <row r="81" spans="34:52" ph="1">
      <c r="AJ81" s="64" t="s" ph="1">
        <v>268</v>
      </c>
      <c r="AK81" s="64" t="s" ph="1">
        <v>222</v>
      </c>
      <c r="AM81" s="64" t="s" ph="1">
        <v>269</v>
      </c>
      <c r="AN81" s="64" t="s" ph="1">
        <v>225</v>
      </c>
      <c r="AO81" s="64" t="s" ph="1">
        <v>243</v>
      </c>
      <c r="AP81" s="64" t="s" ph="1">
        <v>270</v>
      </c>
      <c r="AQ81" s="64" t="s" ph="1">
        <v>254</v>
      </c>
      <c r="AR81" s="64" t="s" ph="1">
        <v>243</v>
      </c>
      <c r="AS81" s="64" t="s" ph="1">
        <v>271</v>
      </c>
      <c r="AT81" s="64" t="s" ph="1">
        <v>272</v>
      </c>
      <c r="AU81" s="64" t="s" ph="1">
        <v>243</v>
      </c>
      <c r="AV81" s="64" t="s" ph="1">
        <v>273</v>
      </c>
    </row>
    <row r="82" spans="34:52" ph="1">
      <c r="AJ82" s="64" t="s" ph="1">
        <v>274</v>
      </c>
      <c r="AK82" s="64" t="s" ph="1">
        <v>222</v>
      </c>
      <c r="AM82" s="64" t="s" ph="1">
        <v>275</v>
      </c>
      <c r="AN82" s="64" t="s" ph="1">
        <v>272</v>
      </c>
      <c r="AO82" s="64" t="s" ph="1">
        <v>276</v>
      </c>
      <c r="AP82" s="64" t="s" ph="1">
        <v>277</v>
      </c>
      <c r="AQ82" s="64" t="s" ph="1">
        <v>254</v>
      </c>
      <c r="AR82" s="64" t="s" ph="1">
        <v>243</v>
      </c>
      <c r="AS82" s="64" t="s" ph="1">
        <v>278</v>
      </c>
      <c r="AT82" s="64" t="s" ph="1">
        <v>229</v>
      </c>
      <c r="AU82" s="64" t="s" ph="1">
        <v>243</v>
      </c>
      <c r="AV82" s="64" t="s" ph="1">
        <v>403</v>
      </c>
      <c r="AW82" s="64" t="s" ph="1">
        <v>303</v>
      </c>
      <c r="AX82" s="64" t="s" ph="1">
        <v>400</v>
      </c>
    </row>
    <row r="83" spans="34:52" ph="1">
      <c r="AJ83" s="64" t="s" ph="1">
        <v>279</v>
      </c>
      <c r="AK83" s="64" t="s" ph="1">
        <v>296</v>
      </c>
      <c r="AM83" s="64" t="s" ph="1">
        <v>280</v>
      </c>
      <c r="AN83" s="64" t="s" ph="1">
        <v>228</v>
      </c>
      <c r="AO83" s="64" t="s" ph="1">
        <v>259</v>
      </c>
      <c r="AP83" s="64" t="s" ph="1">
        <v>281</v>
      </c>
      <c r="AQ83" s="64" t="s" ph="1">
        <v>282</v>
      </c>
      <c r="AR83" s="64" t="s" ph="1">
        <v>259</v>
      </c>
      <c r="AS83" s="64" t="s" ph="1">
        <v>405</v>
      </c>
      <c r="AT83" s="64" t="s" ph="1">
        <v>254</v>
      </c>
      <c r="AU83" s="64" t="s" ph="1">
        <v>259</v>
      </c>
      <c r="AV83" s="64" t="s" ph="1">
        <v>406</v>
      </c>
      <c r="AW83" s="64" t="s" ph="1">
        <v>303</v>
      </c>
      <c r="AX83" s="64" t="s" ph="1">
        <v>407</v>
      </c>
    </row>
    <row r="84" spans="34:52" ph="1">
      <c r="AH84" s="64" ph="1">
        <v>4</v>
      </c>
      <c r="AI84" s="64" t="s" ph="1">
        <v>286</v>
      </c>
      <c r="AJ84" s="64" t="s" ph="1">
        <v>226</v>
      </c>
      <c r="AK84" s="64" t="s" ph="1">
        <v>229</v>
      </c>
      <c r="AM84" s="64" t="s" ph="1">
        <v>230</v>
      </c>
      <c r="AN84" s="64" t="s" ph="1">
        <v>223</v>
      </c>
      <c r="AO84" s="64" t="s" ph="1">
        <v>259</v>
      </c>
      <c r="AP84" s="64" t="s" ph="1">
        <v>288</v>
      </c>
      <c r="AQ84" s="64" t="s" ph="1">
        <v>222</v>
      </c>
      <c r="AR84" s="64" t="s" ph="1">
        <v>259</v>
      </c>
      <c r="AS84" s="64" t="s" ph="1">
        <v>288</v>
      </c>
      <c r="AT84" s="64" t="s" ph="1">
        <v>224</v>
      </c>
      <c r="AU84" s="64" t="s" ph="1">
        <v>259</v>
      </c>
      <c r="AY84" s="64" t="s" ph="1">
        <v>216</v>
      </c>
      <c r="AZ84" s="64" t="s" ph="1">
        <v>408</v>
      </c>
    </row>
    <row r="85" spans="34:52" ph="1">
      <c r="AJ85" s="64" t="s" ph="1">
        <v>218</v>
      </c>
      <c r="AK85" s="64" t="s" ph="1">
        <v>222</v>
      </c>
      <c r="AM85" s="64" t="s" ph="1">
        <v>409</v>
      </c>
      <c r="AN85" s="64" t="s" ph="1">
        <v>229</v>
      </c>
      <c r="AO85" s="64" t="s" ph="1">
        <v>259</v>
      </c>
      <c r="AP85" s="64" t="s" ph="1">
        <v>410</v>
      </c>
      <c r="AQ85" s="64" t="s" ph="1">
        <v>225</v>
      </c>
      <c r="AR85" s="64" t="s" ph="1">
        <v>259</v>
      </c>
      <c r="AS85" s="64" t="s" ph="1">
        <v>411</v>
      </c>
      <c r="AT85" s="64" t="s" ph="1">
        <v>225</v>
      </c>
      <c r="AU85" s="64" t="s" ph="1">
        <v>259</v>
      </c>
    </row>
    <row r="86" spans="34:52" ph="1">
      <c r="AJ86" s="64" t="s" ph="1">
        <v>412</v>
      </c>
      <c r="AK86" s="64" t="s" ph="1">
        <v>231</v>
      </c>
      <c r="AM86" s="64" t="s" ph="1">
        <v>413</v>
      </c>
      <c r="AN86" s="64" t="s" ph="1">
        <v>272</v>
      </c>
      <c r="AO86" s="64" t="s" ph="1">
        <v>259</v>
      </c>
      <c r="AP86" s="64" t="s" ph="1">
        <v>414</v>
      </c>
      <c r="AQ86" s="64" t="s" ph="1">
        <v>219</v>
      </c>
      <c r="AR86" s="64" t="s" ph="1">
        <v>259</v>
      </c>
      <c r="AS86" s="64" t="s" ph="1">
        <v>415</v>
      </c>
      <c r="AT86" s="64" t="s" ph="1">
        <v>237</v>
      </c>
      <c r="AU86" s="64" t="s" ph="1">
        <v>259</v>
      </c>
    </row>
    <row r="87" spans="34:52" ph="1">
      <c r="AJ87" s="64" t="s" ph="1">
        <v>416</v>
      </c>
      <c r="AK87" s="64" t="s" ph="1">
        <v>272</v>
      </c>
      <c r="AM87" s="64" t="s" ph="1">
        <v>403</v>
      </c>
      <c r="AN87" s="64" t="s" ph="1">
        <v>417</v>
      </c>
      <c r="AO87" s="64" t="s" ph="1">
        <v>400</v>
      </c>
    </row>
    <row r="88" spans="34:52" ph="1">
      <c r="AH88" s="64" ph="1">
        <v>5</v>
      </c>
      <c r="AI88" s="64" t="s" ph="1">
        <v>289</v>
      </c>
      <c r="AJ88" s="64" t="s" ph="1">
        <v>418</v>
      </c>
      <c r="AK88" s="64" t="s" ph="1">
        <v>272</v>
      </c>
      <c r="AM88" s="64" t="s" ph="1">
        <v>419</v>
      </c>
      <c r="AN88" s="64" t="s" ph="1">
        <v>272</v>
      </c>
      <c r="AO88" s="64" t="s" ph="1">
        <v>259</v>
      </c>
      <c r="AP88" s="64" t="s" ph="1">
        <v>420</v>
      </c>
      <c r="AQ88" s="64" t="s" ph="1">
        <v>222</v>
      </c>
      <c r="AR88" s="64" t="s" ph="1">
        <v>259</v>
      </c>
      <c r="AS88" s="64" t="s" ph="1">
        <v>421</v>
      </c>
      <c r="AT88" s="64" t="s" ph="1">
        <v>272</v>
      </c>
      <c r="AU88" s="64" t="s" ph="1">
        <v>259</v>
      </c>
      <c r="AV88" s="64" t="s" ph="1">
        <v>422</v>
      </c>
      <c r="AW88" s="64" t="s" ph="1">
        <v>227</v>
      </c>
      <c r="AX88" s="64" t="s" ph="1">
        <v>259</v>
      </c>
      <c r="AY88" s="64" t="s" ph="1">
        <v>216</v>
      </c>
      <c r="AZ88" s="64" t="s" ph="1">
        <v>423</v>
      </c>
    </row>
    <row r="89" spans="34:52" ph="1">
      <c r="AJ89" s="64" t="s" ph="1">
        <v>424</v>
      </c>
      <c r="AK89" s="64" t="s" ph="1">
        <v>225</v>
      </c>
      <c r="AM89" s="64" t="s" ph="1">
        <v>425</v>
      </c>
      <c r="AN89" s="64" t="s" ph="1">
        <v>228</v>
      </c>
      <c r="AO89" s="64" t="s" ph="1">
        <v>259</v>
      </c>
      <c r="AP89" s="64" t="s" ph="1">
        <v>426</v>
      </c>
      <c r="AQ89" s="64" t="s" ph="1">
        <v>237</v>
      </c>
      <c r="AR89" s="64" t="s" ph="1">
        <v>259</v>
      </c>
      <c r="AS89" s="64" t="s" ph="1">
        <v>427</v>
      </c>
      <c r="AT89" s="64" t="s" ph="1">
        <v>272</v>
      </c>
      <c r="AU89" s="64" t="s" ph="1">
        <v>259</v>
      </c>
      <c r="AV89" s="64" t="s" ph="1">
        <v>428</v>
      </c>
      <c r="AW89" s="64" t="s" ph="1">
        <v>254</v>
      </c>
      <c r="AX89" s="64" t="s" ph="1">
        <v>287</v>
      </c>
    </row>
    <row r="90" spans="34:52" ph="1">
      <c r="AJ90" s="64" t="s" ph="1">
        <v>429</v>
      </c>
      <c r="AK90" s="64" t="s" ph="1">
        <v>228</v>
      </c>
      <c r="AM90" s="64" t="s" ph="1">
        <v>430</v>
      </c>
      <c r="AN90" s="64" t="s" ph="1">
        <v>225</v>
      </c>
      <c r="AO90" s="64" t="s" ph="1">
        <v>259</v>
      </c>
      <c r="AP90" s="64" t="s" ph="1">
        <v>431</v>
      </c>
      <c r="AQ90" s="64" t="s" ph="1">
        <v>294</v>
      </c>
      <c r="AR90" s="64" t="s" ph="1">
        <v>259</v>
      </c>
      <c r="AS90" s="64" t="s" ph="1">
        <v>432</v>
      </c>
      <c r="AT90" s="64" t="s" ph="1">
        <v>282</v>
      </c>
      <c r="AU90" s="64" t="s" ph="1">
        <v>259</v>
      </c>
      <c r="AV90" s="64" t="s" ph="1">
        <v>433</v>
      </c>
      <c r="AW90" s="64" t="s" ph="1">
        <v>219</v>
      </c>
      <c r="AX90" s="64" t="s" ph="1">
        <v>259</v>
      </c>
    </row>
    <row r="91" spans="34:52" ph="1">
      <c r="AJ91" s="64" t="s" ph="1">
        <v>434</v>
      </c>
      <c r="AK91" s="64" t="s" ph="1">
        <v>272</v>
      </c>
      <c r="AM91" s="64" t="s" ph="1">
        <v>435</v>
      </c>
      <c r="AN91" s="64" t="s" ph="1">
        <v>239</v>
      </c>
      <c r="AO91" s="64" t="s" ph="1">
        <v>259</v>
      </c>
      <c r="AP91" s="64" t="s" ph="1">
        <v>436</v>
      </c>
      <c r="AQ91" s="64" t="s" ph="1">
        <v>219</v>
      </c>
      <c r="AS91" s="64" t="s" ph="1">
        <v>403</v>
      </c>
      <c r="AT91" s="64" t="s" ph="1">
        <v>399</v>
      </c>
      <c r="AU91" s="64" t="s" ph="1">
        <v>400</v>
      </c>
    </row>
    <row r="92" spans="34:52" ph="1">
      <c r="AH92" s="64" ph="1">
        <v>6</v>
      </c>
      <c r="AI92" s="64" t="s" ph="1">
        <v>437</v>
      </c>
      <c r="AJ92" s="64" t="s" ph="1">
        <v>438</v>
      </c>
      <c r="AK92" s="64" t="s" ph="1">
        <v>367</v>
      </c>
      <c r="AM92" s="64" t="s" ph="1">
        <v>439</v>
      </c>
      <c r="AN92" s="64" t="s" ph="1">
        <v>227</v>
      </c>
      <c r="AO92" s="64" t="s" ph="1">
        <v>259</v>
      </c>
      <c r="AP92" s="64" t="s" ph="1">
        <v>440</v>
      </c>
      <c r="AQ92" s="64" t="s" ph="1">
        <v>299</v>
      </c>
      <c r="AR92" s="64" t="s" ph="1">
        <v>259</v>
      </c>
      <c r="AS92" s="64" t="s" ph="1">
        <v>441</v>
      </c>
      <c r="AT92" s="64" t="s" ph="1">
        <v>272</v>
      </c>
      <c r="AU92" s="64" t="s" ph="1">
        <v>259</v>
      </c>
      <c r="AV92" s="64" t="s" ph="1">
        <v>442</v>
      </c>
      <c r="AW92" s="64" t="s" ph="1">
        <v>228</v>
      </c>
      <c r="AX92" s="64" t="s" ph="1">
        <v>259</v>
      </c>
      <c r="AY92" s="64" t="s" ph="1">
        <v>216</v>
      </c>
      <c r="AZ92" s="64" t="s" ph="1">
        <v>423</v>
      </c>
    </row>
    <row r="93" spans="34:52" ph="1">
      <c r="AJ93" s="64" t="s" ph="1">
        <v>443</v>
      </c>
      <c r="AK93" s="64" t="s" ph="1">
        <v>222</v>
      </c>
      <c r="AM93" s="64" t="s" ph="1">
        <v>444</v>
      </c>
      <c r="AN93" s="64" t="s" ph="1">
        <v>227</v>
      </c>
      <c r="AO93" s="64" t="s" ph="1">
        <v>259</v>
      </c>
      <c r="AP93" s="64" t="s" ph="1">
        <v>445</v>
      </c>
      <c r="AQ93" s="64" t="s" ph="1">
        <v>231</v>
      </c>
      <c r="AR93" s="64" t="s" ph="1">
        <v>259</v>
      </c>
      <c r="AS93" s="64" t="s" ph="1">
        <v>446</v>
      </c>
      <c r="AT93" s="64" t="s" ph="1">
        <v>237</v>
      </c>
      <c r="AU93" s="64" t="s" ph="1">
        <v>259</v>
      </c>
      <c r="AV93" s="64" t="s" ph="1">
        <v>447</v>
      </c>
      <c r="AW93" s="64" t="s" ph="1">
        <v>231</v>
      </c>
      <c r="AX93" s="64" t="s" ph="1">
        <v>259</v>
      </c>
    </row>
    <row r="94" spans="34:52" ph="1">
      <c r="AJ94" s="64" t="s" ph="1">
        <v>448</v>
      </c>
      <c r="AK94" s="64" t="s" ph="1">
        <v>294</v>
      </c>
      <c r="AM94" s="64" t="s" ph="1">
        <v>449</v>
      </c>
      <c r="AN94" s="64" t="s" ph="1">
        <v>231</v>
      </c>
      <c r="AO94" s="64" t="s" ph="1">
        <v>259</v>
      </c>
      <c r="AP94" s="64" t="s" ph="1">
        <v>450</v>
      </c>
      <c r="AQ94" s="64" t="s" ph="1">
        <v>239</v>
      </c>
      <c r="AR94" s="64" t="s" ph="1">
        <v>259</v>
      </c>
      <c r="AS94" s="64" t="s" ph="1">
        <v>451</v>
      </c>
      <c r="AT94" s="64" t="s" ph="1">
        <v>225</v>
      </c>
      <c r="AU94" s="64" t="s" ph="1">
        <v>259</v>
      </c>
      <c r="AV94" s="64" t="s" ph="1">
        <v>452</v>
      </c>
      <c r="AW94" s="64" t="s" ph="1">
        <v>225</v>
      </c>
      <c r="AX94" s="64" t="s" ph="1">
        <v>259</v>
      </c>
    </row>
    <row r="95" spans="34:52" ph="1">
      <c r="AJ95" s="64" t="s" ph="1">
        <v>453</v>
      </c>
      <c r="AK95" s="64" t="s" ph="1">
        <v>299</v>
      </c>
    </row>
    <row r="96" spans="34:52" ph="1">
      <c r="AH96" s="64" ph="1">
        <v>7</v>
      </c>
      <c r="AI96" s="64" t="s" ph="1">
        <v>454</v>
      </c>
      <c r="AJ96" s="64" t="s" ph="1">
        <v>453</v>
      </c>
      <c r="AK96" s="64" t="s" ph="1">
        <v>254</v>
      </c>
      <c r="AM96" s="64" t="s" ph="1">
        <v>455</v>
      </c>
      <c r="AN96" s="64" t="s" ph="1">
        <v>228</v>
      </c>
      <c r="AO96" s="64" t="s" ph="1">
        <v>259</v>
      </c>
      <c r="AP96" s="64" t="s" ph="1">
        <v>456</v>
      </c>
      <c r="AQ96" s="64" t="s" ph="1">
        <v>272</v>
      </c>
      <c r="AR96" s="64" t="s" ph="1">
        <v>287</v>
      </c>
      <c r="AS96" s="64" t="s" ph="1">
        <v>457</v>
      </c>
      <c r="AT96" s="64" t="s" ph="1">
        <v>231</v>
      </c>
      <c r="AU96" s="64" t="s" ph="1">
        <v>287</v>
      </c>
      <c r="AV96" s="64" t="s" ph="1">
        <v>458</v>
      </c>
      <c r="AW96" s="64" t="s" ph="1">
        <v>227</v>
      </c>
      <c r="AX96" s="64" t="s" ph="1">
        <v>287</v>
      </c>
      <c r="AY96" s="64" t="s" ph="1">
        <v>216</v>
      </c>
      <c r="AZ96" s="64" t="s" ph="1">
        <v>459</v>
      </c>
    </row>
    <row r="97" spans="33:52" ph="1">
      <c r="AJ97" s="64" t="s" ph="1">
        <v>460</v>
      </c>
      <c r="AK97" s="64" t="s" ph="1">
        <v>282</v>
      </c>
      <c r="AM97" s="64" t="s" ph="1">
        <v>461</v>
      </c>
      <c r="AN97" s="64" t="s" ph="1">
        <v>225</v>
      </c>
      <c r="AO97" s="64" t="s" ph="1">
        <v>259</v>
      </c>
      <c r="AP97" s="64" t="s" ph="1">
        <v>462</v>
      </c>
      <c r="AQ97" s="64" t="s" ph="1">
        <v>219</v>
      </c>
      <c r="AR97" s="64" t="s" ph="1">
        <v>287</v>
      </c>
      <c r="AS97" s="64" t="s" ph="1">
        <v>463</v>
      </c>
      <c r="AT97" s="64" t="s" ph="1">
        <v>222</v>
      </c>
      <c r="AU97" s="64" t="s" ph="1">
        <v>287</v>
      </c>
      <c r="AV97" s="64" t="s" ph="1">
        <v>464</v>
      </c>
      <c r="AW97" s="64" t="s" ph="1">
        <v>228</v>
      </c>
      <c r="AX97" s="64" t="s" ph="1">
        <v>287</v>
      </c>
    </row>
    <row r="98" spans="33:52" ph="1">
      <c r="AJ98" s="64" t="s" ph="1">
        <v>465</v>
      </c>
      <c r="AK98" s="64" t="s" ph="1">
        <v>231</v>
      </c>
      <c r="AM98" s="64" t="s" ph="1">
        <v>466</v>
      </c>
      <c r="AN98" s="64" t="s" ph="1">
        <v>239</v>
      </c>
      <c r="AO98" s="64" t="s" ph="1">
        <v>259</v>
      </c>
      <c r="AP98" s="64" t="s" ph="1">
        <v>467</v>
      </c>
      <c r="AQ98" s="64" t="s" ph="1">
        <v>219</v>
      </c>
      <c r="AR98" s="64" t="s" ph="1">
        <v>287</v>
      </c>
      <c r="AS98" s="64" t="s" ph="1">
        <v>468</v>
      </c>
      <c r="AT98" s="64" t="s" ph="1">
        <v>299</v>
      </c>
      <c r="AU98" s="64" t="s" ph="1">
        <v>287</v>
      </c>
      <c r="AV98" s="64" t="s" ph="1">
        <v>469</v>
      </c>
      <c r="AW98" s="64" t="s" ph="1">
        <v>222</v>
      </c>
      <c r="AX98" s="64" t="s" ph="1">
        <v>287</v>
      </c>
    </row>
    <row r="99" spans="33:52" ph="1">
      <c r="AH99" s="64" ph="1">
        <v>8</v>
      </c>
      <c r="AI99" s="64" t="s" ph="1">
        <v>470</v>
      </c>
      <c r="AJ99" s="64" t="s" ph="1">
        <v>471</v>
      </c>
      <c r="AK99" s="64" t="s" ph="1">
        <v>367</v>
      </c>
      <c r="AM99" s="64" t="s" ph="1">
        <v>472</v>
      </c>
      <c r="AN99" s="64" t="s" ph="1">
        <v>254</v>
      </c>
      <c r="AO99" s="64" t="s" ph="1">
        <v>259</v>
      </c>
      <c r="AP99" s="64" t="s" ph="1">
        <v>473</v>
      </c>
      <c r="AQ99" s="64" t="s" ph="1">
        <v>224</v>
      </c>
      <c r="AR99" s="64" t="s" ph="1">
        <v>287</v>
      </c>
      <c r="AS99" s="64" t="s" ph="1">
        <v>474</v>
      </c>
      <c r="AT99" s="64" t="s" ph="1">
        <v>239</v>
      </c>
      <c r="AU99" s="64" t="s" ph="1">
        <v>287</v>
      </c>
      <c r="AV99" s="64" t="s" ph="1">
        <v>475</v>
      </c>
      <c r="AW99" s="64" t="s" ph="1">
        <v>224</v>
      </c>
      <c r="AX99" s="64" t="s" ph="1">
        <v>287</v>
      </c>
      <c r="AY99" s="64" t="s" ph="1">
        <v>216</v>
      </c>
      <c r="AZ99" s="64" t="s" ph="1">
        <v>476</v>
      </c>
    </row>
    <row r="100" spans="33:52" ph="1">
      <c r="AJ100" s="64" t="s" ph="1">
        <v>477</v>
      </c>
      <c r="AK100" s="64" t="s" ph="1">
        <v>222</v>
      </c>
      <c r="AM100" s="64" t="s" ph="1">
        <v>478</v>
      </c>
      <c r="AN100" s="64" t="s" ph="1">
        <v>294</v>
      </c>
      <c r="AO100" s="64" t="s" ph="1">
        <v>259</v>
      </c>
      <c r="AP100" s="64" t="s" ph="1">
        <v>479</v>
      </c>
      <c r="AQ100" s="64" t="s" ph="1">
        <v>300</v>
      </c>
      <c r="AR100" s="64" t="s" ph="1">
        <v>287</v>
      </c>
      <c r="AS100" s="64" t="s" ph="1">
        <v>480</v>
      </c>
      <c r="AT100" s="64" t="s" ph="1">
        <v>367</v>
      </c>
      <c r="AU100" s="64" t="s" ph="1">
        <v>259</v>
      </c>
      <c r="AV100" s="64" t="s" ph="1">
        <v>481</v>
      </c>
      <c r="AW100" s="64" t="s" ph="1">
        <v>367</v>
      </c>
      <c r="AX100" s="64" t="s" ph="1">
        <v>259</v>
      </c>
    </row>
    <row r="101" spans="33:52" ph="1">
      <c r="AJ101" s="64" t="s" ph="1">
        <v>482</v>
      </c>
      <c r="AK101" s="64" t="s" ph="1">
        <v>367</v>
      </c>
      <c r="AM101" s="64" t="s" ph="1">
        <v>483</v>
      </c>
      <c r="AN101" s="64" t="s" ph="1">
        <v>225</v>
      </c>
      <c r="AO101" s="64" t="s" ph="1">
        <v>259</v>
      </c>
      <c r="AP101" s="64" t="s" ph="1">
        <v>484</v>
      </c>
      <c r="AQ101" s="64" t="s" ph="1">
        <v>237</v>
      </c>
      <c r="AR101" s="64" t="s" ph="1">
        <v>287</v>
      </c>
      <c r="AS101" s="64" t="s" ph="1">
        <v>485</v>
      </c>
      <c r="AT101" s="64" t="s" ph="1">
        <v>294</v>
      </c>
      <c r="AU101" s="64" t="s" ph="1">
        <v>287</v>
      </c>
      <c r="AV101" s="64" t="s" ph="1">
        <v>486</v>
      </c>
      <c r="AW101" s="64" t="s" ph="1">
        <v>225</v>
      </c>
      <c r="AX101" s="64" t="s" ph="1">
        <v>259</v>
      </c>
    </row>
    <row r="102" spans="33:52" ph="1">
      <c r="AJ102" s="64" t="s" ph="1">
        <v>487</v>
      </c>
      <c r="AK102" s="64" t="s" ph="1">
        <v>222</v>
      </c>
      <c r="AM102" s="64" t="s" ph="1">
        <v>488</v>
      </c>
      <c r="AN102" s="64" t="s" ph="1">
        <v>231</v>
      </c>
      <c r="AO102" s="64" t="s" ph="1">
        <v>259</v>
      </c>
      <c r="AP102" s="64" t="s" ph="1">
        <v>489</v>
      </c>
      <c r="AQ102" s="64" t="s" ph="1">
        <v>237</v>
      </c>
      <c r="AR102" s="64" t="s" ph="1">
        <v>259</v>
      </c>
      <c r="AS102" s="64" t="s" ph="1">
        <v>490</v>
      </c>
      <c r="AT102" s="64" t="s" ph="1">
        <v>254</v>
      </c>
      <c r="AU102" s="64" t="s" ph="1">
        <v>259</v>
      </c>
      <c r="AV102" s="64" t="s" ph="1">
        <v>491</v>
      </c>
      <c r="AW102" s="64" t="s" ph="1">
        <v>272</v>
      </c>
      <c r="AX102" s="64" t="s" ph="1">
        <v>259</v>
      </c>
    </row>
    <row r="103" spans="33:52" ph="1">
      <c r="AH103" s="64" ph="1">
        <v>9</v>
      </c>
      <c r="AI103" s="64" t="s" ph="1">
        <v>492</v>
      </c>
      <c r="AJ103" s="64" t="s" ph="1">
        <v>493</v>
      </c>
      <c r="AK103" s="64" t="s" ph="1">
        <v>367</v>
      </c>
      <c r="AM103" s="64" t="s" ph="1">
        <v>494</v>
      </c>
      <c r="AN103" s="64" t="s" ph="1">
        <v>282</v>
      </c>
      <c r="AO103" s="64" t="s" ph="1">
        <v>259</v>
      </c>
      <c r="AP103" s="64" t="s" ph="1">
        <v>336</v>
      </c>
      <c r="AQ103" s="64" t="s" ph="1">
        <v>225</v>
      </c>
      <c r="AR103" s="64" t="s" ph="1">
        <v>259</v>
      </c>
      <c r="AS103" s="64" t="s" ph="1">
        <v>570</v>
      </c>
      <c r="AT103" s="64" t="s" ph="1">
        <v>367</v>
      </c>
      <c r="AU103" s="64" t="s" ph="1">
        <v>259</v>
      </c>
      <c r="AY103" s="64" t="s" ph="1">
        <v>216</v>
      </c>
      <c r="AZ103" s="64" t="s" ph="1">
        <v>224</v>
      </c>
    </row>
    <row r="104" spans="33:52" ph="1">
      <c r="AZ104" s="64" t="s" ph="1">
        <v>495</v>
      </c>
    </row>
    <row r="105" spans="33:52" ph="1">
      <c r="AG105" s="64" t="s" ph="1">
        <v>295</v>
      </c>
      <c r="AI105" s="64" t="s" ph="1">
        <v>209</v>
      </c>
      <c r="AJ105" s="64" t="s" ph="1">
        <v>210</v>
      </c>
      <c r="AK105" s="64" t="s" ph="1">
        <v>211</v>
      </c>
      <c r="AM105" s="64" t="s" ph="1">
        <v>210</v>
      </c>
      <c r="AN105" s="64" t="s" ph="1">
        <v>211</v>
      </c>
      <c r="AO105" s="64" t="s" ph="1">
        <v>212</v>
      </c>
      <c r="AP105" s="64" t="s" ph="1">
        <v>210</v>
      </c>
      <c r="AQ105" s="64" t="s" ph="1">
        <v>211</v>
      </c>
      <c r="AR105" s="64" t="s" ph="1">
        <v>212</v>
      </c>
      <c r="AS105" s="64" t="s" ph="1">
        <v>210</v>
      </c>
      <c r="AT105" s="64" t="s" ph="1">
        <v>211</v>
      </c>
      <c r="AU105" s="64" t="s" ph="1">
        <v>212</v>
      </c>
      <c r="AV105" s="64" t="s" ph="1">
        <v>210</v>
      </c>
      <c r="AW105" s="64" t="s" ph="1">
        <v>211</v>
      </c>
      <c r="AX105" s="64" t="s" ph="1">
        <v>212</v>
      </c>
      <c r="AZ105" s="64" t="s" ph="1">
        <v>213</v>
      </c>
    </row>
    <row r="106" spans="33:52" ph="1">
      <c r="AH106" s="64" ph="1">
        <v>1</v>
      </c>
      <c r="AI106" s="64" t="s" ph="1">
        <v>496</v>
      </c>
      <c r="AJ106" s="64" t="s" ph="1">
        <v>570</v>
      </c>
      <c r="AK106" s="64" t="s" ph="1">
        <v>231</v>
      </c>
      <c r="AZ106" s="64" t="s" ph="1">
        <v>231</v>
      </c>
    </row>
    <row r="107" spans="33:52" ph="1">
      <c r="AH107" s="64" ph="1">
        <v>2</v>
      </c>
      <c r="AI107" s="64" t="s" ph="1">
        <v>497</v>
      </c>
      <c r="AJ107" s="64" t="s" ph="1">
        <v>498</v>
      </c>
      <c r="AK107" s="64" t="s" ph="1">
        <v>228</v>
      </c>
      <c r="AM107" s="64" t="s" ph="1">
        <v>334</v>
      </c>
      <c r="AN107" s="64" t="s" ph="1">
        <v>499</v>
      </c>
      <c r="AO107" s="64" t="s" ph="1">
        <v>500</v>
      </c>
      <c r="AP107" s="64" t="s" ph="1">
        <v>336</v>
      </c>
      <c r="AQ107" s="64" t="s" ph="1">
        <v>304</v>
      </c>
      <c r="AR107" s="64" t="s" ph="1">
        <v>500</v>
      </c>
      <c r="AS107" s="64" t="s" ph="1">
        <v>570</v>
      </c>
      <c r="AT107" s="64" t="s" ph="1">
        <v>499</v>
      </c>
      <c r="AU107" s="64" t="s" ph="1">
        <v>500</v>
      </c>
      <c r="AY107" s="64" t="s" ph="1">
        <v>216</v>
      </c>
      <c r="AZ107" s="64" t="s" ph="1">
        <v>580</v>
      </c>
    </row>
    <row r="108" spans="33:52" ph="1">
      <c r="AH108" s="64" ph="1">
        <v>3</v>
      </c>
      <c r="AI108" s="64" t="s" ph="1">
        <v>501</v>
      </c>
      <c r="AY108" s="64" t="s" ph="1">
        <v>216</v>
      </c>
      <c r="AZ108" s="64" t="s" ph="1">
        <v>367</v>
      </c>
    </row>
    <row r="109" spans="33:52" ph="1">
      <c r="AH109" s="64" ph="1">
        <v>4</v>
      </c>
      <c r="AI109" s="64" t="s" ph="1">
        <v>502</v>
      </c>
      <c r="AY109" s="64" t="s" ph="1">
        <v>216</v>
      </c>
      <c r="AZ109" s="64" t="s" ph="1">
        <v>367</v>
      </c>
    </row>
    <row r="110" spans="33:52" ph="1">
      <c r="AH110" s="64" ph="1">
        <v>5</v>
      </c>
      <c r="AI110" s="64" t="s" ph="1">
        <v>503</v>
      </c>
      <c r="AY110" s="64" t="s" ph="1">
        <v>216</v>
      </c>
      <c r="AZ110" s="64" t="s" ph="1">
        <v>367</v>
      </c>
    </row>
    <row r="111" spans="33:52" ph="1">
      <c r="AH111" s="64" ph="1">
        <v>6</v>
      </c>
      <c r="AI111" s="64" t="s" ph="1">
        <v>581</v>
      </c>
      <c r="AJ111" s="64" t="s" ph="1">
        <v>486</v>
      </c>
      <c r="AK111" s="64" t="s" ph="1">
        <v>225</v>
      </c>
      <c r="AM111" s="64" t="s" ph="1">
        <v>487</v>
      </c>
      <c r="AN111" s="64" t="s" ph="1">
        <v>219</v>
      </c>
      <c r="AO111" s="64" t="s" ph="1">
        <v>500</v>
      </c>
      <c r="AP111" s="64" t="s" ph="1">
        <v>488</v>
      </c>
      <c r="AQ111" s="64" t="s" ph="1">
        <v>228</v>
      </c>
      <c r="AR111" s="64" t="s" ph="1">
        <v>500</v>
      </c>
      <c r="AS111" s="64" t="s" ph="1">
        <v>489</v>
      </c>
      <c r="AT111" s="64" t="s" ph="1">
        <v>237</v>
      </c>
      <c r="AU111" s="64" t="s" ph="1">
        <v>500</v>
      </c>
      <c r="AV111" s="64" t="s" ph="1">
        <v>490</v>
      </c>
      <c r="AW111" s="64" t="s" ph="1">
        <v>227</v>
      </c>
      <c r="AX111" s="64" t="s" ph="1">
        <v>500</v>
      </c>
      <c r="AY111" s="64" t="s" ph="1">
        <v>216</v>
      </c>
      <c r="AZ111" s="64" t="s" ph="1">
        <v>504</v>
      </c>
    </row>
    <row r="112" spans="33:52" ph="1">
      <c r="AJ112" s="64" t="s" ph="1">
        <v>491</v>
      </c>
      <c r="AK112" s="64" t="s" ph="1">
        <v>272</v>
      </c>
      <c r="AM112" s="64" t="s" ph="1">
        <v>493</v>
      </c>
      <c r="AN112" s="64" t="s" ph="1">
        <v>296</v>
      </c>
      <c r="AO112" s="64" t="s" ph="1">
        <v>500</v>
      </c>
      <c r="AP112" s="64" t="s" ph="1">
        <v>494</v>
      </c>
      <c r="AQ112" s="64" t="s" ph="1">
        <v>505</v>
      </c>
      <c r="AR112" s="64" t="s" ph="1">
        <v>500</v>
      </c>
      <c r="AS112" s="64" t="s" ph="1">
        <v>506</v>
      </c>
      <c r="AT112" s="64" t="s" ph="1">
        <v>248</v>
      </c>
      <c r="AU112" s="64" t="s" ph="1">
        <v>500</v>
      </c>
      <c r="AV112" s="64" t="s" ph="1">
        <v>507</v>
      </c>
      <c r="AW112" s="64" t="s" ph="1">
        <v>294</v>
      </c>
      <c r="AX112" s="64" t="s" ph="1">
        <v>500</v>
      </c>
    </row>
    <row r="113" spans="33:52" ph="1">
      <c r="AH113" s="64" ph="1">
        <v>7</v>
      </c>
      <c r="AI113" s="64" t="s" ph="1">
        <v>508</v>
      </c>
      <c r="AJ113" s="64" t="s" ph="1">
        <v>589</v>
      </c>
      <c r="AK113" s="64" t="s" ph="1">
        <v>594</v>
      </c>
      <c r="AY113" s="64" t="s" ph="1">
        <v>216</v>
      </c>
      <c r="AZ113" s="64" t="s" ph="1">
        <v>594</v>
      </c>
    </row>
    <row r="114" spans="33:52" ph="1">
      <c r="AH114" s="64" ph="1">
        <v>8</v>
      </c>
      <c r="AI114" s="64" t="s" ph="1">
        <v>509</v>
      </c>
      <c r="AJ114" s="64" t="s" ph="1">
        <v>589</v>
      </c>
      <c r="AK114" s="64" t="s" ph="1">
        <v>595</v>
      </c>
      <c r="AY114" s="64" t="s" ph="1">
        <v>216</v>
      </c>
      <c r="AZ114" s="64" t="s" ph="1">
        <v>595</v>
      </c>
    </row>
    <row r="115" spans="33:52" ph="1">
      <c r="AH115" s="64" ph="1">
        <v>9</v>
      </c>
      <c r="AI115" s="64" t="s" ph="1">
        <v>510</v>
      </c>
      <c r="AJ115" s="64" t="s" ph="1">
        <v>589</v>
      </c>
      <c r="AK115" s="64" t="s" ph="1">
        <v>595</v>
      </c>
      <c r="AY115" s="64" t="s" ph="1">
        <v>216</v>
      </c>
      <c r="AZ115" s="64" t="s" ph="1">
        <v>595</v>
      </c>
    </row>
    <row r="116" spans="33:52" ph="1">
      <c r="AH116" s="64" ph="1">
        <v>10</v>
      </c>
      <c r="AI116" s="64" t="s" ph="1">
        <v>511</v>
      </c>
      <c r="AJ116" s="64" t="s" ph="1">
        <v>589</v>
      </c>
      <c r="AK116" s="64" t="s" ph="1">
        <v>595</v>
      </c>
      <c r="AY116" s="64" t="s" ph="1">
        <v>216</v>
      </c>
      <c r="AZ116" s="64" t="s" ph="1">
        <v>595</v>
      </c>
    </row>
    <row r="117" spans="33:52" ph="1">
      <c r="AH117" s="64" ph="1">
        <v>11</v>
      </c>
      <c r="AI117" s="64" t="s" ph="1">
        <v>512</v>
      </c>
      <c r="AJ117" s="64" t="s" ph="1">
        <v>589</v>
      </c>
      <c r="AK117" s="64" t="s" ph="1">
        <v>595</v>
      </c>
      <c r="AY117" s="64" t="s" ph="1">
        <v>216</v>
      </c>
      <c r="AZ117" s="64" t="s" ph="1">
        <v>595</v>
      </c>
    </row>
    <row r="118" spans="33:52" ph="1">
      <c r="AZ118" s="64" t="s" ph="1">
        <v>596</v>
      </c>
    </row>
    <row r="119" spans="33:52" ph="1">
      <c r="AI119" s="64" t="s" ph="1">
        <v>209</v>
      </c>
      <c r="AJ119" s="64" t="s" ph="1">
        <v>210</v>
      </c>
      <c r="AK119" s="64" t="s" ph="1">
        <v>211</v>
      </c>
      <c r="AM119" s="64" t="s" ph="1">
        <v>210</v>
      </c>
      <c r="AN119" s="64" t="s" ph="1">
        <v>211</v>
      </c>
      <c r="AO119" s="64" t="s" ph="1">
        <v>212</v>
      </c>
      <c r="AP119" s="64" t="s" ph="1">
        <v>210</v>
      </c>
      <c r="AQ119" s="64" t="s" ph="1">
        <v>211</v>
      </c>
      <c r="AR119" s="64" t="s" ph="1">
        <v>212</v>
      </c>
      <c r="AS119" s="64" t="s" ph="1">
        <v>210</v>
      </c>
      <c r="AT119" s="64" t="s" ph="1">
        <v>211</v>
      </c>
      <c r="AU119" s="64" t="s" ph="1">
        <v>212</v>
      </c>
      <c r="AV119" s="64" t="s" ph="1">
        <v>210</v>
      </c>
      <c r="AW119" s="64" t="s" ph="1">
        <v>211</v>
      </c>
      <c r="AX119" s="64" t="s" ph="1">
        <v>212</v>
      </c>
      <c r="AY119" s="64" t="s" ph="1">
        <v>211</v>
      </c>
      <c r="AZ119" s="64" t="s" ph="1">
        <v>213</v>
      </c>
    </row>
    <row r="120" spans="33:52" ph="1">
      <c r="AG120" s="64" t="s" ph="1">
        <v>353</v>
      </c>
      <c r="AH120" s="64" ph="1">
        <v>1</v>
      </c>
      <c r="AI120" s="64" t="s" ph="1">
        <v>513</v>
      </c>
      <c r="AJ120" s="64" t="s" ph="1">
        <v>587</v>
      </c>
      <c r="AK120" s="64" t="s" ph="1">
        <v>367</v>
      </c>
      <c r="AY120" s="64" t="s" ph="1">
        <v>216</v>
      </c>
      <c r="AZ120" s="64" t="s" ph="1">
        <v>367</v>
      </c>
    </row>
    <row r="121" spans="33:52" ph="1">
      <c r="AH121" s="64" ph="1">
        <v>2</v>
      </c>
      <c r="AI121" s="64" t="s" ph="1">
        <v>514</v>
      </c>
      <c r="AY121" s="64" t="s" ph="1">
        <v>216</v>
      </c>
      <c r="AZ121" s="64" t="s" ph="1">
        <v>367</v>
      </c>
    </row>
    <row r="122" spans="33:52" ph="1">
      <c r="AH122" s="64" ph="1">
        <v>3</v>
      </c>
      <c r="AI122" s="64" t="s" ph="1">
        <v>515</v>
      </c>
      <c r="AJ122" s="64" t="s" ph="1">
        <v>570</v>
      </c>
      <c r="AK122" s="64" t="s" ph="1">
        <v>582</v>
      </c>
      <c r="AM122" s="64" t="s" ph="1">
        <v>597</v>
      </c>
      <c r="AN122" s="64" t="s" ph="1">
        <v>590</v>
      </c>
      <c r="AO122" s="64" t="s" ph="1">
        <v>91</v>
      </c>
      <c r="AY122" s="64" t="s" ph="1">
        <v>216</v>
      </c>
      <c r="AZ122" s="64" t="s" ph="1">
        <v>579</v>
      </c>
    </row>
    <row r="123" spans="33:52" ph="1">
      <c r="AY123" s="64" t="s" ph="1">
        <v>216</v>
      </c>
      <c r="AZ123" s="64" t="s" ph="1">
        <v>579</v>
      </c>
    </row>
    <row r="124" spans="33:52" ph="1">
      <c r="AG124" s="64" t="s" ph="1">
        <v>356</v>
      </c>
      <c r="AH124" s="64" ph="1">
        <v>4</v>
      </c>
      <c r="AI124" s="64" t="s" ph="1">
        <v>516</v>
      </c>
      <c r="AJ124" s="64" t="s" ph="1">
        <v>517</v>
      </c>
      <c r="AK124" s="64" t="s" ph="1">
        <v>518</v>
      </c>
      <c r="AY124" s="64" t="s" ph="1">
        <v>216</v>
      </c>
      <c r="AZ124" s="64" t="s" ph="1">
        <v>518</v>
      </c>
    </row>
    <row r="125" spans="33:52" ph="1">
      <c r="AH125" s="64" ph="1">
        <v>5</v>
      </c>
      <c r="AI125" s="64" t="s" ph="1">
        <v>519</v>
      </c>
      <c r="AJ125" s="64" t="s" ph="1">
        <v>517</v>
      </c>
      <c r="AK125" s="64" t="s" ph="1">
        <v>518</v>
      </c>
      <c r="AY125" s="64" t="s" ph="1">
        <v>216</v>
      </c>
      <c r="AZ125" s="64" t="s" ph="1">
        <v>518</v>
      </c>
    </row>
    <row r="126" spans="33:52" ph="1">
      <c r="AH126" s="64" ph="1">
        <v>6</v>
      </c>
      <c r="AI126" s="64" t="s" ph="1">
        <v>520</v>
      </c>
      <c r="AJ126" s="64" t="s" ph="1">
        <v>589</v>
      </c>
      <c r="AK126" s="64" t="s" ph="1">
        <v>598</v>
      </c>
      <c r="AY126" s="64" t="s" ph="1">
        <v>216</v>
      </c>
      <c r="AZ126" s="64" t="s" ph="1">
        <v>598</v>
      </c>
    </row>
    <row r="127" spans="33:52" ph="1">
      <c r="AH127" s="64" ph="1">
        <v>7</v>
      </c>
      <c r="AI127" s="64" t="s" ph="1">
        <v>521</v>
      </c>
      <c r="AJ127" s="64" t="s" ph="1">
        <v>589</v>
      </c>
      <c r="AK127" s="64" t="s" ph="1">
        <v>599</v>
      </c>
      <c r="AY127" s="64" t="s" ph="1">
        <v>216</v>
      </c>
      <c r="AZ127" s="64" t="s" ph="1">
        <v>599</v>
      </c>
    </row>
    <row r="128" spans="33:52" ph="1">
      <c r="AH128" s="64" ph="1">
        <v>8</v>
      </c>
      <c r="AI128" s="64" t="s" ph="1">
        <v>522</v>
      </c>
      <c r="AY128" s="64" t="s" ph="1">
        <v>216</v>
      </c>
      <c r="AZ128" s="64" t="s" ph="1">
        <v>367</v>
      </c>
    </row>
    <row r="129" spans="33:52" ph="1">
      <c r="AH129" s="64" ph="1">
        <v>9</v>
      </c>
      <c r="AI129" s="64" t="s" ph="1">
        <v>523</v>
      </c>
      <c r="AY129" s="64" t="s" ph="1">
        <v>216</v>
      </c>
      <c r="AZ129" s="64" t="s" ph="1">
        <v>367</v>
      </c>
    </row>
    <row r="130" spans="33:52" ph="1">
      <c r="AH130" s="64" ph="1">
        <v>10</v>
      </c>
      <c r="AI130" s="64" t="s" ph="1">
        <v>524</v>
      </c>
      <c r="AY130" s="64" t="s" ph="1">
        <v>216</v>
      </c>
      <c r="AZ130" s="64" t="s" ph="1">
        <v>367</v>
      </c>
    </row>
    <row r="131" spans="33:52" ph="1">
      <c r="AH131" s="64" ph="1">
        <v>11</v>
      </c>
      <c r="AI131" s="64" t="s" ph="1">
        <v>525</v>
      </c>
      <c r="AJ131" s="64" t="s" ph="1">
        <v>583</v>
      </c>
      <c r="AK131" s="64" t="s" ph="1">
        <v>579</v>
      </c>
      <c r="AY131" s="64" t="s" ph="1">
        <v>216</v>
      </c>
      <c r="AZ131" s="64" t="s" ph="1">
        <v>579</v>
      </c>
    </row>
    <row r="132" spans="33:52" ph="1">
      <c r="AH132" s="64" ph="1">
        <v>12</v>
      </c>
      <c r="AI132" s="64" t="s" ph="1">
        <v>526</v>
      </c>
      <c r="AJ132" s="64" t="s" ph="1">
        <v>583</v>
      </c>
      <c r="AK132" s="64" t="s" ph="1">
        <v>518</v>
      </c>
      <c r="AY132" s="64" t="s" ph="1">
        <v>216</v>
      </c>
      <c r="AZ132" s="64" t="s" ph="1">
        <v>518</v>
      </c>
    </row>
    <row r="133" spans="33:52" ph="1">
      <c r="AH133" s="64" ph="1">
        <v>13</v>
      </c>
      <c r="AI133" s="64" t="s" ph="1">
        <v>527</v>
      </c>
      <c r="AJ133" s="64" t="s" ph="1">
        <v>583</v>
      </c>
      <c r="AK133" s="64" t="s" ph="1">
        <v>584</v>
      </c>
      <c r="AY133" s="64" t="s" ph="1">
        <v>216</v>
      </c>
      <c r="AZ133" s="64" t="s" ph="1">
        <v>584</v>
      </c>
    </row>
    <row r="134" spans="33:52" ph="1">
      <c r="AH134" s="64" ph="1">
        <v>14</v>
      </c>
      <c r="AI134" s="64" t="s" ph="1">
        <v>528</v>
      </c>
      <c r="AJ134" s="64" t="s" ph="1">
        <v>583</v>
      </c>
      <c r="AK134" s="64" t="s" ph="1">
        <v>585</v>
      </c>
      <c r="AY134" s="64" t="s" ph="1">
        <v>216</v>
      </c>
      <c r="AZ134" s="64" t="s" ph="1">
        <v>585</v>
      </c>
    </row>
    <row r="135" spans="33:52" ph="1">
      <c r="AH135" s="64" ph="1">
        <v>15</v>
      </c>
      <c r="AI135" s="64" t="s" ph="1">
        <v>529</v>
      </c>
      <c r="AJ135" s="64" t="s" ph="1">
        <v>583</v>
      </c>
      <c r="AK135" s="64" t="s" ph="1">
        <v>586</v>
      </c>
      <c r="AY135" s="64" t="s" ph="1">
        <v>216</v>
      </c>
      <c r="AZ135" s="64" t="s" ph="1">
        <v>586</v>
      </c>
    </row>
    <row r="136" spans="33:52" ph="1">
      <c r="AZ136" s="64" t="s" ph="1">
        <v>600</v>
      </c>
    </row>
    <row r="137" spans="33:52" ph="1">
      <c r="AG137" s="64" t="s" ph="1">
        <v>290</v>
      </c>
      <c r="AI137" s="64" t="s" ph="1">
        <v>209</v>
      </c>
      <c r="AJ137" s="64" t="s" ph="1">
        <v>210</v>
      </c>
      <c r="AK137" s="64" t="s" ph="1">
        <v>211</v>
      </c>
      <c r="AM137" s="64" t="s" ph="1">
        <v>210</v>
      </c>
      <c r="AN137" s="64" t="s" ph="1">
        <v>211</v>
      </c>
      <c r="AO137" s="64" t="s" ph="1">
        <v>212</v>
      </c>
      <c r="AP137" s="64" t="s" ph="1">
        <v>210</v>
      </c>
      <c r="AQ137" s="64" t="s" ph="1">
        <v>211</v>
      </c>
      <c r="AR137" s="64" t="s" ph="1">
        <v>212</v>
      </c>
      <c r="AS137" s="64" t="s" ph="1">
        <v>210</v>
      </c>
      <c r="AT137" s="64" t="s" ph="1">
        <v>211</v>
      </c>
      <c r="AU137" s="64" t="s" ph="1">
        <v>212</v>
      </c>
      <c r="AV137" s="64" t="s" ph="1">
        <v>210</v>
      </c>
      <c r="AW137" s="64" t="s" ph="1">
        <v>211</v>
      </c>
      <c r="AX137" s="64" t="s" ph="1">
        <v>212</v>
      </c>
      <c r="AY137" s="64" t="s" ph="1">
        <v>211</v>
      </c>
      <c r="AZ137" s="64" t="s" ph="1">
        <v>213</v>
      </c>
    </row>
    <row r="138" spans="33:52" ph="1">
      <c r="AH138" s="64" ph="1">
        <v>1</v>
      </c>
      <c r="AI138" s="64" t="s" ph="1">
        <v>530</v>
      </c>
      <c r="AJ138" s="64" t="s" ph="1">
        <v>531</v>
      </c>
      <c r="AK138" s="64" t="s" ph="1">
        <v>532</v>
      </c>
      <c r="AY138" s="64" t="s" ph="1">
        <v>216</v>
      </c>
      <c r="AZ138" s="64" t="s" ph="1">
        <v>532</v>
      </c>
    </row>
    <row r="139" spans="33:52" ph="1">
      <c r="AH139" s="64" ph="1">
        <v>2</v>
      </c>
      <c r="AI139" s="64" t="s" ph="1">
        <v>533</v>
      </c>
      <c r="AJ139" s="64" t="s" ph="1">
        <v>589</v>
      </c>
      <c r="AK139" s="64" t="s" ph="1">
        <v>601</v>
      </c>
      <c r="AY139" s="64" t="s" ph="1">
        <v>216</v>
      </c>
      <c r="AZ139" s="64" t="s" ph="1">
        <v>601</v>
      </c>
    </row>
    <row r="140" spans="33:52" ph="1">
      <c r="AH140" s="64" ph="1">
        <v>3</v>
      </c>
      <c r="AI140" s="64" t="s" ph="1">
        <v>534</v>
      </c>
      <c r="AJ140" s="64" t="s" ph="1">
        <v>487</v>
      </c>
      <c r="AK140" s="64" t="s" ph="1">
        <v>299</v>
      </c>
      <c r="AM140" s="64" t="s" ph="1">
        <v>488</v>
      </c>
      <c r="AN140" s="64" t="s" ph="1">
        <v>219</v>
      </c>
      <c r="AO140" s="64" t="s" ph="1">
        <v>535</v>
      </c>
      <c r="AP140" s="64" t="s" ph="1">
        <v>489</v>
      </c>
      <c r="AQ140" s="64" t="s" ph="1">
        <v>236</v>
      </c>
      <c r="AR140" s="64" t="s" ph="1">
        <v>535</v>
      </c>
      <c r="AS140" s="64" t="s" ph="1">
        <v>490</v>
      </c>
      <c r="AT140" s="64" t="s" ph="1">
        <v>229</v>
      </c>
      <c r="AU140" s="64" t="s" ph="1">
        <v>535</v>
      </c>
      <c r="AV140" s="64" t="s" ph="1">
        <v>491</v>
      </c>
      <c r="AW140" s="64" t="s" ph="1">
        <v>222</v>
      </c>
      <c r="AX140" s="64" t="s" ph="1">
        <v>535</v>
      </c>
      <c r="AY140" s="64" t="s" ph="1">
        <v>216</v>
      </c>
      <c r="AZ140" s="64" t="s" ph="1">
        <v>291</v>
      </c>
    </row>
    <row r="141" spans="33:52" ph="1">
      <c r="AJ141" s="64" t="s" ph="1">
        <v>493</v>
      </c>
      <c r="AK141" s="64" t="s" ph="1">
        <v>222</v>
      </c>
      <c r="AM141" s="64" t="s" ph="1">
        <v>494</v>
      </c>
      <c r="AN141" s="64" t="s" ph="1">
        <v>225</v>
      </c>
      <c r="AO141" s="64" t="s" ph="1">
        <v>535</v>
      </c>
      <c r="AP141" s="64" t="s" ph="1">
        <v>506</v>
      </c>
      <c r="AQ141" s="64" t="s" ph="1">
        <v>294</v>
      </c>
      <c r="AR141" s="64" t="s" ph="1">
        <v>535</v>
      </c>
      <c r="AS141" s="64" t="s" ph="1">
        <v>498</v>
      </c>
      <c r="AT141" s="64" t="s" ph="1">
        <v>222</v>
      </c>
      <c r="AU141" s="64" t="s" ph="1">
        <v>535</v>
      </c>
      <c r="AV141" s="64" t="s" ph="1">
        <v>334</v>
      </c>
      <c r="AW141" s="64" t="s" ph="1">
        <v>228</v>
      </c>
      <c r="AX141" s="64" t="s" ph="1">
        <v>535</v>
      </c>
    </row>
    <row r="142" spans="33:52" ph="1">
      <c r="AJ142" s="64" t="s" ph="1">
        <v>536</v>
      </c>
      <c r="AK142" s="64" t="s" ph="1">
        <v>239</v>
      </c>
    </row>
    <row r="143" spans="33:52" ph="1">
      <c r="AH143" s="64" ph="1">
        <v>4</v>
      </c>
      <c r="AI143" s="64" t="s" ph="1">
        <v>537</v>
      </c>
      <c r="AJ143" s="64" t="s" ph="1">
        <v>517</v>
      </c>
      <c r="AK143" s="64" t="s" ph="1">
        <v>538</v>
      </c>
      <c r="AY143" s="64" t="s" ph="1">
        <v>216</v>
      </c>
      <c r="AZ143" s="64" t="s" ph="1">
        <v>538</v>
      </c>
    </row>
    <row r="144" spans="33:52" ph="1">
      <c r="AH144" s="64" ph="1">
        <v>5</v>
      </c>
      <c r="AI144" s="64" t="s" ph="1">
        <v>539</v>
      </c>
      <c r="AY144" s="64" t="s" ph="1">
        <v>216</v>
      </c>
      <c r="AZ144" s="64" t="s" ph="1">
        <v>367</v>
      </c>
    </row>
    <row r="145" spans="33:52" ph="1">
      <c r="AH145" s="64" ph="1">
        <v>6</v>
      </c>
      <c r="AI145" s="64" t="s" ph="1">
        <v>540</v>
      </c>
      <c r="AY145" s="64" t="s" ph="1">
        <v>216</v>
      </c>
      <c r="AZ145" s="64" t="s" ph="1">
        <v>367</v>
      </c>
    </row>
    <row r="146" spans="33:52" ph="1">
      <c r="AH146" s="64" ph="1">
        <v>7</v>
      </c>
      <c r="AI146" s="64" t="s" ph="1">
        <v>541</v>
      </c>
      <c r="AY146" s="64" t="s" ph="1">
        <v>216</v>
      </c>
      <c r="AZ146" s="64" t="s" ph="1">
        <v>367</v>
      </c>
    </row>
    <row r="147" spans="33:52" ph="1">
      <c r="AH147" s="64" ph="1">
        <v>8</v>
      </c>
      <c r="AI147" s="64" t="s" ph="1">
        <v>542</v>
      </c>
      <c r="AY147" s="64" t="s" ph="1">
        <v>216</v>
      </c>
      <c r="AZ147" s="64" t="s" ph="1">
        <v>367</v>
      </c>
    </row>
    <row r="148" spans="33:52" ph="1">
      <c r="AH148" s="64" ph="1">
        <v>9</v>
      </c>
      <c r="AI148" s="64" t="s" ph="1">
        <v>543</v>
      </c>
      <c r="AY148" s="64" t="s" ph="1">
        <v>216</v>
      </c>
      <c r="AZ148" s="64" t="s" ph="1">
        <v>367</v>
      </c>
    </row>
    <row r="149" spans="33:52" ph="1">
      <c r="AH149" s="64" ph="1">
        <v>10</v>
      </c>
      <c r="AI149" s="64" t="s" ph="1">
        <v>544</v>
      </c>
      <c r="AY149" s="64" t="s" ph="1">
        <v>216</v>
      </c>
      <c r="AZ149" s="64" t="s" ph="1">
        <v>367</v>
      </c>
    </row>
    <row r="150" spans="33:52" ph="1">
      <c r="AH150" s="64" ph="1">
        <v>11</v>
      </c>
      <c r="AI150" s="64" t="s" ph="1">
        <v>545</v>
      </c>
      <c r="AY150" s="64" t="s" ph="1">
        <v>216</v>
      </c>
      <c r="AZ150" s="64" t="s" ph="1">
        <v>367</v>
      </c>
    </row>
    <row r="151" spans="33:52" ph="1">
      <c r="AH151" s="64" ph="1">
        <v>12</v>
      </c>
      <c r="AI151" s="64" t="s" ph="1">
        <v>546</v>
      </c>
      <c r="AY151" s="64" t="s" ph="1">
        <v>216</v>
      </c>
      <c r="AZ151" s="64" t="s" ph="1">
        <v>367</v>
      </c>
    </row>
    <row r="152" spans="33:52" ph="1">
      <c r="AH152" s="64" ph="1">
        <v>13</v>
      </c>
      <c r="AI152" s="64" t="s" ph="1">
        <v>547</v>
      </c>
      <c r="AY152" s="64" t="s" ph="1">
        <v>216</v>
      </c>
      <c r="AZ152" s="64" t="s" ph="1">
        <v>367</v>
      </c>
    </row>
    <row r="153" spans="33:52" ph="1">
      <c r="AH153" s="64" ph="1">
        <v>14</v>
      </c>
      <c r="AI153" s="64" t="s" ph="1">
        <v>548</v>
      </c>
      <c r="AY153" s="64" t="s" ph="1">
        <v>216</v>
      </c>
      <c r="AZ153" s="64" t="s" ph="1">
        <v>367</v>
      </c>
    </row>
    <row r="154" spans="33:52" ph="1">
      <c r="AH154" s="64" ph="1">
        <v>15</v>
      </c>
      <c r="AI154" s="64" t="s" ph="1">
        <v>549</v>
      </c>
      <c r="AY154" s="64" t="s" ph="1">
        <v>216</v>
      </c>
      <c r="AZ154" s="64" t="s" ph="1">
        <v>367</v>
      </c>
    </row>
    <row r="155" spans="33:52" ph="1">
      <c r="AH155" s="64" ph="1">
        <v>16</v>
      </c>
      <c r="AI155" s="64" t="s" ph="1">
        <v>550</v>
      </c>
      <c r="AJ155" s="64" t="s" ph="1">
        <v>336</v>
      </c>
      <c r="AK155" s="64" t="s" ph="1">
        <v>231</v>
      </c>
      <c r="AM155" s="64" t="s" ph="1">
        <v>570</v>
      </c>
      <c r="AN155" s="64" t="s" ph="1">
        <v>282</v>
      </c>
      <c r="AO155" s="64" t="s" ph="1">
        <v>535</v>
      </c>
      <c r="AY155" s="64" t="s" ph="1">
        <v>216</v>
      </c>
      <c r="AZ155" s="64" t="s" ph="1">
        <v>223</v>
      </c>
    </row>
    <row r="156" spans="33:52" ph="1">
      <c r="AZ156" s="64" t="s" ph="1">
        <v>602</v>
      </c>
    </row>
    <row r="157" spans="33:52" ph="1">
      <c r="AG157" s="64" t="s" ph="1">
        <v>551</v>
      </c>
      <c r="AI157" s="64" t="s" ph="1">
        <v>209</v>
      </c>
      <c r="AJ157" s="64" t="s" ph="1">
        <v>210</v>
      </c>
      <c r="AK157" s="64" t="s" ph="1">
        <v>211</v>
      </c>
      <c r="AM157" s="64" t="s" ph="1">
        <v>210</v>
      </c>
      <c r="AN157" s="64" t="s" ph="1">
        <v>211</v>
      </c>
      <c r="AO157" s="64" t="s" ph="1">
        <v>212</v>
      </c>
      <c r="AP157" s="64" t="s" ph="1">
        <v>210</v>
      </c>
      <c r="AQ157" s="64" t="s" ph="1">
        <v>211</v>
      </c>
      <c r="AR157" s="64" t="s" ph="1">
        <v>212</v>
      </c>
      <c r="AS157" s="64" t="s" ph="1">
        <v>210</v>
      </c>
      <c r="AT157" s="64" t="s" ph="1">
        <v>211</v>
      </c>
      <c r="AU157" s="64" t="s" ph="1">
        <v>212</v>
      </c>
      <c r="AV157" s="64" t="s" ph="1">
        <v>210</v>
      </c>
      <c r="AW157" s="64" t="s" ph="1">
        <v>211</v>
      </c>
      <c r="AX157" s="64" t="s" ph="1">
        <v>212</v>
      </c>
      <c r="AY157" s="64" t="s" ph="1">
        <v>211</v>
      </c>
      <c r="AZ157" s="64" t="s" ph="1">
        <v>213</v>
      </c>
    </row>
    <row r="158" spans="33:52" ph="1">
      <c r="AH158" s="64" ph="1">
        <v>1</v>
      </c>
      <c r="AI158" s="64" t="s" ph="1">
        <v>552</v>
      </c>
      <c r="AY158" s="64" t="s" ph="1">
        <v>216</v>
      </c>
      <c r="AZ158" s="64" t="s" ph="1">
        <v>367</v>
      </c>
    </row>
    <row r="159" spans="33:52" ph="1">
      <c r="AH159" s="64" ph="1">
        <v>2</v>
      </c>
      <c r="AI159" s="64" t="s" ph="1">
        <v>553</v>
      </c>
      <c r="AY159" s="64" t="s" ph="1">
        <v>216</v>
      </c>
      <c r="AZ159" s="64" t="s" ph="1">
        <v>367</v>
      </c>
    </row>
    <row r="160" spans="33:52" ph="1">
      <c r="AZ160" s="64" t="s" ph="1">
        <v>385</v>
      </c>
    </row>
    <row r="161" spans="33:52" ph="1">
      <c r="AG161" s="64" t="s" ph="1">
        <v>361</v>
      </c>
      <c r="AI161" s="64" t="s" ph="1">
        <v>209</v>
      </c>
      <c r="AJ161" s="64" t="s" ph="1">
        <v>210</v>
      </c>
      <c r="AK161" s="64" t="s" ph="1">
        <v>211</v>
      </c>
      <c r="AM161" s="64" t="s" ph="1">
        <v>210</v>
      </c>
      <c r="AN161" s="64" t="s" ph="1">
        <v>211</v>
      </c>
      <c r="AO161" s="64" t="s" ph="1">
        <v>212</v>
      </c>
      <c r="AP161" s="64" t="s" ph="1">
        <v>210</v>
      </c>
      <c r="AQ161" s="64" t="s" ph="1">
        <v>211</v>
      </c>
      <c r="AR161" s="64" t="s" ph="1">
        <v>212</v>
      </c>
      <c r="AS161" s="64" t="s" ph="1">
        <v>210</v>
      </c>
      <c r="AT161" s="64" t="s" ph="1">
        <v>211</v>
      </c>
      <c r="AU161" s="64" t="s" ph="1">
        <v>212</v>
      </c>
      <c r="AV161" s="64" t="s" ph="1">
        <v>210</v>
      </c>
      <c r="AW161" s="64" t="s" ph="1">
        <v>211</v>
      </c>
      <c r="AX161" s="64" t="s" ph="1">
        <v>212</v>
      </c>
      <c r="AY161" s="64" t="s" ph="1">
        <v>211</v>
      </c>
      <c r="AZ161" s="64" t="s" ph="1">
        <v>213</v>
      </c>
    </row>
    <row r="162" spans="33:52" ph="1">
      <c r="AH162" s="64" ph="1">
        <v>1</v>
      </c>
      <c r="AI162" s="64" t="s" ph="1">
        <v>554</v>
      </c>
      <c r="AJ162" s="64" t="s" ph="1">
        <v>555</v>
      </c>
      <c r="AK162" s="64" t="s" ph="1">
        <v>499</v>
      </c>
      <c r="AM162" s="64" t="s" ph="1">
        <v>556</v>
      </c>
      <c r="AN162" s="64" t="s" ph="1">
        <v>220</v>
      </c>
      <c r="AO162" s="64" t="s" ph="1">
        <v>557</v>
      </c>
      <c r="AY162" s="64" t="s" ph="1">
        <v>216</v>
      </c>
      <c r="AZ162" s="64" t="s" ph="1">
        <v>292</v>
      </c>
    </row>
    <row r="163" spans="33:52" ph="1">
      <c r="AH163" s="64" ph="1">
        <v>2</v>
      </c>
      <c r="AI163" s="64" t="s" ph="1">
        <v>558</v>
      </c>
      <c r="AJ163" s="64" t="s" ph="1">
        <v>555</v>
      </c>
      <c r="AK163" s="64" t="s" ph="1">
        <v>388</v>
      </c>
      <c r="AY163" s="64" t="s" ph="1">
        <v>216</v>
      </c>
      <c r="AZ163" s="64" t="s" ph="1">
        <v>388</v>
      </c>
    </row>
    <row r="164" spans="33:52" ph="1">
      <c r="AH164" s="64" ph="1">
        <v>3</v>
      </c>
      <c r="AI164" s="64" t="s" ph="1">
        <v>559</v>
      </c>
      <c r="AJ164" s="64" t="s" ph="1">
        <v>555</v>
      </c>
      <c r="AK164" s="64" t="s" ph="1">
        <v>292</v>
      </c>
      <c r="AY164" s="64" t="s" ph="1">
        <v>216</v>
      </c>
      <c r="AZ164" s="64" t="s" ph="1">
        <v>292</v>
      </c>
    </row>
    <row r="165" spans="33:52" ph="1">
      <c r="AH165" s="64" ph="1">
        <v>4</v>
      </c>
      <c r="AI165" s="64" t="s" ph="1">
        <v>560</v>
      </c>
      <c r="AY165" s="64" t="s" ph="1">
        <v>216</v>
      </c>
      <c r="AZ165" s="64" t="s" ph="1">
        <v>367</v>
      </c>
    </row>
    <row r="166" spans="33:52" ph="1">
      <c r="AH166" s="64" ph="1">
        <v>5</v>
      </c>
      <c r="AI166" s="64" t="s" ph="1">
        <v>561</v>
      </c>
      <c r="AY166" s="64" t="s" ph="1">
        <v>216</v>
      </c>
      <c r="AZ166" s="64" t="s" ph="1">
        <v>367</v>
      </c>
    </row>
    <row r="167" spans="33:52" ph="1">
      <c r="AZ167" s="64" t="s" ph="1">
        <v>562</v>
      </c>
    </row>
    <row r="168" spans="33:52" ph="1">
      <c r="AG168" s="64" t="s" ph="1">
        <v>305</v>
      </c>
      <c r="AI168" s="64" t="s" ph="1">
        <v>209</v>
      </c>
      <c r="AJ168" s="64" t="s" ph="1">
        <v>210</v>
      </c>
      <c r="AK168" s="64" t="s" ph="1">
        <v>211</v>
      </c>
      <c r="AM168" s="64" t="s" ph="1">
        <v>210</v>
      </c>
      <c r="AN168" s="64" t="s" ph="1">
        <v>211</v>
      </c>
      <c r="AO168" s="64" t="s" ph="1">
        <v>212</v>
      </c>
      <c r="AP168" s="64" t="s" ph="1">
        <v>210</v>
      </c>
      <c r="AQ168" s="64" t="s" ph="1">
        <v>211</v>
      </c>
      <c r="AR168" s="64" t="s" ph="1">
        <v>212</v>
      </c>
      <c r="AS168" s="64" t="s" ph="1">
        <v>210</v>
      </c>
      <c r="AT168" s="64" t="s" ph="1">
        <v>211</v>
      </c>
      <c r="AU168" s="64" t="s" ph="1">
        <v>212</v>
      </c>
      <c r="AV168" s="64" t="s" ph="1">
        <v>210</v>
      </c>
      <c r="AW168" s="64" t="s" ph="1">
        <v>211</v>
      </c>
      <c r="AX168" s="64" t="s" ph="1">
        <v>212</v>
      </c>
      <c r="AY168" s="64" t="s" ph="1">
        <v>211</v>
      </c>
      <c r="AZ168" s="64" t="s" ph="1">
        <v>213</v>
      </c>
    </row>
    <row r="169" spans="33:52" ph="1">
      <c r="AH169" s="64" ph="1">
        <v>1</v>
      </c>
      <c r="AI169" s="64" t="s" ph="1">
        <v>563</v>
      </c>
      <c r="AY169" s="64" t="s" ph="1">
        <v>216</v>
      </c>
      <c r="AZ169" s="64" t="s" ph="1">
        <v>367</v>
      </c>
    </row>
    <row r="170" spans="33:52" ph="1">
      <c r="AH170" s="64" ph="1">
        <v>2</v>
      </c>
      <c r="AI170" s="64" t="s" ph="1">
        <v>564</v>
      </c>
      <c r="AY170" s="64" t="s" ph="1">
        <v>216</v>
      </c>
      <c r="AZ170" s="64" t="s" ph="1">
        <v>367</v>
      </c>
    </row>
    <row r="171" spans="33:52" ph="1">
      <c r="AH171" s="64" ph="1">
        <v>3</v>
      </c>
      <c r="AI171" s="64" t="s" ph="1">
        <v>565</v>
      </c>
      <c r="AY171" s="64" t="s" ph="1">
        <v>216</v>
      </c>
      <c r="AZ171" s="64" t="s" ph="1">
        <v>367</v>
      </c>
    </row>
    <row r="172" spans="33:52" ph="1">
      <c r="AH172" s="64" ph="1">
        <v>4</v>
      </c>
      <c r="AI172" s="64" t="s" ph="1">
        <v>566</v>
      </c>
      <c r="AY172" s="64" t="s" ph="1">
        <v>216</v>
      </c>
      <c r="AZ172" s="64" t="s" ph="1">
        <v>367</v>
      </c>
    </row>
    <row r="173" spans="33:52" ph="1">
      <c r="AH173" s="64" ph="1">
        <v>5</v>
      </c>
      <c r="AI173" s="64" t="s" ph="1">
        <v>567</v>
      </c>
      <c r="AY173" s="64" t="s" ph="1">
        <v>216</v>
      </c>
      <c r="AZ173" s="64" t="s" ph="1">
        <v>367</v>
      </c>
    </row>
    <row r="174" spans="33:52" ph="1">
      <c r="AZ174" s="64" t="s" ph="1">
        <v>385</v>
      </c>
    </row>
    <row r="175" spans="33:52" ph="1">
      <c r="AJ175" s="64" t="s" ph="1">
        <v>306</v>
      </c>
    </row>
    <row r="176" spans="33:52" ph="1">
      <c r="AJ176" s="64" t="s" ph="1">
        <v>307</v>
      </c>
      <c r="AK176" s="64" t="s" ph="1">
        <v>308</v>
      </c>
      <c r="AM176" s="64" t="s" ph="1">
        <v>309</v>
      </c>
      <c r="AO176" s="64" t="s" ph="1">
        <v>310</v>
      </c>
      <c r="AP176" s="64" t="s" ph="1">
        <v>311</v>
      </c>
      <c r="AQ176" s="64" t="s" ph="1">
        <v>301</v>
      </c>
      <c r="AR176" s="64" t="s" ph="1">
        <v>221</v>
      </c>
    </row>
    <row r="177" spans="36:56" ph="1">
      <c r="AJ177" s="64" t="s" ph="1">
        <v>603</v>
      </c>
      <c r="AK177" s="64" t="s" ph="1">
        <v>312</v>
      </c>
      <c r="AO177" s="64" t="s" ph="1">
        <v>312</v>
      </c>
      <c r="AP177" s="64" t="s" ph="1">
        <v>312</v>
      </c>
      <c r="AQ177" s="64" t="s" ph="1">
        <v>313</v>
      </c>
      <c r="AR177" s="64" t="s" ph="1">
        <v>314</v>
      </c>
    </row>
    <row r="179" spans="36:56" ph="1">
      <c r="AJ179" s="64" t="s" ph="1">
        <v>315</v>
      </c>
      <c r="AK179" s="64" t="s" ph="1">
        <v>316</v>
      </c>
      <c r="AM179" s="64" t="s" ph="1">
        <v>317</v>
      </c>
      <c r="AN179" s="64" t="s" ph="1">
        <v>293</v>
      </c>
      <c r="AO179" s="64" t="s" ph="1">
        <v>318</v>
      </c>
      <c r="AP179" s="64" t="s" ph="1">
        <v>297</v>
      </c>
      <c r="AQ179" s="64" t="s" ph="1">
        <v>319</v>
      </c>
      <c r="AR179" s="64" t="s" ph="1">
        <v>320</v>
      </c>
    </row>
    <row r="180" spans="36:56" ph="1">
      <c r="AJ180" s="64" t="s" ph="1">
        <v>312</v>
      </c>
      <c r="AK180" s="64" t="s" ph="1">
        <v>312</v>
      </c>
      <c r="AL180" s="64" ph="1">
        <v>116</v>
      </c>
      <c r="AM180" s="64" t="s" ph="1">
        <v>312</v>
      </c>
      <c r="AN180" s="64" t="s" ph="1">
        <v>321</v>
      </c>
      <c r="AO180" s="64" t="s" ph="1">
        <v>312</v>
      </c>
      <c r="AP180" s="64" t="s" ph="1">
        <v>322</v>
      </c>
      <c r="AQ180" s="64" t="s" ph="1">
        <v>323</v>
      </c>
      <c r="AR180" s="64" t="s" ph="1">
        <v>324</v>
      </c>
    </row>
    <row r="189" spans="36:56" ph="1">
      <c r="BD189" s="64" t="s" ph="1">
        <v>568</v>
      </c>
    </row>
    <row r="223" spans="18:18" ph="1">
      <c r="R223" s="135" ph="1">
        <v>45496</v>
      </c>
    </row>
  </sheetData>
  <mergeCells count="58"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B33:C34"/>
    <mergeCell ref="D33:D34"/>
    <mergeCell ref="E33:E34"/>
    <mergeCell ref="F33:F34"/>
    <mergeCell ref="G33:G34"/>
    <mergeCell ref="S31:U31"/>
    <mergeCell ref="V31:X31"/>
    <mergeCell ref="Y31:AA31"/>
    <mergeCell ref="AB31:AE31"/>
    <mergeCell ref="AD32:AE32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</mergeCells>
  <phoneticPr fontId="2" type="noConversion"/>
  <conditionalFormatting sqref="D4:D11">
    <cfRule type="expression" dxfId="2476" priority="100">
      <formula>ABS(D$7-D$10)&gt;=1000</formula>
    </cfRule>
  </conditionalFormatting>
  <conditionalFormatting sqref="E4 E6:E11">
    <cfRule type="expression" dxfId="2475" priority="99">
      <formula>ABS(E$7-E$10)&gt;=1000</formula>
    </cfRule>
  </conditionalFormatting>
  <conditionalFormatting sqref="F4:F11">
    <cfRule type="expression" dxfId="2474" priority="98">
      <formula>ABS(F$7-F$10)&gt;=1000</formula>
    </cfRule>
  </conditionalFormatting>
  <conditionalFormatting sqref="G4:G11">
    <cfRule type="expression" dxfId="2473" priority="97">
      <formula>ABS(G$7-G$10)&gt;=1000</formula>
    </cfRule>
  </conditionalFormatting>
  <conditionalFormatting sqref="H4:H11">
    <cfRule type="expression" dxfId="2472" priority="96">
      <formula>ABS(H$7-H$10)&gt;=1000</formula>
    </cfRule>
  </conditionalFormatting>
  <conditionalFormatting sqref="I4:I11">
    <cfRule type="expression" dxfId="2471" priority="95">
      <formula>ABS(I$7-I$10)&gt;=1000</formula>
    </cfRule>
  </conditionalFormatting>
  <conditionalFormatting sqref="J4:J11">
    <cfRule type="expression" dxfId="2470" priority="94">
      <formula>ABS(J$7-J$10)&gt;=1000</formula>
    </cfRule>
  </conditionalFormatting>
  <conditionalFormatting sqref="K4:K11">
    <cfRule type="expression" dxfId="2469" priority="93">
      <formula>ABS(K$7-K$10)&gt;=1000</formula>
    </cfRule>
  </conditionalFormatting>
  <conditionalFormatting sqref="L4:L11">
    <cfRule type="expression" dxfId="2468" priority="92">
      <formula>ABS(L$7-L$10)&gt;=1000</formula>
    </cfRule>
  </conditionalFormatting>
  <conditionalFormatting sqref="M4 M6:M11">
    <cfRule type="expression" dxfId="2467" priority="91">
      <formula>ABS(M$7-M$10)&gt;=1000</formula>
    </cfRule>
  </conditionalFormatting>
  <conditionalFormatting sqref="N4 N6:N11">
    <cfRule type="expression" dxfId="2466" priority="90">
      <formula>ABS(N$7-N$10)&gt;=1000</formula>
    </cfRule>
  </conditionalFormatting>
  <conditionalFormatting sqref="O4 O6:O11">
    <cfRule type="expression" dxfId="2465" priority="89">
      <formula>ABS(O$7-O$10)&gt;=1000</formula>
    </cfRule>
  </conditionalFormatting>
  <conditionalFormatting sqref="P4 P6:P11">
    <cfRule type="expression" dxfId="2464" priority="88">
      <formula>ABS(P$7-P$10)&gt;=1000</formula>
    </cfRule>
  </conditionalFormatting>
  <conditionalFormatting sqref="Q4:Q11">
    <cfRule type="expression" dxfId="2463" priority="87">
      <formula>ABS(Q$7-Q$10)&gt;=1000</formula>
    </cfRule>
  </conditionalFormatting>
  <conditionalFormatting sqref="R4:R11">
    <cfRule type="expression" dxfId="2462" priority="86">
      <formula>ABS(R$7-R$10)&gt;=1000</formula>
    </cfRule>
  </conditionalFormatting>
  <conditionalFormatting sqref="S4:S11">
    <cfRule type="expression" dxfId="2461" priority="85">
      <formula>ABS(S$7-S$10)&gt;=1000</formula>
    </cfRule>
  </conditionalFormatting>
  <conditionalFormatting sqref="T4:T9 T11">
    <cfRule type="expression" dxfId="2460" priority="84">
      <formula>ABS(T$7-T$10)&gt;=1000</formula>
    </cfRule>
  </conditionalFormatting>
  <conditionalFormatting sqref="U4:U9 U11">
    <cfRule type="expression" dxfId="2459" priority="83">
      <formula>ABS(U$7-U$10)&gt;=1000</formula>
    </cfRule>
  </conditionalFormatting>
  <conditionalFormatting sqref="V4:V9 V11">
    <cfRule type="expression" dxfId="2458" priority="82">
      <formula>ABS(V$7-V$10)&gt;=1000</formula>
    </cfRule>
  </conditionalFormatting>
  <conditionalFormatting sqref="W4:W9 W11">
    <cfRule type="expression" dxfId="2457" priority="81">
      <formula>ABS(W$7-W$10)&gt;=1000</formula>
    </cfRule>
  </conditionalFormatting>
  <conditionalFormatting sqref="X4:X9 X11">
    <cfRule type="expression" dxfId="2456" priority="80">
      <formula>ABS(X$7-X$10)&gt;=1000</formula>
    </cfRule>
  </conditionalFormatting>
  <conditionalFormatting sqref="Y4:Y9 Y11">
    <cfRule type="expression" dxfId="2455" priority="79">
      <formula>ABS(Y$7-Y$10)&gt;=1000</formula>
    </cfRule>
  </conditionalFormatting>
  <conditionalFormatting sqref="Z4:Z11">
    <cfRule type="expression" dxfId="2454" priority="78">
      <formula>ABS(Z$7-Z$10)&gt;=1000</formula>
    </cfRule>
  </conditionalFormatting>
  <conditionalFormatting sqref="AA4:AA11">
    <cfRule type="expression" dxfId="2453" priority="77">
      <formula>ABS(AA$7-AA$10)&gt;=1000</formula>
    </cfRule>
  </conditionalFormatting>
  <conditionalFormatting sqref="AB4:AB11">
    <cfRule type="expression" dxfId="2452" priority="76">
      <formula>ABS(AB$7-AB$10)&gt;=1000</formula>
    </cfRule>
  </conditionalFormatting>
  <conditionalFormatting sqref="AC4 AC6:AC11">
    <cfRule type="expression" dxfId="2451" priority="75">
      <formula>ABS(AC$7-AC$10)&gt;=1000</formula>
    </cfRule>
  </conditionalFormatting>
  <conditionalFormatting sqref="AD4 AD6:AD11">
    <cfRule type="expression" dxfId="2450" priority="74">
      <formula>ABS(AD$7-AD$10)&gt;=1000</formula>
    </cfRule>
  </conditionalFormatting>
  <conditionalFormatting sqref="AE4 AE6:AE11">
    <cfRule type="expression" dxfId="2449" priority="73">
      <formula>ABS(AE$7-AE$10)&gt;=1000</formula>
    </cfRule>
  </conditionalFormatting>
  <conditionalFormatting sqref="D13:D20">
    <cfRule type="expression" dxfId="2448" priority="72">
      <formula>ABS(D$16-D$19)&gt;=1000</formula>
    </cfRule>
  </conditionalFormatting>
  <conditionalFormatting sqref="E13:E20">
    <cfRule type="expression" dxfId="2447" priority="71">
      <formula>ABS(E$16-E$19)&gt;=1000</formula>
    </cfRule>
  </conditionalFormatting>
  <conditionalFormatting sqref="F13 F15:F20">
    <cfRule type="expression" dxfId="2446" priority="70">
      <formula>ABS(F$16-F$19)&gt;=1000</formula>
    </cfRule>
  </conditionalFormatting>
  <conditionalFormatting sqref="G13:G20">
    <cfRule type="expression" dxfId="2445" priority="69">
      <formula>ABS(G$16-G$19)&gt;=1000</formula>
    </cfRule>
  </conditionalFormatting>
  <conditionalFormatting sqref="H13 H15:H20">
    <cfRule type="expression" dxfId="2444" priority="68">
      <formula>ABS(H$16-H$19)&gt;=1000</formula>
    </cfRule>
  </conditionalFormatting>
  <conditionalFormatting sqref="I13:I20">
    <cfRule type="expression" dxfId="2443" priority="67">
      <formula>ABS(I$16-I$19)&gt;=1000</formula>
    </cfRule>
  </conditionalFormatting>
  <conditionalFormatting sqref="J13:J20">
    <cfRule type="expression" dxfId="2442" priority="66">
      <formula>ABS(J$16-J$19)&gt;=1000</formula>
    </cfRule>
  </conditionalFormatting>
  <conditionalFormatting sqref="L13:L20">
    <cfRule type="expression" dxfId="2441" priority="65">
      <formula>ABS(L$16-L$19)&gt;=1000</formula>
    </cfRule>
  </conditionalFormatting>
  <conditionalFormatting sqref="M13 M15 M17:M18 M20">
    <cfRule type="expression" dxfId="2440" priority="64">
      <formula>ABS(M$16-M$19)&gt;=1000</formula>
    </cfRule>
  </conditionalFormatting>
  <conditionalFormatting sqref="N13:N20">
    <cfRule type="expression" dxfId="2439" priority="63">
      <formula>ABS(N$16-N$19)&gt;=1000</formula>
    </cfRule>
  </conditionalFormatting>
  <conditionalFormatting sqref="O13:O20">
    <cfRule type="expression" dxfId="2438" priority="62">
      <formula>ABS(O$16-O$19)&gt;=1000</formula>
    </cfRule>
  </conditionalFormatting>
  <conditionalFormatting sqref="P13:P20">
    <cfRule type="expression" dxfId="2437" priority="61">
      <formula>ABS(P$16-P$19)&gt;=1000</formula>
    </cfRule>
  </conditionalFormatting>
  <conditionalFormatting sqref="Q13 Q15:Q20">
    <cfRule type="expression" dxfId="2436" priority="60">
      <formula>ABS(Q$16-Q$19)&gt;=1000</formula>
    </cfRule>
  </conditionalFormatting>
  <conditionalFormatting sqref="R13:R20">
    <cfRule type="expression" dxfId="2435" priority="59">
      <formula>ABS(R$16-R$19)&gt;=1000</formula>
    </cfRule>
  </conditionalFormatting>
  <conditionalFormatting sqref="S13:S20">
    <cfRule type="expression" dxfId="2434" priority="58">
      <formula>ABS(S$16-S$19)&gt;=1000</formula>
    </cfRule>
  </conditionalFormatting>
  <conditionalFormatting sqref="T13:T20">
    <cfRule type="expression" dxfId="2433" priority="57">
      <formula>ABS(T$16-T$19)&gt;=1000</formula>
    </cfRule>
  </conditionalFormatting>
  <conditionalFormatting sqref="U13:U20">
    <cfRule type="expression" dxfId="2432" priority="56">
      <formula>ABS(U$16-U$19)&gt;=1000</formula>
    </cfRule>
  </conditionalFormatting>
  <conditionalFormatting sqref="V13:V20">
    <cfRule type="expression" dxfId="2431" priority="55">
      <formula>ABS(V$16-V$19)&gt;=1000</formula>
    </cfRule>
  </conditionalFormatting>
  <conditionalFormatting sqref="W13 W20 W15:W18">
    <cfRule type="expression" dxfId="2430" priority="54">
      <formula>ABS(W$16-W$19)&gt;=1000</formula>
    </cfRule>
  </conditionalFormatting>
  <conditionalFormatting sqref="X13 X15:X20 Y19">
    <cfRule type="expression" dxfId="2429" priority="53">
      <formula>ABS(X$16-X$19)&gt;=1000</formula>
    </cfRule>
  </conditionalFormatting>
  <conditionalFormatting sqref="Y13 Y15:Y18 Y20">
    <cfRule type="expression" dxfId="2428" priority="52">
      <formula>ABS(Y$16-Y$19)&gt;=1000</formula>
    </cfRule>
  </conditionalFormatting>
  <conditionalFormatting sqref="Z13:Z20">
    <cfRule type="expression" dxfId="2427" priority="51">
      <formula>ABS(Z$16-Z$19)&gt;=1000</formula>
    </cfRule>
  </conditionalFormatting>
  <conditionalFormatting sqref="AA13:AA20">
    <cfRule type="expression" dxfId="2426" priority="50">
      <formula>ABS(AA$16-AA$19)&gt;=1000</formula>
    </cfRule>
  </conditionalFormatting>
  <conditionalFormatting sqref="AB13 AB15:AB20">
    <cfRule type="expression" dxfId="2425" priority="49">
      <formula>ABS(AB$16-AB$19)&gt;=1000</formula>
    </cfRule>
  </conditionalFormatting>
  <conditionalFormatting sqref="AC13 AC15:AC20">
    <cfRule type="expression" dxfId="2424" priority="48">
      <formula>ABS(AC$16-AC$19)&gt;=1000</formula>
    </cfRule>
  </conditionalFormatting>
  <conditionalFormatting sqref="AD13:AD20">
    <cfRule type="expression" dxfId="2423" priority="47">
      <formula>ABS(AD$16-AD$19)&gt;=1000</formula>
    </cfRule>
  </conditionalFormatting>
  <conditionalFormatting sqref="AE13:AE20">
    <cfRule type="expression" dxfId="2422" priority="46">
      <formula>ABS(AE$16-AE$19)&gt;=1000</formula>
    </cfRule>
  </conditionalFormatting>
  <conditionalFormatting sqref="D22:D29">
    <cfRule type="expression" dxfId="2421" priority="45">
      <formula>ABS(D$25-D$28)&gt;=1000</formula>
    </cfRule>
  </conditionalFormatting>
  <conditionalFormatting sqref="E22:E29">
    <cfRule type="expression" dxfId="2420" priority="44">
      <formula>ABS(E$25-E$28)&gt;=1000</formula>
    </cfRule>
  </conditionalFormatting>
  <conditionalFormatting sqref="F22:F29">
    <cfRule type="expression" dxfId="2419" priority="43">
      <formula>ABS(F$25-F$28)&gt;=1000</formula>
    </cfRule>
  </conditionalFormatting>
  <conditionalFormatting sqref="G22:G29">
    <cfRule type="expression" dxfId="2418" priority="42">
      <formula>ABS(G$25-G$28)&gt;=1000</formula>
    </cfRule>
  </conditionalFormatting>
  <conditionalFormatting sqref="H22:H29">
    <cfRule type="expression" dxfId="2417" priority="41">
      <formula>ABS(H$25-H$28)&gt;=1000</formula>
    </cfRule>
  </conditionalFormatting>
  <conditionalFormatting sqref="I22 I24:I29">
    <cfRule type="expression" dxfId="2416" priority="40">
      <formula>ABS(I$25-I$28)&gt;=1000</formula>
    </cfRule>
  </conditionalFormatting>
  <conditionalFormatting sqref="J22:J29 K22">
    <cfRule type="expression" dxfId="2415" priority="39">
      <formula>ABS(J$25-J$28)&gt;=1000</formula>
    </cfRule>
  </conditionalFormatting>
  <conditionalFormatting sqref="K23:K29 L25 L28">
    <cfRule type="expression" dxfId="2414" priority="38">
      <formula>ABS(K$25-K$28)&gt;=1000</formula>
    </cfRule>
  </conditionalFormatting>
  <conditionalFormatting sqref="L22 L26:L27 L29 L24">
    <cfRule type="expression" dxfId="2413" priority="37">
      <formula>ABS(L$25-L$28)&gt;=1000</formula>
    </cfRule>
  </conditionalFormatting>
  <conditionalFormatting sqref="M22:M29">
    <cfRule type="expression" dxfId="2412" priority="36">
      <formula>ABS(M$25-M$28)&gt;=1000</formula>
    </cfRule>
  </conditionalFormatting>
  <conditionalFormatting sqref="N22:N29">
    <cfRule type="expression" dxfId="2411" priority="35">
      <formula>ABS(N$25-N$28)&gt;=1000</formula>
    </cfRule>
  </conditionalFormatting>
  <conditionalFormatting sqref="O22:O29">
    <cfRule type="expression" dxfId="2410" priority="34">
      <formula>ABS(O$25-O$28)&gt;=1000</formula>
    </cfRule>
  </conditionalFormatting>
  <conditionalFormatting sqref="P22:P29">
    <cfRule type="expression" dxfId="2409" priority="33">
      <formula>ABS(P$25-P$28)&gt;=1000</formula>
    </cfRule>
  </conditionalFormatting>
  <conditionalFormatting sqref="Q22:Q29">
    <cfRule type="expression" dxfId="2408" priority="32">
      <formula>ABS(Q$25-Q$28)&gt;=1000</formula>
    </cfRule>
  </conditionalFormatting>
  <conditionalFormatting sqref="R22:R29">
    <cfRule type="expression" dxfId="2407" priority="31">
      <formula>ABS(R$25-R$28)&gt;=1000</formula>
    </cfRule>
  </conditionalFormatting>
  <conditionalFormatting sqref="S22:S29">
    <cfRule type="expression" dxfId="2406" priority="30">
      <formula>ABS(S$25-S$28)&gt;=1000</formula>
    </cfRule>
  </conditionalFormatting>
  <conditionalFormatting sqref="T22:T29">
    <cfRule type="expression" dxfId="2405" priority="29">
      <formula>ABS(T$25-T$28)&gt;=1000</formula>
    </cfRule>
  </conditionalFormatting>
  <conditionalFormatting sqref="U22:U29">
    <cfRule type="expression" dxfId="2404" priority="28">
      <formula>ABS(U$25-U$28)&gt;=1000</formula>
    </cfRule>
  </conditionalFormatting>
  <conditionalFormatting sqref="V22:V29">
    <cfRule type="expression" dxfId="2403" priority="27">
      <formula>ABS(V$25-V$28)&gt;=1000</formula>
    </cfRule>
  </conditionalFormatting>
  <conditionalFormatting sqref="W22:W29">
    <cfRule type="expression" dxfId="2402" priority="26">
      <formula>ABS(W$25-W$28)&gt;=1000</formula>
    </cfRule>
  </conditionalFormatting>
  <conditionalFormatting sqref="X22:X29">
    <cfRule type="expression" dxfId="2401" priority="25">
      <formula>ABS(X$25-X$28)&gt;=1000</formula>
    </cfRule>
  </conditionalFormatting>
  <conditionalFormatting sqref="Y22:Y29">
    <cfRule type="expression" dxfId="2400" priority="24">
      <formula>ABS(Y$25-Y$28)&gt;=1000</formula>
    </cfRule>
  </conditionalFormatting>
  <conditionalFormatting sqref="I23">
    <cfRule type="expression" dxfId="2399" priority="23">
      <formula>ABS(I$25-I$28)&gt;=1000</formula>
    </cfRule>
  </conditionalFormatting>
  <conditionalFormatting sqref="Q14">
    <cfRule type="expression" dxfId="2398" priority="22">
      <formula>ABS(Q$16-Q$19)&gt;=1000</formula>
    </cfRule>
  </conditionalFormatting>
  <conditionalFormatting sqref="W14">
    <cfRule type="expression" dxfId="2397" priority="21">
      <formula>ABS(W$16-W$19)&gt;=1000</formula>
    </cfRule>
  </conditionalFormatting>
  <conditionalFormatting sqref="X14">
    <cfRule type="expression" dxfId="2396" priority="20">
      <formula>ABS(X$16-X$19)&gt;=1000</formula>
    </cfRule>
  </conditionalFormatting>
  <conditionalFormatting sqref="T10:Y10">
    <cfRule type="expression" dxfId="2395" priority="19">
      <formula>ABS(T$7-T$10)&gt;=1000</formula>
    </cfRule>
  </conditionalFormatting>
  <conditionalFormatting sqref="W19">
    <cfRule type="expression" dxfId="2394" priority="18">
      <formula>ABS(W$16-W$19)&gt;=1000</formula>
    </cfRule>
  </conditionalFormatting>
  <conditionalFormatting sqref="AC5">
    <cfRule type="expression" dxfId="2393" priority="17">
      <formula>ABS(AC$7-AC$10)&gt;=1000</formula>
    </cfRule>
  </conditionalFormatting>
  <conditionalFormatting sqref="M14">
    <cfRule type="expression" dxfId="2392" priority="16">
      <formula>ABS(M$16-M$19)&gt;=1000</formula>
    </cfRule>
  </conditionalFormatting>
  <conditionalFormatting sqref="M16">
    <cfRule type="expression" dxfId="2391" priority="15">
      <formula>ABS(M$16-M$19)&gt;=1000</formula>
    </cfRule>
  </conditionalFormatting>
  <conditionalFormatting sqref="M19">
    <cfRule type="expression" dxfId="2390" priority="14">
      <formula>ABS(M$16-M$19)&gt;=1000</formula>
    </cfRule>
  </conditionalFormatting>
  <conditionalFormatting sqref="K13:K20">
    <cfRule type="expression" dxfId="2389" priority="13">
      <formula>ABS(K$16-K$19)&gt;=1000</formula>
    </cfRule>
  </conditionalFormatting>
  <conditionalFormatting sqref="E5">
    <cfRule type="expression" dxfId="2388" priority="12">
      <formula>ABS(E$7-E$10)&gt;=1000</formula>
    </cfRule>
  </conditionalFormatting>
  <conditionalFormatting sqref="AB14:AC14">
    <cfRule type="expression" dxfId="2387" priority="11">
      <formula>ABS(AB$16-AB$19)&gt;=1000</formula>
    </cfRule>
  </conditionalFormatting>
  <conditionalFormatting sqref="M5">
    <cfRule type="expression" dxfId="2386" priority="10">
      <formula>ABS(M$7-M$10)&gt;=1000</formula>
    </cfRule>
  </conditionalFormatting>
  <conditionalFormatting sqref="N5">
    <cfRule type="expression" dxfId="2385" priority="9">
      <formula>ABS(N$7-N$10)&gt;=1000</formula>
    </cfRule>
  </conditionalFormatting>
  <conditionalFormatting sqref="O5">
    <cfRule type="expression" dxfId="2384" priority="8">
      <formula>ABS(O$7-O$10)&gt;=1000</formula>
    </cfRule>
  </conditionalFormatting>
  <conditionalFormatting sqref="P5">
    <cfRule type="expression" dxfId="2383" priority="7">
      <formula>ABS(P$7-P$10)&gt;=1000</formula>
    </cfRule>
  </conditionalFormatting>
  <conditionalFormatting sqref="L23">
    <cfRule type="expression" dxfId="2382" priority="6">
      <formula>ABS(L$25-L$28)&gt;=1000</formula>
    </cfRule>
  </conditionalFormatting>
  <conditionalFormatting sqref="Y14">
    <cfRule type="expression" dxfId="2381" priority="5">
      <formula>ABS(Y$16-Y$19)&gt;=1000</formula>
    </cfRule>
  </conditionalFormatting>
  <conditionalFormatting sqref="F14">
    <cfRule type="expression" dxfId="2380" priority="4">
      <formula>ABS(F$16-F$19)&gt;=1000</formula>
    </cfRule>
  </conditionalFormatting>
  <conditionalFormatting sqref="H14">
    <cfRule type="expression" dxfId="2379" priority="3">
      <formula>ABS(H$16-H$19)&gt;=1000</formula>
    </cfRule>
  </conditionalFormatting>
  <conditionalFormatting sqref="AD5">
    <cfRule type="expression" dxfId="2378" priority="2">
      <formula>ABS(AD$7-AD$10)&gt;=1000</formula>
    </cfRule>
  </conditionalFormatting>
  <conditionalFormatting sqref="AE5">
    <cfRule type="expression" dxfId="2377" priority="1">
      <formula>ABS(AE$7-AE$10)&gt;=1000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70273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903">
    <pageSetUpPr fitToPage="1"/>
  </sheetPr>
  <dimension ref="A1:CU223"/>
  <sheetViews>
    <sheetView view="pageBreakPreview" topLeftCell="A6" zoomScale="70" zoomScaleNormal="100" zoomScaleSheetLayoutView="70" workbookViewId="0">
      <selection activeCell="L11" sqref="L11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185" t="s" ph="1">
        <v>161</v>
      </c>
      <c r="C1" s="185" ph="1"/>
      <c r="D1" s="185" ph="1"/>
      <c r="E1" s="185" ph="1"/>
      <c r="F1" s="185" ph="1"/>
      <c r="G1" s="185" ph="1"/>
      <c r="H1" s="185" ph="1"/>
      <c r="I1" s="185" ph="1"/>
      <c r="J1" s="185" ph="1"/>
      <c r="K1" s="185" ph="1"/>
      <c r="L1" s="185" ph="1"/>
      <c r="M1" s="185" ph="1"/>
      <c r="N1" s="185" ph="1"/>
      <c r="O1" s="185" ph="1"/>
      <c r="P1" s="185" ph="1"/>
      <c r="Q1" s="185" ph="1"/>
      <c r="R1" s="185" ph="1"/>
      <c r="S1" s="185" ph="1"/>
      <c r="T1" s="185" ph="1"/>
      <c r="U1" s="185" ph="1"/>
      <c r="V1" s="185" ph="1"/>
      <c r="W1" s="185" ph="1"/>
      <c r="X1" s="185" ph="1"/>
      <c r="Y1" s="185" ph="1"/>
      <c r="Z1" s="185" ph="1"/>
      <c r="AA1" s="185" ph="1"/>
      <c r="AB1" s="185" ph="1"/>
      <c r="AC1" s="185" ph="1"/>
      <c r="AD1" s="185" ph="1"/>
      <c r="AE1" s="185" ph="1"/>
    </row>
    <row r="2" spans="1:99" s="66" customFormat="1" ht="24" customHeight="1" ph="1">
      <c r="B2" s="186" t="s" ph="1">
        <v>82</v>
      </c>
      <c r="C2" s="186" ph="1"/>
      <c r="D2" s="186" ph="1"/>
      <c r="E2" s="186" ph="1"/>
      <c r="F2" s="186" ph="1"/>
      <c r="G2" s="186" ph="1"/>
      <c r="H2" s="186" ph="1"/>
      <c r="I2" s="186" ph="1"/>
      <c r="J2" s="186" ph="1"/>
      <c r="K2" s="186" ph="1"/>
      <c r="L2" s="186" ph="1"/>
      <c r="M2" s="186" ph="1"/>
      <c r="N2" s="186" ph="1"/>
      <c r="O2" s="186" ph="1"/>
      <c r="P2" s="186" ph="1"/>
      <c r="Q2" s="186" ph="1"/>
      <c r="R2" s="186" ph="1"/>
      <c r="S2" s="186" ph="1"/>
      <c r="T2" s="186" ph="1"/>
      <c r="U2" s="186" ph="1"/>
      <c r="V2" s="186" ph="1"/>
      <c r="W2" s="186" ph="1"/>
      <c r="X2" s="186" ph="1"/>
      <c r="Y2" s="186" ph="1"/>
      <c r="Z2" s="186" ph="1"/>
      <c r="AA2" s="186" ph="1"/>
      <c r="AB2" s="186" ph="1"/>
      <c r="AC2" s="186" ph="1"/>
      <c r="AD2" s="186" ph="1"/>
      <c r="AE2" s="186" ph="1"/>
    </row>
    <row r="3" spans="1:99" ht="21" customHeight="1" ph="1">
      <c r="B3" s="187" ph="1">
        <v>46177</v>
      </c>
      <c r="C3" s="187"/>
      <c r="D3" s="187"/>
      <c r="E3" s="187"/>
      <c r="F3" s="187"/>
      <c r="G3" s="187"/>
      <c r="H3" s="187"/>
      <c r="I3" s="187"/>
      <c r="J3" s="187"/>
      <c r="K3" s="187"/>
      <c r="L3" s="187"/>
      <c r="M3" s="187"/>
      <c r="N3" s="187"/>
      <c r="O3" s="187"/>
      <c r="P3" s="187"/>
      <c r="Q3" s="187"/>
      <c r="R3" s="187"/>
      <c r="S3" s="187"/>
      <c r="T3" s="187"/>
      <c r="U3" s="187"/>
      <c r="V3" s="187"/>
      <c r="W3" s="187"/>
      <c r="X3" s="187"/>
      <c r="Y3" s="187"/>
      <c r="Z3" s="187"/>
      <c r="AA3" s="187"/>
      <c r="AB3" s="187"/>
      <c r="AC3" s="187"/>
      <c r="AD3" s="187"/>
      <c r="AE3" s="187"/>
    </row>
    <row r="4" spans="1:99" s="69" customFormat="1" ph="1">
      <c r="A4" s="65" ph="1"/>
      <c r="B4" s="188" t="s" ph="1">
        <v>37</v>
      </c>
      <c r="C4" s="67" t="s" ph="1">
        <v>176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110</v>
      </c>
      <c r="J4" s="68" t="s" ph="1">
        <v>48</v>
      </c>
      <c r="K4" s="68" t="s" ph="1">
        <v>111</v>
      </c>
      <c r="L4" s="68" t="s" ph="1">
        <v>112</v>
      </c>
      <c r="M4" s="68" t="s" ph="1">
        <v>49</v>
      </c>
      <c r="N4" s="68" t="s" ph="1">
        <v>50</v>
      </c>
      <c r="O4" s="68" t="s" ph="1">
        <v>113</v>
      </c>
      <c r="P4" s="68" t="s" ph="1">
        <v>114</v>
      </c>
      <c r="Q4" s="68" t="s" ph="1">
        <v>115</v>
      </c>
      <c r="R4" s="68" t="s" ph="1">
        <v>116</v>
      </c>
      <c r="S4" s="68" t="s" ph="1">
        <v>117</v>
      </c>
      <c r="T4" s="68" t="s" ph="1">
        <v>118</v>
      </c>
      <c r="U4" s="68" t="s" ph="1">
        <v>119</v>
      </c>
      <c r="V4" s="68" t="s" ph="1">
        <v>120</v>
      </c>
      <c r="W4" s="68" t="s" ph="1">
        <v>121</v>
      </c>
      <c r="X4" s="68" t="s" ph="1">
        <v>122</v>
      </c>
      <c r="Y4" s="68" t="s" ph="1">
        <v>123</v>
      </c>
      <c r="Z4" s="68" t="s" ph="1">
        <v>51</v>
      </c>
      <c r="AA4" s="68" t="s" ph="1">
        <v>124</v>
      </c>
      <c r="AB4" s="68" t="s" ph="1">
        <v>125</v>
      </c>
      <c r="AC4" s="68" t="s" ph="1">
        <v>126</v>
      </c>
      <c r="AD4" s="68" t="s" ph="1">
        <v>40</v>
      </c>
      <c r="AE4" s="68" t="s" ph="1">
        <v>127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188" ph="1"/>
      <c r="C5" s="67" t="s" ph="1">
        <v>36</v>
      </c>
      <c r="D5" s="70" t="s" ph="1">
        <v>160</v>
      </c>
      <c r="E5" s="142" t="s" ph="1">
        <v>7</v>
      </c>
      <c r="F5" s="142" t="s" ph="1">
        <v>1</v>
      </c>
      <c r="G5" s="142" t="s" ph="1">
        <v>7</v>
      </c>
      <c r="H5" s="142" t="s" ph="1">
        <v>7</v>
      </c>
      <c r="I5" s="141" t="s" ph="1">
        <v>608</v>
      </c>
      <c r="J5" s="141" t="s" ph="1">
        <v>609</v>
      </c>
      <c r="K5" s="141" t="s" ph="1">
        <v>611</v>
      </c>
      <c r="L5" s="141" t="s" ph="1">
        <v>613</v>
      </c>
      <c r="M5" s="141" t="s" ph="1">
        <v>608</v>
      </c>
      <c r="N5" s="70" t="s" ph="1">
        <v>609</v>
      </c>
      <c r="O5" s="70" t="s" ph="1">
        <v>611</v>
      </c>
      <c r="P5" s="70" t="s" ph="1">
        <v>613</v>
      </c>
      <c r="Q5" s="70" t="s" ph="1">
        <v>607</v>
      </c>
      <c r="R5" s="70" t="s" ph="1">
        <v>607</v>
      </c>
      <c r="S5" s="70" t="s" ph="1">
        <v>607</v>
      </c>
      <c r="T5" s="70" t="s" ph="1">
        <v>607</v>
      </c>
      <c r="U5" s="70" t="s" ph="1">
        <v>607</v>
      </c>
      <c r="V5" s="70" t="s" ph="1">
        <v>607</v>
      </c>
      <c r="W5" s="70" t="s" ph="1">
        <v>607</v>
      </c>
      <c r="X5" s="70" t="s" ph="1">
        <v>607</v>
      </c>
      <c r="Y5" s="70" t="s" ph="1">
        <v>607</v>
      </c>
      <c r="Z5" s="70" t="s" ph="1">
        <v>614</v>
      </c>
      <c r="AA5" s="70" t="s" ph="1">
        <v>54</v>
      </c>
      <c r="AB5" s="70" t="s" ph="1">
        <v>54</v>
      </c>
      <c r="AC5" s="70" t="s" ph="1">
        <v>615</v>
      </c>
      <c r="AD5" s="71" t="s">
        <v>72</v>
      </c>
      <c r="AE5" s="71" t="s">
        <v>635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184" ph="1">
        <v>0.33333333333333331</v>
      </c>
      <c r="C6" s="150" t="s" ph="1">
        <v>177</v>
      </c>
      <c r="D6" s="71">
        <v>1989</v>
      </c>
      <c r="E6" s="71">
        <v>7819</v>
      </c>
      <c r="F6" s="71">
        <v>5844</v>
      </c>
      <c r="G6" s="71">
        <v>1659</v>
      </c>
      <c r="H6" s="71">
        <v>2292</v>
      </c>
      <c r="I6" s="71">
        <v>38.65</v>
      </c>
      <c r="J6" s="71">
        <v>6.25</v>
      </c>
      <c r="K6" s="71">
        <v>62.96</v>
      </c>
      <c r="L6" s="71">
        <v>6.47</v>
      </c>
      <c r="M6" s="71">
        <v>6390</v>
      </c>
      <c r="N6" s="71">
        <v>582</v>
      </c>
      <c r="O6" s="71">
        <v>5114</v>
      </c>
      <c r="P6" s="71">
        <v>1715</v>
      </c>
      <c r="Q6" s="71">
        <v>5374</v>
      </c>
      <c r="R6" s="71">
        <v>7066</v>
      </c>
      <c r="S6" s="71">
        <v>5708</v>
      </c>
      <c r="T6" s="71">
        <v>7147</v>
      </c>
      <c r="U6" s="71">
        <v>7034</v>
      </c>
      <c r="V6" s="71">
        <v>943</v>
      </c>
      <c r="W6" s="71">
        <v>2673</v>
      </c>
      <c r="X6" s="71">
        <v>0</v>
      </c>
      <c r="Y6" s="71">
        <v>0</v>
      </c>
      <c r="Z6" s="71">
        <v>795</v>
      </c>
      <c r="AA6" s="71">
        <v>0</v>
      </c>
      <c r="AB6" s="71">
        <v>3465</v>
      </c>
      <c r="AC6" s="71">
        <v>3605</v>
      </c>
      <c r="AD6" s="71">
        <v>3889</v>
      </c>
      <c r="AE6" s="71">
        <v>4576</v>
      </c>
    </row>
    <row r="7" spans="1:99" s="72" customFormat="1" ht="22.2" ph="1">
      <c r="B7" s="184" ph="1"/>
      <c r="C7" s="68" t="s" ph="1">
        <v>178</v>
      </c>
      <c r="D7" s="73" ph="1">
        <f>D6*33.183*LOOKUP(D8,密度!$A$2:$A$50,密度!$Q$2:$Q$50)</f>
        <v>62300.311658909995</v>
      </c>
      <c r="E7" s="73" ph="1">
        <f>E6*51.53*LOOKUP(E8,密度!$A$2:$A$50,密度!$B$2:$B$50)</f>
        <v>314111.02937199996</v>
      </c>
      <c r="F7" s="73" ph="1">
        <f>F6*33.183*LOOKUP(F8,密度!$A$2:$A$50,密度!$C$2:$C$50)</f>
        <v>214748.61594479997</v>
      </c>
      <c r="G7" s="73" ph="1">
        <f xml:space="preserve"> (G6+2)*51.53*LOOKUP(G8,密度!$A$2:$A$50,密度!$B$2:$B$50)</f>
        <v>66504.463409999997</v>
      </c>
      <c r="H7" s="73" ph="1">
        <f>(H6)*51.53*LOOKUP(H8,密度!$A$2:$A$50,密度!$B$2:$B$50)</f>
        <v>92076.030096000002</v>
      </c>
      <c r="I7" s="73" ph="1">
        <f>I6*290.8*1.0267</f>
        <v>11539.512514</v>
      </c>
      <c r="J7" s="73" ph="1">
        <f>J6*290.8*0.7892</f>
        <v>1434.3710000000001</v>
      </c>
      <c r="K7" s="73" ph="1">
        <f>K6*290.8*1.1126</f>
        <v>20370.3352768</v>
      </c>
      <c r="L7" s="73" ph="1">
        <f>L6*290.8*0.777</f>
        <v>1461.9068520000001</v>
      </c>
      <c r="M7" s="73" ph="1">
        <f>M6*33.183*LOOKUP(M8,密度!$A$2:$A$50,密度!$D$2:$D$50)</f>
        <v>216704.23613999999</v>
      </c>
      <c r="N7" s="73" ph="1">
        <f>N6*33.183*LOOKUP(N8,密度!$A$2:$A$50,密度!$E$2:$E$50)</f>
        <v>15038.6484222</v>
      </c>
      <c r="O7" s="73" ph="1">
        <f>O6*20.428*LOOKUP(O8,密度!$A$2:$A$50,密度!$C$2:$C$50)</f>
        <v>115343.99324720001</v>
      </c>
      <c r="P7" s="73" ph="1">
        <f>P6*51.53*LOOKUP(P8,密度!$A$2:$A$50,密度!$B$2:$B$50)</f>
        <v>68746.095705</v>
      </c>
      <c r="Q7" s="73" ph="1">
        <f>Q6*1.5*1.5*3.1416*LOOKUP(W8,密度!$A$2:$A$50,密度!$L$2:$L$50)</f>
        <v>35479.537077600005</v>
      </c>
      <c r="R7" s="73" ph="1">
        <f>R6*1.5*1.5*3.1416*LOOKUP(R8,密度!$A$2:$A$50,密度!$L$2:$L$50)</f>
        <v>46450.456667999999</v>
      </c>
      <c r="S7" s="73" ph="1">
        <f>S6*1.5*1.5*3.1416*LOOKUP(S8,密度!$A$2:$A$50,密度!$L$2:$L$50)</f>
        <v>37846.019534400002</v>
      </c>
      <c r="T7" s="73" ph="1">
        <f>T6*1.5*1.5*3.1416*LOOKUP(T8,密度!$A$2:$A$50,密度!$L$2:$L$50)</f>
        <v>47387.0885796</v>
      </c>
      <c r="U7" s="73" ph="1">
        <f>U6*1.5*1.5*3.1416*LOOKUP(U8,密度!$A$2:$A$50,密度!$L$2:$L$50)</f>
        <v>46438.977261599997</v>
      </c>
      <c r="V7" s="73" ph="1">
        <f>V6*1.5*1.5*3.1416*LOOKUP(V8,密度!$A$2:$A$50,密度!$L$2:$L$50)</f>
        <v>6225.7542732000002</v>
      </c>
      <c r="W7" s="73" ph="1">
        <f>W6*1.5*1.5*3.1416*LOOKUP(W8,密度!$A$2:$A$50,密度!$L$2:$L$50)</f>
        <v>17647.339525200001</v>
      </c>
      <c r="X7" s="73" ph="1">
        <f>X6*1.5*1.5*3.1416*LOOKUP(X8,密度!$A$2:$A$50,密度!$L$2:$L$50)</f>
        <v>0</v>
      </c>
      <c r="Y7" s="73" ph="1">
        <f>Y6*1.5*1.5*3.1416*LOOKUP(Y8,密度!$A$2:$A$50,密度!$L$2:$L$50)</f>
        <v>0</v>
      </c>
      <c r="Z7" s="73" ph="1">
        <f>Z6*33.183*LOOKUP(Z8,密度!$A$2:$A$50,密度!$L$2:$L$50)</f>
        <v>24744.894929999999</v>
      </c>
      <c r="AA7" s="73" ph="1">
        <f>AA6*33.183*LOOKUP(AA8,密度!$A$2:$A$50,密度!$D$2:$D$50)</f>
        <v>0</v>
      </c>
      <c r="AB7" s="73" ph="1">
        <f>AB6*20.428*LOOKUP(AB8,密度!$A$2:$A$50,密度!$D$2:$D$50)</f>
        <v>72941.902109999995</v>
      </c>
      <c r="AC7" s="73" ph="1">
        <f>AC6*51.53*LOOKUP(AC8,密度!$A$2:$A$50,密度!$Q$2:$Q$50)</f>
        <v>175871.771481</v>
      </c>
      <c r="AD7" s="73" ph="1">
        <f>AD6*20.428*LOOKUP(AD8,密度!$A$2:$A$50,密度!$V$2:$V$50)</f>
        <v>76076.0455392</v>
      </c>
      <c r="AE7" s="73" ph="1">
        <f>AE6*20.428</f>
        <v>93478.528000000006</v>
      </c>
    </row>
    <row r="8" spans="1:99" ph="1">
      <c r="B8" s="184" ph="1"/>
      <c r="C8" s="68" t="s" ph="1">
        <v>179</v>
      </c>
      <c r="D8" s="74">
        <v>29</v>
      </c>
      <c r="E8" s="74">
        <v>25</v>
      </c>
      <c r="F8" s="74">
        <v>27</v>
      </c>
      <c r="G8" s="74">
        <v>28</v>
      </c>
      <c r="H8" s="74">
        <v>25</v>
      </c>
      <c r="I8" s="74">
        <v>25</v>
      </c>
      <c r="J8" s="74">
        <v>25</v>
      </c>
      <c r="K8" s="74">
        <v>25</v>
      </c>
      <c r="L8" s="74">
        <v>25</v>
      </c>
      <c r="M8" s="74">
        <v>30</v>
      </c>
      <c r="N8" s="74">
        <v>29</v>
      </c>
      <c r="O8" s="74">
        <v>31</v>
      </c>
      <c r="P8" s="74">
        <v>27</v>
      </c>
      <c r="Q8" s="74">
        <v>30</v>
      </c>
      <c r="R8" s="74">
        <v>32</v>
      </c>
      <c r="S8" s="74">
        <v>24</v>
      </c>
      <c r="T8" s="74">
        <v>24</v>
      </c>
      <c r="U8" s="74">
        <v>28</v>
      </c>
      <c r="V8" s="74">
        <v>28</v>
      </c>
      <c r="W8" s="74">
        <v>28</v>
      </c>
      <c r="X8" s="74">
        <v>18</v>
      </c>
      <c r="Y8" s="74">
        <v>28</v>
      </c>
      <c r="Z8" s="74">
        <v>24</v>
      </c>
      <c r="AA8" s="74">
        <v>29</v>
      </c>
      <c r="AB8" s="74">
        <v>21</v>
      </c>
      <c r="AC8" s="74">
        <v>25</v>
      </c>
      <c r="AD8" s="74">
        <v>28</v>
      </c>
      <c r="AE8" s="74">
        <v>29</v>
      </c>
    </row>
    <row r="9" spans="1:99" ht="26.4" ph="1">
      <c r="B9" s="184" ph="1">
        <v>0.66666666666666663</v>
      </c>
      <c r="C9" s="150" t="s" ph="1">
        <v>180</v>
      </c>
      <c r="D9" s="71">
        <v>1988</v>
      </c>
      <c r="E9" s="71">
        <v>7817</v>
      </c>
      <c r="F9" s="71">
        <v>5844</v>
      </c>
      <c r="G9" s="71">
        <v>2603</v>
      </c>
      <c r="H9" s="71">
        <v>2014</v>
      </c>
      <c r="I9" s="71">
        <v>38.64</v>
      </c>
      <c r="J9" s="71">
        <v>6.24</v>
      </c>
      <c r="K9" s="71">
        <v>63.08</v>
      </c>
      <c r="L9" s="71">
        <v>17.11</v>
      </c>
      <c r="M9" s="71">
        <v>6390</v>
      </c>
      <c r="N9" s="71">
        <v>584</v>
      </c>
      <c r="O9" s="71">
        <v>5114</v>
      </c>
      <c r="P9" s="71">
        <v>1736</v>
      </c>
      <c r="Q9" s="71">
        <v>669</v>
      </c>
      <c r="R9" s="71">
        <v>7068</v>
      </c>
      <c r="S9" s="71">
        <v>6300</v>
      </c>
      <c r="T9" s="71">
        <v>7148</v>
      </c>
      <c r="U9" s="71">
        <v>7036</v>
      </c>
      <c r="V9" s="71">
        <v>3306</v>
      </c>
      <c r="W9" s="71">
        <v>5390</v>
      </c>
      <c r="X9" s="71">
        <v>3399</v>
      </c>
      <c r="Y9" s="71">
        <v>0</v>
      </c>
      <c r="Z9" s="71">
        <v>1783</v>
      </c>
      <c r="AA9" s="71">
        <v>0</v>
      </c>
      <c r="AB9" s="71">
        <v>3305</v>
      </c>
      <c r="AC9" s="71">
        <v>3728</v>
      </c>
      <c r="AD9" s="71">
        <v>3889</v>
      </c>
      <c r="AE9" s="71">
        <v>4571</v>
      </c>
    </row>
    <row r="10" spans="1:99" s="72" customFormat="1" ht="22.2" ph="1">
      <c r="B10" s="184" ph="1"/>
      <c r="C10" s="150" t="s" ph="1">
        <v>178</v>
      </c>
      <c r="D10" s="73" ph="1">
        <f>D9*33.183*LOOKUP(D11,密度!$A$2:$A$50,密度!$Q$2:$Q$50)</f>
        <v>62360.684477280003</v>
      </c>
      <c r="E10" s="73" ph="1">
        <f>E9*51.53*LOOKUP(E11,密度!$A$2:$A$50,密度!$B$2:$B$50)</f>
        <v>313345.90677900001</v>
      </c>
      <c r="F10" s="73" ph="1">
        <f>F9*33.183*LOOKUP(F11,密度!$A$2:$A$50,密度!$C$2:$C$50)</f>
        <v>214593.4787832</v>
      </c>
      <c r="G10" s="73" ph="1">
        <f xml:space="preserve"> (G9+2)*51.53*LOOKUP(G11,密度!$A$2:$A$50,密度!$B$2:$B$50)</f>
        <v>104421.91213500001</v>
      </c>
      <c r="H10" s="73" ph="1">
        <f>(H9)*51.53*LOOKUP(H11,密度!$A$2:$A$50,密度!$B$2:$B$50)</f>
        <v>80907.995031999992</v>
      </c>
      <c r="I10" s="73" ph="1">
        <f>I9*290.8*1.0267</f>
        <v>11536.526870400001</v>
      </c>
      <c r="J10" s="73" ph="1">
        <f>J9*290.8*0.7892</f>
        <v>1432.0760064000001</v>
      </c>
      <c r="K10" s="73" ph="1">
        <f>K9*290.8*1.1126</f>
        <v>20409.160566400002</v>
      </c>
      <c r="L10" s="73" ph="1">
        <f>L9*290.8*0.777</f>
        <v>3866.031876</v>
      </c>
      <c r="M10" s="73" ph="1">
        <f>M9*33.183*LOOKUP(M11,密度!$A$2:$A$50,密度!$D$2:$D$50)</f>
        <v>216513.40070699996</v>
      </c>
      <c r="N10" s="73" ph="1">
        <f>N9*33.183*LOOKUP(N11,密度!$A$2:$A$50,密度!$E$2:$E$50)</f>
        <v>15069.010867199999</v>
      </c>
      <c r="O10" s="73" ph="1">
        <f>O9*20.428*LOOKUP(O11,密度!$A$2:$A$50,密度!$C$2:$C$50)</f>
        <v>115343.99324720001</v>
      </c>
      <c r="P10" s="73" ph="1">
        <f>P9*51.53*LOOKUP(P11,密度!$A$2:$A$50,密度!$B$2:$B$50)</f>
        <v>69435.809296000007</v>
      </c>
      <c r="Q10" s="73" ph="1">
        <f>Q9*1.5*1.5*3.1416*LOOKUP(W11,密度!$A$2:$A$50,密度!$L$2:$L$50)</f>
        <v>4416.7864356</v>
      </c>
      <c r="R10" s="73" ph="1">
        <f>R9*1.5*1.5*3.1416*LOOKUP(R11,密度!$A$2:$A$50,密度!$L$2:$L$50)</f>
        <v>46413.643399200002</v>
      </c>
      <c r="S10" s="73" ph="1">
        <f>S9*1.5*1.5*3.1416*LOOKUP(S11,密度!$A$2:$A$50,密度!$L$2:$L$50)</f>
        <v>41726.65266</v>
      </c>
      <c r="T10" s="73" ph="1">
        <f>T9*1.5*1.5*3.1416*LOOKUP(T11,密度!$A$2:$A$50,密度!$L$2:$L$50)</f>
        <v>47343.192573600005</v>
      </c>
      <c r="U10" s="73" ph="1">
        <f>U9*1.5*1.5*3.1416*LOOKUP(U11,密度!$A$2:$A$50,密度!$L$2:$L$50)</f>
        <v>46452.181406400006</v>
      </c>
      <c r="V10" s="73" ph="1">
        <f>V9*1.5*1.5*3.1416*LOOKUP(V11,密度!$A$2:$A$50,密度!$L$2:$L$50)</f>
        <v>21826.4513544</v>
      </c>
      <c r="W10" s="73" ph="1">
        <f>W9*1.5*1.5*3.1416*LOOKUP(W11,密度!$A$2:$A$50,密度!$L$2:$L$50)</f>
        <v>35585.170236000005</v>
      </c>
      <c r="X10" s="73" ph="1">
        <f>X9*1.5*1.5*3.1416*LOOKUP(X11,密度!$A$2:$A$50,密度!$L$2:$L$50)</f>
        <v>22680.705801599997</v>
      </c>
      <c r="Y10" s="73" ph="1">
        <f>Y9*1.5*1.5*3.1416*LOOKUP(Y11,密度!$A$2:$A$50,密度!$L$2:$L$50)</f>
        <v>0</v>
      </c>
      <c r="Z10" s="73" ph="1">
        <f>Z9*33.183*LOOKUP(Z11,密度!$A$2:$A$50,密度!$L$2:$L$50)</f>
        <v>55260.379926000001</v>
      </c>
      <c r="AA10" s="73" ph="1">
        <f>AA9*33.183*LOOKUP(AA11,密度!$A$2:$A$50,密度!$D$2:$D$50)</f>
        <v>0</v>
      </c>
      <c r="AB10" s="73" ph="1">
        <f>AB9*20.428*LOOKUP(AB11,密度!$A$2:$A$50,密度!$D$2:$D$50)</f>
        <v>69573.733470000006</v>
      </c>
      <c r="AC10" s="73" ph="1">
        <f>AC9*51.53*LOOKUP(AC11,密度!$A$2:$A$50,密度!$Q$2:$Q$50)</f>
        <v>181217.31538720001</v>
      </c>
      <c r="AD10" s="73" ph="1">
        <f>AD9*20.428*LOOKUP(AD11,密度!$A$2:$A$50,密度!$V$2:$V$50)</f>
        <v>76076.0455392</v>
      </c>
      <c r="AE10" s="73" ph="1">
        <f>AE9*20.428</f>
        <v>93376.388000000006</v>
      </c>
    </row>
    <row r="11" spans="1:99" ph="1">
      <c r="A11" s="64" t="s" ph="1">
        <v>162</v>
      </c>
      <c r="B11" s="184" ph="1"/>
      <c r="C11" s="150" t="s" ph="1">
        <v>179</v>
      </c>
      <c r="D11" s="74">
        <v>27</v>
      </c>
      <c r="E11" s="74">
        <v>27</v>
      </c>
      <c r="F11" s="74">
        <v>28</v>
      </c>
      <c r="G11" s="74">
        <v>27</v>
      </c>
      <c r="H11" s="74">
        <v>25</v>
      </c>
      <c r="I11" s="74">
        <v>25</v>
      </c>
      <c r="J11" s="74">
        <v>25</v>
      </c>
      <c r="K11" s="74">
        <v>25</v>
      </c>
      <c r="L11" s="74">
        <v>25</v>
      </c>
      <c r="M11" s="74">
        <v>31</v>
      </c>
      <c r="N11" s="74">
        <v>30</v>
      </c>
      <c r="O11" s="74">
        <v>31</v>
      </c>
      <c r="P11" s="74">
        <v>29</v>
      </c>
      <c r="Q11" s="74">
        <v>32</v>
      </c>
      <c r="R11" s="74">
        <v>33</v>
      </c>
      <c r="S11" s="74">
        <v>25</v>
      </c>
      <c r="T11" s="74">
        <v>25</v>
      </c>
      <c r="U11" s="74">
        <v>28</v>
      </c>
      <c r="V11" s="74">
        <v>28</v>
      </c>
      <c r="W11" s="74">
        <v>28</v>
      </c>
      <c r="X11" s="74">
        <v>18</v>
      </c>
      <c r="Y11" s="74">
        <v>30</v>
      </c>
      <c r="Z11" s="74">
        <v>28</v>
      </c>
      <c r="AA11" s="74">
        <v>31</v>
      </c>
      <c r="AB11" s="74">
        <v>21</v>
      </c>
      <c r="AC11" s="74">
        <v>30</v>
      </c>
      <c r="AD11" s="74">
        <v>28</v>
      </c>
      <c r="AE11" s="74">
        <v>30</v>
      </c>
    </row>
    <row r="12" spans="1:99" ht="9.9" customHeight="1" ph="1"/>
    <row r="13" spans="1:99" s="72" customFormat="1" ht="29.25" customHeight="1" ph="1">
      <c r="B13" s="192" t="s" ph="1">
        <v>37</v>
      </c>
      <c r="C13" s="150" t="s" ph="1">
        <v>176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128</v>
      </c>
      <c r="I13" s="76" t="s" ph="1">
        <v>59</v>
      </c>
      <c r="J13" s="76" t="s" ph="1">
        <v>129</v>
      </c>
      <c r="K13" s="76" t="s" ph="1">
        <v>55</v>
      </c>
      <c r="L13" s="76" t="s" ph="1">
        <v>60</v>
      </c>
      <c r="M13" s="76" t="s" ph="1">
        <v>61</v>
      </c>
      <c r="N13" s="76" t="s" ph="1">
        <v>130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131</v>
      </c>
      <c r="W13" s="76" t="s" ph="1">
        <v>132</v>
      </c>
      <c r="X13" s="76" t="s" ph="1">
        <v>133</v>
      </c>
      <c r="Y13" s="105" t="s" ph="1">
        <v>68</v>
      </c>
      <c r="Z13" s="76" t="s" ph="1">
        <v>74</v>
      </c>
      <c r="AA13" s="76" t="s" ph="1">
        <v>134</v>
      </c>
      <c r="AB13" s="76" t="s" ph="1">
        <v>135</v>
      </c>
      <c r="AC13" s="76" t="s" ph="1">
        <v>136</v>
      </c>
      <c r="AD13" s="76" t="s" ph="1">
        <v>137</v>
      </c>
      <c r="AE13" s="76" t="s" ph="1">
        <v>138</v>
      </c>
      <c r="AG13" s="72" t="s" ph="1">
        <v>325</v>
      </c>
      <c r="AH13" s="72" t="s" ph="1">
        <v>188</v>
      </c>
      <c r="AI13" s="72" t="s" ph="1">
        <v>189</v>
      </c>
      <c r="AJ13" s="72" t="s" ph="1">
        <v>190</v>
      </c>
      <c r="AK13" s="72" t="s" ph="1">
        <v>191</v>
      </c>
      <c r="AL13" s="72" t="s" ph="1">
        <v>192</v>
      </c>
      <c r="AM13" s="72" t="s" ph="1">
        <v>193</v>
      </c>
      <c r="AN13" s="72" t="s" ph="1">
        <v>194</v>
      </c>
      <c r="AO13" s="72" t="s" ph="1">
        <v>195</v>
      </c>
      <c r="AP13" s="72" t="s" ph="1">
        <v>196</v>
      </c>
      <c r="AQ13" s="72" t="s" ph="1">
        <v>197</v>
      </c>
      <c r="AR13" s="72" t="s" ph="1">
        <v>198</v>
      </c>
      <c r="AS13" s="72" t="s" ph="1">
        <v>199</v>
      </c>
      <c r="AT13" s="72" t="s" ph="1">
        <v>200</v>
      </c>
      <c r="AU13" s="72" t="s" ph="1">
        <v>201</v>
      </c>
      <c r="AV13" s="72" t="s" ph="1">
        <v>202</v>
      </c>
      <c r="AW13" s="72" t="s" ph="1">
        <v>203</v>
      </c>
      <c r="AX13" s="72" t="s" ph="1">
        <v>204</v>
      </c>
      <c r="AY13" s="72" t="s" ph="1">
        <v>326</v>
      </c>
      <c r="AZ13" s="72" t="s" ph="1">
        <v>205</v>
      </c>
      <c r="BA13" s="72" t="s" ph="1">
        <v>206</v>
      </c>
      <c r="BB13" s="72" t="s" ph="1">
        <v>591</v>
      </c>
      <c r="BC13" s="72" t="s" ph="1">
        <v>207</v>
      </c>
      <c r="BD13" s="72" t="s" ph="1">
        <v>327</v>
      </c>
      <c r="BE13" s="72" t="s" ph="1">
        <v>328</v>
      </c>
      <c r="BF13" s="72" t="s" ph="1">
        <v>329</v>
      </c>
      <c r="BG13" s="72" t="s" ph="1">
        <v>330</v>
      </c>
      <c r="BH13" s="72" t="s" ph="1">
        <v>331</v>
      </c>
    </row>
    <row r="14" spans="1:99" s="72" customFormat="1" ht="24" ph="1">
      <c r="B14" s="193" ph="1"/>
      <c r="C14" s="67" t="s" ph="1">
        <v>36</v>
      </c>
      <c r="D14" s="77" t="s" ph="1">
        <v>616</v>
      </c>
      <c r="E14" s="77" t="s" ph="1">
        <v>616</v>
      </c>
      <c r="F14" s="144" t="s" ph="1">
        <v>636</v>
      </c>
      <c r="G14" s="77" t="s" ph="1">
        <v>617</v>
      </c>
      <c r="H14" s="77" t="s" ph="1">
        <v>637</v>
      </c>
      <c r="I14" s="138" t="s" ph="1">
        <v>618</v>
      </c>
      <c r="J14" s="77" t="s" ph="1">
        <v>619</v>
      </c>
      <c r="K14" s="77" t="s" ph="1">
        <v>186</v>
      </c>
      <c r="L14" s="77" t="s" ph="1">
        <v>41</v>
      </c>
      <c r="M14" s="104" t="s" ph="1">
        <v>620</v>
      </c>
      <c r="N14" s="104" t="s" ph="1">
        <v>621</v>
      </c>
      <c r="O14" s="104" t="s" ph="1">
        <v>619</v>
      </c>
      <c r="P14" s="77" t="s" ph="1">
        <v>622</v>
      </c>
      <c r="Q14" s="77" t="s" ph="1">
        <v>622</v>
      </c>
      <c r="R14" s="88" t="s" ph="1">
        <v>7</v>
      </c>
      <c r="S14" s="77" t="s" ph="1">
        <v>71</v>
      </c>
      <c r="T14" s="77" t="s" ph="1">
        <v>624</v>
      </c>
      <c r="U14" s="77" t="s" ph="1">
        <v>605</v>
      </c>
      <c r="V14" s="77" t="s" ph="1">
        <v>633</v>
      </c>
      <c r="W14" s="77" t="s" ph="1">
        <v>622</v>
      </c>
      <c r="X14" s="77" t="s" ph="1">
        <v>625</v>
      </c>
      <c r="Y14" s="143" t="s" ph="1">
        <v>0</v>
      </c>
      <c r="Z14" s="77" t="s" ph="1">
        <v>54</v>
      </c>
      <c r="AA14" s="77" t="s" ph="1">
        <v>613</v>
      </c>
      <c r="AB14" s="77" t="s" ph="1">
        <v>632</v>
      </c>
      <c r="AC14" s="77" t="s" ph="1">
        <v>632</v>
      </c>
      <c r="AD14" s="77" t="s" ph="1">
        <v>612</v>
      </c>
      <c r="AE14" s="77" t="s" ph="1">
        <v>612</v>
      </c>
      <c r="AG14" s="72" t="s" ph="1">
        <v>208</v>
      </c>
      <c r="AI14" s="72" t="s" ph="1">
        <v>209</v>
      </c>
      <c r="AJ14" s="72" t="s" ph="1">
        <v>332</v>
      </c>
      <c r="AK14" s="72" t="s" ph="1">
        <v>210</v>
      </c>
      <c r="AM14" s="72" t="s" ph="1">
        <v>212</v>
      </c>
      <c r="AN14" s="72" t="s" ph="1">
        <v>210</v>
      </c>
      <c r="AO14" s="72" t="s" ph="1">
        <v>211</v>
      </c>
      <c r="AP14" s="72" t="s" ph="1">
        <v>212</v>
      </c>
      <c r="AQ14" s="72" t="s" ph="1">
        <v>210</v>
      </c>
      <c r="AR14" s="72" t="s" ph="1">
        <v>211</v>
      </c>
      <c r="AS14" s="72" t="s" ph="1">
        <v>212</v>
      </c>
      <c r="AT14" s="72" t="s" ph="1">
        <v>210</v>
      </c>
      <c r="AU14" s="72" t="s" ph="1">
        <v>211</v>
      </c>
      <c r="AV14" s="72" t="s" ph="1">
        <v>212</v>
      </c>
      <c r="AW14" s="72" t="s" ph="1">
        <v>210</v>
      </c>
      <c r="AX14" s="72" t="s" ph="1">
        <v>211</v>
      </c>
      <c r="AY14" s="72" t="s" ph="1">
        <v>212</v>
      </c>
      <c r="AZ14" s="72" t="s" ph="1">
        <v>211</v>
      </c>
    </row>
    <row r="15" spans="1:99" ph="1">
      <c r="B15" s="194" ph="1">
        <v>0.33333333333333331</v>
      </c>
      <c r="C15" s="150" t="s" ph="1">
        <v>177</v>
      </c>
      <c r="D15" s="78">
        <v>0</v>
      </c>
      <c r="E15" s="78">
        <v>2311</v>
      </c>
      <c r="F15" s="78">
        <v>3629</v>
      </c>
      <c r="G15" s="78">
        <v>2893</v>
      </c>
      <c r="H15" s="78">
        <v>0</v>
      </c>
      <c r="I15" s="78">
        <v>5169</v>
      </c>
      <c r="J15" s="78">
        <v>664</v>
      </c>
      <c r="K15" s="78">
        <v>2281</v>
      </c>
      <c r="L15" s="78">
        <v>3578</v>
      </c>
      <c r="M15" s="78">
        <v>6425</v>
      </c>
      <c r="N15" s="78">
        <v>1882</v>
      </c>
      <c r="O15" s="78">
        <v>6498</v>
      </c>
      <c r="P15" s="78">
        <v>3371</v>
      </c>
      <c r="Q15" s="78">
        <v>6989</v>
      </c>
      <c r="R15" s="78">
        <v>1961</v>
      </c>
      <c r="S15" s="78">
        <v>0</v>
      </c>
      <c r="T15" s="78">
        <v>2904</v>
      </c>
      <c r="U15" s="78">
        <v>6715</v>
      </c>
      <c r="V15" s="78">
        <v>-817</v>
      </c>
      <c r="W15" s="71">
        <v>-809</v>
      </c>
      <c r="X15" s="78">
        <v>1386</v>
      </c>
      <c r="Y15" s="106">
        <v>-2366</v>
      </c>
      <c r="Z15" s="78">
        <v>1914</v>
      </c>
      <c r="AA15" s="78">
        <v>2585</v>
      </c>
      <c r="AB15" s="78" ph="1">
        <v>5341</v>
      </c>
      <c r="AC15" s="78" ph="1">
        <v>7301</v>
      </c>
      <c r="AD15" s="78">
        <v>5.76</v>
      </c>
      <c r="AE15" s="78">
        <v>37</v>
      </c>
      <c r="AG15" s="64" t="s" ph="1">
        <v>214</v>
      </c>
      <c r="AH15" s="64" ph="1">
        <v>1</v>
      </c>
      <c r="AI15" s="64" t="s" ph="1">
        <v>333</v>
      </c>
      <c r="AK15" s="64" t="s" ph="1">
        <v>587</v>
      </c>
      <c r="AM15" s="64" t="s" ph="1">
        <v>335</v>
      </c>
      <c r="AZ15" s="64" t="s" ph="1">
        <v>216</v>
      </c>
      <c r="BA15" s="64" ph="1">
        <v>0</v>
      </c>
    </row>
    <row r="16" spans="1:99" s="72" customFormat="1" ht="22.2" ph="1">
      <c r="B16" s="195" ph="1"/>
      <c r="C16" s="150" t="s" ph="1">
        <v>178</v>
      </c>
      <c r="D16" s="73" ph="1">
        <f>D15*7.0686*LOOKUP(D17,密度!$A$2:$A$50,密度!$L$2:$L$50)</f>
        <v>0</v>
      </c>
      <c r="E16" s="73" ph="1">
        <f>E15*7.0686*LOOKUP(E17,密度!$A$2:$A$50,密度!$L$2:$L$50)</f>
        <v>15208.382712600001</v>
      </c>
      <c r="F16" s="73" ph="1">
        <f>F15*9.0746*LOOKUP(F17,密度!$A$2:$A$50,密度!$L$2:$L$50)</f>
        <v>30626.502762000004</v>
      </c>
      <c r="G16" s="73" ph="1">
        <f>G15*9.0746*LOOKUP(G17,密度!$A$2:$A$50,密度!$B$2:$B$50)</f>
        <v>20422.066966620001</v>
      </c>
      <c r="H16" s="73" ph="1">
        <f>H15*9.0746*LOOKUP(H17,密度!$A$2:$A$50,密度!$L$2:$L$50)</f>
        <v>0</v>
      </c>
      <c r="I16" s="73" ph="1">
        <f>I15*9.0746*LOOKUP(I17,密度!$A$2:$A$50,密度!$U$2:$U$50)</f>
        <v>47891.646155399998</v>
      </c>
      <c r="J16" s="73" ph="1">
        <f>J15*9.0746*LOOKUP(J17,密度!$A$2:$A$50,密度!$L$2:$L$50)</f>
        <v>5627.8491296000011</v>
      </c>
      <c r="K16" s="73" ph="1">
        <f>K15*9.0746*LOOKUP(K17,密度!$A$2:$A$50,密度!$C$2:$C$50)</f>
        <v>22874.644589259999</v>
      </c>
      <c r="L16" s="73" ph="1">
        <f>L15*9.0746*LOOKUP(L17,密度!$A$2:$A$50,密度!$E$2:$E$50)</f>
        <v>25247.83125888</v>
      </c>
      <c r="M16" s="73" ph="1">
        <f>M15*9.0746*LOOKUP(M17,密度!$A$2:$A$50,密度!$M$2:$M$50)</f>
        <v>50718.914919499999</v>
      </c>
      <c r="N16" s="73" ph="1">
        <f>N15*9.0746*LOOKUP(N17,密度!$A$2:$A$50,密度!$M$2:$M$50)</f>
        <v>14945.305389719999</v>
      </c>
      <c r="O16" s="73" ph="1">
        <f>O15*9.0746*LOOKUP(O17,密度!$A$2:$A$50,密度!$G$2:$G$50)</f>
        <v>56295.55698876</v>
      </c>
      <c r="P16" s="73" ph="1">
        <f ca="1">P15*9.0746*LOOKUP(P17,密度!$A$2:$A$51,密度!$Q$2:$Q$50)</f>
        <v>28813.16990954</v>
      </c>
      <c r="Q16" s="73" ph="1">
        <f>Q15*9.0746*LOOKUP(Q17,密度!$A$2:$A$50,密度!$Q$2:$Q$50)</f>
        <v>59780.666374851993</v>
      </c>
      <c r="R16" s="73" ph="1">
        <f>MAX(R15*9.0746*LOOKUP(R17,密度!$A$2:$A$50,密度!$B$2:$B$50),0)</f>
        <v>13796.68880218</v>
      </c>
      <c r="S16" s="73" ph="1">
        <f>S15*9.0746*LOOKUP(S17,密度!$A$2:$A$50,密度!$Q$2:$Q$50)</f>
        <v>0</v>
      </c>
      <c r="T16" s="73" ph="1">
        <f>T15*9.0746*LOOKUP(T17,密度!$A$2:$A$50,密度!$O$2:$O$50)</f>
        <v>24402.5431584</v>
      </c>
      <c r="U16" s="73" ph="1">
        <f>U15*9.0746*LOOKUP(U17,密度!$A$2:$A$50,密度!$H$2:$H$50)</f>
        <v>55689.354652100003</v>
      </c>
      <c r="V16" s="73" ph="1">
        <f>MAX(5600*LOOKUP(V17,密度!$A$2:$A$50,密度!$Q$2:$Q$50)+V15*9.0476*LOOKUP(V17,密度!$A$2:$A$50,密度!$Q$2:$Q$50),0)</f>
        <v>0</v>
      </c>
      <c r="W16" s="73" ph="1">
        <f>MAX(5600*LOOKUP(W17,密度!$A$2:$A$50,密度!$Q$2:$Q$50)+W15*9.0476*LOOKUP(W17,密度!$A$2:$A$50,密度!$Q$2:$Q$50),0)</f>
        <v>0</v>
      </c>
      <c r="X16" s="73" ph="1">
        <f>MAX(5600*LOOKUP(X17,密度!$A$2:$A$50,密度!$I$2:$I$50)+X15*9.0476*LOOKUP(X17,密度!$A$2:$A$50,密度!$I$2:$I$50),0)</f>
        <v>18847.4325704</v>
      </c>
      <c r="Y16" s="107" ph="1">
        <v>0</v>
      </c>
      <c r="Z16" s="73" ph="1">
        <f>Z15*9.0746*LOOKUP(Z17,密度!$A$2:$A$50,密度!$D$2:$D$50)</f>
        <v>17750.8976568</v>
      </c>
      <c r="AA16" s="73" ph="1">
        <f>AA15*9.0746*LOOKUP(AA17,密度!$A$2:$A$50,密度!$B$2:$B$50)</f>
        <v>18247.854513900002</v>
      </c>
      <c r="AB16" s="73" ph="1">
        <f>AB15*9.0746*LOOKUP(AB17,密度!$A$2:$A$50,密度!$L$2:$L$50)</f>
        <v>45220.120213800001</v>
      </c>
      <c r="AC16" s="73" ph="1">
        <f>AC15*9.0746*LOOKUP(AC17,密度!$A$2:$A$50,密度!$L$2:$L$50)</f>
        <v>61947.167050999997</v>
      </c>
      <c r="AD16" s="73" ph="1">
        <f>AD15*268.68*LOOKUP(AD17,密度!$A$2:$A$50,密度!B2:B50)+IF(AD15&lt;=0,0,1566*LOOKUP(AD17,密度!$A$2:$A$50,密度!B2:B50))</f>
        <v>2427.3600652799996</v>
      </c>
      <c r="AE16" s="73" ph="1">
        <f>AE15*268.68*LOOKUP(AE17,密度!$A$2:$A$50,密度!B2:B50)+IF(AE15&lt;=0,0,1566*LOOKUP(AE17,密度!$A$2:$A$50,密度!B2:B50))</f>
        <v>8970.9819360000001</v>
      </c>
      <c r="AH16" s="72" ph="1">
        <v>2</v>
      </c>
      <c r="AI16" s="72" t="s" ph="1">
        <v>337</v>
      </c>
      <c r="AZ16" s="72" t="s" ph="1">
        <v>216</v>
      </c>
      <c r="BA16" s="72" ph="1">
        <v>0</v>
      </c>
    </row>
    <row r="17" spans="1:57" ph="1">
      <c r="A17" s="64" t="s" ph="1">
        <v>73</v>
      </c>
      <c r="B17" s="196" ph="1"/>
      <c r="C17" s="79" t="s" ph="1">
        <v>179</v>
      </c>
      <c r="D17" s="74">
        <v>31</v>
      </c>
      <c r="E17" s="74">
        <v>31</v>
      </c>
      <c r="F17" s="74">
        <v>32</v>
      </c>
      <c r="G17" s="74">
        <v>27</v>
      </c>
      <c r="H17" s="74">
        <v>22</v>
      </c>
      <c r="I17" s="74">
        <v>29</v>
      </c>
      <c r="J17" s="74">
        <v>28</v>
      </c>
      <c r="K17" s="74">
        <v>30</v>
      </c>
      <c r="L17" s="74">
        <v>30</v>
      </c>
      <c r="M17" s="74">
        <v>30</v>
      </c>
      <c r="N17" s="74">
        <v>25</v>
      </c>
      <c r="O17" s="74">
        <v>30</v>
      </c>
      <c r="P17" s="74">
        <v>32</v>
      </c>
      <c r="Q17" s="74">
        <v>31</v>
      </c>
      <c r="R17" s="74">
        <v>30</v>
      </c>
      <c r="S17" s="74">
        <v>29</v>
      </c>
      <c r="T17" s="74">
        <v>29</v>
      </c>
      <c r="U17" s="74">
        <v>26</v>
      </c>
      <c r="V17" s="74">
        <v>29</v>
      </c>
      <c r="W17" s="74">
        <v>29</v>
      </c>
      <c r="X17" s="74">
        <v>28</v>
      </c>
      <c r="Y17" s="108">
        <v>28</v>
      </c>
      <c r="Z17" s="74">
        <v>30</v>
      </c>
      <c r="AA17" s="74">
        <v>27</v>
      </c>
      <c r="AB17" s="74">
        <v>29</v>
      </c>
      <c r="AC17" s="74">
        <v>27</v>
      </c>
      <c r="AD17" s="74">
        <v>25</v>
      </c>
      <c r="AE17" s="74">
        <v>25</v>
      </c>
      <c r="AH17" s="64" ph="1">
        <v>3</v>
      </c>
      <c r="AI17" s="64" t="s" ph="1">
        <v>338</v>
      </c>
      <c r="AK17" s="64" t="s" ph="1">
        <v>570</v>
      </c>
      <c r="AL17" s="64" ph="1">
        <v>80</v>
      </c>
      <c r="AM17" s="64" t="s" ph="1">
        <v>335</v>
      </c>
      <c r="AZ17" s="64" t="s" ph="1">
        <v>216</v>
      </c>
      <c r="BA17" s="64" ph="1">
        <v>80</v>
      </c>
      <c r="BD17" s="64" t="s" ph="1">
        <v>214</v>
      </c>
      <c r="BE17" s="64" ph="1">
        <v>2270</v>
      </c>
    </row>
    <row r="18" spans="1:57" ht="26.4" ph="1">
      <c r="B18" s="194" ph="1">
        <v>0.66666666666666663</v>
      </c>
      <c r="C18" s="79" t="s" ph="1">
        <v>180</v>
      </c>
      <c r="D18" s="71">
        <v>2329</v>
      </c>
      <c r="E18" s="71">
        <v>73</v>
      </c>
      <c r="F18" s="71">
        <v>3725</v>
      </c>
      <c r="G18" s="71">
        <v>3011</v>
      </c>
      <c r="H18" s="71">
        <v>0</v>
      </c>
      <c r="I18" s="71">
        <v>5169</v>
      </c>
      <c r="J18" s="71">
        <v>702</v>
      </c>
      <c r="K18" s="71">
        <v>2280</v>
      </c>
      <c r="L18" s="71">
        <v>3579</v>
      </c>
      <c r="M18" s="71">
        <v>3362</v>
      </c>
      <c r="N18" s="71">
        <v>1882</v>
      </c>
      <c r="O18" s="71">
        <v>3954</v>
      </c>
      <c r="P18" s="71">
        <v>4462</v>
      </c>
      <c r="Q18" s="71">
        <v>6985</v>
      </c>
      <c r="R18" s="71">
        <v>1958</v>
      </c>
      <c r="S18" s="71">
        <v>0</v>
      </c>
      <c r="T18" s="71">
        <v>2902</v>
      </c>
      <c r="U18" s="71">
        <v>6716</v>
      </c>
      <c r="V18" s="71">
        <v>-817</v>
      </c>
      <c r="W18" s="71">
        <v>-809</v>
      </c>
      <c r="X18" s="71">
        <v>1386</v>
      </c>
      <c r="Y18" s="109">
        <v>-2367</v>
      </c>
      <c r="Z18" s="71">
        <v>1913</v>
      </c>
      <c r="AA18" s="71">
        <v>2586</v>
      </c>
      <c r="AB18" s="71">
        <v>5342</v>
      </c>
      <c r="AC18" s="71">
        <v>7303</v>
      </c>
      <c r="AD18" s="71">
        <v>7.51</v>
      </c>
      <c r="AE18" s="71">
        <v>84.67</v>
      </c>
      <c r="AH18" s="64" ph="1">
        <v>4</v>
      </c>
      <c r="AI18" s="64" t="s" ph="1">
        <v>340</v>
      </c>
      <c r="AJ18" s="64" t="s" ph="1">
        <v>588</v>
      </c>
      <c r="AK18" s="64" t="s" ph="1">
        <v>587</v>
      </c>
      <c r="AL18" s="64" ph="1">
        <v>740</v>
      </c>
      <c r="AM18" s="64" t="s" ph="1">
        <v>339</v>
      </c>
      <c r="AZ18" s="64" t="s" ph="1">
        <v>216</v>
      </c>
      <c r="BA18" s="64" ph="1">
        <v>740</v>
      </c>
    </row>
    <row r="19" spans="1:57" s="72" customFormat="1" ht="22.2" ph="1">
      <c r="B19" s="195" ph="1"/>
      <c r="C19" s="150" t="s" ph="1">
        <v>178</v>
      </c>
      <c r="D19" s="73" ph="1">
        <f>D18*7.0686*LOOKUP(D20,密度!$A$2:$A$50,密度!$L$2:$L$50)</f>
        <v>15326.838311400003</v>
      </c>
      <c r="E19" s="73" ph="1">
        <f>E18*7.0686*LOOKUP(E20,密度!$A$2:$A$50,密度!$L$2:$L$50)</f>
        <v>480.4032618</v>
      </c>
      <c r="F19" s="73" ph="1">
        <f>F18*9.0746*LOOKUP(F20,密度!$A$2:$A$50,密度!$L$2:$L$50)</f>
        <v>31335.274395000004</v>
      </c>
      <c r="G19" s="73" ph="1">
        <f>G18*9.0746*LOOKUP(G20,密度!$A$2:$A$50,密度!$B$2:$B$50)</f>
        <v>21208.594309720003</v>
      </c>
      <c r="H19" s="73" ph="1">
        <f>H18*9.0746*LOOKUP(H20,密度!$A$2:$A$50,密度!$L$2:$L$50)</f>
        <v>0</v>
      </c>
      <c r="I19" s="73" ph="1">
        <f>I18*9.0746*LOOKUP(I20,密度!$A$2:$A$50,密度!$U$2:$U$50)</f>
        <v>47750.926333200005</v>
      </c>
      <c r="J19" s="73" ph="1">
        <f>J18*9.0746*LOOKUP(J20,密度!$A$2:$A$50,密度!$L$2:$L$50)</f>
        <v>5930.8137252000006</v>
      </c>
      <c r="K19" s="73" ph="1">
        <f>K18*9.0746*LOOKUP(K20,密度!$A$2:$A$50,密度!$C$2:$C$50)</f>
        <v>22843.926160800002</v>
      </c>
      <c r="L19" s="73" ph="1">
        <f>L18*9.0746*LOOKUP(L20,密度!$A$2:$A$50,密度!$E$2:$E$50)</f>
        <v>25254.887667839997</v>
      </c>
      <c r="M19" s="73" ph="1">
        <f>M18*9.0746*LOOKUP(M20,密度!$A$2:$A$50,密度!$M$2:$M$50)</f>
        <v>26508.185574124003</v>
      </c>
      <c r="N19" s="73" ph="1">
        <f>N18*9.0746*LOOKUP(N20,密度!$A$2:$A$50,密度!$M$2:$M$50)</f>
        <v>14911.148595319999</v>
      </c>
      <c r="O19" s="73" ph="1">
        <f>O18*9.0746*LOOKUP(O20,密度!$A$2:$A$50,密度!$G$2:$G$50)</f>
        <v>34255.560531479998</v>
      </c>
      <c r="P19" s="73" ph="1">
        <f ca="1">P18*9.0746*LOOKUP(P20,密度!$A$2:$A$51,密度!$Q$2:$Q$50)</f>
        <v>38138.345931880001</v>
      </c>
      <c r="Q19" s="73" ph="1">
        <f>Q18*9.0746*LOOKUP(Q20,密度!$A$2:$A$50,密度!$Q$2:$Q$50)</f>
        <v>59746.452228979993</v>
      </c>
      <c r="R19" s="73" ph="1">
        <f>MAX(R18*9.0746*LOOKUP(R20,密度!$A$2:$A$50,密度!$B$2:$B$50),0)</f>
        <v>13775.582190040001</v>
      </c>
      <c r="S19" s="73" ph="1">
        <f>S18*9.0746*LOOKUP(S20,密度!$A$2:$A$50,密度!$Q$2:$Q$50)</f>
        <v>0</v>
      </c>
      <c r="T19" s="73" ph="1">
        <f>T18*9.0746*LOOKUP(T20,密度!$A$2:$A$50,密度!$O$2:$O$50)</f>
        <v>24280.3990424</v>
      </c>
      <c r="U19" s="73" ph="1">
        <f>U18*9.0746*LOOKUP(U20,密度!$A$2:$A$50,密度!$H$2:$H$50)</f>
        <v>55581.852403199999</v>
      </c>
      <c r="V19" s="73" ph="1">
        <f>MAX(5600*LOOKUP(V20,密度!$A$2:$A$50,密度!$Q$2:$Q$50)+V18*9.0476*LOOKUP(V20,密度!$A$2:$A$50,密度!$Q$2:$Q$50),0)</f>
        <v>0</v>
      </c>
      <c r="W19" s="73" ph="1">
        <f>MAX(5600*LOOKUP(W20,密度!$A$2:$A$50,密度!$Q$2:$Q$50)+W18*9.0476*LOOKUP(W20,密度!$A$2:$A$50,密度!$Q$2:$Q$50),0)</f>
        <v>0</v>
      </c>
      <c r="X19" s="73" ph="1">
        <f>MAX(5600*LOOKUP(X20,密度!$A$2:$A$50,密度!$I$2:$I$50)+X18*9.0476*LOOKUP(X20,密度!$A$2:$A$50,密度!$I$2:$I$50),0)</f>
        <v>18825.66460208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17741.623415599999</v>
      </c>
      <c r="AA19" s="73" ph="1">
        <f>AA18*9.0746*LOOKUP(AA20,密度!$A$2:$A$50,密度!$B$2:$B$50)</f>
        <v>18233.7934212</v>
      </c>
      <c r="AB19" s="73" ph="1">
        <f>AB18*9.0746*LOOKUP(AB20,密度!$A$2:$A$50,密度!$L$2:$L$50)</f>
        <v>45180.110302400004</v>
      </c>
      <c r="AC19" s="73" ph="1">
        <f>AC18*9.0746*LOOKUP(AC20,密度!$A$2:$A$50,密度!$L$2:$L$50)</f>
        <v>61831.592945400014</v>
      </c>
      <c r="AD19" s="73" ph="1">
        <f>AD18*268.68*LOOKUP(AD20,密度!$A$2:$A$50,密度!B5:B53)+IF(AD18&lt;=0,0,1566*LOOKUP(AD20,密度!$A$2:$A$50,密度!B5:B53))</f>
        <v>2784.6023436</v>
      </c>
      <c r="AE19" s="73" ph="1">
        <f>AE18*268.68*LOOKUP(AE20,密度!$A$2:$A$50,密度!B5:B53)+IF(AE18&lt;=0,0,1566*LOOKUP(AE20,密度!$A$2:$A$50,密度!B5:B53))</f>
        <v>18892.860361200001</v>
      </c>
      <c r="AH19" s="72" ph="1">
        <v>5</v>
      </c>
      <c r="AI19" s="72" t="s" ph="1">
        <v>341</v>
      </c>
      <c r="AZ19" s="72" t="s" ph="1">
        <v>216</v>
      </c>
      <c r="BA19" s="72" ph="1">
        <v>0</v>
      </c>
      <c r="BD19" s="72" t="s" ph="1">
        <v>342</v>
      </c>
      <c r="BE19" s="72" ph="1">
        <v>1440</v>
      </c>
    </row>
    <row r="20" spans="1:57" ph="1">
      <c r="A20" s="72" ph="1"/>
      <c r="B20" s="195" ph="1"/>
      <c r="C20" s="80" t="s" ph="1">
        <v>179</v>
      </c>
      <c r="D20" s="81">
        <v>31</v>
      </c>
      <c r="E20" s="81">
        <v>31</v>
      </c>
      <c r="F20" s="81">
        <v>35</v>
      </c>
      <c r="G20" s="81">
        <v>29</v>
      </c>
      <c r="H20" s="81">
        <v>25</v>
      </c>
      <c r="I20" s="81">
        <v>32</v>
      </c>
      <c r="J20" s="81">
        <v>31</v>
      </c>
      <c r="K20" s="81">
        <v>31</v>
      </c>
      <c r="L20" s="81">
        <v>30</v>
      </c>
      <c r="M20" s="81">
        <v>31</v>
      </c>
      <c r="N20" s="81">
        <v>27</v>
      </c>
      <c r="O20" s="81">
        <v>30</v>
      </c>
      <c r="P20" s="81">
        <v>32</v>
      </c>
      <c r="Q20" s="81">
        <v>31</v>
      </c>
      <c r="R20" s="81">
        <v>30</v>
      </c>
      <c r="S20" s="81">
        <v>31</v>
      </c>
      <c r="T20" s="81">
        <v>30</v>
      </c>
      <c r="U20" s="81">
        <v>28</v>
      </c>
      <c r="V20" s="81">
        <v>30</v>
      </c>
      <c r="W20" s="81">
        <v>30</v>
      </c>
      <c r="X20" s="81">
        <v>29</v>
      </c>
      <c r="Y20" s="110">
        <v>29</v>
      </c>
      <c r="Z20" s="81">
        <v>30</v>
      </c>
      <c r="AA20" s="81">
        <v>28</v>
      </c>
      <c r="AB20" s="81">
        <v>30</v>
      </c>
      <c r="AC20" s="81">
        <v>29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343</v>
      </c>
      <c r="AZ20" s="64" t="s" ph="1">
        <v>216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344</v>
      </c>
      <c r="AZ21" s="64" t="s" ph="1">
        <v>216</v>
      </c>
      <c r="BA21" s="64" ph="1">
        <v>0</v>
      </c>
      <c r="BD21" s="64" t="s" ph="1">
        <v>232</v>
      </c>
      <c r="BE21" s="64" ph="1">
        <v>730</v>
      </c>
    </row>
    <row r="22" spans="1:57" ph="1">
      <c r="A22" s="72" ph="1"/>
      <c r="B22" s="193" t="s" ph="1">
        <v>37</v>
      </c>
      <c r="C22" s="85" t="s" ph="1">
        <v>176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172" t="s" ph="1">
        <v>69</v>
      </c>
      <c r="AA22" s="173"/>
      <c r="AB22" s="173"/>
      <c r="AC22" s="173"/>
      <c r="AD22" s="173"/>
      <c r="AE22" s="174"/>
      <c r="AH22" s="64" ph="1">
        <v>8</v>
      </c>
      <c r="AI22" s="64" t="s" ph="1">
        <v>345</v>
      </c>
      <c r="AZ22" s="64" t="s" ph="1">
        <v>216</v>
      </c>
      <c r="BA22" s="64" ph="1">
        <v>0</v>
      </c>
    </row>
    <row r="23" spans="1:57" ph="1">
      <c r="A23" s="72" ph="1"/>
      <c r="B23" s="188" ph="1"/>
      <c r="C23" s="67" t="s" ph="1">
        <v>36</v>
      </c>
      <c r="D23" s="88" t="s" ph="1">
        <v>109</v>
      </c>
      <c r="E23" s="88" t="s" ph="1">
        <v>107</v>
      </c>
      <c r="F23" s="88" t="s" ph="1">
        <v>109</v>
      </c>
      <c r="G23" s="88" t="s" ph="1">
        <v>626</v>
      </c>
      <c r="H23" s="88" t="s" ph="1">
        <v>626</v>
      </c>
      <c r="I23" s="88" t="s" ph="1">
        <v>627</v>
      </c>
      <c r="J23" s="88" t="s" ph="1">
        <v>628</v>
      </c>
      <c r="K23" s="88" t="s" ph="1">
        <v>628</v>
      </c>
      <c r="L23" s="88" t="s" ph="1">
        <v>628</v>
      </c>
      <c r="M23" s="88" t="s" ph="1">
        <v>623</v>
      </c>
      <c r="N23" s="88" t="s" ph="1">
        <v>623</v>
      </c>
      <c r="O23" s="88" t="s" ph="1">
        <v>318</v>
      </c>
      <c r="P23" s="88" t="s" ph="1">
        <v>629</v>
      </c>
      <c r="Q23" s="89" t="s" ph="1">
        <v>629</v>
      </c>
      <c r="R23" s="88" t="s" ph="1">
        <v>610</v>
      </c>
      <c r="S23" s="88" t="s" ph="1">
        <v>629</v>
      </c>
      <c r="T23" s="88" t="s" ph="1">
        <v>604</v>
      </c>
      <c r="U23" s="104" t="s" ph="1">
        <v>606</v>
      </c>
      <c r="V23" s="88" t="s" ph="1">
        <v>629</v>
      </c>
      <c r="W23" s="88" t="s" ph="1">
        <v>629</v>
      </c>
      <c r="X23" s="88" t="s" ph="1">
        <v>187</v>
      </c>
      <c r="Y23" s="88" t="s" ph="1">
        <v>630</v>
      </c>
      <c r="Z23" s="175" t="s" ph="1">
        <v>638</v>
      </c>
      <c r="AA23" s="176"/>
      <c r="AB23" s="176"/>
      <c r="AC23" s="176"/>
      <c r="AD23" s="176"/>
      <c r="AE23" s="177"/>
      <c r="AH23" s="64" ph="1">
        <v>9</v>
      </c>
      <c r="AI23" s="64" t="s" ph="1">
        <v>346</v>
      </c>
      <c r="AZ23" s="64" t="s" ph="1">
        <v>216</v>
      </c>
      <c r="BA23" s="64" ph="1">
        <v>0</v>
      </c>
      <c r="BD23" s="64" t="s" ph="1">
        <v>238</v>
      </c>
      <c r="BE23" s="64" ph="1">
        <v>890</v>
      </c>
    </row>
    <row r="24" spans="1:57" ph="1">
      <c r="A24" s="72" ph="1"/>
      <c r="B24" s="184" ph="1">
        <v>0.33333333333333331</v>
      </c>
      <c r="C24" s="150" t="s" ph="1">
        <v>177</v>
      </c>
      <c r="D24" s="71">
        <v>3.42</v>
      </c>
      <c r="E24" s="71">
        <v>71.3</v>
      </c>
      <c r="F24" s="71">
        <v>127</v>
      </c>
      <c r="G24" s="71">
        <v>2595</v>
      </c>
      <c r="H24" s="71">
        <v>3495</v>
      </c>
      <c r="I24" s="71">
        <v>134</v>
      </c>
      <c r="J24" s="71">
        <v>208</v>
      </c>
      <c r="K24" s="71">
        <v>248</v>
      </c>
      <c r="L24" s="71">
        <v>470</v>
      </c>
      <c r="M24" s="71">
        <v>4843</v>
      </c>
      <c r="N24" s="71">
        <v>2466</v>
      </c>
      <c r="O24" s="71">
        <v>2504</v>
      </c>
      <c r="P24" s="71">
        <v>845</v>
      </c>
      <c r="Q24" s="90">
        <v>5165</v>
      </c>
      <c r="R24" s="71">
        <v>7005</v>
      </c>
      <c r="S24" s="71">
        <v>5500</v>
      </c>
      <c r="T24" s="71">
        <v>509</v>
      </c>
      <c r="U24" s="71">
        <v>6040</v>
      </c>
      <c r="V24" s="71">
        <v>1015</v>
      </c>
      <c r="W24" s="71">
        <v>5065</v>
      </c>
      <c r="X24" s="71">
        <v>2409</v>
      </c>
      <c r="Y24" s="71">
        <v>7910</v>
      </c>
      <c r="Z24" s="178"/>
      <c r="AA24" s="179"/>
      <c r="AB24" s="179"/>
      <c r="AC24" s="179"/>
      <c r="AD24" s="179"/>
      <c r="AE24" s="180"/>
      <c r="AH24" s="64" ph="1">
        <v>10</v>
      </c>
      <c r="AI24" s="64" t="s" ph="1">
        <v>347</v>
      </c>
      <c r="AZ24" s="64" t="s" ph="1">
        <v>216</v>
      </c>
      <c r="BA24" s="64" ph="1">
        <v>0</v>
      </c>
    </row>
    <row r="25" spans="1:57" ph="1">
      <c r="A25" s="72" ph="1"/>
      <c r="B25" s="184" ph="1"/>
      <c r="C25" s="68" t="s" ph="1">
        <v>178</v>
      </c>
      <c r="D25" s="91" ph="1">
        <f>D24*268.68*LOOKUP(D26,密度!$A$2:$A$50,密度!$Q$2:$Q$50)+IF(D24&lt;=0,0,1566*LOOKUP(D26,密度!$A$2:$A$50,密度!$Q$2:$Q$50))</f>
        <v>2352.5405929439999</v>
      </c>
      <c r="E25" s="91" ph="1">
        <f>E24*268.68*LOOKUP(E26,密度!$A$2:$A$50,密度!$C$2:$C$50)+IF(E24&lt;=0,0,1566*LOOKUP(E26,密度!$A$2:$A$50,密度!$C$2:$C$50))</f>
        <v>22979.606067599998</v>
      </c>
      <c r="F25" s="91" ph="1">
        <f>F24*11.702*LOOKUP(F26,密度!$A$2:$A$50,密度!$Q$2:$Q$50)</f>
        <v>1405.94626862</v>
      </c>
      <c r="G25" s="91" ph="1">
        <f>G24*18.322*LOOKUP(G26,密度!$A$2:$A$50,密度!$B$2:$B$50)</f>
        <v>36862.095926999995</v>
      </c>
      <c r="H25" s="91" ph="1">
        <f>H24*18.322*LOOKUP(H26,密度!$A$2:$A$50,密度!$B$2:$B$50)</f>
        <v>49646.637866999998</v>
      </c>
      <c r="I25" s="91" ph="1">
        <f>I24*18.322*LOOKUP(I26,密度!$A$2:$A$50,密度!$Q$2:$Q$50)</f>
        <v>2322.6436624399998</v>
      </c>
      <c r="J25" s="91" ph="1">
        <f>J24*18.322*LOOKUP(J26,密度!$A$2:$A$50,密度!$Q$2:$Q$50)</f>
        <v>3599.9241491199996</v>
      </c>
      <c r="K25" s="91" ph="1">
        <f>K24*18.322*LOOKUP(K26,密度!$A$2:$A$50,密度!$Q$2:$Q$50)</f>
        <v>4295.39795392</v>
      </c>
      <c r="L25" s="91" ph="1">
        <f>L24*18.322*LOOKUP(L26,密度!$A$2:$A$50,密度!$Q$2:$Q$50)</f>
        <v>8140.4719288000006</v>
      </c>
      <c r="M25" s="91" ph="1">
        <f>M24*18.322*LOOKUP(M26,密度!$A$2:$A$50,密度!$Q$2:$Q$50)</f>
        <v>83819.387760519996</v>
      </c>
      <c r="N25" s="91" ph="1">
        <f>N24*18.322*LOOKUP(N26,密度!$A$2:$A$50,密度!$Q$2:$Q$50)</f>
        <v>42711.497396639999</v>
      </c>
      <c r="O25" s="91" ph="1">
        <f>O24*18.322*LOOKUP(O26,密度!$A$2:$A$50,密度!$C$2:$C$50)</f>
        <v>50768.913500800001</v>
      </c>
      <c r="P25" s="91" ph="1">
        <f>P24*11.702*LOOKUP(P26,密度!$A$2:$A$50,密度!$B$2:$B$50)</f>
        <v>7683.123630000001</v>
      </c>
      <c r="Q25" s="92" ph="1">
        <f>Q24*18.322*LOOKUP(Q26,密度!$A$2:$A$50,密度!$B$2:$B$50)</f>
        <v>73369.065688999995</v>
      </c>
      <c r="R25" s="91" ph="1">
        <f>R24*35.891*LOOKUP(R26,密度!$A$2:$A$50,密度!$C$2:$C$50)</f>
        <v>277840.32442049996</v>
      </c>
      <c r="S25" s="91" ph="1">
        <f>S24*35.891*LOOKUP(S26,密度!$A$2:$A$50,密度!$B$2:$B$50)</f>
        <v>153380.18850000002</v>
      </c>
      <c r="T25" s="91" ph="1">
        <f>T24*35.891*LOOKUP(T26,密度!$A$2:$A$50,密度!$Q$2:$Q$50)</f>
        <v>17233.24202827</v>
      </c>
      <c r="U25" s="91" ph="1">
        <f>U24*35.891</f>
        <v>216781.63999999998</v>
      </c>
      <c r="V25" s="91" ph="1">
        <f>V24*47.051*LOOKUP(V26,密度!$A$2:$A$50,密度!$B$2:$B$50)</f>
        <v>37188.1929055</v>
      </c>
      <c r="W25" s="91" ph="1">
        <f>W24*47.051*LOOKUP(W26,密度!$A$2:$A$50,密度!$B$2:$B$50)</f>
        <v>186218.02434100001</v>
      </c>
      <c r="X25" s="91" ph="1">
        <f>X24*47.051*LOOKUP(X26,密度!$A$2:$A$61,密度!$I$2:$I$61)</f>
        <v>117891.02794590002</v>
      </c>
      <c r="Y25" s="91" ph="1">
        <f>Y24*47.051*LOOKUP(Y26,密度!$A$2:$A$50,密度!$L$2:$L$50)</f>
        <v>345749.09789000003</v>
      </c>
      <c r="Z25" s="178"/>
      <c r="AA25" s="179"/>
      <c r="AB25" s="179"/>
      <c r="AC25" s="179"/>
      <c r="AD25" s="179"/>
      <c r="AE25" s="180"/>
      <c r="AH25" s="64" ph="1">
        <v>11</v>
      </c>
      <c r="AI25" s="64" t="s" ph="1">
        <v>348</v>
      </c>
      <c r="AZ25" s="64" t="s" ph="1">
        <v>216</v>
      </c>
      <c r="BA25" s="64" ph="1">
        <v>0</v>
      </c>
      <c r="BD25" s="64" t="s" ph="1">
        <v>241</v>
      </c>
      <c r="BE25" s="64" ph="1">
        <v>8920</v>
      </c>
    </row>
    <row r="26" spans="1:57" ph="1">
      <c r="A26" s="72" ph="1"/>
      <c r="B26" s="184" ph="1"/>
      <c r="C26" s="68" t="s" ph="1">
        <v>179</v>
      </c>
      <c r="D26" s="74">
        <v>25</v>
      </c>
      <c r="E26" s="74">
        <v>25</v>
      </c>
      <c r="F26" s="74">
        <v>26</v>
      </c>
      <c r="G26" s="74">
        <v>30</v>
      </c>
      <c r="H26" s="74">
        <v>30</v>
      </c>
      <c r="I26" s="74">
        <v>26</v>
      </c>
      <c r="J26" s="74">
        <v>28</v>
      </c>
      <c r="K26" s="74">
        <v>27</v>
      </c>
      <c r="L26" s="74">
        <v>27</v>
      </c>
      <c r="M26" s="74">
        <v>28</v>
      </c>
      <c r="N26" s="74">
        <v>27</v>
      </c>
      <c r="O26" s="74">
        <v>28</v>
      </c>
      <c r="P26" s="74">
        <v>28</v>
      </c>
      <c r="Q26" s="93">
        <v>30</v>
      </c>
      <c r="R26" s="74">
        <v>30</v>
      </c>
      <c r="S26" s="74">
        <v>28</v>
      </c>
      <c r="T26" s="74">
        <v>30</v>
      </c>
      <c r="U26" s="74">
        <v>30</v>
      </c>
      <c r="V26" s="74">
        <v>26</v>
      </c>
      <c r="W26" s="74">
        <v>23</v>
      </c>
      <c r="X26" s="74">
        <v>27</v>
      </c>
      <c r="Y26" s="74">
        <v>33</v>
      </c>
      <c r="Z26" s="178"/>
      <c r="AA26" s="179"/>
      <c r="AB26" s="179"/>
      <c r="AC26" s="179"/>
      <c r="AD26" s="179"/>
      <c r="AE26" s="180"/>
      <c r="AH26" s="64" ph="1">
        <v>12</v>
      </c>
      <c r="AI26" s="64" t="s" ph="1">
        <v>349</v>
      </c>
      <c r="AZ26" s="64" t="s" ph="1">
        <v>216</v>
      </c>
      <c r="BA26" s="64" ph="1">
        <v>0</v>
      </c>
    </row>
    <row r="27" spans="1:57" ht="26.4" ph="1">
      <c r="A27" s="72" ph="1"/>
      <c r="B27" s="184" ph="1">
        <v>0.66666666666666663</v>
      </c>
      <c r="C27" s="150" t="s" ph="1">
        <v>180</v>
      </c>
      <c r="D27" s="71">
        <v>3.5</v>
      </c>
      <c r="E27" s="71">
        <v>71.25</v>
      </c>
      <c r="F27" s="71">
        <v>127</v>
      </c>
      <c r="G27" s="71">
        <v>2419</v>
      </c>
      <c r="H27" s="71">
        <v>3033</v>
      </c>
      <c r="I27" s="71">
        <v>132</v>
      </c>
      <c r="J27" s="71">
        <v>205</v>
      </c>
      <c r="K27" s="71">
        <v>247</v>
      </c>
      <c r="L27" s="71">
        <v>468</v>
      </c>
      <c r="M27" s="71">
        <v>4843</v>
      </c>
      <c r="N27" s="71">
        <v>2465</v>
      </c>
      <c r="O27" s="71">
        <v>2503</v>
      </c>
      <c r="P27" s="71">
        <v>843</v>
      </c>
      <c r="Q27" s="90">
        <v>2470</v>
      </c>
      <c r="R27" s="71">
        <v>6488</v>
      </c>
      <c r="S27" s="71">
        <v>7016</v>
      </c>
      <c r="T27" s="71">
        <v>508</v>
      </c>
      <c r="U27" s="71">
        <v>6052</v>
      </c>
      <c r="V27" s="71">
        <v>1015</v>
      </c>
      <c r="W27" s="71">
        <v>5063</v>
      </c>
      <c r="X27" s="71">
        <v>1572</v>
      </c>
      <c r="Y27" s="71">
        <v>7371</v>
      </c>
      <c r="Z27" s="178"/>
      <c r="AA27" s="179"/>
      <c r="AB27" s="179"/>
      <c r="AC27" s="179"/>
      <c r="AD27" s="179"/>
      <c r="AE27" s="180"/>
      <c r="AH27" s="64" ph="1">
        <v>13</v>
      </c>
      <c r="AI27" s="64" t="s" ph="1">
        <v>350</v>
      </c>
      <c r="AZ27" s="64" t="s" ph="1">
        <v>216</v>
      </c>
      <c r="BA27" s="64" ph="1">
        <v>0</v>
      </c>
      <c r="BD27" s="64" t="s" ph="1">
        <v>295</v>
      </c>
      <c r="BE27" s="64" ph="1">
        <v>7100</v>
      </c>
    </row>
    <row r="28" spans="1:57" ph="1">
      <c r="A28" s="72" ph="1"/>
      <c r="B28" s="184" ph="1"/>
      <c r="C28" s="150" t="s" ph="1">
        <v>178</v>
      </c>
      <c r="D28" s="91" ph="1">
        <f>D27*268.68*LOOKUP(D29,密度!$A$2:$A$50,密度!$Q$2:$Q$50)+IF(D27&lt;=0,0,1566*LOOKUP(D29,密度!$A$2:$A$50,密度!$Q$2:$Q$50))</f>
        <v>2372.8902011999999</v>
      </c>
      <c r="E28" s="91" ph="1">
        <f>E27*268.68*LOOKUP(E29,密度!$A$2:$A$50,密度!$C$2:$C$50)+IF(E27&lt;=0,0,1566*LOOKUP(E29,密度!$A$2:$A$50,密度!$C$2:$C$50))</f>
        <v>22964.709105000002</v>
      </c>
      <c r="F28" s="91" ph="1">
        <f>F27*11.702*LOOKUP(F29,密度!$A$2:$A$50,密度!$Q$2:$Q$50)</f>
        <v>1404.8910992800002</v>
      </c>
      <c r="G28" s="91" ph="1">
        <f>G27*18.322*LOOKUP(G29,密度!$A$2:$A$50,密度!$B$2:$B$50)</f>
        <v>34362.007725399999</v>
      </c>
      <c r="H28" s="91" ph="1">
        <f>H27*18.322*LOOKUP(H29,密度!$A$2:$A$50,密度!$B$2:$B$50)</f>
        <v>43083.906337799999</v>
      </c>
      <c r="I28" s="91" ph="1">
        <f>I27*18.322*LOOKUP(I29,密度!$A$2:$A$50,密度!$Q$2:$Q$50)</f>
        <v>2284.5672484799998</v>
      </c>
      <c r="J28" s="91" ph="1">
        <f>J27*18.322*LOOKUP(J29,密度!$A$2:$A$50,密度!$Q$2:$Q$50)</f>
        <v>3543.1569132999998</v>
      </c>
      <c r="K28" s="91" ph="1">
        <f>K27*18.322*LOOKUP(K29,密度!$A$2:$A$50,密度!$Q$2:$Q$50)</f>
        <v>4274.9099270799998</v>
      </c>
      <c r="L28" s="91" ph="1">
        <f>L27*18.322*LOOKUP(L29,密度!$A$2:$A$50,密度!$Q$2:$Q$50)</f>
        <v>8099.8293355200003</v>
      </c>
      <c r="M28" s="91" ph="1">
        <f>M27*18.322*LOOKUP(M29,密度!$A$2:$A$50,密度!$Q$2:$Q$50)</f>
        <v>83819.387760519996</v>
      </c>
      <c r="N28" s="91" ph="1">
        <f>N27*18.322*LOOKUP(N29,密度!$A$2:$A$50,密度!$Q$2:$Q$50)</f>
        <v>42662.562632599998</v>
      </c>
      <c r="O28" s="91" ph="1">
        <f>O27*18.322*LOOKUP(O29,密度!$A$2:$A$50,密度!$C$2:$C$50)</f>
        <v>50748.6383756</v>
      </c>
      <c r="P28" s="91" ph="1">
        <f>P27*11.702*LOOKUP(P29,密度!$A$2:$A$50,密度!$B$2:$B$50)</f>
        <v>7664.9387219999999</v>
      </c>
      <c r="Q28" s="92" ph="1">
        <f>Q27*18.322*LOOKUP(Q29,密度!$A$2:$A$50,密度!$B$2:$B$50)</f>
        <v>35086.465101999995</v>
      </c>
      <c r="R28" s="91" ph="1">
        <f>R27*35.891*LOOKUP(R29,密度!$A$2:$A$50,密度!$C$2:$C$50)</f>
        <v>257334.47892079997</v>
      </c>
      <c r="S28" s="91" ph="1">
        <f>S27*35.891*LOOKUP(S29,密度!$A$2:$A$50,密度!$B$2:$B$50)</f>
        <v>195229.26677679998</v>
      </c>
      <c r="T28" s="91" ph="1">
        <f>T27*35.891*LOOKUP(T29,密度!$A$2:$A$50,密度!$Q$2:$Q$50)</f>
        <v>17199.384971240001</v>
      </c>
      <c r="U28" s="91" ph="1">
        <f>U27*35.891</f>
        <v>217212.33199999999</v>
      </c>
      <c r="V28" s="91" ph="1">
        <f>V27*47.051*LOOKUP(V29,密度!$A$2:$A$50,密度!$B$2:$B$50)</f>
        <v>37188.1929055</v>
      </c>
      <c r="W28" s="91" ph="1">
        <f>W27*47.051*LOOKUP(W29,密度!$A$2:$A$50,密度!$B$2:$B$50)</f>
        <v>185715.6984548</v>
      </c>
      <c r="X28" s="91" ph="1">
        <f>X27*47.051*LOOKUP(X29,密度!$A$2:$A$61,密度!$I$2:$I$61)</f>
        <v>76930.135297200002</v>
      </c>
      <c r="Y28" s="91" ph="1">
        <f>Y27*47.051*LOOKUP(Y29,密度!$A$2:$A$50,密度!$L$2:$L$50)</f>
        <v>322189.20360900002</v>
      </c>
      <c r="Z28" s="178"/>
      <c r="AA28" s="179"/>
      <c r="AB28" s="179"/>
      <c r="AC28" s="179"/>
      <c r="AD28" s="179"/>
      <c r="AE28" s="180"/>
      <c r="AH28" s="64" ph="1">
        <v>14</v>
      </c>
      <c r="AI28" s="64" t="s" ph="1">
        <v>351</v>
      </c>
      <c r="AZ28" s="64" t="s" ph="1">
        <v>216</v>
      </c>
      <c r="BA28" s="64" ph="1">
        <v>0</v>
      </c>
    </row>
    <row r="29" spans="1:57" ph="1">
      <c r="A29" s="72" ph="1"/>
      <c r="B29" s="184" ph="1"/>
      <c r="C29" s="150" t="s" ph="1">
        <v>179</v>
      </c>
      <c r="D29" s="74">
        <v>25</v>
      </c>
      <c r="E29" s="74">
        <v>25</v>
      </c>
      <c r="F29" s="74">
        <v>27</v>
      </c>
      <c r="G29" s="74">
        <v>30</v>
      </c>
      <c r="H29" s="74">
        <v>30</v>
      </c>
      <c r="I29" s="74">
        <v>28</v>
      </c>
      <c r="J29" s="74">
        <v>30</v>
      </c>
      <c r="K29" s="74">
        <v>28</v>
      </c>
      <c r="L29" s="74">
        <v>28</v>
      </c>
      <c r="M29" s="74">
        <v>28</v>
      </c>
      <c r="N29" s="74">
        <v>28</v>
      </c>
      <c r="O29" s="74">
        <v>28</v>
      </c>
      <c r="P29" s="74">
        <v>28</v>
      </c>
      <c r="Q29" s="93">
        <v>30</v>
      </c>
      <c r="R29" s="74">
        <v>30</v>
      </c>
      <c r="S29" s="74">
        <v>30</v>
      </c>
      <c r="T29" s="74">
        <v>30</v>
      </c>
      <c r="U29" s="74">
        <v>30</v>
      </c>
      <c r="V29" s="74">
        <v>26</v>
      </c>
      <c r="W29" s="74">
        <v>25</v>
      </c>
      <c r="X29" s="74">
        <v>27</v>
      </c>
      <c r="Y29" s="74">
        <v>33</v>
      </c>
      <c r="Z29" s="181"/>
      <c r="AA29" s="182"/>
      <c r="AB29" s="182"/>
      <c r="AC29" s="182"/>
      <c r="AD29" s="182"/>
      <c r="AE29" s="183"/>
      <c r="AH29" s="64" ph="1">
        <v>15</v>
      </c>
      <c r="AI29" s="64" t="s" ph="1">
        <v>352</v>
      </c>
      <c r="AZ29" s="64" t="s" ph="1">
        <v>216</v>
      </c>
      <c r="BA29" s="64" ph="1">
        <v>0</v>
      </c>
      <c r="BD29" s="64" t="s" ph="1">
        <v>353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354</v>
      </c>
      <c r="AZ30" s="64" t="s" ph="1">
        <v>216</v>
      </c>
      <c r="BA30" s="64" ph="1">
        <v>0</v>
      </c>
    </row>
    <row r="31" spans="1:57" ht="28.2" ph="1">
      <c r="A31" s="64"/>
      <c r="B31" s="197" t="s" ph="1">
        <v>35</v>
      </c>
      <c r="C31" s="198" ph="1"/>
      <c r="D31" s="201" t="s" ph="1">
        <v>9</v>
      </c>
      <c r="E31" s="190" ph="1"/>
      <c r="F31" s="191" ph="1"/>
      <c r="G31" s="201" t="s" ph="1">
        <v>18</v>
      </c>
      <c r="H31" s="190" ph="1"/>
      <c r="I31" s="191" ph="1"/>
      <c r="J31" s="189" t="s" ph="1">
        <v>1</v>
      </c>
      <c r="K31" s="190" ph="1"/>
      <c r="L31" s="191" ph="1"/>
      <c r="M31" s="189" t="s" ph="1">
        <v>7</v>
      </c>
      <c r="N31" s="190" ph="1"/>
      <c r="O31" s="191" ph="1"/>
      <c r="P31" s="189" t="s" ph="1">
        <v>41</v>
      </c>
      <c r="Q31" s="190"/>
      <c r="R31" s="191"/>
      <c r="S31" s="189" t="s" ph="1">
        <v>2</v>
      </c>
      <c r="T31" s="190"/>
      <c r="U31" s="191"/>
      <c r="V31" s="189" t="s" ph="1">
        <v>71</v>
      </c>
      <c r="W31" s="190" ph="1"/>
      <c r="X31" s="191" ph="1"/>
      <c r="Y31" s="189" t="s" ph="1">
        <v>3</v>
      </c>
      <c r="Z31" s="190" ph="1"/>
      <c r="AA31" s="191" ph="1"/>
      <c r="AB31" s="212" t="s">
        <v>42</v>
      </c>
      <c r="AC31" s="213"/>
      <c r="AD31" s="213"/>
      <c r="AE31" s="214"/>
      <c r="AH31" s="64" ph="1">
        <v>17</v>
      </c>
      <c r="AI31" s="64" t="s" ph="1">
        <v>355</v>
      </c>
      <c r="AZ31" s="64" t="s" ph="1">
        <v>216</v>
      </c>
      <c r="BA31" s="64" ph="1">
        <v>0</v>
      </c>
      <c r="BD31" s="64" t="s" ph="1">
        <v>356</v>
      </c>
      <c r="BE31" s="64" ph="1">
        <v>9310</v>
      </c>
    </row>
    <row r="32" spans="1:57" ph="1">
      <c r="A32" s="64"/>
      <c r="B32" s="199" ph="1"/>
      <c r="C32" s="200" ph="1"/>
      <c r="D32" s="96" t="s" ph="1">
        <v>4</v>
      </c>
      <c r="E32" s="150" t="s" ph="1">
        <v>5</v>
      </c>
      <c r="F32" s="149" t="s" ph="1">
        <v>43</v>
      </c>
      <c r="G32" s="97" t="s" ph="1">
        <v>4</v>
      </c>
      <c r="H32" s="150" t="s" ph="1">
        <v>5</v>
      </c>
      <c r="I32" s="149" t="s" ph="1">
        <v>43</v>
      </c>
      <c r="J32" s="97" t="s" ph="1">
        <v>4</v>
      </c>
      <c r="K32" s="150" t="s" ph="1">
        <v>5</v>
      </c>
      <c r="L32" s="149" t="s" ph="1">
        <v>43</v>
      </c>
      <c r="M32" s="97" t="s" ph="1">
        <v>4</v>
      </c>
      <c r="N32" s="150" t="s" ph="1">
        <v>5</v>
      </c>
      <c r="O32" s="149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50" t="s" ph="1">
        <v>5</v>
      </c>
      <c r="U32" s="99" t="s" ph="1">
        <v>43</v>
      </c>
      <c r="V32" s="97" t="s" ph="1">
        <v>4</v>
      </c>
      <c r="W32" s="150" t="s" ph="1">
        <v>5</v>
      </c>
      <c r="X32" s="99" t="s" ph="1">
        <v>43</v>
      </c>
      <c r="Y32" s="100" t="s" ph="1">
        <v>4</v>
      </c>
      <c r="Z32" s="150" t="s" ph="1">
        <v>5</v>
      </c>
      <c r="AA32" s="149" t="s" ph="1">
        <v>43</v>
      </c>
      <c r="AB32" s="97" t="s" ph="1">
        <v>85</v>
      </c>
      <c r="AC32" s="150" t="s" ph="1">
        <v>84</v>
      </c>
      <c r="AD32" s="215" t="s" ph="1">
        <v>83</v>
      </c>
      <c r="AE32" s="216"/>
      <c r="AH32" s="64" ph="1">
        <v>18</v>
      </c>
      <c r="AI32" s="64" t="s" ph="1">
        <v>357</v>
      </c>
      <c r="AZ32" s="64" t="s" ph="1">
        <v>216</v>
      </c>
      <c r="BA32" s="64" ph="1">
        <v>0</v>
      </c>
    </row>
    <row r="33" spans="1:57" ph="1">
      <c r="A33" s="64"/>
      <c r="B33" s="202" t="s" ph="1">
        <v>181</v>
      </c>
      <c r="C33" s="203" ph="1"/>
      <c r="D33" s="206" ph="1">
        <f>AA10+AB10+Z19</f>
        <v>87315.356885600006</v>
      </c>
      <c r="E33" s="206" ph="1">
        <f>M10+I10</f>
        <v>228049.92757739997</v>
      </c>
      <c r="F33" s="208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1522252632456786910111213141516171819202123456789101112131415161718192022232424356789101112131415161718192021222345678910111213141516171819202345678910111213149101516171819222123234567891012131415161711181920212224252345678910111213135[[#This Row],[F25]]</f>
        <v>3880</v>
      </c>
      <c r="G33" s="210" ph="1">
        <f>N19</f>
        <v>14911.148595319999</v>
      </c>
      <c r="H33" s="206" ph="1">
        <f>M19</f>
        <v>26508.185574124003</v>
      </c>
      <c r="I33" s="219" ph="1">
        <v>0</v>
      </c>
      <c r="J33" s="217" ph="1">
        <f>F10+O28</f>
        <v>265342.11715880001</v>
      </c>
      <c r="K33" s="206" ph="1">
        <f>O10+K10+E28+R28</f>
        <v>416052.3418394</v>
      </c>
      <c r="L33" s="221" ph="1">
        <f>K19</f>
        <v>22843.926160800002</v>
      </c>
      <c r="M33" s="217" ph="1">
        <f>G10+H10+W28+S28+V28+E10+R19+P28+Q28</f>
        <v>973335.95809713996</v>
      </c>
      <c r="N33" s="206" ph="1">
        <f>L10+P10++G28+H28+AD19+AE19</f>
        <v>172425.21794</v>
      </c>
      <c r="O33" s="219" ph="1">
        <f>G19</f>
        <v>21208.594309720003</v>
      </c>
      <c r="P33" s="217" ph="1">
        <f>L19</f>
        <v>25254.887667839997</v>
      </c>
      <c r="Q33" s="206" ph="1">
        <f>J10+N10</f>
        <v>16501.086873599997</v>
      </c>
      <c r="R33" s="219" ph="1">
        <f>BE23</f>
        <v>890</v>
      </c>
      <c r="S33" s="217" ph="1">
        <f>X28</f>
        <v>76930.135297200002</v>
      </c>
      <c r="T33" s="206" ph="1">
        <f>X19</f>
        <v>18825.66460208</v>
      </c>
      <c r="U33" s="227" ph="1">
        <f>BE21</f>
        <v>730</v>
      </c>
      <c r="V33" s="238" ph="1">
        <f ca="1">P19+Q19+S19+M28+N28+J28+D10+AC10+D19+E19+H19+J19+O19+V19+W19+K28+L28</f>
        <v>539856.26042424003</v>
      </c>
      <c r="W33" s="238" ph="1">
        <f>D28+F28+T28+I28</f>
        <v>23261.733520200003</v>
      </c>
      <c r="X33" s="219" ph="1">
        <f>BE29+BE31</f>
        <v>10200</v>
      </c>
      <c r="Y33" s="240" ph="1">
        <f>+Q10+R10+S10+T10+U10+V10+W10+X10+Y10</f>
        <v>266444.78386680002</v>
      </c>
      <c r="Z33" s="225" ph="1">
        <f>T19+U19+Y28+Z10</f>
        <v>457311.83498060005</v>
      </c>
      <c r="AA33" s="227" ph="1">
        <f>BE19</f>
        <v>1440</v>
      </c>
      <c r="AB33" s="229" ph="1">
        <f>I19</f>
        <v>47750.926333200005</v>
      </c>
      <c r="AC33" s="231" ph="1">
        <f>AD10+AB19</f>
        <v>121256.1558416</v>
      </c>
      <c r="AD33" s="233" ph="1">
        <v>0</v>
      </c>
      <c r="AE33" s="234"/>
      <c r="AH33" s="64" ph="1">
        <v>19</v>
      </c>
      <c r="AI33" s="64" t="s" ph="1">
        <v>358</v>
      </c>
      <c r="AJ33" s="64" t="s" ph="1">
        <v>592</v>
      </c>
      <c r="AK33" s="64" t="s" ph="1">
        <v>589</v>
      </c>
      <c r="AL33" s="64" ph="1">
        <v>730</v>
      </c>
      <c r="AM33" s="64" t="s" ph="1">
        <v>339</v>
      </c>
      <c r="AZ33" s="64" t="s" ph="1">
        <v>216</v>
      </c>
      <c r="BA33" s="64" ph="1">
        <v>730</v>
      </c>
      <c r="BD33" s="64" t="s" ph="1">
        <v>290</v>
      </c>
      <c r="BE33" s="64" ph="1">
        <v>3880</v>
      </c>
    </row>
    <row r="34" spans="1:57" ph="1">
      <c r="A34" s="64"/>
      <c r="B34" s="204" ph="1"/>
      <c r="C34" s="205" ph="1"/>
      <c r="D34" s="207" ph="1"/>
      <c r="E34" s="207" ph="1"/>
      <c r="F34" s="209" ph="1"/>
      <c r="G34" s="211" ph="1"/>
      <c r="H34" s="207" ph="1"/>
      <c r="I34" s="220" ph="1"/>
      <c r="J34" s="218" ph="1"/>
      <c r="K34" s="207" ph="1"/>
      <c r="L34" s="222" ph="1"/>
      <c r="M34" s="218" ph="1"/>
      <c r="N34" s="207" ph="1"/>
      <c r="O34" s="220" ph="1"/>
      <c r="P34" s="218" ph="1"/>
      <c r="Q34" s="207" ph="1"/>
      <c r="R34" s="220" ph="1"/>
      <c r="S34" s="218" ph="1"/>
      <c r="T34" s="207"/>
      <c r="U34" s="228"/>
      <c r="V34" s="239" ph="1"/>
      <c r="W34" s="239" ph="1"/>
      <c r="X34" s="220" ph="1"/>
      <c r="Y34" s="241" ph="1"/>
      <c r="Z34" s="226" ph="1"/>
      <c r="AA34" s="228" ph="1"/>
      <c r="AB34" s="230"/>
      <c r="AC34" s="232"/>
      <c r="AD34" s="235"/>
      <c r="AE34" s="236"/>
      <c r="AH34" s="64" ph="1">
        <v>20</v>
      </c>
      <c r="AI34" s="64" t="s" ph="1">
        <v>359</v>
      </c>
      <c r="AJ34" s="64" t="s" ph="1">
        <v>593</v>
      </c>
      <c r="AK34" s="64" t="s" ph="1">
        <v>589</v>
      </c>
      <c r="AL34" s="64" ph="1">
        <v>720</v>
      </c>
      <c r="AM34" s="64" t="s" ph="1">
        <v>339</v>
      </c>
      <c r="AZ34" s="64" t="s" ph="1">
        <v>216</v>
      </c>
      <c r="BA34" s="64" ph="1">
        <v>720</v>
      </c>
    </row>
    <row r="35" spans="1:57" ph="1">
      <c r="A35" s="64"/>
      <c r="AC35" s="237" t="s" ph="1">
        <v>631</v>
      </c>
      <c r="AD35" s="237"/>
      <c r="AE35" s="237"/>
      <c r="AH35" s="64" ph="1">
        <v>21</v>
      </c>
      <c r="AI35" s="64" t="s" ph="1">
        <v>360</v>
      </c>
      <c r="AZ35" s="64" t="s" ph="1">
        <v>216</v>
      </c>
      <c r="BA35" s="64" ph="1">
        <v>0</v>
      </c>
      <c r="BD35" s="64" t="s" ph="1">
        <v>361</v>
      </c>
      <c r="BE35" s="64" ph="1">
        <v>2030</v>
      </c>
    </row>
    <row r="36" spans="1:57" ht="28.2" ph="1">
      <c r="A36" s="64"/>
      <c r="B36" s="103" t="s" ph="1">
        <v>182</v>
      </c>
      <c r="I36" s="223" t="s" ph="1">
        <v>183</v>
      </c>
      <c r="J36" s="223" ph="1"/>
      <c r="K36" s="101" ph="1"/>
      <c r="P36" s="101" ph="1"/>
      <c r="R36" s="223" t="s" ph="1">
        <v>184</v>
      </c>
      <c r="S36" s="223" ph="1"/>
      <c r="Y36" s="102" ph="1"/>
      <c r="Z36" s="148" t="s" ph="1">
        <v>185</v>
      </c>
      <c r="AA36" s="148" ph="1"/>
      <c r="AB36" s="224" t="s" ph="1">
        <v>640</v>
      </c>
      <c r="AC36" s="224" ph="1"/>
      <c r="AD36" s="224" ph="1"/>
      <c r="AE36" s="224" ph="1"/>
      <c r="BA36" s="64" ph="1">
        <v>2270</v>
      </c>
    </row>
    <row r="37" spans="1:57" s="148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48" t="s" ph="1">
        <v>342</v>
      </c>
      <c r="AI37" s="148" t="s" ph="1">
        <v>209</v>
      </c>
      <c r="AJ37" s="148" t="s" ph="1">
        <v>210</v>
      </c>
      <c r="AK37" s="148" t="s" ph="1">
        <v>211</v>
      </c>
      <c r="AM37" s="148" t="s" ph="1">
        <v>210</v>
      </c>
      <c r="AN37" s="148" t="s" ph="1">
        <v>211</v>
      </c>
      <c r="AO37" s="148" t="s" ph="1">
        <v>212</v>
      </c>
      <c r="AP37" s="148" t="s" ph="1">
        <v>210</v>
      </c>
      <c r="AQ37" s="148" t="s" ph="1">
        <v>211</v>
      </c>
      <c r="AR37" s="148" t="s" ph="1">
        <v>212</v>
      </c>
      <c r="AS37" s="148" t="s" ph="1">
        <v>210</v>
      </c>
      <c r="AT37" s="148" t="s" ph="1">
        <v>211</v>
      </c>
      <c r="AU37" s="148" t="s" ph="1">
        <v>212</v>
      </c>
      <c r="AV37" s="148" t="s" ph="1">
        <v>210</v>
      </c>
      <c r="AW37" s="148" t="s" ph="1">
        <v>211</v>
      </c>
      <c r="AX37" s="148" t="s" ph="1">
        <v>212</v>
      </c>
      <c r="AY37" s="148" t="s" ph="1">
        <v>211</v>
      </c>
      <c r="AZ37" s="148" t="s" ph="1">
        <v>213</v>
      </c>
      <c r="BD37" s="148" t="s" ph="1">
        <v>305</v>
      </c>
      <c r="BE37" s="148" ph="1">
        <v>0</v>
      </c>
    </row>
    <row r="38" spans="1:57" ph="1">
      <c r="AE38" s="64" ph="1"/>
      <c r="AH38" s="64" ph="1">
        <v>1</v>
      </c>
      <c r="AI38" s="64" t="s" ph="1">
        <v>362</v>
      </c>
      <c r="AY38" s="64" t="s" ph="1">
        <v>216</v>
      </c>
      <c r="AZ38" s="64" t="s" ph="1">
        <v>367</v>
      </c>
    </row>
    <row r="39" spans="1:57" ph="1">
      <c r="AH39" s="64" ph="1">
        <v>2</v>
      </c>
      <c r="AI39" s="64" t="s" ph="1">
        <v>364</v>
      </c>
      <c r="AJ39" s="64" t="s" ph="1">
        <v>336</v>
      </c>
      <c r="AK39" s="64" t="s" ph="1">
        <v>365</v>
      </c>
      <c r="AM39" s="64" t="s" ph="1">
        <v>570</v>
      </c>
      <c r="AN39" s="64" t="s" ph="1">
        <v>228</v>
      </c>
      <c r="AO39" s="64" t="s" ph="1">
        <v>363</v>
      </c>
      <c r="AY39" s="64" t="s" ph="1">
        <v>216</v>
      </c>
      <c r="AZ39" s="64" t="s" ph="1">
        <v>499</v>
      </c>
    </row>
    <row r="40" spans="1:57" ph="1">
      <c r="AH40" s="64" ph="1">
        <v>3</v>
      </c>
      <c r="AI40" s="64" t="s" ph="1">
        <v>366</v>
      </c>
      <c r="AJ40" s="64" t="s" ph="1">
        <v>570</v>
      </c>
      <c r="AK40" s="64" t="s" ph="1">
        <v>571</v>
      </c>
      <c r="AY40" s="64" t="s" ph="1">
        <v>216</v>
      </c>
      <c r="AZ40" s="64" t="s" ph="1">
        <v>571</v>
      </c>
    </row>
    <row r="41" spans="1:57" ph="1">
      <c r="AH41" s="64" ph="1">
        <v>4</v>
      </c>
      <c r="AI41" s="64" t="s" ph="1">
        <v>368</v>
      </c>
      <c r="AJ41" s="64" t="s" ph="1">
        <v>572</v>
      </c>
      <c r="AK41" s="64" t="s" ph="1">
        <v>573</v>
      </c>
      <c r="AM41" s="64" t="s" ph="1">
        <v>574</v>
      </c>
      <c r="AY41" s="64" t="s" ph="1">
        <v>216</v>
      </c>
      <c r="AZ41" s="64" t="s" ph="1">
        <v>573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369</v>
      </c>
      <c r="AY42" s="64" t="s" ph="1">
        <v>216</v>
      </c>
      <c r="AZ42" s="64" t="s" ph="1">
        <v>367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370</v>
      </c>
      <c r="AY43" s="64" t="s" ph="1">
        <v>216</v>
      </c>
      <c r="AZ43" s="64" t="s" ph="1">
        <v>367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371</v>
      </c>
      <c r="AV44" s="64" t="s" ph="1">
        <v>217</v>
      </c>
      <c r="AY44" s="64" t="s" ph="1">
        <v>216</v>
      </c>
      <c r="AZ44" s="64" t="s" ph="1">
        <v>367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372</v>
      </c>
      <c r="AV45" s="64" t="s" ph="1">
        <v>217</v>
      </c>
      <c r="AY45" s="64" t="s" ph="1">
        <v>216</v>
      </c>
      <c r="AZ45" s="64" t="s" ph="1">
        <v>367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373</v>
      </c>
      <c r="AV46" s="64" t="s" ph="1">
        <v>217</v>
      </c>
      <c r="AY46" s="64" t="s" ph="1">
        <v>216</v>
      </c>
      <c r="AZ46" s="64" t="s" ph="1">
        <v>367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374</v>
      </c>
      <c r="AV47" s="64" t="s" ph="1">
        <v>217</v>
      </c>
      <c r="AY47" s="64" t="s" ph="1">
        <v>216</v>
      </c>
      <c r="AZ47" s="64" t="s" ph="1">
        <v>367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575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232</v>
      </c>
      <c r="AI49" s="64" t="s" ph="1">
        <v>209</v>
      </c>
      <c r="AJ49" s="64" t="s" ph="1">
        <v>210</v>
      </c>
      <c r="AK49" s="64" t="s" ph="1">
        <v>211</v>
      </c>
      <c r="AM49" s="64" t="s" ph="1">
        <v>210</v>
      </c>
      <c r="AN49" s="64" t="s" ph="1">
        <v>211</v>
      </c>
      <c r="AO49" s="64" t="s" ph="1">
        <v>212</v>
      </c>
      <c r="AP49" s="64" t="s" ph="1">
        <v>210</v>
      </c>
      <c r="AQ49" s="64" t="s" ph="1">
        <v>211</v>
      </c>
      <c r="AR49" s="64" t="s" ph="1">
        <v>212</v>
      </c>
      <c r="AS49" s="64" t="s" ph="1">
        <v>210</v>
      </c>
      <c r="AT49" s="64" t="s" ph="1">
        <v>211</v>
      </c>
      <c r="AU49" s="64" t="s" ph="1">
        <v>212</v>
      </c>
      <c r="AV49" s="64" t="s" ph="1">
        <v>210</v>
      </c>
      <c r="AW49" s="64" t="s" ph="1">
        <v>211</v>
      </c>
      <c r="AX49" s="64" t="s" ph="1">
        <v>212</v>
      </c>
      <c r="AY49" s="64" t="s" ph="1">
        <v>211</v>
      </c>
      <c r="AZ49" s="64" t="s" ph="1">
        <v>213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375</v>
      </c>
      <c r="AY50" s="64" t="s" ph="1">
        <v>216</v>
      </c>
      <c r="AZ50" s="64" t="s" ph="1">
        <v>367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376</v>
      </c>
      <c r="AY51" s="64" t="s" ph="1">
        <v>216</v>
      </c>
      <c r="AZ51" s="64" t="s" ph="1">
        <v>367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377</v>
      </c>
      <c r="AJ52" s="64" t="s" ph="1">
        <v>334</v>
      </c>
      <c r="AK52" s="64" t="s" ph="1">
        <v>228</v>
      </c>
      <c r="AM52" s="64" t="s" ph="1">
        <v>336</v>
      </c>
      <c r="AN52" s="64" t="s" ph="1">
        <v>300</v>
      </c>
      <c r="AO52" s="64" t="s" ph="1">
        <v>233</v>
      </c>
      <c r="AP52" s="64" t="s" ph="1">
        <v>570</v>
      </c>
      <c r="AQ52" s="64" t="s" ph="1">
        <v>282</v>
      </c>
      <c r="AR52" s="64" t="s" ph="1">
        <v>233</v>
      </c>
      <c r="AY52" s="64" t="s" ph="1">
        <v>216</v>
      </c>
      <c r="AZ52" s="64" t="s" ph="1">
        <v>576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378</v>
      </c>
      <c r="AY53" s="64" t="s" ph="1">
        <v>216</v>
      </c>
      <c r="AZ53" s="64" t="s" ph="1">
        <v>367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379</v>
      </c>
      <c r="AJ54" s="64" t="s" ph="1">
        <v>334</v>
      </c>
      <c r="AK54" s="64" t="s" ph="1">
        <v>219</v>
      </c>
      <c r="AM54" s="64" t="s" ph="1">
        <v>336</v>
      </c>
      <c r="AN54" s="64" t="s" ph="1">
        <v>224</v>
      </c>
      <c r="AO54" s="64" t="s" ph="1">
        <v>233</v>
      </c>
      <c r="AP54" s="64" t="s" ph="1">
        <v>570</v>
      </c>
      <c r="AQ54" s="64" t="s" ph="1">
        <v>240</v>
      </c>
      <c r="AR54" s="64" t="s" ph="1">
        <v>233</v>
      </c>
      <c r="AY54" s="64" t="s" ph="1">
        <v>216</v>
      </c>
      <c r="AZ54" s="64" t="s" ph="1">
        <v>234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380</v>
      </c>
      <c r="AY55" s="64" t="s" ph="1">
        <v>216</v>
      </c>
      <c r="AZ55" s="64" t="s" ph="1">
        <v>367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381</v>
      </c>
      <c r="AY56" s="64" t="s" ph="1">
        <v>216</v>
      </c>
      <c r="AZ56" s="64" t="s" ph="1">
        <v>367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382</v>
      </c>
      <c r="AY57" s="64" t="s" ph="1">
        <v>216</v>
      </c>
      <c r="AZ57" s="64" t="s" ph="1">
        <v>367</v>
      </c>
    </row>
    <row r="58" spans="16:52" ph="1">
      <c r="P58" s="64"/>
      <c r="AN58" s="64" t="s" ph="1">
        <v>217</v>
      </c>
      <c r="AZ58" s="64" t="s" ph="1">
        <v>577</v>
      </c>
    </row>
    <row r="59" spans="16:52" ph="1">
      <c r="V59" s="64"/>
      <c r="AG59" s="64" t="s" ph="1">
        <v>235</v>
      </c>
      <c r="AI59" s="64" t="s" ph="1">
        <v>209</v>
      </c>
      <c r="AJ59" s="64" t="s" ph="1">
        <v>210</v>
      </c>
      <c r="AK59" s="64" t="s" ph="1">
        <v>211</v>
      </c>
      <c r="AM59" s="64" t="s" ph="1">
        <v>210</v>
      </c>
      <c r="AN59" s="64" t="s" ph="1">
        <v>211</v>
      </c>
      <c r="AO59" s="64" t="s" ph="1">
        <v>212</v>
      </c>
      <c r="AP59" s="64" t="s" ph="1">
        <v>210</v>
      </c>
      <c r="AQ59" s="64" t="s" ph="1">
        <v>211</v>
      </c>
      <c r="AR59" s="64" t="s" ph="1">
        <v>212</v>
      </c>
      <c r="AS59" s="64" t="s" ph="1">
        <v>210</v>
      </c>
      <c r="AT59" s="64" t="s" ph="1">
        <v>211</v>
      </c>
      <c r="AU59" s="64" t="s" ph="1">
        <v>212</v>
      </c>
      <c r="AV59" s="64" t="s" ph="1">
        <v>210</v>
      </c>
      <c r="AW59" s="64" t="s" ph="1">
        <v>211</v>
      </c>
      <c r="AX59" s="64" t="s" ph="1">
        <v>212</v>
      </c>
      <c r="AY59" s="64" t="s" ph="1">
        <v>211</v>
      </c>
      <c r="AZ59" s="64" t="s" ph="1">
        <v>213</v>
      </c>
    </row>
    <row r="60" spans="16:52" ph="1">
      <c r="R60" s="64"/>
      <c r="S60" s="64"/>
      <c r="T60" s="64"/>
      <c r="AH60" s="64" ph="1">
        <v>1</v>
      </c>
      <c r="AI60" s="64" t="s" ph="1">
        <v>383</v>
      </c>
      <c r="AY60" s="64" t="s" ph="1">
        <v>216</v>
      </c>
      <c r="AZ60" s="64" t="s" ph="1">
        <v>367</v>
      </c>
    </row>
    <row r="61" spans="16:52" ph="1">
      <c r="AH61" s="64" ph="1">
        <v>2</v>
      </c>
      <c r="AI61" s="64" t="s" ph="1">
        <v>384</v>
      </c>
      <c r="AS61" s="64" t="s" ph="1">
        <v>217</v>
      </c>
      <c r="AY61" s="64" t="s" ph="1">
        <v>216</v>
      </c>
      <c r="AZ61" s="64" t="s" ph="1">
        <v>367</v>
      </c>
    </row>
    <row r="62" spans="16:52" ph="1">
      <c r="AZ62" s="64" t="s" ph="1">
        <v>385</v>
      </c>
    </row>
    <row r="63" spans="16:52" ph="1">
      <c r="AG63" s="64" t="s" ph="1">
        <v>238</v>
      </c>
      <c r="AI63" s="64" t="s" ph="1">
        <v>209</v>
      </c>
      <c r="AJ63" s="64" t="s" ph="1">
        <v>210</v>
      </c>
      <c r="AK63" s="64" t="s" ph="1">
        <v>211</v>
      </c>
      <c r="AM63" s="64" t="s" ph="1">
        <v>210</v>
      </c>
      <c r="AN63" s="64" t="s" ph="1">
        <v>211</v>
      </c>
      <c r="AO63" s="64" t="s" ph="1">
        <v>212</v>
      </c>
      <c r="AP63" s="64" t="s" ph="1">
        <v>210</v>
      </c>
      <c r="AQ63" s="64" t="s" ph="1">
        <v>211</v>
      </c>
      <c r="AR63" s="64" t="s" ph="1">
        <v>212</v>
      </c>
      <c r="AS63" s="64" t="s" ph="1">
        <v>210</v>
      </c>
      <c r="AT63" s="64" t="s" ph="1">
        <v>211</v>
      </c>
      <c r="AU63" s="64" t="s" ph="1">
        <v>212</v>
      </c>
      <c r="AV63" s="64" t="s" ph="1">
        <v>210</v>
      </c>
      <c r="AW63" s="64" t="s" ph="1">
        <v>211</v>
      </c>
      <c r="AX63" s="64" t="s" ph="1">
        <v>212</v>
      </c>
      <c r="AY63" s="64" t="s" ph="1">
        <v>211</v>
      </c>
      <c r="AZ63" s="64" t="s" ph="1">
        <v>213</v>
      </c>
    </row>
    <row r="64" spans="16:52" ph="1">
      <c r="AH64" s="64" ph="1">
        <v>1</v>
      </c>
      <c r="AI64" s="64" t="s" ph="1">
        <v>386</v>
      </c>
      <c r="AJ64" s="64" t="s" ph="1">
        <v>387</v>
      </c>
      <c r="AK64" s="64" t="s" ph="1">
        <v>388</v>
      </c>
      <c r="AY64" s="64" t="s" ph="1">
        <v>216</v>
      </c>
      <c r="AZ64" s="64" t="s" ph="1">
        <v>388</v>
      </c>
    </row>
    <row r="65" spans="33:52" ph="1">
      <c r="AH65" s="64" ph="1">
        <v>2</v>
      </c>
      <c r="AI65" s="64" t="s" ph="1">
        <v>389</v>
      </c>
      <c r="AY65" s="64" t="s" ph="1">
        <v>216</v>
      </c>
      <c r="AZ65" s="64" t="s" ph="1">
        <v>367</v>
      </c>
    </row>
    <row r="66" spans="33:52" ph="1">
      <c r="AH66" s="64" ph="1">
        <v>3</v>
      </c>
      <c r="AI66" s="64" t="s" ph="1">
        <v>390</v>
      </c>
      <c r="AY66" s="64" t="s" ph="1">
        <v>216</v>
      </c>
      <c r="AZ66" s="64" t="s" ph="1">
        <v>367</v>
      </c>
    </row>
    <row r="67" spans="33:52" ph="1">
      <c r="AH67" s="64" ph="1">
        <v>4</v>
      </c>
      <c r="AI67" s="64" t="s" ph="1">
        <v>391</v>
      </c>
      <c r="AY67" s="64" t="s" ph="1">
        <v>216</v>
      </c>
      <c r="AZ67" s="64" t="s" ph="1">
        <v>367</v>
      </c>
    </row>
    <row r="68" spans="33:52" ph="1">
      <c r="AH68" s="64" ph="1">
        <v>5</v>
      </c>
      <c r="AI68" s="64" t="s" ph="1">
        <v>392</v>
      </c>
      <c r="AY68" s="64" t="s" ph="1">
        <v>216</v>
      </c>
      <c r="AZ68" s="64" t="s" ph="1">
        <v>367</v>
      </c>
    </row>
    <row r="69" spans="33:52" ph="1">
      <c r="AH69" s="64" ph="1">
        <v>6</v>
      </c>
      <c r="AI69" s="64" t="s" ph="1">
        <v>393</v>
      </c>
      <c r="AY69" s="64" t="s" ph="1">
        <v>216</v>
      </c>
      <c r="AZ69" s="64" t="s" ph="1">
        <v>367</v>
      </c>
    </row>
    <row r="70" spans="33:52" ph="1">
      <c r="AI70" s="64" t="s" ph="1">
        <v>394</v>
      </c>
      <c r="AY70" s="64" t="s" ph="1">
        <v>216</v>
      </c>
      <c r="AZ70" s="64" t="s" ph="1">
        <v>367</v>
      </c>
    </row>
    <row r="71" spans="33:52" ph="1">
      <c r="AH71" s="64" ph="1">
        <v>7</v>
      </c>
      <c r="AI71" s="64" t="s" ph="1">
        <v>395</v>
      </c>
      <c r="AJ71" s="64" t="s" ph="1">
        <v>334</v>
      </c>
      <c r="AK71" s="64" t="s" ph="1">
        <v>228</v>
      </c>
      <c r="AM71" s="64" t="s" ph="1">
        <v>336</v>
      </c>
      <c r="AN71" s="64" t="s" ph="1">
        <v>228</v>
      </c>
      <c r="AO71" s="64" t="s" ph="1">
        <v>396</v>
      </c>
      <c r="AP71" s="64" t="s" ph="1">
        <v>570</v>
      </c>
      <c r="AQ71" s="64" t="s" ph="1">
        <v>219</v>
      </c>
      <c r="AR71" s="64" t="s" ph="1">
        <v>396</v>
      </c>
      <c r="AY71" s="64" t="s" ph="1">
        <v>216</v>
      </c>
      <c r="AZ71" s="64" t="s" ph="1">
        <v>578</v>
      </c>
    </row>
    <row r="72" spans="33:52" ph="1">
      <c r="AZ72" s="64" t="s" ph="1">
        <v>579</v>
      </c>
    </row>
    <row r="73" spans="33:52" ph="1">
      <c r="AG73" s="64" t="s" ph="1">
        <v>241</v>
      </c>
      <c r="AI73" s="64" t="s" ph="1">
        <v>209</v>
      </c>
      <c r="AJ73" s="64" t="s" ph="1">
        <v>210</v>
      </c>
      <c r="AK73" s="64" t="s" ph="1">
        <v>211</v>
      </c>
      <c r="AM73" s="64" t="s" ph="1">
        <v>210</v>
      </c>
      <c r="AN73" s="64" t="s" ph="1">
        <v>211</v>
      </c>
      <c r="AO73" s="64" t="s" ph="1">
        <v>212</v>
      </c>
      <c r="AP73" s="64" t="s" ph="1">
        <v>210</v>
      </c>
      <c r="AQ73" s="64" t="s" ph="1">
        <v>211</v>
      </c>
      <c r="AR73" s="64" t="s" ph="1">
        <v>212</v>
      </c>
      <c r="AS73" s="64" t="s" ph="1">
        <v>210</v>
      </c>
      <c r="AT73" s="64" t="s" ph="1">
        <v>211</v>
      </c>
      <c r="AU73" s="64" t="s" ph="1">
        <v>212</v>
      </c>
      <c r="AV73" s="64" t="s" ph="1">
        <v>210</v>
      </c>
      <c r="AW73" s="64" t="s" ph="1">
        <v>211</v>
      </c>
      <c r="AX73" s="64" t="s" ph="1">
        <v>212</v>
      </c>
      <c r="AY73" s="64" t="s" ph="1">
        <v>211</v>
      </c>
      <c r="AZ73" s="64" t="s" ph="1">
        <v>213</v>
      </c>
    </row>
    <row r="74" spans="33:52" ph="1">
      <c r="AH74" s="64" ph="1">
        <v>1</v>
      </c>
      <c r="AI74" s="64" t="s" ph="1">
        <v>397</v>
      </c>
      <c r="AJ74" s="64" t="s" ph="1">
        <v>242</v>
      </c>
      <c r="AK74" s="64" t="s" ph="1">
        <v>224</v>
      </c>
      <c r="AM74" s="64" t="s" ph="1">
        <v>244</v>
      </c>
      <c r="AN74" s="64" t="s" ph="1">
        <v>254</v>
      </c>
      <c r="AO74" s="64" t="s" ph="1">
        <v>243</v>
      </c>
      <c r="AP74" s="64" t="s" ph="1">
        <v>245</v>
      </c>
      <c r="AQ74" s="64" t="s" ph="1">
        <v>222</v>
      </c>
      <c r="AR74" s="64" t="s" ph="1">
        <v>243</v>
      </c>
      <c r="AS74" s="64" t="s" ph="1">
        <v>215</v>
      </c>
      <c r="AT74" s="64" t="s" ph="1">
        <v>217</v>
      </c>
      <c r="AV74" s="64" t="s" ph="1">
        <v>398</v>
      </c>
      <c r="AW74" s="64" t="s" ph="1">
        <v>399</v>
      </c>
      <c r="AX74" s="64" t="s" ph="1">
        <v>400</v>
      </c>
      <c r="AY74" s="64" t="s" ph="1">
        <v>216</v>
      </c>
      <c r="AZ74" s="64" t="s" ph="1">
        <v>401</v>
      </c>
    </row>
    <row r="75" spans="33:52" ph="1">
      <c r="AJ75" s="64" t="s" ph="1">
        <v>247</v>
      </c>
      <c r="AK75" s="64" t="s" ph="1">
        <v>300</v>
      </c>
      <c r="AM75" s="64" t="s" ph="1">
        <v>245</v>
      </c>
      <c r="AN75" s="64" t="s" ph="1">
        <v>225</v>
      </c>
      <c r="AO75" s="64" t="s" ph="1">
        <v>243</v>
      </c>
      <c r="AS75" s="64" t="s" ph="1">
        <v>215</v>
      </c>
      <c r="AT75" s="64" t="s" ph="1">
        <v>246</v>
      </c>
    </row>
    <row r="76" spans="33:52" ph="1">
      <c r="AJ76" s="64" t="s" ph="1">
        <v>247</v>
      </c>
      <c r="AK76" s="64" t="s" ph="1">
        <v>240</v>
      </c>
      <c r="AM76" s="64" t="s" ph="1">
        <v>245</v>
      </c>
      <c r="AN76" s="64" t="s" ph="1">
        <v>228</v>
      </c>
      <c r="AO76" s="64" t="s" ph="1">
        <v>243</v>
      </c>
      <c r="AS76" s="64" t="s" ph="1">
        <v>215</v>
      </c>
      <c r="AT76" s="64" t="s" ph="1">
        <v>246</v>
      </c>
    </row>
    <row r="77" spans="33:52" ph="1">
      <c r="AJ77" s="64" t="s" ph="1">
        <v>283</v>
      </c>
      <c r="AK77" s="64" t="s" ph="1">
        <v>240</v>
      </c>
      <c r="AM77" s="64" t="s" ph="1">
        <v>284</v>
      </c>
      <c r="AN77" s="64" t="s" ph="1">
        <v>223</v>
      </c>
      <c r="AO77" s="64" t="s" ph="1">
        <v>243</v>
      </c>
      <c r="AS77" s="64" t="s" ph="1">
        <v>215</v>
      </c>
      <c r="AT77" s="64" t="s" ph="1">
        <v>285</v>
      </c>
    </row>
    <row r="78" spans="33:52" ph="1">
      <c r="AH78" s="64" ph="1">
        <v>2</v>
      </c>
      <c r="AI78" s="64" t="s" ph="1">
        <v>249</v>
      </c>
      <c r="AJ78" s="64" t="s" ph="1">
        <v>250</v>
      </c>
      <c r="AK78" s="64" t="s" ph="1">
        <v>219</v>
      </c>
      <c r="AM78" s="64" t="s" ph="1">
        <v>251</v>
      </c>
      <c r="AN78" s="64" t="s" ph="1">
        <v>254</v>
      </c>
      <c r="AO78" s="64" t="s" ph="1">
        <v>243</v>
      </c>
      <c r="AP78" s="64" t="s" ph="1">
        <v>252</v>
      </c>
      <c r="AQ78" s="64" t="s" ph="1">
        <v>298</v>
      </c>
      <c r="AR78" s="64" t="s" ph="1">
        <v>243</v>
      </c>
      <c r="AS78" s="64" t="s" ph="1">
        <v>253</v>
      </c>
      <c r="AT78" s="64" t="s" ph="1">
        <v>254</v>
      </c>
      <c r="AU78" s="64" t="s" ph="1">
        <v>243</v>
      </c>
      <c r="AV78" s="64" t="s" ph="1">
        <v>255</v>
      </c>
      <c r="AW78" s="64" t="s" ph="1">
        <v>243</v>
      </c>
      <c r="AY78" s="64" t="s" ph="1">
        <v>216</v>
      </c>
      <c r="AZ78" s="64" t="s" ph="1">
        <v>402</v>
      </c>
    </row>
    <row r="79" spans="33:52" ph="1">
      <c r="AJ79" s="64" t="s" ph="1">
        <v>245</v>
      </c>
      <c r="AK79" s="64" t="s" ph="1">
        <v>256</v>
      </c>
      <c r="AM79" s="64" t="s" ph="1">
        <v>257</v>
      </c>
      <c r="AN79" s="64" t="s" ph="1">
        <v>225</v>
      </c>
      <c r="AO79" s="64" t="s" ph="1">
        <v>243</v>
      </c>
      <c r="AP79" s="64" t="s" ph="1">
        <v>258</v>
      </c>
      <c r="AQ79" s="64" t="s" ph="1">
        <v>223</v>
      </c>
      <c r="AR79" s="64" t="s" ph="1">
        <v>259</v>
      </c>
      <c r="AS79" s="64" t="s" ph="1">
        <v>215</v>
      </c>
      <c r="AT79" s="64" t="s" ph="1">
        <v>260</v>
      </c>
      <c r="AV79" s="64" t="s" ph="1">
        <v>403</v>
      </c>
      <c r="AW79" s="64" t="s" ph="1">
        <v>302</v>
      </c>
      <c r="AX79" s="64" t="s" ph="1">
        <v>400</v>
      </c>
    </row>
    <row r="80" spans="33:52" ph="1">
      <c r="AH80" s="64" ph="1">
        <v>3</v>
      </c>
      <c r="AI80" s="64" t="s" ph="1">
        <v>261</v>
      </c>
      <c r="AJ80" s="64" t="s" ph="1">
        <v>262</v>
      </c>
      <c r="AK80" s="64" t="s" ph="1">
        <v>263</v>
      </c>
      <c r="AM80" s="64" t="s" ph="1">
        <v>264</v>
      </c>
      <c r="AN80" s="64" t="s" ph="1">
        <v>254</v>
      </c>
      <c r="AO80" s="64" t="s" ph="1">
        <v>243</v>
      </c>
      <c r="AP80" s="64" t="s" ph="1">
        <v>265</v>
      </c>
      <c r="AQ80" s="64" t="s" ph="1">
        <v>228</v>
      </c>
      <c r="AR80" s="64" t="s" ph="1">
        <v>243</v>
      </c>
      <c r="AS80" s="64" t="s" ph="1">
        <v>266</v>
      </c>
      <c r="AT80" s="64" t="s" ph="1">
        <v>227</v>
      </c>
      <c r="AU80" s="64" t="s" ph="1">
        <v>243</v>
      </c>
      <c r="AV80" s="64" t="s" ph="1">
        <v>267</v>
      </c>
      <c r="AW80" s="64" t="s" ph="1">
        <v>243</v>
      </c>
      <c r="AY80" s="64" t="s" ph="1">
        <v>216</v>
      </c>
      <c r="AZ80" s="64" t="s" ph="1">
        <v>404</v>
      </c>
    </row>
    <row r="81" spans="34:52" ph="1">
      <c r="AJ81" s="64" t="s" ph="1">
        <v>268</v>
      </c>
      <c r="AK81" s="64" t="s" ph="1">
        <v>222</v>
      </c>
      <c r="AM81" s="64" t="s" ph="1">
        <v>269</v>
      </c>
      <c r="AN81" s="64" t="s" ph="1">
        <v>225</v>
      </c>
      <c r="AO81" s="64" t="s" ph="1">
        <v>243</v>
      </c>
      <c r="AP81" s="64" t="s" ph="1">
        <v>270</v>
      </c>
      <c r="AQ81" s="64" t="s" ph="1">
        <v>254</v>
      </c>
      <c r="AR81" s="64" t="s" ph="1">
        <v>243</v>
      </c>
      <c r="AS81" s="64" t="s" ph="1">
        <v>271</v>
      </c>
      <c r="AT81" s="64" t="s" ph="1">
        <v>272</v>
      </c>
      <c r="AU81" s="64" t="s" ph="1">
        <v>243</v>
      </c>
      <c r="AV81" s="64" t="s" ph="1">
        <v>273</v>
      </c>
    </row>
    <row r="82" spans="34:52" ph="1">
      <c r="AJ82" s="64" t="s" ph="1">
        <v>274</v>
      </c>
      <c r="AK82" s="64" t="s" ph="1">
        <v>222</v>
      </c>
      <c r="AM82" s="64" t="s" ph="1">
        <v>275</v>
      </c>
      <c r="AN82" s="64" t="s" ph="1">
        <v>272</v>
      </c>
      <c r="AO82" s="64" t="s" ph="1">
        <v>276</v>
      </c>
      <c r="AP82" s="64" t="s" ph="1">
        <v>277</v>
      </c>
      <c r="AQ82" s="64" t="s" ph="1">
        <v>254</v>
      </c>
      <c r="AR82" s="64" t="s" ph="1">
        <v>243</v>
      </c>
      <c r="AS82" s="64" t="s" ph="1">
        <v>278</v>
      </c>
      <c r="AT82" s="64" t="s" ph="1">
        <v>229</v>
      </c>
      <c r="AU82" s="64" t="s" ph="1">
        <v>243</v>
      </c>
      <c r="AV82" s="64" t="s" ph="1">
        <v>403</v>
      </c>
      <c r="AW82" s="64" t="s" ph="1">
        <v>303</v>
      </c>
      <c r="AX82" s="64" t="s" ph="1">
        <v>400</v>
      </c>
    </row>
    <row r="83" spans="34:52" ph="1">
      <c r="AJ83" s="64" t="s" ph="1">
        <v>279</v>
      </c>
      <c r="AK83" s="64" t="s" ph="1">
        <v>296</v>
      </c>
      <c r="AM83" s="64" t="s" ph="1">
        <v>280</v>
      </c>
      <c r="AN83" s="64" t="s" ph="1">
        <v>228</v>
      </c>
      <c r="AO83" s="64" t="s" ph="1">
        <v>259</v>
      </c>
      <c r="AP83" s="64" t="s" ph="1">
        <v>281</v>
      </c>
      <c r="AQ83" s="64" t="s" ph="1">
        <v>282</v>
      </c>
      <c r="AR83" s="64" t="s" ph="1">
        <v>259</v>
      </c>
      <c r="AS83" s="64" t="s" ph="1">
        <v>405</v>
      </c>
      <c r="AT83" s="64" t="s" ph="1">
        <v>254</v>
      </c>
      <c r="AU83" s="64" t="s" ph="1">
        <v>259</v>
      </c>
      <c r="AV83" s="64" t="s" ph="1">
        <v>406</v>
      </c>
      <c r="AW83" s="64" t="s" ph="1">
        <v>303</v>
      </c>
      <c r="AX83" s="64" t="s" ph="1">
        <v>407</v>
      </c>
    </row>
    <row r="84" spans="34:52" ph="1">
      <c r="AH84" s="64" ph="1">
        <v>4</v>
      </c>
      <c r="AI84" s="64" t="s" ph="1">
        <v>286</v>
      </c>
      <c r="AJ84" s="64" t="s" ph="1">
        <v>226</v>
      </c>
      <c r="AK84" s="64" t="s" ph="1">
        <v>229</v>
      </c>
      <c r="AM84" s="64" t="s" ph="1">
        <v>230</v>
      </c>
      <c r="AN84" s="64" t="s" ph="1">
        <v>223</v>
      </c>
      <c r="AO84" s="64" t="s" ph="1">
        <v>259</v>
      </c>
      <c r="AP84" s="64" t="s" ph="1">
        <v>288</v>
      </c>
      <c r="AQ84" s="64" t="s" ph="1">
        <v>222</v>
      </c>
      <c r="AR84" s="64" t="s" ph="1">
        <v>259</v>
      </c>
      <c r="AS84" s="64" t="s" ph="1">
        <v>288</v>
      </c>
      <c r="AT84" s="64" t="s" ph="1">
        <v>224</v>
      </c>
      <c r="AU84" s="64" t="s" ph="1">
        <v>259</v>
      </c>
      <c r="AY84" s="64" t="s" ph="1">
        <v>216</v>
      </c>
      <c r="AZ84" s="64" t="s" ph="1">
        <v>408</v>
      </c>
    </row>
    <row r="85" spans="34:52" ph="1">
      <c r="AJ85" s="64" t="s" ph="1">
        <v>218</v>
      </c>
      <c r="AK85" s="64" t="s" ph="1">
        <v>222</v>
      </c>
      <c r="AM85" s="64" t="s" ph="1">
        <v>409</v>
      </c>
      <c r="AN85" s="64" t="s" ph="1">
        <v>229</v>
      </c>
      <c r="AO85" s="64" t="s" ph="1">
        <v>259</v>
      </c>
      <c r="AP85" s="64" t="s" ph="1">
        <v>410</v>
      </c>
      <c r="AQ85" s="64" t="s" ph="1">
        <v>225</v>
      </c>
      <c r="AR85" s="64" t="s" ph="1">
        <v>259</v>
      </c>
      <c r="AS85" s="64" t="s" ph="1">
        <v>411</v>
      </c>
      <c r="AT85" s="64" t="s" ph="1">
        <v>225</v>
      </c>
      <c r="AU85" s="64" t="s" ph="1">
        <v>259</v>
      </c>
    </row>
    <row r="86" spans="34:52" ph="1">
      <c r="AJ86" s="64" t="s" ph="1">
        <v>412</v>
      </c>
      <c r="AK86" s="64" t="s" ph="1">
        <v>231</v>
      </c>
      <c r="AM86" s="64" t="s" ph="1">
        <v>413</v>
      </c>
      <c r="AN86" s="64" t="s" ph="1">
        <v>272</v>
      </c>
      <c r="AO86" s="64" t="s" ph="1">
        <v>259</v>
      </c>
      <c r="AP86" s="64" t="s" ph="1">
        <v>414</v>
      </c>
      <c r="AQ86" s="64" t="s" ph="1">
        <v>219</v>
      </c>
      <c r="AR86" s="64" t="s" ph="1">
        <v>259</v>
      </c>
      <c r="AS86" s="64" t="s" ph="1">
        <v>415</v>
      </c>
      <c r="AT86" s="64" t="s" ph="1">
        <v>237</v>
      </c>
      <c r="AU86" s="64" t="s" ph="1">
        <v>259</v>
      </c>
    </row>
    <row r="87" spans="34:52" ph="1">
      <c r="AJ87" s="64" t="s" ph="1">
        <v>416</v>
      </c>
      <c r="AK87" s="64" t="s" ph="1">
        <v>272</v>
      </c>
      <c r="AM87" s="64" t="s" ph="1">
        <v>403</v>
      </c>
      <c r="AN87" s="64" t="s" ph="1">
        <v>417</v>
      </c>
      <c r="AO87" s="64" t="s" ph="1">
        <v>400</v>
      </c>
    </row>
    <row r="88" spans="34:52" ph="1">
      <c r="AH88" s="64" ph="1">
        <v>5</v>
      </c>
      <c r="AI88" s="64" t="s" ph="1">
        <v>289</v>
      </c>
      <c r="AJ88" s="64" t="s" ph="1">
        <v>418</v>
      </c>
      <c r="AK88" s="64" t="s" ph="1">
        <v>272</v>
      </c>
      <c r="AM88" s="64" t="s" ph="1">
        <v>419</v>
      </c>
      <c r="AN88" s="64" t="s" ph="1">
        <v>272</v>
      </c>
      <c r="AO88" s="64" t="s" ph="1">
        <v>259</v>
      </c>
      <c r="AP88" s="64" t="s" ph="1">
        <v>420</v>
      </c>
      <c r="AQ88" s="64" t="s" ph="1">
        <v>222</v>
      </c>
      <c r="AR88" s="64" t="s" ph="1">
        <v>259</v>
      </c>
      <c r="AS88" s="64" t="s" ph="1">
        <v>421</v>
      </c>
      <c r="AT88" s="64" t="s" ph="1">
        <v>272</v>
      </c>
      <c r="AU88" s="64" t="s" ph="1">
        <v>259</v>
      </c>
      <c r="AV88" s="64" t="s" ph="1">
        <v>422</v>
      </c>
      <c r="AW88" s="64" t="s" ph="1">
        <v>227</v>
      </c>
      <c r="AX88" s="64" t="s" ph="1">
        <v>259</v>
      </c>
      <c r="AY88" s="64" t="s" ph="1">
        <v>216</v>
      </c>
      <c r="AZ88" s="64" t="s" ph="1">
        <v>423</v>
      </c>
    </row>
    <row r="89" spans="34:52" ph="1">
      <c r="AJ89" s="64" t="s" ph="1">
        <v>424</v>
      </c>
      <c r="AK89" s="64" t="s" ph="1">
        <v>225</v>
      </c>
      <c r="AM89" s="64" t="s" ph="1">
        <v>425</v>
      </c>
      <c r="AN89" s="64" t="s" ph="1">
        <v>228</v>
      </c>
      <c r="AO89" s="64" t="s" ph="1">
        <v>259</v>
      </c>
      <c r="AP89" s="64" t="s" ph="1">
        <v>426</v>
      </c>
      <c r="AQ89" s="64" t="s" ph="1">
        <v>237</v>
      </c>
      <c r="AR89" s="64" t="s" ph="1">
        <v>259</v>
      </c>
      <c r="AS89" s="64" t="s" ph="1">
        <v>427</v>
      </c>
      <c r="AT89" s="64" t="s" ph="1">
        <v>272</v>
      </c>
      <c r="AU89" s="64" t="s" ph="1">
        <v>259</v>
      </c>
      <c r="AV89" s="64" t="s" ph="1">
        <v>428</v>
      </c>
      <c r="AW89" s="64" t="s" ph="1">
        <v>254</v>
      </c>
      <c r="AX89" s="64" t="s" ph="1">
        <v>287</v>
      </c>
    </row>
    <row r="90" spans="34:52" ph="1">
      <c r="AJ90" s="64" t="s" ph="1">
        <v>429</v>
      </c>
      <c r="AK90" s="64" t="s" ph="1">
        <v>228</v>
      </c>
      <c r="AM90" s="64" t="s" ph="1">
        <v>430</v>
      </c>
      <c r="AN90" s="64" t="s" ph="1">
        <v>225</v>
      </c>
      <c r="AO90" s="64" t="s" ph="1">
        <v>259</v>
      </c>
      <c r="AP90" s="64" t="s" ph="1">
        <v>431</v>
      </c>
      <c r="AQ90" s="64" t="s" ph="1">
        <v>294</v>
      </c>
      <c r="AR90" s="64" t="s" ph="1">
        <v>259</v>
      </c>
      <c r="AS90" s="64" t="s" ph="1">
        <v>432</v>
      </c>
      <c r="AT90" s="64" t="s" ph="1">
        <v>282</v>
      </c>
      <c r="AU90" s="64" t="s" ph="1">
        <v>259</v>
      </c>
      <c r="AV90" s="64" t="s" ph="1">
        <v>433</v>
      </c>
      <c r="AW90" s="64" t="s" ph="1">
        <v>219</v>
      </c>
      <c r="AX90" s="64" t="s" ph="1">
        <v>259</v>
      </c>
    </row>
    <row r="91" spans="34:52" ph="1">
      <c r="AJ91" s="64" t="s" ph="1">
        <v>434</v>
      </c>
      <c r="AK91" s="64" t="s" ph="1">
        <v>272</v>
      </c>
      <c r="AM91" s="64" t="s" ph="1">
        <v>435</v>
      </c>
      <c r="AN91" s="64" t="s" ph="1">
        <v>239</v>
      </c>
      <c r="AO91" s="64" t="s" ph="1">
        <v>259</v>
      </c>
      <c r="AP91" s="64" t="s" ph="1">
        <v>436</v>
      </c>
      <c r="AQ91" s="64" t="s" ph="1">
        <v>219</v>
      </c>
      <c r="AS91" s="64" t="s" ph="1">
        <v>403</v>
      </c>
      <c r="AT91" s="64" t="s" ph="1">
        <v>399</v>
      </c>
      <c r="AU91" s="64" t="s" ph="1">
        <v>400</v>
      </c>
    </row>
    <row r="92" spans="34:52" ph="1">
      <c r="AH92" s="64" ph="1">
        <v>6</v>
      </c>
      <c r="AI92" s="64" t="s" ph="1">
        <v>437</v>
      </c>
      <c r="AJ92" s="64" t="s" ph="1">
        <v>438</v>
      </c>
      <c r="AK92" s="64" t="s" ph="1">
        <v>367</v>
      </c>
      <c r="AM92" s="64" t="s" ph="1">
        <v>439</v>
      </c>
      <c r="AN92" s="64" t="s" ph="1">
        <v>227</v>
      </c>
      <c r="AO92" s="64" t="s" ph="1">
        <v>259</v>
      </c>
      <c r="AP92" s="64" t="s" ph="1">
        <v>440</v>
      </c>
      <c r="AQ92" s="64" t="s" ph="1">
        <v>299</v>
      </c>
      <c r="AR92" s="64" t="s" ph="1">
        <v>259</v>
      </c>
      <c r="AS92" s="64" t="s" ph="1">
        <v>441</v>
      </c>
      <c r="AT92" s="64" t="s" ph="1">
        <v>272</v>
      </c>
      <c r="AU92" s="64" t="s" ph="1">
        <v>259</v>
      </c>
      <c r="AV92" s="64" t="s" ph="1">
        <v>442</v>
      </c>
      <c r="AW92" s="64" t="s" ph="1">
        <v>228</v>
      </c>
      <c r="AX92" s="64" t="s" ph="1">
        <v>259</v>
      </c>
      <c r="AY92" s="64" t="s" ph="1">
        <v>216</v>
      </c>
      <c r="AZ92" s="64" t="s" ph="1">
        <v>423</v>
      </c>
    </row>
    <row r="93" spans="34:52" ph="1">
      <c r="AJ93" s="64" t="s" ph="1">
        <v>443</v>
      </c>
      <c r="AK93" s="64" t="s" ph="1">
        <v>222</v>
      </c>
      <c r="AM93" s="64" t="s" ph="1">
        <v>444</v>
      </c>
      <c r="AN93" s="64" t="s" ph="1">
        <v>227</v>
      </c>
      <c r="AO93" s="64" t="s" ph="1">
        <v>259</v>
      </c>
      <c r="AP93" s="64" t="s" ph="1">
        <v>445</v>
      </c>
      <c r="AQ93" s="64" t="s" ph="1">
        <v>231</v>
      </c>
      <c r="AR93" s="64" t="s" ph="1">
        <v>259</v>
      </c>
      <c r="AS93" s="64" t="s" ph="1">
        <v>446</v>
      </c>
      <c r="AT93" s="64" t="s" ph="1">
        <v>237</v>
      </c>
      <c r="AU93" s="64" t="s" ph="1">
        <v>259</v>
      </c>
      <c r="AV93" s="64" t="s" ph="1">
        <v>447</v>
      </c>
      <c r="AW93" s="64" t="s" ph="1">
        <v>231</v>
      </c>
      <c r="AX93" s="64" t="s" ph="1">
        <v>259</v>
      </c>
    </row>
    <row r="94" spans="34:52" ph="1">
      <c r="AJ94" s="64" t="s" ph="1">
        <v>448</v>
      </c>
      <c r="AK94" s="64" t="s" ph="1">
        <v>294</v>
      </c>
      <c r="AM94" s="64" t="s" ph="1">
        <v>449</v>
      </c>
      <c r="AN94" s="64" t="s" ph="1">
        <v>231</v>
      </c>
      <c r="AO94" s="64" t="s" ph="1">
        <v>259</v>
      </c>
      <c r="AP94" s="64" t="s" ph="1">
        <v>450</v>
      </c>
      <c r="AQ94" s="64" t="s" ph="1">
        <v>239</v>
      </c>
      <c r="AR94" s="64" t="s" ph="1">
        <v>259</v>
      </c>
      <c r="AS94" s="64" t="s" ph="1">
        <v>451</v>
      </c>
      <c r="AT94" s="64" t="s" ph="1">
        <v>225</v>
      </c>
      <c r="AU94" s="64" t="s" ph="1">
        <v>259</v>
      </c>
      <c r="AV94" s="64" t="s" ph="1">
        <v>452</v>
      </c>
      <c r="AW94" s="64" t="s" ph="1">
        <v>225</v>
      </c>
      <c r="AX94" s="64" t="s" ph="1">
        <v>259</v>
      </c>
    </row>
    <row r="95" spans="34:52" ph="1">
      <c r="AJ95" s="64" t="s" ph="1">
        <v>453</v>
      </c>
      <c r="AK95" s="64" t="s" ph="1">
        <v>299</v>
      </c>
    </row>
    <row r="96" spans="34:52" ph="1">
      <c r="AH96" s="64" ph="1">
        <v>7</v>
      </c>
      <c r="AI96" s="64" t="s" ph="1">
        <v>454</v>
      </c>
      <c r="AJ96" s="64" t="s" ph="1">
        <v>453</v>
      </c>
      <c r="AK96" s="64" t="s" ph="1">
        <v>254</v>
      </c>
      <c r="AM96" s="64" t="s" ph="1">
        <v>455</v>
      </c>
      <c r="AN96" s="64" t="s" ph="1">
        <v>228</v>
      </c>
      <c r="AO96" s="64" t="s" ph="1">
        <v>259</v>
      </c>
      <c r="AP96" s="64" t="s" ph="1">
        <v>456</v>
      </c>
      <c r="AQ96" s="64" t="s" ph="1">
        <v>272</v>
      </c>
      <c r="AR96" s="64" t="s" ph="1">
        <v>287</v>
      </c>
      <c r="AS96" s="64" t="s" ph="1">
        <v>457</v>
      </c>
      <c r="AT96" s="64" t="s" ph="1">
        <v>231</v>
      </c>
      <c r="AU96" s="64" t="s" ph="1">
        <v>287</v>
      </c>
      <c r="AV96" s="64" t="s" ph="1">
        <v>458</v>
      </c>
      <c r="AW96" s="64" t="s" ph="1">
        <v>227</v>
      </c>
      <c r="AX96" s="64" t="s" ph="1">
        <v>287</v>
      </c>
      <c r="AY96" s="64" t="s" ph="1">
        <v>216</v>
      </c>
      <c r="AZ96" s="64" t="s" ph="1">
        <v>459</v>
      </c>
    </row>
    <row r="97" spans="33:52" ph="1">
      <c r="AJ97" s="64" t="s" ph="1">
        <v>460</v>
      </c>
      <c r="AK97" s="64" t="s" ph="1">
        <v>282</v>
      </c>
      <c r="AM97" s="64" t="s" ph="1">
        <v>461</v>
      </c>
      <c r="AN97" s="64" t="s" ph="1">
        <v>225</v>
      </c>
      <c r="AO97" s="64" t="s" ph="1">
        <v>259</v>
      </c>
      <c r="AP97" s="64" t="s" ph="1">
        <v>462</v>
      </c>
      <c r="AQ97" s="64" t="s" ph="1">
        <v>219</v>
      </c>
      <c r="AR97" s="64" t="s" ph="1">
        <v>287</v>
      </c>
      <c r="AS97" s="64" t="s" ph="1">
        <v>463</v>
      </c>
      <c r="AT97" s="64" t="s" ph="1">
        <v>222</v>
      </c>
      <c r="AU97" s="64" t="s" ph="1">
        <v>287</v>
      </c>
      <c r="AV97" s="64" t="s" ph="1">
        <v>464</v>
      </c>
      <c r="AW97" s="64" t="s" ph="1">
        <v>228</v>
      </c>
      <c r="AX97" s="64" t="s" ph="1">
        <v>287</v>
      </c>
    </row>
    <row r="98" spans="33:52" ph="1">
      <c r="AJ98" s="64" t="s" ph="1">
        <v>465</v>
      </c>
      <c r="AK98" s="64" t="s" ph="1">
        <v>231</v>
      </c>
      <c r="AM98" s="64" t="s" ph="1">
        <v>466</v>
      </c>
      <c r="AN98" s="64" t="s" ph="1">
        <v>239</v>
      </c>
      <c r="AO98" s="64" t="s" ph="1">
        <v>259</v>
      </c>
      <c r="AP98" s="64" t="s" ph="1">
        <v>467</v>
      </c>
      <c r="AQ98" s="64" t="s" ph="1">
        <v>219</v>
      </c>
      <c r="AR98" s="64" t="s" ph="1">
        <v>287</v>
      </c>
      <c r="AS98" s="64" t="s" ph="1">
        <v>468</v>
      </c>
      <c r="AT98" s="64" t="s" ph="1">
        <v>299</v>
      </c>
      <c r="AU98" s="64" t="s" ph="1">
        <v>287</v>
      </c>
      <c r="AV98" s="64" t="s" ph="1">
        <v>469</v>
      </c>
      <c r="AW98" s="64" t="s" ph="1">
        <v>222</v>
      </c>
      <c r="AX98" s="64" t="s" ph="1">
        <v>287</v>
      </c>
    </row>
    <row r="99" spans="33:52" ph="1">
      <c r="AH99" s="64" ph="1">
        <v>8</v>
      </c>
      <c r="AI99" s="64" t="s" ph="1">
        <v>470</v>
      </c>
      <c r="AJ99" s="64" t="s" ph="1">
        <v>471</v>
      </c>
      <c r="AK99" s="64" t="s" ph="1">
        <v>367</v>
      </c>
      <c r="AM99" s="64" t="s" ph="1">
        <v>472</v>
      </c>
      <c r="AN99" s="64" t="s" ph="1">
        <v>254</v>
      </c>
      <c r="AO99" s="64" t="s" ph="1">
        <v>259</v>
      </c>
      <c r="AP99" s="64" t="s" ph="1">
        <v>473</v>
      </c>
      <c r="AQ99" s="64" t="s" ph="1">
        <v>224</v>
      </c>
      <c r="AR99" s="64" t="s" ph="1">
        <v>287</v>
      </c>
      <c r="AS99" s="64" t="s" ph="1">
        <v>474</v>
      </c>
      <c r="AT99" s="64" t="s" ph="1">
        <v>239</v>
      </c>
      <c r="AU99" s="64" t="s" ph="1">
        <v>287</v>
      </c>
      <c r="AV99" s="64" t="s" ph="1">
        <v>475</v>
      </c>
      <c r="AW99" s="64" t="s" ph="1">
        <v>224</v>
      </c>
      <c r="AX99" s="64" t="s" ph="1">
        <v>287</v>
      </c>
      <c r="AY99" s="64" t="s" ph="1">
        <v>216</v>
      </c>
      <c r="AZ99" s="64" t="s" ph="1">
        <v>476</v>
      </c>
    </row>
    <row r="100" spans="33:52" ph="1">
      <c r="AJ100" s="64" t="s" ph="1">
        <v>477</v>
      </c>
      <c r="AK100" s="64" t="s" ph="1">
        <v>222</v>
      </c>
      <c r="AM100" s="64" t="s" ph="1">
        <v>478</v>
      </c>
      <c r="AN100" s="64" t="s" ph="1">
        <v>294</v>
      </c>
      <c r="AO100" s="64" t="s" ph="1">
        <v>259</v>
      </c>
      <c r="AP100" s="64" t="s" ph="1">
        <v>479</v>
      </c>
      <c r="AQ100" s="64" t="s" ph="1">
        <v>300</v>
      </c>
      <c r="AR100" s="64" t="s" ph="1">
        <v>287</v>
      </c>
      <c r="AS100" s="64" t="s" ph="1">
        <v>480</v>
      </c>
      <c r="AT100" s="64" t="s" ph="1">
        <v>367</v>
      </c>
      <c r="AU100" s="64" t="s" ph="1">
        <v>259</v>
      </c>
      <c r="AV100" s="64" t="s" ph="1">
        <v>481</v>
      </c>
      <c r="AW100" s="64" t="s" ph="1">
        <v>367</v>
      </c>
      <c r="AX100" s="64" t="s" ph="1">
        <v>259</v>
      </c>
    </row>
    <row r="101" spans="33:52" ph="1">
      <c r="AJ101" s="64" t="s" ph="1">
        <v>482</v>
      </c>
      <c r="AK101" s="64" t="s" ph="1">
        <v>367</v>
      </c>
      <c r="AM101" s="64" t="s" ph="1">
        <v>483</v>
      </c>
      <c r="AN101" s="64" t="s" ph="1">
        <v>225</v>
      </c>
      <c r="AO101" s="64" t="s" ph="1">
        <v>259</v>
      </c>
      <c r="AP101" s="64" t="s" ph="1">
        <v>484</v>
      </c>
      <c r="AQ101" s="64" t="s" ph="1">
        <v>237</v>
      </c>
      <c r="AR101" s="64" t="s" ph="1">
        <v>287</v>
      </c>
      <c r="AS101" s="64" t="s" ph="1">
        <v>485</v>
      </c>
      <c r="AT101" s="64" t="s" ph="1">
        <v>294</v>
      </c>
      <c r="AU101" s="64" t="s" ph="1">
        <v>287</v>
      </c>
      <c r="AV101" s="64" t="s" ph="1">
        <v>486</v>
      </c>
      <c r="AW101" s="64" t="s" ph="1">
        <v>225</v>
      </c>
      <c r="AX101" s="64" t="s" ph="1">
        <v>259</v>
      </c>
    </row>
    <row r="102" spans="33:52" ph="1">
      <c r="AJ102" s="64" t="s" ph="1">
        <v>487</v>
      </c>
      <c r="AK102" s="64" t="s" ph="1">
        <v>222</v>
      </c>
      <c r="AM102" s="64" t="s" ph="1">
        <v>488</v>
      </c>
      <c r="AN102" s="64" t="s" ph="1">
        <v>231</v>
      </c>
      <c r="AO102" s="64" t="s" ph="1">
        <v>259</v>
      </c>
      <c r="AP102" s="64" t="s" ph="1">
        <v>489</v>
      </c>
      <c r="AQ102" s="64" t="s" ph="1">
        <v>237</v>
      </c>
      <c r="AR102" s="64" t="s" ph="1">
        <v>259</v>
      </c>
      <c r="AS102" s="64" t="s" ph="1">
        <v>490</v>
      </c>
      <c r="AT102" s="64" t="s" ph="1">
        <v>254</v>
      </c>
      <c r="AU102" s="64" t="s" ph="1">
        <v>259</v>
      </c>
      <c r="AV102" s="64" t="s" ph="1">
        <v>491</v>
      </c>
      <c r="AW102" s="64" t="s" ph="1">
        <v>272</v>
      </c>
      <c r="AX102" s="64" t="s" ph="1">
        <v>259</v>
      </c>
    </row>
    <row r="103" spans="33:52" ph="1">
      <c r="AH103" s="64" ph="1">
        <v>9</v>
      </c>
      <c r="AI103" s="64" t="s" ph="1">
        <v>492</v>
      </c>
      <c r="AJ103" s="64" t="s" ph="1">
        <v>493</v>
      </c>
      <c r="AK103" s="64" t="s" ph="1">
        <v>367</v>
      </c>
      <c r="AM103" s="64" t="s" ph="1">
        <v>494</v>
      </c>
      <c r="AN103" s="64" t="s" ph="1">
        <v>282</v>
      </c>
      <c r="AO103" s="64" t="s" ph="1">
        <v>259</v>
      </c>
      <c r="AP103" s="64" t="s" ph="1">
        <v>336</v>
      </c>
      <c r="AQ103" s="64" t="s" ph="1">
        <v>225</v>
      </c>
      <c r="AR103" s="64" t="s" ph="1">
        <v>259</v>
      </c>
      <c r="AS103" s="64" t="s" ph="1">
        <v>570</v>
      </c>
      <c r="AT103" s="64" t="s" ph="1">
        <v>367</v>
      </c>
      <c r="AU103" s="64" t="s" ph="1">
        <v>259</v>
      </c>
      <c r="AY103" s="64" t="s" ph="1">
        <v>216</v>
      </c>
      <c r="AZ103" s="64" t="s" ph="1">
        <v>224</v>
      </c>
    </row>
    <row r="104" spans="33:52" ph="1">
      <c r="AZ104" s="64" t="s" ph="1">
        <v>495</v>
      </c>
    </row>
    <row r="105" spans="33:52" ph="1">
      <c r="AG105" s="64" t="s" ph="1">
        <v>295</v>
      </c>
      <c r="AI105" s="64" t="s" ph="1">
        <v>209</v>
      </c>
      <c r="AJ105" s="64" t="s" ph="1">
        <v>210</v>
      </c>
      <c r="AK105" s="64" t="s" ph="1">
        <v>211</v>
      </c>
      <c r="AM105" s="64" t="s" ph="1">
        <v>210</v>
      </c>
      <c r="AN105" s="64" t="s" ph="1">
        <v>211</v>
      </c>
      <c r="AO105" s="64" t="s" ph="1">
        <v>212</v>
      </c>
      <c r="AP105" s="64" t="s" ph="1">
        <v>210</v>
      </c>
      <c r="AQ105" s="64" t="s" ph="1">
        <v>211</v>
      </c>
      <c r="AR105" s="64" t="s" ph="1">
        <v>212</v>
      </c>
      <c r="AS105" s="64" t="s" ph="1">
        <v>210</v>
      </c>
      <c r="AT105" s="64" t="s" ph="1">
        <v>211</v>
      </c>
      <c r="AU105" s="64" t="s" ph="1">
        <v>212</v>
      </c>
      <c r="AV105" s="64" t="s" ph="1">
        <v>210</v>
      </c>
      <c r="AW105" s="64" t="s" ph="1">
        <v>211</v>
      </c>
      <c r="AX105" s="64" t="s" ph="1">
        <v>212</v>
      </c>
      <c r="AZ105" s="64" t="s" ph="1">
        <v>213</v>
      </c>
    </row>
    <row r="106" spans="33:52" ph="1">
      <c r="AH106" s="64" ph="1">
        <v>1</v>
      </c>
      <c r="AI106" s="64" t="s" ph="1">
        <v>496</v>
      </c>
      <c r="AJ106" s="64" t="s" ph="1">
        <v>570</v>
      </c>
      <c r="AK106" s="64" t="s" ph="1">
        <v>231</v>
      </c>
      <c r="AZ106" s="64" t="s" ph="1">
        <v>231</v>
      </c>
    </row>
    <row r="107" spans="33:52" ph="1">
      <c r="AH107" s="64" ph="1">
        <v>2</v>
      </c>
      <c r="AI107" s="64" t="s" ph="1">
        <v>497</v>
      </c>
      <c r="AJ107" s="64" t="s" ph="1">
        <v>498</v>
      </c>
      <c r="AK107" s="64" t="s" ph="1">
        <v>228</v>
      </c>
      <c r="AM107" s="64" t="s" ph="1">
        <v>334</v>
      </c>
      <c r="AN107" s="64" t="s" ph="1">
        <v>499</v>
      </c>
      <c r="AO107" s="64" t="s" ph="1">
        <v>500</v>
      </c>
      <c r="AP107" s="64" t="s" ph="1">
        <v>336</v>
      </c>
      <c r="AQ107" s="64" t="s" ph="1">
        <v>304</v>
      </c>
      <c r="AR107" s="64" t="s" ph="1">
        <v>500</v>
      </c>
      <c r="AS107" s="64" t="s" ph="1">
        <v>570</v>
      </c>
      <c r="AT107" s="64" t="s" ph="1">
        <v>499</v>
      </c>
      <c r="AU107" s="64" t="s" ph="1">
        <v>500</v>
      </c>
      <c r="AY107" s="64" t="s" ph="1">
        <v>216</v>
      </c>
      <c r="AZ107" s="64" t="s" ph="1">
        <v>580</v>
      </c>
    </row>
    <row r="108" spans="33:52" ph="1">
      <c r="AH108" s="64" ph="1">
        <v>3</v>
      </c>
      <c r="AI108" s="64" t="s" ph="1">
        <v>501</v>
      </c>
      <c r="AY108" s="64" t="s" ph="1">
        <v>216</v>
      </c>
      <c r="AZ108" s="64" t="s" ph="1">
        <v>367</v>
      </c>
    </row>
    <row r="109" spans="33:52" ph="1">
      <c r="AH109" s="64" ph="1">
        <v>4</v>
      </c>
      <c r="AI109" s="64" t="s" ph="1">
        <v>502</v>
      </c>
      <c r="AY109" s="64" t="s" ph="1">
        <v>216</v>
      </c>
      <c r="AZ109" s="64" t="s" ph="1">
        <v>367</v>
      </c>
    </row>
    <row r="110" spans="33:52" ph="1">
      <c r="AH110" s="64" ph="1">
        <v>5</v>
      </c>
      <c r="AI110" s="64" t="s" ph="1">
        <v>503</v>
      </c>
      <c r="AY110" s="64" t="s" ph="1">
        <v>216</v>
      </c>
      <c r="AZ110" s="64" t="s" ph="1">
        <v>367</v>
      </c>
    </row>
    <row r="111" spans="33:52" ph="1">
      <c r="AH111" s="64" ph="1">
        <v>6</v>
      </c>
      <c r="AI111" s="64" t="s" ph="1">
        <v>581</v>
      </c>
      <c r="AJ111" s="64" t="s" ph="1">
        <v>486</v>
      </c>
      <c r="AK111" s="64" t="s" ph="1">
        <v>225</v>
      </c>
      <c r="AM111" s="64" t="s" ph="1">
        <v>487</v>
      </c>
      <c r="AN111" s="64" t="s" ph="1">
        <v>219</v>
      </c>
      <c r="AO111" s="64" t="s" ph="1">
        <v>500</v>
      </c>
      <c r="AP111" s="64" t="s" ph="1">
        <v>488</v>
      </c>
      <c r="AQ111" s="64" t="s" ph="1">
        <v>228</v>
      </c>
      <c r="AR111" s="64" t="s" ph="1">
        <v>500</v>
      </c>
      <c r="AS111" s="64" t="s" ph="1">
        <v>489</v>
      </c>
      <c r="AT111" s="64" t="s" ph="1">
        <v>237</v>
      </c>
      <c r="AU111" s="64" t="s" ph="1">
        <v>500</v>
      </c>
      <c r="AV111" s="64" t="s" ph="1">
        <v>490</v>
      </c>
      <c r="AW111" s="64" t="s" ph="1">
        <v>227</v>
      </c>
      <c r="AX111" s="64" t="s" ph="1">
        <v>500</v>
      </c>
      <c r="AY111" s="64" t="s" ph="1">
        <v>216</v>
      </c>
      <c r="AZ111" s="64" t="s" ph="1">
        <v>504</v>
      </c>
    </row>
    <row r="112" spans="33:52" ph="1">
      <c r="AJ112" s="64" t="s" ph="1">
        <v>491</v>
      </c>
      <c r="AK112" s="64" t="s" ph="1">
        <v>272</v>
      </c>
      <c r="AM112" s="64" t="s" ph="1">
        <v>493</v>
      </c>
      <c r="AN112" s="64" t="s" ph="1">
        <v>296</v>
      </c>
      <c r="AO112" s="64" t="s" ph="1">
        <v>500</v>
      </c>
      <c r="AP112" s="64" t="s" ph="1">
        <v>494</v>
      </c>
      <c r="AQ112" s="64" t="s" ph="1">
        <v>505</v>
      </c>
      <c r="AR112" s="64" t="s" ph="1">
        <v>500</v>
      </c>
      <c r="AS112" s="64" t="s" ph="1">
        <v>506</v>
      </c>
      <c r="AT112" s="64" t="s" ph="1">
        <v>248</v>
      </c>
      <c r="AU112" s="64" t="s" ph="1">
        <v>500</v>
      </c>
      <c r="AV112" s="64" t="s" ph="1">
        <v>507</v>
      </c>
      <c r="AW112" s="64" t="s" ph="1">
        <v>294</v>
      </c>
      <c r="AX112" s="64" t="s" ph="1">
        <v>500</v>
      </c>
    </row>
    <row r="113" spans="33:52" ph="1">
      <c r="AH113" s="64" ph="1">
        <v>7</v>
      </c>
      <c r="AI113" s="64" t="s" ph="1">
        <v>508</v>
      </c>
      <c r="AJ113" s="64" t="s" ph="1">
        <v>589</v>
      </c>
      <c r="AK113" s="64" t="s" ph="1">
        <v>594</v>
      </c>
      <c r="AY113" s="64" t="s" ph="1">
        <v>216</v>
      </c>
      <c r="AZ113" s="64" t="s" ph="1">
        <v>594</v>
      </c>
    </row>
    <row r="114" spans="33:52" ph="1">
      <c r="AH114" s="64" ph="1">
        <v>8</v>
      </c>
      <c r="AI114" s="64" t="s" ph="1">
        <v>509</v>
      </c>
      <c r="AJ114" s="64" t="s" ph="1">
        <v>589</v>
      </c>
      <c r="AK114" s="64" t="s" ph="1">
        <v>595</v>
      </c>
      <c r="AY114" s="64" t="s" ph="1">
        <v>216</v>
      </c>
      <c r="AZ114" s="64" t="s" ph="1">
        <v>595</v>
      </c>
    </row>
    <row r="115" spans="33:52" ph="1">
      <c r="AH115" s="64" ph="1">
        <v>9</v>
      </c>
      <c r="AI115" s="64" t="s" ph="1">
        <v>510</v>
      </c>
      <c r="AJ115" s="64" t="s" ph="1">
        <v>589</v>
      </c>
      <c r="AK115" s="64" t="s" ph="1">
        <v>595</v>
      </c>
      <c r="AY115" s="64" t="s" ph="1">
        <v>216</v>
      </c>
      <c r="AZ115" s="64" t="s" ph="1">
        <v>595</v>
      </c>
    </row>
    <row r="116" spans="33:52" ph="1">
      <c r="AH116" s="64" ph="1">
        <v>10</v>
      </c>
      <c r="AI116" s="64" t="s" ph="1">
        <v>511</v>
      </c>
      <c r="AJ116" s="64" t="s" ph="1">
        <v>589</v>
      </c>
      <c r="AK116" s="64" t="s" ph="1">
        <v>595</v>
      </c>
      <c r="AY116" s="64" t="s" ph="1">
        <v>216</v>
      </c>
      <c r="AZ116" s="64" t="s" ph="1">
        <v>595</v>
      </c>
    </row>
    <row r="117" spans="33:52" ph="1">
      <c r="AH117" s="64" ph="1">
        <v>11</v>
      </c>
      <c r="AI117" s="64" t="s" ph="1">
        <v>512</v>
      </c>
      <c r="AJ117" s="64" t="s" ph="1">
        <v>589</v>
      </c>
      <c r="AK117" s="64" t="s" ph="1">
        <v>595</v>
      </c>
      <c r="AY117" s="64" t="s" ph="1">
        <v>216</v>
      </c>
      <c r="AZ117" s="64" t="s" ph="1">
        <v>595</v>
      </c>
    </row>
    <row r="118" spans="33:52" ph="1">
      <c r="AZ118" s="64" t="s" ph="1">
        <v>596</v>
      </c>
    </row>
    <row r="119" spans="33:52" ph="1">
      <c r="AI119" s="64" t="s" ph="1">
        <v>209</v>
      </c>
      <c r="AJ119" s="64" t="s" ph="1">
        <v>210</v>
      </c>
      <c r="AK119" s="64" t="s" ph="1">
        <v>211</v>
      </c>
      <c r="AM119" s="64" t="s" ph="1">
        <v>210</v>
      </c>
      <c r="AN119" s="64" t="s" ph="1">
        <v>211</v>
      </c>
      <c r="AO119" s="64" t="s" ph="1">
        <v>212</v>
      </c>
      <c r="AP119" s="64" t="s" ph="1">
        <v>210</v>
      </c>
      <c r="AQ119" s="64" t="s" ph="1">
        <v>211</v>
      </c>
      <c r="AR119" s="64" t="s" ph="1">
        <v>212</v>
      </c>
      <c r="AS119" s="64" t="s" ph="1">
        <v>210</v>
      </c>
      <c r="AT119" s="64" t="s" ph="1">
        <v>211</v>
      </c>
      <c r="AU119" s="64" t="s" ph="1">
        <v>212</v>
      </c>
      <c r="AV119" s="64" t="s" ph="1">
        <v>210</v>
      </c>
      <c r="AW119" s="64" t="s" ph="1">
        <v>211</v>
      </c>
      <c r="AX119" s="64" t="s" ph="1">
        <v>212</v>
      </c>
      <c r="AY119" s="64" t="s" ph="1">
        <v>211</v>
      </c>
      <c r="AZ119" s="64" t="s" ph="1">
        <v>213</v>
      </c>
    </row>
    <row r="120" spans="33:52" ph="1">
      <c r="AG120" s="64" t="s" ph="1">
        <v>353</v>
      </c>
      <c r="AH120" s="64" ph="1">
        <v>1</v>
      </c>
      <c r="AI120" s="64" t="s" ph="1">
        <v>513</v>
      </c>
      <c r="AJ120" s="64" t="s" ph="1">
        <v>587</v>
      </c>
      <c r="AK120" s="64" t="s" ph="1">
        <v>367</v>
      </c>
      <c r="AY120" s="64" t="s" ph="1">
        <v>216</v>
      </c>
      <c r="AZ120" s="64" t="s" ph="1">
        <v>367</v>
      </c>
    </row>
    <row r="121" spans="33:52" ph="1">
      <c r="AH121" s="64" ph="1">
        <v>2</v>
      </c>
      <c r="AI121" s="64" t="s" ph="1">
        <v>514</v>
      </c>
      <c r="AY121" s="64" t="s" ph="1">
        <v>216</v>
      </c>
      <c r="AZ121" s="64" t="s" ph="1">
        <v>367</v>
      </c>
    </row>
    <row r="122" spans="33:52" ph="1">
      <c r="AH122" s="64" ph="1">
        <v>3</v>
      </c>
      <c r="AI122" s="64" t="s" ph="1">
        <v>515</v>
      </c>
      <c r="AJ122" s="64" t="s" ph="1">
        <v>570</v>
      </c>
      <c r="AK122" s="64" t="s" ph="1">
        <v>582</v>
      </c>
      <c r="AM122" s="64" t="s" ph="1">
        <v>597</v>
      </c>
      <c r="AN122" s="64" t="s" ph="1">
        <v>590</v>
      </c>
      <c r="AO122" s="64" t="s" ph="1">
        <v>91</v>
      </c>
      <c r="AY122" s="64" t="s" ph="1">
        <v>216</v>
      </c>
      <c r="AZ122" s="64" t="s" ph="1">
        <v>579</v>
      </c>
    </row>
    <row r="123" spans="33:52" ph="1">
      <c r="AY123" s="64" t="s" ph="1">
        <v>216</v>
      </c>
      <c r="AZ123" s="64" t="s" ph="1">
        <v>579</v>
      </c>
    </row>
    <row r="124" spans="33:52" ph="1">
      <c r="AG124" s="64" t="s" ph="1">
        <v>356</v>
      </c>
      <c r="AH124" s="64" ph="1">
        <v>4</v>
      </c>
      <c r="AI124" s="64" t="s" ph="1">
        <v>516</v>
      </c>
      <c r="AJ124" s="64" t="s" ph="1">
        <v>517</v>
      </c>
      <c r="AK124" s="64" t="s" ph="1">
        <v>518</v>
      </c>
      <c r="AY124" s="64" t="s" ph="1">
        <v>216</v>
      </c>
      <c r="AZ124" s="64" t="s" ph="1">
        <v>518</v>
      </c>
    </row>
    <row r="125" spans="33:52" ph="1">
      <c r="AH125" s="64" ph="1">
        <v>5</v>
      </c>
      <c r="AI125" s="64" t="s" ph="1">
        <v>519</v>
      </c>
      <c r="AJ125" s="64" t="s" ph="1">
        <v>517</v>
      </c>
      <c r="AK125" s="64" t="s" ph="1">
        <v>518</v>
      </c>
      <c r="AY125" s="64" t="s" ph="1">
        <v>216</v>
      </c>
      <c r="AZ125" s="64" t="s" ph="1">
        <v>518</v>
      </c>
    </row>
    <row r="126" spans="33:52" ph="1">
      <c r="AH126" s="64" ph="1">
        <v>6</v>
      </c>
      <c r="AI126" s="64" t="s" ph="1">
        <v>520</v>
      </c>
      <c r="AJ126" s="64" t="s" ph="1">
        <v>589</v>
      </c>
      <c r="AK126" s="64" t="s" ph="1">
        <v>598</v>
      </c>
      <c r="AY126" s="64" t="s" ph="1">
        <v>216</v>
      </c>
      <c r="AZ126" s="64" t="s" ph="1">
        <v>598</v>
      </c>
    </row>
    <row r="127" spans="33:52" ph="1">
      <c r="AH127" s="64" ph="1">
        <v>7</v>
      </c>
      <c r="AI127" s="64" t="s" ph="1">
        <v>521</v>
      </c>
      <c r="AJ127" s="64" t="s" ph="1">
        <v>589</v>
      </c>
      <c r="AK127" s="64" t="s" ph="1">
        <v>599</v>
      </c>
      <c r="AY127" s="64" t="s" ph="1">
        <v>216</v>
      </c>
      <c r="AZ127" s="64" t="s" ph="1">
        <v>599</v>
      </c>
    </row>
    <row r="128" spans="33:52" ph="1">
      <c r="AH128" s="64" ph="1">
        <v>8</v>
      </c>
      <c r="AI128" s="64" t="s" ph="1">
        <v>522</v>
      </c>
      <c r="AY128" s="64" t="s" ph="1">
        <v>216</v>
      </c>
      <c r="AZ128" s="64" t="s" ph="1">
        <v>367</v>
      </c>
    </row>
    <row r="129" spans="33:52" ph="1">
      <c r="AH129" s="64" ph="1">
        <v>9</v>
      </c>
      <c r="AI129" s="64" t="s" ph="1">
        <v>523</v>
      </c>
      <c r="AY129" s="64" t="s" ph="1">
        <v>216</v>
      </c>
      <c r="AZ129" s="64" t="s" ph="1">
        <v>367</v>
      </c>
    </row>
    <row r="130" spans="33:52" ph="1">
      <c r="AH130" s="64" ph="1">
        <v>10</v>
      </c>
      <c r="AI130" s="64" t="s" ph="1">
        <v>524</v>
      </c>
      <c r="AY130" s="64" t="s" ph="1">
        <v>216</v>
      </c>
      <c r="AZ130" s="64" t="s" ph="1">
        <v>367</v>
      </c>
    </row>
    <row r="131" spans="33:52" ph="1">
      <c r="AH131" s="64" ph="1">
        <v>11</v>
      </c>
      <c r="AI131" s="64" t="s" ph="1">
        <v>525</v>
      </c>
      <c r="AJ131" s="64" t="s" ph="1">
        <v>583</v>
      </c>
      <c r="AK131" s="64" t="s" ph="1">
        <v>579</v>
      </c>
      <c r="AY131" s="64" t="s" ph="1">
        <v>216</v>
      </c>
      <c r="AZ131" s="64" t="s" ph="1">
        <v>579</v>
      </c>
    </row>
    <row r="132" spans="33:52" ph="1">
      <c r="AH132" s="64" ph="1">
        <v>12</v>
      </c>
      <c r="AI132" s="64" t="s" ph="1">
        <v>526</v>
      </c>
      <c r="AJ132" s="64" t="s" ph="1">
        <v>583</v>
      </c>
      <c r="AK132" s="64" t="s" ph="1">
        <v>518</v>
      </c>
      <c r="AY132" s="64" t="s" ph="1">
        <v>216</v>
      </c>
      <c r="AZ132" s="64" t="s" ph="1">
        <v>518</v>
      </c>
    </row>
    <row r="133" spans="33:52" ph="1">
      <c r="AH133" s="64" ph="1">
        <v>13</v>
      </c>
      <c r="AI133" s="64" t="s" ph="1">
        <v>527</v>
      </c>
      <c r="AJ133" s="64" t="s" ph="1">
        <v>583</v>
      </c>
      <c r="AK133" s="64" t="s" ph="1">
        <v>584</v>
      </c>
      <c r="AY133" s="64" t="s" ph="1">
        <v>216</v>
      </c>
      <c r="AZ133" s="64" t="s" ph="1">
        <v>584</v>
      </c>
    </row>
    <row r="134" spans="33:52" ph="1">
      <c r="AH134" s="64" ph="1">
        <v>14</v>
      </c>
      <c r="AI134" s="64" t="s" ph="1">
        <v>528</v>
      </c>
      <c r="AJ134" s="64" t="s" ph="1">
        <v>583</v>
      </c>
      <c r="AK134" s="64" t="s" ph="1">
        <v>585</v>
      </c>
      <c r="AY134" s="64" t="s" ph="1">
        <v>216</v>
      </c>
      <c r="AZ134" s="64" t="s" ph="1">
        <v>585</v>
      </c>
    </row>
    <row r="135" spans="33:52" ph="1">
      <c r="AH135" s="64" ph="1">
        <v>15</v>
      </c>
      <c r="AI135" s="64" t="s" ph="1">
        <v>529</v>
      </c>
      <c r="AJ135" s="64" t="s" ph="1">
        <v>583</v>
      </c>
      <c r="AK135" s="64" t="s" ph="1">
        <v>586</v>
      </c>
      <c r="AY135" s="64" t="s" ph="1">
        <v>216</v>
      </c>
      <c r="AZ135" s="64" t="s" ph="1">
        <v>586</v>
      </c>
    </row>
    <row r="136" spans="33:52" ph="1">
      <c r="AZ136" s="64" t="s" ph="1">
        <v>600</v>
      </c>
    </row>
    <row r="137" spans="33:52" ph="1">
      <c r="AG137" s="64" t="s" ph="1">
        <v>290</v>
      </c>
      <c r="AI137" s="64" t="s" ph="1">
        <v>209</v>
      </c>
      <c r="AJ137" s="64" t="s" ph="1">
        <v>210</v>
      </c>
      <c r="AK137" s="64" t="s" ph="1">
        <v>211</v>
      </c>
      <c r="AM137" s="64" t="s" ph="1">
        <v>210</v>
      </c>
      <c r="AN137" s="64" t="s" ph="1">
        <v>211</v>
      </c>
      <c r="AO137" s="64" t="s" ph="1">
        <v>212</v>
      </c>
      <c r="AP137" s="64" t="s" ph="1">
        <v>210</v>
      </c>
      <c r="AQ137" s="64" t="s" ph="1">
        <v>211</v>
      </c>
      <c r="AR137" s="64" t="s" ph="1">
        <v>212</v>
      </c>
      <c r="AS137" s="64" t="s" ph="1">
        <v>210</v>
      </c>
      <c r="AT137" s="64" t="s" ph="1">
        <v>211</v>
      </c>
      <c r="AU137" s="64" t="s" ph="1">
        <v>212</v>
      </c>
      <c r="AV137" s="64" t="s" ph="1">
        <v>210</v>
      </c>
      <c r="AW137" s="64" t="s" ph="1">
        <v>211</v>
      </c>
      <c r="AX137" s="64" t="s" ph="1">
        <v>212</v>
      </c>
      <c r="AY137" s="64" t="s" ph="1">
        <v>211</v>
      </c>
      <c r="AZ137" s="64" t="s" ph="1">
        <v>213</v>
      </c>
    </row>
    <row r="138" spans="33:52" ph="1">
      <c r="AH138" s="64" ph="1">
        <v>1</v>
      </c>
      <c r="AI138" s="64" t="s" ph="1">
        <v>530</v>
      </c>
      <c r="AJ138" s="64" t="s" ph="1">
        <v>531</v>
      </c>
      <c r="AK138" s="64" t="s" ph="1">
        <v>532</v>
      </c>
      <c r="AY138" s="64" t="s" ph="1">
        <v>216</v>
      </c>
      <c r="AZ138" s="64" t="s" ph="1">
        <v>532</v>
      </c>
    </row>
    <row r="139" spans="33:52" ph="1">
      <c r="AH139" s="64" ph="1">
        <v>2</v>
      </c>
      <c r="AI139" s="64" t="s" ph="1">
        <v>533</v>
      </c>
      <c r="AJ139" s="64" t="s" ph="1">
        <v>589</v>
      </c>
      <c r="AK139" s="64" t="s" ph="1">
        <v>601</v>
      </c>
      <c r="AY139" s="64" t="s" ph="1">
        <v>216</v>
      </c>
      <c r="AZ139" s="64" t="s" ph="1">
        <v>601</v>
      </c>
    </row>
    <row r="140" spans="33:52" ph="1">
      <c r="AH140" s="64" ph="1">
        <v>3</v>
      </c>
      <c r="AI140" s="64" t="s" ph="1">
        <v>534</v>
      </c>
      <c r="AJ140" s="64" t="s" ph="1">
        <v>487</v>
      </c>
      <c r="AK140" s="64" t="s" ph="1">
        <v>299</v>
      </c>
      <c r="AM140" s="64" t="s" ph="1">
        <v>488</v>
      </c>
      <c r="AN140" s="64" t="s" ph="1">
        <v>219</v>
      </c>
      <c r="AO140" s="64" t="s" ph="1">
        <v>535</v>
      </c>
      <c r="AP140" s="64" t="s" ph="1">
        <v>489</v>
      </c>
      <c r="AQ140" s="64" t="s" ph="1">
        <v>236</v>
      </c>
      <c r="AR140" s="64" t="s" ph="1">
        <v>535</v>
      </c>
      <c r="AS140" s="64" t="s" ph="1">
        <v>490</v>
      </c>
      <c r="AT140" s="64" t="s" ph="1">
        <v>229</v>
      </c>
      <c r="AU140" s="64" t="s" ph="1">
        <v>535</v>
      </c>
      <c r="AV140" s="64" t="s" ph="1">
        <v>491</v>
      </c>
      <c r="AW140" s="64" t="s" ph="1">
        <v>222</v>
      </c>
      <c r="AX140" s="64" t="s" ph="1">
        <v>535</v>
      </c>
      <c r="AY140" s="64" t="s" ph="1">
        <v>216</v>
      </c>
      <c r="AZ140" s="64" t="s" ph="1">
        <v>291</v>
      </c>
    </row>
    <row r="141" spans="33:52" ph="1">
      <c r="AJ141" s="64" t="s" ph="1">
        <v>493</v>
      </c>
      <c r="AK141" s="64" t="s" ph="1">
        <v>222</v>
      </c>
      <c r="AM141" s="64" t="s" ph="1">
        <v>494</v>
      </c>
      <c r="AN141" s="64" t="s" ph="1">
        <v>225</v>
      </c>
      <c r="AO141" s="64" t="s" ph="1">
        <v>535</v>
      </c>
      <c r="AP141" s="64" t="s" ph="1">
        <v>506</v>
      </c>
      <c r="AQ141" s="64" t="s" ph="1">
        <v>294</v>
      </c>
      <c r="AR141" s="64" t="s" ph="1">
        <v>535</v>
      </c>
      <c r="AS141" s="64" t="s" ph="1">
        <v>498</v>
      </c>
      <c r="AT141" s="64" t="s" ph="1">
        <v>222</v>
      </c>
      <c r="AU141" s="64" t="s" ph="1">
        <v>535</v>
      </c>
      <c r="AV141" s="64" t="s" ph="1">
        <v>334</v>
      </c>
      <c r="AW141" s="64" t="s" ph="1">
        <v>228</v>
      </c>
      <c r="AX141" s="64" t="s" ph="1">
        <v>535</v>
      </c>
    </row>
    <row r="142" spans="33:52" ph="1">
      <c r="AJ142" s="64" t="s" ph="1">
        <v>536</v>
      </c>
      <c r="AK142" s="64" t="s" ph="1">
        <v>239</v>
      </c>
    </row>
    <row r="143" spans="33:52" ph="1">
      <c r="AH143" s="64" ph="1">
        <v>4</v>
      </c>
      <c r="AI143" s="64" t="s" ph="1">
        <v>537</v>
      </c>
      <c r="AJ143" s="64" t="s" ph="1">
        <v>517</v>
      </c>
      <c r="AK143" s="64" t="s" ph="1">
        <v>538</v>
      </c>
      <c r="AY143" s="64" t="s" ph="1">
        <v>216</v>
      </c>
      <c r="AZ143" s="64" t="s" ph="1">
        <v>538</v>
      </c>
    </row>
    <row r="144" spans="33:52" ph="1">
      <c r="AH144" s="64" ph="1">
        <v>5</v>
      </c>
      <c r="AI144" s="64" t="s" ph="1">
        <v>539</v>
      </c>
      <c r="AY144" s="64" t="s" ph="1">
        <v>216</v>
      </c>
      <c r="AZ144" s="64" t="s" ph="1">
        <v>367</v>
      </c>
    </row>
    <row r="145" spans="33:52" ph="1">
      <c r="AH145" s="64" ph="1">
        <v>6</v>
      </c>
      <c r="AI145" s="64" t="s" ph="1">
        <v>540</v>
      </c>
      <c r="AY145" s="64" t="s" ph="1">
        <v>216</v>
      </c>
      <c r="AZ145" s="64" t="s" ph="1">
        <v>367</v>
      </c>
    </row>
    <row r="146" spans="33:52" ph="1">
      <c r="AH146" s="64" ph="1">
        <v>7</v>
      </c>
      <c r="AI146" s="64" t="s" ph="1">
        <v>541</v>
      </c>
      <c r="AY146" s="64" t="s" ph="1">
        <v>216</v>
      </c>
      <c r="AZ146" s="64" t="s" ph="1">
        <v>367</v>
      </c>
    </row>
    <row r="147" spans="33:52" ph="1">
      <c r="AH147" s="64" ph="1">
        <v>8</v>
      </c>
      <c r="AI147" s="64" t="s" ph="1">
        <v>542</v>
      </c>
      <c r="AY147" s="64" t="s" ph="1">
        <v>216</v>
      </c>
      <c r="AZ147" s="64" t="s" ph="1">
        <v>367</v>
      </c>
    </row>
    <row r="148" spans="33:52" ph="1">
      <c r="AH148" s="64" ph="1">
        <v>9</v>
      </c>
      <c r="AI148" s="64" t="s" ph="1">
        <v>543</v>
      </c>
      <c r="AY148" s="64" t="s" ph="1">
        <v>216</v>
      </c>
      <c r="AZ148" s="64" t="s" ph="1">
        <v>367</v>
      </c>
    </row>
    <row r="149" spans="33:52" ph="1">
      <c r="AH149" s="64" ph="1">
        <v>10</v>
      </c>
      <c r="AI149" s="64" t="s" ph="1">
        <v>544</v>
      </c>
      <c r="AY149" s="64" t="s" ph="1">
        <v>216</v>
      </c>
      <c r="AZ149" s="64" t="s" ph="1">
        <v>367</v>
      </c>
    </row>
    <row r="150" spans="33:52" ph="1">
      <c r="AH150" s="64" ph="1">
        <v>11</v>
      </c>
      <c r="AI150" s="64" t="s" ph="1">
        <v>545</v>
      </c>
      <c r="AY150" s="64" t="s" ph="1">
        <v>216</v>
      </c>
      <c r="AZ150" s="64" t="s" ph="1">
        <v>367</v>
      </c>
    </row>
    <row r="151" spans="33:52" ph="1">
      <c r="AH151" s="64" ph="1">
        <v>12</v>
      </c>
      <c r="AI151" s="64" t="s" ph="1">
        <v>546</v>
      </c>
      <c r="AY151" s="64" t="s" ph="1">
        <v>216</v>
      </c>
      <c r="AZ151" s="64" t="s" ph="1">
        <v>367</v>
      </c>
    </row>
    <row r="152" spans="33:52" ph="1">
      <c r="AH152" s="64" ph="1">
        <v>13</v>
      </c>
      <c r="AI152" s="64" t="s" ph="1">
        <v>547</v>
      </c>
      <c r="AY152" s="64" t="s" ph="1">
        <v>216</v>
      </c>
      <c r="AZ152" s="64" t="s" ph="1">
        <v>367</v>
      </c>
    </row>
    <row r="153" spans="33:52" ph="1">
      <c r="AH153" s="64" ph="1">
        <v>14</v>
      </c>
      <c r="AI153" s="64" t="s" ph="1">
        <v>548</v>
      </c>
      <c r="AY153" s="64" t="s" ph="1">
        <v>216</v>
      </c>
      <c r="AZ153" s="64" t="s" ph="1">
        <v>367</v>
      </c>
    </row>
    <row r="154" spans="33:52" ph="1">
      <c r="AH154" s="64" ph="1">
        <v>15</v>
      </c>
      <c r="AI154" s="64" t="s" ph="1">
        <v>549</v>
      </c>
      <c r="AY154" s="64" t="s" ph="1">
        <v>216</v>
      </c>
      <c r="AZ154" s="64" t="s" ph="1">
        <v>367</v>
      </c>
    </row>
    <row r="155" spans="33:52" ph="1">
      <c r="AH155" s="64" ph="1">
        <v>16</v>
      </c>
      <c r="AI155" s="64" t="s" ph="1">
        <v>550</v>
      </c>
      <c r="AJ155" s="64" t="s" ph="1">
        <v>336</v>
      </c>
      <c r="AK155" s="64" t="s" ph="1">
        <v>231</v>
      </c>
      <c r="AM155" s="64" t="s" ph="1">
        <v>570</v>
      </c>
      <c r="AN155" s="64" t="s" ph="1">
        <v>282</v>
      </c>
      <c r="AO155" s="64" t="s" ph="1">
        <v>535</v>
      </c>
      <c r="AY155" s="64" t="s" ph="1">
        <v>216</v>
      </c>
      <c r="AZ155" s="64" t="s" ph="1">
        <v>223</v>
      </c>
    </row>
    <row r="156" spans="33:52" ph="1">
      <c r="AZ156" s="64" t="s" ph="1">
        <v>602</v>
      </c>
    </row>
    <row r="157" spans="33:52" ph="1">
      <c r="AG157" s="64" t="s" ph="1">
        <v>551</v>
      </c>
      <c r="AI157" s="64" t="s" ph="1">
        <v>209</v>
      </c>
      <c r="AJ157" s="64" t="s" ph="1">
        <v>210</v>
      </c>
      <c r="AK157" s="64" t="s" ph="1">
        <v>211</v>
      </c>
      <c r="AM157" s="64" t="s" ph="1">
        <v>210</v>
      </c>
      <c r="AN157" s="64" t="s" ph="1">
        <v>211</v>
      </c>
      <c r="AO157" s="64" t="s" ph="1">
        <v>212</v>
      </c>
      <c r="AP157" s="64" t="s" ph="1">
        <v>210</v>
      </c>
      <c r="AQ157" s="64" t="s" ph="1">
        <v>211</v>
      </c>
      <c r="AR157" s="64" t="s" ph="1">
        <v>212</v>
      </c>
      <c r="AS157" s="64" t="s" ph="1">
        <v>210</v>
      </c>
      <c r="AT157" s="64" t="s" ph="1">
        <v>211</v>
      </c>
      <c r="AU157" s="64" t="s" ph="1">
        <v>212</v>
      </c>
      <c r="AV157" s="64" t="s" ph="1">
        <v>210</v>
      </c>
      <c r="AW157" s="64" t="s" ph="1">
        <v>211</v>
      </c>
      <c r="AX157" s="64" t="s" ph="1">
        <v>212</v>
      </c>
      <c r="AY157" s="64" t="s" ph="1">
        <v>211</v>
      </c>
      <c r="AZ157" s="64" t="s" ph="1">
        <v>213</v>
      </c>
    </row>
    <row r="158" spans="33:52" ph="1">
      <c r="AH158" s="64" ph="1">
        <v>1</v>
      </c>
      <c r="AI158" s="64" t="s" ph="1">
        <v>552</v>
      </c>
      <c r="AY158" s="64" t="s" ph="1">
        <v>216</v>
      </c>
      <c r="AZ158" s="64" t="s" ph="1">
        <v>367</v>
      </c>
    </row>
    <row r="159" spans="33:52" ph="1">
      <c r="AH159" s="64" ph="1">
        <v>2</v>
      </c>
      <c r="AI159" s="64" t="s" ph="1">
        <v>553</v>
      </c>
      <c r="AY159" s="64" t="s" ph="1">
        <v>216</v>
      </c>
      <c r="AZ159" s="64" t="s" ph="1">
        <v>367</v>
      </c>
    </row>
    <row r="160" spans="33:52" ph="1">
      <c r="AZ160" s="64" t="s" ph="1">
        <v>385</v>
      </c>
    </row>
    <row r="161" spans="33:52" ph="1">
      <c r="AG161" s="64" t="s" ph="1">
        <v>361</v>
      </c>
      <c r="AI161" s="64" t="s" ph="1">
        <v>209</v>
      </c>
      <c r="AJ161" s="64" t="s" ph="1">
        <v>210</v>
      </c>
      <c r="AK161" s="64" t="s" ph="1">
        <v>211</v>
      </c>
      <c r="AM161" s="64" t="s" ph="1">
        <v>210</v>
      </c>
      <c r="AN161" s="64" t="s" ph="1">
        <v>211</v>
      </c>
      <c r="AO161" s="64" t="s" ph="1">
        <v>212</v>
      </c>
      <c r="AP161" s="64" t="s" ph="1">
        <v>210</v>
      </c>
      <c r="AQ161" s="64" t="s" ph="1">
        <v>211</v>
      </c>
      <c r="AR161" s="64" t="s" ph="1">
        <v>212</v>
      </c>
      <c r="AS161" s="64" t="s" ph="1">
        <v>210</v>
      </c>
      <c r="AT161" s="64" t="s" ph="1">
        <v>211</v>
      </c>
      <c r="AU161" s="64" t="s" ph="1">
        <v>212</v>
      </c>
      <c r="AV161" s="64" t="s" ph="1">
        <v>210</v>
      </c>
      <c r="AW161" s="64" t="s" ph="1">
        <v>211</v>
      </c>
      <c r="AX161" s="64" t="s" ph="1">
        <v>212</v>
      </c>
      <c r="AY161" s="64" t="s" ph="1">
        <v>211</v>
      </c>
      <c r="AZ161" s="64" t="s" ph="1">
        <v>213</v>
      </c>
    </row>
    <row r="162" spans="33:52" ph="1">
      <c r="AH162" s="64" ph="1">
        <v>1</v>
      </c>
      <c r="AI162" s="64" t="s" ph="1">
        <v>554</v>
      </c>
      <c r="AJ162" s="64" t="s" ph="1">
        <v>555</v>
      </c>
      <c r="AK162" s="64" t="s" ph="1">
        <v>499</v>
      </c>
      <c r="AM162" s="64" t="s" ph="1">
        <v>556</v>
      </c>
      <c r="AN162" s="64" t="s" ph="1">
        <v>220</v>
      </c>
      <c r="AO162" s="64" t="s" ph="1">
        <v>557</v>
      </c>
      <c r="AY162" s="64" t="s" ph="1">
        <v>216</v>
      </c>
      <c r="AZ162" s="64" t="s" ph="1">
        <v>292</v>
      </c>
    </row>
    <row r="163" spans="33:52" ph="1">
      <c r="AH163" s="64" ph="1">
        <v>2</v>
      </c>
      <c r="AI163" s="64" t="s" ph="1">
        <v>558</v>
      </c>
      <c r="AJ163" s="64" t="s" ph="1">
        <v>555</v>
      </c>
      <c r="AK163" s="64" t="s" ph="1">
        <v>388</v>
      </c>
      <c r="AY163" s="64" t="s" ph="1">
        <v>216</v>
      </c>
      <c r="AZ163" s="64" t="s" ph="1">
        <v>388</v>
      </c>
    </row>
    <row r="164" spans="33:52" ph="1">
      <c r="AH164" s="64" ph="1">
        <v>3</v>
      </c>
      <c r="AI164" s="64" t="s" ph="1">
        <v>559</v>
      </c>
      <c r="AJ164" s="64" t="s" ph="1">
        <v>555</v>
      </c>
      <c r="AK164" s="64" t="s" ph="1">
        <v>292</v>
      </c>
      <c r="AY164" s="64" t="s" ph="1">
        <v>216</v>
      </c>
      <c r="AZ164" s="64" t="s" ph="1">
        <v>292</v>
      </c>
    </row>
    <row r="165" spans="33:52" ph="1">
      <c r="AH165" s="64" ph="1">
        <v>4</v>
      </c>
      <c r="AI165" s="64" t="s" ph="1">
        <v>560</v>
      </c>
      <c r="AY165" s="64" t="s" ph="1">
        <v>216</v>
      </c>
      <c r="AZ165" s="64" t="s" ph="1">
        <v>367</v>
      </c>
    </row>
    <row r="166" spans="33:52" ph="1">
      <c r="AH166" s="64" ph="1">
        <v>5</v>
      </c>
      <c r="AI166" s="64" t="s" ph="1">
        <v>561</v>
      </c>
      <c r="AY166" s="64" t="s" ph="1">
        <v>216</v>
      </c>
      <c r="AZ166" s="64" t="s" ph="1">
        <v>367</v>
      </c>
    </row>
    <row r="167" spans="33:52" ph="1">
      <c r="AZ167" s="64" t="s" ph="1">
        <v>562</v>
      </c>
    </row>
    <row r="168" spans="33:52" ph="1">
      <c r="AG168" s="64" t="s" ph="1">
        <v>305</v>
      </c>
      <c r="AI168" s="64" t="s" ph="1">
        <v>209</v>
      </c>
      <c r="AJ168" s="64" t="s" ph="1">
        <v>210</v>
      </c>
      <c r="AK168" s="64" t="s" ph="1">
        <v>211</v>
      </c>
      <c r="AM168" s="64" t="s" ph="1">
        <v>210</v>
      </c>
      <c r="AN168" s="64" t="s" ph="1">
        <v>211</v>
      </c>
      <c r="AO168" s="64" t="s" ph="1">
        <v>212</v>
      </c>
      <c r="AP168" s="64" t="s" ph="1">
        <v>210</v>
      </c>
      <c r="AQ168" s="64" t="s" ph="1">
        <v>211</v>
      </c>
      <c r="AR168" s="64" t="s" ph="1">
        <v>212</v>
      </c>
      <c r="AS168" s="64" t="s" ph="1">
        <v>210</v>
      </c>
      <c r="AT168" s="64" t="s" ph="1">
        <v>211</v>
      </c>
      <c r="AU168" s="64" t="s" ph="1">
        <v>212</v>
      </c>
      <c r="AV168" s="64" t="s" ph="1">
        <v>210</v>
      </c>
      <c r="AW168" s="64" t="s" ph="1">
        <v>211</v>
      </c>
      <c r="AX168" s="64" t="s" ph="1">
        <v>212</v>
      </c>
      <c r="AY168" s="64" t="s" ph="1">
        <v>211</v>
      </c>
      <c r="AZ168" s="64" t="s" ph="1">
        <v>213</v>
      </c>
    </row>
    <row r="169" spans="33:52" ph="1">
      <c r="AH169" s="64" ph="1">
        <v>1</v>
      </c>
      <c r="AI169" s="64" t="s" ph="1">
        <v>563</v>
      </c>
      <c r="AY169" s="64" t="s" ph="1">
        <v>216</v>
      </c>
      <c r="AZ169" s="64" t="s" ph="1">
        <v>367</v>
      </c>
    </row>
    <row r="170" spans="33:52" ph="1">
      <c r="AH170" s="64" ph="1">
        <v>2</v>
      </c>
      <c r="AI170" s="64" t="s" ph="1">
        <v>564</v>
      </c>
      <c r="AY170" s="64" t="s" ph="1">
        <v>216</v>
      </c>
      <c r="AZ170" s="64" t="s" ph="1">
        <v>367</v>
      </c>
    </row>
    <row r="171" spans="33:52" ph="1">
      <c r="AH171" s="64" ph="1">
        <v>3</v>
      </c>
      <c r="AI171" s="64" t="s" ph="1">
        <v>565</v>
      </c>
      <c r="AY171" s="64" t="s" ph="1">
        <v>216</v>
      </c>
      <c r="AZ171" s="64" t="s" ph="1">
        <v>367</v>
      </c>
    </row>
    <row r="172" spans="33:52" ph="1">
      <c r="AH172" s="64" ph="1">
        <v>4</v>
      </c>
      <c r="AI172" s="64" t="s" ph="1">
        <v>566</v>
      </c>
      <c r="AY172" s="64" t="s" ph="1">
        <v>216</v>
      </c>
      <c r="AZ172" s="64" t="s" ph="1">
        <v>367</v>
      </c>
    </row>
    <row r="173" spans="33:52" ph="1">
      <c r="AH173" s="64" ph="1">
        <v>5</v>
      </c>
      <c r="AI173" s="64" t="s" ph="1">
        <v>567</v>
      </c>
      <c r="AY173" s="64" t="s" ph="1">
        <v>216</v>
      </c>
      <c r="AZ173" s="64" t="s" ph="1">
        <v>367</v>
      </c>
    </row>
    <row r="174" spans="33:52" ph="1">
      <c r="AZ174" s="64" t="s" ph="1">
        <v>385</v>
      </c>
    </row>
    <row r="175" spans="33:52" ph="1">
      <c r="AJ175" s="64" t="s" ph="1">
        <v>306</v>
      </c>
    </row>
    <row r="176" spans="33:52" ph="1">
      <c r="AJ176" s="64" t="s" ph="1">
        <v>307</v>
      </c>
      <c r="AK176" s="64" t="s" ph="1">
        <v>308</v>
      </c>
      <c r="AM176" s="64" t="s" ph="1">
        <v>309</v>
      </c>
      <c r="AO176" s="64" t="s" ph="1">
        <v>310</v>
      </c>
      <c r="AP176" s="64" t="s" ph="1">
        <v>311</v>
      </c>
      <c r="AQ176" s="64" t="s" ph="1">
        <v>301</v>
      </c>
      <c r="AR176" s="64" t="s" ph="1">
        <v>221</v>
      </c>
    </row>
    <row r="177" spans="36:56" ph="1">
      <c r="AJ177" s="64" t="s" ph="1">
        <v>603</v>
      </c>
      <c r="AK177" s="64" t="s" ph="1">
        <v>312</v>
      </c>
      <c r="AO177" s="64" t="s" ph="1">
        <v>312</v>
      </c>
      <c r="AP177" s="64" t="s" ph="1">
        <v>312</v>
      </c>
      <c r="AQ177" s="64" t="s" ph="1">
        <v>313</v>
      </c>
      <c r="AR177" s="64" t="s" ph="1">
        <v>314</v>
      </c>
    </row>
    <row r="179" spans="36:56" ph="1">
      <c r="AJ179" s="64" t="s" ph="1">
        <v>315</v>
      </c>
      <c r="AK179" s="64" t="s" ph="1">
        <v>316</v>
      </c>
      <c r="AM179" s="64" t="s" ph="1">
        <v>317</v>
      </c>
      <c r="AN179" s="64" t="s" ph="1">
        <v>293</v>
      </c>
      <c r="AO179" s="64" t="s" ph="1">
        <v>318</v>
      </c>
      <c r="AP179" s="64" t="s" ph="1">
        <v>297</v>
      </c>
      <c r="AQ179" s="64" t="s" ph="1">
        <v>319</v>
      </c>
      <c r="AR179" s="64" t="s" ph="1">
        <v>320</v>
      </c>
    </row>
    <row r="180" spans="36:56" ph="1">
      <c r="AJ180" s="64" t="s" ph="1">
        <v>312</v>
      </c>
      <c r="AK180" s="64" t="s" ph="1">
        <v>312</v>
      </c>
      <c r="AL180" s="64" ph="1">
        <v>116</v>
      </c>
      <c r="AM180" s="64" t="s" ph="1">
        <v>312</v>
      </c>
      <c r="AN180" s="64" t="s" ph="1">
        <v>321</v>
      </c>
      <c r="AO180" s="64" t="s" ph="1">
        <v>312</v>
      </c>
      <c r="AP180" s="64" t="s" ph="1">
        <v>322</v>
      </c>
      <c r="AQ180" s="64" t="s" ph="1">
        <v>323</v>
      </c>
      <c r="AR180" s="64" t="s" ph="1">
        <v>324</v>
      </c>
    </row>
    <row r="189" spans="36:56" ph="1">
      <c r="BD189" s="64" t="s" ph="1">
        <v>568</v>
      </c>
    </row>
    <row r="223" spans="18:18" ph="1">
      <c r="R223" s="135" ph="1">
        <v>45496</v>
      </c>
    </row>
  </sheetData>
  <mergeCells count="58"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B33:C34"/>
    <mergeCell ref="D33:D34"/>
    <mergeCell ref="E33:E34"/>
    <mergeCell ref="F33:F34"/>
    <mergeCell ref="G33:G34"/>
    <mergeCell ref="S31:U31"/>
    <mergeCell ref="V31:X31"/>
    <mergeCell ref="Y31:AA31"/>
    <mergeCell ref="AB31:AE31"/>
    <mergeCell ref="AD32:AE32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</mergeCells>
  <phoneticPr fontId="2" type="noConversion"/>
  <conditionalFormatting sqref="D4:D11">
    <cfRule type="expression" dxfId="2346" priority="100">
      <formula>ABS(D$7-D$10)&gt;=1000</formula>
    </cfRule>
  </conditionalFormatting>
  <conditionalFormatting sqref="E4 E6:E11">
    <cfRule type="expression" dxfId="2345" priority="99">
      <formula>ABS(E$7-E$10)&gt;=1000</formula>
    </cfRule>
  </conditionalFormatting>
  <conditionalFormatting sqref="F4:F11">
    <cfRule type="expression" dxfId="2344" priority="98">
      <formula>ABS(F$7-F$10)&gt;=1000</formula>
    </cfRule>
  </conditionalFormatting>
  <conditionalFormatting sqref="G4:G11">
    <cfRule type="expression" dxfId="2343" priority="97">
      <formula>ABS(G$7-G$10)&gt;=1000</formula>
    </cfRule>
  </conditionalFormatting>
  <conditionalFormatting sqref="H4:H11">
    <cfRule type="expression" dxfId="2342" priority="96">
      <formula>ABS(H$7-H$10)&gt;=1000</formula>
    </cfRule>
  </conditionalFormatting>
  <conditionalFormatting sqref="I4:I11">
    <cfRule type="expression" dxfId="2341" priority="95">
      <formula>ABS(I$7-I$10)&gt;=1000</formula>
    </cfRule>
  </conditionalFormatting>
  <conditionalFormatting sqref="J4:J11">
    <cfRule type="expression" dxfId="2340" priority="94">
      <formula>ABS(J$7-J$10)&gt;=1000</formula>
    </cfRule>
  </conditionalFormatting>
  <conditionalFormatting sqref="K4:K11">
    <cfRule type="expression" dxfId="2339" priority="93">
      <formula>ABS(K$7-K$10)&gt;=1000</formula>
    </cfRule>
  </conditionalFormatting>
  <conditionalFormatting sqref="L4:L11">
    <cfRule type="expression" dxfId="2338" priority="92">
      <formula>ABS(L$7-L$10)&gt;=1000</formula>
    </cfRule>
  </conditionalFormatting>
  <conditionalFormatting sqref="M4 M6:M11">
    <cfRule type="expression" dxfId="2337" priority="91">
      <formula>ABS(M$7-M$10)&gt;=1000</formula>
    </cfRule>
  </conditionalFormatting>
  <conditionalFormatting sqref="N4 N6:N11">
    <cfRule type="expression" dxfId="2336" priority="90">
      <formula>ABS(N$7-N$10)&gt;=1000</formula>
    </cfRule>
  </conditionalFormatting>
  <conditionalFormatting sqref="O4 O6:O11">
    <cfRule type="expression" dxfId="2335" priority="89">
      <formula>ABS(O$7-O$10)&gt;=1000</formula>
    </cfRule>
  </conditionalFormatting>
  <conditionalFormatting sqref="P4 P6:P11">
    <cfRule type="expression" dxfId="2334" priority="88">
      <formula>ABS(P$7-P$10)&gt;=1000</formula>
    </cfRule>
  </conditionalFormatting>
  <conditionalFormatting sqref="Q4:Q11">
    <cfRule type="expression" dxfId="2333" priority="87">
      <formula>ABS(Q$7-Q$10)&gt;=1000</formula>
    </cfRule>
  </conditionalFormatting>
  <conditionalFormatting sqref="R4:R11">
    <cfRule type="expression" dxfId="2332" priority="86">
      <formula>ABS(R$7-R$10)&gt;=1000</formula>
    </cfRule>
  </conditionalFormatting>
  <conditionalFormatting sqref="S4:S11">
    <cfRule type="expression" dxfId="2331" priority="85">
      <formula>ABS(S$7-S$10)&gt;=1000</formula>
    </cfRule>
  </conditionalFormatting>
  <conditionalFormatting sqref="T4:T9 T11">
    <cfRule type="expression" dxfId="2330" priority="84">
      <formula>ABS(T$7-T$10)&gt;=1000</formula>
    </cfRule>
  </conditionalFormatting>
  <conditionalFormatting sqref="U4:U9 U11">
    <cfRule type="expression" dxfId="2329" priority="83">
      <formula>ABS(U$7-U$10)&gt;=1000</formula>
    </cfRule>
  </conditionalFormatting>
  <conditionalFormatting sqref="V4:V9 V11">
    <cfRule type="expression" dxfId="2328" priority="82">
      <formula>ABS(V$7-V$10)&gt;=1000</formula>
    </cfRule>
  </conditionalFormatting>
  <conditionalFormatting sqref="W4:W9 W11">
    <cfRule type="expression" dxfId="2327" priority="81">
      <formula>ABS(W$7-W$10)&gt;=1000</formula>
    </cfRule>
  </conditionalFormatting>
  <conditionalFormatting sqref="X4:X9 X11">
    <cfRule type="expression" dxfId="2326" priority="80">
      <formula>ABS(X$7-X$10)&gt;=1000</formula>
    </cfRule>
  </conditionalFormatting>
  <conditionalFormatting sqref="Y4:Y9 Y11">
    <cfRule type="expression" dxfId="2325" priority="79">
      <formula>ABS(Y$7-Y$10)&gt;=1000</formula>
    </cfRule>
  </conditionalFormatting>
  <conditionalFormatting sqref="Z4:Z11">
    <cfRule type="expression" dxfId="2324" priority="78">
      <formula>ABS(Z$7-Z$10)&gt;=1000</formula>
    </cfRule>
  </conditionalFormatting>
  <conditionalFormatting sqref="AA4:AA11">
    <cfRule type="expression" dxfId="2323" priority="77">
      <formula>ABS(AA$7-AA$10)&gt;=1000</formula>
    </cfRule>
  </conditionalFormatting>
  <conditionalFormatting sqref="AB4:AB11">
    <cfRule type="expression" dxfId="2322" priority="76">
      <formula>ABS(AB$7-AB$10)&gt;=1000</formula>
    </cfRule>
  </conditionalFormatting>
  <conditionalFormatting sqref="AC4 AC6:AC11">
    <cfRule type="expression" dxfId="2321" priority="75">
      <formula>ABS(AC$7-AC$10)&gt;=1000</formula>
    </cfRule>
  </conditionalFormatting>
  <conditionalFormatting sqref="AD4 AD6:AD11">
    <cfRule type="expression" dxfId="2320" priority="74">
      <formula>ABS(AD$7-AD$10)&gt;=1000</formula>
    </cfRule>
  </conditionalFormatting>
  <conditionalFormatting sqref="AE4 AE6:AE11">
    <cfRule type="expression" dxfId="2319" priority="73">
      <formula>ABS(AE$7-AE$10)&gt;=1000</formula>
    </cfRule>
  </conditionalFormatting>
  <conditionalFormatting sqref="D13:D20">
    <cfRule type="expression" dxfId="2318" priority="72">
      <formula>ABS(D$16-D$19)&gt;=1000</formula>
    </cfRule>
  </conditionalFormatting>
  <conditionalFormatting sqref="E13:E20">
    <cfRule type="expression" dxfId="2317" priority="71">
      <formula>ABS(E$16-E$19)&gt;=1000</formula>
    </cfRule>
  </conditionalFormatting>
  <conditionalFormatting sqref="F13 F15:F20">
    <cfRule type="expression" dxfId="2316" priority="70">
      <formula>ABS(F$16-F$19)&gt;=1000</formula>
    </cfRule>
  </conditionalFormatting>
  <conditionalFormatting sqref="G13:G20">
    <cfRule type="expression" dxfId="2315" priority="69">
      <formula>ABS(G$16-G$19)&gt;=1000</formula>
    </cfRule>
  </conditionalFormatting>
  <conditionalFormatting sqref="H13 H15:H20">
    <cfRule type="expression" dxfId="2314" priority="68">
      <formula>ABS(H$16-H$19)&gt;=1000</formula>
    </cfRule>
  </conditionalFormatting>
  <conditionalFormatting sqref="I13:I20">
    <cfRule type="expression" dxfId="2313" priority="67">
      <formula>ABS(I$16-I$19)&gt;=1000</formula>
    </cfRule>
  </conditionalFormatting>
  <conditionalFormatting sqref="J13:J20">
    <cfRule type="expression" dxfId="2312" priority="66">
      <formula>ABS(J$16-J$19)&gt;=1000</formula>
    </cfRule>
  </conditionalFormatting>
  <conditionalFormatting sqref="L13:L20">
    <cfRule type="expression" dxfId="2311" priority="65">
      <formula>ABS(L$16-L$19)&gt;=1000</formula>
    </cfRule>
  </conditionalFormatting>
  <conditionalFormatting sqref="M13 M15 M17:M18 M20">
    <cfRule type="expression" dxfId="2310" priority="64">
      <formula>ABS(M$16-M$19)&gt;=1000</formula>
    </cfRule>
  </conditionalFormatting>
  <conditionalFormatting sqref="N13:N20">
    <cfRule type="expression" dxfId="2309" priority="63">
      <formula>ABS(N$16-N$19)&gt;=1000</formula>
    </cfRule>
  </conditionalFormatting>
  <conditionalFormatting sqref="O13:O20">
    <cfRule type="expression" dxfId="2308" priority="62">
      <formula>ABS(O$16-O$19)&gt;=1000</formula>
    </cfRule>
  </conditionalFormatting>
  <conditionalFormatting sqref="P13:P20">
    <cfRule type="expression" dxfId="2307" priority="61">
      <formula>ABS(P$16-P$19)&gt;=1000</formula>
    </cfRule>
  </conditionalFormatting>
  <conditionalFormatting sqref="Q13 Q15:Q20">
    <cfRule type="expression" dxfId="2306" priority="60">
      <formula>ABS(Q$16-Q$19)&gt;=1000</formula>
    </cfRule>
  </conditionalFormatting>
  <conditionalFormatting sqref="R13:R20">
    <cfRule type="expression" dxfId="2305" priority="59">
      <formula>ABS(R$16-R$19)&gt;=1000</formula>
    </cfRule>
  </conditionalFormatting>
  <conditionalFormatting sqref="S13:S20">
    <cfRule type="expression" dxfId="2304" priority="58">
      <formula>ABS(S$16-S$19)&gt;=1000</formula>
    </cfRule>
  </conditionalFormatting>
  <conditionalFormatting sqref="T13:T20">
    <cfRule type="expression" dxfId="2303" priority="57">
      <formula>ABS(T$16-T$19)&gt;=1000</formula>
    </cfRule>
  </conditionalFormatting>
  <conditionalFormatting sqref="U13:U20">
    <cfRule type="expression" dxfId="2302" priority="56">
      <formula>ABS(U$16-U$19)&gt;=1000</formula>
    </cfRule>
  </conditionalFormatting>
  <conditionalFormatting sqref="V13:V20">
    <cfRule type="expression" dxfId="2301" priority="55">
      <formula>ABS(V$16-V$19)&gt;=1000</formula>
    </cfRule>
  </conditionalFormatting>
  <conditionalFormatting sqref="W13 W20 W15:W18">
    <cfRule type="expression" dxfId="2300" priority="54">
      <formula>ABS(W$16-W$19)&gt;=1000</formula>
    </cfRule>
  </conditionalFormatting>
  <conditionalFormatting sqref="X13 X15:X20 Y19">
    <cfRule type="expression" dxfId="2299" priority="53">
      <formula>ABS(X$16-X$19)&gt;=1000</formula>
    </cfRule>
  </conditionalFormatting>
  <conditionalFormatting sqref="Y13 Y15:Y18 Y20">
    <cfRule type="expression" dxfId="2298" priority="52">
      <formula>ABS(Y$16-Y$19)&gt;=1000</formula>
    </cfRule>
  </conditionalFormatting>
  <conditionalFormatting sqref="Z13:Z20">
    <cfRule type="expression" dxfId="2297" priority="51">
      <formula>ABS(Z$16-Z$19)&gt;=1000</formula>
    </cfRule>
  </conditionalFormatting>
  <conditionalFormatting sqref="AA13:AA20">
    <cfRule type="expression" dxfId="2296" priority="50">
      <formula>ABS(AA$16-AA$19)&gt;=1000</formula>
    </cfRule>
  </conditionalFormatting>
  <conditionalFormatting sqref="AB13 AB15:AB20">
    <cfRule type="expression" dxfId="2295" priority="49">
      <formula>ABS(AB$16-AB$19)&gt;=1000</formula>
    </cfRule>
  </conditionalFormatting>
  <conditionalFormatting sqref="AC13 AC15:AC20">
    <cfRule type="expression" dxfId="2294" priority="48">
      <formula>ABS(AC$16-AC$19)&gt;=1000</formula>
    </cfRule>
  </conditionalFormatting>
  <conditionalFormatting sqref="AD13:AD20">
    <cfRule type="expression" dxfId="2293" priority="47">
      <formula>ABS(AD$16-AD$19)&gt;=1000</formula>
    </cfRule>
  </conditionalFormatting>
  <conditionalFormatting sqref="AE13:AE20">
    <cfRule type="expression" dxfId="2292" priority="46">
      <formula>ABS(AE$16-AE$19)&gt;=1000</formula>
    </cfRule>
  </conditionalFormatting>
  <conditionalFormatting sqref="D22:D29">
    <cfRule type="expression" dxfId="2291" priority="45">
      <formula>ABS(D$25-D$28)&gt;=1000</formula>
    </cfRule>
  </conditionalFormatting>
  <conditionalFormatting sqref="E22:E29">
    <cfRule type="expression" dxfId="2290" priority="44">
      <formula>ABS(E$25-E$28)&gt;=1000</formula>
    </cfRule>
  </conditionalFormatting>
  <conditionalFormatting sqref="F22:F29">
    <cfRule type="expression" dxfId="2289" priority="43">
      <formula>ABS(F$25-F$28)&gt;=1000</formula>
    </cfRule>
  </conditionalFormatting>
  <conditionalFormatting sqref="G22:G29">
    <cfRule type="expression" dxfId="2288" priority="42">
      <formula>ABS(G$25-G$28)&gt;=1000</formula>
    </cfRule>
  </conditionalFormatting>
  <conditionalFormatting sqref="H22:H29">
    <cfRule type="expression" dxfId="2287" priority="41">
      <formula>ABS(H$25-H$28)&gt;=1000</formula>
    </cfRule>
  </conditionalFormatting>
  <conditionalFormatting sqref="I22 I24:I29">
    <cfRule type="expression" dxfId="2286" priority="40">
      <formula>ABS(I$25-I$28)&gt;=1000</formula>
    </cfRule>
  </conditionalFormatting>
  <conditionalFormatting sqref="J22:J29 K22">
    <cfRule type="expression" dxfId="2285" priority="39">
      <formula>ABS(J$25-J$28)&gt;=1000</formula>
    </cfRule>
  </conditionalFormatting>
  <conditionalFormatting sqref="K23:K29 L25 L28">
    <cfRule type="expression" dxfId="2284" priority="38">
      <formula>ABS(K$25-K$28)&gt;=1000</formula>
    </cfRule>
  </conditionalFormatting>
  <conditionalFormatting sqref="L22 L26:L27 L29 L24">
    <cfRule type="expression" dxfId="2283" priority="37">
      <formula>ABS(L$25-L$28)&gt;=1000</formula>
    </cfRule>
  </conditionalFormatting>
  <conditionalFormatting sqref="M22:M29">
    <cfRule type="expression" dxfId="2282" priority="36">
      <formula>ABS(M$25-M$28)&gt;=1000</formula>
    </cfRule>
  </conditionalFormatting>
  <conditionalFormatting sqref="N22:N29">
    <cfRule type="expression" dxfId="2281" priority="35">
      <formula>ABS(N$25-N$28)&gt;=1000</formula>
    </cfRule>
  </conditionalFormatting>
  <conditionalFormatting sqref="O22:O29">
    <cfRule type="expression" dxfId="2280" priority="34">
      <formula>ABS(O$25-O$28)&gt;=1000</formula>
    </cfRule>
  </conditionalFormatting>
  <conditionalFormatting sqref="P22:P29">
    <cfRule type="expression" dxfId="2279" priority="33">
      <formula>ABS(P$25-P$28)&gt;=1000</formula>
    </cfRule>
  </conditionalFormatting>
  <conditionalFormatting sqref="Q22:Q29">
    <cfRule type="expression" dxfId="2278" priority="32">
      <formula>ABS(Q$25-Q$28)&gt;=1000</formula>
    </cfRule>
  </conditionalFormatting>
  <conditionalFormatting sqref="R22:R29">
    <cfRule type="expression" dxfId="2277" priority="31">
      <formula>ABS(R$25-R$28)&gt;=1000</formula>
    </cfRule>
  </conditionalFormatting>
  <conditionalFormatting sqref="S22:S29">
    <cfRule type="expression" dxfId="2276" priority="30">
      <formula>ABS(S$25-S$28)&gt;=1000</formula>
    </cfRule>
  </conditionalFormatting>
  <conditionalFormatting sqref="T22:T29">
    <cfRule type="expression" dxfId="2275" priority="29">
      <formula>ABS(T$25-T$28)&gt;=1000</formula>
    </cfRule>
  </conditionalFormatting>
  <conditionalFormatting sqref="U22:U29">
    <cfRule type="expression" dxfId="2274" priority="28">
      <formula>ABS(U$25-U$28)&gt;=1000</formula>
    </cfRule>
  </conditionalFormatting>
  <conditionalFormatting sqref="V22:V29">
    <cfRule type="expression" dxfId="2273" priority="27">
      <formula>ABS(V$25-V$28)&gt;=1000</formula>
    </cfRule>
  </conditionalFormatting>
  <conditionalFormatting sqref="W22:W29">
    <cfRule type="expression" dxfId="2272" priority="26">
      <formula>ABS(W$25-W$28)&gt;=1000</formula>
    </cfRule>
  </conditionalFormatting>
  <conditionalFormatting sqref="X22:X29">
    <cfRule type="expression" dxfId="2271" priority="25">
      <formula>ABS(X$25-X$28)&gt;=1000</formula>
    </cfRule>
  </conditionalFormatting>
  <conditionalFormatting sqref="Y22:Y29">
    <cfRule type="expression" dxfId="2270" priority="24">
      <formula>ABS(Y$25-Y$28)&gt;=1000</formula>
    </cfRule>
  </conditionalFormatting>
  <conditionalFormatting sqref="I23">
    <cfRule type="expression" dxfId="2269" priority="23">
      <formula>ABS(I$25-I$28)&gt;=1000</formula>
    </cfRule>
  </conditionalFormatting>
  <conditionalFormatting sqref="Q14">
    <cfRule type="expression" dxfId="2268" priority="22">
      <formula>ABS(Q$16-Q$19)&gt;=1000</formula>
    </cfRule>
  </conditionalFormatting>
  <conditionalFormatting sqref="W14">
    <cfRule type="expression" dxfId="2267" priority="21">
      <formula>ABS(W$16-W$19)&gt;=1000</formula>
    </cfRule>
  </conditionalFormatting>
  <conditionalFormatting sqref="X14">
    <cfRule type="expression" dxfId="2266" priority="20">
      <formula>ABS(X$16-X$19)&gt;=1000</formula>
    </cfRule>
  </conditionalFormatting>
  <conditionalFormatting sqref="T10:Y10">
    <cfRule type="expression" dxfId="2265" priority="19">
      <formula>ABS(T$7-T$10)&gt;=1000</formula>
    </cfRule>
  </conditionalFormatting>
  <conditionalFormatting sqref="W19">
    <cfRule type="expression" dxfId="2264" priority="18">
      <formula>ABS(W$16-W$19)&gt;=1000</formula>
    </cfRule>
  </conditionalFormatting>
  <conditionalFormatting sqref="AC5">
    <cfRule type="expression" dxfId="2263" priority="17">
      <formula>ABS(AC$7-AC$10)&gt;=1000</formula>
    </cfRule>
  </conditionalFormatting>
  <conditionalFormatting sqref="M14">
    <cfRule type="expression" dxfId="2262" priority="16">
      <formula>ABS(M$16-M$19)&gt;=1000</formula>
    </cfRule>
  </conditionalFormatting>
  <conditionalFormatting sqref="M16">
    <cfRule type="expression" dxfId="2261" priority="15">
      <formula>ABS(M$16-M$19)&gt;=1000</formula>
    </cfRule>
  </conditionalFormatting>
  <conditionalFormatting sqref="M19">
    <cfRule type="expression" dxfId="2260" priority="14">
      <formula>ABS(M$16-M$19)&gt;=1000</formula>
    </cfRule>
  </conditionalFormatting>
  <conditionalFormatting sqref="K13:K20">
    <cfRule type="expression" dxfId="2259" priority="13">
      <formula>ABS(K$16-K$19)&gt;=1000</formula>
    </cfRule>
  </conditionalFormatting>
  <conditionalFormatting sqref="E5">
    <cfRule type="expression" dxfId="2258" priority="12">
      <formula>ABS(E$7-E$10)&gt;=1000</formula>
    </cfRule>
  </conditionalFormatting>
  <conditionalFormatting sqref="AB14:AC14">
    <cfRule type="expression" dxfId="2257" priority="11">
      <formula>ABS(AB$16-AB$19)&gt;=1000</formula>
    </cfRule>
  </conditionalFormatting>
  <conditionalFormatting sqref="M5">
    <cfRule type="expression" dxfId="2256" priority="10">
      <formula>ABS(M$7-M$10)&gt;=1000</formula>
    </cfRule>
  </conditionalFormatting>
  <conditionalFormatting sqref="N5">
    <cfRule type="expression" dxfId="2255" priority="9">
      <formula>ABS(N$7-N$10)&gt;=1000</formula>
    </cfRule>
  </conditionalFormatting>
  <conditionalFormatting sqref="O5">
    <cfRule type="expression" dxfId="2254" priority="8">
      <formula>ABS(O$7-O$10)&gt;=1000</formula>
    </cfRule>
  </conditionalFormatting>
  <conditionalFormatting sqref="P5">
    <cfRule type="expression" dxfId="2253" priority="7">
      <formula>ABS(P$7-P$10)&gt;=1000</formula>
    </cfRule>
  </conditionalFormatting>
  <conditionalFormatting sqref="L23">
    <cfRule type="expression" dxfId="2252" priority="6">
      <formula>ABS(L$25-L$28)&gt;=1000</formula>
    </cfRule>
  </conditionalFormatting>
  <conditionalFormatting sqref="Y14">
    <cfRule type="expression" dxfId="2251" priority="5">
      <formula>ABS(Y$16-Y$19)&gt;=1000</formula>
    </cfRule>
  </conditionalFormatting>
  <conditionalFormatting sqref="F14">
    <cfRule type="expression" dxfId="2250" priority="4">
      <formula>ABS(F$16-F$19)&gt;=1000</formula>
    </cfRule>
  </conditionalFormatting>
  <conditionalFormatting sqref="H14">
    <cfRule type="expression" dxfId="2249" priority="3">
      <formula>ABS(H$16-H$19)&gt;=1000</formula>
    </cfRule>
  </conditionalFormatting>
  <conditionalFormatting sqref="AD5">
    <cfRule type="expression" dxfId="2248" priority="2">
      <formula>ABS(AD$7-AD$10)&gt;=1000</formula>
    </cfRule>
  </conditionalFormatting>
  <conditionalFormatting sqref="AE5">
    <cfRule type="expression" dxfId="2247" priority="1">
      <formula>ABS(AE$7-AE$10)&gt;=1000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71297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904">
    <pageSetUpPr fitToPage="1"/>
  </sheetPr>
  <dimension ref="A1:CU223"/>
  <sheetViews>
    <sheetView view="pageBreakPreview" zoomScale="70" zoomScaleNormal="100" zoomScaleSheetLayoutView="70" workbookViewId="0">
      <selection activeCell="L11" sqref="L11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185" t="s" ph="1">
        <v>161</v>
      </c>
      <c r="C1" s="185" ph="1"/>
      <c r="D1" s="185" ph="1"/>
      <c r="E1" s="185" ph="1"/>
      <c r="F1" s="185" ph="1"/>
      <c r="G1" s="185" ph="1"/>
      <c r="H1" s="185" ph="1"/>
      <c r="I1" s="185" ph="1"/>
      <c r="J1" s="185" ph="1"/>
      <c r="K1" s="185" ph="1"/>
      <c r="L1" s="185" ph="1"/>
      <c r="M1" s="185" ph="1"/>
      <c r="N1" s="185" ph="1"/>
      <c r="O1" s="185" ph="1"/>
      <c r="P1" s="185" ph="1"/>
      <c r="Q1" s="185" ph="1"/>
      <c r="R1" s="185" ph="1"/>
      <c r="S1" s="185" ph="1"/>
      <c r="T1" s="185" ph="1"/>
      <c r="U1" s="185" ph="1"/>
      <c r="V1" s="185" ph="1"/>
      <c r="W1" s="185" ph="1"/>
      <c r="X1" s="185" ph="1"/>
      <c r="Y1" s="185" ph="1"/>
      <c r="Z1" s="185" ph="1"/>
      <c r="AA1" s="185" ph="1"/>
      <c r="AB1" s="185" ph="1"/>
      <c r="AC1" s="185" ph="1"/>
      <c r="AD1" s="185" ph="1"/>
      <c r="AE1" s="185" ph="1"/>
    </row>
    <row r="2" spans="1:99" s="66" customFormat="1" ht="24" customHeight="1" ph="1">
      <c r="B2" s="186" t="s" ph="1">
        <v>82</v>
      </c>
      <c r="C2" s="186" ph="1"/>
      <c r="D2" s="186" ph="1"/>
      <c r="E2" s="186" ph="1"/>
      <c r="F2" s="186" ph="1"/>
      <c r="G2" s="186" ph="1"/>
      <c r="H2" s="186" ph="1"/>
      <c r="I2" s="186" ph="1"/>
      <c r="J2" s="186" ph="1"/>
      <c r="K2" s="186" ph="1"/>
      <c r="L2" s="186" ph="1"/>
      <c r="M2" s="186" ph="1"/>
      <c r="N2" s="186" ph="1"/>
      <c r="O2" s="186" ph="1"/>
      <c r="P2" s="186" ph="1"/>
      <c r="Q2" s="186" ph="1"/>
      <c r="R2" s="186" ph="1"/>
      <c r="S2" s="186" ph="1"/>
      <c r="T2" s="186" ph="1"/>
      <c r="U2" s="186" ph="1"/>
      <c r="V2" s="186" ph="1"/>
      <c r="W2" s="186" ph="1"/>
      <c r="X2" s="186" ph="1"/>
      <c r="Y2" s="186" ph="1"/>
      <c r="Z2" s="186" ph="1"/>
      <c r="AA2" s="186" ph="1"/>
      <c r="AB2" s="186" ph="1"/>
      <c r="AC2" s="186" ph="1"/>
      <c r="AD2" s="186" ph="1"/>
      <c r="AE2" s="186" ph="1"/>
    </row>
    <row r="3" spans="1:99" ht="21" customHeight="1" ph="1">
      <c r="B3" s="187" ph="1">
        <v>46178</v>
      </c>
      <c r="C3" s="187"/>
      <c r="D3" s="187"/>
      <c r="E3" s="187"/>
      <c r="F3" s="187"/>
      <c r="G3" s="187"/>
      <c r="H3" s="187"/>
      <c r="I3" s="187"/>
      <c r="J3" s="187"/>
      <c r="K3" s="187"/>
      <c r="L3" s="187"/>
      <c r="M3" s="187"/>
      <c r="N3" s="187"/>
      <c r="O3" s="187"/>
      <c r="P3" s="187"/>
      <c r="Q3" s="187"/>
      <c r="R3" s="187"/>
      <c r="S3" s="187"/>
      <c r="T3" s="187"/>
      <c r="U3" s="187"/>
      <c r="V3" s="187"/>
      <c r="W3" s="187"/>
      <c r="X3" s="187"/>
      <c r="Y3" s="187"/>
      <c r="Z3" s="187"/>
      <c r="AA3" s="187"/>
      <c r="AB3" s="187"/>
      <c r="AC3" s="187"/>
      <c r="AD3" s="187"/>
      <c r="AE3" s="187"/>
    </row>
    <row r="4" spans="1:99" s="69" customFormat="1" ph="1">
      <c r="A4" s="65" ph="1"/>
      <c r="B4" s="188" t="s" ph="1">
        <v>37</v>
      </c>
      <c r="C4" s="67" t="s" ph="1">
        <v>176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110</v>
      </c>
      <c r="J4" s="68" t="s" ph="1">
        <v>48</v>
      </c>
      <c r="K4" s="68" t="s" ph="1">
        <v>111</v>
      </c>
      <c r="L4" s="68" t="s" ph="1">
        <v>112</v>
      </c>
      <c r="M4" s="68" t="s" ph="1">
        <v>49</v>
      </c>
      <c r="N4" s="68" t="s" ph="1">
        <v>50</v>
      </c>
      <c r="O4" s="68" t="s" ph="1">
        <v>113</v>
      </c>
      <c r="P4" s="68" t="s" ph="1">
        <v>114</v>
      </c>
      <c r="Q4" s="68" t="s" ph="1">
        <v>115</v>
      </c>
      <c r="R4" s="68" t="s" ph="1">
        <v>116</v>
      </c>
      <c r="S4" s="68" t="s" ph="1">
        <v>117</v>
      </c>
      <c r="T4" s="68" t="s" ph="1">
        <v>118</v>
      </c>
      <c r="U4" s="68" t="s" ph="1">
        <v>119</v>
      </c>
      <c r="V4" s="68" t="s" ph="1">
        <v>120</v>
      </c>
      <c r="W4" s="68" t="s" ph="1">
        <v>121</v>
      </c>
      <c r="X4" s="68" t="s" ph="1">
        <v>122</v>
      </c>
      <c r="Y4" s="68" t="s" ph="1">
        <v>123</v>
      </c>
      <c r="Z4" s="68" t="s" ph="1">
        <v>51</v>
      </c>
      <c r="AA4" s="68" t="s" ph="1">
        <v>124</v>
      </c>
      <c r="AB4" s="68" t="s" ph="1">
        <v>125</v>
      </c>
      <c r="AC4" s="68" t="s" ph="1">
        <v>126</v>
      </c>
      <c r="AD4" s="68" t="s" ph="1">
        <v>40</v>
      </c>
      <c r="AE4" s="68" t="s" ph="1">
        <v>127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188" ph="1"/>
      <c r="C5" s="67" t="s" ph="1">
        <v>36</v>
      </c>
      <c r="D5" s="70" t="s" ph="1">
        <v>160</v>
      </c>
      <c r="E5" s="142" t="s" ph="1">
        <v>7</v>
      </c>
      <c r="F5" s="142" t="s" ph="1">
        <v>1</v>
      </c>
      <c r="G5" s="142" t="s" ph="1">
        <v>7</v>
      </c>
      <c r="H5" s="142" t="s" ph="1">
        <v>7</v>
      </c>
      <c r="I5" s="141" t="s" ph="1">
        <v>608</v>
      </c>
      <c r="J5" s="141" t="s" ph="1">
        <v>609</v>
      </c>
      <c r="K5" s="141" t="s" ph="1">
        <v>611</v>
      </c>
      <c r="L5" s="141" t="s" ph="1">
        <v>613</v>
      </c>
      <c r="M5" s="141" t="s" ph="1">
        <v>608</v>
      </c>
      <c r="N5" s="70" t="s" ph="1">
        <v>609</v>
      </c>
      <c r="O5" s="70" t="s" ph="1">
        <v>611</v>
      </c>
      <c r="P5" s="70" t="s" ph="1">
        <v>613</v>
      </c>
      <c r="Q5" s="70" t="s" ph="1">
        <v>607</v>
      </c>
      <c r="R5" s="70" t="s" ph="1">
        <v>607</v>
      </c>
      <c r="S5" s="70" t="s" ph="1">
        <v>607</v>
      </c>
      <c r="T5" s="70" t="s" ph="1">
        <v>607</v>
      </c>
      <c r="U5" s="70" t="s" ph="1">
        <v>607</v>
      </c>
      <c r="V5" s="70" t="s" ph="1">
        <v>607</v>
      </c>
      <c r="W5" s="70" t="s" ph="1">
        <v>607</v>
      </c>
      <c r="X5" s="70" t="s" ph="1">
        <v>607</v>
      </c>
      <c r="Y5" s="70" t="s" ph="1">
        <v>607</v>
      </c>
      <c r="Z5" s="70" t="s" ph="1">
        <v>614</v>
      </c>
      <c r="AA5" s="70" t="s" ph="1">
        <v>54</v>
      </c>
      <c r="AB5" s="70" t="s" ph="1">
        <v>54</v>
      </c>
      <c r="AC5" s="70" t="s" ph="1">
        <v>615</v>
      </c>
      <c r="AD5" s="71" t="s">
        <v>72</v>
      </c>
      <c r="AE5" s="71" t="s">
        <v>635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184" ph="1">
        <v>0.33333333333333331</v>
      </c>
      <c r="C6" s="150" t="s" ph="1">
        <v>177</v>
      </c>
      <c r="D6" s="71">
        <v>1988</v>
      </c>
      <c r="E6" s="71">
        <v>7815</v>
      </c>
      <c r="F6" s="71">
        <v>5844</v>
      </c>
      <c r="G6" s="71">
        <v>3844</v>
      </c>
      <c r="H6" s="71">
        <v>1415</v>
      </c>
      <c r="I6" s="71">
        <v>38.619999999999997</v>
      </c>
      <c r="J6" s="71">
        <v>6.27</v>
      </c>
      <c r="K6" s="71">
        <v>63</v>
      </c>
      <c r="L6" s="71">
        <v>6.89</v>
      </c>
      <c r="M6" s="71">
        <v>6387</v>
      </c>
      <c r="N6" s="71">
        <v>584</v>
      </c>
      <c r="O6" s="71">
        <v>5112</v>
      </c>
      <c r="P6" s="71">
        <v>1669</v>
      </c>
      <c r="Q6" s="71">
        <v>0</v>
      </c>
      <c r="R6" s="71">
        <v>0</v>
      </c>
      <c r="S6" s="71">
        <v>3945</v>
      </c>
      <c r="T6" s="71">
        <v>7143</v>
      </c>
      <c r="U6" s="71">
        <v>7033</v>
      </c>
      <c r="V6" s="71">
        <v>3308</v>
      </c>
      <c r="W6" s="71">
        <v>5388</v>
      </c>
      <c r="X6" s="71">
        <v>3399</v>
      </c>
      <c r="Y6" s="71">
        <v>0</v>
      </c>
      <c r="Z6" s="71">
        <v>3919</v>
      </c>
      <c r="AA6" s="71">
        <v>0</v>
      </c>
      <c r="AB6" s="71">
        <v>3303</v>
      </c>
      <c r="AC6" s="71">
        <v>3347</v>
      </c>
      <c r="AD6" s="71">
        <v>3886</v>
      </c>
      <c r="AE6" s="71">
        <v>4590</v>
      </c>
    </row>
    <row r="7" spans="1:99" s="72" customFormat="1" ht="22.2" ph="1">
      <c r="B7" s="184" ph="1"/>
      <c r="C7" s="68" t="s" ph="1">
        <v>178</v>
      </c>
      <c r="D7" s="73" ph="1">
        <f>D6*33.183*LOOKUP(D8,密度!$A$2:$A$50,密度!$Q$2:$Q$50)</f>
        <v>62314.507014480005</v>
      </c>
      <c r="E7" s="73" ph="1">
        <f>E6*51.53*LOOKUP(E8,密度!$A$2:$A$50,密度!$B$2:$B$50)</f>
        <v>313950.33821999998</v>
      </c>
      <c r="F7" s="73" ph="1">
        <f>F6*33.183*LOOKUP(F8,密度!$A$2:$A$50,密度!$C$2:$C$50)</f>
        <v>214884.3609612</v>
      </c>
      <c r="G7" s="73" ph="1">
        <f xml:space="preserve"> (G6+2)*51.53*LOOKUP(G8,密度!$A$2:$A$50,密度!$B$2:$B$50)</f>
        <v>154326.176706</v>
      </c>
      <c r="H7" s="73" ph="1">
        <f>(H6)*51.53*LOOKUP(H8,密度!$A$2:$A$50,密度!$B$2:$B$50)</f>
        <v>56975.741929999997</v>
      </c>
      <c r="I7" s="73" ph="1">
        <f>I6*290.8*1.0267</f>
        <v>11530.555583199999</v>
      </c>
      <c r="J7" s="73" ph="1">
        <f>J6*290.8*0.7892</f>
        <v>1438.9609872000001</v>
      </c>
      <c r="K7" s="73" ph="1">
        <f>K6*290.8*1.1126</f>
        <v>20383.277040000001</v>
      </c>
      <c r="L7" s="73" ph="1">
        <f>L6*290.8*0.777</f>
        <v>1556.8065240000001</v>
      </c>
      <c r="M7" s="73" ph="1">
        <f>M6*33.183*LOOKUP(M8,密度!$A$2:$A$50,密度!$D$2:$D$50)</f>
        <v>217005.1827219</v>
      </c>
      <c r="N7" s="73" ph="1">
        <f>N6*33.183*LOOKUP(N8,密度!$A$2:$A$50,密度!$E$2:$E$50)</f>
        <v>15156.2157912</v>
      </c>
      <c r="O7" s="73" ph="1">
        <f>O6*20.428*LOOKUP(O8,密度!$A$2:$A$50,密度!$C$2:$C$50)</f>
        <v>115403.3120736</v>
      </c>
      <c r="P7" s="73" ph="1">
        <f>P6*51.53*LOOKUP(P8,密度!$A$2:$A$50,密度!$B$2:$B$50)</f>
        <v>67048.383172000002</v>
      </c>
      <c r="Q7" s="73" ph="1">
        <f>Q6*1.5*1.5*3.1416*LOOKUP(W8,密度!$A$2:$A$50,密度!$L$2:$L$50)</f>
        <v>0</v>
      </c>
      <c r="R7" s="73" ph="1">
        <f>R6*1.5*1.5*3.1416*LOOKUP(R8,密度!$A$2:$A$50,密度!$L$2:$L$50)</f>
        <v>0</v>
      </c>
      <c r="S7" s="73" ph="1">
        <f>S6*1.5*1.5*3.1416*LOOKUP(S8,密度!$A$2:$A$50,密度!$L$2:$L$50)</f>
        <v>26184.603752999999</v>
      </c>
      <c r="T7" s="73" ph="1">
        <f>T6*1.5*1.5*3.1416*LOOKUP(T8,密度!$A$2:$A$50,密度!$L$2:$L$50)</f>
        <v>47411.058202199994</v>
      </c>
      <c r="U7" s="73" ph="1">
        <f>U6*1.5*1.5*3.1416*LOOKUP(U8,密度!$A$2:$A$50,密度!$L$2:$L$50)</f>
        <v>46432.3751892</v>
      </c>
      <c r="V7" s="73" ph="1">
        <f>V6*1.5*1.5*3.1416*LOOKUP(V8,密度!$A$2:$A$50,密度!$L$2:$L$50)</f>
        <v>21839.655499199998</v>
      </c>
      <c r="W7" s="73" ph="1">
        <f>W6*1.5*1.5*3.1416*LOOKUP(W8,密度!$A$2:$A$50,密度!$L$2:$L$50)</f>
        <v>35610.051707999999</v>
      </c>
      <c r="X7" s="73" ph="1">
        <f>X6*1.5*1.5*3.1416*LOOKUP(X8,密度!$A$2:$A$50,密度!$L$2:$L$50)</f>
        <v>22680.705801599997</v>
      </c>
      <c r="Y7" s="73" ph="1">
        <f>Y6*1.5*1.5*3.1416*LOOKUP(Y8,密度!$A$2:$A$50,密度!$L$2:$L$50)</f>
        <v>0</v>
      </c>
      <c r="Z7" s="73" ph="1">
        <f>Z6*33.183*LOOKUP(Z8,密度!$A$2:$A$50,密度!$L$2:$L$50)</f>
        <v>121721.349672</v>
      </c>
      <c r="AA7" s="73" ph="1">
        <f>AA6*33.183*LOOKUP(AA8,密度!$A$2:$A$50,密度!$D$2:$D$50)</f>
        <v>0</v>
      </c>
      <c r="AB7" s="73" ph="1">
        <f>AB6*20.428*LOOKUP(AB8,密度!$A$2:$A$50,密度!$D$2:$D$50)</f>
        <v>69592.357677600012</v>
      </c>
      <c r="AC7" s="73" ph="1">
        <f>AC6*51.53*LOOKUP(AC8,密度!$A$2:$A$50,密度!$Q$2:$Q$50)</f>
        <v>163285.1093334</v>
      </c>
      <c r="AD7" s="73" ph="1">
        <f>AD6*20.428*LOOKUP(AD8,密度!$A$2:$A$50,密度!$V$2:$V$50)</f>
        <v>76271.386246399998</v>
      </c>
      <c r="AE7" s="73" ph="1">
        <f>AE6*20.428</f>
        <v>93764.52</v>
      </c>
    </row>
    <row r="8" spans="1:99" ph="1">
      <c r="B8" s="184" ph="1"/>
      <c r="C8" s="68" t="s" ph="1">
        <v>179</v>
      </c>
      <c r="D8" s="74">
        <v>28</v>
      </c>
      <c r="E8" s="74">
        <v>25</v>
      </c>
      <c r="F8" s="74">
        <v>26</v>
      </c>
      <c r="G8" s="74">
        <v>26</v>
      </c>
      <c r="H8" s="74">
        <v>23</v>
      </c>
      <c r="I8" s="74">
        <v>25</v>
      </c>
      <c r="J8" s="74">
        <v>25</v>
      </c>
      <c r="K8" s="74">
        <v>25</v>
      </c>
      <c r="L8" s="74">
        <v>25</v>
      </c>
      <c r="M8" s="74">
        <v>28</v>
      </c>
      <c r="N8" s="74">
        <v>26</v>
      </c>
      <c r="O8" s="74">
        <v>30</v>
      </c>
      <c r="P8" s="74">
        <v>25</v>
      </c>
      <c r="Q8" s="74">
        <v>28</v>
      </c>
      <c r="R8" s="74">
        <v>32</v>
      </c>
      <c r="S8" s="74">
        <v>23</v>
      </c>
      <c r="T8" s="74">
        <v>23</v>
      </c>
      <c r="U8" s="74">
        <v>28</v>
      </c>
      <c r="V8" s="74">
        <v>28</v>
      </c>
      <c r="W8" s="74">
        <v>27</v>
      </c>
      <c r="X8" s="74">
        <v>18</v>
      </c>
      <c r="Y8" s="74">
        <v>26</v>
      </c>
      <c r="Z8" s="74">
        <v>26</v>
      </c>
      <c r="AA8" s="74">
        <v>25</v>
      </c>
      <c r="AB8" s="74">
        <v>20</v>
      </c>
      <c r="AC8" s="74">
        <v>25</v>
      </c>
      <c r="AD8" s="74">
        <v>25</v>
      </c>
      <c r="AE8" s="74">
        <v>28</v>
      </c>
    </row>
    <row r="9" spans="1:99" ht="26.4" ph="1">
      <c r="B9" s="184" ph="1">
        <v>0.66666666666666663</v>
      </c>
      <c r="C9" s="150" t="s" ph="1">
        <v>180</v>
      </c>
      <c r="D9" s="71">
        <v>1986</v>
      </c>
      <c r="E9" s="71">
        <v>7815</v>
      </c>
      <c r="F9" s="71">
        <v>5844</v>
      </c>
      <c r="G9" s="71">
        <v>5483</v>
      </c>
      <c r="H9" s="71">
        <v>1113</v>
      </c>
      <c r="I9" s="71">
        <v>38.64</v>
      </c>
      <c r="J9" s="71">
        <v>6.28</v>
      </c>
      <c r="K9" s="71">
        <v>62.93</v>
      </c>
      <c r="L9" s="71">
        <v>14.44</v>
      </c>
      <c r="M9" s="71">
        <v>6388</v>
      </c>
      <c r="N9" s="71">
        <v>407</v>
      </c>
      <c r="O9" s="71">
        <v>5113</v>
      </c>
      <c r="P9" s="71">
        <v>1587</v>
      </c>
      <c r="Q9" s="71">
        <v>0</v>
      </c>
      <c r="R9" s="71">
        <v>0</v>
      </c>
      <c r="S9" s="71">
        <v>0</v>
      </c>
      <c r="T9" s="71">
        <v>7139</v>
      </c>
      <c r="U9" s="71">
        <v>7037</v>
      </c>
      <c r="V9" s="71">
        <v>5846</v>
      </c>
      <c r="W9" s="71">
        <v>7078</v>
      </c>
      <c r="X9" s="71">
        <v>7065</v>
      </c>
      <c r="Y9" s="71">
        <v>2598</v>
      </c>
      <c r="Z9" s="71">
        <v>4773</v>
      </c>
      <c r="AA9" s="71">
        <v>0</v>
      </c>
      <c r="AB9" s="71">
        <v>3147</v>
      </c>
      <c r="AC9" s="71">
        <v>3302</v>
      </c>
      <c r="AD9" s="71">
        <v>3887</v>
      </c>
      <c r="AE9" s="71">
        <v>4575</v>
      </c>
    </row>
    <row r="10" spans="1:99" s="72" customFormat="1" ht="22.2" ph="1">
      <c r="B10" s="184" ph="1"/>
      <c r="C10" s="150" t="s" ph="1">
        <v>178</v>
      </c>
      <c r="D10" s="73" ph="1">
        <f>D9*33.183*LOOKUP(D11,密度!$A$2:$A$50,密度!$Q$2:$Q$50)</f>
        <v>62166.803508539997</v>
      </c>
      <c r="E10" s="73" ph="1">
        <f>E9*51.53*LOOKUP(E11,密度!$A$2:$A$50,密度!$B$2:$B$50)</f>
        <v>312903.30015000002</v>
      </c>
      <c r="F10" s="73" ph="1">
        <f>F9*33.183*LOOKUP(F11,密度!$A$2:$A$50,密度!$C$2:$C$50)</f>
        <v>214748.61594479997</v>
      </c>
      <c r="G10" s="73" ph="1">
        <f xml:space="preserve"> (G9+2)*51.53*LOOKUP(G11,密度!$A$2:$A$50,密度!$B$2:$B$50)</f>
        <v>219612.87284999999</v>
      </c>
      <c r="H10" s="73" ph="1">
        <f>(H9)*51.53*LOOKUP(H11,密度!$A$2:$A$50,密度!$B$2:$B$50)</f>
        <v>44614.813131000003</v>
      </c>
      <c r="I10" s="73" ph="1">
        <f>I9*290.8*1.0267</f>
        <v>11536.526870400001</v>
      </c>
      <c r="J10" s="73" ph="1">
        <f>J9*290.8*0.7892</f>
        <v>1441.2559808000001</v>
      </c>
      <c r="K10" s="73" ph="1">
        <f>K9*290.8*1.1126</f>
        <v>20360.628954400003</v>
      </c>
      <c r="L10" s="73" ph="1">
        <f>L9*290.8*0.777</f>
        <v>3262.7411040000002</v>
      </c>
      <c r="M10" s="73" ph="1">
        <f>M9*33.183*LOOKUP(M11,密度!$A$2:$A$50,密度!$D$2:$D$50)</f>
        <v>216254.85868079998</v>
      </c>
      <c r="N10" s="73" ph="1">
        <f>N9*33.183*LOOKUP(N11,密度!$A$2:$A$50,密度!$E$2:$E$50)</f>
        <v>10486.330722449999</v>
      </c>
      <c r="O10" s="73" ph="1">
        <f>O9*20.428*LOOKUP(O11,密度!$A$2:$A$50,密度!$C$2:$C$50)</f>
        <v>115206.545492</v>
      </c>
      <c r="P10" s="73" ph="1">
        <f>P9*51.53*LOOKUP(P11,密度!$A$2:$A$50,密度!$B$2:$B$50)</f>
        <v>63476.168982000003</v>
      </c>
      <c r="Q10" s="73" ph="1">
        <f>Q9*1.5*1.5*3.1416*LOOKUP(W11,密度!$A$2:$A$50,密度!$L$2:$L$50)</f>
        <v>0</v>
      </c>
      <c r="R10" s="73" ph="1">
        <f>R9*1.5*1.5*3.1416*LOOKUP(R11,密度!$A$2:$A$50,密度!$L$2:$L$50)</f>
        <v>0</v>
      </c>
      <c r="S10" s="73" ph="1">
        <f>S9*1.5*1.5*3.1416*LOOKUP(S11,密度!$A$2:$A$50,密度!$L$2:$L$50)</f>
        <v>0</v>
      </c>
      <c r="T10" s="73" ph="1">
        <f>T9*1.5*1.5*3.1416*LOOKUP(T11,密度!$A$2:$A$50,密度!$L$2:$L$50)</f>
        <v>47283.583069799999</v>
      </c>
      <c r="U10" s="73" ph="1">
        <f>U9*1.5*1.5*3.1416*LOOKUP(U11,密度!$A$2:$A$50,密度!$L$2:$L$50)</f>
        <v>46458.783478800004</v>
      </c>
      <c r="V10" s="73" ph="1">
        <f>V9*1.5*1.5*3.1416*LOOKUP(V11,密度!$A$2:$A$50,密度!$L$2:$L$50)</f>
        <v>38595.715250400004</v>
      </c>
      <c r="W10" s="73" ph="1">
        <f>W9*1.5*1.5*3.1416*LOOKUP(W11,密度!$A$2:$A$50,密度!$L$2:$L$50)</f>
        <v>46729.468447200001</v>
      </c>
      <c r="X10" s="73" ph="1">
        <f>X9*1.5*1.5*3.1416*LOOKUP(X11,密度!$A$2:$A$50,密度!$L$2:$L$50)</f>
        <v>47143.038095999997</v>
      </c>
      <c r="Y10" s="73" ph="1">
        <f>Y9*1.5*1.5*3.1416*LOOKUP(Y11,密度!$A$2:$A$50,密度!$L$2:$L$50)</f>
        <v>17188.9125408</v>
      </c>
      <c r="Z10" s="73" ph="1">
        <f>Z9*33.183*LOOKUP(Z11,密度!$A$2:$A$50,密度!$L$2:$L$50)</f>
        <v>147929.21670600001</v>
      </c>
      <c r="AA10" s="73" ph="1">
        <f>AA9*33.183*LOOKUP(AA11,密度!$A$2:$A$50,密度!$D$2:$D$50)</f>
        <v>0</v>
      </c>
      <c r="AB10" s="73" ph="1">
        <f>AB9*20.428*LOOKUP(AB11,密度!$A$2:$A$50,密度!$D$2:$D$50)</f>
        <v>66183.380022000012</v>
      </c>
      <c r="AC10" s="73" ph="1">
        <f>AC9*51.53*LOOKUP(AC11,密度!$A$2:$A$50,密度!$Q$2:$Q$50)</f>
        <v>160043.32611540001</v>
      </c>
      <c r="AD10" s="73" ph="1">
        <f>AD9*20.428*LOOKUP(AD11,密度!$A$2:$A$50,密度!$V$2:$V$50)</f>
        <v>76036.921833600005</v>
      </c>
      <c r="AE10" s="73" ph="1">
        <f>AE9*20.428</f>
        <v>93458.1</v>
      </c>
    </row>
    <row r="11" spans="1:99" ph="1">
      <c r="A11" s="64" t="s" ph="1">
        <v>162</v>
      </c>
      <c r="B11" s="184" ph="1"/>
      <c r="C11" s="150" t="s" ph="1">
        <v>179</v>
      </c>
      <c r="D11" s="74">
        <v>30</v>
      </c>
      <c r="E11" s="74">
        <v>28</v>
      </c>
      <c r="F11" s="74">
        <v>27</v>
      </c>
      <c r="G11" s="74">
        <v>28</v>
      </c>
      <c r="H11" s="74">
        <v>27</v>
      </c>
      <c r="I11" s="74">
        <v>25</v>
      </c>
      <c r="J11" s="74">
        <v>25</v>
      </c>
      <c r="K11" s="74">
        <v>25</v>
      </c>
      <c r="L11" s="74">
        <v>25</v>
      </c>
      <c r="M11" s="74">
        <v>32</v>
      </c>
      <c r="N11" s="74">
        <v>31</v>
      </c>
      <c r="O11" s="74">
        <v>32</v>
      </c>
      <c r="P11" s="74">
        <v>29</v>
      </c>
      <c r="Q11" s="74">
        <v>35</v>
      </c>
      <c r="R11" s="74">
        <v>35</v>
      </c>
      <c r="S11" s="74">
        <v>26</v>
      </c>
      <c r="T11" s="74">
        <v>25</v>
      </c>
      <c r="U11" s="74">
        <v>28</v>
      </c>
      <c r="V11" s="74">
        <v>28</v>
      </c>
      <c r="W11" s="74">
        <v>28</v>
      </c>
      <c r="X11" s="74">
        <v>18</v>
      </c>
      <c r="Y11" s="74">
        <v>26</v>
      </c>
      <c r="Z11" s="74">
        <v>28</v>
      </c>
      <c r="AA11" s="74">
        <v>32</v>
      </c>
      <c r="AB11" s="74">
        <v>22</v>
      </c>
      <c r="AC11" s="74">
        <v>34</v>
      </c>
      <c r="AD11" s="74">
        <v>29</v>
      </c>
      <c r="AE11" s="74">
        <v>29</v>
      </c>
    </row>
    <row r="12" spans="1:99" ht="9.9" customHeight="1" ph="1"/>
    <row r="13" spans="1:99" s="72" customFormat="1" ht="29.25" customHeight="1" ph="1">
      <c r="B13" s="192" t="s" ph="1">
        <v>37</v>
      </c>
      <c r="C13" s="150" t="s" ph="1">
        <v>176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128</v>
      </c>
      <c r="I13" s="76" t="s" ph="1">
        <v>59</v>
      </c>
      <c r="J13" s="76" t="s" ph="1">
        <v>129</v>
      </c>
      <c r="K13" s="76" t="s" ph="1">
        <v>55</v>
      </c>
      <c r="L13" s="76" t="s" ph="1">
        <v>60</v>
      </c>
      <c r="M13" s="76" t="s" ph="1">
        <v>61</v>
      </c>
      <c r="N13" s="76" t="s" ph="1">
        <v>130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131</v>
      </c>
      <c r="W13" s="76" t="s" ph="1">
        <v>132</v>
      </c>
      <c r="X13" s="76" t="s" ph="1">
        <v>133</v>
      </c>
      <c r="Y13" s="105" t="s" ph="1">
        <v>68</v>
      </c>
      <c r="Z13" s="76" t="s" ph="1">
        <v>74</v>
      </c>
      <c r="AA13" s="76" t="s" ph="1">
        <v>134</v>
      </c>
      <c r="AB13" s="76" t="s" ph="1">
        <v>135</v>
      </c>
      <c r="AC13" s="76" t="s" ph="1">
        <v>136</v>
      </c>
      <c r="AD13" s="76" t="s" ph="1">
        <v>137</v>
      </c>
      <c r="AE13" s="76" t="s" ph="1">
        <v>138</v>
      </c>
      <c r="AG13" s="72" t="s" ph="1">
        <v>325</v>
      </c>
      <c r="AH13" s="72" t="s" ph="1">
        <v>188</v>
      </c>
      <c r="AI13" s="72" t="s" ph="1">
        <v>189</v>
      </c>
      <c r="AJ13" s="72" t="s" ph="1">
        <v>190</v>
      </c>
      <c r="AK13" s="72" t="s" ph="1">
        <v>191</v>
      </c>
      <c r="AL13" s="72" t="s" ph="1">
        <v>192</v>
      </c>
      <c r="AM13" s="72" t="s" ph="1">
        <v>193</v>
      </c>
      <c r="AN13" s="72" t="s" ph="1">
        <v>194</v>
      </c>
      <c r="AO13" s="72" t="s" ph="1">
        <v>195</v>
      </c>
      <c r="AP13" s="72" t="s" ph="1">
        <v>196</v>
      </c>
      <c r="AQ13" s="72" t="s" ph="1">
        <v>197</v>
      </c>
      <c r="AR13" s="72" t="s" ph="1">
        <v>198</v>
      </c>
      <c r="AS13" s="72" t="s" ph="1">
        <v>199</v>
      </c>
      <c r="AT13" s="72" t="s" ph="1">
        <v>200</v>
      </c>
      <c r="AU13" s="72" t="s" ph="1">
        <v>201</v>
      </c>
      <c r="AV13" s="72" t="s" ph="1">
        <v>202</v>
      </c>
      <c r="AW13" s="72" t="s" ph="1">
        <v>203</v>
      </c>
      <c r="AX13" s="72" t="s" ph="1">
        <v>204</v>
      </c>
      <c r="AY13" s="72" t="s" ph="1">
        <v>326</v>
      </c>
      <c r="AZ13" s="72" t="s" ph="1">
        <v>205</v>
      </c>
      <c r="BA13" s="72" t="s" ph="1">
        <v>206</v>
      </c>
      <c r="BB13" s="72" t="s" ph="1">
        <v>591</v>
      </c>
      <c r="BC13" s="72" t="s" ph="1">
        <v>207</v>
      </c>
      <c r="BD13" s="72" t="s" ph="1">
        <v>327</v>
      </c>
      <c r="BE13" s="72" t="s" ph="1">
        <v>328</v>
      </c>
      <c r="BF13" s="72" t="s" ph="1">
        <v>329</v>
      </c>
      <c r="BG13" s="72" t="s" ph="1">
        <v>330</v>
      </c>
      <c r="BH13" s="72" t="s" ph="1">
        <v>331</v>
      </c>
    </row>
    <row r="14" spans="1:99" s="72" customFormat="1" ht="24" ph="1">
      <c r="B14" s="193" ph="1"/>
      <c r="C14" s="67" t="s" ph="1">
        <v>36</v>
      </c>
      <c r="D14" s="77" t="s" ph="1">
        <v>616</v>
      </c>
      <c r="E14" s="77" t="s" ph="1">
        <v>616</v>
      </c>
      <c r="F14" s="144" t="s" ph="1">
        <v>636</v>
      </c>
      <c r="G14" s="77" t="s" ph="1">
        <v>617</v>
      </c>
      <c r="H14" s="77" t="s" ph="1">
        <v>637</v>
      </c>
      <c r="I14" s="138" t="s" ph="1">
        <v>618</v>
      </c>
      <c r="J14" s="77" t="s" ph="1">
        <v>619</v>
      </c>
      <c r="K14" s="77" t="s" ph="1">
        <v>186</v>
      </c>
      <c r="L14" s="77" t="s" ph="1">
        <v>41</v>
      </c>
      <c r="M14" s="104" t="s" ph="1">
        <v>620</v>
      </c>
      <c r="N14" s="104" t="s" ph="1">
        <v>621</v>
      </c>
      <c r="O14" s="104" t="s" ph="1">
        <v>619</v>
      </c>
      <c r="P14" s="77" t="s" ph="1">
        <v>622</v>
      </c>
      <c r="Q14" s="77" t="s" ph="1">
        <v>622</v>
      </c>
      <c r="R14" s="88" t="s" ph="1">
        <v>7</v>
      </c>
      <c r="S14" s="77" t="s" ph="1">
        <v>71</v>
      </c>
      <c r="T14" s="77" t="s" ph="1">
        <v>624</v>
      </c>
      <c r="U14" s="77" t="s" ph="1">
        <v>605</v>
      </c>
      <c r="V14" s="77" t="s" ph="1">
        <v>633</v>
      </c>
      <c r="W14" s="77" t="s" ph="1">
        <v>622</v>
      </c>
      <c r="X14" s="77" t="s" ph="1">
        <v>625</v>
      </c>
      <c r="Y14" s="143" t="s" ph="1">
        <v>0</v>
      </c>
      <c r="Z14" s="77" t="s" ph="1">
        <v>54</v>
      </c>
      <c r="AA14" s="77" t="s" ph="1">
        <v>613</v>
      </c>
      <c r="AB14" s="77" t="s" ph="1">
        <v>632</v>
      </c>
      <c r="AC14" s="77" t="s" ph="1">
        <v>632</v>
      </c>
      <c r="AD14" s="77" t="s" ph="1">
        <v>612</v>
      </c>
      <c r="AE14" s="77" t="s" ph="1">
        <v>612</v>
      </c>
      <c r="AG14" s="72" t="s" ph="1">
        <v>208</v>
      </c>
      <c r="AI14" s="72" t="s" ph="1">
        <v>209</v>
      </c>
      <c r="AJ14" s="72" t="s" ph="1">
        <v>332</v>
      </c>
      <c r="AK14" s="72" t="s" ph="1">
        <v>210</v>
      </c>
      <c r="AM14" s="72" t="s" ph="1">
        <v>212</v>
      </c>
      <c r="AN14" s="72" t="s" ph="1">
        <v>210</v>
      </c>
      <c r="AO14" s="72" t="s" ph="1">
        <v>211</v>
      </c>
      <c r="AP14" s="72" t="s" ph="1">
        <v>212</v>
      </c>
      <c r="AQ14" s="72" t="s" ph="1">
        <v>210</v>
      </c>
      <c r="AR14" s="72" t="s" ph="1">
        <v>211</v>
      </c>
      <c r="AS14" s="72" t="s" ph="1">
        <v>212</v>
      </c>
      <c r="AT14" s="72" t="s" ph="1">
        <v>210</v>
      </c>
      <c r="AU14" s="72" t="s" ph="1">
        <v>211</v>
      </c>
      <c r="AV14" s="72" t="s" ph="1">
        <v>212</v>
      </c>
      <c r="AW14" s="72" t="s" ph="1">
        <v>210</v>
      </c>
      <c r="AX14" s="72" t="s" ph="1">
        <v>211</v>
      </c>
      <c r="AY14" s="72" t="s" ph="1">
        <v>212</v>
      </c>
      <c r="AZ14" s="72" t="s" ph="1">
        <v>211</v>
      </c>
    </row>
    <row r="15" spans="1:99" ph="1">
      <c r="B15" s="194" ph="1">
        <v>0.33333333333333331</v>
      </c>
      <c r="C15" s="150" t="s" ph="1">
        <v>177</v>
      </c>
      <c r="D15" s="78">
        <v>713</v>
      </c>
      <c r="E15" s="78">
        <v>74</v>
      </c>
      <c r="F15" s="78">
        <v>3951</v>
      </c>
      <c r="G15" s="78">
        <v>3262</v>
      </c>
      <c r="H15" s="78">
        <v>0</v>
      </c>
      <c r="I15" s="78">
        <v>5165</v>
      </c>
      <c r="J15" s="78">
        <v>805</v>
      </c>
      <c r="K15" s="78">
        <v>2280</v>
      </c>
      <c r="L15" s="78">
        <v>3572</v>
      </c>
      <c r="M15" s="78">
        <v>3356</v>
      </c>
      <c r="N15" s="78">
        <v>3238</v>
      </c>
      <c r="O15" s="78">
        <v>4414</v>
      </c>
      <c r="P15" s="78">
        <v>6780</v>
      </c>
      <c r="Q15" s="78">
        <v>6972</v>
      </c>
      <c r="R15" s="78">
        <v>1956</v>
      </c>
      <c r="S15" s="78">
        <v>0</v>
      </c>
      <c r="T15" s="78">
        <v>2901</v>
      </c>
      <c r="U15" s="78">
        <v>6710</v>
      </c>
      <c r="V15" s="78">
        <v>-817</v>
      </c>
      <c r="W15" s="71">
        <v>-809</v>
      </c>
      <c r="X15" s="78">
        <v>1386</v>
      </c>
      <c r="Y15" s="106">
        <v>-2368</v>
      </c>
      <c r="Z15" s="78">
        <v>1913</v>
      </c>
      <c r="AA15" s="78">
        <v>2581</v>
      </c>
      <c r="AB15" s="78" ph="1">
        <v>5337</v>
      </c>
      <c r="AC15" s="78" ph="1">
        <v>7298</v>
      </c>
      <c r="AD15" s="78">
        <v>5.64</v>
      </c>
      <c r="AE15" s="78">
        <v>37.630000000000003</v>
      </c>
      <c r="AG15" s="64" t="s" ph="1">
        <v>214</v>
      </c>
      <c r="AH15" s="64" ph="1">
        <v>1</v>
      </c>
      <c r="AI15" s="64" t="s" ph="1">
        <v>333</v>
      </c>
      <c r="AK15" s="64" t="s" ph="1">
        <v>587</v>
      </c>
      <c r="AM15" s="64" t="s" ph="1">
        <v>335</v>
      </c>
      <c r="AZ15" s="64" t="s" ph="1">
        <v>216</v>
      </c>
      <c r="BA15" s="64" ph="1">
        <v>0</v>
      </c>
    </row>
    <row r="16" spans="1:99" s="72" customFormat="1" ht="22.2" ph="1">
      <c r="B16" s="195" ph="1"/>
      <c r="C16" s="150" t="s" ph="1">
        <v>178</v>
      </c>
      <c r="D16" s="73" ph="1">
        <f>D15*7.0686*LOOKUP(D17,密度!$A$2:$A$50,密度!$L$2:$L$50)</f>
        <v>4702.2377094000003</v>
      </c>
      <c r="E16" s="73" ph="1">
        <f>E15*7.0686*LOOKUP(E17,密度!$A$2:$A$50,密度!$L$2:$L$50)</f>
        <v>488.03028120000005</v>
      </c>
      <c r="F16" s="73" ph="1">
        <f>F15*9.0746*LOOKUP(F17,密度!$A$2:$A$50,密度!$L$2:$L$50)</f>
        <v>33415.6899672</v>
      </c>
      <c r="G16" s="73" ph="1">
        <f>G15*9.0746*LOOKUP(G17,密度!$A$2:$A$50,密度!$B$2:$B$50)</f>
        <v>23050.567507239997</v>
      </c>
      <c r="H16" s="73" ph="1">
        <f>H15*9.0746*LOOKUP(H17,密度!$A$2:$A$50,密度!$L$2:$L$50)</f>
        <v>0</v>
      </c>
      <c r="I16" s="73" ph="1">
        <f>I15*9.0746*LOOKUP(I17,密度!$A$2:$A$50,密度!$U$2:$U$50)</f>
        <v>47995.196415999999</v>
      </c>
      <c r="J16" s="73" ph="1">
        <f>J15*9.0746*LOOKUP(J17,密度!$A$2:$A$50,密度!$L$2:$L$50)</f>
        <v>6837.5296080000007</v>
      </c>
      <c r="K16" s="73" ph="1">
        <f>K15*9.0746*LOOKUP(K17,密度!$A$2:$A$50,密度!$C$2:$C$50)</f>
        <v>22912.203451199999</v>
      </c>
      <c r="L16" s="73" ph="1">
        <f>L15*9.0746*LOOKUP(L17,密度!$A$2:$A$50,密度!$E$2:$E$50)</f>
        <v>25315.702007200001</v>
      </c>
      <c r="M16" s="73" ph="1">
        <f>M15*9.0746*LOOKUP(M17,密度!$A$2:$A$50,密度!$M$2:$M$50)</f>
        <v>26525.745469599999</v>
      </c>
      <c r="N16" s="73" ph="1">
        <f>N15*9.0746*LOOKUP(N17,密度!$A$2:$A$50,密度!$M$2:$M$50)</f>
        <v>25713.548805480001</v>
      </c>
      <c r="O16" s="73" ph="1">
        <f>O15*9.0746*LOOKUP(O17,密度!$A$2:$A$50,密度!$G$2:$G$50)</f>
        <v>38332.907170800005</v>
      </c>
      <c r="P16" s="73" ph="1">
        <f ca="1">P15*9.0746*LOOKUP(P17,密度!$A$2:$A$51,密度!$Q$2:$Q$50)</f>
        <v>58039.12159404</v>
      </c>
      <c r="Q16" s="73" ph="1">
        <f>Q15*9.0746*LOOKUP(Q17,密度!$A$2:$A$50,密度!$Q$2:$Q$50)</f>
        <v>59720.668205016002</v>
      </c>
      <c r="R16" s="73" ph="1">
        <f>MAX(R15*9.0746*LOOKUP(R17,密度!$A$2:$A$50,密度!$B$2:$B$50),0)</f>
        <v>13791.685975200002</v>
      </c>
      <c r="S16" s="73" ph="1">
        <f>S15*9.0746*LOOKUP(S17,密度!$A$2:$A$50,密度!$Q$2:$Q$50)</f>
        <v>0</v>
      </c>
      <c r="T16" s="73" ph="1">
        <f>T15*9.0746*LOOKUP(T17,密度!$A$2:$A$50,密度!$O$2:$O$50)</f>
        <v>24377.333919600002</v>
      </c>
      <c r="U16" s="73" ph="1">
        <f>U15*9.0746*LOOKUP(U17,密度!$A$2:$A$50,密度!$H$2:$H$50)</f>
        <v>55647.888267400005</v>
      </c>
      <c r="V16" s="73" ph="1">
        <f>MAX(5600*LOOKUP(V17,密度!$A$2:$A$50,密度!$Q$2:$Q$50)+V15*9.0476*LOOKUP(V17,密度!$A$2:$A$50,密度!$Q$2:$Q$50),0)</f>
        <v>0</v>
      </c>
      <c r="W16" s="73" ph="1">
        <f>MAX(5600*LOOKUP(W17,密度!$A$2:$A$50,密度!$Q$2:$Q$50)+W15*9.0476*LOOKUP(W17,密度!$A$2:$A$50,密度!$Q$2:$Q$50),0)</f>
        <v>0</v>
      </c>
      <c r="X16" s="73" ph="1">
        <f>MAX(5600*LOOKUP(X17,密度!$A$2:$A$50,密度!$I$2:$I$50)+X15*9.0476*LOOKUP(X17,密度!$A$2:$A$50,密度!$I$2:$I$50),0)</f>
        <v>18847.4325704</v>
      </c>
      <c r="Y16" s="107" ph="1">
        <v>0</v>
      </c>
      <c r="Z16" s="73" ph="1">
        <f>Z15*9.0746*LOOKUP(Z17,密度!$A$2:$A$50,密度!$D$2:$D$50)</f>
        <v>17774.606864220001</v>
      </c>
      <c r="AA16" s="73" ph="1">
        <f>AA15*9.0746*LOOKUP(AA17,密度!$A$2:$A$50,密度!$B$2:$B$50)</f>
        <v>18238.355222620001</v>
      </c>
      <c r="AB16" s="73" ph="1">
        <f>AB15*9.0746*LOOKUP(AB17,密度!$A$2:$A$50,密度!$L$2:$L$50)</f>
        <v>45234.684946800007</v>
      </c>
      <c r="AC16" s="73" ph="1">
        <f>AC15*9.0746*LOOKUP(AC17,密度!$A$2:$A$50,密度!$L$2:$L$50)</f>
        <v>62054.165659600003</v>
      </c>
      <c r="AD16" s="73" ph="1">
        <f>AD15*268.68*LOOKUP(AD17,密度!$A$2:$A$50,密度!B2:B50)+IF(AD15&lt;=0,0,1566*LOOKUP(AD17,密度!$A$2:$A$50,密度!B2:B50))</f>
        <v>2402.2245139199999</v>
      </c>
      <c r="AE16" s="73" ph="1">
        <f>AE15*268.68*LOOKUP(AE17,密度!$A$2:$A$50,密度!B2:B50)+IF(AE15&lt;=0,0,1566*LOOKUP(AE17,密度!$A$2:$A$50,密度!B2:B50))</f>
        <v>9102.9435806399997</v>
      </c>
      <c r="AH16" s="72" ph="1">
        <v>2</v>
      </c>
      <c r="AI16" s="72" t="s" ph="1">
        <v>337</v>
      </c>
      <c r="AZ16" s="72" t="s" ph="1">
        <v>216</v>
      </c>
      <c r="BA16" s="72" ph="1">
        <v>0</v>
      </c>
    </row>
    <row r="17" spans="1:57" ph="1">
      <c r="A17" s="64" t="s" ph="1">
        <v>73</v>
      </c>
      <c r="B17" s="196" ph="1"/>
      <c r="C17" s="79" t="s" ph="1">
        <v>179</v>
      </c>
      <c r="D17" s="74">
        <v>29</v>
      </c>
      <c r="E17" s="74">
        <v>29</v>
      </c>
      <c r="F17" s="74">
        <v>30</v>
      </c>
      <c r="G17" s="74">
        <v>26</v>
      </c>
      <c r="H17" s="74">
        <v>20</v>
      </c>
      <c r="I17" s="74">
        <v>26</v>
      </c>
      <c r="J17" s="74">
        <v>26</v>
      </c>
      <c r="K17" s="74">
        <v>27</v>
      </c>
      <c r="L17" s="74">
        <v>27</v>
      </c>
      <c r="M17" s="74">
        <v>29</v>
      </c>
      <c r="N17" s="74">
        <v>25</v>
      </c>
      <c r="O17" s="74">
        <v>28</v>
      </c>
      <c r="P17" s="74">
        <v>30</v>
      </c>
      <c r="Q17" s="74">
        <v>29</v>
      </c>
      <c r="R17" s="74">
        <v>28</v>
      </c>
      <c r="S17" s="74">
        <v>26</v>
      </c>
      <c r="T17" s="74">
        <v>28</v>
      </c>
      <c r="U17" s="74">
        <v>26</v>
      </c>
      <c r="V17" s="74">
        <v>28</v>
      </c>
      <c r="W17" s="74">
        <v>28</v>
      </c>
      <c r="X17" s="74">
        <v>28</v>
      </c>
      <c r="Y17" s="108">
        <v>28</v>
      </c>
      <c r="Z17" s="74">
        <v>28</v>
      </c>
      <c r="AA17" s="74">
        <v>26</v>
      </c>
      <c r="AB17" s="74">
        <v>28</v>
      </c>
      <c r="AC17" s="74">
        <v>25</v>
      </c>
      <c r="AD17" s="74">
        <v>25</v>
      </c>
      <c r="AE17" s="74">
        <v>25</v>
      </c>
      <c r="AH17" s="64" ph="1">
        <v>3</v>
      </c>
      <c r="AI17" s="64" t="s" ph="1">
        <v>338</v>
      </c>
      <c r="AK17" s="64" t="s" ph="1">
        <v>570</v>
      </c>
      <c r="AL17" s="64" ph="1">
        <v>80</v>
      </c>
      <c r="AM17" s="64" t="s" ph="1">
        <v>335</v>
      </c>
      <c r="AZ17" s="64" t="s" ph="1">
        <v>216</v>
      </c>
      <c r="BA17" s="64" ph="1">
        <v>80</v>
      </c>
      <c r="BD17" s="64" t="s" ph="1">
        <v>214</v>
      </c>
      <c r="BE17" s="64" ph="1">
        <v>2270</v>
      </c>
    </row>
    <row r="18" spans="1:57" ht="26.4" ph="1">
      <c r="B18" s="194" ph="1">
        <v>0.66666666666666663</v>
      </c>
      <c r="C18" s="79" t="s" ph="1">
        <v>180</v>
      </c>
      <c r="D18" s="71">
        <v>108</v>
      </c>
      <c r="E18" s="71">
        <v>80</v>
      </c>
      <c r="F18" s="71">
        <v>4079</v>
      </c>
      <c r="G18" s="71">
        <v>3389</v>
      </c>
      <c r="H18" s="71">
        <v>0</v>
      </c>
      <c r="I18" s="71">
        <v>5167</v>
      </c>
      <c r="J18" s="71">
        <v>868</v>
      </c>
      <c r="K18" s="71">
        <v>2280</v>
      </c>
      <c r="L18" s="71">
        <v>3576</v>
      </c>
      <c r="M18" s="71">
        <v>2246</v>
      </c>
      <c r="N18" s="71">
        <v>2825</v>
      </c>
      <c r="O18" s="71">
        <v>4651</v>
      </c>
      <c r="P18" s="71">
        <v>5230</v>
      </c>
      <c r="Q18" s="71">
        <v>6976</v>
      </c>
      <c r="R18" s="71">
        <v>1956</v>
      </c>
      <c r="S18" s="71">
        <v>1038</v>
      </c>
      <c r="T18" s="71">
        <v>2901</v>
      </c>
      <c r="U18" s="71">
        <v>6713</v>
      </c>
      <c r="V18" s="71">
        <v>657</v>
      </c>
      <c r="W18" s="71">
        <v>-809</v>
      </c>
      <c r="X18" s="71">
        <v>1385</v>
      </c>
      <c r="Y18" s="109">
        <v>-9908</v>
      </c>
      <c r="Z18" s="71">
        <v>1913</v>
      </c>
      <c r="AA18" s="71">
        <v>2582</v>
      </c>
      <c r="AB18" s="71">
        <v>5340</v>
      </c>
      <c r="AC18" s="71">
        <v>7299</v>
      </c>
      <c r="AD18" s="71">
        <v>13.24</v>
      </c>
      <c r="AE18" s="71">
        <v>84.66</v>
      </c>
      <c r="AH18" s="64" ph="1">
        <v>4</v>
      </c>
      <c r="AI18" s="64" t="s" ph="1">
        <v>340</v>
      </c>
      <c r="AJ18" s="64" t="s" ph="1">
        <v>588</v>
      </c>
      <c r="AK18" s="64" t="s" ph="1">
        <v>587</v>
      </c>
      <c r="AL18" s="64" ph="1">
        <v>740</v>
      </c>
      <c r="AM18" s="64" t="s" ph="1">
        <v>339</v>
      </c>
      <c r="AZ18" s="64" t="s" ph="1">
        <v>216</v>
      </c>
      <c r="BA18" s="64" ph="1">
        <v>740</v>
      </c>
    </row>
    <row r="19" spans="1:57" s="72" customFormat="1" ht="22.2" ph="1">
      <c r="B19" s="195" ph="1"/>
      <c r="C19" s="150" t="s" ph="1">
        <v>178</v>
      </c>
      <c r="D19" s="73" ph="1">
        <f>D18*7.0686*LOOKUP(D20,密度!$A$2:$A$50,密度!$L$2:$L$50)</f>
        <v>711.49700160000009</v>
      </c>
      <c r="E19" s="73" ph="1">
        <f>E18*7.0686*LOOKUP(E20,密度!$A$2:$A$50,密度!$L$2:$L$50)</f>
        <v>527.03481600000009</v>
      </c>
      <c r="F19" s="73" ph="1">
        <f>F18*9.0746*LOOKUP(F20,密度!$A$2:$A$50,密度!$L$2:$L$50)</f>
        <v>34424.222862000002</v>
      </c>
      <c r="G19" s="73" ph="1">
        <f>G18*9.0746*LOOKUP(G20,密度!$A$2:$A$50,密度!$B$2:$B$50)</f>
        <v>23895.717673800002</v>
      </c>
      <c r="H19" s="73" ph="1">
        <f>H18*9.0746*LOOKUP(H20,密度!$A$2:$A$50,密度!$L$2:$L$50)</f>
        <v>0</v>
      </c>
      <c r="I19" s="73" ph="1">
        <f>I18*9.0746*LOOKUP(I20,密度!$A$2:$A$50,密度!$U$2:$U$50)</f>
        <v>47732.4504476</v>
      </c>
      <c r="J19" s="73" ph="1">
        <f>J18*9.0746*LOOKUP(J20,密度!$A$2:$A$50,密度!$L$2:$L$50)</f>
        <v>7341.1336096000005</v>
      </c>
      <c r="K19" s="73" ph="1">
        <f>K18*9.0746*LOOKUP(K20,密度!$A$2:$A$50,密度!$C$2:$C$50)</f>
        <v>22864.616248800001</v>
      </c>
      <c r="L19" s="73" ph="1">
        <f>L18*9.0746*LOOKUP(L20,密度!$A$2:$A$50,密度!$E$2:$E$50)</f>
        <v>25269.414287519998</v>
      </c>
      <c r="M19" s="73" ph="1">
        <f>M18*9.0746*LOOKUP(M20,密度!$A$2:$A$50,密度!$M$2:$M$50)</f>
        <v>17729.91173684</v>
      </c>
      <c r="N19" s="73" ph="1">
        <f>N18*9.0746*LOOKUP(N20,密度!$A$2:$A$50,密度!$M$2:$M$50)</f>
        <v>22433.8404495</v>
      </c>
      <c r="O19" s="73" ph="1">
        <f>O18*9.0746*LOOKUP(O20,密度!$A$2:$A$50,密度!$G$2:$G$50)</f>
        <v>40294.034403619997</v>
      </c>
      <c r="P19" s="73" ph="1">
        <f ca="1">P18*9.0746*LOOKUP(P20,密度!$A$2:$A$51,密度!$Q$2:$Q$50)</f>
        <v>44734.995727640002</v>
      </c>
      <c r="Q19" s="73" ph="1">
        <f>Q18*9.0746*LOOKUP(Q20,密度!$A$2:$A$50,密度!$Q$2:$Q$50)</f>
        <v>59716.948707967997</v>
      </c>
      <c r="R19" s="73" ph="1">
        <f>MAX(R18*9.0746*LOOKUP(R20,密度!$A$2:$A$50,密度!$B$2:$B$50),0)</f>
        <v>13761.51111528</v>
      </c>
      <c r="S19" s="73" ph="1">
        <f>S18*9.0746*LOOKUP(S20,密度!$A$2:$A$50,密度!$Q$2:$Q$50)</f>
        <v>8872.1656381200009</v>
      </c>
      <c r="T19" s="73" ph="1">
        <f>T18*9.0746*LOOKUP(T20,密度!$A$2:$A$50,密度!$O$2:$O$50)</f>
        <v>24272.032261200002</v>
      </c>
      <c r="U19" s="73" ph="1">
        <f>U18*9.0746*LOOKUP(U20,密度!$A$2:$A$50,密度!$H$2:$H$50)</f>
        <v>55557.024297600001</v>
      </c>
      <c r="V19" s="73" ph="1">
        <f>MAX(5600*LOOKUP(V20,密度!$A$2:$A$50,密度!$Q$2:$Q$50)+V18*9.0476*LOOKUP(V20,密度!$A$2:$A$50,密度!$Q$2:$Q$50),0)</f>
        <v>10881.401032856</v>
      </c>
      <c r="W19" s="73" ph="1">
        <f>MAX(5600*LOOKUP(W20,密度!$A$2:$A$50,密度!$Q$2:$Q$50)+W18*9.0476*LOOKUP(W20,密度!$A$2:$A$50,密度!$Q$2:$Q$50),0)</f>
        <v>0</v>
      </c>
      <c r="X19" s="73" ph="1">
        <f>MAX(5600*LOOKUP(X20,密度!$A$2:$A$50,密度!$I$2:$I$50)+X18*9.0476*LOOKUP(X20,密度!$A$2:$A$50,密度!$I$2:$I$50),0)</f>
        <v>18796.330984199998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17741.623415599999</v>
      </c>
      <c r="AA19" s="73" ph="1">
        <f>AA18*9.0746*LOOKUP(AA20,密度!$A$2:$A$50,密度!$B$2:$B$50)</f>
        <v>18205.589564400001</v>
      </c>
      <c r="AB19" s="73" ph="1">
        <f>AB18*9.0746*LOOKUP(AB20,密度!$A$2:$A$50,密度!$L$2:$L$50)</f>
        <v>45163.195248000004</v>
      </c>
      <c r="AC19" s="73" ph="1">
        <f>AC18*9.0746*LOOKUP(AC20,密度!$A$2:$A$50,密度!$L$2:$L$50)</f>
        <v>61863.962043599997</v>
      </c>
      <c r="AD19" s="73" ph="1">
        <f>AD18*268.68*LOOKUP(AD20,密度!$A$2:$A$50,密度!B5:B53)+IF(AD18&lt;=0,0,1566*LOOKUP(AD20,密度!$A$2:$A$50,密度!B5:B53))</f>
        <v>3980.8221264000003</v>
      </c>
      <c r="AE19" s="73" ph="1">
        <f>AE18*268.68*LOOKUP(AE20,密度!$A$2:$A$50,密度!B5:B53)+IF(AE18&lt;=0,0,1566*LOOKUP(AE20,密度!$A$2:$A$50,密度!B5:B53))</f>
        <v>18890.772717599997</v>
      </c>
      <c r="AH19" s="72" ph="1">
        <v>5</v>
      </c>
      <c r="AI19" s="72" t="s" ph="1">
        <v>341</v>
      </c>
      <c r="AZ19" s="72" t="s" ph="1">
        <v>216</v>
      </c>
      <c r="BA19" s="72" ph="1">
        <v>0</v>
      </c>
      <c r="BD19" s="72" t="s" ph="1">
        <v>342</v>
      </c>
      <c r="BE19" s="72" ph="1">
        <v>1440</v>
      </c>
    </row>
    <row r="20" spans="1:57" ph="1">
      <c r="A20" s="72" ph="1"/>
      <c r="B20" s="195" ph="1"/>
      <c r="C20" s="80" t="s" ph="1">
        <v>179</v>
      </c>
      <c r="D20" s="81">
        <v>30</v>
      </c>
      <c r="E20" s="81">
        <v>30</v>
      </c>
      <c r="F20" s="81">
        <v>32</v>
      </c>
      <c r="G20" s="81">
        <v>28</v>
      </c>
      <c r="H20" s="81">
        <v>25</v>
      </c>
      <c r="I20" s="81">
        <v>32</v>
      </c>
      <c r="J20" s="81">
        <v>30</v>
      </c>
      <c r="K20" s="81">
        <v>30</v>
      </c>
      <c r="L20" s="81">
        <v>29</v>
      </c>
      <c r="M20" s="81">
        <v>30</v>
      </c>
      <c r="N20" s="81">
        <v>25</v>
      </c>
      <c r="O20" s="81">
        <v>30</v>
      </c>
      <c r="P20" s="81">
        <v>31</v>
      </c>
      <c r="Q20" s="81">
        <v>30</v>
      </c>
      <c r="R20" s="81">
        <v>30</v>
      </c>
      <c r="S20" s="81">
        <v>32</v>
      </c>
      <c r="T20" s="81">
        <v>30</v>
      </c>
      <c r="U20" s="81">
        <v>28</v>
      </c>
      <c r="V20" s="81">
        <v>31</v>
      </c>
      <c r="W20" s="81">
        <v>31</v>
      </c>
      <c r="X20" s="81">
        <v>30</v>
      </c>
      <c r="Y20" s="110">
        <v>30</v>
      </c>
      <c r="Z20" s="81">
        <v>30</v>
      </c>
      <c r="AA20" s="81">
        <v>28</v>
      </c>
      <c r="AB20" s="81">
        <v>30</v>
      </c>
      <c r="AC20" s="81">
        <v>28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343</v>
      </c>
      <c r="AZ20" s="64" t="s" ph="1">
        <v>216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344</v>
      </c>
      <c r="AZ21" s="64" t="s" ph="1">
        <v>216</v>
      </c>
      <c r="BA21" s="64" ph="1">
        <v>0</v>
      </c>
      <c r="BD21" s="64" t="s" ph="1">
        <v>232</v>
      </c>
      <c r="BE21" s="64" ph="1">
        <v>730</v>
      </c>
    </row>
    <row r="22" spans="1:57" ph="1">
      <c r="A22" s="72" ph="1"/>
      <c r="B22" s="193" t="s" ph="1">
        <v>37</v>
      </c>
      <c r="C22" s="85" t="s" ph="1">
        <v>176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172" t="s" ph="1">
        <v>69</v>
      </c>
      <c r="AA22" s="173"/>
      <c r="AB22" s="173"/>
      <c r="AC22" s="173"/>
      <c r="AD22" s="173"/>
      <c r="AE22" s="174"/>
      <c r="AH22" s="64" ph="1">
        <v>8</v>
      </c>
      <c r="AI22" s="64" t="s" ph="1">
        <v>345</v>
      </c>
      <c r="AZ22" s="64" t="s" ph="1">
        <v>216</v>
      </c>
      <c r="BA22" s="64" ph="1">
        <v>0</v>
      </c>
    </row>
    <row r="23" spans="1:57" ph="1">
      <c r="A23" s="72" ph="1"/>
      <c r="B23" s="188" ph="1"/>
      <c r="C23" s="67" t="s" ph="1">
        <v>36</v>
      </c>
      <c r="D23" s="88" t="s" ph="1">
        <v>109</v>
      </c>
      <c r="E23" s="88" t="s" ph="1">
        <v>107</v>
      </c>
      <c r="F23" s="88" t="s" ph="1">
        <v>109</v>
      </c>
      <c r="G23" s="88" t="s" ph="1">
        <v>626</v>
      </c>
      <c r="H23" s="88" t="s" ph="1">
        <v>626</v>
      </c>
      <c r="I23" s="88" t="s" ph="1">
        <v>627</v>
      </c>
      <c r="J23" s="88" t="s" ph="1">
        <v>628</v>
      </c>
      <c r="K23" s="88" t="s" ph="1">
        <v>628</v>
      </c>
      <c r="L23" s="88" t="s" ph="1">
        <v>628</v>
      </c>
      <c r="M23" s="88" t="s" ph="1">
        <v>623</v>
      </c>
      <c r="N23" s="88" t="s" ph="1">
        <v>623</v>
      </c>
      <c r="O23" s="88" t="s" ph="1">
        <v>318</v>
      </c>
      <c r="P23" s="88" t="s" ph="1">
        <v>629</v>
      </c>
      <c r="Q23" s="89" t="s" ph="1">
        <v>629</v>
      </c>
      <c r="R23" s="88" t="s" ph="1">
        <v>610</v>
      </c>
      <c r="S23" s="88" t="s" ph="1">
        <v>629</v>
      </c>
      <c r="T23" s="88" t="s" ph="1">
        <v>604</v>
      </c>
      <c r="U23" s="104" t="s" ph="1">
        <v>606</v>
      </c>
      <c r="V23" s="88" t="s" ph="1">
        <v>629</v>
      </c>
      <c r="W23" s="88" t="s" ph="1">
        <v>629</v>
      </c>
      <c r="X23" s="88" t="s" ph="1">
        <v>187</v>
      </c>
      <c r="Y23" s="88" t="s" ph="1">
        <v>630</v>
      </c>
      <c r="Z23" s="175" t="s" ph="1">
        <v>638</v>
      </c>
      <c r="AA23" s="176"/>
      <c r="AB23" s="176"/>
      <c r="AC23" s="176"/>
      <c r="AD23" s="176"/>
      <c r="AE23" s="177"/>
      <c r="AH23" s="64" ph="1">
        <v>9</v>
      </c>
      <c r="AI23" s="64" t="s" ph="1">
        <v>346</v>
      </c>
      <c r="AZ23" s="64" t="s" ph="1">
        <v>216</v>
      </c>
      <c r="BA23" s="64" ph="1">
        <v>0</v>
      </c>
      <c r="BD23" s="64" t="s" ph="1">
        <v>238</v>
      </c>
      <c r="BE23" s="64" ph="1">
        <v>890</v>
      </c>
    </row>
    <row r="24" spans="1:57" ph="1">
      <c r="A24" s="72" ph="1"/>
      <c r="B24" s="184" ph="1">
        <v>0.33333333333333331</v>
      </c>
      <c r="C24" s="150" t="s" ph="1">
        <v>177</v>
      </c>
      <c r="D24" s="71">
        <v>3.93</v>
      </c>
      <c r="E24" s="71">
        <v>71.17</v>
      </c>
      <c r="F24" s="71">
        <v>128</v>
      </c>
      <c r="G24" s="71">
        <v>2658</v>
      </c>
      <c r="H24" s="71">
        <v>3528</v>
      </c>
      <c r="I24" s="71">
        <v>134</v>
      </c>
      <c r="J24" s="71">
        <v>209</v>
      </c>
      <c r="K24" s="71">
        <v>248</v>
      </c>
      <c r="L24" s="71">
        <v>470</v>
      </c>
      <c r="M24" s="71">
        <v>4840</v>
      </c>
      <c r="N24" s="71">
        <v>2464</v>
      </c>
      <c r="O24" s="71">
        <v>2503</v>
      </c>
      <c r="P24" s="71">
        <v>844</v>
      </c>
      <c r="Q24" s="90">
        <v>2614</v>
      </c>
      <c r="R24" s="71">
        <v>6487</v>
      </c>
      <c r="S24" s="71">
        <v>7016</v>
      </c>
      <c r="T24" s="71">
        <v>510</v>
      </c>
      <c r="U24" s="71">
        <v>5591</v>
      </c>
      <c r="V24" s="71">
        <v>1017</v>
      </c>
      <c r="W24" s="71">
        <v>5063</v>
      </c>
      <c r="X24" s="71">
        <v>1570</v>
      </c>
      <c r="Y24" s="71">
        <v>7364</v>
      </c>
      <c r="Z24" s="178"/>
      <c r="AA24" s="179"/>
      <c r="AB24" s="179"/>
      <c r="AC24" s="179"/>
      <c r="AD24" s="179"/>
      <c r="AE24" s="180"/>
      <c r="AH24" s="64" ph="1">
        <v>10</v>
      </c>
      <c r="AI24" s="64" t="s" ph="1">
        <v>347</v>
      </c>
      <c r="AZ24" s="64" t="s" ph="1">
        <v>216</v>
      </c>
      <c r="BA24" s="64" ph="1">
        <v>0</v>
      </c>
    </row>
    <row r="25" spans="1:57" ph="1">
      <c r="A25" s="72" ph="1"/>
      <c r="B25" s="184" ph="1"/>
      <c r="C25" s="68" t="s" ph="1">
        <v>178</v>
      </c>
      <c r="D25" s="91" ph="1">
        <f>D24*268.68*LOOKUP(D26,密度!$A$2:$A$50,密度!$Q$2:$Q$50)+IF(D24&lt;=0,0,1566*LOOKUP(D26,密度!$A$2:$A$50,密度!$Q$2:$Q$50))</f>
        <v>2482.269345576</v>
      </c>
      <c r="E25" s="91" ph="1">
        <f>E24*268.68*LOOKUP(E26,密度!$A$2:$A$50,密度!$C$2:$C$50)+IF(E24&lt;=0,0,1566*LOOKUP(E26,密度!$A$2:$A$50,密度!$C$2:$C$50))</f>
        <v>22940.873964840001</v>
      </c>
      <c r="F25" s="91" ph="1">
        <f>F24*11.702*LOOKUP(F26,密度!$A$2:$A$50,密度!$Q$2:$Q$50)</f>
        <v>1417.0167116800001</v>
      </c>
      <c r="G25" s="91" ph="1">
        <f>G24*18.322*LOOKUP(G26,密度!$A$2:$A$50,密度!$B$2:$B$50)</f>
        <v>37800.843751199995</v>
      </c>
      <c r="H25" s="91" ph="1">
        <f>H24*18.322*LOOKUP(H26,密度!$A$2:$A$50,密度!$B$2:$B$50)</f>
        <v>50115.4044048</v>
      </c>
      <c r="I25" s="91" ph="1">
        <f>I24*18.322*LOOKUP(I26,密度!$A$2:$A$50,密度!$Q$2:$Q$50)</f>
        <v>2324.3868175199996</v>
      </c>
      <c r="J25" s="91" ph="1">
        <f>J24*18.322*LOOKUP(J26,密度!$A$2:$A$50,密度!$Q$2:$Q$50)</f>
        <v>3622.6307869399998</v>
      </c>
      <c r="K25" s="91" ph="1">
        <f>K24*18.322*LOOKUP(K26,密度!$A$2:$A$50,密度!$Q$2:$Q$50)</f>
        <v>4295.39795392</v>
      </c>
      <c r="L25" s="91" ph="1">
        <f>L24*18.322*LOOKUP(L26,密度!$A$2:$A$50,密度!$Q$2:$Q$50)</f>
        <v>8146.5859802000004</v>
      </c>
      <c r="M25" s="91" ph="1">
        <f>M24*18.322*LOOKUP(M26,密度!$A$2:$A$50,密度!$Q$2:$Q$50)</f>
        <v>83829.540713599999</v>
      </c>
      <c r="N25" s="91" ph="1">
        <f>N24*18.322*LOOKUP(N26,密度!$A$2:$A$50,密度!$Q$2:$Q$50)</f>
        <v>42645.255304959996</v>
      </c>
      <c r="O25" s="91" ph="1">
        <f>O24*18.322*LOOKUP(O26,密度!$A$2:$A$50,密度!$C$2:$C$50)</f>
        <v>50817.428324600005</v>
      </c>
      <c r="P25" s="91" ph="1">
        <f>P24*11.702*LOOKUP(P26,密度!$A$2:$A$50,密度!$B$2:$B$50)</f>
        <v>7690.8212055999993</v>
      </c>
      <c r="Q25" s="92" ph="1">
        <f>Q24*18.322*LOOKUP(Q26,密度!$A$2:$A$50,密度!$B$2:$B$50)</f>
        <v>37131.991812399996</v>
      </c>
      <c r="R25" s="91" ph="1">
        <f>R24*35.891*LOOKUP(R26,密度!$A$2:$A$50,密度!$C$2:$C$50)</f>
        <v>257294.81577669998</v>
      </c>
      <c r="S25" s="91" ph="1">
        <f>S24*35.891*LOOKUP(S26,密度!$A$2:$A$50,密度!$B$2:$B$50)</f>
        <v>195657.34591199999</v>
      </c>
      <c r="T25" s="91" ph="1">
        <f>T24*35.891*LOOKUP(T26,密度!$A$2:$A$50,密度!$Q$2:$Q$50)</f>
        <v>17303.5248612</v>
      </c>
      <c r="U25" s="91" ph="1">
        <f>U24*35.891</f>
        <v>200666.58099999998</v>
      </c>
      <c r="V25" s="91" ph="1">
        <f>V24*47.051*LOOKUP(V26,密度!$A$2:$A$50,密度!$B$2:$B$50)</f>
        <v>37304.535913199994</v>
      </c>
      <c r="W25" s="91" ph="1">
        <f>W24*47.051*LOOKUP(W26,密度!$A$2:$A$50,密度!$B$2:$B$50)</f>
        <v>185930.09574650001</v>
      </c>
      <c r="X25" s="91" ph="1">
        <f>X24*47.051*LOOKUP(X26,密度!$A$2:$A$61,密度!$I$2:$I$61)</f>
        <v>76832.259807000009</v>
      </c>
      <c r="Y25" s="91" ph="1">
        <f>Y24*47.051*LOOKUP(Y26,密度!$A$2:$A$50,密度!$L$2:$L$50)</f>
        <v>322576.19808400003</v>
      </c>
      <c r="Z25" s="178"/>
      <c r="AA25" s="179"/>
      <c r="AB25" s="179"/>
      <c r="AC25" s="179"/>
      <c r="AD25" s="179"/>
      <c r="AE25" s="180"/>
      <c r="AH25" s="64" ph="1">
        <v>11</v>
      </c>
      <c r="AI25" s="64" t="s" ph="1">
        <v>348</v>
      </c>
      <c r="AZ25" s="64" t="s" ph="1">
        <v>216</v>
      </c>
      <c r="BA25" s="64" ph="1">
        <v>0</v>
      </c>
      <c r="BD25" s="64" t="s" ph="1">
        <v>241</v>
      </c>
      <c r="BE25" s="64" ph="1">
        <v>8920</v>
      </c>
    </row>
    <row r="26" spans="1:57" ph="1">
      <c r="A26" s="72" ph="1"/>
      <c r="B26" s="184" ph="1"/>
      <c r="C26" s="68" t="s" ph="1">
        <v>179</v>
      </c>
      <c r="D26" s="74">
        <v>25</v>
      </c>
      <c r="E26" s="74">
        <v>25</v>
      </c>
      <c r="F26" s="74">
        <v>26</v>
      </c>
      <c r="G26" s="74">
        <v>29</v>
      </c>
      <c r="H26" s="74">
        <v>30</v>
      </c>
      <c r="I26" s="74">
        <v>25</v>
      </c>
      <c r="J26" s="74">
        <v>26</v>
      </c>
      <c r="K26" s="74">
        <v>27</v>
      </c>
      <c r="L26" s="74">
        <v>26</v>
      </c>
      <c r="M26" s="74">
        <v>27</v>
      </c>
      <c r="N26" s="74">
        <v>28</v>
      </c>
      <c r="O26" s="74">
        <v>26</v>
      </c>
      <c r="P26" s="74">
        <v>26</v>
      </c>
      <c r="Q26" s="93">
        <v>30</v>
      </c>
      <c r="R26" s="74">
        <v>30</v>
      </c>
      <c r="S26" s="74">
        <v>28</v>
      </c>
      <c r="T26" s="74">
        <v>27</v>
      </c>
      <c r="U26" s="74">
        <v>28</v>
      </c>
      <c r="V26" s="74">
        <v>25</v>
      </c>
      <c r="W26" s="74">
        <v>24</v>
      </c>
      <c r="X26" s="74">
        <v>27</v>
      </c>
      <c r="Y26" s="74">
        <v>31</v>
      </c>
      <c r="Z26" s="178"/>
      <c r="AA26" s="179"/>
      <c r="AB26" s="179"/>
      <c r="AC26" s="179"/>
      <c r="AD26" s="179"/>
      <c r="AE26" s="180"/>
      <c r="AH26" s="64" ph="1">
        <v>12</v>
      </c>
      <c r="AI26" s="64" t="s" ph="1">
        <v>349</v>
      </c>
      <c r="AZ26" s="64" t="s" ph="1">
        <v>216</v>
      </c>
      <c r="BA26" s="64" ph="1">
        <v>0</v>
      </c>
    </row>
    <row r="27" spans="1:57" ht="26.4" ph="1">
      <c r="A27" s="72" ph="1"/>
      <c r="B27" s="184" ph="1">
        <v>0.66666666666666663</v>
      </c>
      <c r="C27" s="150" t="s" ph="1">
        <v>180</v>
      </c>
      <c r="D27" s="71">
        <v>3.98</v>
      </c>
      <c r="E27" s="71">
        <v>71.12</v>
      </c>
      <c r="F27" s="71">
        <v>126</v>
      </c>
      <c r="G27" s="71">
        <v>2189</v>
      </c>
      <c r="H27" s="71">
        <v>3033</v>
      </c>
      <c r="I27" s="71">
        <v>131</v>
      </c>
      <c r="J27" s="71">
        <v>204</v>
      </c>
      <c r="K27" s="71">
        <v>245</v>
      </c>
      <c r="L27" s="71">
        <v>466</v>
      </c>
      <c r="M27" s="71">
        <v>4841</v>
      </c>
      <c r="N27" s="71">
        <v>2463</v>
      </c>
      <c r="O27" s="71">
        <v>2500</v>
      </c>
      <c r="P27" s="71">
        <v>841</v>
      </c>
      <c r="Q27" s="90">
        <v>2920</v>
      </c>
      <c r="R27" s="71">
        <v>6484</v>
      </c>
      <c r="S27" s="71">
        <v>7015</v>
      </c>
      <c r="T27" s="71">
        <v>507</v>
      </c>
      <c r="U27" s="71">
        <v>5669</v>
      </c>
      <c r="V27" s="71">
        <v>1013</v>
      </c>
      <c r="W27" s="71">
        <v>4105</v>
      </c>
      <c r="X27" s="71">
        <v>2176</v>
      </c>
      <c r="Y27" s="71">
        <v>6825</v>
      </c>
      <c r="Z27" s="178"/>
      <c r="AA27" s="179"/>
      <c r="AB27" s="179"/>
      <c r="AC27" s="179"/>
      <c r="AD27" s="179"/>
      <c r="AE27" s="180"/>
      <c r="AH27" s="64" ph="1">
        <v>13</v>
      </c>
      <c r="AI27" s="64" t="s" ph="1">
        <v>350</v>
      </c>
      <c r="AZ27" s="64" t="s" ph="1">
        <v>216</v>
      </c>
      <c r="BA27" s="64" ph="1">
        <v>0</v>
      </c>
      <c r="BD27" s="64" t="s" ph="1">
        <v>295</v>
      </c>
      <c r="BE27" s="64" ph="1">
        <v>7100</v>
      </c>
    </row>
    <row r="28" spans="1:57" ph="1">
      <c r="A28" s="72" ph="1"/>
      <c r="B28" s="184" ph="1"/>
      <c r="C28" s="150" t="s" ph="1">
        <v>178</v>
      </c>
      <c r="D28" s="91" ph="1">
        <f>D27*268.68*LOOKUP(D29,密度!$A$2:$A$50,密度!$Q$2:$Q$50)+IF(D27&lt;=0,0,1566*LOOKUP(D29,密度!$A$2:$A$50,密度!$Q$2:$Q$50))</f>
        <v>2494.9878507359999</v>
      </c>
      <c r="E28" s="91" ph="1">
        <f>E27*268.68*LOOKUP(E29,密度!$A$2:$A$50,密度!$C$2:$C$50)+IF(E27&lt;=0,0,1566*LOOKUP(E29,密度!$A$2:$A$50,密度!$C$2:$C$50))</f>
        <v>22925.977002240001</v>
      </c>
      <c r="F28" s="91" ph="1">
        <f>F27*11.702*LOOKUP(F29,密度!$A$2:$A$50,密度!$Q$2:$Q$50)</f>
        <v>1392.7968482399999</v>
      </c>
      <c r="G28" s="91" ph="1">
        <f>G27*18.322*LOOKUP(G29,密度!$A$2:$A$50,密度!$B$2:$B$50)</f>
        <v>31094.8470074</v>
      </c>
      <c r="H28" s="91" ph="1">
        <f>H27*18.322*LOOKUP(H29,密度!$A$2:$A$50,密度!$B$2:$B$50)</f>
        <v>43083.906337799999</v>
      </c>
      <c r="I28" s="91" ph="1">
        <f>I27*18.322*LOOKUP(I29,密度!$A$2:$A$50,密度!$Q$2:$Q$50)</f>
        <v>2264.1636860599997</v>
      </c>
      <c r="J28" s="91" ph="1">
        <f>J27*18.322*LOOKUP(J29,密度!$A$2:$A$50,密度!$Q$2:$Q$50)</f>
        <v>3518.0988299999999</v>
      </c>
      <c r="K28" s="91" ph="1">
        <f>K27*18.322*LOOKUP(K29,密度!$A$2:$A$50,密度!$Q$2:$Q$50)</f>
        <v>4237.1979376999998</v>
      </c>
      <c r="L28" s="91" ph="1">
        <f>L27*18.322*LOOKUP(L29,密度!$A$2:$A$50,密度!$Q$2:$Q$50)</f>
        <v>8071.19131664</v>
      </c>
      <c r="M28" s="91" ph="1">
        <f>M27*18.322*LOOKUP(M29,密度!$A$2:$A$50,密度!$Q$2:$Q$50)</f>
        <v>83784.77310523999</v>
      </c>
      <c r="N28" s="91" ph="1">
        <f>N27*18.322*LOOKUP(N29,密度!$A$2:$A$50,密度!$Q$2:$Q$50)</f>
        <v>42627.94797732</v>
      </c>
      <c r="O28" s="91" ph="1">
        <f>O27*18.322*LOOKUP(O29,密度!$A$2:$A$50,密度!$C$2:$C$50)</f>
        <v>50724.456999999995</v>
      </c>
      <c r="P28" s="91" ph="1">
        <f>P27*11.702*LOOKUP(P29,密度!$A$2:$A$50,密度!$B$2:$B$50)</f>
        <v>7655.6110577999998</v>
      </c>
      <c r="Q28" s="92" ph="1">
        <f>Q27*18.322*LOOKUP(Q29,密度!$A$2:$A$50,密度!$B$2:$B$50)</f>
        <v>41478.736072</v>
      </c>
      <c r="R28" s="91" ph="1">
        <f>R27*35.891*LOOKUP(R29,密度!$A$2:$A$50,密度!$C$2:$C$50)</f>
        <v>257175.82634439997</v>
      </c>
      <c r="S28" s="91" ph="1">
        <f>S27*35.891*LOOKUP(S29,密度!$A$2:$A$50,密度!$B$2:$B$50)</f>
        <v>195629.45860499999</v>
      </c>
      <c r="T28" s="91" ph="1">
        <f>T27*35.891*LOOKUP(T29,密度!$A$2:$A$50,密度!$Q$2:$Q$50)</f>
        <v>17165.527914209997</v>
      </c>
      <c r="U28" s="91" ph="1">
        <f>U27*35.891</f>
        <v>203466.079</v>
      </c>
      <c r="V28" s="91" ph="1">
        <f>V27*47.051*LOOKUP(V29,密度!$A$2:$A$50,密度!$B$2:$B$50)</f>
        <v>37157.8120748</v>
      </c>
      <c r="W28" s="91" ph="1">
        <f>W27*47.051*LOOKUP(W29,密度!$A$2:$A$50,密度!$B$2:$B$50)</f>
        <v>150749.1690775</v>
      </c>
      <c r="X28" s="91" ph="1">
        <f>X27*47.051*LOOKUP(X29,密度!$A$2:$A$61,密度!$I$2:$I$61)</f>
        <v>106488.53333760001</v>
      </c>
      <c r="Y28" s="91" ph="1">
        <f>Y27*47.051*LOOKUP(Y29,密度!$A$2:$A$50,密度!$L$2:$L$50)</f>
        <v>298965.58282500005</v>
      </c>
      <c r="Z28" s="178"/>
      <c r="AA28" s="179"/>
      <c r="AB28" s="179"/>
      <c r="AC28" s="179"/>
      <c r="AD28" s="179"/>
      <c r="AE28" s="180"/>
      <c r="AH28" s="64" ph="1">
        <v>14</v>
      </c>
      <c r="AI28" s="64" t="s" ph="1">
        <v>351</v>
      </c>
      <c r="AZ28" s="64" t="s" ph="1">
        <v>216</v>
      </c>
      <c r="BA28" s="64" ph="1">
        <v>0</v>
      </c>
    </row>
    <row r="29" spans="1:57" ph="1">
      <c r="A29" s="72" ph="1"/>
      <c r="B29" s="184" ph="1"/>
      <c r="C29" s="150" t="s" ph="1">
        <v>179</v>
      </c>
      <c r="D29" s="74">
        <v>25</v>
      </c>
      <c r="E29" s="74">
        <v>25</v>
      </c>
      <c r="F29" s="74">
        <v>28</v>
      </c>
      <c r="G29" s="74">
        <v>30</v>
      </c>
      <c r="H29" s="74">
        <v>30</v>
      </c>
      <c r="I29" s="74">
        <v>30</v>
      </c>
      <c r="J29" s="74">
        <v>33</v>
      </c>
      <c r="K29" s="74">
        <v>29</v>
      </c>
      <c r="L29" s="74">
        <v>27</v>
      </c>
      <c r="M29" s="74">
        <v>28</v>
      </c>
      <c r="N29" s="74">
        <v>28</v>
      </c>
      <c r="O29" s="74">
        <v>27</v>
      </c>
      <c r="P29" s="74">
        <v>27</v>
      </c>
      <c r="Q29" s="93">
        <v>30</v>
      </c>
      <c r="R29" s="74">
        <v>30</v>
      </c>
      <c r="S29" s="74">
        <v>28</v>
      </c>
      <c r="T29" s="74">
        <v>30</v>
      </c>
      <c r="U29" s="74">
        <v>30</v>
      </c>
      <c r="V29" s="74">
        <v>25</v>
      </c>
      <c r="W29" s="74">
        <v>24</v>
      </c>
      <c r="X29" s="74">
        <v>27</v>
      </c>
      <c r="Y29" s="74">
        <v>31</v>
      </c>
      <c r="Z29" s="181"/>
      <c r="AA29" s="182"/>
      <c r="AB29" s="182"/>
      <c r="AC29" s="182"/>
      <c r="AD29" s="182"/>
      <c r="AE29" s="183"/>
      <c r="AH29" s="64" ph="1">
        <v>15</v>
      </c>
      <c r="AI29" s="64" t="s" ph="1">
        <v>352</v>
      </c>
      <c r="AZ29" s="64" t="s" ph="1">
        <v>216</v>
      </c>
      <c r="BA29" s="64" ph="1">
        <v>0</v>
      </c>
      <c r="BD29" s="64" t="s" ph="1">
        <v>353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354</v>
      </c>
      <c r="AZ30" s="64" t="s" ph="1">
        <v>216</v>
      </c>
      <c r="BA30" s="64" ph="1">
        <v>0</v>
      </c>
    </row>
    <row r="31" spans="1:57" ht="28.2" ph="1">
      <c r="A31" s="64"/>
      <c r="B31" s="197" t="s" ph="1">
        <v>35</v>
      </c>
      <c r="C31" s="198" ph="1"/>
      <c r="D31" s="201" t="s" ph="1">
        <v>9</v>
      </c>
      <c r="E31" s="190" ph="1"/>
      <c r="F31" s="191" ph="1"/>
      <c r="G31" s="201" t="s" ph="1">
        <v>18</v>
      </c>
      <c r="H31" s="190" ph="1"/>
      <c r="I31" s="191" ph="1"/>
      <c r="J31" s="189" t="s" ph="1">
        <v>1</v>
      </c>
      <c r="K31" s="190" ph="1"/>
      <c r="L31" s="191" ph="1"/>
      <c r="M31" s="189" t="s" ph="1">
        <v>7</v>
      </c>
      <c r="N31" s="190" ph="1"/>
      <c r="O31" s="191" ph="1"/>
      <c r="P31" s="189" t="s" ph="1">
        <v>41</v>
      </c>
      <c r="Q31" s="190"/>
      <c r="R31" s="191"/>
      <c r="S31" s="189" t="s" ph="1">
        <v>2</v>
      </c>
      <c r="T31" s="190"/>
      <c r="U31" s="191"/>
      <c r="V31" s="189" t="s" ph="1">
        <v>71</v>
      </c>
      <c r="W31" s="190" ph="1"/>
      <c r="X31" s="191" ph="1"/>
      <c r="Y31" s="189" t="s" ph="1">
        <v>3</v>
      </c>
      <c r="Z31" s="190" ph="1"/>
      <c r="AA31" s="191" ph="1"/>
      <c r="AB31" s="212" t="s">
        <v>42</v>
      </c>
      <c r="AC31" s="213"/>
      <c r="AD31" s="213"/>
      <c r="AE31" s="214"/>
      <c r="AH31" s="64" ph="1">
        <v>17</v>
      </c>
      <c r="AI31" s="64" t="s" ph="1">
        <v>355</v>
      </c>
      <c r="AZ31" s="64" t="s" ph="1">
        <v>216</v>
      </c>
      <c r="BA31" s="64" ph="1">
        <v>0</v>
      </c>
      <c r="BD31" s="64" t="s" ph="1">
        <v>356</v>
      </c>
      <c r="BE31" s="64" ph="1">
        <v>9310</v>
      </c>
    </row>
    <row r="32" spans="1:57" ph="1">
      <c r="A32" s="64"/>
      <c r="B32" s="199" ph="1"/>
      <c r="C32" s="200" ph="1"/>
      <c r="D32" s="96" t="s" ph="1">
        <v>4</v>
      </c>
      <c r="E32" s="150" t="s" ph="1">
        <v>5</v>
      </c>
      <c r="F32" s="149" t="s" ph="1">
        <v>43</v>
      </c>
      <c r="G32" s="97" t="s" ph="1">
        <v>4</v>
      </c>
      <c r="H32" s="150" t="s" ph="1">
        <v>5</v>
      </c>
      <c r="I32" s="149" t="s" ph="1">
        <v>43</v>
      </c>
      <c r="J32" s="97" t="s" ph="1">
        <v>4</v>
      </c>
      <c r="K32" s="150" t="s" ph="1">
        <v>5</v>
      </c>
      <c r="L32" s="149" t="s" ph="1">
        <v>43</v>
      </c>
      <c r="M32" s="97" t="s" ph="1">
        <v>4</v>
      </c>
      <c r="N32" s="150" t="s" ph="1">
        <v>5</v>
      </c>
      <c r="O32" s="149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50" t="s" ph="1">
        <v>5</v>
      </c>
      <c r="U32" s="99" t="s" ph="1">
        <v>43</v>
      </c>
      <c r="V32" s="97" t="s" ph="1">
        <v>4</v>
      </c>
      <c r="W32" s="150" t="s" ph="1">
        <v>5</v>
      </c>
      <c r="X32" s="99" t="s" ph="1">
        <v>43</v>
      </c>
      <c r="Y32" s="100" t="s" ph="1">
        <v>4</v>
      </c>
      <c r="Z32" s="150" t="s" ph="1">
        <v>5</v>
      </c>
      <c r="AA32" s="149" t="s" ph="1">
        <v>43</v>
      </c>
      <c r="AB32" s="97" t="s" ph="1">
        <v>85</v>
      </c>
      <c r="AC32" s="150" t="s" ph="1">
        <v>84</v>
      </c>
      <c r="AD32" s="215" t="s" ph="1">
        <v>83</v>
      </c>
      <c r="AE32" s="216"/>
      <c r="AH32" s="64" ph="1">
        <v>18</v>
      </c>
      <c r="AI32" s="64" t="s" ph="1">
        <v>357</v>
      </c>
      <c r="AZ32" s="64" t="s" ph="1">
        <v>216</v>
      </c>
      <c r="BA32" s="64" ph="1">
        <v>0</v>
      </c>
    </row>
    <row r="33" spans="1:57" ph="1">
      <c r="A33" s="64"/>
      <c r="B33" s="202" t="s" ph="1">
        <v>181</v>
      </c>
      <c r="C33" s="203" ph="1"/>
      <c r="D33" s="206" ph="1">
        <f>AA10+AB10+Z19</f>
        <v>83925.003437600011</v>
      </c>
      <c r="E33" s="206" ph="1">
        <f>M10+I10</f>
        <v>227791.38555119999</v>
      </c>
      <c r="F33" s="208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1522252632456786910111213141516171819202123456789101112131415161718192022232424356789101112131415161718192021222345678910111213141516171819202345678910111213149101516171819222123234567891012131415161711181920212224252345678910111213136[[#This Row],[F25]]</f>
        <v>3880</v>
      </c>
      <c r="G33" s="210" ph="1">
        <f>N19</f>
        <v>22433.8404495</v>
      </c>
      <c r="H33" s="206" ph="1">
        <f>M19</f>
        <v>17729.91173684</v>
      </c>
      <c r="I33" s="219" ph="1">
        <v>0</v>
      </c>
      <c r="J33" s="217" ph="1">
        <f>F10+O28</f>
        <v>265473.07294479996</v>
      </c>
      <c r="K33" s="206" ph="1">
        <f>O10+K10+E28+R28</f>
        <v>415668.97779303999</v>
      </c>
      <c r="L33" s="221" ph="1">
        <f>K19</f>
        <v>22864.616248800001</v>
      </c>
      <c r="M33" s="217" ph="1">
        <f>G10+H10+W28+S28+V28+E10+R19+P28+Q28</f>
        <v>1023563.2841333799</v>
      </c>
      <c r="N33" s="206" ph="1">
        <f>L10+P10++G28+H28+AD19+AE19</f>
        <v>163789.25827519997</v>
      </c>
      <c r="O33" s="219" ph="1">
        <f>G19</f>
        <v>23895.717673800002</v>
      </c>
      <c r="P33" s="217" ph="1">
        <f>L19</f>
        <v>25269.414287519998</v>
      </c>
      <c r="Q33" s="206" ph="1">
        <f>J10+N10</f>
        <v>11927.586703249999</v>
      </c>
      <c r="R33" s="219" ph="1">
        <f>BE23</f>
        <v>890</v>
      </c>
      <c r="S33" s="217" ph="1">
        <f>X28</f>
        <v>106488.53333760001</v>
      </c>
      <c r="T33" s="206" ph="1">
        <f>X19</f>
        <v>18796.330984199998</v>
      </c>
      <c r="U33" s="227" ph="1">
        <f>BE21</f>
        <v>730</v>
      </c>
      <c r="V33" s="238" ph="1">
        <f ca="1">P19+Q19+S19+M28+N28+J28+D10+AC10+D19+E19+H19+J19+O19+V19+W19+K28+L28</f>
        <v>537528.54972824396</v>
      </c>
      <c r="W33" s="238" ph="1">
        <f>D28+F28+T28+I28</f>
        <v>23317.476299245998</v>
      </c>
      <c r="X33" s="219" ph="1">
        <f>BE29+BE31</f>
        <v>10200</v>
      </c>
      <c r="Y33" s="240" ph="1">
        <f>+Q10+R10+S10+T10+U10+V10+W10+X10+Y10</f>
        <v>243399.500883</v>
      </c>
      <c r="Z33" s="225" ph="1">
        <f>T19+U19+Y28+Z10</f>
        <v>526723.85608980001</v>
      </c>
      <c r="AA33" s="227" ph="1">
        <f>BE19</f>
        <v>1440</v>
      </c>
      <c r="AB33" s="229" ph="1">
        <f>I19</f>
        <v>47732.4504476</v>
      </c>
      <c r="AC33" s="231" ph="1">
        <f>AD10+AB19</f>
        <v>121200.11708160001</v>
      </c>
      <c r="AD33" s="233" ph="1">
        <v>0</v>
      </c>
      <c r="AE33" s="234"/>
      <c r="AH33" s="64" ph="1">
        <v>19</v>
      </c>
      <c r="AI33" s="64" t="s" ph="1">
        <v>358</v>
      </c>
      <c r="AJ33" s="64" t="s" ph="1">
        <v>592</v>
      </c>
      <c r="AK33" s="64" t="s" ph="1">
        <v>589</v>
      </c>
      <c r="AL33" s="64" ph="1">
        <v>730</v>
      </c>
      <c r="AM33" s="64" t="s" ph="1">
        <v>339</v>
      </c>
      <c r="AZ33" s="64" t="s" ph="1">
        <v>216</v>
      </c>
      <c r="BA33" s="64" ph="1">
        <v>730</v>
      </c>
      <c r="BD33" s="64" t="s" ph="1">
        <v>290</v>
      </c>
      <c r="BE33" s="64" ph="1">
        <v>3880</v>
      </c>
    </row>
    <row r="34" spans="1:57" ph="1">
      <c r="A34" s="64"/>
      <c r="B34" s="204" ph="1"/>
      <c r="C34" s="205" ph="1"/>
      <c r="D34" s="207" ph="1"/>
      <c r="E34" s="207" ph="1"/>
      <c r="F34" s="209" ph="1"/>
      <c r="G34" s="211" ph="1"/>
      <c r="H34" s="207" ph="1"/>
      <c r="I34" s="220" ph="1"/>
      <c r="J34" s="218" ph="1"/>
      <c r="K34" s="207" ph="1"/>
      <c r="L34" s="222" ph="1"/>
      <c r="M34" s="218" ph="1"/>
      <c r="N34" s="207" ph="1"/>
      <c r="O34" s="220" ph="1"/>
      <c r="P34" s="218" ph="1"/>
      <c r="Q34" s="207" ph="1"/>
      <c r="R34" s="220" ph="1"/>
      <c r="S34" s="218" ph="1"/>
      <c r="T34" s="207"/>
      <c r="U34" s="228"/>
      <c r="V34" s="239" ph="1"/>
      <c r="W34" s="239" ph="1"/>
      <c r="X34" s="220" ph="1"/>
      <c r="Y34" s="241" ph="1"/>
      <c r="Z34" s="226" ph="1"/>
      <c r="AA34" s="228" ph="1"/>
      <c r="AB34" s="230"/>
      <c r="AC34" s="232"/>
      <c r="AD34" s="235"/>
      <c r="AE34" s="236"/>
      <c r="AH34" s="64" ph="1">
        <v>20</v>
      </c>
      <c r="AI34" s="64" t="s" ph="1">
        <v>359</v>
      </c>
      <c r="AJ34" s="64" t="s" ph="1">
        <v>593</v>
      </c>
      <c r="AK34" s="64" t="s" ph="1">
        <v>589</v>
      </c>
      <c r="AL34" s="64" ph="1">
        <v>720</v>
      </c>
      <c r="AM34" s="64" t="s" ph="1">
        <v>339</v>
      </c>
      <c r="AZ34" s="64" t="s" ph="1">
        <v>216</v>
      </c>
      <c r="BA34" s="64" ph="1">
        <v>720</v>
      </c>
    </row>
    <row r="35" spans="1:57" ph="1">
      <c r="A35" s="64"/>
      <c r="AC35" s="237" t="s" ph="1">
        <v>631</v>
      </c>
      <c r="AD35" s="237"/>
      <c r="AE35" s="237"/>
      <c r="AH35" s="64" ph="1">
        <v>21</v>
      </c>
      <c r="AI35" s="64" t="s" ph="1">
        <v>360</v>
      </c>
      <c r="AZ35" s="64" t="s" ph="1">
        <v>216</v>
      </c>
      <c r="BA35" s="64" ph="1">
        <v>0</v>
      </c>
      <c r="BD35" s="64" t="s" ph="1">
        <v>361</v>
      </c>
      <c r="BE35" s="64" ph="1">
        <v>2030</v>
      </c>
    </row>
    <row r="36" spans="1:57" ht="28.2" ph="1">
      <c r="A36" s="64"/>
      <c r="B36" s="103" t="s" ph="1">
        <v>182</v>
      </c>
      <c r="I36" s="223" t="s" ph="1">
        <v>183</v>
      </c>
      <c r="J36" s="223" ph="1"/>
      <c r="K36" s="101" ph="1"/>
      <c r="P36" s="101" ph="1"/>
      <c r="R36" s="223" t="s" ph="1">
        <v>184</v>
      </c>
      <c r="S36" s="223" ph="1"/>
      <c r="Y36" s="102" ph="1"/>
      <c r="Z36" s="148" t="s" ph="1">
        <v>185</v>
      </c>
      <c r="AA36" s="148" ph="1"/>
      <c r="AB36" s="224" t="s" ph="1">
        <v>640</v>
      </c>
      <c r="AC36" s="224" ph="1"/>
      <c r="AD36" s="224" ph="1"/>
      <c r="AE36" s="224" ph="1"/>
      <c r="BA36" s="64" ph="1">
        <v>2270</v>
      </c>
    </row>
    <row r="37" spans="1:57" s="148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48" t="s" ph="1">
        <v>342</v>
      </c>
      <c r="AI37" s="148" t="s" ph="1">
        <v>209</v>
      </c>
      <c r="AJ37" s="148" t="s" ph="1">
        <v>210</v>
      </c>
      <c r="AK37" s="148" t="s" ph="1">
        <v>211</v>
      </c>
      <c r="AM37" s="148" t="s" ph="1">
        <v>210</v>
      </c>
      <c r="AN37" s="148" t="s" ph="1">
        <v>211</v>
      </c>
      <c r="AO37" s="148" t="s" ph="1">
        <v>212</v>
      </c>
      <c r="AP37" s="148" t="s" ph="1">
        <v>210</v>
      </c>
      <c r="AQ37" s="148" t="s" ph="1">
        <v>211</v>
      </c>
      <c r="AR37" s="148" t="s" ph="1">
        <v>212</v>
      </c>
      <c r="AS37" s="148" t="s" ph="1">
        <v>210</v>
      </c>
      <c r="AT37" s="148" t="s" ph="1">
        <v>211</v>
      </c>
      <c r="AU37" s="148" t="s" ph="1">
        <v>212</v>
      </c>
      <c r="AV37" s="148" t="s" ph="1">
        <v>210</v>
      </c>
      <c r="AW37" s="148" t="s" ph="1">
        <v>211</v>
      </c>
      <c r="AX37" s="148" t="s" ph="1">
        <v>212</v>
      </c>
      <c r="AY37" s="148" t="s" ph="1">
        <v>211</v>
      </c>
      <c r="AZ37" s="148" t="s" ph="1">
        <v>213</v>
      </c>
      <c r="BD37" s="148" t="s" ph="1">
        <v>305</v>
      </c>
      <c r="BE37" s="148" ph="1">
        <v>0</v>
      </c>
    </row>
    <row r="38" spans="1:57" ph="1">
      <c r="AE38" s="64" ph="1"/>
      <c r="AH38" s="64" ph="1">
        <v>1</v>
      </c>
      <c r="AI38" s="64" t="s" ph="1">
        <v>362</v>
      </c>
      <c r="AY38" s="64" t="s" ph="1">
        <v>216</v>
      </c>
      <c r="AZ38" s="64" t="s" ph="1">
        <v>367</v>
      </c>
    </row>
    <row r="39" spans="1:57" ph="1">
      <c r="AH39" s="64" ph="1">
        <v>2</v>
      </c>
      <c r="AI39" s="64" t="s" ph="1">
        <v>364</v>
      </c>
      <c r="AJ39" s="64" t="s" ph="1">
        <v>336</v>
      </c>
      <c r="AK39" s="64" t="s" ph="1">
        <v>365</v>
      </c>
      <c r="AM39" s="64" t="s" ph="1">
        <v>570</v>
      </c>
      <c r="AN39" s="64" t="s" ph="1">
        <v>228</v>
      </c>
      <c r="AO39" s="64" t="s" ph="1">
        <v>363</v>
      </c>
      <c r="AY39" s="64" t="s" ph="1">
        <v>216</v>
      </c>
      <c r="AZ39" s="64" t="s" ph="1">
        <v>499</v>
      </c>
    </row>
    <row r="40" spans="1:57" ph="1">
      <c r="AH40" s="64" ph="1">
        <v>3</v>
      </c>
      <c r="AI40" s="64" t="s" ph="1">
        <v>366</v>
      </c>
      <c r="AJ40" s="64" t="s" ph="1">
        <v>570</v>
      </c>
      <c r="AK40" s="64" t="s" ph="1">
        <v>571</v>
      </c>
      <c r="AY40" s="64" t="s" ph="1">
        <v>216</v>
      </c>
      <c r="AZ40" s="64" t="s" ph="1">
        <v>571</v>
      </c>
    </row>
    <row r="41" spans="1:57" ph="1">
      <c r="AH41" s="64" ph="1">
        <v>4</v>
      </c>
      <c r="AI41" s="64" t="s" ph="1">
        <v>368</v>
      </c>
      <c r="AJ41" s="64" t="s" ph="1">
        <v>572</v>
      </c>
      <c r="AK41" s="64" t="s" ph="1">
        <v>573</v>
      </c>
      <c r="AM41" s="64" t="s" ph="1">
        <v>574</v>
      </c>
      <c r="AY41" s="64" t="s" ph="1">
        <v>216</v>
      </c>
      <c r="AZ41" s="64" t="s" ph="1">
        <v>573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369</v>
      </c>
      <c r="AY42" s="64" t="s" ph="1">
        <v>216</v>
      </c>
      <c r="AZ42" s="64" t="s" ph="1">
        <v>367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370</v>
      </c>
      <c r="AY43" s="64" t="s" ph="1">
        <v>216</v>
      </c>
      <c r="AZ43" s="64" t="s" ph="1">
        <v>367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371</v>
      </c>
      <c r="AV44" s="64" t="s" ph="1">
        <v>217</v>
      </c>
      <c r="AY44" s="64" t="s" ph="1">
        <v>216</v>
      </c>
      <c r="AZ44" s="64" t="s" ph="1">
        <v>367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372</v>
      </c>
      <c r="AV45" s="64" t="s" ph="1">
        <v>217</v>
      </c>
      <c r="AY45" s="64" t="s" ph="1">
        <v>216</v>
      </c>
      <c r="AZ45" s="64" t="s" ph="1">
        <v>367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373</v>
      </c>
      <c r="AV46" s="64" t="s" ph="1">
        <v>217</v>
      </c>
      <c r="AY46" s="64" t="s" ph="1">
        <v>216</v>
      </c>
      <c r="AZ46" s="64" t="s" ph="1">
        <v>367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374</v>
      </c>
      <c r="AV47" s="64" t="s" ph="1">
        <v>217</v>
      </c>
      <c r="AY47" s="64" t="s" ph="1">
        <v>216</v>
      </c>
      <c r="AZ47" s="64" t="s" ph="1">
        <v>367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575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232</v>
      </c>
      <c r="AI49" s="64" t="s" ph="1">
        <v>209</v>
      </c>
      <c r="AJ49" s="64" t="s" ph="1">
        <v>210</v>
      </c>
      <c r="AK49" s="64" t="s" ph="1">
        <v>211</v>
      </c>
      <c r="AM49" s="64" t="s" ph="1">
        <v>210</v>
      </c>
      <c r="AN49" s="64" t="s" ph="1">
        <v>211</v>
      </c>
      <c r="AO49" s="64" t="s" ph="1">
        <v>212</v>
      </c>
      <c r="AP49" s="64" t="s" ph="1">
        <v>210</v>
      </c>
      <c r="AQ49" s="64" t="s" ph="1">
        <v>211</v>
      </c>
      <c r="AR49" s="64" t="s" ph="1">
        <v>212</v>
      </c>
      <c r="AS49" s="64" t="s" ph="1">
        <v>210</v>
      </c>
      <c r="AT49" s="64" t="s" ph="1">
        <v>211</v>
      </c>
      <c r="AU49" s="64" t="s" ph="1">
        <v>212</v>
      </c>
      <c r="AV49" s="64" t="s" ph="1">
        <v>210</v>
      </c>
      <c r="AW49" s="64" t="s" ph="1">
        <v>211</v>
      </c>
      <c r="AX49" s="64" t="s" ph="1">
        <v>212</v>
      </c>
      <c r="AY49" s="64" t="s" ph="1">
        <v>211</v>
      </c>
      <c r="AZ49" s="64" t="s" ph="1">
        <v>213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375</v>
      </c>
      <c r="AY50" s="64" t="s" ph="1">
        <v>216</v>
      </c>
      <c r="AZ50" s="64" t="s" ph="1">
        <v>367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376</v>
      </c>
      <c r="AY51" s="64" t="s" ph="1">
        <v>216</v>
      </c>
      <c r="AZ51" s="64" t="s" ph="1">
        <v>367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377</v>
      </c>
      <c r="AJ52" s="64" t="s" ph="1">
        <v>334</v>
      </c>
      <c r="AK52" s="64" t="s" ph="1">
        <v>228</v>
      </c>
      <c r="AM52" s="64" t="s" ph="1">
        <v>336</v>
      </c>
      <c r="AN52" s="64" t="s" ph="1">
        <v>300</v>
      </c>
      <c r="AO52" s="64" t="s" ph="1">
        <v>233</v>
      </c>
      <c r="AP52" s="64" t="s" ph="1">
        <v>570</v>
      </c>
      <c r="AQ52" s="64" t="s" ph="1">
        <v>282</v>
      </c>
      <c r="AR52" s="64" t="s" ph="1">
        <v>233</v>
      </c>
      <c r="AY52" s="64" t="s" ph="1">
        <v>216</v>
      </c>
      <c r="AZ52" s="64" t="s" ph="1">
        <v>576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378</v>
      </c>
      <c r="AY53" s="64" t="s" ph="1">
        <v>216</v>
      </c>
      <c r="AZ53" s="64" t="s" ph="1">
        <v>367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379</v>
      </c>
      <c r="AJ54" s="64" t="s" ph="1">
        <v>334</v>
      </c>
      <c r="AK54" s="64" t="s" ph="1">
        <v>219</v>
      </c>
      <c r="AM54" s="64" t="s" ph="1">
        <v>336</v>
      </c>
      <c r="AN54" s="64" t="s" ph="1">
        <v>224</v>
      </c>
      <c r="AO54" s="64" t="s" ph="1">
        <v>233</v>
      </c>
      <c r="AP54" s="64" t="s" ph="1">
        <v>570</v>
      </c>
      <c r="AQ54" s="64" t="s" ph="1">
        <v>240</v>
      </c>
      <c r="AR54" s="64" t="s" ph="1">
        <v>233</v>
      </c>
      <c r="AY54" s="64" t="s" ph="1">
        <v>216</v>
      </c>
      <c r="AZ54" s="64" t="s" ph="1">
        <v>234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380</v>
      </c>
      <c r="AY55" s="64" t="s" ph="1">
        <v>216</v>
      </c>
      <c r="AZ55" s="64" t="s" ph="1">
        <v>367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381</v>
      </c>
      <c r="AY56" s="64" t="s" ph="1">
        <v>216</v>
      </c>
      <c r="AZ56" s="64" t="s" ph="1">
        <v>367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382</v>
      </c>
      <c r="AY57" s="64" t="s" ph="1">
        <v>216</v>
      </c>
      <c r="AZ57" s="64" t="s" ph="1">
        <v>367</v>
      </c>
    </row>
    <row r="58" spans="16:52" ph="1">
      <c r="P58" s="64"/>
      <c r="AN58" s="64" t="s" ph="1">
        <v>217</v>
      </c>
      <c r="AZ58" s="64" t="s" ph="1">
        <v>577</v>
      </c>
    </row>
    <row r="59" spans="16:52" ph="1">
      <c r="V59" s="64"/>
      <c r="AG59" s="64" t="s" ph="1">
        <v>235</v>
      </c>
      <c r="AI59" s="64" t="s" ph="1">
        <v>209</v>
      </c>
      <c r="AJ59" s="64" t="s" ph="1">
        <v>210</v>
      </c>
      <c r="AK59" s="64" t="s" ph="1">
        <v>211</v>
      </c>
      <c r="AM59" s="64" t="s" ph="1">
        <v>210</v>
      </c>
      <c r="AN59" s="64" t="s" ph="1">
        <v>211</v>
      </c>
      <c r="AO59" s="64" t="s" ph="1">
        <v>212</v>
      </c>
      <c r="AP59" s="64" t="s" ph="1">
        <v>210</v>
      </c>
      <c r="AQ59" s="64" t="s" ph="1">
        <v>211</v>
      </c>
      <c r="AR59" s="64" t="s" ph="1">
        <v>212</v>
      </c>
      <c r="AS59" s="64" t="s" ph="1">
        <v>210</v>
      </c>
      <c r="AT59" s="64" t="s" ph="1">
        <v>211</v>
      </c>
      <c r="AU59" s="64" t="s" ph="1">
        <v>212</v>
      </c>
      <c r="AV59" s="64" t="s" ph="1">
        <v>210</v>
      </c>
      <c r="AW59" s="64" t="s" ph="1">
        <v>211</v>
      </c>
      <c r="AX59" s="64" t="s" ph="1">
        <v>212</v>
      </c>
      <c r="AY59" s="64" t="s" ph="1">
        <v>211</v>
      </c>
      <c r="AZ59" s="64" t="s" ph="1">
        <v>213</v>
      </c>
    </row>
    <row r="60" spans="16:52" ph="1">
      <c r="R60" s="64"/>
      <c r="S60" s="64"/>
      <c r="T60" s="64"/>
      <c r="AH60" s="64" ph="1">
        <v>1</v>
      </c>
      <c r="AI60" s="64" t="s" ph="1">
        <v>383</v>
      </c>
      <c r="AY60" s="64" t="s" ph="1">
        <v>216</v>
      </c>
      <c r="AZ60" s="64" t="s" ph="1">
        <v>367</v>
      </c>
    </row>
    <row r="61" spans="16:52" ph="1">
      <c r="AH61" s="64" ph="1">
        <v>2</v>
      </c>
      <c r="AI61" s="64" t="s" ph="1">
        <v>384</v>
      </c>
      <c r="AS61" s="64" t="s" ph="1">
        <v>217</v>
      </c>
      <c r="AY61" s="64" t="s" ph="1">
        <v>216</v>
      </c>
      <c r="AZ61" s="64" t="s" ph="1">
        <v>367</v>
      </c>
    </row>
    <row r="62" spans="16:52" ph="1">
      <c r="AZ62" s="64" t="s" ph="1">
        <v>385</v>
      </c>
    </row>
    <row r="63" spans="16:52" ph="1">
      <c r="AG63" s="64" t="s" ph="1">
        <v>238</v>
      </c>
      <c r="AI63" s="64" t="s" ph="1">
        <v>209</v>
      </c>
      <c r="AJ63" s="64" t="s" ph="1">
        <v>210</v>
      </c>
      <c r="AK63" s="64" t="s" ph="1">
        <v>211</v>
      </c>
      <c r="AM63" s="64" t="s" ph="1">
        <v>210</v>
      </c>
      <c r="AN63" s="64" t="s" ph="1">
        <v>211</v>
      </c>
      <c r="AO63" s="64" t="s" ph="1">
        <v>212</v>
      </c>
      <c r="AP63" s="64" t="s" ph="1">
        <v>210</v>
      </c>
      <c r="AQ63" s="64" t="s" ph="1">
        <v>211</v>
      </c>
      <c r="AR63" s="64" t="s" ph="1">
        <v>212</v>
      </c>
      <c r="AS63" s="64" t="s" ph="1">
        <v>210</v>
      </c>
      <c r="AT63" s="64" t="s" ph="1">
        <v>211</v>
      </c>
      <c r="AU63" s="64" t="s" ph="1">
        <v>212</v>
      </c>
      <c r="AV63" s="64" t="s" ph="1">
        <v>210</v>
      </c>
      <c r="AW63" s="64" t="s" ph="1">
        <v>211</v>
      </c>
      <c r="AX63" s="64" t="s" ph="1">
        <v>212</v>
      </c>
      <c r="AY63" s="64" t="s" ph="1">
        <v>211</v>
      </c>
      <c r="AZ63" s="64" t="s" ph="1">
        <v>213</v>
      </c>
    </row>
    <row r="64" spans="16:52" ph="1">
      <c r="AH64" s="64" ph="1">
        <v>1</v>
      </c>
      <c r="AI64" s="64" t="s" ph="1">
        <v>386</v>
      </c>
      <c r="AJ64" s="64" t="s" ph="1">
        <v>387</v>
      </c>
      <c r="AK64" s="64" t="s" ph="1">
        <v>388</v>
      </c>
      <c r="AY64" s="64" t="s" ph="1">
        <v>216</v>
      </c>
      <c r="AZ64" s="64" t="s" ph="1">
        <v>388</v>
      </c>
    </row>
    <row r="65" spans="33:52" ph="1">
      <c r="AH65" s="64" ph="1">
        <v>2</v>
      </c>
      <c r="AI65" s="64" t="s" ph="1">
        <v>389</v>
      </c>
      <c r="AY65" s="64" t="s" ph="1">
        <v>216</v>
      </c>
      <c r="AZ65" s="64" t="s" ph="1">
        <v>367</v>
      </c>
    </row>
    <row r="66" spans="33:52" ph="1">
      <c r="AH66" s="64" ph="1">
        <v>3</v>
      </c>
      <c r="AI66" s="64" t="s" ph="1">
        <v>390</v>
      </c>
      <c r="AY66" s="64" t="s" ph="1">
        <v>216</v>
      </c>
      <c r="AZ66" s="64" t="s" ph="1">
        <v>367</v>
      </c>
    </row>
    <row r="67" spans="33:52" ph="1">
      <c r="AH67" s="64" ph="1">
        <v>4</v>
      </c>
      <c r="AI67" s="64" t="s" ph="1">
        <v>391</v>
      </c>
      <c r="AY67" s="64" t="s" ph="1">
        <v>216</v>
      </c>
      <c r="AZ67" s="64" t="s" ph="1">
        <v>367</v>
      </c>
    </row>
    <row r="68" spans="33:52" ph="1">
      <c r="AH68" s="64" ph="1">
        <v>5</v>
      </c>
      <c r="AI68" s="64" t="s" ph="1">
        <v>392</v>
      </c>
      <c r="AY68" s="64" t="s" ph="1">
        <v>216</v>
      </c>
      <c r="AZ68" s="64" t="s" ph="1">
        <v>367</v>
      </c>
    </row>
    <row r="69" spans="33:52" ph="1">
      <c r="AH69" s="64" ph="1">
        <v>6</v>
      </c>
      <c r="AI69" s="64" t="s" ph="1">
        <v>393</v>
      </c>
      <c r="AY69" s="64" t="s" ph="1">
        <v>216</v>
      </c>
      <c r="AZ69" s="64" t="s" ph="1">
        <v>367</v>
      </c>
    </row>
    <row r="70" spans="33:52" ph="1">
      <c r="AI70" s="64" t="s" ph="1">
        <v>394</v>
      </c>
      <c r="AY70" s="64" t="s" ph="1">
        <v>216</v>
      </c>
      <c r="AZ70" s="64" t="s" ph="1">
        <v>367</v>
      </c>
    </row>
    <row r="71" spans="33:52" ph="1">
      <c r="AH71" s="64" ph="1">
        <v>7</v>
      </c>
      <c r="AI71" s="64" t="s" ph="1">
        <v>395</v>
      </c>
      <c r="AJ71" s="64" t="s" ph="1">
        <v>334</v>
      </c>
      <c r="AK71" s="64" t="s" ph="1">
        <v>228</v>
      </c>
      <c r="AM71" s="64" t="s" ph="1">
        <v>336</v>
      </c>
      <c r="AN71" s="64" t="s" ph="1">
        <v>228</v>
      </c>
      <c r="AO71" s="64" t="s" ph="1">
        <v>396</v>
      </c>
      <c r="AP71" s="64" t="s" ph="1">
        <v>570</v>
      </c>
      <c r="AQ71" s="64" t="s" ph="1">
        <v>219</v>
      </c>
      <c r="AR71" s="64" t="s" ph="1">
        <v>396</v>
      </c>
      <c r="AY71" s="64" t="s" ph="1">
        <v>216</v>
      </c>
      <c r="AZ71" s="64" t="s" ph="1">
        <v>578</v>
      </c>
    </row>
    <row r="72" spans="33:52" ph="1">
      <c r="AZ72" s="64" t="s" ph="1">
        <v>579</v>
      </c>
    </row>
    <row r="73" spans="33:52" ph="1">
      <c r="AG73" s="64" t="s" ph="1">
        <v>241</v>
      </c>
      <c r="AI73" s="64" t="s" ph="1">
        <v>209</v>
      </c>
      <c r="AJ73" s="64" t="s" ph="1">
        <v>210</v>
      </c>
      <c r="AK73" s="64" t="s" ph="1">
        <v>211</v>
      </c>
      <c r="AM73" s="64" t="s" ph="1">
        <v>210</v>
      </c>
      <c r="AN73" s="64" t="s" ph="1">
        <v>211</v>
      </c>
      <c r="AO73" s="64" t="s" ph="1">
        <v>212</v>
      </c>
      <c r="AP73" s="64" t="s" ph="1">
        <v>210</v>
      </c>
      <c r="AQ73" s="64" t="s" ph="1">
        <v>211</v>
      </c>
      <c r="AR73" s="64" t="s" ph="1">
        <v>212</v>
      </c>
      <c r="AS73" s="64" t="s" ph="1">
        <v>210</v>
      </c>
      <c r="AT73" s="64" t="s" ph="1">
        <v>211</v>
      </c>
      <c r="AU73" s="64" t="s" ph="1">
        <v>212</v>
      </c>
      <c r="AV73" s="64" t="s" ph="1">
        <v>210</v>
      </c>
      <c r="AW73" s="64" t="s" ph="1">
        <v>211</v>
      </c>
      <c r="AX73" s="64" t="s" ph="1">
        <v>212</v>
      </c>
      <c r="AY73" s="64" t="s" ph="1">
        <v>211</v>
      </c>
      <c r="AZ73" s="64" t="s" ph="1">
        <v>213</v>
      </c>
    </row>
    <row r="74" spans="33:52" ph="1">
      <c r="AH74" s="64" ph="1">
        <v>1</v>
      </c>
      <c r="AI74" s="64" t="s" ph="1">
        <v>397</v>
      </c>
      <c r="AJ74" s="64" t="s" ph="1">
        <v>242</v>
      </c>
      <c r="AK74" s="64" t="s" ph="1">
        <v>224</v>
      </c>
      <c r="AM74" s="64" t="s" ph="1">
        <v>244</v>
      </c>
      <c r="AN74" s="64" t="s" ph="1">
        <v>254</v>
      </c>
      <c r="AO74" s="64" t="s" ph="1">
        <v>243</v>
      </c>
      <c r="AP74" s="64" t="s" ph="1">
        <v>245</v>
      </c>
      <c r="AQ74" s="64" t="s" ph="1">
        <v>222</v>
      </c>
      <c r="AR74" s="64" t="s" ph="1">
        <v>243</v>
      </c>
      <c r="AS74" s="64" t="s" ph="1">
        <v>215</v>
      </c>
      <c r="AT74" s="64" t="s" ph="1">
        <v>217</v>
      </c>
      <c r="AV74" s="64" t="s" ph="1">
        <v>398</v>
      </c>
      <c r="AW74" s="64" t="s" ph="1">
        <v>399</v>
      </c>
      <c r="AX74" s="64" t="s" ph="1">
        <v>400</v>
      </c>
      <c r="AY74" s="64" t="s" ph="1">
        <v>216</v>
      </c>
      <c r="AZ74" s="64" t="s" ph="1">
        <v>401</v>
      </c>
    </row>
    <row r="75" spans="33:52" ph="1">
      <c r="AJ75" s="64" t="s" ph="1">
        <v>247</v>
      </c>
      <c r="AK75" s="64" t="s" ph="1">
        <v>300</v>
      </c>
      <c r="AM75" s="64" t="s" ph="1">
        <v>245</v>
      </c>
      <c r="AN75" s="64" t="s" ph="1">
        <v>225</v>
      </c>
      <c r="AO75" s="64" t="s" ph="1">
        <v>243</v>
      </c>
      <c r="AS75" s="64" t="s" ph="1">
        <v>215</v>
      </c>
      <c r="AT75" s="64" t="s" ph="1">
        <v>246</v>
      </c>
    </row>
    <row r="76" spans="33:52" ph="1">
      <c r="AJ76" s="64" t="s" ph="1">
        <v>247</v>
      </c>
      <c r="AK76" s="64" t="s" ph="1">
        <v>240</v>
      </c>
      <c r="AM76" s="64" t="s" ph="1">
        <v>245</v>
      </c>
      <c r="AN76" s="64" t="s" ph="1">
        <v>228</v>
      </c>
      <c r="AO76" s="64" t="s" ph="1">
        <v>243</v>
      </c>
      <c r="AS76" s="64" t="s" ph="1">
        <v>215</v>
      </c>
      <c r="AT76" s="64" t="s" ph="1">
        <v>246</v>
      </c>
    </row>
    <row r="77" spans="33:52" ph="1">
      <c r="AJ77" s="64" t="s" ph="1">
        <v>283</v>
      </c>
      <c r="AK77" s="64" t="s" ph="1">
        <v>240</v>
      </c>
      <c r="AM77" s="64" t="s" ph="1">
        <v>284</v>
      </c>
      <c r="AN77" s="64" t="s" ph="1">
        <v>223</v>
      </c>
      <c r="AO77" s="64" t="s" ph="1">
        <v>243</v>
      </c>
      <c r="AS77" s="64" t="s" ph="1">
        <v>215</v>
      </c>
      <c r="AT77" s="64" t="s" ph="1">
        <v>285</v>
      </c>
    </row>
    <row r="78" spans="33:52" ph="1">
      <c r="AH78" s="64" ph="1">
        <v>2</v>
      </c>
      <c r="AI78" s="64" t="s" ph="1">
        <v>249</v>
      </c>
      <c r="AJ78" s="64" t="s" ph="1">
        <v>250</v>
      </c>
      <c r="AK78" s="64" t="s" ph="1">
        <v>219</v>
      </c>
      <c r="AM78" s="64" t="s" ph="1">
        <v>251</v>
      </c>
      <c r="AN78" s="64" t="s" ph="1">
        <v>254</v>
      </c>
      <c r="AO78" s="64" t="s" ph="1">
        <v>243</v>
      </c>
      <c r="AP78" s="64" t="s" ph="1">
        <v>252</v>
      </c>
      <c r="AQ78" s="64" t="s" ph="1">
        <v>298</v>
      </c>
      <c r="AR78" s="64" t="s" ph="1">
        <v>243</v>
      </c>
      <c r="AS78" s="64" t="s" ph="1">
        <v>253</v>
      </c>
      <c r="AT78" s="64" t="s" ph="1">
        <v>254</v>
      </c>
      <c r="AU78" s="64" t="s" ph="1">
        <v>243</v>
      </c>
      <c r="AV78" s="64" t="s" ph="1">
        <v>255</v>
      </c>
      <c r="AW78" s="64" t="s" ph="1">
        <v>243</v>
      </c>
      <c r="AY78" s="64" t="s" ph="1">
        <v>216</v>
      </c>
      <c r="AZ78" s="64" t="s" ph="1">
        <v>402</v>
      </c>
    </row>
    <row r="79" spans="33:52" ph="1">
      <c r="AJ79" s="64" t="s" ph="1">
        <v>245</v>
      </c>
      <c r="AK79" s="64" t="s" ph="1">
        <v>256</v>
      </c>
      <c r="AM79" s="64" t="s" ph="1">
        <v>257</v>
      </c>
      <c r="AN79" s="64" t="s" ph="1">
        <v>225</v>
      </c>
      <c r="AO79" s="64" t="s" ph="1">
        <v>243</v>
      </c>
      <c r="AP79" s="64" t="s" ph="1">
        <v>258</v>
      </c>
      <c r="AQ79" s="64" t="s" ph="1">
        <v>223</v>
      </c>
      <c r="AR79" s="64" t="s" ph="1">
        <v>259</v>
      </c>
      <c r="AS79" s="64" t="s" ph="1">
        <v>215</v>
      </c>
      <c r="AT79" s="64" t="s" ph="1">
        <v>260</v>
      </c>
      <c r="AV79" s="64" t="s" ph="1">
        <v>403</v>
      </c>
      <c r="AW79" s="64" t="s" ph="1">
        <v>302</v>
      </c>
      <c r="AX79" s="64" t="s" ph="1">
        <v>400</v>
      </c>
    </row>
    <row r="80" spans="33:52" ph="1">
      <c r="AH80" s="64" ph="1">
        <v>3</v>
      </c>
      <c r="AI80" s="64" t="s" ph="1">
        <v>261</v>
      </c>
      <c r="AJ80" s="64" t="s" ph="1">
        <v>262</v>
      </c>
      <c r="AK80" s="64" t="s" ph="1">
        <v>263</v>
      </c>
      <c r="AM80" s="64" t="s" ph="1">
        <v>264</v>
      </c>
      <c r="AN80" s="64" t="s" ph="1">
        <v>254</v>
      </c>
      <c r="AO80" s="64" t="s" ph="1">
        <v>243</v>
      </c>
      <c r="AP80" s="64" t="s" ph="1">
        <v>265</v>
      </c>
      <c r="AQ80" s="64" t="s" ph="1">
        <v>228</v>
      </c>
      <c r="AR80" s="64" t="s" ph="1">
        <v>243</v>
      </c>
      <c r="AS80" s="64" t="s" ph="1">
        <v>266</v>
      </c>
      <c r="AT80" s="64" t="s" ph="1">
        <v>227</v>
      </c>
      <c r="AU80" s="64" t="s" ph="1">
        <v>243</v>
      </c>
      <c r="AV80" s="64" t="s" ph="1">
        <v>267</v>
      </c>
      <c r="AW80" s="64" t="s" ph="1">
        <v>243</v>
      </c>
      <c r="AY80" s="64" t="s" ph="1">
        <v>216</v>
      </c>
      <c r="AZ80" s="64" t="s" ph="1">
        <v>404</v>
      </c>
    </row>
    <row r="81" spans="34:52" ph="1">
      <c r="AJ81" s="64" t="s" ph="1">
        <v>268</v>
      </c>
      <c r="AK81" s="64" t="s" ph="1">
        <v>222</v>
      </c>
      <c r="AM81" s="64" t="s" ph="1">
        <v>269</v>
      </c>
      <c r="AN81" s="64" t="s" ph="1">
        <v>225</v>
      </c>
      <c r="AO81" s="64" t="s" ph="1">
        <v>243</v>
      </c>
      <c r="AP81" s="64" t="s" ph="1">
        <v>270</v>
      </c>
      <c r="AQ81" s="64" t="s" ph="1">
        <v>254</v>
      </c>
      <c r="AR81" s="64" t="s" ph="1">
        <v>243</v>
      </c>
      <c r="AS81" s="64" t="s" ph="1">
        <v>271</v>
      </c>
      <c r="AT81" s="64" t="s" ph="1">
        <v>272</v>
      </c>
      <c r="AU81" s="64" t="s" ph="1">
        <v>243</v>
      </c>
      <c r="AV81" s="64" t="s" ph="1">
        <v>273</v>
      </c>
    </row>
    <row r="82" spans="34:52" ph="1">
      <c r="AJ82" s="64" t="s" ph="1">
        <v>274</v>
      </c>
      <c r="AK82" s="64" t="s" ph="1">
        <v>222</v>
      </c>
      <c r="AM82" s="64" t="s" ph="1">
        <v>275</v>
      </c>
      <c r="AN82" s="64" t="s" ph="1">
        <v>272</v>
      </c>
      <c r="AO82" s="64" t="s" ph="1">
        <v>276</v>
      </c>
      <c r="AP82" s="64" t="s" ph="1">
        <v>277</v>
      </c>
      <c r="AQ82" s="64" t="s" ph="1">
        <v>254</v>
      </c>
      <c r="AR82" s="64" t="s" ph="1">
        <v>243</v>
      </c>
      <c r="AS82" s="64" t="s" ph="1">
        <v>278</v>
      </c>
      <c r="AT82" s="64" t="s" ph="1">
        <v>229</v>
      </c>
      <c r="AU82" s="64" t="s" ph="1">
        <v>243</v>
      </c>
      <c r="AV82" s="64" t="s" ph="1">
        <v>403</v>
      </c>
      <c r="AW82" s="64" t="s" ph="1">
        <v>303</v>
      </c>
      <c r="AX82" s="64" t="s" ph="1">
        <v>400</v>
      </c>
    </row>
    <row r="83" spans="34:52" ph="1">
      <c r="AJ83" s="64" t="s" ph="1">
        <v>279</v>
      </c>
      <c r="AK83" s="64" t="s" ph="1">
        <v>296</v>
      </c>
      <c r="AM83" s="64" t="s" ph="1">
        <v>280</v>
      </c>
      <c r="AN83" s="64" t="s" ph="1">
        <v>228</v>
      </c>
      <c r="AO83" s="64" t="s" ph="1">
        <v>259</v>
      </c>
      <c r="AP83" s="64" t="s" ph="1">
        <v>281</v>
      </c>
      <c r="AQ83" s="64" t="s" ph="1">
        <v>282</v>
      </c>
      <c r="AR83" s="64" t="s" ph="1">
        <v>259</v>
      </c>
      <c r="AS83" s="64" t="s" ph="1">
        <v>405</v>
      </c>
      <c r="AT83" s="64" t="s" ph="1">
        <v>254</v>
      </c>
      <c r="AU83" s="64" t="s" ph="1">
        <v>259</v>
      </c>
      <c r="AV83" s="64" t="s" ph="1">
        <v>406</v>
      </c>
      <c r="AW83" s="64" t="s" ph="1">
        <v>303</v>
      </c>
      <c r="AX83" s="64" t="s" ph="1">
        <v>407</v>
      </c>
    </row>
    <row r="84" spans="34:52" ph="1">
      <c r="AH84" s="64" ph="1">
        <v>4</v>
      </c>
      <c r="AI84" s="64" t="s" ph="1">
        <v>286</v>
      </c>
      <c r="AJ84" s="64" t="s" ph="1">
        <v>226</v>
      </c>
      <c r="AK84" s="64" t="s" ph="1">
        <v>229</v>
      </c>
      <c r="AM84" s="64" t="s" ph="1">
        <v>230</v>
      </c>
      <c r="AN84" s="64" t="s" ph="1">
        <v>223</v>
      </c>
      <c r="AO84" s="64" t="s" ph="1">
        <v>259</v>
      </c>
      <c r="AP84" s="64" t="s" ph="1">
        <v>288</v>
      </c>
      <c r="AQ84" s="64" t="s" ph="1">
        <v>222</v>
      </c>
      <c r="AR84" s="64" t="s" ph="1">
        <v>259</v>
      </c>
      <c r="AS84" s="64" t="s" ph="1">
        <v>288</v>
      </c>
      <c r="AT84" s="64" t="s" ph="1">
        <v>224</v>
      </c>
      <c r="AU84" s="64" t="s" ph="1">
        <v>259</v>
      </c>
      <c r="AY84" s="64" t="s" ph="1">
        <v>216</v>
      </c>
      <c r="AZ84" s="64" t="s" ph="1">
        <v>408</v>
      </c>
    </row>
    <row r="85" spans="34:52" ph="1">
      <c r="AJ85" s="64" t="s" ph="1">
        <v>218</v>
      </c>
      <c r="AK85" s="64" t="s" ph="1">
        <v>222</v>
      </c>
      <c r="AM85" s="64" t="s" ph="1">
        <v>409</v>
      </c>
      <c r="AN85" s="64" t="s" ph="1">
        <v>229</v>
      </c>
      <c r="AO85" s="64" t="s" ph="1">
        <v>259</v>
      </c>
      <c r="AP85" s="64" t="s" ph="1">
        <v>410</v>
      </c>
      <c r="AQ85" s="64" t="s" ph="1">
        <v>225</v>
      </c>
      <c r="AR85" s="64" t="s" ph="1">
        <v>259</v>
      </c>
      <c r="AS85" s="64" t="s" ph="1">
        <v>411</v>
      </c>
      <c r="AT85" s="64" t="s" ph="1">
        <v>225</v>
      </c>
      <c r="AU85" s="64" t="s" ph="1">
        <v>259</v>
      </c>
    </row>
    <row r="86" spans="34:52" ph="1">
      <c r="AJ86" s="64" t="s" ph="1">
        <v>412</v>
      </c>
      <c r="AK86" s="64" t="s" ph="1">
        <v>231</v>
      </c>
      <c r="AM86" s="64" t="s" ph="1">
        <v>413</v>
      </c>
      <c r="AN86" s="64" t="s" ph="1">
        <v>272</v>
      </c>
      <c r="AO86" s="64" t="s" ph="1">
        <v>259</v>
      </c>
      <c r="AP86" s="64" t="s" ph="1">
        <v>414</v>
      </c>
      <c r="AQ86" s="64" t="s" ph="1">
        <v>219</v>
      </c>
      <c r="AR86" s="64" t="s" ph="1">
        <v>259</v>
      </c>
      <c r="AS86" s="64" t="s" ph="1">
        <v>415</v>
      </c>
      <c r="AT86" s="64" t="s" ph="1">
        <v>237</v>
      </c>
      <c r="AU86" s="64" t="s" ph="1">
        <v>259</v>
      </c>
    </row>
    <row r="87" spans="34:52" ph="1">
      <c r="AJ87" s="64" t="s" ph="1">
        <v>416</v>
      </c>
      <c r="AK87" s="64" t="s" ph="1">
        <v>272</v>
      </c>
      <c r="AM87" s="64" t="s" ph="1">
        <v>403</v>
      </c>
      <c r="AN87" s="64" t="s" ph="1">
        <v>417</v>
      </c>
      <c r="AO87" s="64" t="s" ph="1">
        <v>400</v>
      </c>
    </row>
    <row r="88" spans="34:52" ph="1">
      <c r="AH88" s="64" ph="1">
        <v>5</v>
      </c>
      <c r="AI88" s="64" t="s" ph="1">
        <v>289</v>
      </c>
      <c r="AJ88" s="64" t="s" ph="1">
        <v>418</v>
      </c>
      <c r="AK88" s="64" t="s" ph="1">
        <v>272</v>
      </c>
      <c r="AM88" s="64" t="s" ph="1">
        <v>419</v>
      </c>
      <c r="AN88" s="64" t="s" ph="1">
        <v>272</v>
      </c>
      <c r="AO88" s="64" t="s" ph="1">
        <v>259</v>
      </c>
      <c r="AP88" s="64" t="s" ph="1">
        <v>420</v>
      </c>
      <c r="AQ88" s="64" t="s" ph="1">
        <v>222</v>
      </c>
      <c r="AR88" s="64" t="s" ph="1">
        <v>259</v>
      </c>
      <c r="AS88" s="64" t="s" ph="1">
        <v>421</v>
      </c>
      <c r="AT88" s="64" t="s" ph="1">
        <v>272</v>
      </c>
      <c r="AU88" s="64" t="s" ph="1">
        <v>259</v>
      </c>
      <c r="AV88" s="64" t="s" ph="1">
        <v>422</v>
      </c>
      <c r="AW88" s="64" t="s" ph="1">
        <v>227</v>
      </c>
      <c r="AX88" s="64" t="s" ph="1">
        <v>259</v>
      </c>
      <c r="AY88" s="64" t="s" ph="1">
        <v>216</v>
      </c>
      <c r="AZ88" s="64" t="s" ph="1">
        <v>423</v>
      </c>
    </row>
    <row r="89" spans="34:52" ph="1">
      <c r="AJ89" s="64" t="s" ph="1">
        <v>424</v>
      </c>
      <c r="AK89" s="64" t="s" ph="1">
        <v>225</v>
      </c>
      <c r="AM89" s="64" t="s" ph="1">
        <v>425</v>
      </c>
      <c r="AN89" s="64" t="s" ph="1">
        <v>228</v>
      </c>
      <c r="AO89" s="64" t="s" ph="1">
        <v>259</v>
      </c>
      <c r="AP89" s="64" t="s" ph="1">
        <v>426</v>
      </c>
      <c r="AQ89" s="64" t="s" ph="1">
        <v>237</v>
      </c>
      <c r="AR89" s="64" t="s" ph="1">
        <v>259</v>
      </c>
      <c r="AS89" s="64" t="s" ph="1">
        <v>427</v>
      </c>
      <c r="AT89" s="64" t="s" ph="1">
        <v>272</v>
      </c>
      <c r="AU89" s="64" t="s" ph="1">
        <v>259</v>
      </c>
      <c r="AV89" s="64" t="s" ph="1">
        <v>428</v>
      </c>
      <c r="AW89" s="64" t="s" ph="1">
        <v>254</v>
      </c>
      <c r="AX89" s="64" t="s" ph="1">
        <v>287</v>
      </c>
    </row>
    <row r="90" spans="34:52" ph="1">
      <c r="AJ90" s="64" t="s" ph="1">
        <v>429</v>
      </c>
      <c r="AK90" s="64" t="s" ph="1">
        <v>228</v>
      </c>
      <c r="AM90" s="64" t="s" ph="1">
        <v>430</v>
      </c>
      <c r="AN90" s="64" t="s" ph="1">
        <v>225</v>
      </c>
      <c r="AO90" s="64" t="s" ph="1">
        <v>259</v>
      </c>
      <c r="AP90" s="64" t="s" ph="1">
        <v>431</v>
      </c>
      <c r="AQ90" s="64" t="s" ph="1">
        <v>294</v>
      </c>
      <c r="AR90" s="64" t="s" ph="1">
        <v>259</v>
      </c>
      <c r="AS90" s="64" t="s" ph="1">
        <v>432</v>
      </c>
      <c r="AT90" s="64" t="s" ph="1">
        <v>282</v>
      </c>
      <c r="AU90" s="64" t="s" ph="1">
        <v>259</v>
      </c>
      <c r="AV90" s="64" t="s" ph="1">
        <v>433</v>
      </c>
      <c r="AW90" s="64" t="s" ph="1">
        <v>219</v>
      </c>
      <c r="AX90" s="64" t="s" ph="1">
        <v>259</v>
      </c>
    </row>
    <row r="91" spans="34:52" ph="1">
      <c r="AJ91" s="64" t="s" ph="1">
        <v>434</v>
      </c>
      <c r="AK91" s="64" t="s" ph="1">
        <v>272</v>
      </c>
      <c r="AM91" s="64" t="s" ph="1">
        <v>435</v>
      </c>
      <c r="AN91" s="64" t="s" ph="1">
        <v>239</v>
      </c>
      <c r="AO91" s="64" t="s" ph="1">
        <v>259</v>
      </c>
      <c r="AP91" s="64" t="s" ph="1">
        <v>436</v>
      </c>
      <c r="AQ91" s="64" t="s" ph="1">
        <v>219</v>
      </c>
      <c r="AS91" s="64" t="s" ph="1">
        <v>403</v>
      </c>
      <c r="AT91" s="64" t="s" ph="1">
        <v>399</v>
      </c>
      <c r="AU91" s="64" t="s" ph="1">
        <v>400</v>
      </c>
    </row>
    <row r="92" spans="34:52" ph="1">
      <c r="AH92" s="64" ph="1">
        <v>6</v>
      </c>
      <c r="AI92" s="64" t="s" ph="1">
        <v>437</v>
      </c>
      <c r="AJ92" s="64" t="s" ph="1">
        <v>438</v>
      </c>
      <c r="AK92" s="64" t="s" ph="1">
        <v>367</v>
      </c>
      <c r="AM92" s="64" t="s" ph="1">
        <v>439</v>
      </c>
      <c r="AN92" s="64" t="s" ph="1">
        <v>227</v>
      </c>
      <c r="AO92" s="64" t="s" ph="1">
        <v>259</v>
      </c>
      <c r="AP92" s="64" t="s" ph="1">
        <v>440</v>
      </c>
      <c r="AQ92" s="64" t="s" ph="1">
        <v>299</v>
      </c>
      <c r="AR92" s="64" t="s" ph="1">
        <v>259</v>
      </c>
      <c r="AS92" s="64" t="s" ph="1">
        <v>441</v>
      </c>
      <c r="AT92" s="64" t="s" ph="1">
        <v>272</v>
      </c>
      <c r="AU92" s="64" t="s" ph="1">
        <v>259</v>
      </c>
      <c r="AV92" s="64" t="s" ph="1">
        <v>442</v>
      </c>
      <c r="AW92" s="64" t="s" ph="1">
        <v>228</v>
      </c>
      <c r="AX92" s="64" t="s" ph="1">
        <v>259</v>
      </c>
      <c r="AY92" s="64" t="s" ph="1">
        <v>216</v>
      </c>
      <c r="AZ92" s="64" t="s" ph="1">
        <v>423</v>
      </c>
    </row>
    <row r="93" spans="34:52" ph="1">
      <c r="AJ93" s="64" t="s" ph="1">
        <v>443</v>
      </c>
      <c r="AK93" s="64" t="s" ph="1">
        <v>222</v>
      </c>
      <c r="AM93" s="64" t="s" ph="1">
        <v>444</v>
      </c>
      <c r="AN93" s="64" t="s" ph="1">
        <v>227</v>
      </c>
      <c r="AO93" s="64" t="s" ph="1">
        <v>259</v>
      </c>
      <c r="AP93" s="64" t="s" ph="1">
        <v>445</v>
      </c>
      <c r="AQ93" s="64" t="s" ph="1">
        <v>231</v>
      </c>
      <c r="AR93" s="64" t="s" ph="1">
        <v>259</v>
      </c>
      <c r="AS93" s="64" t="s" ph="1">
        <v>446</v>
      </c>
      <c r="AT93" s="64" t="s" ph="1">
        <v>237</v>
      </c>
      <c r="AU93" s="64" t="s" ph="1">
        <v>259</v>
      </c>
      <c r="AV93" s="64" t="s" ph="1">
        <v>447</v>
      </c>
      <c r="AW93" s="64" t="s" ph="1">
        <v>231</v>
      </c>
      <c r="AX93" s="64" t="s" ph="1">
        <v>259</v>
      </c>
    </row>
    <row r="94" spans="34:52" ph="1">
      <c r="AJ94" s="64" t="s" ph="1">
        <v>448</v>
      </c>
      <c r="AK94" s="64" t="s" ph="1">
        <v>294</v>
      </c>
      <c r="AM94" s="64" t="s" ph="1">
        <v>449</v>
      </c>
      <c r="AN94" s="64" t="s" ph="1">
        <v>231</v>
      </c>
      <c r="AO94" s="64" t="s" ph="1">
        <v>259</v>
      </c>
      <c r="AP94" s="64" t="s" ph="1">
        <v>450</v>
      </c>
      <c r="AQ94" s="64" t="s" ph="1">
        <v>239</v>
      </c>
      <c r="AR94" s="64" t="s" ph="1">
        <v>259</v>
      </c>
      <c r="AS94" s="64" t="s" ph="1">
        <v>451</v>
      </c>
      <c r="AT94" s="64" t="s" ph="1">
        <v>225</v>
      </c>
      <c r="AU94" s="64" t="s" ph="1">
        <v>259</v>
      </c>
      <c r="AV94" s="64" t="s" ph="1">
        <v>452</v>
      </c>
      <c r="AW94" s="64" t="s" ph="1">
        <v>225</v>
      </c>
      <c r="AX94" s="64" t="s" ph="1">
        <v>259</v>
      </c>
    </row>
    <row r="95" spans="34:52" ph="1">
      <c r="AJ95" s="64" t="s" ph="1">
        <v>453</v>
      </c>
      <c r="AK95" s="64" t="s" ph="1">
        <v>299</v>
      </c>
    </row>
    <row r="96" spans="34:52" ph="1">
      <c r="AH96" s="64" ph="1">
        <v>7</v>
      </c>
      <c r="AI96" s="64" t="s" ph="1">
        <v>454</v>
      </c>
      <c r="AJ96" s="64" t="s" ph="1">
        <v>453</v>
      </c>
      <c r="AK96" s="64" t="s" ph="1">
        <v>254</v>
      </c>
      <c r="AM96" s="64" t="s" ph="1">
        <v>455</v>
      </c>
      <c r="AN96" s="64" t="s" ph="1">
        <v>228</v>
      </c>
      <c r="AO96" s="64" t="s" ph="1">
        <v>259</v>
      </c>
      <c r="AP96" s="64" t="s" ph="1">
        <v>456</v>
      </c>
      <c r="AQ96" s="64" t="s" ph="1">
        <v>272</v>
      </c>
      <c r="AR96" s="64" t="s" ph="1">
        <v>287</v>
      </c>
      <c r="AS96" s="64" t="s" ph="1">
        <v>457</v>
      </c>
      <c r="AT96" s="64" t="s" ph="1">
        <v>231</v>
      </c>
      <c r="AU96" s="64" t="s" ph="1">
        <v>287</v>
      </c>
      <c r="AV96" s="64" t="s" ph="1">
        <v>458</v>
      </c>
      <c r="AW96" s="64" t="s" ph="1">
        <v>227</v>
      </c>
      <c r="AX96" s="64" t="s" ph="1">
        <v>287</v>
      </c>
      <c r="AY96" s="64" t="s" ph="1">
        <v>216</v>
      </c>
      <c r="AZ96" s="64" t="s" ph="1">
        <v>459</v>
      </c>
    </row>
    <row r="97" spans="33:52" ph="1">
      <c r="AJ97" s="64" t="s" ph="1">
        <v>460</v>
      </c>
      <c r="AK97" s="64" t="s" ph="1">
        <v>282</v>
      </c>
      <c r="AM97" s="64" t="s" ph="1">
        <v>461</v>
      </c>
      <c r="AN97" s="64" t="s" ph="1">
        <v>225</v>
      </c>
      <c r="AO97" s="64" t="s" ph="1">
        <v>259</v>
      </c>
      <c r="AP97" s="64" t="s" ph="1">
        <v>462</v>
      </c>
      <c r="AQ97" s="64" t="s" ph="1">
        <v>219</v>
      </c>
      <c r="AR97" s="64" t="s" ph="1">
        <v>287</v>
      </c>
      <c r="AS97" s="64" t="s" ph="1">
        <v>463</v>
      </c>
      <c r="AT97" s="64" t="s" ph="1">
        <v>222</v>
      </c>
      <c r="AU97" s="64" t="s" ph="1">
        <v>287</v>
      </c>
      <c r="AV97" s="64" t="s" ph="1">
        <v>464</v>
      </c>
      <c r="AW97" s="64" t="s" ph="1">
        <v>228</v>
      </c>
      <c r="AX97" s="64" t="s" ph="1">
        <v>287</v>
      </c>
    </row>
    <row r="98" spans="33:52" ph="1">
      <c r="AJ98" s="64" t="s" ph="1">
        <v>465</v>
      </c>
      <c r="AK98" s="64" t="s" ph="1">
        <v>231</v>
      </c>
      <c r="AM98" s="64" t="s" ph="1">
        <v>466</v>
      </c>
      <c r="AN98" s="64" t="s" ph="1">
        <v>239</v>
      </c>
      <c r="AO98" s="64" t="s" ph="1">
        <v>259</v>
      </c>
      <c r="AP98" s="64" t="s" ph="1">
        <v>467</v>
      </c>
      <c r="AQ98" s="64" t="s" ph="1">
        <v>219</v>
      </c>
      <c r="AR98" s="64" t="s" ph="1">
        <v>287</v>
      </c>
      <c r="AS98" s="64" t="s" ph="1">
        <v>468</v>
      </c>
      <c r="AT98" s="64" t="s" ph="1">
        <v>299</v>
      </c>
      <c r="AU98" s="64" t="s" ph="1">
        <v>287</v>
      </c>
      <c r="AV98" s="64" t="s" ph="1">
        <v>469</v>
      </c>
      <c r="AW98" s="64" t="s" ph="1">
        <v>222</v>
      </c>
      <c r="AX98" s="64" t="s" ph="1">
        <v>287</v>
      </c>
    </row>
    <row r="99" spans="33:52" ph="1">
      <c r="AH99" s="64" ph="1">
        <v>8</v>
      </c>
      <c r="AI99" s="64" t="s" ph="1">
        <v>470</v>
      </c>
      <c r="AJ99" s="64" t="s" ph="1">
        <v>471</v>
      </c>
      <c r="AK99" s="64" t="s" ph="1">
        <v>367</v>
      </c>
      <c r="AM99" s="64" t="s" ph="1">
        <v>472</v>
      </c>
      <c r="AN99" s="64" t="s" ph="1">
        <v>254</v>
      </c>
      <c r="AO99" s="64" t="s" ph="1">
        <v>259</v>
      </c>
      <c r="AP99" s="64" t="s" ph="1">
        <v>473</v>
      </c>
      <c r="AQ99" s="64" t="s" ph="1">
        <v>224</v>
      </c>
      <c r="AR99" s="64" t="s" ph="1">
        <v>287</v>
      </c>
      <c r="AS99" s="64" t="s" ph="1">
        <v>474</v>
      </c>
      <c r="AT99" s="64" t="s" ph="1">
        <v>239</v>
      </c>
      <c r="AU99" s="64" t="s" ph="1">
        <v>287</v>
      </c>
      <c r="AV99" s="64" t="s" ph="1">
        <v>475</v>
      </c>
      <c r="AW99" s="64" t="s" ph="1">
        <v>224</v>
      </c>
      <c r="AX99" s="64" t="s" ph="1">
        <v>287</v>
      </c>
      <c r="AY99" s="64" t="s" ph="1">
        <v>216</v>
      </c>
      <c r="AZ99" s="64" t="s" ph="1">
        <v>476</v>
      </c>
    </row>
    <row r="100" spans="33:52" ph="1">
      <c r="AJ100" s="64" t="s" ph="1">
        <v>477</v>
      </c>
      <c r="AK100" s="64" t="s" ph="1">
        <v>222</v>
      </c>
      <c r="AM100" s="64" t="s" ph="1">
        <v>478</v>
      </c>
      <c r="AN100" s="64" t="s" ph="1">
        <v>294</v>
      </c>
      <c r="AO100" s="64" t="s" ph="1">
        <v>259</v>
      </c>
      <c r="AP100" s="64" t="s" ph="1">
        <v>479</v>
      </c>
      <c r="AQ100" s="64" t="s" ph="1">
        <v>300</v>
      </c>
      <c r="AR100" s="64" t="s" ph="1">
        <v>287</v>
      </c>
      <c r="AS100" s="64" t="s" ph="1">
        <v>480</v>
      </c>
      <c r="AT100" s="64" t="s" ph="1">
        <v>367</v>
      </c>
      <c r="AU100" s="64" t="s" ph="1">
        <v>259</v>
      </c>
      <c r="AV100" s="64" t="s" ph="1">
        <v>481</v>
      </c>
      <c r="AW100" s="64" t="s" ph="1">
        <v>367</v>
      </c>
      <c r="AX100" s="64" t="s" ph="1">
        <v>259</v>
      </c>
    </row>
    <row r="101" spans="33:52" ph="1">
      <c r="AJ101" s="64" t="s" ph="1">
        <v>482</v>
      </c>
      <c r="AK101" s="64" t="s" ph="1">
        <v>367</v>
      </c>
      <c r="AM101" s="64" t="s" ph="1">
        <v>483</v>
      </c>
      <c r="AN101" s="64" t="s" ph="1">
        <v>225</v>
      </c>
      <c r="AO101" s="64" t="s" ph="1">
        <v>259</v>
      </c>
      <c r="AP101" s="64" t="s" ph="1">
        <v>484</v>
      </c>
      <c r="AQ101" s="64" t="s" ph="1">
        <v>237</v>
      </c>
      <c r="AR101" s="64" t="s" ph="1">
        <v>287</v>
      </c>
      <c r="AS101" s="64" t="s" ph="1">
        <v>485</v>
      </c>
      <c r="AT101" s="64" t="s" ph="1">
        <v>294</v>
      </c>
      <c r="AU101" s="64" t="s" ph="1">
        <v>287</v>
      </c>
      <c r="AV101" s="64" t="s" ph="1">
        <v>486</v>
      </c>
      <c r="AW101" s="64" t="s" ph="1">
        <v>225</v>
      </c>
      <c r="AX101" s="64" t="s" ph="1">
        <v>259</v>
      </c>
    </row>
    <row r="102" spans="33:52" ph="1">
      <c r="AJ102" s="64" t="s" ph="1">
        <v>487</v>
      </c>
      <c r="AK102" s="64" t="s" ph="1">
        <v>222</v>
      </c>
      <c r="AM102" s="64" t="s" ph="1">
        <v>488</v>
      </c>
      <c r="AN102" s="64" t="s" ph="1">
        <v>231</v>
      </c>
      <c r="AO102" s="64" t="s" ph="1">
        <v>259</v>
      </c>
      <c r="AP102" s="64" t="s" ph="1">
        <v>489</v>
      </c>
      <c r="AQ102" s="64" t="s" ph="1">
        <v>237</v>
      </c>
      <c r="AR102" s="64" t="s" ph="1">
        <v>259</v>
      </c>
      <c r="AS102" s="64" t="s" ph="1">
        <v>490</v>
      </c>
      <c r="AT102" s="64" t="s" ph="1">
        <v>254</v>
      </c>
      <c r="AU102" s="64" t="s" ph="1">
        <v>259</v>
      </c>
      <c r="AV102" s="64" t="s" ph="1">
        <v>491</v>
      </c>
      <c r="AW102" s="64" t="s" ph="1">
        <v>272</v>
      </c>
      <c r="AX102" s="64" t="s" ph="1">
        <v>259</v>
      </c>
    </row>
    <row r="103" spans="33:52" ph="1">
      <c r="AH103" s="64" ph="1">
        <v>9</v>
      </c>
      <c r="AI103" s="64" t="s" ph="1">
        <v>492</v>
      </c>
      <c r="AJ103" s="64" t="s" ph="1">
        <v>493</v>
      </c>
      <c r="AK103" s="64" t="s" ph="1">
        <v>367</v>
      </c>
      <c r="AM103" s="64" t="s" ph="1">
        <v>494</v>
      </c>
      <c r="AN103" s="64" t="s" ph="1">
        <v>282</v>
      </c>
      <c r="AO103" s="64" t="s" ph="1">
        <v>259</v>
      </c>
      <c r="AP103" s="64" t="s" ph="1">
        <v>336</v>
      </c>
      <c r="AQ103" s="64" t="s" ph="1">
        <v>225</v>
      </c>
      <c r="AR103" s="64" t="s" ph="1">
        <v>259</v>
      </c>
      <c r="AS103" s="64" t="s" ph="1">
        <v>570</v>
      </c>
      <c r="AT103" s="64" t="s" ph="1">
        <v>367</v>
      </c>
      <c r="AU103" s="64" t="s" ph="1">
        <v>259</v>
      </c>
      <c r="AY103" s="64" t="s" ph="1">
        <v>216</v>
      </c>
      <c r="AZ103" s="64" t="s" ph="1">
        <v>224</v>
      </c>
    </row>
    <row r="104" spans="33:52" ph="1">
      <c r="AZ104" s="64" t="s" ph="1">
        <v>495</v>
      </c>
    </row>
    <row r="105" spans="33:52" ph="1">
      <c r="AG105" s="64" t="s" ph="1">
        <v>295</v>
      </c>
      <c r="AI105" s="64" t="s" ph="1">
        <v>209</v>
      </c>
      <c r="AJ105" s="64" t="s" ph="1">
        <v>210</v>
      </c>
      <c r="AK105" s="64" t="s" ph="1">
        <v>211</v>
      </c>
      <c r="AM105" s="64" t="s" ph="1">
        <v>210</v>
      </c>
      <c r="AN105" s="64" t="s" ph="1">
        <v>211</v>
      </c>
      <c r="AO105" s="64" t="s" ph="1">
        <v>212</v>
      </c>
      <c r="AP105" s="64" t="s" ph="1">
        <v>210</v>
      </c>
      <c r="AQ105" s="64" t="s" ph="1">
        <v>211</v>
      </c>
      <c r="AR105" s="64" t="s" ph="1">
        <v>212</v>
      </c>
      <c r="AS105" s="64" t="s" ph="1">
        <v>210</v>
      </c>
      <c r="AT105" s="64" t="s" ph="1">
        <v>211</v>
      </c>
      <c r="AU105" s="64" t="s" ph="1">
        <v>212</v>
      </c>
      <c r="AV105" s="64" t="s" ph="1">
        <v>210</v>
      </c>
      <c r="AW105" s="64" t="s" ph="1">
        <v>211</v>
      </c>
      <c r="AX105" s="64" t="s" ph="1">
        <v>212</v>
      </c>
      <c r="AZ105" s="64" t="s" ph="1">
        <v>213</v>
      </c>
    </row>
    <row r="106" spans="33:52" ph="1">
      <c r="AH106" s="64" ph="1">
        <v>1</v>
      </c>
      <c r="AI106" s="64" t="s" ph="1">
        <v>496</v>
      </c>
      <c r="AJ106" s="64" t="s" ph="1">
        <v>570</v>
      </c>
      <c r="AK106" s="64" t="s" ph="1">
        <v>231</v>
      </c>
      <c r="AZ106" s="64" t="s" ph="1">
        <v>231</v>
      </c>
    </row>
    <row r="107" spans="33:52" ph="1">
      <c r="AH107" s="64" ph="1">
        <v>2</v>
      </c>
      <c r="AI107" s="64" t="s" ph="1">
        <v>497</v>
      </c>
      <c r="AJ107" s="64" t="s" ph="1">
        <v>498</v>
      </c>
      <c r="AK107" s="64" t="s" ph="1">
        <v>228</v>
      </c>
      <c r="AM107" s="64" t="s" ph="1">
        <v>334</v>
      </c>
      <c r="AN107" s="64" t="s" ph="1">
        <v>499</v>
      </c>
      <c r="AO107" s="64" t="s" ph="1">
        <v>500</v>
      </c>
      <c r="AP107" s="64" t="s" ph="1">
        <v>336</v>
      </c>
      <c r="AQ107" s="64" t="s" ph="1">
        <v>304</v>
      </c>
      <c r="AR107" s="64" t="s" ph="1">
        <v>500</v>
      </c>
      <c r="AS107" s="64" t="s" ph="1">
        <v>570</v>
      </c>
      <c r="AT107" s="64" t="s" ph="1">
        <v>499</v>
      </c>
      <c r="AU107" s="64" t="s" ph="1">
        <v>500</v>
      </c>
      <c r="AY107" s="64" t="s" ph="1">
        <v>216</v>
      </c>
      <c r="AZ107" s="64" t="s" ph="1">
        <v>580</v>
      </c>
    </row>
    <row r="108" spans="33:52" ph="1">
      <c r="AH108" s="64" ph="1">
        <v>3</v>
      </c>
      <c r="AI108" s="64" t="s" ph="1">
        <v>501</v>
      </c>
      <c r="AY108" s="64" t="s" ph="1">
        <v>216</v>
      </c>
      <c r="AZ108" s="64" t="s" ph="1">
        <v>367</v>
      </c>
    </row>
    <row r="109" spans="33:52" ph="1">
      <c r="AH109" s="64" ph="1">
        <v>4</v>
      </c>
      <c r="AI109" s="64" t="s" ph="1">
        <v>502</v>
      </c>
      <c r="AY109" s="64" t="s" ph="1">
        <v>216</v>
      </c>
      <c r="AZ109" s="64" t="s" ph="1">
        <v>367</v>
      </c>
    </row>
    <row r="110" spans="33:52" ph="1">
      <c r="AH110" s="64" ph="1">
        <v>5</v>
      </c>
      <c r="AI110" s="64" t="s" ph="1">
        <v>503</v>
      </c>
      <c r="AY110" s="64" t="s" ph="1">
        <v>216</v>
      </c>
      <c r="AZ110" s="64" t="s" ph="1">
        <v>367</v>
      </c>
    </row>
    <row r="111" spans="33:52" ph="1">
      <c r="AH111" s="64" ph="1">
        <v>6</v>
      </c>
      <c r="AI111" s="64" t="s" ph="1">
        <v>581</v>
      </c>
      <c r="AJ111" s="64" t="s" ph="1">
        <v>486</v>
      </c>
      <c r="AK111" s="64" t="s" ph="1">
        <v>225</v>
      </c>
      <c r="AM111" s="64" t="s" ph="1">
        <v>487</v>
      </c>
      <c r="AN111" s="64" t="s" ph="1">
        <v>219</v>
      </c>
      <c r="AO111" s="64" t="s" ph="1">
        <v>500</v>
      </c>
      <c r="AP111" s="64" t="s" ph="1">
        <v>488</v>
      </c>
      <c r="AQ111" s="64" t="s" ph="1">
        <v>228</v>
      </c>
      <c r="AR111" s="64" t="s" ph="1">
        <v>500</v>
      </c>
      <c r="AS111" s="64" t="s" ph="1">
        <v>489</v>
      </c>
      <c r="AT111" s="64" t="s" ph="1">
        <v>237</v>
      </c>
      <c r="AU111" s="64" t="s" ph="1">
        <v>500</v>
      </c>
      <c r="AV111" s="64" t="s" ph="1">
        <v>490</v>
      </c>
      <c r="AW111" s="64" t="s" ph="1">
        <v>227</v>
      </c>
      <c r="AX111" s="64" t="s" ph="1">
        <v>500</v>
      </c>
      <c r="AY111" s="64" t="s" ph="1">
        <v>216</v>
      </c>
      <c r="AZ111" s="64" t="s" ph="1">
        <v>504</v>
      </c>
    </row>
    <row r="112" spans="33:52" ph="1">
      <c r="AJ112" s="64" t="s" ph="1">
        <v>491</v>
      </c>
      <c r="AK112" s="64" t="s" ph="1">
        <v>272</v>
      </c>
      <c r="AM112" s="64" t="s" ph="1">
        <v>493</v>
      </c>
      <c r="AN112" s="64" t="s" ph="1">
        <v>296</v>
      </c>
      <c r="AO112" s="64" t="s" ph="1">
        <v>500</v>
      </c>
      <c r="AP112" s="64" t="s" ph="1">
        <v>494</v>
      </c>
      <c r="AQ112" s="64" t="s" ph="1">
        <v>505</v>
      </c>
      <c r="AR112" s="64" t="s" ph="1">
        <v>500</v>
      </c>
      <c r="AS112" s="64" t="s" ph="1">
        <v>506</v>
      </c>
      <c r="AT112" s="64" t="s" ph="1">
        <v>248</v>
      </c>
      <c r="AU112" s="64" t="s" ph="1">
        <v>500</v>
      </c>
      <c r="AV112" s="64" t="s" ph="1">
        <v>507</v>
      </c>
      <c r="AW112" s="64" t="s" ph="1">
        <v>294</v>
      </c>
      <c r="AX112" s="64" t="s" ph="1">
        <v>500</v>
      </c>
    </row>
    <row r="113" spans="33:52" ph="1">
      <c r="AH113" s="64" ph="1">
        <v>7</v>
      </c>
      <c r="AI113" s="64" t="s" ph="1">
        <v>508</v>
      </c>
      <c r="AJ113" s="64" t="s" ph="1">
        <v>589</v>
      </c>
      <c r="AK113" s="64" t="s" ph="1">
        <v>594</v>
      </c>
      <c r="AY113" s="64" t="s" ph="1">
        <v>216</v>
      </c>
      <c r="AZ113" s="64" t="s" ph="1">
        <v>594</v>
      </c>
    </row>
    <row r="114" spans="33:52" ph="1">
      <c r="AH114" s="64" ph="1">
        <v>8</v>
      </c>
      <c r="AI114" s="64" t="s" ph="1">
        <v>509</v>
      </c>
      <c r="AJ114" s="64" t="s" ph="1">
        <v>589</v>
      </c>
      <c r="AK114" s="64" t="s" ph="1">
        <v>595</v>
      </c>
      <c r="AY114" s="64" t="s" ph="1">
        <v>216</v>
      </c>
      <c r="AZ114" s="64" t="s" ph="1">
        <v>595</v>
      </c>
    </row>
    <row r="115" spans="33:52" ph="1">
      <c r="AH115" s="64" ph="1">
        <v>9</v>
      </c>
      <c r="AI115" s="64" t="s" ph="1">
        <v>510</v>
      </c>
      <c r="AJ115" s="64" t="s" ph="1">
        <v>589</v>
      </c>
      <c r="AK115" s="64" t="s" ph="1">
        <v>595</v>
      </c>
      <c r="AY115" s="64" t="s" ph="1">
        <v>216</v>
      </c>
      <c r="AZ115" s="64" t="s" ph="1">
        <v>595</v>
      </c>
    </row>
    <row r="116" spans="33:52" ph="1">
      <c r="AH116" s="64" ph="1">
        <v>10</v>
      </c>
      <c r="AI116" s="64" t="s" ph="1">
        <v>511</v>
      </c>
      <c r="AJ116" s="64" t="s" ph="1">
        <v>589</v>
      </c>
      <c r="AK116" s="64" t="s" ph="1">
        <v>595</v>
      </c>
      <c r="AY116" s="64" t="s" ph="1">
        <v>216</v>
      </c>
      <c r="AZ116" s="64" t="s" ph="1">
        <v>595</v>
      </c>
    </row>
    <row r="117" spans="33:52" ph="1">
      <c r="AH117" s="64" ph="1">
        <v>11</v>
      </c>
      <c r="AI117" s="64" t="s" ph="1">
        <v>512</v>
      </c>
      <c r="AJ117" s="64" t="s" ph="1">
        <v>589</v>
      </c>
      <c r="AK117" s="64" t="s" ph="1">
        <v>595</v>
      </c>
      <c r="AY117" s="64" t="s" ph="1">
        <v>216</v>
      </c>
      <c r="AZ117" s="64" t="s" ph="1">
        <v>595</v>
      </c>
    </row>
    <row r="118" spans="33:52" ph="1">
      <c r="AZ118" s="64" t="s" ph="1">
        <v>596</v>
      </c>
    </row>
    <row r="119" spans="33:52" ph="1">
      <c r="AI119" s="64" t="s" ph="1">
        <v>209</v>
      </c>
      <c r="AJ119" s="64" t="s" ph="1">
        <v>210</v>
      </c>
      <c r="AK119" s="64" t="s" ph="1">
        <v>211</v>
      </c>
      <c r="AM119" s="64" t="s" ph="1">
        <v>210</v>
      </c>
      <c r="AN119" s="64" t="s" ph="1">
        <v>211</v>
      </c>
      <c r="AO119" s="64" t="s" ph="1">
        <v>212</v>
      </c>
      <c r="AP119" s="64" t="s" ph="1">
        <v>210</v>
      </c>
      <c r="AQ119" s="64" t="s" ph="1">
        <v>211</v>
      </c>
      <c r="AR119" s="64" t="s" ph="1">
        <v>212</v>
      </c>
      <c r="AS119" s="64" t="s" ph="1">
        <v>210</v>
      </c>
      <c r="AT119" s="64" t="s" ph="1">
        <v>211</v>
      </c>
      <c r="AU119" s="64" t="s" ph="1">
        <v>212</v>
      </c>
      <c r="AV119" s="64" t="s" ph="1">
        <v>210</v>
      </c>
      <c r="AW119" s="64" t="s" ph="1">
        <v>211</v>
      </c>
      <c r="AX119" s="64" t="s" ph="1">
        <v>212</v>
      </c>
      <c r="AY119" s="64" t="s" ph="1">
        <v>211</v>
      </c>
      <c r="AZ119" s="64" t="s" ph="1">
        <v>213</v>
      </c>
    </row>
    <row r="120" spans="33:52" ph="1">
      <c r="AG120" s="64" t="s" ph="1">
        <v>353</v>
      </c>
      <c r="AH120" s="64" ph="1">
        <v>1</v>
      </c>
      <c r="AI120" s="64" t="s" ph="1">
        <v>513</v>
      </c>
      <c r="AJ120" s="64" t="s" ph="1">
        <v>587</v>
      </c>
      <c r="AK120" s="64" t="s" ph="1">
        <v>367</v>
      </c>
      <c r="AY120" s="64" t="s" ph="1">
        <v>216</v>
      </c>
      <c r="AZ120" s="64" t="s" ph="1">
        <v>367</v>
      </c>
    </row>
    <row r="121" spans="33:52" ph="1">
      <c r="AH121" s="64" ph="1">
        <v>2</v>
      </c>
      <c r="AI121" s="64" t="s" ph="1">
        <v>514</v>
      </c>
      <c r="AY121" s="64" t="s" ph="1">
        <v>216</v>
      </c>
      <c r="AZ121" s="64" t="s" ph="1">
        <v>367</v>
      </c>
    </row>
    <row r="122" spans="33:52" ph="1">
      <c r="AH122" s="64" ph="1">
        <v>3</v>
      </c>
      <c r="AI122" s="64" t="s" ph="1">
        <v>515</v>
      </c>
      <c r="AJ122" s="64" t="s" ph="1">
        <v>570</v>
      </c>
      <c r="AK122" s="64" t="s" ph="1">
        <v>582</v>
      </c>
      <c r="AM122" s="64" t="s" ph="1">
        <v>597</v>
      </c>
      <c r="AN122" s="64" t="s" ph="1">
        <v>590</v>
      </c>
      <c r="AO122" s="64" t="s" ph="1">
        <v>91</v>
      </c>
      <c r="AY122" s="64" t="s" ph="1">
        <v>216</v>
      </c>
      <c r="AZ122" s="64" t="s" ph="1">
        <v>579</v>
      </c>
    </row>
    <row r="123" spans="33:52" ph="1">
      <c r="AY123" s="64" t="s" ph="1">
        <v>216</v>
      </c>
      <c r="AZ123" s="64" t="s" ph="1">
        <v>579</v>
      </c>
    </row>
    <row r="124" spans="33:52" ph="1">
      <c r="AG124" s="64" t="s" ph="1">
        <v>356</v>
      </c>
      <c r="AH124" s="64" ph="1">
        <v>4</v>
      </c>
      <c r="AI124" s="64" t="s" ph="1">
        <v>516</v>
      </c>
      <c r="AJ124" s="64" t="s" ph="1">
        <v>517</v>
      </c>
      <c r="AK124" s="64" t="s" ph="1">
        <v>518</v>
      </c>
      <c r="AY124" s="64" t="s" ph="1">
        <v>216</v>
      </c>
      <c r="AZ124" s="64" t="s" ph="1">
        <v>518</v>
      </c>
    </row>
    <row r="125" spans="33:52" ph="1">
      <c r="AH125" s="64" ph="1">
        <v>5</v>
      </c>
      <c r="AI125" s="64" t="s" ph="1">
        <v>519</v>
      </c>
      <c r="AJ125" s="64" t="s" ph="1">
        <v>517</v>
      </c>
      <c r="AK125" s="64" t="s" ph="1">
        <v>518</v>
      </c>
      <c r="AY125" s="64" t="s" ph="1">
        <v>216</v>
      </c>
      <c r="AZ125" s="64" t="s" ph="1">
        <v>518</v>
      </c>
    </row>
    <row r="126" spans="33:52" ph="1">
      <c r="AH126" s="64" ph="1">
        <v>6</v>
      </c>
      <c r="AI126" s="64" t="s" ph="1">
        <v>520</v>
      </c>
      <c r="AJ126" s="64" t="s" ph="1">
        <v>589</v>
      </c>
      <c r="AK126" s="64" t="s" ph="1">
        <v>598</v>
      </c>
      <c r="AY126" s="64" t="s" ph="1">
        <v>216</v>
      </c>
      <c r="AZ126" s="64" t="s" ph="1">
        <v>598</v>
      </c>
    </row>
    <row r="127" spans="33:52" ph="1">
      <c r="AH127" s="64" ph="1">
        <v>7</v>
      </c>
      <c r="AI127" s="64" t="s" ph="1">
        <v>521</v>
      </c>
      <c r="AJ127" s="64" t="s" ph="1">
        <v>589</v>
      </c>
      <c r="AK127" s="64" t="s" ph="1">
        <v>599</v>
      </c>
      <c r="AY127" s="64" t="s" ph="1">
        <v>216</v>
      </c>
      <c r="AZ127" s="64" t="s" ph="1">
        <v>599</v>
      </c>
    </row>
    <row r="128" spans="33:52" ph="1">
      <c r="AH128" s="64" ph="1">
        <v>8</v>
      </c>
      <c r="AI128" s="64" t="s" ph="1">
        <v>522</v>
      </c>
      <c r="AY128" s="64" t="s" ph="1">
        <v>216</v>
      </c>
      <c r="AZ128" s="64" t="s" ph="1">
        <v>367</v>
      </c>
    </row>
    <row r="129" spans="33:52" ph="1">
      <c r="AH129" s="64" ph="1">
        <v>9</v>
      </c>
      <c r="AI129" s="64" t="s" ph="1">
        <v>523</v>
      </c>
      <c r="AY129" s="64" t="s" ph="1">
        <v>216</v>
      </c>
      <c r="AZ129" s="64" t="s" ph="1">
        <v>367</v>
      </c>
    </row>
    <row r="130" spans="33:52" ph="1">
      <c r="AH130" s="64" ph="1">
        <v>10</v>
      </c>
      <c r="AI130" s="64" t="s" ph="1">
        <v>524</v>
      </c>
      <c r="AY130" s="64" t="s" ph="1">
        <v>216</v>
      </c>
      <c r="AZ130" s="64" t="s" ph="1">
        <v>367</v>
      </c>
    </row>
    <row r="131" spans="33:52" ph="1">
      <c r="AH131" s="64" ph="1">
        <v>11</v>
      </c>
      <c r="AI131" s="64" t="s" ph="1">
        <v>525</v>
      </c>
      <c r="AJ131" s="64" t="s" ph="1">
        <v>583</v>
      </c>
      <c r="AK131" s="64" t="s" ph="1">
        <v>579</v>
      </c>
      <c r="AY131" s="64" t="s" ph="1">
        <v>216</v>
      </c>
      <c r="AZ131" s="64" t="s" ph="1">
        <v>579</v>
      </c>
    </row>
    <row r="132" spans="33:52" ph="1">
      <c r="AH132" s="64" ph="1">
        <v>12</v>
      </c>
      <c r="AI132" s="64" t="s" ph="1">
        <v>526</v>
      </c>
      <c r="AJ132" s="64" t="s" ph="1">
        <v>583</v>
      </c>
      <c r="AK132" s="64" t="s" ph="1">
        <v>518</v>
      </c>
      <c r="AY132" s="64" t="s" ph="1">
        <v>216</v>
      </c>
      <c r="AZ132" s="64" t="s" ph="1">
        <v>518</v>
      </c>
    </row>
    <row r="133" spans="33:52" ph="1">
      <c r="AH133" s="64" ph="1">
        <v>13</v>
      </c>
      <c r="AI133" s="64" t="s" ph="1">
        <v>527</v>
      </c>
      <c r="AJ133" s="64" t="s" ph="1">
        <v>583</v>
      </c>
      <c r="AK133" s="64" t="s" ph="1">
        <v>584</v>
      </c>
      <c r="AY133" s="64" t="s" ph="1">
        <v>216</v>
      </c>
      <c r="AZ133" s="64" t="s" ph="1">
        <v>584</v>
      </c>
    </row>
    <row r="134" spans="33:52" ph="1">
      <c r="AH134" s="64" ph="1">
        <v>14</v>
      </c>
      <c r="AI134" s="64" t="s" ph="1">
        <v>528</v>
      </c>
      <c r="AJ134" s="64" t="s" ph="1">
        <v>583</v>
      </c>
      <c r="AK134" s="64" t="s" ph="1">
        <v>585</v>
      </c>
      <c r="AY134" s="64" t="s" ph="1">
        <v>216</v>
      </c>
      <c r="AZ134" s="64" t="s" ph="1">
        <v>585</v>
      </c>
    </row>
    <row r="135" spans="33:52" ph="1">
      <c r="AH135" s="64" ph="1">
        <v>15</v>
      </c>
      <c r="AI135" s="64" t="s" ph="1">
        <v>529</v>
      </c>
      <c r="AJ135" s="64" t="s" ph="1">
        <v>583</v>
      </c>
      <c r="AK135" s="64" t="s" ph="1">
        <v>586</v>
      </c>
      <c r="AY135" s="64" t="s" ph="1">
        <v>216</v>
      </c>
      <c r="AZ135" s="64" t="s" ph="1">
        <v>586</v>
      </c>
    </row>
    <row r="136" spans="33:52" ph="1">
      <c r="AZ136" s="64" t="s" ph="1">
        <v>600</v>
      </c>
    </row>
    <row r="137" spans="33:52" ph="1">
      <c r="AG137" s="64" t="s" ph="1">
        <v>290</v>
      </c>
      <c r="AI137" s="64" t="s" ph="1">
        <v>209</v>
      </c>
      <c r="AJ137" s="64" t="s" ph="1">
        <v>210</v>
      </c>
      <c r="AK137" s="64" t="s" ph="1">
        <v>211</v>
      </c>
      <c r="AM137" s="64" t="s" ph="1">
        <v>210</v>
      </c>
      <c r="AN137" s="64" t="s" ph="1">
        <v>211</v>
      </c>
      <c r="AO137" s="64" t="s" ph="1">
        <v>212</v>
      </c>
      <c r="AP137" s="64" t="s" ph="1">
        <v>210</v>
      </c>
      <c r="AQ137" s="64" t="s" ph="1">
        <v>211</v>
      </c>
      <c r="AR137" s="64" t="s" ph="1">
        <v>212</v>
      </c>
      <c r="AS137" s="64" t="s" ph="1">
        <v>210</v>
      </c>
      <c r="AT137" s="64" t="s" ph="1">
        <v>211</v>
      </c>
      <c r="AU137" s="64" t="s" ph="1">
        <v>212</v>
      </c>
      <c r="AV137" s="64" t="s" ph="1">
        <v>210</v>
      </c>
      <c r="AW137" s="64" t="s" ph="1">
        <v>211</v>
      </c>
      <c r="AX137" s="64" t="s" ph="1">
        <v>212</v>
      </c>
      <c r="AY137" s="64" t="s" ph="1">
        <v>211</v>
      </c>
      <c r="AZ137" s="64" t="s" ph="1">
        <v>213</v>
      </c>
    </row>
    <row r="138" spans="33:52" ph="1">
      <c r="AH138" s="64" ph="1">
        <v>1</v>
      </c>
      <c r="AI138" s="64" t="s" ph="1">
        <v>530</v>
      </c>
      <c r="AJ138" s="64" t="s" ph="1">
        <v>531</v>
      </c>
      <c r="AK138" s="64" t="s" ph="1">
        <v>532</v>
      </c>
      <c r="AY138" s="64" t="s" ph="1">
        <v>216</v>
      </c>
      <c r="AZ138" s="64" t="s" ph="1">
        <v>532</v>
      </c>
    </row>
    <row r="139" spans="33:52" ph="1">
      <c r="AH139" s="64" ph="1">
        <v>2</v>
      </c>
      <c r="AI139" s="64" t="s" ph="1">
        <v>533</v>
      </c>
      <c r="AJ139" s="64" t="s" ph="1">
        <v>589</v>
      </c>
      <c r="AK139" s="64" t="s" ph="1">
        <v>601</v>
      </c>
      <c r="AY139" s="64" t="s" ph="1">
        <v>216</v>
      </c>
      <c r="AZ139" s="64" t="s" ph="1">
        <v>601</v>
      </c>
    </row>
    <row r="140" spans="33:52" ph="1">
      <c r="AH140" s="64" ph="1">
        <v>3</v>
      </c>
      <c r="AI140" s="64" t="s" ph="1">
        <v>534</v>
      </c>
      <c r="AJ140" s="64" t="s" ph="1">
        <v>487</v>
      </c>
      <c r="AK140" s="64" t="s" ph="1">
        <v>299</v>
      </c>
      <c r="AM140" s="64" t="s" ph="1">
        <v>488</v>
      </c>
      <c r="AN140" s="64" t="s" ph="1">
        <v>219</v>
      </c>
      <c r="AO140" s="64" t="s" ph="1">
        <v>535</v>
      </c>
      <c r="AP140" s="64" t="s" ph="1">
        <v>489</v>
      </c>
      <c r="AQ140" s="64" t="s" ph="1">
        <v>236</v>
      </c>
      <c r="AR140" s="64" t="s" ph="1">
        <v>535</v>
      </c>
      <c r="AS140" s="64" t="s" ph="1">
        <v>490</v>
      </c>
      <c r="AT140" s="64" t="s" ph="1">
        <v>229</v>
      </c>
      <c r="AU140" s="64" t="s" ph="1">
        <v>535</v>
      </c>
      <c r="AV140" s="64" t="s" ph="1">
        <v>491</v>
      </c>
      <c r="AW140" s="64" t="s" ph="1">
        <v>222</v>
      </c>
      <c r="AX140" s="64" t="s" ph="1">
        <v>535</v>
      </c>
      <c r="AY140" s="64" t="s" ph="1">
        <v>216</v>
      </c>
      <c r="AZ140" s="64" t="s" ph="1">
        <v>291</v>
      </c>
    </row>
    <row r="141" spans="33:52" ph="1">
      <c r="AJ141" s="64" t="s" ph="1">
        <v>493</v>
      </c>
      <c r="AK141" s="64" t="s" ph="1">
        <v>222</v>
      </c>
      <c r="AM141" s="64" t="s" ph="1">
        <v>494</v>
      </c>
      <c r="AN141" s="64" t="s" ph="1">
        <v>225</v>
      </c>
      <c r="AO141" s="64" t="s" ph="1">
        <v>535</v>
      </c>
      <c r="AP141" s="64" t="s" ph="1">
        <v>506</v>
      </c>
      <c r="AQ141" s="64" t="s" ph="1">
        <v>294</v>
      </c>
      <c r="AR141" s="64" t="s" ph="1">
        <v>535</v>
      </c>
      <c r="AS141" s="64" t="s" ph="1">
        <v>498</v>
      </c>
      <c r="AT141" s="64" t="s" ph="1">
        <v>222</v>
      </c>
      <c r="AU141" s="64" t="s" ph="1">
        <v>535</v>
      </c>
      <c r="AV141" s="64" t="s" ph="1">
        <v>334</v>
      </c>
      <c r="AW141" s="64" t="s" ph="1">
        <v>228</v>
      </c>
      <c r="AX141" s="64" t="s" ph="1">
        <v>535</v>
      </c>
    </row>
    <row r="142" spans="33:52" ph="1">
      <c r="AJ142" s="64" t="s" ph="1">
        <v>536</v>
      </c>
      <c r="AK142" s="64" t="s" ph="1">
        <v>239</v>
      </c>
    </row>
    <row r="143" spans="33:52" ph="1">
      <c r="AH143" s="64" ph="1">
        <v>4</v>
      </c>
      <c r="AI143" s="64" t="s" ph="1">
        <v>537</v>
      </c>
      <c r="AJ143" s="64" t="s" ph="1">
        <v>517</v>
      </c>
      <c r="AK143" s="64" t="s" ph="1">
        <v>538</v>
      </c>
      <c r="AY143" s="64" t="s" ph="1">
        <v>216</v>
      </c>
      <c r="AZ143" s="64" t="s" ph="1">
        <v>538</v>
      </c>
    </row>
    <row r="144" spans="33:52" ph="1">
      <c r="AH144" s="64" ph="1">
        <v>5</v>
      </c>
      <c r="AI144" s="64" t="s" ph="1">
        <v>539</v>
      </c>
      <c r="AY144" s="64" t="s" ph="1">
        <v>216</v>
      </c>
      <c r="AZ144" s="64" t="s" ph="1">
        <v>367</v>
      </c>
    </row>
    <row r="145" spans="33:52" ph="1">
      <c r="AH145" s="64" ph="1">
        <v>6</v>
      </c>
      <c r="AI145" s="64" t="s" ph="1">
        <v>540</v>
      </c>
      <c r="AY145" s="64" t="s" ph="1">
        <v>216</v>
      </c>
      <c r="AZ145" s="64" t="s" ph="1">
        <v>367</v>
      </c>
    </row>
    <row r="146" spans="33:52" ph="1">
      <c r="AH146" s="64" ph="1">
        <v>7</v>
      </c>
      <c r="AI146" s="64" t="s" ph="1">
        <v>541</v>
      </c>
      <c r="AY146" s="64" t="s" ph="1">
        <v>216</v>
      </c>
      <c r="AZ146" s="64" t="s" ph="1">
        <v>367</v>
      </c>
    </row>
    <row r="147" spans="33:52" ph="1">
      <c r="AH147" s="64" ph="1">
        <v>8</v>
      </c>
      <c r="AI147" s="64" t="s" ph="1">
        <v>542</v>
      </c>
      <c r="AY147" s="64" t="s" ph="1">
        <v>216</v>
      </c>
      <c r="AZ147" s="64" t="s" ph="1">
        <v>367</v>
      </c>
    </row>
    <row r="148" spans="33:52" ph="1">
      <c r="AH148" s="64" ph="1">
        <v>9</v>
      </c>
      <c r="AI148" s="64" t="s" ph="1">
        <v>543</v>
      </c>
      <c r="AY148" s="64" t="s" ph="1">
        <v>216</v>
      </c>
      <c r="AZ148" s="64" t="s" ph="1">
        <v>367</v>
      </c>
    </row>
    <row r="149" spans="33:52" ph="1">
      <c r="AH149" s="64" ph="1">
        <v>10</v>
      </c>
      <c r="AI149" s="64" t="s" ph="1">
        <v>544</v>
      </c>
      <c r="AY149" s="64" t="s" ph="1">
        <v>216</v>
      </c>
      <c r="AZ149" s="64" t="s" ph="1">
        <v>367</v>
      </c>
    </row>
    <row r="150" spans="33:52" ph="1">
      <c r="AH150" s="64" ph="1">
        <v>11</v>
      </c>
      <c r="AI150" s="64" t="s" ph="1">
        <v>545</v>
      </c>
      <c r="AY150" s="64" t="s" ph="1">
        <v>216</v>
      </c>
      <c r="AZ150" s="64" t="s" ph="1">
        <v>367</v>
      </c>
    </row>
    <row r="151" spans="33:52" ph="1">
      <c r="AH151" s="64" ph="1">
        <v>12</v>
      </c>
      <c r="AI151" s="64" t="s" ph="1">
        <v>546</v>
      </c>
      <c r="AY151" s="64" t="s" ph="1">
        <v>216</v>
      </c>
      <c r="AZ151" s="64" t="s" ph="1">
        <v>367</v>
      </c>
    </row>
    <row r="152" spans="33:52" ph="1">
      <c r="AH152" s="64" ph="1">
        <v>13</v>
      </c>
      <c r="AI152" s="64" t="s" ph="1">
        <v>547</v>
      </c>
      <c r="AY152" s="64" t="s" ph="1">
        <v>216</v>
      </c>
      <c r="AZ152" s="64" t="s" ph="1">
        <v>367</v>
      </c>
    </row>
    <row r="153" spans="33:52" ph="1">
      <c r="AH153" s="64" ph="1">
        <v>14</v>
      </c>
      <c r="AI153" s="64" t="s" ph="1">
        <v>548</v>
      </c>
      <c r="AY153" s="64" t="s" ph="1">
        <v>216</v>
      </c>
      <c r="AZ153" s="64" t="s" ph="1">
        <v>367</v>
      </c>
    </row>
    <row r="154" spans="33:52" ph="1">
      <c r="AH154" s="64" ph="1">
        <v>15</v>
      </c>
      <c r="AI154" s="64" t="s" ph="1">
        <v>549</v>
      </c>
      <c r="AY154" s="64" t="s" ph="1">
        <v>216</v>
      </c>
      <c r="AZ154" s="64" t="s" ph="1">
        <v>367</v>
      </c>
    </row>
    <row r="155" spans="33:52" ph="1">
      <c r="AH155" s="64" ph="1">
        <v>16</v>
      </c>
      <c r="AI155" s="64" t="s" ph="1">
        <v>550</v>
      </c>
      <c r="AJ155" s="64" t="s" ph="1">
        <v>336</v>
      </c>
      <c r="AK155" s="64" t="s" ph="1">
        <v>231</v>
      </c>
      <c r="AM155" s="64" t="s" ph="1">
        <v>570</v>
      </c>
      <c r="AN155" s="64" t="s" ph="1">
        <v>282</v>
      </c>
      <c r="AO155" s="64" t="s" ph="1">
        <v>535</v>
      </c>
      <c r="AY155" s="64" t="s" ph="1">
        <v>216</v>
      </c>
      <c r="AZ155" s="64" t="s" ph="1">
        <v>223</v>
      </c>
    </row>
    <row r="156" spans="33:52" ph="1">
      <c r="AZ156" s="64" t="s" ph="1">
        <v>602</v>
      </c>
    </row>
    <row r="157" spans="33:52" ph="1">
      <c r="AG157" s="64" t="s" ph="1">
        <v>551</v>
      </c>
      <c r="AI157" s="64" t="s" ph="1">
        <v>209</v>
      </c>
      <c r="AJ157" s="64" t="s" ph="1">
        <v>210</v>
      </c>
      <c r="AK157" s="64" t="s" ph="1">
        <v>211</v>
      </c>
      <c r="AM157" s="64" t="s" ph="1">
        <v>210</v>
      </c>
      <c r="AN157" s="64" t="s" ph="1">
        <v>211</v>
      </c>
      <c r="AO157" s="64" t="s" ph="1">
        <v>212</v>
      </c>
      <c r="AP157" s="64" t="s" ph="1">
        <v>210</v>
      </c>
      <c r="AQ157" s="64" t="s" ph="1">
        <v>211</v>
      </c>
      <c r="AR157" s="64" t="s" ph="1">
        <v>212</v>
      </c>
      <c r="AS157" s="64" t="s" ph="1">
        <v>210</v>
      </c>
      <c r="AT157" s="64" t="s" ph="1">
        <v>211</v>
      </c>
      <c r="AU157" s="64" t="s" ph="1">
        <v>212</v>
      </c>
      <c r="AV157" s="64" t="s" ph="1">
        <v>210</v>
      </c>
      <c r="AW157" s="64" t="s" ph="1">
        <v>211</v>
      </c>
      <c r="AX157" s="64" t="s" ph="1">
        <v>212</v>
      </c>
      <c r="AY157" s="64" t="s" ph="1">
        <v>211</v>
      </c>
      <c r="AZ157" s="64" t="s" ph="1">
        <v>213</v>
      </c>
    </row>
    <row r="158" spans="33:52" ph="1">
      <c r="AH158" s="64" ph="1">
        <v>1</v>
      </c>
      <c r="AI158" s="64" t="s" ph="1">
        <v>552</v>
      </c>
      <c r="AY158" s="64" t="s" ph="1">
        <v>216</v>
      </c>
      <c r="AZ158" s="64" t="s" ph="1">
        <v>367</v>
      </c>
    </row>
    <row r="159" spans="33:52" ph="1">
      <c r="AH159" s="64" ph="1">
        <v>2</v>
      </c>
      <c r="AI159" s="64" t="s" ph="1">
        <v>553</v>
      </c>
      <c r="AY159" s="64" t="s" ph="1">
        <v>216</v>
      </c>
      <c r="AZ159" s="64" t="s" ph="1">
        <v>367</v>
      </c>
    </row>
    <row r="160" spans="33:52" ph="1">
      <c r="AZ160" s="64" t="s" ph="1">
        <v>385</v>
      </c>
    </row>
    <row r="161" spans="33:52" ph="1">
      <c r="AG161" s="64" t="s" ph="1">
        <v>361</v>
      </c>
      <c r="AI161" s="64" t="s" ph="1">
        <v>209</v>
      </c>
      <c r="AJ161" s="64" t="s" ph="1">
        <v>210</v>
      </c>
      <c r="AK161" s="64" t="s" ph="1">
        <v>211</v>
      </c>
      <c r="AM161" s="64" t="s" ph="1">
        <v>210</v>
      </c>
      <c r="AN161" s="64" t="s" ph="1">
        <v>211</v>
      </c>
      <c r="AO161" s="64" t="s" ph="1">
        <v>212</v>
      </c>
      <c r="AP161" s="64" t="s" ph="1">
        <v>210</v>
      </c>
      <c r="AQ161" s="64" t="s" ph="1">
        <v>211</v>
      </c>
      <c r="AR161" s="64" t="s" ph="1">
        <v>212</v>
      </c>
      <c r="AS161" s="64" t="s" ph="1">
        <v>210</v>
      </c>
      <c r="AT161" s="64" t="s" ph="1">
        <v>211</v>
      </c>
      <c r="AU161" s="64" t="s" ph="1">
        <v>212</v>
      </c>
      <c r="AV161" s="64" t="s" ph="1">
        <v>210</v>
      </c>
      <c r="AW161" s="64" t="s" ph="1">
        <v>211</v>
      </c>
      <c r="AX161" s="64" t="s" ph="1">
        <v>212</v>
      </c>
      <c r="AY161" s="64" t="s" ph="1">
        <v>211</v>
      </c>
      <c r="AZ161" s="64" t="s" ph="1">
        <v>213</v>
      </c>
    </row>
    <row r="162" spans="33:52" ph="1">
      <c r="AH162" s="64" ph="1">
        <v>1</v>
      </c>
      <c r="AI162" s="64" t="s" ph="1">
        <v>554</v>
      </c>
      <c r="AJ162" s="64" t="s" ph="1">
        <v>555</v>
      </c>
      <c r="AK162" s="64" t="s" ph="1">
        <v>499</v>
      </c>
      <c r="AM162" s="64" t="s" ph="1">
        <v>556</v>
      </c>
      <c r="AN162" s="64" t="s" ph="1">
        <v>220</v>
      </c>
      <c r="AO162" s="64" t="s" ph="1">
        <v>557</v>
      </c>
      <c r="AY162" s="64" t="s" ph="1">
        <v>216</v>
      </c>
      <c r="AZ162" s="64" t="s" ph="1">
        <v>292</v>
      </c>
    </row>
    <row r="163" spans="33:52" ph="1">
      <c r="AH163" s="64" ph="1">
        <v>2</v>
      </c>
      <c r="AI163" s="64" t="s" ph="1">
        <v>558</v>
      </c>
      <c r="AJ163" s="64" t="s" ph="1">
        <v>555</v>
      </c>
      <c r="AK163" s="64" t="s" ph="1">
        <v>388</v>
      </c>
      <c r="AY163" s="64" t="s" ph="1">
        <v>216</v>
      </c>
      <c r="AZ163" s="64" t="s" ph="1">
        <v>388</v>
      </c>
    </row>
    <row r="164" spans="33:52" ph="1">
      <c r="AH164" s="64" ph="1">
        <v>3</v>
      </c>
      <c r="AI164" s="64" t="s" ph="1">
        <v>559</v>
      </c>
      <c r="AJ164" s="64" t="s" ph="1">
        <v>555</v>
      </c>
      <c r="AK164" s="64" t="s" ph="1">
        <v>292</v>
      </c>
      <c r="AY164" s="64" t="s" ph="1">
        <v>216</v>
      </c>
      <c r="AZ164" s="64" t="s" ph="1">
        <v>292</v>
      </c>
    </row>
    <row r="165" spans="33:52" ph="1">
      <c r="AH165" s="64" ph="1">
        <v>4</v>
      </c>
      <c r="AI165" s="64" t="s" ph="1">
        <v>560</v>
      </c>
      <c r="AY165" s="64" t="s" ph="1">
        <v>216</v>
      </c>
      <c r="AZ165" s="64" t="s" ph="1">
        <v>367</v>
      </c>
    </row>
    <row r="166" spans="33:52" ph="1">
      <c r="AH166" s="64" ph="1">
        <v>5</v>
      </c>
      <c r="AI166" s="64" t="s" ph="1">
        <v>561</v>
      </c>
      <c r="AY166" s="64" t="s" ph="1">
        <v>216</v>
      </c>
      <c r="AZ166" s="64" t="s" ph="1">
        <v>367</v>
      </c>
    </row>
    <row r="167" spans="33:52" ph="1">
      <c r="AZ167" s="64" t="s" ph="1">
        <v>562</v>
      </c>
    </row>
    <row r="168" spans="33:52" ph="1">
      <c r="AG168" s="64" t="s" ph="1">
        <v>305</v>
      </c>
      <c r="AI168" s="64" t="s" ph="1">
        <v>209</v>
      </c>
      <c r="AJ168" s="64" t="s" ph="1">
        <v>210</v>
      </c>
      <c r="AK168" s="64" t="s" ph="1">
        <v>211</v>
      </c>
      <c r="AM168" s="64" t="s" ph="1">
        <v>210</v>
      </c>
      <c r="AN168" s="64" t="s" ph="1">
        <v>211</v>
      </c>
      <c r="AO168" s="64" t="s" ph="1">
        <v>212</v>
      </c>
      <c r="AP168" s="64" t="s" ph="1">
        <v>210</v>
      </c>
      <c r="AQ168" s="64" t="s" ph="1">
        <v>211</v>
      </c>
      <c r="AR168" s="64" t="s" ph="1">
        <v>212</v>
      </c>
      <c r="AS168" s="64" t="s" ph="1">
        <v>210</v>
      </c>
      <c r="AT168" s="64" t="s" ph="1">
        <v>211</v>
      </c>
      <c r="AU168" s="64" t="s" ph="1">
        <v>212</v>
      </c>
      <c r="AV168" s="64" t="s" ph="1">
        <v>210</v>
      </c>
      <c r="AW168" s="64" t="s" ph="1">
        <v>211</v>
      </c>
      <c r="AX168" s="64" t="s" ph="1">
        <v>212</v>
      </c>
      <c r="AY168" s="64" t="s" ph="1">
        <v>211</v>
      </c>
      <c r="AZ168" s="64" t="s" ph="1">
        <v>213</v>
      </c>
    </row>
    <row r="169" spans="33:52" ph="1">
      <c r="AH169" s="64" ph="1">
        <v>1</v>
      </c>
      <c r="AI169" s="64" t="s" ph="1">
        <v>563</v>
      </c>
      <c r="AY169" s="64" t="s" ph="1">
        <v>216</v>
      </c>
      <c r="AZ169" s="64" t="s" ph="1">
        <v>367</v>
      </c>
    </row>
    <row r="170" spans="33:52" ph="1">
      <c r="AH170" s="64" ph="1">
        <v>2</v>
      </c>
      <c r="AI170" s="64" t="s" ph="1">
        <v>564</v>
      </c>
      <c r="AY170" s="64" t="s" ph="1">
        <v>216</v>
      </c>
      <c r="AZ170" s="64" t="s" ph="1">
        <v>367</v>
      </c>
    </row>
    <row r="171" spans="33:52" ph="1">
      <c r="AH171" s="64" ph="1">
        <v>3</v>
      </c>
      <c r="AI171" s="64" t="s" ph="1">
        <v>565</v>
      </c>
      <c r="AY171" s="64" t="s" ph="1">
        <v>216</v>
      </c>
      <c r="AZ171" s="64" t="s" ph="1">
        <v>367</v>
      </c>
    </row>
    <row r="172" spans="33:52" ph="1">
      <c r="AH172" s="64" ph="1">
        <v>4</v>
      </c>
      <c r="AI172" s="64" t="s" ph="1">
        <v>566</v>
      </c>
      <c r="AY172" s="64" t="s" ph="1">
        <v>216</v>
      </c>
      <c r="AZ172" s="64" t="s" ph="1">
        <v>367</v>
      </c>
    </row>
    <row r="173" spans="33:52" ph="1">
      <c r="AH173" s="64" ph="1">
        <v>5</v>
      </c>
      <c r="AI173" s="64" t="s" ph="1">
        <v>567</v>
      </c>
      <c r="AY173" s="64" t="s" ph="1">
        <v>216</v>
      </c>
      <c r="AZ173" s="64" t="s" ph="1">
        <v>367</v>
      </c>
    </row>
    <row r="174" spans="33:52" ph="1">
      <c r="AZ174" s="64" t="s" ph="1">
        <v>385</v>
      </c>
    </row>
    <row r="175" spans="33:52" ph="1">
      <c r="AJ175" s="64" t="s" ph="1">
        <v>306</v>
      </c>
    </row>
    <row r="176" spans="33:52" ph="1">
      <c r="AJ176" s="64" t="s" ph="1">
        <v>307</v>
      </c>
      <c r="AK176" s="64" t="s" ph="1">
        <v>308</v>
      </c>
      <c r="AM176" s="64" t="s" ph="1">
        <v>309</v>
      </c>
      <c r="AO176" s="64" t="s" ph="1">
        <v>310</v>
      </c>
      <c r="AP176" s="64" t="s" ph="1">
        <v>311</v>
      </c>
      <c r="AQ176" s="64" t="s" ph="1">
        <v>301</v>
      </c>
      <c r="AR176" s="64" t="s" ph="1">
        <v>221</v>
      </c>
    </row>
    <row r="177" spans="36:56" ph="1">
      <c r="AJ177" s="64" t="s" ph="1">
        <v>603</v>
      </c>
      <c r="AK177" s="64" t="s" ph="1">
        <v>312</v>
      </c>
      <c r="AO177" s="64" t="s" ph="1">
        <v>312</v>
      </c>
      <c r="AP177" s="64" t="s" ph="1">
        <v>312</v>
      </c>
      <c r="AQ177" s="64" t="s" ph="1">
        <v>313</v>
      </c>
      <c r="AR177" s="64" t="s" ph="1">
        <v>314</v>
      </c>
    </row>
    <row r="179" spans="36:56" ph="1">
      <c r="AJ179" s="64" t="s" ph="1">
        <v>315</v>
      </c>
      <c r="AK179" s="64" t="s" ph="1">
        <v>316</v>
      </c>
      <c r="AM179" s="64" t="s" ph="1">
        <v>317</v>
      </c>
      <c r="AN179" s="64" t="s" ph="1">
        <v>293</v>
      </c>
      <c r="AO179" s="64" t="s" ph="1">
        <v>318</v>
      </c>
      <c r="AP179" s="64" t="s" ph="1">
        <v>297</v>
      </c>
      <c r="AQ179" s="64" t="s" ph="1">
        <v>319</v>
      </c>
      <c r="AR179" s="64" t="s" ph="1">
        <v>320</v>
      </c>
    </row>
    <row r="180" spans="36:56" ph="1">
      <c r="AJ180" s="64" t="s" ph="1">
        <v>312</v>
      </c>
      <c r="AK180" s="64" t="s" ph="1">
        <v>312</v>
      </c>
      <c r="AL180" s="64" ph="1">
        <v>116</v>
      </c>
      <c r="AM180" s="64" t="s" ph="1">
        <v>312</v>
      </c>
      <c r="AN180" s="64" t="s" ph="1">
        <v>321</v>
      </c>
      <c r="AO180" s="64" t="s" ph="1">
        <v>312</v>
      </c>
      <c r="AP180" s="64" t="s" ph="1">
        <v>322</v>
      </c>
      <c r="AQ180" s="64" t="s" ph="1">
        <v>323</v>
      </c>
      <c r="AR180" s="64" t="s" ph="1">
        <v>324</v>
      </c>
    </row>
    <row r="189" spans="36:56" ph="1">
      <c r="BD189" s="64" t="s" ph="1">
        <v>568</v>
      </c>
    </row>
    <row r="223" spans="18:18" ph="1">
      <c r="R223" s="135" ph="1">
        <v>45496</v>
      </c>
    </row>
  </sheetData>
  <mergeCells count="58"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B33:C34"/>
    <mergeCell ref="D33:D34"/>
    <mergeCell ref="E33:E34"/>
    <mergeCell ref="F33:F34"/>
    <mergeCell ref="G33:G34"/>
    <mergeCell ref="S31:U31"/>
    <mergeCell ref="V31:X31"/>
    <mergeCell ref="Y31:AA31"/>
    <mergeCell ref="AB31:AE31"/>
    <mergeCell ref="AD32:AE32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</mergeCells>
  <phoneticPr fontId="2" type="noConversion"/>
  <conditionalFormatting sqref="D4:D11">
    <cfRule type="expression" dxfId="2216" priority="100">
      <formula>ABS(D$7-D$10)&gt;=1000</formula>
    </cfRule>
  </conditionalFormatting>
  <conditionalFormatting sqref="E4 E6:E11">
    <cfRule type="expression" dxfId="2215" priority="99">
      <formula>ABS(E$7-E$10)&gt;=1000</formula>
    </cfRule>
  </conditionalFormatting>
  <conditionalFormatting sqref="F4:F11">
    <cfRule type="expression" dxfId="2214" priority="98">
      <formula>ABS(F$7-F$10)&gt;=1000</formula>
    </cfRule>
  </conditionalFormatting>
  <conditionalFormatting sqref="G4:G11">
    <cfRule type="expression" dxfId="2213" priority="97">
      <formula>ABS(G$7-G$10)&gt;=1000</formula>
    </cfRule>
  </conditionalFormatting>
  <conditionalFormatting sqref="H4:H11">
    <cfRule type="expression" dxfId="2212" priority="96">
      <formula>ABS(H$7-H$10)&gt;=1000</formula>
    </cfRule>
  </conditionalFormatting>
  <conditionalFormatting sqref="I4:I11">
    <cfRule type="expression" dxfId="2211" priority="95">
      <formula>ABS(I$7-I$10)&gt;=1000</formula>
    </cfRule>
  </conditionalFormatting>
  <conditionalFormatting sqref="J4:J11">
    <cfRule type="expression" dxfId="2210" priority="94">
      <formula>ABS(J$7-J$10)&gt;=1000</formula>
    </cfRule>
  </conditionalFormatting>
  <conditionalFormatting sqref="K4:K11">
    <cfRule type="expression" dxfId="2209" priority="93">
      <formula>ABS(K$7-K$10)&gt;=1000</formula>
    </cfRule>
  </conditionalFormatting>
  <conditionalFormatting sqref="L4:L11">
    <cfRule type="expression" dxfId="2208" priority="92">
      <formula>ABS(L$7-L$10)&gt;=1000</formula>
    </cfRule>
  </conditionalFormatting>
  <conditionalFormatting sqref="M4 M6:M11">
    <cfRule type="expression" dxfId="2207" priority="91">
      <formula>ABS(M$7-M$10)&gt;=1000</formula>
    </cfRule>
  </conditionalFormatting>
  <conditionalFormatting sqref="N4 N6:N11">
    <cfRule type="expression" dxfId="2206" priority="90">
      <formula>ABS(N$7-N$10)&gt;=1000</formula>
    </cfRule>
  </conditionalFormatting>
  <conditionalFormatting sqref="O4 O6:O11">
    <cfRule type="expression" dxfId="2205" priority="89">
      <formula>ABS(O$7-O$10)&gt;=1000</formula>
    </cfRule>
  </conditionalFormatting>
  <conditionalFormatting sqref="P4 P6:P11">
    <cfRule type="expression" dxfId="2204" priority="88">
      <formula>ABS(P$7-P$10)&gt;=1000</formula>
    </cfRule>
  </conditionalFormatting>
  <conditionalFormatting sqref="Q4:Q11">
    <cfRule type="expression" dxfId="2203" priority="87">
      <formula>ABS(Q$7-Q$10)&gt;=1000</formula>
    </cfRule>
  </conditionalFormatting>
  <conditionalFormatting sqref="R4:R11">
    <cfRule type="expression" dxfId="2202" priority="86">
      <formula>ABS(R$7-R$10)&gt;=1000</formula>
    </cfRule>
  </conditionalFormatting>
  <conditionalFormatting sqref="S4:S11">
    <cfRule type="expression" dxfId="2201" priority="85">
      <formula>ABS(S$7-S$10)&gt;=1000</formula>
    </cfRule>
  </conditionalFormatting>
  <conditionalFormatting sqref="T4:T9 T11">
    <cfRule type="expression" dxfId="2200" priority="84">
      <formula>ABS(T$7-T$10)&gt;=1000</formula>
    </cfRule>
  </conditionalFormatting>
  <conditionalFormatting sqref="U4:U9 U11">
    <cfRule type="expression" dxfId="2199" priority="83">
      <formula>ABS(U$7-U$10)&gt;=1000</formula>
    </cfRule>
  </conditionalFormatting>
  <conditionalFormatting sqref="V4:V9 V11">
    <cfRule type="expression" dxfId="2198" priority="82">
      <formula>ABS(V$7-V$10)&gt;=1000</formula>
    </cfRule>
  </conditionalFormatting>
  <conditionalFormatting sqref="W4:W9 W11">
    <cfRule type="expression" dxfId="2197" priority="81">
      <formula>ABS(W$7-W$10)&gt;=1000</formula>
    </cfRule>
  </conditionalFormatting>
  <conditionalFormatting sqref="X4:X9 X11">
    <cfRule type="expression" dxfId="2196" priority="80">
      <formula>ABS(X$7-X$10)&gt;=1000</formula>
    </cfRule>
  </conditionalFormatting>
  <conditionalFormatting sqref="Y4:Y9 Y11">
    <cfRule type="expression" dxfId="2195" priority="79">
      <formula>ABS(Y$7-Y$10)&gt;=1000</formula>
    </cfRule>
  </conditionalFormatting>
  <conditionalFormatting sqref="Z4:Z11">
    <cfRule type="expression" dxfId="2194" priority="78">
      <formula>ABS(Z$7-Z$10)&gt;=1000</formula>
    </cfRule>
  </conditionalFormatting>
  <conditionalFormatting sqref="AA4:AA11">
    <cfRule type="expression" dxfId="2193" priority="77">
      <formula>ABS(AA$7-AA$10)&gt;=1000</formula>
    </cfRule>
  </conditionalFormatting>
  <conditionalFormatting sqref="AB4:AB11">
    <cfRule type="expression" dxfId="2192" priority="76">
      <formula>ABS(AB$7-AB$10)&gt;=1000</formula>
    </cfRule>
  </conditionalFormatting>
  <conditionalFormatting sqref="AC4 AC6:AC11">
    <cfRule type="expression" dxfId="2191" priority="75">
      <formula>ABS(AC$7-AC$10)&gt;=1000</formula>
    </cfRule>
  </conditionalFormatting>
  <conditionalFormatting sqref="AD4 AD6:AD11">
    <cfRule type="expression" dxfId="2190" priority="74">
      <formula>ABS(AD$7-AD$10)&gt;=1000</formula>
    </cfRule>
  </conditionalFormatting>
  <conditionalFormatting sqref="AE4 AE6:AE11">
    <cfRule type="expression" dxfId="2189" priority="73">
      <formula>ABS(AE$7-AE$10)&gt;=1000</formula>
    </cfRule>
  </conditionalFormatting>
  <conditionalFormatting sqref="D13:D20">
    <cfRule type="expression" dxfId="2188" priority="72">
      <formula>ABS(D$16-D$19)&gt;=1000</formula>
    </cfRule>
  </conditionalFormatting>
  <conditionalFormatting sqref="E13:E20">
    <cfRule type="expression" dxfId="2187" priority="71">
      <formula>ABS(E$16-E$19)&gt;=1000</formula>
    </cfRule>
  </conditionalFormatting>
  <conditionalFormatting sqref="F13 F15:F20">
    <cfRule type="expression" dxfId="2186" priority="70">
      <formula>ABS(F$16-F$19)&gt;=1000</formula>
    </cfRule>
  </conditionalFormatting>
  <conditionalFormatting sqref="G13:G20">
    <cfRule type="expression" dxfId="2185" priority="69">
      <formula>ABS(G$16-G$19)&gt;=1000</formula>
    </cfRule>
  </conditionalFormatting>
  <conditionalFormatting sqref="H13 H15:H20">
    <cfRule type="expression" dxfId="2184" priority="68">
      <formula>ABS(H$16-H$19)&gt;=1000</formula>
    </cfRule>
  </conditionalFormatting>
  <conditionalFormatting sqref="I13:I20">
    <cfRule type="expression" dxfId="2183" priority="67">
      <formula>ABS(I$16-I$19)&gt;=1000</formula>
    </cfRule>
  </conditionalFormatting>
  <conditionalFormatting sqref="J13:J20">
    <cfRule type="expression" dxfId="2182" priority="66">
      <formula>ABS(J$16-J$19)&gt;=1000</formula>
    </cfRule>
  </conditionalFormatting>
  <conditionalFormatting sqref="L13:L20">
    <cfRule type="expression" dxfId="2181" priority="65">
      <formula>ABS(L$16-L$19)&gt;=1000</formula>
    </cfRule>
  </conditionalFormatting>
  <conditionalFormatting sqref="M13 M15 M17:M18 M20">
    <cfRule type="expression" dxfId="2180" priority="64">
      <formula>ABS(M$16-M$19)&gt;=1000</formula>
    </cfRule>
  </conditionalFormatting>
  <conditionalFormatting sqref="N13:N20">
    <cfRule type="expression" dxfId="2179" priority="63">
      <formula>ABS(N$16-N$19)&gt;=1000</formula>
    </cfRule>
  </conditionalFormatting>
  <conditionalFormatting sqref="O13:O20">
    <cfRule type="expression" dxfId="2178" priority="62">
      <formula>ABS(O$16-O$19)&gt;=1000</formula>
    </cfRule>
  </conditionalFormatting>
  <conditionalFormatting sqref="P13:P20">
    <cfRule type="expression" dxfId="2177" priority="61">
      <formula>ABS(P$16-P$19)&gt;=1000</formula>
    </cfRule>
  </conditionalFormatting>
  <conditionalFormatting sqref="Q13 Q15:Q20">
    <cfRule type="expression" dxfId="2176" priority="60">
      <formula>ABS(Q$16-Q$19)&gt;=1000</formula>
    </cfRule>
  </conditionalFormatting>
  <conditionalFormatting sqref="R13:R20">
    <cfRule type="expression" dxfId="2175" priority="59">
      <formula>ABS(R$16-R$19)&gt;=1000</formula>
    </cfRule>
  </conditionalFormatting>
  <conditionalFormatting sqref="S13:S20">
    <cfRule type="expression" dxfId="2174" priority="58">
      <formula>ABS(S$16-S$19)&gt;=1000</formula>
    </cfRule>
  </conditionalFormatting>
  <conditionalFormatting sqref="T13:T20">
    <cfRule type="expression" dxfId="2173" priority="57">
      <formula>ABS(T$16-T$19)&gt;=1000</formula>
    </cfRule>
  </conditionalFormatting>
  <conditionalFormatting sqref="U13:U20">
    <cfRule type="expression" dxfId="2172" priority="56">
      <formula>ABS(U$16-U$19)&gt;=1000</formula>
    </cfRule>
  </conditionalFormatting>
  <conditionalFormatting sqref="V13:V20">
    <cfRule type="expression" dxfId="2171" priority="55">
      <formula>ABS(V$16-V$19)&gt;=1000</formula>
    </cfRule>
  </conditionalFormatting>
  <conditionalFormatting sqref="W13 W20 W15:W18">
    <cfRule type="expression" dxfId="2170" priority="54">
      <formula>ABS(W$16-W$19)&gt;=1000</formula>
    </cfRule>
  </conditionalFormatting>
  <conditionalFormatting sqref="X13 X15:X20 Y19">
    <cfRule type="expression" dxfId="2169" priority="53">
      <formula>ABS(X$16-X$19)&gt;=1000</formula>
    </cfRule>
  </conditionalFormatting>
  <conditionalFormatting sqref="Y13 Y15:Y18 Y20">
    <cfRule type="expression" dxfId="2168" priority="52">
      <formula>ABS(Y$16-Y$19)&gt;=1000</formula>
    </cfRule>
  </conditionalFormatting>
  <conditionalFormatting sqref="Z13:Z20">
    <cfRule type="expression" dxfId="2167" priority="51">
      <formula>ABS(Z$16-Z$19)&gt;=1000</formula>
    </cfRule>
  </conditionalFormatting>
  <conditionalFormatting sqref="AA13:AA20">
    <cfRule type="expression" dxfId="2166" priority="50">
      <formula>ABS(AA$16-AA$19)&gt;=1000</formula>
    </cfRule>
  </conditionalFormatting>
  <conditionalFormatting sqref="AB13 AB15:AB20">
    <cfRule type="expression" dxfId="2165" priority="49">
      <formula>ABS(AB$16-AB$19)&gt;=1000</formula>
    </cfRule>
  </conditionalFormatting>
  <conditionalFormatting sqref="AC13 AC15:AC20">
    <cfRule type="expression" dxfId="2164" priority="48">
      <formula>ABS(AC$16-AC$19)&gt;=1000</formula>
    </cfRule>
  </conditionalFormatting>
  <conditionalFormatting sqref="AD13:AD20">
    <cfRule type="expression" dxfId="2163" priority="47">
      <formula>ABS(AD$16-AD$19)&gt;=1000</formula>
    </cfRule>
  </conditionalFormatting>
  <conditionalFormatting sqref="AE13:AE20">
    <cfRule type="expression" dxfId="2162" priority="46">
      <formula>ABS(AE$16-AE$19)&gt;=1000</formula>
    </cfRule>
  </conditionalFormatting>
  <conditionalFormatting sqref="D22:D29">
    <cfRule type="expression" dxfId="2161" priority="45">
      <formula>ABS(D$25-D$28)&gt;=1000</formula>
    </cfRule>
  </conditionalFormatting>
  <conditionalFormatting sqref="E22:E29">
    <cfRule type="expression" dxfId="2160" priority="44">
      <formula>ABS(E$25-E$28)&gt;=1000</formula>
    </cfRule>
  </conditionalFormatting>
  <conditionalFormatting sqref="F22:F29">
    <cfRule type="expression" dxfId="2159" priority="43">
      <formula>ABS(F$25-F$28)&gt;=1000</formula>
    </cfRule>
  </conditionalFormatting>
  <conditionalFormatting sqref="G22:G29">
    <cfRule type="expression" dxfId="2158" priority="42">
      <formula>ABS(G$25-G$28)&gt;=1000</formula>
    </cfRule>
  </conditionalFormatting>
  <conditionalFormatting sqref="H22:H29">
    <cfRule type="expression" dxfId="2157" priority="41">
      <formula>ABS(H$25-H$28)&gt;=1000</formula>
    </cfRule>
  </conditionalFormatting>
  <conditionalFormatting sqref="I22 I24:I29">
    <cfRule type="expression" dxfId="2156" priority="40">
      <formula>ABS(I$25-I$28)&gt;=1000</formula>
    </cfRule>
  </conditionalFormatting>
  <conditionalFormatting sqref="J22:J29 K22">
    <cfRule type="expression" dxfId="2155" priority="39">
      <formula>ABS(J$25-J$28)&gt;=1000</formula>
    </cfRule>
  </conditionalFormatting>
  <conditionalFormatting sqref="K23:K29 L25 L28">
    <cfRule type="expression" dxfId="2154" priority="38">
      <formula>ABS(K$25-K$28)&gt;=1000</formula>
    </cfRule>
  </conditionalFormatting>
  <conditionalFormatting sqref="L22 L26:L27 L29 L24">
    <cfRule type="expression" dxfId="2153" priority="37">
      <formula>ABS(L$25-L$28)&gt;=1000</formula>
    </cfRule>
  </conditionalFormatting>
  <conditionalFormatting sqref="M22:M29">
    <cfRule type="expression" dxfId="2152" priority="36">
      <formula>ABS(M$25-M$28)&gt;=1000</formula>
    </cfRule>
  </conditionalFormatting>
  <conditionalFormatting sqref="N22:N29">
    <cfRule type="expression" dxfId="2151" priority="35">
      <formula>ABS(N$25-N$28)&gt;=1000</formula>
    </cfRule>
  </conditionalFormatting>
  <conditionalFormatting sqref="O22:O29">
    <cfRule type="expression" dxfId="2150" priority="34">
      <formula>ABS(O$25-O$28)&gt;=1000</formula>
    </cfRule>
  </conditionalFormatting>
  <conditionalFormatting sqref="P22:P29">
    <cfRule type="expression" dxfId="2149" priority="33">
      <formula>ABS(P$25-P$28)&gt;=1000</formula>
    </cfRule>
  </conditionalFormatting>
  <conditionalFormatting sqref="Q22:Q29">
    <cfRule type="expression" dxfId="2148" priority="32">
      <formula>ABS(Q$25-Q$28)&gt;=1000</formula>
    </cfRule>
  </conditionalFormatting>
  <conditionalFormatting sqref="R22:R29">
    <cfRule type="expression" dxfId="2147" priority="31">
      <formula>ABS(R$25-R$28)&gt;=1000</formula>
    </cfRule>
  </conditionalFormatting>
  <conditionalFormatting sqref="S22:S29">
    <cfRule type="expression" dxfId="2146" priority="30">
      <formula>ABS(S$25-S$28)&gt;=1000</formula>
    </cfRule>
  </conditionalFormatting>
  <conditionalFormatting sqref="T22:T29">
    <cfRule type="expression" dxfId="2145" priority="29">
      <formula>ABS(T$25-T$28)&gt;=1000</formula>
    </cfRule>
  </conditionalFormatting>
  <conditionalFormatting sqref="U22:U29">
    <cfRule type="expression" dxfId="2144" priority="28">
      <formula>ABS(U$25-U$28)&gt;=1000</formula>
    </cfRule>
  </conditionalFormatting>
  <conditionalFormatting sqref="V22:V29">
    <cfRule type="expression" dxfId="2143" priority="27">
      <formula>ABS(V$25-V$28)&gt;=1000</formula>
    </cfRule>
  </conditionalFormatting>
  <conditionalFormatting sqref="W22:W29">
    <cfRule type="expression" dxfId="2142" priority="26">
      <formula>ABS(W$25-W$28)&gt;=1000</formula>
    </cfRule>
  </conditionalFormatting>
  <conditionalFormatting sqref="X22:X29">
    <cfRule type="expression" dxfId="2141" priority="25">
      <formula>ABS(X$25-X$28)&gt;=1000</formula>
    </cfRule>
  </conditionalFormatting>
  <conditionalFormatting sqref="Y22:Y29">
    <cfRule type="expression" dxfId="2140" priority="24">
      <formula>ABS(Y$25-Y$28)&gt;=1000</formula>
    </cfRule>
  </conditionalFormatting>
  <conditionalFormatting sqref="I23">
    <cfRule type="expression" dxfId="2139" priority="23">
      <formula>ABS(I$25-I$28)&gt;=1000</formula>
    </cfRule>
  </conditionalFormatting>
  <conditionalFormatting sqref="Q14">
    <cfRule type="expression" dxfId="2138" priority="22">
      <formula>ABS(Q$16-Q$19)&gt;=1000</formula>
    </cfRule>
  </conditionalFormatting>
  <conditionalFormatting sqref="W14">
    <cfRule type="expression" dxfId="2137" priority="21">
      <formula>ABS(W$16-W$19)&gt;=1000</formula>
    </cfRule>
  </conditionalFormatting>
  <conditionalFormatting sqref="X14">
    <cfRule type="expression" dxfId="2136" priority="20">
      <formula>ABS(X$16-X$19)&gt;=1000</formula>
    </cfRule>
  </conditionalFormatting>
  <conditionalFormatting sqref="T10:Y10">
    <cfRule type="expression" dxfId="2135" priority="19">
      <formula>ABS(T$7-T$10)&gt;=1000</formula>
    </cfRule>
  </conditionalFormatting>
  <conditionalFormatting sqref="W19">
    <cfRule type="expression" dxfId="2134" priority="18">
      <formula>ABS(W$16-W$19)&gt;=1000</formula>
    </cfRule>
  </conditionalFormatting>
  <conditionalFormatting sqref="AC5">
    <cfRule type="expression" dxfId="2133" priority="17">
      <formula>ABS(AC$7-AC$10)&gt;=1000</formula>
    </cfRule>
  </conditionalFormatting>
  <conditionalFormatting sqref="M14">
    <cfRule type="expression" dxfId="2132" priority="16">
      <formula>ABS(M$16-M$19)&gt;=1000</formula>
    </cfRule>
  </conditionalFormatting>
  <conditionalFormatting sqref="M16">
    <cfRule type="expression" dxfId="2131" priority="15">
      <formula>ABS(M$16-M$19)&gt;=1000</formula>
    </cfRule>
  </conditionalFormatting>
  <conditionalFormatting sqref="M19">
    <cfRule type="expression" dxfId="2130" priority="14">
      <formula>ABS(M$16-M$19)&gt;=1000</formula>
    </cfRule>
  </conditionalFormatting>
  <conditionalFormatting sqref="K13:K20">
    <cfRule type="expression" dxfId="2129" priority="13">
      <formula>ABS(K$16-K$19)&gt;=1000</formula>
    </cfRule>
  </conditionalFormatting>
  <conditionalFormatting sqref="E5">
    <cfRule type="expression" dxfId="2128" priority="12">
      <formula>ABS(E$7-E$10)&gt;=1000</formula>
    </cfRule>
  </conditionalFormatting>
  <conditionalFormatting sqref="AB14:AC14">
    <cfRule type="expression" dxfId="2127" priority="11">
      <formula>ABS(AB$16-AB$19)&gt;=1000</formula>
    </cfRule>
  </conditionalFormatting>
  <conditionalFormatting sqref="M5">
    <cfRule type="expression" dxfId="2126" priority="10">
      <formula>ABS(M$7-M$10)&gt;=1000</formula>
    </cfRule>
  </conditionalFormatting>
  <conditionalFormatting sqref="N5">
    <cfRule type="expression" dxfId="2125" priority="9">
      <formula>ABS(N$7-N$10)&gt;=1000</formula>
    </cfRule>
  </conditionalFormatting>
  <conditionalFormatting sqref="O5">
    <cfRule type="expression" dxfId="2124" priority="8">
      <formula>ABS(O$7-O$10)&gt;=1000</formula>
    </cfRule>
  </conditionalFormatting>
  <conditionalFormatting sqref="P5">
    <cfRule type="expression" dxfId="2123" priority="7">
      <formula>ABS(P$7-P$10)&gt;=1000</formula>
    </cfRule>
  </conditionalFormatting>
  <conditionalFormatting sqref="L23">
    <cfRule type="expression" dxfId="2122" priority="6">
      <formula>ABS(L$25-L$28)&gt;=1000</formula>
    </cfRule>
  </conditionalFormatting>
  <conditionalFormatting sqref="Y14">
    <cfRule type="expression" dxfId="2121" priority="5">
      <formula>ABS(Y$16-Y$19)&gt;=1000</formula>
    </cfRule>
  </conditionalFormatting>
  <conditionalFormatting sqref="F14">
    <cfRule type="expression" dxfId="2120" priority="4">
      <formula>ABS(F$16-F$19)&gt;=1000</formula>
    </cfRule>
  </conditionalFormatting>
  <conditionalFormatting sqref="H14">
    <cfRule type="expression" dxfId="2119" priority="3">
      <formula>ABS(H$16-H$19)&gt;=1000</formula>
    </cfRule>
  </conditionalFormatting>
  <conditionalFormatting sqref="AD5">
    <cfRule type="expression" dxfId="2118" priority="2">
      <formula>ABS(AD$7-AD$10)&gt;=1000</formula>
    </cfRule>
  </conditionalFormatting>
  <conditionalFormatting sqref="AE5">
    <cfRule type="expression" dxfId="2117" priority="1">
      <formula>ABS(AE$7-AE$10)&gt;=1000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72321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905">
    <pageSetUpPr fitToPage="1"/>
  </sheetPr>
  <dimension ref="A1:CU223"/>
  <sheetViews>
    <sheetView view="pageBreakPreview" zoomScale="70" zoomScaleNormal="100" zoomScaleSheetLayoutView="70" workbookViewId="0">
      <selection activeCell="L11" sqref="L11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185" t="s" ph="1">
        <v>161</v>
      </c>
      <c r="C1" s="185" ph="1"/>
      <c r="D1" s="185" ph="1"/>
      <c r="E1" s="185" ph="1"/>
      <c r="F1" s="185" ph="1"/>
      <c r="G1" s="185" ph="1"/>
      <c r="H1" s="185" ph="1"/>
      <c r="I1" s="185" ph="1"/>
      <c r="J1" s="185" ph="1"/>
      <c r="K1" s="185" ph="1"/>
      <c r="L1" s="185" ph="1"/>
      <c r="M1" s="185" ph="1"/>
      <c r="N1" s="185" ph="1"/>
      <c r="O1" s="185" ph="1"/>
      <c r="P1" s="185" ph="1"/>
      <c r="Q1" s="185" ph="1"/>
      <c r="R1" s="185" ph="1"/>
      <c r="S1" s="185" ph="1"/>
      <c r="T1" s="185" ph="1"/>
      <c r="U1" s="185" ph="1"/>
      <c r="V1" s="185" ph="1"/>
      <c r="W1" s="185" ph="1"/>
      <c r="X1" s="185" ph="1"/>
      <c r="Y1" s="185" ph="1"/>
      <c r="Z1" s="185" ph="1"/>
      <c r="AA1" s="185" ph="1"/>
      <c r="AB1" s="185" ph="1"/>
      <c r="AC1" s="185" ph="1"/>
      <c r="AD1" s="185" ph="1"/>
      <c r="AE1" s="185" ph="1"/>
    </row>
    <row r="2" spans="1:99" s="66" customFormat="1" ht="24" customHeight="1" ph="1">
      <c r="B2" s="186" t="s" ph="1">
        <v>82</v>
      </c>
      <c r="C2" s="186" ph="1"/>
      <c r="D2" s="186" ph="1"/>
      <c r="E2" s="186" ph="1"/>
      <c r="F2" s="186" ph="1"/>
      <c r="G2" s="186" ph="1"/>
      <c r="H2" s="186" ph="1"/>
      <c r="I2" s="186" ph="1"/>
      <c r="J2" s="186" ph="1"/>
      <c r="K2" s="186" ph="1"/>
      <c r="L2" s="186" ph="1"/>
      <c r="M2" s="186" ph="1"/>
      <c r="N2" s="186" ph="1"/>
      <c r="O2" s="186" ph="1"/>
      <c r="P2" s="186" ph="1"/>
      <c r="Q2" s="186" ph="1"/>
      <c r="R2" s="186" ph="1"/>
      <c r="S2" s="186" ph="1"/>
      <c r="T2" s="186" ph="1"/>
      <c r="U2" s="186" ph="1"/>
      <c r="V2" s="186" ph="1"/>
      <c r="W2" s="186" ph="1"/>
      <c r="X2" s="186" ph="1"/>
      <c r="Y2" s="186" ph="1"/>
      <c r="Z2" s="186" ph="1"/>
      <c r="AA2" s="186" ph="1"/>
      <c r="AB2" s="186" ph="1"/>
      <c r="AC2" s="186" ph="1"/>
      <c r="AD2" s="186" ph="1"/>
      <c r="AE2" s="186" ph="1"/>
    </row>
    <row r="3" spans="1:99" ht="21" customHeight="1" ph="1">
      <c r="B3" s="187" ph="1">
        <v>46181</v>
      </c>
      <c r="C3" s="187"/>
      <c r="D3" s="187"/>
      <c r="E3" s="187"/>
      <c r="F3" s="187"/>
      <c r="G3" s="187"/>
      <c r="H3" s="187"/>
      <c r="I3" s="187"/>
      <c r="J3" s="187"/>
      <c r="K3" s="187"/>
      <c r="L3" s="187"/>
      <c r="M3" s="187"/>
      <c r="N3" s="187"/>
      <c r="O3" s="187"/>
      <c r="P3" s="187"/>
      <c r="Q3" s="187"/>
      <c r="R3" s="187"/>
      <c r="S3" s="187"/>
      <c r="T3" s="187"/>
      <c r="U3" s="187"/>
      <c r="V3" s="187"/>
      <c r="W3" s="187"/>
      <c r="X3" s="187"/>
      <c r="Y3" s="187"/>
      <c r="Z3" s="187"/>
      <c r="AA3" s="187"/>
      <c r="AB3" s="187"/>
      <c r="AC3" s="187"/>
      <c r="AD3" s="187"/>
      <c r="AE3" s="187"/>
    </row>
    <row r="4" spans="1:99" s="69" customFormat="1" ph="1">
      <c r="A4" s="65" ph="1"/>
      <c r="B4" s="188" t="s" ph="1">
        <v>37</v>
      </c>
      <c r="C4" s="67" t="s" ph="1">
        <v>176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110</v>
      </c>
      <c r="J4" s="68" t="s" ph="1">
        <v>48</v>
      </c>
      <c r="K4" s="68" t="s" ph="1">
        <v>111</v>
      </c>
      <c r="L4" s="68" t="s" ph="1">
        <v>112</v>
      </c>
      <c r="M4" s="68" t="s" ph="1">
        <v>49</v>
      </c>
      <c r="N4" s="68" t="s" ph="1">
        <v>50</v>
      </c>
      <c r="O4" s="68" t="s" ph="1">
        <v>113</v>
      </c>
      <c r="P4" s="68" t="s" ph="1">
        <v>114</v>
      </c>
      <c r="Q4" s="68" t="s" ph="1">
        <v>115</v>
      </c>
      <c r="R4" s="68" t="s" ph="1">
        <v>116</v>
      </c>
      <c r="S4" s="68" t="s" ph="1">
        <v>117</v>
      </c>
      <c r="T4" s="68" t="s" ph="1">
        <v>118</v>
      </c>
      <c r="U4" s="68" t="s" ph="1">
        <v>119</v>
      </c>
      <c r="V4" s="68" t="s" ph="1">
        <v>120</v>
      </c>
      <c r="W4" s="68" t="s" ph="1">
        <v>121</v>
      </c>
      <c r="X4" s="68" t="s" ph="1">
        <v>122</v>
      </c>
      <c r="Y4" s="68" t="s" ph="1">
        <v>123</v>
      </c>
      <c r="Z4" s="68" t="s" ph="1">
        <v>51</v>
      </c>
      <c r="AA4" s="68" t="s" ph="1">
        <v>124</v>
      </c>
      <c r="AB4" s="68" t="s" ph="1">
        <v>125</v>
      </c>
      <c r="AC4" s="68" t="s" ph="1">
        <v>126</v>
      </c>
      <c r="AD4" s="68" t="s" ph="1">
        <v>40</v>
      </c>
      <c r="AE4" s="68" t="s" ph="1">
        <v>127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188" ph="1"/>
      <c r="C5" s="67" t="s" ph="1">
        <v>36</v>
      </c>
      <c r="D5" s="70" t="s" ph="1">
        <v>160</v>
      </c>
      <c r="E5" s="142" t="s" ph="1">
        <v>7</v>
      </c>
      <c r="F5" s="142" t="s" ph="1">
        <v>1</v>
      </c>
      <c r="G5" s="142" t="s" ph="1">
        <v>7</v>
      </c>
      <c r="H5" s="142" t="s" ph="1">
        <v>7</v>
      </c>
      <c r="I5" s="141" t="s" ph="1">
        <v>608</v>
      </c>
      <c r="J5" s="141" t="s" ph="1">
        <v>609</v>
      </c>
      <c r="K5" s="141" t="s" ph="1">
        <v>611</v>
      </c>
      <c r="L5" s="141" t="s" ph="1">
        <v>613</v>
      </c>
      <c r="M5" s="141" t="s" ph="1">
        <v>608</v>
      </c>
      <c r="N5" s="70" t="s" ph="1">
        <v>609</v>
      </c>
      <c r="O5" s="70" t="s" ph="1">
        <v>611</v>
      </c>
      <c r="P5" s="70" t="s" ph="1">
        <v>613</v>
      </c>
      <c r="Q5" s="70" t="s" ph="1">
        <v>607</v>
      </c>
      <c r="R5" s="70" t="s" ph="1">
        <v>607</v>
      </c>
      <c r="S5" s="70" t="s" ph="1">
        <v>607</v>
      </c>
      <c r="T5" s="70" t="s" ph="1">
        <v>607</v>
      </c>
      <c r="U5" s="70" t="s" ph="1">
        <v>607</v>
      </c>
      <c r="V5" s="70" t="s" ph="1">
        <v>607</v>
      </c>
      <c r="W5" s="70" t="s" ph="1">
        <v>607</v>
      </c>
      <c r="X5" s="70" t="s" ph="1">
        <v>607</v>
      </c>
      <c r="Y5" s="70" t="s" ph="1">
        <v>607</v>
      </c>
      <c r="Z5" s="70" t="s" ph="1">
        <v>614</v>
      </c>
      <c r="AA5" s="70" t="s" ph="1">
        <v>54</v>
      </c>
      <c r="AB5" s="70" t="s" ph="1">
        <v>54</v>
      </c>
      <c r="AC5" s="70" t="s" ph="1">
        <v>615</v>
      </c>
      <c r="AD5" s="71" t="s">
        <v>72</v>
      </c>
      <c r="AE5" s="71" t="s">
        <v>635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184" ph="1">
        <v>0.33333333333333331</v>
      </c>
      <c r="C6" s="150" t="s" ph="1">
        <v>177</v>
      </c>
      <c r="D6" s="71">
        <v>2002</v>
      </c>
      <c r="E6" s="71">
        <v>7815</v>
      </c>
      <c r="F6" s="71">
        <v>5844</v>
      </c>
      <c r="G6" s="71">
        <v>4778</v>
      </c>
      <c r="H6" s="71">
        <v>27</v>
      </c>
      <c r="I6" s="71">
        <v>38.65</v>
      </c>
      <c r="J6" s="71">
        <v>6.28</v>
      </c>
      <c r="K6" s="71">
        <v>62.93</v>
      </c>
      <c r="L6" s="71">
        <v>6.95</v>
      </c>
      <c r="M6" s="71">
        <v>6388</v>
      </c>
      <c r="N6" s="71">
        <v>410</v>
      </c>
      <c r="O6" s="71">
        <v>5112</v>
      </c>
      <c r="P6" s="71">
        <v>1616</v>
      </c>
      <c r="Q6" s="71">
        <v>7094</v>
      </c>
      <c r="R6" s="71">
        <v>7235</v>
      </c>
      <c r="S6" s="71">
        <v>2706</v>
      </c>
      <c r="T6" s="71">
        <v>2818</v>
      </c>
      <c r="U6" s="71">
        <v>3190</v>
      </c>
      <c r="V6" s="71">
        <v>2199</v>
      </c>
      <c r="W6" s="71">
        <v>7084</v>
      </c>
      <c r="X6" s="71">
        <v>7075</v>
      </c>
      <c r="Y6" s="71">
        <v>5504</v>
      </c>
      <c r="Z6" s="71">
        <v>6057</v>
      </c>
      <c r="AA6" s="71">
        <v>0</v>
      </c>
      <c r="AB6" s="71">
        <v>3147</v>
      </c>
      <c r="AC6" s="71">
        <v>1191</v>
      </c>
      <c r="AD6" s="71">
        <v>3886</v>
      </c>
      <c r="AE6" s="71">
        <v>4530</v>
      </c>
    </row>
    <row r="7" spans="1:99" s="72" customFormat="1" ht="22.2" ph="1">
      <c r="B7" s="184" ph="1"/>
      <c r="C7" s="68" t="s" ph="1">
        <v>178</v>
      </c>
      <c r="D7" s="73" ph="1">
        <f>D6*33.183*LOOKUP(D8,密度!$A$2:$A$50,密度!$Q$2:$Q$50)</f>
        <v>62753.341570919998</v>
      </c>
      <c r="E7" s="73" ph="1">
        <f>E6*51.53*LOOKUP(E8,密度!$A$2:$A$50,密度!$B$2:$B$50)</f>
        <v>313950.33821999998</v>
      </c>
      <c r="F7" s="73" ph="1">
        <f>F6*33.183*LOOKUP(F8,密度!$A$2:$A$50,密度!$C$2:$C$50)</f>
        <v>215039.4981228</v>
      </c>
      <c r="G7" s="73" ph="1">
        <f xml:space="preserve"> (G6+2)*51.53*LOOKUP(G8,密度!$A$2:$A$50,密度!$B$2:$B$50)</f>
        <v>191804.24457999997</v>
      </c>
      <c r="H7" s="73" ph="1">
        <f>(H6)*51.53*LOOKUP(H8,密度!$A$2:$A$50,密度!$B$2:$B$50)</f>
        <v>1087.1696339999999</v>
      </c>
      <c r="I7" s="73" ph="1">
        <f>I6*290.8*1.0267</f>
        <v>11539.512514</v>
      </c>
      <c r="J7" s="73" ph="1">
        <f>J6*290.8*0.7892</f>
        <v>1441.2559808000001</v>
      </c>
      <c r="K7" s="73" ph="1">
        <f>K6*290.8*1.1126</f>
        <v>20360.628954400003</v>
      </c>
      <c r="L7" s="73" ph="1">
        <f>L6*290.8*0.777</f>
        <v>1570.3636200000001</v>
      </c>
      <c r="M7" s="73" ph="1">
        <f>M6*33.183*LOOKUP(M8,密度!$A$2:$A$50,密度!$D$2:$D$50)</f>
        <v>217229.93449919997</v>
      </c>
      <c r="N7" s="73" ph="1">
        <f>N6*33.183*LOOKUP(N8,密度!$A$2:$A$50,密度!$E$2:$E$50)</f>
        <v>10640.493963000001</v>
      </c>
      <c r="O7" s="73" ph="1">
        <f>O6*20.428*LOOKUP(O8,密度!$A$2:$A$50,密度!$C$2:$C$50)</f>
        <v>115403.3120736</v>
      </c>
      <c r="P7" s="73" ph="1">
        <f>P6*51.53*LOOKUP(P8,密度!$A$2:$A$50,密度!$B$2:$B$50)</f>
        <v>64919.225407999991</v>
      </c>
      <c r="Q7" s="73" ph="1">
        <f>Q6*1.5*1.5*3.1416*LOOKUP(W8,密度!$A$2:$A$50,密度!$L$2:$L$50)</f>
        <v>46885.246253999998</v>
      </c>
      <c r="R7" s="73" ph="1">
        <f>R6*1.5*1.5*3.1416*LOOKUP(R8,密度!$A$2:$A$50,密度!$L$2:$L$50)</f>
        <v>47612.569851</v>
      </c>
      <c r="S7" s="73" ph="1">
        <f>S6*1.5*1.5*3.1416*LOOKUP(S8,密度!$A$2:$A$50,密度!$L$2:$L$50)</f>
        <v>17941.718440799999</v>
      </c>
      <c r="T7" s="73" ph="1">
        <f>T6*1.5*1.5*3.1416*LOOKUP(T8,密度!$A$2:$A$50,密度!$L$2:$L$50)</f>
        <v>18724.155911999998</v>
      </c>
      <c r="U7" s="73" ph="1">
        <f>U6*1.5*1.5*3.1416*LOOKUP(U8,密度!$A$2:$A$50,密度!$L$2:$L$50)</f>
        <v>21060.610956</v>
      </c>
      <c r="V7" s="73" ph="1">
        <f>V6*1.5*1.5*3.1416*LOOKUP(V8,密度!$A$2:$A$50,密度!$L$2:$L$50)</f>
        <v>14517.9572076</v>
      </c>
      <c r="W7" s="73" ph="1">
        <f>W6*1.5*1.5*3.1416*LOOKUP(W8,密度!$A$2:$A$50,密度!$L$2:$L$50)</f>
        <v>46819.154843999997</v>
      </c>
      <c r="X7" s="73" ph="1">
        <f>X6*1.5*1.5*3.1416*LOOKUP(X8,密度!$A$2:$A$50,密度!$L$2:$L$50)</f>
        <v>47209.765679999997</v>
      </c>
      <c r="Y7" s="73" ph="1">
        <f>Y6*1.5*1.5*3.1416*LOOKUP(Y8,密度!$A$2:$A$50,密度!$L$2:$L$50)</f>
        <v>36376.712063999999</v>
      </c>
      <c r="Z7" s="73" ph="1">
        <f>Z6*33.183*LOOKUP(Z8,密度!$A$2:$A$50,密度!$L$2:$L$50)</f>
        <v>188528.086278</v>
      </c>
      <c r="AA7" s="73" ph="1">
        <f>AA6*33.183*LOOKUP(AA8,密度!$A$2:$A$50,密度!$D$2:$D$50)</f>
        <v>0</v>
      </c>
      <c r="AB7" s="73" ph="1">
        <f>AB6*20.428*LOOKUP(AB8,密度!$A$2:$A$50,密度!$D$2:$D$50)</f>
        <v>66305.525162400008</v>
      </c>
      <c r="AC7" s="73" ph="1">
        <f>AC6*51.53*LOOKUP(AC8,密度!$A$2:$A$50,密度!$Q$2:$Q$50)</f>
        <v>58103.545030200003</v>
      </c>
      <c r="AD7" s="73" ph="1">
        <f>AD6*20.428*LOOKUP(AD8,密度!$A$2:$A$50,密度!$V$2:$V$50)</f>
        <v>76017.3599808</v>
      </c>
      <c r="AE7" s="73" ph="1">
        <f>AE6*20.428</f>
        <v>92538.84</v>
      </c>
    </row>
    <row r="8" spans="1:99" ph="1">
      <c r="B8" s="184" ph="1"/>
      <c r="C8" s="68" t="s" ph="1">
        <v>179</v>
      </c>
      <c r="D8" s="74">
        <v>28</v>
      </c>
      <c r="E8" s="74">
        <v>25</v>
      </c>
      <c r="F8" s="74">
        <v>25</v>
      </c>
      <c r="G8" s="74">
        <v>26</v>
      </c>
      <c r="H8" s="74">
        <v>23</v>
      </c>
      <c r="I8" s="74">
        <v>25</v>
      </c>
      <c r="J8" s="74">
        <v>25</v>
      </c>
      <c r="K8" s="74">
        <v>25</v>
      </c>
      <c r="L8" s="74">
        <v>25</v>
      </c>
      <c r="M8" s="74">
        <v>27</v>
      </c>
      <c r="N8" s="74">
        <v>26</v>
      </c>
      <c r="O8" s="74">
        <v>30</v>
      </c>
      <c r="P8" s="74">
        <v>25</v>
      </c>
      <c r="Q8" s="74">
        <v>30</v>
      </c>
      <c r="R8" s="74">
        <v>31</v>
      </c>
      <c r="S8" s="74">
        <v>24</v>
      </c>
      <c r="T8" s="74">
        <v>22</v>
      </c>
      <c r="U8" s="74">
        <v>28</v>
      </c>
      <c r="V8" s="74">
        <v>28</v>
      </c>
      <c r="W8" s="74">
        <v>27</v>
      </c>
      <c r="X8" s="74">
        <v>18</v>
      </c>
      <c r="Y8" s="74">
        <v>27</v>
      </c>
      <c r="Z8" s="74">
        <v>24</v>
      </c>
      <c r="AA8" s="74">
        <v>25</v>
      </c>
      <c r="AB8" s="74">
        <v>20</v>
      </c>
      <c r="AC8" s="74">
        <v>25</v>
      </c>
      <c r="AD8" s="74">
        <v>26</v>
      </c>
      <c r="AE8" s="74">
        <v>26</v>
      </c>
    </row>
    <row r="9" spans="1:99" ht="26.4" ph="1">
      <c r="B9" s="184" ph="1">
        <v>0.66666666666666663</v>
      </c>
      <c r="C9" s="150" t="s" ph="1">
        <v>180</v>
      </c>
      <c r="D9" s="71">
        <v>2329</v>
      </c>
      <c r="E9" s="71">
        <v>7812</v>
      </c>
      <c r="F9" s="71">
        <v>5844</v>
      </c>
      <c r="G9" s="71">
        <v>4487</v>
      </c>
      <c r="H9" s="71">
        <v>900</v>
      </c>
      <c r="I9" s="71">
        <v>38.61</v>
      </c>
      <c r="J9" s="71">
        <v>6.26</v>
      </c>
      <c r="K9" s="71">
        <v>62.89</v>
      </c>
      <c r="L9" s="71">
        <v>26.32</v>
      </c>
      <c r="M9" s="71">
        <v>6386</v>
      </c>
      <c r="N9" s="71">
        <v>410</v>
      </c>
      <c r="O9" s="71">
        <v>5111</v>
      </c>
      <c r="P9" s="71">
        <v>1512</v>
      </c>
      <c r="Q9" s="71">
        <v>7093</v>
      </c>
      <c r="R9" s="71">
        <v>7234</v>
      </c>
      <c r="S9" s="71">
        <v>5184</v>
      </c>
      <c r="T9" s="71">
        <v>5405</v>
      </c>
      <c r="U9" s="71">
        <v>5921</v>
      </c>
      <c r="V9" s="71">
        <v>0</v>
      </c>
      <c r="W9" s="71">
        <v>6388</v>
      </c>
      <c r="X9" s="71">
        <v>7073</v>
      </c>
      <c r="Y9" s="71">
        <v>5503</v>
      </c>
      <c r="Z9" s="71">
        <v>3749</v>
      </c>
      <c r="AA9" s="71">
        <v>0</v>
      </c>
      <c r="AB9" s="71">
        <v>3051</v>
      </c>
      <c r="AC9" s="71">
        <v>1079</v>
      </c>
      <c r="AD9" s="71">
        <v>3885</v>
      </c>
      <c r="AE9" s="71">
        <v>4585</v>
      </c>
    </row>
    <row r="10" spans="1:99" s="72" customFormat="1" ht="22.2" ph="1">
      <c r="B10" s="184" ph="1"/>
      <c r="C10" s="150" t="s" ph="1">
        <v>178</v>
      </c>
      <c r="D10" s="73" ph="1">
        <f>D9*33.183*LOOKUP(D11,密度!$A$2:$A$50,密度!$Q$2:$Q$50)</f>
        <v>73003.262996339996</v>
      </c>
      <c r="E10" s="73" ph="1">
        <f>E9*51.53*LOOKUP(E11,密度!$A$2:$A$50,密度!$B$2:$B$50)</f>
        <v>313829.81985599996</v>
      </c>
      <c r="F10" s="73" ph="1">
        <f>F9*33.183*LOOKUP(F11,密度!$A$2:$A$50,密度!$C$2:$C$50)</f>
        <v>214748.61594479997</v>
      </c>
      <c r="G10" s="73" ph="1">
        <f xml:space="preserve"> (G9+2)*51.53*LOOKUP(G11,密度!$A$2:$A$50,密度!$B$2:$B$50)</f>
        <v>179734.21809000001</v>
      </c>
      <c r="H10" s="73" ph="1">
        <f>(H9)*51.53*LOOKUP(H11,密度!$A$2:$A$50,密度!$B$2:$B$50)</f>
        <v>36155.5092</v>
      </c>
      <c r="I10" s="73" ph="1">
        <f>I9*290.8*1.0267</f>
        <v>11527.5699396</v>
      </c>
      <c r="J10" s="73" ph="1">
        <f>J9*290.8*0.7892</f>
        <v>1436.6659935999999</v>
      </c>
      <c r="K10" s="73" ph="1">
        <f>K9*290.8*1.1126</f>
        <v>20347.687191200002</v>
      </c>
      <c r="L10" s="73" ph="1">
        <f>L9*290.8*0.777</f>
        <v>5947.0461120000009</v>
      </c>
      <c r="M10" s="73" ph="1">
        <f>M9*33.183*LOOKUP(M11,密度!$A$2:$A$50,密度!$D$2:$D$50)</f>
        <v>216568.58403600001</v>
      </c>
      <c r="N10" s="73" ph="1">
        <f>N9*33.183*LOOKUP(N11,密度!$A$2:$A$50,密度!$E$2:$E$50)</f>
        <v>10594.236860999999</v>
      </c>
      <c r="O10" s="73" ph="1">
        <f>O9*20.428*LOOKUP(O11,密度!$A$2:$A$50,密度!$C$2:$C$50)</f>
        <v>115276.32958280001</v>
      </c>
      <c r="P10" s="73" ph="1">
        <f>P9*51.53*LOOKUP(P11,密度!$A$2:$A$50,密度!$B$2:$B$50)</f>
        <v>60538.680720000004</v>
      </c>
      <c r="Q10" s="73" ph="1">
        <f>Q9*1.5*1.5*3.1416*LOOKUP(W11,密度!$A$2:$A$50,密度!$L$2:$L$50)</f>
        <v>46828.499533200003</v>
      </c>
      <c r="R10" s="73" ph="1">
        <f>R9*1.5*1.5*3.1416*LOOKUP(R11,密度!$A$2:$A$50,密度!$L$2:$L$50)</f>
        <v>47554.854732</v>
      </c>
      <c r="S10" s="73" ph="1">
        <f>S9*1.5*1.5*3.1416*LOOKUP(S11,密度!$A$2:$A$50,密度!$L$2:$L$50)</f>
        <v>34371.717811199997</v>
      </c>
      <c r="T10" s="73" ph="1">
        <f>T9*1.5*1.5*3.1416*LOOKUP(T11,密度!$A$2:$A$50,密度!$L$2:$L$50)</f>
        <v>35913.436019999994</v>
      </c>
      <c r="U10" s="73" ph="1">
        <f>U9*1.5*1.5*3.1416*LOOKUP(U11,密度!$A$2:$A$50,密度!$L$2:$L$50)</f>
        <v>39216.430222200004</v>
      </c>
      <c r="V10" s="73" ph="1">
        <f>V9*1.5*1.5*3.1416*LOOKUP(V11,密度!$A$2:$A$50,密度!$L$2:$L$50)</f>
        <v>0</v>
      </c>
      <c r="W10" s="73" ph="1">
        <f>W9*1.5*1.5*3.1416*LOOKUP(W11,密度!$A$2:$A$50,密度!$L$2:$L$50)</f>
        <v>42174.038491200001</v>
      </c>
      <c r="X10" s="73" ph="1">
        <f>X9*1.5*1.5*3.1416*LOOKUP(X11,密度!$A$2:$A$50,密度!$L$2:$L$50)</f>
        <v>47196.420163199997</v>
      </c>
      <c r="Y10" s="73" ph="1">
        <f>Y9*1.5*1.5*3.1416*LOOKUP(Y11,密度!$A$2:$A$50,密度!$L$2:$L$50)</f>
        <v>36370.102922999999</v>
      </c>
      <c r="Z10" s="73" ph="1">
        <f>Z9*33.183*LOOKUP(Z11,密度!$A$2:$A$50,密度!$L$2:$L$50)</f>
        <v>116565.673779</v>
      </c>
      <c r="AA10" s="73" ph="1">
        <f>AA9*33.183*LOOKUP(AA11,密度!$A$2:$A$50,密度!$D$2:$D$50)</f>
        <v>0</v>
      </c>
      <c r="AB10" s="73" ph="1">
        <f>AB9*20.428*LOOKUP(AB11,密度!$A$2:$A$50,密度!$D$2:$D$50)</f>
        <v>64282.858999200005</v>
      </c>
      <c r="AC10" s="73" ph="1">
        <f>AC9*51.53*LOOKUP(AC11,密度!$A$2:$A$50,密度!$Q$2:$Q$50)</f>
        <v>52449.968697100005</v>
      </c>
      <c r="AD10" s="73" ph="1">
        <f>AD9*20.428*LOOKUP(AD11,密度!$A$2:$A$50,密度!$V$2:$V$50)</f>
        <v>75997.798127999995</v>
      </c>
      <c r="AE10" s="73" ph="1">
        <f>AE9*20.428</f>
        <v>93662.38</v>
      </c>
    </row>
    <row r="11" spans="1:99" ph="1">
      <c r="A11" s="64" t="s" ph="1">
        <v>162</v>
      </c>
      <c r="B11" s="184" ph="1"/>
      <c r="C11" s="150" t="s" ph="1">
        <v>179</v>
      </c>
      <c r="D11" s="74">
        <v>28</v>
      </c>
      <c r="E11" s="74">
        <v>25</v>
      </c>
      <c r="F11" s="74">
        <v>27</v>
      </c>
      <c r="G11" s="74">
        <v>28</v>
      </c>
      <c r="H11" s="74">
        <v>25</v>
      </c>
      <c r="I11" s="74">
        <v>25</v>
      </c>
      <c r="J11" s="74">
        <v>25</v>
      </c>
      <c r="K11" s="74">
        <v>25</v>
      </c>
      <c r="L11" s="74">
        <v>25</v>
      </c>
      <c r="M11" s="74">
        <v>30</v>
      </c>
      <c r="N11" s="74">
        <v>29</v>
      </c>
      <c r="O11" s="74">
        <v>31</v>
      </c>
      <c r="P11" s="74">
        <v>28</v>
      </c>
      <c r="Q11" s="74">
        <v>30</v>
      </c>
      <c r="R11" s="74">
        <v>32</v>
      </c>
      <c r="S11" s="74">
        <v>24</v>
      </c>
      <c r="T11" s="74">
        <v>22</v>
      </c>
      <c r="U11" s="74">
        <v>25</v>
      </c>
      <c r="V11" s="74">
        <v>28</v>
      </c>
      <c r="W11" s="74">
        <v>28</v>
      </c>
      <c r="X11" s="74">
        <v>18</v>
      </c>
      <c r="Y11" s="74">
        <v>27</v>
      </c>
      <c r="Z11" s="74">
        <v>25</v>
      </c>
      <c r="AA11" s="74">
        <v>30</v>
      </c>
      <c r="AB11" s="74">
        <v>20</v>
      </c>
      <c r="AC11" s="74">
        <v>30</v>
      </c>
      <c r="AD11" s="74">
        <v>27</v>
      </c>
      <c r="AE11" s="74">
        <v>27</v>
      </c>
    </row>
    <row r="12" spans="1:99" ht="9.9" customHeight="1" ph="1"/>
    <row r="13" spans="1:99" s="72" customFormat="1" ht="29.25" customHeight="1" ph="1">
      <c r="B13" s="192" t="s" ph="1">
        <v>37</v>
      </c>
      <c r="C13" s="150" t="s" ph="1">
        <v>176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128</v>
      </c>
      <c r="I13" s="76" t="s" ph="1">
        <v>59</v>
      </c>
      <c r="J13" s="76" t="s" ph="1">
        <v>129</v>
      </c>
      <c r="K13" s="76" t="s" ph="1">
        <v>55</v>
      </c>
      <c r="L13" s="76" t="s" ph="1">
        <v>60</v>
      </c>
      <c r="M13" s="76" t="s" ph="1">
        <v>61</v>
      </c>
      <c r="N13" s="76" t="s" ph="1">
        <v>130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131</v>
      </c>
      <c r="W13" s="76" t="s" ph="1">
        <v>132</v>
      </c>
      <c r="X13" s="76" t="s" ph="1">
        <v>133</v>
      </c>
      <c r="Y13" s="105" t="s" ph="1">
        <v>68</v>
      </c>
      <c r="Z13" s="76" t="s" ph="1">
        <v>74</v>
      </c>
      <c r="AA13" s="76" t="s" ph="1">
        <v>134</v>
      </c>
      <c r="AB13" s="76" t="s" ph="1">
        <v>135</v>
      </c>
      <c r="AC13" s="76" t="s" ph="1">
        <v>136</v>
      </c>
      <c r="AD13" s="76" t="s" ph="1">
        <v>137</v>
      </c>
      <c r="AE13" s="76" t="s" ph="1">
        <v>138</v>
      </c>
      <c r="AG13" s="72" t="s" ph="1">
        <v>325</v>
      </c>
      <c r="AH13" s="72" t="s" ph="1">
        <v>188</v>
      </c>
      <c r="AI13" s="72" t="s" ph="1">
        <v>189</v>
      </c>
      <c r="AJ13" s="72" t="s" ph="1">
        <v>190</v>
      </c>
      <c r="AK13" s="72" t="s" ph="1">
        <v>191</v>
      </c>
      <c r="AL13" s="72" t="s" ph="1">
        <v>192</v>
      </c>
      <c r="AM13" s="72" t="s" ph="1">
        <v>193</v>
      </c>
      <c r="AN13" s="72" t="s" ph="1">
        <v>194</v>
      </c>
      <c r="AO13" s="72" t="s" ph="1">
        <v>195</v>
      </c>
      <c r="AP13" s="72" t="s" ph="1">
        <v>196</v>
      </c>
      <c r="AQ13" s="72" t="s" ph="1">
        <v>197</v>
      </c>
      <c r="AR13" s="72" t="s" ph="1">
        <v>198</v>
      </c>
      <c r="AS13" s="72" t="s" ph="1">
        <v>199</v>
      </c>
      <c r="AT13" s="72" t="s" ph="1">
        <v>200</v>
      </c>
      <c r="AU13" s="72" t="s" ph="1">
        <v>201</v>
      </c>
      <c r="AV13" s="72" t="s" ph="1">
        <v>202</v>
      </c>
      <c r="AW13" s="72" t="s" ph="1">
        <v>203</v>
      </c>
      <c r="AX13" s="72" t="s" ph="1">
        <v>204</v>
      </c>
      <c r="AY13" s="72" t="s" ph="1">
        <v>326</v>
      </c>
      <c r="AZ13" s="72" t="s" ph="1">
        <v>205</v>
      </c>
      <c r="BA13" s="72" t="s" ph="1">
        <v>206</v>
      </c>
      <c r="BB13" s="72" t="s" ph="1">
        <v>591</v>
      </c>
      <c r="BC13" s="72" t="s" ph="1">
        <v>207</v>
      </c>
      <c r="BD13" s="72" t="s" ph="1">
        <v>327</v>
      </c>
      <c r="BE13" s="72" t="s" ph="1">
        <v>328</v>
      </c>
      <c r="BF13" s="72" t="s" ph="1">
        <v>329</v>
      </c>
      <c r="BG13" s="72" t="s" ph="1">
        <v>330</v>
      </c>
      <c r="BH13" s="72" t="s" ph="1">
        <v>331</v>
      </c>
    </row>
    <row r="14" spans="1:99" s="72" customFormat="1" ht="24" ph="1">
      <c r="B14" s="193" ph="1"/>
      <c r="C14" s="67" t="s" ph="1">
        <v>36</v>
      </c>
      <c r="D14" s="77" t="s" ph="1">
        <v>616</v>
      </c>
      <c r="E14" s="77" t="s" ph="1">
        <v>616</v>
      </c>
      <c r="F14" s="144" t="s" ph="1">
        <v>636</v>
      </c>
      <c r="G14" s="77" t="s" ph="1">
        <v>617</v>
      </c>
      <c r="H14" s="77" t="s" ph="1">
        <v>637</v>
      </c>
      <c r="I14" s="138" t="s" ph="1">
        <v>618</v>
      </c>
      <c r="J14" s="77" t="s" ph="1">
        <v>619</v>
      </c>
      <c r="K14" s="77" t="s" ph="1">
        <v>186</v>
      </c>
      <c r="L14" s="77" t="s" ph="1">
        <v>41</v>
      </c>
      <c r="M14" s="104" t="s" ph="1">
        <v>620</v>
      </c>
      <c r="N14" s="104" t="s" ph="1">
        <v>621</v>
      </c>
      <c r="O14" s="104" t="s" ph="1">
        <v>619</v>
      </c>
      <c r="P14" s="77" t="s" ph="1">
        <v>622</v>
      </c>
      <c r="Q14" s="77" t="s" ph="1">
        <v>622</v>
      </c>
      <c r="R14" s="88" t="s" ph="1">
        <v>7</v>
      </c>
      <c r="S14" s="77" t="s" ph="1">
        <v>71</v>
      </c>
      <c r="T14" s="77" t="s" ph="1">
        <v>624</v>
      </c>
      <c r="U14" s="77" t="s" ph="1">
        <v>605</v>
      </c>
      <c r="V14" s="77" t="s" ph="1">
        <v>633</v>
      </c>
      <c r="W14" s="77" t="s" ph="1">
        <v>622</v>
      </c>
      <c r="X14" s="77" t="s" ph="1">
        <v>625</v>
      </c>
      <c r="Y14" s="143" t="s" ph="1">
        <v>0</v>
      </c>
      <c r="Z14" s="77" t="s" ph="1">
        <v>54</v>
      </c>
      <c r="AA14" s="77" t="s" ph="1">
        <v>613</v>
      </c>
      <c r="AB14" s="77" t="s" ph="1">
        <v>632</v>
      </c>
      <c r="AC14" s="77" t="s" ph="1">
        <v>632</v>
      </c>
      <c r="AD14" s="77" t="s" ph="1">
        <v>612</v>
      </c>
      <c r="AE14" s="77" t="s" ph="1">
        <v>612</v>
      </c>
      <c r="AG14" s="72" t="s" ph="1">
        <v>208</v>
      </c>
      <c r="AI14" s="72" t="s" ph="1">
        <v>209</v>
      </c>
      <c r="AJ14" s="72" t="s" ph="1">
        <v>332</v>
      </c>
      <c r="AK14" s="72" t="s" ph="1">
        <v>210</v>
      </c>
      <c r="AM14" s="72" t="s" ph="1">
        <v>212</v>
      </c>
      <c r="AN14" s="72" t="s" ph="1">
        <v>210</v>
      </c>
      <c r="AO14" s="72" t="s" ph="1">
        <v>211</v>
      </c>
      <c r="AP14" s="72" t="s" ph="1">
        <v>212</v>
      </c>
      <c r="AQ14" s="72" t="s" ph="1">
        <v>210</v>
      </c>
      <c r="AR14" s="72" t="s" ph="1">
        <v>211</v>
      </c>
      <c r="AS14" s="72" t="s" ph="1">
        <v>212</v>
      </c>
      <c r="AT14" s="72" t="s" ph="1">
        <v>210</v>
      </c>
      <c r="AU14" s="72" t="s" ph="1">
        <v>211</v>
      </c>
      <c r="AV14" s="72" t="s" ph="1">
        <v>212</v>
      </c>
      <c r="AW14" s="72" t="s" ph="1">
        <v>210</v>
      </c>
      <c r="AX14" s="72" t="s" ph="1">
        <v>211</v>
      </c>
      <c r="AY14" s="72" t="s" ph="1">
        <v>212</v>
      </c>
      <c r="AZ14" s="72" t="s" ph="1">
        <v>211</v>
      </c>
    </row>
    <row r="15" spans="1:99" ph="1">
      <c r="B15" s="194" ph="1">
        <v>0.33333333333333331</v>
      </c>
      <c r="C15" s="150" t="s" ph="1">
        <v>177</v>
      </c>
      <c r="D15" s="78">
        <v>1127</v>
      </c>
      <c r="E15" s="78">
        <v>80</v>
      </c>
      <c r="F15" s="78">
        <v>5013</v>
      </c>
      <c r="G15" s="78">
        <v>4386</v>
      </c>
      <c r="H15" s="78">
        <v>0</v>
      </c>
      <c r="I15" s="78">
        <v>5165</v>
      </c>
      <c r="J15" s="78">
        <v>1360</v>
      </c>
      <c r="K15" s="78">
        <v>2279</v>
      </c>
      <c r="L15" s="78">
        <v>3573</v>
      </c>
      <c r="M15" s="78">
        <v>4819</v>
      </c>
      <c r="N15" s="78">
        <v>1906</v>
      </c>
      <c r="O15" s="78">
        <v>6427</v>
      </c>
      <c r="P15" s="78">
        <v>5216</v>
      </c>
      <c r="Q15" s="78">
        <v>6969</v>
      </c>
      <c r="R15" s="78">
        <v>1955</v>
      </c>
      <c r="S15" s="78">
        <v>6985</v>
      </c>
      <c r="T15" s="78">
        <v>2902</v>
      </c>
      <c r="U15" s="78">
        <v>6712</v>
      </c>
      <c r="V15" s="78">
        <v>4445</v>
      </c>
      <c r="W15" s="71">
        <v>-809</v>
      </c>
      <c r="X15" s="78">
        <v>1385</v>
      </c>
      <c r="Y15" s="106">
        <v>-9907</v>
      </c>
      <c r="Z15" s="78">
        <v>1919</v>
      </c>
      <c r="AA15" s="78">
        <v>2578</v>
      </c>
      <c r="AB15" s="78" ph="1">
        <v>5338</v>
      </c>
      <c r="AC15" s="78" ph="1">
        <v>7298</v>
      </c>
      <c r="AD15" s="78">
        <v>5.6</v>
      </c>
      <c r="AE15" s="78">
        <v>40.6</v>
      </c>
      <c r="AG15" s="64" t="s" ph="1">
        <v>214</v>
      </c>
      <c r="AH15" s="64" ph="1">
        <v>1</v>
      </c>
      <c r="AI15" s="64" t="s" ph="1">
        <v>333</v>
      </c>
      <c r="AK15" s="64" t="s" ph="1">
        <v>587</v>
      </c>
      <c r="AM15" s="64" t="s" ph="1">
        <v>335</v>
      </c>
      <c r="AZ15" s="64" t="s" ph="1">
        <v>216</v>
      </c>
      <c r="BA15" s="64" ph="1">
        <v>0</v>
      </c>
    </row>
    <row r="16" spans="1:99" s="72" customFormat="1" ht="22.2" ph="1">
      <c r="B16" s="195" ph="1"/>
      <c r="C16" s="150" t="s" ph="1">
        <v>178</v>
      </c>
      <c r="D16" s="73" ph="1">
        <f>D15*7.0686*LOOKUP(D17,密度!$A$2:$A$50,密度!$L$2:$L$50)</f>
        <v>7424.6029704000002</v>
      </c>
      <c r="E16" s="73" ph="1">
        <f>E15*7.0686*LOOKUP(E17,密度!$A$2:$A$50,密度!$L$2:$L$50)</f>
        <v>527.03481600000009</v>
      </c>
      <c r="F16" s="73" ph="1">
        <f>F15*9.0746*LOOKUP(F17,密度!$A$2:$A$50,密度!$L$2:$L$50)</f>
        <v>42397.583853600001</v>
      </c>
      <c r="G16" s="73" ph="1">
        <f>G15*9.0746*LOOKUP(G17,密度!$A$2:$A$50,密度!$B$2:$B$50)</f>
        <v>30993.191013719996</v>
      </c>
      <c r="H16" s="73" ph="1">
        <f>H15*9.0746*LOOKUP(H17,密度!$A$2:$A$50,密度!$L$2:$L$50)</f>
        <v>0</v>
      </c>
      <c r="I16" s="73" ph="1">
        <f>I15*9.0746*LOOKUP(I17,密度!$A$2:$A$50,密度!$U$2:$U$50)</f>
        <v>47995.196415999999</v>
      </c>
      <c r="J16" s="73" ph="1">
        <f>J15*9.0746*LOOKUP(J17,密度!$A$2:$A$50,密度!$L$2:$L$50)</f>
        <v>11551.602816000001</v>
      </c>
      <c r="K16" s="73" ph="1">
        <f>K15*9.0746*LOOKUP(K17,密度!$A$2:$A$50,密度!$C$2:$C$50)</f>
        <v>22902.154239159998</v>
      </c>
      <c r="L16" s="73" ph="1">
        <f>L15*9.0746*LOOKUP(L17,密度!$A$2:$A$50,密度!$E$2:$E$50)</f>
        <v>25283.881014840001</v>
      </c>
      <c r="M16" s="73" ph="1">
        <f>M15*9.0746*LOOKUP(M17,密度!$A$2:$A$50,密度!$M$2:$M$50)</f>
        <v>38089.263235400002</v>
      </c>
      <c r="N16" s="73" ph="1">
        <f>N15*9.0746*LOOKUP(N17,密度!$A$2:$A$50,密度!$M$2:$M$50)</f>
        <v>15135.893768760001</v>
      </c>
      <c r="O16" s="73" ph="1">
        <f>O15*9.0746*LOOKUP(O17,密度!$A$2:$A$50,密度!$G$2:$G$50)</f>
        <v>55814.5886694</v>
      </c>
      <c r="P16" s="73" ph="1">
        <f ca="1">P15*9.0746*LOOKUP(P17,密度!$A$2:$A$51,密度!$Q$2:$Q$50)</f>
        <v>44744.938948352006</v>
      </c>
      <c r="Q16" s="73" ph="1">
        <f>Q15*9.0746*LOOKUP(Q17,密度!$A$2:$A$50,密度!$Q$2:$Q$50)</f>
        <v>59657.026311041998</v>
      </c>
      <c r="R16" s="73" ph="1">
        <f>MAX(R15*9.0746*LOOKUP(R17,密度!$A$2:$A$50,密度!$B$2:$B$50),0)</f>
        <v>13784.635011</v>
      </c>
      <c r="S16" s="73" ph="1">
        <f>S15*9.0746*LOOKUP(S17,密度!$A$2:$A$50,密度!$Q$2:$Q$50)</f>
        <v>59793.991789729997</v>
      </c>
      <c r="T16" s="73" ph="1">
        <f>T15*9.0746*LOOKUP(T17,密度!$A$2:$A$50,密度!$O$2:$O$50)</f>
        <v>24385.736999200002</v>
      </c>
      <c r="U16" s="73" ph="1">
        <f>U15*9.0746*LOOKUP(U17,密度!$A$2:$A$50,密度!$H$2:$H$50)</f>
        <v>55603.566106080005</v>
      </c>
      <c r="V16" s="73" ph="1">
        <f>MAX(5600*LOOKUP(V17,密度!$A$2:$A$50,密度!$Q$2:$Q$50)+V15*9.0476*LOOKUP(V17,密度!$A$2:$A$50,密度!$Q$2:$Q$50),0)</f>
        <v>43220.156298059999</v>
      </c>
      <c r="W16" s="73" ph="1">
        <f>MAX(5600*LOOKUP(W17,密度!$A$2:$A$50,密度!$Q$2:$Q$50)+W15*9.0476*LOOKUP(W17,密度!$A$2:$A$50,密度!$Q$2:$Q$50),0)</f>
        <v>0</v>
      </c>
      <c r="X16" s="73" ph="1">
        <f>MAX(5600*LOOKUP(X17,密度!$A$2:$A$50,密度!$I$2:$I$50)+X15*9.0476*LOOKUP(X17,密度!$A$2:$A$50,密度!$I$2:$I$50),0)</f>
        <v>18816.275002800001</v>
      </c>
      <c r="Y16" s="107" ph="1">
        <v>0</v>
      </c>
      <c r="Z16" s="73" ph="1">
        <f>Z15*9.0746*LOOKUP(Z17,密度!$A$2:$A$50,密度!$D$2:$D$50)</f>
        <v>17812.94160446</v>
      </c>
      <c r="AA16" s="73" ph="1">
        <f>AA15*9.0746*LOOKUP(AA17,密度!$A$2:$A$50,密度!$B$2:$B$50)</f>
        <v>18198.440594520001</v>
      </c>
      <c r="AB16" s="73" ph="1">
        <f>AB15*9.0746*LOOKUP(AB17,密度!$A$2:$A$50,密度!$L$2:$L$50)</f>
        <v>45243.160623200005</v>
      </c>
      <c r="AC16" s="73" ph="1">
        <f>AC15*9.0746*LOOKUP(AC17,密度!$A$2:$A$50,密度!$L$2:$L$50)</f>
        <v>61921.712798000008</v>
      </c>
      <c r="AD16" s="73" ph="1">
        <f>AD15*268.68*LOOKUP(AD17,密度!$A$2:$A$50,密度!B2:B50)+IF(AD15&lt;=0,0,1566*LOOKUP(AD17,密度!$A$2:$A$50,密度!B2:B50))</f>
        <v>2393.8459967999997</v>
      </c>
      <c r="AE16" s="73" ph="1">
        <f>AE15*268.68*LOOKUP(AE17,密度!$A$2:$A$50,密度!B2:B50)+IF(AE15&lt;=0,0,1566*LOOKUP(AE17,密度!$A$2:$A$50,密度!B2:B50))</f>
        <v>9725.0484768000006</v>
      </c>
      <c r="AH16" s="72" ph="1">
        <v>2</v>
      </c>
      <c r="AI16" s="72" t="s" ph="1">
        <v>337</v>
      </c>
      <c r="AZ16" s="72" t="s" ph="1">
        <v>216</v>
      </c>
      <c r="BA16" s="72" ph="1">
        <v>0</v>
      </c>
    </row>
    <row r="17" spans="1:57" ph="1">
      <c r="A17" s="64" t="s" ph="1">
        <v>73</v>
      </c>
      <c r="B17" s="196" ph="1"/>
      <c r="C17" s="79" t="s" ph="1">
        <v>179</v>
      </c>
      <c r="D17" s="74">
        <v>30</v>
      </c>
      <c r="E17" s="74">
        <v>30</v>
      </c>
      <c r="F17" s="74">
        <v>30</v>
      </c>
      <c r="G17" s="74">
        <v>26</v>
      </c>
      <c r="H17" s="74">
        <v>22</v>
      </c>
      <c r="I17" s="74">
        <v>26</v>
      </c>
      <c r="J17" s="74">
        <v>26</v>
      </c>
      <c r="K17" s="74">
        <v>27</v>
      </c>
      <c r="L17" s="74">
        <v>28</v>
      </c>
      <c r="M17" s="74">
        <v>29</v>
      </c>
      <c r="N17" s="74">
        <v>25</v>
      </c>
      <c r="O17" s="74">
        <v>28</v>
      </c>
      <c r="P17" s="74">
        <v>27</v>
      </c>
      <c r="Q17" s="74">
        <v>30</v>
      </c>
      <c r="R17" s="74">
        <v>28</v>
      </c>
      <c r="S17" s="74">
        <v>30</v>
      </c>
      <c r="T17" s="74">
        <v>27</v>
      </c>
      <c r="U17" s="74">
        <v>27</v>
      </c>
      <c r="V17" s="74">
        <v>30</v>
      </c>
      <c r="W17" s="74">
        <v>27</v>
      </c>
      <c r="X17" s="74">
        <v>29</v>
      </c>
      <c r="Y17" s="108">
        <v>29</v>
      </c>
      <c r="Z17" s="74">
        <v>29</v>
      </c>
      <c r="AA17" s="74">
        <v>27</v>
      </c>
      <c r="AB17" s="74">
        <v>28</v>
      </c>
      <c r="AC17" s="74">
        <v>27</v>
      </c>
      <c r="AD17" s="74">
        <v>25</v>
      </c>
      <c r="AE17" s="74">
        <v>25</v>
      </c>
      <c r="AH17" s="64" ph="1">
        <v>3</v>
      </c>
      <c r="AI17" s="64" t="s" ph="1">
        <v>338</v>
      </c>
      <c r="AK17" s="64" t="s" ph="1">
        <v>570</v>
      </c>
      <c r="AL17" s="64" ph="1">
        <v>80</v>
      </c>
      <c r="AM17" s="64" t="s" ph="1">
        <v>335</v>
      </c>
      <c r="AZ17" s="64" t="s" ph="1">
        <v>216</v>
      </c>
      <c r="BA17" s="64" ph="1">
        <v>80</v>
      </c>
      <c r="BD17" s="64" t="s" ph="1">
        <v>214</v>
      </c>
      <c r="BE17" s="64" ph="1">
        <v>2270</v>
      </c>
    </row>
    <row r="18" spans="1:57" ht="26.4" ph="1">
      <c r="B18" s="194" ph="1">
        <v>0.66666666666666663</v>
      </c>
      <c r="C18" s="79" t="s" ph="1">
        <v>180</v>
      </c>
      <c r="D18" s="71">
        <v>0</v>
      </c>
      <c r="E18" s="71">
        <v>1731</v>
      </c>
      <c r="F18" s="71">
        <v>5181</v>
      </c>
      <c r="G18" s="71">
        <v>4489</v>
      </c>
      <c r="H18" s="71">
        <v>31</v>
      </c>
      <c r="I18" s="71">
        <v>5391</v>
      </c>
      <c r="J18" s="71">
        <v>1412</v>
      </c>
      <c r="K18" s="71">
        <v>2278</v>
      </c>
      <c r="L18" s="71">
        <v>1696</v>
      </c>
      <c r="M18" s="71">
        <v>5865</v>
      </c>
      <c r="N18" s="71">
        <v>1905</v>
      </c>
      <c r="O18" s="71">
        <v>3915</v>
      </c>
      <c r="P18" s="71">
        <v>5211</v>
      </c>
      <c r="Q18" s="71">
        <v>6965</v>
      </c>
      <c r="R18" s="71">
        <v>1951</v>
      </c>
      <c r="S18" s="71">
        <v>6836</v>
      </c>
      <c r="T18" s="71">
        <v>2253</v>
      </c>
      <c r="U18" s="71">
        <v>6709</v>
      </c>
      <c r="V18" s="71">
        <v>4443</v>
      </c>
      <c r="W18" s="71">
        <v>-703</v>
      </c>
      <c r="X18" s="71">
        <v>1348</v>
      </c>
      <c r="Y18" s="109">
        <v>-9908</v>
      </c>
      <c r="Z18" s="71">
        <v>1912</v>
      </c>
      <c r="AA18" s="71">
        <v>2577</v>
      </c>
      <c r="AB18" s="71">
        <v>5338</v>
      </c>
      <c r="AC18" s="71">
        <v>7297</v>
      </c>
      <c r="AD18" s="71">
        <v>14.25</v>
      </c>
      <c r="AE18" s="71">
        <v>84.56</v>
      </c>
      <c r="AH18" s="64" ph="1">
        <v>4</v>
      </c>
      <c r="AI18" s="64" t="s" ph="1">
        <v>340</v>
      </c>
      <c r="AJ18" s="64" t="s" ph="1">
        <v>588</v>
      </c>
      <c r="AK18" s="64" t="s" ph="1">
        <v>587</v>
      </c>
      <c r="AL18" s="64" ph="1">
        <v>740</v>
      </c>
      <c r="AM18" s="64" t="s" ph="1">
        <v>339</v>
      </c>
      <c r="AZ18" s="64" t="s" ph="1">
        <v>216</v>
      </c>
      <c r="BA18" s="64" ph="1">
        <v>740</v>
      </c>
    </row>
    <row r="19" spans="1:57" s="72" customFormat="1" ht="22.2" ph="1">
      <c r="B19" s="195" ph="1"/>
      <c r="C19" s="150" t="s" ph="1">
        <v>178</v>
      </c>
      <c r="D19" s="73" ph="1">
        <f>D18*7.0686*LOOKUP(D20,密度!$A$2:$A$50,密度!$L$2:$L$50)</f>
        <v>0</v>
      </c>
      <c r="E19" s="73" ph="1">
        <f>E18*7.0686*LOOKUP(E20,密度!$A$2:$A$50,密度!$L$2:$L$50)</f>
        <v>11415.9515778</v>
      </c>
      <c r="F19" s="73" ph="1">
        <f>F18*9.0746*LOOKUP(F20,密度!$A$2:$A$50,密度!$L$2:$L$50)</f>
        <v>43818.448423200003</v>
      </c>
      <c r="G19" s="73" ph="1">
        <f>G18*9.0746*LOOKUP(G20,密度!$A$2:$A$50,密度!$B$2:$B$50)</f>
        <v>31721.029288779995</v>
      </c>
      <c r="H19" s="73" ph="1">
        <f>H18*9.0746*LOOKUP(H20,密度!$A$2:$A$50,密度!$L$2:$L$50)</f>
        <v>263.58990620000003</v>
      </c>
      <c r="I19" s="73" ph="1">
        <f>I18*9.0746*LOOKUP(I20,密度!$A$2:$A$50,密度!$U$2:$U$50)</f>
        <v>49850.670803399997</v>
      </c>
      <c r="J19" s="73" ph="1">
        <f>J18*9.0746*LOOKUP(J20,密度!$A$2:$A$50,密度!$L$2:$L$50)</f>
        <v>11942.028406400001</v>
      </c>
      <c r="K19" s="73" ph="1">
        <f>K18*9.0746*LOOKUP(K20,密度!$A$2:$A$50,密度!$C$2:$C$50)</f>
        <v>22844.559567879998</v>
      </c>
      <c r="L19" s="73" ph="1">
        <f>L18*9.0746*LOOKUP(L20,密度!$A$2:$A$50,密度!$E$2:$E$50)</f>
        <v>11984.599169919999</v>
      </c>
      <c r="M19" s="73" ph="1">
        <f>M18*9.0746*LOOKUP(M20,密度!$A$2:$A$50,密度!$M$2:$M$50)</f>
        <v>46298.277977100006</v>
      </c>
      <c r="N19" s="73" ph="1">
        <f>N18*9.0746*LOOKUP(N20,密度!$A$2:$A$50,密度!$M$2:$M$50)</f>
        <v>15127.952586300002</v>
      </c>
      <c r="O19" s="73" ph="1">
        <f>O18*9.0746*LOOKUP(O20,密度!$A$2:$A$50,密度!$G$2:$G$50)</f>
        <v>33960.315698099999</v>
      </c>
      <c r="P19" s="73" ph="1">
        <f ca="1">P18*9.0746*LOOKUP(P20,密度!$A$2:$A$51,密度!$Q$2:$Q$50)</f>
        <v>44636.316984558005</v>
      </c>
      <c r="Q19" s="73" ph="1">
        <f>Q18*9.0746*LOOKUP(Q20,密度!$A$2:$A$50,密度!$Q$2:$Q$50)</f>
        <v>59660.707694770004</v>
      </c>
      <c r="R19" s="73" ph="1">
        <f>MAX(R18*9.0746*LOOKUP(R20,密度!$A$2:$A$50,密度!$B$2:$B$50),0)</f>
        <v>13726.333428380001</v>
      </c>
      <c r="S19" s="73" ph="1">
        <f>S18*9.0746*LOOKUP(S20,密度!$A$2:$A$50,密度!$Q$2:$Q$50)</f>
        <v>58518.500769448001</v>
      </c>
      <c r="T19" s="73" ph="1">
        <f>T18*9.0746*LOOKUP(T20,密度!$A$2:$A$50,密度!$O$2:$O$50)</f>
        <v>18932.138338800003</v>
      </c>
      <c r="U19" s="73" ph="1">
        <f>U18*9.0746*LOOKUP(U20,密度!$A$2:$A$50,密度!$H$2:$H$50)</f>
        <v>55578.713499060003</v>
      </c>
      <c r="V19" s="73" ph="1">
        <f>MAX(5600*LOOKUP(V20,密度!$A$2:$A$50,密度!$Q$2:$Q$50)+V18*9.0476*LOOKUP(V20,密度!$A$2:$A$50,密度!$Q$2:$Q$50),0)</f>
        <v>43168.737687943998</v>
      </c>
      <c r="W19" s="73" ph="1">
        <f>MAX(5600*LOOKUP(W20,密度!$A$2:$A$50,密度!$Q$2:$Q$50)+W18*9.0476*LOOKUP(W20,密度!$A$2:$A$50,密度!$Q$2:$Q$50),0)</f>
        <v>0</v>
      </c>
      <c r="X19" s="73" ph="1">
        <f>MAX(5600*LOOKUP(X20,密度!$A$2:$A$50,密度!$I$2:$I$50)+X18*9.0476*LOOKUP(X20,密度!$A$2:$A$50,密度!$I$2:$I$50),0)</f>
        <v>18449.284048159996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17765.315381280001</v>
      </c>
      <c r="AA19" s="73" ph="1">
        <f>AA18*9.0746*LOOKUP(AA20,密度!$A$2:$A$50,密度!$B$2:$B$50)</f>
        <v>18170.334743400002</v>
      </c>
      <c r="AB19" s="73" ph="1">
        <f>AB18*9.0746*LOOKUP(AB20,密度!$A$2:$A$50,密度!$L$2:$L$50)</f>
        <v>45194.720408400004</v>
      </c>
      <c r="AC19" s="73" ph="1">
        <f>AC18*9.0746*LOOKUP(AC20,密度!$A$2:$A$50,密度!$L$2:$L$50)</f>
        <v>61847.010690800002</v>
      </c>
      <c r="AD19" s="73" ph="1">
        <f>AD18*268.68*LOOKUP(AD20,密度!$A$2:$A$50,密度!B5:B53)+IF(AD18&lt;=0,0,1566*LOOKUP(AD20,密度!$A$2:$A$50,密度!B5:B53))</f>
        <v>4191.6741300000003</v>
      </c>
      <c r="AE19" s="73" ph="1">
        <f>AE18*268.68*LOOKUP(AE20,密度!$A$2:$A$50,密度!B5:B53)+IF(AE18&lt;=0,0,1566*LOOKUP(AE20,密度!$A$2:$A$50,密度!B5:B53))</f>
        <v>18869.896281599998</v>
      </c>
      <c r="AH19" s="72" ph="1">
        <v>5</v>
      </c>
      <c r="AI19" s="72" t="s" ph="1">
        <v>341</v>
      </c>
      <c r="AZ19" s="72" t="s" ph="1">
        <v>216</v>
      </c>
      <c r="BA19" s="72" ph="1">
        <v>0</v>
      </c>
      <c r="BD19" s="72" t="s" ph="1">
        <v>342</v>
      </c>
      <c r="BE19" s="72" ph="1">
        <v>1440</v>
      </c>
    </row>
    <row r="20" spans="1:57" ph="1">
      <c r="A20" s="72" ph="1"/>
      <c r="B20" s="195" ph="1"/>
      <c r="C20" s="80" t="s" ph="1">
        <v>179</v>
      </c>
      <c r="D20" s="81">
        <v>29</v>
      </c>
      <c r="E20" s="81">
        <v>29</v>
      </c>
      <c r="F20" s="81">
        <v>30</v>
      </c>
      <c r="G20" s="81">
        <v>26</v>
      </c>
      <c r="H20" s="81">
        <v>25</v>
      </c>
      <c r="I20" s="81">
        <v>31</v>
      </c>
      <c r="J20" s="81">
        <v>30</v>
      </c>
      <c r="K20" s="81">
        <v>30</v>
      </c>
      <c r="L20" s="81">
        <v>29</v>
      </c>
      <c r="M20" s="81">
        <v>30</v>
      </c>
      <c r="N20" s="81">
        <v>25</v>
      </c>
      <c r="O20" s="81">
        <v>29</v>
      </c>
      <c r="P20" s="81">
        <v>29</v>
      </c>
      <c r="Q20" s="81">
        <v>29</v>
      </c>
      <c r="R20" s="81">
        <v>30</v>
      </c>
      <c r="S20" s="81">
        <v>30</v>
      </c>
      <c r="T20" s="81">
        <v>29</v>
      </c>
      <c r="U20" s="81">
        <v>27</v>
      </c>
      <c r="V20" s="81">
        <v>31</v>
      </c>
      <c r="W20" s="81">
        <v>29</v>
      </c>
      <c r="X20" s="81">
        <v>30</v>
      </c>
      <c r="Y20" s="110">
        <v>30</v>
      </c>
      <c r="Z20" s="81">
        <v>28</v>
      </c>
      <c r="AA20" s="81">
        <v>28</v>
      </c>
      <c r="AB20" s="81">
        <v>29</v>
      </c>
      <c r="AC20" s="81">
        <v>28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343</v>
      </c>
      <c r="AZ20" s="64" t="s" ph="1">
        <v>216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344</v>
      </c>
      <c r="AZ21" s="64" t="s" ph="1">
        <v>216</v>
      </c>
      <c r="BA21" s="64" ph="1">
        <v>0</v>
      </c>
      <c r="BD21" s="64" t="s" ph="1">
        <v>232</v>
      </c>
      <c r="BE21" s="64" ph="1">
        <v>730</v>
      </c>
    </row>
    <row r="22" spans="1:57" ph="1">
      <c r="A22" s="72" ph="1"/>
      <c r="B22" s="193" t="s" ph="1">
        <v>37</v>
      </c>
      <c r="C22" s="85" t="s" ph="1">
        <v>176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172" t="s" ph="1">
        <v>69</v>
      </c>
      <c r="AA22" s="173"/>
      <c r="AB22" s="173"/>
      <c r="AC22" s="173"/>
      <c r="AD22" s="173"/>
      <c r="AE22" s="174"/>
      <c r="AH22" s="64" ph="1">
        <v>8</v>
      </c>
      <c r="AI22" s="64" t="s" ph="1">
        <v>345</v>
      </c>
      <c r="AZ22" s="64" t="s" ph="1">
        <v>216</v>
      </c>
      <c r="BA22" s="64" ph="1">
        <v>0</v>
      </c>
    </row>
    <row r="23" spans="1:57" ph="1">
      <c r="A23" s="72" ph="1"/>
      <c r="B23" s="188" ph="1"/>
      <c r="C23" s="67" t="s" ph="1">
        <v>36</v>
      </c>
      <c r="D23" s="88" t="s" ph="1">
        <v>109</v>
      </c>
      <c r="E23" s="88" t="s" ph="1">
        <v>107</v>
      </c>
      <c r="F23" s="88" t="s" ph="1">
        <v>109</v>
      </c>
      <c r="G23" s="88" t="s" ph="1">
        <v>626</v>
      </c>
      <c r="H23" s="88" t="s" ph="1">
        <v>626</v>
      </c>
      <c r="I23" s="88" t="s" ph="1">
        <v>627</v>
      </c>
      <c r="J23" s="88" t="s" ph="1">
        <v>628</v>
      </c>
      <c r="K23" s="88" t="s" ph="1">
        <v>628</v>
      </c>
      <c r="L23" s="88" t="s" ph="1">
        <v>628</v>
      </c>
      <c r="M23" s="88" t="s" ph="1">
        <v>623</v>
      </c>
      <c r="N23" s="88" t="s" ph="1">
        <v>623</v>
      </c>
      <c r="O23" s="88" t="s" ph="1">
        <v>318</v>
      </c>
      <c r="P23" s="88" t="s" ph="1">
        <v>629</v>
      </c>
      <c r="Q23" s="89" t="s" ph="1">
        <v>629</v>
      </c>
      <c r="R23" s="88" t="s" ph="1">
        <v>610</v>
      </c>
      <c r="S23" s="88" t="s" ph="1">
        <v>629</v>
      </c>
      <c r="T23" s="88" t="s" ph="1">
        <v>604</v>
      </c>
      <c r="U23" s="104" t="s" ph="1">
        <v>606</v>
      </c>
      <c r="V23" s="88" t="s" ph="1">
        <v>629</v>
      </c>
      <c r="W23" s="88" t="s" ph="1">
        <v>629</v>
      </c>
      <c r="X23" s="88" t="s" ph="1">
        <v>187</v>
      </c>
      <c r="Y23" s="88" t="s" ph="1">
        <v>630</v>
      </c>
      <c r="Z23" s="175" t="s" ph="1">
        <v>638</v>
      </c>
      <c r="AA23" s="176"/>
      <c r="AB23" s="176"/>
      <c r="AC23" s="176"/>
      <c r="AD23" s="176"/>
      <c r="AE23" s="177"/>
      <c r="AH23" s="64" ph="1">
        <v>9</v>
      </c>
      <c r="AI23" s="64" t="s" ph="1">
        <v>346</v>
      </c>
      <c r="AZ23" s="64" t="s" ph="1">
        <v>216</v>
      </c>
      <c r="BA23" s="64" ph="1">
        <v>0</v>
      </c>
      <c r="BD23" s="64" t="s" ph="1">
        <v>238</v>
      </c>
      <c r="BE23" s="64" ph="1">
        <v>890</v>
      </c>
    </row>
    <row r="24" spans="1:57" ph="1">
      <c r="A24" s="72" ph="1"/>
      <c r="B24" s="184" ph="1">
        <v>0.33333333333333331</v>
      </c>
      <c r="C24" s="150" t="s" ph="1">
        <v>177</v>
      </c>
      <c r="D24" s="71">
        <v>4.08</v>
      </c>
      <c r="E24" s="71">
        <v>5.86</v>
      </c>
      <c r="F24" s="71">
        <v>128</v>
      </c>
      <c r="G24" s="71">
        <v>3381</v>
      </c>
      <c r="H24" s="71">
        <v>3791</v>
      </c>
      <c r="I24" s="71">
        <v>134</v>
      </c>
      <c r="J24" s="71">
        <v>208</v>
      </c>
      <c r="K24" s="71">
        <v>248</v>
      </c>
      <c r="L24" s="71">
        <v>469</v>
      </c>
      <c r="M24" s="71">
        <v>4843</v>
      </c>
      <c r="N24" s="71">
        <v>2465</v>
      </c>
      <c r="O24" s="71">
        <v>2502</v>
      </c>
      <c r="P24" s="71">
        <v>844</v>
      </c>
      <c r="Q24" s="90">
        <v>3691</v>
      </c>
      <c r="R24" s="71">
        <v>6848</v>
      </c>
      <c r="S24" s="71">
        <v>7018</v>
      </c>
      <c r="T24" s="71">
        <v>509</v>
      </c>
      <c r="U24" s="71">
        <v>5049</v>
      </c>
      <c r="V24" s="71">
        <v>1017</v>
      </c>
      <c r="W24" s="71">
        <v>4106</v>
      </c>
      <c r="X24" s="71">
        <v>2176</v>
      </c>
      <c r="Y24" s="71">
        <v>8397</v>
      </c>
      <c r="Z24" s="178"/>
      <c r="AA24" s="179"/>
      <c r="AB24" s="179"/>
      <c r="AC24" s="179"/>
      <c r="AD24" s="179"/>
      <c r="AE24" s="180"/>
      <c r="AH24" s="64" ph="1">
        <v>10</v>
      </c>
      <c r="AI24" s="64" t="s" ph="1">
        <v>347</v>
      </c>
      <c r="AZ24" s="64" t="s" ph="1">
        <v>216</v>
      </c>
      <c r="BA24" s="64" ph="1">
        <v>0</v>
      </c>
    </row>
    <row r="25" spans="1:57" ph="1">
      <c r="A25" s="72" ph="1"/>
      <c r="B25" s="184" ph="1"/>
      <c r="C25" s="68" t="s" ph="1">
        <v>178</v>
      </c>
      <c r="D25" s="91" ph="1">
        <f>D24*268.68*LOOKUP(D26,密度!$A$2:$A$50,密度!$Q$2:$Q$50)+IF(D24&lt;=0,0,1566*LOOKUP(D26,密度!$A$2:$A$50,密度!$Q$2:$Q$50))</f>
        <v>2520.4248610559998</v>
      </c>
      <c r="E25" s="91" ph="1">
        <f>E24*268.68*LOOKUP(E26,密度!$A$2:$A$50,密度!$C$2:$C$50)+IF(E24&lt;=0,0,1566*LOOKUP(E26,密度!$A$2:$A$50,密度!$C$2:$C$50))</f>
        <v>3482.4614167200002</v>
      </c>
      <c r="F25" s="91" ph="1">
        <f>F24*11.702*LOOKUP(F26,密度!$A$2:$A$50,密度!$Q$2:$Q$50)</f>
        <v>1419.17362432</v>
      </c>
      <c r="G25" s="91" ph="1">
        <f>G24*18.322*LOOKUP(G26,密度!$A$2:$A$50,密度!$B$2:$B$50)</f>
        <v>48027.262554599998</v>
      </c>
      <c r="H25" s="91" ph="1">
        <f>H24*18.322*LOOKUP(H26,密度!$A$2:$A$50,密度!$B$2:$B$50)</f>
        <v>53969.411453999994</v>
      </c>
      <c r="I25" s="91" ph="1">
        <f>I24*18.322*LOOKUP(I26,密度!$A$2:$A$50,密度!$Q$2:$Q$50)</f>
        <v>2324.3868175199996</v>
      </c>
      <c r="J25" s="91" ph="1">
        <f>J24*18.322*LOOKUP(J26,密度!$A$2:$A$50,密度!$Q$2:$Q$50)</f>
        <v>3605.2976252799999</v>
      </c>
      <c r="K25" s="91" ph="1">
        <f>K24*18.322*LOOKUP(K26,密度!$A$2:$A$50,密度!$Q$2:$Q$50)</f>
        <v>4301.8502294399996</v>
      </c>
      <c r="L25" s="91" ph="1">
        <f>L24*18.322*LOOKUP(L26,密度!$A$2:$A$50,密度!$Q$2:$Q$50)</f>
        <v>8129.2528185400006</v>
      </c>
      <c r="M25" s="91" ph="1">
        <f>M24*18.322*LOOKUP(M26,密度!$A$2:$A$50,密度!$Q$2:$Q$50)</f>
        <v>83819.387760519996</v>
      </c>
      <c r="N25" s="91" ph="1">
        <f>N24*18.322*LOOKUP(N26,密度!$A$2:$A$50,密度!$Q$2:$Q$50)</f>
        <v>42726.243491900001</v>
      </c>
      <c r="O25" s="91" ph="1">
        <f>O24*18.322*LOOKUP(O26,密度!$A$2:$A$50,密度!$C$2:$C$50)</f>
        <v>50833.7990316</v>
      </c>
      <c r="P25" s="91" ph="1">
        <f>P24*11.702*LOOKUP(P26,密度!$A$2:$A$50,密度!$B$2:$B$50)</f>
        <v>7674.0311759999995</v>
      </c>
      <c r="Q25" s="92" ph="1">
        <f>Q24*18.322*LOOKUP(Q26,密度!$A$2:$A$50,密度!$B$2:$B$50)</f>
        <v>52430.827000599995</v>
      </c>
      <c r="R25" s="91" ph="1">
        <f>R24*35.891*LOOKUP(R26,密度!$A$2:$A$50,密度!$C$2:$C$50)</f>
        <v>271613.21079679998</v>
      </c>
      <c r="S25" s="91" ph="1">
        <f>S24*35.891*LOOKUP(S26,密度!$A$2:$A$50,密度!$B$2:$B$50)</f>
        <v>195284.91936140001</v>
      </c>
      <c r="T25" s="91" ph="1">
        <f>T24*35.891*LOOKUP(T26,密度!$A$2:$A$50,密度!$Q$2:$Q$50)</f>
        <v>17233.24202827</v>
      </c>
      <c r="U25" s="91" ph="1">
        <f>U24*35.891</f>
        <v>181213.65899999999</v>
      </c>
      <c r="V25" s="91" ph="1">
        <f>V24*47.051*LOOKUP(V26,密度!$A$2:$A$50,密度!$B$2:$B$50)</f>
        <v>37261.470132899994</v>
      </c>
      <c r="W25" s="91" ph="1">
        <f>W24*47.051*LOOKUP(W26,密度!$A$2:$A$50,密度!$B$2:$B$50)</f>
        <v>150612.02011760001</v>
      </c>
      <c r="X25" s="91" ph="1">
        <f>X24*47.051*LOOKUP(X26,密度!$A$2:$A$61,密度!$I$2:$I$61)</f>
        <v>106375.912064</v>
      </c>
      <c r="Y25" s="91" ph="1">
        <f>Y24*47.051*LOOKUP(Y26,密度!$A$2:$A$50,密度!$L$2:$L$50)</f>
        <v>368221.31420400005</v>
      </c>
      <c r="Z25" s="178"/>
      <c r="AA25" s="179"/>
      <c r="AB25" s="179"/>
      <c r="AC25" s="179"/>
      <c r="AD25" s="179"/>
      <c r="AE25" s="180"/>
      <c r="AH25" s="64" ph="1">
        <v>11</v>
      </c>
      <c r="AI25" s="64" t="s" ph="1">
        <v>348</v>
      </c>
      <c r="AZ25" s="64" t="s" ph="1">
        <v>216</v>
      </c>
      <c r="BA25" s="64" ph="1">
        <v>0</v>
      </c>
      <c r="BD25" s="64" t="s" ph="1">
        <v>241</v>
      </c>
      <c r="BE25" s="64" ph="1">
        <v>8920</v>
      </c>
    </row>
    <row r="26" spans="1:57" ph="1">
      <c r="A26" s="72" ph="1"/>
      <c r="B26" s="184" ph="1"/>
      <c r="C26" s="68" t="s" ph="1">
        <v>179</v>
      </c>
      <c r="D26" s="74">
        <v>25</v>
      </c>
      <c r="E26" s="74">
        <v>25</v>
      </c>
      <c r="F26" s="74">
        <v>24</v>
      </c>
      <c r="G26" s="74">
        <v>30</v>
      </c>
      <c r="H26" s="74">
        <v>28</v>
      </c>
      <c r="I26" s="74">
        <v>25</v>
      </c>
      <c r="J26" s="74">
        <v>26</v>
      </c>
      <c r="K26" s="74">
        <v>25</v>
      </c>
      <c r="L26" s="74">
        <v>26</v>
      </c>
      <c r="M26" s="74">
        <v>28</v>
      </c>
      <c r="N26" s="74">
        <v>26</v>
      </c>
      <c r="O26" s="74">
        <v>25</v>
      </c>
      <c r="P26" s="74">
        <v>28</v>
      </c>
      <c r="Q26" s="93">
        <v>30</v>
      </c>
      <c r="R26" s="74">
        <v>30</v>
      </c>
      <c r="S26" s="74">
        <v>30</v>
      </c>
      <c r="T26" s="74">
        <v>30</v>
      </c>
      <c r="U26" s="74">
        <v>29</v>
      </c>
      <c r="V26" s="74">
        <v>26</v>
      </c>
      <c r="W26" s="74">
        <v>25</v>
      </c>
      <c r="X26" s="74">
        <v>28</v>
      </c>
      <c r="Y26" s="74">
        <v>30</v>
      </c>
      <c r="Z26" s="178"/>
      <c r="AA26" s="179"/>
      <c r="AB26" s="179"/>
      <c r="AC26" s="179"/>
      <c r="AD26" s="179"/>
      <c r="AE26" s="180"/>
      <c r="AH26" s="64" ph="1">
        <v>12</v>
      </c>
      <c r="AI26" s="64" t="s" ph="1">
        <v>349</v>
      </c>
      <c r="AZ26" s="64" t="s" ph="1">
        <v>216</v>
      </c>
      <c r="BA26" s="64" ph="1">
        <v>0</v>
      </c>
    </row>
    <row r="27" spans="1:57" ht="26.4" ph="1">
      <c r="A27" s="72" ph="1"/>
      <c r="B27" s="184" ph="1">
        <v>0.66666666666666663</v>
      </c>
      <c r="C27" s="150" t="s" ph="1">
        <v>180</v>
      </c>
      <c r="D27" s="71">
        <v>4.1100000000000003</v>
      </c>
      <c r="E27" s="71">
        <v>5.82</v>
      </c>
      <c r="F27" s="71">
        <v>127</v>
      </c>
      <c r="G27" s="71">
        <v>2810</v>
      </c>
      <c r="H27" s="71">
        <v>3247</v>
      </c>
      <c r="I27" s="71">
        <v>131</v>
      </c>
      <c r="J27" s="71">
        <v>205</v>
      </c>
      <c r="K27" s="71">
        <v>245</v>
      </c>
      <c r="L27" s="71">
        <v>466</v>
      </c>
      <c r="M27" s="71">
        <v>4840</v>
      </c>
      <c r="N27" s="71">
        <v>2461</v>
      </c>
      <c r="O27" s="71">
        <v>2499</v>
      </c>
      <c r="P27" s="71">
        <v>841</v>
      </c>
      <c r="Q27" s="90">
        <v>4035</v>
      </c>
      <c r="R27" s="71">
        <v>6321</v>
      </c>
      <c r="S27" s="71">
        <v>7013</v>
      </c>
      <c r="T27" s="71">
        <v>508</v>
      </c>
      <c r="U27" s="71">
        <v>5298</v>
      </c>
      <c r="V27" s="71">
        <v>1014</v>
      </c>
      <c r="W27" s="71">
        <v>2695</v>
      </c>
      <c r="X27" s="71">
        <v>2776</v>
      </c>
      <c r="Y27" s="71">
        <v>8804</v>
      </c>
      <c r="Z27" s="178"/>
      <c r="AA27" s="179"/>
      <c r="AB27" s="179"/>
      <c r="AC27" s="179"/>
      <c r="AD27" s="179"/>
      <c r="AE27" s="180"/>
      <c r="AH27" s="64" ph="1">
        <v>13</v>
      </c>
      <c r="AI27" s="64" t="s" ph="1">
        <v>350</v>
      </c>
      <c r="AZ27" s="64" t="s" ph="1">
        <v>216</v>
      </c>
      <c r="BA27" s="64" ph="1">
        <v>0</v>
      </c>
      <c r="BD27" s="64" t="s" ph="1">
        <v>295</v>
      </c>
      <c r="BE27" s="64" ph="1">
        <v>7100</v>
      </c>
    </row>
    <row r="28" spans="1:57" ph="1">
      <c r="A28" s="72" ph="1"/>
      <c r="B28" s="184" ph="1"/>
      <c r="C28" s="150" t="s" ph="1">
        <v>178</v>
      </c>
      <c r="D28" s="91" ph="1">
        <f>D27*268.68*LOOKUP(D29,密度!$A$2:$A$50,密度!$Q$2:$Q$50)+IF(D27&lt;=0,0,1566*LOOKUP(D29,密度!$A$2:$A$50,密度!$Q$2:$Q$50))</f>
        <v>2528.0559641520003</v>
      </c>
      <c r="E28" s="91" ph="1">
        <f>E27*268.68*LOOKUP(E29,密度!$A$2:$A$50,密度!$C$2:$C$50)+IF(E27&lt;=0,0,1566*LOOKUP(E29,密度!$A$2:$A$50,密度!$C$2:$C$50))</f>
        <v>3470.5438466400001</v>
      </c>
      <c r="F28" s="91" ph="1">
        <f>F27*11.702*LOOKUP(F29,密度!$A$2:$A$50,密度!$Q$2:$Q$50)</f>
        <v>1404.8910992800002</v>
      </c>
      <c r="G28" s="91" ph="1">
        <f>G27*18.322*LOOKUP(G29,密度!$A$2:$A$50,密度!$B$2:$B$50)</f>
        <v>39916.180946</v>
      </c>
      <c r="H28" s="91" ph="1">
        <f>H27*18.322*LOOKUP(H29,密度!$A$2:$A$50,密度!$B$2:$B$50)</f>
        <v>46123.786310199997</v>
      </c>
      <c r="I28" s="91" ph="1">
        <f>I27*18.322*LOOKUP(I29,密度!$A$2:$A$50,密度!$Q$2:$Q$50)</f>
        <v>2268.9400482400001</v>
      </c>
      <c r="J28" s="91" ph="1">
        <f>J27*18.322*LOOKUP(J29,密度!$A$2:$A$50,密度!$Q$2:$Q$50)</f>
        <v>3543.1569132999998</v>
      </c>
      <c r="K28" s="91" ph="1">
        <f>K27*18.322*LOOKUP(K29,密度!$A$2:$A$50,密度!$Q$2:$Q$50)</f>
        <v>4240.2952717999997</v>
      </c>
      <c r="L28" s="91" ph="1">
        <f>L27*18.322*LOOKUP(L29,密度!$A$2:$A$50,密度!$Q$2:$Q$50)</f>
        <v>8071.19131664</v>
      </c>
      <c r="M28" s="91" ph="1">
        <f>M27*18.322*LOOKUP(M29,密度!$A$2:$A$50,密度!$Q$2:$Q$50)</f>
        <v>83706.277626399999</v>
      </c>
      <c r="N28" s="91" ph="1">
        <f>N27*18.322*LOOKUP(N29,密度!$A$2:$A$50,密度!$Q$2:$Q$50)</f>
        <v>42593.333322039995</v>
      </c>
      <c r="O28" s="91" ph="1">
        <f>O27*18.322*LOOKUP(O29,密度!$A$2:$A$50,密度!$C$2:$C$50)</f>
        <v>50772.847234200002</v>
      </c>
      <c r="P28" s="91" ph="1">
        <f>P27*11.702*LOOKUP(P29,密度!$A$2:$A$50,密度!$B$2:$B$50)</f>
        <v>7663.4841633999995</v>
      </c>
      <c r="Q28" s="92" ph="1">
        <f>Q27*18.322*LOOKUP(Q29,密度!$A$2:$A$50,密度!$B$2:$B$50)</f>
        <v>57317.363030999993</v>
      </c>
      <c r="R28" s="91" ph="1">
        <f>R27*35.891*LOOKUP(R29,密度!$A$2:$A$50,密度!$C$2:$C$50)</f>
        <v>249531.02539890003</v>
      </c>
      <c r="S28" s="91" ph="1">
        <f>S27*35.891*LOOKUP(S29,密度!$A$2:$A$50,密度!$B$2:$B$50)</f>
        <v>195145.78789989999</v>
      </c>
      <c r="T28" s="91" ph="1">
        <f>T27*35.891*LOOKUP(T29,密度!$A$2:$A$50,密度!$Q$2:$Q$50)</f>
        <v>17199.384971240001</v>
      </c>
      <c r="U28" s="91" ph="1">
        <f>U27*35.891</f>
        <v>190150.51799999998</v>
      </c>
      <c r="V28" s="91" ph="1">
        <f>V27*47.051*LOOKUP(V29,密度!$A$2:$A$50,密度!$B$2:$B$50)</f>
        <v>37194.493034399995</v>
      </c>
      <c r="W28" s="91" ph="1">
        <f>W27*47.051*LOOKUP(W29,密度!$A$2:$A$50,密度!$B$2:$B$50)</f>
        <v>98855.186121999999</v>
      </c>
      <c r="X28" s="91" ph="1">
        <f>X27*47.051*LOOKUP(X29,密度!$A$2:$A$61,密度!$I$2:$I$61)</f>
        <v>135707.50546399999</v>
      </c>
      <c r="Y28" s="91" ph="1">
        <f>Y27*47.051*LOOKUP(Y29,密度!$A$2:$A$50,密度!$L$2:$L$50)</f>
        <v>386068.88772800006</v>
      </c>
      <c r="Z28" s="178"/>
      <c r="AA28" s="179"/>
      <c r="AB28" s="179"/>
      <c r="AC28" s="179"/>
      <c r="AD28" s="179"/>
      <c r="AE28" s="180"/>
      <c r="AH28" s="64" ph="1">
        <v>14</v>
      </c>
      <c r="AI28" s="64" t="s" ph="1">
        <v>351</v>
      </c>
      <c r="AZ28" s="64" t="s" ph="1">
        <v>216</v>
      </c>
      <c r="BA28" s="64" ph="1">
        <v>0</v>
      </c>
    </row>
    <row r="29" spans="1:57" ph="1">
      <c r="A29" s="72" ph="1"/>
      <c r="B29" s="184" ph="1"/>
      <c r="C29" s="150" t="s" ph="1">
        <v>179</v>
      </c>
      <c r="D29" s="74">
        <v>25</v>
      </c>
      <c r="E29" s="74">
        <v>25</v>
      </c>
      <c r="F29" s="74">
        <v>27</v>
      </c>
      <c r="G29" s="74">
        <v>30</v>
      </c>
      <c r="H29" s="74">
        <v>30</v>
      </c>
      <c r="I29" s="74">
        <v>27</v>
      </c>
      <c r="J29" s="74">
        <v>30</v>
      </c>
      <c r="K29" s="74">
        <v>28</v>
      </c>
      <c r="L29" s="74">
        <v>27</v>
      </c>
      <c r="M29" s="74">
        <v>29</v>
      </c>
      <c r="N29" s="74">
        <v>28</v>
      </c>
      <c r="O29" s="74">
        <v>25</v>
      </c>
      <c r="P29" s="74">
        <v>26</v>
      </c>
      <c r="Q29" s="93">
        <v>30</v>
      </c>
      <c r="R29" s="74">
        <v>35</v>
      </c>
      <c r="S29" s="74">
        <v>30</v>
      </c>
      <c r="T29" s="74">
        <v>30</v>
      </c>
      <c r="U29" s="74">
        <v>30</v>
      </c>
      <c r="V29" s="74">
        <v>25</v>
      </c>
      <c r="W29" s="74">
        <v>25</v>
      </c>
      <c r="X29" s="74">
        <v>28</v>
      </c>
      <c r="Y29" s="74">
        <v>30</v>
      </c>
      <c r="Z29" s="181"/>
      <c r="AA29" s="182"/>
      <c r="AB29" s="182"/>
      <c r="AC29" s="182"/>
      <c r="AD29" s="182"/>
      <c r="AE29" s="183"/>
      <c r="AH29" s="64" ph="1">
        <v>15</v>
      </c>
      <c r="AI29" s="64" t="s" ph="1">
        <v>352</v>
      </c>
      <c r="AZ29" s="64" t="s" ph="1">
        <v>216</v>
      </c>
      <c r="BA29" s="64" ph="1">
        <v>0</v>
      </c>
      <c r="BD29" s="64" t="s" ph="1">
        <v>353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354</v>
      </c>
      <c r="AZ30" s="64" t="s" ph="1">
        <v>216</v>
      </c>
      <c r="BA30" s="64" ph="1">
        <v>0</v>
      </c>
    </row>
    <row r="31" spans="1:57" ht="28.2" ph="1">
      <c r="A31" s="64"/>
      <c r="B31" s="197" t="s" ph="1">
        <v>35</v>
      </c>
      <c r="C31" s="198" ph="1"/>
      <c r="D31" s="201" t="s" ph="1">
        <v>9</v>
      </c>
      <c r="E31" s="190" ph="1"/>
      <c r="F31" s="191" ph="1"/>
      <c r="G31" s="201" t="s" ph="1">
        <v>18</v>
      </c>
      <c r="H31" s="190" ph="1"/>
      <c r="I31" s="191" ph="1"/>
      <c r="J31" s="189" t="s" ph="1">
        <v>1</v>
      </c>
      <c r="K31" s="190" ph="1"/>
      <c r="L31" s="191" ph="1"/>
      <c r="M31" s="189" t="s" ph="1">
        <v>7</v>
      </c>
      <c r="N31" s="190" ph="1"/>
      <c r="O31" s="191" ph="1"/>
      <c r="P31" s="189" t="s" ph="1">
        <v>41</v>
      </c>
      <c r="Q31" s="190"/>
      <c r="R31" s="191"/>
      <c r="S31" s="189" t="s" ph="1">
        <v>2</v>
      </c>
      <c r="T31" s="190"/>
      <c r="U31" s="191"/>
      <c r="V31" s="189" t="s" ph="1">
        <v>71</v>
      </c>
      <c r="W31" s="190" ph="1"/>
      <c r="X31" s="191" ph="1"/>
      <c r="Y31" s="189" t="s" ph="1">
        <v>3</v>
      </c>
      <c r="Z31" s="190" ph="1"/>
      <c r="AA31" s="191" ph="1"/>
      <c r="AB31" s="212" t="s">
        <v>42</v>
      </c>
      <c r="AC31" s="213"/>
      <c r="AD31" s="213"/>
      <c r="AE31" s="214"/>
      <c r="AH31" s="64" ph="1">
        <v>17</v>
      </c>
      <c r="AI31" s="64" t="s" ph="1">
        <v>355</v>
      </c>
      <c r="AZ31" s="64" t="s" ph="1">
        <v>216</v>
      </c>
      <c r="BA31" s="64" ph="1">
        <v>0</v>
      </c>
      <c r="BD31" s="64" t="s" ph="1">
        <v>356</v>
      </c>
      <c r="BE31" s="64" ph="1">
        <v>9310</v>
      </c>
    </row>
    <row r="32" spans="1:57" ph="1">
      <c r="A32" s="64"/>
      <c r="B32" s="199" ph="1"/>
      <c r="C32" s="200" ph="1"/>
      <c r="D32" s="96" t="s" ph="1">
        <v>4</v>
      </c>
      <c r="E32" s="150" t="s" ph="1">
        <v>5</v>
      </c>
      <c r="F32" s="149" t="s" ph="1">
        <v>43</v>
      </c>
      <c r="G32" s="97" t="s" ph="1">
        <v>4</v>
      </c>
      <c r="H32" s="150" t="s" ph="1">
        <v>5</v>
      </c>
      <c r="I32" s="149" t="s" ph="1">
        <v>43</v>
      </c>
      <c r="J32" s="97" t="s" ph="1">
        <v>4</v>
      </c>
      <c r="K32" s="150" t="s" ph="1">
        <v>5</v>
      </c>
      <c r="L32" s="149" t="s" ph="1">
        <v>43</v>
      </c>
      <c r="M32" s="97" t="s" ph="1">
        <v>4</v>
      </c>
      <c r="N32" s="150" t="s" ph="1">
        <v>5</v>
      </c>
      <c r="O32" s="149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50" t="s" ph="1">
        <v>5</v>
      </c>
      <c r="U32" s="99" t="s" ph="1">
        <v>43</v>
      </c>
      <c r="V32" s="97" t="s" ph="1">
        <v>4</v>
      </c>
      <c r="W32" s="150" t="s" ph="1">
        <v>5</v>
      </c>
      <c r="X32" s="99" t="s" ph="1">
        <v>43</v>
      </c>
      <c r="Y32" s="100" t="s" ph="1">
        <v>4</v>
      </c>
      <c r="Z32" s="150" t="s" ph="1">
        <v>5</v>
      </c>
      <c r="AA32" s="149" t="s" ph="1">
        <v>43</v>
      </c>
      <c r="AB32" s="97" t="s" ph="1">
        <v>85</v>
      </c>
      <c r="AC32" s="150" t="s" ph="1">
        <v>84</v>
      </c>
      <c r="AD32" s="215" t="s" ph="1">
        <v>83</v>
      </c>
      <c r="AE32" s="216"/>
      <c r="AH32" s="64" ph="1">
        <v>18</v>
      </c>
      <c r="AI32" s="64" t="s" ph="1">
        <v>357</v>
      </c>
      <c r="AZ32" s="64" t="s" ph="1">
        <v>216</v>
      </c>
      <c r="BA32" s="64" ph="1">
        <v>0</v>
      </c>
    </row>
    <row r="33" spans="1:57" ph="1">
      <c r="A33" s="64"/>
      <c r="B33" s="202" t="s" ph="1">
        <v>181</v>
      </c>
      <c r="C33" s="203" ph="1"/>
      <c r="D33" s="206" ph="1">
        <f>AA10+AB10+Z19</f>
        <v>82048.174380480006</v>
      </c>
      <c r="E33" s="206" ph="1">
        <f>M10+I10</f>
        <v>228096.15397560003</v>
      </c>
      <c r="F33" s="208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1522252632456786910111213141516171819202123456789101112131415161718192022232424356789101112131415161718192021222345678910111213141516171819202345678910111213149101516171819222123234567891012131415161711181920212224252345678910111213137[[#This Row],[F25]]</f>
        <v>3880</v>
      </c>
      <c r="G33" s="210" ph="1">
        <f>N19</f>
        <v>15127.952586300002</v>
      </c>
      <c r="H33" s="206" ph="1">
        <f>M19</f>
        <v>46298.277977100006</v>
      </c>
      <c r="I33" s="219" ph="1">
        <v>0</v>
      </c>
      <c r="J33" s="217" ph="1">
        <f>F10+O28</f>
        <v>265521.46317899995</v>
      </c>
      <c r="K33" s="206" ph="1">
        <f>O10+K10+E28+R28</f>
        <v>388625.58601954009</v>
      </c>
      <c r="L33" s="221" ph="1">
        <f>K19</f>
        <v>22844.559567879998</v>
      </c>
      <c r="M33" s="217" ph="1">
        <f>G10+H10+W28+S28+V28+E10+R19+P28+Q28</f>
        <v>939622.19482507999</v>
      </c>
      <c r="N33" s="206" ph="1">
        <f>L10+P10++G28+H28+AD19+AE19</f>
        <v>175587.26449979999</v>
      </c>
      <c r="O33" s="219" ph="1">
        <f>G19</f>
        <v>31721.029288779995</v>
      </c>
      <c r="P33" s="217" ph="1">
        <f>L19</f>
        <v>11984.599169919999</v>
      </c>
      <c r="Q33" s="206" ph="1">
        <f>J10+N10</f>
        <v>12030.902854599999</v>
      </c>
      <c r="R33" s="219" ph="1">
        <f>BE23</f>
        <v>890</v>
      </c>
      <c r="S33" s="217" ph="1">
        <f>X28</f>
        <v>135707.50546399999</v>
      </c>
      <c r="T33" s="206" ph="1">
        <f>X19</f>
        <v>18449.284048159996</v>
      </c>
      <c r="U33" s="227" ph="1">
        <f>BE21</f>
        <v>730</v>
      </c>
      <c r="V33" s="238" ph="1">
        <f ca="1">P19+Q19+S19+M28+N28+J28+D10+AC10+D19+E19+H19+J19+O19+V19+W19+K28+L28</f>
        <v>531173.63486883999</v>
      </c>
      <c r="W33" s="238" ph="1">
        <f>D28+F28+T28+I28</f>
        <v>23401.272082912001</v>
      </c>
      <c r="X33" s="219" ph="1">
        <f>BE29+BE31</f>
        <v>10200</v>
      </c>
      <c r="Y33" s="240" ph="1">
        <f>+Q10+R10+S10+T10+U10+V10+W10+X10+Y10</f>
        <v>329625.49989600002</v>
      </c>
      <c r="Z33" s="225" ph="1">
        <f>T19+U19+Y28+Z10</f>
        <v>577145.41334486008</v>
      </c>
      <c r="AA33" s="227" ph="1">
        <f>BE19</f>
        <v>1440</v>
      </c>
      <c r="AB33" s="229" ph="1">
        <f>I19</f>
        <v>49850.670803399997</v>
      </c>
      <c r="AC33" s="231" ph="1">
        <f>AD10+AB19</f>
        <v>121192.51853639999</v>
      </c>
      <c r="AD33" s="233" ph="1">
        <v>0</v>
      </c>
      <c r="AE33" s="234"/>
      <c r="AH33" s="64" ph="1">
        <v>19</v>
      </c>
      <c r="AI33" s="64" t="s" ph="1">
        <v>358</v>
      </c>
      <c r="AJ33" s="64" t="s" ph="1">
        <v>592</v>
      </c>
      <c r="AK33" s="64" t="s" ph="1">
        <v>589</v>
      </c>
      <c r="AL33" s="64" ph="1">
        <v>730</v>
      </c>
      <c r="AM33" s="64" t="s" ph="1">
        <v>339</v>
      </c>
      <c r="AZ33" s="64" t="s" ph="1">
        <v>216</v>
      </c>
      <c r="BA33" s="64" ph="1">
        <v>730</v>
      </c>
      <c r="BD33" s="64" t="s" ph="1">
        <v>290</v>
      </c>
      <c r="BE33" s="64" ph="1">
        <v>3880</v>
      </c>
    </row>
    <row r="34" spans="1:57" ph="1">
      <c r="A34" s="64"/>
      <c r="B34" s="204" ph="1"/>
      <c r="C34" s="205" ph="1"/>
      <c r="D34" s="207" ph="1"/>
      <c r="E34" s="207" ph="1"/>
      <c r="F34" s="209" ph="1"/>
      <c r="G34" s="211" ph="1"/>
      <c r="H34" s="207" ph="1"/>
      <c r="I34" s="220" ph="1"/>
      <c r="J34" s="218" ph="1"/>
      <c r="K34" s="207" ph="1"/>
      <c r="L34" s="222" ph="1"/>
      <c r="M34" s="218" ph="1"/>
      <c r="N34" s="207" ph="1"/>
      <c r="O34" s="220" ph="1"/>
      <c r="P34" s="218" ph="1"/>
      <c r="Q34" s="207" ph="1"/>
      <c r="R34" s="220" ph="1"/>
      <c r="S34" s="218" ph="1"/>
      <c r="T34" s="207"/>
      <c r="U34" s="228"/>
      <c r="V34" s="239" ph="1"/>
      <c r="W34" s="239" ph="1"/>
      <c r="X34" s="220" ph="1"/>
      <c r="Y34" s="241" ph="1"/>
      <c r="Z34" s="226" ph="1"/>
      <c r="AA34" s="228" ph="1"/>
      <c r="AB34" s="230"/>
      <c r="AC34" s="232"/>
      <c r="AD34" s="235"/>
      <c r="AE34" s="236"/>
      <c r="AH34" s="64" ph="1">
        <v>20</v>
      </c>
      <c r="AI34" s="64" t="s" ph="1">
        <v>359</v>
      </c>
      <c r="AJ34" s="64" t="s" ph="1">
        <v>593</v>
      </c>
      <c r="AK34" s="64" t="s" ph="1">
        <v>589</v>
      </c>
      <c r="AL34" s="64" ph="1">
        <v>720</v>
      </c>
      <c r="AM34" s="64" t="s" ph="1">
        <v>339</v>
      </c>
      <c r="AZ34" s="64" t="s" ph="1">
        <v>216</v>
      </c>
      <c r="BA34" s="64" ph="1">
        <v>720</v>
      </c>
    </row>
    <row r="35" spans="1:57" ph="1">
      <c r="A35" s="64"/>
      <c r="AC35" s="237" t="s" ph="1">
        <v>631</v>
      </c>
      <c r="AD35" s="237"/>
      <c r="AE35" s="237"/>
      <c r="AH35" s="64" ph="1">
        <v>21</v>
      </c>
      <c r="AI35" s="64" t="s" ph="1">
        <v>360</v>
      </c>
      <c r="AZ35" s="64" t="s" ph="1">
        <v>216</v>
      </c>
      <c r="BA35" s="64" ph="1">
        <v>0</v>
      </c>
      <c r="BD35" s="64" t="s" ph="1">
        <v>361</v>
      </c>
      <c r="BE35" s="64" ph="1">
        <v>2030</v>
      </c>
    </row>
    <row r="36" spans="1:57" ht="28.2" ph="1">
      <c r="A36" s="64"/>
      <c r="B36" s="103" t="s" ph="1">
        <v>182</v>
      </c>
      <c r="I36" s="223" t="s" ph="1">
        <v>183</v>
      </c>
      <c r="J36" s="223" ph="1"/>
      <c r="K36" s="101" ph="1"/>
      <c r="P36" s="101" ph="1"/>
      <c r="R36" s="223" t="s" ph="1">
        <v>184</v>
      </c>
      <c r="S36" s="223" ph="1"/>
      <c r="Y36" s="102" ph="1"/>
      <c r="Z36" s="148" t="s" ph="1">
        <v>185</v>
      </c>
      <c r="AA36" s="148" ph="1"/>
      <c r="AB36" s="224" t="s" ph="1">
        <v>640</v>
      </c>
      <c r="AC36" s="224" ph="1"/>
      <c r="AD36" s="224" ph="1"/>
      <c r="AE36" s="224" ph="1"/>
      <c r="BA36" s="64" ph="1">
        <v>2270</v>
      </c>
    </row>
    <row r="37" spans="1:57" s="148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48" t="s" ph="1">
        <v>342</v>
      </c>
      <c r="AI37" s="148" t="s" ph="1">
        <v>209</v>
      </c>
      <c r="AJ37" s="148" t="s" ph="1">
        <v>210</v>
      </c>
      <c r="AK37" s="148" t="s" ph="1">
        <v>211</v>
      </c>
      <c r="AM37" s="148" t="s" ph="1">
        <v>210</v>
      </c>
      <c r="AN37" s="148" t="s" ph="1">
        <v>211</v>
      </c>
      <c r="AO37" s="148" t="s" ph="1">
        <v>212</v>
      </c>
      <c r="AP37" s="148" t="s" ph="1">
        <v>210</v>
      </c>
      <c r="AQ37" s="148" t="s" ph="1">
        <v>211</v>
      </c>
      <c r="AR37" s="148" t="s" ph="1">
        <v>212</v>
      </c>
      <c r="AS37" s="148" t="s" ph="1">
        <v>210</v>
      </c>
      <c r="AT37" s="148" t="s" ph="1">
        <v>211</v>
      </c>
      <c r="AU37" s="148" t="s" ph="1">
        <v>212</v>
      </c>
      <c r="AV37" s="148" t="s" ph="1">
        <v>210</v>
      </c>
      <c r="AW37" s="148" t="s" ph="1">
        <v>211</v>
      </c>
      <c r="AX37" s="148" t="s" ph="1">
        <v>212</v>
      </c>
      <c r="AY37" s="148" t="s" ph="1">
        <v>211</v>
      </c>
      <c r="AZ37" s="148" t="s" ph="1">
        <v>213</v>
      </c>
      <c r="BD37" s="148" t="s" ph="1">
        <v>305</v>
      </c>
      <c r="BE37" s="148" ph="1">
        <v>0</v>
      </c>
    </row>
    <row r="38" spans="1:57" ph="1">
      <c r="AE38" s="64" ph="1"/>
      <c r="AH38" s="64" ph="1">
        <v>1</v>
      </c>
      <c r="AI38" s="64" t="s" ph="1">
        <v>362</v>
      </c>
      <c r="AY38" s="64" t="s" ph="1">
        <v>216</v>
      </c>
      <c r="AZ38" s="64" t="s" ph="1">
        <v>367</v>
      </c>
    </row>
    <row r="39" spans="1:57" ph="1">
      <c r="AH39" s="64" ph="1">
        <v>2</v>
      </c>
      <c r="AI39" s="64" t="s" ph="1">
        <v>364</v>
      </c>
      <c r="AJ39" s="64" t="s" ph="1">
        <v>336</v>
      </c>
      <c r="AK39" s="64" t="s" ph="1">
        <v>365</v>
      </c>
      <c r="AM39" s="64" t="s" ph="1">
        <v>570</v>
      </c>
      <c r="AN39" s="64" t="s" ph="1">
        <v>228</v>
      </c>
      <c r="AO39" s="64" t="s" ph="1">
        <v>363</v>
      </c>
      <c r="AY39" s="64" t="s" ph="1">
        <v>216</v>
      </c>
      <c r="AZ39" s="64" t="s" ph="1">
        <v>499</v>
      </c>
    </row>
    <row r="40" spans="1:57" ph="1">
      <c r="AH40" s="64" ph="1">
        <v>3</v>
      </c>
      <c r="AI40" s="64" t="s" ph="1">
        <v>366</v>
      </c>
      <c r="AJ40" s="64" t="s" ph="1">
        <v>570</v>
      </c>
      <c r="AK40" s="64" t="s" ph="1">
        <v>571</v>
      </c>
      <c r="AY40" s="64" t="s" ph="1">
        <v>216</v>
      </c>
      <c r="AZ40" s="64" t="s" ph="1">
        <v>571</v>
      </c>
    </row>
    <row r="41" spans="1:57" ph="1">
      <c r="AH41" s="64" ph="1">
        <v>4</v>
      </c>
      <c r="AI41" s="64" t="s" ph="1">
        <v>368</v>
      </c>
      <c r="AJ41" s="64" t="s" ph="1">
        <v>572</v>
      </c>
      <c r="AK41" s="64" t="s" ph="1">
        <v>573</v>
      </c>
      <c r="AM41" s="64" t="s" ph="1">
        <v>574</v>
      </c>
      <c r="AY41" s="64" t="s" ph="1">
        <v>216</v>
      </c>
      <c r="AZ41" s="64" t="s" ph="1">
        <v>573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369</v>
      </c>
      <c r="AY42" s="64" t="s" ph="1">
        <v>216</v>
      </c>
      <c r="AZ42" s="64" t="s" ph="1">
        <v>367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370</v>
      </c>
      <c r="AY43" s="64" t="s" ph="1">
        <v>216</v>
      </c>
      <c r="AZ43" s="64" t="s" ph="1">
        <v>367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371</v>
      </c>
      <c r="AV44" s="64" t="s" ph="1">
        <v>217</v>
      </c>
      <c r="AY44" s="64" t="s" ph="1">
        <v>216</v>
      </c>
      <c r="AZ44" s="64" t="s" ph="1">
        <v>367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372</v>
      </c>
      <c r="AV45" s="64" t="s" ph="1">
        <v>217</v>
      </c>
      <c r="AY45" s="64" t="s" ph="1">
        <v>216</v>
      </c>
      <c r="AZ45" s="64" t="s" ph="1">
        <v>367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373</v>
      </c>
      <c r="AV46" s="64" t="s" ph="1">
        <v>217</v>
      </c>
      <c r="AY46" s="64" t="s" ph="1">
        <v>216</v>
      </c>
      <c r="AZ46" s="64" t="s" ph="1">
        <v>367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374</v>
      </c>
      <c r="AV47" s="64" t="s" ph="1">
        <v>217</v>
      </c>
      <c r="AY47" s="64" t="s" ph="1">
        <v>216</v>
      </c>
      <c r="AZ47" s="64" t="s" ph="1">
        <v>367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575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232</v>
      </c>
      <c r="AI49" s="64" t="s" ph="1">
        <v>209</v>
      </c>
      <c r="AJ49" s="64" t="s" ph="1">
        <v>210</v>
      </c>
      <c r="AK49" s="64" t="s" ph="1">
        <v>211</v>
      </c>
      <c r="AM49" s="64" t="s" ph="1">
        <v>210</v>
      </c>
      <c r="AN49" s="64" t="s" ph="1">
        <v>211</v>
      </c>
      <c r="AO49" s="64" t="s" ph="1">
        <v>212</v>
      </c>
      <c r="AP49" s="64" t="s" ph="1">
        <v>210</v>
      </c>
      <c r="AQ49" s="64" t="s" ph="1">
        <v>211</v>
      </c>
      <c r="AR49" s="64" t="s" ph="1">
        <v>212</v>
      </c>
      <c r="AS49" s="64" t="s" ph="1">
        <v>210</v>
      </c>
      <c r="AT49" s="64" t="s" ph="1">
        <v>211</v>
      </c>
      <c r="AU49" s="64" t="s" ph="1">
        <v>212</v>
      </c>
      <c r="AV49" s="64" t="s" ph="1">
        <v>210</v>
      </c>
      <c r="AW49" s="64" t="s" ph="1">
        <v>211</v>
      </c>
      <c r="AX49" s="64" t="s" ph="1">
        <v>212</v>
      </c>
      <c r="AY49" s="64" t="s" ph="1">
        <v>211</v>
      </c>
      <c r="AZ49" s="64" t="s" ph="1">
        <v>213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375</v>
      </c>
      <c r="AY50" s="64" t="s" ph="1">
        <v>216</v>
      </c>
      <c r="AZ50" s="64" t="s" ph="1">
        <v>367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376</v>
      </c>
      <c r="AY51" s="64" t="s" ph="1">
        <v>216</v>
      </c>
      <c r="AZ51" s="64" t="s" ph="1">
        <v>367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377</v>
      </c>
      <c r="AJ52" s="64" t="s" ph="1">
        <v>334</v>
      </c>
      <c r="AK52" s="64" t="s" ph="1">
        <v>228</v>
      </c>
      <c r="AM52" s="64" t="s" ph="1">
        <v>336</v>
      </c>
      <c r="AN52" s="64" t="s" ph="1">
        <v>300</v>
      </c>
      <c r="AO52" s="64" t="s" ph="1">
        <v>233</v>
      </c>
      <c r="AP52" s="64" t="s" ph="1">
        <v>570</v>
      </c>
      <c r="AQ52" s="64" t="s" ph="1">
        <v>282</v>
      </c>
      <c r="AR52" s="64" t="s" ph="1">
        <v>233</v>
      </c>
      <c r="AY52" s="64" t="s" ph="1">
        <v>216</v>
      </c>
      <c r="AZ52" s="64" t="s" ph="1">
        <v>576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378</v>
      </c>
      <c r="AY53" s="64" t="s" ph="1">
        <v>216</v>
      </c>
      <c r="AZ53" s="64" t="s" ph="1">
        <v>367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379</v>
      </c>
      <c r="AJ54" s="64" t="s" ph="1">
        <v>334</v>
      </c>
      <c r="AK54" s="64" t="s" ph="1">
        <v>219</v>
      </c>
      <c r="AM54" s="64" t="s" ph="1">
        <v>336</v>
      </c>
      <c r="AN54" s="64" t="s" ph="1">
        <v>224</v>
      </c>
      <c r="AO54" s="64" t="s" ph="1">
        <v>233</v>
      </c>
      <c r="AP54" s="64" t="s" ph="1">
        <v>570</v>
      </c>
      <c r="AQ54" s="64" t="s" ph="1">
        <v>240</v>
      </c>
      <c r="AR54" s="64" t="s" ph="1">
        <v>233</v>
      </c>
      <c r="AY54" s="64" t="s" ph="1">
        <v>216</v>
      </c>
      <c r="AZ54" s="64" t="s" ph="1">
        <v>234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380</v>
      </c>
      <c r="AY55" s="64" t="s" ph="1">
        <v>216</v>
      </c>
      <c r="AZ55" s="64" t="s" ph="1">
        <v>367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381</v>
      </c>
      <c r="AY56" s="64" t="s" ph="1">
        <v>216</v>
      </c>
      <c r="AZ56" s="64" t="s" ph="1">
        <v>367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382</v>
      </c>
      <c r="AY57" s="64" t="s" ph="1">
        <v>216</v>
      </c>
      <c r="AZ57" s="64" t="s" ph="1">
        <v>367</v>
      </c>
    </row>
    <row r="58" spans="16:52" ph="1">
      <c r="P58" s="64"/>
      <c r="AN58" s="64" t="s" ph="1">
        <v>217</v>
      </c>
      <c r="AZ58" s="64" t="s" ph="1">
        <v>577</v>
      </c>
    </row>
    <row r="59" spans="16:52" ph="1">
      <c r="V59" s="64"/>
      <c r="AG59" s="64" t="s" ph="1">
        <v>235</v>
      </c>
      <c r="AI59" s="64" t="s" ph="1">
        <v>209</v>
      </c>
      <c r="AJ59" s="64" t="s" ph="1">
        <v>210</v>
      </c>
      <c r="AK59" s="64" t="s" ph="1">
        <v>211</v>
      </c>
      <c r="AM59" s="64" t="s" ph="1">
        <v>210</v>
      </c>
      <c r="AN59" s="64" t="s" ph="1">
        <v>211</v>
      </c>
      <c r="AO59" s="64" t="s" ph="1">
        <v>212</v>
      </c>
      <c r="AP59" s="64" t="s" ph="1">
        <v>210</v>
      </c>
      <c r="AQ59" s="64" t="s" ph="1">
        <v>211</v>
      </c>
      <c r="AR59" s="64" t="s" ph="1">
        <v>212</v>
      </c>
      <c r="AS59" s="64" t="s" ph="1">
        <v>210</v>
      </c>
      <c r="AT59" s="64" t="s" ph="1">
        <v>211</v>
      </c>
      <c r="AU59" s="64" t="s" ph="1">
        <v>212</v>
      </c>
      <c r="AV59" s="64" t="s" ph="1">
        <v>210</v>
      </c>
      <c r="AW59" s="64" t="s" ph="1">
        <v>211</v>
      </c>
      <c r="AX59" s="64" t="s" ph="1">
        <v>212</v>
      </c>
      <c r="AY59" s="64" t="s" ph="1">
        <v>211</v>
      </c>
      <c r="AZ59" s="64" t="s" ph="1">
        <v>213</v>
      </c>
    </row>
    <row r="60" spans="16:52" ph="1">
      <c r="R60" s="64"/>
      <c r="S60" s="64"/>
      <c r="T60" s="64"/>
      <c r="AH60" s="64" ph="1">
        <v>1</v>
      </c>
      <c r="AI60" s="64" t="s" ph="1">
        <v>383</v>
      </c>
      <c r="AY60" s="64" t="s" ph="1">
        <v>216</v>
      </c>
      <c r="AZ60" s="64" t="s" ph="1">
        <v>367</v>
      </c>
    </row>
    <row r="61" spans="16:52" ph="1">
      <c r="AH61" s="64" ph="1">
        <v>2</v>
      </c>
      <c r="AI61" s="64" t="s" ph="1">
        <v>384</v>
      </c>
      <c r="AS61" s="64" t="s" ph="1">
        <v>217</v>
      </c>
      <c r="AY61" s="64" t="s" ph="1">
        <v>216</v>
      </c>
      <c r="AZ61" s="64" t="s" ph="1">
        <v>367</v>
      </c>
    </row>
    <row r="62" spans="16:52" ph="1">
      <c r="AZ62" s="64" t="s" ph="1">
        <v>385</v>
      </c>
    </row>
    <row r="63" spans="16:52" ph="1">
      <c r="AG63" s="64" t="s" ph="1">
        <v>238</v>
      </c>
      <c r="AI63" s="64" t="s" ph="1">
        <v>209</v>
      </c>
      <c r="AJ63" s="64" t="s" ph="1">
        <v>210</v>
      </c>
      <c r="AK63" s="64" t="s" ph="1">
        <v>211</v>
      </c>
      <c r="AM63" s="64" t="s" ph="1">
        <v>210</v>
      </c>
      <c r="AN63" s="64" t="s" ph="1">
        <v>211</v>
      </c>
      <c r="AO63" s="64" t="s" ph="1">
        <v>212</v>
      </c>
      <c r="AP63" s="64" t="s" ph="1">
        <v>210</v>
      </c>
      <c r="AQ63" s="64" t="s" ph="1">
        <v>211</v>
      </c>
      <c r="AR63" s="64" t="s" ph="1">
        <v>212</v>
      </c>
      <c r="AS63" s="64" t="s" ph="1">
        <v>210</v>
      </c>
      <c r="AT63" s="64" t="s" ph="1">
        <v>211</v>
      </c>
      <c r="AU63" s="64" t="s" ph="1">
        <v>212</v>
      </c>
      <c r="AV63" s="64" t="s" ph="1">
        <v>210</v>
      </c>
      <c r="AW63" s="64" t="s" ph="1">
        <v>211</v>
      </c>
      <c r="AX63" s="64" t="s" ph="1">
        <v>212</v>
      </c>
      <c r="AY63" s="64" t="s" ph="1">
        <v>211</v>
      </c>
      <c r="AZ63" s="64" t="s" ph="1">
        <v>213</v>
      </c>
    </row>
    <row r="64" spans="16:52" ph="1">
      <c r="AH64" s="64" ph="1">
        <v>1</v>
      </c>
      <c r="AI64" s="64" t="s" ph="1">
        <v>386</v>
      </c>
      <c r="AJ64" s="64" t="s" ph="1">
        <v>387</v>
      </c>
      <c r="AK64" s="64" t="s" ph="1">
        <v>388</v>
      </c>
      <c r="AY64" s="64" t="s" ph="1">
        <v>216</v>
      </c>
      <c r="AZ64" s="64" t="s" ph="1">
        <v>388</v>
      </c>
    </row>
    <row r="65" spans="33:52" ph="1">
      <c r="AH65" s="64" ph="1">
        <v>2</v>
      </c>
      <c r="AI65" s="64" t="s" ph="1">
        <v>389</v>
      </c>
      <c r="AY65" s="64" t="s" ph="1">
        <v>216</v>
      </c>
      <c r="AZ65" s="64" t="s" ph="1">
        <v>367</v>
      </c>
    </row>
    <row r="66" spans="33:52" ph="1">
      <c r="AH66" s="64" ph="1">
        <v>3</v>
      </c>
      <c r="AI66" s="64" t="s" ph="1">
        <v>390</v>
      </c>
      <c r="AY66" s="64" t="s" ph="1">
        <v>216</v>
      </c>
      <c r="AZ66" s="64" t="s" ph="1">
        <v>367</v>
      </c>
    </row>
    <row r="67" spans="33:52" ph="1">
      <c r="AH67" s="64" ph="1">
        <v>4</v>
      </c>
      <c r="AI67" s="64" t="s" ph="1">
        <v>391</v>
      </c>
      <c r="AY67" s="64" t="s" ph="1">
        <v>216</v>
      </c>
      <c r="AZ67" s="64" t="s" ph="1">
        <v>367</v>
      </c>
    </row>
    <row r="68" spans="33:52" ph="1">
      <c r="AH68" s="64" ph="1">
        <v>5</v>
      </c>
      <c r="AI68" s="64" t="s" ph="1">
        <v>392</v>
      </c>
      <c r="AY68" s="64" t="s" ph="1">
        <v>216</v>
      </c>
      <c r="AZ68" s="64" t="s" ph="1">
        <v>367</v>
      </c>
    </row>
    <row r="69" spans="33:52" ph="1">
      <c r="AH69" s="64" ph="1">
        <v>6</v>
      </c>
      <c r="AI69" s="64" t="s" ph="1">
        <v>393</v>
      </c>
      <c r="AY69" s="64" t="s" ph="1">
        <v>216</v>
      </c>
      <c r="AZ69" s="64" t="s" ph="1">
        <v>367</v>
      </c>
    </row>
    <row r="70" spans="33:52" ph="1">
      <c r="AI70" s="64" t="s" ph="1">
        <v>394</v>
      </c>
      <c r="AY70" s="64" t="s" ph="1">
        <v>216</v>
      </c>
      <c r="AZ70" s="64" t="s" ph="1">
        <v>367</v>
      </c>
    </row>
    <row r="71" spans="33:52" ph="1">
      <c r="AH71" s="64" ph="1">
        <v>7</v>
      </c>
      <c r="AI71" s="64" t="s" ph="1">
        <v>395</v>
      </c>
      <c r="AJ71" s="64" t="s" ph="1">
        <v>334</v>
      </c>
      <c r="AK71" s="64" t="s" ph="1">
        <v>228</v>
      </c>
      <c r="AM71" s="64" t="s" ph="1">
        <v>336</v>
      </c>
      <c r="AN71" s="64" t="s" ph="1">
        <v>228</v>
      </c>
      <c r="AO71" s="64" t="s" ph="1">
        <v>396</v>
      </c>
      <c r="AP71" s="64" t="s" ph="1">
        <v>570</v>
      </c>
      <c r="AQ71" s="64" t="s" ph="1">
        <v>219</v>
      </c>
      <c r="AR71" s="64" t="s" ph="1">
        <v>396</v>
      </c>
      <c r="AY71" s="64" t="s" ph="1">
        <v>216</v>
      </c>
      <c r="AZ71" s="64" t="s" ph="1">
        <v>578</v>
      </c>
    </row>
    <row r="72" spans="33:52" ph="1">
      <c r="AZ72" s="64" t="s" ph="1">
        <v>579</v>
      </c>
    </row>
    <row r="73" spans="33:52" ph="1">
      <c r="AG73" s="64" t="s" ph="1">
        <v>241</v>
      </c>
      <c r="AI73" s="64" t="s" ph="1">
        <v>209</v>
      </c>
      <c r="AJ73" s="64" t="s" ph="1">
        <v>210</v>
      </c>
      <c r="AK73" s="64" t="s" ph="1">
        <v>211</v>
      </c>
      <c r="AM73" s="64" t="s" ph="1">
        <v>210</v>
      </c>
      <c r="AN73" s="64" t="s" ph="1">
        <v>211</v>
      </c>
      <c r="AO73" s="64" t="s" ph="1">
        <v>212</v>
      </c>
      <c r="AP73" s="64" t="s" ph="1">
        <v>210</v>
      </c>
      <c r="AQ73" s="64" t="s" ph="1">
        <v>211</v>
      </c>
      <c r="AR73" s="64" t="s" ph="1">
        <v>212</v>
      </c>
      <c r="AS73" s="64" t="s" ph="1">
        <v>210</v>
      </c>
      <c r="AT73" s="64" t="s" ph="1">
        <v>211</v>
      </c>
      <c r="AU73" s="64" t="s" ph="1">
        <v>212</v>
      </c>
      <c r="AV73" s="64" t="s" ph="1">
        <v>210</v>
      </c>
      <c r="AW73" s="64" t="s" ph="1">
        <v>211</v>
      </c>
      <c r="AX73" s="64" t="s" ph="1">
        <v>212</v>
      </c>
      <c r="AY73" s="64" t="s" ph="1">
        <v>211</v>
      </c>
      <c r="AZ73" s="64" t="s" ph="1">
        <v>213</v>
      </c>
    </row>
    <row r="74" spans="33:52" ph="1">
      <c r="AH74" s="64" ph="1">
        <v>1</v>
      </c>
      <c r="AI74" s="64" t="s" ph="1">
        <v>397</v>
      </c>
      <c r="AJ74" s="64" t="s" ph="1">
        <v>242</v>
      </c>
      <c r="AK74" s="64" t="s" ph="1">
        <v>224</v>
      </c>
      <c r="AM74" s="64" t="s" ph="1">
        <v>244</v>
      </c>
      <c r="AN74" s="64" t="s" ph="1">
        <v>254</v>
      </c>
      <c r="AO74" s="64" t="s" ph="1">
        <v>243</v>
      </c>
      <c r="AP74" s="64" t="s" ph="1">
        <v>245</v>
      </c>
      <c r="AQ74" s="64" t="s" ph="1">
        <v>222</v>
      </c>
      <c r="AR74" s="64" t="s" ph="1">
        <v>243</v>
      </c>
      <c r="AS74" s="64" t="s" ph="1">
        <v>215</v>
      </c>
      <c r="AT74" s="64" t="s" ph="1">
        <v>217</v>
      </c>
      <c r="AV74" s="64" t="s" ph="1">
        <v>398</v>
      </c>
      <c r="AW74" s="64" t="s" ph="1">
        <v>399</v>
      </c>
      <c r="AX74" s="64" t="s" ph="1">
        <v>400</v>
      </c>
      <c r="AY74" s="64" t="s" ph="1">
        <v>216</v>
      </c>
      <c r="AZ74" s="64" t="s" ph="1">
        <v>401</v>
      </c>
    </row>
    <row r="75" spans="33:52" ph="1">
      <c r="AJ75" s="64" t="s" ph="1">
        <v>247</v>
      </c>
      <c r="AK75" s="64" t="s" ph="1">
        <v>300</v>
      </c>
      <c r="AM75" s="64" t="s" ph="1">
        <v>245</v>
      </c>
      <c r="AN75" s="64" t="s" ph="1">
        <v>225</v>
      </c>
      <c r="AO75" s="64" t="s" ph="1">
        <v>243</v>
      </c>
      <c r="AS75" s="64" t="s" ph="1">
        <v>215</v>
      </c>
      <c r="AT75" s="64" t="s" ph="1">
        <v>246</v>
      </c>
    </row>
    <row r="76" spans="33:52" ph="1">
      <c r="AJ76" s="64" t="s" ph="1">
        <v>247</v>
      </c>
      <c r="AK76" s="64" t="s" ph="1">
        <v>240</v>
      </c>
      <c r="AM76" s="64" t="s" ph="1">
        <v>245</v>
      </c>
      <c r="AN76" s="64" t="s" ph="1">
        <v>228</v>
      </c>
      <c r="AO76" s="64" t="s" ph="1">
        <v>243</v>
      </c>
      <c r="AS76" s="64" t="s" ph="1">
        <v>215</v>
      </c>
      <c r="AT76" s="64" t="s" ph="1">
        <v>246</v>
      </c>
    </row>
    <row r="77" spans="33:52" ph="1">
      <c r="AJ77" s="64" t="s" ph="1">
        <v>283</v>
      </c>
      <c r="AK77" s="64" t="s" ph="1">
        <v>240</v>
      </c>
      <c r="AM77" s="64" t="s" ph="1">
        <v>284</v>
      </c>
      <c r="AN77" s="64" t="s" ph="1">
        <v>223</v>
      </c>
      <c r="AO77" s="64" t="s" ph="1">
        <v>243</v>
      </c>
      <c r="AS77" s="64" t="s" ph="1">
        <v>215</v>
      </c>
      <c r="AT77" s="64" t="s" ph="1">
        <v>285</v>
      </c>
    </row>
    <row r="78" spans="33:52" ph="1">
      <c r="AH78" s="64" ph="1">
        <v>2</v>
      </c>
      <c r="AI78" s="64" t="s" ph="1">
        <v>249</v>
      </c>
      <c r="AJ78" s="64" t="s" ph="1">
        <v>250</v>
      </c>
      <c r="AK78" s="64" t="s" ph="1">
        <v>219</v>
      </c>
      <c r="AM78" s="64" t="s" ph="1">
        <v>251</v>
      </c>
      <c r="AN78" s="64" t="s" ph="1">
        <v>254</v>
      </c>
      <c r="AO78" s="64" t="s" ph="1">
        <v>243</v>
      </c>
      <c r="AP78" s="64" t="s" ph="1">
        <v>252</v>
      </c>
      <c r="AQ78" s="64" t="s" ph="1">
        <v>298</v>
      </c>
      <c r="AR78" s="64" t="s" ph="1">
        <v>243</v>
      </c>
      <c r="AS78" s="64" t="s" ph="1">
        <v>253</v>
      </c>
      <c r="AT78" s="64" t="s" ph="1">
        <v>254</v>
      </c>
      <c r="AU78" s="64" t="s" ph="1">
        <v>243</v>
      </c>
      <c r="AV78" s="64" t="s" ph="1">
        <v>255</v>
      </c>
      <c r="AW78" s="64" t="s" ph="1">
        <v>243</v>
      </c>
      <c r="AY78" s="64" t="s" ph="1">
        <v>216</v>
      </c>
      <c r="AZ78" s="64" t="s" ph="1">
        <v>402</v>
      </c>
    </row>
    <row r="79" spans="33:52" ph="1">
      <c r="AJ79" s="64" t="s" ph="1">
        <v>245</v>
      </c>
      <c r="AK79" s="64" t="s" ph="1">
        <v>256</v>
      </c>
      <c r="AM79" s="64" t="s" ph="1">
        <v>257</v>
      </c>
      <c r="AN79" s="64" t="s" ph="1">
        <v>225</v>
      </c>
      <c r="AO79" s="64" t="s" ph="1">
        <v>243</v>
      </c>
      <c r="AP79" s="64" t="s" ph="1">
        <v>258</v>
      </c>
      <c r="AQ79" s="64" t="s" ph="1">
        <v>223</v>
      </c>
      <c r="AR79" s="64" t="s" ph="1">
        <v>259</v>
      </c>
      <c r="AS79" s="64" t="s" ph="1">
        <v>215</v>
      </c>
      <c r="AT79" s="64" t="s" ph="1">
        <v>260</v>
      </c>
      <c r="AV79" s="64" t="s" ph="1">
        <v>403</v>
      </c>
      <c r="AW79" s="64" t="s" ph="1">
        <v>302</v>
      </c>
      <c r="AX79" s="64" t="s" ph="1">
        <v>400</v>
      </c>
    </row>
    <row r="80" spans="33:52" ph="1">
      <c r="AH80" s="64" ph="1">
        <v>3</v>
      </c>
      <c r="AI80" s="64" t="s" ph="1">
        <v>261</v>
      </c>
      <c r="AJ80" s="64" t="s" ph="1">
        <v>262</v>
      </c>
      <c r="AK80" s="64" t="s" ph="1">
        <v>263</v>
      </c>
      <c r="AM80" s="64" t="s" ph="1">
        <v>264</v>
      </c>
      <c r="AN80" s="64" t="s" ph="1">
        <v>254</v>
      </c>
      <c r="AO80" s="64" t="s" ph="1">
        <v>243</v>
      </c>
      <c r="AP80" s="64" t="s" ph="1">
        <v>265</v>
      </c>
      <c r="AQ80" s="64" t="s" ph="1">
        <v>228</v>
      </c>
      <c r="AR80" s="64" t="s" ph="1">
        <v>243</v>
      </c>
      <c r="AS80" s="64" t="s" ph="1">
        <v>266</v>
      </c>
      <c r="AT80" s="64" t="s" ph="1">
        <v>227</v>
      </c>
      <c r="AU80" s="64" t="s" ph="1">
        <v>243</v>
      </c>
      <c r="AV80" s="64" t="s" ph="1">
        <v>267</v>
      </c>
      <c r="AW80" s="64" t="s" ph="1">
        <v>243</v>
      </c>
      <c r="AY80" s="64" t="s" ph="1">
        <v>216</v>
      </c>
      <c r="AZ80" s="64" t="s" ph="1">
        <v>404</v>
      </c>
    </row>
    <row r="81" spans="34:52" ph="1">
      <c r="AJ81" s="64" t="s" ph="1">
        <v>268</v>
      </c>
      <c r="AK81" s="64" t="s" ph="1">
        <v>222</v>
      </c>
      <c r="AM81" s="64" t="s" ph="1">
        <v>269</v>
      </c>
      <c r="AN81" s="64" t="s" ph="1">
        <v>225</v>
      </c>
      <c r="AO81" s="64" t="s" ph="1">
        <v>243</v>
      </c>
      <c r="AP81" s="64" t="s" ph="1">
        <v>270</v>
      </c>
      <c r="AQ81" s="64" t="s" ph="1">
        <v>254</v>
      </c>
      <c r="AR81" s="64" t="s" ph="1">
        <v>243</v>
      </c>
      <c r="AS81" s="64" t="s" ph="1">
        <v>271</v>
      </c>
      <c r="AT81" s="64" t="s" ph="1">
        <v>272</v>
      </c>
      <c r="AU81" s="64" t="s" ph="1">
        <v>243</v>
      </c>
      <c r="AV81" s="64" t="s" ph="1">
        <v>273</v>
      </c>
    </row>
    <row r="82" spans="34:52" ph="1">
      <c r="AJ82" s="64" t="s" ph="1">
        <v>274</v>
      </c>
      <c r="AK82" s="64" t="s" ph="1">
        <v>222</v>
      </c>
      <c r="AM82" s="64" t="s" ph="1">
        <v>275</v>
      </c>
      <c r="AN82" s="64" t="s" ph="1">
        <v>272</v>
      </c>
      <c r="AO82" s="64" t="s" ph="1">
        <v>276</v>
      </c>
      <c r="AP82" s="64" t="s" ph="1">
        <v>277</v>
      </c>
      <c r="AQ82" s="64" t="s" ph="1">
        <v>254</v>
      </c>
      <c r="AR82" s="64" t="s" ph="1">
        <v>243</v>
      </c>
      <c r="AS82" s="64" t="s" ph="1">
        <v>278</v>
      </c>
      <c r="AT82" s="64" t="s" ph="1">
        <v>229</v>
      </c>
      <c r="AU82" s="64" t="s" ph="1">
        <v>243</v>
      </c>
      <c r="AV82" s="64" t="s" ph="1">
        <v>403</v>
      </c>
      <c r="AW82" s="64" t="s" ph="1">
        <v>303</v>
      </c>
      <c r="AX82" s="64" t="s" ph="1">
        <v>400</v>
      </c>
    </row>
    <row r="83" spans="34:52" ph="1">
      <c r="AJ83" s="64" t="s" ph="1">
        <v>279</v>
      </c>
      <c r="AK83" s="64" t="s" ph="1">
        <v>296</v>
      </c>
      <c r="AM83" s="64" t="s" ph="1">
        <v>280</v>
      </c>
      <c r="AN83" s="64" t="s" ph="1">
        <v>228</v>
      </c>
      <c r="AO83" s="64" t="s" ph="1">
        <v>259</v>
      </c>
      <c r="AP83" s="64" t="s" ph="1">
        <v>281</v>
      </c>
      <c r="AQ83" s="64" t="s" ph="1">
        <v>282</v>
      </c>
      <c r="AR83" s="64" t="s" ph="1">
        <v>259</v>
      </c>
      <c r="AS83" s="64" t="s" ph="1">
        <v>405</v>
      </c>
      <c r="AT83" s="64" t="s" ph="1">
        <v>254</v>
      </c>
      <c r="AU83" s="64" t="s" ph="1">
        <v>259</v>
      </c>
      <c r="AV83" s="64" t="s" ph="1">
        <v>406</v>
      </c>
      <c r="AW83" s="64" t="s" ph="1">
        <v>303</v>
      </c>
      <c r="AX83" s="64" t="s" ph="1">
        <v>407</v>
      </c>
    </row>
    <row r="84" spans="34:52" ph="1">
      <c r="AH84" s="64" ph="1">
        <v>4</v>
      </c>
      <c r="AI84" s="64" t="s" ph="1">
        <v>286</v>
      </c>
      <c r="AJ84" s="64" t="s" ph="1">
        <v>226</v>
      </c>
      <c r="AK84" s="64" t="s" ph="1">
        <v>229</v>
      </c>
      <c r="AM84" s="64" t="s" ph="1">
        <v>230</v>
      </c>
      <c r="AN84" s="64" t="s" ph="1">
        <v>223</v>
      </c>
      <c r="AO84" s="64" t="s" ph="1">
        <v>259</v>
      </c>
      <c r="AP84" s="64" t="s" ph="1">
        <v>288</v>
      </c>
      <c r="AQ84" s="64" t="s" ph="1">
        <v>222</v>
      </c>
      <c r="AR84" s="64" t="s" ph="1">
        <v>259</v>
      </c>
      <c r="AS84" s="64" t="s" ph="1">
        <v>288</v>
      </c>
      <c r="AT84" s="64" t="s" ph="1">
        <v>224</v>
      </c>
      <c r="AU84" s="64" t="s" ph="1">
        <v>259</v>
      </c>
      <c r="AY84" s="64" t="s" ph="1">
        <v>216</v>
      </c>
      <c r="AZ84" s="64" t="s" ph="1">
        <v>408</v>
      </c>
    </row>
    <row r="85" spans="34:52" ph="1">
      <c r="AJ85" s="64" t="s" ph="1">
        <v>218</v>
      </c>
      <c r="AK85" s="64" t="s" ph="1">
        <v>222</v>
      </c>
      <c r="AM85" s="64" t="s" ph="1">
        <v>409</v>
      </c>
      <c r="AN85" s="64" t="s" ph="1">
        <v>229</v>
      </c>
      <c r="AO85" s="64" t="s" ph="1">
        <v>259</v>
      </c>
      <c r="AP85" s="64" t="s" ph="1">
        <v>410</v>
      </c>
      <c r="AQ85" s="64" t="s" ph="1">
        <v>225</v>
      </c>
      <c r="AR85" s="64" t="s" ph="1">
        <v>259</v>
      </c>
      <c r="AS85" s="64" t="s" ph="1">
        <v>411</v>
      </c>
      <c r="AT85" s="64" t="s" ph="1">
        <v>225</v>
      </c>
      <c r="AU85" s="64" t="s" ph="1">
        <v>259</v>
      </c>
    </row>
    <row r="86" spans="34:52" ph="1">
      <c r="AJ86" s="64" t="s" ph="1">
        <v>412</v>
      </c>
      <c r="AK86" s="64" t="s" ph="1">
        <v>231</v>
      </c>
      <c r="AM86" s="64" t="s" ph="1">
        <v>413</v>
      </c>
      <c r="AN86" s="64" t="s" ph="1">
        <v>272</v>
      </c>
      <c r="AO86" s="64" t="s" ph="1">
        <v>259</v>
      </c>
      <c r="AP86" s="64" t="s" ph="1">
        <v>414</v>
      </c>
      <c r="AQ86" s="64" t="s" ph="1">
        <v>219</v>
      </c>
      <c r="AR86" s="64" t="s" ph="1">
        <v>259</v>
      </c>
      <c r="AS86" s="64" t="s" ph="1">
        <v>415</v>
      </c>
      <c r="AT86" s="64" t="s" ph="1">
        <v>237</v>
      </c>
      <c r="AU86" s="64" t="s" ph="1">
        <v>259</v>
      </c>
    </row>
    <row r="87" spans="34:52" ph="1">
      <c r="AJ87" s="64" t="s" ph="1">
        <v>416</v>
      </c>
      <c r="AK87" s="64" t="s" ph="1">
        <v>272</v>
      </c>
      <c r="AM87" s="64" t="s" ph="1">
        <v>403</v>
      </c>
      <c r="AN87" s="64" t="s" ph="1">
        <v>417</v>
      </c>
      <c r="AO87" s="64" t="s" ph="1">
        <v>400</v>
      </c>
    </row>
    <row r="88" spans="34:52" ph="1">
      <c r="AH88" s="64" ph="1">
        <v>5</v>
      </c>
      <c r="AI88" s="64" t="s" ph="1">
        <v>289</v>
      </c>
      <c r="AJ88" s="64" t="s" ph="1">
        <v>418</v>
      </c>
      <c r="AK88" s="64" t="s" ph="1">
        <v>272</v>
      </c>
      <c r="AM88" s="64" t="s" ph="1">
        <v>419</v>
      </c>
      <c r="AN88" s="64" t="s" ph="1">
        <v>272</v>
      </c>
      <c r="AO88" s="64" t="s" ph="1">
        <v>259</v>
      </c>
      <c r="AP88" s="64" t="s" ph="1">
        <v>420</v>
      </c>
      <c r="AQ88" s="64" t="s" ph="1">
        <v>222</v>
      </c>
      <c r="AR88" s="64" t="s" ph="1">
        <v>259</v>
      </c>
      <c r="AS88" s="64" t="s" ph="1">
        <v>421</v>
      </c>
      <c r="AT88" s="64" t="s" ph="1">
        <v>272</v>
      </c>
      <c r="AU88" s="64" t="s" ph="1">
        <v>259</v>
      </c>
      <c r="AV88" s="64" t="s" ph="1">
        <v>422</v>
      </c>
      <c r="AW88" s="64" t="s" ph="1">
        <v>227</v>
      </c>
      <c r="AX88" s="64" t="s" ph="1">
        <v>259</v>
      </c>
      <c r="AY88" s="64" t="s" ph="1">
        <v>216</v>
      </c>
      <c r="AZ88" s="64" t="s" ph="1">
        <v>423</v>
      </c>
    </row>
    <row r="89" spans="34:52" ph="1">
      <c r="AJ89" s="64" t="s" ph="1">
        <v>424</v>
      </c>
      <c r="AK89" s="64" t="s" ph="1">
        <v>225</v>
      </c>
      <c r="AM89" s="64" t="s" ph="1">
        <v>425</v>
      </c>
      <c r="AN89" s="64" t="s" ph="1">
        <v>228</v>
      </c>
      <c r="AO89" s="64" t="s" ph="1">
        <v>259</v>
      </c>
      <c r="AP89" s="64" t="s" ph="1">
        <v>426</v>
      </c>
      <c r="AQ89" s="64" t="s" ph="1">
        <v>237</v>
      </c>
      <c r="AR89" s="64" t="s" ph="1">
        <v>259</v>
      </c>
      <c r="AS89" s="64" t="s" ph="1">
        <v>427</v>
      </c>
      <c r="AT89" s="64" t="s" ph="1">
        <v>272</v>
      </c>
      <c r="AU89" s="64" t="s" ph="1">
        <v>259</v>
      </c>
      <c r="AV89" s="64" t="s" ph="1">
        <v>428</v>
      </c>
      <c r="AW89" s="64" t="s" ph="1">
        <v>254</v>
      </c>
      <c r="AX89" s="64" t="s" ph="1">
        <v>287</v>
      </c>
    </row>
    <row r="90" spans="34:52" ph="1">
      <c r="AJ90" s="64" t="s" ph="1">
        <v>429</v>
      </c>
      <c r="AK90" s="64" t="s" ph="1">
        <v>228</v>
      </c>
      <c r="AM90" s="64" t="s" ph="1">
        <v>430</v>
      </c>
      <c r="AN90" s="64" t="s" ph="1">
        <v>225</v>
      </c>
      <c r="AO90" s="64" t="s" ph="1">
        <v>259</v>
      </c>
      <c r="AP90" s="64" t="s" ph="1">
        <v>431</v>
      </c>
      <c r="AQ90" s="64" t="s" ph="1">
        <v>294</v>
      </c>
      <c r="AR90" s="64" t="s" ph="1">
        <v>259</v>
      </c>
      <c r="AS90" s="64" t="s" ph="1">
        <v>432</v>
      </c>
      <c r="AT90" s="64" t="s" ph="1">
        <v>282</v>
      </c>
      <c r="AU90" s="64" t="s" ph="1">
        <v>259</v>
      </c>
      <c r="AV90" s="64" t="s" ph="1">
        <v>433</v>
      </c>
      <c r="AW90" s="64" t="s" ph="1">
        <v>219</v>
      </c>
      <c r="AX90" s="64" t="s" ph="1">
        <v>259</v>
      </c>
    </row>
    <row r="91" spans="34:52" ph="1">
      <c r="AJ91" s="64" t="s" ph="1">
        <v>434</v>
      </c>
      <c r="AK91" s="64" t="s" ph="1">
        <v>272</v>
      </c>
      <c r="AM91" s="64" t="s" ph="1">
        <v>435</v>
      </c>
      <c r="AN91" s="64" t="s" ph="1">
        <v>239</v>
      </c>
      <c r="AO91" s="64" t="s" ph="1">
        <v>259</v>
      </c>
      <c r="AP91" s="64" t="s" ph="1">
        <v>436</v>
      </c>
      <c r="AQ91" s="64" t="s" ph="1">
        <v>219</v>
      </c>
      <c r="AS91" s="64" t="s" ph="1">
        <v>403</v>
      </c>
      <c r="AT91" s="64" t="s" ph="1">
        <v>399</v>
      </c>
      <c r="AU91" s="64" t="s" ph="1">
        <v>400</v>
      </c>
    </row>
    <row r="92" spans="34:52" ph="1">
      <c r="AH92" s="64" ph="1">
        <v>6</v>
      </c>
      <c r="AI92" s="64" t="s" ph="1">
        <v>437</v>
      </c>
      <c r="AJ92" s="64" t="s" ph="1">
        <v>438</v>
      </c>
      <c r="AK92" s="64" t="s" ph="1">
        <v>367</v>
      </c>
      <c r="AM92" s="64" t="s" ph="1">
        <v>439</v>
      </c>
      <c r="AN92" s="64" t="s" ph="1">
        <v>227</v>
      </c>
      <c r="AO92" s="64" t="s" ph="1">
        <v>259</v>
      </c>
      <c r="AP92" s="64" t="s" ph="1">
        <v>440</v>
      </c>
      <c r="AQ92" s="64" t="s" ph="1">
        <v>299</v>
      </c>
      <c r="AR92" s="64" t="s" ph="1">
        <v>259</v>
      </c>
      <c r="AS92" s="64" t="s" ph="1">
        <v>441</v>
      </c>
      <c r="AT92" s="64" t="s" ph="1">
        <v>272</v>
      </c>
      <c r="AU92" s="64" t="s" ph="1">
        <v>259</v>
      </c>
      <c r="AV92" s="64" t="s" ph="1">
        <v>442</v>
      </c>
      <c r="AW92" s="64" t="s" ph="1">
        <v>228</v>
      </c>
      <c r="AX92" s="64" t="s" ph="1">
        <v>259</v>
      </c>
      <c r="AY92" s="64" t="s" ph="1">
        <v>216</v>
      </c>
      <c r="AZ92" s="64" t="s" ph="1">
        <v>423</v>
      </c>
    </row>
    <row r="93" spans="34:52" ph="1">
      <c r="AJ93" s="64" t="s" ph="1">
        <v>443</v>
      </c>
      <c r="AK93" s="64" t="s" ph="1">
        <v>222</v>
      </c>
      <c r="AM93" s="64" t="s" ph="1">
        <v>444</v>
      </c>
      <c r="AN93" s="64" t="s" ph="1">
        <v>227</v>
      </c>
      <c r="AO93" s="64" t="s" ph="1">
        <v>259</v>
      </c>
      <c r="AP93" s="64" t="s" ph="1">
        <v>445</v>
      </c>
      <c r="AQ93" s="64" t="s" ph="1">
        <v>231</v>
      </c>
      <c r="AR93" s="64" t="s" ph="1">
        <v>259</v>
      </c>
      <c r="AS93" s="64" t="s" ph="1">
        <v>446</v>
      </c>
      <c r="AT93" s="64" t="s" ph="1">
        <v>237</v>
      </c>
      <c r="AU93" s="64" t="s" ph="1">
        <v>259</v>
      </c>
      <c r="AV93" s="64" t="s" ph="1">
        <v>447</v>
      </c>
      <c r="AW93" s="64" t="s" ph="1">
        <v>231</v>
      </c>
      <c r="AX93" s="64" t="s" ph="1">
        <v>259</v>
      </c>
    </row>
    <row r="94" spans="34:52" ph="1">
      <c r="AJ94" s="64" t="s" ph="1">
        <v>448</v>
      </c>
      <c r="AK94" s="64" t="s" ph="1">
        <v>294</v>
      </c>
      <c r="AM94" s="64" t="s" ph="1">
        <v>449</v>
      </c>
      <c r="AN94" s="64" t="s" ph="1">
        <v>231</v>
      </c>
      <c r="AO94" s="64" t="s" ph="1">
        <v>259</v>
      </c>
      <c r="AP94" s="64" t="s" ph="1">
        <v>450</v>
      </c>
      <c r="AQ94" s="64" t="s" ph="1">
        <v>239</v>
      </c>
      <c r="AR94" s="64" t="s" ph="1">
        <v>259</v>
      </c>
      <c r="AS94" s="64" t="s" ph="1">
        <v>451</v>
      </c>
      <c r="AT94" s="64" t="s" ph="1">
        <v>225</v>
      </c>
      <c r="AU94" s="64" t="s" ph="1">
        <v>259</v>
      </c>
      <c r="AV94" s="64" t="s" ph="1">
        <v>452</v>
      </c>
      <c r="AW94" s="64" t="s" ph="1">
        <v>225</v>
      </c>
      <c r="AX94" s="64" t="s" ph="1">
        <v>259</v>
      </c>
    </row>
    <row r="95" spans="34:52" ph="1">
      <c r="AJ95" s="64" t="s" ph="1">
        <v>453</v>
      </c>
      <c r="AK95" s="64" t="s" ph="1">
        <v>299</v>
      </c>
    </row>
    <row r="96" spans="34:52" ph="1">
      <c r="AH96" s="64" ph="1">
        <v>7</v>
      </c>
      <c r="AI96" s="64" t="s" ph="1">
        <v>454</v>
      </c>
      <c r="AJ96" s="64" t="s" ph="1">
        <v>453</v>
      </c>
      <c r="AK96" s="64" t="s" ph="1">
        <v>254</v>
      </c>
      <c r="AM96" s="64" t="s" ph="1">
        <v>455</v>
      </c>
      <c r="AN96" s="64" t="s" ph="1">
        <v>228</v>
      </c>
      <c r="AO96" s="64" t="s" ph="1">
        <v>259</v>
      </c>
      <c r="AP96" s="64" t="s" ph="1">
        <v>456</v>
      </c>
      <c r="AQ96" s="64" t="s" ph="1">
        <v>272</v>
      </c>
      <c r="AR96" s="64" t="s" ph="1">
        <v>287</v>
      </c>
      <c r="AS96" s="64" t="s" ph="1">
        <v>457</v>
      </c>
      <c r="AT96" s="64" t="s" ph="1">
        <v>231</v>
      </c>
      <c r="AU96" s="64" t="s" ph="1">
        <v>287</v>
      </c>
      <c r="AV96" s="64" t="s" ph="1">
        <v>458</v>
      </c>
      <c r="AW96" s="64" t="s" ph="1">
        <v>227</v>
      </c>
      <c r="AX96" s="64" t="s" ph="1">
        <v>287</v>
      </c>
      <c r="AY96" s="64" t="s" ph="1">
        <v>216</v>
      </c>
      <c r="AZ96" s="64" t="s" ph="1">
        <v>459</v>
      </c>
    </row>
    <row r="97" spans="33:52" ph="1">
      <c r="AJ97" s="64" t="s" ph="1">
        <v>460</v>
      </c>
      <c r="AK97" s="64" t="s" ph="1">
        <v>282</v>
      </c>
      <c r="AM97" s="64" t="s" ph="1">
        <v>461</v>
      </c>
      <c r="AN97" s="64" t="s" ph="1">
        <v>225</v>
      </c>
      <c r="AO97" s="64" t="s" ph="1">
        <v>259</v>
      </c>
      <c r="AP97" s="64" t="s" ph="1">
        <v>462</v>
      </c>
      <c r="AQ97" s="64" t="s" ph="1">
        <v>219</v>
      </c>
      <c r="AR97" s="64" t="s" ph="1">
        <v>287</v>
      </c>
      <c r="AS97" s="64" t="s" ph="1">
        <v>463</v>
      </c>
      <c r="AT97" s="64" t="s" ph="1">
        <v>222</v>
      </c>
      <c r="AU97" s="64" t="s" ph="1">
        <v>287</v>
      </c>
      <c r="AV97" s="64" t="s" ph="1">
        <v>464</v>
      </c>
      <c r="AW97" s="64" t="s" ph="1">
        <v>228</v>
      </c>
      <c r="AX97" s="64" t="s" ph="1">
        <v>287</v>
      </c>
    </row>
    <row r="98" spans="33:52" ph="1">
      <c r="AJ98" s="64" t="s" ph="1">
        <v>465</v>
      </c>
      <c r="AK98" s="64" t="s" ph="1">
        <v>231</v>
      </c>
      <c r="AM98" s="64" t="s" ph="1">
        <v>466</v>
      </c>
      <c r="AN98" s="64" t="s" ph="1">
        <v>239</v>
      </c>
      <c r="AO98" s="64" t="s" ph="1">
        <v>259</v>
      </c>
      <c r="AP98" s="64" t="s" ph="1">
        <v>467</v>
      </c>
      <c r="AQ98" s="64" t="s" ph="1">
        <v>219</v>
      </c>
      <c r="AR98" s="64" t="s" ph="1">
        <v>287</v>
      </c>
      <c r="AS98" s="64" t="s" ph="1">
        <v>468</v>
      </c>
      <c r="AT98" s="64" t="s" ph="1">
        <v>299</v>
      </c>
      <c r="AU98" s="64" t="s" ph="1">
        <v>287</v>
      </c>
      <c r="AV98" s="64" t="s" ph="1">
        <v>469</v>
      </c>
      <c r="AW98" s="64" t="s" ph="1">
        <v>222</v>
      </c>
      <c r="AX98" s="64" t="s" ph="1">
        <v>287</v>
      </c>
    </row>
    <row r="99" spans="33:52" ph="1">
      <c r="AH99" s="64" ph="1">
        <v>8</v>
      </c>
      <c r="AI99" s="64" t="s" ph="1">
        <v>470</v>
      </c>
      <c r="AJ99" s="64" t="s" ph="1">
        <v>471</v>
      </c>
      <c r="AK99" s="64" t="s" ph="1">
        <v>367</v>
      </c>
      <c r="AM99" s="64" t="s" ph="1">
        <v>472</v>
      </c>
      <c r="AN99" s="64" t="s" ph="1">
        <v>254</v>
      </c>
      <c r="AO99" s="64" t="s" ph="1">
        <v>259</v>
      </c>
      <c r="AP99" s="64" t="s" ph="1">
        <v>473</v>
      </c>
      <c r="AQ99" s="64" t="s" ph="1">
        <v>224</v>
      </c>
      <c r="AR99" s="64" t="s" ph="1">
        <v>287</v>
      </c>
      <c r="AS99" s="64" t="s" ph="1">
        <v>474</v>
      </c>
      <c r="AT99" s="64" t="s" ph="1">
        <v>239</v>
      </c>
      <c r="AU99" s="64" t="s" ph="1">
        <v>287</v>
      </c>
      <c r="AV99" s="64" t="s" ph="1">
        <v>475</v>
      </c>
      <c r="AW99" s="64" t="s" ph="1">
        <v>224</v>
      </c>
      <c r="AX99" s="64" t="s" ph="1">
        <v>287</v>
      </c>
      <c r="AY99" s="64" t="s" ph="1">
        <v>216</v>
      </c>
      <c r="AZ99" s="64" t="s" ph="1">
        <v>476</v>
      </c>
    </row>
    <row r="100" spans="33:52" ph="1">
      <c r="AJ100" s="64" t="s" ph="1">
        <v>477</v>
      </c>
      <c r="AK100" s="64" t="s" ph="1">
        <v>222</v>
      </c>
      <c r="AM100" s="64" t="s" ph="1">
        <v>478</v>
      </c>
      <c r="AN100" s="64" t="s" ph="1">
        <v>294</v>
      </c>
      <c r="AO100" s="64" t="s" ph="1">
        <v>259</v>
      </c>
      <c r="AP100" s="64" t="s" ph="1">
        <v>479</v>
      </c>
      <c r="AQ100" s="64" t="s" ph="1">
        <v>300</v>
      </c>
      <c r="AR100" s="64" t="s" ph="1">
        <v>287</v>
      </c>
      <c r="AS100" s="64" t="s" ph="1">
        <v>480</v>
      </c>
      <c r="AT100" s="64" t="s" ph="1">
        <v>367</v>
      </c>
      <c r="AU100" s="64" t="s" ph="1">
        <v>259</v>
      </c>
      <c r="AV100" s="64" t="s" ph="1">
        <v>481</v>
      </c>
      <c r="AW100" s="64" t="s" ph="1">
        <v>367</v>
      </c>
      <c r="AX100" s="64" t="s" ph="1">
        <v>259</v>
      </c>
    </row>
    <row r="101" spans="33:52" ph="1">
      <c r="AJ101" s="64" t="s" ph="1">
        <v>482</v>
      </c>
      <c r="AK101" s="64" t="s" ph="1">
        <v>367</v>
      </c>
      <c r="AM101" s="64" t="s" ph="1">
        <v>483</v>
      </c>
      <c r="AN101" s="64" t="s" ph="1">
        <v>225</v>
      </c>
      <c r="AO101" s="64" t="s" ph="1">
        <v>259</v>
      </c>
      <c r="AP101" s="64" t="s" ph="1">
        <v>484</v>
      </c>
      <c r="AQ101" s="64" t="s" ph="1">
        <v>237</v>
      </c>
      <c r="AR101" s="64" t="s" ph="1">
        <v>287</v>
      </c>
      <c r="AS101" s="64" t="s" ph="1">
        <v>485</v>
      </c>
      <c r="AT101" s="64" t="s" ph="1">
        <v>294</v>
      </c>
      <c r="AU101" s="64" t="s" ph="1">
        <v>287</v>
      </c>
      <c r="AV101" s="64" t="s" ph="1">
        <v>486</v>
      </c>
      <c r="AW101" s="64" t="s" ph="1">
        <v>225</v>
      </c>
      <c r="AX101" s="64" t="s" ph="1">
        <v>259</v>
      </c>
    </row>
    <row r="102" spans="33:52" ph="1">
      <c r="AJ102" s="64" t="s" ph="1">
        <v>487</v>
      </c>
      <c r="AK102" s="64" t="s" ph="1">
        <v>222</v>
      </c>
      <c r="AM102" s="64" t="s" ph="1">
        <v>488</v>
      </c>
      <c r="AN102" s="64" t="s" ph="1">
        <v>231</v>
      </c>
      <c r="AO102" s="64" t="s" ph="1">
        <v>259</v>
      </c>
      <c r="AP102" s="64" t="s" ph="1">
        <v>489</v>
      </c>
      <c r="AQ102" s="64" t="s" ph="1">
        <v>237</v>
      </c>
      <c r="AR102" s="64" t="s" ph="1">
        <v>259</v>
      </c>
      <c r="AS102" s="64" t="s" ph="1">
        <v>490</v>
      </c>
      <c r="AT102" s="64" t="s" ph="1">
        <v>254</v>
      </c>
      <c r="AU102" s="64" t="s" ph="1">
        <v>259</v>
      </c>
      <c r="AV102" s="64" t="s" ph="1">
        <v>491</v>
      </c>
      <c r="AW102" s="64" t="s" ph="1">
        <v>272</v>
      </c>
      <c r="AX102" s="64" t="s" ph="1">
        <v>259</v>
      </c>
    </row>
    <row r="103" spans="33:52" ph="1">
      <c r="AH103" s="64" ph="1">
        <v>9</v>
      </c>
      <c r="AI103" s="64" t="s" ph="1">
        <v>492</v>
      </c>
      <c r="AJ103" s="64" t="s" ph="1">
        <v>493</v>
      </c>
      <c r="AK103" s="64" t="s" ph="1">
        <v>367</v>
      </c>
      <c r="AM103" s="64" t="s" ph="1">
        <v>494</v>
      </c>
      <c r="AN103" s="64" t="s" ph="1">
        <v>282</v>
      </c>
      <c r="AO103" s="64" t="s" ph="1">
        <v>259</v>
      </c>
      <c r="AP103" s="64" t="s" ph="1">
        <v>336</v>
      </c>
      <c r="AQ103" s="64" t="s" ph="1">
        <v>225</v>
      </c>
      <c r="AR103" s="64" t="s" ph="1">
        <v>259</v>
      </c>
      <c r="AS103" s="64" t="s" ph="1">
        <v>570</v>
      </c>
      <c r="AT103" s="64" t="s" ph="1">
        <v>367</v>
      </c>
      <c r="AU103" s="64" t="s" ph="1">
        <v>259</v>
      </c>
      <c r="AY103" s="64" t="s" ph="1">
        <v>216</v>
      </c>
      <c r="AZ103" s="64" t="s" ph="1">
        <v>224</v>
      </c>
    </row>
    <row r="104" spans="33:52" ph="1">
      <c r="AZ104" s="64" t="s" ph="1">
        <v>495</v>
      </c>
    </row>
    <row r="105" spans="33:52" ph="1">
      <c r="AG105" s="64" t="s" ph="1">
        <v>295</v>
      </c>
      <c r="AI105" s="64" t="s" ph="1">
        <v>209</v>
      </c>
      <c r="AJ105" s="64" t="s" ph="1">
        <v>210</v>
      </c>
      <c r="AK105" s="64" t="s" ph="1">
        <v>211</v>
      </c>
      <c r="AM105" s="64" t="s" ph="1">
        <v>210</v>
      </c>
      <c r="AN105" s="64" t="s" ph="1">
        <v>211</v>
      </c>
      <c r="AO105" s="64" t="s" ph="1">
        <v>212</v>
      </c>
      <c r="AP105" s="64" t="s" ph="1">
        <v>210</v>
      </c>
      <c r="AQ105" s="64" t="s" ph="1">
        <v>211</v>
      </c>
      <c r="AR105" s="64" t="s" ph="1">
        <v>212</v>
      </c>
      <c r="AS105" s="64" t="s" ph="1">
        <v>210</v>
      </c>
      <c r="AT105" s="64" t="s" ph="1">
        <v>211</v>
      </c>
      <c r="AU105" s="64" t="s" ph="1">
        <v>212</v>
      </c>
      <c r="AV105" s="64" t="s" ph="1">
        <v>210</v>
      </c>
      <c r="AW105" s="64" t="s" ph="1">
        <v>211</v>
      </c>
      <c r="AX105" s="64" t="s" ph="1">
        <v>212</v>
      </c>
      <c r="AZ105" s="64" t="s" ph="1">
        <v>213</v>
      </c>
    </row>
    <row r="106" spans="33:52" ph="1">
      <c r="AH106" s="64" ph="1">
        <v>1</v>
      </c>
      <c r="AI106" s="64" t="s" ph="1">
        <v>496</v>
      </c>
      <c r="AJ106" s="64" t="s" ph="1">
        <v>570</v>
      </c>
      <c r="AK106" s="64" t="s" ph="1">
        <v>231</v>
      </c>
      <c r="AZ106" s="64" t="s" ph="1">
        <v>231</v>
      </c>
    </row>
    <row r="107" spans="33:52" ph="1">
      <c r="AH107" s="64" ph="1">
        <v>2</v>
      </c>
      <c r="AI107" s="64" t="s" ph="1">
        <v>497</v>
      </c>
      <c r="AJ107" s="64" t="s" ph="1">
        <v>498</v>
      </c>
      <c r="AK107" s="64" t="s" ph="1">
        <v>228</v>
      </c>
      <c r="AM107" s="64" t="s" ph="1">
        <v>334</v>
      </c>
      <c r="AN107" s="64" t="s" ph="1">
        <v>499</v>
      </c>
      <c r="AO107" s="64" t="s" ph="1">
        <v>500</v>
      </c>
      <c r="AP107" s="64" t="s" ph="1">
        <v>336</v>
      </c>
      <c r="AQ107" s="64" t="s" ph="1">
        <v>304</v>
      </c>
      <c r="AR107" s="64" t="s" ph="1">
        <v>500</v>
      </c>
      <c r="AS107" s="64" t="s" ph="1">
        <v>570</v>
      </c>
      <c r="AT107" s="64" t="s" ph="1">
        <v>499</v>
      </c>
      <c r="AU107" s="64" t="s" ph="1">
        <v>500</v>
      </c>
      <c r="AY107" s="64" t="s" ph="1">
        <v>216</v>
      </c>
      <c r="AZ107" s="64" t="s" ph="1">
        <v>580</v>
      </c>
    </row>
    <row r="108" spans="33:52" ph="1">
      <c r="AH108" s="64" ph="1">
        <v>3</v>
      </c>
      <c r="AI108" s="64" t="s" ph="1">
        <v>501</v>
      </c>
      <c r="AY108" s="64" t="s" ph="1">
        <v>216</v>
      </c>
      <c r="AZ108" s="64" t="s" ph="1">
        <v>367</v>
      </c>
    </row>
    <row r="109" spans="33:52" ph="1">
      <c r="AH109" s="64" ph="1">
        <v>4</v>
      </c>
      <c r="AI109" s="64" t="s" ph="1">
        <v>502</v>
      </c>
      <c r="AY109" s="64" t="s" ph="1">
        <v>216</v>
      </c>
      <c r="AZ109" s="64" t="s" ph="1">
        <v>367</v>
      </c>
    </row>
    <row r="110" spans="33:52" ph="1">
      <c r="AH110" s="64" ph="1">
        <v>5</v>
      </c>
      <c r="AI110" s="64" t="s" ph="1">
        <v>503</v>
      </c>
      <c r="AY110" s="64" t="s" ph="1">
        <v>216</v>
      </c>
      <c r="AZ110" s="64" t="s" ph="1">
        <v>367</v>
      </c>
    </row>
    <row r="111" spans="33:52" ph="1">
      <c r="AH111" s="64" ph="1">
        <v>6</v>
      </c>
      <c r="AI111" s="64" t="s" ph="1">
        <v>581</v>
      </c>
      <c r="AJ111" s="64" t="s" ph="1">
        <v>486</v>
      </c>
      <c r="AK111" s="64" t="s" ph="1">
        <v>225</v>
      </c>
      <c r="AM111" s="64" t="s" ph="1">
        <v>487</v>
      </c>
      <c r="AN111" s="64" t="s" ph="1">
        <v>219</v>
      </c>
      <c r="AO111" s="64" t="s" ph="1">
        <v>500</v>
      </c>
      <c r="AP111" s="64" t="s" ph="1">
        <v>488</v>
      </c>
      <c r="AQ111" s="64" t="s" ph="1">
        <v>228</v>
      </c>
      <c r="AR111" s="64" t="s" ph="1">
        <v>500</v>
      </c>
      <c r="AS111" s="64" t="s" ph="1">
        <v>489</v>
      </c>
      <c r="AT111" s="64" t="s" ph="1">
        <v>237</v>
      </c>
      <c r="AU111" s="64" t="s" ph="1">
        <v>500</v>
      </c>
      <c r="AV111" s="64" t="s" ph="1">
        <v>490</v>
      </c>
      <c r="AW111" s="64" t="s" ph="1">
        <v>227</v>
      </c>
      <c r="AX111" s="64" t="s" ph="1">
        <v>500</v>
      </c>
      <c r="AY111" s="64" t="s" ph="1">
        <v>216</v>
      </c>
      <c r="AZ111" s="64" t="s" ph="1">
        <v>504</v>
      </c>
    </row>
    <row r="112" spans="33:52" ph="1">
      <c r="AJ112" s="64" t="s" ph="1">
        <v>491</v>
      </c>
      <c r="AK112" s="64" t="s" ph="1">
        <v>272</v>
      </c>
      <c r="AM112" s="64" t="s" ph="1">
        <v>493</v>
      </c>
      <c r="AN112" s="64" t="s" ph="1">
        <v>296</v>
      </c>
      <c r="AO112" s="64" t="s" ph="1">
        <v>500</v>
      </c>
      <c r="AP112" s="64" t="s" ph="1">
        <v>494</v>
      </c>
      <c r="AQ112" s="64" t="s" ph="1">
        <v>505</v>
      </c>
      <c r="AR112" s="64" t="s" ph="1">
        <v>500</v>
      </c>
      <c r="AS112" s="64" t="s" ph="1">
        <v>506</v>
      </c>
      <c r="AT112" s="64" t="s" ph="1">
        <v>248</v>
      </c>
      <c r="AU112" s="64" t="s" ph="1">
        <v>500</v>
      </c>
      <c r="AV112" s="64" t="s" ph="1">
        <v>507</v>
      </c>
      <c r="AW112" s="64" t="s" ph="1">
        <v>294</v>
      </c>
      <c r="AX112" s="64" t="s" ph="1">
        <v>500</v>
      </c>
    </row>
    <row r="113" spans="33:52" ph="1">
      <c r="AH113" s="64" ph="1">
        <v>7</v>
      </c>
      <c r="AI113" s="64" t="s" ph="1">
        <v>508</v>
      </c>
      <c r="AJ113" s="64" t="s" ph="1">
        <v>589</v>
      </c>
      <c r="AK113" s="64" t="s" ph="1">
        <v>594</v>
      </c>
      <c r="AY113" s="64" t="s" ph="1">
        <v>216</v>
      </c>
      <c r="AZ113" s="64" t="s" ph="1">
        <v>594</v>
      </c>
    </row>
    <row r="114" spans="33:52" ph="1">
      <c r="AH114" s="64" ph="1">
        <v>8</v>
      </c>
      <c r="AI114" s="64" t="s" ph="1">
        <v>509</v>
      </c>
      <c r="AJ114" s="64" t="s" ph="1">
        <v>589</v>
      </c>
      <c r="AK114" s="64" t="s" ph="1">
        <v>595</v>
      </c>
      <c r="AY114" s="64" t="s" ph="1">
        <v>216</v>
      </c>
      <c r="AZ114" s="64" t="s" ph="1">
        <v>595</v>
      </c>
    </row>
    <row r="115" spans="33:52" ph="1">
      <c r="AH115" s="64" ph="1">
        <v>9</v>
      </c>
      <c r="AI115" s="64" t="s" ph="1">
        <v>510</v>
      </c>
      <c r="AJ115" s="64" t="s" ph="1">
        <v>589</v>
      </c>
      <c r="AK115" s="64" t="s" ph="1">
        <v>595</v>
      </c>
      <c r="AY115" s="64" t="s" ph="1">
        <v>216</v>
      </c>
      <c r="AZ115" s="64" t="s" ph="1">
        <v>595</v>
      </c>
    </row>
    <row r="116" spans="33:52" ph="1">
      <c r="AH116" s="64" ph="1">
        <v>10</v>
      </c>
      <c r="AI116" s="64" t="s" ph="1">
        <v>511</v>
      </c>
      <c r="AJ116" s="64" t="s" ph="1">
        <v>589</v>
      </c>
      <c r="AK116" s="64" t="s" ph="1">
        <v>595</v>
      </c>
      <c r="AY116" s="64" t="s" ph="1">
        <v>216</v>
      </c>
      <c r="AZ116" s="64" t="s" ph="1">
        <v>595</v>
      </c>
    </row>
    <row r="117" spans="33:52" ph="1">
      <c r="AH117" s="64" ph="1">
        <v>11</v>
      </c>
      <c r="AI117" s="64" t="s" ph="1">
        <v>512</v>
      </c>
      <c r="AJ117" s="64" t="s" ph="1">
        <v>589</v>
      </c>
      <c r="AK117" s="64" t="s" ph="1">
        <v>595</v>
      </c>
      <c r="AY117" s="64" t="s" ph="1">
        <v>216</v>
      </c>
      <c r="AZ117" s="64" t="s" ph="1">
        <v>595</v>
      </c>
    </row>
    <row r="118" spans="33:52" ph="1">
      <c r="AZ118" s="64" t="s" ph="1">
        <v>596</v>
      </c>
    </row>
    <row r="119" spans="33:52" ph="1">
      <c r="AI119" s="64" t="s" ph="1">
        <v>209</v>
      </c>
      <c r="AJ119" s="64" t="s" ph="1">
        <v>210</v>
      </c>
      <c r="AK119" s="64" t="s" ph="1">
        <v>211</v>
      </c>
      <c r="AM119" s="64" t="s" ph="1">
        <v>210</v>
      </c>
      <c r="AN119" s="64" t="s" ph="1">
        <v>211</v>
      </c>
      <c r="AO119" s="64" t="s" ph="1">
        <v>212</v>
      </c>
      <c r="AP119" s="64" t="s" ph="1">
        <v>210</v>
      </c>
      <c r="AQ119" s="64" t="s" ph="1">
        <v>211</v>
      </c>
      <c r="AR119" s="64" t="s" ph="1">
        <v>212</v>
      </c>
      <c r="AS119" s="64" t="s" ph="1">
        <v>210</v>
      </c>
      <c r="AT119" s="64" t="s" ph="1">
        <v>211</v>
      </c>
      <c r="AU119" s="64" t="s" ph="1">
        <v>212</v>
      </c>
      <c r="AV119" s="64" t="s" ph="1">
        <v>210</v>
      </c>
      <c r="AW119" s="64" t="s" ph="1">
        <v>211</v>
      </c>
      <c r="AX119" s="64" t="s" ph="1">
        <v>212</v>
      </c>
      <c r="AY119" s="64" t="s" ph="1">
        <v>211</v>
      </c>
      <c r="AZ119" s="64" t="s" ph="1">
        <v>213</v>
      </c>
    </row>
    <row r="120" spans="33:52" ph="1">
      <c r="AG120" s="64" t="s" ph="1">
        <v>353</v>
      </c>
      <c r="AH120" s="64" ph="1">
        <v>1</v>
      </c>
      <c r="AI120" s="64" t="s" ph="1">
        <v>513</v>
      </c>
      <c r="AJ120" s="64" t="s" ph="1">
        <v>587</v>
      </c>
      <c r="AK120" s="64" t="s" ph="1">
        <v>367</v>
      </c>
      <c r="AY120" s="64" t="s" ph="1">
        <v>216</v>
      </c>
      <c r="AZ120" s="64" t="s" ph="1">
        <v>367</v>
      </c>
    </row>
    <row r="121" spans="33:52" ph="1">
      <c r="AH121" s="64" ph="1">
        <v>2</v>
      </c>
      <c r="AI121" s="64" t="s" ph="1">
        <v>514</v>
      </c>
      <c r="AY121" s="64" t="s" ph="1">
        <v>216</v>
      </c>
      <c r="AZ121" s="64" t="s" ph="1">
        <v>367</v>
      </c>
    </row>
    <row r="122" spans="33:52" ph="1">
      <c r="AH122" s="64" ph="1">
        <v>3</v>
      </c>
      <c r="AI122" s="64" t="s" ph="1">
        <v>515</v>
      </c>
      <c r="AJ122" s="64" t="s" ph="1">
        <v>570</v>
      </c>
      <c r="AK122" s="64" t="s" ph="1">
        <v>582</v>
      </c>
      <c r="AM122" s="64" t="s" ph="1">
        <v>597</v>
      </c>
      <c r="AN122" s="64" t="s" ph="1">
        <v>590</v>
      </c>
      <c r="AO122" s="64" t="s" ph="1">
        <v>91</v>
      </c>
      <c r="AY122" s="64" t="s" ph="1">
        <v>216</v>
      </c>
      <c r="AZ122" s="64" t="s" ph="1">
        <v>579</v>
      </c>
    </row>
    <row r="123" spans="33:52" ph="1">
      <c r="AY123" s="64" t="s" ph="1">
        <v>216</v>
      </c>
      <c r="AZ123" s="64" t="s" ph="1">
        <v>579</v>
      </c>
    </row>
    <row r="124" spans="33:52" ph="1">
      <c r="AG124" s="64" t="s" ph="1">
        <v>356</v>
      </c>
      <c r="AH124" s="64" ph="1">
        <v>4</v>
      </c>
      <c r="AI124" s="64" t="s" ph="1">
        <v>516</v>
      </c>
      <c r="AJ124" s="64" t="s" ph="1">
        <v>517</v>
      </c>
      <c r="AK124" s="64" t="s" ph="1">
        <v>518</v>
      </c>
      <c r="AY124" s="64" t="s" ph="1">
        <v>216</v>
      </c>
      <c r="AZ124" s="64" t="s" ph="1">
        <v>518</v>
      </c>
    </row>
    <row r="125" spans="33:52" ph="1">
      <c r="AH125" s="64" ph="1">
        <v>5</v>
      </c>
      <c r="AI125" s="64" t="s" ph="1">
        <v>519</v>
      </c>
      <c r="AJ125" s="64" t="s" ph="1">
        <v>517</v>
      </c>
      <c r="AK125" s="64" t="s" ph="1">
        <v>518</v>
      </c>
      <c r="AY125" s="64" t="s" ph="1">
        <v>216</v>
      </c>
      <c r="AZ125" s="64" t="s" ph="1">
        <v>518</v>
      </c>
    </row>
    <row r="126" spans="33:52" ph="1">
      <c r="AH126" s="64" ph="1">
        <v>6</v>
      </c>
      <c r="AI126" s="64" t="s" ph="1">
        <v>520</v>
      </c>
      <c r="AJ126" s="64" t="s" ph="1">
        <v>589</v>
      </c>
      <c r="AK126" s="64" t="s" ph="1">
        <v>598</v>
      </c>
      <c r="AY126" s="64" t="s" ph="1">
        <v>216</v>
      </c>
      <c r="AZ126" s="64" t="s" ph="1">
        <v>598</v>
      </c>
    </row>
    <row r="127" spans="33:52" ph="1">
      <c r="AH127" s="64" ph="1">
        <v>7</v>
      </c>
      <c r="AI127" s="64" t="s" ph="1">
        <v>521</v>
      </c>
      <c r="AJ127" s="64" t="s" ph="1">
        <v>589</v>
      </c>
      <c r="AK127" s="64" t="s" ph="1">
        <v>599</v>
      </c>
      <c r="AY127" s="64" t="s" ph="1">
        <v>216</v>
      </c>
      <c r="AZ127" s="64" t="s" ph="1">
        <v>599</v>
      </c>
    </row>
    <row r="128" spans="33:52" ph="1">
      <c r="AH128" s="64" ph="1">
        <v>8</v>
      </c>
      <c r="AI128" s="64" t="s" ph="1">
        <v>522</v>
      </c>
      <c r="AY128" s="64" t="s" ph="1">
        <v>216</v>
      </c>
      <c r="AZ128" s="64" t="s" ph="1">
        <v>367</v>
      </c>
    </row>
    <row r="129" spans="33:52" ph="1">
      <c r="AH129" s="64" ph="1">
        <v>9</v>
      </c>
      <c r="AI129" s="64" t="s" ph="1">
        <v>523</v>
      </c>
      <c r="AY129" s="64" t="s" ph="1">
        <v>216</v>
      </c>
      <c r="AZ129" s="64" t="s" ph="1">
        <v>367</v>
      </c>
    </row>
    <row r="130" spans="33:52" ph="1">
      <c r="AH130" s="64" ph="1">
        <v>10</v>
      </c>
      <c r="AI130" s="64" t="s" ph="1">
        <v>524</v>
      </c>
      <c r="AY130" s="64" t="s" ph="1">
        <v>216</v>
      </c>
      <c r="AZ130" s="64" t="s" ph="1">
        <v>367</v>
      </c>
    </row>
    <row r="131" spans="33:52" ph="1">
      <c r="AH131" s="64" ph="1">
        <v>11</v>
      </c>
      <c r="AI131" s="64" t="s" ph="1">
        <v>525</v>
      </c>
      <c r="AJ131" s="64" t="s" ph="1">
        <v>583</v>
      </c>
      <c r="AK131" s="64" t="s" ph="1">
        <v>579</v>
      </c>
      <c r="AY131" s="64" t="s" ph="1">
        <v>216</v>
      </c>
      <c r="AZ131" s="64" t="s" ph="1">
        <v>579</v>
      </c>
    </row>
    <row r="132" spans="33:52" ph="1">
      <c r="AH132" s="64" ph="1">
        <v>12</v>
      </c>
      <c r="AI132" s="64" t="s" ph="1">
        <v>526</v>
      </c>
      <c r="AJ132" s="64" t="s" ph="1">
        <v>583</v>
      </c>
      <c r="AK132" s="64" t="s" ph="1">
        <v>518</v>
      </c>
      <c r="AY132" s="64" t="s" ph="1">
        <v>216</v>
      </c>
      <c r="AZ132" s="64" t="s" ph="1">
        <v>518</v>
      </c>
    </row>
    <row r="133" spans="33:52" ph="1">
      <c r="AH133" s="64" ph="1">
        <v>13</v>
      </c>
      <c r="AI133" s="64" t="s" ph="1">
        <v>527</v>
      </c>
      <c r="AJ133" s="64" t="s" ph="1">
        <v>583</v>
      </c>
      <c r="AK133" s="64" t="s" ph="1">
        <v>584</v>
      </c>
      <c r="AY133" s="64" t="s" ph="1">
        <v>216</v>
      </c>
      <c r="AZ133" s="64" t="s" ph="1">
        <v>584</v>
      </c>
    </row>
    <row r="134" spans="33:52" ph="1">
      <c r="AH134" s="64" ph="1">
        <v>14</v>
      </c>
      <c r="AI134" s="64" t="s" ph="1">
        <v>528</v>
      </c>
      <c r="AJ134" s="64" t="s" ph="1">
        <v>583</v>
      </c>
      <c r="AK134" s="64" t="s" ph="1">
        <v>585</v>
      </c>
      <c r="AY134" s="64" t="s" ph="1">
        <v>216</v>
      </c>
      <c r="AZ134" s="64" t="s" ph="1">
        <v>585</v>
      </c>
    </row>
    <row r="135" spans="33:52" ph="1">
      <c r="AH135" s="64" ph="1">
        <v>15</v>
      </c>
      <c r="AI135" s="64" t="s" ph="1">
        <v>529</v>
      </c>
      <c r="AJ135" s="64" t="s" ph="1">
        <v>583</v>
      </c>
      <c r="AK135" s="64" t="s" ph="1">
        <v>586</v>
      </c>
      <c r="AY135" s="64" t="s" ph="1">
        <v>216</v>
      </c>
      <c r="AZ135" s="64" t="s" ph="1">
        <v>586</v>
      </c>
    </row>
    <row r="136" spans="33:52" ph="1">
      <c r="AZ136" s="64" t="s" ph="1">
        <v>600</v>
      </c>
    </row>
    <row r="137" spans="33:52" ph="1">
      <c r="AG137" s="64" t="s" ph="1">
        <v>290</v>
      </c>
      <c r="AI137" s="64" t="s" ph="1">
        <v>209</v>
      </c>
      <c r="AJ137" s="64" t="s" ph="1">
        <v>210</v>
      </c>
      <c r="AK137" s="64" t="s" ph="1">
        <v>211</v>
      </c>
      <c r="AM137" s="64" t="s" ph="1">
        <v>210</v>
      </c>
      <c r="AN137" s="64" t="s" ph="1">
        <v>211</v>
      </c>
      <c r="AO137" s="64" t="s" ph="1">
        <v>212</v>
      </c>
      <c r="AP137" s="64" t="s" ph="1">
        <v>210</v>
      </c>
      <c r="AQ137" s="64" t="s" ph="1">
        <v>211</v>
      </c>
      <c r="AR137" s="64" t="s" ph="1">
        <v>212</v>
      </c>
      <c r="AS137" s="64" t="s" ph="1">
        <v>210</v>
      </c>
      <c r="AT137" s="64" t="s" ph="1">
        <v>211</v>
      </c>
      <c r="AU137" s="64" t="s" ph="1">
        <v>212</v>
      </c>
      <c r="AV137" s="64" t="s" ph="1">
        <v>210</v>
      </c>
      <c r="AW137" s="64" t="s" ph="1">
        <v>211</v>
      </c>
      <c r="AX137" s="64" t="s" ph="1">
        <v>212</v>
      </c>
      <c r="AY137" s="64" t="s" ph="1">
        <v>211</v>
      </c>
      <c r="AZ137" s="64" t="s" ph="1">
        <v>213</v>
      </c>
    </row>
    <row r="138" spans="33:52" ph="1">
      <c r="AH138" s="64" ph="1">
        <v>1</v>
      </c>
      <c r="AI138" s="64" t="s" ph="1">
        <v>530</v>
      </c>
      <c r="AJ138" s="64" t="s" ph="1">
        <v>531</v>
      </c>
      <c r="AK138" s="64" t="s" ph="1">
        <v>532</v>
      </c>
      <c r="AY138" s="64" t="s" ph="1">
        <v>216</v>
      </c>
      <c r="AZ138" s="64" t="s" ph="1">
        <v>532</v>
      </c>
    </row>
    <row r="139" spans="33:52" ph="1">
      <c r="AH139" s="64" ph="1">
        <v>2</v>
      </c>
      <c r="AI139" s="64" t="s" ph="1">
        <v>533</v>
      </c>
      <c r="AJ139" s="64" t="s" ph="1">
        <v>589</v>
      </c>
      <c r="AK139" s="64" t="s" ph="1">
        <v>601</v>
      </c>
      <c r="AY139" s="64" t="s" ph="1">
        <v>216</v>
      </c>
      <c r="AZ139" s="64" t="s" ph="1">
        <v>601</v>
      </c>
    </row>
    <row r="140" spans="33:52" ph="1">
      <c r="AH140" s="64" ph="1">
        <v>3</v>
      </c>
      <c r="AI140" s="64" t="s" ph="1">
        <v>534</v>
      </c>
      <c r="AJ140" s="64" t="s" ph="1">
        <v>487</v>
      </c>
      <c r="AK140" s="64" t="s" ph="1">
        <v>299</v>
      </c>
      <c r="AM140" s="64" t="s" ph="1">
        <v>488</v>
      </c>
      <c r="AN140" s="64" t="s" ph="1">
        <v>219</v>
      </c>
      <c r="AO140" s="64" t="s" ph="1">
        <v>535</v>
      </c>
      <c r="AP140" s="64" t="s" ph="1">
        <v>489</v>
      </c>
      <c r="AQ140" s="64" t="s" ph="1">
        <v>236</v>
      </c>
      <c r="AR140" s="64" t="s" ph="1">
        <v>535</v>
      </c>
      <c r="AS140" s="64" t="s" ph="1">
        <v>490</v>
      </c>
      <c r="AT140" s="64" t="s" ph="1">
        <v>229</v>
      </c>
      <c r="AU140" s="64" t="s" ph="1">
        <v>535</v>
      </c>
      <c r="AV140" s="64" t="s" ph="1">
        <v>491</v>
      </c>
      <c r="AW140" s="64" t="s" ph="1">
        <v>222</v>
      </c>
      <c r="AX140" s="64" t="s" ph="1">
        <v>535</v>
      </c>
      <c r="AY140" s="64" t="s" ph="1">
        <v>216</v>
      </c>
      <c r="AZ140" s="64" t="s" ph="1">
        <v>291</v>
      </c>
    </row>
    <row r="141" spans="33:52" ph="1">
      <c r="AJ141" s="64" t="s" ph="1">
        <v>493</v>
      </c>
      <c r="AK141" s="64" t="s" ph="1">
        <v>222</v>
      </c>
      <c r="AM141" s="64" t="s" ph="1">
        <v>494</v>
      </c>
      <c r="AN141" s="64" t="s" ph="1">
        <v>225</v>
      </c>
      <c r="AO141" s="64" t="s" ph="1">
        <v>535</v>
      </c>
      <c r="AP141" s="64" t="s" ph="1">
        <v>506</v>
      </c>
      <c r="AQ141" s="64" t="s" ph="1">
        <v>294</v>
      </c>
      <c r="AR141" s="64" t="s" ph="1">
        <v>535</v>
      </c>
      <c r="AS141" s="64" t="s" ph="1">
        <v>498</v>
      </c>
      <c r="AT141" s="64" t="s" ph="1">
        <v>222</v>
      </c>
      <c r="AU141" s="64" t="s" ph="1">
        <v>535</v>
      </c>
      <c r="AV141" s="64" t="s" ph="1">
        <v>334</v>
      </c>
      <c r="AW141" s="64" t="s" ph="1">
        <v>228</v>
      </c>
      <c r="AX141" s="64" t="s" ph="1">
        <v>535</v>
      </c>
    </row>
    <row r="142" spans="33:52" ph="1">
      <c r="AJ142" s="64" t="s" ph="1">
        <v>536</v>
      </c>
      <c r="AK142" s="64" t="s" ph="1">
        <v>239</v>
      </c>
    </row>
    <row r="143" spans="33:52" ph="1">
      <c r="AH143" s="64" ph="1">
        <v>4</v>
      </c>
      <c r="AI143" s="64" t="s" ph="1">
        <v>537</v>
      </c>
      <c r="AJ143" s="64" t="s" ph="1">
        <v>517</v>
      </c>
      <c r="AK143" s="64" t="s" ph="1">
        <v>538</v>
      </c>
      <c r="AY143" s="64" t="s" ph="1">
        <v>216</v>
      </c>
      <c r="AZ143" s="64" t="s" ph="1">
        <v>538</v>
      </c>
    </row>
    <row r="144" spans="33:52" ph="1">
      <c r="AH144" s="64" ph="1">
        <v>5</v>
      </c>
      <c r="AI144" s="64" t="s" ph="1">
        <v>539</v>
      </c>
      <c r="AY144" s="64" t="s" ph="1">
        <v>216</v>
      </c>
      <c r="AZ144" s="64" t="s" ph="1">
        <v>367</v>
      </c>
    </row>
    <row r="145" spans="33:52" ph="1">
      <c r="AH145" s="64" ph="1">
        <v>6</v>
      </c>
      <c r="AI145" s="64" t="s" ph="1">
        <v>540</v>
      </c>
      <c r="AY145" s="64" t="s" ph="1">
        <v>216</v>
      </c>
      <c r="AZ145" s="64" t="s" ph="1">
        <v>367</v>
      </c>
    </row>
    <row r="146" spans="33:52" ph="1">
      <c r="AH146" s="64" ph="1">
        <v>7</v>
      </c>
      <c r="AI146" s="64" t="s" ph="1">
        <v>541</v>
      </c>
      <c r="AY146" s="64" t="s" ph="1">
        <v>216</v>
      </c>
      <c r="AZ146" s="64" t="s" ph="1">
        <v>367</v>
      </c>
    </row>
    <row r="147" spans="33:52" ph="1">
      <c r="AH147" s="64" ph="1">
        <v>8</v>
      </c>
      <c r="AI147" s="64" t="s" ph="1">
        <v>542</v>
      </c>
      <c r="AY147" s="64" t="s" ph="1">
        <v>216</v>
      </c>
      <c r="AZ147" s="64" t="s" ph="1">
        <v>367</v>
      </c>
    </row>
    <row r="148" spans="33:52" ph="1">
      <c r="AH148" s="64" ph="1">
        <v>9</v>
      </c>
      <c r="AI148" s="64" t="s" ph="1">
        <v>543</v>
      </c>
      <c r="AY148" s="64" t="s" ph="1">
        <v>216</v>
      </c>
      <c r="AZ148" s="64" t="s" ph="1">
        <v>367</v>
      </c>
    </row>
    <row r="149" spans="33:52" ph="1">
      <c r="AH149" s="64" ph="1">
        <v>10</v>
      </c>
      <c r="AI149" s="64" t="s" ph="1">
        <v>544</v>
      </c>
      <c r="AY149" s="64" t="s" ph="1">
        <v>216</v>
      </c>
      <c r="AZ149" s="64" t="s" ph="1">
        <v>367</v>
      </c>
    </row>
    <row r="150" spans="33:52" ph="1">
      <c r="AH150" s="64" ph="1">
        <v>11</v>
      </c>
      <c r="AI150" s="64" t="s" ph="1">
        <v>545</v>
      </c>
      <c r="AY150" s="64" t="s" ph="1">
        <v>216</v>
      </c>
      <c r="AZ150" s="64" t="s" ph="1">
        <v>367</v>
      </c>
    </row>
    <row r="151" spans="33:52" ph="1">
      <c r="AH151" s="64" ph="1">
        <v>12</v>
      </c>
      <c r="AI151" s="64" t="s" ph="1">
        <v>546</v>
      </c>
      <c r="AY151" s="64" t="s" ph="1">
        <v>216</v>
      </c>
      <c r="AZ151" s="64" t="s" ph="1">
        <v>367</v>
      </c>
    </row>
    <row r="152" spans="33:52" ph="1">
      <c r="AH152" s="64" ph="1">
        <v>13</v>
      </c>
      <c r="AI152" s="64" t="s" ph="1">
        <v>547</v>
      </c>
      <c r="AY152" s="64" t="s" ph="1">
        <v>216</v>
      </c>
      <c r="AZ152" s="64" t="s" ph="1">
        <v>367</v>
      </c>
    </row>
    <row r="153" spans="33:52" ph="1">
      <c r="AH153" s="64" ph="1">
        <v>14</v>
      </c>
      <c r="AI153" s="64" t="s" ph="1">
        <v>548</v>
      </c>
      <c r="AY153" s="64" t="s" ph="1">
        <v>216</v>
      </c>
      <c r="AZ153" s="64" t="s" ph="1">
        <v>367</v>
      </c>
    </row>
    <row r="154" spans="33:52" ph="1">
      <c r="AH154" s="64" ph="1">
        <v>15</v>
      </c>
      <c r="AI154" s="64" t="s" ph="1">
        <v>549</v>
      </c>
      <c r="AY154" s="64" t="s" ph="1">
        <v>216</v>
      </c>
      <c r="AZ154" s="64" t="s" ph="1">
        <v>367</v>
      </c>
    </row>
    <row r="155" spans="33:52" ph="1">
      <c r="AH155" s="64" ph="1">
        <v>16</v>
      </c>
      <c r="AI155" s="64" t="s" ph="1">
        <v>550</v>
      </c>
      <c r="AJ155" s="64" t="s" ph="1">
        <v>336</v>
      </c>
      <c r="AK155" s="64" t="s" ph="1">
        <v>231</v>
      </c>
      <c r="AM155" s="64" t="s" ph="1">
        <v>570</v>
      </c>
      <c r="AN155" s="64" t="s" ph="1">
        <v>282</v>
      </c>
      <c r="AO155" s="64" t="s" ph="1">
        <v>535</v>
      </c>
      <c r="AY155" s="64" t="s" ph="1">
        <v>216</v>
      </c>
      <c r="AZ155" s="64" t="s" ph="1">
        <v>223</v>
      </c>
    </row>
    <row r="156" spans="33:52" ph="1">
      <c r="AZ156" s="64" t="s" ph="1">
        <v>602</v>
      </c>
    </row>
    <row r="157" spans="33:52" ph="1">
      <c r="AG157" s="64" t="s" ph="1">
        <v>551</v>
      </c>
      <c r="AI157" s="64" t="s" ph="1">
        <v>209</v>
      </c>
      <c r="AJ157" s="64" t="s" ph="1">
        <v>210</v>
      </c>
      <c r="AK157" s="64" t="s" ph="1">
        <v>211</v>
      </c>
      <c r="AM157" s="64" t="s" ph="1">
        <v>210</v>
      </c>
      <c r="AN157" s="64" t="s" ph="1">
        <v>211</v>
      </c>
      <c r="AO157" s="64" t="s" ph="1">
        <v>212</v>
      </c>
      <c r="AP157" s="64" t="s" ph="1">
        <v>210</v>
      </c>
      <c r="AQ157" s="64" t="s" ph="1">
        <v>211</v>
      </c>
      <c r="AR157" s="64" t="s" ph="1">
        <v>212</v>
      </c>
      <c r="AS157" s="64" t="s" ph="1">
        <v>210</v>
      </c>
      <c r="AT157" s="64" t="s" ph="1">
        <v>211</v>
      </c>
      <c r="AU157" s="64" t="s" ph="1">
        <v>212</v>
      </c>
      <c r="AV157" s="64" t="s" ph="1">
        <v>210</v>
      </c>
      <c r="AW157" s="64" t="s" ph="1">
        <v>211</v>
      </c>
      <c r="AX157" s="64" t="s" ph="1">
        <v>212</v>
      </c>
      <c r="AY157" s="64" t="s" ph="1">
        <v>211</v>
      </c>
      <c r="AZ157" s="64" t="s" ph="1">
        <v>213</v>
      </c>
    </row>
    <row r="158" spans="33:52" ph="1">
      <c r="AH158" s="64" ph="1">
        <v>1</v>
      </c>
      <c r="AI158" s="64" t="s" ph="1">
        <v>552</v>
      </c>
      <c r="AY158" s="64" t="s" ph="1">
        <v>216</v>
      </c>
      <c r="AZ158" s="64" t="s" ph="1">
        <v>367</v>
      </c>
    </row>
    <row r="159" spans="33:52" ph="1">
      <c r="AH159" s="64" ph="1">
        <v>2</v>
      </c>
      <c r="AI159" s="64" t="s" ph="1">
        <v>553</v>
      </c>
      <c r="AY159" s="64" t="s" ph="1">
        <v>216</v>
      </c>
      <c r="AZ159" s="64" t="s" ph="1">
        <v>367</v>
      </c>
    </row>
    <row r="160" spans="33:52" ph="1">
      <c r="AZ160" s="64" t="s" ph="1">
        <v>385</v>
      </c>
    </row>
    <row r="161" spans="33:52" ph="1">
      <c r="AG161" s="64" t="s" ph="1">
        <v>361</v>
      </c>
      <c r="AI161" s="64" t="s" ph="1">
        <v>209</v>
      </c>
      <c r="AJ161" s="64" t="s" ph="1">
        <v>210</v>
      </c>
      <c r="AK161" s="64" t="s" ph="1">
        <v>211</v>
      </c>
      <c r="AM161" s="64" t="s" ph="1">
        <v>210</v>
      </c>
      <c r="AN161" s="64" t="s" ph="1">
        <v>211</v>
      </c>
      <c r="AO161" s="64" t="s" ph="1">
        <v>212</v>
      </c>
      <c r="AP161" s="64" t="s" ph="1">
        <v>210</v>
      </c>
      <c r="AQ161" s="64" t="s" ph="1">
        <v>211</v>
      </c>
      <c r="AR161" s="64" t="s" ph="1">
        <v>212</v>
      </c>
      <c r="AS161" s="64" t="s" ph="1">
        <v>210</v>
      </c>
      <c r="AT161" s="64" t="s" ph="1">
        <v>211</v>
      </c>
      <c r="AU161" s="64" t="s" ph="1">
        <v>212</v>
      </c>
      <c r="AV161" s="64" t="s" ph="1">
        <v>210</v>
      </c>
      <c r="AW161" s="64" t="s" ph="1">
        <v>211</v>
      </c>
      <c r="AX161" s="64" t="s" ph="1">
        <v>212</v>
      </c>
      <c r="AY161" s="64" t="s" ph="1">
        <v>211</v>
      </c>
      <c r="AZ161" s="64" t="s" ph="1">
        <v>213</v>
      </c>
    </row>
    <row r="162" spans="33:52" ph="1">
      <c r="AH162" s="64" ph="1">
        <v>1</v>
      </c>
      <c r="AI162" s="64" t="s" ph="1">
        <v>554</v>
      </c>
      <c r="AJ162" s="64" t="s" ph="1">
        <v>555</v>
      </c>
      <c r="AK162" s="64" t="s" ph="1">
        <v>499</v>
      </c>
      <c r="AM162" s="64" t="s" ph="1">
        <v>556</v>
      </c>
      <c r="AN162" s="64" t="s" ph="1">
        <v>220</v>
      </c>
      <c r="AO162" s="64" t="s" ph="1">
        <v>557</v>
      </c>
      <c r="AY162" s="64" t="s" ph="1">
        <v>216</v>
      </c>
      <c r="AZ162" s="64" t="s" ph="1">
        <v>292</v>
      </c>
    </row>
    <row r="163" spans="33:52" ph="1">
      <c r="AH163" s="64" ph="1">
        <v>2</v>
      </c>
      <c r="AI163" s="64" t="s" ph="1">
        <v>558</v>
      </c>
      <c r="AJ163" s="64" t="s" ph="1">
        <v>555</v>
      </c>
      <c r="AK163" s="64" t="s" ph="1">
        <v>388</v>
      </c>
      <c r="AY163" s="64" t="s" ph="1">
        <v>216</v>
      </c>
      <c r="AZ163" s="64" t="s" ph="1">
        <v>388</v>
      </c>
    </row>
    <row r="164" spans="33:52" ph="1">
      <c r="AH164" s="64" ph="1">
        <v>3</v>
      </c>
      <c r="AI164" s="64" t="s" ph="1">
        <v>559</v>
      </c>
      <c r="AJ164" s="64" t="s" ph="1">
        <v>555</v>
      </c>
      <c r="AK164" s="64" t="s" ph="1">
        <v>292</v>
      </c>
      <c r="AY164" s="64" t="s" ph="1">
        <v>216</v>
      </c>
      <c r="AZ164" s="64" t="s" ph="1">
        <v>292</v>
      </c>
    </row>
    <row r="165" spans="33:52" ph="1">
      <c r="AH165" s="64" ph="1">
        <v>4</v>
      </c>
      <c r="AI165" s="64" t="s" ph="1">
        <v>560</v>
      </c>
      <c r="AY165" s="64" t="s" ph="1">
        <v>216</v>
      </c>
      <c r="AZ165" s="64" t="s" ph="1">
        <v>367</v>
      </c>
    </row>
    <row r="166" spans="33:52" ph="1">
      <c r="AH166" s="64" ph="1">
        <v>5</v>
      </c>
      <c r="AI166" s="64" t="s" ph="1">
        <v>561</v>
      </c>
      <c r="AY166" s="64" t="s" ph="1">
        <v>216</v>
      </c>
      <c r="AZ166" s="64" t="s" ph="1">
        <v>367</v>
      </c>
    </row>
    <row r="167" spans="33:52" ph="1">
      <c r="AZ167" s="64" t="s" ph="1">
        <v>562</v>
      </c>
    </row>
    <row r="168" spans="33:52" ph="1">
      <c r="AG168" s="64" t="s" ph="1">
        <v>305</v>
      </c>
      <c r="AI168" s="64" t="s" ph="1">
        <v>209</v>
      </c>
      <c r="AJ168" s="64" t="s" ph="1">
        <v>210</v>
      </c>
      <c r="AK168" s="64" t="s" ph="1">
        <v>211</v>
      </c>
      <c r="AM168" s="64" t="s" ph="1">
        <v>210</v>
      </c>
      <c r="AN168" s="64" t="s" ph="1">
        <v>211</v>
      </c>
      <c r="AO168" s="64" t="s" ph="1">
        <v>212</v>
      </c>
      <c r="AP168" s="64" t="s" ph="1">
        <v>210</v>
      </c>
      <c r="AQ168" s="64" t="s" ph="1">
        <v>211</v>
      </c>
      <c r="AR168" s="64" t="s" ph="1">
        <v>212</v>
      </c>
      <c r="AS168" s="64" t="s" ph="1">
        <v>210</v>
      </c>
      <c r="AT168" s="64" t="s" ph="1">
        <v>211</v>
      </c>
      <c r="AU168" s="64" t="s" ph="1">
        <v>212</v>
      </c>
      <c r="AV168" s="64" t="s" ph="1">
        <v>210</v>
      </c>
      <c r="AW168" s="64" t="s" ph="1">
        <v>211</v>
      </c>
      <c r="AX168" s="64" t="s" ph="1">
        <v>212</v>
      </c>
      <c r="AY168" s="64" t="s" ph="1">
        <v>211</v>
      </c>
      <c r="AZ168" s="64" t="s" ph="1">
        <v>213</v>
      </c>
    </row>
    <row r="169" spans="33:52" ph="1">
      <c r="AH169" s="64" ph="1">
        <v>1</v>
      </c>
      <c r="AI169" s="64" t="s" ph="1">
        <v>563</v>
      </c>
      <c r="AY169" s="64" t="s" ph="1">
        <v>216</v>
      </c>
      <c r="AZ169" s="64" t="s" ph="1">
        <v>367</v>
      </c>
    </row>
    <row r="170" spans="33:52" ph="1">
      <c r="AH170" s="64" ph="1">
        <v>2</v>
      </c>
      <c r="AI170" s="64" t="s" ph="1">
        <v>564</v>
      </c>
      <c r="AY170" s="64" t="s" ph="1">
        <v>216</v>
      </c>
      <c r="AZ170" s="64" t="s" ph="1">
        <v>367</v>
      </c>
    </row>
    <row r="171" spans="33:52" ph="1">
      <c r="AH171" s="64" ph="1">
        <v>3</v>
      </c>
      <c r="AI171" s="64" t="s" ph="1">
        <v>565</v>
      </c>
      <c r="AY171" s="64" t="s" ph="1">
        <v>216</v>
      </c>
      <c r="AZ171" s="64" t="s" ph="1">
        <v>367</v>
      </c>
    </row>
    <row r="172" spans="33:52" ph="1">
      <c r="AH172" s="64" ph="1">
        <v>4</v>
      </c>
      <c r="AI172" s="64" t="s" ph="1">
        <v>566</v>
      </c>
      <c r="AY172" s="64" t="s" ph="1">
        <v>216</v>
      </c>
      <c r="AZ172" s="64" t="s" ph="1">
        <v>367</v>
      </c>
    </row>
    <row r="173" spans="33:52" ph="1">
      <c r="AH173" s="64" ph="1">
        <v>5</v>
      </c>
      <c r="AI173" s="64" t="s" ph="1">
        <v>567</v>
      </c>
      <c r="AY173" s="64" t="s" ph="1">
        <v>216</v>
      </c>
      <c r="AZ173" s="64" t="s" ph="1">
        <v>367</v>
      </c>
    </row>
    <row r="174" spans="33:52" ph="1">
      <c r="AZ174" s="64" t="s" ph="1">
        <v>385</v>
      </c>
    </row>
    <row r="175" spans="33:52" ph="1">
      <c r="AJ175" s="64" t="s" ph="1">
        <v>306</v>
      </c>
    </row>
    <row r="176" spans="33:52" ph="1">
      <c r="AJ176" s="64" t="s" ph="1">
        <v>307</v>
      </c>
      <c r="AK176" s="64" t="s" ph="1">
        <v>308</v>
      </c>
      <c r="AM176" s="64" t="s" ph="1">
        <v>309</v>
      </c>
      <c r="AO176" s="64" t="s" ph="1">
        <v>310</v>
      </c>
      <c r="AP176" s="64" t="s" ph="1">
        <v>311</v>
      </c>
      <c r="AQ176" s="64" t="s" ph="1">
        <v>301</v>
      </c>
      <c r="AR176" s="64" t="s" ph="1">
        <v>221</v>
      </c>
    </row>
    <row r="177" spans="36:56" ph="1">
      <c r="AJ177" s="64" t="s" ph="1">
        <v>603</v>
      </c>
      <c r="AK177" s="64" t="s" ph="1">
        <v>312</v>
      </c>
      <c r="AO177" s="64" t="s" ph="1">
        <v>312</v>
      </c>
      <c r="AP177" s="64" t="s" ph="1">
        <v>312</v>
      </c>
      <c r="AQ177" s="64" t="s" ph="1">
        <v>313</v>
      </c>
      <c r="AR177" s="64" t="s" ph="1">
        <v>314</v>
      </c>
    </row>
    <row r="179" spans="36:56" ph="1">
      <c r="AJ179" s="64" t="s" ph="1">
        <v>315</v>
      </c>
      <c r="AK179" s="64" t="s" ph="1">
        <v>316</v>
      </c>
      <c r="AM179" s="64" t="s" ph="1">
        <v>317</v>
      </c>
      <c r="AN179" s="64" t="s" ph="1">
        <v>293</v>
      </c>
      <c r="AO179" s="64" t="s" ph="1">
        <v>318</v>
      </c>
      <c r="AP179" s="64" t="s" ph="1">
        <v>297</v>
      </c>
      <c r="AQ179" s="64" t="s" ph="1">
        <v>319</v>
      </c>
      <c r="AR179" s="64" t="s" ph="1">
        <v>320</v>
      </c>
    </row>
    <row r="180" spans="36:56" ph="1">
      <c r="AJ180" s="64" t="s" ph="1">
        <v>312</v>
      </c>
      <c r="AK180" s="64" t="s" ph="1">
        <v>312</v>
      </c>
      <c r="AL180" s="64" ph="1">
        <v>116</v>
      </c>
      <c r="AM180" s="64" t="s" ph="1">
        <v>312</v>
      </c>
      <c r="AN180" s="64" t="s" ph="1">
        <v>321</v>
      </c>
      <c r="AO180" s="64" t="s" ph="1">
        <v>312</v>
      </c>
      <c r="AP180" s="64" t="s" ph="1">
        <v>322</v>
      </c>
      <c r="AQ180" s="64" t="s" ph="1">
        <v>323</v>
      </c>
      <c r="AR180" s="64" t="s" ph="1">
        <v>324</v>
      </c>
    </row>
    <row r="189" spans="36:56" ph="1">
      <c r="BD189" s="64" t="s" ph="1">
        <v>568</v>
      </c>
    </row>
    <row r="223" spans="18:18" ph="1">
      <c r="R223" s="135" ph="1">
        <v>45496</v>
      </c>
    </row>
  </sheetData>
  <mergeCells count="58"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B33:C34"/>
    <mergeCell ref="D33:D34"/>
    <mergeCell ref="E33:E34"/>
    <mergeCell ref="F33:F34"/>
    <mergeCell ref="G33:G34"/>
    <mergeCell ref="S31:U31"/>
    <mergeCell ref="V31:X31"/>
    <mergeCell ref="Y31:AA31"/>
    <mergeCell ref="AB31:AE31"/>
    <mergeCell ref="AD32:AE32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</mergeCells>
  <phoneticPr fontId="2" type="noConversion"/>
  <conditionalFormatting sqref="D4:D11">
    <cfRule type="expression" dxfId="2086" priority="100">
      <formula>ABS(D$7-D$10)&gt;=1000</formula>
    </cfRule>
  </conditionalFormatting>
  <conditionalFormatting sqref="E4 E6:E11">
    <cfRule type="expression" dxfId="2085" priority="99">
      <formula>ABS(E$7-E$10)&gt;=1000</formula>
    </cfRule>
  </conditionalFormatting>
  <conditionalFormatting sqref="F4:F11">
    <cfRule type="expression" dxfId="2084" priority="98">
      <formula>ABS(F$7-F$10)&gt;=1000</formula>
    </cfRule>
  </conditionalFormatting>
  <conditionalFormatting sqref="G4:G11">
    <cfRule type="expression" dxfId="2083" priority="97">
      <formula>ABS(G$7-G$10)&gt;=1000</formula>
    </cfRule>
  </conditionalFormatting>
  <conditionalFormatting sqref="H4:H11">
    <cfRule type="expression" dxfId="2082" priority="96">
      <formula>ABS(H$7-H$10)&gt;=1000</formula>
    </cfRule>
  </conditionalFormatting>
  <conditionalFormatting sqref="I4:I11">
    <cfRule type="expression" dxfId="2081" priority="95">
      <formula>ABS(I$7-I$10)&gt;=1000</formula>
    </cfRule>
  </conditionalFormatting>
  <conditionalFormatting sqref="J4:J11">
    <cfRule type="expression" dxfId="2080" priority="94">
      <formula>ABS(J$7-J$10)&gt;=1000</formula>
    </cfRule>
  </conditionalFormatting>
  <conditionalFormatting sqref="K4:K11">
    <cfRule type="expression" dxfId="2079" priority="93">
      <formula>ABS(K$7-K$10)&gt;=1000</formula>
    </cfRule>
  </conditionalFormatting>
  <conditionalFormatting sqref="L4:L11">
    <cfRule type="expression" dxfId="2078" priority="92">
      <formula>ABS(L$7-L$10)&gt;=1000</formula>
    </cfRule>
  </conditionalFormatting>
  <conditionalFormatting sqref="M4 M6:M11">
    <cfRule type="expression" dxfId="2077" priority="91">
      <formula>ABS(M$7-M$10)&gt;=1000</formula>
    </cfRule>
  </conditionalFormatting>
  <conditionalFormatting sqref="N4 N6:N11">
    <cfRule type="expression" dxfId="2076" priority="90">
      <formula>ABS(N$7-N$10)&gt;=1000</formula>
    </cfRule>
  </conditionalFormatting>
  <conditionalFormatting sqref="O4 O6:O11">
    <cfRule type="expression" dxfId="2075" priority="89">
      <formula>ABS(O$7-O$10)&gt;=1000</formula>
    </cfRule>
  </conditionalFormatting>
  <conditionalFormatting sqref="P4 P6:P11">
    <cfRule type="expression" dxfId="2074" priority="88">
      <formula>ABS(P$7-P$10)&gt;=1000</formula>
    </cfRule>
  </conditionalFormatting>
  <conditionalFormatting sqref="Q4:Q11">
    <cfRule type="expression" dxfId="2073" priority="87">
      <formula>ABS(Q$7-Q$10)&gt;=1000</formula>
    </cfRule>
  </conditionalFormatting>
  <conditionalFormatting sqref="R4:R11">
    <cfRule type="expression" dxfId="2072" priority="86">
      <formula>ABS(R$7-R$10)&gt;=1000</formula>
    </cfRule>
  </conditionalFormatting>
  <conditionalFormatting sqref="S4:S11">
    <cfRule type="expression" dxfId="2071" priority="85">
      <formula>ABS(S$7-S$10)&gt;=1000</formula>
    </cfRule>
  </conditionalFormatting>
  <conditionalFormatting sqref="T4:T9 T11">
    <cfRule type="expression" dxfId="2070" priority="84">
      <formula>ABS(T$7-T$10)&gt;=1000</formula>
    </cfRule>
  </conditionalFormatting>
  <conditionalFormatting sqref="U4:U9 U11">
    <cfRule type="expression" dxfId="2069" priority="83">
      <formula>ABS(U$7-U$10)&gt;=1000</formula>
    </cfRule>
  </conditionalFormatting>
  <conditionalFormatting sqref="V4:V9 V11">
    <cfRule type="expression" dxfId="2068" priority="82">
      <formula>ABS(V$7-V$10)&gt;=1000</formula>
    </cfRule>
  </conditionalFormatting>
  <conditionalFormatting sqref="W4:W9 W11">
    <cfRule type="expression" dxfId="2067" priority="81">
      <formula>ABS(W$7-W$10)&gt;=1000</formula>
    </cfRule>
  </conditionalFormatting>
  <conditionalFormatting sqref="X4:X9 X11">
    <cfRule type="expression" dxfId="2066" priority="80">
      <formula>ABS(X$7-X$10)&gt;=1000</formula>
    </cfRule>
  </conditionalFormatting>
  <conditionalFormatting sqref="Y4:Y9 Y11">
    <cfRule type="expression" dxfId="2065" priority="79">
      <formula>ABS(Y$7-Y$10)&gt;=1000</formula>
    </cfRule>
  </conditionalFormatting>
  <conditionalFormatting sqref="Z4:Z11">
    <cfRule type="expression" dxfId="2064" priority="78">
      <formula>ABS(Z$7-Z$10)&gt;=1000</formula>
    </cfRule>
  </conditionalFormatting>
  <conditionalFormatting sqref="AA4:AA11">
    <cfRule type="expression" dxfId="2063" priority="77">
      <formula>ABS(AA$7-AA$10)&gt;=1000</formula>
    </cfRule>
  </conditionalFormatting>
  <conditionalFormatting sqref="AB4:AB11">
    <cfRule type="expression" dxfId="2062" priority="76">
      <formula>ABS(AB$7-AB$10)&gt;=1000</formula>
    </cfRule>
  </conditionalFormatting>
  <conditionalFormatting sqref="AC4 AC6:AC11">
    <cfRule type="expression" dxfId="2061" priority="75">
      <formula>ABS(AC$7-AC$10)&gt;=1000</formula>
    </cfRule>
  </conditionalFormatting>
  <conditionalFormatting sqref="AD4 AD6:AD11">
    <cfRule type="expression" dxfId="2060" priority="74">
      <formula>ABS(AD$7-AD$10)&gt;=1000</formula>
    </cfRule>
  </conditionalFormatting>
  <conditionalFormatting sqref="AE4 AE6:AE11">
    <cfRule type="expression" dxfId="2059" priority="73">
      <formula>ABS(AE$7-AE$10)&gt;=1000</formula>
    </cfRule>
  </conditionalFormatting>
  <conditionalFormatting sqref="D13:D20">
    <cfRule type="expression" dxfId="2058" priority="72">
      <formula>ABS(D$16-D$19)&gt;=1000</formula>
    </cfRule>
  </conditionalFormatting>
  <conditionalFormatting sqref="E13:E20">
    <cfRule type="expression" dxfId="2057" priority="71">
      <formula>ABS(E$16-E$19)&gt;=1000</formula>
    </cfRule>
  </conditionalFormatting>
  <conditionalFormatting sqref="F13 F15:F20">
    <cfRule type="expression" dxfId="2056" priority="70">
      <formula>ABS(F$16-F$19)&gt;=1000</formula>
    </cfRule>
  </conditionalFormatting>
  <conditionalFormatting sqref="G13:G20">
    <cfRule type="expression" dxfId="2055" priority="69">
      <formula>ABS(G$16-G$19)&gt;=1000</formula>
    </cfRule>
  </conditionalFormatting>
  <conditionalFormatting sqref="H13 H15:H20">
    <cfRule type="expression" dxfId="2054" priority="68">
      <formula>ABS(H$16-H$19)&gt;=1000</formula>
    </cfRule>
  </conditionalFormatting>
  <conditionalFormatting sqref="I13:I20">
    <cfRule type="expression" dxfId="2053" priority="67">
      <formula>ABS(I$16-I$19)&gt;=1000</formula>
    </cfRule>
  </conditionalFormatting>
  <conditionalFormatting sqref="J13:J20">
    <cfRule type="expression" dxfId="2052" priority="66">
      <formula>ABS(J$16-J$19)&gt;=1000</formula>
    </cfRule>
  </conditionalFormatting>
  <conditionalFormatting sqref="L13:L20">
    <cfRule type="expression" dxfId="2051" priority="65">
      <formula>ABS(L$16-L$19)&gt;=1000</formula>
    </cfRule>
  </conditionalFormatting>
  <conditionalFormatting sqref="M13 M15 M17:M18 M20">
    <cfRule type="expression" dxfId="2050" priority="64">
      <formula>ABS(M$16-M$19)&gt;=1000</formula>
    </cfRule>
  </conditionalFormatting>
  <conditionalFormatting sqref="N13:N20">
    <cfRule type="expression" dxfId="2049" priority="63">
      <formula>ABS(N$16-N$19)&gt;=1000</formula>
    </cfRule>
  </conditionalFormatting>
  <conditionalFormatting sqref="O13:O20">
    <cfRule type="expression" dxfId="2048" priority="62">
      <formula>ABS(O$16-O$19)&gt;=1000</formula>
    </cfRule>
  </conditionalFormatting>
  <conditionalFormatting sqref="P13:P20">
    <cfRule type="expression" dxfId="2047" priority="61">
      <formula>ABS(P$16-P$19)&gt;=1000</formula>
    </cfRule>
  </conditionalFormatting>
  <conditionalFormatting sqref="Q13 Q15:Q20">
    <cfRule type="expression" dxfId="2046" priority="60">
      <formula>ABS(Q$16-Q$19)&gt;=1000</formula>
    </cfRule>
  </conditionalFormatting>
  <conditionalFormatting sqref="R13:R20">
    <cfRule type="expression" dxfId="2045" priority="59">
      <formula>ABS(R$16-R$19)&gt;=1000</formula>
    </cfRule>
  </conditionalFormatting>
  <conditionalFormatting sqref="S13:S20">
    <cfRule type="expression" dxfId="2044" priority="58">
      <formula>ABS(S$16-S$19)&gt;=1000</formula>
    </cfRule>
  </conditionalFormatting>
  <conditionalFormatting sqref="T13:T20">
    <cfRule type="expression" dxfId="2043" priority="57">
      <formula>ABS(T$16-T$19)&gt;=1000</formula>
    </cfRule>
  </conditionalFormatting>
  <conditionalFormatting sqref="U13:U20">
    <cfRule type="expression" dxfId="2042" priority="56">
      <formula>ABS(U$16-U$19)&gt;=1000</formula>
    </cfRule>
  </conditionalFormatting>
  <conditionalFormatting sqref="V13:V20">
    <cfRule type="expression" dxfId="2041" priority="55">
      <formula>ABS(V$16-V$19)&gt;=1000</formula>
    </cfRule>
  </conditionalFormatting>
  <conditionalFormatting sqref="W13 W20 W15:W18">
    <cfRule type="expression" dxfId="2040" priority="54">
      <formula>ABS(W$16-W$19)&gt;=1000</formula>
    </cfRule>
  </conditionalFormatting>
  <conditionalFormatting sqref="X13 X15:X20 Y19">
    <cfRule type="expression" dxfId="2039" priority="53">
      <formula>ABS(X$16-X$19)&gt;=1000</formula>
    </cfRule>
  </conditionalFormatting>
  <conditionalFormatting sqref="Y13 Y15:Y18 Y20">
    <cfRule type="expression" dxfId="2038" priority="52">
      <formula>ABS(Y$16-Y$19)&gt;=1000</formula>
    </cfRule>
  </conditionalFormatting>
  <conditionalFormatting sqref="Z13:Z20">
    <cfRule type="expression" dxfId="2037" priority="51">
      <formula>ABS(Z$16-Z$19)&gt;=1000</formula>
    </cfRule>
  </conditionalFormatting>
  <conditionalFormatting sqref="AA13:AA20">
    <cfRule type="expression" dxfId="2036" priority="50">
      <formula>ABS(AA$16-AA$19)&gt;=1000</formula>
    </cfRule>
  </conditionalFormatting>
  <conditionalFormatting sqref="AB13 AB15:AB20">
    <cfRule type="expression" dxfId="2035" priority="49">
      <formula>ABS(AB$16-AB$19)&gt;=1000</formula>
    </cfRule>
  </conditionalFormatting>
  <conditionalFormatting sqref="AC13 AC15:AC20">
    <cfRule type="expression" dxfId="2034" priority="48">
      <formula>ABS(AC$16-AC$19)&gt;=1000</formula>
    </cfRule>
  </conditionalFormatting>
  <conditionalFormatting sqref="AD13:AD20">
    <cfRule type="expression" dxfId="2033" priority="47">
      <formula>ABS(AD$16-AD$19)&gt;=1000</formula>
    </cfRule>
  </conditionalFormatting>
  <conditionalFormatting sqref="AE13:AE20">
    <cfRule type="expression" dxfId="2032" priority="46">
      <formula>ABS(AE$16-AE$19)&gt;=1000</formula>
    </cfRule>
  </conditionalFormatting>
  <conditionalFormatting sqref="D22:D29">
    <cfRule type="expression" dxfId="2031" priority="45">
      <formula>ABS(D$25-D$28)&gt;=1000</formula>
    </cfRule>
  </conditionalFormatting>
  <conditionalFormatting sqref="E22:E29">
    <cfRule type="expression" dxfId="2030" priority="44">
      <formula>ABS(E$25-E$28)&gt;=1000</formula>
    </cfRule>
  </conditionalFormatting>
  <conditionalFormatting sqref="F22:F29">
    <cfRule type="expression" dxfId="2029" priority="43">
      <formula>ABS(F$25-F$28)&gt;=1000</formula>
    </cfRule>
  </conditionalFormatting>
  <conditionalFormatting sqref="G22:G29">
    <cfRule type="expression" dxfId="2028" priority="42">
      <formula>ABS(G$25-G$28)&gt;=1000</formula>
    </cfRule>
  </conditionalFormatting>
  <conditionalFormatting sqref="H22:H29">
    <cfRule type="expression" dxfId="2027" priority="41">
      <formula>ABS(H$25-H$28)&gt;=1000</formula>
    </cfRule>
  </conditionalFormatting>
  <conditionalFormatting sqref="I22 I24:I29">
    <cfRule type="expression" dxfId="2026" priority="40">
      <formula>ABS(I$25-I$28)&gt;=1000</formula>
    </cfRule>
  </conditionalFormatting>
  <conditionalFormatting sqref="J22:J29 K22">
    <cfRule type="expression" dxfId="2025" priority="39">
      <formula>ABS(J$25-J$28)&gt;=1000</formula>
    </cfRule>
  </conditionalFormatting>
  <conditionalFormatting sqref="K23:K29 L25 L28">
    <cfRule type="expression" dxfId="2024" priority="38">
      <formula>ABS(K$25-K$28)&gt;=1000</formula>
    </cfRule>
  </conditionalFormatting>
  <conditionalFormatting sqref="L22 L26:L27 L29 L24">
    <cfRule type="expression" dxfId="2023" priority="37">
      <formula>ABS(L$25-L$28)&gt;=1000</formula>
    </cfRule>
  </conditionalFormatting>
  <conditionalFormatting sqref="M22:M29">
    <cfRule type="expression" dxfId="2022" priority="36">
      <formula>ABS(M$25-M$28)&gt;=1000</formula>
    </cfRule>
  </conditionalFormatting>
  <conditionalFormatting sqref="N22:N29">
    <cfRule type="expression" dxfId="2021" priority="35">
      <formula>ABS(N$25-N$28)&gt;=1000</formula>
    </cfRule>
  </conditionalFormatting>
  <conditionalFormatting sqref="O22:O29">
    <cfRule type="expression" dxfId="2020" priority="34">
      <formula>ABS(O$25-O$28)&gt;=1000</formula>
    </cfRule>
  </conditionalFormatting>
  <conditionalFormatting sqref="P22:P29">
    <cfRule type="expression" dxfId="2019" priority="33">
      <formula>ABS(P$25-P$28)&gt;=1000</formula>
    </cfRule>
  </conditionalFormatting>
  <conditionalFormatting sqref="Q22:Q29">
    <cfRule type="expression" dxfId="2018" priority="32">
      <formula>ABS(Q$25-Q$28)&gt;=1000</formula>
    </cfRule>
  </conditionalFormatting>
  <conditionalFormatting sqref="R22:R29">
    <cfRule type="expression" dxfId="2017" priority="31">
      <formula>ABS(R$25-R$28)&gt;=1000</formula>
    </cfRule>
  </conditionalFormatting>
  <conditionalFormatting sqref="S22:S29">
    <cfRule type="expression" dxfId="2016" priority="30">
      <formula>ABS(S$25-S$28)&gt;=1000</formula>
    </cfRule>
  </conditionalFormatting>
  <conditionalFormatting sqref="T22:T29">
    <cfRule type="expression" dxfId="2015" priority="29">
      <formula>ABS(T$25-T$28)&gt;=1000</formula>
    </cfRule>
  </conditionalFormatting>
  <conditionalFormatting sqref="U22:U29">
    <cfRule type="expression" dxfId="2014" priority="28">
      <formula>ABS(U$25-U$28)&gt;=1000</formula>
    </cfRule>
  </conditionalFormatting>
  <conditionalFormatting sqref="V22:V29">
    <cfRule type="expression" dxfId="2013" priority="27">
      <formula>ABS(V$25-V$28)&gt;=1000</formula>
    </cfRule>
  </conditionalFormatting>
  <conditionalFormatting sqref="W22:W29">
    <cfRule type="expression" dxfId="2012" priority="26">
      <formula>ABS(W$25-W$28)&gt;=1000</formula>
    </cfRule>
  </conditionalFormatting>
  <conditionalFormatting sqref="X22:X29">
    <cfRule type="expression" dxfId="2011" priority="25">
      <formula>ABS(X$25-X$28)&gt;=1000</formula>
    </cfRule>
  </conditionalFormatting>
  <conditionalFormatting sqref="Y22:Y29">
    <cfRule type="expression" dxfId="2010" priority="24">
      <formula>ABS(Y$25-Y$28)&gt;=1000</formula>
    </cfRule>
  </conditionalFormatting>
  <conditionalFormatting sqref="I23">
    <cfRule type="expression" dxfId="2009" priority="23">
      <formula>ABS(I$25-I$28)&gt;=1000</formula>
    </cfRule>
  </conditionalFormatting>
  <conditionalFormatting sqref="Q14">
    <cfRule type="expression" dxfId="2008" priority="22">
      <formula>ABS(Q$16-Q$19)&gt;=1000</formula>
    </cfRule>
  </conditionalFormatting>
  <conditionalFormatting sqref="W14">
    <cfRule type="expression" dxfId="2007" priority="21">
      <formula>ABS(W$16-W$19)&gt;=1000</formula>
    </cfRule>
  </conditionalFormatting>
  <conditionalFormatting sqref="X14">
    <cfRule type="expression" dxfId="2006" priority="20">
      <formula>ABS(X$16-X$19)&gt;=1000</formula>
    </cfRule>
  </conditionalFormatting>
  <conditionalFormatting sqref="T10:Y10">
    <cfRule type="expression" dxfId="2005" priority="19">
      <formula>ABS(T$7-T$10)&gt;=1000</formula>
    </cfRule>
  </conditionalFormatting>
  <conditionalFormatting sqref="W19">
    <cfRule type="expression" dxfId="2004" priority="18">
      <formula>ABS(W$16-W$19)&gt;=1000</formula>
    </cfRule>
  </conditionalFormatting>
  <conditionalFormatting sqref="AC5">
    <cfRule type="expression" dxfId="2003" priority="17">
      <formula>ABS(AC$7-AC$10)&gt;=1000</formula>
    </cfRule>
  </conditionalFormatting>
  <conditionalFormatting sqref="M14">
    <cfRule type="expression" dxfId="2002" priority="16">
      <formula>ABS(M$16-M$19)&gt;=1000</formula>
    </cfRule>
  </conditionalFormatting>
  <conditionalFormatting sqref="M16">
    <cfRule type="expression" dxfId="2001" priority="15">
      <formula>ABS(M$16-M$19)&gt;=1000</formula>
    </cfRule>
  </conditionalFormatting>
  <conditionalFormatting sqref="M19">
    <cfRule type="expression" dxfId="2000" priority="14">
      <formula>ABS(M$16-M$19)&gt;=1000</formula>
    </cfRule>
  </conditionalFormatting>
  <conditionalFormatting sqref="K13:K20">
    <cfRule type="expression" dxfId="1999" priority="13">
      <formula>ABS(K$16-K$19)&gt;=1000</formula>
    </cfRule>
  </conditionalFormatting>
  <conditionalFormatting sqref="E5">
    <cfRule type="expression" dxfId="1998" priority="12">
      <formula>ABS(E$7-E$10)&gt;=1000</formula>
    </cfRule>
  </conditionalFormatting>
  <conditionalFormatting sqref="AB14:AC14">
    <cfRule type="expression" dxfId="1997" priority="11">
      <formula>ABS(AB$16-AB$19)&gt;=1000</formula>
    </cfRule>
  </conditionalFormatting>
  <conditionalFormatting sqref="M5">
    <cfRule type="expression" dxfId="1996" priority="10">
      <formula>ABS(M$7-M$10)&gt;=1000</formula>
    </cfRule>
  </conditionalFormatting>
  <conditionalFormatting sqref="N5">
    <cfRule type="expression" dxfId="1995" priority="9">
      <formula>ABS(N$7-N$10)&gt;=1000</formula>
    </cfRule>
  </conditionalFormatting>
  <conditionalFormatting sqref="O5">
    <cfRule type="expression" dxfId="1994" priority="8">
      <formula>ABS(O$7-O$10)&gt;=1000</formula>
    </cfRule>
  </conditionalFormatting>
  <conditionalFormatting sqref="P5">
    <cfRule type="expression" dxfId="1993" priority="7">
      <formula>ABS(P$7-P$10)&gt;=1000</formula>
    </cfRule>
  </conditionalFormatting>
  <conditionalFormatting sqref="L23">
    <cfRule type="expression" dxfId="1992" priority="6">
      <formula>ABS(L$25-L$28)&gt;=1000</formula>
    </cfRule>
  </conditionalFormatting>
  <conditionalFormatting sqref="Y14">
    <cfRule type="expression" dxfId="1991" priority="5">
      <formula>ABS(Y$16-Y$19)&gt;=1000</formula>
    </cfRule>
  </conditionalFormatting>
  <conditionalFormatting sqref="F14">
    <cfRule type="expression" dxfId="1990" priority="4">
      <formula>ABS(F$16-F$19)&gt;=1000</formula>
    </cfRule>
  </conditionalFormatting>
  <conditionalFormatting sqref="H14">
    <cfRule type="expression" dxfId="1989" priority="3">
      <formula>ABS(H$16-H$19)&gt;=1000</formula>
    </cfRule>
  </conditionalFormatting>
  <conditionalFormatting sqref="AD5">
    <cfRule type="expression" dxfId="1988" priority="2">
      <formula>ABS(AD$7-AD$10)&gt;=1000</formula>
    </cfRule>
  </conditionalFormatting>
  <conditionalFormatting sqref="AE5">
    <cfRule type="expression" dxfId="1987" priority="1">
      <formula>ABS(AE$7-AE$10)&gt;=1000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73345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906">
    <pageSetUpPr fitToPage="1"/>
  </sheetPr>
  <dimension ref="A1:CU223"/>
  <sheetViews>
    <sheetView view="pageBreakPreview" zoomScale="70" zoomScaleNormal="100" zoomScaleSheetLayoutView="70" workbookViewId="0">
      <selection activeCell="L11" sqref="L11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185" t="s" ph="1">
        <v>161</v>
      </c>
      <c r="C1" s="185" ph="1"/>
      <c r="D1" s="185" ph="1"/>
      <c r="E1" s="185" ph="1"/>
      <c r="F1" s="185" ph="1"/>
      <c r="G1" s="185" ph="1"/>
      <c r="H1" s="185" ph="1"/>
      <c r="I1" s="185" ph="1"/>
      <c r="J1" s="185" ph="1"/>
      <c r="K1" s="185" ph="1"/>
      <c r="L1" s="185" ph="1"/>
      <c r="M1" s="185" ph="1"/>
      <c r="N1" s="185" ph="1"/>
      <c r="O1" s="185" ph="1"/>
      <c r="P1" s="185" ph="1"/>
      <c r="Q1" s="185" ph="1"/>
      <c r="R1" s="185" ph="1"/>
      <c r="S1" s="185" ph="1"/>
      <c r="T1" s="185" ph="1"/>
      <c r="U1" s="185" ph="1"/>
      <c r="V1" s="185" ph="1"/>
      <c r="W1" s="185" ph="1"/>
      <c r="X1" s="185" ph="1"/>
      <c r="Y1" s="185" ph="1"/>
      <c r="Z1" s="185" ph="1"/>
      <c r="AA1" s="185" ph="1"/>
      <c r="AB1" s="185" ph="1"/>
      <c r="AC1" s="185" ph="1"/>
      <c r="AD1" s="185" ph="1"/>
      <c r="AE1" s="185" ph="1"/>
    </row>
    <row r="2" spans="1:99" s="66" customFormat="1" ht="24" customHeight="1" ph="1">
      <c r="B2" s="186" t="s" ph="1">
        <v>82</v>
      </c>
      <c r="C2" s="186" ph="1"/>
      <c r="D2" s="186" ph="1"/>
      <c r="E2" s="186" ph="1"/>
      <c r="F2" s="186" ph="1"/>
      <c r="G2" s="186" ph="1"/>
      <c r="H2" s="186" ph="1"/>
      <c r="I2" s="186" ph="1"/>
      <c r="J2" s="186" ph="1"/>
      <c r="K2" s="186" ph="1"/>
      <c r="L2" s="186" ph="1"/>
      <c r="M2" s="186" ph="1"/>
      <c r="N2" s="186" ph="1"/>
      <c r="O2" s="186" ph="1"/>
      <c r="P2" s="186" ph="1"/>
      <c r="Q2" s="186" ph="1"/>
      <c r="R2" s="186" ph="1"/>
      <c r="S2" s="186" ph="1"/>
      <c r="T2" s="186" ph="1"/>
      <c r="U2" s="186" ph="1"/>
      <c r="V2" s="186" ph="1"/>
      <c r="W2" s="186" ph="1"/>
      <c r="X2" s="186" ph="1"/>
      <c r="Y2" s="186" ph="1"/>
      <c r="Z2" s="186" ph="1"/>
      <c r="AA2" s="186" ph="1"/>
      <c r="AB2" s="186" ph="1"/>
      <c r="AC2" s="186" ph="1"/>
      <c r="AD2" s="186" ph="1"/>
      <c r="AE2" s="186" ph="1"/>
    </row>
    <row r="3" spans="1:99" ht="21" customHeight="1" ph="1">
      <c r="B3" s="187" ph="1">
        <v>46182</v>
      </c>
      <c r="C3" s="187"/>
      <c r="D3" s="187"/>
      <c r="E3" s="187"/>
      <c r="F3" s="187"/>
      <c r="G3" s="187"/>
      <c r="H3" s="187"/>
      <c r="I3" s="187"/>
      <c r="J3" s="187"/>
      <c r="K3" s="187"/>
      <c r="L3" s="187"/>
      <c r="M3" s="187"/>
      <c r="N3" s="187"/>
      <c r="O3" s="187"/>
      <c r="P3" s="187"/>
      <c r="Q3" s="187"/>
      <c r="R3" s="187"/>
      <c r="S3" s="187"/>
      <c r="T3" s="187"/>
      <c r="U3" s="187"/>
      <c r="V3" s="187"/>
      <c r="W3" s="187"/>
      <c r="X3" s="187"/>
      <c r="Y3" s="187"/>
      <c r="Z3" s="187"/>
      <c r="AA3" s="187"/>
      <c r="AB3" s="187"/>
      <c r="AC3" s="187"/>
      <c r="AD3" s="187"/>
      <c r="AE3" s="187"/>
    </row>
    <row r="4" spans="1:99" s="69" customFormat="1" ph="1">
      <c r="A4" s="65" ph="1"/>
      <c r="B4" s="188" t="s" ph="1">
        <v>37</v>
      </c>
      <c r="C4" s="67" t="s" ph="1">
        <v>176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110</v>
      </c>
      <c r="J4" s="68" t="s" ph="1">
        <v>48</v>
      </c>
      <c r="K4" s="68" t="s" ph="1">
        <v>111</v>
      </c>
      <c r="L4" s="68" t="s" ph="1">
        <v>112</v>
      </c>
      <c r="M4" s="68" t="s" ph="1">
        <v>49</v>
      </c>
      <c r="N4" s="68" t="s" ph="1">
        <v>50</v>
      </c>
      <c r="O4" s="68" t="s" ph="1">
        <v>113</v>
      </c>
      <c r="P4" s="68" t="s" ph="1">
        <v>114</v>
      </c>
      <c r="Q4" s="68" t="s" ph="1">
        <v>115</v>
      </c>
      <c r="R4" s="68" t="s" ph="1">
        <v>116</v>
      </c>
      <c r="S4" s="68" t="s" ph="1">
        <v>117</v>
      </c>
      <c r="T4" s="68" t="s" ph="1">
        <v>118</v>
      </c>
      <c r="U4" s="68" t="s" ph="1">
        <v>119</v>
      </c>
      <c r="V4" s="68" t="s" ph="1">
        <v>120</v>
      </c>
      <c r="W4" s="68" t="s" ph="1">
        <v>121</v>
      </c>
      <c r="X4" s="68" t="s" ph="1">
        <v>122</v>
      </c>
      <c r="Y4" s="68" t="s" ph="1">
        <v>123</v>
      </c>
      <c r="Z4" s="68" t="s" ph="1">
        <v>51</v>
      </c>
      <c r="AA4" s="68" t="s" ph="1">
        <v>124</v>
      </c>
      <c r="AB4" s="68" t="s" ph="1">
        <v>125</v>
      </c>
      <c r="AC4" s="68" t="s" ph="1">
        <v>126</v>
      </c>
      <c r="AD4" s="68" t="s" ph="1">
        <v>40</v>
      </c>
      <c r="AE4" s="68" t="s" ph="1">
        <v>127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188" ph="1"/>
      <c r="C5" s="67" t="s" ph="1">
        <v>36</v>
      </c>
      <c r="D5" s="70" t="s" ph="1">
        <v>160</v>
      </c>
      <c r="E5" s="142" t="s" ph="1">
        <v>7</v>
      </c>
      <c r="F5" s="142" t="s" ph="1">
        <v>1</v>
      </c>
      <c r="G5" s="142" t="s" ph="1">
        <v>7</v>
      </c>
      <c r="H5" s="142" t="s" ph="1">
        <v>7</v>
      </c>
      <c r="I5" s="141" t="s" ph="1">
        <v>608</v>
      </c>
      <c r="J5" s="141" t="s" ph="1">
        <v>609</v>
      </c>
      <c r="K5" s="141" t="s" ph="1">
        <v>611</v>
      </c>
      <c r="L5" s="141" t="s" ph="1">
        <v>613</v>
      </c>
      <c r="M5" s="141" t="s" ph="1">
        <v>608</v>
      </c>
      <c r="N5" s="70" t="s" ph="1">
        <v>609</v>
      </c>
      <c r="O5" s="70" t="s" ph="1">
        <v>611</v>
      </c>
      <c r="P5" s="70" t="s" ph="1">
        <v>613</v>
      </c>
      <c r="Q5" s="70" t="s" ph="1">
        <v>607</v>
      </c>
      <c r="R5" s="70" t="s" ph="1">
        <v>607</v>
      </c>
      <c r="S5" s="70" t="s" ph="1">
        <v>607</v>
      </c>
      <c r="T5" s="70" t="s" ph="1">
        <v>607</v>
      </c>
      <c r="U5" s="70" t="s" ph="1">
        <v>607</v>
      </c>
      <c r="V5" s="70" t="s" ph="1">
        <v>607</v>
      </c>
      <c r="W5" s="70" t="s" ph="1">
        <v>607</v>
      </c>
      <c r="X5" s="70" t="s" ph="1">
        <v>607</v>
      </c>
      <c r="Y5" s="70" t="s" ph="1">
        <v>607</v>
      </c>
      <c r="Z5" s="70" t="s" ph="1">
        <v>614</v>
      </c>
      <c r="AA5" s="70" t="s" ph="1">
        <v>54</v>
      </c>
      <c r="AB5" s="70" t="s" ph="1">
        <v>54</v>
      </c>
      <c r="AC5" s="70" t="s" ph="1">
        <v>615</v>
      </c>
      <c r="AD5" s="71" t="s">
        <v>72</v>
      </c>
      <c r="AE5" s="71" t="s">
        <v>635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184" ph="1">
        <v>0.33333333333333331</v>
      </c>
      <c r="C6" s="151" t="s" ph="1">
        <v>177</v>
      </c>
      <c r="D6" s="71">
        <v>2449</v>
      </c>
      <c r="E6" s="71">
        <v>7809</v>
      </c>
      <c r="F6" s="71">
        <v>5840</v>
      </c>
      <c r="G6" s="71">
        <v>3911</v>
      </c>
      <c r="H6" s="71">
        <v>1778</v>
      </c>
      <c r="I6" s="71">
        <v>38.590000000000003</v>
      </c>
      <c r="J6" s="71">
        <v>6.31</v>
      </c>
      <c r="K6" s="71">
        <v>62.9</v>
      </c>
      <c r="L6" s="71">
        <v>9.4700000000000006</v>
      </c>
      <c r="M6" s="71">
        <v>6382</v>
      </c>
      <c r="N6" s="71">
        <v>188</v>
      </c>
      <c r="O6" s="71">
        <v>5100</v>
      </c>
      <c r="P6" s="71">
        <v>1610</v>
      </c>
      <c r="Q6" s="71">
        <v>7086</v>
      </c>
      <c r="R6" s="71">
        <v>7228</v>
      </c>
      <c r="S6" s="71">
        <v>5179</v>
      </c>
      <c r="T6" s="71">
        <v>6150</v>
      </c>
      <c r="U6" s="71">
        <v>5918</v>
      </c>
      <c r="V6" s="71">
        <v>0</v>
      </c>
      <c r="W6" s="71">
        <v>0</v>
      </c>
      <c r="X6" s="71">
        <v>5854</v>
      </c>
      <c r="Y6" s="71">
        <v>5497</v>
      </c>
      <c r="Z6" s="71">
        <v>4869</v>
      </c>
      <c r="AA6" s="71">
        <v>0</v>
      </c>
      <c r="AB6" s="71">
        <v>3049</v>
      </c>
      <c r="AC6" s="71">
        <v>1075</v>
      </c>
      <c r="AD6" s="71">
        <v>3883</v>
      </c>
      <c r="AE6" s="71">
        <v>4593</v>
      </c>
    </row>
    <row r="7" spans="1:99" s="72" customFormat="1" ht="22.2" ph="1">
      <c r="B7" s="184" ph="1"/>
      <c r="C7" s="68" t="s" ph="1">
        <v>178</v>
      </c>
      <c r="D7" s="73" ph="1">
        <f>D6*33.183*LOOKUP(D8,密度!$A$2:$A$50,密度!$Q$2:$Q$50)</f>
        <v>77127.957348030002</v>
      </c>
      <c r="E7" s="73" ph="1">
        <f>E6*51.53*LOOKUP(E8,密度!$A$2:$A$50,密度!$B$2:$B$50)</f>
        <v>314071.459485</v>
      </c>
      <c r="F7" s="73" ph="1">
        <f>F6*33.183*LOOKUP(F8,密度!$A$2:$A$50,密度!$C$2:$C$50)</f>
        <v>214892.31160799999</v>
      </c>
      <c r="G7" s="73" ph="1">
        <f xml:space="preserve"> (G6+2)*51.53*LOOKUP(G8,密度!$A$2:$A$50,密度!$B$2:$B$50)</f>
        <v>157196.11944400001</v>
      </c>
      <c r="H7" s="73" ph="1">
        <f>(H6)*51.53*LOOKUP(H8,密度!$A$2:$A$50,密度!$B$2:$B$50)</f>
        <v>71674.591981999998</v>
      </c>
      <c r="I7" s="73" ph="1">
        <f>I6*290.8*1.0267</f>
        <v>11521.598652400002</v>
      </c>
      <c r="J7" s="73" ph="1">
        <f>J6*290.8*0.7892</f>
        <v>1448.1409615999999</v>
      </c>
      <c r="K7" s="73" ph="1">
        <f>K6*290.8*1.1126</f>
        <v>20350.922632000002</v>
      </c>
      <c r="L7" s="73" ph="1">
        <f>L6*290.8*0.777</f>
        <v>2139.7616520000001</v>
      </c>
      <c r="M7" s="73" ph="1">
        <f>M6*33.183*LOOKUP(M8,密度!$A$2:$A$50,密度!$D$2:$D$50)</f>
        <v>217428.26929019997</v>
      </c>
      <c r="N7" s="73" ph="1">
        <f>N6*33.183*LOOKUP(N8,密度!$A$2:$A$50,密度!$E$2:$E$50)</f>
        <v>4885.9180127999998</v>
      </c>
      <c r="O7" s="73" ph="1">
        <f>O6*20.428*LOOKUP(O8,密度!$A$2:$A$50,密度!$C$2:$C$50)</f>
        <v>115132.41228</v>
      </c>
      <c r="P7" s="73" ph="1">
        <f>P6*51.53*LOOKUP(P8,密度!$A$2:$A$50,密度!$B$2:$B$50)</f>
        <v>64752.855649999998</v>
      </c>
      <c r="Q7" s="73" ph="1">
        <f>Q6*1.5*1.5*3.1416*LOOKUP(W8,密度!$A$2:$A$50,密度!$L$2:$L$50)</f>
        <v>46982.637424799999</v>
      </c>
      <c r="R7" s="73" ph="1">
        <f>R6*1.5*1.5*3.1416*LOOKUP(R8,密度!$A$2:$A$50,密度!$L$2:$L$50)</f>
        <v>47515.411943999999</v>
      </c>
      <c r="S7" s="73" ph="1">
        <f>S6*1.5*1.5*3.1416*LOOKUP(S8,密度!$A$2:$A$50,密度!$L$2:$L$50)</f>
        <v>34411.782635999996</v>
      </c>
      <c r="T7" s="73" ph="1">
        <f>T6*1.5*1.5*3.1416*LOOKUP(T8,密度!$A$2:$A$50,密度!$L$2:$L$50)</f>
        <v>40950.520379999994</v>
      </c>
      <c r="U7" s="73" ph="1">
        <f>U6*1.5*1.5*3.1416*LOOKUP(U8,密度!$A$2:$A$50,密度!$L$2:$L$50)</f>
        <v>39071.064463199997</v>
      </c>
      <c r="V7" s="73" ph="1">
        <f>V6*1.5*1.5*3.1416*LOOKUP(V8,密度!$A$2:$A$50,密度!$L$2:$L$50)</f>
        <v>0</v>
      </c>
      <c r="W7" s="73" ph="1">
        <f>W6*1.5*1.5*3.1416*LOOKUP(W8,密度!$A$2:$A$50,密度!$L$2:$L$50)</f>
        <v>0</v>
      </c>
      <c r="X7" s="73" ph="1">
        <f>X6*1.5*1.5*3.1416*LOOKUP(X8,密度!$A$2:$A$50,密度!$L$2:$L$50)</f>
        <v>38896.809335999998</v>
      </c>
      <c r="Y7" s="73" ph="1">
        <f>Y6*1.5*1.5*3.1416*LOOKUP(Y8,密度!$A$2:$A$50,密度!$L$2:$L$50)</f>
        <v>36408.160265400002</v>
      </c>
      <c r="Z7" s="73" ph="1">
        <f>Z6*33.183*LOOKUP(Z8,密度!$A$2:$A$50,密度!$L$2:$L$50)</f>
        <v>151873.94537999999</v>
      </c>
      <c r="AA7" s="73" ph="1">
        <f>AA6*33.183*LOOKUP(AA8,密度!$A$2:$A$50,密度!$D$2:$D$50)</f>
        <v>0</v>
      </c>
      <c r="AB7" s="73" ph="1">
        <f>AB6*20.428*LOOKUP(AB8,密度!$A$2:$A$50,密度!$D$2:$D$50)</f>
        <v>64346.604573199998</v>
      </c>
      <c r="AC7" s="73" ph="1">
        <f>AC6*51.53*LOOKUP(AC8,密度!$A$2:$A$50,密度!$Q$2:$Q$50)</f>
        <v>52326.988745000002</v>
      </c>
      <c r="AD7" s="73" ph="1">
        <f>AD6*20.428*LOOKUP(AD8,密度!$A$2:$A$50,密度!$V$2:$V$50)</f>
        <v>76212.504579200002</v>
      </c>
      <c r="AE7" s="73" ph="1">
        <f>AE6*20.428</f>
        <v>93825.804000000004</v>
      </c>
    </row>
    <row r="8" spans="1:99" ph="1">
      <c r="B8" s="184" ph="1"/>
      <c r="C8" s="68" t="s" ph="1">
        <v>179</v>
      </c>
      <c r="D8" s="74">
        <v>22</v>
      </c>
      <c r="E8" s="74">
        <v>24</v>
      </c>
      <c r="F8" s="74">
        <v>25</v>
      </c>
      <c r="G8" s="74">
        <v>25</v>
      </c>
      <c r="H8" s="74">
        <v>22</v>
      </c>
      <c r="I8" s="74">
        <v>25</v>
      </c>
      <c r="J8" s="74">
        <v>25</v>
      </c>
      <c r="K8" s="74">
        <v>25</v>
      </c>
      <c r="L8" s="74">
        <v>25</v>
      </c>
      <c r="M8" s="74">
        <v>25</v>
      </c>
      <c r="N8" s="74">
        <v>25</v>
      </c>
      <c r="O8" s="74">
        <v>30</v>
      </c>
      <c r="P8" s="74">
        <v>24</v>
      </c>
      <c r="Q8" s="74">
        <v>28</v>
      </c>
      <c r="R8" s="74">
        <v>32</v>
      </c>
      <c r="S8" s="74">
        <v>22</v>
      </c>
      <c r="T8" s="74">
        <v>20</v>
      </c>
      <c r="U8" s="74">
        <v>28</v>
      </c>
      <c r="V8" s="74">
        <v>28</v>
      </c>
      <c r="W8" s="74">
        <v>24</v>
      </c>
      <c r="X8" s="74">
        <v>22</v>
      </c>
      <c r="Y8" s="74">
        <v>25</v>
      </c>
      <c r="Z8" s="74">
        <v>22</v>
      </c>
      <c r="AA8" s="74">
        <v>24</v>
      </c>
      <c r="AB8" s="74">
        <v>18</v>
      </c>
      <c r="AC8" s="74">
        <v>28</v>
      </c>
      <c r="AD8" s="74">
        <v>21</v>
      </c>
      <c r="AE8" s="74">
        <v>27</v>
      </c>
    </row>
    <row r="9" spans="1:99" ht="26.4" ph="1">
      <c r="B9" s="184" ph="1">
        <v>0.66666666666666663</v>
      </c>
      <c r="C9" s="151" t="s" ph="1">
        <v>180</v>
      </c>
      <c r="D9" s="71">
        <v>2773</v>
      </c>
      <c r="E9" s="71">
        <v>7804</v>
      </c>
      <c r="F9" s="71">
        <v>5840</v>
      </c>
      <c r="G9" s="71">
        <v>3617</v>
      </c>
      <c r="H9" s="71">
        <v>3518</v>
      </c>
      <c r="I9" s="71">
        <v>38.56</v>
      </c>
      <c r="J9" s="71">
        <v>6.3</v>
      </c>
      <c r="K9" s="71">
        <v>62.84</v>
      </c>
      <c r="L9" s="71">
        <v>55.44</v>
      </c>
      <c r="M9" s="71">
        <v>6380</v>
      </c>
      <c r="N9" s="71">
        <v>187</v>
      </c>
      <c r="O9" s="71">
        <v>5107</v>
      </c>
      <c r="P9" s="71">
        <v>947</v>
      </c>
      <c r="Q9" s="71">
        <v>7082</v>
      </c>
      <c r="R9" s="71">
        <v>7224</v>
      </c>
      <c r="S9" s="71">
        <v>5175</v>
      </c>
      <c r="T9" s="71">
        <v>7060</v>
      </c>
      <c r="U9" s="71">
        <v>5915</v>
      </c>
      <c r="V9" s="71">
        <v>3757</v>
      </c>
      <c r="W9" s="71">
        <v>0</v>
      </c>
      <c r="X9" s="71">
        <v>986</v>
      </c>
      <c r="Y9" s="71">
        <v>5493</v>
      </c>
      <c r="Z9" s="71">
        <v>2561</v>
      </c>
      <c r="AA9" s="71">
        <v>0</v>
      </c>
      <c r="AB9" s="71">
        <v>2953</v>
      </c>
      <c r="AC9" s="71">
        <v>830</v>
      </c>
      <c r="AD9" s="71">
        <v>3881</v>
      </c>
      <c r="AE9" s="71">
        <v>4618</v>
      </c>
    </row>
    <row r="10" spans="1:99" s="72" customFormat="1" ht="22.2" ph="1">
      <c r="B10" s="184" ph="1"/>
      <c r="C10" s="151" t="s" ph="1">
        <v>178</v>
      </c>
      <c r="D10" s="73" ph="1">
        <f>D9*33.183*LOOKUP(D11,密度!$A$2:$A$50,密度!$Q$2:$Q$50)</f>
        <v>87050.330707770001</v>
      </c>
      <c r="E10" s="73" ph="1">
        <f>E9*51.53*LOOKUP(E11,密度!$A$2:$A$50,密度!$B$2:$B$50)</f>
        <v>313870.36365999997</v>
      </c>
      <c r="F10" s="73" ph="1">
        <f>F9*33.183*LOOKUP(F11,密度!$A$2:$A$50,密度!$C$2:$C$50)</f>
        <v>214892.31160799999</v>
      </c>
      <c r="G10" s="73" ph="1">
        <f xml:space="preserve"> (G9+2)*51.53*LOOKUP(G11,密度!$A$2:$A$50,密度!$B$2:$B$50)</f>
        <v>145385.31977199999</v>
      </c>
      <c r="H10" s="73" ph="1">
        <f>(H9)*51.53*LOOKUP(H11,密度!$A$2:$A$50,密度!$B$2:$B$50)</f>
        <v>141164.71389799999</v>
      </c>
      <c r="I10" s="73" ph="1">
        <f>I9*290.8*1.0267</f>
        <v>11512.641721600001</v>
      </c>
      <c r="J10" s="73" ph="1">
        <f>J9*290.8*0.7892</f>
        <v>1445.8459680000001</v>
      </c>
      <c r="K10" s="73" ph="1">
        <f>K9*290.8*1.1126</f>
        <v>20331.509987200003</v>
      </c>
      <c r="L10" s="73" ph="1">
        <f>L9*290.8*0.777</f>
        <v>12526.756703999999</v>
      </c>
      <c r="M10" s="73" ph="1">
        <f>M9*33.183*LOOKUP(M11,密度!$A$2:$A$50,密度!$D$2:$D$50)</f>
        <v>217952.91243000003</v>
      </c>
      <c r="N10" s="73" ph="1">
        <f>N9*33.183*LOOKUP(N11,密度!$A$2:$A$50,密度!$E$2:$E$50)</f>
        <v>4859.9290872000001</v>
      </c>
      <c r="O10" s="73" ph="1">
        <f>O9*20.428*LOOKUP(O11,密度!$A$2:$A$50,密度!$C$2:$C$50)</f>
        <v>115290.4371596</v>
      </c>
      <c r="P10" s="73" ph="1">
        <f>P9*51.53*LOOKUP(P11,密度!$A$2:$A$50,密度!$B$2:$B$50)</f>
        <v>38043.630235999997</v>
      </c>
      <c r="Q10" s="73" ph="1">
        <f>Q9*1.5*1.5*3.1416*LOOKUP(W11,密度!$A$2:$A$50,密度!$L$2:$L$50)</f>
        <v>46906.056212399999</v>
      </c>
      <c r="R10" s="73" ph="1">
        <f>R9*1.5*1.5*3.1416*LOOKUP(R11,密度!$A$2:$A$50,密度!$L$2:$L$50)</f>
        <v>47591.243884800002</v>
      </c>
      <c r="S10" s="73" ph="1">
        <f>S9*1.5*1.5*3.1416*LOOKUP(S11,密度!$A$2:$A$50,密度!$L$2:$L$50)</f>
        <v>34421.784704999998</v>
      </c>
      <c r="T10" s="73" ph="1">
        <f>T9*1.5*1.5*3.1416*LOOKUP(T11,密度!$A$2:$A$50,密度!$L$2:$L$50)</f>
        <v>46959.961356</v>
      </c>
      <c r="U10" s="73" ph="1">
        <f>U9*1.5*1.5*3.1416*LOOKUP(U11,密度!$A$2:$A$50,密度!$L$2:$L$50)</f>
        <v>39093.069015000001</v>
      </c>
      <c r="V10" s="73" ph="1">
        <f>V9*1.5*1.5*3.1416*LOOKUP(V11,密度!$A$2:$A$50,密度!$L$2:$L$50)</f>
        <v>24803.986006799998</v>
      </c>
      <c r="W10" s="73" ph="1">
        <f>W9*1.5*1.5*3.1416*LOOKUP(W11,密度!$A$2:$A$50,密度!$L$2:$L$50)</f>
        <v>0</v>
      </c>
      <c r="X10" s="73" ph="1">
        <f>X9*1.5*1.5*3.1416*LOOKUP(X11,密度!$A$2:$A$50,密度!$L$2:$L$50)</f>
        <v>6530.5523051999999</v>
      </c>
      <c r="Y10" s="73" ph="1">
        <f>Y9*1.5*1.5*3.1416*LOOKUP(Y11,密度!$A$2:$A$50,密度!$L$2:$L$50)</f>
        <v>36342.839332800002</v>
      </c>
      <c r="Z10" s="73" ph="1">
        <f>Z9*33.183*LOOKUP(Z11,密度!$A$2:$A$50,密度!$L$2:$L$50)</f>
        <v>79967.744882999992</v>
      </c>
      <c r="AA10" s="73" ph="1">
        <f>AA9*33.183*LOOKUP(AA11,密度!$A$2:$A$50,密度!$D$2:$D$50)</f>
        <v>0</v>
      </c>
      <c r="AB10" s="73" ph="1">
        <f>AB9*20.428*LOOKUP(AB11,密度!$A$2:$A$50,密度!$D$2:$D$50)</f>
        <v>62368.86366760001</v>
      </c>
      <c r="AC10" s="73" ph="1">
        <f>AC9*51.53*LOOKUP(AC11,密度!$A$2:$A$50,密度!$Q$2:$Q$50)</f>
        <v>40491.975126000005</v>
      </c>
      <c r="AD10" s="73" ph="1">
        <f>AD9*20.428*LOOKUP(AD11,密度!$A$2:$A$50,密度!$V$2:$V$50)</f>
        <v>76173.250134400005</v>
      </c>
      <c r="AE10" s="73" ph="1">
        <f>AE9*20.428</f>
        <v>94336.504000000001</v>
      </c>
    </row>
    <row r="11" spans="1:99" ph="1">
      <c r="A11" s="64" t="s" ph="1">
        <v>162</v>
      </c>
      <c r="B11" s="184" ph="1"/>
      <c r="C11" s="151" t="s" ph="1">
        <v>179</v>
      </c>
      <c r="D11" s="74">
        <v>26</v>
      </c>
      <c r="E11" s="74">
        <v>24</v>
      </c>
      <c r="F11" s="74">
        <v>25</v>
      </c>
      <c r="G11" s="74">
        <v>25</v>
      </c>
      <c r="H11" s="74">
        <v>26</v>
      </c>
      <c r="I11" s="74">
        <v>25</v>
      </c>
      <c r="J11" s="74">
        <v>25</v>
      </c>
      <c r="K11" s="74">
        <v>25</v>
      </c>
      <c r="L11" s="74">
        <v>25</v>
      </c>
      <c r="M11" s="74">
        <v>22</v>
      </c>
      <c r="N11" s="74">
        <v>25</v>
      </c>
      <c r="O11" s="74">
        <v>30</v>
      </c>
      <c r="P11" s="74">
        <v>25</v>
      </c>
      <c r="Q11" s="74">
        <v>28</v>
      </c>
      <c r="R11" s="74">
        <v>30</v>
      </c>
      <c r="S11" s="74">
        <v>21</v>
      </c>
      <c r="T11" s="74">
        <v>21</v>
      </c>
      <c r="U11" s="74">
        <v>27</v>
      </c>
      <c r="V11" s="74">
        <v>28</v>
      </c>
      <c r="W11" s="74">
        <v>25</v>
      </c>
      <c r="X11" s="74">
        <v>25</v>
      </c>
      <c r="Y11" s="74">
        <v>26</v>
      </c>
      <c r="Z11" s="74">
        <v>21</v>
      </c>
      <c r="AA11" s="74">
        <v>22</v>
      </c>
      <c r="AB11" s="74">
        <v>17</v>
      </c>
      <c r="AC11" s="74">
        <v>25</v>
      </c>
      <c r="AD11" s="74">
        <v>22</v>
      </c>
      <c r="AE11" s="74">
        <v>30</v>
      </c>
    </row>
    <row r="12" spans="1:99" ht="9.9" customHeight="1" ph="1"/>
    <row r="13" spans="1:99" s="72" customFormat="1" ht="29.25" customHeight="1" ph="1">
      <c r="B13" s="192" t="s" ph="1">
        <v>37</v>
      </c>
      <c r="C13" s="151" t="s" ph="1">
        <v>176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128</v>
      </c>
      <c r="I13" s="76" t="s" ph="1">
        <v>59</v>
      </c>
      <c r="J13" s="76" t="s" ph="1">
        <v>129</v>
      </c>
      <c r="K13" s="76" t="s" ph="1">
        <v>55</v>
      </c>
      <c r="L13" s="76" t="s" ph="1">
        <v>60</v>
      </c>
      <c r="M13" s="76" t="s" ph="1">
        <v>61</v>
      </c>
      <c r="N13" s="76" t="s" ph="1">
        <v>130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131</v>
      </c>
      <c r="W13" s="76" t="s" ph="1">
        <v>132</v>
      </c>
      <c r="X13" s="76" t="s" ph="1">
        <v>133</v>
      </c>
      <c r="Y13" s="105" t="s" ph="1">
        <v>68</v>
      </c>
      <c r="Z13" s="76" t="s" ph="1">
        <v>74</v>
      </c>
      <c r="AA13" s="76" t="s" ph="1">
        <v>134</v>
      </c>
      <c r="AB13" s="76" t="s" ph="1">
        <v>135</v>
      </c>
      <c r="AC13" s="76" t="s" ph="1">
        <v>136</v>
      </c>
      <c r="AD13" s="76" t="s" ph="1">
        <v>137</v>
      </c>
      <c r="AE13" s="76" t="s" ph="1">
        <v>138</v>
      </c>
      <c r="AG13" s="72" t="s" ph="1">
        <v>325</v>
      </c>
      <c r="AH13" s="72" t="s" ph="1">
        <v>188</v>
      </c>
      <c r="AI13" s="72" t="s" ph="1">
        <v>189</v>
      </c>
      <c r="AJ13" s="72" t="s" ph="1">
        <v>190</v>
      </c>
      <c r="AK13" s="72" t="s" ph="1">
        <v>191</v>
      </c>
      <c r="AL13" s="72" t="s" ph="1">
        <v>192</v>
      </c>
      <c r="AM13" s="72" t="s" ph="1">
        <v>193</v>
      </c>
      <c r="AN13" s="72" t="s" ph="1">
        <v>194</v>
      </c>
      <c r="AO13" s="72" t="s" ph="1">
        <v>195</v>
      </c>
      <c r="AP13" s="72" t="s" ph="1">
        <v>196</v>
      </c>
      <c r="AQ13" s="72" t="s" ph="1">
        <v>197</v>
      </c>
      <c r="AR13" s="72" t="s" ph="1">
        <v>198</v>
      </c>
      <c r="AS13" s="72" t="s" ph="1">
        <v>199</v>
      </c>
      <c r="AT13" s="72" t="s" ph="1">
        <v>200</v>
      </c>
      <c r="AU13" s="72" t="s" ph="1">
        <v>201</v>
      </c>
      <c r="AV13" s="72" t="s" ph="1">
        <v>202</v>
      </c>
      <c r="AW13" s="72" t="s" ph="1">
        <v>203</v>
      </c>
      <c r="AX13" s="72" t="s" ph="1">
        <v>204</v>
      </c>
      <c r="AY13" s="72" t="s" ph="1">
        <v>326</v>
      </c>
      <c r="AZ13" s="72" t="s" ph="1">
        <v>205</v>
      </c>
      <c r="BA13" s="72" t="s" ph="1">
        <v>206</v>
      </c>
      <c r="BB13" s="72" t="s" ph="1">
        <v>591</v>
      </c>
      <c r="BC13" s="72" t="s" ph="1">
        <v>207</v>
      </c>
      <c r="BD13" s="72" t="s" ph="1">
        <v>327</v>
      </c>
      <c r="BE13" s="72" t="s" ph="1">
        <v>328</v>
      </c>
      <c r="BF13" s="72" t="s" ph="1">
        <v>329</v>
      </c>
      <c r="BG13" s="72" t="s" ph="1">
        <v>330</v>
      </c>
      <c r="BH13" s="72" t="s" ph="1">
        <v>331</v>
      </c>
    </row>
    <row r="14" spans="1:99" s="72" customFormat="1" ht="24" ph="1">
      <c r="B14" s="193" ph="1"/>
      <c r="C14" s="67" t="s" ph="1">
        <v>36</v>
      </c>
      <c r="D14" s="77" t="s" ph="1">
        <v>616</v>
      </c>
      <c r="E14" s="77" t="s" ph="1">
        <v>616</v>
      </c>
      <c r="F14" s="144" t="s" ph="1">
        <v>636</v>
      </c>
      <c r="G14" s="77" t="s" ph="1">
        <v>617</v>
      </c>
      <c r="H14" s="77" t="s" ph="1">
        <v>637</v>
      </c>
      <c r="I14" s="138" t="s" ph="1">
        <v>618</v>
      </c>
      <c r="J14" s="77" t="s" ph="1">
        <v>619</v>
      </c>
      <c r="K14" s="77" t="s" ph="1">
        <v>186</v>
      </c>
      <c r="L14" s="77" t="s" ph="1">
        <v>41</v>
      </c>
      <c r="M14" s="104" t="s" ph="1">
        <v>620</v>
      </c>
      <c r="N14" s="104" t="s" ph="1">
        <v>621</v>
      </c>
      <c r="O14" s="104" t="s" ph="1">
        <v>619</v>
      </c>
      <c r="P14" s="77" t="s" ph="1">
        <v>622</v>
      </c>
      <c r="Q14" s="77" t="s" ph="1">
        <v>622</v>
      </c>
      <c r="R14" s="88" t="s" ph="1">
        <v>7</v>
      </c>
      <c r="S14" s="77" t="s" ph="1">
        <v>71</v>
      </c>
      <c r="T14" s="77" t="s" ph="1">
        <v>624</v>
      </c>
      <c r="U14" s="77" t="s" ph="1">
        <v>605</v>
      </c>
      <c r="V14" s="77" t="s" ph="1">
        <v>633</v>
      </c>
      <c r="W14" s="77" t="s" ph="1">
        <v>622</v>
      </c>
      <c r="X14" s="77" t="s" ph="1">
        <v>625</v>
      </c>
      <c r="Y14" s="143" t="s" ph="1">
        <v>0</v>
      </c>
      <c r="Z14" s="77" t="s" ph="1">
        <v>54</v>
      </c>
      <c r="AA14" s="77" t="s" ph="1">
        <v>613</v>
      </c>
      <c r="AB14" s="77" t="s" ph="1">
        <v>632</v>
      </c>
      <c r="AC14" s="77" t="s" ph="1">
        <v>632</v>
      </c>
      <c r="AD14" s="77" t="s" ph="1">
        <v>612</v>
      </c>
      <c r="AE14" s="77" t="s" ph="1">
        <v>612</v>
      </c>
      <c r="AG14" s="72" t="s" ph="1">
        <v>208</v>
      </c>
      <c r="AI14" s="72" t="s" ph="1">
        <v>209</v>
      </c>
      <c r="AJ14" s="72" t="s" ph="1">
        <v>332</v>
      </c>
      <c r="AK14" s="72" t="s" ph="1">
        <v>210</v>
      </c>
      <c r="AM14" s="72" t="s" ph="1">
        <v>212</v>
      </c>
      <c r="AN14" s="72" t="s" ph="1">
        <v>210</v>
      </c>
      <c r="AO14" s="72" t="s" ph="1">
        <v>211</v>
      </c>
      <c r="AP14" s="72" t="s" ph="1">
        <v>212</v>
      </c>
      <c r="AQ14" s="72" t="s" ph="1">
        <v>210</v>
      </c>
      <c r="AR14" s="72" t="s" ph="1">
        <v>211</v>
      </c>
      <c r="AS14" s="72" t="s" ph="1">
        <v>212</v>
      </c>
      <c r="AT14" s="72" t="s" ph="1">
        <v>210</v>
      </c>
      <c r="AU14" s="72" t="s" ph="1">
        <v>211</v>
      </c>
      <c r="AV14" s="72" t="s" ph="1">
        <v>212</v>
      </c>
      <c r="AW14" s="72" t="s" ph="1">
        <v>210</v>
      </c>
      <c r="AX14" s="72" t="s" ph="1">
        <v>211</v>
      </c>
      <c r="AY14" s="72" t="s" ph="1">
        <v>212</v>
      </c>
      <c r="AZ14" s="72" t="s" ph="1">
        <v>211</v>
      </c>
    </row>
    <row r="15" spans="1:99" ph="1">
      <c r="B15" s="194" ph="1">
        <v>0.33333333333333331</v>
      </c>
      <c r="C15" s="151" t="s" ph="1">
        <v>177</v>
      </c>
      <c r="D15" s="78">
        <v>0</v>
      </c>
      <c r="E15" s="78">
        <v>1731</v>
      </c>
      <c r="F15" s="78">
        <v>5380</v>
      </c>
      <c r="G15" s="78">
        <v>4703</v>
      </c>
      <c r="H15" s="78">
        <v>1573</v>
      </c>
      <c r="I15" s="78">
        <v>5386</v>
      </c>
      <c r="J15" s="78">
        <v>302</v>
      </c>
      <c r="K15" s="78">
        <v>2278</v>
      </c>
      <c r="L15" s="78">
        <v>1693</v>
      </c>
      <c r="M15" s="78">
        <v>5852</v>
      </c>
      <c r="N15" s="78">
        <v>3095</v>
      </c>
      <c r="O15" s="78">
        <v>1397</v>
      </c>
      <c r="P15" s="78">
        <v>7102</v>
      </c>
      <c r="Q15" s="78">
        <v>6954</v>
      </c>
      <c r="R15" s="78">
        <v>1952</v>
      </c>
      <c r="S15" s="78">
        <v>4596</v>
      </c>
      <c r="T15" s="78">
        <v>2252</v>
      </c>
      <c r="U15" s="78">
        <v>6703</v>
      </c>
      <c r="V15" s="78">
        <v>4410</v>
      </c>
      <c r="W15" s="71">
        <v>-406</v>
      </c>
      <c r="X15" s="78">
        <v>1338</v>
      </c>
      <c r="Y15" s="106">
        <v>-9905</v>
      </c>
      <c r="Z15" s="78">
        <v>1912</v>
      </c>
      <c r="AA15" s="78">
        <v>2574</v>
      </c>
      <c r="AB15" s="78" ph="1">
        <v>5333</v>
      </c>
      <c r="AC15" s="78" ph="1">
        <v>7291</v>
      </c>
      <c r="AD15" s="78">
        <v>5.48</v>
      </c>
      <c r="AE15" s="78">
        <v>39.619999999999997</v>
      </c>
      <c r="AG15" s="64" t="s" ph="1">
        <v>214</v>
      </c>
      <c r="AH15" s="64" ph="1">
        <v>1</v>
      </c>
      <c r="AI15" s="64" t="s" ph="1">
        <v>333</v>
      </c>
      <c r="AK15" s="64" t="s" ph="1">
        <v>587</v>
      </c>
      <c r="AM15" s="64" t="s" ph="1">
        <v>335</v>
      </c>
      <c r="AZ15" s="64" t="s" ph="1">
        <v>216</v>
      </c>
      <c r="BA15" s="64" ph="1">
        <v>0</v>
      </c>
    </row>
    <row r="16" spans="1:99" s="72" customFormat="1" ht="22.2" ph="1">
      <c r="B16" s="195" ph="1"/>
      <c r="C16" s="151" t="s" ph="1">
        <v>178</v>
      </c>
      <c r="D16" s="73" ph="1">
        <f>D15*7.0686*LOOKUP(D17,密度!$A$2:$A$50,密度!$L$2:$L$50)</f>
        <v>0</v>
      </c>
      <c r="E16" s="73" ph="1">
        <f>E15*7.0686*LOOKUP(E17,密度!$A$2:$A$50,密度!$L$2:$L$50)</f>
        <v>11428.187324400002</v>
      </c>
      <c r="F16" s="73" ph="1">
        <f>F15*9.0746*LOOKUP(F17,密度!$A$2:$A$50,密度!$L$2:$L$50)</f>
        <v>45696.781728000002</v>
      </c>
      <c r="G16" s="73" ph="1">
        <f>G15*9.0746*LOOKUP(G17,密度!$A$2:$A$50,密度!$B$2:$B$50)</f>
        <v>33271.647026480001</v>
      </c>
      <c r="H16" s="73" ph="1">
        <f>H15*9.0746*LOOKUP(H17,密度!$A$2:$A$50,密度!$L$2:$L$50)</f>
        <v>13303.690285600002</v>
      </c>
      <c r="I16" s="73" ph="1">
        <f>I15*9.0746*LOOKUP(I17,密度!$A$2:$A$50,密度!$U$2:$U$50)</f>
        <v>50097.690489999994</v>
      </c>
      <c r="J16" s="73" ph="1">
        <f>J15*9.0746*LOOKUP(J17,密度!$A$2:$A$50,密度!$L$2:$L$50)</f>
        <v>2567.8758604</v>
      </c>
      <c r="K16" s="73" ph="1">
        <f>K15*9.0746*LOOKUP(K17,密度!$A$2:$A$50,密度!$C$2:$C$50)</f>
        <v>22844.559567879998</v>
      </c>
      <c r="L16" s="73" ph="1">
        <f>L15*9.0746*LOOKUP(L17,密度!$A$2:$A$50,密度!$E$2:$E$50)</f>
        <v>12032.53483696</v>
      </c>
      <c r="M16" s="73" ph="1">
        <f>M15*9.0746*LOOKUP(M17,密度!$A$2:$A$50,密度!$M$2:$M$50)</f>
        <v>46307.175622400006</v>
      </c>
      <c r="N16" s="73" ph="1">
        <f>N15*9.0746*LOOKUP(N17,密度!$A$2:$A$50,密度!$M$2:$M$50)</f>
        <v>24577.959713700002</v>
      </c>
      <c r="O16" s="73" ph="1">
        <f>O15*9.0746*LOOKUP(O17,密度!$A$2:$A$50,密度!$G$2:$G$50)</f>
        <v>12185.340211440001</v>
      </c>
      <c r="P16" s="73" ph="1">
        <f ca="1">P15*9.0746*LOOKUP(P17,密度!$A$2:$A$51,密度!$Q$2:$Q$50)</f>
        <v>61015.318882008003</v>
      </c>
      <c r="Q16" s="73" ph="1">
        <f>Q15*9.0746*LOOKUP(Q17,密度!$A$2:$A$50,密度!$Q$2:$Q$50)</f>
        <v>59610.026326008003</v>
      </c>
      <c r="R16" s="73" ph="1">
        <f>MAX(R15*9.0746*LOOKUP(R17,密度!$A$2:$A$50,密度!$B$2:$B$50),0)</f>
        <v>13733.368965760001</v>
      </c>
      <c r="S16" s="73" ph="1">
        <f>S15*9.0746*LOOKUP(S17,密度!$A$2:$A$50,密度!$Q$2:$Q$50)</f>
        <v>39397.135604592004</v>
      </c>
      <c r="T16" s="73" ph="1">
        <f>T15*9.0746*LOOKUP(T17,密度!$A$2:$A$50,密度!$O$2:$O$50)</f>
        <v>18923.735259200002</v>
      </c>
      <c r="U16" s="73" ph="1">
        <f>U15*9.0746*LOOKUP(U17,密度!$A$2:$A$50,密度!$H$2:$H$50)</f>
        <v>55699.324007659998</v>
      </c>
      <c r="V16" s="73" ph="1">
        <f>MAX(5600*LOOKUP(V17,密度!$A$2:$A$50,密度!$Q$2:$Q$50)+V15*9.0476*LOOKUP(V17,密度!$A$2:$A$50,密度!$Q$2:$Q$50),0)</f>
        <v>43011.980593120003</v>
      </c>
      <c r="W16" s="73" ph="1">
        <f>MAX(5600*LOOKUP(W17,密度!$A$2:$A$50,密度!$Q$2:$Q$50)+W15*9.0476*LOOKUP(W17,密度!$A$2:$A$50,密度!$Q$2:$Q$50),0)</f>
        <v>1824.0597214560007</v>
      </c>
      <c r="X16" s="73" ph="1">
        <f>MAX(5600*LOOKUP(X17,密度!$A$2:$A$50,密度!$I$2:$I$50)+X15*9.0476*LOOKUP(X17,密度!$A$2:$A$50,密度!$I$2:$I$50),0)</f>
        <v>18396.210663199996</v>
      </c>
      <c r="Y16" s="107" ph="1">
        <v>0</v>
      </c>
      <c r="Z16" s="73" ph="1">
        <f>Z15*9.0746*LOOKUP(Z17,密度!$A$2:$A$50,密度!$D$2:$D$50)</f>
        <v>17780.93095296</v>
      </c>
      <c r="AA16" s="73" ph="1">
        <f>AA15*9.0746*LOOKUP(AA17,密度!$A$2:$A$50,密度!$B$2:$B$50)</f>
        <v>18209.91270384</v>
      </c>
      <c r="AB16" s="73" ph="1">
        <f>AB15*9.0746*LOOKUP(AB17,密度!$A$2:$A$50,密度!$L$2:$L$50)</f>
        <v>45249.177083000002</v>
      </c>
      <c r="AC16" s="73" ph="1">
        <f>AC15*9.0746*LOOKUP(AC17,密度!$A$2:$A$50,密度!$L$2:$L$50)</f>
        <v>61994.645358199996</v>
      </c>
      <c r="AD16" s="73" ph="1">
        <f>AD15*268.68*LOOKUP(AD17,密度!$A$2:$A$50,密度!B2:B50)+IF(AD15&lt;=0,0,1566*LOOKUP(AD17,密度!$A$2:$A$50,密度!B2:B50))</f>
        <v>2368.7104454399996</v>
      </c>
      <c r="AE16" s="73" ph="1">
        <f>AE15*268.68*LOOKUP(AE17,密度!$A$2:$A$50,密度!B2:B50)+IF(AE15&lt;=0,0,1566*LOOKUP(AE17,密度!$A$2:$A$50,密度!B2:B50))</f>
        <v>9519.7748073599996</v>
      </c>
      <c r="AH16" s="72" ph="1">
        <v>2</v>
      </c>
      <c r="AI16" s="72" t="s" ph="1">
        <v>337</v>
      </c>
      <c r="AZ16" s="72" t="s" ph="1">
        <v>216</v>
      </c>
      <c r="BA16" s="72" ph="1">
        <v>0</v>
      </c>
    </row>
    <row r="17" spans="1:57" ph="1">
      <c r="A17" s="64" t="s" ph="1">
        <v>73</v>
      </c>
      <c r="B17" s="196" ph="1"/>
      <c r="C17" s="79" t="s" ph="1">
        <v>179</v>
      </c>
      <c r="D17" s="74">
        <v>28</v>
      </c>
      <c r="E17" s="74">
        <v>28</v>
      </c>
      <c r="F17" s="74">
        <v>26</v>
      </c>
      <c r="G17" s="74">
        <v>25</v>
      </c>
      <c r="H17" s="74">
        <v>30</v>
      </c>
      <c r="I17" s="74">
        <v>25</v>
      </c>
      <c r="J17" s="74">
        <v>25</v>
      </c>
      <c r="K17" s="74">
        <v>30</v>
      </c>
      <c r="L17" s="74">
        <v>25</v>
      </c>
      <c r="M17" s="74">
        <v>28</v>
      </c>
      <c r="N17" s="74">
        <v>25</v>
      </c>
      <c r="O17" s="74">
        <v>24</v>
      </c>
      <c r="P17" s="74">
        <v>25</v>
      </c>
      <c r="Q17" s="74">
        <v>28</v>
      </c>
      <c r="R17" s="74">
        <v>30</v>
      </c>
      <c r="S17" s="74">
        <v>28</v>
      </c>
      <c r="T17" s="74">
        <v>25</v>
      </c>
      <c r="U17" s="74">
        <v>24</v>
      </c>
      <c r="V17" s="74">
        <v>27</v>
      </c>
      <c r="W17" s="74">
        <v>25</v>
      </c>
      <c r="X17" s="74">
        <v>28</v>
      </c>
      <c r="Y17" s="108">
        <v>28</v>
      </c>
      <c r="Z17" s="74">
        <v>27</v>
      </c>
      <c r="AA17" s="74">
        <v>25</v>
      </c>
      <c r="AB17" s="74">
        <v>27</v>
      </c>
      <c r="AC17" s="74">
        <v>25</v>
      </c>
      <c r="AD17" s="74">
        <v>25</v>
      </c>
      <c r="AE17" s="74">
        <v>25</v>
      </c>
      <c r="AH17" s="64" ph="1">
        <v>3</v>
      </c>
      <c r="AI17" s="64" t="s" ph="1">
        <v>338</v>
      </c>
      <c r="AK17" s="64" t="s" ph="1">
        <v>570</v>
      </c>
      <c r="AL17" s="64" ph="1">
        <v>80</v>
      </c>
      <c r="AM17" s="64" t="s" ph="1">
        <v>335</v>
      </c>
      <c r="AZ17" s="64" t="s" ph="1">
        <v>216</v>
      </c>
      <c r="BA17" s="64" ph="1">
        <v>80</v>
      </c>
      <c r="BD17" s="64" t="s" ph="1">
        <v>214</v>
      </c>
      <c r="BE17" s="64" ph="1">
        <v>2270</v>
      </c>
    </row>
    <row r="18" spans="1:57" ht="26.4" ph="1">
      <c r="B18" s="194" ph="1">
        <v>0.66666666666666663</v>
      </c>
      <c r="C18" s="79" t="s" ph="1">
        <v>180</v>
      </c>
      <c r="D18" s="71">
        <v>0</v>
      </c>
      <c r="E18" s="71">
        <v>2713</v>
      </c>
      <c r="F18" s="71">
        <v>5416</v>
      </c>
      <c r="G18" s="71">
        <v>4214</v>
      </c>
      <c r="H18" s="71">
        <v>2052</v>
      </c>
      <c r="I18" s="71">
        <v>5383</v>
      </c>
      <c r="J18" s="71">
        <v>221</v>
      </c>
      <c r="K18" s="71">
        <v>2277</v>
      </c>
      <c r="L18" s="71">
        <v>1691</v>
      </c>
      <c r="M18" s="71">
        <v>3630</v>
      </c>
      <c r="N18" s="71">
        <v>4120</v>
      </c>
      <c r="O18" s="71">
        <v>4628</v>
      </c>
      <c r="P18" s="71">
        <v>7093</v>
      </c>
      <c r="Q18" s="71">
        <v>6948</v>
      </c>
      <c r="R18" s="71">
        <v>1949</v>
      </c>
      <c r="S18" s="71">
        <v>3397</v>
      </c>
      <c r="T18" s="71">
        <v>2249</v>
      </c>
      <c r="U18" s="71">
        <v>6698</v>
      </c>
      <c r="V18" s="71">
        <v>4438</v>
      </c>
      <c r="W18" s="71">
        <v>-197</v>
      </c>
      <c r="X18" s="71">
        <v>1339</v>
      </c>
      <c r="Y18" s="109">
        <v>-9905</v>
      </c>
      <c r="Z18" s="71">
        <v>1910</v>
      </c>
      <c r="AA18" s="71">
        <v>2572</v>
      </c>
      <c r="AB18" s="71">
        <v>3832</v>
      </c>
      <c r="AC18" s="71">
        <v>7288</v>
      </c>
      <c r="AD18" s="71">
        <v>13.94</v>
      </c>
      <c r="AE18" s="71">
        <v>84.58</v>
      </c>
      <c r="AH18" s="64" ph="1">
        <v>4</v>
      </c>
      <c r="AI18" s="64" t="s" ph="1">
        <v>340</v>
      </c>
      <c r="AJ18" s="64" t="s" ph="1">
        <v>588</v>
      </c>
      <c r="AK18" s="64" t="s" ph="1">
        <v>587</v>
      </c>
      <c r="AL18" s="64" ph="1">
        <v>740</v>
      </c>
      <c r="AM18" s="64" t="s" ph="1">
        <v>339</v>
      </c>
      <c r="AZ18" s="64" t="s" ph="1">
        <v>216</v>
      </c>
      <c r="BA18" s="64" ph="1">
        <v>740</v>
      </c>
    </row>
    <row r="19" spans="1:57" s="72" customFormat="1" ht="22.2" ph="1">
      <c r="B19" s="195" ph="1"/>
      <c r="C19" s="151" t="s" ph="1">
        <v>178</v>
      </c>
      <c r="D19" s="73" ph="1">
        <f>D18*7.0686*LOOKUP(D20,密度!$A$2:$A$50,密度!$L$2:$L$50)</f>
        <v>0</v>
      </c>
      <c r="E19" s="73" ph="1">
        <f>E18*7.0686*LOOKUP(E20,密度!$A$2:$A$50,密度!$L$2:$L$50)</f>
        <v>17949.7766448</v>
      </c>
      <c r="F19" s="73" ph="1">
        <f>F18*9.0746*LOOKUP(F20,密度!$A$2:$A$50,密度!$L$2:$L$50)</f>
        <v>45904.263382400008</v>
      </c>
      <c r="G19" s="73" ph="1">
        <f>G18*9.0746*LOOKUP(G20,密度!$A$2:$A$50,密度!$B$2:$B$50)</f>
        <v>29812.188086239996</v>
      </c>
      <c r="H19" s="73" ph="1">
        <f>H18*9.0746*LOOKUP(H20,密度!$A$2:$A$50,密度!$L$2:$L$50)</f>
        <v>17447.951210400002</v>
      </c>
      <c r="I19" s="73" ph="1">
        <f>I18*9.0746*LOOKUP(I20,密度!$A$2:$A$50,密度!$U$2:$U$50)</f>
        <v>50069.786094999996</v>
      </c>
      <c r="J19" s="73" ph="1">
        <f>J18*9.0746*LOOKUP(J20,密度!$A$2:$A$50,密度!$L$2:$L$50)</f>
        <v>1869.1135111999999</v>
      </c>
      <c r="K19" s="73" ph="1">
        <f>K18*9.0746*LOOKUP(K20,密度!$A$2:$A$50,密度!$C$2:$C$50)</f>
        <v>22913.050111379998</v>
      </c>
      <c r="L19" s="73" ph="1">
        <f>L18*9.0746*LOOKUP(L20,密度!$A$2:$A$50,密度!$E$2:$E$50)</f>
        <v>12018.32038352</v>
      </c>
      <c r="M19" s="73" ph="1">
        <f>M18*9.0746*LOOKUP(M20,密度!$A$2:$A$50,密度!$M$2:$M$50)</f>
        <v>28724.375856000002</v>
      </c>
      <c r="N19" s="73" ph="1">
        <f>N18*9.0746*LOOKUP(N20,密度!$A$2:$A$50,密度!$M$2:$M$50)</f>
        <v>32788.707704</v>
      </c>
      <c r="O19" s="73" ph="1">
        <f>O18*9.0746*LOOKUP(O20,密度!$A$2:$A$50,密度!$G$2:$G$50)</f>
        <v>40325.758297760003</v>
      </c>
      <c r="P19" s="73" ph="1">
        <f ca="1">P18*9.0746*LOOKUP(P20,密度!$A$2:$A$51,密度!$Q$2:$Q$50)</f>
        <v>60937.997300772004</v>
      </c>
      <c r="Q19" s="73" ph="1">
        <f>Q18*9.0746*LOOKUP(Q20,密度!$A$2:$A$50,密度!$Q$2:$Q$50)</f>
        <v>59647.494986424004</v>
      </c>
      <c r="R19" s="73" ph="1">
        <f>MAX(R18*9.0746*LOOKUP(R20,密度!$A$2:$A$50,密度!$B$2:$B$50),0)</f>
        <v>13712.262353620001</v>
      </c>
      <c r="S19" s="73" ph="1">
        <f>S18*9.0746*LOOKUP(S20,密度!$A$2:$A$50,密度!$Q$2:$Q$50)</f>
        <v>29140.827762184002</v>
      </c>
      <c r="T19" s="73" ph="1">
        <f>T18*9.0746*LOOKUP(T20,密度!$A$2:$A$50,密度!$O$2:$O$50)</f>
        <v>18898.526020400004</v>
      </c>
      <c r="U19" s="73" ph="1">
        <f>U18*9.0746*LOOKUP(U20,密度!$A$2:$A$50,密度!$H$2:$H$50)</f>
        <v>55657.775951559997</v>
      </c>
      <c r="V19" s="73" ph="1">
        <f>MAX(5600*LOOKUP(V20,密度!$A$2:$A$50,密度!$Q$2:$Q$50)+V18*9.0476*LOOKUP(V20,密度!$A$2:$A$50,密度!$Q$2:$Q$50),0)</f>
        <v>43251.461155615994</v>
      </c>
      <c r="W19" s="73" ph="1">
        <f>MAX(5600*LOOKUP(W20,密度!$A$2:$A$50,密度!$Q$2:$Q$50)+W18*9.0476*LOOKUP(W20,密度!$A$2:$A$50,密度!$Q$2:$Q$50),0)</f>
        <v>3611.5856974839999</v>
      </c>
      <c r="X19" s="73" ph="1">
        <f>MAX(5600*LOOKUP(X20,密度!$A$2:$A$50,密度!$I$2:$I$50)+X18*9.0476*LOOKUP(X20,密度!$A$2:$A$50,密度!$I$2:$I$50),0)</f>
        <v>18364.86722588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17795.2633762</v>
      </c>
      <c r="AA19" s="73" ph="1">
        <f>AA18*9.0746*LOOKUP(AA20,密度!$A$2:$A$50,密度!$B$2:$B$50)</f>
        <v>18195.763587519999</v>
      </c>
      <c r="AB19" s="73" ph="1">
        <f>AB18*9.0746*LOOKUP(AB20,密度!$A$2:$A$50,密度!$L$2:$L$50)</f>
        <v>32513.565832000004</v>
      </c>
      <c r="AC19" s="73" ph="1">
        <f>AC18*9.0746*LOOKUP(AC20,密度!$A$2:$A$50,密度!$L$2:$L$50)</f>
        <v>61969.136657600007</v>
      </c>
      <c r="AD19" s="73" ph="1">
        <f>AD18*268.68*LOOKUP(AD20,密度!$A$2:$A$50,密度!B5:B53)+IF(AD18&lt;=0,0,1566*LOOKUP(AD20,密度!$A$2:$A$50,密度!B5:B53))</f>
        <v>4126.9571784</v>
      </c>
      <c r="AE19" s="73" ph="1">
        <f>AE18*268.68*LOOKUP(AE20,密度!$A$2:$A$50,密度!B5:B53)+IF(AE18&lt;=0,0,1566*LOOKUP(AE20,密度!$A$2:$A$50,密度!B5:B53))</f>
        <v>18874.071568799998</v>
      </c>
      <c r="AH19" s="72" ph="1">
        <v>5</v>
      </c>
      <c r="AI19" s="72" t="s" ph="1">
        <v>341</v>
      </c>
      <c r="AZ19" s="72" t="s" ph="1">
        <v>216</v>
      </c>
      <c r="BA19" s="72" ph="1">
        <v>0</v>
      </c>
      <c r="BD19" s="72" t="s" ph="1">
        <v>342</v>
      </c>
      <c r="BE19" s="72" ph="1">
        <v>1440</v>
      </c>
    </row>
    <row r="20" spans="1:57" ph="1">
      <c r="A20" s="72" ph="1"/>
      <c r="B20" s="195" ph="1"/>
      <c r="C20" s="80" t="s" ph="1">
        <v>179</v>
      </c>
      <c r="D20" s="81">
        <v>26</v>
      </c>
      <c r="E20" s="81">
        <v>26</v>
      </c>
      <c r="F20" s="81">
        <v>28</v>
      </c>
      <c r="G20" s="81">
        <v>25</v>
      </c>
      <c r="H20" s="81">
        <v>25</v>
      </c>
      <c r="I20" s="81">
        <v>25</v>
      </c>
      <c r="J20" s="81">
        <v>30</v>
      </c>
      <c r="K20" s="81">
        <v>25</v>
      </c>
      <c r="L20" s="81">
        <v>25</v>
      </c>
      <c r="M20" s="81">
        <v>28</v>
      </c>
      <c r="N20" s="81">
        <v>23</v>
      </c>
      <c r="O20" s="81">
        <v>25</v>
      </c>
      <c r="P20" s="81">
        <v>25</v>
      </c>
      <c r="Q20" s="81">
        <v>26</v>
      </c>
      <c r="R20" s="81">
        <v>30</v>
      </c>
      <c r="S20" s="81">
        <v>27</v>
      </c>
      <c r="T20" s="81">
        <v>25</v>
      </c>
      <c r="U20" s="81">
        <v>24</v>
      </c>
      <c r="V20" s="81">
        <v>27</v>
      </c>
      <c r="W20" s="81">
        <v>26</v>
      </c>
      <c r="X20" s="81">
        <v>30</v>
      </c>
      <c r="Y20" s="110">
        <v>30</v>
      </c>
      <c r="Z20" s="81">
        <v>25</v>
      </c>
      <c r="AA20" s="81">
        <v>25</v>
      </c>
      <c r="AB20" s="81">
        <v>27</v>
      </c>
      <c r="AC20" s="81">
        <v>25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343</v>
      </c>
      <c r="AZ20" s="64" t="s" ph="1">
        <v>216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344</v>
      </c>
      <c r="AZ21" s="64" t="s" ph="1">
        <v>216</v>
      </c>
      <c r="BA21" s="64" ph="1">
        <v>0</v>
      </c>
      <c r="BD21" s="64" t="s" ph="1">
        <v>232</v>
      </c>
      <c r="BE21" s="64" ph="1">
        <v>730</v>
      </c>
    </row>
    <row r="22" spans="1:57" ph="1">
      <c r="A22" s="72" ph="1"/>
      <c r="B22" s="193" t="s" ph="1">
        <v>37</v>
      </c>
      <c r="C22" s="85" t="s" ph="1">
        <v>176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172" t="s" ph="1">
        <v>69</v>
      </c>
      <c r="AA22" s="173"/>
      <c r="AB22" s="173"/>
      <c r="AC22" s="173"/>
      <c r="AD22" s="173"/>
      <c r="AE22" s="174"/>
      <c r="AH22" s="64" ph="1">
        <v>8</v>
      </c>
      <c r="AI22" s="64" t="s" ph="1">
        <v>345</v>
      </c>
      <c r="AZ22" s="64" t="s" ph="1">
        <v>216</v>
      </c>
      <c r="BA22" s="64" ph="1">
        <v>0</v>
      </c>
    </row>
    <row r="23" spans="1:57" ph="1">
      <c r="A23" s="72" ph="1"/>
      <c r="B23" s="188" ph="1"/>
      <c r="C23" s="67" t="s" ph="1">
        <v>36</v>
      </c>
      <c r="D23" s="88" t="s" ph="1">
        <v>109</v>
      </c>
      <c r="E23" s="88" t="s" ph="1">
        <v>107</v>
      </c>
      <c r="F23" s="88" t="s" ph="1">
        <v>109</v>
      </c>
      <c r="G23" s="88" t="s" ph="1">
        <v>626</v>
      </c>
      <c r="H23" s="88" t="s" ph="1">
        <v>626</v>
      </c>
      <c r="I23" s="88" t="s" ph="1">
        <v>627</v>
      </c>
      <c r="J23" s="88" t="s" ph="1">
        <v>628</v>
      </c>
      <c r="K23" s="88" t="s" ph="1">
        <v>628</v>
      </c>
      <c r="L23" s="88" t="s" ph="1">
        <v>628</v>
      </c>
      <c r="M23" s="88" t="s" ph="1">
        <v>623</v>
      </c>
      <c r="N23" s="88" t="s" ph="1">
        <v>623</v>
      </c>
      <c r="O23" s="88" t="s" ph="1">
        <v>318</v>
      </c>
      <c r="P23" s="88" t="s" ph="1">
        <v>629</v>
      </c>
      <c r="Q23" s="89" t="s" ph="1">
        <v>629</v>
      </c>
      <c r="R23" s="88" t="s" ph="1">
        <v>610</v>
      </c>
      <c r="S23" s="88" t="s" ph="1">
        <v>629</v>
      </c>
      <c r="T23" s="88" t="s" ph="1">
        <v>604</v>
      </c>
      <c r="U23" s="104" t="s" ph="1">
        <v>606</v>
      </c>
      <c r="V23" s="88" t="s" ph="1">
        <v>629</v>
      </c>
      <c r="W23" s="88" t="s" ph="1">
        <v>629</v>
      </c>
      <c r="X23" s="88" t="s" ph="1">
        <v>187</v>
      </c>
      <c r="Y23" s="88" t="s" ph="1">
        <v>630</v>
      </c>
      <c r="Z23" s="175" t="s" ph="1">
        <v>638</v>
      </c>
      <c r="AA23" s="176"/>
      <c r="AB23" s="176"/>
      <c r="AC23" s="176"/>
      <c r="AD23" s="176"/>
      <c r="AE23" s="177"/>
      <c r="AH23" s="64" ph="1">
        <v>9</v>
      </c>
      <c r="AI23" s="64" t="s" ph="1">
        <v>346</v>
      </c>
      <c r="AZ23" s="64" t="s" ph="1">
        <v>216</v>
      </c>
      <c r="BA23" s="64" ph="1">
        <v>0</v>
      </c>
      <c r="BD23" s="64" t="s" ph="1">
        <v>238</v>
      </c>
      <c r="BE23" s="64" ph="1">
        <v>890</v>
      </c>
    </row>
    <row r="24" spans="1:57" ph="1">
      <c r="A24" s="72" ph="1"/>
      <c r="B24" s="184" ph="1">
        <v>0.33333333333333331</v>
      </c>
      <c r="C24" s="151" t="s" ph="1">
        <v>177</v>
      </c>
      <c r="D24" s="71">
        <v>4.2699999999999996</v>
      </c>
      <c r="E24" s="71">
        <v>5.83</v>
      </c>
      <c r="F24" s="71">
        <v>129</v>
      </c>
      <c r="G24" s="71">
        <v>3406</v>
      </c>
      <c r="H24" s="71">
        <v>3819</v>
      </c>
      <c r="I24" s="71">
        <v>184</v>
      </c>
      <c r="J24" s="71">
        <v>209</v>
      </c>
      <c r="K24" s="71">
        <v>248</v>
      </c>
      <c r="L24" s="71">
        <v>470</v>
      </c>
      <c r="M24" s="71">
        <v>4836</v>
      </c>
      <c r="N24" s="71">
        <v>2462</v>
      </c>
      <c r="O24" s="71">
        <v>2501</v>
      </c>
      <c r="P24" s="71">
        <v>844</v>
      </c>
      <c r="Q24" s="90">
        <v>4097</v>
      </c>
      <c r="R24" s="71">
        <v>6320</v>
      </c>
      <c r="S24" s="71">
        <v>7012</v>
      </c>
      <c r="T24" s="71">
        <v>510</v>
      </c>
      <c r="U24" s="71">
        <v>5455</v>
      </c>
      <c r="V24" s="71">
        <v>1015</v>
      </c>
      <c r="W24" s="71">
        <v>2694</v>
      </c>
      <c r="X24" s="71">
        <v>2775</v>
      </c>
      <c r="Y24" s="71">
        <v>9089</v>
      </c>
      <c r="Z24" s="178"/>
      <c r="AA24" s="179"/>
      <c r="AB24" s="179"/>
      <c r="AC24" s="179"/>
      <c r="AD24" s="179"/>
      <c r="AE24" s="180"/>
      <c r="AH24" s="64" ph="1">
        <v>10</v>
      </c>
      <c r="AI24" s="64" t="s" ph="1">
        <v>347</v>
      </c>
      <c r="AZ24" s="64" t="s" ph="1">
        <v>216</v>
      </c>
      <c r="BA24" s="64" ph="1">
        <v>0</v>
      </c>
    </row>
    <row r="25" spans="1:57" ph="1">
      <c r="A25" s="72" ph="1"/>
      <c r="B25" s="184" ph="1"/>
      <c r="C25" s="68" t="s" ph="1">
        <v>178</v>
      </c>
      <c r="D25" s="91" ph="1">
        <f>D24*268.68*LOOKUP(D26,密度!$A$2:$A$50,密度!$Q$2:$Q$50)+IF(D24&lt;=0,0,1566*LOOKUP(D26,密度!$A$2:$A$50,密度!$Q$2:$Q$50))</f>
        <v>2568.7551806639999</v>
      </c>
      <c r="E25" s="91" ph="1">
        <f>E24*268.68*LOOKUP(E26,密度!$A$2:$A$50,密度!$C$2:$C$50)+IF(E24&lt;=0,0,1566*LOOKUP(E26,密度!$A$2:$A$50,密度!$C$2:$C$50))</f>
        <v>3473.5232391600002</v>
      </c>
      <c r="F25" s="91" ph="1">
        <f>F24*11.702*LOOKUP(F26,密度!$A$2:$A$50,密度!$Q$2:$Q$50)</f>
        <v>1430.2609182600002</v>
      </c>
      <c r="G25" s="91" ph="1">
        <f>G24*18.322*LOOKUP(G26,密度!$A$2:$A$50,密度!$B$2:$B$50)</f>
        <v>48488.476763999999</v>
      </c>
      <c r="H25" s="91" ph="1">
        <f>H24*18.322*LOOKUP(H26,密度!$A$2:$A$50,密度!$B$2:$B$50)</f>
        <v>54430.999432199998</v>
      </c>
      <c r="I25" s="91" ph="1">
        <f>I24*18.322*LOOKUP(I26,密度!$A$2:$A$50,密度!$Q$2:$Q$50)</f>
        <v>3199.6177643199999</v>
      </c>
      <c r="J25" s="91" ph="1">
        <f>J24*18.322*LOOKUP(J26,密度!$A$2:$A$50,密度!$Q$2:$Q$50)</f>
        <v>3625.34958852</v>
      </c>
      <c r="K25" s="91" ph="1">
        <f>K24*18.322*LOOKUP(K26,密度!$A$2:$A$50,密度!$Q$2:$Q$50)</f>
        <v>4305.1672443199996</v>
      </c>
      <c r="L25" s="91" ph="1">
        <f>L24*18.322*LOOKUP(L26,密度!$A$2:$A$50,密度!$Q$2:$Q$50)</f>
        <v>8152.7000316000003</v>
      </c>
      <c r="M25" s="91" ph="1">
        <f>M24*18.322*LOOKUP(M26,密度!$A$2:$A$50,密度!$Q$2:$Q$50)</f>
        <v>83760.260101439999</v>
      </c>
      <c r="N25" s="91" ph="1">
        <f>N24*18.322*LOOKUP(N26,密度!$A$2:$A$50,密度!$Q$2:$Q$50)</f>
        <v>42706.271229359998</v>
      </c>
      <c r="O25" s="91" ph="1">
        <f>O24*18.322*LOOKUP(O26,密度!$A$2:$A$50,密度!$C$2:$C$50)</f>
        <v>50813.481765800003</v>
      </c>
      <c r="P25" s="91" ph="1">
        <f>P24*11.702*LOOKUP(P26,密度!$A$2:$A$50,密度!$B$2:$B$50)</f>
        <v>7699.7100447999992</v>
      </c>
      <c r="Q25" s="92" ph="1">
        <f>Q24*18.322*LOOKUP(Q26,密度!$A$2:$A$50,密度!$B$2:$B$50)</f>
        <v>58325.686818000002</v>
      </c>
      <c r="R25" s="91" ph="1">
        <f>R24*35.891*LOOKUP(R26,密度!$A$2:$A$50,密度!$C$2:$C$50)</f>
        <v>250671.07071199999</v>
      </c>
      <c r="S25" s="91" ph="1">
        <f>S24*35.891*LOOKUP(S26,密度!$A$2:$A$50,密度!$B$2:$B$50)</f>
        <v>195545.796684</v>
      </c>
      <c r="T25" s="91" ph="1">
        <f>T24*35.891*LOOKUP(T26,密度!$A$2:$A$50,密度!$Q$2:$Q$50)</f>
        <v>17267.0990853</v>
      </c>
      <c r="U25" s="91" ph="1">
        <f>U24*35.891</f>
        <v>195785.405</v>
      </c>
      <c r="V25" s="91" ph="1">
        <f>V24*47.051*LOOKUP(V26,密度!$A$2:$A$50,密度!$B$2:$B$50)</f>
        <v>37231.173993999997</v>
      </c>
      <c r="W25" s="91" ph="1">
        <f>W24*47.051*LOOKUP(W26,密度!$A$2:$A$50,密度!$B$2:$B$50)</f>
        <v>98818.50516239999</v>
      </c>
      <c r="X25" s="91" ph="1">
        <f>X24*47.051*LOOKUP(X26,密度!$A$2:$A$61,密度!$I$2:$I$61)</f>
        <v>135658.61947499998</v>
      </c>
      <c r="Y25" s="91" ph="1">
        <f>Y24*47.051*LOOKUP(Y26,密度!$A$2:$A$50,密度!$L$2:$L$50)</f>
        <v>399421.86742600001</v>
      </c>
      <c r="Z25" s="178"/>
      <c r="AA25" s="179"/>
      <c r="AB25" s="179"/>
      <c r="AC25" s="179"/>
      <c r="AD25" s="179"/>
      <c r="AE25" s="180"/>
      <c r="AH25" s="64" ph="1">
        <v>11</v>
      </c>
      <c r="AI25" s="64" t="s" ph="1">
        <v>348</v>
      </c>
      <c r="AZ25" s="64" t="s" ph="1">
        <v>216</v>
      </c>
      <c r="BA25" s="64" ph="1">
        <v>0</v>
      </c>
      <c r="BD25" s="64" t="s" ph="1">
        <v>241</v>
      </c>
      <c r="BE25" s="64" ph="1">
        <v>8920</v>
      </c>
    </row>
    <row r="26" spans="1:57" ph="1">
      <c r="A26" s="72" ph="1"/>
      <c r="B26" s="184" ph="1"/>
      <c r="C26" s="68" t="s" ph="1">
        <v>179</v>
      </c>
      <c r="D26" s="74">
        <v>25</v>
      </c>
      <c r="E26" s="74">
        <v>25</v>
      </c>
      <c r="F26" s="74">
        <v>24</v>
      </c>
      <c r="G26" s="74">
        <v>28</v>
      </c>
      <c r="H26" s="74">
        <v>27</v>
      </c>
      <c r="I26" s="74">
        <v>22</v>
      </c>
      <c r="J26" s="74">
        <v>25</v>
      </c>
      <c r="K26" s="74">
        <v>24</v>
      </c>
      <c r="L26" s="74">
        <v>25</v>
      </c>
      <c r="M26" s="74">
        <v>27</v>
      </c>
      <c r="N26" s="74">
        <v>25</v>
      </c>
      <c r="O26" s="74">
        <v>25</v>
      </c>
      <c r="P26" s="74">
        <v>25</v>
      </c>
      <c r="Q26" s="93">
        <v>28</v>
      </c>
      <c r="R26" s="74">
        <v>30</v>
      </c>
      <c r="S26" s="74">
        <v>28</v>
      </c>
      <c r="T26" s="74">
        <v>30</v>
      </c>
      <c r="U26" s="74">
        <v>30</v>
      </c>
      <c r="V26" s="74">
        <v>25</v>
      </c>
      <c r="W26" s="74">
        <v>25</v>
      </c>
      <c r="X26" s="74">
        <v>28</v>
      </c>
      <c r="Y26" s="74">
        <v>28</v>
      </c>
      <c r="Z26" s="178"/>
      <c r="AA26" s="179"/>
      <c r="AB26" s="179"/>
      <c r="AC26" s="179"/>
      <c r="AD26" s="179"/>
      <c r="AE26" s="180"/>
      <c r="AH26" s="64" ph="1">
        <v>12</v>
      </c>
      <c r="AI26" s="64" t="s" ph="1">
        <v>349</v>
      </c>
      <c r="AZ26" s="64" t="s" ph="1">
        <v>216</v>
      </c>
      <c r="BA26" s="64" ph="1">
        <v>0</v>
      </c>
    </row>
    <row r="27" spans="1:57" ht="26.4" ph="1">
      <c r="A27" s="72" ph="1"/>
      <c r="B27" s="184" ph="1">
        <v>0.66666666666666663</v>
      </c>
      <c r="C27" s="151" t="s" ph="1">
        <v>180</v>
      </c>
      <c r="D27" s="71">
        <v>4.3099999999999996</v>
      </c>
      <c r="E27" s="71">
        <v>5.81</v>
      </c>
      <c r="F27" s="71">
        <v>129</v>
      </c>
      <c r="G27" s="71">
        <v>2801</v>
      </c>
      <c r="H27" s="71">
        <v>3408</v>
      </c>
      <c r="I27" s="71">
        <v>699</v>
      </c>
      <c r="J27" s="71">
        <v>208</v>
      </c>
      <c r="K27" s="71">
        <v>248</v>
      </c>
      <c r="L27" s="71">
        <v>469</v>
      </c>
      <c r="M27" s="71">
        <v>4833</v>
      </c>
      <c r="N27" s="71">
        <v>3583</v>
      </c>
      <c r="O27" s="71">
        <v>1477</v>
      </c>
      <c r="P27" s="71">
        <v>843</v>
      </c>
      <c r="Q27" s="90">
        <v>3142</v>
      </c>
      <c r="R27" s="71">
        <v>6319</v>
      </c>
      <c r="S27" s="71">
        <v>7008</v>
      </c>
      <c r="T27" s="71">
        <v>509</v>
      </c>
      <c r="U27" s="71">
        <v>5628</v>
      </c>
      <c r="V27" s="71">
        <v>1015</v>
      </c>
      <c r="W27" s="71">
        <v>1280</v>
      </c>
      <c r="X27" s="71">
        <v>2776</v>
      </c>
      <c r="Y27" s="71">
        <v>9812</v>
      </c>
      <c r="Z27" s="178"/>
      <c r="AA27" s="179"/>
      <c r="AB27" s="179"/>
      <c r="AC27" s="179"/>
      <c r="AD27" s="179"/>
      <c r="AE27" s="180"/>
      <c r="AH27" s="64" ph="1">
        <v>13</v>
      </c>
      <c r="AI27" s="64" t="s" ph="1">
        <v>350</v>
      </c>
      <c r="AZ27" s="64" t="s" ph="1">
        <v>216</v>
      </c>
      <c r="BA27" s="64" ph="1">
        <v>0</v>
      </c>
      <c r="BD27" s="64" t="s" ph="1">
        <v>295</v>
      </c>
      <c r="BE27" s="64" ph="1">
        <v>7100</v>
      </c>
    </row>
    <row r="28" spans="1:57" ph="1">
      <c r="A28" s="72" ph="1"/>
      <c r="B28" s="184" ph="1"/>
      <c r="C28" s="151" t="s" ph="1">
        <v>178</v>
      </c>
      <c r="D28" s="91" ph="1">
        <f>D27*268.68*LOOKUP(D29,密度!$A$2:$A$50,密度!$Q$2:$Q$50)+IF(D27&lt;=0,0,1566*LOOKUP(D29,密度!$A$2:$A$50,密度!$Q$2:$Q$50))</f>
        <v>2578.9299847920001</v>
      </c>
      <c r="E28" s="91" ph="1">
        <f>E27*268.68*LOOKUP(E29,密度!$A$2:$A$50,密度!$C$2:$C$50)+IF(E27&lt;=0,0,1566*LOOKUP(E29,密度!$A$2:$A$50,密度!$C$2:$C$50))</f>
        <v>3467.5644541199999</v>
      </c>
      <c r="F28" s="91" ph="1">
        <f>F27*11.702*LOOKUP(F29,密度!$A$2:$A$50,密度!$Q$2:$Q$50)</f>
        <v>1425.9586779599999</v>
      </c>
      <c r="G28" s="91" ph="1">
        <f>G27*18.322*LOOKUP(G29,密度!$A$2:$A$50,密度!$B$2:$B$50)</f>
        <v>39788.3355266</v>
      </c>
      <c r="H28" s="91" ph="1">
        <f>H27*18.322*LOOKUP(H29,密度!$A$2:$A$50,密度!$B$2:$B$50)</f>
        <v>48410.7988128</v>
      </c>
      <c r="I28" s="91" ph="1">
        <f>I27*18.322*LOOKUP(I29,密度!$A$2:$A$50,密度!$Q$2:$Q$50)</f>
        <v>12106.786974959999</v>
      </c>
      <c r="J28" s="91" ph="1">
        <f>J27*18.322*LOOKUP(J29,密度!$A$2:$A$50,密度!$Q$2:$Q$50)</f>
        <v>3595.0079900799997</v>
      </c>
      <c r="K28" s="91" ph="1">
        <f>K27*18.322*LOOKUP(K29,密度!$A$2:$A$50,密度!$Q$2:$Q$50)</f>
        <v>4292.2172547199998</v>
      </c>
      <c r="L28" s="91" ph="1">
        <f>L27*18.322*LOOKUP(L29,密度!$A$2:$A$50,密度!$Q$2:$Q$50)</f>
        <v>8123.1517757600004</v>
      </c>
      <c r="M28" s="91" ph="1">
        <f>M27*18.322*LOOKUP(M29,密度!$A$2:$A$50,密度!$Q$2:$Q$50)</f>
        <v>83585.214828180004</v>
      </c>
      <c r="N28" s="91" ph="1">
        <f>N27*18.322*LOOKUP(N29,密度!$A$2:$A$50,密度!$Q$2:$Q$50)</f>
        <v>62012.154934119993</v>
      </c>
      <c r="O28" s="91" ph="1">
        <f>O27*18.322*LOOKUP(O29,密度!$A$2:$A$50,密度!$C$2:$C$50)</f>
        <v>30008.601586599998</v>
      </c>
      <c r="P28" s="91" ph="1">
        <f>P27*11.702*LOOKUP(P29,密度!$A$2:$A$50,密度!$B$2:$B$50)</f>
        <v>7681.7088581999997</v>
      </c>
      <c r="Q28" s="92" ph="1">
        <f>Q27*18.322*LOOKUP(Q29,密度!$A$2:$A$50,密度!$B$2:$B$50)</f>
        <v>44632.256417199998</v>
      </c>
      <c r="R28" s="91" ph="1">
        <f>R27*35.891*LOOKUP(R29,密度!$A$2:$A$50,密度!$C$2:$C$50)</f>
        <v>249678.86760609999</v>
      </c>
      <c r="S28" s="91" ph="1">
        <f>S27*35.891*LOOKUP(S29,密度!$A$2:$A$50,密度!$B$2:$B$50)</f>
        <v>195006.65643840001</v>
      </c>
      <c r="T28" s="91" ph="1">
        <f>T27*35.891*LOOKUP(T29,密度!$A$2:$A$50,密度!$Q$2:$Q$50)</f>
        <v>17233.24202827</v>
      </c>
      <c r="U28" s="91" ph="1">
        <f>U27*35.891</f>
        <v>201994.54799999998</v>
      </c>
      <c r="V28" s="91" ph="1">
        <f>V27*47.051*LOOKUP(V29,密度!$A$2:$A$50,密度!$B$2:$B$50)</f>
        <v>37231.173993999997</v>
      </c>
      <c r="W28" s="91" ph="1">
        <f>W27*47.051*LOOKUP(W29,密度!$A$2:$A$50,密度!$B$2:$B$50)</f>
        <v>46951.628288</v>
      </c>
      <c r="X28" s="91" ph="1">
        <f>X27*47.051*LOOKUP(X29,密度!$A$2:$A$61,密度!$I$2:$I$61)</f>
        <v>135707.50546399999</v>
      </c>
      <c r="Y28" s="91" ph="1">
        <f>Y27*47.051*LOOKUP(Y29,密度!$A$2:$A$50,密度!$L$2:$L$50)</f>
        <v>430271.23198400001</v>
      </c>
      <c r="Z28" s="178"/>
      <c r="AA28" s="179"/>
      <c r="AB28" s="179"/>
      <c r="AC28" s="179"/>
      <c r="AD28" s="179"/>
      <c r="AE28" s="180"/>
      <c r="AH28" s="64" ph="1">
        <v>14</v>
      </c>
      <c r="AI28" s="64" t="s" ph="1">
        <v>351</v>
      </c>
      <c r="AZ28" s="64" t="s" ph="1">
        <v>216</v>
      </c>
      <c r="BA28" s="64" ph="1">
        <v>0</v>
      </c>
    </row>
    <row r="29" spans="1:57" ph="1">
      <c r="A29" s="72" ph="1"/>
      <c r="B29" s="184" ph="1"/>
      <c r="C29" s="151" t="s" ph="1">
        <v>179</v>
      </c>
      <c r="D29" s="74">
        <v>25</v>
      </c>
      <c r="E29" s="74">
        <v>25</v>
      </c>
      <c r="F29" s="74">
        <v>28</v>
      </c>
      <c r="G29" s="74">
        <v>30</v>
      </c>
      <c r="H29" s="74">
        <v>30</v>
      </c>
      <c r="I29" s="74">
        <v>27</v>
      </c>
      <c r="J29" s="74">
        <v>30</v>
      </c>
      <c r="K29" s="74">
        <v>28</v>
      </c>
      <c r="L29" s="74">
        <v>27</v>
      </c>
      <c r="M29" s="74">
        <v>29</v>
      </c>
      <c r="N29" s="74">
        <v>28</v>
      </c>
      <c r="O29" s="74">
        <v>25</v>
      </c>
      <c r="P29" s="74">
        <v>26</v>
      </c>
      <c r="Q29" s="93">
        <v>30</v>
      </c>
      <c r="R29" s="74">
        <v>34</v>
      </c>
      <c r="S29" s="74">
        <v>30</v>
      </c>
      <c r="T29" s="74">
        <v>30</v>
      </c>
      <c r="U29" s="74">
        <v>25</v>
      </c>
      <c r="V29" s="74">
        <v>25</v>
      </c>
      <c r="W29" s="74">
        <v>25</v>
      </c>
      <c r="X29" s="74">
        <v>28</v>
      </c>
      <c r="Y29" s="74">
        <v>30</v>
      </c>
      <c r="Z29" s="181"/>
      <c r="AA29" s="182"/>
      <c r="AB29" s="182"/>
      <c r="AC29" s="182"/>
      <c r="AD29" s="182"/>
      <c r="AE29" s="183"/>
      <c r="AH29" s="64" ph="1">
        <v>15</v>
      </c>
      <c r="AI29" s="64" t="s" ph="1">
        <v>352</v>
      </c>
      <c r="AZ29" s="64" t="s" ph="1">
        <v>216</v>
      </c>
      <c r="BA29" s="64" ph="1">
        <v>0</v>
      </c>
      <c r="BD29" s="64" t="s" ph="1">
        <v>353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354</v>
      </c>
      <c r="AZ30" s="64" t="s" ph="1">
        <v>216</v>
      </c>
      <c r="BA30" s="64" ph="1">
        <v>0</v>
      </c>
    </row>
    <row r="31" spans="1:57" ht="28.2" ph="1">
      <c r="A31" s="64"/>
      <c r="B31" s="197" t="s" ph="1">
        <v>35</v>
      </c>
      <c r="C31" s="198" ph="1"/>
      <c r="D31" s="201" t="s" ph="1">
        <v>9</v>
      </c>
      <c r="E31" s="190" ph="1"/>
      <c r="F31" s="191" ph="1"/>
      <c r="G31" s="201" t="s" ph="1">
        <v>18</v>
      </c>
      <c r="H31" s="190" ph="1"/>
      <c r="I31" s="191" ph="1"/>
      <c r="J31" s="189" t="s" ph="1">
        <v>1</v>
      </c>
      <c r="K31" s="190" ph="1"/>
      <c r="L31" s="191" ph="1"/>
      <c r="M31" s="189" t="s" ph="1">
        <v>7</v>
      </c>
      <c r="N31" s="190" ph="1"/>
      <c r="O31" s="191" ph="1"/>
      <c r="P31" s="189" t="s" ph="1">
        <v>41</v>
      </c>
      <c r="Q31" s="190"/>
      <c r="R31" s="191"/>
      <c r="S31" s="189" t="s" ph="1">
        <v>2</v>
      </c>
      <c r="T31" s="190"/>
      <c r="U31" s="191"/>
      <c r="V31" s="189" t="s" ph="1">
        <v>71</v>
      </c>
      <c r="W31" s="190" ph="1"/>
      <c r="X31" s="191" ph="1"/>
      <c r="Y31" s="189" t="s" ph="1">
        <v>3</v>
      </c>
      <c r="Z31" s="190" ph="1"/>
      <c r="AA31" s="191" ph="1"/>
      <c r="AB31" s="212" t="s">
        <v>42</v>
      </c>
      <c r="AC31" s="213"/>
      <c r="AD31" s="213"/>
      <c r="AE31" s="214"/>
      <c r="AH31" s="64" ph="1">
        <v>17</v>
      </c>
      <c r="AI31" s="64" t="s" ph="1">
        <v>355</v>
      </c>
      <c r="AZ31" s="64" t="s" ph="1">
        <v>216</v>
      </c>
      <c r="BA31" s="64" ph="1">
        <v>0</v>
      </c>
      <c r="BD31" s="64" t="s" ph="1">
        <v>356</v>
      </c>
      <c r="BE31" s="64" ph="1">
        <v>9310</v>
      </c>
    </row>
    <row r="32" spans="1:57" ph="1">
      <c r="A32" s="64"/>
      <c r="B32" s="199" ph="1"/>
      <c r="C32" s="200" ph="1"/>
      <c r="D32" s="96" t="s" ph="1">
        <v>4</v>
      </c>
      <c r="E32" s="151" t="s" ph="1">
        <v>5</v>
      </c>
      <c r="F32" s="152" t="s" ph="1">
        <v>43</v>
      </c>
      <c r="G32" s="97" t="s" ph="1">
        <v>4</v>
      </c>
      <c r="H32" s="151" t="s" ph="1">
        <v>5</v>
      </c>
      <c r="I32" s="152" t="s" ph="1">
        <v>43</v>
      </c>
      <c r="J32" s="97" t="s" ph="1">
        <v>4</v>
      </c>
      <c r="K32" s="151" t="s" ph="1">
        <v>5</v>
      </c>
      <c r="L32" s="152" t="s" ph="1">
        <v>43</v>
      </c>
      <c r="M32" s="97" t="s" ph="1">
        <v>4</v>
      </c>
      <c r="N32" s="151" t="s" ph="1">
        <v>5</v>
      </c>
      <c r="O32" s="152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51" t="s" ph="1">
        <v>5</v>
      </c>
      <c r="U32" s="99" t="s" ph="1">
        <v>43</v>
      </c>
      <c r="V32" s="97" t="s" ph="1">
        <v>4</v>
      </c>
      <c r="W32" s="151" t="s" ph="1">
        <v>5</v>
      </c>
      <c r="X32" s="99" t="s" ph="1">
        <v>43</v>
      </c>
      <c r="Y32" s="100" t="s" ph="1">
        <v>4</v>
      </c>
      <c r="Z32" s="151" t="s" ph="1">
        <v>5</v>
      </c>
      <c r="AA32" s="152" t="s" ph="1">
        <v>43</v>
      </c>
      <c r="AB32" s="97" t="s" ph="1">
        <v>85</v>
      </c>
      <c r="AC32" s="151" t="s" ph="1">
        <v>84</v>
      </c>
      <c r="AD32" s="215" t="s" ph="1">
        <v>83</v>
      </c>
      <c r="AE32" s="216"/>
      <c r="AH32" s="64" ph="1">
        <v>18</v>
      </c>
      <c r="AI32" s="64" t="s" ph="1">
        <v>357</v>
      </c>
      <c r="AZ32" s="64" t="s" ph="1">
        <v>216</v>
      </c>
      <c r="BA32" s="64" ph="1">
        <v>0</v>
      </c>
    </row>
    <row r="33" spans="1:57" ph="1">
      <c r="A33" s="64"/>
      <c r="B33" s="202" t="s" ph="1">
        <v>181</v>
      </c>
      <c r="C33" s="203" ph="1"/>
      <c r="D33" s="206" ph="1">
        <f>AA10+AB10+Z19</f>
        <v>80164.127043800007</v>
      </c>
      <c r="E33" s="206" ph="1">
        <f>M10+I10</f>
        <v>229465.55415160002</v>
      </c>
      <c r="F33" s="208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1522252632456786910111213141516171819202123456789101112131415161718192022232424356789101112131415161718192021222345678910111213141516171819202345678910111213149101516171819222123234567891012131415161711181920212224252345678910111213138[[#This Row],[F25]]</f>
        <v>3880</v>
      </c>
      <c r="G33" s="210" ph="1">
        <f>N19</f>
        <v>32788.707704</v>
      </c>
      <c r="H33" s="206" ph="1">
        <f>M19</f>
        <v>28724.375856000002</v>
      </c>
      <c r="I33" s="219" ph="1">
        <v>0</v>
      </c>
      <c r="J33" s="217" ph="1">
        <f>F10+O28</f>
        <v>244900.9131946</v>
      </c>
      <c r="K33" s="206" ph="1">
        <f>O10+K10+E28+R28</f>
        <v>388768.37920701999</v>
      </c>
      <c r="L33" s="221" ph="1">
        <f>K19</f>
        <v>22913.050111379998</v>
      </c>
      <c r="M33" s="217" ph="1">
        <f>G10+H10+W28+S28+V28+E10+R19+P28+Q28</f>
        <v>945636.08367941983</v>
      </c>
      <c r="N33" s="206" ph="1">
        <f>L10+P10++G28+H28+AD19+AE19</f>
        <v>161770.55002659999</v>
      </c>
      <c r="O33" s="219" ph="1">
        <f>G19</f>
        <v>29812.188086239996</v>
      </c>
      <c r="P33" s="217" ph="1">
        <f>L19</f>
        <v>12018.32038352</v>
      </c>
      <c r="Q33" s="206" ph="1">
        <f>J10+N10</f>
        <v>6305.7750551999998</v>
      </c>
      <c r="R33" s="219" ph="1">
        <f>BE23</f>
        <v>890</v>
      </c>
      <c r="S33" s="217" ph="1">
        <f>X28</f>
        <v>135707.50546399999</v>
      </c>
      <c r="T33" s="206" ph="1">
        <f>X19</f>
        <v>18364.86722588</v>
      </c>
      <c r="U33" s="227" ph="1">
        <f>BE21</f>
        <v>730</v>
      </c>
      <c r="V33" s="238" ph="1">
        <f ca="1">P19+Q19+S19+M28+N28+J28+D10+AC10+D19+E19+H19+J19+O19+V19+W19+K28+L28</f>
        <v>563332.01918326993</v>
      </c>
      <c r="W33" s="238" ph="1">
        <f>D28+F28+T28+I28</f>
        <v>33344.917665982</v>
      </c>
      <c r="X33" s="219" ph="1">
        <f>BE29+BE31</f>
        <v>10200</v>
      </c>
      <c r="Y33" s="240" ph="1">
        <f>+Q10+R10+S10+T10+U10+V10+W10+X10+Y10</f>
        <v>282649.49281800003</v>
      </c>
      <c r="Z33" s="225" ph="1">
        <f>T19+U19+Y28+Z10</f>
        <v>584795.27883895999</v>
      </c>
      <c r="AA33" s="227" ph="1">
        <f>BE19</f>
        <v>1440</v>
      </c>
      <c r="AB33" s="229" ph="1">
        <f>I19</f>
        <v>50069.786094999996</v>
      </c>
      <c r="AC33" s="231" ph="1">
        <f>AD10+AB19</f>
        <v>108686.81596640001</v>
      </c>
      <c r="AD33" s="233" ph="1">
        <v>0</v>
      </c>
      <c r="AE33" s="234"/>
      <c r="AH33" s="64" ph="1">
        <v>19</v>
      </c>
      <c r="AI33" s="64" t="s" ph="1">
        <v>358</v>
      </c>
      <c r="AJ33" s="64" t="s" ph="1">
        <v>592</v>
      </c>
      <c r="AK33" s="64" t="s" ph="1">
        <v>589</v>
      </c>
      <c r="AL33" s="64" ph="1">
        <v>730</v>
      </c>
      <c r="AM33" s="64" t="s" ph="1">
        <v>339</v>
      </c>
      <c r="AZ33" s="64" t="s" ph="1">
        <v>216</v>
      </c>
      <c r="BA33" s="64" ph="1">
        <v>730</v>
      </c>
      <c r="BD33" s="64" t="s" ph="1">
        <v>290</v>
      </c>
      <c r="BE33" s="64" ph="1">
        <v>3880</v>
      </c>
    </row>
    <row r="34" spans="1:57" ph="1">
      <c r="A34" s="64"/>
      <c r="B34" s="204" ph="1"/>
      <c r="C34" s="205" ph="1"/>
      <c r="D34" s="207" ph="1"/>
      <c r="E34" s="207" ph="1"/>
      <c r="F34" s="209" ph="1"/>
      <c r="G34" s="211" ph="1"/>
      <c r="H34" s="207" ph="1"/>
      <c r="I34" s="220" ph="1"/>
      <c r="J34" s="218" ph="1"/>
      <c r="K34" s="207" ph="1"/>
      <c r="L34" s="222" ph="1"/>
      <c r="M34" s="218" ph="1"/>
      <c r="N34" s="207" ph="1"/>
      <c r="O34" s="220" ph="1"/>
      <c r="P34" s="218" ph="1"/>
      <c r="Q34" s="207" ph="1"/>
      <c r="R34" s="220" ph="1"/>
      <c r="S34" s="218" ph="1"/>
      <c r="T34" s="207"/>
      <c r="U34" s="228"/>
      <c r="V34" s="239" ph="1"/>
      <c r="W34" s="239" ph="1"/>
      <c r="X34" s="220" ph="1"/>
      <c r="Y34" s="241" ph="1"/>
      <c r="Z34" s="226" ph="1"/>
      <c r="AA34" s="228" ph="1"/>
      <c r="AB34" s="230"/>
      <c r="AC34" s="232"/>
      <c r="AD34" s="235"/>
      <c r="AE34" s="236"/>
      <c r="AH34" s="64" ph="1">
        <v>20</v>
      </c>
      <c r="AI34" s="64" t="s" ph="1">
        <v>359</v>
      </c>
      <c r="AJ34" s="64" t="s" ph="1">
        <v>593</v>
      </c>
      <c r="AK34" s="64" t="s" ph="1">
        <v>589</v>
      </c>
      <c r="AL34" s="64" ph="1">
        <v>720</v>
      </c>
      <c r="AM34" s="64" t="s" ph="1">
        <v>339</v>
      </c>
      <c r="AZ34" s="64" t="s" ph="1">
        <v>216</v>
      </c>
      <c r="BA34" s="64" ph="1">
        <v>720</v>
      </c>
    </row>
    <row r="35" spans="1:57" ph="1">
      <c r="A35" s="64"/>
      <c r="AC35" s="237" t="s" ph="1">
        <v>631</v>
      </c>
      <c r="AD35" s="237"/>
      <c r="AE35" s="237"/>
      <c r="AH35" s="64" ph="1">
        <v>21</v>
      </c>
      <c r="AI35" s="64" t="s" ph="1">
        <v>360</v>
      </c>
      <c r="AZ35" s="64" t="s" ph="1">
        <v>216</v>
      </c>
      <c r="BA35" s="64" ph="1">
        <v>0</v>
      </c>
      <c r="BD35" s="64" t="s" ph="1">
        <v>361</v>
      </c>
      <c r="BE35" s="64" ph="1">
        <v>2030</v>
      </c>
    </row>
    <row r="36" spans="1:57" ht="28.2" ph="1">
      <c r="A36" s="64"/>
      <c r="B36" s="103" t="s" ph="1">
        <v>182</v>
      </c>
      <c r="I36" s="223" t="s" ph="1">
        <v>183</v>
      </c>
      <c r="J36" s="223" ph="1"/>
      <c r="K36" s="101" ph="1"/>
      <c r="P36" s="101" ph="1"/>
      <c r="R36" s="223" t="s" ph="1">
        <v>184</v>
      </c>
      <c r="S36" s="223" ph="1"/>
      <c r="Y36" s="102" ph="1"/>
      <c r="Z36" s="153" t="s" ph="1">
        <v>185</v>
      </c>
      <c r="AA36" s="153" ph="1"/>
      <c r="AB36" s="224" t="s" ph="1">
        <v>640</v>
      </c>
      <c r="AC36" s="224" ph="1"/>
      <c r="AD36" s="224" ph="1"/>
      <c r="AE36" s="224" ph="1"/>
      <c r="BA36" s="64" ph="1">
        <v>2270</v>
      </c>
    </row>
    <row r="37" spans="1:57" s="153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53" t="s" ph="1">
        <v>342</v>
      </c>
      <c r="AI37" s="153" t="s" ph="1">
        <v>209</v>
      </c>
      <c r="AJ37" s="153" t="s" ph="1">
        <v>210</v>
      </c>
      <c r="AK37" s="153" t="s" ph="1">
        <v>211</v>
      </c>
      <c r="AM37" s="153" t="s" ph="1">
        <v>210</v>
      </c>
      <c r="AN37" s="153" t="s" ph="1">
        <v>211</v>
      </c>
      <c r="AO37" s="153" t="s" ph="1">
        <v>212</v>
      </c>
      <c r="AP37" s="153" t="s" ph="1">
        <v>210</v>
      </c>
      <c r="AQ37" s="153" t="s" ph="1">
        <v>211</v>
      </c>
      <c r="AR37" s="153" t="s" ph="1">
        <v>212</v>
      </c>
      <c r="AS37" s="153" t="s" ph="1">
        <v>210</v>
      </c>
      <c r="AT37" s="153" t="s" ph="1">
        <v>211</v>
      </c>
      <c r="AU37" s="153" t="s" ph="1">
        <v>212</v>
      </c>
      <c r="AV37" s="153" t="s" ph="1">
        <v>210</v>
      </c>
      <c r="AW37" s="153" t="s" ph="1">
        <v>211</v>
      </c>
      <c r="AX37" s="153" t="s" ph="1">
        <v>212</v>
      </c>
      <c r="AY37" s="153" t="s" ph="1">
        <v>211</v>
      </c>
      <c r="AZ37" s="153" t="s" ph="1">
        <v>213</v>
      </c>
      <c r="BD37" s="153" t="s" ph="1">
        <v>305</v>
      </c>
      <c r="BE37" s="153" ph="1">
        <v>0</v>
      </c>
    </row>
    <row r="38" spans="1:57" ph="1">
      <c r="AE38" s="64" ph="1"/>
      <c r="AH38" s="64" ph="1">
        <v>1</v>
      </c>
      <c r="AI38" s="64" t="s" ph="1">
        <v>362</v>
      </c>
      <c r="AY38" s="64" t="s" ph="1">
        <v>216</v>
      </c>
      <c r="AZ38" s="64" t="s" ph="1">
        <v>367</v>
      </c>
    </row>
    <row r="39" spans="1:57" ph="1">
      <c r="AH39" s="64" ph="1">
        <v>2</v>
      </c>
      <c r="AI39" s="64" t="s" ph="1">
        <v>364</v>
      </c>
      <c r="AJ39" s="64" t="s" ph="1">
        <v>336</v>
      </c>
      <c r="AK39" s="64" t="s" ph="1">
        <v>365</v>
      </c>
      <c r="AM39" s="64" t="s" ph="1">
        <v>570</v>
      </c>
      <c r="AN39" s="64" t="s" ph="1">
        <v>228</v>
      </c>
      <c r="AO39" s="64" t="s" ph="1">
        <v>363</v>
      </c>
      <c r="AY39" s="64" t="s" ph="1">
        <v>216</v>
      </c>
      <c r="AZ39" s="64" t="s" ph="1">
        <v>499</v>
      </c>
    </row>
    <row r="40" spans="1:57" ph="1">
      <c r="AH40" s="64" ph="1">
        <v>3</v>
      </c>
      <c r="AI40" s="64" t="s" ph="1">
        <v>366</v>
      </c>
      <c r="AJ40" s="64" t="s" ph="1">
        <v>570</v>
      </c>
      <c r="AK40" s="64" t="s" ph="1">
        <v>571</v>
      </c>
      <c r="AY40" s="64" t="s" ph="1">
        <v>216</v>
      </c>
      <c r="AZ40" s="64" t="s" ph="1">
        <v>571</v>
      </c>
    </row>
    <row r="41" spans="1:57" ph="1">
      <c r="AH41" s="64" ph="1">
        <v>4</v>
      </c>
      <c r="AI41" s="64" t="s" ph="1">
        <v>368</v>
      </c>
      <c r="AJ41" s="64" t="s" ph="1">
        <v>572</v>
      </c>
      <c r="AK41" s="64" t="s" ph="1">
        <v>573</v>
      </c>
      <c r="AM41" s="64" t="s" ph="1">
        <v>574</v>
      </c>
      <c r="AY41" s="64" t="s" ph="1">
        <v>216</v>
      </c>
      <c r="AZ41" s="64" t="s" ph="1">
        <v>573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369</v>
      </c>
      <c r="AY42" s="64" t="s" ph="1">
        <v>216</v>
      </c>
      <c r="AZ42" s="64" t="s" ph="1">
        <v>367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370</v>
      </c>
      <c r="AY43" s="64" t="s" ph="1">
        <v>216</v>
      </c>
      <c r="AZ43" s="64" t="s" ph="1">
        <v>367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371</v>
      </c>
      <c r="AV44" s="64" t="s" ph="1">
        <v>217</v>
      </c>
      <c r="AY44" s="64" t="s" ph="1">
        <v>216</v>
      </c>
      <c r="AZ44" s="64" t="s" ph="1">
        <v>367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372</v>
      </c>
      <c r="AV45" s="64" t="s" ph="1">
        <v>217</v>
      </c>
      <c r="AY45" s="64" t="s" ph="1">
        <v>216</v>
      </c>
      <c r="AZ45" s="64" t="s" ph="1">
        <v>367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373</v>
      </c>
      <c r="AV46" s="64" t="s" ph="1">
        <v>217</v>
      </c>
      <c r="AY46" s="64" t="s" ph="1">
        <v>216</v>
      </c>
      <c r="AZ46" s="64" t="s" ph="1">
        <v>367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374</v>
      </c>
      <c r="AV47" s="64" t="s" ph="1">
        <v>217</v>
      </c>
      <c r="AY47" s="64" t="s" ph="1">
        <v>216</v>
      </c>
      <c r="AZ47" s="64" t="s" ph="1">
        <v>367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575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232</v>
      </c>
      <c r="AI49" s="64" t="s" ph="1">
        <v>209</v>
      </c>
      <c r="AJ49" s="64" t="s" ph="1">
        <v>210</v>
      </c>
      <c r="AK49" s="64" t="s" ph="1">
        <v>211</v>
      </c>
      <c r="AM49" s="64" t="s" ph="1">
        <v>210</v>
      </c>
      <c r="AN49" s="64" t="s" ph="1">
        <v>211</v>
      </c>
      <c r="AO49" s="64" t="s" ph="1">
        <v>212</v>
      </c>
      <c r="AP49" s="64" t="s" ph="1">
        <v>210</v>
      </c>
      <c r="AQ49" s="64" t="s" ph="1">
        <v>211</v>
      </c>
      <c r="AR49" s="64" t="s" ph="1">
        <v>212</v>
      </c>
      <c r="AS49" s="64" t="s" ph="1">
        <v>210</v>
      </c>
      <c r="AT49" s="64" t="s" ph="1">
        <v>211</v>
      </c>
      <c r="AU49" s="64" t="s" ph="1">
        <v>212</v>
      </c>
      <c r="AV49" s="64" t="s" ph="1">
        <v>210</v>
      </c>
      <c r="AW49" s="64" t="s" ph="1">
        <v>211</v>
      </c>
      <c r="AX49" s="64" t="s" ph="1">
        <v>212</v>
      </c>
      <c r="AY49" s="64" t="s" ph="1">
        <v>211</v>
      </c>
      <c r="AZ49" s="64" t="s" ph="1">
        <v>213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375</v>
      </c>
      <c r="AY50" s="64" t="s" ph="1">
        <v>216</v>
      </c>
      <c r="AZ50" s="64" t="s" ph="1">
        <v>367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376</v>
      </c>
      <c r="AY51" s="64" t="s" ph="1">
        <v>216</v>
      </c>
      <c r="AZ51" s="64" t="s" ph="1">
        <v>367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377</v>
      </c>
      <c r="AJ52" s="64" t="s" ph="1">
        <v>334</v>
      </c>
      <c r="AK52" s="64" t="s" ph="1">
        <v>228</v>
      </c>
      <c r="AM52" s="64" t="s" ph="1">
        <v>336</v>
      </c>
      <c r="AN52" s="64" t="s" ph="1">
        <v>300</v>
      </c>
      <c r="AO52" s="64" t="s" ph="1">
        <v>233</v>
      </c>
      <c r="AP52" s="64" t="s" ph="1">
        <v>570</v>
      </c>
      <c r="AQ52" s="64" t="s" ph="1">
        <v>282</v>
      </c>
      <c r="AR52" s="64" t="s" ph="1">
        <v>233</v>
      </c>
      <c r="AY52" s="64" t="s" ph="1">
        <v>216</v>
      </c>
      <c r="AZ52" s="64" t="s" ph="1">
        <v>576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378</v>
      </c>
      <c r="AY53" s="64" t="s" ph="1">
        <v>216</v>
      </c>
      <c r="AZ53" s="64" t="s" ph="1">
        <v>367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379</v>
      </c>
      <c r="AJ54" s="64" t="s" ph="1">
        <v>334</v>
      </c>
      <c r="AK54" s="64" t="s" ph="1">
        <v>219</v>
      </c>
      <c r="AM54" s="64" t="s" ph="1">
        <v>336</v>
      </c>
      <c r="AN54" s="64" t="s" ph="1">
        <v>224</v>
      </c>
      <c r="AO54" s="64" t="s" ph="1">
        <v>233</v>
      </c>
      <c r="AP54" s="64" t="s" ph="1">
        <v>570</v>
      </c>
      <c r="AQ54" s="64" t="s" ph="1">
        <v>240</v>
      </c>
      <c r="AR54" s="64" t="s" ph="1">
        <v>233</v>
      </c>
      <c r="AY54" s="64" t="s" ph="1">
        <v>216</v>
      </c>
      <c r="AZ54" s="64" t="s" ph="1">
        <v>234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380</v>
      </c>
      <c r="AY55" s="64" t="s" ph="1">
        <v>216</v>
      </c>
      <c r="AZ55" s="64" t="s" ph="1">
        <v>367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381</v>
      </c>
      <c r="AY56" s="64" t="s" ph="1">
        <v>216</v>
      </c>
      <c r="AZ56" s="64" t="s" ph="1">
        <v>367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382</v>
      </c>
      <c r="AY57" s="64" t="s" ph="1">
        <v>216</v>
      </c>
      <c r="AZ57" s="64" t="s" ph="1">
        <v>367</v>
      </c>
    </row>
    <row r="58" spans="16:52" ph="1">
      <c r="P58" s="64"/>
      <c r="AN58" s="64" t="s" ph="1">
        <v>217</v>
      </c>
      <c r="AZ58" s="64" t="s" ph="1">
        <v>577</v>
      </c>
    </row>
    <row r="59" spans="16:52" ph="1">
      <c r="V59" s="64"/>
      <c r="AG59" s="64" t="s" ph="1">
        <v>235</v>
      </c>
      <c r="AI59" s="64" t="s" ph="1">
        <v>209</v>
      </c>
      <c r="AJ59" s="64" t="s" ph="1">
        <v>210</v>
      </c>
      <c r="AK59" s="64" t="s" ph="1">
        <v>211</v>
      </c>
      <c r="AM59" s="64" t="s" ph="1">
        <v>210</v>
      </c>
      <c r="AN59" s="64" t="s" ph="1">
        <v>211</v>
      </c>
      <c r="AO59" s="64" t="s" ph="1">
        <v>212</v>
      </c>
      <c r="AP59" s="64" t="s" ph="1">
        <v>210</v>
      </c>
      <c r="AQ59" s="64" t="s" ph="1">
        <v>211</v>
      </c>
      <c r="AR59" s="64" t="s" ph="1">
        <v>212</v>
      </c>
      <c r="AS59" s="64" t="s" ph="1">
        <v>210</v>
      </c>
      <c r="AT59" s="64" t="s" ph="1">
        <v>211</v>
      </c>
      <c r="AU59" s="64" t="s" ph="1">
        <v>212</v>
      </c>
      <c r="AV59" s="64" t="s" ph="1">
        <v>210</v>
      </c>
      <c r="AW59" s="64" t="s" ph="1">
        <v>211</v>
      </c>
      <c r="AX59" s="64" t="s" ph="1">
        <v>212</v>
      </c>
      <c r="AY59" s="64" t="s" ph="1">
        <v>211</v>
      </c>
      <c r="AZ59" s="64" t="s" ph="1">
        <v>213</v>
      </c>
    </row>
    <row r="60" spans="16:52" ph="1">
      <c r="R60" s="64"/>
      <c r="S60" s="64"/>
      <c r="T60" s="64"/>
      <c r="AH60" s="64" ph="1">
        <v>1</v>
      </c>
      <c r="AI60" s="64" t="s" ph="1">
        <v>383</v>
      </c>
      <c r="AY60" s="64" t="s" ph="1">
        <v>216</v>
      </c>
      <c r="AZ60" s="64" t="s" ph="1">
        <v>367</v>
      </c>
    </row>
    <row r="61" spans="16:52" ph="1">
      <c r="AH61" s="64" ph="1">
        <v>2</v>
      </c>
      <c r="AI61" s="64" t="s" ph="1">
        <v>384</v>
      </c>
      <c r="AS61" s="64" t="s" ph="1">
        <v>217</v>
      </c>
      <c r="AY61" s="64" t="s" ph="1">
        <v>216</v>
      </c>
      <c r="AZ61" s="64" t="s" ph="1">
        <v>367</v>
      </c>
    </row>
    <row r="62" spans="16:52" ph="1">
      <c r="AZ62" s="64" t="s" ph="1">
        <v>385</v>
      </c>
    </row>
    <row r="63" spans="16:52" ph="1">
      <c r="AG63" s="64" t="s" ph="1">
        <v>238</v>
      </c>
      <c r="AI63" s="64" t="s" ph="1">
        <v>209</v>
      </c>
      <c r="AJ63" s="64" t="s" ph="1">
        <v>210</v>
      </c>
      <c r="AK63" s="64" t="s" ph="1">
        <v>211</v>
      </c>
      <c r="AM63" s="64" t="s" ph="1">
        <v>210</v>
      </c>
      <c r="AN63" s="64" t="s" ph="1">
        <v>211</v>
      </c>
      <c r="AO63" s="64" t="s" ph="1">
        <v>212</v>
      </c>
      <c r="AP63" s="64" t="s" ph="1">
        <v>210</v>
      </c>
      <c r="AQ63" s="64" t="s" ph="1">
        <v>211</v>
      </c>
      <c r="AR63" s="64" t="s" ph="1">
        <v>212</v>
      </c>
      <c r="AS63" s="64" t="s" ph="1">
        <v>210</v>
      </c>
      <c r="AT63" s="64" t="s" ph="1">
        <v>211</v>
      </c>
      <c r="AU63" s="64" t="s" ph="1">
        <v>212</v>
      </c>
      <c r="AV63" s="64" t="s" ph="1">
        <v>210</v>
      </c>
      <c r="AW63" s="64" t="s" ph="1">
        <v>211</v>
      </c>
      <c r="AX63" s="64" t="s" ph="1">
        <v>212</v>
      </c>
      <c r="AY63" s="64" t="s" ph="1">
        <v>211</v>
      </c>
      <c r="AZ63" s="64" t="s" ph="1">
        <v>213</v>
      </c>
    </row>
    <row r="64" spans="16:52" ph="1">
      <c r="AH64" s="64" ph="1">
        <v>1</v>
      </c>
      <c r="AI64" s="64" t="s" ph="1">
        <v>386</v>
      </c>
      <c r="AJ64" s="64" t="s" ph="1">
        <v>387</v>
      </c>
      <c r="AK64" s="64" t="s" ph="1">
        <v>388</v>
      </c>
      <c r="AY64" s="64" t="s" ph="1">
        <v>216</v>
      </c>
      <c r="AZ64" s="64" t="s" ph="1">
        <v>388</v>
      </c>
    </row>
    <row r="65" spans="33:52" ph="1">
      <c r="AH65" s="64" ph="1">
        <v>2</v>
      </c>
      <c r="AI65" s="64" t="s" ph="1">
        <v>389</v>
      </c>
      <c r="AY65" s="64" t="s" ph="1">
        <v>216</v>
      </c>
      <c r="AZ65" s="64" t="s" ph="1">
        <v>367</v>
      </c>
    </row>
    <row r="66" spans="33:52" ph="1">
      <c r="AH66" s="64" ph="1">
        <v>3</v>
      </c>
      <c r="AI66" s="64" t="s" ph="1">
        <v>390</v>
      </c>
      <c r="AY66" s="64" t="s" ph="1">
        <v>216</v>
      </c>
      <c r="AZ66" s="64" t="s" ph="1">
        <v>367</v>
      </c>
    </row>
    <row r="67" spans="33:52" ph="1">
      <c r="AH67" s="64" ph="1">
        <v>4</v>
      </c>
      <c r="AI67" s="64" t="s" ph="1">
        <v>391</v>
      </c>
      <c r="AY67" s="64" t="s" ph="1">
        <v>216</v>
      </c>
      <c r="AZ67" s="64" t="s" ph="1">
        <v>367</v>
      </c>
    </row>
    <row r="68" spans="33:52" ph="1">
      <c r="AH68" s="64" ph="1">
        <v>5</v>
      </c>
      <c r="AI68" s="64" t="s" ph="1">
        <v>392</v>
      </c>
      <c r="AY68" s="64" t="s" ph="1">
        <v>216</v>
      </c>
      <c r="AZ68" s="64" t="s" ph="1">
        <v>367</v>
      </c>
    </row>
    <row r="69" spans="33:52" ph="1">
      <c r="AH69" s="64" ph="1">
        <v>6</v>
      </c>
      <c r="AI69" s="64" t="s" ph="1">
        <v>393</v>
      </c>
      <c r="AY69" s="64" t="s" ph="1">
        <v>216</v>
      </c>
      <c r="AZ69" s="64" t="s" ph="1">
        <v>367</v>
      </c>
    </row>
    <row r="70" spans="33:52" ph="1">
      <c r="AI70" s="64" t="s" ph="1">
        <v>394</v>
      </c>
      <c r="AY70" s="64" t="s" ph="1">
        <v>216</v>
      </c>
      <c r="AZ70" s="64" t="s" ph="1">
        <v>367</v>
      </c>
    </row>
    <row r="71" spans="33:52" ph="1">
      <c r="AH71" s="64" ph="1">
        <v>7</v>
      </c>
      <c r="AI71" s="64" t="s" ph="1">
        <v>395</v>
      </c>
      <c r="AJ71" s="64" t="s" ph="1">
        <v>334</v>
      </c>
      <c r="AK71" s="64" t="s" ph="1">
        <v>228</v>
      </c>
      <c r="AM71" s="64" t="s" ph="1">
        <v>336</v>
      </c>
      <c r="AN71" s="64" t="s" ph="1">
        <v>228</v>
      </c>
      <c r="AO71" s="64" t="s" ph="1">
        <v>396</v>
      </c>
      <c r="AP71" s="64" t="s" ph="1">
        <v>570</v>
      </c>
      <c r="AQ71" s="64" t="s" ph="1">
        <v>219</v>
      </c>
      <c r="AR71" s="64" t="s" ph="1">
        <v>396</v>
      </c>
      <c r="AY71" s="64" t="s" ph="1">
        <v>216</v>
      </c>
      <c r="AZ71" s="64" t="s" ph="1">
        <v>578</v>
      </c>
    </row>
    <row r="72" spans="33:52" ph="1">
      <c r="AZ72" s="64" t="s" ph="1">
        <v>579</v>
      </c>
    </row>
    <row r="73" spans="33:52" ph="1">
      <c r="AG73" s="64" t="s" ph="1">
        <v>241</v>
      </c>
      <c r="AI73" s="64" t="s" ph="1">
        <v>209</v>
      </c>
      <c r="AJ73" s="64" t="s" ph="1">
        <v>210</v>
      </c>
      <c r="AK73" s="64" t="s" ph="1">
        <v>211</v>
      </c>
      <c r="AM73" s="64" t="s" ph="1">
        <v>210</v>
      </c>
      <c r="AN73" s="64" t="s" ph="1">
        <v>211</v>
      </c>
      <c r="AO73" s="64" t="s" ph="1">
        <v>212</v>
      </c>
      <c r="AP73" s="64" t="s" ph="1">
        <v>210</v>
      </c>
      <c r="AQ73" s="64" t="s" ph="1">
        <v>211</v>
      </c>
      <c r="AR73" s="64" t="s" ph="1">
        <v>212</v>
      </c>
      <c r="AS73" s="64" t="s" ph="1">
        <v>210</v>
      </c>
      <c r="AT73" s="64" t="s" ph="1">
        <v>211</v>
      </c>
      <c r="AU73" s="64" t="s" ph="1">
        <v>212</v>
      </c>
      <c r="AV73" s="64" t="s" ph="1">
        <v>210</v>
      </c>
      <c r="AW73" s="64" t="s" ph="1">
        <v>211</v>
      </c>
      <c r="AX73" s="64" t="s" ph="1">
        <v>212</v>
      </c>
      <c r="AY73" s="64" t="s" ph="1">
        <v>211</v>
      </c>
      <c r="AZ73" s="64" t="s" ph="1">
        <v>213</v>
      </c>
    </row>
    <row r="74" spans="33:52" ph="1">
      <c r="AH74" s="64" ph="1">
        <v>1</v>
      </c>
      <c r="AI74" s="64" t="s" ph="1">
        <v>397</v>
      </c>
      <c r="AJ74" s="64" t="s" ph="1">
        <v>242</v>
      </c>
      <c r="AK74" s="64" t="s" ph="1">
        <v>224</v>
      </c>
      <c r="AM74" s="64" t="s" ph="1">
        <v>244</v>
      </c>
      <c r="AN74" s="64" t="s" ph="1">
        <v>254</v>
      </c>
      <c r="AO74" s="64" t="s" ph="1">
        <v>243</v>
      </c>
      <c r="AP74" s="64" t="s" ph="1">
        <v>245</v>
      </c>
      <c r="AQ74" s="64" t="s" ph="1">
        <v>222</v>
      </c>
      <c r="AR74" s="64" t="s" ph="1">
        <v>243</v>
      </c>
      <c r="AS74" s="64" t="s" ph="1">
        <v>215</v>
      </c>
      <c r="AT74" s="64" t="s" ph="1">
        <v>217</v>
      </c>
      <c r="AV74" s="64" t="s" ph="1">
        <v>398</v>
      </c>
      <c r="AW74" s="64" t="s" ph="1">
        <v>399</v>
      </c>
      <c r="AX74" s="64" t="s" ph="1">
        <v>400</v>
      </c>
      <c r="AY74" s="64" t="s" ph="1">
        <v>216</v>
      </c>
      <c r="AZ74" s="64" t="s" ph="1">
        <v>401</v>
      </c>
    </row>
    <row r="75" spans="33:52" ph="1">
      <c r="AJ75" s="64" t="s" ph="1">
        <v>247</v>
      </c>
      <c r="AK75" s="64" t="s" ph="1">
        <v>300</v>
      </c>
      <c r="AM75" s="64" t="s" ph="1">
        <v>245</v>
      </c>
      <c r="AN75" s="64" t="s" ph="1">
        <v>225</v>
      </c>
      <c r="AO75" s="64" t="s" ph="1">
        <v>243</v>
      </c>
      <c r="AS75" s="64" t="s" ph="1">
        <v>215</v>
      </c>
      <c r="AT75" s="64" t="s" ph="1">
        <v>246</v>
      </c>
    </row>
    <row r="76" spans="33:52" ph="1">
      <c r="AJ76" s="64" t="s" ph="1">
        <v>247</v>
      </c>
      <c r="AK76" s="64" t="s" ph="1">
        <v>240</v>
      </c>
      <c r="AM76" s="64" t="s" ph="1">
        <v>245</v>
      </c>
      <c r="AN76" s="64" t="s" ph="1">
        <v>228</v>
      </c>
      <c r="AO76" s="64" t="s" ph="1">
        <v>243</v>
      </c>
      <c r="AS76" s="64" t="s" ph="1">
        <v>215</v>
      </c>
      <c r="AT76" s="64" t="s" ph="1">
        <v>246</v>
      </c>
    </row>
    <row r="77" spans="33:52" ph="1">
      <c r="AJ77" s="64" t="s" ph="1">
        <v>283</v>
      </c>
      <c r="AK77" s="64" t="s" ph="1">
        <v>240</v>
      </c>
      <c r="AM77" s="64" t="s" ph="1">
        <v>284</v>
      </c>
      <c r="AN77" s="64" t="s" ph="1">
        <v>223</v>
      </c>
      <c r="AO77" s="64" t="s" ph="1">
        <v>243</v>
      </c>
      <c r="AS77" s="64" t="s" ph="1">
        <v>215</v>
      </c>
      <c r="AT77" s="64" t="s" ph="1">
        <v>285</v>
      </c>
    </row>
    <row r="78" spans="33:52" ph="1">
      <c r="AH78" s="64" ph="1">
        <v>2</v>
      </c>
      <c r="AI78" s="64" t="s" ph="1">
        <v>249</v>
      </c>
      <c r="AJ78" s="64" t="s" ph="1">
        <v>250</v>
      </c>
      <c r="AK78" s="64" t="s" ph="1">
        <v>219</v>
      </c>
      <c r="AM78" s="64" t="s" ph="1">
        <v>251</v>
      </c>
      <c r="AN78" s="64" t="s" ph="1">
        <v>254</v>
      </c>
      <c r="AO78" s="64" t="s" ph="1">
        <v>243</v>
      </c>
      <c r="AP78" s="64" t="s" ph="1">
        <v>252</v>
      </c>
      <c r="AQ78" s="64" t="s" ph="1">
        <v>298</v>
      </c>
      <c r="AR78" s="64" t="s" ph="1">
        <v>243</v>
      </c>
      <c r="AS78" s="64" t="s" ph="1">
        <v>253</v>
      </c>
      <c r="AT78" s="64" t="s" ph="1">
        <v>254</v>
      </c>
      <c r="AU78" s="64" t="s" ph="1">
        <v>243</v>
      </c>
      <c r="AV78" s="64" t="s" ph="1">
        <v>255</v>
      </c>
      <c r="AW78" s="64" t="s" ph="1">
        <v>243</v>
      </c>
      <c r="AY78" s="64" t="s" ph="1">
        <v>216</v>
      </c>
      <c r="AZ78" s="64" t="s" ph="1">
        <v>402</v>
      </c>
    </row>
    <row r="79" spans="33:52" ph="1">
      <c r="AJ79" s="64" t="s" ph="1">
        <v>245</v>
      </c>
      <c r="AK79" s="64" t="s" ph="1">
        <v>256</v>
      </c>
      <c r="AM79" s="64" t="s" ph="1">
        <v>257</v>
      </c>
      <c r="AN79" s="64" t="s" ph="1">
        <v>225</v>
      </c>
      <c r="AO79" s="64" t="s" ph="1">
        <v>243</v>
      </c>
      <c r="AP79" s="64" t="s" ph="1">
        <v>258</v>
      </c>
      <c r="AQ79" s="64" t="s" ph="1">
        <v>223</v>
      </c>
      <c r="AR79" s="64" t="s" ph="1">
        <v>259</v>
      </c>
      <c r="AS79" s="64" t="s" ph="1">
        <v>215</v>
      </c>
      <c r="AT79" s="64" t="s" ph="1">
        <v>260</v>
      </c>
      <c r="AV79" s="64" t="s" ph="1">
        <v>403</v>
      </c>
      <c r="AW79" s="64" t="s" ph="1">
        <v>302</v>
      </c>
      <c r="AX79" s="64" t="s" ph="1">
        <v>400</v>
      </c>
    </row>
    <row r="80" spans="33:52" ph="1">
      <c r="AH80" s="64" ph="1">
        <v>3</v>
      </c>
      <c r="AI80" s="64" t="s" ph="1">
        <v>261</v>
      </c>
      <c r="AJ80" s="64" t="s" ph="1">
        <v>262</v>
      </c>
      <c r="AK80" s="64" t="s" ph="1">
        <v>263</v>
      </c>
      <c r="AM80" s="64" t="s" ph="1">
        <v>264</v>
      </c>
      <c r="AN80" s="64" t="s" ph="1">
        <v>254</v>
      </c>
      <c r="AO80" s="64" t="s" ph="1">
        <v>243</v>
      </c>
      <c r="AP80" s="64" t="s" ph="1">
        <v>265</v>
      </c>
      <c r="AQ80" s="64" t="s" ph="1">
        <v>228</v>
      </c>
      <c r="AR80" s="64" t="s" ph="1">
        <v>243</v>
      </c>
      <c r="AS80" s="64" t="s" ph="1">
        <v>266</v>
      </c>
      <c r="AT80" s="64" t="s" ph="1">
        <v>227</v>
      </c>
      <c r="AU80" s="64" t="s" ph="1">
        <v>243</v>
      </c>
      <c r="AV80" s="64" t="s" ph="1">
        <v>267</v>
      </c>
      <c r="AW80" s="64" t="s" ph="1">
        <v>243</v>
      </c>
      <c r="AY80" s="64" t="s" ph="1">
        <v>216</v>
      </c>
      <c r="AZ80" s="64" t="s" ph="1">
        <v>404</v>
      </c>
    </row>
    <row r="81" spans="34:52" ph="1">
      <c r="AJ81" s="64" t="s" ph="1">
        <v>268</v>
      </c>
      <c r="AK81" s="64" t="s" ph="1">
        <v>222</v>
      </c>
      <c r="AM81" s="64" t="s" ph="1">
        <v>269</v>
      </c>
      <c r="AN81" s="64" t="s" ph="1">
        <v>225</v>
      </c>
      <c r="AO81" s="64" t="s" ph="1">
        <v>243</v>
      </c>
      <c r="AP81" s="64" t="s" ph="1">
        <v>270</v>
      </c>
      <c r="AQ81" s="64" t="s" ph="1">
        <v>254</v>
      </c>
      <c r="AR81" s="64" t="s" ph="1">
        <v>243</v>
      </c>
      <c r="AS81" s="64" t="s" ph="1">
        <v>271</v>
      </c>
      <c r="AT81" s="64" t="s" ph="1">
        <v>272</v>
      </c>
      <c r="AU81" s="64" t="s" ph="1">
        <v>243</v>
      </c>
      <c r="AV81" s="64" t="s" ph="1">
        <v>273</v>
      </c>
    </row>
    <row r="82" spans="34:52" ph="1">
      <c r="AJ82" s="64" t="s" ph="1">
        <v>274</v>
      </c>
      <c r="AK82" s="64" t="s" ph="1">
        <v>222</v>
      </c>
      <c r="AM82" s="64" t="s" ph="1">
        <v>275</v>
      </c>
      <c r="AN82" s="64" t="s" ph="1">
        <v>272</v>
      </c>
      <c r="AO82" s="64" t="s" ph="1">
        <v>276</v>
      </c>
      <c r="AP82" s="64" t="s" ph="1">
        <v>277</v>
      </c>
      <c r="AQ82" s="64" t="s" ph="1">
        <v>254</v>
      </c>
      <c r="AR82" s="64" t="s" ph="1">
        <v>243</v>
      </c>
      <c r="AS82" s="64" t="s" ph="1">
        <v>278</v>
      </c>
      <c r="AT82" s="64" t="s" ph="1">
        <v>229</v>
      </c>
      <c r="AU82" s="64" t="s" ph="1">
        <v>243</v>
      </c>
      <c r="AV82" s="64" t="s" ph="1">
        <v>403</v>
      </c>
      <c r="AW82" s="64" t="s" ph="1">
        <v>303</v>
      </c>
      <c r="AX82" s="64" t="s" ph="1">
        <v>400</v>
      </c>
    </row>
    <row r="83" spans="34:52" ph="1">
      <c r="AJ83" s="64" t="s" ph="1">
        <v>279</v>
      </c>
      <c r="AK83" s="64" t="s" ph="1">
        <v>296</v>
      </c>
      <c r="AM83" s="64" t="s" ph="1">
        <v>280</v>
      </c>
      <c r="AN83" s="64" t="s" ph="1">
        <v>228</v>
      </c>
      <c r="AO83" s="64" t="s" ph="1">
        <v>259</v>
      </c>
      <c r="AP83" s="64" t="s" ph="1">
        <v>281</v>
      </c>
      <c r="AQ83" s="64" t="s" ph="1">
        <v>282</v>
      </c>
      <c r="AR83" s="64" t="s" ph="1">
        <v>259</v>
      </c>
      <c r="AS83" s="64" t="s" ph="1">
        <v>405</v>
      </c>
      <c r="AT83" s="64" t="s" ph="1">
        <v>254</v>
      </c>
      <c r="AU83" s="64" t="s" ph="1">
        <v>259</v>
      </c>
      <c r="AV83" s="64" t="s" ph="1">
        <v>406</v>
      </c>
      <c r="AW83" s="64" t="s" ph="1">
        <v>303</v>
      </c>
      <c r="AX83" s="64" t="s" ph="1">
        <v>407</v>
      </c>
    </row>
    <row r="84" spans="34:52" ph="1">
      <c r="AH84" s="64" ph="1">
        <v>4</v>
      </c>
      <c r="AI84" s="64" t="s" ph="1">
        <v>286</v>
      </c>
      <c r="AJ84" s="64" t="s" ph="1">
        <v>226</v>
      </c>
      <c r="AK84" s="64" t="s" ph="1">
        <v>229</v>
      </c>
      <c r="AM84" s="64" t="s" ph="1">
        <v>230</v>
      </c>
      <c r="AN84" s="64" t="s" ph="1">
        <v>223</v>
      </c>
      <c r="AO84" s="64" t="s" ph="1">
        <v>259</v>
      </c>
      <c r="AP84" s="64" t="s" ph="1">
        <v>288</v>
      </c>
      <c r="AQ84" s="64" t="s" ph="1">
        <v>222</v>
      </c>
      <c r="AR84" s="64" t="s" ph="1">
        <v>259</v>
      </c>
      <c r="AS84" s="64" t="s" ph="1">
        <v>288</v>
      </c>
      <c r="AT84" s="64" t="s" ph="1">
        <v>224</v>
      </c>
      <c r="AU84" s="64" t="s" ph="1">
        <v>259</v>
      </c>
      <c r="AY84" s="64" t="s" ph="1">
        <v>216</v>
      </c>
      <c r="AZ84" s="64" t="s" ph="1">
        <v>408</v>
      </c>
    </row>
    <row r="85" spans="34:52" ph="1">
      <c r="AJ85" s="64" t="s" ph="1">
        <v>218</v>
      </c>
      <c r="AK85" s="64" t="s" ph="1">
        <v>222</v>
      </c>
      <c r="AM85" s="64" t="s" ph="1">
        <v>409</v>
      </c>
      <c r="AN85" s="64" t="s" ph="1">
        <v>229</v>
      </c>
      <c r="AO85" s="64" t="s" ph="1">
        <v>259</v>
      </c>
      <c r="AP85" s="64" t="s" ph="1">
        <v>410</v>
      </c>
      <c r="AQ85" s="64" t="s" ph="1">
        <v>225</v>
      </c>
      <c r="AR85" s="64" t="s" ph="1">
        <v>259</v>
      </c>
      <c r="AS85" s="64" t="s" ph="1">
        <v>411</v>
      </c>
      <c r="AT85" s="64" t="s" ph="1">
        <v>225</v>
      </c>
      <c r="AU85" s="64" t="s" ph="1">
        <v>259</v>
      </c>
    </row>
    <row r="86" spans="34:52" ph="1">
      <c r="AJ86" s="64" t="s" ph="1">
        <v>412</v>
      </c>
      <c r="AK86" s="64" t="s" ph="1">
        <v>231</v>
      </c>
      <c r="AM86" s="64" t="s" ph="1">
        <v>413</v>
      </c>
      <c r="AN86" s="64" t="s" ph="1">
        <v>272</v>
      </c>
      <c r="AO86" s="64" t="s" ph="1">
        <v>259</v>
      </c>
      <c r="AP86" s="64" t="s" ph="1">
        <v>414</v>
      </c>
      <c r="AQ86" s="64" t="s" ph="1">
        <v>219</v>
      </c>
      <c r="AR86" s="64" t="s" ph="1">
        <v>259</v>
      </c>
      <c r="AS86" s="64" t="s" ph="1">
        <v>415</v>
      </c>
      <c r="AT86" s="64" t="s" ph="1">
        <v>237</v>
      </c>
      <c r="AU86" s="64" t="s" ph="1">
        <v>259</v>
      </c>
    </row>
    <row r="87" spans="34:52" ph="1">
      <c r="AJ87" s="64" t="s" ph="1">
        <v>416</v>
      </c>
      <c r="AK87" s="64" t="s" ph="1">
        <v>272</v>
      </c>
      <c r="AM87" s="64" t="s" ph="1">
        <v>403</v>
      </c>
      <c r="AN87" s="64" t="s" ph="1">
        <v>417</v>
      </c>
      <c r="AO87" s="64" t="s" ph="1">
        <v>400</v>
      </c>
    </row>
    <row r="88" spans="34:52" ph="1">
      <c r="AH88" s="64" ph="1">
        <v>5</v>
      </c>
      <c r="AI88" s="64" t="s" ph="1">
        <v>289</v>
      </c>
      <c r="AJ88" s="64" t="s" ph="1">
        <v>418</v>
      </c>
      <c r="AK88" s="64" t="s" ph="1">
        <v>272</v>
      </c>
      <c r="AM88" s="64" t="s" ph="1">
        <v>419</v>
      </c>
      <c r="AN88" s="64" t="s" ph="1">
        <v>272</v>
      </c>
      <c r="AO88" s="64" t="s" ph="1">
        <v>259</v>
      </c>
      <c r="AP88" s="64" t="s" ph="1">
        <v>420</v>
      </c>
      <c r="AQ88" s="64" t="s" ph="1">
        <v>222</v>
      </c>
      <c r="AR88" s="64" t="s" ph="1">
        <v>259</v>
      </c>
      <c r="AS88" s="64" t="s" ph="1">
        <v>421</v>
      </c>
      <c r="AT88" s="64" t="s" ph="1">
        <v>272</v>
      </c>
      <c r="AU88" s="64" t="s" ph="1">
        <v>259</v>
      </c>
      <c r="AV88" s="64" t="s" ph="1">
        <v>422</v>
      </c>
      <c r="AW88" s="64" t="s" ph="1">
        <v>227</v>
      </c>
      <c r="AX88" s="64" t="s" ph="1">
        <v>259</v>
      </c>
      <c r="AY88" s="64" t="s" ph="1">
        <v>216</v>
      </c>
      <c r="AZ88" s="64" t="s" ph="1">
        <v>423</v>
      </c>
    </row>
    <row r="89" spans="34:52" ph="1">
      <c r="AJ89" s="64" t="s" ph="1">
        <v>424</v>
      </c>
      <c r="AK89" s="64" t="s" ph="1">
        <v>225</v>
      </c>
      <c r="AM89" s="64" t="s" ph="1">
        <v>425</v>
      </c>
      <c r="AN89" s="64" t="s" ph="1">
        <v>228</v>
      </c>
      <c r="AO89" s="64" t="s" ph="1">
        <v>259</v>
      </c>
      <c r="AP89" s="64" t="s" ph="1">
        <v>426</v>
      </c>
      <c r="AQ89" s="64" t="s" ph="1">
        <v>237</v>
      </c>
      <c r="AR89" s="64" t="s" ph="1">
        <v>259</v>
      </c>
      <c r="AS89" s="64" t="s" ph="1">
        <v>427</v>
      </c>
      <c r="AT89" s="64" t="s" ph="1">
        <v>272</v>
      </c>
      <c r="AU89" s="64" t="s" ph="1">
        <v>259</v>
      </c>
      <c r="AV89" s="64" t="s" ph="1">
        <v>428</v>
      </c>
      <c r="AW89" s="64" t="s" ph="1">
        <v>254</v>
      </c>
      <c r="AX89" s="64" t="s" ph="1">
        <v>287</v>
      </c>
    </row>
    <row r="90" spans="34:52" ph="1">
      <c r="AJ90" s="64" t="s" ph="1">
        <v>429</v>
      </c>
      <c r="AK90" s="64" t="s" ph="1">
        <v>228</v>
      </c>
      <c r="AM90" s="64" t="s" ph="1">
        <v>430</v>
      </c>
      <c r="AN90" s="64" t="s" ph="1">
        <v>225</v>
      </c>
      <c r="AO90" s="64" t="s" ph="1">
        <v>259</v>
      </c>
      <c r="AP90" s="64" t="s" ph="1">
        <v>431</v>
      </c>
      <c r="AQ90" s="64" t="s" ph="1">
        <v>294</v>
      </c>
      <c r="AR90" s="64" t="s" ph="1">
        <v>259</v>
      </c>
      <c r="AS90" s="64" t="s" ph="1">
        <v>432</v>
      </c>
      <c r="AT90" s="64" t="s" ph="1">
        <v>282</v>
      </c>
      <c r="AU90" s="64" t="s" ph="1">
        <v>259</v>
      </c>
      <c r="AV90" s="64" t="s" ph="1">
        <v>433</v>
      </c>
      <c r="AW90" s="64" t="s" ph="1">
        <v>219</v>
      </c>
      <c r="AX90" s="64" t="s" ph="1">
        <v>259</v>
      </c>
    </row>
    <row r="91" spans="34:52" ph="1">
      <c r="AJ91" s="64" t="s" ph="1">
        <v>434</v>
      </c>
      <c r="AK91" s="64" t="s" ph="1">
        <v>272</v>
      </c>
      <c r="AM91" s="64" t="s" ph="1">
        <v>435</v>
      </c>
      <c r="AN91" s="64" t="s" ph="1">
        <v>239</v>
      </c>
      <c r="AO91" s="64" t="s" ph="1">
        <v>259</v>
      </c>
      <c r="AP91" s="64" t="s" ph="1">
        <v>436</v>
      </c>
      <c r="AQ91" s="64" t="s" ph="1">
        <v>219</v>
      </c>
      <c r="AS91" s="64" t="s" ph="1">
        <v>403</v>
      </c>
      <c r="AT91" s="64" t="s" ph="1">
        <v>399</v>
      </c>
      <c r="AU91" s="64" t="s" ph="1">
        <v>400</v>
      </c>
    </row>
    <row r="92" spans="34:52" ph="1">
      <c r="AH92" s="64" ph="1">
        <v>6</v>
      </c>
      <c r="AI92" s="64" t="s" ph="1">
        <v>437</v>
      </c>
      <c r="AJ92" s="64" t="s" ph="1">
        <v>438</v>
      </c>
      <c r="AK92" s="64" t="s" ph="1">
        <v>367</v>
      </c>
      <c r="AM92" s="64" t="s" ph="1">
        <v>439</v>
      </c>
      <c r="AN92" s="64" t="s" ph="1">
        <v>227</v>
      </c>
      <c r="AO92" s="64" t="s" ph="1">
        <v>259</v>
      </c>
      <c r="AP92" s="64" t="s" ph="1">
        <v>440</v>
      </c>
      <c r="AQ92" s="64" t="s" ph="1">
        <v>299</v>
      </c>
      <c r="AR92" s="64" t="s" ph="1">
        <v>259</v>
      </c>
      <c r="AS92" s="64" t="s" ph="1">
        <v>441</v>
      </c>
      <c r="AT92" s="64" t="s" ph="1">
        <v>272</v>
      </c>
      <c r="AU92" s="64" t="s" ph="1">
        <v>259</v>
      </c>
      <c r="AV92" s="64" t="s" ph="1">
        <v>442</v>
      </c>
      <c r="AW92" s="64" t="s" ph="1">
        <v>228</v>
      </c>
      <c r="AX92" s="64" t="s" ph="1">
        <v>259</v>
      </c>
      <c r="AY92" s="64" t="s" ph="1">
        <v>216</v>
      </c>
      <c r="AZ92" s="64" t="s" ph="1">
        <v>423</v>
      </c>
    </row>
    <row r="93" spans="34:52" ph="1">
      <c r="AJ93" s="64" t="s" ph="1">
        <v>443</v>
      </c>
      <c r="AK93" s="64" t="s" ph="1">
        <v>222</v>
      </c>
      <c r="AM93" s="64" t="s" ph="1">
        <v>444</v>
      </c>
      <c r="AN93" s="64" t="s" ph="1">
        <v>227</v>
      </c>
      <c r="AO93" s="64" t="s" ph="1">
        <v>259</v>
      </c>
      <c r="AP93" s="64" t="s" ph="1">
        <v>445</v>
      </c>
      <c r="AQ93" s="64" t="s" ph="1">
        <v>231</v>
      </c>
      <c r="AR93" s="64" t="s" ph="1">
        <v>259</v>
      </c>
      <c r="AS93" s="64" t="s" ph="1">
        <v>446</v>
      </c>
      <c r="AT93" s="64" t="s" ph="1">
        <v>237</v>
      </c>
      <c r="AU93" s="64" t="s" ph="1">
        <v>259</v>
      </c>
      <c r="AV93" s="64" t="s" ph="1">
        <v>447</v>
      </c>
      <c r="AW93" s="64" t="s" ph="1">
        <v>231</v>
      </c>
      <c r="AX93" s="64" t="s" ph="1">
        <v>259</v>
      </c>
    </row>
    <row r="94" spans="34:52" ph="1">
      <c r="AJ94" s="64" t="s" ph="1">
        <v>448</v>
      </c>
      <c r="AK94" s="64" t="s" ph="1">
        <v>294</v>
      </c>
      <c r="AM94" s="64" t="s" ph="1">
        <v>449</v>
      </c>
      <c r="AN94" s="64" t="s" ph="1">
        <v>231</v>
      </c>
      <c r="AO94" s="64" t="s" ph="1">
        <v>259</v>
      </c>
      <c r="AP94" s="64" t="s" ph="1">
        <v>450</v>
      </c>
      <c r="AQ94" s="64" t="s" ph="1">
        <v>239</v>
      </c>
      <c r="AR94" s="64" t="s" ph="1">
        <v>259</v>
      </c>
      <c r="AS94" s="64" t="s" ph="1">
        <v>451</v>
      </c>
      <c r="AT94" s="64" t="s" ph="1">
        <v>225</v>
      </c>
      <c r="AU94" s="64" t="s" ph="1">
        <v>259</v>
      </c>
      <c r="AV94" s="64" t="s" ph="1">
        <v>452</v>
      </c>
      <c r="AW94" s="64" t="s" ph="1">
        <v>225</v>
      </c>
      <c r="AX94" s="64" t="s" ph="1">
        <v>259</v>
      </c>
    </row>
    <row r="95" spans="34:52" ph="1">
      <c r="AJ95" s="64" t="s" ph="1">
        <v>453</v>
      </c>
      <c r="AK95" s="64" t="s" ph="1">
        <v>299</v>
      </c>
    </row>
    <row r="96" spans="34:52" ph="1">
      <c r="AH96" s="64" ph="1">
        <v>7</v>
      </c>
      <c r="AI96" s="64" t="s" ph="1">
        <v>454</v>
      </c>
      <c r="AJ96" s="64" t="s" ph="1">
        <v>453</v>
      </c>
      <c r="AK96" s="64" t="s" ph="1">
        <v>254</v>
      </c>
      <c r="AM96" s="64" t="s" ph="1">
        <v>455</v>
      </c>
      <c r="AN96" s="64" t="s" ph="1">
        <v>228</v>
      </c>
      <c r="AO96" s="64" t="s" ph="1">
        <v>259</v>
      </c>
      <c r="AP96" s="64" t="s" ph="1">
        <v>456</v>
      </c>
      <c r="AQ96" s="64" t="s" ph="1">
        <v>272</v>
      </c>
      <c r="AR96" s="64" t="s" ph="1">
        <v>287</v>
      </c>
      <c r="AS96" s="64" t="s" ph="1">
        <v>457</v>
      </c>
      <c r="AT96" s="64" t="s" ph="1">
        <v>231</v>
      </c>
      <c r="AU96" s="64" t="s" ph="1">
        <v>287</v>
      </c>
      <c r="AV96" s="64" t="s" ph="1">
        <v>458</v>
      </c>
      <c r="AW96" s="64" t="s" ph="1">
        <v>227</v>
      </c>
      <c r="AX96" s="64" t="s" ph="1">
        <v>287</v>
      </c>
      <c r="AY96" s="64" t="s" ph="1">
        <v>216</v>
      </c>
      <c r="AZ96" s="64" t="s" ph="1">
        <v>459</v>
      </c>
    </row>
    <row r="97" spans="33:52" ph="1">
      <c r="AJ97" s="64" t="s" ph="1">
        <v>460</v>
      </c>
      <c r="AK97" s="64" t="s" ph="1">
        <v>282</v>
      </c>
      <c r="AM97" s="64" t="s" ph="1">
        <v>461</v>
      </c>
      <c r="AN97" s="64" t="s" ph="1">
        <v>225</v>
      </c>
      <c r="AO97" s="64" t="s" ph="1">
        <v>259</v>
      </c>
      <c r="AP97" s="64" t="s" ph="1">
        <v>462</v>
      </c>
      <c r="AQ97" s="64" t="s" ph="1">
        <v>219</v>
      </c>
      <c r="AR97" s="64" t="s" ph="1">
        <v>287</v>
      </c>
      <c r="AS97" s="64" t="s" ph="1">
        <v>463</v>
      </c>
      <c r="AT97" s="64" t="s" ph="1">
        <v>222</v>
      </c>
      <c r="AU97" s="64" t="s" ph="1">
        <v>287</v>
      </c>
      <c r="AV97" s="64" t="s" ph="1">
        <v>464</v>
      </c>
      <c r="AW97" s="64" t="s" ph="1">
        <v>228</v>
      </c>
      <c r="AX97" s="64" t="s" ph="1">
        <v>287</v>
      </c>
    </row>
    <row r="98" spans="33:52" ph="1">
      <c r="AJ98" s="64" t="s" ph="1">
        <v>465</v>
      </c>
      <c r="AK98" s="64" t="s" ph="1">
        <v>231</v>
      </c>
      <c r="AM98" s="64" t="s" ph="1">
        <v>466</v>
      </c>
      <c r="AN98" s="64" t="s" ph="1">
        <v>239</v>
      </c>
      <c r="AO98" s="64" t="s" ph="1">
        <v>259</v>
      </c>
      <c r="AP98" s="64" t="s" ph="1">
        <v>467</v>
      </c>
      <c r="AQ98" s="64" t="s" ph="1">
        <v>219</v>
      </c>
      <c r="AR98" s="64" t="s" ph="1">
        <v>287</v>
      </c>
      <c r="AS98" s="64" t="s" ph="1">
        <v>468</v>
      </c>
      <c r="AT98" s="64" t="s" ph="1">
        <v>299</v>
      </c>
      <c r="AU98" s="64" t="s" ph="1">
        <v>287</v>
      </c>
      <c r="AV98" s="64" t="s" ph="1">
        <v>469</v>
      </c>
      <c r="AW98" s="64" t="s" ph="1">
        <v>222</v>
      </c>
      <c r="AX98" s="64" t="s" ph="1">
        <v>287</v>
      </c>
    </row>
    <row r="99" spans="33:52" ph="1">
      <c r="AH99" s="64" ph="1">
        <v>8</v>
      </c>
      <c r="AI99" s="64" t="s" ph="1">
        <v>470</v>
      </c>
      <c r="AJ99" s="64" t="s" ph="1">
        <v>471</v>
      </c>
      <c r="AK99" s="64" t="s" ph="1">
        <v>367</v>
      </c>
      <c r="AM99" s="64" t="s" ph="1">
        <v>472</v>
      </c>
      <c r="AN99" s="64" t="s" ph="1">
        <v>254</v>
      </c>
      <c r="AO99" s="64" t="s" ph="1">
        <v>259</v>
      </c>
      <c r="AP99" s="64" t="s" ph="1">
        <v>473</v>
      </c>
      <c r="AQ99" s="64" t="s" ph="1">
        <v>224</v>
      </c>
      <c r="AR99" s="64" t="s" ph="1">
        <v>287</v>
      </c>
      <c r="AS99" s="64" t="s" ph="1">
        <v>474</v>
      </c>
      <c r="AT99" s="64" t="s" ph="1">
        <v>239</v>
      </c>
      <c r="AU99" s="64" t="s" ph="1">
        <v>287</v>
      </c>
      <c r="AV99" s="64" t="s" ph="1">
        <v>475</v>
      </c>
      <c r="AW99" s="64" t="s" ph="1">
        <v>224</v>
      </c>
      <c r="AX99" s="64" t="s" ph="1">
        <v>287</v>
      </c>
      <c r="AY99" s="64" t="s" ph="1">
        <v>216</v>
      </c>
      <c r="AZ99" s="64" t="s" ph="1">
        <v>476</v>
      </c>
    </row>
    <row r="100" spans="33:52" ph="1">
      <c r="AJ100" s="64" t="s" ph="1">
        <v>477</v>
      </c>
      <c r="AK100" s="64" t="s" ph="1">
        <v>222</v>
      </c>
      <c r="AM100" s="64" t="s" ph="1">
        <v>478</v>
      </c>
      <c r="AN100" s="64" t="s" ph="1">
        <v>294</v>
      </c>
      <c r="AO100" s="64" t="s" ph="1">
        <v>259</v>
      </c>
      <c r="AP100" s="64" t="s" ph="1">
        <v>479</v>
      </c>
      <c r="AQ100" s="64" t="s" ph="1">
        <v>300</v>
      </c>
      <c r="AR100" s="64" t="s" ph="1">
        <v>287</v>
      </c>
      <c r="AS100" s="64" t="s" ph="1">
        <v>480</v>
      </c>
      <c r="AT100" s="64" t="s" ph="1">
        <v>367</v>
      </c>
      <c r="AU100" s="64" t="s" ph="1">
        <v>259</v>
      </c>
      <c r="AV100" s="64" t="s" ph="1">
        <v>481</v>
      </c>
      <c r="AW100" s="64" t="s" ph="1">
        <v>367</v>
      </c>
      <c r="AX100" s="64" t="s" ph="1">
        <v>259</v>
      </c>
    </row>
    <row r="101" spans="33:52" ph="1">
      <c r="AJ101" s="64" t="s" ph="1">
        <v>482</v>
      </c>
      <c r="AK101" s="64" t="s" ph="1">
        <v>367</v>
      </c>
      <c r="AM101" s="64" t="s" ph="1">
        <v>483</v>
      </c>
      <c r="AN101" s="64" t="s" ph="1">
        <v>225</v>
      </c>
      <c r="AO101" s="64" t="s" ph="1">
        <v>259</v>
      </c>
      <c r="AP101" s="64" t="s" ph="1">
        <v>484</v>
      </c>
      <c r="AQ101" s="64" t="s" ph="1">
        <v>237</v>
      </c>
      <c r="AR101" s="64" t="s" ph="1">
        <v>287</v>
      </c>
      <c r="AS101" s="64" t="s" ph="1">
        <v>485</v>
      </c>
      <c r="AT101" s="64" t="s" ph="1">
        <v>294</v>
      </c>
      <c r="AU101" s="64" t="s" ph="1">
        <v>287</v>
      </c>
      <c r="AV101" s="64" t="s" ph="1">
        <v>486</v>
      </c>
      <c r="AW101" s="64" t="s" ph="1">
        <v>225</v>
      </c>
      <c r="AX101" s="64" t="s" ph="1">
        <v>259</v>
      </c>
    </row>
    <row r="102" spans="33:52" ph="1">
      <c r="AJ102" s="64" t="s" ph="1">
        <v>487</v>
      </c>
      <c r="AK102" s="64" t="s" ph="1">
        <v>222</v>
      </c>
      <c r="AM102" s="64" t="s" ph="1">
        <v>488</v>
      </c>
      <c r="AN102" s="64" t="s" ph="1">
        <v>231</v>
      </c>
      <c r="AO102" s="64" t="s" ph="1">
        <v>259</v>
      </c>
      <c r="AP102" s="64" t="s" ph="1">
        <v>489</v>
      </c>
      <c r="AQ102" s="64" t="s" ph="1">
        <v>237</v>
      </c>
      <c r="AR102" s="64" t="s" ph="1">
        <v>259</v>
      </c>
      <c r="AS102" s="64" t="s" ph="1">
        <v>490</v>
      </c>
      <c r="AT102" s="64" t="s" ph="1">
        <v>254</v>
      </c>
      <c r="AU102" s="64" t="s" ph="1">
        <v>259</v>
      </c>
      <c r="AV102" s="64" t="s" ph="1">
        <v>491</v>
      </c>
      <c r="AW102" s="64" t="s" ph="1">
        <v>272</v>
      </c>
      <c r="AX102" s="64" t="s" ph="1">
        <v>259</v>
      </c>
    </row>
    <row r="103" spans="33:52" ph="1">
      <c r="AH103" s="64" ph="1">
        <v>9</v>
      </c>
      <c r="AI103" s="64" t="s" ph="1">
        <v>492</v>
      </c>
      <c r="AJ103" s="64" t="s" ph="1">
        <v>493</v>
      </c>
      <c r="AK103" s="64" t="s" ph="1">
        <v>367</v>
      </c>
      <c r="AM103" s="64" t="s" ph="1">
        <v>494</v>
      </c>
      <c r="AN103" s="64" t="s" ph="1">
        <v>282</v>
      </c>
      <c r="AO103" s="64" t="s" ph="1">
        <v>259</v>
      </c>
      <c r="AP103" s="64" t="s" ph="1">
        <v>336</v>
      </c>
      <c r="AQ103" s="64" t="s" ph="1">
        <v>225</v>
      </c>
      <c r="AR103" s="64" t="s" ph="1">
        <v>259</v>
      </c>
      <c r="AS103" s="64" t="s" ph="1">
        <v>570</v>
      </c>
      <c r="AT103" s="64" t="s" ph="1">
        <v>367</v>
      </c>
      <c r="AU103" s="64" t="s" ph="1">
        <v>259</v>
      </c>
      <c r="AY103" s="64" t="s" ph="1">
        <v>216</v>
      </c>
      <c r="AZ103" s="64" t="s" ph="1">
        <v>224</v>
      </c>
    </row>
    <row r="104" spans="33:52" ph="1">
      <c r="AZ104" s="64" t="s" ph="1">
        <v>495</v>
      </c>
    </row>
    <row r="105" spans="33:52" ph="1">
      <c r="AG105" s="64" t="s" ph="1">
        <v>295</v>
      </c>
      <c r="AI105" s="64" t="s" ph="1">
        <v>209</v>
      </c>
      <c r="AJ105" s="64" t="s" ph="1">
        <v>210</v>
      </c>
      <c r="AK105" s="64" t="s" ph="1">
        <v>211</v>
      </c>
      <c r="AM105" s="64" t="s" ph="1">
        <v>210</v>
      </c>
      <c r="AN105" s="64" t="s" ph="1">
        <v>211</v>
      </c>
      <c r="AO105" s="64" t="s" ph="1">
        <v>212</v>
      </c>
      <c r="AP105" s="64" t="s" ph="1">
        <v>210</v>
      </c>
      <c r="AQ105" s="64" t="s" ph="1">
        <v>211</v>
      </c>
      <c r="AR105" s="64" t="s" ph="1">
        <v>212</v>
      </c>
      <c r="AS105" s="64" t="s" ph="1">
        <v>210</v>
      </c>
      <c r="AT105" s="64" t="s" ph="1">
        <v>211</v>
      </c>
      <c r="AU105" s="64" t="s" ph="1">
        <v>212</v>
      </c>
      <c r="AV105" s="64" t="s" ph="1">
        <v>210</v>
      </c>
      <c r="AW105" s="64" t="s" ph="1">
        <v>211</v>
      </c>
      <c r="AX105" s="64" t="s" ph="1">
        <v>212</v>
      </c>
      <c r="AZ105" s="64" t="s" ph="1">
        <v>213</v>
      </c>
    </row>
    <row r="106" spans="33:52" ph="1">
      <c r="AH106" s="64" ph="1">
        <v>1</v>
      </c>
      <c r="AI106" s="64" t="s" ph="1">
        <v>496</v>
      </c>
      <c r="AJ106" s="64" t="s" ph="1">
        <v>570</v>
      </c>
      <c r="AK106" s="64" t="s" ph="1">
        <v>231</v>
      </c>
      <c r="AZ106" s="64" t="s" ph="1">
        <v>231</v>
      </c>
    </row>
    <row r="107" spans="33:52" ph="1">
      <c r="AH107" s="64" ph="1">
        <v>2</v>
      </c>
      <c r="AI107" s="64" t="s" ph="1">
        <v>497</v>
      </c>
      <c r="AJ107" s="64" t="s" ph="1">
        <v>498</v>
      </c>
      <c r="AK107" s="64" t="s" ph="1">
        <v>228</v>
      </c>
      <c r="AM107" s="64" t="s" ph="1">
        <v>334</v>
      </c>
      <c r="AN107" s="64" t="s" ph="1">
        <v>499</v>
      </c>
      <c r="AO107" s="64" t="s" ph="1">
        <v>500</v>
      </c>
      <c r="AP107" s="64" t="s" ph="1">
        <v>336</v>
      </c>
      <c r="AQ107" s="64" t="s" ph="1">
        <v>304</v>
      </c>
      <c r="AR107" s="64" t="s" ph="1">
        <v>500</v>
      </c>
      <c r="AS107" s="64" t="s" ph="1">
        <v>570</v>
      </c>
      <c r="AT107" s="64" t="s" ph="1">
        <v>499</v>
      </c>
      <c r="AU107" s="64" t="s" ph="1">
        <v>500</v>
      </c>
      <c r="AY107" s="64" t="s" ph="1">
        <v>216</v>
      </c>
      <c r="AZ107" s="64" t="s" ph="1">
        <v>580</v>
      </c>
    </row>
    <row r="108" spans="33:52" ph="1">
      <c r="AH108" s="64" ph="1">
        <v>3</v>
      </c>
      <c r="AI108" s="64" t="s" ph="1">
        <v>501</v>
      </c>
      <c r="AY108" s="64" t="s" ph="1">
        <v>216</v>
      </c>
      <c r="AZ108" s="64" t="s" ph="1">
        <v>367</v>
      </c>
    </row>
    <row r="109" spans="33:52" ph="1">
      <c r="AH109" s="64" ph="1">
        <v>4</v>
      </c>
      <c r="AI109" s="64" t="s" ph="1">
        <v>502</v>
      </c>
      <c r="AY109" s="64" t="s" ph="1">
        <v>216</v>
      </c>
      <c r="AZ109" s="64" t="s" ph="1">
        <v>367</v>
      </c>
    </row>
    <row r="110" spans="33:52" ph="1">
      <c r="AH110" s="64" ph="1">
        <v>5</v>
      </c>
      <c r="AI110" s="64" t="s" ph="1">
        <v>503</v>
      </c>
      <c r="AY110" s="64" t="s" ph="1">
        <v>216</v>
      </c>
      <c r="AZ110" s="64" t="s" ph="1">
        <v>367</v>
      </c>
    </row>
    <row r="111" spans="33:52" ph="1">
      <c r="AH111" s="64" ph="1">
        <v>6</v>
      </c>
      <c r="AI111" s="64" t="s" ph="1">
        <v>581</v>
      </c>
      <c r="AJ111" s="64" t="s" ph="1">
        <v>486</v>
      </c>
      <c r="AK111" s="64" t="s" ph="1">
        <v>225</v>
      </c>
      <c r="AM111" s="64" t="s" ph="1">
        <v>487</v>
      </c>
      <c r="AN111" s="64" t="s" ph="1">
        <v>219</v>
      </c>
      <c r="AO111" s="64" t="s" ph="1">
        <v>500</v>
      </c>
      <c r="AP111" s="64" t="s" ph="1">
        <v>488</v>
      </c>
      <c r="AQ111" s="64" t="s" ph="1">
        <v>228</v>
      </c>
      <c r="AR111" s="64" t="s" ph="1">
        <v>500</v>
      </c>
      <c r="AS111" s="64" t="s" ph="1">
        <v>489</v>
      </c>
      <c r="AT111" s="64" t="s" ph="1">
        <v>237</v>
      </c>
      <c r="AU111" s="64" t="s" ph="1">
        <v>500</v>
      </c>
      <c r="AV111" s="64" t="s" ph="1">
        <v>490</v>
      </c>
      <c r="AW111" s="64" t="s" ph="1">
        <v>227</v>
      </c>
      <c r="AX111" s="64" t="s" ph="1">
        <v>500</v>
      </c>
      <c r="AY111" s="64" t="s" ph="1">
        <v>216</v>
      </c>
      <c r="AZ111" s="64" t="s" ph="1">
        <v>504</v>
      </c>
    </row>
    <row r="112" spans="33:52" ph="1">
      <c r="AJ112" s="64" t="s" ph="1">
        <v>491</v>
      </c>
      <c r="AK112" s="64" t="s" ph="1">
        <v>272</v>
      </c>
      <c r="AM112" s="64" t="s" ph="1">
        <v>493</v>
      </c>
      <c r="AN112" s="64" t="s" ph="1">
        <v>296</v>
      </c>
      <c r="AO112" s="64" t="s" ph="1">
        <v>500</v>
      </c>
      <c r="AP112" s="64" t="s" ph="1">
        <v>494</v>
      </c>
      <c r="AQ112" s="64" t="s" ph="1">
        <v>505</v>
      </c>
      <c r="AR112" s="64" t="s" ph="1">
        <v>500</v>
      </c>
      <c r="AS112" s="64" t="s" ph="1">
        <v>506</v>
      </c>
      <c r="AT112" s="64" t="s" ph="1">
        <v>248</v>
      </c>
      <c r="AU112" s="64" t="s" ph="1">
        <v>500</v>
      </c>
      <c r="AV112" s="64" t="s" ph="1">
        <v>507</v>
      </c>
      <c r="AW112" s="64" t="s" ph="1">
        <v>294</v>
      </c>
      <c r="AX112" s="64" t="s" ph="1">
        <v>500</v>
      </c>
    </row>
    <row r="113" spans="33:52" ph="1">
      <c r="AH113" s="64" ph="1">
        <v>7</v>
      </c>
      <c r="AI113" s="64" t="s" ph="1">
        <v>508</v>
      </c>
      <c r="AJ113" s="64" t="s" ph="1">
        <v>589</v>
      </c>
      <c r="AK113" s="64" t="s" ph="1">
        <v>594</v>
      </c>
      <c r="AY113" s="64" t="s" ph="1">
        <v>216</v>
      </c>
      <c r="AZ113" s="64" t="s" ph="1">
        <v>594</v>
      </c>
    </row>
    <row r="114" spans="33:52" ph="1">
      <c r="AH114" s="64" ph="1">
        <v>8</v>
      </c>
      <c r="AI114" s="64" t="s" ph="1">
        <v>509</v>
      </c>
      <c r="AJ114" s="64" t="s" ph="1">
        <v>589</v>
      </c>
      <c r="AK114" s="64" t="s" ph="1">
        <v>595</v>
      </c>
      <c r="AY114" s="64" t="s" ph="1">
        <v>216</v>
      </c>
      <c r="AZ114" s="64" t="s" ph="1">
        <v>595</v>
      </c>
    </row>
    <row r="115" spans="33:52" ph="1">
      <c r="AH115" s="64" ph="1">
        <v>9</v>
      </c>
      <c r="AI115" s="64" t="s" ph="1">
        <v>510</v>
      </c>
      <c r="AJ115" s="64" t="s" ph="1">
        <v>589</v>
      </c>
      <c r="AK115" s="64" t="s" ph="1">
        <v>595</v>
      </c>
      <c r="AY115" s="64" t="s" ph="1">
        <v>216</v>
      </c>
      <c r="AZ115" s="64" t="s" ph="1">
        <v>595</v>
      </c>
    </row>
    <row r="116" spans="33:52" ph="1">
      <c r="AH116" s="64" ph="1">
        <v>10</v>
      </c>
      <c r="AI116" s="64" t="s" ph="1">
        <v>511</v>
      </c>
      <c r="AJ116" s="64" t="s" ph="1">
        <v>589</v>
      </c>
      <c r="AK116" s="64" t="s" ph="1">
        <v>595</v>
      </c>
      <c r="AY116" s="64" t="s" ph="1">
        <v>216</v>
      </c>
      <c r="AZ116" s="64" t="s" ph="1">
        <v>595</v>
      </c>
    </row>
    <row r="117" spans="33:52" ph="1">
      <c r="AH117" s="64" ph="1">
        <v>11</v>
      </c>
      <c r="AI117" s="64" t="s" ph="1">
        <v>512</v>
      </c>
      <c r="AJ117" s="64" t="s" ph="1">
        <v>589</v>
      </c>
      <c r="AK117" s="64" t="s" ph="1">
        <v>595</v>
      </c>
      <c r="AY117" s="64" t="s" ph="1">
        <v>216</v>
      </c>
      <c r="AZ117" s="64" t="s" ph="1">
        <v>595</v>
      </c>
    </row>
    <row r="118" spans="33:52" ph="1">
      <c r="AZ118" s="64" t="s" ph="1">
        <v>596</v>
      </c>
    </row>
    <row r="119" spans="33:52" ph="1">
      <c r="AI119" s="64" t="s" ph="1">
        <v>209</v>
      </c>
      <c r="AJ119" s="64" t="s" ph="1">
        <v>210</v>
      </c>
      <c r="AK119" s="64" t="s" ph="1">
        <v>211</v>
      </c>
      <c r="AM119" s="64" t="s" ph="1">
        <v>210</v>
      </c>
      <c r="AN119" s="64" t="s" ph="1">
        <v>211</v>
      </c>
      <c r="AO119" s="64" t="s" ph="1">
        <v>212</v>
      </c>
      <c r="AP119" s="64" t="s" ph="1">
        <v>210</v>
      </c>
      <c r="AQ119" s="64" t="s" ph="1">
        <v>211</v>
      </c>
      <c r="AR119" s="64" t="s" ph="1">
        <v>212</v>
      </c>
      <c r="AS119" s="64" t="s" ph="1">
        <v>210</v>
      </c>
      <c r="AT119" s="64" t="s" ph="1">
        <v>211</v>
      </c>
      <c r="AU119" s="64" t="s" ph="1">
        <v>212</v>
      </c>
      <c r="AV119" s="64" t="s" ph="1">
        <v>210</v>
      </c>
      <c r="AW119" s="64" t="s" ph="1">
        <v>211</v>
      </c>
      <c r="AX119" s="64" t="s" ph="1">
        <v>212</v>
      </c>
      <c r="AY119" s="64" t="s" ph="1">
        <v>211</v>
      </c>
      <c r="AZ119" s="64" t="s" ph="1">
        <v>213</v>
      </c>
    </row>
    <row r="120" spans="33:52" ph="1">
      <c r="AG120" s="64" t="s" ph="1">
        <v>353</v>
      </c>
      <c r="AH120" s="64" ph="1">
        <v>1</v>
      </c>
      <c r="AI120" s="64" t="s" ph="1">
        <v>513</v>
      </c>
      <c r="AJ120" s="64" t="s" ph="1">
        <v>587</v>
      </c>
      <c r="AK120" s="64" t="s" ph="1">
        <v>367</v>
      </c>
      <c r="AY120" s="64" t="s" ph="1">
        <v>216</v>
      </c>
      <c r="AZ120" s="64" t="s" ph="1">
        <v>367</v>
      </c>
    </row>
    <row r="121" spans="33:52" ph="1">
      <c r="AH121" s="64" ph="1">
        <v>2</v>
      </c>
      <c r="AI121" s="64" t="s" ph="1">
        <v>514</v>
      </c>
      <c r="AY121" s="64" t="s" ph="1">
        <v>216</v>
      </c>
      <c r="AZ121" s="64" t="s" ph="1">
        <v>367</v>
      </c>
    </row>
    <row r="122" spans="33:52" ph="1">
      <c r="AH122" s="64" ph="1">
        <v>3</v>
      </c>
      <c r="AI122" s="64" t="s" ph="1">
        <v>515</v>
      </c>
      <c r="AJ122" s="64" t="s" ph="1">
        <v>570</v>
      </c>
      <c r="AK122" s="64" t="s" ph="1">
        <v>582</v>
      </c>
      <c r="AM122" s="64" t="s" ph="1">
        <v>597</v>
      </c>
      <c r="AN122" s="64" t="s" ph="1">
        <v>590</v>
      </c>
      <c r="AO122" s="64" t="s" ph="1">
        <v>91</v>
      </c>
      <c r="AY122" s="64" t="s" ph="1">
        <v>216</v>
      </c>
      <c r="AZ122" s="64" t="s" ph="1">
        <v>579</v>
      </c>
    </row>
    <row r="123" spans="33:52" ph="1">
      <c r="AY123" s="64" t="s" ph="1">
        <v>216</v>
      </c>
      <c r="AZ123" s="64" t="s" ph="1">
        <v>579</v>
      </c>
    </row>
    <row r="124" spans="33:52" ph="1">
      <c r="AG124" s="64" t="s" ph="1">
        <v>356</v>
      </c>
      <c r="AH124" s="64" ph="1">
        <v>4</v>
      </c>
      <c r="AI124" s="64" t="s" ph="1">
        <v>516</v>
      </c>
      <c r="AJ124" s="64" t="s" ph="1">
        <v>517</v>
      </c>
      <c r="AK124" s="64" t="s" ph="1">
        <v>518</v>
      </c>
      <c r="AY124" s="64" t="s" ph="1">
        <v>216</v>
      </c>
      <c r="AZ124" s="64" t="s" ph="1">
        <v>518</v>
      </c>
    </row>
    <row r="125" spans="33:52" ph="1">
      <c r="AH125" s="64" ph="1">
        <v>5</v>
      </c>
      <c r="AI125" s="64" t="s" ph="1">
        <v>519</v>
      </c>
      <c r="AJ125" s="64" t="s" ph="1">
        <v>517</v>
      </c>
      <c r="AK125" s="64" t="s" ph="1">
        <v>518</v>
      </c>
      <c r="AY125" s="64" t="s" ph="1">
        <v>216</v>
      </c>
      <c r="AZ125" s="64" t="s" ph="1">
        <v>518</v>
      </c>
    </row>
    <row r="126" spans="33:52" ph="1">
      <c r="AH126" s="64" ph="1">
        <v>6</v>
      </c>
      <c r="AI126" s="64" t="s" ph="1">
        <v>520</v>
      </c>
      <c r="AJ126" s="64" t="s" ph="1">
        <v>589</v>
      </c>
      <c r="AK126" s="64" t="s" ph="1">
        <v>598</v>
      </c>
      <c r="AY126" s="64" t="s" ph="1">
        <v>216</v>
      </c>
      <c r="AZ126" s="64" t="s" ph="1">
        <v>598</v>
      </c>
    </row>
    <row r="127" spans="33:52" ph="1">
      <c r="AH127" s="64" ph="1">
        <v>7</v>
      </c>
      <c r="AI127" s="64" t="s" ph="1">
        <v>521</v>
      </c>
      <c r="AJ127" s="64" t="s" ph="1">
        <v>589</v>
      </c>
      <c r="AK127" s="64" t="s" ph="1">
        <v>599</v>
      </c>
      <c r="AY127" s="64" t="s" ph="1">
        <v>216</v>
      </c>
      <c r="AZ127" s="64" t="s" ph="1">
        <v>599</v>
      </c>
    </row>
    <row r="128" spans="33:52" ph="1">
      <c r="AH128" s="64" ph="1">
        <v>8</v>
      </c>
      <c r="AI128" s="64" t="s" ph="1">
        <v>522</v>
      </c>
      <c r="AY128" s="64" t="s" ph="1">
        <v>216</v>
      </c>
      <c r="AZ128" s="64" t="s" ph="1">
        <v>367</v>
      </c>
    </row>
    <row r="129" spans="33:52" ph="1">
      <c r="AH129" s="64" ph="1">
        <v>9</v>
      </c>
      <c r="AI129" s="64" t="s" ph="1">
        <v>523</v>
      </c>
      <c r="AY129" s="64" t="s" ph="1">
        <v>216</v>
      </c>
      <c r="AZ129" s="64" t="s" ph="1">
        <v>367</v>
      </c>
    </row>
    <row r="130" spans="33:52" ph="1">
      <c r="AH130" s="64" ph="1">
        <v>10</v>
      </c>
      <c r="AI130" s="64" t="s" ph="1">
        <v>524</v>
      </c>
      <c r="AY130" s="64" t="s" ph="1">
        <v>216</v>
      </c>
      <c r="AZ130" s="64" t="s" ph="1">
        <v>367</v>
      </c>
    </row>
    <row r="131" spans="33:52" ph="1">
      <c r="AH131" s="64" ph="1">
        <v>11</v>
      </c>
      <c r="AI131" s="64" t="s" ph="1">
        <v>525</v>
      </c>
      <c r="AJ131" s="64" t="s" ph="1">
        <v>583</v>
      </c>
      <c r="AK131" s="64" t="s" ph="1">
        <v>579</v>
      </c>
      <c r="AY131" s="64" t="s" ph="1">
        <v>216</v>
      </c>
      <c r="AZ131" s="64" t="s" ph="1">
        <v>579</v>
      </c>
    </row>
    <row r="132" spans="33:52" ph="1">
      <c r="AH132" s="64" ph="1">
        <v>12</v>
      </c>
      <c r="AI132" s="64" t="s" ph="1">
        <v>526</v>
      </c>
      <c r="AJ132" s="64" t="s" ph="1">
        <v>583</v>
      </c>
      <c r="AK132" s="64" t="s" ph="1">
        <v>518</v>
      </c>
      <c r="AY132" s="64" t="s" ph="1">
        <v>216</v>
      </c>
      <c r="AZ132" s="64" t="s" ph="1">
        <v>518</v>
      </c>
    </row>
    <row r="133" spans="33:52" ph="1">
      <c r="AH133" s="64" ph="1">
        <v>13</v>
      </c>
      <c r="AI133" s="64" t="s" ph="1">
        <v>527</v>
      </c>
      <c r="AJ133" s="64" t="s" ph="1">
        <v>583</v>
      </c>
      <c r="AK133" s="64" t="s" ph="1">
        <v>584</v>
      </c>
      <c r="AY133" s="64" t="s" ph="1">
        <v>216</v>
      </c>
      <c r="AZ133" s="64" t="s" ph="1">
        <v>584</v>
      </c>
    </row>
    <row r="134" spans="33:52" ph="1">
      <c r="AH134" s="64" ph="1">
        <v>14</v>
      </c>
      <c r="AI134" s="64" t="s" ph="1">
        <v>528</v>
      </c>
      <c r="AJ134" s="64" t="s" ph="1">
        <v>583</v>
      </c>
      <c r="AK134" s="64" t="s" ph="1">
        <v>585</v>
      </c>
      <c r="AY134" s="64" t="s" ph="1">
        <v>216</v>
      </c>
      <c r="AZ134" s="64" t="s" ph="1">
        <v>585</v>
      </c>
    </row>
    <row r="135" spans="33:52" ph="1">
      <c r="AH135" s="64" ph="1">
        <v>15</v>
      </c>
      <c r="AI135" s="64" t="s" ph="1">
        <v>529</v>
      </c>
      <c r="AJ135" s="64" t="s" ph="1">
        <v>583</v>
      </c>
      <c r="AK135" s="64" t="s" ph="1">
        <v>586</v>
      </c>
      <c r="AY135" s="64" t="s" ph="1">
        <v>216</v>
      </c>
      <c r="AZ135" s="64" t="s" ph="1">
        <v>586</v>
      </c>
    </row>
    <row r="136" spans="33:52" ph="1">
      <c r="AZ136" s="64" t="s" ph="1">
        <v>600</v>
      </c>
    </row>
    <row r="137" spans="33:52" ph="1">
      <c r="AG137" s="64" t="s" ph="1">
        <v>290</v>
      </c>
      <c r="AI137" s="64" t="s" ph="1">
        <v>209</v>
      </c>
      <c r="AJ137" s="64" t="s" ph="1">
        <v>210</v>
      </c>
      <c r="AK137" s="64" t="s" ph="1">
        <v>211</v>
      </c>
      <c r="AM137" s="64" t="s" ph="1">
        <v>210</v>
      </c>
      <c r="AN137" s="64" t="s" ph="1">
        <v>211</v>
      </c>
      <c r="AO137" s="64" t="s" ph="1">
        <v>212</v>
      </c>
      <c r="AP137" s="64" t="s" ph="1">
        <v>210</v>
      </c>
      <c r="AQ137" s="64" t="s" ph="1">
        <v>211</v>
      </c>
      <c r="AR137" s="64" t="s" ph="1">
        <v>212</v>
      </c>
      <c r="AS137" s="64" t="s" ph="1">
        <v>210</v>
      </c>
      <c r="AT137" s="64" t="s" ph="1">
        <v>211</v>
      </c>
      <c r="AU137" s="64" t="s" ph="1">
        <v>212</v>
      </c>
      <c r="AV137" s="64" t="s" ph="1">
        <v>210</v>
      </c>
      <c r="AW137" s="64" t="s" ph="1">
        <v>211</v>
      </c>
      <c r="AX137" s="64" t="s" ph="1">
        <v>212</v>
      </c>
      <c r="AY137" s="64" t="s" ph="1">
        <v>211</v>
      </c>
      <c r="AZ137" s="64" t="s" ph="1">
        <v>213</v>
      </c>
    </row>
    <row r="138" spans="33:52" ph="1">
      <c r="AH138" s="64" ph="1">
        <v>1</v>
      </c>
      <c r="AI138" s="64" t="s" ph="1">
        <v>530</v>
      </c>
      <c r="AJ138" s="64" t="s" ph="1">
        <v>531</v>
      </c>
      <c r="AK138" s="64" t="s" ph="1">
        <v>532</v>
      </c>
      <c r="AY138" s="64" t="s" ph="1">
        <v>216</v>
      </c>
      <c r="AZ138" s="64" t="s" ph="1">
        <v>532</v>
      </c>
    </row>
    <row r="139" spans="33:52" ph="1">
      <c r="AH139" s="64" ph="1">
        <v>2</v>
      </c>
      <c r="AI139" s="64" t="s" ph="1">
        <v>533</v>
      </c>
      <c r="AJ139" s="64" t="s" ph="1">
        <v>589</v>
      </c>
      <c r="AK139" s="64" t="s" ph="1">
        <v>601</v>
      </c>
      <c r="AY139" s="64" t="s" ph="1">
        <v>216</v>
      </c>
      <c r="AZ139" s="64" t="s" ph="1">
        <v>601</v>
      </c>
    </row>
    <row r="140" spans="33:52" ph="1">
      <c r="AH140" s="64" ph="1">
        <v>3</v>
      </c>
      <c r="AI140" s="64" t="s" ph="1">
        <v>534</v>
      </c>
      <c r="AJ140" s="64" t="s" ph="1">
        <v>487</v>
      </c>
      <c r="AK140" s="64" t="s" ph="1">
        <v>299</v>
      </c>
      <c r="AM140" s="64" t="s" ph="1">
        <v>488</v>
      </c>
      <c r="AN140" s="64" t="s" ph="1">
        <v>219</v>
      </c>
      <c r="AO140" s="64" t="s" ph="1">
        <v>535</v>
      </c>
      <c r="AP140" s="64" t="s" ph="1">
        <v>489</v>
      </c>
      <c r="AQ140" s="64" t="s" ph="1">
        <v>236</v>
      </c>
      <c r="AR140" s="64" t="s" ph="1">
        <v>535</v>
      </c>
      <c r="AS140" s="64" t="s" ph="1">
        <v>490</v>
      </c>
      <c r="AT140" s="64" t="s" ph="1">
        <v>229</v>
      </c>
      <c r="AU140" s="64" t="s" ph="1">
        <v>535</v>
      </c>
      <c r="AV140" s="64" t="s" ph="1">
        <v>491</v>
      </c>
      <c r="AW140" s="64" t="s" ph="1">
        <v>222</v>
      </c>
      <c r="AX140" s="64" t="s" ph="1">
        <v>535</v>
      </c>
      <c r="AY140" s="64" t="s" ph="1">
        <v>216</v>
      </c>
      <c r="AZ140" s="64" t="s" ph="1">
        <v>291</v>
      </c>
    </row>
    <row r="141" spans="33:52" ph="1">
      <c r="AJ141" s="64" t="s" ph="1">
        <v>493</v>
      </c>
      <c r="AK141" s="64" t="s" ph="1">
        <v>222</v>
      </c>
      <c r="AM141" s="64" t="s" ph="1">
        <v>494</v>
      </c>
      <c r="AN141" s="64" t="s" ph="1">
        <v>225</v>
      </c>
      <c r="AO141" s="64" t="s" ph="1">
        <v>535</v>
      </c>
      <c r="AP141" s="64" t="s" ph="1">
        <v>506</v>
      </c>
      <c r="AQ141" s="64" t="s" ph="1">
        <v>294</v>
      </c>
      <c r="AR141" s="64" t="s" ph="1">
        <v>535</v>
      </c>
      <c r="AS141" s="64" t="s" ph="1">
        <v>498</v>
      </c>
      <c r="AT141" s="64" t="s" ph="1">
        <v>222</v>
      </c>
      <c r="AU141" s="64" t="s" ph="1">
        <v>535</v>
      </c>
      <c r="AV141" s="64" t="s" ph="1">
        <v>334</v>
      </c>
      <c r="AW141" s="64" t="s" ph="1">
        <v>228</v>
      </c>
      <c r="AX141" s="64" t="s" ph="1">
        <v>535</v>
      </c>
    </row>
    <row r="142" spans="33:52" ph="1">
      <c r="AJ142" s="64" t="s" ph="1">
        <v>536</v>
      </c>
      <c r="AK142" s="64" t="s" ph="1">
        <v>239</v>
      </c>
    </row>
    <row r="143" spans="33:52" ph="1">
      <c r="AH143" s="64" ph="1">
        <v>4</v>
      </c>
      <c r="AI143" s="64" t="s" ph="1">
        <v>537</v>
      </c>
      <c r="AJ143" s="64" t="s" ph="1">
        <v>517</v>
      </c>
      <c r="AK143" s="64" t="s" ph="1">
        <v>538</v>
      </c>
      <c r="AY143" s="64" t="s" ph="1">
        <v>216</v>
      </c>
      <c r="AZ143" s="64" t="s" ph="1">
        <v>538</v>
      </c>
    </row>
    <row r="144" spans="33:52" ph="1">
      <c r="AH144" s="64" ph="1">
        <v>5</v>
      </c>
      <c r="AI144" s="64" t="s" ph="1">
        <v>539</v>
      </c>
      <c r="AY144" s="64" t="s" ph="1">
        <v>216</v>
      </c>
      <c r="AZ144" s="64" t="s" ph="1">
        <v>367</v>
      </c>
    </row>
    <row r="145" spans="33:52" ph="1">
      <c r="AH145" s="64" ph="1">
        <v>6</v>
      </c>
      <c r="AI145" s="64" t="s" ph="1">
        <v>540</v>
      </c>
      <c r="AY145" s="64" t="s" ph="1">
        <v>216</v>
      </c>
      <c r="AZ145" s="64" t="s" ph="1">
        <v>367</v>
      </c>
    </row>
    <row r="146" spans="33:52" ph="1">
      <c r="AH146" s="64" ph="1">
        <v>7</v>
      </c>
      <c r="AI146" s="64" t="s" ph="1">
        <v>541</v>
      </c>
      <c r="AY146" s="64" t="s" ph="1">
        <v>216</v>
      </c>
      <c r="AZ146" s="64" t="s" ph="1">
        <v>367</v>
      </c>
    </row>
    <row r="147" spans="33:52" ph="1">
      <c r="AH147" s="64" ph="1">
        <v>8</v>
      </c>
      <c r="AI147" s="64" t="s" ph="1">
        <v>542</v>
      </c>
      <c r="AY147" s="64" t="s" ph="1">
        <v>216</v>
      </c>
      <c r="AZ147" s="64" t="s" ph="1">
        <v>367</v>
      </c>
    </row>
    <row r="148" spans="33:52" ph="1">
      <c r="AH148" s="64" ph="1">
        <v>9</v>
      </c>
      <c r="AI148" s="64" t="s" ph="1">
        <v>543</v>
      </c>
      <c r="AY148" s="64" t="s" ph="1">
        <v>216</v>
      </c>
      <c r="AZ148" s="64" t="s" ph="1">
        <v>367</v>
      </c>
    </row>
    <row r="149" spans="33:52" ph="1">
      <c r="AH149" s="64" ph="1">
        <v>10</v>
      </c>
      <c r="AI149" s="64" t="s" ph="1">
        <v>544</v>
      </c>
      <c r="AY149" s="64" t="s" ph="1">
        <v>216</v>
      </c>
      <c r="AZ149" s="64" t="s" ph="1">
        <v>367</v>
      </c>
    </row>
    <row r="150" spans="33:52" ph="1">
      <c r="AH150" s="64" ph="1">
        <v>11</v>
      </c>
      <c r="AI150" s="64" t="s" ph="1">
        <v>545</v>
      </c>
      <c r="AY150" s="64" t="s" ph="1">
        <v>216</v>
      </c>
      <c r="AZ150" s="64" t="s" ph="1">
        <v>367</v>
      </c>
    </row>
    <row r="151" spans="33:52" ph="1">
      <c r="AH151" s="64" ph="1">
        <v>12</v>
      </c>
      <c r="AI151" s="64" t="s" ph="1">
        <v>546</v>
      </c>
      <c r="AY151" s="64" t="s" ph="1">
        <v>216</v>
      </c>
      <c r="AZ151" s="64" t="s" ph="1">
        <v>367</v>
      </c>
    </row>
    <row r="152" spans="33:52" ph="1">
      <c r="AH152" s="64" ph="1">
        <v>13</v>
      </c>
      <c r="AI152" s="64" t="s" ph="1">
        <v>547</v>
      </c>
      <c r="AY152" s="64" t="s" ph="1">
        <v>216</v>
      </c>
      <c r="AZ152" s="64" t="s" ph="1">
        <v>367</v>
      </c>
    </row>
    <row r="153" spans="33:52" ph="1">
      <c r="AH153" s="64" ph="1">
        <v>14</v>
      </c>
      <c r="AI153" s="64" t="s" ph="1">
        <v>548</v>
      </c>
      <c r="AY153" s="64" t="s" ph="1">
        <v>216</v>
      </c>
      <c r="AZ153" s="64" t="s" ph="1">
        <v>367</v>
      </c>
    </row>
    <row r="154" spans="33:52" ph="1">
      <c r="AH154" s="64" ph="1">
        <v>15</v>
      </c>
      <c r="AI154" s="64" t="s" ph="1">
        <v>549</v>
      </c>
      <c r="AY154" s="64" t="s" ph="1">
        <v>216</v>
      </c>
      <c r="AZ154" s="64" t="s" ph="1">
        <v>367</v>
      </c>
    </row>
    <row r="155" spans="33:52" ph="1">
      <c r="AH155" s="64" ph="1">
        <v>16</v>
      </c>
      <c r="AI155" s="64" t="s" ph="1">
        <v>550</v>
      </c>
      <c r="AJ155" s="64" t="s" ph="1">
        <v>336</v>
      </c>
      <c r="AK155" s="64" t="s" ph="1">
        <v>231</v>
      </c>
      <c r="AM155" s="64" t="s" ph="1">
        <v>570</v>
      </c>
      <c r="AN155" s="64" t="s" ph="1">
        <v>282</v>
      </c>
      <c r="AO155" s="64" t="s" ph="1">
        <v>535</v>
      </c>
      <c r="AY155" s="64" t="s" ph="1">
        <v>216</v>
      </c>
      <c r="AZ155" s="64" t="s" ph="1">
        <v>223</v>
      </c>
    </row>
    <row r="156" spans="33:52" ph="1">
      <c r="AZ156" s="64" t="s" ph="1">
        <v>602</v>
      </c>
    </row>
    <row r="157" spans="33:52" ph="1">
      <c r="AG157" s="64" t="s" ph="1">
        <v>551</v>
      </c>
      <c r="AI157" s="64" t="s" ph="1">
        <v>209</v>
      </c>
      <c r="AJ157" s="64" t="s" ph="1">
        <v>210</v>
      </c>
      <c r="AK157" s="64" t="s" ph="1">
        <v>211</v>
      </c>
      <c r="AM157" s="64" t="s" ph="1">
        <v>210</v>
      </c>
      <c r="AN157" s="64" t="s" ph="1">
        <v>211</v>
      </c>
      <c r="AO157" s="64" t="s" ph="1">
        <v>212</v>
      </c>
      <c r="AP157" s="64" t="s" ph="1">
        <v>210</v>
      </c>
      <c r="AQ157" s="64" t="s" ph="1">
        <v>211</v>
      </c>
      <c r="AR157" s="64" t="s" ph="1">
        <v>212</v>
      </c>
      <c r="AS157" s="64" t="s" ph="1">
        <v>210</v>
      </c>
      <c r="AT157" s="64" t="s" ph="1">
        <v>211</v>
      </c>
      <c r="AU157" s="64" t="s" ph="1">
        <v>212</v>
      </c>
      <c r="AV157" s="64" t="s" ph="1">
        <v>210</v>
      </c>
      <c r="AW157" s="64" t="s" ph="1">
        <v>211</v>
      </c>
      <c r="AX157" s="64" t="s" ph="1">
        <v>212</v>
      </c>
      <c r="AY157" s="64" t="s" ph="1">
        <v>211</v>
      </c>
      <c r="AZ157" s="64" t="s" ph="1">
        <v>213</v>
      </c>
    </row>
    <row r="158" spans="33:52" ph="1">
      <c r="AH158" s="64" ph="1">
        <v>1</v>
      </c>
      <c r="AI158" s="64" t="s" ph="1">
        <v>552</v>
      </c>
      <c r="AY158" s="64" t="s" ph="1">
        <v>216</v>
      </c>
      <c r="AZ158" s="64" t="s" ph="1">
        <v>367</v>
      </c>
    </row>
    <row r="159" spans="33:52" ph="1">
      <c r="AH159" s="64" ph="1">
        <v>2</v>
      </c>
      <c r="AI159" s="64" t="s" ph="1">
        <v>553</v>
      </c>
      <c r="AY159" s="64" t="s" ph="1">
        <v>216</v>
      </c>
      <c r="AZ159" s="64" t="s" ph="1">
        <v>367</v>
      </c>
    </row>
    <row r="160" spans="33:52" ph="1">
      <c r="AZ160" s="64" t="s" ph="1">
        <v>385</v>
      </c>
    </row>
    <row r="161" spans="33:52" ph="1">
      <c r="AG161" s="64" t="s" ph="1">
        <v>361</v>
      </c>
      <c r="AI161" s="64" t="s" ph="1">
        <v>209</v>
      </c>
      <c r="AJ161" s="64" t="s" ph="1">
        <v>210</v>
      </c>
      <c r="AK161" s="64" t="s" ph="1">
        <v>211</v>
      </c>
      <c r="AM161" s="64" t="s" ph="1">
        <v>210</v>
      </c>
      <c r="AN161" s="64" t="s" ph="1">
        <v>211</v>
      </c>
      <c r="AO161" s="64" t="s" ph="1">
        <v>212</v>
      </c>
      <c r="AP161" s="64" t="s" ph="1">
        <v>210</v>
      </c>
      <c r="AQ161" s="64" t="s" ph="1">
        <v>211</v>
      </c>
      <c r="AR161" s="64" t="s" ph="1">
        <v>212</v>
      </c>
      <c r="AS161" s="64" t="s" ph="1">
        <v>210</v>
      </c>
      <c r="AT161" s="64" t="s" ph="1">
        <v>211</v>
      </c>
      <c r="AU161" s="64" t="s" ph="1">
        <v>212</v>
      </c>
      <c r="AV161" s="64" t="s" ph="1">
        <v>210</v>
      </c>
      <c r="AW161" s="64" t="s" ph="1">
        <v>211</v>
      </c>
      <c r="AX161" s="64" t="s" ph="1">
        <v>212</v>
      </c>
      <c r="AY161" s="64" t="s" ph="1">
        <v>211</v>
      </c>
      <c r="AZ161" s="64" t="s" ph="1">
        <v>213</v>
      </c>
    </row>
    <row r="162" spans="33:52" ph="1">
      <c r="AH162" s="64" ph="1">
        <v>1</v>
      </c>
      <c r="AI162" s="64" t="s" ph="1">
        <v>554</v>
      </c>
      <c r="AJ162" s="64" t="s" ph="1">
        <v>555</v>
      </c>
      <c r="AK162" s="64" t="s" ph="1">
        <v>499</v>
      </c>
      <c r="AM162" s="64" t="s" ph="1">
        <v>556</v>
      </c>
      <c r="AN162" s="64" t="s" ph="1">
        <v>220</v>
      </c>
      <c r="AO162" s="64" t="s" ph="1">
        <v>557</v>
      </c>
      <c r="AY162" s="64" t="s" ph="1">
        <v>216</v>
      </c>
      <c r="AZ162" s="64" t="s" ph="1">
        <v>292</v>
      </c>
    </row>
    <row r="163" spans="33:52" ph="1">
      <c r="AH163" s="64" ph="1">
        <v>2</v>
      </c>
      <c r="AI163" s="64" t="s" ph="1">
        <v>558</v>
      </c>
      <c r="AJ163" s="64" t="s" ph="1">
        <v>555</v>
      </c>
      <c r="AK163" s="64" t="s" ph="1">
        <v>388</v>
      </c>
      <c r="AY163" s="64" t="s" ph="1">
        <v>216</v>
      </c>
      <c r="AZ163" s="64" t="s" ph="1">
        <v>388</v>
      </c>
    </row>
    <row r="164" spans="33:52" ph="1">
      <c r="AH164" s="64" ph="1">
        <v>3</v>
      </c>
      <c r="AI164" s="64" t="s" ph="1">
        <v>559</v>
      </c>
      <c r="AJ164" s="64" t="s" ph="1">
        <v>555</v>
      </c>
      <c r="AK164" s="64" t="s" ph="1">
        <v>292</v>
      </c>
      <c r="AY164" s="64" t="s" ph="1">
        <v>216</v>
      </c>
      <c r="AZ164" s="64" t="s" ph="1">
        <v>292</v>
      </c>
    </row>
    <row r="165" spans="33:52" ph="1">
      <c r="AH165" s="64" ph="1">
        <v>4</v>
      </c>
      <c r="AI165" s="64" t="s" ph="1">
        <v>560</v>
      </c>
      <c r="AY165" s="64" t="s" ph="1">
        <v>216</v>
      </c>
      <c r="AZ165" s="64" t="s" ph="1">
        <v>367</v>
      </c>
    </row>
    <row r="166" spans="33:52" ph="1">
      <c r="AH166" s="64" ph="1">
        <v>5</v>
      </c>
      <c r="AI166" s="64" t="s" ph="1">
        <v>561</v>
      </c>
      <c r="AY166" s="64" t="s" ph="1">
        <v>216</v>
      </c>
      <c r="AZ166" s="64" t="s" ph="1">
        <v>367</v>
      </c>
    </row>
    <row r="167" spans="33:52" ph="1">
      <c r="AZ167" s="64" t="s" ph="1">
        <v>562</v>
      </c>
    </row>
    <row r="168" spans="33:52" ph="1">
      <c r="AG168" s="64" t="s" ph="1">
        <v>305</v>
      </c>
      <c r="AI168" s="64" t="s" ph="1">
        <v>209</v>
      </c>
      <c r="AJ168" s="64" t="s" ph="1">
        <v>210</v>
      </c>
      <c r="AK168" s="64" t="s" ph="1">
        <v>211</v>
      </c>
      <c r="AM168" s="64" t="s" ph="1">
        <v>210</v>
      </c>
      <c r="AN168" s="64" t="s" ph="1">
        <v>211</v>
      </c>
      <c r="AO168" s="64" t="s" ph="1">
        <v>212</v>
      </c>
      <c r="AP168" s="64" t="s" ph="1">
        <v>210</v>
      </c>
      <c r="AQ168" s="64" t="s" ph="1">
        <v>211</v>
      </c>
      <c r="AR168" s="64" t="s" ph="1">
        <v>212</v>
      </c>
      <c r="AS168" s="64" t="s" ph="1">
        <v>210</v>
      </c>
      <c r="AT168" s="64" t="s" ph="1">
        <v>211</v>
      </c>
      <c r="AU168" s="64" t="s" ph="1">
        <v>212</v>
      </c>
      <c r="AV168" s="64" t="s" ph="1">
        <v>210</v>
      </c>
      <c r="AW168" s="64" t="s" ph="1">
        <v>211</v>
      </c>
      <c r="AX168" s="64" t="s" ph="1">
        <v>212</v>
      </c>
      <c r="AY168" s="64" t="s" ph="1">
        <v>211</v>
      </c>
      <c r="AZ168" s="64" t="s" ph="1">
        <v>213</v>
      </c>
    </row>
    <row r="169" spans="33:52" ph="1">
      <c r="AH169" s="64" ph="1">
        <v>1</v>
      </c>
      <c r="AI169" s="64" t="s" ph="1">
        <v>563</v>
      </c>
      <c r="AY169" s="64" t="s" ph="1">
        <v>216</v>
      </c>
      <c r="AZ169" s="64" t="s" ph="1">
        <v>367</v>
      </c>
    </row>
    <row r="170" spans="33:52" ph="1">
      <c r="AH170" s="64" ph="1">
        <v>2</v>
      </c>
      <c r="AI170" s="64" t="s" ph="1">
        <v>564</v>
      </c>
      <c r="AY170" s="64" t="s" ph="1">
        <v>216</v>
      </c>
      <c r="AZ170" s="64" t="s" ph="1">
        <v>367</v>
      </c>
    </row>
    <row r="171" spans="33:52" ph="1">
      <c r="AH171" s="64" ph="1">
        <v>3</v>
      </c>
      <c r="AI171" s="64" t="s" ph="1">
        <v>565</v>
      </c>
      <c r="AY171" s="64" t="s" ph="1">
        <v>216</v>
      </c>
      <c r="AZ171" s="64" t="s" ph="1">
        <v>367</v>
      </c>
    </row>
    <row r="172" spans="33:52" ph="1">
      <c r="AH172" s="64" ph="1">
        <v>4</v>
      </c>
      <c r="AI172" s="64" t="s" ph="1">
        <v>566</v>
      </c>
      <c r="AY172" s="64" t="s" ph="1">
        <v>216</v>
      </c>
      <c r="AZ172" s="64" t="s" ph="1">
        <v>367</v>
      </c>
    </row>
    <row r="173" spans="33:52" ph="1">
      <c r="AH173" s="64" ph="1">
        <v>5</v>
      </c>
      <c r="AI173" s="64" t="s" ph="1">
        <v>567</v>
      </c>
      <c r="AY173" s="64" t="s" ph="1">
        <v>216</v>
      </c>
      <c r="AZ173" s="64" t="s" ph="1">
        <v>367</v>
      </c>
    </row>
    <row r="174" spans="33:52" ph="1">
      <c r="AZ174" s="64" t="s" ph="1">
        <v>385</v>
      </c>
    </row>
    <row r="175" spans="33:52" ph="1">
      <c r="AJ175" s="64" t="s" ph="1">
        <v>306</v>
      </c>
    </row>
    <row r="176" spans="33:52" ph="1">
      <c r="AJ176" s="64" t="s" ph="1">
        <v>307</v>
      </c>
      <c r="AK176" s="64" t="s" ph="1">
        <v>308</v>
      </c>
      <c r="AM176" s="64" t="s" ph="1">
        <v>309</v>
      </c>
      <c r="AO176" s="64" t="s" ph="1">
        <v>310</v>
      </c>
      <c r="AP176" s="64" t="s" ph="1">
        <v>311</v>
      </c>
      <c r="AQ176" s="64" t="s" ph="1">
        <v>301</v>
      </c>
      <c r="AR176" s="64" t="s" ph="1">
        <v>221</v>
      </c>
    </row>
    <row r="177" spans="36:56" ph="1">
      <c r="AJ177" s="64" t="s" ph="1">
        <v>603</v>
      </c>
      <c r="AK177" s="64" t="s" ph="1">
        <v>312</v>
      </c>
      <c r="AO177" s="64" t="s" ph="1">
        <v>312</v>
      </c>
      <c r="AP177" s="64" t="s" ph="1">
        <v>312</v>
      </c>
      <c r="AQ177" s="64" t="s" ph="1">
        <v>313</v>
      </c>
      <c r="AR177" s="64" t="s" ph="1">
        <v>314</v>
      </c>
    </row>
    <row r="179" spans="36:56" ph="1">
      <c r="AJ179" s="64" t="s" ph="1">
        <v>315</v>
      </c>
      <c r="AK179" s="64" t="s" ph="1">
        <v>316</v>
      </c>
      <c r="AM179" s="64" t="s" ph="1">
        <v>317</v>
      </c>
      <c r="AN179" s="64" t="s" ph="1">
        <v>293</v>
      </c>
      <c r="AO179" s="64" t="s" ph="1">
        <v>318</v>
      </c>
      <c r="AP179" s="64" t="s" ph="1">
        <v>297</v>
      </c>
      <c r="AQ179" s="64" t="s" ph="1">
        <v>319</v>
      </c>
      <c r="AR179" s="64" t="s" ph="1">
        <v>320</v>
      </c>
    </row>
    <row r="180" spans="36:56" ph="1">
      <c r="AJ180" s="64" t="s" ph="1">
        <v>312</v>
      </c>
      <c r="AK180" s="64" t="s" ph="1">
        <v>312</v>
      </c>
      <c r="AL180" s="64" ph="1">
        <v>116</v>
      </c>
      <c r="AM180" s="64" t="s" ph="1">
        <v>312</v>
      </c>
      <c r="AN180" s="64" t="s" ph="1">
        <v>321</v>
      </c>
      <c r="AO180" s="64" t="s" ph="1">
        <v>312</v>
      </c>
      <c r="AP180" s="64" t="s" ph="1">
        <v>322</v>
      </c>
      <c r="AQ180" s="64" t="s" ph="1">
        <v>323</v>
      </c>
      <c r="AR180" s="64" t="s" ph="1">
        <v>324</v>
      </c>
    </row>
    <row r="189" spans="36:56" ph="1">
      <c r="BD189" s="64" t="s" ph="1">
        <v>568</v>
      </c>
    </row>
    <row r="223" spans="18:18" ph="1">
      <c r="R223" s="135" ph="1">
        <v>45496</v>
      </c>
    </row>
  </sheetData>
  <mergeCells count="58"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S31:U31"/>
    <mergeCell ref="V31:X31"/>
    <mergeCell ref="Y31:AA31"/>
    <mergeCell ref="AB31:AE31"/>
    <mergeCell ref="AD32:AE32"/>
    <mergeCell ref="B33:C34"/>
    <mergeCell ref="D33:D34"/>
    <mergeCell ref="E33:E34"/>
    <mergeCell ref="F33:F34"/>
    <mergeCell ref="G33:G34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</mergeCells>
  <phoneticPr fontId="2" type="noConversion"/>
  <conditionalFormatting sqref="D4:D11">
    <cfRule type="expression" dxfId="1956" priority="100">
      <formula>ABS(D$7-D$10)&gt;=1000</formula>
    </cfRule>
  </conditionalFormatting>
  <conditionalFormatting sqref="E4 E6:E11">
    <cfRule type="expression" dxfId="1955" priority="99">
      <formula>ABS(E$7-E$10)&gt;=1000</formula>
    </cfRule>
  </conditionalFormatting>
  <conditionalFormatting sqref="F4:F11">
    <cfRule type="expression" dxfId="1954" priority="98">
      <formula>ABS(F$7-F$10)&gt;=1000</formula>
    </cfRule>
  </conditionalFormatting>
  <conditionalFormatting sqref="G4:G11">
    <cfRule type="expression" dxfId="1953" priority="97">
      <formula>ABS(G$7-G$10)&gt;=1000</formula>
    </cfRule>
  </conditionalFormatting>
  <conditionalFormatting sqref="H4:H11">
    <cfRule type="expression" dxfId="1952" priority="96">
      <formula>ABS(H$7-H$10)&gt;=1000</formula>
    </cfRule>
  </conditionalFormatting>
  <conditionalFormatting sqref="I4:I11">
    <cfRule type="expression" dxfId="1951" priority="95">
      <formula>ABS(I$7-I$10)&gt;=1000</formula>
    </cfRule>
  </conditionalFormatting>
  <conditionalFormatting sqref="J4:J11">
    <cfRule type="expression" dxfId="1950" priority="94">
      <formula>ABS(J$7-J$10)&gt;=1000</formula>
    </cfRule>
  </conditionalFormatting>
  <conditionalFormatting sqref="K4:K11">
    <cfRule type="expression" dxfId="1949" priority="93">
      <formula>ABS(K$7-K$10)&gt;=1000</formula>
    </cfRule>
  </conditionalFormatting>
  <conditionalFormatting sqref="L4:L11">
    <cfRule type="expression" dxfId="1948" priority="92">
      <formula>ABS(L$7-L$10)&gt;=1000</formula>
    </cfRule>
  </conditionalFormatting>
  <conditionalFormatting sqref="M4 M6:M11">
    <cfRule type="expression" dxfId="1947" priority="91">
      <formula>ABS(M$7-M$10)&gt;=1000</formula>
    </cfRule>
  </conditionalFormatting>
  <conditionalFormatting sqref="N4 N6:N11">
    <cfRule type="expression" dxfId="1946" priority="90">
      <formula>ABS(N$7-N$10)&gt;=1000</formula>
    </cfRule>
  </conditionalFormatting>
  <conditionalFormatting sqref="O4 O6:O11">
    <cfRule type="expression" dxfId="1945" priority="89">
      <formula>ABS(O$7-O$10)&gt;=1000</formula>
    </cfRule>
  </conditionalFormatting>
  <conditionalFormatting sqref="P4 P6:P11">
    <cfRule type="expression" dxfId="1944" priority="88">
      <formula>ABS(P$7-P$10)&gt;=1000</formula>
    </cfRule>
  </conditionalFormatting>
  <conditionalFormatting sqref="Q4:Q11">
    <cfRule type="expression" dxfId="1943" priority="87">
      <formula>ABS(Q$7-Q$10)&gt;=1000</formula>
    </cfRule>
  </conditionalFormatting>
  <conditionalFormatting sqref="R4:R11">
    <cfRule type="expression" dxfId="1942" priority="86">
      <formula>ABS(R$7-R$10)&gt;=1000</formula>
    </cfRule>
  </conditionalFormatting>
  <conditionalFormatting sqref="S4:S11">
    <cfRule type="expression" dxfId="1941" priority="85">
      <formula>ABS(S$7-S$10)&gt;=1000</formula>
    </cfRule>
  </conditionalFormatting>
  <conditionalFormatting sqref="T4:T9 T11">
    <cfRule type="expression" dxfId="1940" priority="84">
      <formula>ABS(T$7-T$10)&gt;=1000</formula>
    </cfRule>
  </conditionalFormatting>
  <conditionalFormatting sqref="U4:U9 U11">
    <cfRule type="expression" dxfId="1939" priority="83">
      <formula>ABS(U$7-U$10)&gt;=1000</formula>
    </cfRule>
  </conditionalFormatting>
  <conditionalFormatting sqref="V4:V9 V11">
    <cfRule type="expression" dxfId="1938" priority="82">
      <formula>ABS(V$7-V$10)&gt;=1000</formula>
    </cfRule>
  </conditionalFormatting>
  <conditionalFormatting sqref="W4:W9 W11">
    <cfRule type="expression" dxfId="1937" priority="81">
      <formula>ABS(W$7-W$10)&gt;=1000</formula>
    </cfRule>
  </conditionalFormatting>
  <conditionalFormatting sqref="X4:X9 X11">
    <cfRule type="expression" dxfId="1936" priority="80">
      <formula>ABS(X$7-X$10)&gt;=1000</formula>
    </cfRule>
  </conditionalFormatting>
  <conditionalFormatting sqref="Y4:Y9 Y11">
    <cfRule type="expression" dxfId="1935" priority="79">
      <formula>ABS(Y$7-Y$10)&gt;=1000</formula>
    </cfRule>
  </conditionalFormatting>
  <conditionalFormatting sqref="Z4:Z11">
    <cfRule type="expression" dxfId="1934" priority="78">
      <formula>ABS(Z$7-Z$10)&gt;=1000</formula>
    </cfRule>
  </conditionalFormatting>
  <conditionalFormatting sqref="AA4:AA11">
    <cfRule type="expression" dxfId="1933" priority="77">
      <formula>ABS(AA$7-AA$10)&gt;=1000</formula>
    </cfRule>
  </conditionalFormatting>
  <conditionalFormatting sqref="AB4:AB11">
    <cfRule type="expression" dxfId="1932" priority="76">
      <formula>ABS(AB$7-AB$10)&gt;=1000</formula>
    </cfRule>
  </conditionalFormatting>
  <conditionalFormatting sqref="AC4 AC6:AC11">
    <cfRule type="expression" dxfId="1931" priority="75">
      <formula>ABS(AC$7-AC$10)&gt;=1000</formula>
    </cfRule>
  </conditionalFormatting>
  <conditionalFormatting sqref="AD4 AD6:AD11">
    <cfRule type="expression" dxfId="1930" priority="74">
      <formula>ABS(AD$7-AD$10)&gt;=1000</formula>
    </cfRule>
  </conditionalFormatting>
  <conditionalFormatting sqref="AE4 AE6:AE11">
    <cfRule type="expression" dxfId="1929" priority="73">
      <formula>ABS(AE$7-AE$10)&gt;=1000</formula>
    </cfRule>
  </conditionalFormatting>
  <conditionalFormatting sqref="D13:D20">
    <cfRule type="expression" dxfId="1928" priority="72">
      <formula>ABS(D$16-D$19)&gt;=1000</formula>
    </cfRule>
  </conditionalFormatting>
  <conditionalFormatting sqref="E13:E20">
    <cfRule type="expression" dxfId="1927" priority="71">
      <formula>ABS(E$16-E$19)&gt;=1000</formula>
    </cfRule>
  </conditionalFormatting>
  <conditionalFormatting sqref="F13 F15:F20">
    <cfRule type="expression" dxfId="1926" priority="70">
      <formula>ABS(F$16-F$19)&gt;=1000</formula>
    </cfRule>
  </conditionalFormatting>
  <conditionalFormatting sqref="G13:G20">
    <cfRule type="expression" dxfId="1925" priority="69">
      <formula>ABS(G$16-G$19)&gt;=1000</formula>
    </cfRule>
  </conditionalFormatting>
  <conditionalFormatting sqref="H13 H15:H20">
    <cfRule type="expression" dxfId="1924" priority="68">
      <formula>ABS(H$16-H$19)&gt;=1000</formula>
    </cfRule>
  </conditionalFormatting>
  <conditionalFormatting sqref="I13:I20">
    <cfRule type="expression" dxfId="1923" priority="67">
      <formula>ABS(I$16-I$19)&gt;=1000</formula>
    </cfRule>
  </conditionalFormatting>
  <conditionalFormatting sqref="J13:J20">
    <cfRule type="expression" dxfId="1922" priority="66">
      <formula>ABS(J$16-J$19)&gt;=1000</formula>
    </cfRule>
  </conditionalFormatting>
  <conditionalFormatting sqref="L13:L20">
    <cfRule type="expression" dxfId="1921" priority="65">
      <formula>ABS(L$16-L$19)&gt;=1000</formula>
    </cfRule>
  </conditionalFormatting>
  <conditionalFormatting sqref="M13 M15 M17:M18 M20">
    <cfRule type="expression" dxfId="1920" priority="64">
      <formula>ABS(M$16-M$19)&gt;=1000</formula>
    </cfRule>
  </conditionalFormatting>
  <conditionalFormatting sqref="N13:N20">
    <cfRule type="expression" dxfId="1919" priority="63">
      <formula>ABS(N$16-N$19)&gt;=1000</formula>
    </cfRule>
  </conditionalFormatting>
  <conditionalFormatting sqref="O13:O20">
    <cfRule type="expression" dxfId="1918" priority="62">
      <formula>ABS(O$16-O$19)&gt;=1000</formula>
    </cfRule>
  </conditionalFormatting>
  <conditionalFormatting sqref="P13:P20">
    <cfRule type="expression" dxfId="1917" priority="61">
      <formula>ABS(P$16-P$19)&gt;=1000</formula>
    </cfRule>
  </conditionalFormatting>
  <conditionalFormatting sqref="Q13 Q15:Q20">
    <cfRule type="expression" dxfId="1916" priority="60">
      <formula>ABS(Q$16-Q$19)&gt;=1000</formula>
    </cfRule>
  </conditionalFormatting>
  <conditionalFormatting sqref="R13:R20">
    <cfRule type="expression" dxfId="1915" priority="59">
      <formula>ABS(R$16-R$19)&gt;=1000</formula>
    </cfRule>
  </conditionalFormatting>
  <conditionalFormatting sqref="S13:S20">
    <cfRule type="expression" dxfId="1914" priority="58">
      <formula>ABS(S$16-S$19)&gt;=1000</formula>
    </cfRule>
  </conditionalFormatting>
  <conditionalFormatting sqref="T13:T20">
    <cfRule type="expression" dxfId="1913" priority="57">
      <formula>ABS(T$16-T$19)&gt;=1000</formula>
    </cfRule>
  </conditionalFormatting>
  <conditionalFormatting sqref="U13:U20">
    <cfRule type="expression" dxfId="1912" priority="56">
      <formula>ABS(U$16-U$19)&gt;=1000</formula>
    </cfRule>
  </conditionalFormatting>
  <conditionalFormatting sqref="V13:V20">
    <cfRule type="expression" dxfId="1911" priority="55">
      <formula>ABS(V$16-V$19)&gt;=1000</formula>
    </cfRule>
  </conditionalFormatting>
  <conditionalFormatting sqref="W13 W20 W15:W18">
    <cfRule type="expression" dxfId="1910" priority="54">
      <formula>ABS(W$16-W$19)&gt;=1000</formula>
    </cfRule>
  </conditionalFormatting>
  <conditionalFormatting sqref="X13 X15:X20 Y19">
    <cfRule type="expression" dxfId="1909" priority="53">
      <formula>ABS(X$16-X$19)&gt;=1000</formula>
    </cfRule>
  </conditionalFormatting>
  <conditionalFormatting sqref="Y13 Y15:Y18 Y20">
    <cfRule type="expression" dxfId="1908" priority="52">
      <formula>ABS(Y$16-Y$19)&gt;=1000</formula>
    </cfRule>
  </conditionalFormatting>
  <conditionalFormatting sqref="Z13:Z20">
    <cfRule type="expression" dxfId="1907" priority="51">
      <formula>ABS(Z$16-Z$19)&gt;=1000</formula>
    </cfRule>
  </conditionalFormatting>
  <conditionalFormatting sqref="AA13:AA20">
    <cfRule type="expression" dxfId="1906" priority="50">
      <formula>ABS(AA$16-AA$19)&gt;=1000</formula>
    </cfRule>
  </conditionalFormatting>
  <conditionalFormatting sqref="AB13 AB15:AB20">
    <cfRule type="expression" dxfId="1905" priority="49">
      <formula>ABS(AB$16-AB$19)&gt;=1000</formula>
    </cfRule>
  </conditionalFormatting>
  <conditionalFormatting sqref="AC13 AC15:AC20">
    <cfRule type="expression" dxfId="1904" priority="48">
      <formula>ABS(AC$16-AC$19)&gt;=1000</formula>
    </cfRule>
  </conditionalFormatting>
  <conditionalFormatting sqref="AD13:AD20">
    <cfRule type="expression" dxfId="1903" priority="47">
      <formula>ABS(AD$16-AD$19)&gt;=1000</formula>
    </cfRule>
  </conditionalFormatting>
  <conditionalFormatting sqref="AE13:AE20">
    <cfRule type="expression" dxfId="1902" priority="46">
      <formula>ABS(AE$16-AE$19)&gt;=1000</formula>
    </cfRule>
  </conditionalFormatting>
  <conditionalFormatting sqref="D22:D29">
    <cfRule type="expression" dxfId="1901" priority="45">
      <formula>ABS(D$25-D$28)&gt;=1000</formula>
    </cfRule>
  </conditionalFormatting>
  <conditionalFormatting sqref="E22:E29">
    <cfRule type="expression" dxfId="1900" priority="44">
      <formula>ABS(E$25-E$28)&gt;=1000</formula>
    </cfRule>
  </conditionalFormatting>
  <conditionalFormatting sqref="F22:F29">
    <cfRule type="expression" dxfId="1899" priority="43">
      <formula>ABS(F$25-F$28)&gt;=1000</formula>
    </cfRule>
  </conditionalFormatting>
  <conditionalFormatting sqref="G22:G29">
    <cfRule type="expression" dxfId="1898" priority="42">
      <formula>ABS(G$25-G$28)&gt;=1000</formula>
    </cfRule>
  </conditionalFormatting>
  <conditionalFormatting sqref="H22:H29">
    <cfRule type="expression" dxfId="1897" priority="41">
      <formula>ABS(H$25-H$28)&gt;=1000</formula>
    </cfRule>
  </conditionalFormatting>
  <conditionalFormatting sqref="I22 I24:I29">
    <cfRule type="expression" dxfId="1896" priority="40">
      <formula>ABS(I$25-I$28)&gt;=1000</formula>
    </cfRule>
  </conditionalFormatting>
  <conditionalFormatting sqref="J22:J29 K22">
    <cfRule type="expression" dxfId="1895" priority="39">
      <formula>ABS(J$25-J$28)&gt;=1000</formula>
    </cfRule>
  </conditionalFormatting>
  <conditionalFormatting sqref="K23:K29 L25 L28">
    <cfRule type="expression" dxfId="1894" priority="38">
      <formula>ABS(K$25-K$28)&gt;=1000</formula>
    </cfRule>
  </conditionalFormatting>
  <conditionalFormatting sqref="L22 L26:L27 L29 L24">
    <cfRule type="expression" dxfId="1893" priority="37">
      <formula>ABS(L$25-L$28)&gt;=1000</formula>
    </cfRule>
  </conditionalFormatting>
  <conditionalFormatting sqref="M22:M29">
    <cfRule type="expression" dxfId="1892" priority="36">
      <formula>ABS(M$25-M$28)&gt;=1000</formula>
    </cfRule>
  </conditionalFormatting>
  <conditionalFormatting sqref="N22:N29">
    <cfRule type="expression" dxfId="1891" priority="35">
      <formula>ABS(N$25-N$28)&gt;=1000</formula>
    </cfRule>
  </conditionalFormatting>
  <conditionalFormatting sqref="O22:O29">
    <cfRule type="expression" dxfId="1890" priority="34">
      <formula>ABS(O$25-O$28)&gt;=1000</formula>
    </cfRule>
  </conditionalFormatting>
  <conditionalFormatting sqref="P22:P29">
    <cfRule type="expression" dxfId="1889" priority="33">
      <formula>ABS(P$25-P$28)&gt;=1000</formula>
    </cfRule>
  </conditionalFormatting>
  <conditionalFormatting sqref="Q22:Q29">
    <cfRule type="expression" dxfId="1888" priority="32">
      <formula>ABS(Q$25-Q$28)&gt;=1000</formula>
    </cfRule>
  </conditionalFormatting>
  <conditionalFormatting sqref="R22:R29">
    <cfRule type="expression" dxfId="1887" priority="31">
      <formula>ABS(R$25-R$28)&gt;=1000</formula>
    </cfRule>
  </conditionalFormatting>
  <conditionalFormatting sqref="S22:S29">
    <cfRule type="expression" dxfId="1886" priority="30">
      <formula>ABS(S$25-S$28)&gt;=1000</formula>
    </cfRule>
  </conditionalFormatting>
  <conditionalFormatting sqref="T22:T29">
    <cfRule type="expression" dxfId="1885" priority="29">
      <formula>ABS(T$25-T$28)&gt;=1000</formula>
    </cfRule>
  </conditionalFormatting>
  <conditionalFormatting sqref="U22:U29">
    <cfRule type="expression" dxfId="1884" priority="28">
      <formula>ABS(U$25-U$28)&gt;=1000</formula>
    </cfRule>
  </conditionalFormatting>
  <conditionalFormatting sqref="V22:V29">
    <cfRule type="expression" dxfId="1883" priority="27">
      <formula>ABS(V$25-V$28)&gt;=1000</formula>
    </cfRule>
  </conditionalFormatting>
  <conditionalFormatting sqref="W22:W29">
    <cfRule type="expression" dxfId="1882" priority="26">
      <formula>ABS(W$25-W$28)&gt;=1000</formula>
    </cfRule>
  </conditionalFormatting>
  <conditionalFormatting sqref="X22:X29">
    <cfRule type="expression" dxfId="1881" priority="25">
      <formula>ABS(X$25-X$28)&gt;=1000</formula>
    </cfRule>
  </conditionalFormatting>
  <conditionalFormatting sqref="Y22:Y29">
    <cfRule type="expression" dxfId="1880" priority="24">
      <formula>ABS(Y$25-Y$28)&gt;=1000</formula>
    </cfRule>
  </conditionalFormatting>
  <conditionalFormatting sqref="I23">
    <cfRule type="expression" dxfId="1879" priority="23">
      <formula>ABS(I$25-I$28)&gt;=1000</formula>
    </cfRule>
  </conditionalFormatting>
  <conditionalFormatting sqref="Q14">
    <cfRule type="expression" dxfId="1878" priority="22">
      <formula>ABS(Q$16-Q$19)&gt;=1000</formula>
    </cfRule>
  </conditionalFormatting>
  <conditionalFormatting sqref="W14">
    <cfRule type="expression" dxfId="1877" priority="21">
      <formula>ABS(W$16-W$19)&gt;=1000</formula>
    </cfRule>
  </conditionalFormatting>
  <conditionalFormatting sqref="X14">
    <cfRule type="expression" dxfId="1876" priority="20">
      <formula>ABS(X$16-X$19)&gt;=1000</formula>
    </cfRule>
  </conditionalFormatting>
  <conditionalFormatting sqref="T10:Y10">
    <cfRule type="expression" dxfId="1875" priority="19">
      <formula>ABS(T$7-T$10)&gt;=1000</formula>
    </cfRule>
  </conditionalFormatting>
  <conditionalFormatting sqref="W19">
    <cfRule type="expression" dxfId="1874" priority="18">
      <formula>ABS(W$16-W$19)&gt;=1000</formula>
    </cfRule>
  </conditionalFormatting>
  <conditionalFormatting sqref="AC5">
    <cfRule type="expression" dxfId="1873" priority="17">
      <formula>ABS(AC$7-AC$10)&gt;=1000</formula>
    </cfRule>
  </conditionalFormatting>
  <conditionalFormatting sqref="M14">
    <cfRule type="expression" dxfId="1872" priority="16">
      <formula>ABS(M$16-M$19)&gt;=1000</formula>
    </cfRule>
  </conditionalFormatting>
  <conditionalFormatting sqref="M16">
    <cfRule type="expression" dxfId="1871" priority="15">
      <formula>ABS(M$16-M$19)&gt;=1000</formula>
    </cfRule>
  </conditionalFormatting>
  <conditionalFormatting sqref="M19">
    <cfRule type="expression" dxfId="1870" priority="14">
      <formula>ABS(M$16-M$19)&gt;=1000</formula>
    </cfRule>
  </conditionalFormatting>
  <conditionalFormatting sqref="K13:K20">
    <cfRule type="expression" dxfId="1869" priority="13">
      <formula>ABS(K$16-K$19)&gt;=1000</formula>
    </cfRule>
  </conditionalFormatting>
  <conditionalFormatting sqref="E5">
    <cfRule type="expression" dxfId="1868" priority="12">
      <formula>ABS(E$7-E$10)&gt;=1000</formula>
    </cfRule>
  </conditionalFormatting>
  <conditionalFormatting sqref="AB14:AC14">
    <cfRule type="expression" dxfId="1867" priority="11">
      <formula>ABS(AB$16-AB$19)&gt;=1000</formula>
    </cfRule>
  </conditionalFormatting>
  <conditionalFormatting sqref="M5">
    <cfRule type="expression" dxfId="1866" priority="10">
      <formula>ABS(M$7-M$10)&gt;=1000</formula>
    </cfRule>
  </conditionalFormatting>
  <conditionalFormatting sqref="N5">
    <cfRule type="expression" dxfId="1865" priority="9">
      <formula>ABS(N$7-N$10)&gt;=1000</formula>
    </cfRule>
  </conditionalFormatting>
  <conditionalFormatting sqref="O5">
    <cfRule type="expression" dxfId="1864" priority="8">
      <formula>ABS(O$7-O$10)&gt;=1000</formula>
    </cfRule>
  </conditionalFormatting>
  <conditionalFormatting sqref="P5">
    <cfRule type="expression" dxfId="1863" priority="7">
      <formula>ABS(P$7-P$10)&gt;=1000</formula>
    </cfRule>
  </conditionalFormatting>
  <conditionalFormatting sqref="L23">
    <cfRule type="expression" dxfId="1862" priority="6">
      <formula>ABS(L$25-L$28)&gt;=1000</formula>
    </cfRule>
  </conditionalFormatting>
  <conditionalFormatting sqref="Y14">
    <cfRule type="expression" dxfId="1861" priority="5">
      <formula>ABS(Y$16-Y$19)&gt;=1000</formula>
    </cfRule>
  </conditionalFormatting>
  <conditionalFormatting sqref="F14">
    <cfRule type="expression" dxfId="1860" priority="4">
      <formula>ABS(F$16-F$19)&gt;=1000</formula>
    </cfRule>
  </conditionalFormatting>
  <conditionalFormatting sqref="H14">
    <cfRule type="expression" dxfId="1859" priority="3">
      <formula>ABS(H$16-H$19)&gt;=1000</formula>
    </cfRule>
  </conditionalFormatting>
  <conditionalFormatting sqref="AD5">
    <cfRule type="expression" dxfId="1858" priority="2">
      <formula>ABS(AD$7-AD$10)&gt;=1000</formula>
    </cfRule>
  </conditionalFormatting>
  <conditionalFormatting sqref="AE5">
    <cfRule type="expression" dxfId="1857" priority="1">
      <formula>ABS(AE$7-AE$10)&gt;=1000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75393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907">
    <pageSetUpPr fitToPage="1"/>
  </sheetPr>
  <dimension ref="A1:CU223"/>
  <sheetViews>
    <sheetView view="pageBreakPreview" zoomScale="70" zoomScaleNormal="100" zoomScaleSheetLayoutView="70" workbookViewId="0">
      <selection activeCell="L11" sqref="L11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185" t="s" ph="1">
        <v>161</v>
      </c>
      <c r="C1" s="185" ph="1"/>
      <c r="D1" s="185" ph="1"/>
      <c r="E1" s="185" ph="1"/>
      <c r="F1" s="185" ph="1"/>
      <c r="G1" s="185" ph="1"/>
      <c r="H1" s="185" ph="1"/>
      <c r="I1" s="185" ph="1"/>
      <c r="J1" s="185" ph="1"/>
      <c r="K1" s="185" ph="1"/>
      <c r="L1" s="185" ph="1"/>
      <c r="M1" s="185" ph="1"/>
      <c r="N1" s="185" ph="1"/>
      <c r="O1" s="185" ph="1"/>
      <c r="P1" s="185" ph="1"/>
      <c r="Q1" s="185" ph="1"/>
      <c r="R1" s="185" ph="1"/>
      <c r="S1" s="185" ph="1"/>
      <c r="T1" s="185" ph="1"/>
      <c r="U1" s="185" ph="1"/>
      <c r="V1" s="185" ph="1"/>
      <c r="W1" s="185" ph="1"/>
      <c r="X1" s="185" ph="1"/>
      <c r="Y1" s="185" ph="1"/>
      <c r="Z1" s="185" ph="1"/>
      <c r="AA1" s="185" ph="1"/>
      <c r="AB1" s="185" ph="1"/>
      <c r="AC1" s="185" ph="1"/>
      <c r="AD1" s="185" ph="1"/>
      <c r="AE1" s="185" ph="1"/>
    </row>
    <row r="2" spans="1:99" s="66" customFormat="1" ht="24" customHeight="1" ph="1">
      <c r="B2" s="186" t="s" ph="1">
        <v>82</v>
      </c>
      <c r="C2" s="186" ph="1"/>
      <c r="D2" s="186" ph="1"/>
      <c r="E2" s="186" ph="1"/>
      <c r="F2" s="186" ph="1"/>
      <c r="G2" s="186" ph="1"/>
      <c r="H2" s="186" ph="1"/>
      <c r="I2" s="186" ph="1"/>
      <c r="J2" s="186" ph="1"/>
      <c r="K2" s="186" ph="1"/>
      <c r="L2" s="186" ph="1"/>
      <c r="M2" s="186" ph="1"/>
      <c r="N2" s="186" ph="1"/>
      <c r="O2" s="186" ph="1"/>
      <c r="P2" s="186" ph="1"/>
      <c r="Q2" s="186" ph="1"/>
      <c r="R2" s="186" ph="1"/>
      <c r="S2" s="186" ph="1"/>
      <c r="T2" s="186" ph="1"/>
      <c r="U2" s="186" ph="1"/>
      <c r="V2" s="186" ph="1"/>
      <c r="W2" s="186" ph="1"/>
      <c r="X2" s="186" ph="1"/>
      <c r="Y2" s="186" ph="1"/>
      <c r="Z2" s="186" ph="1"/>
      <c r="AA2" s="186" ph="1"/>
      <c r="AB2" s="186" ph="1"/>
      <c r="AC2" s="186" ph="1"/>
      <c r="AD2" s="186" ph="1"/>
      <c r="AE2" s="186" ph="1"/>
    </row>
    <row r="3" spans="1:99" ht="21" customHeight="1" ph="1">
      <c r="B3" s="187" ph="1">
        <v>46183</v>
      </c>
      <c r="C3" s="187"/>
      <c r="D3" s="187"/>
      <c r="E3" s="187"/>
      <c r="F3" s="187"/>
      <c r="G3" s="187"/>
      <c r="H3" s="187"/>
      <c r="I3" s="187"/>
      <c r="J3" s="187"/>
      <c r="K3" s="187"/>
      <c r="L3" s="187"/>
      <c r="M3" s="187"/>
      <c r="N3" s="187"/>
      <c r="O3" s="187"/>
      <c r="P3" s="187"/>
      <c r="Q3" s="187"/>
      <c r="R3" s="187"/>
      <c r="S3" s="187"/>
      <c r="T3" s="187"/>
      <c r="U3" s="187"/>
      <c r="V3" s="187"/>
      <c r="W3" s="187"/>
      <c r="X3" s="187"/>
      <c r="Y3" s="187"/>
      <c r="Z3" s="187"/>
      <c r="AA3" s="187"/>
      <c r="AB3" s="187"/>
      <c r="AC3" s="187"/>
      <c r="AD3" s="187"/>
      <c r="AE3" s="187"/>
    </row>
    <row r="4" spans="1:99" s="69" customFormat="1" ph="1">
      <c r="A4" s="65" ph="1"/>
      <c r="B4" s="188" t="s" ph="1">
        <v>37</v>
      </c>
      <c r="C4" s="67" t="s" ph="1">
        <v>176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110</v>
      </c>
      <c r="J4" s="68" t="s" ph="1">
        <v>48</v>
      </c>
      <c r="K4" s="68" t="s" ph="1">
        <v>111</v>
      </c>
      <c r="L4" s="68" t="s" ph="1">
        <v>112</v>
      </c>
      <c r="M4" s="68" t="s" ph="1">
        <v>49</v>
      </c>
      <c r="N4" s="68" t="s" ph="1">
        <v>50</v>
      </c>
      <c r="O4" s="68" t="s" ph="1">
        <v>113</v>
      </c>
      <c r="P4" s="68" t="s" ph="1">
        <v>114</v>
      </c>
      <c r="Q4" s="68" t="s" ph="1">
        <v>115</v>
      </c>
      <c r="R4" s="68" t="s" ph="1">
        <v>116</v>
      </c>
      <c r="S4" s="68" t="s" ph="1">
        <v>117</v>
      </c>
      <c r="T4" s="68" t="s" ph="1">
        <v>118</v>
      </c>
      <c r="U4" s="68" t="s" ph="1">
        <v>119</v>
      </c>
      <c r="V4" s="68" t="s" ph="1">
        <v>120</v>
      </c>
      <c r="W4" s="68" t="s" ph="1">
        <v>121</v>
      </c>
      <c r="X4" s="68" t="s" ph="1">
        <v>122</v>
      </c>
      <c r="Y4" s="68" t="s" ph="1">
        <v>123</v>
      </c>
      <c r="Z4" s="68" t="s" ph="1">
        <v>51</v>
      </c>
      <c r="AA4" s="68" t="s" ph="1">
        <v>124</v>
      </c>
      <c r="AB4" s="68" t="s" ph="1">
        <v>125</v>
      </c>
      <c r="AC4" s="68" t="s" ph="1">
        <v>126</v>
      </c>
      <c r="AD4" s="68" t="s" ph="1">
        <v>40</v>
      </c>
      <c r="AE4" s="68" t="s" ph="1">
        <v>127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188" ph="1"/>
      <c r="C5" s="67" t="s" ph="1">
        <v>36</v>
      </c>
      <c r="D5" s="70" t="s" ph="1">
        <v>160</v>
      </c>
      <c r="E5" s="142" t="s" ph="1">
        <v>7</v>
      </c>
      <c r="F5" s="142" t="s" ph="1">
        <v>1</v>
      </c>
      <c r="G5" s="142" t="s" ph="1">
        <v>7</v>
      </c>
      <c r="H5" s="142" t="s" ph="1">
        <v>7</v>
      </c>
      <c r="I5" s="141" t="s" ph="1">
        <v>608</v>
      </c>
      <c r="J5" s="141" t="s" ph="1">
        <v>609</v>
      </c>
      <c r="K5" s="141" t="s" ph="1">
        <v>611</v>
      </c>
      <c r="L5" s="141" t="s" ph="1">
        <v>613</v>
      </c>
      <c r="M5" s="141" t="s" ph="1">
        <v>608</v>
      </c>
      <c r="N5" s="70" t="s" ph="1">
        <v>609</v>
      </c>
      <c r="O5" s="70" t="s" ph="1">
        <v>611</v>
      </c>
      <c r="P5" s="70" t="s" ph="1">
        <v>613</v>
      </c>
      <c r="Q5" s="70" t="s" ph="1">
        <v>607</v>
      </c>
      <c r="R5" s="70" t="s" ph="1">
        <v>607</v>
      </c>
      <c r="S5" s="70" t="s" ph="1">
        <v>607</v>
      </c>
      <c r="T5" s="70" t="s" ph="1">
        <v>607</v>
      </c>
      <c r="U5" s="70" t="s" ph="1">
        <v>607</v>
      </c>
      <c r="V5" s="70" t="s" ph="1">
        <v>607</v>
      </c>
      <c r="W5" s="70" t="s" ph="1">
        <v>607</v>
      </c>
      <c r="X5" s="70" t="s" ph="1">
        <v>607</v>
      </c>
      <c r="Y5" s="70" t="s" ph="1">
        <v>607</v>
      </c>
      <c r="Z5" s="70" t="s" ph="1">
        <v>614</v>
      </c>
      <c r="AA5" s="70" t="s" ph="1">
        <v>54</v>
      </c>
      <c r="AB5" s="70" t="s" ph="1">
        <v>54</v>
      </c>
      <c r="AC5" s="70" t="s" ph="1">
        <v>615</v>
      </c>
      <c r="AD5" s="71" t="s">
        <v>72</v>
      </c>
      <c r="AE5" s="71" t="s">
        <v>635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184" ph="1">
        <v>0.33333333333333331</v>
      </c>
      <c r="C6" s="156" t="s" ph="1">
        <v>177</v>
      </c>
      <c r="D6" s="71">
        <v>3412</v>
      </c>
      <c r="E6" s="71">
        <v>7796</v>
      </c>
      <c r="F6" s="71">
        <v>5837</v>
      </c>
      <c r="G6" s="71">
        <v>3045</v>
      </c>
      <c r="H6" s="71">
        <v>3532</v>
      </c>
      <c r="I6" s="71">
        <v>38.520000000000003</v>
      </c>
      <c r="J6" s="71">
        <v>6.34</v>
      </c>
      <c r="K6" s="71">
        <v>62.73</v>
      </c>
      <c r="L6" s="71">
        <v>40.89</v>
      </c>
      <c r="M6" s="71">
        <v>6373</v>
      </c>
      <c r="N6" s="71">
        <v>192</v>
      </c>
      <c r="O6" s="71">
        <v>5101</v>
      </c>
      <c r="P6" s="71">
        <v>1226</v>
      </c>
      <c r="Q6" s="71">
        <v>7064</v>
      </c>
      <c r="R6" s="71">
        <v>7215</v>
      </c>
      <c r="S6" s="71">
        <v>5168</v>
      </c>
      <c r="T6" s="71">
        <v>7054</v>
      </c>
      <c r="U6" s="71">
        <v>5909</v>
      </c>
      <c r="V6" s="71">
        <v>3756</v>
      </c>
      <c r="W6" s="71">
        <v>0</v>
      </c>
      <c r="X6" s="71">
        <v>0</v>
      </c>
      <c r="Y6" s="71">
        <v>0</v>
      </c>
      <c r="Z6" s="71">
        <v>2556</v>
      </c>
      <c r="AA6" s="71">
        <v>0</v>
      </c>
      <c r="AB6" s="71">
        <v>2950</v>
      </c>
      <c r="AC6" s="71">
        <v>280</v>
      </c>
      <c r="AD6" s="71">
        <v>3877</v>
      </c>
      <c r="AE6" s="71">
        <v>4940</v>
      </c>
    </row>
    <row r="7" spans="1:99" s="72" customFormat="1" ht="22.2" ph="1">
      <c r="B7" s="184" ph="1"/>
      <c r="C7" s="68" t="s" ph="1">
        <v>178</v>
      </c>
      <c r="D7" s="73" ph="1">
        <f>D6*33.183*LOOKUP(D8,密度!$A$2:$A$50,密度!$Q$2:$Q$50)</f>
        <v>107272.92859811999</v>
      </c>
      <c r="E7" s="73" ph="1">
        <f>E6*51.53*LOOKUP(E8,密度!$A$2:$A$50,密度!$B$2:$B$50)</f>
        <v>314271.720524</v>
      </c>
      <c r="F7" s="73" ph="1">
        <f>F6*33.183*LOOKUP(F8,密度!$A$2:$A$50,密度!$C$2:$C$50)</f>
        <v>215208.03789810001</v>
      </c>
      <c r="G7" s="73" ph="1">
        <f xml:space="preserve"> (G6+2)*51.53*LOOKUP(G8,密度!$A$2:$A$50,密度!$B$2:$B$50)</f>
        <v>122547.795755</v>
      </c>
      <c r="H7" s="73" ph="1">
        <f>(H6)*51.53*LOOKUP(H8,密度!$A$2:$A$50,密度!$B$2:$B$50)</f>
        <v>142709.30503600001</v>
      </c>
      <c r="I7" s="73" ph="1">
        <f>I6*290.8*1.0267</f>
        <v>11500.699147200001</v>
      </c>
      <c r="J7" s="73" ph="1">
        <f>J6*290.8*0.7892</f>
        <v>1455.0259424000001</v>
      </c>
      <c r="K7" s="73" ph="1">
        <f>K6*290.8*1.1126</f>
        <v>20295.920138399997</v>
      </c>
      <c r="L7" s="73" ph="1">
        <f>L6*290.8*0.777</f>
        <v>9239.1609239999998</v>
      </c>
      <c r="M7" s="73" ph="1">
        <f>M6*33.183*LOOKUP(M8,密度!$A$2:$A$50,密度!$D$2:$D$50)</f>
        <v>217713.7791405</v>
      </c>
      <c r="N7" s="73" ph="1">
        <f>N6*33.183*LOOKUP(N8,密度!$A$2:$A$50,密度!$E$2:$E$50)</f>
        <v>5012.8098048000011</v>
      </c>
      <c r="O7" s="73" ph="1">
        <f>O6*20.428*LOOKUP(O8,密度!$A$2:$A$50,密度!$C$2:$C$50)</f>
        <v>115311.2921048</v>
      </c>
      <c r="P7" s="73" ph="1">
        <f>P6*51.53*LOOKUP(P8,密度!$A$2:$A$50,密度!$B$2:$B$50)</f>
        <v>49422.412693999999</v>
      </c>
      <c r="Q7" s="73" ph="1">
        <f>Q6*1.5*1.5*3.1416*LOOKUP(W8,密度!$A$2:$A$50,密度!$L$2:$L$50)</f>
        <v>46886.702385600001</v>
      </c>
      <c r="R7" s="73" ph="1">
        <f>R6*1.5*1.5*3.1416*LOOKUP(R8,密度!$A$2:$A$50,密度!$L$2:$L$50)</f>
        <v>47531.952468000003</v>
      </c>
      <c r="S7" s="73" ph="1">
        <f>S6*1.5*1.5*3.1416*LOOKUP(S8,密度!$A$2:$A$50,密度!$L$2:$L$50)</f>
        <v>34411.754361599997</v>
      </c>
      <c r="T7" s="73" ph="1">
        <f>T6*1.5*1.5*3.1416*LOOKUP(T8,密度!$A$2:$A$50,密度!$L$2:$L$50)</f>
        <v>46969.913944799999</v>
      </c>
      <c r="U7" s="73" ph="1">
        <f>U6*1.5*1.5*3.1416*LOOKUP(U8,密度!$A$2:$A$50,密度!$L$2:$L$50)</f>
        <v>39262.255956000001</v>
      </c>
      <c r="V7" s="73" ph="1">
        <f>V6*1.5*1.5*3.1416*LOOKUP(V8,密度!$A$2:$A$50,密度!$L$2:$L$50)</f>
        <v>24797.383934400001</v>
      </c>
      <c r="W7" s="73" ph="1">
        <f>W6*1.5*1.5*3.1416*LOOKUP(W8,密度!$A$2:$A$50,密度!$L$2:$L$50)</f>
        <v>0</v>
      </c>
      <c r="X7" s="73" ph="1">
        <f>X6*1.5*1.5*3.1416*LOOKUP(X8,密度!$A$2:$A$50,密度!$L$2:$L$50)</f>
        <v>0</v>
      </c>
      <c r="Y7" s="73" ph="1">
        <f>Y6*1.5*1.5*3.1416*LOOKUP(Y8,密度!$A$2:$A$50,密度!$L$2:$L$50)</f>
        <v>0</v>
      </c>
      <c r="Z7" s="73" ph="1">
        <f>Z6*33.183*LOOKUP(Z8,密度!$A$2:$A$50,密度!$L$2:$L$50)</f>
        <v>79981.250363999992</v>
      </c>
      <c r="AA7" s="73" ph="1">
        <f>AA6*33.183*LOOKUP(AA8,密度!$A$2:$A$50,密度!$D$2:$D$50)</f>
        <v>0</v>
      </c>
      <c r="AB7" s="73" ph="1">
        <f>AB6*20.428*LOOKUP(AB8,密度!$A$2:$A$50,密度!$D$2:$D$50)</f>
        <v>62359.73848</v>
      </c>
      <c r="AC7" s="73" ph="1">
        <f>AC6*51.53*LOOKUP(AC8,密度!$A$2:$A$50,密度!$Q$2:$Q$50)</f>
        <v>13649.699252</v>
      </c>
      <c r="AD7" s="73" ph="1">
        <f>AD6*20.428*LOOKUP(AD8,密度!$A$2:$A$50,密度!$V$2:$V$50)</f>
        <v>76094.741244799996</v>
      </c>
      <c r="AE7" s="73" ph="1">
        <f>AE6*20.428</f>
        <v>100914.32</v>
      </c>
    </row>
    <row r="8" spans="1:99" ph="1">
      <c r="B8" s="184" ph="1"/>
      <c r="C8" s="68" t="s" ph="1">
        <v>179</v>
      </c>
      <c r="D8" s="74">
        <v>24</v>
      </c>
      <c r="E8" s="74">
        <v>22</v>
      </c>
      <c r="F8" s="74">
        <v>22</v>
      </c>
      <c r="G8" s="74">
        <v>24</v>
      </c>
      <c r="H8" s="74">
        <v>20</v>
      </c>
      <c r="I8" s="74">
        <v>25</v>
      </c>
      <c r="J8" s="74">
        <v>25</v>
      </c>
      <c r="K8" s="74">
        <v>25</v>
      </c>
      <c r="L8" s="74">
        <v>25</v>
      </c>
      <c r="M8" s="74">
        <v>22</v>
      </c>
      <c r="N8" s="74">
        <v>22</v>
      </c>
      <c r="O8" s="74">
        <v>28</v>
      </c>
      <c r="P8" s="74">
        <v>22</v>
      </c>
      <c r="Q8" s="74">
        <v>26</v>
      </c>
      <c r="R8" s="74">
        <v>30</v>
      </c>
      <c r="S8" s="74">
        <v>20</v>
      </c>
      <c r="T8" s="74">
        <v>20</v>
      </c>
      <c r="U8" s="74">
        <v>22</v>
      </c>
      <c r="V8" s="74">
        <v>28</v>
      </c>
      <c r="W8" s="74">
        <v>23</v>
      </c>
      <c r="X8" s="74">
        <v>23</v>
      </c>
      <c r="Y8" s="74">
        <v>22</v>
      </c>
      <c r="Z8" s="74">
        <v>19</v>
      </c>
      <c r="AA8" s="74">
        <v>22</v>
      </c>
      <c r="AB8" s="74">
        <v>16</v>
      </c>
      <c r="AC8" s="74">
        <v>26</v>
      </c>
      <c r="AD8" s="74">
        <v>22</v>
      </c>
      <c r="AE8" s="74">
        <v>25</v>
      </c>
    </row>
    <row r="9" spans="1:99" ht="26.4" ph="1">
      <c r="B9" s="184" ph="1">
        <v>0.66666666666666663</v>
      </c>
      <c r="C9" s="156" t="s" ph="1">
        <v>180</v>
      </c>
      <c r="D9" s="71">
        <v>3701</v>
      </c>
      <c r="E9" s="71">
        <v>7793</v>
      </c>
      <c r="F9" s="71">
        <v>5835</v>
      </c>
      <c r="G9" s="71">
        <v>2792</v>
      </c>
      <c r="H9" s="71">
        <v>4844</v>
      </c>
      <c r="I9" s="71">
        <v>38.520000000000003</v>
      </c>
      <c r="J9" s="71">
        <v>6.34</v>
      </c>
      <c r="K9" s="71">
        <v>62.69</v>
      </c>
      <c r="L9" s="71">
        <v>92.46</v>
      </c>
      <c r="M9" s="71">
        <v>5792</v>
      </c>
      <c r="N9" s="71">
        <v>191</v>
      </c>
      <c r="O9" s="71">
        <v>5102</v>
      </c>
      <c r="P9" s="71">
        <v>695</v>
      </c>
      <c r="Q9" s="71">
        <v>7064</v>
      </c>
      <c r="R9" s="71">
        <v>7214</v>
      </c>
      <c r="S9" s="71">
        <v>5167</v>
      </c>
      <c r="T9" s="71">
        <v>7055</v>
      </c>
      <c r="U9" s="71">
        <v>5908</v>
      </c>
      <c r="V9" s="71">
        <v>3756</v>
      </c>
      <c r="W9" s="71">
        <v>2688</v>
      </c>
      <c r="X9" s="71">
        <v>0</v>
      </c>
      <c r="Y9" s="71">
        <v>0</v>
      </c>
      <c r="Z9" s="71">
        <v>2557</v>
      </c>
      <c r="AA9" s="71">
        <v>0</v>
      </c>
      <c r="AB9" s="71">
        <v>2857</v>
      </c>
      <c r="AC9" s="71">
        <v>42</v>
      </c>
      <c r="AD9" s="71">
        <v>3877</v>
      </c>
      <c r="AE9" s="71">
        <v>4980</v>
      </c>
    </row>
    <row r="10" spans="1:99" s="72" customFormat="1" ht="22.2" ph="1">
      <c r="B10" s="184" ph="1"/>
      <c r="C10" s="156" t="s" ph="1">
        <v>178</v>
      </c>
      <c r="D10" s="73" ph="1">
        <f>D9*33.183*LOOKUP(D11,密度!$A$2:$A$50,密度!$Q$2:$Q$50)</f>
        <v>116269.40732742001</v>
      </c>
      <c r="E10" s="73" ph="1">
        <f>E9*51.53*LOOKUP(E11,密度!$A$2:$A$50,密度!$B$2:$B$50)</f>
        <v>314150.784767</v>
      </c>
      <c r="F10" s="73" ph="1">
        <f>F9*33.183*LOOKUP(F11,密度!$A$2:$A$50,密度!$C$2:$C$50)</f>
        <v>214843.86442799997</v>
      </c>
      <c r="G10" s="73" ph="1">
        <f xml:space="preserve"> (G9+2)*51.53*LOOKUP(G11,密度!$A$2:$A$50,密度!$B$2:$B$50)</f>
        <v>112242.76967199999</v>
      </c>
      <c r="H10" s="73" ph="1">
        <f>(H9)*51.53*LOOKUP(H11,密度!$A$2:$A$50,密度!$B$2:$B$50)</f>
        <v>195270.93563600001</v>
      </c>
      <c r="I10" s="73" ph="1">
        <f>I9*290.8*1.0267</f>
        <v>11500.699147200001</v>
      </c>
      <c r="J10" s="73" ph="1">
        <f>J9*290.8*0.7892</f>
        <v>1455.0259424000001</v>
      </c>
      <c r="K10" s="73" ph="1">
        <f>K9*290.8*1.1126</f>
        <v>20282.9783752</v>
      </c>
      <c r="L10" s="73" ph="1">
        <f>L9*290.8*0.777</f>
        <v>20891.484936000001</v>
      </c>
      <c r="M10" s="73" ph="1">
        <f>M9*33.183*LOOKUP(M11,密度!$A$2:$A$50,密度!$D$2:$D$50)</f>
        <v>197154.59114879998</v>
      </c>
      <c r="N10" s="73" ph="1">
        <f>N9*33.183*LOOKUP(N11,密度!$A$2:$A$50,密度!$E$2:$E$50)</f>
        <v>4956.9130412999993</v>
      </c>
      <c r="O10" s="73" ph="1">
        <f>O9*20.428*LOOKUP(O11,密度!$A$2:$A$50,密度!$C$2:$C$50)</f>
        <v>115260.94117040001</v>
      </c>
      <c r="P10" s="73" ph="1">
        <f>P9*51.53*LOOKUP(P11,密度!$A$2:$A$50,密度!$B$2:$B$50)</f>
        <v>27952.319674999999</v>
      </c>
      <c r="Q10" s="73" ph="1">
        <f>Q9*1.5*1.5*3.1416*LOOKUP(W11,密度!$A$2:$A$50,密度!$L$2:$L$50)</f>
        <v>46886.702385600001</v>
      </c>
      <c r="R10" s="73" ph="1">
        <f>R9*1.5*1.5*3.1416*LOOKUP(R11,密度!$A$2:$A$50,密度!$L$2:$L$50)</f>
        <v>47525.364532800006</v>
      </c>
      <c r="S10" s="73" ph="1">
        <f>S9*1.5*1.5*3.1416*LOOKUP(S11,密度!$A$2:$A$50,密度!$L$2:$L$50)</f>
        <v>34368.572284199996</v>
      </c>
      <c r="T10" s="73" ph="1">
        <f>T9*1.5*1.5*3.1416*LOOKUP(T11,密度!$A$2:$A$50,密度!$L$2:$L$50)</f>
        <v>46976.572565999995</v>
      </c>
      <c r="U10" s="73" ph="1">
        <f>U9*1.5*1.5*3.1416*LOOKUP(U11,密度!$A$2:$A$50,密度!$L$2:$L$50)</f>
        <v>39130.327605600003</v>
      </c>
      <c r="V10" s="73" ph="1">
        <f>V9*1.5*1.5*3.1416*LOOKUP(V11,密度!$A$2:$A$50,密度!$L$2:$L$50)</f>
        <v>24797.383934400001</v>
      </c>
      <c r="W10" s="73" ph="1">
        <f>W9*1.5*1.5*3.1416*LOOKUP(W11,密度!$A$2:$A$50,密度!$L$2:$L$50)</f>
        <v>17841.372595199999</v>
      </c>
      <c r="X10" s="73" ph="1">
        <f>X9*1.5*1.5*3.1416*LOOKUP(X11,密度!$A$2:$A$50,密度!$L$2:$L$50)</f>
        <v>0</v>
      </c>
      <c r="Y10" s="73" ph="1">
        <f>Y9*1.5*1.5*3.1416*LOOKUP(Y11,密度!$A$2:$A$50,密度!$L$2:$L$50)</f>
        <v>0</v>
      </c>
      <c r="Z10" s="73" ph="1">
        <f>Z9*33.183*LOOKUP(Z11,密度!$A$2:$A$50,密度!$L$2:$L$50)</f>
        <v>79842.844071</v>
      </c>
      <c r="AA10" s="73" ph="1">
        <f>AA9*33.183*LOOKUP(AA11,密度!$A$2:$A$50,密度!$D$2:$D$50)</f>
        <v>0</v>
      </c>
      <c r="AB10" s="73" ph="1">
        <f>AB9*20.428*LOOKUP(AB11,密度!$A$2:$A$50,密度!$D$2:$D$50)</f>
        <v>60341.294784400001</v>
      </c>
      <c r="AC10" s="73" ph="1">
        <f>AC9*51.53*LOOKUP(AC11,密度!$A$2:$A$50,密度!$Q$2:$Q$50)</f>
        <v>2052.1513320000004</v>
      </c>
      <c r="AD10" s="73" ph="1">
        <f>AD9*20.428*LOOKUP(AD11,密度!$A$2:$A$50,密度!$V$2:$V$50)</f>
        <v>76094.741244799996</v>
      </c>
      <c r="AE10" s="73" ph="1">
        <f>AE9*20.428</f>
        <v>101731.44</v>
      </c>
    </row>
    <row r="11" spans="1:99" ph="1">
      <c r="A11" s="64" t="s" ph="1">
        <v>162</v>
      </c>
      <c r="B11" s="184" ph="1"/>
      <c r="C11" s="156" t="s" ph="1">
        <v>179</v>
      </c>
      <c r="D11" s="74">
        <v>25</v>
      </c>
      <c r="E11" s="74">
        <v>22</v>
      </c>
      <c r="F11" s="74">
        <v>24</v>
      </c>
      <c r="G11" s="74">
        <v>25</v>
      </c>
      <c r="H11" s="74">
        <v>22</v>
      </c>
      <c r="I11" s="74">
        <v>25</v>
      </c>
      <c r="J11" s="74">
        <v>25</v>
      </c>
      <c r="K11" s="74">
        <v>25</v>
      </c>
      <c r="L11" s="74">
        <v>25</v>
      </c>
      <c r="M11" s="74">
        <v>26</v>
      </c>
      <c r="N11" s="74">
        <v>26</v>
      </c>
      <c r="O11" s="74">
        <v>29</v>
      </c>
      <c r="P11" s="74">
        <v>24</v>
      </c>
      <c r="Q11" s="74">
        <v>28</v>
      </c>
      <c r="R11" s="74">
        <v>30</v>
      </c>
      <c r="S11" s="74">
        <v>21</v>
      </c>
      <c r="T11" s="74">
        <v>20</v>
      </c>
      <c r="U11" s="74">
        <v>25</v>
      </c>
      <c r="V11" s="74">
        <v>28</v>
      </c>
      <c r="W11" s="74">
        <v>23</v>
      </c>
      <c r="X11" s="74">
        <v>25</v>
      </c>
      <c r="Y11" s="74">
        <v>26</v>
      </c>
      <c r="Z11" s="74">
        <v>21</v>
      </c>
      <c r="AA11" s="74">
        <v>25</v>
      </c>
      <c r="AB11" s="74">
        <v>17</v>
      </c>
      <c r="AC11" s="74">
        <v>23</v>
      </c>
      <c r="AD11" s="74">
        <v>24</v>
      </c>
      <c r="AE11" s="74">
        <v>26</v>
      </c>
    </row>
    <row r="12" spans="1:99" ht="9.9" customHeight="1" ph="1"/>
    <row r="13" spans="1:99" s="72" customFormat="1" ht="29.25" customHeight="1" ph="1">
      <c r="B13" s="192" t="s" ph="1">
        <v>37</v>
      </c>
      <c r="C13" s="156" t="s" ph="1">
        <v>176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128</v>
      </c>
      <c r="I13" s="76" t="s" ph="1">
        <v>59</v>
      </c>
      <c r="J13" s="76" t="s" ph="1">
        <v>129</v>
      </c>
      <c r="K13" s="76" t="s" ph="1">
        <v>55</v>
      </c>
      <c r="L13" s="76" t="s" ph="1">
        <v>60</v>
      </c>
      <c r="M13" s="76" t="s" ph="1">
        <v>61</v>
      </c>
      <c r="N13" s="76" t="s" ph="1">
        <v>130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131</v>
      </c>
      <c r="W13" s="76" t="s" ph="1">
        <v>132</v>
      </c>
      <c r="X13" s="76" t="s" ph="1">
        <v>133</v>
      </c>
      <c r="Y13" s="105" t="s" ph="1">
        <v>68</v>
      </c>
      <c r="Z13" s="76" t="s" ph="1">
        <v>74</v>
      </c>
      <c r="AA13" s="76" t="s" ph="1">
        <v>134</v>
      </c>
      <c r="AB13" s="76" t="s" ph="1">
        <v>135</v>
      </c>
      <c r="AC13" s="76" t="s" ph="1">
        <v>136</v>
      </c>
      <c r="AD13" s="76" t="s" ph="1">
        <v>137</v>
      </c>
      <c r="AE13" s="76" t="s" ph="1">
        <v>138</v>
      </c>
      <c r="AG13" s="72" t="s" ph="1">
        <v>325</v>
      </c>
      <c r="AH13" s="72" t="s" ph="1">
        <v>188</v>
      </c>
      <c r="AI13" s="72" t="s" ph="1">
        <v>189</v>
      </c>
      <c r="AJ13" s="72" t="s" ph="1">
        <v>190</v>
      </c>
      <c r="AK13" s="72" t="s" ph="1">
        <v>191</v>
      </c>
      <c r="AL13" s="72" t="s" ph="1">
        <v>192</v>
      </c>
      <c r="AM13" s="72" t="s" ph="1">
        <v>193</v>
      </c>
      <c r="AN13" s="72" t="s" ph="1">
        <v>194</v>
      </c>
      <c r="AO13" s="72" t="s" ph="1">
        <v>195</v>
      </c>
      <c r="AP13" s="72" t="s" ph="1">
        <v>196</v>
      </c>
      <c r="AQ13" s="72" t="s" ph="1">
        <v>197</v>
      </c>
      <c r="AR13" s="72" t="s" ph="1">
        <v>198</v>
      </c>
      <c r="AS13" s="72" t="s" ph="1">
        <v>199</v>
      </c>
      <c r="AT13" s="72" t="s" ph="1">
        <v>200</v>
      </c>
      <c r="AU13" s="72" t="s" ph="1">
        <v>201</v>
      </c>
      <c r="AV13" s="72" t="s" ph="1">
        <v>202</v>
      </c>
      <c r="AW13" s="72" t="s" ph="1">
        <v>203</v>
      </c>
      <c r="AX13" s="72" t="s" ph="1">
        <v>204</v>
      </c>
      <c r="AY13" s="72" t="s" ph="1">
        <v>326</v>
      </c>
      <c r="AZ13" s="72" t="s" ph="1">
        <v>205</v>
      </c>
      <c r="BA13" s="72" t="s" ph="1">
        <v>206</v>
      </c>
      <c r="BB13" s="72" t="s" ph="1">
        <v>591</v>
      </c>
      <c r="BC13" s="72" t="s" ph="1">
        <v>207</v>
      </c>
      <c r="BD13" s="72" t="s" ph="1">
        <v>327</v>
      </c>
      <c r="BE13" s="72" t="s" ph="1">
        <v>328</v>
      </c>
      <c r="BF13" s="72" t="s" ph="1">
        <v>329</v>
      </c>
      <c r="BG13" s="72" t="s" ph="1">
        <v>330</v>
      </c>
      <c r="BH13" s="72" t="s" ph="1">
        <v>331</v>
      </c>
    </row>
    <row r="14" spans="1:99" s="72" customFormat="1" ht="24" ph="1">
      <c r="B14" s="193" ph="1"/>
      <c r="C14" s="67" t="s" ph="1">
        <v>36</v>
      </c>
      <c r="D14" s="77" t="s" ph="1">
        <v>616</v>
      </c>
      <c r="E14" s="77" t="s" ph="1">
        <v>616</v>
      </c>
      <c r="F14" s="144" t="s" ph="1">
        <v>636</v>
      </c>
      <c r="G14" s="77" t="s" ph="1">
        <v>617</v>
      </c>
      <c r="H14" s="77" t="s" ph="1">
        <v>637</v>
      </c>
      <c r="I14" s="138" t="s" ph="1">
        <v>618</v>
      </c>
      <c r="J14" s="77" t="s" ph="1">
        <v>619</v>
      </c>
      <c r="K14" s="77" t="s" ph="1">
        <v>186</v>
      </c>
      <c r="L14" s="77" t="s" ph="1">
        <v>41</v>
      </c>
      <c r="M14" s="104" t="s" ph="1">
        <v>620</v>
      </c>
      <c r="N14" s="104" t="s" ph="1">
        <v>621</v>
      </c>
      <c r="O14" s="104" t="s" ph="1">
        <v>619</v>
      </c>
      <c r="P14" s="77" t="s" ph="1">
        <v>622</v>
      </c>
      <c r="Q14" s="77" t="s" ph="1">
        <v>622</v>
      </c>
      <c r="R14" s="88" t="s" ph="1">
        <v>7</v>
      </c>
      <c r="S14" s="77" t="s" ph="1">
        <v>71</v>
      </c>
      <c r="T14" s="77" t="s" ph="1">
        <v>624</v>
      </c>
      <c r="U14" s="77" t="s" ph="1">
        <v>605</v>
      </c>
      <c r="V14" s="77" t="s" ph="1">
        <v>633</v>
      </c>
      <c r="W14" s="77" t="s" ph="1">
        <v>622</v>
      </c>
      <c r="X14" s="77" t="s" ph="1">
        <v>625</v>
      </c>
      <c r="Y14" s="143" t="s" ph="1">
        <v>0</v>
      </c>
      <c r="Z14" s="77" t="s" ph="1">
        <v>54</v>
      </c>
      <c r="AA14" s="77" t="s" ph="1">
        <v>613</v>
      </c>
      <c r="AB14" s="77" t="s" ph="1">
        <v>632</v>
      </c>
      <c r="AC14" s="77" t="s" ph="1">
        <v>632</v>
      </c>
      <c r="AD14" s="77" t="s" ph="1">
        <v>612</v>
      </c>
      <c r="AE14" s="77" t="s" ph="1">
        <v>612</v>
      </c>
      <c r="AG14" s="72" t="s" ph="1">
        <v>208</v>
      </c>
      <c r="AI14" s="72" t="s" ph="1">
        <v>209</v>
      </c>
      <c r="AJ14" s="72" t="s" ph="1">
        <v>332</v>
      </c>
      <c r="AK14" s="72" t="s" ph="1">
        <v>210</v>
      </c>
      <c r="AM14" s="72" t="s" ph="1">
        <v>212</v>
      </c>
      <c r="AN14" s="72" t="s" ph="1">
        <v>210</v>
      </c>
      <c r="AO14" s="72" t="s" ph="1">
        <v>211</v>
      </c>
      <c r="AP14" s="72" t="s" ph="1">
        <v>212</v>
      </c>
      <c r="AQ14" s="72" t="s" ph="1">
        <v>210</v>
      </c>
      <c r="AR14" s="72" t="s" ph="1">
        <v>211</v>
      </c>
      <c r="AS14" s="72" t="s" ph="1">
        <v>212</v>
      </c>
      <c r="AT14" s="72" t="s" ph="1">
        <v>210</v>
      </c>
      <c r="AU14" s="72" t="s" ph="1">
        <v>211</v>
      </c>
      <c r="AV14" s="72" t="s" ph="1">
        <v>212</v>
      </c>
      <c r="AW14" s="72" t="s" ph="1">
        <v>210</v>
      </c>
      <c r="AX14" s="72" t="s" ph="1">
        <v>211</v>
      </c>
      <c r="AY14" s="72" t="s" ph="1">
        <v>212</v>
      </c>
      <c r="AZ14" s="72" t="s" ph="1">
        <v>211</v>
      </c>
    </row>
    <row r="15" spans="1:99" ph="1">
      <c r="B15" s="194" ph="1">
        <v>0.33333333333333331</v>
      </c>
      <c r="C15" s="156" t="s" ph="1">
        <v>177</v>
      </c>
      <c r="D15" s="78">
        <v>0</v>
      </c>
      <c r="E15" s="78">
        <v>2711</v>
      </c>
      <c r="F15" s="78">
        <v>5410</v>
      </c>
      <c r="G15" s="78">
        <v>5010</v>
      </c>
      <c r="H15" s="78">
        <v>3051</v>
      </c>
      <c r="I15" s="78">
        <v>5376</v>
      </c>
      <c r="J15" s="78">
        <v>545</v>
      </c>
      <c r="K15" s="78">
        <v>2276</v>
      </c>
      <c r="L15" s="78">
        <v>1686</v>
      </c>
      <c r="M15" s="78">
        <v>6981</v>
      </c>
      <c r="N15" s="78">
        <v>708</v>
      </c>
      <c r="O15" s="78">
        <v>5038</v>
      </c>
      <c r="P15" s="78">
        <v>7080</v>
      </c>
      <c r="Q15" s="78">
        <v>6938</v>
      </c>
      <c r="R15" s="78">
        <v>1947</v>
      </c>
      <c r="S15" s="78">
        <v>774</v>
      </c>
      <c r="T15" s="78">
        <v>2245</v>
      </c>
      <c r="U15" s="78">
        <v>6689</v>
      </c>
      <c r="V15" s="78">
        <v>4435</v>
      </c>
      <c r="W15" s="71">
        <v>519</v>
      </c>
      <c r="X15" s="78">
        <v>1338</v>
      </c>
      <c r="Y15" s="106">
        <v>-9905</v>
      </c>
      <c r="Z15" s="78">
        <v>1908</v>
      </c>
      <c r="AA15" s="78">
        <v>2567</v>
      </c>
      <c r="AB15" s="78" ph="1">
        <v>3008</v>
      </c>
      <c r="AC15" s="78" ph="1">
        <v>7279</v>
      </c>
      <c r="AD15" s="78">
        <v>5.56</v>
      </c>
      <c r="AE15" s="78">
        <v>39.15</v>
      </c>
      <c r="AG15" s="64" t="s" ph="1">
        <v>214</v>
      </c>
      <c r="AH15" s="64" ph="1">
        <v>1</v>
      </c>
      <c r="AI15" s="64" t="s" ph="1">
        <v>333</v>
      </c>
      <c r="AK15" s="64" t="s" ph="1">
        <v>587</v>
      </c>
      <c r="AM15" s="64" t="s" ph="1">
        <v>335</v>
      </c>
      <c r="AZ15" s="64" t="s" ph="1">
        <v>216</v>
      </c>
      <c r="BA15" s="64" ph="1">
        <v>0</v>
      </c>
    </row>
    <row r="16" spans="1:99" s="72" customFormat="1" ht="22.2" ph="1">
      <c r="B16" s="195" ph="1"/>
      <c r="C16" s="156" t="s" ph="1">
        <v>178</v>
      </c>
      <c r="D16" s="73" ph="1">
        <f>D15*7.0686*LOOKUP(D17,密度!$A$2:$A$50,密度!$L$2:$L$50)</f>
        <v>0</v>
      </c>
      <c r="E16" s="73" ph="1">
        <f>E15*7.0686*LOOKUP(E17,密度!$A$2:$A$50,密度!$L$2:$L$50)</f>
        <v>17955.707200200002</v>
      </c>
      <c r="F16" s="73" ph="1">
        <f>F15*9.0746*LOOKUP(F17,密度!$A$2:$A$50,密度!$L$2:$L$50)</f>
        <v>46000.690082000008</v>
      </c>
      <c r="G16" s="73" ph="1">
        <f>G15*9.0746*LOOKUP(G17,密度!$A$2:$A$50,密度!$B$2:$B$50)</f>
        <v>35566.2884958</v>
      </c>
      <c r="H16" s="73" ph="1">
        <f>H15*9.0746*LOOKUP(H17,密度!$A$2:$A$50,密度!$L$2:$L$50)</f>
        <v>26025.408324</v>
      </c>
      <c r="I16" s="73" ph="1">
        <f>I15*9.0746*LOOKUP(I17,密度!$A$2:$A$50,密度!$U$2:$U$50)</f>
        <v>50151.030988799997</v>
      </c>
      <c r="J16" s="73" ph="1">
        <f>J15*9.0746*LOOKUP(J17,密度!$A$2:$A$50,密度!$L$2:$L$50)</f>
        <v>4639.0262659999999</v>
      </c>
      <c r="K16" s="73" ph="1">
        <f>K15*9.0746*LOOKUP(K17,密度!$A$2:$A$50,密度!$C$2:$C$50)</f>
        <v>22948.425624560001</v>
      </c>
      <c r="L16" s="73" ph="1">
        <f>L15*9.0746*LOOKUP(L17,密度!$A$2:$A$50,密度!$E$2:$E$50)</f>
        <v>12037.863442080001</v>
      </c>
      <c r="M16" s="73" ph="1">
        <f>M15*9.0746*LOOKUP(M17,密度!$A$2:$A$50,密度!$M$2:$M$50)</f>
        <v>55557.759340199998</v>
      </c>
      <c r="N16" s="73" ph="1">
        <f>N15*9.0746*LOOKUP(N17,密度!$A$2:$A$50,密度!$M$2:$M$50)</f>
        <v>5648.0564488800001</v>
      </c>
      <c r="O16" s="73" ph="1">
        <f>O15*9.0746*LOOKUP(O17,密度!$A$2:$A$50,密度!$G$2:$G$50)</f>
        <v>43989.700644560005</v>
      </c>
      <c r="P16" s="73" ph="1">
        <f ca="1">P15*9.0746*LOOKUP(P17,密度!$A$2:$A$51,密度!$Q$2:$Q$50)</f>
        <v>60977.293767120005</v>
      </c>
      <c r="Q16" s="73" ph="1">
        <f>Q15*9.0746*LOOKUP(Q17,密度!$A$2:$A$50,密度!$Q$2:$Q$50)</f>
        <v>59606.347846152006</v>
      </c>
      <c r="R16" s="73" ph="1">
        <f>MAX(R15*9.0746*LOOKUP(R17,密度!$A$2:$A$50,密度!$B$2:$B$50),0)</f>
        <v>13758.263315939999</v>
      </c>
      <c r="S16" s="73" ph="1">
        <f>S15*9.0746*LOOKUP(S17,密度!$A$2:$A$50,密度!$Q$2:$Q$50)</f>
        <v>6666.1617762360002</v>
      </c>
      <c r="T16" s="73" ph="1">
        <f>T15*9.0746*LOOKUP(T17,密度!$A$2:$A$50,密度!$O$2:$O$50)</f>
        <v>18946.403610000001</v>
      </c>
      <c r="U16" s="73" ph="1">
        <f>U15*9.0746*LOOKUP(U17,密度!$A$2:$A$50,密度!$H$2:$H$50)</f>
        <v>55473.729451660001</v>
      </c>
      <c r="V16" s="73" ph="1">
        <f>MAX(5600*LOOKUP(V17,密度!$A$2:$A$50,密度!$Q$2:$Q$50)+V15*9.0476*LOOKUP(V17,密度!$A$2:$A$50,密度!$Q$2:$Q$50),0)</f>
        <v>43290.733594439997</v>
      </c>
      <c r="W16" s="73" ph="1">
        <f>MAX(5600*LOOKUP(W17,密度!$A$2:$A$50,密度!$Q$2:$Q$50)+W15*9.0476*LOOKUP(W17,密度!$A$2:$A$50,密度!$Q$2:$Q$50),0)</f>
        <v>9754.8710478680005</v>
      </c>
      <c r="X16" s="73" ph="1">
        <f>MAX(5600*LOOKUP(X17,密度!$A$2:$A$50,密度!$I$2:$I$50)+X15*9.0476*LOOKUP(X17,密度!$A$2:$A$50,密度!$I$2:$I$50),0)</f>
        <v>18415.686920879998</v>
      </c>
      <c r="Y16" s="107" ph="1">
        <v>0</v>
      </c>
      <c r="Z16" s="73" ph="1">
        <f>Z15*9.0746*LOOKUP(Z17,密度!$A$2:$A$50,密度!$D$2:$D$50)</f>
        <v>17776.629592559999</v>
      </c>
      <c r="AA16" s="73" ph="1">
        <f>AA15*9.0746*LOOKUP(AA17,密度!$A$2:$A$50,密度!$B$2:$B$50)</f>
        <v>18202.320893480002</v>
      </c>
      <c r="AB16" s="73" ph="1">
        <f>AB15*9.0746*LOOKUP(AB17,密度!$A$2:$A$50,密度!$L$2:$L$50)</f>
        <v>25576.723801600005</v>
      </c>
      <c r="AC16" s="73" ph="1">
        <f>AC15*9.0746*LOOKUP(AC17,密度!$A$2:$A$50,密度!$L$2:$L$50)</f>
        <v>61892.610555799998</v>
      </c>
      <c r="AD16" s="73" ph="1">
        <f>AD15*268.68*LOOKUP(AD17,密度!$A$2:$A$50,密度!B2:B50)+IF(AD15&lt;=0,0,1566*LOOKUP(AD17,密度!$A$2:$A$50,密度!B2:B50))</f>
        <v>2385.46747968</v>
      </c>
      <c r="AE16" s="73" ph="1">
        <f>AE15*268.68*LOOKUP(AE17,密度!$A$2:$A$50,密度!B2:B50)+IF(AE15&lt;=0,0,1566*LOOKUP(AE17,密度!$A$2:$A$50,密度!B2:B50))</f>
        <v>9421.3272312000008</v>
      </c>
      <c r="AH16" s="72" ph="1">
        <v>2</v>
      </c>
      <c r="AI16" s="72" t="s" ph="1">
        <v>337</v>
      </c>
      <c r="AZ16" s="72" t="s" ph="1">
        <v>216</v>
      </c>
      <c r="BA16" s="72" ph="1">
        <v>0</v>
      </c>
    </row>
    <row r="17" spans="1:57" ph="1">
      <c r="A17" s="64" t="s" ph="1">
        <v>73</v>
      </c>
      <c r="B17" s="196" ph="1"/>
      <c r="C17" s="79" t="s" ph="1">
        <v>179</v>
      </c>
      <c r="D17" s="74">
        <v>25</v>
      </c>
      <c r="E17" s="74">
        <v>25</v>
      </c>
      <c r="F17" s="74">
        <v>25</v>
      </c>
      <c r="G17" s="74">
        <v>22</v>
      </c>
      <c r="H17" s="74">
        <v>22</v>
      </c>
      <c r="I17" s="74">
        <v>22</v>
      </c>
      <c r="J17" s="74">
        <v>24</v>
      </c>
      <c r="K17" s="74">
        <v>22</v>
      </c>
      <c r="L17" s="74">
        <v>22</v>
      </c>
      <c r="M17" s="74">
        <v>23</v>
      </c>
      <c r="N17" s="74">
        <v>21</v>
      </c>
      <c r="O17" s="74">
        <v>23</v>
      </c>
      <c r="P17" s="74">
        <v>22</v>
      </c>
      <c r="Q17" s="74">
        <v>25</v>
      </c>
      <c r="R17" s="74">
        <v>26</v>
      </c>
      <c r="S17" s="74">
        <v>22</v>
      </c>
      <c r="T17" s="74">
        <v>22</v>
      </c>
      <c r="U17" s="74">
        <v>26</v>
      </c>
      <c r="V17" s="74">
        <v>25</v>
      </c>
      <c r="W17" s="74">
        <v>24</v>
      </c>
      <c r="X17" s="74">
        <v>27</v>
      </c>
      <c r="Y17" s="108">
        <v>27</v>
      </c>
      <c r="Z17" s="74">
        <v>25</v>
      </c>
      <c r="AA17" s="74">
        <v>23</v>
      </c>
      <c r="AB17" s="74">
        <v>25</v>
      </c>
      <c r="AC17" s="74">
        <v>25</v>
      </c>
      <c r="AD17" s="74">
        <v>25</v>
      </c>
      <c r="AE17" s="74">
        <v>25</v>
      </c>
      <c r="AH17" s="64" ph="1">
        <v>3</v>
      </c>
      <c r="AI17" s="64" t="s" ph="1">
        <v>338</v>
      </c>
      <c r="AK17" s="64" t="s" ph="1">
        <v>570</v>
      </c>
      <c r="AL17" s="64" ph="1">
        <v>80</v>
      </c>
      <c r="AM17" s="64" t="s" ph="1">
        <v>335</v>
      </c>
      <c r="AZ17" s="64" t="s" ph="1">
        <v>216</v>
      </c>
      <c r="BA17" s="64" ph="1">
        <v>80</v>
      </c>
      <c r="BD17" s="64" t="s" ph="1">
        <v>214</v>
      </c>
      <c r="BE17" s="64" ph="1">
        <v>2270</v>
      </c>
    </row>
    <row r="18" spans="1:57" ht="26.4" ph="1">
      <c r="B18" s="194" ph="1">
        <v>0.66666666666666663</v>
      </c>
      <c r="C18" s="79" t="s" ph="1">
        <v>180</v>
      </c>
      <c r="D18" s="71">
        <v>0</v>
      </c>
      <c r="E18" s="71">
        <v>5267</v>
      </c>
      <c r="F18" s="71">
        <v>3625</v>
      </c>
      <c r="G18" s="71">
        <v>1671</v>
      </c>
      <c r="H18" s="71">
        <v>4159</v>
      </c>
      <c r="I18" s="71">
        <v>5376</v>
      </c>
      <c r="J18" s="71">
        <v>593</v>
      </c>
      <c r="K18" s="71">
        <v>2275</v>
      </c>
      <c r="L18" s="71">
        <v>1686</v>
      </c>
      <c r="M18" s="71">
        <v>4629</v>
      </c>
      <c r="N18" s="71">
        <v>1934</v>
      </c>
      <c r="O18" s="71">
        <v>5188</v>
      </c>
      <c r="P18" s="71">
        <v>3613</v>
      </c>
      <c r="Q18" s="71">
        <v>6937</v>
      </c>
      <c r="R18" s="71">
        <v>1946</v>
      </c>
      <c r="S18" s="71">
        <v>187</v>
      </c>
      <c r="T18" s="71">
        <v>2246</v>
      </c>
      <c r="U18" s="71">
        <v>6687</v>
      </c>
      <c r="V18" s="71">
        <v>3748</v>
      </c>
      <c r="W18" s="71">
        <v>827</v>
      </c>
      <c r="X18" s="71">
        <v>1336</v>
      </c>
      <c r="Y18" s="109">
        <v>-9906</v>
      </c>
      <c r="Z18" s="71">
        <v>1908</v>
      </c>
      <c r="AA18" s="71">
        <v>2566</v>
      </c>
      <c r="AB18" s="71">
        <v>692</v>
      </c>
      <c r="AC18" s="71">
        <v>7277</v>
      </c>
      <c r="AD18" s="71">
        <v>8.26</v>
      </c>
      <c r="AE18" s="71">
        <v>84.65</v>
      </c>
      <c r="AH18" s="64" ph="1">
        <v>4</v>
      </c>
      <c r="AI18" s="64" t="s" ph="1">
        <v>340</v>
      </c>
      <c r="AJ18" s="64" t="s" ph="1">
        <v>588</v>
      </c>
      <c r="AK18" s="64" t="s" ph="1">
        <v>587</v>
      </c>
      <c r="AL18" s="64" ph="1">
        <v>740</v>
      </c>
      <c r="AM18" s="64" t="s" ph="1">
        <v>339</v>
      </c>
      <c r="AZ18" s="64" t="s" ph="1">
        <v>216</v>
      </c>
      <c r="BA18" s="64" ph="1">
        <v>740</v>
      </c>
    </row>
    <row r="19" spans="1:57" s="72" customFormat="1" ht="22.2" ph="1">
      <c r="B19" s="195" ph="1"/>
      <c r="C19" s="156" t="s" ph="1">
        <v>178</v>
      </c>
      <c r="D19" s="73" ph="1">
        <f>D18*7.0686*LOOKUP(D20,密度!$A$2:$A$50,密度!$L$2:$L$50)</f>
        <v>0</v>
      </c>
      <c r="E19" s="73" ph="1">
        <f>E18*7.0686*LOOKUP(E20,密度!$A$2:$A$50,密度!$L$2:$L$50)</f>
        <v>34884.8062794</v>
      </c>
      <c r="F19" s="73" ph="1">
        <f>F18*9.0746*LOOKUP(F20,密度!$A$2:$A$50,密度!$L$2:$L$50)</f>
        <v>30658.536100000005</v>
      </c>
      <c r="G19" s="73" ph="1">
        <f>G18*9.0746*LOOKUP(G20,密度!$A$2:$A$50,密度!$B$2:$B$50)</f>
        <v>11821.58668536</v>
      </c>
      <c r="H19" s="73" ph="1">
        <f>H18*9.0746*LOOKUP(H20,密度!$A$2:$A$50,密度!$L$2:$L$50)</f>
        <v>35363.561931800003</v>
      </c>
      <c r="I19" s="73" ph="1">
        <f>I18*9.0746*LOOKUP(I20,密度!$A$2:$A$50,密度!$U$2:$U$50)</f>
        <v>49955.890790400001</v>
      </c>
      <c r="J19" s="73" ph="1">
        <f>J18*9.0746*LOOKUP(J20,密度!$A$2:$A$50,密度!$L$2:$L$50)</f>
        <v>5031.457343</v>
      </c>
      <c r="K19" s="73" ph="1">
        <f>K18*9.0746*LOOKUP(K20,密度!$A$2:$A$50,密度!$C$2:$C$50)</f>
        <v>22892.9244635</v>
      </c>
      <c r="L19" s="73" ph="1">
        <f>L18*9.0746*LOOKUP(L20,密度!$A$2:$A$50,密度!$E$2:$E$50)</f>
        <v>11982.784249920001</v>
      </c>
      <c r="M19" s="73" ph="1">
        <f>M18*9.0746*LOOKUP(M20,密度!$A$2:$A$50,密度!$M$2:$M$50)</f>
        <v>36675.720960539998</v>
      </c>
      <c r="N19" s="73" ph="1">
        <f>N18*9.0746*LOOKUP(N20,密度!$A$2:$A$50,密度!$M$2:$M$50)</f>
        <v>15409.142679199998</v>
      </c>
      <c r="O19" s="73" ph="1">
        <f>O18*9.0746*LOOKUP(O20,密度!$A$2:$A$50,密度!$G$2:$G$50)</f>
        <v>45205.279612960003</v>
      </c>
      <c r="P19" s="73" ph="1">
        <f ca="1">P18*9.0746*LOOKUP(P20,密度!$A$2:$A$51,密度!$Q$2:$Q$50)</f>
        <v>31040.319222852006</v>
      </c>
      <c r="Q19" s="73" ph="1">
        <f>Q18*9.0746*LOOKUP(Q20,密度!$A$2:$A$50,密度!$Q$2:$Q$50)</f>
        <v>59597.756559348003</v>
      </c>
      <c r="R19" s="73" ph="1">
        <f>MAX(R18*9.0746*LOOKUP(R20,密度!$A$2:$A$50,密度!$B$2:$B$50),0)</f>
        <v>13767.090179360001</v>
      </c>
      <c r="S19" s="73" ph="1">
        <f>S18*9.0746*LOOKUP(S20,密度!$A$2:$A$50,密度!$Q$2:$Q$50)</f>
        <v>1605.365797706</v>
      </c>
      <c r="T19" s="73" ph="1">
        <f>T18*9.0746*LOOKUP(T20,密度!$A$2:$A$50,密度!$O$2:$O$50)</f>
        <v>18873.316781599999</v>
      </c>
      <c r="U19" s="73" ph="1">
        <f>U18*9.0746*LOOKUP(U20,密度!$A$2:$A$50,密度!$H$2:$H$50)</f>
        <v>55566.370228139996</v>
      </c>
      <c r="V19" s="73" ph="1">
        <f>MAX(5600*LOOKUP(V20,密度!$A$2:$A$50,密度!$Q$2:$Q$50)+V18*9.0476*LOOKUP(V20,密度!$A$2:$A$50,密度!$Q$2:$Q$50),0)</f>
        <v>37322.318582175998</v>
      </c>
      <c r="W19" s="73" ph="1">
        <f>MAX(5600*LOOKUP(W20,密度!$A$2:$A$50,密度!$Q$2:$Q$50)+W18*9.0476*LOOKUP(W20,密度!$A$2:$A$50,密度!$Q$2:$Q$50),0)</f>
        <v>12376.309950155999</v>
      </c>
      <c r="X19" s="73" ph="1">
        <f>MAX(5600*LOOKUP(X20,密度!$A$2:$A$50,密度!$I$2:$I$50)+X18*9.0476*LOOKUP(X20,密度!$A$2:$A$50,密度!$I$2:$I$50),0)</f>
        <v>18356.184638079998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17776.629592559999</v>
      </c>
      <c r="AA19" s="73" ph="1">
        <f>AA18*9.0746*LOOKUP(AA20,密度!$A$2:$A$50,密度!$B$2:$B$50)</f>
        <v>18174.2731198</v>
      </c>
      <c r="AB19" s="73" ph="1">
        <f>AB18*9.0746*LOOKUP(AB20,密度!$A$2:$A$50,密度!$L$2:$L$50)</f>
        <v>5884.0069384000008</v>
      </c>
      <c r="AC19" s="73" ph="1">
        <f>AC18*9.0746*LOOKUP(AC20,密度!$A$2:$A$50,密度!$L$2:$L$50)</f>
        <v>61941.640619599995</v>
      </c>
      <c r="AD19" s="73" ph="1">
        <f>AD18*268.68*LOOKUP(AD20,密度!$A$2:$A$50,密度!B5:B53)+IF(AD18&lt;=0,0,1566*LOOKUP(AD20,密度!$A$2:$A$50,密度!B5:B53))</f>
        <v>2941.1756136000004</v>
      </c>
      <c r="AE19" s="73" ph="1">
        <f>AE18*268.68*LOOKUP(AE20,密度!$A$2:$A$50,密度!B5:B53)+IF(AE18&lt;=0,0,1566*LOOKUP(AE20,密度!$A$2:$A$50,密度!B5:B53))</f>
        <v>18888.685074000001</v>
      </c>
      <c r="AH19" s="72" ph="1">
        <v>5</v>
      </c>
      <c r="AI19" s="72" t="s" ph="1">
        <v>341</v>
      </c>
      <c r="AZ19" s="72" t="s" ph="1">
        <v>216</v>
      </c>
      <c r="BA19" s="72" ph="1">
        <v>0</v>
      </c>
      <c r="BD19" s="72" t="s" ph="1">
        <v>342</v>
      </c>
      <c r="BE19" s="72" ph="1">
        <v>1440</v>
      </c>
    </row>
    <row r="20" spans="1:57" ph="1">
      <c r="A20" s="72" ph="1"/>
      <c r="B20" s="195" ph="1"/>
      <c r="C20" s="80" t="s" ph="1">
        <v>179</v>
      </c>
      <c r="D20" s="81">
        <v>25</v>
      </c>
      <c r="E20" s="81">
        <v>25</v>
      </c>
      <c r="F20" s="81">
        <v>30</v>
      </c>
      <c r="G20" s="81">
        <v>25</v>
      </c>
      <c r="H20" s="81">
        <v>25</v>
      </c>
      <c r="I20" s="81">
        <v>26</v>
      </c>
      <c r="J20" s="81">
        <v>27</v>
      </c>
      <c r="K20" s="81">
        <v>25</v>
      </c>
      <c r="L20" s="81">
        <v>25</v>
      </c>
      <c r="M20" s="81">
        <v>27</v>
      </c>
      <c r="N20" s="81">
        <v>22</v>
      </c>
      <c r="O20" s="81">
        <v>25</v>
      </c>
      <c r="P20" s="81">
        <v>25</v>
      </c>
      <c r="Q20" s="81">
        <v>25</v>
      </c>
      <c r="R20" s="81">
        <v>25</v>
      </c>
      <c r="S20" s="81">
        <v>26</v>
      </c>
      <c r="T20" s="81">
        <v>25</v>
      </c>
      <c r="U20" s="81">
        <v>24</v>
      </c>
      <c r="V20" s="81">
        <v>28</v>
      </c>
      <c r="W20" s="81">
        <v>26</v>
      </c>
      <c r="X20" s="81">
        <v>29</v>
      </c>
      <c r="Y20" s="110">
        <v>29</v>
      </c>
      <c r="Z20" s="81">
        <v>25</v>
      </c>
      <c r="AA20" s="81">
        <v>24</v>
      </c>
      <c r="AB20" s="81">
        <v>25</v>
      </c>
      <c r="AC20" s="81">
        <v>24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343</v>
      </c>
      <c r="AZ20" s="64" t="s" ph="1">
        <v>216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344</v>
      </c>
      <c r="AZ21" s="64" t="s" ph="1">
        <v>216</v>
      </c>
      <c r="BA21" s="64" ph="1">
        <v>0</v>
      </c>
      <c r="BD21" s="64" t="s" ph="1">
        <v>232</v>
      </c>
      <c r="BE21" s="64" ph="1">
        <v>730</v>
      </c>
    </row>
    <row r="22" spans="1:57" ph="1">
      <c r="A22" s="72" ph="1"/>
      <c r="B22" s="193" t="s" ph="1">
        <v>37</v>
      </c>
      <c r="C22" s="85" t="s" ph="1">
        <v>176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172" t="s" ph="1">
        <v>69</v>
      </c>
      <c r="AA22" s="173"/>
      <c r="AB22" s="173"/>
      <c r="AC22" s="173"/>
      <c r="AD22" s="173"/>
      <c r="AE22" s="174"/>
      <c r="AH22" s="64" ph="1">
        <v>8</v>
      </c>
      <c r="AI22" s="64" t="s" ph="1">
        <v>345</v>
      </c>
      <c r="AZ22" s="64" t="s" ph="1">
        <v>216</v>
      </c>
      <c r="BA22" s="64" ph="1">
        <v>0</v>
      </c>
    </row>
    <row r="23" spans="1:57" ph="1">
      <c r="A23" s="72" ph="1"/>
      <c r="B23" s="188" ph="1"/>
      <c r="C23" s="67" t="s" ph="1">
        <v>36</v>
      </c>
      <c r="D23" s="88" t="s" ph="1">
        <v>109</v>
      </c>
      <c r="E23" s="88" t="s" ph="1">
        <v>107</v>
      </c>
      <c r="F23" s="88" t="s" ph="1">
        <v>109</v>
      </c>
      <c r="G23" s="88" t="s" ph="1">
        <v>626</v>
      </c>
      <c r="H23" s="88" t="s" ph="1">
        <v>626</v>
      </c>
      <c r="I23" s="88" t="s" ph="1">
        <v>627</v>
      </c>
      <c r="J23" s="88" t="s" ph="1">
        <v>628</v>
      </c>
      <c r="K23" s="88" t="s" ph="1">
        <v>628</v>
      </c>
      <c r="L23" s="88" t="s" ph="1">
        <v>628</v>
      </c>
      <c r="M23" s="88" t="s" ph="1">
        <v>623</v>
      </c>
      <c r="N23" s="88" t="s" ph="1">
        <v>623</v>
      </c>
      <c r="O23" s="88" t="s" ph="1">
        <v>318</v>
      </c>
      <c r="P23" s="88" t="s" ph="1">
        <v>629</v>
      </c>
      <c r="Q23" s="89" t="s" ph="1">
        <v>629</v>
      </c>
      <c r="R23" s="88" t="s" ph="1">
        <v>610</v>
      </c>
      <c r="S23" s="88" t="s" ph="1">
        <v>629</v>
      </c>
      <c r="T23" s="88" t="s" ph="1">
        <v>604</v>
      </c>
      <c r="U23" s="104" t="s" ph="1">
        <v>606</v>
      </c>
      <c r="V23" s="88" t="s" ph="1">
        <v>629</v>
      </c>
      <c r="W23" s="88" t="s" ph="1">
        <v>629</v>
      </c>
      <c r="X23" s="88" t="s" ph="1">
        <v>187</v>
      </c>
      <c r="Y23" s="88" t="s" ph="1">
        <v>630</v>
      </c>
      <c r="Z23" s="175" t="s" ph="1">
        <v>638</v>
      </c>
      <c r="AA23" s="176"/>
      <c r="AB23" s="176"/>
      <c r="AC23" s="176"/>
      <c r="AD23" s="176"/>
      <c r="AE23" s="177"/>
      <c r="AH23" s="64" ph="1">
        <v>9</v>
      </c>
      <c r="AI23" s="64" t="s" ph="1">
        <v>346</v>
      </c>
      <c r="AZ23" s="64" t="s" ph="1">
        <v>216</v>
      </c>
      <c r="BA23" s="64" ph="1">
        <v>0</v>
      </c>
      <c r="BD23" s="64" t="s" ph="1">
        <v>238</v>
      </c>
      <c r="BE23" s="64" ph="1">
        <v>890</v>
      </c>
    </row>
    <row r="24" spans="1:57" ph="1">
      <c r="A24" s="72" ph="1"/>
      <c r="B24" s="184" ph="1">
        <v>0.33333333333333331</v>
      </c>
      <c r="C24" s="156" t="s" ph="1">
        <v>177</v>
      </c>
      <c r="D24" s="71">
        <v>4.3</v>
      </c>
      <c r="E24" s="71">
        <v>5.82</v>
      </c>
      <c r="F24" s="71">
        <v>130</v>
      </c>
      <c r="G24" s="71">
        <v>3441</v>
      </c>
      <c r="H24" s="71">
        <v>3845</v>
      </c>
      <c r="I24" s="71">
        <v>1626</v>
      </c>
      <c r="J24" s="71">
        <v>210</v>
      </c>
      <c r="K24" s="71">
        <v>249</v>
      </c>
      <c r="L24" s="71">
        <v>470</v>
      </c>
      <c r="M24" s="71">
        <v>4826</v>
      </c>
      <c r="N24" s="71">
        <v>4691</v>
      </c>
      <c r="O24" s="71">
        <v>1477</v>
      </c>
      <c r="P24" s="71">
        <v>842</v>
      </c>
      <c r="Q24" s="90">
        <v>3279</v>
      </c>
      <c r="R24" s="71">
        <v>6316</v>
      </c>
      <c r="S24" s="71">
        <v>7002</v>
      </c>
      <c r="T24" s="71">
        <v>509</v>
      </c>
      <c r="U24" s="71">
        <v>5797</v>
      </c>
      <c r="V24" s="71">
        <v>1016</v>
      </c>
      <c r="W24" s="71">
        <v>1281</v>
      </c>
      <c r="X24" s="71">
        <v>3374</v>
      </c>
      <c r="Y24" s="71">
        <v>10844</v>
      </c>
      <c r="Z24" s="178"/>
      <c r="AA24" s="179"/>
      <c r="AB24" s="179"/>
      <c r="AC24" s="179"/>
      <c r="AD24" s="179"/>
      <c r="AE24" s="180"/>
      <c r="AH24" s="64" ph="1">
        <v>10</v>
      </c>
      <c r="AI24" s="64" t="s" ph="1">
        <v>347</v>
      </c>
      <c r="AZ24" s="64" t="s" ph="1">
        <v>216</v>
      </c>
      <c r="BA24" s="64" ph="1">
        <v>0</v>
      </c>
    </row>
    <row r="25" spans="1:57" ph="1">
      <c r="A25" s="72" ph="1"/>
      <c r="B25" s="184" ph="1"/>
      <c r="C25" s="68" t="s" ph="1">
        <v>178</v>
      </c>
      <c r="D25" s="91" ph="1">
        <f>D24*268.68*LOOKUP(D26,密度!$A$2:$A$50,密度!$Q$2:$Q$50)+IF(D24&lt;=0,0,1566*LOOKUP(D26,密度!$A$2:$A$50,密度!$Q$2:$Q$50))</f>
        <v>2576.38628376</v>
      </c>
      <c r="E25" s="91" ph="1">
        <f>E24*268.68*LOOKUP(E26,密度!$A$2:$A$50,密度!$C$2:$C$50)+IF(E24&lt;=0,0,1566*LOOKUP(E26,密度!$A$2:$A$50,密度!$C$2:$C$50))</f>
        <v>3470.5438466400001</v>
      </c>
      <c r="F25" s="91" ph="1">
        <f>F24*11.702*LOOKUP(F26,密度!$A$2:$A$50,密度!$Q$2:$Q$50)</f>
        <v>1441.3482122</v>
      </c>
      <c r="G25" s="91" ph="1">
        <f>G24*18.322*LOOKUP(G26,密度!$A$2:$A$50,密度!$B$2:$B$50)</f>
        <v>48986.743554000001</v>
      </c>
      <c r="H25" s="91" ph="1">
        <f>H24*18.322*LOOKUP(H26,密度!$A$2:$A$50,密度!$B$2:$B$50)</f>
        <v>54801.569211000002</v>
      </c>
      <c r="I25" s="91" ph="1">
        <f>I24*18.322*LOOKUP(I26,密度!$A$2:$A$50,密度!$Q$2:$Q$50)</f>
        <v>28292.758012680002</v>
      </c>
      <c r="J25" s="91" ph="1">
        <f>J24*18.322*LOOKUP(J26,密度!$A$2:$A$50,密度!$Q$2:$Q$50)</f>
        <v>3645.5045214000002</v>
      </c>
      <c r="K25" s="91" ph="1">
        <f>K24*18.322*LOOKUP(K26,密度!$A$2:$A$50,密度!$Q$2:$Q$50)</f>
        <v>4322.5267896599998</v>
      </c>
      <c r="L25" s="91" ph="1">
        <f>L24*18.322*LOOKUP(L26,密度!$A$2:$A$50,密度!$Q$2:$Q$50)</f>
        <v>8152.7000316000003</v>
      </c>
      <c r="M25" s="91" ph="1">
        <f>M24*18.322*LOOKUP(M26,密度!$A$2:$A$50,密度!$Q$2:$Q$50)</f>
        <v>83649.838171159994</v>
      </c>
      <c r="N25" s="91" ph="1">
        <f>N24*18.322*LOOKUP(N26,密度!$A$2:$A$50,密度!$Q$2:$Q$50)</f>
        <v>81433.627189940002</v>
      </c>
      <c r="O25" s="91" ph="1">
        <f>O24*18.322*LOOKUP(O26,密度!$A$2:$A$50,密度!$C$2:$C$50)</f>
        <v>30008.601586599998</v>
      </c>
      <c r="P25" s="91" ph="1">
        <f>P24*11.702*LOOKUP(P26,密度!$A$2:$A$50,密度!$B$2:$B$50)</f>
        <v>7681.4642863999998</v>
      </c>
      <c r="Q25" s="92" ph="1">
        <f>Q24*18.322*LOOKUP(Q26,密度!$A$2:$A$50,密度!$B$2:$B$50)</f>
        <v>46680.480125999995</v>
      </c>
      <c r="R25" s="91" ph="1">
        <f>R24*35.891*LOOKUP(R26,密度!$A$2:$A$50,密度!$C$2:$C$50)</f>
        <v>250512.41813559996</v>
      </c>
      <c r="S25" s="91" ph="1">
        <f>S24*35.891*LOOKUP(S26,密度!$A$2:$A$50,密度!$B$2:$B$50)</f>
        <v>195266.923614</v>
      </c>
      <c r="T25" s="91" ph="1">
        <f>T24*35.891*LOOKUP(T26,密度!$A$2:$A$50,密度!$Q$2:$Q$50)</f>
        <v>17256.808417780001</v>
      </c>
      <c r="U25" s="91" ph="1">
        <f>U24*35.891</f>
        <v>208060.12699999998</v>
      </c>
      <c r="V25" s="91" ph="1">
        <f>V24*47.051*LOOKUP(V26,密度!$A$2:$A$50,密度!$B$2:$B$50)</f>
        <v>37353.901822399996</v>
      </c>
      <c r="W25" s="91" ph="1">
        <f>W24*47.051*LOOKUP(W26,密度!$A$2:$A$50,密度!$B$2:$B$50)</f>
        <v>47042.554345500001</v>
      </c>
      <c r="X25" s="91" ph="1">
        <f>X24*47.051*LOOKUP(X26,密度!$A$2:$A$61,密度!$I$2:$I$61)</f>
        <v>165115.9519674</v>
      </c>
      <c r="Y25" s="91" ph="1">
        <f>Y24*47.051*LOOKUP(Y26,密度!$A$2:$A$50,密度!$L$2:$L$50)</f>
        <v>477056.67614</v>
      </c>
      <c r="Z25" s="178"/>
      <c r="AA25" s="179"/>
      <c r="AB25" s="179"/>
      <c r="AC25" s="179"/>
      <c r="AD25" s="179"/>
      <c r="AE25" s="180"/>
      <c r="AH25" s="64" ph="1">
        <v>11</v>
      </c>
      <c r="AI25" s="64" t="s" ph="1">
        <v>348</v>
      </c>
      <c r="AZ25" s="64" t="s" ph="1">
        <v>216</v>
      </c>
      <c r="BA25" s="64" ph="1">
        <v>0</v>
      </c>
      <c r="BD25" s="64" t="s" ph="1">
        <v>241</v>
      </c>
      <c r="BE25" s="64" ph="1">
        <v>8920</v>
      </c>
    </row>
    <row r="26" spans="1:57" ph="1">
      <c r="A26" s="72" ph="1"/>
      <c r="B26" s="184" ph="1"/>
      <c r="C26" s="68" t="s" ph="1">
        <v>179</v>
      </c>
      <c r="D26" s="74">
        <v>25</v>
      </c>
      <c r="E26" s="74">
        <v>25</v>
      </c>
      <c r="F26" s="74">
        <v>24</v>
      </c>
      <c r="G26" s="74">
        <v>28</v>
      </c>
      <c r="H26" s="74">
        <v>27</v>
      </c>
      <c r="I26" s="74">
        <v>21</v>
      </c>
      <c r="J26" s="74">
        <v>24</v>
      </c>
      <c r="K26" s="74">
        <v>24</v>
      </c>
      <c r="L26" s="74">
        <v>25</v>
      </c>
      <c r="M26" s="74">
        <v>26</v>
      </c>
      <c r="N26" s="74">
        <v>24</v>
      </c>
      <c r="O26" s="74">
        <v>25</v>
      </c>
      <c r="P26" s="74">
        <v>25</v>
      </c>
      <c r="Q26" s="93">
        <v>28</v>
      </c>
      <c r="R26" s="74">
        <v>30</v>
      </c>
      <c r="S26" s="74">
        <v>28</v>
      </c>
      <c r="T26" s="74">
        <v>28</v>
      </c>
      <c r="U26" s="74">
        <v>28</v>
      </c>
      <c r="V26" s="74">
        <v>23</v>
      </c>
      <c r="W26" s="74">
        <v>24</v>
      </c>
      <c r="X26" s="74">
        <v>27</v>
      </c>
      <c r="Y26" s="74">
        <v>27</v>
      </c>
      <c r="Z26" s="178"/>
      <c r="AA26" s="179"/>
      <c r="AB26" s="179"/>
      <c r="AC26" s="179"/>
      <c r="AD26" s="179"/>
      <c r="AE26" s="180"/>
      <c r="AH26" s="64" ph="1">
        <v>12</v>
      </c>
      <c r="AI26" s="64" t="s" ph="1">
        <v>349</v>
      </c>
      <c r="AZ26" s="64" t="s" ph="1">
        <v>216</v>
      </c>
      <c r="BA26" s="64" ph="1">
        <v>0</v>
      </c>
    </row>
    <row r="27" spans="1:57" ht="26.4" ph="1">
      <c r="A27" s="72" ph="1"/>
      <c r="B27" s="184" ph="1">
        <v>0.66666666666666663</v>
      </c>
      <c r="C27" s="156" t="s" ph="1">
        <v>180</v>
      </c>
      <c r="D27" s="71">
        <v>4.29</v>
      </c>
      <c r="E27" s="71">
        <v>66.41</v>
      </c>
      <c r="F27" s="71">
        <v>128</v>
      </c>
      <c r="G27" s="71">
        <v>2980</v>
      </c>
      <c r="H27" s="71">
        <v>3389</v>
      </c>
      <c r="I27" s="71">
        <v>1197</v>
      </c>
      <c r="J27" s="71">
        <v>207</v>
      </c>
      <c r="K27" s="71">
        <v>247</v>
      </c>
      <c r="L27" s="71">
        <v>468</v>
      </c>
      <c r="M27" s="71">
        <v>4824</v>
      </c>
      <c r="N27" s="71">
        <v>4689</v>
      </c>
      <c r="O27" s="71">
        <v>1475</v>
      </c>
      <c r="P27" s="71">
        <v>840</v>
      </c>
      <c r="Q27" s="90">
        <v>2394</v>
      </c>
      <c r="R27" s="71">
        <v>6314</v>
      </c>
      <c r="S27" s="71">
        <v>7000</v>
      </c>
      <c r="T27" s="71">
        <v>508</v>
      </c>
      <c r="U27" s="71">
        <v>5811</v>
      </c>
      <c r="V27" s="71">
        <v>1013</v>
      </c>
      <c r="W27" s="71">
        <v>401</v>
      </c>
      <c r="X27" s="71">
        <v>3860</v>
      </c>
      <c r="Y27" s="71">
        <v>8712</v>
      </c>
      <c r="Z27" s="178"/>
      <c r="AA27" s="179"/>
      <c r="AB27" s="179"/>
      <c r="AC27" s="179"/>
      <c r="AD27" s="179"/>
      <c r="AE27" s="180"/>
      <c r="AH27" s="64" ph="1">
        <v>13</v>
      </c>
      <c r="AI27" s="64" t="s" ph="1">
        <v>350</v>
      </c>
      <c r="AZ27" s="64" t="s" ph="1">
        <v>216</v>
      </c>
      <c r="BA27" s="64" ph="1">
        <v>0</v>
      </c>
      <c r="BD27" s="64" t="s" ph="1">
        <v>295</v>
      </c>
      <c r="BE27" s="64" ph="1">
        <v>7100</v>
      </c>
    </row>
    <row r="28" spans="1:57" ph="1">
      <c r="A28" s="72" ph="1"/>
      <c r="B28" s="184" ph="1"/>
      <c r="C28" s="156" t="s" ph="1">
        <v>178</v>
      </c>
      <c r="D28" s="91" ph="1">
        <f>D27*268.68*LOOKUP(D29,密度!$A$2:$A$50,密度!$Q$2:$Q$50)+IF(D27&lt;=0,0,1566*LOOKUP(D29,密度!$A$2:$A$50,密度!$Q$2:$Q$50))</f>
        <v>2573.8425827279998</v>
      </c>
      <c r="E28" s="91" ph="1">
        <f>E27*268.68*LOOKUP(E29,密度!$A$2:$A$50,密度!$C$2:$C$50)+IF(E27&lt;=0,0,1566*LOOKUP(E29,密度!$A$2:$A$50,密度!$C$2:$C$50))</f>
        <v>21522.68312532</v>
      </c>
      <c r="F28" s="91" ph="1">
        <f>F27*11.702*LOOKUP(F29,密度!$A$2:$A$50,密度!$Q$2:$Q$50)</f>
        <v>1420.2670591999999</v>
      </c>
      <c r="G28" s="91" ph="1">
        <f>G27*18.322*LOOKUP(G29,密度!$A$2:$A$50,密度!$B$2:$B$50)</f>
        <v>42565.816975999995</v>
      </c>
      <c r="H28" s="91" ph="1">
        <f>H27*18.322*LOOKUP(H29,密度!$A$2:$A$50,密度!$B$2:$B$50)</f>
        <v>48246.461466000001</v>
      </c>
      <c r="I28" s="91" ph="1">
        <f>I27*18.322*LOOKUP(I29,密度!$A$2:$A$50,密度!$Q$2:$Q$50)</f>
        <v>20795.3857188</v>
      </c>
      <c r="J28" s="91" ph="1">
        <f>J27*18.322*LOOKUP(J29,密度!$A$2:$A$50,密度!$Q$2:$Q$50)</f>
        <v>3587.9644636200001</v>
      </c>
      <c r="K28" s="91" ph="1">
        <f>K27*18.322*LOOKUP(K29,密度!$A$2:$A$50,密度!$Q$2:$Q$50)</f>
        <v>4295.1390640599993</v>
      </c>
      <c r="L28" s="91" ph="1">
        <f>L27*18.322*LOOKUP(L29,密度!$A$2:$A$50,密度!$Q$2:$Q$50)</f>
        <v>8124.2672191199999</v>
      </c>
      <c r="M28" s="91" ph="1">
        <f>M27*18.322*LOOKUP(M29,密度!$A$2:$A$50,密度!$Q$2:$Q$50)</f>
        <v>83677.925430720003</v>
      </c>
      <c r="N28" s="91" ph="1">
        <f>N27*18.322*LOOKUP(N29,密度!$A$2:$A$50,密度!$Q$2:$Q$50)</f>
        <v>81538.085309219998</v>
      </c>
      <c r="O28" s="91" ph="1">
        <f>O27*18.322*LOOKUP(O29,密度!$A$2:$A$50,密度!$C$2:$C$50)</f>
        <v>29986.884519999996</v>
      </c>
      <c r="P28" s="91" ph="1">
        <f>P27*11.702*LOOKUP(P29,密度!$A$2:$A$50,密度!$B$2:$B$50)</f>
        <v>7680.9119520000004</v>
      </c>
      <c r="Q28" s="92" ph="1">
        <f>Q27*18.322*LOOKUP(Q29,密度!$A$2:$A$50,密度!$B$2:$B$50)</f>
        <v>34120.925017199996</v>
      </c>
      <c r="R28" s="91" ph="1">
        <f>R27*35.891*LOOKUP(R29,密度!$A$2:$A$50,密度!$C$2:$C$50)</f>
        <v>250773.01550839999</v>
      </c>
      <c r="S28" s="91" ph="1">
        <f>S27*35.891*LOOKUP(S29,密度!$A$2:$A$50,密度!$B$2:$B$50)</f>
        <v>195638.25189999997</v>
      </c>
      <c r="T28" s="91" ph="1">
        <f>T27*35.891*LOOKUP(T29,密度!$A$2:$A$50,密度!$Q$2:$Q$50)</f>
        <v>17235.667900960001</v>
      </c>
      <c r="U28" s="91" ph="1">
        <f>U27*35.891</f>
        <v>208562.601</v>
      </c>
      <c r="V28" s="91" ph="1">
        <f>V27*47.051*LOOKUP(V29,密度!$A$2:$A$50,密度!$B$2:$B$50)</f>
        <v>37200.708471500002</v>
      </c>
      <c r="W28" s="91" ph="1">
        <f>W27*47.051*LOOKUP(W29,密度!$A$2:$A$50,密度!$B$2:$B$50)</f>
        <v>14709.064799600001</v>
      </c>
      <c r="X28" s="91" ph="1">
        <f>X27*47.051*LOOKUP(X29,密度!$A$2:$A$61,密度!$I$2:$I$61)</f>
        <v>189099.474632</v>
      </c>
      <c r="Y28" s="91" ph="1">
        <f>Y27*47.051*LOOKUP(Y29,密度!$A$2:$A$50,密度!$L$2:$L$50)</f>
        <v>383264.27172000008</v>
      </c>
      <c r="Z28" s="178"/>
      <c r="AA28" s="179"/>
      <c r="AB28" s="179"/>
      <c r="AC28" s="179"/>
      <c r="AD28" s="179"/>
      <c r="AE28" s="180"/>
      <c r="AH28" s="64" ph="1">
        <v>14</v>
      </c>
      <c r="AI28" s="64" t="s" ph="1">
        <v>351</v>
      </c>
      <c r="AZ28" s="64" t="s" ph="1">
        <v>216</v>
      </c>
      <c r="BA28" s="64" ph="1">
        <v>0</v>
      </c>
    </row>
    <row r="29" spans="1:57" ph="1">
      <c r="A29" s="72" ph="1"/>
      <c r="B29" s="184" ph="1"/>
      <c r="C29" s="156" t="s" ph="1">
        <v>179</v>
      </c>
      <c r="D29" s="74">
        <v>25</v>
      </c>
      <c r="E29" s="74">
        <v>25</v>
      </c>
      <c r="F29" s="74">
        <v>23</v>
      </c>
      <c r="G29" s="74">
        <v>25</v>
      </c>
      <c r="H29" s="74">
        <v>28</v>
      </c>
      <c r="I29" s="74">
        <v>23</v>
      </c>
      <c r="J29" s="74">
        <v>26</v>
      </c>
      <c r="K29" s="74">
        <v>22</v>
      </c>
      <c r="L29" s="74">
        <v>24</v>
      </c>
      <c r="M29" s="74">
        <v>25</v>
      </c>
      <c r="N29" s="74">
        <v>22</v>
      </c>
      <c r="O29" s="74">
        <v>24</v>
      </c>
      <c r="P29" s="74">
        <v>23</v>
      </c>
      <c r="Q29" s="93">
        <v>27</v>
      </c>
      <c r="R29" s="74">
        <v>28</v>
      </c>
      <c r="S29" s="74">
        <v>26</v>
      </c>
      <c r="T29" s="74">
        <v>27</v>
      </c>
      <c r="U29" s="74">
        <v>28</v>
      </c>
      <c r="V29" s="74">
        <v>24</v>
      </c>
      <c r="W29" s="74">
        <v>25</v>
      </c>
      <c r="X29" s="74">
        <v>26</v>
      </c>
      <c r="Y29" s="74">
        <v>27</v>
      </c>
      <c r="Z29" s="181"/>
      <c r="AA29" s="182"/>
      <c r="AB29" s="182"/>
      <c r="AC29" s="182"/>
      <c r="AD29" s="182"/>
      <c r="AE29" s="183"/>
      <c r="AH29" s="64" ph="1">
        <v>15</v>
      </c>
      <c r="AI29" s="64" t="s" ph="1">
        <v>352</v>
      </c>
      <c r="AZ29" s="64" t="s" ph="1">
        <v>216</v>
      </c>
      <c r="BA29" s="64" ph="1">
        <v>0</v>
      </c>
      <c r="BD29" s="64" t="s" ph="1">
        <v>353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354</v>
      </c>
      <c r="AZ30" s="64" t="s" ph="1">
        <v>216</v>
      </c>
      <c r="BA30" s="64" ph="1">
        <v>0</v>
      </c>
    </row>
    <row r="31" spans="1:57" ht="28.2" ph="1">
      <c r="A31" s="64"/>
      <c r="B31" s="197" t="s" ph="1">
        <v>35</v>
      </c>
      <c r="C31" s="198" ph="1"/>
      <c r="D31" s="201" t="s" ph="1">
        <v>9</v>
      </c>
      <c r="E31" s="190" ph="1"/>
      <c r="F31" s="191" ph="1"/>
      <c r="G31" s="201" t="s" ph="1">
        <v>18</v>
      </c>
      <c r="H31" s="190" ph="1"/>
      <c r="I31" s="191" ph="1"/>
      <c r="J31" s="189" t="s" ph="1">
        <v>1</v>
      </c>
      <c r="K31" s="190" ph="1"/>
      <c r="L31" s="191" ph="1"/>
      <c r="M31" s="189" t="s" ph="1">
        <v>7</v>
      </c>
      <c r="N31" s="190" ph="1"/>
      <c r="O31" s="191" ph="1"/>
      <c r="P31" s="189" t="s" ph="1">
        <v>41</v>
      </c>
      <c r="Q31" s="190"/>
      <c r="R31" s="191"/>
      <c r="S31" s="189" t="s" ph="1">
        <v>2</v>
      </c>
      <c r="T31" s="190"/>
      <c r="U31" s="191"/>
      <c r="V31" s="189" t="s" ph="1">
        <v>71</v>
      </c>
      <c r="W31" s="190" ph="1"/>
      <c r="X31" s="191" ph="1"/>
      <c r="Y31" s="189" t="s" ph="1">
        <v>3</v>
      </c>
      <c r="Z31" s="190" ph="1"/>
      <c r="AA31" s="191" ph="1"/>
      <c r="AB31" s="212" t="s">
        <v>42</v>
      </c>
      <c r="AC31" s="213"/>
      <c r="AD31" s="213"/>
      <c r="AE31" s="214"/>
      <c r="AH31" s="64" ph="1">
        <v>17</v>
      </c>
      <c r="AI31" s="64" t="s" ph="1">
        <v>355</v>
      </c>
      <c r="AZ31" s="64" t="s" ph="1">
        <v>216</v>
      </c>
      <c r="BA31" s="64" ph="1">
        <v>0</v>
      </c>
      <c r="BD31" s="64" t="s" ph="1">
        <v>356</v>
      </c>
      <c r="BE31" s="64" ph="1">
        <v>9310</v>
      </c>
    </row>
    <row r="32" spans="1:57" ph="1">
      <c r="A32" s="64"/>
      <c r="B32" s="199" ph="1"/>
      <c r="C32" s="200" ph="1"/>
      <c r="D32" s="96" t="s" ph="1">
        <v>4</v>
      </c>
      <c r="E32" s="156" t="s" ph="1">
        <v>5</v>
      </c>
      <c r="F32" s="155" t="s" ph="1">
        <v>43</v>
      </c>
      <c r="G32" s="97" t="s" ph="1">
        <v>4</v>
      </c>
      <c r="H32" s="156" t="s" ph="1">
        <v>5</v>
      </c>
      <c r="I32" s="155" t="s" ph="1">
        <v>43</v>
      </c>
      <c r="J32" s="97" t="s" ph="1">
        <v>4</v>
      </c>
      <c r="K32" s="156" t="s" ph="1">
        <v>5</v>
      </c>
      <c r="L32" s="155" t="s" ph="1">
        <v>43</v>
      </c>
      <c r="M32" s="97" t="s" ph="1">
        <v>4</v>
      </c>
      <c r="N32" s="156" t="s" ph="1">
        <v>5</v>
      </c>
      <c r="O32" s="155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56" t="s" ph="1">
        <v>5</v>
      </c>
      <c r="U32" s="99" t="s" ph="1">
        <v>43</v>
      </c>
      <c r="V32" s="97" t="s" ph="1">
        <v>4</v>
      </c>
      <c r="W32" s="156" t="s" ph="1">
        <v>5</v>
      </c>
      <c r="X32" s="99" t="s" ph="1">
        <v>43</v>
      </c>
      <c r="Y32" s="100" t="s" ph="1">
        <v>4</v>
      </c>
      <c r="Z32" s="156" t="s" ph="1">
        <v>5</v>
      </c>
      <c r="AA32" s="155" t="s" ph="1">
        <v>43</v>
      </c>
      <c r="AB32" s="97" t="s" ph="1">
        <v>85</v>
      </c>
      <c r="AC32" s="156" t="s" ph="1">
        <v>84</v>
      </c>
      <c r="AD32" s="215" t="s" ph="1">
        <v>83</v>
      </c>
      <c r="AE32" s="216"/>
      <c r="AH32" s="64" ph="1">
        <v>18</v>
      </c>
      <c r="AI32" s="64" t="s" ph="1">
        <v>357</v>
      </c>
      <c r="AZ32" s="64" t="s" ph="1">
        <v>216</v>
      </c>
      <c r="BA32" s="64" ph="1">
        <v>0</v>
      </c>
    </row>
    <row r="33" spans="1:57" ph="1">
      <c r="A33" s="64"/>
      <c r="B33" s="202" t="s" ph="1">
        <v>181</v>
      </c>
      <c r="C33" s="203" ph="1"/>
      <c r="D33" s="206" ph="1">
        <f>AA10+AB10+Z19</f>
        <v>78117.92437696</v>
      </c>
      <c r="E33" s="206" ph="1">
        <f>M10+I10</f>
        <v>208655.29029599999</v>
      </c>
      <c r="F33" s="208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1522252632456786910111213141516171819202123456789101112131415161718192022232424356789101112131415161718192021222345678910111213141516171819202345678910111213149101516171819222123234567891012131415161711181920212224252345678910111213139[[#This Row],[F25]]</f>
        <v>3880</v>
      </c>
      <c r="G33" s="210" ph="1">
        <f>N19</f>
        <v>15409.142679199998</v>
      </c>
      <c r="H33" s="206" ph="1">
        <f>M19</f>
        <v>36675.720960539998</v>
      </c>
      <c r="I33" s="219" ph="1">
        <v>0</v>
      </c>
      <c r="J33" s="217" ph="1">
        <f>F10+O28</f>
        <v>244830.74894799996</v>
      </c>
      <c r="K33" s="206" ph="1">
        <f>O10+K10+E28+R28</f>
        <v>407839.61817932001</v>
      </c>
      <c r="L33" s="221" ph="1">
        <f>K19</f>
        <v>22892.9244635</v>
      </c>
      <c r="M33" s="217" ph="1">
        <f>G10+H10+W28+S28+V28+E10+R19+P28+Q28</f>
        <v>924781.44239465985</v>
      </c>
      <c r="N33" s="206" ph="1">
        <f>L10+P10++G28+H28+AD19+AE19</f>
        <v>161485.94374060002</v>
      </c>
      <c r="O33" s="219" ph="1">
        <f>G19</f>
        <v>11821.58668536</v>
      </c>
      <c r="P33" s="217" ph="1">
        <f>L19</f>
        <v>11982.784249920001</v>
      </c>
      <c r="Q33" s="206" ph="1">
        <f>J10+N10</f>
        <v>6411.9389836999999</v>
      </c>
      <c r="R33" s="219" ph="1">
        <f>BE23</f>
        <v>890</v>
      </c>
      <c r="S33" s="217" ph="1">
        <f>X28</f>
        <v>189099.474632</v>
      </c>
      <c r="T33" s="206" ph="1">
        <f>X19</f>
        <v>18356.184638079998</v>
      </c>
      <c r="U33" s="227" ph="1">
        <f>BE21</f>
        <v>730</v>
      </c>
      <c r="V33" s="238" ph="1">
        <f ca="1">P19+Q19+S19+M28+N28+J28+D10+AC10+D19+E19+H19+J19+O19+V19+W19+K28+L28</f>
        <v>561972.11542555795</v>
      </c>
      <c r="W33" s="238" ph="1">
        <f>D28+F28+T28+I28</f>
        <v>42025.163261688002</v>
      </c>
      <c r="X33" s="219" ph="1">
        <f>BE29+BE31</f>
        <v>10200</v>
      </c>
      <c r="Y33" s="240" ph="1">
        <f>+Q10+R10+S10+T10+U10+V10+W10+X10+Y10</f>
        <v>257526.29590379997</v>
      </c>
      <c r="Z33" s="225" ph="1">
        <f>T19+U19+Y28+Z10</f>
        <v>537546.80280074012</v>
      </c>
      <c r="AA33" s="227" ph="1">
        <f>BE19</f>
        <v>1440</v>
      </c>
      <c r="AB33" s="229" ph="1">
        <f>I19</f>
        <v>49955.890790400001</v>
      </c>
      <c r="AC33" s="231" ph="1">
        <f>AD10+AB19</f>
        <v>81978.74818319999</v>
      </c>
      <c r="AD33" s="233" ph="1">
        <v>0</v>
      </c>
      <c r="AE33" s="234"/>
      <c r="AH33" s="64" ph="1">
        <v>19</v>
      </c>
      <c r="AI33" s="64" t="s" ph="1">
        <v>358</v>
      </c>
      <c r="AJ33" s="64" t="s" ph="1">
        <v>592</v>
      </c>
      <c r="AK33" s="64" t="s" ph="1">
        <v>589</v>
      </c>
      <c r="AL33" s="64" ph="1">
        <v>730</v>
      </c>
      <c r="AM33" s="64" t="s" ph="1">
        <v>339</v>
      </c>
      <c r="AZ33" s="64" t="s" ph="1">
        <v>216</v>
      </c>
      <c r="BA33" s="64" ph="1">
        <v>730</v>
      </c>
      <c r="BD33" s="64" t="s" ph="1">
        <v>290</v>
      </c>
      <c r="BE33" s="64" ph="1">
        <v>3880</v>
      </c>
    </row>
    <row r="34" spans="1:57" ph="1">
      <c r="A34" s="64"/>
      <c r="B34" s="204" ph="1"/>
      <c r="C34" s="205" ph="1"/>
      <c r="D34" s="207" ph="1"/>
      <c r="E34" s="207" ph="1"/>
      <c r="F34" s="209" ph="1"/>
      <c r="G34" s="211" ph="1"/>
      <c r="H34" s="207" ph="1"/>
      <c r="I34" s="220" ph="1"/>
      <c r="J34" s="218" ph="1"/>
      <c r="K34" s="207" ph="1"/>
      <c r="L34" s="222" ph="1"/>
      <c r="M34" s="218" ph="1"/>
      <c r="N34" s="207" ph="1"/>
      <c r="O34" s="220" ph="1"/>
      <c r="P34" s="218" ph="1"/>
      <c r="Q34" s="207" ph="1"/>
      <c r="R34" s="220" ph="1"/>
      <c r="S34" s="218" ph="1"/>
      <c r="T34" s="207"/>
      <c r="U34" s="228"/>
      <c r="V34" s="239" ph="1"/>
      <c r="W34" s="239" ph="1"/>
      <c r="X34" s="220" ph="1"/>
      <c r="Y34" s="241" ph="1"/>
      <c r="Z34" s="226" ph="1"/>
      <c r="AA34" s="228" ph="1"/>
      <c r="AB34" s="230"/>
      <c r="AC34" s="232"/>
      <c r="AD34" s="235"/>
      <c r="AE34" s="236"/>
      <c r="AH34" s="64" ph="1">
        <v>20</v>
      </c>
      <c r="AI34" s="64" t="s" ph="1">
        <v>359</v>
      </c>
      <c r="AJ34" s="64" t="s" ph="1">
        <v>593</v>
      </c>
      <c r="AK34" s="64" t="s" ph="1">
        <v>589</v>
      </c>
      <c r="AL34" s="64" ph="1">
        <v>720</v>
      </c>
      <c r="AM34" s="64" t="s" ph="1">
        <v>339</v>
      </c>
      <c r="AZ34" s="64" t="s" ph="1">
        <v>216</v>
      </c>
      <c r="BA34" s="64" ph="1">
        <v>720</v>
      </c>
    </row>
    <row r="35" spans="1:57" ph="1">
      <c r="A35" s="64"/>
      <c r="AC35" s="237" t="s" ph="1">
        <v>631</v>
      </c>
      <c r="AD35" s="237"/>
      <c r="AE35" s="237"/>
      <c r="AH35" s="64" ph="1">
        <v>21</v>
      </c>
      <c r="AI35" s="64" t="s" ph="1">
        <v>360</v>
      </c>
      <c r="AZ35" s="64" t="s" ph="1">
        <v>216</v>
      </c>
      <c r="BA35" s="64" ph="1">
        <v>0</v>
      </c>
      <c r="BD35" s="64" t="s" ph="1">
        <v>361</v>
      </c>
      <c r="BE35" s="64" ph="1">
        <v>2030</v>
      </c>
    </row>
    <row r="36" spans="1:57" ht="28.2" ph="1">
      <c r="A36" s="64"/>
      <c r="B36" s="103" t="s" ph="1">
        <v>182</v>
      </c>
      <c r="I36" s="223" t="s" ph="1">
        <v>183</v>
      </c>
      <c r="J36" s="223" ph="1"/>
      <c r="K36" s="101" ph="1"/>
      <c r="P36" s="101" ph="1"/>
      <c r="R36" s="223" t="s" ph="1">
        <v>184</v>
      </c>
      <c r="S36" s="223" ph="1"/>
      <c r="Y36" s="102" ph="1"/>
      <c r="Z36" s="154" t="s" ph="1">
        <v>185</v>
      </c>
      <c r="AA36" s="154" ph="1"/>
      <c r="AB36" s="224" t="s" ph="1">
        <v>640</v>
      </c>
      <c r="AC36" s="224" ph="1"/>
      <c r="AD36" s="224" ph="1"/>
      <c r="AE36" s="224" ph="1"/>
      <c r="BA36" s="64" ph="1">
        <v>2270</v>
      </c>
    </row>
    <row r="37" spans="1:57" s="154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54" t="s" ph="1">
        <v>342</v>
      </c>
      <c r="AI37" s="154" t="s" ph="1">
        <v>209</v>
      </c>
      <c r="AJ37" s="154" t="s" ph="1">
        <v>210</v>
      </c>
      <c r="AK37" s="154" t="s" ph="1">
        <v>211</v>
      </c>
      <c r="AM37" s="154" t="s" ph="1">
        <v>210</v>
      </c>
      <c r="AN37" s="154" t="s" ph="1">
        <v>211</v>
      </c>
      <c r="AO37" s="154" t="s" ph="1">
        <v>212</v>
      </c>
      <c r="AP37" s="154" t="s" ph="1">
        <v>210</v>
      </c>
      <c r="AQ37" s="154" t="s" ph="1">
        <v>211</v>
      </c>
      <c r="AR37" s="154" t="s" ph="1">
        <v>212</v>
      </c>
      <c r="AS37" s="154" t="s" ph="1">
        <v>210</v>
      </c>
      <c r="AT37" s="154" t="s" ph="1">
        <v>211</v>
      </c>
      <c r="AU37" s="154" t="s" ph="1">
        <v>212</v>
      </c>
      <c r="AV37" s="154" t="s" ph="1">
        <v>210</v>
      </c>
      <c r="AW37" s="154" t="s" ph="1">
        <v>211</v>
      </c>
      <c r="AX37" s="154" t="s" ph="1">
        <v>212</v>
      </c>
      <c r="AY37" s="154" t="s" ph="1">
        <v>211</v>
      </c>
      <c r="AZ37" s="154" t="s" ph="1">
        <v>213</v>
      </c>
      <c r="BD37" s="154" t="s" ph="1">
        <v>305</v>
      </c>
      <c r="BE37" s="154" ph="1">
        <v>0</v>
      </c>
    </row>
    <row r="38" spans="1:57" ph="1">
      <c r="AE38" s="64" ph="1"/>
      <c r="AH38" s="64" ph="1">
        <v>1</v>
      </c>
      <c r="AI38" s="64" t="s" ph="1">
        <v>362</v>
      </c>
      <c r="AY38" s="64" t="s" ph="1">
        <v>216</v>
      </c>
      <c r="AZ38" s="64" t="s" ph="1">
        <v>367</v>
      </c>
    </row>
    <row r="39" spans="1:57" ph="1">
      <c r="AH39" s="64" ph="1">
        <v>2</v>
      </c>
      <c r="AI39" s="64" t="s" ph="1">
        <v>364</v>
      </c>
      <c r="AJ39" s="64" t="s" ph="1">
        <v>336</v>
      </c>
      <c r="AK39" s="64" t="s" ph="1">
        <v>365</v>
      </c>
      <c r="AM39" s="64" t="s" ph="1">
        <v>570</v>
      </c>
      <c r="AN39" s="64" t="s" ph="1">
        <v>228</v>
      </c>
      <c r="AO39" s="64" t="s" ph="1">
        <v>363</v>
      </c>
      <c r="AY39" s="64" t="s" ph="1">
        <v>216</v>
      </c>
      <c r="AZ39" s="64" t="s" ph="1">
        <v>499</v>
      </c>
    </row>
    <row r="40" spans="1:57" ph="1">
      <c r="AH40" s="64" ph="1">
        <v>3</v>
      </c>
      <c r="AI40" s="64" t="s" ph="1">
        <v>366</v>
      </c>
      <c r="AJ40" s="64" t="s" ph="1">
        <v>570</v>
      </c>
      <c r="AK40" s="64" t="s" ph="1">
        <v>571</v>
      </c>
      <c r="AY40" s="64" t="s" ph="1">
        <v>216</v>
      </c>
      <c r="AZ40" s="64" t="s" ph="1">
        <v>571</v>
      </c>
    </row>
    <row r="41" spans="1:57" ph="1">
      <c r="AH41" s="64" ph="1">
        <v>4</v>
      </c>
      <c r="AI41" s="64" t="s" ph="1">
        <v>368</v>
      </c>
      <c r="AJ41" s="64" t="s" ph="1">
        <v>572</v>
      </c>
      <c r="AK41" s="64" t="s" ph="1">
        <v>573</v>
      </c>
      <c r="AM41" s="64" t="s" ph="1">
        <v>574</v>
      </c>
      <c r="AY41" s="64" t="s" ph="1">
        <v>216</v>
      </c>
      <c r="AZ41" s="64" t="s" ph="1">
        <v>573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369</v>
      </c>
      <c r="AY42" s="64" t="s" ph="1">
        <v>216</v>
      </c>
      <c r="AZ42" s="64" t="s" ph="1">
        <v>367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370</v>
      </c>
      <c r="AY43" s="64" t="s" ph="1">
        <v>216</v>
      </c>
      <c r="AZ43" s="64" t="s" ph="1">
        <v>367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371</v>
      </c>
      <c r="AV44" s="64" t="s" ph="1">
        <v>217</v>
      </c>
      <c r="AY44" s="64" t="s" ph="1">
        <v>216</v>
      </c>
      <c r="AZ44" s="64" t="s" ph="1">
        <v>367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372</v>
      </c>
      <c r="AV45" s="64" t="s" ph="1">
        <v>217</v>
      </c>
      <c r="AY45" s="64" t="s" ph="1">
        <v>216</v>
      </c>
      <c r="AZ45" s="64" t="s" ph="1">
        <v>367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373</v>
      </c>
      <c r="AV46" s="64" t="s" ph="1">
        <v>217</v>
      </c>
      <c r="AY46" s="64" t="s" ph="1">
        <v>216</v>
      </c>
      <c r="AZ46" s="64" t="s" ph="1">
        <v>367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374</v>
      </c>
      <c r="AV47" s="64" t="s" ph="1">
        <v>217</v>
      </c>
      <c r="AY47" s="64" t="s" ph="1">
        <v>216</v>
      </c>
      <c r="AZ47" s="64" t="s" ph="1">
        <v>367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575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232</v>
      </c>
      <c r="AI49" s="64" t="s" ph="1">
        <v>209</v>
      </c>
      <c r="AJ49" s="64" t="s" ph="1">
        <v>210</v>
      </c>
      <c r="AK49" s="64" t="s" ph="1">
        <v>211</v>
      </c>
      <c r="AM49" s="64" t="s" ph="1">
        <v>210</v>
      </c>
      <c r="AN49" s="64" t="s" ph="1">
        <v>211</v>
      </c>
      <c r="AO49" s="64" t="s" ph="1">
        <v>212</v>
      </c>
      <c r="AP49" s="64" t="s" ph="1">
        <v>210</v>
      </c>
      <c r="AQ49" s="64" t="s" ph="1">
        <v>211</v>
      </c>
      <c r="AR49" s="64" t="s" ph="1">
        <v>212</v>
      </c>
      <c r="AS49" s="64" t="s" ph="1">
        <v>210</v>
      </c>
      <c r="AT49" s="64" t="s" ph="1">
        <v>211</v>
      </c>
      <c r="AU49" s="64" t="s" ph="1">
        <v>212</v>
      </c>
      <c r="AV49" s="64" t="s" ph="1">
        <v>210</v>
      </c>
      <c r="AW49" s="64" t="s" ph="1">
        <v>211</v>
      </c>
      <c r="AX49" s="64" t="s" ph="1">
        <v>212</v>
      </c>
      <c r="AY49" s="64" t="s" ph="1">
        <v>211</v>
      </c>
      <c r="AZ49" s="64" t="s" ph="1">
        <v>213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375</v>
      </c>
      <c r="AY50" s="64" t="s" ph="1">
        <v>216</v>
      </c>
      <c r="AZ50" s="64" t="s" ph="1">
        <v>367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376</v>
      </c>
      <c r="AY51" s="64" t="s" ph="1">
        <v>216</v>
      </c>
      <c r="AZ51" s="64" t="s" ph="1">
        <v>367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377</v>
      </c>
      <c r="AJ52" s="64" t="s" ph="1">
        <v>334</v>
      </c>
      <c r="AK52" s="64" t="s" ph="1">
        <v>228</v>
      </c>
      <c r="AM52" s="64" t="s" ph="1">
        <v>336</v>
      </c>
      <c r="AN52" s="64" t="s" ph="1">
        <v>300</v>
      </c>
      <c r="AO52" s="64" t="s" ph="1">
        <v>233</v>
      </c>
      <c r="AP52" s="64" t="s" ph="1">
        <v>570</v>
      </c>
      <c r="AQ52" s="64" t="s" ph="1">
        <v>282</v>
      </c>
      <c r="AR52" s="64" t="s" ph="1">
        <v>233</v>
      </c>
      <c r="AY52" s="64" t="s" ph="1">
        <v>216</v>
      </c>
      <c r="AZ52" s="64" t="s" ph="1">
        <v>576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378</v>
      </c>
      <c r="AY53" s="64" t="s" ph="1">
        <v>216</v>
      </c>
      <c r="AZ53" s="64" t="s" ph="1">
        <v>367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379</v>
      </c>
      <c r="AJ54" s="64" t="s" ph="1">
        <v>334</v>
      </c>
      <c r="AK54" s="64" t="s" ph="1">
        <v>219</v>
      </c>
      <c r="AM54" s="64" t="s" ph="1">
        <v>336</v>
      </c>
      <c r="AN54" s="64" t="s" ph="1">
        <v>224</v>
      </c>
      <c r="AO54" s="64" t="s" ph="1">
        <v>233</v>
      </c>
      <c r="AP54" s="64" t="s" ph="1">
        <v>570</v>
      </c>
      <c r="AQ54" s="64" t="s" ph="1">
        <v>240</v>
      </c>
      <c r="AR54" s="64" t="s" ph="1">
        <v>233</v>
      </c>
      <c r="AY54" s="64" t="s" ph="1">
        <v>216</v>
      </c>
      <c r="AZ54" s="64" t="s" ph="1">
        <v>234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380</v>
      </c>
      <c r="AY55" s="64" t="s" ph="1">
        <v>216</v>
      </c>
      <c r="AZ55" s="64" t="s" ph="1">
        <v>367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381</v>
      </c>
      <c r="AY56" s="64" t="s" ph="1">
        <v>216</v>
      </c>
      <c r="AZ56" s="64" t="s" ph="1">
        <v>367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382</v>
      </c>
      <c r="AY57" s="64" t="s" ph="1">
        <v>216</v>
      </c>
      <c r="AZ57" s="64" t="s" ph="1">
        <v>367</v>
      </c>
    </row>
    <row r="58" spans="16:52" ph="1">
      <c r="P58" s="64"/>
      <c r="AN58" s="64" t="s" ph="1">
        <v>217</v>
      </c>
      <c r="AZ58" s="64" t="s" ph="1">
        <v>577</v>
      </c>
    </row>
    <row r="59" spans="16:52" ph="1">
      <c r="V59" s="64"/>
      <c r="AG59" s="64" t="s" ph="1">
        <v>235</v>
      </c>
      <c r="AI59" s="64" t="s" ph="1">
        <v>209</v>
      </c>
      <c r="AJ59" s="64" t="s" ph="1">
        <v>210</v>
      </c>
      <c r="AK59" s="64" t="s" ph="1">
        <v>211</v>
      </c>
      <c r="AM59" s="64" t="s" ph="1">
        <v>210</v>
      </c>
      <c r="AN59" s="64" t="s" ph="1">
        <v>211</v>
      </c>
      <c r="AO59" s="64" t="s" ph="1">
        <v>212</v>
      </c>
      <c r="AP59" s="64" t="s" ph="1">
        <v>210</v>
      </c>
      <c r="AQ59" s="64" t="s" ph="1">
        <v>211</v>
      </c>
      <c r="AR59" s="64" t="s" ph="1">
        <v>212</v>
      </c>
      <c r="AS59" s="64" t="s" ph="1">
        <v>210</v>
      </c>
      <c r="AT59" s="64" t="s" ph="1">
        <v>211</v>
      </c>
      <c r="AU59" s="64" t="s" ph="1">
        <v>212</v>
      </c>
      <c r="AV59" s="64" t="s" ph="1">
        <v>210</v>
      </c>
      <c r="AW59" s="64" t="s" ph="1">
        <v>211</v>
      </c>
      <c r="AX59" s="64" t="s" ph="1">
        <v>212</v>
      </c>
      <c r="AY59" s="64" t="s" ph="1">
        <v>211</v>
      </c>
      <c r="AZ59" s="64" t="s" ph="1">
        <v>213</v>
      </c>
    </row>
    <row r="60" spans="16:52" ph="1">
      <c r="R60" s="64"/>
      <c r="S60" s="64"/>
      <c r="T60" s="64"/>
      <c r="AH60" s="64" ph="1">
        <v>1</v>
      </c>
      <c r="AI60" s="64" t="s" ph="1">
        <v>383</v>
      </c>
      <c r="AY60" s="64" t="s" ph="1">
        <v>216</v>
      </c>
      <c r="AZ60" s="64" t="s" ph="1">
        <v>367</v>
      </c>
    </row>
    <row r="61" spans="16:52" ph="1">
      <c r="AH61" s="64" ph="1">
        <v>2</v>
      </c>
      <c r="AI61" s="64" t="s" ph="1">
        <v>384</v>
      </c>
      <c r="AS61" s="64" t="s" ph="1">
        <v>217</v>
      </c>
      <c r="AY61" s="64" t="s" ph="1">
        <v>216</v>
      </c>
      <c r="AZ61" s="64" t="s" ph="1">
        <v>367</v>
      </c>
    </row>
    <row r="62" spans="16:52" ph="1">
      <c r="AZ62" s="64" t="s" ph="1">
        <v>385</v>
      </c>
    </row>
    <row r="63" spans="16:52" ph="1">
      <c r="AG63" s="64" t="s" ph="1">
        <v>238</v>
      </c>
      <c r="AI63" s="64" t="s" ph="1">
        <v>209</v>
      </c>
      <c r="AJ63" s="64" t="s" ph="1">
        <v>210</v>
      </c>
      <c r="AK63" s="64" t="s" ph="1">
        <v>211</v>
      </c>
      <c r="AM63" s="64" t="s" ph="1">
        <v>210</v>
      </c>
      <c r="AN63" s="64" t="s" ph="1">
        <v>211</v>
      </c>
      <c r="AO63" s="64" t="s" ph="1">
        <v>212</v>
      </c>
      <c r="AP63" s="64" t="s" ph="1">
        <v>210</v>
      </c>
      <c r="AQ63" s="64" t="s" ph="1">
        <v>211</v>
      </c>
      <c r="AR63" s="64" t="s" ph="1">
        <v>212</v>
      </c>
      <c r="AS63" s="64" t="s" ph="1">
        <v>210</v>
      </c>
      <c r="AT63" s="64" t="s" ph="1">
        <v>211</v>
      </c>
      <c r="AU63" s="64" t="s" ph="1">
        <v>212</v>
      </c>
      <c r="AV63" s="64" t="s" ph="1">
        <v>210</v>
      </c>
      <c r="AW63" s="64" t="s" ph="1">
        <v>211</v>
      </c>
      <c r="AX63" s="64" t="s" ph="1">
        <v>212</v>
      </c>
      <c r="AY63" s="64" t="s" ph="1">
        <v>211</v>
      </c>
      <c r="AZ63" s="64" t="s" ph="1">
        <v>213</v>
      </c>
    </row>
    <row r="64" spans="16:52" ph="1">
      <c r="AH64" s="64" ph="1">
        <v>1</v>
      </c>
      <c r="AI64" s="64" t="s" ph="1">
        <v>386</v>
      </c>
      <c r="AJ64" s="64" t="s" ph="1">
        <v>387</v>
      </c>
      <c r="AK64" s="64" t="s" ph="1">
        <v>388</v>
      </c>
      <c r="AY64" s="64" t="s" ph="1">
        <v>216</v>
      </c>
      <c r="AZ64" s="64" t="s" ph="1">
        <v>388</v>
      </c>
    </row>
    <row r="65" spans="33:52" ph="1">
      <c r="AH65" s="64" ph="1">
        <v>2</v>
      </c>
      <c r="AI65" s="64" t="s" ph="1">
        <v>389</v>
      </c>
      <c r="AY65" s="64" t="s" ph="1">
        <v>216</v>
      </c>
      <c r="AZ65" s="64" t="s" ph="1">
        <v>367</v>
      </c>
    </row>
    <row r="66" spans="33:52" ph="1">
      <c r="AH66" s="64" ph="1">
        <v>3</v>
      </c>
      <c r="AI66" s="64" t="s" ph="1">
        <v>390</v>
      </c>
      <c r="AY66" s="64" t="s" ph="1">
        <v>216</v>
      </c>
      <c r="AZ66" s="64" t="s" ph="1">
        <v>367</v>
      </c>
    </row>
    <row r="67" spans="33:52" ph="1">
      <c r="AH67" s="64" ph="1">
        <v>4</v>
      </c>
      <c r="AI67" s="64" t="s" ph="1">
        <v>391</v>
      </c>
      <c r="AY67" s="64" t="s" ph="1">
        <v>216</v>
      </c>
      <c r="AZ67" s="64" t="s" ph="1">
        <v>367</v>
      </c>
    </row>
    <row r="68" spans="33:52" ph="1">
      <c r="AH68" s="64" ph="1">
        <v>5</v>
      </c>
      <c r="AI68" s="64" t="s" ph="1">
        <v>392</v>
      </c>
      <c r="AY68" s="64" t="s" ph="1">
        <v>216</v>
      </c>
      <c r="AZ68" s="64" t="s" ph="1">
        <v>367</v>
      </c>
    </row>
    <row r="69" spans="33:52" ph="1">
      <c r="AH69" s="64" ph="1">
        <v>6</v>
      </c>
      <c r="AI69" s="64" t="s" ph="1">
        <v>393</v>
      </c>
      <c r="AY69" s="64" t="s" ph="1">
        <v>216</v>
      </c>
      <c r="AZ69" s="64" t="s" ph="1">
        <v>367</v>
      </c>
    </row>
    <row r="70" spans="33:52" ph="1">
      <c r="AI70" s="64" t="s" ph="1">
        <v>394</v>
      </c>
      <c r="AY70" s="64" t="s" ph="1">
        <v>216</v>
      </c>
      <c r="AZ70" s="64" t="s" ph="1">
        <v>367</v>
      </c>
    </row>
    <row r="71" spans="33:52" ph="1">
      <c r="AH71" s="64" ph="1">
        <v>7</v>
      </c>
      <c r="AI71" s="64" t="s" ph="1">
        <v>395</v>
      </c>
      <c r="AJ71" s="64" t="s" ph="1">
        <v>334</v>
      </c>
      <c r="AK71" s="64" t="s" ph="1">
        <v>228</v>
      </c>
      <c r="AM71" s="64" t="s" ph="1">
        <v>336</v>
      </c>
      <c r="AN71" s="64" t="s" ph="1">
        <v>228</v>
      </c>
      <c r="AO71" s="64" t="s" ph="1">
        <v>396</v>
      </c>
      <c r="AP71" s="64" t="s" ph="1">
        <v>570</v>
      </c>
      <c r="AQ71" s="64" t="s" ph="1">
        <v>219</v>
      </c>
      <c r="AR71" s="64" t="s" ph="1">
        <v>396</v>
      </c>
      <c r="AY71" s="64" t="s" ph="1">
        <v>216</v>
      </c>
      <c r="AZ71" s="64" t="s" ph="1">
        <v>578</v>
      </c>
    </row>
    <row r="72" spans="33:52" ph="1">
      <c r="AZ72" s="64" t="s" ph="1">
        <v>579</v>
      </c>
    </row>
    <row r="73" spans="33:52" ph="1">
      <c r="AG73" s="64" t="s" ph="1">
        <v>241</v>
      </c>
      <c r="AI73" s="64" t="s" ph="1">
        <v>209</v>
      </c>
      <c r="AJ73" s="64" t="s" ph="1">
        <v>210</v>
      </c>
      <c r="AK73" s="64" t="s" ph="1">
        <v>211</v>
      </c>
      <c r="AM73" s="64" t="s" ph="1">
        <v>210</v>
      </c>
      <c r="AN73" s="64" t="s" ph="1">
        <v>211</v>
      </c>
      <c r="AO73" s="64" t="s" ph="1">
        <v>212</v>
      </c>
      <c r="AP73" s="64" t="s" ph="1">
        <v>210</v>
      </c>
      <c r="AQ73" s="64" t="s" ph="1">
        <v>211</v>
      </c>
      <c r="AR73" s="64" t="s" ph="1">
        <v>212</v>
      </c>
      <c r="AS73" s="64" t="s" ph="1">
        <v>210</v>
      </c>
      <c r="AT73" s="64" t="s" ph="1">
        <v>211</v>
      </c>
      <c r="AU73" s="64" t="s" ph="1">
        <v>212</v>
      </c>
      <c r="AV73" s="64" t="s" ph="1">
        <v>210</v>
      </c>
      <c r="AW73" s="64" t="s" ph="1">
        <v>211</v>
      </c>
      <c r="AX73" s="64" t="s" ph="1">
        <v>212</v>
      </c>
      <c r="AY73" s="64" t="s" ph="1">
        <v>211</v>
      </c>
      <c r="AZ73" s="64" t="s" ph="1">
        <v>213</v>
      </c>
    </row>
    <row r="74" spans="33:52" ph="1">
      <c r="AH74" s="64" ph="1">
        <v>1</v>
      </c>
      <c r="AI74" s="64" t="s" ph="1">
        <v>397</v>
      </c>
      <c r="AJ74" s="64" t="s" ph="1">
        <v>242</v>
      </c>
      <c r="AK74" s="64" t="s" ph="1">
        <v>224</v>
      </c>
      <c r="AM74" s="64" t="s" ph="1">
        <v>244</v>
      </c>
      <c r="AN74" s="64" t="s" ph="1">
        <v>254</v>
      </c>
      <c r="AO74" s="64" t="s" ph="1">
        <v>243</v>
      </c>
      <c r="AP74" s="64" t="s" ph="1">
        <v>245</v>
      </c>
      <c r="AQ74" s="64" t="s" ph="1">
        <v>222</v>
      </c>
      <c r="AR74" s="64" t="s" ph="1">
        <v>243</v>
      </c>
      <c r="AS74" s="64" t="s" ph="1">
        <v>215</v>
      </c>
      <c r="AT74" s="64" t="s" ph="1">
        <v>217</v>
      </c>
      <c r="AV74" s="64" t="s" ph="1">
        <v>398</v>
      </c>
      <c r="AW74" s="64" t="s" ph="1">
        <v>399</v>
      </c>
      <c r="AX74" s="64" t="s" ph="1">
        <v>400</v>
      </c>
      <c r="AY74" s="64" t="s" ph="1">
        <v>216</v>
      </c>
      <c r="AZ74" s="64" t="s" ph="1">
        <v>401</v>
      </c>
    </row>
    <row r="75" spans="33:52" ph="1">
      <c r="AJ75" s="64" t="s" ph="1">
        <v>247</v>
      </c>
      <c r="AK75" s="64" t="s" ph="1">
        <v>300</v>
      </c>
      <c r="AM75" s="64" t="s" ph="1">
        <v>245</v>
      </c>
      <c r="AN75" s="64" t="s" ph="1">
        <v>225</v>
      </c>
      <c r="AO75" s="64" t="s" ph="1">
        <v>243</v>
      </c>
      <c r="AS75" s="64" t="s" ph="1">
        <v>215</v>
      </c>
      <c r="AT75" s="64" t="s" ph="1">
        <v>246</v>
      </c>
    </row>
    <row r="76" spans="33:52" ph="1">
      <c r="AJ76" s="64" t="s" ph="1">
        <v>247</v>
      </c>
      <c r="AK76" s="64" t="s" ph="1">
        <v>240</v>
      </c>
      <c r="AM76" s="64" t="s" ph="1">
        <v>245</v>
      </c>
      <c r="AN76" s="64" t="s" ph="1">
        <v>228</v>
      </c>
      <c r="AO76" s="64" t="s" ph="1">
        <v>243</v>
      </c>
      <c r="AS76" s="64" t="s" ph="1">
        <v>215</v>
      </c>
      <c r="AT76" s="64" t="s" ph="1">
        <v>246</v>
      </c>
    </row>
    <row r="77" spans="33:52" ph="1">
      <c r="AJ77" s="64" t="s" ph="1">
        <v>283</v>
      </c>
      <c r="AK77" s="64" t="s" ph="1">
        <v>240</v>
      </c>
      <c r="AM77" s="64" t="s" ph="1">
        <v>284</v>
      </c>
      <c r="AN77" s="64" t="s" ph="1">
        <v>223</v>
      </c>
      <c r="AO77" s="64" t="s" ph="1">
        <v>243</v>
      </c>
      <c r="AS77" s="64" t="s" ph="1">
        <v>215</v>
      </c>
      <c r="AT77" s="64" t="s" ph="1">
        <v>285</v>
      </c>
    </row>
    <row r="78" spans="33:52" ph="1">
      <c r="AH78" s="64" ph="1">
        <v>2</v>
      </c>
      <c r="AI78" s="64" t="s" ph="1">
        <v>249</v>
      </c>
      <c r="AJ78" s="64" t="s" ph="1">
        <v>250</v>
      </c>
      <c r="AK78" s="64" t="s" ph="1">
        <v>219</v>
      </c>
      <c r="AM78" s="64" t="s" ph="1">
        <v>251</v>
      </c>
      <c r="AN78" s="64" t="s" ph="1">
        <v>254</v>
      </c>
      <c r="AO78" s="64" t="s" ph="1">
        <v>243</v>
      </c>
      <c r="AP78" s="64" t="s" ph="1">
        <v>252</v>
      </c>
      <c r="AQ78" s="64" t="s" ph="1">
        <v>298</v>
      </c>
      <c r="AR78" s="64" t="s" ph="1">
        <v>243</v>
      </c>
      <c r="AS78" s="64" t="s" ph="1">
        <v>253</v>
      </c>
      <c r="AT78" s="64" t="s" ph="1">
        <v>254</v>
      </c>
      <c r="AU78" s="64" t="s" ph="1">
        <v>243</v>
      </c>
      <c r="AV78" s="64" t="s" ph="1">
        <v>255</v>
      </c>
      <c r="AW78" s="64" t="s" ph="1">
        <v>243</v>
      </c>
      <c r="AY78" s="64" t="s" ph="1">
        <v>216</v>
      </c>
      <c r="AZ78" s="64" t="s" ph="1">
        <v>402</v>
      </c>
    </row>
    <row r="79" spans="33:52" ph="1">
      <c r="AJ79" s="64" t="s" ph="1">
        <v>245</v>
      </c>
      <c r="AK79" s="64" t="s" ph="1">
        <v>256</v>
      </c>
      <c r="AM79" s="64" t="s" ph="1">
        <v>257</v>
      </c>
      <c r="AN79" s="64" t="s" ph="1">
        <v>225</v>
      </c>
      <c r="AO79" s="64" t="s" ph="1">
        <v>243</v>
      </c>
      <c r="AP79" s="64" t="s" ph="1">
        <v>258</v>
      </c>
      <c r="AQ79" s="64" t="s" ph="1">
        <v>223</v>
      </c>
      <c r="AR79" s="64" t="s" ph="1">
        <v>259</v>
      </c>
      <c r="AS79" s="64" t="s" ph="1">
        <v>215</v>
      </c>
      <c r="AT79" s="64" t="s" ph="1">
        <v>260</v>
      </c>
      <c r="AV79" s="64" t="s" ph="1">
        <v>403</v>
      </c>
      <c r="AW79" s="64" t="s" ph="1">
        <v>302</v>
      </c>
      <c r="AX79" s="64" t="s" ph="1">
        <v>400</v>
      </c>
    </row>
    <row r="80" spans="33:52" ph="1">
      <c r="AH80" s="64" ph="1">
        <v>3</v>
      </c>
      <c r="AI80" s="64" t="s" ph="1">
        <v>261</v>
      </c>
      <c r="AJ80" s="64" t="s" ph="1">
        <v>262</v>
      </c>
      <c r="AK80" s="64" t="s" ph="1">
        <v>263</v>
      </c>
      <c r="AM80" s="64" t="s" ph="1">
        <v>264</v>
      </c>
      <c r="AN80" s="64" t="s" ph="1">
        <v>254</v>
      </c>
      <c r="AO80" s="64" t="s" ph="1">
        <v>243</v>
      </c>
      <c r="AP80" s="64" t="s" ph="1">
        <v>265</v>
      </c>
      <c r="AQ80" s="64" t="s" ph="1">
        <v>228</v>
      </c>
      <c r="AR80" s="64" t="s" ph="1">
        <v>243</v>
      </c>
      <c r="AS80" s="64" t="s" ph="1">
        <v>266</v>
      </c>
      <c r="AT80" s="64" t="s" ph="1">
        <v>227</v>
      </c>
      <c r="AU80" s="64" t="s" ph="1">
        <v>243</v>
      </c>
      <c r="AV80" s="64" t="s" ph="1">
        <v>267</v>
      </c>
      <c r="AW80" s="64" t="s" ph="1">
        <v>243</v>
      </c>
      <c r="AY80" s="64" t="s" ph="1">
        <v>216</v>
      </c>
      <c r="AZ80" s="64" t="s" ph="1">
        <v>404</v>
      </c>
    </row>
    <row r="81" spans="34:52" ph="1">
      <c r="AJ81" s="64" t="s" ph="1">
        <v>268</v>
      </c>
      <c r="AK81" s="64" t="s" ph="1">
        <v>222</v>
      </c>
      <c r="AM81" s="64" t="s" ph="1">
        <v>269</v>
      </c>
      <c r="AN81" s="64" t="s" ph="1">
        <v>225</v>
      </c>
      <c r="AO81" s="64" t="s" ph="1">
        <v>243</v>
      </c>
      <c r="AP81" s="64" t="s" ph="1">
        <v>270</v>
      </c>
      <c r="AQ81" s="64" t="s" ph="1">
        <v>254</v>
      </c>
      <c r="AR81" s="64" t="s" ph="1">
        <v>243</v>
      </c>
      <c r="AS81" s="64" t="s" ph="1">
        <v>271</v>
      </c>
      <c r="AT81" s="64" t="s" ph="1">
        <v>272</v>
      </c>
      <c r="AU81" s="64" t="s" ph="1">
        <v>243</v>
      </c>
      <c r="AV81" s="64" t="s" ph="1">
        <v>273</v>
      </c>
    </row>
    <row r="82" spans="34:52" ph="1">
      <c r="AJ82" s="64" t="s" ph="1">
        <v>274</v>
      </c>
      <c r="AK82" s="64" t="s" ph="1">
        <v>222</v>
      </c>
      <c r="AM82" s="64" t="s" ph="1">
        <v>275</v>
      </c>
      <c r="AN82" s="64" t="s" ph="1">
        <v>272</v>
      </c>
      <c r="AO82" s="64" t="s" ph="1">
        <v>276</v>
      </c>
      <c r="AP82" s="64" t="s" ph="1">
        <v>277</v>
      </c>
      <c r="AQ82" s="64" t="s" ph="1">
        <v>254</v>
      </c>
      <c r="AR82" s="64" t="s" ph="1">
        <v>243</v>
      </c>
      <c r="AS82" s="64" t="s" ph="1">
        <v>278</v>
      </c>
      <c r="AT82" s="64" t="s" ph="1">
        <v>229</v>
      </c>
      <c r="AU82" s="64" t="s" ph="1">
        <v>243</v>
      </c>
      <c r="AV82" s="64" t="s" ph="1">
        <v>403</v>
      </c>
      <c r="AW82" s="64" t="s" ph="1">
        <v>303</v>
      </c>
      <c r="AX82" s="64" t="s" ph="1">
        <v>400</v>
      </c>
    </row>
    <row r="83" spans="34:52" ph="1">
      <c r="AJ83" s="64" t="s" ph="1">
        <v>279</v>
      </c>
      <c r="AK83" s="64" t="s" ph="1">
        <v>296</v>
      </c>
      <c r="AM83" s="64" t="s" ph="1">
        <v>280</v>
      </c>
      <c r="AN83" s="64" t="s" ph="1">
        <v>228</v>
      </c>
      <c r="AO83" s="64" t="s" ph="1">
        <v>259</v>
      </c>
      <c r="AP83" s="64" t="s" ph="1">
        <v>281</v>
      </c>
      <c r="AQ83" s="64" t="s" ph="1">
        <v>282</v>
      </c>
      <c r="AR83" s="64" t="s" ph="1">
        <v>259</v>
      </c>
      <c r="AS83" s="64" t="s" ph="1">
        <v>405</v>
      </c>
      <c r="AT83" s="64" t="s" ph="1">
        <v>254</v>
      </c>
      <c r="AU83" s="64" t="s" ph="1">
        <v>259</v>
      </c>
      <c r="AV83" s="64" t="s" ph="1">
        <v>406</v>
      </c>
      <c r="AW83" s="64" t="s" ph="1">
        <v>303</v>
      </c>
      <c r="AX83" s="64" t="s" ph="1">
        <v>407</v>
      </c>
    </row>
    <row r="84" spans="34:52" ph="1">
      <c r="AH84" s="64" ph="1">
        <v>4</v>
      </c>
      <c r="AI84" s="64" t="s" ph="1">
        <v>286</v>
      </c>
      <c r="AJ84" s="64" t="s" ph="1">
        <v>226</v>
      </c>
      <c r="AK84" s="64" t="s" ph="1">
        <v>229</v>
      </c>
      <c r="AM84" s="64" t="s" ph="1">
        <v>230</v>
      </c>
      <c r="AN84" s="64" t="s" ph="1">
        <v>223</v>
      </c>
      <c r="AO84" s="64" t="s" ph="1">
        <v>259</v>
      </c>
      <c r="AP84" s="64" t="s" ph="1">
        <v>288</v>
      </c>
      <c r="AQ84" s="64" t="s" ph="1">
        <v>222</v>
      </c>
      <c r="AR84" s="64" t="s" ph="1">
        <v>259</v>
      </c>
      <c r="AS84" s="64" t="s" ph="1">
        <v>288</v>
      </c>
      <c r="AT84" s="64" t="s" ph="1">
        <v>224</v>
      </c>
      <c r="AU84" s="64" t="s" ph="1">
        <v>259</v>
      </c>
      <c r="AY84" s="64" t="s" ph="1">
        <v>216</v>
      </c>
      <c r="AZ84" s="64" t="s" ph="1">
        <v>408</v>
      </c>
    </row>
    <row r="85" spans="34:52" ph="1">
      <c r="AJ85" s="64" t="s" ph="1">
        <v>218</v>
      </c>
      <c r="AK85" s="64" t="s" ph="1">
        <v>222</v>
      </c>
      <c r="AM85" s="64" t="s" ph="1">
        <v>409</v>
      </c>
      <c r="AN85" s="64" t="s" ph="1">
        <v>229</v>
      </c>
      <c r="AO85" s="64" t="s" ph="1">
        <v>259</v>
      </c>
      <c r="AP85" s="64" t="s" ph="1">
        <v>410</v>
      </c>
      <c r="AQ85" s="64" t="s" ph="1">
        <v>225</v>
      </c>
      <c r="AR85" s="64" t="s" ph="1">
        <v>259</v>
      </c>
      <c r="AS85" s="64" t="s" ph="1">
        <v>411</v>
      </c>
      <c r="AT85" s="64" t="s" ph="1">
        <v>225</v>
      </c>
      <c r="AU85" s="64" t="s" ph="1">
        <v>259</v>
      </c>
    </row>
    <row r="86" spans="34:52" ph="1">
      <c r="AJ86" s="64" t="s" ph="1">
        <v>412</v>
      </c>
      <c r="AK86" s="64" t="s" ph="1">
        <v>231</v>
      </c>
      <c r="AM86" s="64" t="s" ph="1">
        <v>413</v>
      </c>
      <c r="AN86" s="64" t="s" ph="1">
        <v>272</v>
      </c>
      <c r="AO86" s="64" t="s" ph="1">
        <v>259</v>
      </c>
      <c r="AP86" s="64" t="s" ph="1">
        <v>414</v>
      </c>
      <c r="AQ86" s="64" t="s" ph="1">
        <v>219</v>
      </c>
      <c r="AR86" s="64" t="s" ph="1">
        <v>259</v>
      </c>
      <c r="AS86" s="64" t="s" ph="1">
        <v>415</v>
      </c>
      <c r="AT86" s="64" t="s" ph="1">
        <v>237</v>
      </c>
      <c r="AU86" s="64" t="s" ph="1">
        <v>259</v>
      </c>
    </row>
    <row r="87" spans="34:52" ph="1">
      <c r="AJ87" s="64" t="s" ph="1">
        <v>416</v>
      </c>
      <c r="AK87" s="64" t="s" ph="1">
        <v>272</v>
      </c>
      <c r="AM87" s="64" t="s" ph="1">
        <v>403</v>
      </c>
      <c r="AN87" s="64" t="s" ph="1">
        <v>417</v>
      </c>
      <c r="AO87" s="64" t="s" ph="1">
        <v>400</v>
      </c>
    </row>
    <row r="88" spans="34:52" ph="1">
      <c r="AH88" s="64" ph="1">
        <v>5</v>
      </c>
      <c r="AI88" s="64" t="s" ph="1">
        <v>289</v>
      </c>
      <c r="AJ88" s="64" t="s" ph="1">
        <v>418</v>
      </c>
      <c r="AK88" s="64" t="s" ph="1">
        <v>272</v>
      </c>
      <c r="AM88" s="64" t="s" ph="1">
        <v>419</v>
      </c>
      <c r="AN88" s="64" t="s" ph="1">
        <v>272</v>
      </c>
      <c r="AO88" s="64" t="s" ph="1">
        <v>259</v>
      </c>
      <c r="AP88" s="64" t="s" ph="1">
        <v>420</v>
      </c>
      <c r="AQ88" s="64" t="s" ph="1">
        <v>222</v>
      </c>
      <c r="AR88" s="64" t="s" ph="1">
        <v>259</v>
      </c>
      <c r="AS88" s="64" t="s" ph="1">
        <v>421</v>
      </c>
      <c r="AT88" s="64" t="s" ph="1">
        <v>272</v>
      </c>
      <c r="AU88" s="64" t="s" ph="1">
        <v>259</v>
      </c>
      <c r="AV88" s="64" t="s" ph="1">
        <v>422</v>
      </c>
      <c r="AW88" s="64" t="s" ph="1">
        <v>227</v>
      </c>
      <c r="AX88" s="64" t="s" ph="1">
        <v>259</v>
      </c>
      <c r="AY88" s="64" t="s" ph="1">
        <v>216</v>
      </c>
      <c r="AZ88" s="64" t="s" ph="1">
        <v>423</v>
      </c>
    </row>
    <row r="89" spans="34:52" ph="1">
      <c r="AJ89" s="64" t="s" ph="1">
        <v>424</v>
      </c>
      <c r="AK89" s="64" t="s" ph="1">
        <v>225</v>
      </c>
      <c r="AM89" s="64" t="s" ph="1">
        <v>425</v>
      </c>
      <c r="AN89" s="64" t="s" ph="1">
        <v>228</v>
      </c>
      <c r="AO89" s="64" t="s" ph="1">
        <v>259</v>
      </c>
      <c r="AP89" s="64" t="s" ph="1">
        <v>426</v>
      </c>
      <c r="AQ89" s="64" t="s" ph="1">
        <v>237</v>
      </c>
      <c r="AR89" s="64" t="s" ph="1">
        <v>259</v>
      </c>
      <c r="AS89" s="64" t="s" ph="1">
        <v>427</v>
      </c>
      <c r="AT89" s="64" t="s" ph="1">
        <v>272</v>
      </c>
      <c r="AU89" s="64" t="s" ph="1">
        <v>259</v>
      </c>
      <c r="AV89" s="64" t="s" ph="1">
        <v>428</v>
      </c>
      <c r="AW89" s="64" t="s" ph="1">
        <v>254</v>
      </c>
      <c r="AX89" s="64" t="s" ph="1">
        <v>287</v>
      </c>
    </row>
    <row r="90" spans="34:52" ph="1">
      <c r="AJ90" s="64" t="s" ph="1">
        <v>429</v>
      </c>
      <c r="AK90" s="64" t="s" ph="1">
        <v>228</v>
      </c>
      <c r="AM90" s="64" t="s" ph="1">
        <v>430</v>
      </c>
      <c r="AN90" s="64" t="s" ph="1">
        <v>225</v>
      </c>
      <c r="AO90" s="64" t="s" ph="1">
        <v>259</v>
      </c>
      <c r="AP90" s="64" t="s" ph="1">
        <v>431</v>
      </c>
      <c r="AQ90" s="64" t="s" ph="1">
        <v>294</v>
      </c>
      <c r="AR90" s="64" t="s" ph="1">
        <v>259</v>
      </c>
      <c r="AS90" s="64" t="s" ph="1">
        <v>432</v>
      </c>
      <c r="AT90" s="64" t="s" ph="1">
        <v>282</v>
      </c>
      <c r="AU90" s="64" t="s" ph="1">
        <v>259</v>
      </c>
      <c r="AV90" s="64" t="s" ph="1">
        <v>433</v>
      </c>
      <c r="AW90" s="64" t="s" ph="1">
        <v>219</v>
      </c>
      <c r="AX90" s="64" t="s" ph="1">
        <v>259</v>
      </c>
    </row>
    <row r="91" spans="34:52" ph="1">
      <c r="AJ91" s="64" t="s" ph="1">
        <v>434</v>
      </c>
      <c r="AK91" s="64" t="s" ph="1">
        <v>272</v>
      </c>
      <c r="AM91" s="64" t="s" ph="1">
        <v>435</v>
      </c>
      <c r="AN91" s="64" t="s" ph="1">
        <v>239</v>
      </c>
      <c r="AO91" s="64" t="s" ph="1">
        <v>259</v>
      </c>
      <c r="AP91" s="64" t="s" ph="1">
        <v>436</v>
      </c>
      <c r="AQ91" s="64" t="s" ph="1">
        <v>219</v>
      </c>
      <c r="AS91" s="64" t="s" ph="1">
        <v>403</v>
      </c>
      <c r="AT91" s="64" t="s" ph="1">
        <v>399</v>
      </c>
      <c r="AU91" s="64" t="s" ph="1">
        <v>400</v>
      </c>
    </row>
    <row r="92" spans="34:52" ph="1">
      <c r="AH92" s="64" ph="1">
        <v>6</v>
      </c>
      <c r="AI92" s="64" t="s" ph="1">
        <v>437</v>
      </c>
      <c r="AJ92" s="64" t="s" ph="1">
        <v>438</v>
      </c>
      <c r="AK92" s="64" t="s" ph="1">
        <v>367</v>
      </c>
      <c r="AM92" s="64" t="s" ph="1">
        <v>439</v>
      </c>
      <c r="AN92" s="64" t="s" ph="1">
        <v>227</v>
      </c>
      <c r="AO92" s="64" t="s" ph="1">
        <v>259</v>
      </c>
      <c r="AP92" s="64" t="s" ph="1">
        <v>440</v>
      </c>
      <c r="AQ92" s="64" t="s" ph="1">
        <v>299</v>
      </c>
      <c r="AR92" s="64" t="s" ph="1">
        <v>259</v>
      </c>
      <c r="AS92" s="64" t="s" ph="1">
        <v>441</v>
      </c>
      <c r="AT92" s="64" t="s" ph="1">
        <v>272</v>
      </c>
      <c r="AU92" s="64" t="s" ph="1">
        <v>259</v>
      </c>
      <c r="AV92" s="64" t="s" ph="1">
        <v>442</v>
      </c>
      <c r="AW92" s="64" t="s" ph="1">
        <v>228</v>
      </c>
      <c r="AX92" s="64" t="s" ph="1">
        <v>259</v>
      </c>
      <c r="AY92" s="64" t="s" ph="1">
        <v>216</v>
      </c>
      <c r="AZ92" s="64" t="s" ph="1">
        <v>423</v>
      </c>
    </row>
    <row r="93" spans="34:52" ph="1">
      <c r="AJ93" s="64" t="s" ph="1">
        <v>443</v>
      </c>
      <c r="AK93" s="64" t="s" ph="1">
        <v>222</v>
      </c>
      <c r="AM93" s="64" t="s" ph="1">
        <v>444</v>
      </c>
      <c r="AN93" s="64" t="s" ph="1">
        <v>227</v>
      </c>
      <c r="AO93" s="64" t="s" ph="1">
        <v>259</v>
      </c>
      <c r="AP93" s="64" t="s" ph="1">
        <v>445</v>
      </c>
      <c r="AQ93" s="64" t="s" ph="1">
        <v>231</v>
      </c>
      <c r="AR93" s="64" t="s" ph="1">
        <v>259</v>
      </c>
      <c r="AS93" s="64" t="s" ph="1">
        <v>446</v>
      </c>
      <c r="AT93" s="64" t="s" ph="1">
        <v>237</v>
      </c>
      <c r="AU93" s="64" t="s" ph="1">
        <v>259</v>
      </c>
      <c r="AV93" s="64" t="s" ph="1">
        <v>447</v>
      </c>
      <c r="AW93" s="64" t="s" ph="1">
        <v>231</v>
      </c>
      <c r="AX93" s="64" t="s" ph="1">
        <v>259</v>
      </c>
    </row>
    <row r="94" spans="34:52" ph="1">
      <c r="AJ94" s="64" t="s" ph="1">
        <v>448</v>
      </c>
      <c r="AK94" s="64" t="s" ph="1">
        <v>294</v>
      </c>
      <c r="AM94" s="64" t="s" ph="1">
        <v>449</v>
      </c>
      <c r="AN94" s="64" t="s" ph="1">
        <v>231</v>
      </c>
      <c r="AO94" s="64" t="s" ph="1">
        <v>259</v>
      </c>
      <c r="AP94" s="64" t="s" ph="1">
        <v>450</v>
      </c>
      <c r="AQ94" s="64" t="s" ph="1">
        <v>239</v>
      </c>
      <c r="AR94" s="64" t="s" ph="1">
        <v>259</v>
      </c>
      <c r="AS94" s="64" t="s" ph="1">
        <v>451</v>
      </c>
      <c r="AT94" s="64" t="s" ph="1">
        <v>225</v>
      </c>
      <c r="AU94" s="64" t="s" ph="1">
        <v>259</v>
      </c>
      <c r="AV94" s="64" t="s" ph="1">
        <v>452</v>
      </c>
      <c r="AW94" s="64" t="s" ph="1">
        <v>225</v>
      </c>
      <c r="AX94" s="64" t="s" ph="1">
        <v>259</v>
      </c>
    </row>
    <row r="95" spans="34:52" ph="1">
      <c r="AJ95" s="64" t="s" ph="1">
        <v>453</v>
      </c>
      <c r="AK95" s="64" t="s" ph="1">
        <v>299</v>
      </c>
    </row>
    <row r="96" spans="34:52" ph="1">
      <c r="AH96" s="64" ph="1">
        <v>7</v>
      </c>
      <c r="AI96" s="64" t="s" ph="1">
        <v>454</v>
      </c>
      <c r="AJ96" s="64" t="s" ph="1">
        <v>453</v>
      </c>
      <c r="AK96" s="64" t="s" ph="1">
        <v>254</v>
      </c>
      <c r="AM96" s="64" t="s" ph="1">
        <v>455</v>
      </c>
      <c r="AN96" s="64" t="s" ph="1">
        <v>228</v>
      </c>
      <c r="AO96" s="64" t="s" ph="1">
        <v>259</v>
      </c>
      <c r="AP96" s="64" t="s" ph="1">
        <v>456</v>
      </c>
      <c r="AQ96" s="64" t="s" ph="1">
        <v>272</v>
      </c>
      <c r="AR96" s="64" t="s" ph="1">
        <v>287</v>
      </c>
      <c r="AS96" s="64" t="s" ph="1">
        <v>457</v>
      </c>
      <c r="AT96" s="64" t="s" ph="1">
        <v>231</v>
      </c>
      <c r="AU96" s="64" t="s" ph="1">
        <v>287</v>
      </c>
      <c r="AV96" s="64" t="s" ph="1">
        <v>458</v>
      </c>
      <c r="AW96" s="64" t="s" ph="1">
        <v>227</v>
      </c>
      <c r="AX96" s="64" t="s" ph="1">
        <v>287</v>
      </c>
      <c r="AY96" s="64" t="s" ph="1">
        <v>216</v>
      </c>
      <c r="AZ96" s="64" t="s" ph="1">
        <v>459</v>
      </c>
    </row>
    <row r="97" spans="33:52" ph="1">
      <c r="AJ97" s="64" t="s" ph="1">
        <v>460</v>
      </c>
      <c r="AK97" s="64" t="s" ph="1">
        <v>282</v>
      </c>
      <c r="AM97" s="64" t="s" ph="1">
        <v>461</v>
      </c>
      <c r="AN97" s="64" t="s" ph="1">
        <v>225</v>
      </c>
      <c r="AO97" s="64" t="s" ph="1">
        <v>259</v>
      </c>
      <c r="AP97" s="64" t="s" ph="1">
        <v>462</v>
      </c>
      <c r="AQ97" s="64" t="s" ph="1">
        <v>219</v>
      </c>
      <c r="AR97" s="64" t="s" ph="1">
        <v>287</v>
      </c>
      <c r="AS97" s="64" t="s" ph="1">
        <v>463</v>
      </c>
      <c r="AT97" s="64" t="s" ph="1">
        <v>222</v>
      </c>
      <c r="AU97" s="64" t="s" ph="1">
        <v>287</v>
      </c>
      <c r="AV97" s="64" t="s" ph="1">
        <v>464</v>
      </c>
      <c r="AW97" s="64" t="s" ph="1">
        <v>228</v>
      </c>
      <c r="AX97" s="64" t="s" ph="1">
        <v>287</v>
      </c>
    </row>
    <row r="98" spans="33:52" ph="1">
      <c r="AJ98" s="64" t="s" ph="1">
        <v>465</v>
      </c>
      <c r="AK98" s="64" t="s" ph="1">
        <v>231</v>
      </c>
      <c r="AM98" s="64" t="s" ph="1">
        <v>466</v>
      </c>
      <c r="AN98" s="64" t="s" ph="1">
        <v>239</v>
      </c>
      <c r="AO98" s="64" t="s" ph="1">
        <v>259</v>
      </c>
      <c r="AP98" s="64" t="s" ph="1">
        <v>467</v>
      </c>
      <c r="AQ98" s="64" t="s" ph="1">
        <v>219</v>
      </c>
      <c r="AR98" s="64" t="s" ph="1">
        <v>287</v>
      </c>
      <c r="AS98" s="64" t="s" ph="1">
        <v>468</v>
      </c>
      <c r="AT98" s="64" t="s" ph="1">
        <v>299</v>
      </c>
      <c r="AU98" s="64" t="s" ph="1">
        <v>287</v>
      </c>
      <c r="AV98" s="64" t="s" ph="1">
        <v>469</v>
      </c>
      <c r="AW98" s="64" t="s" ph="1">
        <v>222</v>
      </c>
      <c r="AX98" s="64" t="s" ph="1">
        <v>287</v>
      </c>
    </row>
    <row r="99" spans="33:52" ph="1">
      <c r="AH99" s="64" ph="1">
        <v>8</v>
      </c>
      <c r="AI99" s="64" t="s" ph="1">
        <v>470</v>
      </c>
      <c r="AJ99" s="64" t="s" ph="1">
        <v>471</v>
      </c>
      <c r="AK99" s="64" t="s" ph="1">
        <v>367</v>
      </c>
      <c r="AM99" s="64" t="s" ph="1">
        <v>472</v>
      </c>
      <c r="AN99" s="64" t="s" ph="1">
        <v>254</v>
      </c>
      <c r="AO99" s="64" t="s" ph="1">
        <v>259</v>
      </c>
      <c r="AP99" s="64" t="s" ph="1">
        <v>473</v>
      </c>
      <c r="AQ99" s="64" t="s" ph="1">
        <v>224</v>
      </c>
      <c r="AR99" s="64" t="s" ph="1">
        <v>287</v>
      </c>
      <c r="AS99" s="64" t="s" ph="1">
        <v>474</v>
      </c>
      <c r="AT99" s="64" t="s" ph="1">
        <v>239</v>
      </c>
      <c r="AU99" s="64" t="s" ph="1">
        <v>287</v>
      </c>
      <c r="AV99" s="64" t="s" ph="1">
        <v>475</v>
      </c>
      <c r="AW99" s="64" t="s" ph="1">
        <v>224</v>
      </c>
      <c r="AX99" s="64" t="s" ph="1">
        <v>287</v>
      </c>
      <c r="AY99" s="64" t="s" ph="1">
        <v>216</v>
      </c>
      <c r="AZ99" s="64" t="s" ph="1">
        <v>476</v>
      </c>
    </row>
    <row r="100" spans="33:52" ph="1">
      <c r="AJ100" s="64" t="s" ph="1">
        <v>477</v>
      </c>
      <c r="AK100" s="64" t="s" ph="1">
        <v>222</v>
      </c>
      <c r="AM100" s="64" t="s" ph="1">
        <v>478</v>
      </c>
      <c r="AN100" s="64" t="s" ph="1">
        <v>294</v>
      </c>
      <c r="AO100" s="64" t="s" ph="1">
        <v>259</v>
      </c>
      <c r="AP100" s="64" t="s" ph="1">
        <v>479</v>
      </c>
      <c r="AQ100" s="64" t="s" ph="1">
        <v>300</v>
      </c>
      <c r="AR100" s="64" t="s" ph="1">
        <v>287</v>
      </c>
      <c r="AS100" s="64" t="s" ph="1">
        <v>480</v>
      </c>
      <c r="AT100" s="64" t="s" ph="1">
        <v>367</v>
      </c>
      <c r="AU100" s="64" t="s" ph="1">
        <v>259</v>
      </c>
      <c r="AV100" s="64" t="s" ph="1">
        <v>481</v>
      </c>
      <c r="AW100" s="64" t="s" ph="1">
        <v>367</v>
      </c>
      <c r="AX100" s="64" t="s" ph="1">
        <v>259</v>
      </c>
    </row>
    <row r="101" spans="33:52" ph="1">
      <c r="AJ101" s="64" t="s" ph="1">
        <v>482</v>
      </c>
      <c r="AK101" s="64" t="s" ph="1">
        <v>367</v>
      </c>
      <c r="AM101" s="64" t="s" ph="1">
        <v>483</v>
      </c>
      <c r="AN101" s="64" t="s" ph="1">
        <v>225</v>
      </c>
      <c r="AO101" s="64" t="s" ph="1">
        <v>259</v>
      </c>
      <c r="AP101" s="64" t="s" ph="1">
        <v>484</v>
      </c>
      <c r="AQ101" s="64" t="s" ph="1">
        <v>237</v>
      </c>
      <c r="AR101" s="64" t="s" ph="1">
        <v>287</v>
      </c>
      <c r="AS101" s="64" t="s" ph="1">
        <v>485</v>
      </c>
      <c r="AT101" s="64" t="s" ph="1">
        <v>294</v>
      </c>
      <c r="AU101" s="64" t="s" ph="1">
        <v>287</v>
      </c>
      <c r="AV101" s="64" t="s" ph="1">
        <v>486</v>
      </c>
      <c r="AW101" s="64" t="s" ph="1">
        <v>225</v>
      </c>
      <c r="AX101" s="64" t="s" ph="1">
        <v>259</v>
      </c>
    </row>
    <row r="102" spans="33:52" ph="1">
      <c r="AJ102" s="64" t="s" ph="1">
        <v>487</v>
      </c>
      <c r="AK102" s="64" t="s" ph="1">
        <v>222</v>
      </c>
      <c r="AM102" s="64" t="s" ph="1">
        <v>488</v>
      </c>
      <c r="AN102" s="64" t="s" ph="1">
        <v>231</v>
      </c>
      <c r="AO102" s="64" t="s" ph="1">
        <v>259</v>
      </c>
      <c r="AP102" s="64" t="s" ph="1">
        <v>489</v>
      </c>
      <c r="AQ102" s="64" t="s" ph="1">
        <v>237</v>
      </c>
      <c r="AR102" s="64" t="s" ph="1">
        <v>259</v>
      </c>
      <c r="AS102" s="64" t="s" ph="1">
        <v>490</v>
      </c>
      <c r="AT102" s="64" t="s" ph="1">
        <v>254</v>
      </c>
      <c r="AU102" s="64" t="s" ph="1">
        <v>259</v>
      </c>
      <c r="AV102" s="64" t="s" ph="1">
        <v>491</v>
      </c>
      <c r="AW102" s="64" t="s" ph="1">
        <v>272</v>
      </c>
      <c r="AX102" s="64" t="s" ph="1">
        <v>259</v>
      </c>
    </row>
    <row r="103" spans="33:52" ph="1">
      <c r="AH103" s="64" ph="1">
        <v>9</v>
      </c>
      <c r="AI103" s="64" t="s" ph="1">
        <v>492</v>
      </c>
      <c r="AJ103" s="64" t="s" ph="1">
        <v>493</v>
      </c>
      <c r="AK103" s="64" t="s" ph="1">
        <v>367</v>
      </c>
      <c r="AM103" s="64" t="s" ph="1">
        <v>494</v>
      </c>
      <c r="AN103" s="64" t="s" ph="1">
        <v>282</v>
      </c>
      <c r="AO103" s="64" t="s" ph="1">
        <v>259</v>
      </c>
      <c r="AP103" s="64" t="s" ph="1">
        <v>336</v>
      </c>
      <c r="AQ103" s="64" t="s" ph="1">
        <v>225</v>
      </c>
      <c r="AR103" s="64" t="s" ph="1">
        <v>259</v>
      </c>
      <c r="AS103" s="64" t="s" ph="1">
        <v>570</v>
      </c>
      <c r="AT103" s="64" t="s" ph="1">
        <v>367</v>
      </c>
      <c r="AU103" s="64" t="s" ph="1">
        <v>259</v>
      </c>
      <c r="AY103" s="64" t="s" ph="1">
        <v>216</v>
      </c>
      <c r="AZ103" s="64" t="s" ph="1">
        <v>224</v>
      </c>
    </row>
    <row r="104" spans="33:52" ph="1">
      <c r="AZ104" s="64" t="s" ph="1">
        <v>495</v>
      </c>
    </row>
    <row r="105" spans="33:52" ph="1">
      <c r="AG105" s="64" t="s" ph="1">
        <v>295</v>
      </c>
      <c r="AI105" s="64" t="s" ph="1">
        <v>209</v>
      </c>
      <c r="AJ105" s="64" t="s" ph="1">
        <v>210</v>
      </c>
      <c r="AK105" s="64" t="s" ph="1">
        <v>211</v>
      </c>
      <c r="AM105" s="64" t="s" ph="1">
        <v>210</v>
      </c>
      <c r="AN105" s="64" t="s" ph="1">
        <v>211</v>
      </c>
      <c r="AO105" s="64" t="s" ph="1">
        <v>212</v>
      </c>
      <c r="AP105" s="64" t="s" ph="1">
        <v>210</v>
      </c>
      <c r="AQ105" s="64" t="s" ph="1">
        <v>211</v>
      </c>
      <c r="AR105" s="64" t="s" ph="1">
        <v>212</v>
      </c>
      <c r="AS105" s="64" t="s" ph="1">
        <v>210</v>
      </c>
      <c r="AT105" s="64" t="s" ph="1">
        <v>211</v>
      </c>
      <c r="AU105" s="64" t="s" ph="1">
        <v>212</v>
      </c>
      <c r="AV105" s="64" t="s" ph="1">
        <v>210</v>
      </c>
      <c r="AW105" s="64" t="s" ph="1">
        <v>211</v>
      </c>
      <c r="AX105" s="64" t="s" ph="1">
        <v>212</v>
      </c>
      <c r="AZ105" s="64" t="s" ph="1">
        <v>213</v>
      </c>
    </row>
    <row r="106" spans="33:52" ph="1">
      <c r="AH106" s="64" ph="1">
        <v>1</v>
      </c>
      <c r="AI106" s="64" t="s" ph="1">
        <v>496</v>
      </c>
      <c r="AJ106" s="64" t="s" ph="1">
        <v>570</v>
      </c>
      <c r="AK106" s="64" t="s" ph="1">
        <v>231</v>
      </c>
      <c r="AZ106" s="64" t="s" ph="1">
        <v>231</v>
      </c>
    </row>
    <row r="107" spans="33:52" ph="1">
      <c r="AH107" s="64" ph="1">
        <v>2</v>
      </c>
      <c r="AI107" s="64" t="s" ph="1">
        <v>497</v>
      </c>
      <c r="AJ107" s="64" t="s" ph="1">
        <v>498</v>
      </c>
      <c r="AK107" s="64" t="s" ph="1">
        <v>228</v>
      </c>
      <c r="AM107" s="64" t="s" ph="1">
        <v>334</v>
      </c>
      <c r="AN107" s="64" t="s" ph="1">
        <v>499</v>
      </c>
      <c r="AO107" s="64" t="s" ph="1">
        <v>500</v>
      </c>
      <c r="AP107" s="64" t="s" ph="1">
        <v>336</v>
      </c>
      <c r="AQ107" s="64" t="s" ph="1">
        <v>304</v>
      </c>
      <c r="AR107" s="64" t="s" ph="1">
        <v>500</v>
      </c>
      <c r="AS107" s="64" t="s" ph="1">
        <v>570</v>
      </c>
      <c r="AT107" s="64" t="s" ph="1">
        <v>499</v>
      </c>
      <c r="AU107" s="64" t="s" ph="1">
        <v>500</v>
      </c>
      <c r="AY107" s="64" t="s" ph="1">
        <v>216</v>
      </c>
      <c r="AZ107" s="64" t="s" ph="1">
        <v>580</v>
      </c>
    </row>
    <row r="108" spans="33:52" ph="1">
      <c r="AH108" s="64" ph="1">
        <v>3</v>
      </c>
      <c r="AI108" s="64" t="s" ph="1">
        <v>501</v>
      </c>
      <c r="AY108" s="64" t="s" ph="1">
        <v>216</v>
      </c>
      <c r="AZ108" s="64" t="s" ph="1">
        <v>367</v>
      </c>
    </row>
    <row r="109" spans="33:52" ph="1">
      <c r="AH109" s="64" ph="1">
        <v>4</v>
      </c>
      <c r="AI109" s="64" t="s" ph="1">
        <v>502</v>
      </c>
      <c r="AY109" s="64" t="s" ph="1">
        <v>216</v>
      </c>
      <c r="AZ109" s="64" t="s" ph="1">
        <v>367</v>
      </c>
    </row>
    <row r="110" spans="33:52" ph="1">
      <c r="AH110" s="64" ph="1">
        <v>5</v>
      </c>
      <c r="AI110" s="64" t="s" ph="1">
        <v>503</v>
      </c>
      <c r="AY110" s="64" t="s" ph="1">
        <v>216</v>
      </c>
      <c r="AZ110" s="64" t="s" ph="1">
        <v>367</v>
      </c>
    </row>
    <row r="111" spans="33:52" ph="1">
      <c r="AH111" s="64" ph="1">
        <v>6</v>
      </c>
      <c r="AI111" s="64" t="s" ph="1">
        <v>581</v>
      </c>
      <c r="AJ111" s="64" t="s" ph="1">
        <v>486</v>
      </c>
      <c r="AK111" s="64" t="s" ph="1">
        <v>225</v>
      </c>
      <c r="AM111" s="64" t="s" ph="1">
        <v>487</v>
      </c>
      <c r="AN111" s="64" t="s" ph="1">
        <v>219</v>
      </c>
      <c r="AO111" s="64" t="s" ph="1">
        <v>500</v>
      </c>
      <c r="AP111" s="64" t="s" ph="1">
        <v>488</v>
      </c>
      <c r="AQ111" s="64" t="s" ph="1">
        <v>228</v>
      </c>
      <c r="AR111" s="64" t="s" ph="1">
        <v>500</v>
      </c>
      <c r="AS111" s="64" t="s" ph="1">
        <v>489</v>
      </c>
      <c r="AT111" s="64" t="s" ph="1">
        <v>237</v>
      </c>
      <c r="AU111" s="64" t="s" ph="1">
        <v>500</v>
      </c>
      <c r="AV111" s="64" t="s" ph="1">
        <v>490</v>
      </c>
      <c r="AW111" s="64" t="s" ph="1">
        <v>227</v>
      </c>
      <c r="AX111" s="64" t="s" ph="1">
        <v>500</v>
      </c>
      <c r="AY111" s="64" t="s" ph="1">
        <v>216</v>
      </c>
      <c r="AZ111" s="64" t="s" ph="1">
        <v>504</v>
      </c>
    </row>
    <row r="112" spans="33:52" ph="1">
      <c r="AJ112" s="64" t="s" ph="1">
        <v>491</v>
      </c>
      <c r="AK112" s="64" t="s" ph="1">
        <v>272</v>
      </c>
      <c r="AM112" s="64" t="s" ph="1">
        <v>493</v>
      </c>
      <c r="AN112" s="64" t="s" ph="1">
        <v>296</v>
      </c>
      <c r="AO112" s="64" t="s" ph="1">
        <v>500</v>
      </c>
      <c r="AP112" s="64" t="s" ph="1">
        <v>494</v>
      </c>
      <c r="AQ112" s="64" t="s" ph="1">
        <v>505</v>
      </c>
      <c r="AR112" s="64" t="s" ph="1">
        <v>500</v>
      </c>
      <c r="AS112" s="64" t="s" ph="1">
        <v>506</v>
      </c>
      <c r="AT112" s="64" t="s" ph="1">
        <v>248</v>
      </c>
      <c r="AU112" s="64" t="s" ph="1">
        <v>500</v>
      </c>
      <c r="AV112" s="64" t="s" ph="1">
        <v>507</v>
      </c>
      <c r="AW112" s="64" t="s" ph="1">
        <v>294</v>
      </c>
      <c r="AX112" s="64" t="s" ph="1">
        <v>500</v>
      </c>
    </row>
    <row r="113" spans="33:52" ph="1">
      <c r="AH113" s="64" ph="1">
        <v>7</v>
      </c>
      <c r="AI113" s="64" t="s" ph="1">
        <v>508</v>
      </c>
      <c r="AJ113" s="64" t="s" ph="1">
        <v>589</v>
      </c>
      <c r="AK113" s="64" t="s" ph="1">
        <v>594</v>
      </c>
      <c r="AY113" s="64" t="s" ph="1">
        <v>216</v>
      </c>
      <c r="AZ113" s="64" t="s" ph="1">
        <v>594</v>
      </c>
    </row>
    <row r="114" spans="33:52" ph="1">
      <c r="AH114" s="64" ph="1">
        <v>8</v>
      </c>
      <c r="AI114" s="64" t="s" ph="1">
        <v>509</v>
      </c>
      <c r="AJ114" s="64" t="s" ph="1">
        <v>589</v>
      </c>
      <c r="AK114" s="64" t="s" ph="1">
        <v>595</v>
      </c>
      <c r="AY114" s="64" t="s" ph="1">
        <v>216</v>
      </c>
      <c r="AZ114" s="64" t="s" ph="1">
        <v>595</v>
      </c>
    </row>
    <row r="115" spans="33:52" ph="1">
      <c r="AH115" s="64" ph="1">
        <v>9</v>
      </c>
      <c r="AI115" s="64" t="s" ph="1">
        <v>510</v>
      </c>
      <c r="AJ115" s="64" t="s" ph="1">
        <v>589</v>
      </c>
      <c r="AK115" s="64" t="s" ph="1">
        <v>595</v>
      </c>
      <c r="AY115" s="64" t="s" ph="1">
        <v>216</v>
      </c>
      <c r="AZ115" s="64" t="s" ph="1">
        <v>595</v>
      </c>
    </row>
    <row r="116" spans="33:52" ph="1">
      <c r="AH116" s="64" ph="1">
        <v>10</v>
      </c>
      <c r="AI116" s="64" t="s" ph="1">
        <v>511</v>
      </c>
      <c r="AJ116" s="64" t="s" ph="1">
        <v>589</v>
      </c>
      <c r="AK116" s="64" t="s" ph="1">
        <v>595</v>
      </c>
      <c r="AY116" s="64" t="s" ph="1">
        <v>216</v>
      </c>
      <c r="AZ116" s="64" t="s" ph="1">
        <v>595</v>
      </c>
    </row>
    <row r="117" spans="33:52" ph="1">
      <c r="AH117" s="64" ph="1">
        <v>11</v>
      </c>
      <c r="AI117" s="64" t="s" ph="1">
        <v>512</v>
      </c>
      <c r="AJ117" s="64" t="s" ph="1">
        <v>589</v>
      </c>
      <c r="AK117" s="64" t="s" ph="1">
        <v>595</v>
      </c>
      <c r="AY117" s="64" t="s" ph="1">
        <v>216</v>
      </c>
      <c r="AZ117" s="64" t="s" ph="1">
        <v>595</v>
      </c>
    </row>
    <row r="118" spans="33:52" ph="1">
      <c r="AZ118" s="64" t="s" ph="1">
        <v>596</v>
      </c>
    </row>
    <row r="119" spans="33:52" ph="1">
      <c r="AI119" s="64" t="s" ph="1">
        <v>209</v>
      </c>
      <c r="AJ119" s="64" t="s" ph="1">
        <v>210</v>
      </c>
      <c r="AK119" s="64" t="s" ph="1">
        <v>211</v>
      </c>
      <c r="AM119" s="64" t="s" ph="1">
        <v>210</v>
      </c>
      <c r="AN119" s="64" t="s" ph="1">
        <v>211</v>
      </c>
      <c r="AO119" s="64" t="s" ph="1">
        <v>212</v>
      </c>
      <c r="AP119" s="64" t="s" ph="1">
        <v>210</v>
      </c>
      <c r="AQ119" s="64" t="s" ph="1">
        <v>211</v>
      </c>
      <c r="AR119" s="64" t="s" ph="1">
        <v>212</v>
      </c>
      <c r="AS119" s="64" t="s" ph="1">
        <v>210</v>
      </c>
      <c r="AT119" s="64" t="s" ph="1">
        <v>211</v>
      </c>
      <c r="AU119" s="64" t="s" ph="1">
        <v>212</v>
      </c>
      <c r="AV119" s="64" t="s" ph="1">
        <v>210</v>
      </c>
      <c r="AW119" s="64" t="s" ph="1">
        <v>211</v>
      </c>
      <c r="AX119" s="64" t="s" ph="1">
        <v>212</v>
      </c>
      <c r="AY119" s="64" t="s" ph="1">
        <v>211</v>
      </c>
      <c r="AZ119" s="64" t="s" ph="1">
        <v>213</v>
      </c>
    </row>
    <row r="120" spans="33:52" ph="1">
      <c r="AG120" s="64" t="s" ph="1">
        <v>353</v>
      </c>
      <c r="AH120" s="64" ph="1">
        <v>1</v>
      </c>
      <c r="AI120" s="64" t="s" ph="1">
        <v>513</v>
      </c>
      <c r="AJ120" s="64" t="s" ph="1">
        <v>587</v>
      </c>
      <c r="AK120" s="64" t="s" ph="1">
        <v>367</v>
      </c>
      <c r="AY120" s="64" t="s" ph="1">
        <v>216</v>
      </c>
      <c r="AZ120" s="64" t="s" ph="1">
        <v>367</v>
      </c>
    </row>
    <row r="121" spans="33:52" ph="1">
      <c r="AH121" s="64" ph="1">
        <v>2</v>
      </c>
      <c r="AI121" s="64" t="s" ph="1">
        <v>514</v>
      </c>
      <c r="AY121" s="64" t="s" ph="1">
        <v>216</v>
      </c>
      <c r="AZ121" s="64" t="s" ph="1">
        <v>367</v>
      </c>
    </row>
    <row r="122" spans="33:52" ph="1">
      <c r="AH122" s="64" ph="1">
        <v>3</v>
      </c>
      <c r="AI122" s="64" t="s" ph="1">
        <v>515</v>
      </c>
      <c r="AJ122" s="64" t="s" ph="1">
        <v>570</v>
      </c>
      <c r="AK122" s="64" t="s" ph="1">
        <v>582</v>
      </c>
      <c r="AM122" s="64" t="s" ph="1">
        <v>597</v>
      </c>
      <c r="AN122" s="64" t="s" ph="1">
        <v>590</v>
      </c>
      <c r="AO122" s="64" t="s" ph="1">
        <v>91</v>
      </c>
      <c r="AY122" s="64" t="s" ph="1">
        <v>216</v>
      </c>
      <c r="AZ122" s="64" t="s" ph="1">
        <v>579</v>
      </c>
    </row>
    <row r="123" spans="33:52" ph="1">
      <c r="AY123" s="64" t="s" ph="1">
        <v>216</v>
      </c>
      <c r="AZ123" s="64" t="s" ph="1">
        <v>579</v>
      </c>
    </row>
    <row r="124" spans="33:52" ph="1">
      <c r="AG124" s="64" t="s" ph="1">
        <v>356</v>
      </c>
      <c r="AH124" s="64" ph="1">
        <v>4</v>
      </c>
      <c r="AI124" s="64" t="s" ph="1">
        <v>516</v>
      </c>
      <c r="AJ124" s="64" t="s" ph="1">
        <v>517</v>
      </c>
      <c r="AK124" s="64" t="s" ph="1">
        <v>518</v>
      </c>
      <c r="AY124" s="64" t="s" ph="1">
        <v>216</v>
      </c>
      <c r="AZ124" s="64" t="s" ph="1">
        <v>518</v>
      </c>
    </row>
    <row r="125" spans="33:52" ph="1">
      <c r="AH125" s="64" ph="1">
        <v>5</v>
      </c>
      <c r="AI125" s="64" t="s" ph="1">
        <v>519</v>
      </c>
      <c r="AJ125" s="64" t="s" ph="1">
        <v>517</v>
      </c>
      <c r="AK125" s="64" t="s" ph="1">
        <v>518</v>
      </c>
      <c r="AY125" s="64" t="s" ph="1">
        <v>216</v>
      </c>
      <c r="AZ125" s="64" t="s" ph="1">
        <v>518</v>
      </c>
    </row>
    <row r="126" spans="33:52" ph="1">
      <c r="AH126" s="64" ph="1">
        <v>6</v>
      </c>
      <c r="AI126" s="64" t="s" ph="1">
        <v>520</v>
      </c>
      <c r="AJ126" s="64" t="s" ph="1">
        <v>589</v>
      </c>
      <c r="AK126" s="64" t="s" ph="1">
        <v>598</v>
      </c>
      <c r="AY126" s="64" t="s" ph="1">
        <v>216</v>
      </c>
      <c r="AZ126" s="64" t="s" ph="1">
        <v>598</v>
      </c>
    </row>
    <row r="127" spans="33:52" ph="1">
      <c r="AH127" s="64" ph="1">
        <v>7</v>
      </c>
      <c r="AI127" s="64" t="s" ph="1">
        <v>521</v>
      </c>
      <c r="AJ127" s="64" t="s" ph="1">
        <v>589</v>
      </c>
      <c r="AK127" s="64" t="s" ph="1">
        <v>599</v>
      </c>
      <c r="AY127" s="64" t="s" ph="1">
        <v>216</v>
      </c>
      <c r="AZ127" s="64" t="s" ph="1">
        <v>599</v>
      </c>
    </row>
    <row r="128" spans="33:52" ph="1">
      <c r="AH128" s="64" ph="1">
        <v>8</v>
      </c>
      <c r="AI128" s="64" t="s" ph="1">
        <v>522</v>
      </c>
      <c r="AY128" s="64" t="s" ph="1">
        <v>216</v>
      </c>
      <c r="AZ128" s="64" t="s" ph="1">
        <v>367</v>
      </c>
    </row>
    <row r="129" spans="33:52" ph="1">
      <c r="AH129" s="64" ph="1">
        <v>9</v>
      </c>
      <c r="AI129" s="64" t="s" ph="1">
        <v>523</v>
      </c>
      <c r="AY129" s="64" t="s" ph="1">
        <v>216</v>
      </c>
      <c r="AZ129" s="64" t="s" ph="1">
        <v>367</v>
      </c>
    </row>
    <row r="130" spans="33:52" ph="1">
      <c r="AH130" s="64" ph="1">
        <v>10</v>
      </c>
      <c r="AI130" s="64" t="s" ph="1">
        <v>524</v>
      </c>
      <c r="AY130" s="64" t="s" ph="1">
        <v>216</v>
      </c>
      <c r="AZ130" s="64" t="s" ph="1">
        <v>367</v>
      </c>
    </row>
    <row r="131" spans="33:52" ph="1">
      <c r="AH131" s="64" ph="1">
        <v>11</v>
      </c>
      <c r="AI131" s="64" t="s" ph="1">
        <v>525</v>
      </c>
      <c r="AJ131" s="64" t="s" ph="1">
        <v>583</v>
      </c>
      <c r="AK131" s="64" t="s" ph="1">
        <v>579</v>
      </c>
      <c r="AY131" s="64" t="s" ph="1">
        <v>216</v>
      </c>
      <c r="AZ131" s="64" t="s" ph="1">
        <v>579</v>
      </c>
    </row>
    <row r="132" spans="33:52" ph="1">
      <c r="AH132" s="64" ph="1">
        <v>12</v>
      </c>
      <c r="AI132" s="64" t="s" ph="1">
        <v>526</v>
      </c>
      <c r="AJ132" s="64" t="s" ph="1">
        <v>583</v>
      </c>
      <c r="AK132" s="64" t="s" ph="1">
        <v>518</v>
      </c>
      <c r="AY132" s="64" t="s" ph="1">
        <v>216</v>
      </c>
      <c r="AZ132" s="64" t="s" ph="1">
        <v>518</v>
      </c>
    </row>
    <row r="133" spans="33:52" ph="1">
      <c r="AH133" s="64" ph="1">
        <v>13</v>
      </c>
      <c r="AI133" s="64" t="s" ph="1">
        <v>527</v>
      </c>
      <c r="AJ133" s="64" t="s" ph="1">
        <v>583</v>
      </c>
      <c r="AK133" s="64" t="s" ph="1">
        <v>584</v>
      </c>
      <c r="AY133" s="64" t="s" ph="1">
        <v>216</v>
      </c>
      <c r="AZ133" s="64" t="s" ph="1">
        <v>584</v>
      </c>
    </row>
    <row r="134" spans="33:52" ph="1">
      <c r="AH134" s="64" ph="1">
        <v>14</v>
      </c>
      <c r="AI134" s="64" t="s" ph="1">
        <v>528</v>
      </c>
      <c r="AJ134" s="64" t="s" ph="1">
        <v>583</v>
      </c>
      <c r="AK134" s="64" t="s" ph="1">
        <v>585</v>
      </c>
      <c r="AY134" s="64" t="s" ph="1">
        <v>216</v>
      </c>
      <c r="AZ134" s="64" t="s" ph="1">
        <v>585</v>
      </c>
    </row>
    <row r="135" spans="33:52" ph="1">
      <c r="AH135" s="64" ph="1">
        <v>15</v>
      </c>
      <c r="AI135" s="64" t="s" ph="1">
        <v>529</v>
      </c>
      <c r="AJ135" s="64" t="s" ph="1">
        <v>583</v>
      </c>
      <c r="AK135" s="64" t="s" ph="1">
        <v>586</v>
      </c>
      <c r="AY135" s="64" t="s" ph="1">
        <v>216</v>
      </c>
      <c r="AZ135" s="64" t="s" ph="1">
        <v>586</v>
      </c>
    </row>
    <row r="136" spans="33:52" ph="1">
      <c r="AZ136" s="64" t="s" ph="1">
        <v>600</v>
      </c>
    </row>
    <row r="137" spans="33:52" ph="1">
      <c r="AG137" s="64" t="s" ph="1">
        <v>290</v>
      </c>
      <c r="AI137" s="64" t="s" ph="1">
        <v>209</v>
      </c>
      <c r="AJ137" s="64" t="s" ph="1">
        <v>210</v>
      </c>
      <c r="AK137" s="64" t="s" ph="1">
        <v>211</v>
      </c>
      <c r="AM137" s="64" t="s" ph="1">
        <v>210</v>
      </c>
      <c r="AN137" s="64" t="s" ph="1">
        <v>211</v>
      </c>
      <c r="AO137" s="64" t="s" ph="1">
        <v>212</v>
      </c>
      <c r="AP137" s="64" t="s" ph="1">
        <v>210</v>
      </c>
      <c r="AQ137" s="64" t="s" ph="1">
        <v>211</v>
      </c>
      <c r="AR137" s="64" t="s" ph="1">
        <v>212</v>
      </c>
      <c r="AS137" s="64" t="s" ph="1">
        <v>210</v>
      </c>
      <c r="AT137" s="64" t="s" ph="1">
        <v>211</v>
      </c>
      <c r="AU137" s="64" t="s" ph="1">
        <v>212</v>
      </c>
      <c r="AV137" s="64" t="s" ph="1">
        <v>210</v>
      </c>
      <c r="AW137" s="64" t="s" ph="1">
        <v>211</v>
      </c>
      <c r="AX137" s="64" t="s" ph="1">
        <v>212</v>
      </c>
      <c r="AY137" s="64" t="s" ph="1">
        <v>211</v>
      </c>
      <c r="AZ137" s="64" t="s" ph="1">
        <v>213</v>
      </c>
    </row>
    <row r="138" spans="33:52" ph="1">
      <c r="AH138" s="64" ph="1">
        <v>1</v>
      </c>
      <c r="AI138" s="64" t="s" ph="1">
        <v>530</v>
      </c>
      <c r="AJ138" s="64" t="s" ph="1">
        <v>531</v>
      </c>
      <c r="AK138" s="64" t="s" ph="1">
        <v>532</v>
      </c>
      <c r="AY138" s="64" t="s" ph="1">
        <v>216</v>
      </c>
      <c r="AZ138" s="64" t="s" ph="1">
        <v>532</v>
      </c>
    </row>
    <row r="139" spans="33:52" ph="1">
      <c r="AH139" s="64" ph="1">
        <v>2</v>
      </c>
      <c r="AI139" s="64" t="s" ph="1">
        <v>533</v>
      </c>
      <c r="AJ139" s="64" t="s" ph="1">
        <v>589</v>
      </c>
      <c r="AK139" s="64" t="s" ph="1">
        <v>601</v>
      </c>
      <c r="AY139" s="64" t="s" ph="1">
        <v>216</v>
      </c>
      <c r="AZ139" s="64" t="s" ph="1">
        <v>601</v>
      </c>
    </row>
    <row r="140" spans="33:52" ph="1">
      <c r="AH140" s="64" ph="1">
        <v>3</v>
      </c>
      <c r="AI140" s="64" t="s" ph="1">
        <v>534</v>
      </c>
      <c r="AJ140" s="64" t="s" ph="1">
        <v>487</v>
      </c>
      <c r="AK140" s="64" t="s" ph="1">
        <v>299</v>
      </c>
      <c r="AM140" s="64" t="s" ph="1">
        <v>488</v>
      </c>
      <c r="AN140" s="64" t="s" ph="1">
        <v>219</v>
      </c>
      <c r="AO140" s="64" t="s" ph="1">
        <v>535</v>
      </c>
      <c r="AP140" s="64" t="s" ph="1">
        <v>489</v>
      </c>
      <c r="AQ140" s="64" t="s" ph="1">
        <v>236</v>
      </c>
      <c r="AR140" s="64" t="s" ph="1">
        <v>535</v>
      </c>
      <c r="AS140" s="64" t="s" ph="1">
        <v>490</v>
      </c>
      <c r="AT140" s="64" t="s" ph="1">
        <v>229</v>
      </c>
      <c r="AU140" s="64" t="s" ph="1">
        <v>535</v>
      </c>
      <c r="AV140" s="64" t="s" ph="1">
        <v>491</v>
      </c>
      <c r="AW140" s="64" t="s" ph="1">
        <v>222</v>
      </c>
      <c r="AX140" s="64" t="s" ph="1">
        <v>535</v>
      </c>
      <c r="AY140" s="64" t="s" ph="1">
        <v>216</v>
      </c>
      <c r="AZ140" s="64" t="s" ph="1">
        <v>291</v>
      </c>
    </row>
    <row r="141" spans="33:52" ph="1">
      <c r="AJ141" s="64" t="s" ph="1">
        <v>493</v>
      </c>
      <c r="AK141" s="64" t="s" ph="1">
        <v>222</v>
      </c>
      <c r="AM141" s="64" t="s" ph="1">
        <v>494</v>
      </c>
      <c r="AN141" s="64" t="s" ph="1">
        <v>225</v>
      </c>
      <c r="AO141" s="64" t="s" ph="1">
        <v>535</v>
      </c>
      <c r="AP141" s="64" t="s" ph="1">
        <v>506</v>
      </c>
      <c r="AQ141" s="64" t="s" ph="1">
        <v>294</v>
      </c>
      <c r="AR141" s="64" t="s" ph="1">
        <v>535</v>
      </c>
      <c r="AS141" s="64" t="s" ph="1">
        <v>498</v>
      </c>
      <c r="AT141" s="64" t="s" ph="1">
        <v>222</v>
      </c>
      <c r="AU141" s="64" t="s" ph="1">
        <v>535</v>
      </c>
      <c r="AV141" s="64" t="s" ph="1">
        <v>334</v>
      </c>
      <c r="AW141" s="64" t="s" ph="1">
        <v>228</v>
      </c>
      <c r="AX141" s="64" t="s" ph="1">
        <v>535</v>
      </c>
    </row>
    <row r="142" spans="33:52" ph="1">
      <c r="AJ142" s="64" t="s" ph="1">
        <v>536</v>
      </c>
      <c r="AK142" s="64" t="s" ph="1">
        <v>239</v>
      </c>
    </row>
    <row r="143" spans="33:52" ph="1">
      <c r="AH143" s="64" ph="1">
        <v>4</v>
      </c>
      <c r="AI143" s="64" t="s" ph="1">
        <v>537</v>
      </c>
      <c r="AJ143" s="64" t="s" ph="1">
        <v>517</v>
      </c>
      <c r="AK143" s="64" t="s" ph="1">
        <v>538</v>
      </c>
      <c r="AY143" s="64" t="s" ph="1">
        <v>216</v>
      </c>
      <c r="AZ143" s="64" t="s" ph="1">
        <v>538</v>
      </c>
    </row>
    <row r="144" spans="33:52" ph="1">
      <c r="AH144" s="64" ph="1">
        <v>5</v>
      </c>
      <c r="AI144" s="64" t="s" ph="1">
        <v>539</v>
      </c>
      <c r="AY144" s="64" t="s" ph="1">
        <v>216</v>
      </c>
      <c r="AZ144" s="64" t="s" ph="1">
        <v>367</v>
      </c>
    </row>
    <row r="145" spans="33:52" ph="1">
      <c r="AH145" s="64" ph="1">
        <v>6</v>
      </c>
      <c r="AI145" s="64" t="s" ph="1">
        <v>540</v>
      </c>
      <c r="AY145" s="64" t="s" ph="1">
        <v>216</v>
      </c>
      <c r="AZ145" s="64" t="s" ph="1">
        <v>367</v>
      </c>
    </row>
    <row r="146" spans="33:52" ph="1">
      <c r="AH146" s="64" ph="1">
        <v>7</v>
      </c>
      <c r="AI146" s="64" t="s" ph="1">
        <v>541</v>
      </c>
      <c r="AY146" s="64" t="s" ph="1">
        <v>216</v>
      </c>
      <c r="AZ146" s="64" t="s" ph="1">
        <v>367</v>
      </c>
    </row>
    <row r="147" spans="33:52" ph="1">
      <c r="AH147" s="64" ph="1">
        <v>8</v>
      </c>
      <c r="AI147" s="64" t="s" ph="1">
        <v>542</v>
      </c>
      <c r="AY147" s="64" t="s" ph="1">
        <v>216</v>
      </c>
      <c r="AZ147" s="64" t="s" ph="1">
        <v>367</v>
      </c>
    </row>
    <row r="148" spans="33:52" ph="1">
      <c r="AH148" s="64" ph="1">
        <v>9</v>
      </c>
      <c r="AI148" s="64" t="s" ph="1">
        <v>543</v>
      </c>
      <c r="AY148" s="64" t="s" ph="1">
        <v>216</v>
      </c>
      <c r="AZ148" s="64" t="s" ph="1">
        <v>367</v>
      </c>
    </row>
    <row r="149" spans="33:52" ph="1">
      <c r="AH149" s="64" ph="1">
        <v>10</v>
      </c>
      <c r="AI149" s="64" t="s" ph="1">
        <v>544</v>
      </c>
      <c r="AY149" s="64" t="s" ph="1">
        <v>216</v>
      </c>
      <c r="AZ149" s="64" t="s" ph="1">
        <v>367</v>
      </c>
    </row>
    <row r="150" spans="33:52" ph="1">
      <c r="AH150" s="64" ph="1">
        <v>11</v>
      </c>
      <c r="AI150" s="64" t="s" ph="1">
        <v>545</v>
      </c>
      <c r="AY150" s="64" t="s" ph="1">
        <v>216</v>
      </c>
      <c r="AZ150" s="64" t="s" ph="1">
        <v>367</v>
      </c>
    </row>
    <row r="151" spans="33:52" ph="1">
      <c r="AH151" s="64" ph="1">
        <v>12</v>
      </c>
      <c r="AI151" s="64" t="s" ph="1">
        <v>546</v>
      </c>
      <c r="AY151" s="64" t="s" ph="1">
        <v>216</v>
      </c>
      <c r="AZ151" s="64" t="s" ph="1">
        <v>367</v>
      </c>
    </row>
    <row r="152" spans="33:52" ph="1">
      <c r="AH152" s="64" ph="1">
        <v>13</v>
      </c>
      <c r="AI152" s="64" t="s" ph="1">
        <v>547</v>
      </c>
      <c r="AY152" s="64" t="s" ph="1">
        <v>216</v>
      </c>
      <c r="AZ152" s="64" t="s" ph="1">
        <v>367</v>
      </c>
    </row>
    <row r="153" spans="33:52" ph="1">
      <c r="AH153" s="64" ph="1">
        <v>14</v>
      </c>
      <c r="AI153" s="64" t="s" ph="1">
        <v>548</v>
      </c>
      <c r="AY153" s="64" t="s" ph="1">
        <v>216</v>
      </c>
      <c r="AZ153" s="64" t="s" ph="1">
        <v>367</v>
      </c>
    </row>
    <row r="154" spans="33:52" ph="1">
      <c r="AH154" s="64" ph="1">
        <v>15</v>
      </c>
      <c r="AI154" s="64" t="s" ph="1">
        <v>549</v>
      </c>
      <c r="AY154" s="64" t="s" ph="1">
        <v>216</v>
      </c>
      <c r="AZ154" s="64" t="s" ph="1">
        <v>367</v>
      </c>
    </row>
    <row r="155" spans="33:52" ph="1">
      <c r="AH155" s="64" ph="1">
        <v>16</v>
      </c>
      <c r="AI155" s="64" t="s" ph="1">
        <v>550</v>
      </c>
      <c r="AJ155" s="64" t="s" ph="1">
        <v>336</v>
      </c>
      <c r="AK155" s="64" t="s" ph="1">
        <v>231</v>
      </c>
      <c r="AM155" s="64" t="s" ph="1">
        <v>570</v>
      </c>
      <c r="AN155" s="64" t="s" ph="1">
        <v>282</v>
      </c>
      <c r="AO155" s="64" t="s" ph="1">
        <v>535</v>
      </c>
      <c r="AY155" s="64" t="s" ph="1">
        <v>216</v>
      </c>
      <c r="AZ155" s="64" t="s" ph="1">
        <v>223</v>
      </c>
    </row>
    <row r="156" spans="33:52" ph="1">
      <c r="AZ156" s="64" t="s" ph="1">
        <v>602</v>
      </c>
    </row>
    <row r="157" spans="33:52" ph="1">
      <c r="AG157" s="64" t="s" ph="1">
        <v>551</v>
      </c>
      <c r="AI157" s="64" t="s" ph="1">
        <v>209</v>
      </c>
      <c r="AJ157" s="64" t="s" ph="1">
        <v>210</v>
      </c>
      <c r="AK157" s="64" t="s" ph="1">
        <v>211</v>
      </c>
      <c r="AM157" s="64" t="s" ph="1">
        <v>210</v>
      </c>
      <c r="AN157" s="64" t="s" ph="1">
        <v>211</v>
      </c>
      <c r="AO157" s="64" t="s" ph="1">
        <v>212</v>
      </c>
      <c r="AP157" s="64" t="s" ph="1">
        <v>210</v>
      </c>
      <c r="AQ157" s="64" t="s" ph="1">
        <v>211</v>
      </c>
      <c r="AR157" s="64" t="s" ph="1">
        <v>212</v>
      </c>
      <c r="AS157" s="64" t="s" ph="1">
        <v>210</v>
      </c>
      <c r="AT157" s="64" t="s" ph="1">
        <v>211</v>
      </c>
      <c r="AU157" s="64" t="s" ph="1">
        <v>212</v>
      </c>
      <c r="AV157" s="64" t="s" ph="1">
        <v>210</v>
      </c>
      <c r="AW157" s="64" t="s" ph="1">
        <v>211</v>
      </c>
      <c r="AX157" s="64" t="s" ph="1">
        <v>212</v>
      </c>
      <c r="AY157" s="64" t="s" ph="1">
        <v>211</v>
      </c>
      <c r="AZ157" s="64" t="s" ph="1">
        <v>213</v>
      </c>
    </row>
    <row r="158" spans="33:52" ph="1">
      <c r="AH158" s="64" ph="1">
        <v>1</v>
      </c>
      <c r="AI158" s="64" t="s" ph="1">
        <v>552</v>
      </c>
      <c r="AY158" s="64" t="s" ph="1">
        <v>216</v>
      </c>
      <c r="AZ158" s="64" t="s" ph="1">
        <v>367</v>
      </c>
    </row>
    <row r="159" spans="33:52" ph="1">
      <c r="AH159" s="64" ph="1">
        <v>2</v>
      </c>
      <c r="AI159" s="64" t="s" ph="1">
        <v>553</v>
      </c>
      <c r="AY159" s="64" t="s" ph="1">
        <v>216</v>
      </c>
      <c r="AZ159" s="64" t="s" ph="1">
        <v>367</v>
      </c>
    </row>
    <row r="160" spans="33:52" ph="1">
      <c r="AZ160" s="64" t="s" ph="1">
        <v>385</v>
      </c>
    </row>
    <row r="161" spans="33:52" ph="1">
      <c r="AG161" s="64" t="s" ph="1">
        <v>361</v>
      </c>
      <c r="AI161" s="64" t="s" ph="1">
        <v>209</v>
      </c>
      <c r="AJ161" s="64" t="s" ph="1">
        <v>210</v>
      </c>
      <c r="AK161" s="64" t="s" ph="1">
        <v>211</v>
      </c>
      <c r="AM161" s="64" t="s" ph="1">
        <v>210</v>
      </c>
      <c r="AN161" s="64" t="s" ph="1">
        <v>211</v>
      </c>
      <c r="AO161" s="64" t="s" ph="1">
        <v>212</v>
      </c>
      <c r="AP161" s="64" t="s" ph="1">
        <v>210</v>
      </c>
      <c r="AQ161" s="64" t="s" ph="1">
        <v>211</v>
      </c>
      <c r="AR161" s="64" t="s" ph="1">
        <v>212</v>
      </c>
      <c r="AS161" s="64" t="s" ph="1">
        <v>210</v>
      </c>
      <c r="AT161" s="64" t="s" ph="1">
        <v>211</v>
      </c>
      <c r="AU161" s="64" t="s" ph="1">
        <v>212</v>
      </c>
      <c r="AV161" s="64" t="s" ph="1">
        <v>210</v>
      </c>
      <c r="AW161" s="64" t="s" ph="1">
        <v>211</v>
      </c>
      <c r="AX161" s="64" t="s" ph="1">
        <v>212</v>
      </c>
      <c r="AY161" s="64" t="s" ph="1">
        <v>211</v>
      </c>
      <c r="AZ161" s="64" t="s" ph="1">
        <v>213</v>
      </c>
    </row>
    <row r="162" spans="33:52" ph="1">
      <c r="AH162" s="64" ph="1">
        <v>1</v>
      </c>
      <c r="AI162" s="64" t="s" ph="1">
        <v>554</v>
      </c>
      <c r="AJ162" s="64" t="s" ph="1">
        <v>555</v>
      </c>
      <c r="AK162" s="64" t="s" ph="1">
        <v>499</v>
      </c>
      <c r="AM162" s="64" t="s" ph="1">
        <v>556</v>
      </c>
      <c r="AN162" s="64" t="s" ph="1">
        <v>220</v>
      </c>
      <c r="AO162" s="64" t="s" ph="1">
        <v>557</v>
      </c>
      <c r="AY162" s="64" t="s" ph="1">
        <v>216</v>
      </c>
      <c r="AZ162" s="64" t="s" ph="1">
        <v>292</v>
      </c>
    </row>
    <row r="163" spans="33:52" ph="1">
      <c r="AH163" s="64" ph="1">
        <v>2</v>
      </c>
      <c r="AI163" s="64" t="s" ph="1">
        <v>558</v>
      </c>
      <c r="AJ163" s="64" t="s" ph="1">
        <v>555</v>
      </c>
      <c r="AK163" s="64" t="s" ph="1">
        <v>388</v>
      </c>
      <c r="AY163" s="64" t="s" ph="1">
        <v>216</v>
      </c>
      <c r="AZ163" s="64" t="s" ph="1">
        <v>388</v>
      </c>
    </row>
    <row r="164" spans="33:52" ph="1">
      <c r="AH164" s="64" ph="1">
        <v>3</v>
      </c>
      <c r="AI164" s="64" t="s" ph="1">
        <v>559</v>
      </c>
      <c r="AJ164" s="64" t="s" ph="1">
        <v>555</v>
      </c>
      <c r="AK164" s="64" t="s" ph="1">
        <v>292</v>
      </c>
      <c r="AY164" s="64" t="s" ph="1">
        <v>216</v>
      </c>
      <c r="AZ164" s="64" t="s" ph="1">
        <v>292</v>
      </c>
    </row>
    <row r="165" spans="33:52" ph="1">
      <c r="AH165" s="64" ph="1">
        <v>4</v>
      </c>
      <c r="AI165" s="64" t="s" ph="1">
        <v>560</v>
      </c>
      <c r="AY165" s="64" t="s" ph="1">
        <v>216</v>
      </c>
      <c r="AZ165" s="64" t="s" ph="1">
        <v>367</v>
      </c>
    </row>
    <row r="166" spans="33:52" ph="1">
      <c r="AH166" s="64" ph="1">
        <v>5</v>
      </c>
      <c r="AI166" s="64" t="s" ph="1">
        <v>561</v>
      </c>
      <c r="AY166" s="64" t="s" ph="1">
        <v>216</v>
      </c>
      <c r="AZ166" s="64" t="s" ph="1">
        <v>367</v>
      </c>
    </row>
    <row r="167" spans="33:52" ph="1">
      <c r="AZ167" s="64" t="s" ph="1">
        <v>562</v>
      </c>
    </row>
    <row r="168" spans="33:52" ph="1">
      <c r="AG168" s="64" t="s" ph="1">
        <v>305</v>
      </c>
      <c r="AI168" s="64" t="s" ph="1">
        <v>209</v>
      </c>
      <c r="AJ168" s="64" t="s" ph="1">
        <v>210</v>
      </c>
      <c r="AK168" s="64" t="s" ph="1">
        <v>211</v>
      </c>
      <c r="AM168" s="64" t="s" ph="1">
        <v>210</v>
      </c>
      <c r="AN168" s="64" t="s" ph="1">
        <v>211</v>
      </c>
      <c r="AO168" s="64" t="s" ph="1">
        <v>212</v>
      </c>
      <c r="AP168" s="64" t="s" ph="1">
        <v>210</v>
      </c>
      <c r="AQ168" s="64" t="s" ph="1">
        <v>211</v>
      </c>
      <c r="AR168" s="64" t="s" ph="1">
        <v>212</v>
      </c>
      <c r="AS168" s="64" t="s" ph="1">
        <v>210</v>
      </c>
      <c r="AT168" s="64" t="s" ph="1">
        <v>211</v>
      </c>
      <c r="AU168" s="64" t="s" ph="1">
        <v>212</v>
      </c>
      <c r="AV168" s="64" t="s" ph="1">
        <v>210</v>
      </c>
      <c r="AW168" s="64" t="s" ph="1">
        <v>211</v>
      </c>
      <c r="AX168" s="64" t="s" ph="1">
        <v>212</v>
      </c>
      <c r="AY168" s="64" t="s" ph="1">
        <v>211</v>
      </c>
      <c r="AZ168" s="64" t="s" ph="1">
        <v>213</v>
      </c>
    </row>
    <row r="169" spans="33:52" ph="1">
      <c r="AH169" s="64" ph="1">
        <v>1</v>
      </c>
      <c r="AI169" s="64" t="s" ph="1">
        <v>563</v>
      </c>
      <c r="AY169" s="64" t="s" ph="1">
        <v>216</v>
      </c>
      <c r="AZ169" s="64" t="s" ph="1">
        <v>367</v>
      </c>
    </row>
    <row r="170" spans="33:52" ph="1">
      <c r="AH170" s="64" ph="1">
        <v>2</v>
      </c>
      <c r="AI170" s="64" t="s" ph="1">
        <v>564</v>
      </c>
      <c r="AY170" s="64" t="s" ph="1">
        <v>216</v>
      </c>
      <c r="AZ170" s="64" t="s" ph="1">
        <v>367</v>
      </c>
    </row>
    <row r="171" spans="33:52" ph="1">
      <c r="AH171" s="64" ph="1">
        <v>3</v>
      </c>
      <c r="AI171" s="64" t="s" ph="1">
        <v>565</v>
      </c>
      <c r="AY171" s="64" t="s" ph="1">
        <v>216</v>
      </c>
      <c r="AZ171" s="64" t="s" ph="1">
        <v>367</v>
      </c>
    </row>
    <row r="172" spans="33:52" ph="1">
      <c r="AH172" s="64" ph="1">
        <v>4</v>
      </c>
      <c r="AI172" s="64" t="s" ph="1">
        <v>566</v>
      </c>
      <c r="AY172" s="64" t="s" ph="1">
        <v>216</v>
      </c>
      <c r="AZ172" s="64" t="s" ph="1">
        <v>367</v>
      </c>
    </row>
    <row r="173" spans="33:52" ph="1">
      <c r="AH173" s="64" ph="1">
        <v>5</v>
      </c>
      <c r="AI173" s="64" t="s" ph="1">
        <v>567</v>
      </c>
      <c r="AY173" s="64" t="s" ph="1">
        <v>216</v>
      </c>
      <c r="AZ173" s="64" t="s" ph="1">
        <v>367</v>
      </c>
    </row>
    <row r="174" spans="33:52" ph="1">
      <c r="AZ174" s="64" t="s" ph="1">
        <v>385</v>
      </c>
    </row>
    <row r="175" spans="33:52" ph="1">
      <c r="AJ175" s="64" t="s" ph="1">
        <v>306</v>
      </c>
    </row>
    <row r="176" spans="33:52" ph="1">
      <c r="AJ176" s="64" t="s" ph="1">
        <v>307</v>
      </c>
      <c r="AK176" s="64" t="s" ph="1">
        <v>308</v>
      </c>
      <c r="AM176" s="64" t="s" ph="1">
        <v>309</v>
      </c>
      <c r="AO176" s="64" t="s" ph="1">
        <v>310</v>
      </c>
      <c r="AP176" s="64" t="s" ph="1">
        <v>311</v>
      </c>
      <c r="AQ176" s="64" t="s" ph="1">
        <v>301</v>
      </c>
      <c r="AR176" s="64" t="s" ph="1">
        <v>221</v>
      </c>
    </row>
    <row r="177" spans="36:56" ph="1">
      <c r="AJ177" s="64" t="s" ph="1">
        <v>603</v>
      </c>
      <c r="AK177" s="64" t="s" ph="1">
        <v>312</v>
      </c>
      <c r="AO177" s="64" t="s" ph="1">
        <v>312</v>
      </c>
      <c r="AP177" s="64" t="s" ph="1">
        <v>312</v>
      </c>
      <c r="AQ177" s="64" t="s" ph="1">
        <v>313</v>
      </c>
      <c r="AR177" s="64" t="s" ph="1">
        <v>314</v>
      </c>
    </row>
    <row r="179" spans="36:56" ph="1">
      <c r="AJ179" s="64" t="s" ph="1">
        <v>315</v>
      </c>
      <c r="AK179" s="64" t="s" ph="1">
        <v>316</v>
      </c>
      <c r="AM179" s="64" t="s" ph="1">
        <v>317</v>
      </c>
      <c r="AN179" s="64" t="s" ph="1">
        <v>293</v>
      </c>
      <c r="AO179" s="64" t="s" ph="1">
        <v>318</v>
      </c>
      <c r="AP179" s="64" t="s" ph="1">
        <v>297</v>
      </c>
      <c r="AQ179" s="64" t="s" ph="1">
        <v>319</v>
      </c>
      <c r="AR179" s="64" t="s" ph="1">
        <v>320</v>
      </c>
    </row>
    <row r="180" spans="36:56" ph="1">
      <c r="AJ180" s="64" t="s" ph="1">
        <v>312</v>
      </c>
      <c r="AK180" s="64" t="s" ph="1">
        <v>312</v>
      </c>
      <c r="AL180" s="64" ph="1">
        <v>116</v>
      </c>
      <c r="AM180" s="64" t="s" ph="1">
        <v>312</v>
      </c>
      <c r="AN180" s="64" t="s" ph="1">
        <v>321</v>
      </c>
      <c r="AO180" s="64" t="s" ph="1">
        <v>312</v>
      </c>
      <c r="AP180" s="64" t="s" ph="1">
        <v>322</v>
      </c>
      <c r="AQ180" s="64" t="s" ph="1">
        <v>323</v>
      </c>
      <c r="AR180" s="64" t="s" ph="1">
        <v>324</v>
      </c>
    </row>
    <row r="189" spans="36:56" ph="1">
      <c r="BD189" s="64" t="s" ph="1">
        <v>568</v>
      </c>
    </row>
    <row r="223" spans="18:18" ph="1">
      <c r="R223" s="135" ph="1">
        <v>45496</v>
      </c>
    </row>
  </sheetData>
  <mergeCells count="58"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S31:U31"/>
    <mergeCell ref="V31:X31"/>
    <mergeCell ref="Y31:AA31"/>
    <mergeCell ref="AB31:AE31"/>
    <mergeCell ref="AD32:AE32"/>
    <mergeCell ref="B33:C34"/>
    <mergeCell ref="D33:D34"/>
    <mergeCell ref="E33:E34"/>
    <mergeCell ref="F33:F34"/>
    <mergeCell ref="G33:G34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</mergeCells>
  <phoneticPr fontId="2" type="noConversion"/>
  <conditionalFormatting sqref="D4:D11">
    <cfRule type="expression" dxfId="1826" priority="100">
      <formula>ABS(D$7-D$10)&gt;=1000</formula>
    </cfRule>
  </conditionalFormatting>
  <conditionalFormatting sqref="E4 E6:E11">
    <cfRule type="expression" dxfId="1825" priority="99">
      <formula>ABS(E$7-E$10)&gt;=1000</formula>
    </cfRule>
  </conditionalFormatting>
  <conditionalFormatting sqref="F4:F11">
    <cfRule type="expression" dxfId="1824" priority="98">
      <formula>ABS(F$7-F$10)&gt;=1000</formula>
    </cfRule>
  </conditionalFormatting>
  <conditionalFormatting sqref="G4:G11">
    <cfRule type="expression" dxfId="1823" priority="97">
      <formula>ABS(G$7-G$10)&gt;=1000</formula>
    </cfRule>
  </conditionalFormatting>
  <conditionalFormatting sqref="H4:H11">
    <cfRule type="expression" dxfId="1822" priority="96">
      <formula>ABS(H$7-H$10)&gt;=1000</formula>
    </cfRule>
  </conditionalFormatting>
  <conditionalFormatting sqref="I4:I11">
    <cfRule type="expression" dxfId="1821" priority="95">
      <formula>ABS(I$7-I$10)&gt;=1000</formula>
    </cfRule>
  </conditionalFormatting>
  <conditionalFormatting sqref="J4:J11">
    <cfRule type="expression" dxfId="1820" priority="94">
      <formula>ABS(J$7-J$10)&gt;=1000</formula>
    </cfRule>
  </conditionalFormatting>
  <conditionalFormatting sqref="K4:K11">
    <cfRule type="expression" dxfId="1819" priority="93">
      <formula>ABS(K$7-K$10)&gt;=1000</formula>
    </cfRule>
  </conditionalFormatting>
  <conditionalFormatting sqref="L4:L11">
    <cfRule type="expression" dxfId="1818" priority="92">
      <formula>ABS(L$7-L$10)&gt;=1000</formula>
    </cfRule>
  </conditionalFormatting>
  <conditionalFormatting sqref="M4 M6:M11">
    <cfRule type="expression" dxfId="1817" priority="91">
      <formula>ABS(M$7-M$10)&gt;=1000</formula>
    </cfRule>
  </conditionalFormatting>
  <conditionalFormatting sqref="N4 N6:N11">
    <cfRule type="expression" dxfId="1816" priority="90">
      <formula>ABS(N$7-N$10)&gt;=1000</formula>
    </cfRule>
  </conditionalFormatting>
  <conditionalFormatting sqref="O4 O6:O11">
    <cfRule type="expression" dxfId="1815" priority="89">
      <formula>ABS(O$7-O$10)&gt;=1000</formula>
    </cfRule>
  </conditionalFormatting>
  <conditionalFormatting sqref="P4 P6:P11">
    <cfRule type="expression" dxfId="1814" priority="88">
      <formula>ABS(P$7-P$10)&gt;=1000</formula>
    </cfRule>
  </conditionalFormatting>
  <conditionalFormatting sqref="Q4:Q11">
    <cfRule type="expression" dxfId="1813" priority="87">
      <formula>ABS(Q$7-Q$10)&gt;=1000</formula>
    </cfRule>
  </conditionalFormatting>
  <conditionalFormatting sqref="R4:R11">
    <cfRule type="expression" dxfId="1812" priority="86">
      <formula>ABS(R$7-R$10)&gt;=1000</formula>
    </cfRule>
  </conditionalFormatting>
  <conditionalFormatting sqref="S4:S11">
    <cfRule type="expression" dxfId="1811" priority="85">
      <formula>ABS(S$7-S$10)&gt;=1000</formula>
    </cfRule>
  </conditionalFormatting>
  <conditionalFormatting sqref="T4:T9 T11">
    <cfRule type="expression" dxfId="1810" priority="84">
      <formula>ABS(T$7-T$10)&gt;=1000</formula>
    </cfRule>
  </conditionalFormatting>
  <conditionalFormatting sqref="U4:U9 U11">
    <cfRule type="expression" dxfId="1809" priority="83">
      <formula>ABS(U$7-U$10)&gt;=1000</formula>
    </cfRule>
  </conditionalFormatting>
  <conditionalFormatting sqref="V4:V9 V11">
    <cfRule type="expression" dxfId="1808" priority="82">
      <formula>ABS(V$7-V$10)&gt;=1000</formula>
    </cfRule>
  </conditionalFormatting>
  <conditionalFormatting sqref="W4:W9 W11">
    <cfRule type="expression" dxfId="1807" priority="81">
      <formula>ABS(W$7-W$10)&gt;=1000</formula>
    </cfRule>
  </conditionalFormatting>
  <conditionalFormatting sqref="X4:X9 X11">
    <cfRule type="expression" dxfId="1806" priority="80">
      <formula>ABS(X$7-X$10)&gt;=1000</formula>
    </cfRule>
  </conditionalFormatting>
  <conditionalFormatting sqref="Y4:Y9 Y11">
    <cfRule type="expression" dxfId="1805" priority="79">
      <formula>ABS(Y$7-Y$10)&gt;=1000</formula>
    </cfRule>
  </conditionalFormatting>
  <conditionalFormatting sqref="Z4:Z11">
    <cfRule type="expression" dxfId="1804" priority="78">
      <formula>ABS(Z$7-Z$10)&gt;=1000</formula>
    </cfRule>
  </conditionalFormatting>
  <conditionalFormatting sqref="AA4:AA11">
    <cfRule type="expression" dxfId="1803" priority="77">
      <formula>ABS(AA$7-AA$10)&gt;=1000</formula>
    </cfRule>
  </conditionalFormatting>
  <conditionalFormatting sqref="AB4:AB11">
    <cfRule type="expression" dxfId="1802" priority="76">
      <formula>ABS(AB$7-AB$10)&gt;=1000</formula>
    </cfRule>
  </conditionalFormatting>
  <conditionalFormatting sqref="AC4 AC6:AC11">
    <cfRule type="expression" dxfId="1801" priority="75">
      <formula>ABS(AC$7-AC$10)&gt;=1000</formula>
    </cfRule>
  </conditionalFormatting>
  <conditionalFormatting sqref="AD4 AD6:AD11">
    <cfRule type="expression" dxfId="1800" priority="74">
      <formula>ABS(AD$7-AD$10)&gt;=1000</formula>
    </cfRule>
  </conditionalFormatting>
  <conditionalFormatting sqref="AE4 AE6:AE11">
    <cfRule type="expression" dxfId="1799" priority="73">
      <formula>ABS(AE$7-AE$10)&gt;=1000</formula>
    </cfRule>
  </conditionalFormatting>
  <conditionalFormatting sqref="D13:D20">
    <cfRule type="expression" dxfId="1798" priority="72">
      <formula>ABS(D$16-D$19)&gt;=1000</formula>
    </cfRule>
  </conditionalFormatting>
  <conditionalFormatting sqref="E13:E20">
    <cfRule type="expression" dxfId="1797" priority="71">
      <formula>ABS(E$16-E$19)&gt;=1000</formula>
    </cfRule>
  </conditionalFormatting>
  <conditionalFormatting sqref="F13 F15:F20">
    <cfRule type="expression" dxfId="1796" priority="70">
      <formula>ABS(F$16-F$19)&gt;=1000</formula>
    </cfRule>
  </conditionalFormatting>
  <conditionalFormatting sqref="G13:G20">
    <cfRule type="expression" dxfId="1795" priority="69">
      <formula>ABS(G$16-G$19)&gt;=1000</formula>
    </cfRule>
  </conditionalFormatting>
  <conditionalFormatting sqref="H13 H15:H20">
    <cfRule type="expression" dxfId="1794" priority="68">
      <formula>ABS(H$16-H$19)&gt;=1000</formula>
    </cfRule>
  </conditionalFormatting>
  <conditionalFormatting sqref="I13:I20">
    <cfRule type="expression" dxfId="1793" priority="67">
      <formula>ABS(I$16-I$19)&gt;=1000</formula>
    </cfRule>
  </conditionalFormatting>
  <conditionalFormatting sqref="J13:J20">
    <cfRule type="expression" dxfId="1792" priority="66">
      <formula>ABS(J$16-J$19)&gt;=1000</formula>
    </cfRule>
  </conditionalFormatting>
  <conditionalFormatting sqref="L13:L20">
    <cfRule type="expression" dxfId="1791" priority="65">
      <formula>ABS(L$16-L$19)&gt;=1000</formula>
    </cfRule>
  </conditionalFormatting>
  <conditionalFormatting sqref="M13 M15 M17:M18 M20">
    <cfRule type="expression" dxfId="1790" priority="64">
      <formula>ABS(M$16-M$19)&gt;=1000</formula>
    </cfRule>
  </conditionalFormatting>
  <conditionalFormatting sqref="N13:N20">
    <cfRule type="expression" dxfId="1789" priority="63">
      <formula>ABS(N$16-N$19)&gt;=1000</formula>
    </cfRule>
  </conditionalFormatting>
  <conditionalFormatting sqref="O13:O20">
    <cfRule type="expression" dxfId="1788" priority="62">
      <formula>ABS(O$16-O$19)&gt;=1000</formula>
    </cfRule>
  </conditionalFormatting>
  <conditionalFormatting sqref="P13:P20">
    <cfRule type="expression" dxfId="1787" priority="61">
      <formula>ABS(P$16-P$19)&gt;=1000</formula>
    </cfRule>
  </conditionalFormatting>
  <conditionalFormatting sqref="Q13 Q15:Q20">
    <cfRule type="expression" dxfId="1786" priority="60">
      <formula>ABS(Q$16-Q$19)&gt;=1000</formula>
    </cfRule>
  </conditionalFormatting>
  <conditionalFormatting sqref="R13:R20">
    <cfRule type="expression" dxfId="1785" priority="59">
      <formula>ABS(R$16-R$19)&gt;=1000</formula>
    </cfRule>
  </conditionalFormatting>
  <conditionalFormatting sqref="S13:S20">
    <cfRule type="expression" dxfId="1784" priority="58">
      <formula>ABS(S$16-S$19)&gt;=1000</formula>
    </cfRule>
  </conditionalFormatting>
  <conditionalFormatting sqref="T13:T20">
    <cfRule type="expression" dxfId="1783" priority="57">
      <formula>ABS(T$16-T$19)&gt;=1000</formula>
    </cfRule>
  </conditionalFormatting>
  <conditionalFormatting sqref="U13:U20">
    <cfRule type="expression" dxfId="1782" priority="56">
      <formula>ABS(U$16-U$19)&gt;=1000</formula>
    </cfRule>
  </conditionalFormatting>
  <conditionalFormatting sqref="V13:V20">
    <cfRule type="expression" dxfId="1781" priority="55">
      <formula>ABS(V$16-V$19)&gt;=1000</formula>
    </cfRule>
  </conditionalFormatting>
  <conditionalFormatting sqref="W13 W20 W15:W18">
    <cfRule type="expression" dxfId="1780" priority="54">
      <formula>ABS(W$16-W$19)&gt;=1000</formula>
    </cfRule>
  </conditionalFormatting>
  <conditionalFormatting sqref="X13 X15:X20 Y19">
    <cfRule type="expression" dxfId="1779" priority="53">
      <formula>ABS(X$16-X$19)&gt;=1000</formula>
    </cfRule>
  </conditionalFormatting>
  <conditionalFormatting sqref="Y13 Y15:Y18 Y20">
    <cfRule type="expression" dxfId="1778" priority="52">
      <formula>ABS(Y$16-Y$19)&gt;=1000</formula>
    </cfRule>
  </conditionalFormatting>
  <conditionalFormatting sqref="Z13:Z20">
    <cfRule type="expression" dxfId="1777" priority="51">
      <formula>ABS(Z$16-Z$19)&gt;=1000</formula>
    </cfRule>
  </conditionalFormatting>
  <conditionalFormatting sqref="AA13:AA20">
    <cfRule type="expression" dxfId="1776" priority="50">
      <formula>ABS(AA$16-AA$19)&gt;=1000</formula>
    </cfRule>
  </conditionalFormatting>
  <conditionalFormatting sqref="AB13 AB15:AB20">
    <cfRule type="expression" dxfId="1775" priority="49">
      <formula>ABS(AB$16-AB$19)&gt;=1000</formula>
    </cfRule>
  </conditionalFormatting>
  <conditionalFormatting sqref="AC13 AC15:AC20">
    <cfRule type="expression" dxfId="1774" priority="48">
      <formula>ABS(AC$16-AC$19)&gt;=1000</formula>
    </cfRule>
  </conditionalFormatting>
  <conditionalFormatting sqref="AD13:AD20">
    <cfRule type="expression" dxfId="1773" priority="47">
      <formula>ABS(AD$16-AD$19)&gt;=1000</formula>
    </cfRule>
  </conditionalFormatting>
  <conditionalFormatting sqref="AE13:AE20">
    <cfRule type="expression" dxfId="1772" priority="46">
      <formula>ABS(AE$16-AE$19)&gt;=1000</formula>
    </cfRule>
  </conditionalFormatting>
  <conditionalFormatting sqref="D22:D29">
    <cfRule type="expression" dxfId="1771" priority="45">
      <formula>ABS(D$25-D$28)&gt;=1000</formula>
    </cfRule>
  </conditionalFormatting>
  <conditionalFormatting sqref="E22:E29">
    <cfRule type="expression" dxfId="1770" priority="44">
      <formula>ABS(E$25-E$28)&gt;=1000</formula>
    </cfRule>
  </conditionalFormatting>
  <conditionalFormatting sqref="F22:F29">
    <cfRule type="expression" dxfId="1769" priority="43">
      <formula>ABS(F$25-F$28)&gt;=1000</formula>
    </cfRule>
  </conditionalFormatting>
  <conditionalFormatting sqref="G22:G29">
    <cfRule type="expression" dxfId="1768" priority="42">
      <formula>ABS(G$25-G$28)&gt;=1000</formula>
    </cfRule>
  </conditionalFormatting>
  <conditionalFormatting sqref="H22:H29">
    <cfRule type="expression" dxfId="1767" priority="41">
      <formula>ABS(H$25-H$28)&gt;=1000</formula>
    </cfRule>
  </conditionalFormatting>
  <conditionalFormatting sqref="I22 I24:I29">
    <cfRule type="expression" dxfId="1766" priority="40">
      <formula>ABS(I$25-I$28)&gt;=1000</formula>
    </cfRule>
  </conditionalFormatting>
  <conditionalFormatting sqref="J22:J29 K22">
    <cfRule type="expression" dxfId="1765" priority="39">
      <formula>ABS(J$25-J$28)&gt;=1000</formula>
    </cfRule>
  </conditionalFormatting>
  <conditionalFormatting sqref="K23:K29 L25 L28">
    <cfRule type="expression" dxfId="1764" priority="38">
      <formula>ABS(K$25-K$28)&gt;=1000</formula>
    </cfRule>
  </conditionalFormatting>
  <conditionalFormatting sqref="L22 L26:L27 L29 L24">
    <cfRule type="expression" dxfId="1763" priority="37">
      <formula>ABS(L$25-L$28)&gt;=1000</formula>
    </cfRule>
  </conditionalFormatting>
  <conditionalFormatting sqref="M22:M29">
    <cfRule type="expression" dxfId="1762" priority="36">
      <formula>ABS(M$25-M$28)&gt;=1000</formula>
    </cfRule>
  </conditionalFormatting>
  <conditionalFormatting sqref="N22:N29">
    <cfRule type="expression" dxfId="1761" priority="35">
      <formula>ABS(N$25-N$28)&gt;=1000</formula>
    </cfRule>
  </conditionalFormatting>
  <conditionalFormatting sqref="O22:O29">
    <cfRule type="expression" dxfId="1760" priority="34">
      <formula>ABS(O$25-O$28)&gt;=1000</formula>
    </cfRule>
  </conditionalFormatting>
  <conditionalFormatting sqref="P22:P29">
    <cfRule type="expression" dxfId="1759" priority="33">
      <formula>ABS(P$25-P$28)&gt;=1000</formula>
    </cfRule>
  </conditionalFormatting>
  <conditionalFormatting sqref="Q22:Q29">
    <cfRule type="expression" dxfId="1758" priority="32">
      <formula>ABS(Q$25-Q$28)&gt;=1000</formula>
    </cfRule>
  </conditionalFormatting>
  <conditionalFormatting sqref="R22:R29">
    <cfRule type="expression" dxfId="1757" priority="31">
      <formula>ABS(R$25-R$28)&gt;=1000</formula>
    </cfRule>
  </conditionalFormatting>
  <conditionalFormatting sqref="S22:S29">
    <cfRule type="expression" dxfId="1756" priority="30">
      <formula>ABS(S$25-S$28)&gt;=1000</formula>
    </cfRule>
  </conditionalFormatting>
  <conditionalFormatting sqref="T22:T29">
    <cfRule type="expression" dxfId="1755" priority="29">
      <formula>ABS(T$25-T$28)&gt;=1000</formula>
    </cfRule>
  </conditionalFormatting>
  <conditionalFormatting sqref="U22:U29">
    <cfRule type="expression" dxfId="1754" priority="28">
      <formula>ABS(U$25-U$28)&gt;=1000</formula>
    </cfRule>
  </conditionalFormatting>
  <conditionalFormatting sqref="V22:V29">
    <cfRule type="expression" dxfId="1753" priority="27">
      <formula>ABS(V$25-V$28)&gt;=1000</formula>
    </cfRule>
  </conditionalFormatting>
  <conditionalFormatting sqref="W22:W29">
    <cfRule type="expression" dxfId="1752" priority="26">
      <formula>ABS(W$25-W$28)&gt;=1000</formula>
    </cfRule>
  </conditionalFormatting>
  <conditionalFormatting sqref="X22:X29">
    <cfRule type="expression" dxfId="1751" priority="25">
      <formula>ABS(X$25-X$28)&gt;=1000</formula>
    </cfRule>
  </conditionalFormatting>
  <conditionalFormatting sqref="Y22:Y29">
    <cfRule type="expression" dxfId="1750" priority="24">
      <formula>ABS(Y$25-Y$28)&gt;=1000</formula>
    </cfRule>
  </conditionalFormatting>
  <conditionalFormatting sqref="I23">
    <cfRule type="expression" dxfId="1749" priority="23">
      <formula>ABS(I$25-I$28)&gt;=1000</formula>
    </cfRule>
  </conditionalFormatting>
  <conditionalFormatting sqref="Q14">
    <cfRule type="expression" dxfId="1748" priority="22">
      <formula>ABS(Q$16-Q$19)&gt;=1000</formula>
    </cfRule>
  </conditionalFormatting>
  <conditionalFormatting sqref="W14">
    <cfRule type="expression" dxfId="1747" priority="21">
      <formula>ABS(W$16-W$19)&gt;=1000</formula>
    </cfRule>
  </conditionalFormatting>
  <conditionalFormatting sqref="X14">
    <cfRule type="expression" dxfId="1746" priority="20">
      <formula>ABS(X$16-X$19)&gt;=1000</formula>
    </cfRule>
  </conditionalFormatting>
  <conditionalFormatting sqref="T10:Y10">
    <cfRule type="expression" dxfId="1745" priority="19">
      <formula>ABS(T$7-T$10)&gt;=1000</formula>
    </cfRule>
  </conditionalFormatting>
  <conditionalFormatting sqref="W19">
    <cfRule type="expression" dxfId="1744" priority="18">
      <formula>ABS(W$16-W$19)&gt;=1000</formula>
    </cfRule>
  </conditionalFormatting>
  <conditionalFormatting sqref="AC5">
    <cfRule type="expression" dxfId="1743" priority="17">
      <formula>ABS(AC$7-AC$10)&gt;=1000</formula>
    </cfRule>
  </conditionalFormatting>
  <conditionalFormatting sqref="M14">
    <cfRule type="expression" dxfId="1742" priority="16">
      <formula>ABS(M$16-M$19)&gt;=1000</formula>
    </cfRule>
  </conditionalFormatting>
  <conditionalFormatting sqref="M16">
    <cfRule type="expression" dxfId="1741" priority="15">
      <formula>ABS(M$16-M$19)&gt;=1000</formula>
    </cfRule>
  </conditionalFormatting>
  <conditionalFormatting sqref="M19">
    <cfRule type="expression" dxfId="1740" priority="14">
      <formula>ABS(M$16-M$19)&gt;=1000</formula>
    </cfRule>
  </conditionalFormatting>
  <conditionalFormatting sqref="K13:K20">
    <cfRule type="expression" dxfId="1739" priority="13">
      <formula>ABS(K$16-K$19)&gt;=1000</formula>
    </cfRule>
  </conditionalFormatting>
  <conditionalFormatting sqref="E5">
    <cfRule type="expression" dxfId="1738" priority="12">
      <formula>ABS(E$7-E$10)&gt;=1000</formula>
    </cfRule>
  </conditionalFormatting>
  <conditionalFormatting sqref="AB14:AC14">
    <cfRule type="expression" dxfId="1737" priority="11">
      <formula>ABS(AB$16-AB$19)&gt;=1000</formula>
    </cfRule>
  </conditionalFormatting>
  <conditionalFormatting sqref="M5">
    <cfRule type="expression" dxfId="1736" priority="10">
      <formula>ABS(M$7-M$10)&gt;=1000</formula>
    </cfRule>
  </conditionalFormatting>
  <conditionalFormatting sqref="N5">
    <cfRule type="expression" dxfId="1735" priority="9">
      <formula>ABS(N$7-N$10)&gt;=1000</formula>
    </cfRule>
  </conditionalFormatting>
  <conditionalFormatting sqref="O5">
    <cfRule type="expression" dxfId="1734" priority="8">
      <formula>ABS(O$7-O$10)&gt;=1000</formula>
    </cfRule>
  </conditionalFormatting>
  <conditionalFormatting sqref="P5">
    <cfRule type="expression" dxfId="1733" priority="7">
      <formula>ABS(P$7-P$10)&gt;=1000</formula>
    </cfRule>
  </conditionalFormatting>
  <conditionalFormatting sqref="L23">
    <cfRule type="expression" dxfId="1732" priority="6">
      <formula>ABS(L$25-L$28)&gt;=1000</formula>
    </cfRule>
  </conditionalFormatting>
  <conditionalFormatting sqref="Y14">
    <cfRule type="expression" dxfId="1731" priority="5">
      <formula>ABS(Y$16-Y$19)&gt;=1000</formula>
    </cfRule>
  </conditionalFormatting>
  <conditionalFormatting sqref="F14">
    <cfRule type="expression" dxfId="1730" priority="4">
      <formula>ABS(F$16-F$19)&gt;=1000</formula>
    </cfRule>
  </conditionalFormatting>
  <conditionalFormatting sqref="H14">
    <cfRule type="expression" dxfId="1729" priority="3">
      <formula>ABS(H$16-H$19)&gt;=1000</formula>
    </cfRule>
  </conditionalFormatting>
  <conditionalFormatting sqref="AD5">
    <cfRule type="expression" dxfId="1728" priority="2">
      <formula>ABS(AD$7-AD$10)&gt;=1000</formula>
    </cfRule>
  </conditionalFormatting>
  <conditionalFormatting sqref="AE5">
    <cfRule type="expression" dxfId="1727" priority="1">
      <formula>ABS(AE$7-AE$10)&gt;=1000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77441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908">
    <pageSetUpPr fitToPage="1"/>
  </sheetPr>
  <dimension ref="A1:CU223"/>
  <sheetViews>
    <sheetView view="pageBreakPreview" topLeftCell="A4" zoomScale="70" zoomScaleNormal="100" zoomScaleSheetLayoutView="70" workbookViewId="0">
      <selection activeCell="L11" sqref="L11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185" t="s" ph="1">
        <v>161</v>
      </c>
      <c r="C1" s="185" ph="1"/>
      <c r="D1" s="185" ph="1"/>
      <c r="E1" s="185" ph="1"/>
      <c r="F1" s="185" ph="1"/>
      <c r="G1" s="185" ph="1"/>
      <c r="H1" s="185" ph="1"/>
      <c r="I1" s="185" ph="1"/>
      <c r="J1" s="185" ph="1"/>
      <c r="K1" s="185" ph="1"/>
      <c r="L1" s="185" ph="1"/>
      <c r="M1" s="185" ph="1"/>
      <c r="N1" s="185" ph="1"/>
      <c r="O1" s="185" ph="1"/>
      <c r="P1" s="185" ph="1"/>
      <c r="Q1" s="185" ph="1"/>
      <c r="R1" s="185" ph="1"/>
      <c r="S1" s="185" ph="1"/>
      <c r="T1" s="185" ph="1"/>
      <c r="U1" s="185" ph="1"/>
      <c r="V1" s="185" ph="1"/>
      <c r="W1" s="185" ph="1"/>
      <c r="X1" s="185" ph="1"/>
      <c r="Y1" s="185" ph="1"/>
      <c r="Z1" s="185" ph="1"/>
      <c r="AA1" s="185" ph="1"/>
      <c r="AB1" s="185" ph="1"/>
      <c r="AC1" s="185" ph="1"/>
      <c r="AD1" s="185" ph="1"/>
      <c r="AE1" s="185" ph="1"/>
    </row>
    <row r="2" spans="1:99" s="66" customFormat="1" ht="24" customHeight="1" ph="1">
      <c r="B2" s="186" t="s" ph="1">
        <v>82</v>
      </c>
      <c r="C2" s="186" ph="1"/>
      <c r="D2" s="186" ph="1"/>
      <c r="E2" s="186" ph="1"/>
      <c r="F2" s="186" ph="1"/>
      <c r="G2" s="186" ph="1"/>
      <c r="H2" s="186" ph="1"/>
      <c r="I2" s="186" ph="1"/>
      <c r="J2" s="186" ph="1"/>
      <c r="K2" s="186" ph="1"/>
      <c r="L2" s="186" ph="1"/>
      <c r="M2" s="186" ph="1"/>
      <c r="N2" s="186" ph="1"/>
      <c r="O2" s="186" ph="1"/>
      <c r="P2" s="186" ph="1"/>
      <c r="Q2" s="186" ph="1"/>
      <c r="R2" s="186" ph="1"/>
      <c r="S2" s="186" ph="1"/>
      <c r="T2" s="186" ph="1"/>
      <c r="U2" s="186" ph="1"/>
      <c r="V2" s="186" ph="1"/>
      <c r="W2" s="186" ph="1"/>
      <c r="X2" s="186" ph="1"/>
      <c r="Y2" s="186" ph="1"/>
      <c r="Z2" s="186" ph="1"/>
      <c r="AA2" s="186" ph="1"/>
      <c r="AB2" s="186" ph="1"/>
      <c r="AC2" s="186" ph="1"/>
      <c r="AD2" s="186" ph="1"/>
      <c r="AE2" s="186" ph="1"/>
    </row>
    <row r="3" spans="1:99" ht="21" customHeight="1" ph="1">
      <c r="B3" s="187" ph="1">
        <v>46184</v>
      </c>
      <c r="C3" s="187"/>
      <c r="D3" s="187"/>
      <c r="E3" s="187"/>
      <c r="F3" s="187"/>
      <c r="G3" s="187"/>
      <c r="H3" s="187"/>
      <c r="I3" s="187"/>
      <c r="J3" s="187"/>
      <c r="K3" s="187"/>
      <c r="L3" s="187"/>
      <c r="M3" s="187"/>
      <c r="N3" s="187"/>
      <c r="O3" s="187"/>
      <c r="P3" s="187"/>
      <c r="Q3" s="187"/>
      <c r="R3" s="187"/>
      <c r="S3" s="187"/>
      <c r="T3" s="187"/>
      <c r="U3" s="187"/>
      <c r="V3" s="187"/>
      <c r="W3" s="187"/>
      <c r="X3" s="187"/>
      <c r="Y3" s="187"/>
      <c r="Z3" s="187"/>
      <c r="AA3" s="187"/>
      <c r="AB3" s="187"/>
      <c r="AC3" s="187"/>
      <c r="AD3" s="187"/>
      <c r="AE3" s="187"/>
    </row>
    <row r="4" spans="1:99" s="69" customFormat="1" ph="1">
      <c r="A4" s="65" ph="1"/>
      <c r="B4" s="188" t="s" ph="1">
        <v>37</v>
      </c>
      <c r="C4" s="67" t="s" ph="1">
        <v>176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110</v>
      </c>
      <c r="J4" s="68" t="s" ph="1">
        <v>48</v>
      </c>
      <c r="K4" s="68" t="s" ph="1">
        <v>111</v>
      </c>
      <c r="L4" s="68" t="s" ph="1">
        <v>112</v>
      </c>
      <c r="M4" s="68" t="s" ph="1">
        <v>49</v>
      </c>
      <c r="N4" s="68" t="s" ph="1">
        <v>50</v>
      </c>
      <c r="O4" s="68" t="s" ph="1">
        <v>113</v>
      </c>
      <c r="P4" s="68" t="s" ph="1">
        <v>114</v>
      </c>
      <c r="Q4" s="68" t="s" ph="1">
        <v>115</v>
      </c>
      <c r="R4" s="68" t="s" ph="1">
        <v>116</v>
      </c>
      <c r="S4" s="68" t="s" ph="1">
        <v>117</v>
      </c>
      <c r="T4" s="68" t="s" ph="1">
        <v>118</v>
      </c>
      <c r="U4" s="68" t="s" ph="1">
        <v>119</v>
      </c>
      <c r="V4" s="68" t="s" ph="1">
        <v>120</v>
      </c>
      <c r="W4" s="68" t="s" ph="1">
        <v>121</v>
      </c>
      <c r="X4" s="68" t="s" ph="1">
        <v>122</v>
      </c>
      <c r="Y4" s="68" t="s" ph="1">
        <v>123</v>
      </c>
      <c r="Z4" s="68" t="s" ph="1">
        <v>51</v>
      </c>
      <c r="AA4" s="68" t="s" ph="1">
        <v>124</v>
      </c>
      <c r="AB4" s="68" t="s" ph="1">
        <v>125</v>
      </c>
      <c r="AC4" s="68" t="s" ph="1">
        <v>126</v>
      </c>
      <c r="AD4" s="68" t="s" ph="1">
        <v>40</v>
      </c>
      <c r="AE4" s="68" t="s" ph="1">
        <v>127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188" ph="1"/>
      <c r="C5" s="67" t="s" ph="1">
        <v>36</v>
      </c>
      <c r="D5" s="70" t="s" ph="1">
        <v>160</v>
      </c>
      <c r="E5" s="142" t="s" ph="1">
        <v>7</v>
      </c>
      <c r="F5" s="142" t="s" ph="1">
        <v>1</v>
      </c>
      <c r="G5" s="142" t="s" ph="1">
        <v>7</v>
      </c>
      <c r="H5" s="142" t="s" ph="1">
        <v>7</v>
      </c>
      <c r="I5" s="141" t="s" ph="1">
        <v>608</v>
      </c>
      <c r="J5" s="141" t="s" ph="1">
        <v>609</v>
      </c>
      <c r="K5" s="141" t="s" ph="1">
        <v>611</v>
      </c>
      <c r="L5" s="141" t="s" ph="1">
        <v>613</v>
      </c>
      <c r="M5" s="141" t="s" ph="1">
        <v>608</v>
      </c>
      <c r="N5" s="70" t="s" ph="1">
        <v>609</v>
      </c>
      <c r="O5" s="70" t="s" ph="1">
        <v>611</v>
      </c>
      <c r="P5" s="70" t="s" ph="1">
        <v>613</v>
      </c>
      <c r="Q5" s="70" t="s" ph="1">
        <v>607</v>
      </c>
      <c r="R5" s="70" t="s" ph="1">
        <v>607</v>
      </c>
      <c r="S5" s="70" t="s" ph="1">
        <v>607</v>
      </c>
      <c r="T5" s="70" t="s" ph="1">
        <v>607</v>
      </c>
      <c r="U5" s="70" t="s" ph="1">
        <v>607</v>
      </c>
      <c r="V5" s="70" t="s" ph="1">
        <v>607</v>
      </c>
      <c r="W5" s="70" t="s" ph="1">
        <v>607</v>
      </c>
      <c r="X5" s="70" t="s" ph="1">
        <v>607</v>
      </c>
      <c r="Y5" s="70" t="s" ph="1">
        <v>607</v>
      </c>
      <c r="Z5" s="70" t="s" ph="1">
        <v>614</v>
      </c>
      <c r="AA5" s="70" t="s" ph="1">
        <v>54</v>
      </c>
      <c r="AB5" s="70" t="s" ph="1">
        <v>54</v>
      </c>
      <c r="AC5" s="70" t="s" ph="1">
        <v>615</v>
      </c>
      <c r="AD5" s="71" t="s">
        <v>72</v>
      </c>
      <c r="AE5" s="71" t="s">
        <v>635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184" ph="1">
        <v>0.33333333333333331</v>
      </c>
      <c r="C6" s="156" t="s" ph="1">
        <v>177</v>
      </c>
      <c r="D6" s="71">
        <v>4106</v>
      </c>
      <c r="E6" s="71">
        <v>7791</v>
      </c>
      <c r="F6" s="71">
        <v>5834</v>
      </c>
      <c r="G6" s="71">
        <v>2183</v>
      </c>
      <c r="H6" s="71">
        <v>4840</v>
      </c>
      <c r="I6" s="71">
        <v>38.53</v>
      </c>
      <c r="J6" s="71">
        <v>6.32</v>
      </c>
      <c r="K6" s="71">
        <v>62.74</v>
      </c>
      <c r="L6" s="71">
        <v>6.71</v>
      </c>
      <c r="M6" s="71">
        <v>5789</v>
      </c>
      <c r="N6" s="71">
        <v>189</v>
      </c>
      <c r="O6" s="71">
        <v>5102</v>
      </c>
      <c r="P6" s="71">
        <v>1012</v>
      </c>
      <c r="Q6" s="71">
        <v>838</v>
      </c>
      <c r="R6" s="71">
        <v>7212</v>
      </c>
      <c r="S6" s="71">
        <v>5165</v>
      </c>
      <c r="T6" s="71">
        <v>7053</v>
      </c>
      <c r="U6" s="71">
        <v>5906</v>
      </c>
      <c r="V6" s="71">
        <v>3756</v>
      </c>
      <c r="W6" s="71">
        <v>2689</v>
      </c>
      <c r="X6" s="71">
        <v>0</v>
      </c>
      <c r="Y6" s="71">
        <v>0</v>
      </c>
      <c r="Z6" s="71">
        <v>3641</v>
      </c>
      <c r="AA6" s="71">
        <v>0</v>
      </c>
      <c r="AB6" s="71">
        <v>2856</v>
      </c>
      <c r="AC6" s="71">
        <v>0</v>
      </c>
      <c r="AD6" s="71">
        <v>3875</v>
      </c>
      <c r="AE6" s="71">
        <v>4991</v>
      </c>
    </row>
    <row r="7" spans="1:99" s="72" customFormat="1" ht="22.2" ph="1">
      <c r="B7" s="184" ph="1"/>
      <c r="C7" s="68" t="s" ph="1">
        <v>178</v>
      </c>
      <c r="D7" s="73" ph="1">
        <f>D6*33.183*LOOKUP(D8,密度!$A$2:$A$50,密度!$Q$2:$Q$50)</f>
        <v>129312.94114781999</v>
      </c>
      <c r="E7" s="73" ph="1">
        <f>E6*51.53*LOOKUP(E8,密度!$A$2:$A$50,密度!$B$2:$B$50)</f>
        <v>314070.16092900001</v>
      </c>
      <c r="F7" s="73" ph="1">
        <f>F6*33.183*LOOKUP(F8,密度!$A$2:$A$50,密度!$C$2:$C$50)</f>
        <v>214807.04457119998</v>
      </c>
      <c r="G7" s="73" ph="1">
        <f xml:space="preserve"> (G6+2)*51.53*LOOKUP(G8,密度!$A$2:$A$50,密度!$B$2:$B$50)</f>
        <v>87777.54178</v>
      </c>
      <c r="H7" s="73" ph="1">
        <f>(H6)*51.53*LOOKUP(H8,密度!$A$2:$A$50,密度!$B$2:$B$50)</f>
        <v>195558.61732000002</v>
      </c>
      <c r="I7" s="73" ph="1">
        <f>I6*290.8*1.0267</f>
        <v>11503.6847908</v>
      </c>
      <c r="J7" s="73" ph="1">
        <f>J6*290.8*0.7892</f>
        <v>1450.4359552000003</v>
      </c>
      <c r="K7" s="73" ph="1">
        <f>K6*290.8*1.1126</f>
        <v>20299.155579200004</v>
      </c>
      <c r="L7" s="73" ph="1">
        <f>L6*290.8*0.777</f>
        <v>1516.1352360000001</v>
      </c>
      <c r="M7" s="73" ph="1">
        <f>M6*33.183*LOOKUP(M8,密度!$A$2:$A$50,密度!$D$2:$D$50)</f>
        <v>197590.34366819999</v>
      </c>
      <c r="N7" s="73" ph="1">
        <f>N6*33.183*LOOKUP(N8,密度!$A$2:$A$50,密度!$E$2:$E$50)</f>
        <v>4926.9587471999994</v>
      </c>
      <c r="O7" s="73" ph="1">
        <f>O6*20.428*LOOKUP(O8,密度!$A$2:$A$50,密度!$C$2:$C$50)</f>
        <v>115417.27665439999</v>
      </c>
      <c r="P7" s="73" ph="1">
        <f>P6*51.53*LOOKUP(P8,密度!$A$2:$A$50,密度!$B$2:$B$50)</f>
        <v>40795.662027999999</v>
      </c>
      <c r="Q7" s="73" ph="1">
        <f>Q6*1.5*1.5*3.1416*LOOKUP(W8,密度!$A$2:$A$50,密度!$L$2:$L$50)</f>
        <v>5562.1541051999993</v>
      </c>
      <c r="R7" s="73" ph="1">
        <f>R6*1.5*1.5*3.1416*LOOKUP(R8,密度!$A$2:$A$50,密度!$L$2:$L$50)</f>
        <v>47512.188662400004</v>
      </c>
      <c r="S7" s="73" ph="1">
        <f>S6*1.5*1.5*3.1416*LOOKUP(S8,密度!$A$2:$A$50,密度!$L$2:$L$50)</f>
        <v>34391.778497999992</v>
      </c>
      <c r="T7" s="73" ph="1">
        <f>T6*1.5*1.5*3.1416*LOOKUP(T8,密度!$A$2:$A$50,密度!$L$2:$L$50)</f>
        <v>46963.255323599995</v>
      </c>
      <c r="U7" s="73" ph="1">
        <f>U6*1.5*1.5*3.1416*LOOKUP(U8,密度!$A$2:$A$50,密度!$L$2:$L$50)</f>
        <v>39158.828200799995</v>
      </c>
      <c r="V7" s="73" ph="1">
        <f>V6*1.5*1.5*3.1416*LOOKUP(V8,密度!$A$2:$A$50,密度!$L$2:$L$50)</f>
        <v>24797.383934400001</v>
      </c>
      <c r="W7" s="73" ph="1">
        <f>W6*1.5*1.5*3.1416*LOOKUP(W8,密度!$A$2:$A$50,密度!$L$2:$L$50)</f>
        <v>17848.010010599999</v>
      </c>
      <c r="X7" s="73" ph="1">
        <f>X6*1.5*1.5*3.1416*LOOKUP(X8,密度!$A$2:$A$50,密度!$L$2:$L$50)</f>
        <v>0</v>
      </c>
      <c r="Y7" s="73" ph="1">
        <f>Y6*1.5*1.5*3.1416*LOOKUP(Y8,密度!$A$2:$A$50,密度!$L$2:$L$50)</f>
        <v>0</v>
      </c>
      <c r="Z7" s="73" ph="1">
        <f>Z6*33.183*LOOKUP(Z8,密度!$A$2:$A$50,密度!$L$2:$L$50)</f>
        <v>113811.78342599999</v>
      </c>
      <c r="AA7" s="73" ph="1">
        <f>AA6*33.183*LOOKUP(AA8,密度!$A$2:$A$50,密度!$D$2:$D$50)</f>
        <v>0</v>
      </c>
      <c r="AB7" s="73" ph="1">
        <f>AB6*20.428*LOOKUP(AB8,密度!$A$2:$A$50,密度!$D$2:$D$50)</f>
        <v>60372.682406399996</v>
      </c>
      <c r="AC7" s="73" ph="1">
        <f>AC6*51.53*LOOKUP(AC8,密度!$A$2:$A$50,密度!$Q$2:$Q$50)</f>
        <v>0</v>
      </c>
      <c r="AD7" s="73" ph="1">
        <f>AD6*20.428*LOOKUP(AD8,密度!$A$2:$A$50,密度!$V$2:$V$50)</f>
        <v>76055.486799999999</v>
      </c>
      <c r="AE7" s="73" ph="1">
        <f>AE6*20.428</f>
        <v>101956.148</v>
      </c>
    </row>
    <row r="8" spans="1:99" ph="1">
      <c r="B8" s="184" ph="1"/>
      <c r="C8" s="68" t="s" ph="1">
        <v>179</v>
      </c>
      <c r="D8" s="74">
        <v>22</v>
      </c>
      <c r="E8" s="74">
        <v>22</v>
      </c>
      <c r="F8" s="74">
        <v>24</v>
      </c>
      <c r="G8" s="74">
        <v>25</v>
      </c>
      <c r="H8" s="74">
        <v>20</v>
      </c>
      <c r="I8" s="74">
        <v>25</v>
      </c>
      <c r="J8" s="74">
        <v>25</v>
      </c>
      <c r="K8" s="74">
        <v>25</v>
      </c>
      <c r="L8" s="74">
        <v>25</v>
      </c>
      <c r="M8" s="74">
        <v>23</v>
      </c>
      <c r="N8" s="74">
        <v>23</v>
      </c>
      <c r="O8" s="74">
        <v>27</v>
      </c>
      <c r="P8" s="74">
        <v>22</v>
      </c>
      <c r="Q8" s="74">
        <v>26</v>
      </c>
      <c r="R8" s="74">
        <v>30</v>
      </c>
      <c r="S8" s="74">
        <v>20</v>
      </c>
      <c r="T8" s="74">
        <v>20</v>
      </c>
      <c r="U8" s="74">
        <v>24</v>
      </c>
      <c r="V8" s="74">
        <v>28</v>
      </c>
      <c r="W8" s="74">
        <v>23</v>
      </c>
      <c r="X8" s="74">
        <v>18</v>
      </c>
      <c r="Y8" s="74">
        <v>24</v>
      </c>
      <c r="Z8" s="74">
        <v>20</v>
      </c>
      <c r="AA8" s="74">
        <v>23</v>
      </c>
      <c r="AB8" s="74">
        <v>16</v>
      </c>
      <c r="AC8" s="74">
        <v>20</v>
      </c>
      <c r="AD8" s="74">
        <v>22</v>
      </c>
      <c r="AE8" s="74">
        <v>22</v>
      </c>
    </row>
    <row r="9" spans="1:99" ht="26.4" ph="1">
      <c r="B9" s="184" ph="1">
        <v>0.66666666666666663</v>
      </c>
      <c r="C9" s="156" t="s" ph="1">
        <v>180</v>
      </c>
      <c r="D9" s="71">
        <v>4092</v>
      </c>
      <c r="E9" s="71">
        <v>7789</v>
      </c>
      <c r="F9" s="71">
        <v>5834</v>
      </c>
      <c r="G9" s="71">
        <v>1903</v>
      </c>
      <c r="H9" s="71">
        <v>5281</v>
      </c>
      <c r="I9" s="71">
        <v>38.520000000000003</v>
      </c>
      <c r="J9" s="71">
        <v>6.31</v>
      </c>
      <c r="K9" s="71">
        <v>62.77</v>
      </c>
      <c r="L9" s="71">
        <v>81.08</v>
      </c>
      <c r="M9" s="71">
        <v>5597</v>
      </c>
      <c r="N9" s="71">
        <v>188</v>
      </c>
      <c r="O9" s="71">
        <v>5102</v>
      </c>
      <c r="P9" s="71">
        <v>479</v>
      </c>
      <c r="Q9" s="71">
        <v>0</v>
      </c>
      <c r="R9" s="71">
        <v>3302</v>
      </c>
      <c r="S9" s="71">
        <v>5169</v>
      </c>
      <c r="T9" s="71">
        <v>7057</v>
      </c>
      <c r="U9" s="71">
        <v>5909</v>
      </c>
      <c r="V9" s="71">
        <v>6441</v>
      </c>
      <c r="W9" s="71">
        <v>5123</v>
      </c>
      <c r="X9" s="71">
        <v>0</v>
      </c>
      <c r="Y9" s="71">
        <v>2045</v>
      </c>
      <c r="Z9" s="71">
        <v>4630</v>
      </c>
      <c r="AA9" s="71">
        <v>0</v>
      </c>
      <c r="AB9" s="71">
        <v>2856</v>
      </c>
      <c r="AC9" s="71">
        <v>274</v>
      </c>
      <c r="AD9" s="71">
        <v>3875</v>
      </c>
      <c r="AE9" s="71">
        <v>4820</v>
      </c>
    </row>
    <row r="10" spans="1:99" s="72" customFormat="1" ht="22.2" ph="1">
      <c r="B10" s="184" ph="1"/>
      <c r="C10" s="156" t="s" ph="1">
        <v>178</v>
      </c>
      <c r="D10" s="73" ph="1">
        <f>D9*33.183*LOOKUP(D11,密度!$A$2:$A$50,密度!$Q$2:$Q$50)</f>
        <v>128360.12116752002</v>
      </c>
      <c r="E10" s="73" ph="1">
        <f>E9*51.53*LOOKUP(E11,密度!$A$2:$A$50,密度!$B$2:$B$50)</f>
        <v>312905.84573199996</v>
      </c>
      <c r="F10" s="73" ph="1">
        <f>F9*33.183*LOOKUP(F11,密度!$A$2:$A$50,密度!$C$2:$C$50)</f>
        <v>214516.66013820001</v>
      </c>
      <c r="G10" s="73" ph="1">
        <f xml:space="preserve"> (G9+2)*51.53*LOOKUP(G11,密度!$A$2:$A$50,密度!$B$2:$B$50)</f>
        <v>76273.933050000007</v>
      </c>
      <c r="H10" s="73" ph="1">
        <f>(H9)*51.53*LOOKUP(H11,密度!$A$2:$A$50,密度!$B$2:$B$50)</f>
        <v>212152.49342799999</v>
      </c>
      <c r="I10" s="73" ph="1">
        <f>I9*290.8*1.0267</f>
        <v>11500.699147200001</v>
      </c>
      <c r="J10" s="73" ph="1">
        <f>J9*290.8*0.7892</f>
        <v>1448.1409615999999</v>
      </c>
      <c r="K10" s="73" ph="1">
        <f>K9*290.8*1.1126</f>
        <v>20308.861901600005</v>
      </c>
      <c r="L10" s="73" ph="1">
        <f>L9*290.8*0.777</f>
        <v>18320.155728000002</v>
      </c>
      <c r="M10" s="73" ph="1">
        <f>M9*33.183*LOOKUP(M11,密度!$A$2:$A$50,密度!$D$2:$D$50)</f>
        <v>189811.20652199999</v>
      </c>
      <c r="N10" s="73" ph="1">
        <f>N9*33.183*LOOKUP(N11,密度!$A$2:$A$50,密度!$E$2:$E$50)</f>
        <v>4850.982950399999</v>
      </c>
      <c r="O10" s="73" ph="1">
        <f>O9*20.428*LOOKUP(O11,密度!$A$2:$A$50,密度!$C$2:$C$50)</f>
        <v>115177.5622456</v>
      </c>
      <c r="P10" s="73" ph="1">
        <f>P9*51.53*LOOKUP(P11,密度!$A$2:$A$50,密度!$B$2:$B$50)</f>
        <v>19200.804573000001</v>
      </c>
      <c r="Q10" s="73" ph="1">
        <f>Q9*1.5*1.5*3.1416*LOOKUP(W11,密度!$A$2:$A$50,密度!$L$2:$L$50)</f>
        <v>0</v>
      </c>
      <c r="R10" s="73" ph="1">
        <f>R9*1.5*1.5*3.1416*LOOKUP(R11,密度!$A$2:$A$50,密度!$L$2:$L$50)</f>
        <v>21706.680995999999</v>
      </c>
      <c r="S10" s="73" ph="1">
        <f>S9*1.5*1.5*3.1416*LOOKUP(S11,密度!$A$2:$A$50,密度!$L$2:$L$50)</f>
        <v>34381.875389399996</v>
      </c>
      <c r="T10" s="73" ph="1">
        <f>T9*1.5*1.5*3.1416*LOOKUP(T11,密度!$A$2:$A$50,密度!$L$2:$L$50)</f>
        <v>46890.123588000002</v>
      </c>
      <c r="U10" s="73" ph="1">
        <f>U9*1.5*1.5*3.1416*LOOKUP(U11,密度!$A$2:$A$50,密度!$L$2:$L$50)</f>
        <v>39136.950883800004</v>
      </c>
      <c r="V10" s="73" ph="1">
        <f>V9*1.5*1.5*3.1416*LOOKUP(V11,密度!$A$2:$A$50,密度!$L$2:$L$50)</f>
        <v>42523.948328400002</v>
      </c>
      <c r="W10" s="73" ph="1">
        <f>W9*1.5*1.5*3.1416*LOOKUP(W11,密度!$A$2:$A$50,密度!$L$2:$L$50)</f>
        <v>33931.054218600002</v>
      </c>
      <c r="X10" s="73" ph="1">
        <f>X9*1.5*1.5*3.1416*LOOKUP(X11,密度!$A$2:$A$50,密度!$L$2:$L$50)</f>
        <v>0</v>
      </c>
      <c r="Y10" s="73" ph="1">
        <f>Y9*1.5*1.5*3.1416*LOOKUP(Y11,密度!$A$2:$A$50,密度!$L$2:$L$50)</f>
        <v>13544.603919000001</v>
      </c>
      <c r="Z10" s="73" ph="1">
        <f>Z9*33.183*LOOKUP(Z11,密度!$A$2:$A$50,密度!$L$2:$L$50)</f>
        <v>143650.86615000002</v>
      </c>
      <c r="AA10" s="73" ph="1">
        <f>AA9*33.183*LOOKUP(AA11,密度!$A$2:$A$50,密度!$D$2:$D$50)</f>
        <v>0</v>
      </c>
      <c r="AB10" s="73" ph="1">
        <f>AB9*20.428*LOOKUP(AB11,密度!$A$2:$A$50,密度!$D$2:$D$50)</f>
        <v>60220.9922496</v>
      </c>
      <c r="AC10" s="73" ph="1">
        <f>AC9*51.53*LOOKUP(AC11,密度!$A$2:$A$50,密度!$Q$2:$Q$50)</f>
        <v>13367.230342800001</v>
      </c>
      <c r="AD10" s="73" ph="1">
        <f>AD9*20.428*LOOKUP(AD11,密度!$A$2:$A$50,密度!$V$2:$V$50)</f>
        <v>75802.179600000003</v>
      </c>
      <c r="AE10" s="73" ph="1">
        <f>AE9*20.428</f>
        <v>98462.96</v>
      </c>
    </row>
    <row r="11" spans="1:99" ph="1">
      <c r="A11" s="64" t="s" ph="1">
        <v>162</v>
      </c>
      <c r="B11" s="184" ph="1"/>
      <c r="C11" s="156" t="s" ph="1">
        <v>179</v>
      </c>
      <c r="D11" s="74">
        <v>27</v>
      </c>
      <c r="E11" s="74">
        <v>25</v>
      </c>
      <c r="F11" s="74">
        <v>26</v>
      </c>
      <c r="G11" s="74">
        <v>28</v>
      </c>
      <c r="H11" s="74">
        <v>25</v>
      </c>
      <c r="I11" s="74">
        <v>25</v>
      </c>
      <c r="J11" s="74">
        <v>25</v>
      </c>
      <c r="K11" s="74">
        <v>25</v>
      </c>
      <c r="L11" s="74">
        <v>25</v>
      </c>
      <c r="M11" s="74">
        <v>30</v>
      </c>
      <c r="N11" s="74">
        <v>30</v>
      </c>
      <c r="O11" s="74">
        <v>30</v>
      </c>
      <c r="P11" s="74">
        <v>27</v>
      </c>
      <c r="Q11" s="74">
        <v>35</v>
      </c>
      <c r="R11" s="74">
        <v>32</v>
      </c>
      <c r="S11" s="74">
        <v>21</v>
      </c>
      <c r="T11" s="74">
        <v>22</v>
      </c>
      <c r="U11" s="74">
        <v>25</v>
      </c>
      <c r="V11" s="74">
        <v>28</v>
      </c>
      <c r="W11" s="74">
        <v>25</v>
      </c>
      <c r="X11" s="74">
        <v>24</v>
      </c>
      <c r="Y11" s="74">
        <v>25</v>
      </c>
      <c r="Z11" s="74">
        <v>27</v>
      </c>
      <c r="AA11" s="74">
        <v>35</v>
      </c>
      <c r="AB11" s="74">
        <v>19</v>
      </c>
      <c r="AC11" s="74">
        <v>25</v>
      </c>
      <c r="AD11" s="74">
        <v>28</v>
      </c>
      <c r="AE11" s="74">
        <v>28</v>
      </c>
    </row>
    <row r="12" spans="1:99" ht="9.9" customHeight="1" ph="1"/>
    <row r="13" spans="1:99" s="72" customFormat="1" ht="29.25" customHeight="1" ph="1">
      <c r="B13" s="192" t="s" ph="1">
        <v>37</v>
      </c>
      <c r="C13" s="156" t="s" ph="1">
        <v>176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128</v>
      </c>
      <c r="I13" s="76" t="s" ph="1">
        <v>59</v>
      </c>
      <c r="J13" s="76" t="s" ph="1">
        <v>129</v>
      </c>
      <c r="K13" s="76" t="s" ph="1">
        <v>55</v>
      </c>
      <c r="L13" s="76" t="s" ph="1">
        <v>60</v>
      </c>
      <c r="M13" s="76" t="s" ph="1">
        <v>61</v>
      </c>
      <c r="N13" s="76" t="s" ph="1">
        <v>130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131</v>
      </c>
      <c r="W13" s="76" t="s" ph="1">
        <v>132</v>
      </c>
      <c r="X13" s="76" t="s" ph="1">
        <v>133</v>
      </c>
      <c r="Y13" s="105" t="s" ph="1">
        <v>68</v>
      </c>
      <c r="Z13" s="76" t="s" ph="1">
        <v>74</v>
      </c>
      <c r="AA13" s="76" t="s" ph="1">
        <v>134</v>
      </c>
      <c r="AB13" s="76" t="s" ph="1">
        <v>135</v>
      </c>
      <c r="AC13" s="76" t="s" ph="1">
        <v>136</v>
      </c>
      <c r="AD13" s="76" t="s" ph="1">
        <v>137</v>
      </c>
      <c r="AE13" s="76" t="s" ph="1">
        <v>138</v>
      </c>
      <c r="AG13" s="72" t="s" ph="1">
        <v>325</v>
      </c>
      <c r="AH13" s="72" t="s" ph="1">
        <v>188</v>
      </c>
      <c r="AI13" s="72" t="s" ph="1">
        <v>189</v>
      </c>
      <c r="AJ13" s="72" t="s" ph="1">
        <v>190</v>
      </c>
      <c r="AK13" s="72" t="s" ph="1">
        <v>191</v>
      </c>
      <c r="AL13" s="72" t="s" ph="1">
        <v>192</v>
      </c>
      <c r="AM13" s="72" t="s" ph="1">
        <v>193</v>
      </c>
      <c r="AN13" s="72" t="s" ph="1">
        <v>194</v>
      </c>
      <c r="AO13" s="72" t="s" ph="1">
        <v>195</v>
      </c>
      <c r="AP13" s="72" t="s" ph="1">
        <v>196</v>
      </c>
      <c r="AQ13" s="72" t="s" ph="1">
        <v>197</v>
      </c>
      <c r="AR13" s="72" t="s" ph="1">
        <v>198</v>
      </c>
      <c r="AS13" s="72" t="s" ph="1">
        <v>199</v>
      </c>
      <c r="AT13" s="72" t="s" ph="1">
        <v>200</v>
      </c>
      <c r="AU13" s="72" t="s" ph="1">
        <v>201</v>
      </c>
      <c r="AV13" s="72" t="s" ph="1">
        <v>202</v>
      </c>
      <c r="AW13" s="72" t="s" ph="1">
        <v>203</v>
      </c>
      <c r="AX13" s="72" t="s" ph="1">
        <v>204</v>
      </c>
      <c r="AY13" s="72" t="s" ph="1">
        <v>326</v>
      </c>
      <c r="AZ13" s="72" t="s" ph="1">
        <v>205</v>
      </c>
      <c r="BA13" s="72" t="s" ph="1">
        <v>206</v>
      </c>
      <c r="BB13" s="72" t="s" ph="1">
        <v>591</v>
      </c>
      <c r="BC13" s="72" t="s" ph="1">
        <v>207</v>
      </c>
      <c r="BD13" s="72" t="s" ph="1">
        <v>327</v>
      </c>
      <c r="BE13" s="72" t="s" ph="1">
        <v>328</v>
      </c>
      <c r="BF13" s="72" t="s" ph="1">
        <v>329</v>
      </c>
      <c r="BG13" s="72" t="s" ph="1">
        <v>330</v>
      </c>
      <c r="BH13" s="72" t="s" ph="1">
        <v>331</v>
      </c>
    </row>
    <row r="14" spans="1:99" s="72" customFormat="1" ht="24" ph="1">
      <c r="B14" s="193" ph="1"/>
      <c r="C14" s="67" t="s" ph="1">
        <v>36</v>
      </c>
      <c r="D14" s="77" t="s" ph="1">
        <v>616</v>
      </c>
      <c r="E14" s="77" t="s" ph="1">
        <v>616</v>
      </c>
      <c r="F14" s="144" t="s" ph="1">
        <v>636</v>
      </c>
      <c r="G14" s="77" t="s" ph="1">
        <v>617</v>
      </c>
      <c r="H14" s="77" t="s" ph="1">
        <v>637</v>
      </c>
      <c r="I14" s="138" t="s" ph="1">
        <v>618</v>
      </c>
      <c r="J14" s="77" t="s" ph="1">
        <v>619</v>
      </c>
      <c r="K14" s="77" t="s" ph="1">
        <v>186</v>
      </c>
      <c r="L14" s="77" t="s" ph="1">
        <v>41</v>
      </c>
      <c r="M14" s="104" t="s" ph="1">
        <v>620</v>
      </c>
      <c r="N14" s="104" t="s" ph="1">
        <v>621</v>
      </c>
      <c r="O14" s="104" t="s" ph="1">
        <v>619</v>
      </c>
      <c r="P14" s="77" t="s" ph="1">
        <v>622</v>
      </c>
      <c r="Q14" s="77" t="s" ph="1">
        <v>622</v>
      </c>
      <c r="R14" s="88" t="s" ph="1">
        <v>7</v>
      </c>
      <c r="S14" s="77" t="s" ph="1">
        <v>71</v>
      </c>
      <c r="T14" s="77" t="s" ph="1">
        <v>624</v>
      </c>
      <c r="U14" s="77" t="s" ph="1">
        <v>605</v>
      </c>
      <c r="V14" s="77" t="s" ph="1">
        <v>633</v>
      </c>
      <c r="W14" s="77" t="s" ph="1">
        <v>622</v>
      </c>
      <c r="X14" s="77" t="s" ph="1">
        <v>625</v>
      </c>
      <c r="Y14" s="143" t="s" ph="1">
        <v>0</v>
      </c>
      <c r="Z14" s="77" t="s" ph="1">
        <v>54</v>
      </c>
      <c r="AA14" s="77" t="s" ph="1">
        <v>613</v>
      </c>
      <c r="AB14" s="77" t="s" ph="1">
        <v>632</v>
      </c>
      <c r="AC14" s="77" t="s" ph="1">
        <v>632</v>
      </c>
      <c r="AD14" s="77" t="s" ph="1">
        <v>612</v>
      </c>
      <c r="AE14" s="77" t="s" ph="1">
        <v>612</v>
      </c>
      <c r="AG14" s="72" t="s" ph="1">
        <v>208</v>
      </c>
      <c r="AI14" s="72" t="s" ph="1">
        <v>209</v>
      </c>
      <c r="AJ14" s="72" t="s" ph="1">
        <v>332</v>
      </c>
      <c r="AK14" s="72" t="s" ph="1">
        <v>210</v>
      </c>
      <c r="AM14" s="72" t="s" ph="1">
        <v>212</v>
      </c>
      <c r="AN14" s="72" t="s" ph="1">
        <v>210</v>
      </c>
      <c r="AO14" s="72" t="s" ph="1">
        <v>211</v>
      </c>
      <c r="AP14" s="72" t="s" ph="1">
        <v>212</v>
      </c>
      <c r="AQ14" s="72" t="s" ph="1">
        <v>210</v>
      </c>
      <c r="AR14" s="72" t="s" ph="1">
        <v>211</v>
      </c>
      <c r="AS14" s="72" t="s" ph="1">
        <v>212</v>
      </c>
      <c r="AT14" s="72" t="s" ph="1">
        <v>210</v>
      </c>
      <c r="AU14" s="72" t="s" ph="1">
        <v>211</v>
      </c>
      <c r="AV14" s="72" t="s" ph="1">
        <v>212</v>
      </c>
      <c r="AW14" s="72" t="s" ph="1">
        <v>210</v>
      </c>
      <c r="AX14" s="72" t="s" ph="1">
        <v>211</v>
      </c>
      <c r="AY14" s="72" t="s" ph="1">
        <v>212</v>
      </c>
      <c r="AZ14" s="72" t="s" ph="1">
        <v>211</v>
      </c>
    </row>
    <row r="15" spans="1:99" ph="1">
      <c r="B15" s="194" ph="1">
        <v>0.33333333333333331</v>
      </c>
      <c r="C15" s="156" t="s" ph="1">
        <v>177</v>
      </c>
      <c r="D15" s="78">
        <v>0</v>
      </c>
      <c r="E15" s="78">
        <v>5267</v>
      </c>
      <c r="F15" s="78">
        <v>4884</v>
      </c>
      <c r="G15" s="78">
        <v>1881</v>
      </c>
      <c r="H15" s="78">
        <v>4152</v>
      </c>
      <c r="I15" s="78">
        <v>5374</v>
      </c>
      <c r="J15" s="78">
        <v>990</v>
      </c>
      <c r="K15" s="78">
        <v>2275</v>
      </c>
      <c r="L15" s="78">
        <v>1680</v>
      </c>
      <c r="M15" s="78">
        <v>6229</v>
      </c>
      <c r="N15" s="78">
        <v>229</v>
      </c>
      <c r="O15" s="78">
        <v>5457</v>
      </c>
      <c r="P15" s="78">
        <v>3611</v>
      </c>
      <c r="Q15" s="78">
        <v>6935</v>
      </c>
      <c r="R15" s="78">
        <v>1946</v>
      </c>
      <c r="S15" s="78">
        <v>187</v>
      </c>
      <c r="T15" s="78">
        <v>2245</v>
      </c>
      <c r="U15" s="78">
        <v>6684</v>
      </c>
      <c r="V15" s="78">
        <v>819</v>
      </c>
      <c r="W15" s="71">
        <v>-776</v>
      </c>
      <c r="X15" s="78">
        <v>1336</v>
      </c>
      <c r="Y15" s="106">
        <v>-9905</v>
      </c>
      <c r="Z15" s="78">
        <v>1907</v>
      </c>
      <c r="AA15" s="78">
        <v>2565</v>
      </c>
      <c r="AB15" s="78" ph="1">
        <v>691</v>
      </c>
      <c r="AC15" s="78" ph="1">
        <v>7273</v>
      </c>
      <c r="AD15" s="78">
        <v>5.63</v>
      </c>
      <c r="AE15" s="78">
        <v>38.26</v>
      </c>
      <c r="AG15" s="64" t="s" ph="1">
        <v>214</v>
      </c>
      <c r="AH15" s="64" ph="1">
        <v>1</v>
      </c>
      <c r="AI15" s="64" t="s" ph="1">
        <v>333</v>
      </c>
      <c r="AK15" s="64" t="s" ph="1">
        <v>587</v>
      </c>
      <c r="AM15" s="64" t="s" ph="1">
        <v>335</v>
      </c>
      <c r="AZ15" s="64" t="s" ph="1">
        <v>216</v>
      </c>
      <c r="BA15" s="64" ph="1">
        <v>0</v>
      </c>
    </row>
    <row r="16" spans="1:99" s="72" customFormat="1" ht="22.2" ph="1">
      <c r="B16" s="195" ph="1"/>
      <c r="C16" s="156" t="s" ph="1">
        <v>178</v>
      </c>
      <c r="D16" s="73" ph="1">
        <f>D15*7.0686*LOOKUP(D17,密度!$A$2:$A$50,密度!$L$2:$L$50)</f>
        <v>0</v>
      </c>
      <c r="E16" s="73" ph="1">
        <f>E15*7.0686*LOOKUP(E17,密度!$A$2:$A$50,密度!$L$2:$L$50)</f>
        <v>34922.036595600002</v>
      </c>
      <c r="F16" s="73" ph="1">
        <f>F15*9.0746*LOOKUP(F17,密度!$A$2:$A$50,密度!$L$2:$L$50)</f>
        <v>40952.000073600007</v>
      </c>
      <c r="G16" s="73" ph="1">
        <f>G15*9.0746*LOOKUP(G17,密度!$A$2:$A$50,密度!$B$2:$B$50)</f>
        <v>13322.6062893</v>
      </c>
      <c r="H16" s="73" ph="1">
        <f>H15*9.0746*LOOKUP(H17,密度!$A$2:$A$50,密度!$L$2:$L$50)</f>
        <v>35417.074848000004</v>
      </c>
      <c r="I16" s="73" ph="1">
        <f>I15*9.0746*LOOKUP(I17,密度!$A$2:$A$50,密度!$U$2:$U$50)</f>
        <v>50083.606710799992</v>
      </c>
      <c r="J16" s="73" ph="1">
        <f>J15*9.0746*LOOKUP(J17,密度!$A$2:$A$50,密度!$L$2:$L$50)</f>
        <v>8426.855051999999</v>
      </c>
      <c r="K16" s="73" ph="1">
        <f>K15*9.0746*LOOKUP(K17,密度!$A$2:$A$50,密度!$C$2:$C$50)</f>
        <v>22938.3428365</v>
      </c>
      <c r="L16" s="73" ph="1">
        <f>L15*9.0746*LOOKUP(L17,密度!$A$2:$A$50,密度!$E$2:$E$50)</f>
        <v>11995.024070400001</v>
      </c>
      <c r="M16" s="73" ph="1">
        <f>M15*9.0746*LOOKUP(M17,密度!$A$2:$A$50,密度!$M$2:$M$50)</f>
        <v>49465.62554334</v>
      </c>
      <c r="N16" s="73" ph="1">
        <f>N15*9.0746*LOOKUP(N17,密度!$A$2:$A$50,密度!$M$2:$M$50)</f>
        <v>1824.5572251999999</v>
      </c>
      <c r="O16" s="73" ph="1">
        <f>O15*9.0746*LOOKUP(O17,密度!$A$2:$A$50,密度!$G$2:$G$50)</f>
        <v>47598.71262264</v>
      </c>
      <c r="P16" s="73" ph="1">
        <f ca="1">P15*9.0746*LOOKUP(P17,密度!$A$2:$A$51,密度!$Q$2:$Q$50)</f>
        <v>31070.978484920004</v>
      </c>
      <c r="Q16" s="73" ph="1">
        <f>Q15*9.0746*LOOKUP(Q17,密度!$A$2:$A$50,密度!$Q$2:$Q$50)</f>
        <v>59626.514601970004</v>
      </c>
      <c r="R16" s="73" ph="1">
        <f>MAX(R15*9.0746*LOOKUP(R17,密度!$A$2:$A$50,密度!$B$2:$B$50),0)</f>
        <v>13767.090179360001</v>
      </c>
      <c r="S16" s="73" ph="1">
        <f>S15*9.0746*LOOKUP(S17,密度!$A$2:$A$50,密度!$Q$2:$Q$50)</f>
        <v>1607.8094059940001</v>
      </c>
      <c r="T16" s="73" ph="1">
        <f>T15*9.0746*LOOKUP(T17,密度!$A$2:$A$50,密度!$O$2:$O$50)</f>
        <v>18946.403610000001</v>
      </c>
      <c r="U16" s="73" ph="1">
        <f>U15*9.0746*LOOKUP(U17,密度!$A$2:$A$50,密度!$H$2:$H$50)</f>
        <v>55729.47073632</v>
      </c>
      <c r="V16" s="73" ph="1">
        <f>MAX(5600*LOOKUP(V17,密度!$A$2:$A$50,密度!$Q$2:$Q$50)+V15*9.0476*LOOKUP(V17,密度!$A$2:$A$50,密度!$Q$2:$Q$50),0)</f>
        <v>12317.072630856001</v>
      </c>
      <c r="W16" s="73" ph="1">
        <f>MAX(5600*LOOKUP(W17,密度!$A$2:$A$50,密度!$Q$2:$Q$50)+W15*9.0476*LOOKUP(W17,密度!$A$2:$A$50,密度!$Q$2:$Q$50),0)</f>
        <v>0</v>
      </c>
      <c r="X16" s="73" ph="1">
        <f>MAX(5600*LOOKUP(X17,密度!$A$2:$A$50,密度!$I$2:$I$50)+X15*9.0476*LOOKUP(X17,密度!$A$2:$A$50,密度!$I$2:$I$50),0)</f>
        <v>18377.409750399995</v>
      </c>
      <c r="Y16" s="107" ph="1">
        <v>0</v>
      </c>
      <c r="Z16" s="73" ph="1">
        <f>Z15*9.0746*LOOKUP(Z17,密度!$A$2:$A$50,密度!$D$2:$D$50)</f>
        <v>17767.31270074</v>
      </c>
      <c r="AA16" s="73" ph="1">
        <f>AA15*9.0746*LOOKUP(AA17,密度!$A$2:$A$50,密度!$B$2:$B$50)</f>
        <v>18188.1391086</v>
      </c>
      <c r="AB16" s="73" ph="1">
        <f>AB15*9.0746*LOOKUP(AB17,密度!$A$2:$A$50,密度!$L$2:$L$50)</f>
        <v>5888.0451353999997</v>
      </c>
      <c r="AC16" s="73" ph="1">
        <f>AC15*9.0746*LOOKUP(AC17,密度!$A$2:$A$50,密度!$L$2:$L$50)</f>
        <v>62039.59185199999</v>
      </c>
      <c r="AD16" s="73" ph="1">
        <f>AD15*268.68*LOOKUP(AD17,密度!$A$2:$A$50,密度!B2:B50)+IF(AD15&lt;=0,0,1566*LOOKUP(AD17,密度!$A$2:$A$50,密度!B2:B50))</f>
        <v>2400.1298846399995</v>
      </c>
      <c r="AE16" s="73" ph="1">
        <f>AE15*268.68*LOOKUP(AE17,密度!$A$2:$A$50,密度!B2:B50)+IF(AE15&lt;=0,0,1566*LOOKUP(AE17,密度!$A$2:$A$50,密度!B2:B50))</f>
        <v>9234.9052252799993</v>
      </c>
      <c r="AH16" s="72" ph="1">
        <v>2</v>
      </c>
      <c r="AI16" s="72" t="s" ph="1">
        <v>337</v>
      </c>
      <c r="AZ16" s="72" t="s" ph="1">
        <v>216</v>
      </c>
      <c r="BA16" s="72" ph="1">
        <v>0</v>
      </c>
    </row>
    <row r="17" spans="1:57" ph="1">
      <c r="A17" s="64" t="s" ph="1">
        <v>73</v>
      </c>
      <c r="B17" s="196" ph="1"/>
      <c r="C17" s="79" t="s" ph="1">
        <v>179</v>
      </c>
      <c r="D17" s="74">
        <v>24</v>
      </c>
      <c r="E17" s="74">
        <v>24</v>
      </c>
      <c r="F17" s="74">
        <v>38</v>
      </c>
      <c r="G17" s="74">
        <v>24</v>
      </c>
      <c r="H17" s="74">
        <v>22</v>
      </c>
      <c r="I17" s="74">
        <v>23</v>
      </c>
      <c r="J17" s="74">
        <v>24</v>
      </c>
      <c r="K17" s="74">
        <v>22</v>
      </c>
      <c r="L17" s="74">
        <v>22</v>
      </c>
      <c r="M17" s="74">
        <v>25</v>
      </c>
      <c r="N17" s="74">
        <v>22</v>
      </c>
      <c r="O17" s="74">
        <v>24</v>
      </c>
      <c r="P17" s="74">
        <v>23</v>
      </c>
      <c r="Q17" s="74">
        <v>24</v>
      </c>
      <c r="R17" s="74">
        <v>25</v>
      </c>
      <c r="S17" s="74">
        <v>24</v>
      </c>
      <c r="T17" s="74">
        <v>24</v>
      </c>
      <c r="U17" s="74">
        <v>21</v>
      </c>
      <c r="V17" s="74">
        <v>25</v>
      </c>
      <c r="W17" s="74">
        <v>25</v>
      </c>
      <c r="X17" s="74">
        <v>28</v>
      </c>
      <c r="Y17" s="108">
        <v>28</v>
      </c>
      <c r="Z17" s="74">
        <v>25</v>
      </c>
      <c r="AA17" s="74">
        <v>23</v>
      </c>
      <c r="AB17" s="74">
        <v>23</v>
      </c>
      <c r="AC17" s="74">
        <v>22</v>
      </c>
      <c r="AD17" s="74">
        <v>25</v>
      </c>
      <c r="AE17" s="74">
        <v>25</v>
      </c>
      <c r="AH17" s="64" ph="1">
        <v>3</v>
      </c>
      <c r="AI17" s="64" t="s" ph="1">
        <v>338</v>
      </c>
      <c r="AK17" s="64" t="s" ph="1">
        <v>570</v>
      </c>
      <c r="AL17" s="64" ph="1">
        <v>80</v>
      </c>
      <c r="AM17" s="64" t="s" ph="1">
        <v>335</v>
      </c>
      <c r="AZ17" s="64" t="s" ph="1">
        <v>216</v>
      </c>
      <c r="BA17" s="64" ph="1">
        <v>80</v>
      </c>
      <c r="BD17" s="64" t="s" ph="1">
        <v>214</v>
      </c>
      <c r="BE17" s="64" ph="1">
        <v>2270</v>
      </c>
    </row>
    <row r="18" spans="1:57" ht="26.4" ph="1">
      <c r="B18" s="194" ph="1">
        <v>0.66666666666666663</v>
      </c>
      <c r="C18" s="79" t="s" ph="1">
        <v>180</v>
      </c>
      <c r="D18" s="71">
        <v>828</v>
      </c>
      <c r="E18" s="71">
        <v>5273</v>
      </c>
      <c r="F18" s="71">
        <v>5061</v>
      </c>
      <c r="G18" s="71">
        <v>3547</v>
      </c>
      <c r="H18" s="71">
        <v>4151</v>
      </c>
      <c r="I18" s="71">
        <v>5376</v>
      </c>
      <c r="J18" s="71">
        <v>1282</v>
      </c>
      <c r="K18" s="71">
        <v>2274</v>
      </c>
      <c r="L18" s="71">
        <v>1684</v>
      </c>
      <c r="M18" s="71">
        <v>6236</v>
      </c>
      <c r="N18" s="71">
        <v>1683</v>
      </c>
      <c r="O18" s="71">
        <v>5459</v>
      </c>
      <c r="P18" s="71">
        <v>3614</v>
      </c>
      <c r="Q18" s="71">
        <v>6941</v>
      </c>
      <c r="R18" s="71">
        <v>1946</v>
      </c>
      <c r="S18" s="71">
        <v>187</v>
      </c>
      <c r="T18" s="71">
        <v>1965</v>
      </c>
      <c r="U18" s="71">
        <v>6687</v>
      </c>
      <c r="V18" s="71">
        <v>-531</v>
      </c>
      <c r="W18" s="71">
        <v>-765</v>
      </c>
      <c r="X18" s="71">
        <v>1334</v>
      </c>
      <c r="Y18" s="109">
        <v>-9907</v>
      </c>
      <c r="Z18" s="71">
        <v>1907</v>
      </c>
      <c r="AA18" s="71">
        <v>2564</v>
      </c>
      <c r="AB18" s="71">
        <v>690</v>
      </c>
      <c r="AC18" s="71">
        <v>2613</v>
      </c>
      <c r="AD18" s="71">
        <v>10.01</v>
      </c>
      <c r="AE18" s="71">
        <v>84.58</v>
      </c>
      <c r="AH18" s="64" ph="1">
        <v>4</v>
      </c>
      <c r="AI18" s="64" t="s" ph="1">
        <v>340</v>
      </c>
      <c r="AJ18" s="64" t="s" ph="1">
        <v>588</v>
      </c>
      <c r="AK18" s="64" t="s" ph="1">
        <v>587</v>
      </c>
      <c r="AL18" s="64" ph="1">
        <v>740</v>
      </c>
      <c r="AM18" s="64" t="s" ph="1">
        <v>339</v>
      </c>
      <c r="AZ18" s="64" t="s" ph="1">
        <v>216</v>
      </c>
      <c r="BA18" s="64" ph="1">
        <v>740</v>
      </c>
    </row>
    <row r="19" spans="1:57" s="72" customFormat="1" ht="22.2" ph="1">
      <c r="B19" s="195" ph="1"/>
      <c r="C19" s="156" t="s" ph="1">
        <v>178</v>
      </c>
      <c r="D19" s="73" ph="1">
        <f>D18*7.0686*LOOKUP(D20,密度!$A$2:$A$50,密度!$L$2:$L$50)</f>
        <v>5484.0743496000005</v>
      </c>
      <c r="E19" s="73" ph="1">
        <f>E18*7.0686*LOOKUP(E20,密度!$A$2:$A$50,密度!$L$2:$L$50)</f>
        <v>34924.545948600004</v>
      </c>
      <c r="F19" s="73" ph="1">
        <f>F18*9.0746*LOOKUP(F20,密度!$A$2:$A$50,密度!$L$2:$L$50)</f>
        <v>42573.912406200005</v>
      </c>
      <c r="G19" s="73" ph="1">
        <f>G18*9.0746*LOOKUP(G20,密度!$A$2:$A$50,密度!$B$2:$B$50)</f>
        <v>25093.45779352</v>
      </c>
      <c r="H19" s="73" ph="1">
        <f>H18*9.0746*LOOKUP(H20,密度!$A$2:$A$50,密度!$L$2:$L$50)</f>
        <v>35333.207394800003</v>
      </c>
      <c r="I19" s="73" ph="1">
        <f>I18*9.0746*LOOKUP(I20,密度!$A$2:$A$50,密度!$U$2:$U$50)</f>
        <v>49760.750591999997</v>
      </c>
      <c r="J19" s="73" ph="1">
        <f>J18*9.0746*LOOKUP(J20,密度!$A$2:$A$50,密度!$L$2:$L$50)</f>
        <v>10842.549870400002</v>
      </c>
      <c r="K19" s="73" ph="1">
        <f>K18*9.0746*LOOKUP(K20,密度!$A$2:$A$50,密度!$C$2:$C$50)</f>
        <v>22835.399666640002</v>
      </c>
      <c r="L19" s="73" ph="1">
        <f>L18*9.0746*LOOKUP(L20,密度!$A$2:$A$50,密度!$E$2:$E$50)</f>
        <v>11968.56979648</v>
      </c>
      <c r="M19" s="73" ph="1">
        <f>M18*9.0746*LOOKUP(M20,密度!$A$2:$A$50,密度!$M$2:$M$50)</f>
        <v>49345.787283199999</v>
      </c>
      <c r="N19" s="73" ph="1">
        <f>N18*9.0746*LOOKUP(N20,密度!$A$2:$A$50,密度!$M$2:$M$50)</f>
        <v>13394.0279286</v>
      </c>
      <c r="O19" s="73" ph="1">
        <f>O18*9.0746*LOOKUP(O20,密度!$A$2:$A$50,密度!$G$2:$G$50)</f>
        <v>47408.0970198</v>
      </c>
      <c r="P19" s="73" ph="1">
        <f ca="1">P18*9.0746*LOOKUP(P20,密度!$A$2:$A$51,密度!$Q$2:$Q$50)</f>
        <v>31048.910509656005</v>
      </c>
      <c r="Q19" s="73" ph="1">
        <f>Q18*9.0746*LOOKUP(Q20,密度!$A$2:$A$50,密度!$Q$2:$Q$50)</f>
        <v>59632.121706564001</v>
      </c>
      <c r="R19" s="73" ph="1">
        <f>MAX(R18*9.0746*LOOKUP(R20,密度!$A$2:$A$50,密度!$B$2:$B$50),0)</f>
        <v>13721.176333200001</v>
      </c>
      <c r="S19" s="73" ph="1">
        <f>S18*9.0746*LOOKUP(S20,密度!$A$2:$A$50,密度!$Q$2:$Q$50)</f>
        <v>1600.7840321660001</v>
      </c>
      <c r="T19" s="73" ph="1">
        <f>T18*9.0746*LOOKUP(T20,密度!$A$2:$A$50,密度!$O$2:$O$50)</f>
        <v>16512.051414000001</v>
      </c>
      <c r="U19" s="73" ph="1">
        <f>U18*9.0746*LOOKUP(U20,密度!$A$2:$A$50,密度!$H$2:$H$50)</f>
        <v>55457.142897780002</v>
      </c>
      <c r="V19" s="73" ph="1">
        <f>MAX(5600*LOOKUP(V20,密度!$A$2:$A$50,密度!$Q$2:$Q$50)+V18*9.0476*LOOKUP(V20,密度!$A$2:$A$50,密度!$Q$2:$Q$50),0)</f>
        <v>750.630698252</v>
      </c>
      <c r="W19" s="73" ph="1">
        <f>MAX(5600*LOOKUP(W20,密度!$A$2:$A$50,密度!$Q$2:$Q$50)+W18*9.0476*LOOKUP(W20,密度!$A$2:$A$50,密度!$Q$2:$Q$50),0)</f>
        <v>0</v>
      </c>
      <c r="X19" s="73" ph="1">
        <f>MAX(5600*LOOKUP(X20,密度!$A$2:$A$50,密度!$I$2:$I$50)+X18*9.0476*LOOKUP(X20,密度!$A$2:$A$50,密度!$I$2:$I$50),0)</f>
        <v>18317.968991279999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17767.31270074</v>
      </c>
      <c r="AA19" s="73" ph="1">
        <f>AA18*9.0746*LOOKUP(AA20,密度!$A$2:$A$50,密度!$B$2:$B$50)</f>
        <v>18139.16712224</v>
      </c>
      <c r="AB19" s="73" ph="1">
        <f>AB18*9.0746*LOOKUP(AB20,密度!$A$2:$A$50,密度!$L$2:$L$50)</f>
        <v>5848.2167160000008</v>
      </c>
      <c r="AC19" s="73" ph="1">
        <f>AC18*9.0746*LOOKUP(AC20,密度!$A$2:$A$50,密度!$L$2:$L$50)</f>
        <v>22194.366292800001</v>
      </c>
      <c r="AD19" s="73" ph="1">
        <f>AD18*268.68*LOOKUP(AD20,密度!$A$2:$A$50,密度!B5:B53)+IF(AD18&lt;=0,0,1566*LOOKUP(AD20,密度!$A$2:$A$50,密度!B5:B53))</f>
        <v>3306.5132436000004</v>
      </c>
      <c r="AE19" s="73" ph="1">
        <f>AE18*268.68*LOOKUP(AE20,密度!$A$2:$A$50,密度!B5:B53)+IF(AE18&lt;=0,0,1566*LOOKUP(AE20,密度!$A$2:$A$50,密度!B5:B53))</f>
        <v>18874.071568799998</v>
      </c>
      <c r="AH19" s="72" ph="1">
        <v>5</v>
      </c>
      <c r="AI19" s="72" t="s" ph="1">
        <v>341</v>
      </c>
      <c r="AZ19" s="72" t="s" ph="1">
        <v>216</v>
      </c>
      <c r="BA19" s="72" ph="1">
        <v>0</v>
      </c>
      <c r="BD19" s="72" t="s" ph="1">
        <v>342</v>
      </c>
      <c r="BE19" s="72" ph="1">
        <v>1440</v>
      </c>
    </row>
    <row r="20" spans="1:57" ph="1">
      <c r="A20" s="72" ph="1"/>
      <c r="B20" s="195" ph="1"/>
      <c r="C20" s="80" t="s" ph="1">
        <v>179</v>
      </c>
      <c r="D20" s="81">
        <v>25</v>
      </c>
      <c r="E20" s="81">
        <v>25</v>
      </c>
      <c r="F20" s="81">
        <v>35</v>
      </c>
      <c r="G20" s="81">
        <v>25</v>
      </c>
      <c r="H20" s="81">
        <v>24</v>
      </c>
      <c r="I20" s="81">
        <v>30</v>
      </c>
      <c r="J20" s="81">
        <v>30</v>
      </c>
      <c r="K20" s="81">
        <v>28</v>
      </c>
      <c r="L20" s="81">
        <v>25</v>
      </c>
      <c r="M20" s="81">
        <v>28</v>
      </c>
      <c r="N20" s="81">
        <v>23</v>
      </c>
      <c r="O20" s="81">
        <v>28</v>
      </c>
      <c r="P20" s="81">
        <v>25</v>
      </c>
      <c r="Q20" s="81">
        <v>25</v>
      </c>
      <c r="R20" s="81">
        <v>28</v>
      </c>
      <c r="S20" s="81">
        <v>30</v>
      </c>
      <c r="T20" s="81">
        <v>25</v>
      </c>
      <c r="U20" s="81">
        <v>26</v>
      </c>
      <c r="V20" s="81">
        <v>30</v>
      </c>
      <c r="W20" s="81">
        <v>29</v>
      </c>
      <c r="X20" s="81">
        <v>30</v>
      </c>
      <c r="Y20" s="110">
        <v>30</v>
      </c>
      <c r="Z20" s="81">
        <v>25</v>
      </c>
      <c r="AA20" s="81">
        <v>25</v>
      </c>
      <c r="AB20" s="81">
        <v>28</v>
      </c>
      <c r="AC20" s="81">
        <v>26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343</v>
      </c>
      <c r="AZ20" s="64" t="s" ph="1">
        <v>216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344</v>
      </c>
      <c r="AZ21" s="64" t="s" ph="1">
        <v>216</v>
      </c>
      <c r="BA21" s="64" ph="1">
        <v>0</v>
      </c>
      <c r="BD21" s="64" t="s" ph="1">
        <v>232</v>
      </c>
      <c r="BE21" s="64" ph="1">
        <v>730</v>
      </c>
    </row>
    <row r="22" spans="1:57" ph="1">
      <c r="A22" s="72" ph="1"/>
      <c r="B22" s="193" t="s" ph="1">
        <v>37</v>
      </c>
      <c r="C22" s="85" t="s" ph="1">
        <v>176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172" t="s" ph="1">
        <v>69</v>
      </c>
      <c r="AA22" s="173"/>
      <c r="AB22" s="173"/>
      <c r="AC22" s="173"/>
      <c r="AD22" s="173"/>
      <c r="AE22" s="174"/>
      <c r="AH22" s="64" ph="1">
        <v>8</v>
      </c>
      <c r="AI22" s="64" t="s" ph="1">
        <v>345</v>
      </c>
      <c r="AZ22" s="64" t="s" ph="1">
        <v>216</v>
      </c>
      <c r="BA22" s="64" ph="1">
        <v>0</v>
      </c>
    </row>
    <row r="23" spans="1:57" ph="1">
      <c r="A23" s="72" ph="1"/>
      <c r="B23" s="188" ph="1"/>
      <c r="C23" s="67" t="s" ph="1">
        <v>36</v>
      </c>
      <c r="D23" s="88" t="s" ph="1">
        <v>109</v>
      </c>
      <c r="E23" s="88" t="s" ph="1">
        <v>107</v>
      </c>
      <c r="F23" s="88" t="s" ph="1">
        <v>109</v>
      </c>
      <c r="G23" s="88" t="s" ph="1">
        <v>626</v>
      </c>
      <c r="H23" s="88" t="s" ph="1">
        <v>626</v>
      </c>
      <c r="I23" s="88" t="s" ph="1">
        <v>627</v>
      </c>
      <c r="J23" s="88" t="s" ph="1">
        <v>628</v>
      </c>
      <c r="K23" s="88" t="s" ph="1">
        <v>628</v>
      </c>
      <c r="L23" s="88" t="s" ph="1">
        <v>628</v>
      </c>
      <c r="M23" s="88" t="s" ph="1">
        <v>623</v>
      </c>
      <c r="N23" s="88" t="s" ph="1">
        <v>623</v>
      </c>
      <c r="O23" s="88" t="s" ph="1">
        <v>318</v>
      </c>
      <c r="P23" s="88" t="s" ph="1">
        <v>629</v>
      </c>
      <c r="Q23" s="89" t="s" ph="1">
        <v>629</v>
      </c>
      <c r="R23" s="88" t="s" ph="1">
        <v>610</v>
      </c>
      <c r="S23" s="88" t="s" ph="1">
        <v>629</v>
      </c>
      <c r="T23" s="88" t="s" ph="1">
        <v>604</v>
      </c>
      <c r="U23" s="104" t="s" ph="1">
        <v>606</v>
      </c>
      <c r="V23" s="88" t="s" ph="1">
        <v>629</v>
      </c>
      <c r="W23" s="88" t="s" ph="1">
        <v>629</v>
      </c>
      <c r="X23" s="88" t="s" ph="1">
        <v>187</v>
      </c>
      <c r="Y23" s="88" t="s" ph="1">
        <v>630</v>
      </c>
      <c r="Z23" s="175" t="s" ph="1">
        <v>638</v>
      </c>
      <c r="AA23" s="176"/>
      <c r="AB23" s="176"/>
      <c r="AC23" s="176"/>
      <c r="AD23" s="176"/>
      <c r="AE23" s="177"/>
      <c r="AH23" s="64" ph="1">
        <v>9</v>
      </c>
      <c r="AI23" s="64" t="s" ph="1">
        <v>346</v>
      </c>
      <c r="AZ23" s="64" t="s" ph="1">
        <v>216</v>
      </c>
      <c r="BA23" s="64" ph="1">
        <v>0</v>
      </c>
      <c r="BD23" s="64" t="s" ph="1">
        <v>238</v>
      </c>
      <c r="BE23" s="64" ph="1">
        <v>890</v>
      </c>
    </row>
    <row r="24" spans="1:57" ph="1">
      <c r="A24" s="72" ph="1"/>
      <c r="B24" s="184" ph="1">
        <v>0.33333333333333331</v>
      </c>
      <c r="C24" s="156" t="s" ph="1">
        <v>177</v>
      </c>
      <c r="D24" s="71">
        <v>4.29</v>
      </c>
      <c r="E24" s="71">
        <v>5.79</v>
      </c>
      <c r="F24" s="71">
        <v>129</v>
      </c>
      <c r="G24" s="71">
        <v>3435</v>
      </c>
      <c r="H24" s="71">
        <v>3789</v>
      </c>
      <c r="I24" s="71">
        <v>1479</v>
      </c>
      <c r="J24" s="71">
        <v>209</v>
      </c>
      <c r="K24" s="71">
        <v>248</v>
      </c>
      <c r="L24" s="71">
        <v>469</v>
      </c>
      <c r="M24" s="71">
        <v>4827</v>
      </c>
      <c r="N24" s="71">
        <v>4688</v>
      </c>
      <c r="O24" s="71">
        <v>1476</v>
      </c>
      <c r="P24" s="71">
        <v>841</v>
      </c>
      <c r="Q24" s="90">
        <v>2588</v>
      </c>
      <c r="R24" s="71">
        <v>6759</v>
      </c>
      <c r="S24" s="71">
        <v>6998</v>
      </c>
      <c r="T24" s="71">
        <v>510</v>
      </c>
      <c r="U24" s="71">
        <v>5307</v>
      </c>
      <c r="V24" s="71">
        <v>1015</v>
      </c>
      <c r="W24" s="71">
        <v>402</v>
      </c>
      <c r="X24" s="71">
        <v>3860</v>
      </c>
      <c r="Y24" s="71">
        <v>8707</v>
      </c>
      <c r="Z24" s="178"/>
      <c r="AA24" s="179"/>
      <c r="AB24" s="179"/>
      <c r="AC24" s="179"/>
      <c r="AD24" s="179"/>
      <c r="AE24" s="180"/>
      <c r="AH24" s="64" ph="1">
        <v>10</v>
      </c>
      <c r="AI24" s="64" t="s" ph="1">
        <v>347</v>
      </c>
      <c r="AZ24" s="64" t="s" ph="1">
        <v>216</v>
      </c>
      <c r="BA24" s="64" ph="1">
        <v>0</v>
      </c>
    </row>
    <row r="25" spans="1:57" ph="1">
      <c r="A25" s="72" ph="1"/>
      <c r="B25" s="184" ph="1"/>
      <c r="C25" s="68" t="s" ph="1">
        <v>178</v>
      </c>
      <c r="D25" s="91" ph="1">
        <f>D24*268.68*LOOKUP(D26,密度!$A$2:$A$50,密度!$Q$2:$Q$50)+IF(D24&lt;=0,0,1566*LOOKUP(D26,密度!$A$2:$A$50,密度!$Q$2:$Q$50))</f>
        <v>2573.8425827279998</v>
      </c>
      <c r="E25" s="91" ph="1">
        <f>E24*268.68*LOOKUP(E26,密度!$A$2:$A$50,密度!$C$2:$C$50)+IF(E24&lt;=0,0,1566*LOOKUP(E26,密度!$A$2:$A$50,密度!$C$2:$C$50))</f>
        <v>3461.6056690800001</v>
      </c>
      <c r="F25" s="91" ph="1">
        <f>F24*11.702*LOOKUP(F26,密度!$A$2:$A$50,密度!$Q$2:$Q$50)</f>
        <v>1433.6121370200001</v>
      </c>
      <c r="G25" s="91" ph="1">
        <f>G24*18.322*LOOKUP(G26,密度!$A$2:$A$50,密度!$B$2:$B$50)</f>
        <v>49064.960171999999</v>
      </c>
      <c r="H25" s="91" ph="1">
        <f>H24*18.322*LOOKUP(H26,密度!$A$2:$A$50,密度!$B$2:$B$50)</f>
        <v>54121.436416799988</v>
      </c>
      <c r="I25" s="91" ph="1">
        <f>I24*18.322*LOOKUP(I26,密度!$A$2:$A$50,密度!$Q$2:$Q$50)</f>
        <v>25674.767557859999</v>
      </c>
      <c r="J25" s="91" ph="1">
        <f>J24*18.322*LOOKUP(J26,密度!$A$2:$A$50,密度!$Q$2:$Q$50)</f>
        <v>3628.1449760599999</v>
      </c>
      <c r="K25" s="91" ph="1">
        <f>K24*18.322*LOOKUP(K26,密度!$A$2:$A$50,密度!$Q$2:$Q$50)</f>
        <v>4308.4842591999995</v>
      </c>
      <c r="L25" s="91" ph="1">
        <f>L24*18.322*LOOKUP(L26,密度!$A$2:$A$50,密度!$Q$2:$Q$50)</f>
        <v>8141.6267644600002</v>
      </c>
      <c r="M25" s="91" ph="1">
        <f>M24*18.322*LOOKUP(M26,密度!$A$2:$A$50,密度!$Q$2:$Q$50)</f>
        <v>83729.963941559996</v>
      </c>
      <c r="N25" s="91" ph="1">
        <f>N24*18.322*LOOKUP(N26,密度!$A$2:$A$50,密度!$Q$2:$Q$50)</f>
        <v>81520.696082239985</v>
      </c>
      <c r="O25" s="91" ph="1">
        <f>O24*18.322*LOOKUP(O26,密度!$A$2:$A$50,密度!$C$2:$C$50)</f>
        <v>30007.214611199994</v>
      </c>
      <c r="P25" s="91" ph="1">
        <f>P24*11.702*LOOKUP(P26,密度!$A$2:$A$50,密度!$B$2:$B$50)</f>
        <v>7681.1986509999997</v>
      </c>
      <c r="Q25" s="92" ph="1">
        <f>Q24*18.322*LOOKUP(Q26,密度!$A$2:$A$50,密度!$B$2:$B$50)</f>
        <v>36966.555145599996</v>
      </c>
      <c r="R25" s="91" ph="1">
        <f>R24*35.891*LOOKUP(R26,密度!$A$2:$A$50,密度!$C$2:$C$50)</f>
        <v>268641.14169059996</v>
      </c>
      <c r="S25" s="91" ph="1">
        <f>S24*35.891*LOOKUP(S26,密度!$A$2:$A$50,密度!$B$2:$B$50)</f>
        <v>195808.40395279997</v>
      </c>
      <c r="T25" s="91" ph="1">
        <f>T24*35.891*LOOKUP(T26,密度!$A$2:$A$50,密度!$Q$2:$Q$50)</f>
        <v>17303.5248612</v>
      </c>
      <c r="U25" s="91" ph="1">
        <f>U24*35.891</f>
        <v>190473.53699999998</v>
      </c>
      <c r="V25" s="91" ph="1">
        <f>V24*47.051*LOOKUP(V26,密度!$A$2:$A$50,密度!$B$2:$B$50)</f>
        <v>37317.136170999998</v>
      </c>
      <c r="W25" s="91" ph="1">
        <f>W24*47.051*LOOKUP(W26,密度!$A$2:$A$50,密度!$B$2:$B$50)</f>
        <v>14762.768811</v>
      </c>
      <c r="X25" s="91" ph="1">
        <f>X24*47.051*LOOKUP(X26,密度!$A$2:$A$61,密度!$I$2:$I$61)</f>
        <v>189099.474632</v>
      </c>
      <c r="Y25" s="91" ph="1">
        <f>Y24*47.051*LOOKUP(Y26,密度!$A$2:$A$50,密度!$L$2:$L$50)</f>
        <v>383453.98135200003</v>
      </c>
      <c r="Z25" s="178"/>
      <c r="AA25" s="179"/>
      <c r="AB25" s="179"/>
      <c r="AC25" s="179"/>
      <c r="AD25" s="179"/>
      <c r="AE25" s="180"/>
      <c r="AH25" s="64" ph="1">
        <v>11</v>
      </c>
      <c r="AI25" s="64" t="s" ph="1">
        <v>348</v>
      </c>
      <c r="AZ25" s="64" t="s" ph="1">
        <v>216</v>
      </c>
      <c r="BA25" s="64" ph="1">
        <v>0</v>
      </c>
      <c r="BD25" s="64" t="s" ph="1">
        <v>241</v>
      </c>
      <c r="BE25" s="64" ph="1">
        <v>8920</v>
      </c>
    </row>
    <row r="26" spans="1:57" ph="1">
      <c r="A26" s="72" ph="1"/>
      <c r="B26" s="184" ph="1"/>
      <c r="C26" s="68" t="s" ph="1">
        <v>179</v>
      </c>
      <c r="D26" s="74">
        <v>25</v>
      </c>
      <c r="E26" s="74">
        <v>25</v>
      </c>
      <c r="F26" s="74">
        <v>21</v>
      </c>
      <c r="G26" s="74">
        <v>25</v>
      </c>
      <c r="H26" s="74">
        <v>25</v>
      </c>
      <c r="I26" s="74">
        <v>24</v>
      </c>
      <c r="J26" s="74">
        <v>24</v>
      </c>
      <c r="K26" s="74">
        <v>23</v>
      </c>
      <c r="L26" s="74">
        <v>24</v>
      </c>
      <c r="M26" s="74">
        <v>25</v>
      </c>
      <c r="N26" s="74">
        <v>22</v>
      </c>
      <c r="O26" s="74">
        <v>24</v>
      </c>
      <c r="P26" s="74">
        <v>24</v>
      </c>
      <c r="Q26" s="93">
        <v>25</v>
      </c>
      <c r="R26" s="74">
        <v>27</v>
      </c>
      <c r="S26" s="74">
        <v>25</v>
      </c>
      <c r="T26" s="74">
        <v>27</v>
      </c>
      <c r="U26" s="74">
        <v>28</v>
      </c>
      <c r="V26" s="74">
        <v>23</v>
      </c>
      <c r="W26" s="74">
        <v>24</v>
      </c>
      <c r="X26" s="74">
        <v>26</v>
      </c>
      <c r="Y26" s="74">
        <v>26</v>
      </c>
      <c r="Z26" s="178"/>
      <c r="AA26" s="179"/>
      <c r="AB26" s="179"/>
      <c r="AC26" s="179"/>
      <c r="AD26" s="179"/>
      <c r="AE26" s="180"/>
      <c r="AH26" s="64" ph="1">
        <v>12</v>
      </c>
      <c r="AI26" s="64" t="s" ph="1">
        <v>349</v>
      </c>
      <c r="AZ26" s="64" t="s" ph="1">
        <v>216</v>
      </c>
      <c r="BA26" s="64" ph="1">
        <v>0</v>
      </c>
    </row>
    <row r="27" spans="1:57" ht="26.4" ph="1">
      <c r="A27" s="72" ph="1"/>
      <c r="B27" s="184" ph="1">
        <v>0.66666666666666663</v>
      </c>
      <c r="C27" s="156" t="s" ph="1">
        <v>180</v>
      </c>
      <c r="D27" s="71">
        <v>4.3</v>
      </c>
      <c r="E27" s="71">
        <v>5.76</v>
      </c>
      <c r="F27" s="71">
        <v>126</v>
      </c>
      <c r="G27" s="71">
        <v>3032</v>
      </c>
      <c r="H27" s="71">
        <v>3264</v>
      </c>
      <c r="I27" s="71">
        <v>292</v>
      </c>
      <c r="J27" s="71">
        <v>203</v>
      </c>
      <c r="K27" s="71">
        <v>244</v>
      </c>
      <c r="L27" s="71">
        <v>2548</v>
      </c>
      <c r="M27" s="71">
        <v>4823</v>
      </c>
      <c r="N27" s="71">
        <v>4687</v>
      </c>
      <c r="O27" s="71">
        <v>1471</v>
      </c>
      <c r="P27" s="71">
        <v>839</v>
      </c>
      <c r="Q27" s="90">
        <v>1400</v>
      </c>
      <c r="R27" s="71">
        <v>6299</v>
      </c>
      <c r="S27" s="71">
        <v>6414</v>
      </c>
      <c r="T27" s="71">
        <v>507</v>
      </c>
      <c r="U27" s="71">
        <v>5174</v>
      </c>
      <c r="V27" s="71">
        <v>1011</v>
      </c>
      <c r="W27" s="71">
        <v>398</v>
      </c>
      <c r="X27" s="71">
        <v>4464</v>
      </c>
      <c r="Y27" s="71">
        <v>6550</v>
      </c>
      <c r="Z27" s="178"/>
      <c r="AA27" s="179"/>
      <c r="AB27" s="179"/>
      <c r="AC27" s="179"/>
      <c r="AD27" s="179"/>
      <c r="AE27" s="180"/>
      <c r="AH27" s="64" ph="1">
        <v>13</v>
      </c>
      <c r="AI27" s="64" t="s" ph="1">
        <v>350</v>
      </c>
      <c r="AZ27" s="64" t="s" ph="1">
        <v>216</v>
      </c>
      <c r="BA27" s="64" ph="1">
        <v>0</v>
      </c>
      <c r="BD27" s="64" t="s" ph="1">
        <v>295</v>
      </c>
      <c r="BE27" s="64" ph="1">
        <v>7100</v>
      </c>
    </row>
    <row r="28" spans="1:57" ph="1">
      <c r="A28" s="72" ph="1"/>
      <c r="B28" s="184" ph="1"/>
      <c r="C28" s="156" t="s" ph="1">
        <v>178</v>
      </c>
      <c r="D28" s="91" ph="1">
        <f>D27*268.68*LOOKUP(D29,密度!$A$2:$A$50,密度!$Q$2:$Q$50)+IF(D27&lt;=0,0,1566*LOOKUP(D29,密度!$A$2:$A$50,密度!$Q$2:$Q$50))</f>
        <v>2576.38628376</v>
      </c>
      <c r="E28" s="91" ph="1">
        <f>E27*268.68*LOOKUP(E29,密度!$A$2:$A$50,密度!$C$2:$C$50)+IF(E27&lt;=0,0,1566*LOOKUP(E29,密度!$A$2:$A$50,密度!$C$2:$C$50))</f>
        <v>3452.6674915200001</v>
      </c>
      <c r="F28" s="91" ph="1">
        <f>F27*11.702*LOOKUP(F29,密度!$A$2:$A$50,密度!$Q$2:$Q$50)</f>
        <v>1395.92268648</v>
      </c>
      <c r="G28" s="91" ph="1">
        <f>G27*18.322*LOOKUP(G29,密度!$A$2:$A$50,密度!$B$2:$B$50)</f>
        <v>43308.576198399998</v>
      </c>
      <c r="H28" s="91" ph="1">
        <f>H27*18.322*LOOKUP(H29,密度!$A$2:$A$50,密度!$B$2:$B$50)</f>
        <v>46622.425036799992</v>
      </c>
      <c r="I28" s="91" ph="1">
        <f>I27*18.322*LOOKUP(I29,密度!$A$2:$A$50,密度!$Q$2:$Q$50)</f>
        <v>5057.4846876799993</v>
      </c>
      <c r="J28" s="91" ph="1">
        <f>J27*18.322*LOOKUP(J29,密度!$A$2:$A$50,密度!$Q$2:$Q$50)</f>
        <v>3508.5895287799999</v>
      </c>
      <c r="K28" s="91" ph="1">
        <f>K27*18.322*LOOKUP(K29,密度!$A$2:$A$50,密度!$Q$2:$Q$50)</f>
        <v>4235.7290629600002</v>
      </c>
      <c r="L28" s="91" ph="1">
        <f>L27*18.322*LOOKUP(L29,密度!$A$2:$A$50,密度!$Q$2:$Q$50)</f>
        <v>44198.041873440001</v>
      </c>
      <c r="M28" s="91" ph="1">
        <f>M27*18.322*LOOKUP(M29,密度!$A$2:$A$50,密度!$Q$2:$Q$50)</f>
        <v>83660.57926043999</v>
      </c>
      <c r="N28" s="91" ph="1">
        <f>N27*18.322*LOOKUP(N29,密度!$A$2:$A$50,密度!$Q$2:$Q$50)</f>
        <v>81503.306855259987</v>
      </c>
      <c r="O28" s="91" ph="1">
        <f>O27*18.322*LOOKUP(O29,密度!$A$2:$A$50,密度!$C$2:$C$50)</f>
        <v>29905.564155199998</v>
      </c>
      <c r="P28" s="91" ph="1">
        <f>P27*11.702*LOOKUP(P29,密度!$A$2:$A$50,密度!$B$2:$B$50)</f>
        <v>7654.0956487999993</v>
      </c>
      <c r="Q28" s="92" ph="1">
        <f>Q27*18.322*LOOKUP(Q29,密度!$A$2:$A$50,密度!$B$2:$B$50)</f>
        <v>19974.277959999999</v>
      </c>
      <c r="R28" s="91" ph="1">
        <f>R27*35.891*LOOKUP(R29,密度!$A$2:$A$50,密度!$C$2:$C$50)</f>
        <v>250177.26079939998</v>
      </c>
      <c r="S28" s="91" ph="1">
        <f>S27*35.891*LOOKUP(S29,密度!$A$2:$A$50,密度!$B$2:$B$50)</f>
        <v>179674.90415699998</v>
      </c>
      <c r="T28" s="91" ph="1">
        <f>T27*35.891*LOOKUP(T29,密度!$A$2:$A$50,密度!$Q$2:$Q$50)</f>
        <v>17201.73942084</v>
      </c>
      <c r="U28" s="91" ph="1">
        <f>U27*35.891</f>
        <v>185700.03399999999</v>
      </c>
      <c r="V28" s="91" ph="1">
        <f>V27*47.051*LOOKUP(V29,密度!$A$2:$A$50,密度!$B$2:$B$50)</f>
        <v>37127.261860500003</v>
      </c>
      <c r="W28" s="91" ph="1">
        <f>W27*47.051*LOOKUP(W29,密度!$A$2:$A$50,密度!$B$2:$B$50)</f>
        <v>14615.875589000001</v>
      </c>
      <c r="X28" s="91" ph="1">
        <f>X27*47.051*LOOKUP(X29,密度!$A$2:$A$61,密度!$I$2:$I$61)</f>
        <v>218689.13335680001</v>
      </c>
      <c r="Y28" s="91" ph="1">
        <f>Y27*47.051*LOOKUP(Y29,密度!$A$2:$A$50,密度!$L$2:$L$50)</f>
        <v>288460.2708</v>
      </c>
      <c r="Z28" s="178"/>
      <c r="AA28" s="179"/>
      <c r="AB28" s="179"/>
      <c r="AC28" s="179"/>
      <c r="AD28" s="179"/>
      <c r="AE28" s="180"/>
      <c r="AH28" s="64" ph="1">
        <v>14</v>
      </c>
      <c r="AI28" s="64" t="s" ph="1">
        <v>351</v>
      </c>
      <c r="AZ28" s="64" t="s" ph="1">
        <v>216</v>
      </c>
      <c r="BA28" s="64" ph="1">
        <v>0</v>
      </c>
    </row>
    <row r="29" spans="1:57" ph="1">
      <c r="A29" s="72" ph="1"/>
      <c r="B29" s="184" ph="1"/>
      <c r="C29" s="156" t="s" ph="1">
        <v>179</v>
      </c>
      <c r="D29" s="74">
        <v>25</v>
      </c>
      <c r="E29" s="74">
        <v>25</v>
      </c>
      <c r="F29" s="74">
        <v>25</v>
      </c>
      <c r="G29" s="74">
        <v>25</v>
      </c>
      <c r="H29" s="74">
        <v>25</v>
      </c>
      <c r="I29" s="74">
        <v>27</v>
      </c>
      <c r="J29" s="74">
        <v>30</v>
      </c>
      <c r="K29" s="74">
        <v>24</v>
      </c>
      <c r="L29" s="74">
        <v>25</v>
      </c>
      <c r="M29" s="74">
        <v>25</v>
      </c>
      <c r="N29" s="74">
        <v>22</v>
      </c>
      <c r="O29" s="74">
        <v>24</v>
      </c>
      <c r="P29" s="74">
        <v>25</v>
      </c>
      <c r="Q29" s="93">
        <v>26</v>
      </c>
      <c r="R29" s="74">
        <v>28</v>
      </c>
      <c r="S29" s="74">
        <v>24</v>
      </c>
      <c r="T29" s="74">
        <v>27</v>
      </c>
      <c r="U29" s="74">
        <v>28</v>
      </c>
      <c r="V29" s="74">
        <v>24</v>
      </c>
      <c r="W29" s="74">
        <v>24</v>
      </c>
      <c r="X29" s="74">
        <v>26</v>
      </c>
      <c r="Y29" s="74">
        <v>26</v>
      </c>
      <c r="Z29" s="181"/>
      <c r="AA29" s="182"/>
      <c r="AB29" s="182"/>
      <c r="AC29" s="182"/>
      <c r="AD29" s="182"/>
      <c r="AE29" s="183"/>
      <c r="AH29" s="64" ph="1">
        <v>15</v>
      </c>
      <c r="AI29" s="64" t="s" ph="1">
        <v>352</v>
      </c>
      <c r="AZ29" s="64" t="s" ph="1">
        <v>216</v>
      </c>
      <c r="BA29" s="64" ph="1">
        <v>0</v>
      </c>
      <c r="BD29" s="64" t="s" ph="1">
        <v>353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354</v>
      </c>
      <c r="AZ30" s="64" t="s" ph="1">
        <v>216</v>
      </c>
      <c r="BA30" s="64" ph="1">
        <v>0</v>
      </c>
    </row>
    <row r="31" spans="1:57" ht="28.2" ph="1">
      <c r="A31" s="64"/>
      <c r="B31" s="197" t="s" ph="1">
        <v>35</v>
      </c>
      <c r="C31" s="198" ph="1"/>
      <c r="D31" s="201" t="s" ph="1">
        <v>9</v>
      </c>
      <c r="E31" s="190" ph="1"/>
      <c r="F31" s="191" ph="1"/>
      <c r="G31" s="201" t="s" ph="1">
        <v>18</v>
      </c>
      <c r="H31" s="190" ph="1"/>
      <c r="I31" s="191" ph="1"/>
      <c r="J31" s="189" t="s" ph="1">
        <v>1</v>
      </c>
      <c r="K31" s="190" ph="1"/>
      <c r="L31" s="191" ph="1"/>
      <c r="M31" s="189" t="s" ph="1">
        <v>7</v>
      </c>
      <c r="N31" s="190" ph="1"/>
      <c r="O31" s="191" ph="1"/>
      <c r="P31" s="189" t="s" ph="1">
        <v>41</v>
      </c>
      <c r="Q31" s="190"/>
      <c r="R31" s="191"/>
      <c r="S31" s="189" t="s" ph="1">
        <v>2</v>
      </c>
      <c r="T31" s="190"/>
      <c r="U31" s="191"/>
      <c r="V31" s="189" t="s" ph="1">
        <v>71</v>
      </c>
      <c r="W31" s="190" ph="1"/>
      <c r="X31" s="191" ph="1"/>
      <c r="Y31" s="189" t="s" ph="1">
        <v>3</v>
      </c>
      <c r="Z31" s="190" ph="1"/>
      <c r="AA31" s="191" ph="1"/>
      <c r="AB31" s="212" t="s">
        <v>42</v>
      </c>
      <c r="AC31" s="213"/>
      <c r="AD31" s="213"/>
      <c r="AE31" s="214"/>
      <c r="AH31" s="64" ph="1">
        <v>17</v>
      </c>
      <c r="AI31" s="64" t="s" ph="1">
        <v>355</v>
      </c>
      <c r="AZ31" s="64" t="s" ph="1">
        <v>216</v>
      </c>
      <c r="BA31" s="64" ph="1">
        <v>0</v>
      </c>
      <c r="BD31" s="64" t="s" ph="1">
        <v>356</v>
      </c>
      <c r="BE31" s="64" ph="1">
        <v>9310</v>
      </c>
    </row>
    <row r="32" spans="1:57" ph="1">
      <c r="A32" s="64"/>
      <c r="B32" s="199" ph="1"/>
      <c r="C32" s="200" ph="1"/>
      <c r="D32" s="96" t="s" ph="1">
        <v>4</v>
      </c>
      <c r="E32" s="156" t="s" ph="1">
        <v>5</v>
      </c>
      <c r="F32" s="155" t="s" ph="1">
        <v>43</v>
      </c>
      <c r="G32" s="97" t="s" ph="1">
        <v>4</v>
      </c>
      <c r="H32" s="156" t="s" ph="1">
        <v>5</v>
      </c>
      <c r="I32" s="155" t="s" ph="1">
        <v>43</v>
      </c>
      <c r="J32" s="97" t="s" ph="1">
        <v>4</v>
      </c>
      <c r="K32" s="156" t="s" ph="1">
        <v>5</v>
      </c>
      <c r="L32" s="155" t="s" ph="1">
        <v>43</v>
      </c>
      <c r="M32" s="97" t="s" ph="1">
        <v>4</v>
      </c>
      <c r="N32" s="156" t="s" ph="1">
        <v>5</v>
      </c>
      <c r="O32" s="155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56" t="s" ph="1">
        <v>5</v>
      </c>
      <c r="U32" s="99" t="s" ph="1">
        <v>43</v>
      </c>
      <c r="V32" s="97" t="s" ph="1">
        <v>4</v>
      </c>
      <c r="W32" s="156" t="s" ph="1">
        <v>5</v>
      </c>
      <c r="X32" s="99" t="s" ph="1">
        <v>43</v>
      </c>
      <c r="Y32" s="100" t="s" ph="1">
        <v>4</v>
      </c>
      <c r="Z32" s="156" t="s" ph="1">
        <v>5</v>
      </c>
      <c r="AA32" s="155" t="s" ph="1">
        <v>43</v>
      </c>
      <c r="AB32" s="97" t="s" ph="1">
        <v>85</v>
      </c>
      <c r="AC32" s="156" t="s" ph="1">
        <v>84</v>
      </c>
      <c r="AD32" s="215" t="s" ph="1">
        <v>83</v>
      </c>
      <c r="AE32" s="216"/>
      <c r="AH32" s="64" ph="1">
        <v>18</v>
      </c>
      <c r="AI32" s="64" t="s" ph="1">
        <v>357</v>
      </c>
      <c r="AZ32" s="64" t="s" ph="1">
        <v>216</v>
      </c>
      <c r="BA32" s="64" ph="1">
        <v>0</v>
      </c>
    </row>
    <row r="33" spans="1:57" ph="1">
      <c r="A33" s="64"/>
      <c r="B33" s="202" t="s" ph="1">
        <v>181</v>
      </c>
      <c r="C33" s="203" ph="1"/>
      <c r="D33" s="206" ph="1">
        <f>AA10+AB10+Z19</f>
        <v>77988.304950339996</v>
      </c>
      <c r="E33" s="206" ph="1">
        <f>M10+I10</f>
        <v>201311.9056692</v>
      </c>
      <c r="F33" s="208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1522252632456786910111213141516171819202123456789101112131415161718192022232424356789101112131415161718192021222345678910111213141516171819202345678910111213149101516171819222123234567891012131415161711181920212224252345678910111213110[[#This Row],[F25]]</f>
        <v>3880</v>
      </c>
      <c r="G33" s="210" ph="1">
        <f>N19</f>
        <v>13394.0279286</v>
      </c>
      <c r="H33" s="206" ph="1">
        <f>M19</f>
        <v>49345.787283199999</v>
      </c>
      <c r="I33" s="219" ph="1">
        <v>0</v>
      </c>
      <c r="J33" s="217" ph="1">
        <f>F10+O28</f>
        <v>244422.22429340001</v>
      </c>
      <c r="K33" s="206" ph="1">
        <f>O10+K10+E28+R28</f>
        <v>389116.35243812</v>
      </c>
      <c r="L33" s="221" ph="1">
        <f>K19</f>
        <v>22835.399666640002</v>
      </c>
      <c r="M33" s="217" ph="1">
        <f>G10+H10+W28+S28+V28+E10+R19+P28+Q28</f>
        <v>874099.86375849985</v>
      </c>
      <c r="N33" s="206" ph="1">
        <f>L10+P10++G28+H28+AD19+AE19</f>
        <v>149632.54634859998</v>
      </c>
      <c r="O33" s="219" ph="1">
        <f>G19</f>
        <v>25093.45779352</v>
      </c>
      <c r="P33" s="217" ph="1">
        <f>L19</f>
        <v>11968.56979648</v>
      </c>
      <c r="Q33" s="206" ph="1">
        <f>J10+N10</f>
        <v>6299.1239119999991</v>
      </c>
      <c r="R33" s="219" ph="1">
        <f>BE23</f>
        <v>890</v>
      </c>
      <c r="S33" s="217" ph="1">
        <f>X28</f>
        <v>218689.13335680001</v>
      </c>
      <c r="T33" s="206" ph="1">
        <f>X19</f>
        <v>18317.968991279999</v>
      </c>
      <c r="U33" s="227" ph="1">
        <f>BE21</f>
        <v>730</v>
      </c>
      <c r="V33" s="238" ph="1">
        <f ca="1">P19+Q19+S19+M28+N28+J28+D10+AC10+D19+E19+H19+J19+O19+V19+W19+K28+L28</f>
        <v>585858.51962103799</v>
      </c>
      <c r="W33" s="238" ph="1">
        <f>D28+F28+T28+I28</f>
        <v>26231.53307876</v>
      </c>
      <c r="X33" s="219" ph="1">
        <f>BE29+BE31</f>
        <v>10200</v>
      </c>
      <c r="Y33" s="240" ph="1">
        <f>+Q10+R10+S10+T10+U10+V10+W10+X10+Y10</f>
        <v>232115.23732320004</v>
      </c>
      <c r="Z33" s="225" ph="1">
        <f>T19+U19+Y28+Z10</f>
        <v>504080.33126178</v>
      </c>
      <c r="AA33" s="227" ph="1">
        <f>BE19</f>
        <v>1440</v>
      </c>
      <c r="AB33" s="229" ph="1">
        <f>I19</f>
        <v>49760.750591999997</v>
      </c>
      <c r="AC33" s="231" ph="1">
        <f>AD10+AB19</f>
        <v>81650.396315999998</v>
      </c>
      <c r="AD33" s="233" ph="1">
        <v>0</v>
      </c>
      <c r="AE33" s="234"/>
      <c r="AH33" s="64" ph="1">
        <v>19</v>
      </c>
      <c r="AI33" s="64" t="s" ph="1">
        <v>358</v>
      </c>
      <c r="AJ33" s="64" t="s" ph="1">
        <v>592</v>
      </c>
      <c r="AK33" s="64" t="s" ph="1">
        <v>589</v>
      </c>
      <c r="AL33" s="64" ph="1">
        <v>730</v>
      </c>
      <c r="AM33" s="64" t="s" ph="1">
        <v>339</v>
      </c>
      <c r="AZ33" s="64" t="s" ph="1">
        <v>216</v>
      </c>
      <c r="BA33" s="64" ph="1">
        <v>730</v>
      </c>
      <c r="BD33" s="64" t="s" ph="1">
        <v>290</v>
      </c>
      <c r="BE33" s="64" ph="1">
        <v>3880</v>
      </c>
    </row>
    <row r="34" spans="1:57" ph="1">
      <c r="A34" s="64"/>
      <c r="B34" s="204" ph="1"/>
      <c r="C34" s="205" ph="1"/>
      <c r="D34" s="207" ph="1"/>
      <c r="E34" s="207" ph="1"/>
      <c r="F34" s="209" ph="1"/>
      <c r="G34" s="211" ph="1"/>
      <c r="H34" s="207" ph="1"/>
      <c r="I34" s="220" ph="1"/>
      <c r="J34" s="218" ph="1"/>
      <c r="K34" s="207" ph="1"/>
      <c r="L34" s="222" ph="1"/>
      <c r="M34" s="218" ph="1"/>
      <c r="N34" s="207" ph="1"/>
      <c r="O34" s="220" ph="1"/>
      <c r="P34" s="218" ph="1"/>
      <c r="Q34" s="207" ph="1"/>
      <c r="R34" s="220" ph="1"/>
      <c r="S34" s="218" ph="1"/>
      <c r="T34" s="207"/>
      <c r="U34" s="228"/>
      <c r="V34" s="239" ph="1"/>
      <c r="W34" s="239" ph="1"/>
      <c r="X34" s="220" ph="1"/>
      <c r="Y34" s="241" ph="1"/>
      <c r="Z34" s="226" ph="1"/>
      <c r="AA34" s="228" ph="1"/>
      <c r="AB34" s="230"/>
      <c r="AC34" s="232"/>
      <c r="AD34" s="235"/>
      <c r="AE34" s="236"/>
      <c r="AH34" s="64" ph="1">
        <v>20</v>
      </c>
      <c r="AI34" s="64" t="s" ph="1">
        <v>359</v>
      </c>
      <c r="AJ34" s="64" t="s" ph="1">
        <v>593</v>
      </c>
      <c r="AK34" s="64" t="s" ph="1">
        <v>589</v>
      </c>
      <c r="AL34" s="64" ph="1">
        <v>720</v>
      </c>
      <c r="AM34" s="64" t="s" ph="1">
        <v>339</v>
      </c>
      <c r="AZ34" s="64" t="s" ph="1">
        <v>216</v>
      </c>
      <c r="BA34" s="64" ph="1">
        <v>720</v>
      </c>
    </row>
    <row r="35" spans="1:57" ph="1">
      <c r="A35" s="64"/>
      <c r="AC35" s="237" t="s" ph="1">
        <v>631</v>
      </c>
      <c r="AD35" s="237"/>
      <c r="AE35" s="237"/>
      <c r="AH35" s="64" ph="1">
        <v>21</v>
      </c>
      <c r="AI35" s="64" t="s" ph="1">
        <v>360</v>
      </c>
      <c r="AZ35" s="64" t="s" ph="1">
        <v>216</v>
      </c>
      <c r="BA35" s="64" ph="1">
        <v>0</v>
      </c>
      <c r="BD35" s="64" t="s" ph="1">
        <v>361</v>
      </c>
      <c r="BE35" s="64" ph="1">
        <v>2030</v>
      </c>
    </row>
    <row r="36" spans="1:57" ht="28.2" ph="1">
      <c r="A36" s="64"/>
      <c r="B36" s="103" t="s" ph="1">
        <v>182</v>
      </c>
      <c r="I36" s="223" t="s" ph="1">
        <v>183</v>
      </c>
      <c r="J36" s="223" ph="1"/>
      <c r="K36" s="101" ph="1"/>
      <c r="P36" s="101" ph="1"/>
      <c r="R36" s="223" t="s" ph="1">
        <v>184</v>
      </c>
      <c r="S36" s="223" ph="1"/>
      <c r="Y36" s="102" ph="1"/>
      <c r="Z36" s="154" t="s" ph="1">
        <v>185</v>
      </c>
      <c r="AA36" s="154" ph="1"/>
      <c r="AB36" s="224" t="s" ph="1">
        <v>640</v>
      </c>
      <c r="AC36" s="224" ph="1"/>
      <c r="AD36" s="224" ph="1"/>
      <c r="AE36" s="224" ph="1"/>
      <c r="BA36" s="64" ph="1">
        <v>2270</v>
      </c>
    </row>
    <row r="37" spans="1:57" s="154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54" t="s" ph="1">
        <v>342</v>
      </c>
      <c r="AI37" s="154" t="s" ph="1">
        <v>209</v>
      </c>
      <c r="AJ37" s="154" t="s" ph="1">
        <v>210</v>
      </c>
      <c r="AK37" s="154" t="s" ph="1">
        <v>211</v>
      </c>
      <c r="AM37" s="154" t="s" ph="1">
        <v>210</v>
      </c>
      <c r="AN37" s="154" t="s" ph="1">
        <v>211</v>
      </c>
      <c r="AO37" s="154" t="s" ph="1">
        <v>212</v>
      </c>
      <c r="AP37" s="154" t="s" ph="1">
        <v>210</v>
      </c>
      <c r="AQ37" s="154" t="s" ph="1">
        <v>211</v>
      </c>
      <c r="AR37" s="154" t="s" ph="1">
        <v>212</v>
      </c>
      <c r="AS37" s="154" t="s" ph="1">
        <v>210</v>
      </c>
      <c r="AT37" s="154" t="s" ph="1">
        <v>211</v>
      </c>
      <c r="AU37" s="154" t="s" ph="1">
        <v>212</v>
      </c>
      <c r="AV37" s="154" t="s" ph="1">
        <v>210</v>
      </c>
      <c r="AW37" s="154" t="s" ph="1">
        <v>211</v>
      </c>
      <c r="AX37" s="154" t="s" ph="1">
        <v>212</v>
      </c>
      <c r="AY37" s="154" t="s" ph="1">
        <v>211</v>
      </c>
      <c r="AZ37" s="154" t="s" ph="1">
        <v>213</v>
      </c>
      <c r="BD37" s="154" t="s" ph="1">
        <v>305</v>
      </c>
      <c r="BE37" s="154" ph="1">
        <v>0</v>
      </c>
    </row>
    <row r="38" spans="1:57" ph="1">
      <c r="AE38" s="64" ph="1"/>
      <c r="AH38" s="64" ph="1">
        <v>1</v>
      </c>
      <c r="AI38" s="64" t="s" ph="1">
        <v>362</v>
      </c>
      <c r="AY38" s="64" t="s" ph="1">
        <v>216</v>
      </c>
      <c r="AZ38" s="64" t="s" ph="1">
        <v>367</v>
      </c>
    </row>
    <row r="39" spans="1:57" ph="1">
      <c r="AH39" s="64" ph="1">
        <v>2</v>
      </c>
      <c r="AI39" s="64" t="s" ph="1">
        <v>364</v>
      </c>
      <c r="AJ39" s="64" t="s" ph="1">
        <v>336</v>
      </c>
      <c r="AK39" s="64" t="s" ph="1">
        <v>365</v>
      </c>
      <c r="AM39" s="64" t="s" ph="1">
        <v>570</v>
      </c>
      <c r="AN39" s="64" t="s" ph="1">
        <v>228</v>
      </c>
      <c r="AO39" s="64" t="s" ph="1">
        <v>363</v>
      </c>
      <c r="AY39" s="64" t="s" ph="1">
        <v>216</v>
      </c>
      <c r="AZ39" s="64" t="s" ph="1">
        <v>499</v>
      </c>
    </row>
    <row r="40" spans="1:57" ph="1">
      <c r="AH40" s="64" ph="1">
        <v>3</v>
      </c>
      <c r="AI40" s="64" t="s" ph="1">
        <v>366</v>
      </c>
      <c r="AJ40" s="64" t="s" ph="1">
        <v>570</v>
      </c>
      <c r="AK40" s="64" t="s" ph="1">
        <v>571</v>
      </c>
      <c r="AY40" s="64" t="s" ph="1">
        <v>216</v>
      </c>
      <c r="AZ40" s="64" t="s" ph="1">
        <v>571</v>
      </c>
    </row>
    <row r="41" spans="1:57" ph="1">
      <c r="AH41" s="64" ph="1">
        <v>4</v>
      </c>
      <c r="AI41" s="64" t="s" ph="1">
        <v>368</v>
      </c>
      <c r="AJ41" s="64" t="s" ph="1">
        <v>572</v>
      </c>
      <c r="AK41" s="64" t="s" ph="1">
        <v>573</v>
      </c>
      <c r="AM41" s="64" t="s" ph="1">
        <v>574</v>
      </c>
      <c r="AY41" s="64" t="s" ph="1">
        <v>216</v>
      </c>
      <c r="AZ41" s="64" t="s" ph="1">
        <v>573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369</v>
      </c>
      <c r="AY42" s="64" t="s" ph="1">
        <v>216</v>
      </c>
      <c r="AZ42" s="64" t="s" ph="1">
        <v>367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370</v>
      </c>
      <c r="AY43" s="64" t="s" ph="1">
        <v>216</v>
      </c>
      <c r="AZ43" s="64" t="s" ph="1">
        <v>367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371</v>
      </c>
      <c r="AV44" s="64" t="s" ph="1">
        <v>217</v>
      </c>
      <c r="AY44" s="64" t="s" ph="1">
        <v>216</v>
      </c>
      <c r="AZ44" s="64" t="s" ph="1">
        <v>367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372</v>
      </c>
      <c r="AV45" s="64" t="s" ph="1">
        <v>217</v>
      </c>
      <c r="AY45" s="64" t="s" ph="1">
        <v>216</v>
      </c>
      <c r="AZ45" s="64" t="s" ph="1">
        <v>367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373</v>
      </c>
      <c r="AV46" s="64" t="s" ph="1">
        <v>217</v>
      </c>
      <c r="AY46" s="64" t="s" ph="1">
        <v>216</v>
      </c>
      <c r="AZ46" s="64" t="s" ph="1">
        <v>367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374</v>
      </c>
      <c r="AV47" s="64" t="s" ph="1">
        <v>217</v>
      </c>
      <c r="AY47" s="64" t="s" ph="1">
        <v>216</v>
      </c>
      <c r="AZ47" s="64" t="s" ph="1">
        <v>367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575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232</v>
      </c>
      <c r="AI49" s="64" t="s" ph="1">
        <v>209</v>
      </c>
      <c r="AJ49" s="64" t="s" ph="1">
        <v>210</v>
      </c>
      <c r="AK49" s="64" t="s" ph="1">
        <v>211</v>
      </c>
      <c r="AM49" s="64" t="s" ph="1">
        <v>210</v>
      </c>
      <c r="AN49" s="64" t="s" ph="1">
        <v>211</v>
      </c>
      <c r="AO49" s="64" t="s" ph="1">
        <v>212</v>
      </c>
      <c r="AP49" s="64" t="s" ph="1">
        <v>210</v>
      </c>
      <c r="AQ49" s="64" t="s" ph="1">
        <v>211</v>
      </c>
      <c r="AR49" s="64" t="s" ph="1">
        <v>212</v>
      </c>
      <c r="AS49" s="64" t="s" ph="1">
        <v>210</v>
      </c>
      <c r="AT49" s="64" t="s" ph="1">
        <v>211</v>
      </c>
      <c r="AU49" s="64" t="s" ph="1">
        <v>212</v>
      </c>
      <c r="AV49" s="64" t="s" ph="1">
        <v>210</v>
      </c>
      <c r="AW49" s="64" t="s" ph="1">
        <v>211</v>
      </c>
      <c r="AX49" s="64" t="s" ph="1">
        <v>212</v>
      </c>
      <c r="AY49" s="64" t="s" ph="1">
        <v>211</v>
      </c>
      <c r="AZ49" s="64" t="s" ph="1">
        <v>213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375</v>
      </c>
      <c r="AY50" s="64" t="s" ph="1">
        <v>216</v>
      </c>
      <c r="AZ50" s="64" t="s" ph="1">
        <v>367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376</v>
      </c>
      <c r="AY51" s="64" t="s" ph="1">
        <v>216</v>
      </c>
      <c r="AZ51" s="64" t="s" ph="1">
        <v>367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377</v>
      </c>
      <c r="AJ52" s="64" t="s" ph="1">
        <v>334</v>
      </c>
      <c r="AK52" s="64" t="s" ph="1">
        <v>228</v>
      </c>
      <c r="AM52" s="64" t="s" ph="1">
        <v>336</v>
      </c>
      <c r="AN52" s="64" t="s" ph="1">
        <v>300</v>
      </c>
      <c r="AO52" s="64" t="s" ph="1">
        <v>233</v>
      </c>
      <c r="AP52" s="64" t="s" ph="1">
        <v>570</v>
      </c>
      <c r="AQ52" s="64" t="s" ph="1">
        <v>282</v>
      </c>
      <c r="AR52" s="64" t="s" ph="1">
        <v>233</v>
      </c>
      <c r="AY52" s="64" t="s" ph="1">
        <v>216</v>
      </c>
      <c r="AZ52" s="64" t="s" ph="1">
        <v>576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378</v>
      </c>
      <c r="AY53" s="64" t="s" ph="1">
        <v>216</v>
      </c>
      <c r="AZ53" s="64" t="s" ph="1">
        <v>367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379</v>
      </c>
      <c r="AJ54" s="64" t="s" ph="1">
        <v>334</v>
      </c>
      <c r="AK54" s="64" t="s" ph="1">
        <v>219</v>
      </c>
      <c r="AM54" s="64" t="s" ph="1">
        <v>336</v>
      </c>
      <c r="AN54" s="64" t="s" ph="1">
        <v>224</v>
      </c>
      <c r="AO54" s="64" t="s" ph="1">
        <v>233</v>
      </c>
      <c r="AP54" s="64" t="s" ph="1">
        <v>570</v>
      </c>
      <c r="AQ54" s="64" t="s" ph="1">
        <v>240</v>
      </c>
      <c r="AR54" s="64" t="s" ph="1">
        <v>233</v>
      </c>
      <c r="AY54" s="64" t="s" ph="1">
        <v>216</v>
      </c>
      <c r="AZ54" s="64" t="s" ph="1">
        <v>234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380</v>
      </c>
      <c r="AY55" s="64" t="s" ph="1">
        <v>216</v>
      </c>
      <c r="AZ55" s="64" t="s" ph="1">
        <v>367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381</v>
      </c>
      <c r="AY56" s="64" t="s" ph="1">
        <v>216</v>
      </c>
      <c r="AZ56" s="64" t="s" ph="1">
        <v>367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382</v>
      </c>
      <c r="AY57" s="64" t="s" ph="1">
        <v>216</v>
      </c>
      <c r="AZ57" s="64" t="s" ph="1">
        <v>367</v>
      </c>
    </row>
    <row r="58" spans="16:52" ph="1">
      <c r="P58" s="64"/>
      <c r="AN58" s="64" t="s" ph="1">
        <v>217</v>
      </c>
      <c r="AZ58" s="64" t="s" ph="1">
        <v>577</v>
      </c>
    </row>
    <row r="59" spans="16:52" ph="1">
      <c r="V59" s="64"/>
      <c r="AG59" s="64" t="s" ph="1">
        <v>235</v>
      </c>
      <c r="AI59" s="64" t="s" ph="1">
        <v>209</v>
      </c>
      <c r="AJ59" s="64" t="s" ph="1">
        <v>210</v>
      </c>
      <c r="AK59" s="64" t="s" ph="1">
        <v>211</v>
      </c>
      <c r="AM59" s="64" t="s" ph="1">
        <v>210</v>
      </c>
      <c r="AN59" s="64" t="s" ph="1">
        <v>211</v>
      </c>
      <c r="AO59" s="64" t="s" ph="1">
        <v>212</v>
      </c>
      <c r="AP59" s="64" t="s" ph="1">
        <v>210</v>
      </c>
      <c r="AQ59" s="64" t="s" ph="1">
        <v>211</v>
      </c>
      <c r="AR59" s="64" t="s" ph="1">
        <v>212</v>
      </c>
      <c r="AS59" s="64" t="s" ph="1">
        <v>210</v>
      </c>
      <c r="AT59" s="64" t="s" ph="1">
        <v>211</v>
      </c>
      <c r="AU59" s="64" t="s" ph="1">
        <v>212</v>
      </c>
      <c r="AV59" s="64" t="s" ph="1">
        <v>210</v>
      </c>
      <c r="AW59" s="64" t="s" ph="1">
        <v>211</v>
      </c>
      <c r="AX59" s="64" t="s" ph="1">
        <v>212</v>
      </c>
      <c r="AY59" s="64" t="s" ph="1">
        <v>211</v>
      </c>
      <c r="AZ59" s="64" t="s" ph="1">
        <v>213</v>
      </c>
    </row>
    <row r="60" spans="16:52" ph="1">
      <c r="R60" s="64"/>
      <c r="S60" s="64"/>
      <c r="T60" s="64"/>
      <c r="AH60" s="64" ph="1">
        <v>1</v>
      </c>
      <c r="AI60" s="64" t="s" ph="1">
        <v>383</v>
      </c>
      <c r="AY60" s="64" t="s" ph="1">
        <v>216</v>
      </c>
      <c r="AZ60" s="64" t="s" ph="1">
        <v>367</v>
      </c>
    </row>
    <row r="61" spans="16:52" ph="1">
      <c r="AH61" s="64" ph="1">
        <v>2</v>
      </c>
      <c r="AI61" s="64" t="s" ph="1">
        <v>384</v>
      </c>
      <c r="AS61" s="64" t="s" ph="1">
        <v>217</v>
      </c>
      <c r="AY61" s="64" t="s" ph="1">
        <v>216</v>
      </c>
      <c r="AZ61" s="64" t="s" ph="1">
        <v>367</v>
      </c>
    </row>
    <row r="62" spans="16:52" ph="1">
      <c r="AZ62" s="64" t="s" ph="1">
        <v>385</v>
      </c>
    </row>
    <row r="63" spans="16:52" ph="1">
      <c r="AG63" s="64" t="s" ph="1">
        <v>238</v>
      </c>
      <c r="AI63" s="64" t="s" ph="1">
        <v>209</v>
      </c>
      <c r="AJ63" s="64" t="s" ph="1">
        <v>210</v>
      </c>
      <c r="AK63" s="64" t="s" ph="1">
        <v>211</v>
      </c>
      <c r="AM63" s="64" t="s" ph="1">
        <v>210</v>
      </c>
      <c r="AN63" s="64" t="s" ph="1">
        <v>211</v>
      </c>
      <c r="AO63" s="64" t="s" ph="1">
        <v>212</v>
      </c>
      <c r="AP63" s="64" t="s" ph="1">
        <v>210</v>
      </c>
      <c r="AQ63" s="64" t="s" ph="1">
        <v>211</v>
      </c>
      <c r="AR63" s="64" t="s" ph="1">
        <v>212</v>
      </c>
      <c r="AS63" s="64" t="s" ph="1">
        <v>210</v>
      </c>
      <c r="AT63" s="64" t="s" ph="1">
        <v>211</v>
      </c>
      <c r="AU63" s="64" t="s" ph="1">
        <v>212</v>
      </c>
      <c r="AV63" s="64" t="s" ph="1">
        <v>210</v>
      </c>
      <c r="AW63" s="64" t="s" ph="1">
        <v>211</v>
      </c>
      <c r="AX63" s="64" t="s" ph="1">
        <v>212</v>
      </c>
      <c r="AY63" s="64" t="s" ph="1">
        <v>211</v>
      </c>
      <c r="AZ63" s="64" t="s" ph="1">
        <v>213</v>
      </c>
    </row>
    <row r="64" spans="16:52" ph="1">
      <c r="AH64" s="64" ph="1">
        <v>1</v>
      </c>
      <c r="AI64" s="64" t="s" ph="1">
        <v>386</v>
      </c>
      <c r="AJ64" s="64" t="s" ph="1">
        <v>387</v>
      </c>
      <c r="AK64" s="64" t="s" ph="1">
        <v>388</v>
      </c>
      <c r="AY64" s="64" t="s" ph="1">
        <v>216</v>
      </c>
      <c r="AZ64" s="64" t="s" ph="1">
        <v>388</v>
      </c>
    </row>
    <row r="65" spans="33:52" ph="1">
      <c r="AH65" s="64" ph="1">
        <v>2</v>
      </c>
      <c r="AI65" s="64" t="s" ph="1">
        <v>389</v>
      </c>
      <c r="AY65" s="64" t="s" ph="1">
        <v>216</v>
      </c>
      <c r="AZ65" s="64" t="s" ph="1">
        <v>367</v>
      </c>
    </row>
    <row r="66" spans="33:52" ph="1">
      <c r="AH66" s="64" ph="1">
        <v>3</v>
      </c>
      <c r="AI66" s="64" t="s" ph="1">
        <v>390</v>
      </c>
      <c r="AY66" s="64" t="s" ph="1">
        <v>216</v>
      </c>
      <c r="AZ66" s="64" t="s" ph="1">
        <v>367</v>
      </c>
    </row>
    <row r="67" spans="33:52" ph="1">
      <c r="AH67" s="64" ph="1">
        <v>4</v>
      </c>
      <c r="AI67" s="64" t="s" ph="1">
        <v>391</v>
      </c>
      <c r="AY67" s="64" t="s" ph="1">
        <v>216</v>
      </c>
      <c r="AZ67" s="64" t="s" ph="1">
        <v>367</v>
      </c>
    </row>
    <row r="68" spans="33:52" ph="1">
      <c r="AH68" s="64" ph="1">
        <v>5</v>
      </c>
      <c r="AI68" s="64" t="s" ph="1">
        <v>392</v>
      </c>
      <c r="AY68" s="64" t="s" ph="1">
        <v>216</v>
      </c>
      <c r="AZ68" s="64" t="s" ph="1">
        <v>367</v>
      </c>
    </row>
    <row r="69" spans="33:52" ph="1">
      <c r="AH69" s="64" ph="1">
        <v>6</v>
      </c>
      <c r="AI69" s="64" t="s" ph="1">
        <v>393</v>
      </c>
      <c r="AY69" s="64" t="s" ph="1">
        <v>216</v>
      </c>
      <c r="AZ69" s="64" t="s" ph="1">
        <v>367</v>
      </c>
    </row>
    <row r="70" spans="33:52" ph="1">
      <c r="AI70" s="64" t="s" ph="1">
        <v>394</v>
      </c>
      <c r="AY70" s="64" t="s" ph="1">
        <v>216</v>
      </c>
      <c r="AZ70" s="64" t="s" ph="1">
        <v>367</v>
      </c>
    </row>
    <row r="71" spans="33:52" ph="1">
      <c r="AH71" s="64" ph="1">
        <v>7</v>
      </c>
      <c r="AI71" s="64" t="s" ph="1">
        <v>395</v>
      </c>
      <c r="AJ71" s="64" t="s" ph="1">
        <v>334</v>
      </c>
      <c r="AK71" s="64" t="s" ph="1">
        <v>228</v>
      </c>
      <c r="AM71" s="64" t="s" ph="1">
        <v>336</v>
      </c>
      <c r="AN71" s="64" t="s" ph="1">
        <v>228</v>
      </c>
      <c r="AO71" s="64" t="s" ph="1">
        <v>396</v>
      </c>
      <c r="AP71" s="64" t="s" ph="1">
        <v>570</v>
      </c>
      <c r="AQ71" s="64" t="s" ph="1">
        <v>219</v>
      </c>
      <c r="AR71" s="64" t="s" ph="1">
        <v>396</v>
      </c>
      <c r="AY71" s="64" t="s" ph="1">
        <v>216</v>
      </c>
      <c r="AZ71" s="64" t="s" ph="1">
        <v>578</v>
      </c>
    </row>
    <row r="72" spans="33:52" ph="1">
      <c r="AZ72" s="64" t="s" ph="1">
        <v>579</v>
      </c>
    </row>
    <row r="73" spans="33:52" ph="1">
      <c r="AG73" s="64" t="s" ph="1">
        <v>241</v>
      </c>
      <c r="AI73" s="64" t="s" ph="1">
        <v>209</v>
      </c>
      <c r="AJ73" s="64" t="s" ph="1">
        <v>210</v>
      </c>
      <c r="AK73" s="64" t="s" ph="1">
        <v>211</v>
      </c>
      <c r="AM73" s="64" t="s" ph="1">
        <v>210</v>
      </c>
      <c r="AN73" s="64" t="s" ph="1">
        <v>211</v>
      </c>
      <c r="AO73" s="64" t="s" ph="1">
        <v>212</v>
      </c>
      <c r="AP73" s="64" t="s" ph="1">
        <v>210</v>
      </c>
      <c r="AQ73" s="64" t="s" ph="1">
        <v>211</v>
      </c>
      <c r="AR73" s="64" t="s" ph="1">
        <v>212</v>
      </c>
      <c r="AS73" s="64" t="s" ph="1">
        <v>210</v>
      </c>
      <c r="AT73" s="64" t="s" ph="1">
        <v>211</v>
      </c>
      <c r="AU73" s="64" t="s" ph="1">
        <v>212</v>
      </c>
      <c r="AV73" s="64" t="s" ph="1">
        <v>210</v>
      </c>
      <c r="AW73" s="64" t="s" ph="1">
        <v>211</v>
      </c>
      <c r="AX73" s="64" t="s" ph="1">
        <v>212</v>
      </c>
      <c r="AY73" s="64" t="s" ph="1">
        <v>211</v>
      </c>
      <c r="AZ73" s="64" t="s" ph="1">
        <v>213</v>
      </c>
    </row>
    <row r="74" spans="33:52" ph="1">
      <c r="AH74" s="64" ph="1">
        <v>1</v>
      </c>
      <c r="AI74" s="64" t="s" ph="1">
        <v>397</v>
      </c>
      <c r="AJ74" s="64" t="s" ph="1">
        <v>242</v>
      </c>
      <c r="AK74" s="64" t="s" ph="1">
        <v>224</v>
      </c>
      <c r="AM74" s="64" t="s" ph="1">
        <v>244</v>
      </c>
      <c r="AN74" s="64" t="s" ph="1">
        <v>254</v>
      </c>
      <c r="AO74" s="64" t="s" ph="1">
        <v>243</v>
      </c>
      <c r="AP74" s="64" t="s" ph="1">
        <v>245</v>
      </c>
      <c r="AQ74" s="64" t="s" ph="1">
        <v>222</v>
      </c>
      <c r="AR74" s="64" t="s" ph="1">
        <v>243</v>
      </c>
      <c r="AS74" s="64" t="s" ph="1">
        <v>215</v>
      </c>
      <c r="AT74" s="64" t="s" ph="1">
        <v>217</v>
      </c>
      <c r="AV74" s="64" t="s" ph="1">
        <v>398</v>
      </c>
      <c r="AW74" s="64" t="s" ph="1">
        <v>399</v>
      </c>
      <c r="AX74" s="64" t="s" ph="1">
        <v>400</v>
      </c>
      <c r="AY74" s="64" t="s" ph="1">
        <v>216</v>
      </c>
      <c r="AZ74" s="64" t="s" ph="1">
        <v>401</v>
      </c>
    </row>
    <row r="75" spans="33:52" ph="1">
      <c r="AJ75" s="64" t="s" ph="1">
        <v>247</v>
      </c>
      <c r="AK75" s="64" t="s" ph="1">
        <v>300</v>
      </c>
      <c r="AM75" s="64" t="s" ph="1">
        <v>245</v>
      </c>
      <c r="AN75" s="64" t="s" ph="1">
        <v>225</v>
      </c>
      <c r="AO75" s="64" t="s" ph="1">
        <v>243</v>
      </c>
      <c r="AS75" s="64" t="s" ph="1">
        <v>215</v>
      </c>
      <c r="AT75" s="64" t="s" ph="1">
        <v>246</v>
      </c>
    </row>
    <row r="76" spans="33:52" ph="1">
      <c r="AJ76" s="64" t="s" ph="1">
        <v>247</v>
      </c>
      <c r="AK76" s="64" t="s" ph="1">
        <v>240</v>
      </c>
      <c r="AM76" s="64" t="s" ph="1">
        <v>245</v>
      </c>
      <c r="AN76" s="64" t="s" ph="1">
        <v>228</v>
      </c>
      <c r="AO76" s="64" t="s" ph="1">
        <v>243</v>
      </c>
      <c r="AS76" s="64" t="s" ph="1">
        <v>215</v>
      </c>
      <c r="AT76" s="64" t="s" ph="1">
        <v>246</v>
      </c>
    </row>
    <row r="77" spans="33:52" ph="1">
      <c r="AJ77" s="64" t="s" ph="1">
        <v>283</v>
      </c>
      <c r="AK77" s="64" t="s" ph="1">
        <v>240</v>
      </c>
      <c r="AM77" s="64" t="s" ph="1">
        <v>284</v>
      </c>
      <c r="AN77" s="64" t="s" ph="1">
        <v>223</v>
      </c>
      <c r="AO77" s="64" t="s" ph="1">
        <v>243</v>
      </c>
      <c r="AS77" s="64" t="s" ph="1">
        <v>215</v>
      </c>
      <c r="AT77" s="64" t="s" ph="1">
        <v>285</v>
      </c>
    </row>
    <row r="78" spans="33:52" ph="1">
      <c r="AH78" s="64" ph="1">
        <v>2</v>
      </c>
      <c r="AI78" s="64" t="s" ph="1">
        <v>249</v>
      </c>
      <c r="AJ78" s="64" t="s" ph="1">
        <v>250</v>
      </c>
      <c r="AK78" s="64" t="s" ph="1">
        <v>219</v>
      </c>
      <c r="AM78" s="64" t="s" ph="1">
        <v>251</v>
      </c>
      <c r="AN78" s="64" t="s" ph="1">
        <v>254</v>
      </c>
      <c r="AO78" s="64" t="s" ph="1">
        <v>243</v>
      </c>
      <c r="AP78" s="64" t="s" ph="1">
        <v>252</v>
      </c>
      <c r="AQ78" s="64" t="s" ph="1">
        <v>298</v>
      </c>
      <c r="AR78" s="64" t="s" ph="1">
        <v>243</v>
      </c>
      <c r="AS78" s="64" t="s" ph="1">
        <v>253</v>
      </c>
      <c r="AT78" s="64" t="s" ph="1">
        <v>254</v>
      </c>
      <c r="AU78" s="64" t="s" ph="1">
        <v>243</v>
      </c>
      <c r="AV78" s="64" t="s" ph="1">
        <v>255</v>
      </c>
      <c r="AW78" s="64" t="s" ph="1">
        <v>243</v>
      </c>
      <c r="AY78" s="64" t="s" ph="1">
        <v>216</v>
      </c>
      <c r="AZ78" s="64" t="s" ph="1">
        <v>402</v>
      </c>
    </row>
    <row r="79" spans="33:52" ph="1">
      <c r="AJ79" s="64" t="s" ph="1">
        <v>245</v>
      </c>
      <c r="AK79" s="64" t="s" ph="1">
        <v>256</v>
      </c>
      <c r="AM79" s="64" t="s" ph="1">
        <v>257</v>
      </c>
      <c r="AN79" s="64" t="s" ph="1">
        <v>225</v>
      </c>
      <c r="AO79" s="64" t="s" ph="1">
        <v>243</v>
      </c>
      <c r="AP79" s="64" t="s" ph="1">
        <v>258</v>
      </c>
      <c r="AQ79" s="64" t="s" ph="1">
        <v>223</v>
      </c>
      <c r="AR79" s="64" t="s" ph="1">
        <v>259</v>
      </c>
      <c r="AS79" s="64" t="s" ph="1">
        <v>215</v>
      </c>
      <c r="AT79" s="64" t="s" ph="1">
        <v>260</v>
      </c>
      <c r="AV79" s="64" t="s" ph="1">
        <v>403</v>
      </c>
      <c r="AW79" s="64" t="s" ph="1">
        <v>302</v>
      </c>
      <c r="AX79" s="64" t="s" ph="1">
        <v>400</v>
      </c>
    </row>
    <row r="80" spans="33:52" ph="1">
      <c r="AH80" s="64" ph="1">
        <v>3</v>
      </c>
      <c r="AI80" s="64" t="s" ph="1">
        <v>261</v>
      </c>
      <c r="AJ80" s="64" t="s" ph="1">
        <v>262</v>
      </c>
      <c r="AK80" s="64" t="s" ph="1">
        <v>263</v>
      </c>
      <c r="AM80" s="64" t="s" ph="1">
        <v>264</v>
      </c>
      <c r="AN80" s="64" t="s" ph="1">
        <v>254</v>
      </c>
      <c r="AO80" s="64" t="s" ph="1">
        <v>243</v>
      </c>
      <c r="AP80" s="64" t="s" ph="1">
        <v>265</v>
      </c>
      <c r="AQ80" s="64" t="s" ph="1">
        <v>228</v>
      </c>
      <c r="AR80" s="64" t="s" ph="1">
        <v>243</v>
      </c>
      <c r="AS80" s="64" t="s" ph="1">
        <v>266</v>
      </c>
      <c r="AT80" s="64" t="s" ph="1">
        <v>227</v>
      </c>
      <c r="AU80" s="64" t="s" ph="1">
        <v>243</v>
      </c>
      <c r="AV80" s="64" t="s" ph="1">
        <v>267</v>
      </c>
      <c r="AW80" s="64" t="s" ph="1">
        <v>243</v>
      </c>
      <c r="AY80" s="64" t="s" ph="1">
        <v>216</v>
      </c>
      <c r="AZ80" s="64" t="s" ph="1">
        <v>404</v>
      </c>
    </row>
    <row r="81" spans="34:52" ph="1">
      <c r="AJ81" s="64" t="s" ph="1">
        <v>268</v>
      </c>
      <c r="AK81" s="64" t="s" ph="1">
        <v>222</v>
      </c>
      <c r="AM81" s="64" t="s" ph="1">
        <v>269</v>
      </c>
      <c r="AN81" s="64" t="s" ph="1">
        <v>225</v>
      </c>
      <c r="AO81" s="64" t="s" ph="1">
        <v>243</v>
      </c>
      <c r="AP81" s="64" t="s" ph="1">
        <v>270</v>
      </c>
      <c r="AQ81" s="64" t="s" ph="1">
        <v>254</v>
      </c>
      <c r="AR81" s="64" t="s" ph="1">
        <v>243</v>
      </c>
      <c r="AS81" s="64" t="s" ph="1">
        <v>271</v>
      </c>
      <c r="AT81" s="64" t="s" ph="1">
        <v>272</v>
      </c>
      <c r="AU81" s="64" t="s" ph="1">
        <v>243</v>
      </c>
      <c r="AV81" s="64" t="s" ph="1">
        <v>273</v>
      </c>
    </row>
    <row r="82" spans="34:52" ph="1">
      <c r="AJ82" s="64" t="s" ph="1">
        <v>274</v>
      </c>
      <c r="AK82" s="64" t="s" ph="1">
        <v>222</v>
      </c>
      <c r="AM82" s="64" t="s" ph="1">
        <v>275</v>
      </c>
      <c r="AN82" s="64" t="s" ph="1">
        <v>272</v>
      </c>
      <c r="AO82" s="64" t="s" ph="1">
        <v>276</v>
      </c>
      <c r="AP82" s="64" t="s" ph="1">
        <v>277</v>
      </c>
      <c r="AQ82" s="64" t="s" ph="1">
        <v>254</v>
      </c>
      <c r="AR82" s="64" t="s" ph="1">
        <v>243</v>
      </c>
      <c r="AS82" s="64" t="s" ph="1">
        <v>278</v>
      </c>
      <c r="AT82" s="64" t="s" ph="1">
        <v>229</v>
      </c>
      <c r="AU82" s="64" t="s" ph="1">
        <v>243</v>
      </c>
      <c r="AV82" s="64" t="s" ph="1">
        <v>403</v>
      </c>
      <c r="AW82" s="64" t="s" ph="1">
        <v>303</v>
      </c>
      <c r="AX82" s="64" t="s" ph="1">
        <v>400</v>
      </c>
    </row>
    <row r="83" spans="34:52" ph="1">
      <c r="AJ83" s="64" t="s" ph="1">
        <v>279</v>
      </c>
      <c r="AK83" s="64" t="s" ph="1">
        <v>296</v>
      </c>
      <c r="AM83" s="64" t="s" ph="1">
        <v>280</v>
      </c>
      <c r="AN83" s="64" t="s" ph="1">
        <v>228</v>
      </c>
      <c r="AO83" s="64" t="s" ph="1">
        <v>259</v>
      </c>
      <c r="AP83" s="64" t="s" ph="1">
        <v>281</v>
      </c>
      <c r="AQ83" s="64" t="s" ph="1">
        <v>282</v>
      </c>
      <c r="AR83" s="64" t="s" ph="1">
        <v>259</v>
      </c>
      <c r="AS83" s="64" t="s" ph="1">
        <v>405</v>
      </c>
      <c r="AT83" s="64" t="s" ph="1">
        <v>254</v>
      </c>
      <c r="AU83" s="64" t="s" ph="1">
        <v>259</v>
      </c>
      <c r="AV83" s="64" t="s" ph="1">
        <v>406</v>
      </c>
      <c r="AW83" s="64" t="s" ph="1">
        <v>303</v>
      </c>
      <c r="AX83" s="64" t="s" ph="1">
        <v>407</v>
      </c>
    </row>
    <row r="84" spans="34:52" ph="1">
      <c r="AH84" s="64" ph="1">
        <v>4</v>
      </c>
      <c r="AI84" s="64" t="s" ph="1">
        <v>286</v>
      </c>
      <c r="AJ84" s="64" t="s" ph="1">
        <v>226</v>
      </c>
      <c r="AK84" s="64" t="s" ph="1">
        <v>229</v>
      </c>
      <c r="AM84" s="64" t="s" ph="1">
        <v>230</v>
      </c>
      <c r="AN84" s="64" t="s" ph="1">
        <v>223</v>
      </c>
      <c r="AO84" s="64" t="s" ph="1">
        <v>259</v>
      </c>
      <c r="AP84" s="64" t="s" ph="1">
        <v>288</v>
      </c>
      <c r="AQ84" s="64" t="s" ph="1">
        <v>222</v>
      </c>
      <c r="AR84" s="64" t="s" ph="1">
        <v>259</v>
      </c>
      <c r="AS84" s="64" t="s" ph="1">
        <v>288</v>
      </c>
      <c r="AT84" s="64" t="s" ph="1">
        <v>224</v>
      </c>
      <c r="AU84" s="64" t="s" ph="1">
        <v>259</v>
      </c>
      <c r="AY84" s="64" t="s" ph="1">
        <v>216</v>
      </c>
      <c r="AZ84" s="64" t="s" ph="1">
        <v>408</v>
      </c>
    </row>
    <row r="85" spans="34:52" ph="1">
      <c r="AJ85" s="64" t="s" ph="1">
        <v>218</v>
      </c>
      <c r="AK85" s="64" t="s" ph="1">
        <v>222</v>
      </c>
      <c r="AM85" s="64" t="s" ph="1">
        <v>409</v>
      </c>
      <c r="AN85" s="64" t="s" ph="1">
        <v>229</v>
      </c>
      <c r="AO85" s="64" t="s" ph="1">
        <v>259</v>
      </c>
      <c r="AP85" s="64" t="s" ph="1">
        <v>410</v>
      </c>
      <c r="AQ85" s="64" t="s" ph="1">
        <v>225</v>
      </c>
      <c r="AR85" s="64" t="s" ph="1">
        <v>259</v>
      </c>
      <c r="AS85" s="64" t="s" ph="1">
        <v>411</v>
      </c>
      <c r="AT85" s="64" t="s" ph="1">
        <v>225</v>
      </c>
      <c r="AU85" s="64" t="s" ph="1">
        <v>259</v>
      </c>
    </row>
    <row r="86" spans="34:52" ph="1">
      <c r="AJ86" s="64" t="s" ph="1">
        <v>412</v>
      </c>
      <c r="AK86" s="64" t="s" ph="1">
        <v>231</v>
      </c>
      <c r="AM86" s="64" t="s" ph="1">
        <v>413</v>
      </c>
      <c r="AN86" s="64" t="s" ph="1">
        <v>272</v>
      </c>
      <c r="AO86" s="64" t="s" ph="1">
        <v>259</v>
      </c>
      <c r="AP86" s="64" t="s" ph="1">
        <v>414</v>
      </c>
      <c r="AQ86" s="64" t="s" ph="1">
        <v>219</v>
      </c>
      <c r="AR86" s="64" t="s" ph="1">
        <v>259</v>
      </c>
      <c r="AS86" s="64" t="s" ph="1">
        <v>415</v>
      </c>
      <c r="AT86" s="64" t="s" ph="1">
        <v>237</v>
      </c>
      <c r="AU86" s="64" t="s" ph="1">
        <v>259</v>
      </c>
    </row>
    <row r="87" spans="34:52" ph="1">
      <c r="AJ87" s="64" t="s" ph="1">
        <v>416</v>
      </c>
      <c r="AK87" s="64" t="s" ph="1">
        <v>272</v>
      </c>
      <c r="AM87" s="64" t="s" ph="1">
        <v>403</v>
      </c>
      <c r="AN87" s="64" t="s" ph="1">
        <v>417</v>
      </c>
      <c r="AO87" s="64" t="s" ph="1">
        <v>400</v>
      </c>
    </row>
    <row r="88" spans="34:52" ph="1">
      <c r="AH88" s="64" ph="1">
        <v>5</v>
      </c>
      <c r="AI88" s="64" t="s" ph="1">
        <v>289</v>
      </c>
      <c r="AJ88" s="64" t="s" ph="1">
        <v>418</v>
      </c>
      <c r="AK88" s="64" t="s" ph="1">
        <v>272</v>
      </c>
      <c r="AM88" s="64" t="s" ph="1">
        <v>419</v>
      </c>
      <c r="AN88" s="64" t="s" ph="1">
        <v>272</v>
      </c>
      <c r="AO88" s="64" t="s" ph="1">
        <v>259</v>
      </c>
      <c r="AP88" s="64" t="s" ph="1">
        <v>420</v>
      </c>
      <c r="AQ88" s="64" t="s" ph="1">
        <v>222</v>
      </c>
      <c r="AR88" s="64" t="s" ph="1">
        <v>259</v>
      </c>
      <c r="AS88" s="64" t="s" ph="1">
        <v>421</v>
      </c>
      <c r="AT88" s="64" t="s" ph="1">
        <v>272</v>
      </c>
      <c r="AU88" s="64" t="s" ph="1">
        <v>259</v>
      </c>
      <c r="AV88" s="64" t="s" ph="1">
        <v>422</v>
      </c>
      <c r="AW88" s="64" t="s" ph="1">
        <v>227</v>
      </c>
      <c r="AX88" s="64" t="s" ph="1">
        <v>259</v>
      </c>
      <c r="AY88" s="64" t="s" ph="1">
        <v>216</v>
      </c>
      <c r="AZ88" s="64" t="s" ph="1">
        <v>423</v>
      </c>
    </row>
    <row r="89" spans="34:52" ph="1">
      <c r="AJ89" s="64" t="s" ph="1">
        <v>424</v>
      </c>
      <c r="AK89" s="64" t="s" ph="1">
        <v>225</v>
      </c>
      <c r="AM89" s="64" t="s" ph="1">
        <v>425</v>
      </c>
      <c r="AN89" s="64" t="s" ph="1">
        <v>228</v>
      </c>
      <c r="AO89" s="64" t="s" ph="1">
        <v>259</v>
      </c>
      <c r="AP89" s="64" t="s" ph="1">
        <v>426</v>
      </c>
      <c r="AQ89" s="64" t="s" ph="1">
        <v>237</v>
      </c>
      <c r="AR89" s="64" t="s" ph="1">
        <v>259</v>
      </c>
      <c r="AS89" s="64" t="s" ph="1">
        <v>427</v>
      </c>
      <c r="AT89" s="64" t="s" ph="1">
        <v>272</v>
      </c>
      <c r="AU89" s="64" t="s" ph="1">
        <v>259</v>
      </c>
      <c r="AV89" s="64" t="s" ph="1">
        <v>428</v>
      </c>
      <c r="AW89" s="64" t="s" ph="1">
        <v>254</v>
      </c>
      <c r="AX89" s="64" t="s" ph="1">
        <v>287</v>
      </c>
    </row>
    <row r="90" spans="34:52" ph="1">
      <c r="AJ90" s="64" t="s" ph="1">
        <v>429</v>
      </c>
      <c r="AK90" s="64" t="s" ph="1">
        <v>228</v>
      </c>
      <c r="AM90" s="64" t="s" ph="1">
        <v>430</v>
      </c>
      <c r="AN90" s="64" t="s" ph="1">
        <v>225</v>
      </c>
      <c r="AO90" s="64" t="s" ph="1">
        <v>259</v>
      </c>
      <c r="AP90" s="64" t="s" ph="1">
        <v>431</v>
      </c>
      <c r="AQ90" s="64" t="s" ph="1">
        <v>294</v>
      </c>
      <c r="AR90" s="64" t="s" ph="1">
        <v>259</v>
      </c>
      <c r="AS90" s="64" t="s" ph="1">
        <v>432</v>
      </c>
      <c r="AT90" s="64" t="s" ph="1">
        <v>282</v>
      </c>
      <c r="AU90" s="64" t="s" ph="1">
        <v>259</v>
      </c>
      <c r="AV90" s="64" t="s" ph="1">
        <v>433</v>
      </c>
      <c r="AW90" s="64" t="s" ph="1">
        <v>219</v>
      </c>
      <c r="AX90" s="64" t="s" ph="1">
        <v>259</v>
      </c>
    </row>
    <row r="91" spans="34:52" ph="1">
      <c r="AJ91" s="64" t="s" ph="1">
        <v>434</v>
      </c>
      <c r="AK91" s="64" t="s" ph="1">
        <v>272</v>
      </c>
      <c r="AM91" s="64" t="s" ph="1">
        <v>435</v>
      </c>
      <c r="AN91" s="64" t="s" ph="1">
        <v>239</v>
      </c>
      <c r="AO91" s="64" t="s" ph="1">
        <v>259</v>
      </c>
      <c r="AP91" s="64" t="s" ph="1">
        <v>436</v>
      </c>
      <c r="AQ91" s="64" t="s" ph="1">
        <v>219</v>
      </c>
      <c r="AS91" s="64" t="s" ph="1">
        <v>403</v>
      </c>
      <c r="AT91" s="64" t="s" ph="1">
        <v>399</v>
      </c>
      <c r="AU91" s="64" t="s" ph="1">
        <v>400</v>
      </c>
    </row>
    <row r="92" spans="34:52" ph="1">
      <c r="AH92" s="64" ph="1">
        <v>6</v>
      </c>
      <c r="AI92" s="64" t="s" ph="1">
        <v>437</v>
      </c>
      <c r="AJ92" s="64" t="s" ph="1">
        <v>438</v>
      </c>
      <c r="AK92" s="64" t="s" ph="1">
        <v>367</v>
      </c>
      <c r="AM92" s="64" t="s" ph="1">
        <v>439</v>
      </c>
      <c r="AN92" s="64" t="s" ph="1">
        <v>227</v>
      </c>
      <c r="AO92" s="64" t="s" ph="1">
        <v>259</v>
      </c>
      <c r="AP92" s="64" t="s" ph="1">
        <v>440</v>
      </c>
      <c r="AQ92" s="64" t="s" ph="1">
        <v>299</v>
      </c>
      <c r="AR92" s="64" t="s" ph="1">
        <v>259</v>
      </c>
      <c r="AS92" s="64" t="s" ph="1">
        <v>441</v>
      </c>
      <c r="AT92" s="64" t="s" ph="1">
        <v>272</v>
      </c>
      <c r="AU92" s="64" t="s" ph="1">
        <v>259</v>
      </c>
      <c r="AV92" s="64" t="s" ph="1">
        <v>442</v>
      </c>
      <c r="AW92" s="64" t="s" ph="1">
        <v>228</v>
      </c>
      <c r="AX92" s="64" t="s" ph="1">
        <v>259</v>
      </c>
      <c r="AY92" s="64" t="s" ph="1">
        <v>216</v>
      </c>
      <c r="AZ92" s="64" t="s" ph="1">
        <v>423</v>
      </c>
    </row>
    <row r="93" spans="34:52" ph="1">
      <c r="AJ93" s="64" t="s" ph="1">
        <v>443</v>
      </c>
      <c r="AK93" s="64" t="s" ph="1">
        <v>222</v>
      </c>
      <c r="AM93" s="64" t="s" ph="1">
        <v>444</v>
      </c>
      <c r="AN93" s="64" t="s" ph="1">
        <v>227</v>
      </c>
      <c r="AO93" s="64" t="s" ph="1">
        <v>259</v>
      </c>
      <c r="AP93" s="64" t="s" ph="1">
        <v>445</v>
      </c>
      <c r="AQ93" s="64" t="s" ph="1">
        <v>231</v>
      </c>
      <c r="AR93" s="64" t="s" ph="1">
        <v>259</v>
      </c>
      <c r="AS93" s="64" t="s" ph="1">
        <v>446</v>
      </c>
      <c r="AT93" s="64" t="s" ph="1">
        <v>237</v>
      </c>
      <c r="AU93" s="64" t="s" ph="1">
        <v>259</v>
      </c>
      <c r="AV93" s="64" t="s" ph="1">
        <v>447</v>
      </c>
      <c r="AW93" s="64" t="s" ph="1">
        <v>231</v>
      </c>
      <c r="AX93" s="64" t="s" ph="1">
        <v>259</v>
      </c>
    </row>
    <row r="94" spans="34:52" ph="1">
      <c r="AJ94" s="64" t="s" ph="1">
        <v>448</v>
      </c>
      <c r="AK94" s="64" t="s" ph="1">
        <v>294</v>
      </c>
      <c r="AM94" s="64" t="s" ph="1">
        <v>449</v>
      </c>
      <c r="AN94" s="64" t="s" ph="1">
        <v>231</v>
      </c>
      <c r="AO94" s="64" t="s" ph="1">
        <v>259</v>
      </c>
      <c r="AP94" s="64" t="s" ph="1">
        <v>450</v>
      </c>
      <c r="AQ94" s="64" t="s" ph="1">
        <v>239</v>
      </c>
      <c r="AR94" s="64" t="s" ph="1">
        <v>259</v>
      </c>
      <c r="AS94" s="64" t="s" ph="1">
        <v>451</v>
      </c>
      <c r="AT94" s="64" t="s" ph="1">
        <v>225</v>
      </c>
      <c r="AU94" s="64" t="s" ph="1">
        <v>259</v>
      </c>
      <c r="AV94" s="64" t="s" ph="1">
        <v>452</v>
      </c>
      <c r="AW94" s="64" t="s" ph="1">
        <v>225</v>
      </c>
      <c r="AX94" s="64" t="s" ph="1">
        <v>259</v>
      </c>
    </row>
    <row r="95" spans="34:52" ph="1">
      <c r="AJ95" s="64" t="s" ph="1">
        <v>453</v>
      </c>
      <c r="AK95" s="64" t="s" ph="1">
        <v>299</v>
      </c>
    </row>
    <row r="96" spans="34:52" ph="1">
      <c r="AH96" s="64" ph="1">
        <v>7</v>
      </c>
      <c r="AI96" s="64" t="s" ph="1">
        <v>454</v>
      </c>
      <c r="AJ96" s="64" t="s" ph="1">
        <v>453</v>
      </c>
      <c r="AK96" s="64" t="s" ph="1">
        <v>254</v>
      </c>
      <c r="AM96" s="64" t="s" ph="1">
        <v>455</v>
      </c>
      <c r="AN96" s="64" t="s" ph="1">
        <v>228</v>
      </c>
      <c r="AO96" s="64" t="s" ph="1">
        <v>259</v>
      </c>
      <c r="AP96" s="64" t="s" ph="1">
        <v>456</v>
      </c>
      <c r="AQ96" s="64" t="s" ph="1">
        <v>272</v>
      </c>
      <c r="AR96" s="64" t="s" ph="1">
        <v>287</v>
      </c>
      <c r="AS96" s="64" t="s" ph="1">
        <v>457</v>
      </c>
      <c r="AT96" s="64" t="s" ph="1">
        <v>231</v>
      </c>
      <c r="AU96" s="64" t="s" ph="1">
        <v>287</v>
      </c>
      <c r="AV96" s="64" t="s" ph="1">
        <v>458</v>
      </c>
      <c r="AW96" s="64" t="s" ph="1">
        <v>227</v>
      </c>
      <c r="AX96" s="64" t="s" ph="1">
        <v>287</v>
      </c>
      <c r="AY96" s="64" t="s" ph="1">
        <v>216</v>
      </c>
      <c r="AZ96" s="64" t="s" ph="1">
        <v>459</v>
      </c>
    </row>
    <row r="97" spans="33:52" ph="1">
      <c r="AJ97" s="64" t="s" ph="1">
        <v>460</v>
      </c>
      <c r="AK97" s="64" t="s" ph="1">
        <v>282</v>
      </c>
      <c r="AM97" s="64" t="s" ph="1">
        <v>461</v>
      </c>
      <c r="AN97" s="64" t="s" ph="1">
        <v>225</v>
      </c>
      <c r="AO97" s="64" t="s" ph="1">
        <v>259</v>
      </c>
      <c r="AP97" s="64" t="s" ph="1">
        <v>462</v>
      </c>
      <c r="AQ97" s="64" t="s" ph="1">
        <v>219</v>
      </c>
      <c r="AR97" s="64" t="s" ph="1">
        <v>287</v>
      </c>
      <c r="AS97" s="64" t="s" ph="1">
        <v>463</v>
      </c>
      <c r="AT97" s="64" t="s" ph="1">
        <v>222</v>
      </c>
      <c r="AU97" s="64" t="s" ph="1">
        <v>287</v>
      </c>
      <c r="AV97" s="64" t="s" ph="1">
        <v>464</v>
      </c>
      <c r="AW97" s="64" t="s" ph="1">
        <v>228</v>
      </c>
      <c r="AX97" s="64" t="s" ph="1">
        <v>287</v>
      </c>
    </row>
    <row r="98" spans="33:52" ph="1">
      <c r="AJ98" s="64" t="s" ph="1">
        <v>465</v>
      </c>
      <c r="AK98" s="64" t="s" ph="1">
        <v>231</v>
      </c>
      <c r="AM98" s="64" t="s" ph="1">
        <v>466</v>
      </c>
      <c r="AN98" s="64" t="s" ph="1">
        <v>239</v>
      </c>
      <c r="AO98" s="64" t="s" ph="1">
        <v>259</v>
      </c>
      <c r="AP98" s="64" t="s" ph="1">
        <v>467</v>
      </c>
      <c r="AQ98" s="64" t="s" ph="1">
        <v>219</v>
      </c>
      <c r="AR98" s="64" t="s" ph="1">
        <v>287</v>
      </c>
      <c r="AS98" s="64" t="s" ph="1">
        <v>468</v>
      </c>
      <c r="AT98" s="64" t="s" ph="1">
        <v>299</v>
      </c>
      <c r="AU98" s="64" t="s" ph="1">
        <v>287</v>
      </c>
      <c r="AV98" s="64" t="s" ph="1">
        <v>469</v>
      </c>
      <c r="AW98" s="64" t="s" ph="1">
        <v>222</v>
      </c>
      <c r="AX98" s="64" t="s" ph="1">
        <v>287</v>
      </c>
    </row>
    <row r="99" spans="33:52" ph="1">
      <c r="AH99" s="64" ph="1">
        <v>8</v>
      </c>
      <c r="AI99" s="64" t="s" ph="1">
        <v>470</v>
      </c>
      <c r="AJ99" s="64" t="s" ph="1">
        <v>471</v>
      </c>
      <c r="AK99" s="64" t="s" ph="1">
        <v>367</v>
      </c>
      <c r="AM99" s="64" t="s" ph="1">
        <v>472</v>
      </c>
      <c r="AN99" s="64" t="s" ph="1">
        <v>254</v>
      </c>
      <c r="AO99" s="64" t="s" ph="1">
        <v>259</v>
      </c>
      <c r="AP99" s="64" t="s" ph="1">
        <v>473</v>
      </c>
      <c r="AQ99" s="64" t="s" ph="1">
        <v>224</v>
      </c>
      <c r="AR99" s="64" t="s" ph="1">
        <v>287</v>
      </c>
      <c r="AS99" s="64" t="s" ph="1">
        <v>474</v>
      </c>
      <c r="AT99" s="64" t="s" ph="1">
        <v>239</v>
      </c>
      <c r="AU99" s="64" t="s" ph="1">
        <v>287</v>
      </c>
      <c r="AV99" s="64" t="s" ph="1">
        <v>475</v>
      </c>
      <c r="AW99" s="64" t="s" ph="1">
        <v>224</v>
      </c>
      <c r="AX99" s="64" t="s" ph="1">
        <v>287</v>
      </c>
      <c r="AY99" s="64" t="s" ph="1">
        <v>216</v>
      </c>
      <c r="AZ99" s="64" t="s" ph="1">
        <v>476</v>
      </c>
    </row>
    <row r="100" spans="33:52" ph="1">
      <c r="AJ100" s="64" t="s" ph="1">
        <v>477</v>
      </c>
      <c r="AK100" s="64" t="s" ph="1">
        <v>222</v>
      </c>
      <c r="AM100" s="64" t="s" ph="1">
        <v>478</v>
      </c>
      <c r="AN100" s="64" t="s" ph="1">
        <v>294</v>
      </c>
      <c r="AO100" s="64" t="s" ph="1">
        <v>259</v>
      </c>
      <c r="AP100" s="64" t="s" ph="1">
        <v>479</v>
      </c>
      <c r="AQ100" s="64" t="s" ph="1">
        <v>300</v>
      </c>
      <c r="AR100" s="64" t="s" ph="1">
        <v>287</v>
      </c>
      <c r="AS100" s="64" t="s" ph="1">
        <v>480</v>
      </c>
      <c r="AT100" s="64" t="s" ph="1">
        <v>367</v>
      </c>
      <c r="AU100" s="64" t="s" ph="1">
        <v>259</v>
      </c>
      <c r="AV100" s="64" t="s" ph="1">
        <v>481</v>
      </c>
      <c r="AW100" s="64" t="s" ph="1">
        <v>367</v>
      </c>
      <c r="AX100" s="64" t="s" ph="1">
        <v>259</v>
      </c>
    </row>
    <row r="101" spans="33:52" ph="1">
      <c r="AJ101" s="64" t="s" ph="1">
        <v>482</v>
      </c>
      <c r="AK101" s="64" t="s" ph="1">
        <v>367</v>
      </c>
      <c r="AM101" s="64" t="s" ph="1">
        <v>483</v>
      </c>
      <c r="AN101" s="64" t="s" ph="1">
        <v>225</v>
      </c>
      <c r="AO101" s="64" t="s" ph="1">
        <v>259</v>
      </c>
      <c r="AP101" s="64" t="s" ph="1">
        <v>484</v>
      </c>
      <c r="AQ101" s="64" t="s" ph="1">
        <v>237</v>
      </c>
      <c r="AR101" s="64" t="s" ph="1">
        <v>287</v>
      </c>
      <c r="AS101" s="64" t="s" ph="1">
        <v>485</v>
      </c>
      <c r="AT101" s="64" t="s" ph="1">
        <v>294</v>
      </c>
      <c r="AU101" s="64" t="s" ph="1">
        <v>287</v>
      </c>
      <c r="AV101" s="64" t="s" ph="1">
        <v>486</v>
      </c>
      <c r="AW101" s="64" t="s" ph="1">
        <v>225</v>
      </c>
      <c r="AX101" s="64" t="s" ph="1">
        <v>259</v>
      </c>
    </row>
    <row r="102" spans="33:52" ph="1">
      <c r="AJ102" s="64" t="s" ph="1">
        <v>487</v>
      </c>
      <c r="AK102" s="64" t="s" ph="1">
        <v>222</v>
      </c>
      <c r="AM102" s="64" t="s" ph="1">
        <v>488</v>
      </c>
      <c r="AN102" s="64" t="s" ph="1">
        <v>231</v>
      </c>
      <c r="AO102" s="64" t="s" ph="1">
        <v>259</v>
      </c>
      <c r="AP102" s="64" t="s" ph="1">
        <v>489</v>
      </c>
      <c r="AQ102" s="64" t="s" ph="1">
        <v>237</v>
      </c>
      <c r="AR102" s="64" t="s" ph="1">
        <v>259</v>
      </c>
      <c r="AS102" s="64" t="s" ph="1">
        <v>490</v>
      </c>
      <c r="AT102" s="64" t="s" ph="1">
        <v>254</v>
      </c>
      <c r="AU102" s="64" t="s" ph="1">
        <v>259</v>
      </c>
      <c r="AV102" s="64" t="s" ph="1">
        <v>491</v>
      </c>
      <c r="AW102" s="64" t="s" ph="1">
        <v>272</v>
      </c>
      <c r="AX102" s="64" t="s" ph="1">
        <v>259</v>
      </c>
    </row>
    <row r="103" spans="33:52" ph="1">
      <c r="AH103" s="64" ph="1">
        <v>9</v>
      </c>
      <c r="AI103" s="64" t="s" ph="1">
        <v>492</v>
      </c>
      <c r="AJ103" s="64" t="s" ph="1">
        <v>493</v>
      </c>
      <c r="AK103" s="64" t="s" ph="1">
        <v>367</v>
      </c>
      <c r="AM103" s="64" t="s" ph="1">
        <v>494</v>
      </c>
      <c r="AN103" s="64" t="s" ph="1">
        <v>282</v>
      </c>
      <c r="AO103" s="64" t="s" ph="1">
        <v>259</v>
      </c>
      <c r="AP103" s="64" t="s" ph="1">
        <v>336</v>
      </c>
      <c r="AQ103" s="64" t="s" ph="1">
        <v>225</v>
      </c>
      <c r="AR103" s="64" t="s" ph="1">
        <v>259</v>
      </c>
      <c r="AS103" s="64" t="s" ph="1">
        <v>570</v>
      </c>
      <c r="AT103" s="64" t="s" ph="1">
        <v>367</v>
      </c>
      <c r="AU103" s="64" t="s" ph="1">
        <v>259</v>
      </c>
      <c r="AY103" s="64" t="s" ph="1">
        <v>216</v>
      </c>
      <c r="AZ103" s="64" t="s" ph="1">
        <v>224</v>
      </c>
    </row>
    <row r="104" spans="33:52" ph="1">
      <c r="AZ104" s="64" t="s" ph="1">
        <v>495</v>
      </c>
    </row>
    <row r="105" spans="33:52" ph="1">
      <c r="AG105" s="64" t="s" ph="1">
        <v>295</v>
      </c>
      <c r="AI105" s="64" t="s" ph="1">
        <v>209</v>
      </c>
      <c r="AJ105" s="64" t="s" ph="1">
        <v>210</v>
      </c>
      <c r="AK105" s="64" t="s" ph="1">
        <v>211</v>
      </c>
      <c r="AM105" s="64" t="s" ph="1">
        <v>210</v>
      </c>
      <c r="AN105" s="64" t="s" ph="1">
        <v>211</v>
      </c>
      <c r="AO105" s="64" t="s" ph="1">
        <v>212</v>
      </c>
      <c r="AP105" s="64" t="s" ph="1">
        <v>210</v>
      </c>
      <c r="AQ105" s="64" t="s" ph="1">
        <v>211</v>
      </c>
      <c r="AR105" s="64" t="s" ph="1">
        <v>212</v>
      </c>
      <c r="AS105" s="64" t="s" ph="1">
        <v>210</v>
      </c>
      <c r="AT105" s="64" t="s" ph="1">
        <v>211</v>
      </c>
      <c r="AU105" s="64" t="s" ph="1">
        <v>212</v>
      </c>
      <c r="AV105" s="64" t="s" ph="1">
        <v>210</v>
      </c>
      <c r="AW105" s="64" t="s" ph="1">
        <v>211</v>
      </c>
      <c r="AX105" s="64" t="s" ph="1">
        <v>212</v>
      </c>
      <c r="AZ105" s="64" t="s" ph="1">
        <v>213</v>
      </c>
    </row>
    <row r="106" spans="33:52" ph="1">
      <c r="AH106" s="64" ph="1">
        <v>1</v>
      </c>
      <c r="AI106" s="64" t="s" ph="1">
        <v>496</v>
      </c>
      <c r="AJ106" s="64" t="s" ph="1">
        <v>570</v>
      </c>
      <c r="AK106" s="64" t="s" ph="1">
        <v>231</v>
      </c>
      <c r="AZ106" s="64" t="s" ph="1">
        <v>231</v>
      </c>
    </row>
    <row r="107" spans="33:52" ph="1">
      <c r="AH107" s="64" ph="1">
        <v>2</v>
      </c>
      <c r="AI107" s="64" t="s" ph="1">
        <v>497</v>
      </c>
      <c r="AJ107" s="64" t="s" ph="1">
        <v>498</v>
      </c>
      <c r="AK107" s="64" t="s" ph="1">
        <v>228</v>
      </c>
      <c r="AM107" s="64" t="s" ph="1">
        <v>334</v>
      </c>
      <c r="AN107" s="64" t="s" ph="1">
        <v>499</v>
      </c>
      <c r="AO107" s="64" t="s" ph="1">
        <v>500</v>
      </c>
      <c r="AP107" s="64" t="s" ph="1">
        <v>336</v>
      </c>
      <c r="AQ107" s="64" t="s" ph="1">
        <v>304</v>
      </c>
      <c r="AR107" s="64" t="s" ph="1">
        <v>500</v>
      </c>
      <c r="AS107" s="64" t="s" ph="1">
        <v>570</v>
      </c>
      <c r="AT107" s="64" t="s" ph="1">
        <v>499</v>
      </c>
      <c r="AU107" s="64" t="s" ph="1">
        <v>500</v>
      </c>
      <c r="AY107" s="64" t="s" ph="1">
        <v>216</v>
      </c>
      <c r="AZ107" s="64" t="s" ph="1">
        <v>580</v>
      </c>
    </row>
    <row r="108" spans="33:52" ph="1">
      <c r="AH108" s="64" ph="1">
        <v>3</v>
      </c>
      <c r="AI108" s="64" t="s" ph="1">
        <v>501</v>
      </c>
      <c r="AY108" s="64" t="s" ph="1">
        <v>216</v>
      </c>
      <c r="AZ108" s="64" t="s" ph="1">
        <v>367</v>
      </c>
    </row>
    <row r="109" spans="33:52" ph="1">
      <c r="AH109" s="64" ph="1">
        <v>4</v>
      </c>
      <c r="AI109" s="64" t="s" ph="1">
        <v>502</v>
      </c>
      <c r="AY109" s="64" t="s" ph="1">
        <v>216</v>
      </c>
      <c r="AZ109" s="64" t="s" ph="1">
        <v>367</v>
      </c>
    </row>
    <row r="110" spans="33:52" ph="1">
      <c r="AH110" s="64" ph="1">
        <v>5</v>
      </c>
      <c r="AI110" s="64" t="s" ph="1">
        <v>503</v>
      </c>
      <c r="AY110" s="64" t="s" ph="1">
        <v>216</v>
      </c>
      <c r="AZ110" s="64" t="s" ph="1">
        <v>367</v>
      </c>
    </row>
    <row r="111" spans="33:52" ph="1">
      <c r="AH111" s="64" ph="1">
        <v>6</v>
      </c>
      <c r="AI111" s="64" t="s" ph="1">
        <v>581</v>
      </c>
      <c r="AJ111" s="64" t="s" ph="1">
        <v>486</v>
      </c>
      <c r="AK111" s="64" t="s" ph="1">
        <v>225</v>
      </c>
      <c r="AM111" s="64" t="s" ph="1">
        <v>487</v>
      </c>
      <c r="AN111" s="64" t="s" ph="1">
        <v>219</v>
      </c>
      <c r="AO111" s="64" t="s" ph="1">
        <v>500</v>
      </c>
      <c r="AP111" s="64" t="s" ph="1">
        <v>488</v>
      </c>
      <c r="AQ111" s="64" t="s" ph="1">
        <v>228</v>
      </c>
      <c r="AR111" s="64" t="s" ph="1">
        <v>500</v>
      </c>
      <c r="AS111" s="64" t="s" ph="1">
        <v>489</v>
      </c>
      <c r="AT111" s="64" t="s" ph="1">
        <v>237</v>
      </c>
      <c r="AU111" s="64" t="s" ph="1">
        <v>500</v>
      </c>
      <c r="AV111" s="64" t="s" ph="1">
        <v>490</v>
      </c>
      <c r="AW111" s="64" t="s" ph="1">
        <v>227</v>
      </c>
      <c r="AX111" s="64" t="s" ph="1">
        <v>500</v>
      </c>
      <c r="AY111" s="64" t="s" ph="1">
        <v>216</v>
      </c>
      <c r="AZ111" s="64" t="s" ph="1">
        <v>504</v>
      </c>
    </row>
    <row r="112" spans="33:52" ph="1">
      <c r="AJ112" s="64" t="s" ph="1">
        <v>491</v>
      </c>
      <c r="AK112" s="64" t="s" ph="1">
        <v>272</v>
      </c>
      <c r="AM112" s="64" t="s" ph="1">
        <v>493</v>
      </c>
      <c r="AN112" s="64" t="s" ph="1">
        <v>296</v>
      </c>
      <c r="AO112" s="64" t="s" ph="1">
        <v>500</v>
      </c>
      <c r="AP112" s="64" t="s" ph="1">
        <v>494</v>
      </c>
      <c r="AQ112" s="64" t="s" ph="1">
        <v>505</v>
      </c>
      <c r="AR112" s="64" t="s" ph="1">
        <v>500</v>
      </c>
      <c r="AS112" s="64" t="s" ph="1">
        <v>506</v>
      </c>
      <c r="AT112" s="64" t="s" ph="1">
        <v>248</v>
      </c>
      <c r="AU112" s="64" t="s" ph="1">
        <v>500</v>
      </c>
      <c r="AV112" s="64" t="s" ph="1">
        <v>507</v>
      </c>
      <c r="AW112" s="64" t="s" ph="1">
        <v>294</v>
      </c>
      <c r="AX112" s="64" t="s" ph="1">
        <v>500</v>
      </c>
    </row>
    <row r="113" spans="33:52" ph="1">
      <c r="AH113" s="64" ph="1">
        <v>7</v>
      </c>
      <c r="AI113" s="64" t="s" ph="1">
        <v>508</v>
      </c>
      <c r="AJ113" s="64" t="s" ph="1">
        <v>589</v>
      </c>
      <c r="AK113" s="64" t="s" ph="1">
        <v>594</v>
      </c>
      <c r="AY113" s="64" t="s" ph="1">
        <v>216</v>
      </c>
      <c r="AZ113" s="64" t="s" ph="1">
        <v>594</v>
      </c>
    </row>
    <row r="114" spans="33:52" ph="1">
      <c r="AH114" s="64" ph="1">
        <v>8</v>
      </c>
      <c r="AI114" s="64" t="s" ph="1">
        <v>509</v>
      </c>
      <c r="AJ114" s="64" t="s" ph="1">
        <v>589</v>
      </c>
      <c r="AK114" s="64" t="s" ph="1">
        <v>595</v>
      </c>
      <c r="AY114" s="64" t="s" ph="1">
        <v>216</v>
      </c>
      <c r="AZ114" s="64" t="s" ph="1">
        <v>595</v>
      </c>
    </row>
    <row r="115" spans="33:52" ph="1">
      <c r="AH115" s="64" ph="1">
        <v>9</v>
      </c>
      <c r="AI115" s="64" t="s" ph="1">
        <v>510</v>
      </c>
      <c r="AJ115" s="64" t="s" ph="1">
        <v>589</v>
      </c>
      <c r="AK115" s="64" t="s" ph="1">
        <v>595</v>
      </c>
      <c r="AY115" s="64" t="s" ph="1">
        <v>216</v>
      </c>
      <c r="AZ115" s="64" t="s" ph="1">
        <v>595</v>
      </c>
    </row>
    <row r="116" spans="33:52" ph="1">
      <c r="AH116" s="64" ph="1">
        <v>10</v>
      </c>
      <c r="AI116" s="64" t="s" ph="1">
        <v>511</v>
      </c>
      <c r="AJ116" s="64" t="s" ph="1">
        <v>589</v>
      </c>
      <c r="AK116" s="64" t="s" ph="1">
        <v>595</v>
      </c>
      <c r="AY116" s="64" t="s" ph="1">
        <v>216</v>
      </c>
      <c r="AZ116" s="64" t="s" ph="1">
        <v>595</v>
      </c>
    </row>
    <row r="117" spans="33:52" ph="1">
      <c r="AH117" s="64" ph="1">
        <v>11</v>
      </c>
      <c r="AI117" s="64" t="s" ph="1">
        <v>512</v>
      </c>
      <c r="AJ117" s="64" t="s" ph="1">
        <v>589</v>
      </c>
      <c r="AK117" s="64" t="s" ph="1">
        <v>595</v>
      </c>
      <c r="AY117" s="64" t="s" ph="1">
        <v>216</v>
      </c>
      <c r="AZ117" s="64" t="s" ph="1">
        <v>595</v>
      </c>
    </row>
    <row r="118" spans="33:52" ph="1">
      <c r="AZ118" s="64" t="s" ph="1">
        <v>596</v>
      </c>
    </row>
    <row r="119" spans="33:52" ph="1">
      <c r="AI119" s="64" t="s" ph="1">
        <v>209</v>
      </c>
      <c r="AJ119" s="64" t="s" ph="1">
        <v>210</v>
      </c>
      <c r="AK119" s="64" t="s" ph="1">
        <v>211</v>
      </c>
      <c r="AM119" s="64" t="s" ph="1">
        <v>210</v>
      </c>
      <c r="AN119" s="64" t="s" ph="1">
        <v>211</v>
      </c>
      <c r="AO119" s="64" t="s" ph="1">
        <v>212</v>
      </c>
      <c r="AP119" s="64" t="s" ph="1">
        <v>210</v>
      </c>
      <c r="AQ119" s="64" t="s" ph="1">
        <v>211</v>
      </c>
      <c r="AR119" s="64" t="s" ph="1">
        <v>212</v>
      </c>
      <c r="AS119" s="64" t="s" ph="1">
        <v>210</v>
      </c>
      <c r="AT119" s="64" t="s" ph="1">
        <v>211</v>
      </c>
      <c r="AU119" s="64" t="s" ph="1">
        <v>212</v>
      </c>
      <c r="AV119" s="64" t="s" ph="1">
        <v>210</v>
      </c>
      <c r="AW119" s="64" t="s" ph="1">
        <v>211</v>
      </c>
      <c r="AX119" s="64" t="s" ph="1">
        <v>212</v>
      </c>
      <c r="AY119" s="64" t="s" ph="1">
        <v>211</v>
      </c>
      <c r="AZ119" s="64" t="s" ph="1">
        <v>213</v>
      </c>
    </row>
    <row r="120" spans="33:52" ph="1">
      <c r="AG120" s="64" t="s" ph="1">
        <v>353</v>
      </c>
      <c r="AH120" s="64" ph="1">
        <v>1</v>
      </c>
      <c r="AI120" s="64" t="s" ph="1">
        <v>513</v>
      </c>
      <c r="AJ120" s="64" t="s" ph="1">
        <v>587</v>
      </c>
      <c r="AK120" s="64" t="s" ph="1">
        <v>367</v>
      </c>
      <c r="AY120" s="64" t="s" ph="1">
        <v>216</v>
      </c>
      <c r="AZ120" s="64" t="s" ph="1">
        <v>367</v>
      </c>
    </row>
    <row r="121" spans="33:52" ph="1">
      <c r="AH121" s="64" ph="1">
        <v>2</v>
      </c>
      <c r="AI121" s="64" t="s" ph="1">
        <v>514</v>
      </c>
      <c r="AY121" s="64" t="s" ph="1">
        <v>216</v>
      </c>
      <c r="AZ121" s="64" t="s" ph="1">
        <v>367</v>
      </c>
    </row>
    <row r="122" spans="33:52" ph="1">
      <c r="AH122" s="64" ph="1">
        <v>3</v>
      </c>
      <c r="AI122" s="64" t="s" ph="1">
        <v>515</v>
      </c>
      <c r="AJ122" s="64" t="s" ph="1">
        <v>570</v>
      </c>
      <c r="AK122" s="64" t="s" ph="1">
        <v>582</v>
      </c>
      <c r="AM122" s="64" t="s" ph="1">
        <v>597</v>
      </c>
      <c r="AN122" s="64" t="s" ph="1">
        <v>590</v>
      </c>
      <c r="AO122" s="64" t="s" ph="1">
        <v>91</v>
      </c>
      <c r="AY122" s="64" t="s" ph="1">
        <v>216</v>
      </c>
      <c r="AZ122" s="64" t="s" ph="1">
        <v>579</v>
      </c>
    </row>
    <row r="123" spans="33:52" ph="1">
      <c r="AY123" s="64" t="s" ph="1">
        <v>216</v>
      </c>
      <c r="AZ123" s="64" t="s" ph="1">
        <v>579</v>
      </c>
    </row>
    <row r="124" spans="33:52" ph="1">
      <c r="AG124" s="64" t="s" ph="1">
        <v>356</v>
      </c>
      <c r="AH124" s="64" ph="1">
        <v>4</v>
      </c>
      <c r="AI124" s="64" t="s" ph="1">
        <v>516</v>
      </c>
      <c r="AJ124" s="64" t="s" ph="1">
        <v>517</v>
      </c>
      <c r="AK124" s="64" t="s" ph="1">
        <v>518</v>
      </c>
      <c r="AY124" s="64" t="s" ph="1">
        <v>216</v>
      </c>
      <c r="AZ124" s="64" t="s" ph="1">
        <v>518</v>
      </c>
    </row>
    <row r="125" spans="33:52" ph="1">
      <c r="AH125" s="64" ph="1">
        <v>5</v>
      </c>
      <c r="AI125" s="64" t="s" ph="1">
        <v>519</v>
      </c>
      <c r="AJ125" s="64" t="s" ph="1">
        <v>517</v>
      </c>
      <c r="AK125" s="64" t="s" ph="1">
        <v>518</v>
      </c>
      <c r="AY125" s="64" t="s" ph="1">
        <v>216</v>
      </c>
      <c r="AZ125" s="64" t="s" ph="1">
        <v>518</v>
      </c>
    </row>
    <row r="126" spans="33:52" ph="1">
      <c r="AH126" s="64" ph="1">
        <v>6</v>
      </c>
      <c r="AI126" s="64" t="s" ph="1">
        <v>520</v>
      </c>
      <c r="AJ126" s="64" t="s" ph="1">
        <v>589</v>
      </c>
      <c r="AK126" s="64" t="s" ph="1">
        <v>598</v>
      </c>
      <c r="AY126" s="64" t="s" ph="1">
        <v>216</v>
      </c>
      <c r="AZ126" s="64" t="s" ph="1">
        <v>598</v>
      </c>
    </row>
    <row r="127" spans="33:52" ph="1">
      <c r="AH127" s="64" ph="1">
        <v>7</v>
      </c>
      <c r="AI127" s="64" t="s" ph="1">
        <v>521</v>
      </c>
      <c r="AJ127" s="64" t="s" ph="1">
        <v>589</v>
      </c>
      <c r="AK127" s="64" t="s" ph="1">
        <v>599</v>
      </c>
      <c r="AY127" s="64" t="s" ph="1">
        <v>216</v>
      </c>
      <c r="AZ127" s="64" t="s" ph="1">
        <v>599</v>
      </c>
    </row>
    <row r="128" spans="33:52" ph="1">
      <c r="AH128" s="64" ph="1">
        <v>8</v>
      </c>
      <c r="AI128" s="64" t="s" ph="1">
        <v>522</v>
      </c>
      <c r="AY128" s="64" t="s" ph="1">
        <v>216</v>
      </c>
      <c r="AZ128" s="64" t="s" ph="1">
        <v>367</v>
      </c>
    </row>
    <row r="129" spans="33:52" ph="1">
      <c r="AH129" s="64" ph="1">
        <v>9</v>
      </c>
      <c r="AI129" s="64" t="s" ph="1">
        <v>523</v>
      </c>
      <c r="AY129" s="64" t="s" ph="1">
        <v>216</v>
      </c>
      <c r="AZ129" s="64" t="s" ph="1">
        <v>367</v>
      </c>
    </row>
    <row r="130" spans="33:52" ph="1">
      <c r="AH130" s="64" ph="1">
        <v>10</v>
      </c>
      <c r="AI130" s="64" t="s" ph="1">
        <v>524</v>
      </c>
      <c r="AY130" s="64" t="s" ph="1">
        <v>216</v>
      </c>
      <c r="AZ130" s="64" t="s" ph="1">
        <v>367</v>
      </c>
    </row>
    <row r="131" spans="33:52" ph="1">
      <c r="AH131" s="64" ph="1">
        <v>11</v>
      </c>
      <c r="AI131" s="64" t="s" ph="1">
        <v>525</v>
      </c>
      <c r="AJ131" s="64" t="s" ph="1">
        <v>583</v>
      </c>
      <c r="AK131" s="64" t="s" ph="1">
        <v>579</v>
      </c>
      <c r="AY131" s="64" t="s" ph="1">
        <v>216</v>
      </c>
      <c r="AZ131" s="64" t="s" ph="1">
        <v>579</v>
      </c>
    </row>
    <row r="132" spans="33:52" ph="1">
      <c r="AH132" s="64" ph="1">
        <v>12</v>
      </c>
      <c r="AI132" s="64" t="s" ph="1">
        <v>526</v>
      </c>
      <c r="AJ132" s="64" t="s" ph="1">
        <v>583</v>
      </c>
      <c r="AK132" s="64" t="s" ph="1">
        <v>518</v>
      </c>
      <c r="AY132" s="64" t="s" ph="1">
        <v>216</v>
      </c>
      <c r="AZ132" s="64" t="s" ph="1">
        <v>518</v>
      </c>
    </row>
    <row r="133" spans="33:52" ph="1">
      <c r="AH133" s="64" ph="1">
        <v>13</v>
      </c>
      <c r="AI133" s="64" t="s" ph="1">
        <v>527</v>
      </c>
      <c r="AJ133" s="64" t="s" ph="1">
        <v>583</v>
      </c>
      <c r="AK133" s="64" t="s" ph="1">
        <v>584</v>
      </c>
      <c r="AY133" s="64" t="s" ph="1">
        <v>216</v>
      </c>
      <c r="AZ133" s="64" t="s" ph="1">
        <v>584</v>
      </c>
    </row>
    <row r="134" spans="33:52" ph="1">
      <c r="AH134" s="64" ph="1">
        <v>14</v>
      </c>
      <c r="AI134" s="64" t="s" ph="1">
        <v>528</v>
      </c>
      <c r="AJ134" s="64" t="s" ph="1">
        <v>583</v>
      </c>
      <c r="AK134" s="64" t="s" ph="1">
        <v>585</v>
      </c>
      <c r="AY134" s="64" t="s" ph="1">
        <v>216</v>
      </c>
      <c r="AZ134" s="64" t="s" ph="1">
        <v>585</v>
      </c>
    </row>
    <row r="135" spans="33:52" ph="1">
      <c r="AH135" s="64" ph="1">
        <v>15</v>
      </c>
      <c r="AI135" s="64" t="s" ph="1">
        <v>529</v>
      </c>
      <c r="AJ135" s="64" t="s" ph="1">
        <v>583</v>
      </c>
      <c r="AK135" s="64" t="s" ph="1">
        <v>586</v>
      </c>
      <c r="AY135" s="64" t="s" ph="1">
        <v>216</v>
      </c>
      <c r="AZ135" s="64" t="s" ph="1">
        <v>586</v>
      </c>
    </row>
    <row r="136" spans="33:52" ph="1">
      <c r="AZ136" s="64" t="s" ph="1">
        <v>600</v>
      </c>
    </row>
    <row r="137" spans="33:52" ph="1">
      <c r="AG137" s="64" t="s" ph="1">
        <v>290</v>
      </c>
      <c r="AI137" s="64" t="s" ph="1">
        <v>209</v>
      </c>
      <c r="AJ137" s="64" t="s" ph="1">
        <v>210</v>
      </c>
      <c r="AK137" s="64" t="s" ph="1">
        <v>211</v>
      </c>
      <c r="AM137" s="64" t="s" ph="1">
        <v>210</v>
      </c>
      <c r="AN137" s="64" t="s" ph="1">
        <v>211</v>
      </c>
      <c r="AO137" s="64" t="s" ph="1">
        <v>212</v>
      </c>
      <c r="AP137" s="64" t="s" ph="1">
        <v>210</v>
      </c>
      <c r="AQ137" s="64" t="s" ph="1">
        <v>211</v>
      </c>
      <c r="AR137" s="64" t="s" ph="1">
        <v>212</v>
      </c>
      <c r="AS137" s="64" t="s" ph="1">
        <v>210</v>
      </c>
      <c r="AT137" s="64" t="s" ph="1">
        <v>211</v>
      </c>
      <c r="AU137" s="64" t="s" ph="1">
        <v>212</v>
      </c>
      <c r="AV137" s="64" t="s" ph="1">
        <v>210</v>
      </c>
      <c r="AW137" s="64" t="s" ph="1">
        <v>211</v>
      </c>
      <c r="AX137" s="64" t="s" ph="1">
        <v>212</v>
      </c>
      <c r="AY137" s="64" t="s" ph="1">
        <v>211</v>
      </c>
      <c r="AZ137" s="64" t="s" ph="1">
        <v>213</v>
      </c>
    </row>
    <row r="138" spans="33:52" ph="1">
      <c r="AH138" s="64" ph="1">
        <v>1</v>
      </c>
      <c r="AI138" s="64" t="s" ph="1">
        <v>530</v>
      </c>
      <c r="AJ138" s="64" t="s" ph="1">
        <v>531</v>
      </c>
      <c r="AK138" s="64" t="s" ph="1">
        <v>532</v>
      </c>
      <c r="AY138" s="64" t="s" ph="1">
        <v>216</v>
      </c>
      <c r="AZ138" s="64" t="s" ph="1">
        <v>532</v>
      </c>
    </row>
    <row r="139" spans="33:52" ph="1">
      <c r="AH139" s="64" ph="1">
        <v>2</v>
      </c>
      <c r="AI139" s="64" t="s" ph="1">
        <v>533</v>
      </c>
      <c r="AJ139" s="64" t="s" ph="1">
        <v>589</v>
      </c>
      <c r="AK139" s="64" t="s" ph="1">
        <v>601</v>
      </c>
      <c r="AY139" s="64" t="s" ph="1">
        <v>216</v>
      </c>
      <c r="AZ139" s="64" t="s" ph="1">
        <v>601</v>
      </c>
    </row>
    <row r="140" spans="33:52" ph="1">
      <c r="AH140" s="64" ph="1">
        <v>3</v>
      </c>
      <c r="AI140" s="64" t="s" ph="1">
        <v>534</v>
      </c>
      <c r="AJ140" s="64" t="s" ph="1">
        <v>487</v>
      </c>
      <c r="AK140" s="64" t="s" ph="1">
        <v>299</v>
      </c>
      <c r="AM140" s="64" t="s" ph="1">
        <v>488</v>
      </c>
      <c r="AN140" s="64" t="s" ph="1">
        <v>219</v>
      </c>
      <c r="AO140" s="64" t="s" ph="1">
        <v>535</v>
      </c>
      <c r="AP140" s="64" t="s" ph="1">
        <v>489</v>
      </c>
      <c r="AQ140" s="64" t="s" ph="1">
        <v>236</v>
      </c>
      <c r="AR140" s="64" t="s" ph="1">
        <v>535</v>
      </c>
      <c r="AS140" s="64" t="s" ph="1">
        <v>490</v>
      </c>
      <c r="AT140" s="64" t="s" ph="1">
        <v>229</v>
      </c>
      <c r="AU140" s="64" t="s" ph="1">
        <v>535</v>
      </c>
      <c r="AV140" s="64" t="s" ph="1">
        <v>491</v>
      </c>
      <c r="AW140" s="64" t="s" ph="1">
        <v>222</v>
      </c>
      <c r="AX140" s="64" t="s" ph="1">
        <v>535</v>
      </c>
      <c r="AY140" s="64" t="s" ph="1">
        <v>216</v>
      </c>
      <c r="AZ140" s="64" t="s" ph="1">
        <v>291</v>
      </c>
    </row>
    <row r="141" spans="33:52" ph="1">
      <c r="AJ141" s="64" t="s" ph="1">
        <v>493</v>
      </c>
      <c r="AK141" s="64" t="s" ph="1">
        <v>222</v>
      </c>
      <c r="AM141" s="64" t="s" ph="1">
        <v>494</v>
      </c>
      <c r="AN141" s="64" t="s" ph="1">
        <v>225</v>
      </c>
      <c r="AO141" s="64" t="s" ph="1">
        <v>535</v>
      </c>
      <c r="AP141" s="64" t="s" ph="1">
        <v>506</v>
      </c>
      <c r="AQ141" s="64" t="s" ph="1">
        <v>294</v>
      </c>
      <c r="AR141" s="64" t="s" ph="1">
        <v>535</v>
      </c>
      <c r="AS141" s="64" t="s" ph="1">
        <v>498</v>
      </c>
      <c r="AT141" s="64" t="s" ph="1">
        <v>222</v>
      </c>
      <c r="AU141" s="64" t="s" ph="1">
        <v>535</v>
      </c>
      <c r="AV141" s="64" t="s" ph="1">
        <v>334</v>
      </c>
      <c r="AW141" s="64" t="s" ph="1">
        <v>228</v>
      </c>
      <c r="AX141" s="64" t="s" ph="1">
        <v>535</v>
      </c>
    </row>
    <row r="142" spans="33:52" ph="1">
      <c r="AJ142" s="64" t="s" ph="1">
        <v>536</v>
      </c>
      <c r="AK142" s="64" t="s" ph="1">
        <v>239</v>
      </c>
    </row>
    <row r="143" spans="33:52" ph="1">
      <c r="AH143" s="64" ph="1">
        <v>4</v>
      </c>
      <c r="AI143" s="64" t="s" ph="1">
        <v>537</v>
      </c>
      <c r="AJ143" s="64" t="s" ph="1">
        <v>517</v>
      </c>
      <c r="AK143" s="64" t="s" ph="1">
        <v>538</v>
      </c>
      <c r="AY143" s="64" t="s" ph="1">
        <v>216</v>
      </c>
      <c r="AZ143" s="64" t="s" ph="1">
        <v>538</v>
      </c>
    </row>
    <row r="144" spans="33:52" ph="1">
      <c r="AH144" s="64" ph="1">
        <v>5</v>
      </c>
      <c r="AI144" s="64" t="s" ph="1">
        <v>539</v>
      </c>
      <c r="AY144" s="64" t="s" ph="1">
        <v>216</v>
      </c>
      <c r="AZ144" s="64" t="s" ph="1">
        <v>367</v>
      </c>
    </row>
    <row r="145" spans="33:52" ph="1">
      <c r="AH145" s="64" ph="1">
        <v>6</v>
      </c>
      <c r="AI145" s="64" t="s" ph="1">
        <v>540</v>
      </c>
      <c r="AY145" s="64" t="s" ph="1">
        <v>216</v>
      </c>
      <c r="AZ145" s="64" t="s" ph="1">
        <v>367</v>
      </c>
    </row>
    <row r="146" spans="33:52" ph="1">
      <c r="AH146" s="64" ph="1">
        <v>7</v>
      </c>
      <c r="AI146" s="64" t="s" ph="1">
        <v>541</v>
      </c>
      <c r="AY146" s="64" t="s" ph="1">
        <v>216</v>
      </c>
      <c r="AZ146" s="64" t="s" ph="1">
        <v>367</v>
      </c>
    </row>
    <row r="147" spans="33:52" ph="1">
      <c r="AH147" s="64" ph="1">
        <v>8</v>
      </c>
      <c r="AI147" s="64" t="s" ph="1">
        <v>542</v>
      </c>
      <c r="AY147" s="64" t="s" ph="1">
        <v>216</v>
      </c>
      <c r="AZ147" s="64" t="s" ph="1">
        <v>367</v>
      </c>
    </row>
    <row r="148" spans="33:52" ph="1">
      <c r="AH148" s="64" ph="1">
        <v>9</v>
      </c>
      <c r="AI148" s="64" t="s" ph="1">
        <v>543</v>
      </c>
      <c r="AY148" s="64" t="s" ph="1">
        <v>216</v>
      </c>
      <c r="AZ148" s="64" t="s" ph="1">
        <v>367</v>
      </c>
    </row>
    <row r="149" spans="33:52" ph="1">
      <c r="AH149" s="64" ph="1">
        <v>10</v>
      </c>
      <c r="AI149" s="64" t="s" ph="1">
        <v>544</v>
      </c>
      <c r="AY149" s="64" t="s" ph="1">
        <v>216</v>
      </c>
      <c r="AZ149" s="64" t="s" ph="1">
        <v>367</v>
      </c>
    </row>
    <row r="150" spans="33:52" ph="1">
      <c r="AH150" s="64" ph="1">
        <v>11</v>
      </c>
      <c r="AI150" s="64" t="s" ph="1">
        <v>545</v>
      </c>
      <c r="AY150" s="64" t="s" ph="1">
        <v>216</v>
      </c>
      <c r="AZ150" s="64" t="s" ph="1">
        <v>367</v>
      </c>
    </row>
    <row r="151" spans="33:52" ph="1">
      <c r="AH151" s="64" ph="1">
        <v>12</v>
      </c>
      <c r="AI151" s="64" t="s" ph="1">
        <v>546</v>
      </c>
      <c r="AY151" s="64" t="s" ph="1">
        <v>216</v>
      </c>
      <c r="AZ151" s="64" t="s" ph="1">
        <v>367</v>
      </c>
    </row>
    <row r="152" spans="33:52" ph="1">
      <c r="AH152" s="64" ph="1">
        <v>13</v>
      </c>
      <c r="AI152" s="64" t="s" ph="1">
        <v>547</v>
      </c>
      <c r="AY152" s="64" t="s" ph="1">
        <v>216</v>
      </c>
      <c r="AZ152" s="64" t="s" ph="1">
        <v>367</v>
      </c>
    </row>
    <row r="153" spans="33:52" ph="1">
      <c r="AH153" s="64" ph="1">
        <v>14</v>
      </c>
      <c r="AI153" s="64" t="s" ph="1">
        <v>548</v>
      </c>
      <c r="AY153" s="64" t="s" ph="1">
        <v>216</v>
      </c>
      <c r="AZ153" s="64" t="s" ph="1">
        <v>367</v>
      </c>
    </row>
    <row r="154" spans="33:52" ph="1">
      <c r="AH154" s="64" ph="1">
        <v>15</v>
      </c>
      <c r="AI154" s="64" t="s" ph="1">
        <v>549</v>
      </c>
      <c r="AY154" s="64" t="s" ph="1">
        <v>216</v>
      </c>
      <c r="AZ154" s="64" t="s" ph="1">
        <v>367</v>
      </c>
    </row>
    <row r="155" spans="33:52" ph="1">
      <c r="AH155" s="64" ph="1">
        <v>16</v>
      </c>
      <c r="AI155" s="64" t="s" ph="1">
        <v>550</v>
      </c>
      <c r="AJ155" s="64" t="s" ph="1">
        <v>336</v>
      </c>
      <c r="AK155" s="64" t="s" ph="1">
        <v>231</v>
      </c>
      <c r="AM155" s="64" t="s" ph="1">
        <v>570</v>
      </c>
      <c r="AN155" s="64" t="s" ph="1">
        <v>282</v>
      </c>
      <c r="AO155" s="64" t="s" ph="1">
        <v>535</v>
      </c>
      <c r="AY155" s="64" t="s" ph="1">
        <v>216</v>
      </c>
      <c r="AZ155" s="64" t="s" ph="1">
        <v>223</v>
      </c>
    </row>
    <row r="156" spans="33:52" ph="1">
      <c r="AZ156" s="64" t="s" ph="1">
        <v>602</v>
      </c>
    </row>
    <row r="157" spans="33:52" ph="1">
      <c r="AG157" s="64" t="s" ph="1">
        <v>551</v>
      </c>
      <c r="AI157" s="64" t="s" ph="1">
        <v>209</v>
      </c>
      <c r="AJ157" s="64" t="s" ph="1">
        <v>210</v>
      </c>
      <c r="AK157" s="64" t="s" ph="1">
        <v>211</v>
      </c>
      <c r="AM157" s="64" t="s" ph="1">
        <v>210</v>
      </c>
      <c r="AN157" s="64" t="s" ph="1">
        <v>211</v>
      </c>
      <c r="AO157" s="64" t="s" ph="1">
        <v>212</v>
      </c>
      <c r="AP157" s="64" t="s" ph="1">
        <v>210</v>
      </c>
      <c r="AQ157" s="64" t="s" ph="1">
        <v>211</v>
      </c>
      <c r="AR157" s="64" t="s" ph="1">
        <v>212</v>
      </c>
      <c r="AS157" s="64" t="s" ph="1">
        <v>210</v>
      </c>
      <c r="AT157" s="64" t="s" ph="1">
        <v>211</v>
      </c>
      <c r="AU157" s="64" t="s" ph="1">
        <v>212</v>
      </c>
      <c r="AV157" s="64" t="s" ph="1">
        <v>210</v>
      </c>
      <c r="AW157" s="64" t="s" ph="1">
        <v>211</v>
      </c>
      <c r="AX157" s="64" t="s" ph="1">
        <v>212</v>
      </c>
      <c r="AY157" s="64" t="s" ph="1">
        <v>211</v>
      </c>
      <c r="AZ157" s="64" t="s" ph="1">
        <v>213</v>
      </c>
    </row>
    <row r="158" spans="33:52" ph="1">
      <c r="AH158" s="64" ph="1">
        <v>1</v>
      </c>
      <c r="AI158" s="64" t="s" ph="1">
        <v>552</v>
      </c>
      <c r="AY158" s="64" t="s" ph="1">
        <v>216</v>
      </c>
      <c r="AZ158" s="64" t="s" ph="1">
        <v>367</v>
      </c>
    </row>
    <row r="159" spans="33:52" ph="1">
      <c r="AH159" s="64" ph="1">
        <v>2</v>
      </c>
      <c r="AI159" s="64" t="s" ph="1">
        <v>553</v>
      </c>
      <c r="AY159" s="64" t="s" ph="1">
        <v>216</v>
      </c>
      <c r="AZ159" s="64" t="s" ph="1">
        <v>367</v>
      </c>
    </row>
    <row r="160" spans="33:52" ph="1">
      <c r="AZ160" s="64" t="s" ph="1">
        <v>385</v>
      </c>
    </row>
    <row r="161" spans="33:52" ph="1">
      <c r="AG161" s="64" t="s" ph="1">
        <v>361</v>
      </c>
      <c r="AI161" s="64" t="s" ph="1">
        <v>209</v>
      </c>
      <c r="AJ161" s="64" t="s" ph="1">
        <v>210</v>
      </c>
      <c r="AK161" s="64" t="s" ph="1">
        <v>211</v>
      </c>
      <c r="AM161" s="64" t="s" ph="1">
        <v>210</v>
      </c>
      <c r="AN161" s="64" t="s" ph="1">
        <v>211</v>
      </c>
      <c r="AO161" s="64" t="s" ph="1">
        <v>212</v>
      </c>
      <c r="AP161" s="64" t="s" ph="1">
        <v>210</v>
      </c>
      <c r="AQ161" s="64" t="s" ph="1">
        <v>211</v>
      </c>
      <c r="AR161" s="64" t="s" ph="1">
        <v>212</v>
      </c>
      <c r="AS161" s="64" t="s" ph="1">
        <v>210</v>
      </c>
      <c r="AT161" s="64" t="s" ph="1">
        <v>211</v>
      </c>
      <c r="AU161" s="64" t="s" ph="1">
        <v>212</v>
      </c>
      <c r="AV161" s="64" t="s" ph="1">
        <v>210</v>
      </c>
      <c r="AW161" s="64" t="s" ph="1">
        <v>211</v>
      </c>
      <c r="AX161" s="64" t="s" ph="1">
        <v>212</v>
      </c>
      <c r="AY161" s="64" t="s" ph="1">
        <v>211</v>
      </c>
      <c r="AZ161" s="64" t="s" ph="1">
        <v>213</v>
      </c>
    </row>
    <row r="162" spans="33:52" ph="1">
      <c r="AH162" s="64" ph="1">
        <v>1</v>
      </c>
      <c r="AI162" s="64" t="s" ph="1">
        <v>554</v>
      </c>
      <c r="AJ162" s="64" t="s" ph="1">
        <v>555</v>
      </c>
      <c r="AK162" s="64" t="s" ph="1">
        <v>499</v>
      </c>
      <c r="AM162" s="64" t="s" ph="1">
        <v>556</v>
      </c>
      <c r="AN162" s="64" t="s" ph="1">
        <v>220</v>
      </c>
      <c r="AO162" s="64" t="s" ph="1">
        <v>557</v>
      </c>
      <c r="AY162" s="64" t="s" ph="1">
        <v>216</v>
      </c>
      <c r="AZ162" s="64" t="s" ph="1">
        <v>292</v>
      </c>
    </row>
    <row r="163" spans="33:52" ph="1">
      <c r="AH163" s="64" ph="1">
        <v>2</v>
      </c>
      <c r="AI163" s="64" t="s" ph="1">
        <v>558</v>
      </c>
      <c r="AJ163" s="64" t="s" ph="1">
        <v>555</v>
      </c>
      <c r="AK163" s="64" t="s" ph="1">
        <v>388</v>
      </c>
      <c r="AY163" s="64" t="s" ph="1">
        <v>216</v>
      </c>
      <c r="AZ163" s="64" t="s" ph="1">
        <v>388</v>
      </c>
    </row>
    <row r="164" spans="33:52" ph="1">
      <c r="AH164" s="64" ph="1">
        <v>3</v>
      </c>
      <c r="AI164" s="64" t="s" ph="1">
        <v>559</v>
      </c>
      <c r="AJ164" s="64" t="s" ph="1">
        <v>555</v>
      </c>
      <c r="AK164" s="64" t="s" ph="1">
        <v>292</v>
      </c>
      <c r="AY164" s="64" t="s" ph="1">
        <v>216</v>
      </c>
      <c r="AZ164" s="64" t="s" ph="1">
        <v>292</v>
      </c>
    </row>
    <row r="165" spans="33:52" ph="1">
      <c r="AH165" s="64" ph="1">
        <v>4</v>
      </c>
      <c r="AI165" s="64" t="s" ph="1">
        <v>560</v>
      </c>
      <c r="AY165" s="64" t="s" ph="1">
        <v>216</v>
      </c>
      <c r="AZ165" s="64" t="s" ph="1">
        <v>367</v>
      </c>
    </row>
    <row r="166" spans="33:52" ph="1">
      <c r="AH166" s="64" ph="1">
        <v>5</v>
      </c>
      <c r="AI166" s="64" t="s" ph="1">
        <v>561</v>
      </c>
      <c r="AY166" s="64" t="s" ph="1">
        <v>216</v>
      </c>
      <c r="AZ166" s="64" t="s" ph="1">
        <v>367</v>
      </c>
    </row>
    <row r="167" spans="33:52" ph="1">
      <c r="AZ167" s="64" t="s" ph="1">
        <v>562</v>
      </c>
    </row>
    <row r="168" spans="33:52" ph="1">
      <c r="AG168" s="64" t="s" ph="1">
        <v>305</v>
      </c>
      <c r="AI168" s="64" t="s" ph="1">
        <v>209</v>
      </c>
      <c r="AJ168" s="64" t="s" ph="1">
        <v>210</v>
      </c>
      <c r="AK168" s="64" t="s" ph="1">
        <v>211</v>
      </c>
      <c r="AM168" s="64" t="s" ph="1">
        <v>210</v>
      </c>
      <c r="AN168" s="64" t="s" ph="1">
        <v>211</v>
      </c>
      <c r="AO168" s="64" t="s" ph="1">
        <v>212</v>
      </c>
      <c r="AP168" s="64" t="s" ph="1">
        <v>210</v>
      </c>
      <c r="AQ168" s="64" t="s" ph="1">
        <v>211</v>
      </c>
      <c r="AR168" s="64" t="s" ph="1">
        <v>212</v>
      </c>
      <c r="AS168" s="64" t="s" ph="1">
        <v>210</v>
      </c>
      <c r="AT168" s="64" t="s" ph="1">
        <v>211</v>
      </c>
      <c r="AU168" s="64" t="s" ph="1">
        <v>212</v>
      </c>
      <c r="AV168" s="64" t="s" ph="1">
        <v>210</v>
      </c>
      <c r="AW168" s="64" t="s" ph="1">
        <v>211</v>
      </c>
      <c r="AX168" s="64" t="s" ph="1">
        <v>212</v>
      </c>
      <c r="AY168" s="64" t="s" ph="1">
        <v>211</v>
      </c>
      <c r="AZ168" s="64" t="s" ph="1">
        <v>213</v>
      </c>
    </row>
    <row r="169" spans="33:52" ph="1">
      <c r="AH169" s="64" ph="1">
        <v>1</v>
      </c>
      <c r="AI169" s="64" t="s" ph="1">
        <v>563</v>
      </c>
      <c r="AY169" s="64" t="s" ph="1">
        <v>216</v>
      </c>
      <c r="AZ169" s="64" t="s" ph="1">
        <v>367</v>
      </c>
    </row>
    <row r="170" spans="33:52" ph="1">
      <c r="AH170" s="64" ph="1">
        <v>2</v>
      </c>
      <c r="AI170" s="64" t="s" ph="1">
        <v>564</v>
      </c>
      <c r="AY170" s="64" t="s" ph="1">
        <v>216</v>
      </c>
      <c r="AZ170" s="64" t="s" ph="1">
        <v>367</v>
      </c>
    </row>
    <row r="171" spans="33:52" ph="1">
      <c r="AH171" s="64" ph="1">
        <v>3</v>
      </c>
      <c r="AI171" s="64" t="s" ph="1">
        <v>565</v>
      </c>
      <c r="AY171" s="64" t="s" ph="1">
        <v>216</v>
      </c>
      <c r="AZ171" s="64" t="s" ph="1">
        <v>367</v>
      </c>
    </row>
    <row r="172" spans="33:52" ph="1">
      <c r="AH172" s="64" ph="1">
        <v>4</v>
      </c>
      <c r="AI172" s="64" t="s" ph="1">
        <v>566</v>
      </c>
      <c r="AY172" s="64" t="s" ph="1">
        <v>216</v>
      </c>
      <c r="AZ172" s="64" t="s" ph="1">
        <v>367</v>
      </c>
    </row>
    <row r="173" spans="33:52" ph="1">
      <c r="AH173" s="64" ph="1">
        <v>5</v>
      </c>
      <c r="AI173" s="64" t="s" ph="1">
        <v>567</v>
      </c>
      <c r="AY173" s="64" t="s" ph="1">
        <v>216</v>
      </c>
      <c r="AZ173" s="64" t="s" ph="1">
        <v>367</v>
      </c>
    </row>
    <row r="174" spans="33:52" ph="1">
      <c r="AZ174" s="64" t="s" ph="1">
        <v>385</v>
      </c>
    </row>
    <row r="175" spans="33:52" ph="1">
      <c r="AJ175" s="64" t="s" ph="1">
        <v>306</v>
      </c>
    </row>
    <row r="176" spans="33:52" ph="1">
      <c r="AJ176" s="64" t="s" ph="1">
        <v>307</v>
      </c>
      <c r="AK176" s="64" t="s" ph="1">
        <v>308</v>
      </c>
      <c r="AM176" s="64" t="s" ph="1">
        <v>309</v>
      </c>
      <c r="AO176" s="64" t="s" ph="1">
        <v>310</v>
      </c>
      <c r="AP176" s="64" t="s" ph="1">
        <v>311</v>
      </c>
      <c r="AQ176" s="64" t="s" ph="1">
        <v>301</v>
      </c>
      <c r="AR176" s="64" t="s" ph="1">
        <v>221</v>
      </c>
    </row>
    <row r="177" spans="36:56" ph="1">
      <c r="AJ177" s="64" t="s" ph="1">
        <v>603</v>
      </c>
      <c r="AK177" s="64" t="s" ph="1">
        <v>312</v>
      </c>
      <c r="AO177" s="64" t="s" ph="1">
        <v>312</v>
      </c>
      <c r="AP177" s="64" t="s" ph="1">
        <v>312</v>
      </c>
      <c r="AQ177" s="64" t="s" ph="1">
        <v>313</v>
      </c>
      <c r="AR177" s="64" t="s" ph="1">
        <v>314</v>
      </c>
    </row>
    <row r="179" spans="36:56" ph="1">
      <c r="AJ179" s="64" t="s" ph="1">
        <v>315</v>
      </c>
      <c r="AK179" s="64" t="s" ph="1">
        <v>316</v>
      </c>
      <c r="AM179" s="64" t="s" ph="1">
        <v>317</v>
      </c>
      <c r="AN179" s="64" t="s" ph="1">
        <v>293</v>
      </c>
      <c r="AO179" s="64" t="s" ph="1">
        <v>318</v>
      </c>
      <c r="AP179" s="64" t="s" ph="1">
        <v>297</v>
      </c>
      <c r="AQ179" s="64" t="s" ph="1">
        <v>319</v>
      </c>
      <c r="AR179" s="64" t="s" ph="1">
        <v>320</v>
      </c>
    </row>
    <row r="180" spans="36:56" ph="1">
      <c r="AJ180" s="64" t="s" ph="1">
        <v>312</v>
      </c>
      <c r="AK180" s="64" t="s" ph="1">
        <v>312</v>
      </c>
      <c r="AL180" s="64" ph="1">
        <v>116</v>
      </c>
      <c r="AM180" s="64" t="s" ph="1">
        <v>312</v>
      </c>
      <c r="AN180" s="64" t="s" ph="1">
        <v>321</v>
      </c>
      <c r="AO180" s="64" t="s" ph="1">
        <v>312</v>
      </c>
      <c r="AP180" s="64" t="s" ph="1">
        <v>322</v>
      </c>
      <c r="AQ180" s="64" t="s" ph="1">
        <v>323</v>
      </c>
      <c r="AR180" s="64" t="s" ph="1">
        <v>324</v>
      </c>
    </row>
    <row r="189" spans="36:56" ph="1">
      <c r="BD189" s="64" t="s" ph="1">
        <v>568</v>
      </c>
    </row>
    <row r="223" spans="18:18" ph="1">
      <c r="R223" s="135" ph="1">
        <v>45496</v>
      </c>
    </row>
  </sheetData>
  <mergeCells count="58"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S31:U31"/>
    <mergeCell ref="V31:X31"/>
    <mergeCell ref="Y31:AA31"/>
    <mergeCell ref="AB31:AE31"/>
    <mergeCell ref="AD32:AE32"/>
    <mergeCell ref="B33:C34"/>
    <mergeCell ref="D33:D34"/>
    <mergeCell ref="E33:E34"/>
    <mergeCell ref="F33:F34"/>
    <mergeCell ref="G33:G34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</mergeCells>
  <phoneticPr fontId="2" type="noConversion"/>
  <conditionalFormatting sqref="D4:D11">
    <cfRule type="expression" dxfId="1696" priority="100">
      <formula>ABS(D$7-D$10)&gt;=1000</formula>
    </cfRule>
  </conditionalFormatting>
  <conditionalFormatting sqref="E4 E6:E11">
    <cfRule type="expression" dxfId="1695" priority="99">
      <formula>ABS(E$7-E$10)&gt;=1000</formula>
    </cfRule>
  </conditionalFormatting>
  <conditionalFormatting sqref="F4:F11">
    <cfRule type="expression" dxfId="1694" priority="98">
      <formula>ABS(F$7-F$10)&gt;=1000</formula>
    </cfRule>
  </conditionalFormatting>
  <conditionalFormatting sqref="G4:G11">
    <cfRule type="expression" dxfId="1693" priority="97">
      <formula>ABS(G$7-G$10)&gt;=1000</formula>
    </cfRule>
  </conditionalFormatting>
  <conditionalFormatting sqref="H4:H11">
    <cfRule type="expression" dxfId="1692" priority="96">
      <formula>ABS(H$7-H$10)&gt;=1000</formula>
    </cfRule>
  </conditionalFormatting>
  <conditionalFormatting sqref="I4:I11">
    <cfRule type="expression" dxfId="1691" priority="95">
      <formula>ABS(I$7-I$10)&gt;=1000</formula>
    </cfRule>
  </conditionalFormatting>
  <conditionalFormatting sqref="J4:J11">
    <cfRule type="expression" dxfId="1690" priority="94">
      <formula>ABS(J$7-J$10)&gt;=1000</formula>
    </cfRule>
  </conditionalFormatting>
  <conditionalFormatting sqref="K4:K11">
    <cfRule type="expression" dxfId="1689" priority="93">
      <formula>ABS(K$7-K$10)&gt;=1000</formula>
    </cfRule>
  </conditionalFormatting>
  <conditionalFormatting sqref="L4:L11">
    <cfRule type="expression" dxfId="1688" priority="92">
      <formula>ABS(L$7-L$10)&gt;=1000</formula>
    </cfRule>
  </conditionalFormatting>
  <conditionalFormatting sqref="M4 M6:M11">
    <cfRule type="expression" dxfId="1687" priority="91">
      <formula>ABS(M$7-M$10)&gt;=1000</formula>
    </cfRule>
  </conditionalFormatting>
  <conditionalFormatting sqref="N4 N6:N11">
    <cfRule type="expression" dxfId="1686" priority="90">
      <formula>ABS(N$7-N$10)&gt;=1000</formula>
    </cfRule>
  </conditionalFormatting>
  <conditionalFormatting sqref="O4 O6:O11">
    <cfRule type="expression" dxfId="1685" priority="89">
      <formula>ABS(O$7-O$10)&gt;=1000</formula>
    </cfRule>
  </conditionalFormatting>
  <conditionalFormatting sqref="P4 P6:P11">
    <cfRule type="expression" dxfId="1684" priority="88">
      <formula>ABS(P$7-P$10)&gt;=1000</formula>
    </cfRule>
  </conditionalFormatting>
  <conditionalFormatting sqref="Q4:Q11">
    <cfRule type="expression" dxfId="1683" priority="87">
      <formula>ABS(Q$7-Q$10)&gt;=1000</formula>
    </cfRule>
  </conditionalFormatting>
  <conditionalFormatting sqref="R4:R11">
    <cfRule type="expression" dxfId="1682" priority="86">
      <formula>ABS(R$7-R$10)&gt;=1000</formula>
    </cfRule>
  </conditionalFormatting>
  <conditionalFormatting sqref="S4:S11">
    <cfRule type="expression" dxfId="1681" priority="85">
      <formula>ABS(S$7-S$10)&gt;=1000</formula>
    </cfRule>
  </conditionalFormatting>
  <conditionalFormatting sqref="T4:T9 T11">
    <cfRule type="expression" dxfId="1680" priority="84">
      <formula>ABS(T$7-T$10)&gt;=1000</formula>
    </cfRule>
  </conditionalFormatting>
  <conditionalFormatting sqref="U4:U9 U11">
    <cfRule type="expression" dxfId="1679" priority="83">
      <formula>ABS(U$7-U$10)&gt;=1000</formula>
    </cfRule>
  </conditionalFormatting>
  <conditionalFormatting sqref="V4:V9 V11">
    <cfRule type="expression" dxfId="1678" priority="82">
      <formula>ABS(V$7-V$10)&gt;=1000</formula>
    </cfRule>
  </conditionalFormatting>
  <conditionalFormatting sqref="W4:W9 W11">
    <cfRule type="expression" dxfId="1677" priority="81">
      <formula>ABS(W$7-W$10)&gt;=1000</formula>
    </cfRule>
  </conditionalFormatting>
  <conditionalFormatting sqref="X4:X9 X11">
    <cfRule type="expression" dxfId="1676" priority="80">
      <formula>ABS(X$7-X$10)&gt;=1000</formula>
    </cfRule>
  </conditionalFormatting>
  <conditionalFormatting sqref="Y4:Y9 Y11">
    <cfRule type="expression" dxfId="1675" priority="79">
      <formula>ABS(Y$7-Y$10)&gt;=1000</formula>
    </cfRule>
  </conditionalFormatting>
  <conditionalFormatting sqref="Z4:Z11">
    <cfRule type="expression" dxfId="1674" priority="78">
      <formula>ABS(Z$7-Z$10)&gt;=1000</formula>
    </cfRule>
  </conditionalFormatting>
  <conditionalFormatting sqref="AA4:AA11">
    <cfRule type="expression" dxfId="1673" priority="77">
      <formula>ABS(AA$7-AA$10)&gt;=1000</formula>
    </cfRule>
  </conditionalFormatting>
  <conditionalFormatting sqref="AB4:AB11">
    <cfRule type="expression" dxfId="1672" priority="76">
      <formula>ABS(AB$7-AB$10)&gt;=1000</formula>
    </cfRule>
  </conditionalFormatting>
  <conditionalFormatting sqref="AC4 AC6:AC11">
    <cfRule type="expression" dxfId="1671" priority="75">
      <formula>ABS(AC$7-AC$10)&gt;=1000</formula>
    </cfRule>
  </conditionalFormatting>
  <conditionalFormatting sqref="AD4 AD6:AD11">
    <cfRule type="expression" dxfId="1670" priority="74">
      <formula>ABS(AD$7-AD$10)&gt;=1000</formula>
    </cfRule>
  </conditionalFormatting>
  <conditionalFormatting sqref="AE4 AE6:AE11">
    <cfRule type="expression" dxfId="1669" priority="73">
      <formula>ABS(AE$7-AE$10)&gt;=1000</formula>
    </cfRule>
  </conditionalFormatting>
  <conditionalFormatting sqref="D13:D20">
    <cfRule type="expression" dxfId="1668" priority="72">
      <formula>ABS(D$16-D$19)&gt;=1000</formula>
    </cfRule>
  </conditionalFormatting>
  <conditionalFormatting sqref="E13:E20">
    <cfRule type="expression" dxfId="1667" priority="71">
      <formula>ABS(E$16-E$19)&gt;=1000</formula>
    </cfRule>
  </conditionalFormatting>
  <conditionalFormatting sqref="F13 F15:F20">
    <cfRule type="expression" dxfId="1666" priority="70">
      <formula>ABS(F$16-F$19)&gt;=1000</formula>
    </cfRule>
  </conditionalFormatting>
  <conditionalFormatting sqref="G13:G20">
    <cfRule type="expression" dxfId="1665" priority="69">
      <formula>ABS(G$16-G$19)&gt;=1000</formula>
    </cfRule>
  </conditionalFormatting>
  <conditionalFormatting sqref="H13 H15:H20">
    <cfRule type="expression" dxfId="1664" priority="68">
      <formula>ABS(H$16-H$19)&gt;=1000</formula>
    </cfRule>
  </conditionalFormatting>
  <conditionalFormatting sqref="I13:I20">
    <cfRule type="expression" dxfId="1663" priority="67">
      <formula>ABS(I$16-I$19)&gt;=1000</formula>
    </cfRule>
  </conditionalFormatting>
  <conditionalFormatting sqref="J13:J20">
    <cfRule type="expression" dxfId="1662" priority="66">
      <formula>ABS(J$16-J$19)&gt;=1000</formula>
    </cfRule>
  </conditionalFormatting>
  <conditionalFormatting sqref="L13:L20">
    <cfRule type="expression" dxfId="1661" priority="65">
      <formula>ABS(L$16-L$19)&gt;=1000</formula>
    </cfRule>
  </conditionalFormatting>
  <conditionalFormatting sqref="M13 M15 M17:M18 M20">
    <cfRule type="expression" dxfId="1660" priority="64">
      <formula>ABS(M$16-M$19)&gt;=1000</formula>
    </cfRule>
  </conditionalFormatting>
  <conditionalFormatting sqref="N13:N20">
    <cfRule type="expression" dxfId="1659" priority="63">
      <formula>ABS(N$16-N$19)&gt;=1000</formula>
    </cfRule>
  </conditionalFormatting>
  <conditionalFormatting sqref="O13:O20">
    <cfRule type="expression" dxfId="1658" priority="62">
      <formula>ABS(O$16-O$19)&gt;=1000</formula>
    </cfRule>
  </conditionalFormatting>
  <conditionalFormatting sqref="P13:P20">
    <cfRule type="expression" dxfId="1657" priority="61">
      <formula>ABS(P$16-P$19)&gt;=1000</formula>
    </cfRule>
  </conditionalFormatting>
  <conditionalFormatting sqref="Q13 Q15:Q20">
    <cfRule type="expression" dxfId="1656" priority="60">
      <formula>ABS(Q$16-Q$19)&gt;=1000</formula>
    </cfRule>
  </conditionalFormatting>
  <conditionalFormatting sqref="R13:R20">
    <cfRule type="expression" dxfId="1655" priority="59">
      <formula>ABS(R$16-R$19)&gt;=1000</formula>
    </cfRule>
  </conditionalFormatting>
  <conditionalFormatting sqref="S13:S20">
    <cfRule type="expression" dxfId="1654" priority="58">
      <formula>ABS(S$16-S$19)&gt;=1000</formula>
    </cfRule>
  </conditionalFormatting>
  <conditionalFormatting sqref="T13:T20">
    <cfRule type="expression" dxfId="1653" priority="57">
      <formula>ABS(T$16-T$19)&gt;=1000</formula>
    </cfRule>
  </conditionalFormatting>
  <conditionalFormatting sqref="U13:U20">
    <cfRule type="expression" dxfId="1652" priority="56">
      <formula>ABS(U$16-U$19)&gt;=1000</formula>
    </cfRule>
  </conditionalFormatting>
  <conditionalFormatting sqref="V13:V20">
    <cfRule type="expression" dxfId="1651" priority="55">
      <formula>ABS(V$16-V$19)&gt;=1000</formula>
    </cfRule>
  </conditionalFormatting>
  <conditionalFormatting sqref="W13 W20 W15:W18">
    <cfRule type="expression" dxfId="1650" priority="54">
      <formula>ABS(W$16-W$19)&gt;=1000</formula>
    </cfRule>
  </conditionalFormatting>
  <conditionalFormatting sqref="X13 X15:X20 Y19">
    <cfRule type="expression" dxfId="1649" priority="53">
      <formula>ABS(X$16-X$19)&gt;=1000</formula>
    </cfRule>
  </conditionalFormatting>
  <conditionalFormatting sqref="Y13 Y15:Y18 Y20">
    <cfRule type="expression" dxfId="1648" priority="52">
      <formula>ABS(Y$16-Y$19)&gt;=1000</formula>
    </cfRule>
  </conditionalFormatting>
  <conditionalFormatting sqref="Z13:Z20">
    <cfRule type="expression" dxfId="1647" priority="51">
      <formula>ABS(Z$16-Z$19)&gt;=1000</formula>
    </cfRule>
  </conditionalFormatting>
  <conditionalFormatting sqref="AA13:AA20">
    <cfRule type="expression" dxfId="1646" priority="50">
      <formula>ABS(AA$16-AA$19)&gt;=1000</formula>
    </cfRule>
  </conditionalFormatting>
  <conditionalFormatting sqref="AB13 AB15:AB20">
    <cfRule type="expression" dxfId="1645" priority="49">
      <formula>ABS(AB$16-AB$19)&gt;=1000</formula>
    </cfRule>
  </conditionalFormatting>
  <conditionalFormatting sqref="AC13 AC15:AC20">
    <cfRule type="expression" dxfId="1644" priority="48">
      <formula>ABS(AC$16-AC$19)&gt;=1000</formula>
    </cfRule>
  </conditionalFormatting>
  <conditionalFormatting sqref="AD13:AD20">
    <cfRule type="expression" dxfId="1643" priority="47">
      <formula>ABS(AD$16-AD$19)&gt;=1000</formula>
    </cfRule>
  </conditionalFormatting>
  <conditionalFormatting sqref="AE13:AE20">
    <cfRule type="expression" dxfId="1642" priority="46">
      <formula>ABS(AE$16-AE$19)&gt;=1000</formula>
    </cfRule>
  </conditionalFormatting>
  <conditionalFormatting sqref="D22:D29">
    <cfRule type="expression" dxfId="1641" priority="45">
      <formula>ABS(D$25-D$28)&gt;=1000</formula>
    </cfRule>
  </conditionalFormatting>
  <conditionalFormatting sqref="E22:E29">
    <cfRule type="expression" dxfId="1640" priority="44">
      <formula>ABS(E$25-E$28)&gt;=1000</formula>
    </cfRule>
  </conditionalFormatting>
  <conditionalFormatting sqref="F22:F29">
    <cfRule type="expression" dxfId="1639" priority="43">
      <formula>ABS(F$25-F$28)&gt;=1000</formula>
    </cfRule>
  </conditionalFormatting>
  <conditionalFormatting sqref="G22:G29">
    <cfRule type="expression" dxfId="1638" priority="42">
      <formula>ABS(G$25-G$28)&gt;=1000</formula>
    </cfRule>
  </conditionalFormatting>
  <conditionalFormatting sqref="H22:H29">
    <cfRule type="expression" dxfId="1637" priority="41">
      <formula>ABS(H$25-H$28)&gt;=1000</formula>
    </cfRule>
  </conditionalFormatting>
  <conditionalFormatting sqref="I22 I24:I29">
    <cfRule type="expression" dxfId="1636" priority="40">
      <formula>ABS(I$25-I$28)&gt;=1000</formula>
    </cfRule>
  </conditionalFormatting>
  <conditionalFormatting sqref="J22:J29 K22">
    <cfRule type="expression" dxfId="1635" priority="39">
      <formula>ABS(J$25-J$28)&gt;=1000</formula>
    </cfRule>
  </conditionalFormatting>
  <conditionalFormatting sqref="K23:K29 L25 L28">
    <cfRule type="expression" dxfId="1634" priority="38">
      <formula>ABS(K$25-K$28)&gt;=1000</formula>
    </cfRule>
  </conditionalFormatting>
  <conditionalFormatting sqref="L22 L26:L27 L29 L24">
    <cfRule type="expression" dxfId="1633" priority="37">
      <formula>ABS(L$25-L$28)&gt;=1000</formula>
    </cfRule>
  </conditionalFormatting>
  <conditionalFormatting sqref="M22:M29">
    <cfRule type="expression" dxfId="1632" priority="36">
      <formula>ABS(M$25-M$28)&gt;=1000</formula>
    </cfRule>
  </conditionalFormatting>
  <conditionalFormatting sqref="N22:N29">
    <cfRule type="expression" dxfId="1631" priority="35">
      <formula>ABS(N$25-N$28)&gt;=1000</formula>
    </cfRule>
  </conditionalFormatting>
  <conditionalFormatting sqref="O22:O29">
    <cfRule type="expression" dxfId="1630" priority="34">
      <formula>ABS(O$25-O$28)&gt;=1000</formula>
    </cfRule>
  </conditionalFormatting>
  <conditionalFormatting sqref="P22:P29">
    <cfRule type="expression" dxfId="1629" priority="33">
      <formula>ABS(P$25-P$28)&gt;=1000</formula>
    </cfRule>
  </conditionalFormatting>
  <conditionalFormatting sqref="Q22:Q29">
    <cfRule type="expression" dxfId="1628" priority="32">
      <formula>ABS(Q$25-Q$28)&gt;=1000</formula>
    </cfRule>
  </conditionalFormatting>
  <conditionalFormatting sqref="R22:R29">
    <cfRule type="expression" dxfId="1627" priority="31">
      <formula>ABS(R$25-R$28)&gt;=1000</formula>
    </cfRule>
  </conditionalFormatting>
  <conditionalFormatting sqref="S22:S29">
    <cfRule type="expression" dxfId="1626" priority="30">
      <formula>ABS(S$25-S$28)&gt;=1000</formula>
    </cfRule>
  </conditionalFormatting>
  <conditionalFormatting sqref="T22:T29">
    <cfRule type="expression" dxfId="1625" priority="29">
      <formula>ABS(T$25-T$28)&gt;=1000</formula>
    </cfRule>
  </conditionalFormatting>
  <conditionalFormatting sqref="U22:U29">
    <cfRule type="expression" dxfId="1624" priority="28">
      <formula>ABS(U$25-U$28)&gt;=1000</formula>
    </cfRule>
  </conditionalFormatting>
  <conditionalFormatting sqref="V22:V29">
    <cfRule type="expression" dxfId="1623" priority="27">
      <formula>ABS(V$25-V$28)&gt;=1000</formula>
    </cfRule>
  </conditionalFormatting>
  <conditionalFormatting sqref="W22:W29">
    <cfRule type="expression" dxfId="1622" priority="26">
      <formula>ABS(W$25-W$28)&gt;=1000</formula>
    </cfRule>
  </conditionalFormatting>
  <conditionalFormatting sqref="X22:X29">
    <cfRule type="expression" dxfId="1621" priority="25">
      <formula>ABS(X$25-X$28)&gt;=1000</formula>
    </cfRule>
  </conditionalFormatting>
  <conditionalFormatting sqref="Y22:Y29">
    <cfRule type="expression" dxfId="1620" priority="24">
      <formula>ABS(Y$25-Y$28)&gt;=1000</formula>
    </cfRule>
  </conditionalFormatting>
  <conditionalFormatting sqref="I23">
    <cfRule type="expression" dxfId="1619" priority="23">
      <formula>ABS(I$25-I$28)&gt;=1000</formula>
    </cfRule>
  </conditionalFormatting>
  <conditionalFormatting sqref="Q14">
    <cfRule type="expression" dxfId="1618" priority="22">
      <formula>ABS(Q$16-Q$19)&gt;=1000</formula>
    </cfRule>
  </conditionalFormatting>
  <conditionalFormatting sqref="W14">
    <cfRule type="expression" dxfId="1617" priority="21">
      <formula>ABS(W$16-W$19)&gt;=1000</formula>
    </cfRule>
  </conditionalFormatting>
  <conditionalFormatting sqref="X14">
    <cfRule type="expression" dxfId="1616" priority="20">
      <formula>ABS(X$16-X$19)&gt;=1000</formula>
    </cfRule>
  </conditionalFormatting>
  <conditionalFormatting sqref="T10:Y10">
    <cfRule type="expression" dxfId="1615" priority="19">
      <formula>ABS(T$7-T$10)&gt;=1000</formula>
    </cfRule>
  </conditionalFormatting>
  <conditionalFormatting sqref="W19">
    <cfRule type="expression" dxfId="1614" priority="18">
      <formula>ABS(W$16-W$19)&gt;=1000</formula>
    </cfRule>
  </conditionalFormatting>
  <conditionalFormatting sqref="AC5">
    <cfRule type="expression" dxfId="1613" priority="17">
      <formula>ABS(AC$7-AC$10)&gt;=1000</formula>
    </cfRule>
  </conditionalFormatting>
  <conditionalFormatting sqref="M14">
    <cfRule type="expression" dxfId="1612" priority="16">
      <formula>ABS(M$16-M$19)&gt;=1000</formula>
    </cfRule>
  </conditionalFormatting>
  <conditionalFormatting sqref="M16">
    <cfRule type="expression" dxfId="1611" priority="15">
      <formula>ABS(M$16-M$19)&gt;=1000</formula>
    </cfRule>
  </conditionalFormatting>
  <conditionalFormatting sqref="M19">
    <cfRule type="expression" dxfId="1610" priority="14">
      <formula>ABS(M$16-M$19)&gt;=1000</formula>
    </cfRule>
  </conditionalFormatting>
  <conditionalFormatting sqref="K13:K20">
    <cfRule type="expression" dxfId="1609" priority="13">
      <formula>ABS(K$16-K$19)&gt;=1000</formula>
    </cfRule>
  </conditionalFormatting>
  <conditionalFormatting sqref="E5">
    <cfRule type="expression" dxfId="1608" priority="12">
      <formula>ABS(E$7-E$10)&gt;=1000</formula>
    </cfRule>
  </conditionalFormatting>
  <conditionalFormatting sqref="AB14:AC14">
    <cfRule type="expression" dxfId="1607" priority="11">
      <formula>ABS(AB$16-AB$19)&gt;=1000</formula>
    </cfRule>
  </conditionalFormatting>
  <conditionalFormatting sqref="M5">
    <cfRule type="expression" dxfId="1606" priority="10">
      <formula>ABS(M$7-M$10)&gt;=1000</formula>
    </cfRule>
  </conditionalFormatting>
  <conditionalFormatting sqref="N5">
    <cfRule type="expression" dxfId="1605" priority="9">
      <formula>ABS(N$7-N$10)&gt;=1000</formula>
    </cfRule>
  </conditionalFormatting>
  <conditionalFormatting sqref="O5">
    <cfRule type="expression" dxfId="1604" priority="8">
      <formula>ABS(O$7-O$10)&gt;=1000</formula>
    </cfRule>
  </conditionalFormatting>
  <conditionalFormatting sqref="P5">
    <cfRule type="expression" dxfId="1603" priority="7">
      <formula>ABS(P$7-P$10)&gt;=1000</formula>
    </cfRule>
  </conditionalFormatting>
  <conditionalFormatting sqref="L23">
    <cfRule type="expression" dxfId="1602" priority="6">
      <formula>ABS(L$25-L$28)&gt;=1000</formula>
    </cfRule>
  </conditionalFormatting>
  <conditionalFormatting sqref="Y14">
    <cfRule type="expression" dxfId="1601" priority="5">
      <formula>ABS(Y$16-Y$19)&gt;=1000</formula>
    </cfRule>
  </conditionalFormatting>
  <conditionalFormatting sqref="F14">
    <cfRule type="expression" dxfId="1600" priority="4">
      <formula>ABS(F$16-F$19)&gt;=1000</formula>
    </cfRule>
  </conditionalFormatting>
  <conditionalFormatting sqref="H14">
    <cfRule type="expression" dxfId="1599" priority="3">
      <formula>ABS(H$16-H$19)&gt;=1000</formula>
    </cfRule>
  </conditionalFormatting>
  <conditionalFormatting sqref="AD5">
    <cfRule type="expression" dxfId="1598" priority="2">
      <formula>ABS(AD$7-AD$10)&gt;=1000</formula>
    </cfRule>
  </conditionalFormatting>
  <conditionalFormatting sqref="AE5">
    <cfRule type="expression" dxfId="1597" priority="1">
      <formula>ABS(AE$7-AE$10)&gt;=1000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78465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909">
    <pageSetUpPr fitToPage="1"/>
  </sheetPr>
  <dimension ref="A1:CU223"/>
  <sheetViews>
    <sheetView view="pageBreakPreview" topLeftCell="A4" zoomScale="70" zoomScaleNormal="100" zoomScaleSheetLayoutView="70" workbookViewId="0">
      <selection activeCell="V16" sqref="V16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185" t="s" ph="1">
        <v>161</v>
      </c>
      <c r="C1" s="185" ph="1"/>
      <c r="D1" s="185" ph="1"/>
      <c r="E1" s="185" ph="1"/>
      <c r="F1" s="185" ph="1"/>
      <c r="G1" s="185" ph="1"/>
      <c r="H1" s="185" ph="1"/>
      <c r="I1" s="185" ph="1"/>
      <c r="J1" s="185" ph="1"/>
      <c r="K1" s="185" ph="1"/>
      <c r="L1" s="185" ph="1"/>
      <c r="M1" s="185" ph="1"/>
      <c r="N1" s="185" ph="1"/>
      <c r="O1" s="185" ph="1"/>
      <c r="P1" s="185" ph="1"/>
      <c r="Q1" s="185" ph="1"/>
      <c r="R1" s="185" ph="1"/>
      <c r="S1" s="185" ph="1"/>
      <c r="T1" s="185" ph="1"/>
      <c r="U1" s="185" ph="1"/>
      <c r="V1" s="185" ph="1"/>
      <c r="W1" s="185" ph="1"/>
      <c r="X1" s="185" ph="1"/>
      <c r="Y1" s="185" ph="1"/>
      <c r="Z1" s="185" ph="1"/>
      <c r="AA1" s="185" ph="1"/>
      <c r="AB1" s="185" ph="1"/>
      <c r="AC1" s="185" ph="1"/>
      <c r="AD1" s="185" ph="1"/>
      <c r="AE1" s="185" ph="1"/>
    </row>
    <row r="2" spans="1:99" s="66" customFormat="1" ht="24" customHeight="1" ph="1">
      <c r="B2" s="186" t="s" ph="1">
        <v>82</v>
      </c>
      <c r="C2" s="186" ph="1"/>
      <c r="D2" s="186" ph="1"/>
      <c r="E2" s="186" ph="1"/>
      <c r="F2" s="186" ph="1"/>
      <c r="G2" s="186" ph="1"/>
      <c r="H2" s="186" ph="1"/>
      <c r="I2" s="186" ph="1"/>
      <c r="J2" s="186" ph="1"/>
      <c r="K2" s="186" ph="1"/>
      <c r="L2" s="186" ph="1"/>
      <c r="M2" s="186" ph="1"/>
      <c r="N2" s="186" ph="1"/>
      <c r="O2" s="186" ph="1"/>
      <c r="P2" s="186" ph="1"/>
      <c r="Q2" s="186" ph="1"/>
      <c r="R2" s="186" ph="1"/>
      <c r="S2" s="186" ph="1"/>
      <c r="T2" s="186" ph="1"/>
      <c r="U2" s="186" ph="1"/>
      <c r="V2" s="186" ph="1"/>
      <c r="W2" s="186" ph="1"/>
      <c r="X2" s="186" ph="1"/>
      <c r="Y2" s="186" ph="1"/>
      <c r="Z2" s="186" ph="1"/>
      <c r="AA2" s="186" ph="1"/>
      <c r="AB2" s="186" ph="1"/>
      <c r="AC2" s="186" ph="1"/>
      <c r="AD2" s="186" ph="1"/>
      <c r="AE2" s="186" ph="1"/>
    </row>
    <row r="3" spans="1:99" ht="21" customHeight="1" ph="1">
      <c r="B3" s="187" ph="1">
        <v>46185</v>
      </c>
      <c r="C3" s="187"/>
      <c r="D3" s="187"/>
      <c r="E3" s="187"/>
      <c r="F3" s="187"/>
      <c r="G3" s="187"/>
      <c r="H3" s="187"/>
      <c r="I3" s="187"/>
      <c r="J3" s="187"/>
      <c r="K3" s="187"/>
      <c r="L3" s="187"/>
      <c r="M3" s="187"/>
      <c r="N3" s="187"/>
      <c r="O3" s="187"/>
      <c r="P3" s="187"/>
      <c r="Q3" s="187"/>
      <c r="R3" s="187"/>
      <c r="S3" s="187"/>
      <c r="T3" s="187"/>
      <c r="U3" s="187"/>
      <c r="V3" s="187"/>
      <c r="W3" s="187"/>
      <c r="X3" s="187"/>
      <c r="Y3" s="187"/>
      <c r="Z3" s="187"/>
      <c r="AA3" s="187"/>
      <c r="AB3" s="187"/>
      <c r="AC3" s="187"/>
      <c r="AD3" s="187"/>
      <c r="AE3" s="187"/>
    </row>
    <row r="4" spans="1:99" s="69" customFormat="1" ph="1">
      <c r="A4" s="65" ph="1"/>
      <c r="B4" s="188" t="s" ph="1">
        <v>37</v>
      </c>
      <c r="C4" s="67" t="s" ph="1">
        <v>176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110</v>
      </c>
      <c r="J4" s="68" t="s" ph="1">
        <v>48</v>
      </c>
      <c r="K4" s="68" t="s" ph="1">
        <v>111</v>
      </c>
      <c r="L4" s="68" t="s" ph="1">
        <v>112</v>
      </c>
      <c r="M4" s="68" t="s" ph="1">
        <v>49</v>
      </c>
      <c r="N4" s="68" t="s" ph="1">
        <v>50</v>
      </c>
      <c r="O4" s="68" t="s" ph="1">
        <v>113</v>
      </c>
      <c r="P4" s="68" t="s" ph="1">
        <v>114</v>
      </c>
      <c r="Q4" s="68" t="s" ph="1">
        <v>115</v>
      </c>
      <c r="R4" s="68" t="s" ph="1">
        <v>116</v>
      </c>
      <c r="S4" s="68" t="s" ph="1">
        <v>117</v>
      </c>
      <c r="T4" s="68" t="s" ph="1">
        <v>118</v>
      </c>
      <c r="U4" s="68" t="s" ph="1">
        <v>119</v>
      </c>
      <c r="V4" s="68" t="s" ph="1">
        <v>120</v>
      </c>
      <c r="W4" s="68" t="s" ph="1">
        <v>121</v>
      </c>
      <c r="X4" s="68" t="s" ph="1">
        <v>122</v>
      </c>
      <c r="Y4" s="68" t="s" ph="1">
        <v>123</v>
      </c>
      <c r="Z4" s="68" t="s" ph="1">
        <v>51</v>
      </c>
      <c r="AA4" s="68" t="s" ph="1">
        <v>124</v>
      </c>
      <c r="AB4" s="68" t="s" ph="1">
        <v>125</v>
      </c>
      <c r="AC4" s="68" t="s" ph="1">
        <v>126</v>
      </c>
      <c r="AD4" s="68" t="s" ph="1">
        <v>40</v>
      </c>
      <c r="AE4" s="68" t="s" ph="1">
        <v>127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188" ph="1"/>
      <c r="C5" s="67" t="s" ph="1">
        <v>36</v>
      </c>
      <c r="D5" s="70" t="s" ph="1">
        <v>160</v>
      </c>
      <c r="E5" s="142" t="s" ph="1">
        <v>7</v>
      </c>
      <c r="F5" s="142" t="s" ph="1">
        <v>1</v>
      </c>
      <c r="G5" s="142" t="s" ph="1">
        <v>7</v>
      </c>
      <c r="H5" s="142" t="s" ph="1">
        <v>7</v>
      </c>
      <c r="I5" s="141" t="s" ph="1">
        <v>608</v>
      </c>
      <c r="J5" s="141" t="s" ph="1">
        <v>609</v>
      </c>
      <c r="K5" s="141" t="s" ph="1">
        <v>611</v>
      </c>
      <c r="L5" s="141" t="s" ph="1">
        <v>613</v>
      </c>
      <c r="M5" s="141" t="s" ph="1">
        <v>608</v>
      </c>
      <c r="N5" s="70" t="s" ph="1">
        <v>609</v>
      </c>
      <c r="O5" s="70" t="s" ph="1">
        <v>611</v>
      </c>
      <c r="P5" s="70" t="s" ph="1">
        <v>613</v>
      </c>
      <c r="Q5" s="70" t="s" ph="1">
        <v>607</v>
      </c>
      <c r="R5" s="70" t="s" ph="1">
        <v>607</v>
      </c>
      <c r="S5" s="70" t="s" ph="1">
        <v>607</v>
      </c>
      <c r="T5" s="70" t="s" ph="1">
        <v>607</v>
      </c>
      <c r="U5" s="70" t="s" ph="1">
        <v>607</v>
      </c>
      <c r="V5" s="70" t="s" ph="1">
        <v>607</v>
      </c>
      <c r="W5" s="70" t="s" ph="1">
        <v>607</v>
      </c>
      <c r="X5" s="70" t="s" ph="1">
        <v>607</v>
      </c>
      <c r="Y5" s="70" t="s" ph="1">
        <v>607</v>
      </c>
      <c r="Z5" s="70" t="s" ph="1">
        <v>614</v>
      </c>
      <c r="AA5" s="70" t="s" ph="1">
        <v>54</v>
      </c>
      <c r="AB5" s="70" t="s" ph="1">
        <v>54</v>
      </c>
      <c r="AC5" s="70" t="s" ph="1">
        <v>615</v>
      </c>
      <c r="AD5" s="71" t="s">
        <v>72</v>
      </c>
      <c r="AE5" s="71" t="s">
        <v>635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184" ph="1">
        <v>0.33333333333333331</v>
      </c>
      <c r="C6" s="156" t="s" ph="1">
        <v>177</v>
      </c>
      <c r="D6" s="71">
        <v>4143</v>
      </c>
      <c r="E6" s="71">
        <v>7791</v>
      </c>
      <c r="F6" s="71">
        <v>5834</v>
      </c>
      <c r="G6" s="71">
        <v>1313</v>
      </c>
      <c r="H6" s="71">
        <v>5720</v>
      </c>
      <c r="I6" s="71">
        <v>38.58</v>
      </c>
      <c r="J6" s="71">
        <v>6.32</v>
      </c>
      <c r="K6" s="71">
        <v>62.77</v>
      </c>
      <c r="L6" s="71">
        <v>6.48</v>
      </c>
      <c r="M6" s="71">
        <v>5597</v>
      </c>
      <c r="N6" s="71">
        <v>189</v>
      </c>
      <c r="O6" s="71">
        <v>5102</v>
      </c>
      <c r="P6" s="71">
        <v>1138</v>
      </c>
      <c r="Q6" s="71">
        <v>0</v>
      </c>
      <c r="R6" s="71">
        <v>0</v>
      </c>
      <c r="S6" s="71">
        <v>650</v>
      </c>
      <c r="T6" s="71">
        <v>7057</v>
      </c>
      <c r="U6" s="71">
        <v>5910</v>
      </c>
      <c r="V6" s="71">
        <v>6441</v>
      </c>
      <c r="W6" s="71">
        <v>5125</v>
      </c>
      <c r="X6" s="71">
        <v>0</v>
      </c>
      <c r="Y6" s="71">
        <v>2094</v>
      </c>
      <c r="Z6" s="71">
        <v>6126</v>
      </c>
      <c r="AA6" s="71">
        <v>0</v>
      </c>
      <c r="AB6" s="71">
        <v>2857</v>
      </c>
      <c r="AC6" s="71">
        <v>330</v>
      </c>
      <c r="AD6" s="71">
        <v>3876</v>
      </c>
      <c r="AE6" s="71">
        <v>4813</v>
      </c>
    </row>
    <row r="7" spans="1:99" s="72" customFormat="1" ht="22.2" ph="1">
      <c r="B7" s="184" ph="1"/>
      <c r="C7" s="68" t="s" ph="1">
        <v>178</v>
      </c>
      <c r="D7" s="73" ph="1">
        <f>D6*33.183*LOOKUP(D8,密度!$A$2:$A$50,密度!$Q$2:$Q$50)</f>
        <v>130255.49331243</v>
      </c>
      <c r="E7" s="73" ph="1">
        <f>E6*51.53*LOOKUP(E8,密度!$A$2:$A$50,密度!$B$2:$B$50)</f>
        <v>313708.83772199997</v>
      </c>
      <c r="F7" s="73" ph="1">
        <f>F6*33.183*LOOKUP(F8,密度!$A$2:$A$50,密度!$C$2:$C$50)</f>
        <v>214961.91626880001</v>
      </c>
      <c r="G7" s="73" ph="1">
        <f xml:space="preserve"> (G6+2)*51.53*LOOKUP(G8,密度!$A$2:$A$50,密度!$B$2:$B$50)</f>
        <v>52827.216219999995</v>
      </c>
      <c r="H7" s="73" ph="1">
        <f>(H6)*51.53*LOOKUP(H8,密度!$A$2:$A$50,密度!$B$2:$B$50)</f>
        <v>230849.45312000002</v>
      </c>
      <c r="I7" s="73" ph="1">
        <f>I6*290.8*1.0267</f>
        <v>11518.613008799999</v>
      </c>
      <c r="J7" s="73" ph="1">
        <f>J6*290.8*0.7892</f>
        <v>1450.4359552000003</v>
      </c>
      <c r="K7" s="73" ph="1">
        <f>K6*290.8*1.1126</f>
        <v>20308.861901600005</v>
      </c>
      <c r="L7" s="73" ph="1">
        <f>L6*290.8*0.777</f>
        <v>1464.1663680000001</v>
      </c>
      <c r="M7" s="73" ph="1">
        <f>M6*33.183*LOOKUP(M8,密度!$A$2:$A$50,密度!$D$2:$D$50)</f>
        <v>190851.26792760001</v>
      </c>
      <c r="N7" s="73" ph="1">
        <f>N6*33.183*LOOKUP(N8,密度!$A$2:$A$50,密度!$E$2:$E$50)</f>
        <v>4919.4328427999999</v>
      </c>
      <c r="O7" s="73" ph="1">
        <f>O6*20.428*LOOKUP(O8,密度!$A$2:$A$50,密度!$C$2:$C$50)</f>
        <v>115490.23321360002</v>
      </c>
      <c r="P7" s="73" ph="1">
        <f>P6*51.53*LOOKUP(P8,密度!$A$2:$A$50,密度!$B$2:$B$50)</f>
        <v>45927.740848000001</v>
      </c>
      <c r="Q7" s="73" ph="1">
        <f>Q6*1.5*1.5*3.1416*LOOKUP(W8,密度!$A$2:$A$50,密度!$L$2:$L$50)</f>
        <v>0</v>
      </c>
      <c r="R7" s="73" ph="1">
        <f>R6*1.5*1.5*3.1416*LOOKUP(R8,密度!$A$2:$A$50,密度!$L$2:$L$50)</f>
        <v>0</v>
      </c>
      <c r="S7" s="73" ph="1">
        <f>S6*1.5*1.5*3.1416*LOOKUP(S8,密度!$A$2:$A$50,密度!$L$2:$L$50)</f>
        <v>4328.1037799999995</v>
      </c>
      <c r="T7" s="73" ph="1">
        <f>T6*1.5*1.5*3.1416*LOOKUP(T8,密度!$A$2:$A$50,密度!$L$2:$L$50)</f>
        <v>46989.889808400003</v>
      </c>
      <c r="U7" s="73" ph="1">
        <f>U6*1.5*1.5*3.1416*LOOKUP(U8,密度!$A$2:$A$50,密度!$L$2:$L$50)</f>
        <v>39185.349587999997</v>
      </c>
      <c r="V7" s="73" ph="1">
        <f>V6*1.5*1.5*3.1416*LOOKUP(V8,密度!$A$2:$A$50,密度!$L$2:$L$50)</f>
        <v>42478.419475800001</v>
      </c>
      <c r="W7" s="73" ph="1">
        <f>W6*1.5*1.5*3.1416*LOOKUP(W8,密度!$A$2:$A$50,密度!$L$2:$L$50)</f>
        <v>33980.527349999997</v>
      </c>
      <c r="X7" s="73" ph="1">
        <f>X6*1.5*1.5*3.1416*LOOKUP(X8,密度!$A$2:$A$50,密度!$L$2:$L$50)</f>
        <v>0</v>
      </c>
      <c r="Y7" s="73" ph="1">
        <f>Y6*1.5*1.5*3.1416*LOOKUP(Y8,密度!$A$2:$A$50,密度!$L$2:$L$50)</f>
        <v>13883.9461992</v>
      </c>
      <c r="Z7" s="73" ph="1">
        <f>Z6*33.183*LOOKUP(Z8,密度!$A$2:$A$50,密度!$L$2:$L$50)</f>
        <v>191082.31451999999</v>
      </c>
      <c r="AA7" s="73" ph="1">
        <f>AA6*33.183*LOOKUP(AA8,密度!$A$2:$A$50,密度!$D$2:$D$50)</f>
        <v>0</v>
      </c>
      <c r="AB7" s="73" ph="1">
        <f>AB6*20.428*LOOKUP(AB8,密度!$A$2:$A$50,密度!$D$2:$D$50)</f>
        <v>60598.091086799999</v>
      </c>
      <c r="AC7" s="73" ph="1">
        <f>AC6*51.53*LOOKUP(AC8,密度!$A$2:$A$50,密度!$Q$2:$Q$50)</f>
        <v>16161.116862000001</v>
      </c>
      <c r="AD7" s="73" ph="1">
        <f>AD6*20.428*LOOKUP(AD8,密度!$A$2:$A$50,密度!$V$2:$V$50)</f>
        <v>76075.114022399997</v>
      </c>
      <c r="AE7" s="73" ph="1">
        <f>AE6*20.428</f>
        <v>98319.964000000007</v>
      </c>
    </row>
    <row r="8" spans="1:99" ph="1">
      <c r="B8" s="184" ph="1"/>
      <c r="C8" s="68" t="s" ph="1">
        <v>179</v>
      </c>
      <c r="D8" s="74">
        <v>24</v>
      </c>
      <c r="E8" s="74">
        <v>23</v>
      </c>
      <c r="F8" s="74">
        <v>23</v>
      </c>
      <c r="G8" s="74">
        <v>25</v>
      </c>
      <c r="H8" s="74">
        <v>21</v>
      </c>
      <c r="I8" s="74">
        <v>25</v>
      </c>
      <c r="J8" s="74">
        <v>25</v>
      </c>
      <c r="K8" s="74">
        <v>25</v>
      </c>
      <c r="L8" s="74">
        <v>25</v>
      </c>
      <c r="M8" s="74">
        <v>24</v>
      </c>
      <c r="N8" s="74">
        <v>24</v>
      </c>
      <c r="O8" s="74">
        <v>26</v>
      </c>
      <c r="P8" s="74">
        <v>21</v>
      </c>
      <c r="Q8" s="74">
        <v>26</v>
      </c>
      <c r="R8" s="74">
        <v>30</v>
      </c>
      <c r="S8" s="74">
        <v>20</v>
      </c>
      <c r="T8" s="74">
        <v>20</v>
      </c>
      <c r="U8" s="74">
        <v>24</v>
      </c>
      <c r="V8" s="74">
        <v>29</v>
      </c>
      <c r="W8" s="74">
        <v>24</v>
      </c>
      <c r="X8" s="74">
        <v>24</v>
      </c>
      <c r="Y8" s="74">
        <v>24</v>
      </c>
      <c r="Z8" s="74">
        <v>22</v>
      </c>
      <c r="AA8" s="74">
        <v>23</v>
      </c>
      <c r="AB8" s="74">
        <v>12</v>
      </c>
      <c r="AC8" s="74">
        <v>20</v>
      </c>
      <c r="AD8" s="74">
        <v>22</v>
      </c>
      <c r="AE8" s="74">
        <v>28</v>
      </c>
    </row>
    <row r="9" spans="1:99" ht="26.4" ph="1">
      <c r="B9" s="184" ph="1">
        <v>0.66666666666666663</v>
      </c>
      <c r="C9" s="156" t="s" ph="1">
        <v>180</v>
      </c>
      <c r="D9" s="71">
        <v>4167</v>
      </c>
      <c r="E9" s="71">
        <v>7787</v>
      </c>
      <c r="F9" s="71">
        <v>5834</v>
      </c>
      <c r="G9" s="71">
        <v>1020</v>
      </c>
      <c r="H9" s="71">
        <v>8350</v>
      </c>
      <c r="I9" s="71">
        <v>38.54</v>
      </c>
      <c r="J9" s="71">
        <v>6.3</v>
      </c>
      <c r="K9" s="71">
        <v>62.74</v>
      </c>
      <c r="L9" s="71">
        <v>80.650000000000006</v>
      </c>
      <c r="M9" s="71">
        <v>5596</v>
      </c>
      <c r="N9" s="71">
        <v>188</v>
      </c>
      <c r="O9" s="71">
        <v>5101</v>
      </c>
      <c r="P9" s="71">
        <v>1018</v>
      </c>
      <c r="Q9" s="71">
        <v>0</v>
      </c>
      <c r="R9" s="71">
        <v>0</v>
      </c>
      <c r="S9" s="71">
        <v>0</v>
      </c>
      <c r="T9" s="71">
        <v>3700</v>
      </c>
      <c r="U9" s="71">
        <v>5909</v>
      </c>
      <c r="V9" s="71">
        <v>6442</v>
      </c>
      <c r="W9" s="71">
        <v>6968</v>
      </c>
      <c r="X9" s="71">
        <v>7186</v>
      </c>
      <c r="Y9" s="71">
        <v>4728</v>
      </c>
      <c r="Z9" s="71">
        <v>3061</v>
      </c>
      <c r="AA9" s="71">
        <v>0</v>
      </c>
      <c r="AB9" s="71">
        <v>2856</v>
      </c>
      <c r="AC9" s="71">
        <v>1104</v>
      </c>
      <c r="AD9" s="71">
        <v>3875</v>
      </c>
      <c r="AE9" s="71">
        <v>4764</v>
      </c>
    </row>
    <row r="10" spans="1:99" s="72" customFormat="1" ht="22.2" ph="1">
      <c r="B10" s="184" ph="1"/>
      <c r="C10" s="156" t="s" ph="1">
        <v>178</v>
      </c>
      <c r="D10" s="73" ph="1">
        <f>D9*33.183*LOOKUP(D11,密度!$A$2:$A$50,密度!$Q$2:$Q$50)</f>
        <v>130810.93691282999</v>
      </c>
      <c r="E10" s="73" ph="1">
        <f>E9*51.53*LOOKUP(E11,密度!$A$2:$A$50,密度!$B$2:$B$50)</f>
        <v>312825.50015599997</v>
      </c>
      <c r="F10" s="73" ph="1">
        <f>F9*33.183*LOOKUP(F11,密度!$A$2:$A$50,密度!$C$2:$C$50)</f>
        <v>214671.53183580001</v>
      </c>
      <c r="G10" s="73" ph="1">
        <f xml:space="preserve"> (G9+2)*51.53*LOOKUP(G11,密度!$A$2:$A$50,密度!$B$2:$B$50)</f>
        <v>41056.589335999997</v>
      </c>
      <c r="H10" s="73" ph="1">
        <f>(H9)*51.53*LOOKUP(H11,密度!$A$2:$A$50,密度!$B$2:$B$50)</f>
        <v>336217.2757</v>
      </c>
      <c r="I10" s="73" ph="1">
        <f>I9*290.8*1.0267</f>
        <v>11506.670434400001</v>
      </c>
      <c r="J10" s="73" ph="1">
        <f>J9*290.8*0.7892</f>
        <v>1445.8459680000001</v>
      </c>
      <c r="K10" s="73" ph="1">
        <f>K9*290.8*1.1126</f>
        <v>20299.155579200004</v>
      </c>
      <c r="L10" s="73" ph="1">
        <f>L9*290.8*0.777</f>
        <v>18222.996540000004</v>
      </c>
      <c r="M10" s="73" ph="1">
        <f>M9*33.183*LOOKUP(M11,密度!$A$2:$A$50,密度!$D$2:$D$50)</f>
        <v>190297.2312864</v>
      </c>
      <c r="N10" s="73" ph="1">
        <f>N9*33.183*LOOKUP(N11,密度!$A$2:$A$50,密度!$E$2:$E$50)</f>
        <v>4864.7074391999995</v>
      </c>
      <c r="O10" s="73" ph="1">
        <f>O9*20.428*LOOKUP(O11,密度!$A$2:$A$50,密度!$C$2:$C$50)</f>
        <v>115311.2921048</v>
      </c>
      <c r="P10" s="73" ph="1">
        <f>P9*51.53*LOOKUP(P11,密度!$A$2:$A$50,密度!$B$2:$B$50)</f>
        <v>40848.686397999998</v>
      </c>
      <c r="Q10" s="73" ph="1">
        <f>Q9*1.5*1.5*3.1416*LOOKUP(W11,密度!$A$2:$A$50,密度!$L$2:$L$50)</f>
        <v>0</v>
      </c>
      <c r="R10" s="73" ph="1">
        <f>R9*1.5*1.5*3.1416*LOOKUP(R11,密度!$A$2:$A$50,密度!$L$2:$L$50)</f>
        <v>0</v>
      </c>
      <c r="S10" s="73" ph="1">
        <f>S9*1.5*1.5*3.1416*LOOKUP(S11,密度!$A$2:$A$50,密度!$L$2:$L$50)</f>
        <v>0</v>
      </c>
      <c r="T10" s="73" ph="1">
        <f>T9*1.5*1.5*3.1416*LOOKUP(T11,密度!$A$2:$A$50,密度!$L$2:$L$50)</f>
        <v>24610.744619999998</v>
      </c>
      <c r="U10" s="73" ph="1">
        <f>U9*1.5*1.5*3.1416*LOOKUP(U11,密度!$A$2:$A$50,密度!$L$2:$L$50)</f>
        <v>39178.7192412</v>
      </c>
      <c r="V10" s="73" ph="1">
        <f>V9*1.5*1.5*3.1416*LOOKUP(V11,密度!$A$2:$A$50,密度!$L$2:$L$50)</f>
        <v>42530.550400799999</v>
      </c>
      <c r="W10" s="73" ph="1">
        <f>W9*1.5*1.5*3.1416*LOOKUP(W11,密度!$A$2:$A$50,密度!$L$2:$L$50)</f>
        <v>46151.002497600006</v>
      </c>
      <c r="X10" s="73" ph="1">
        <f>X9*1.5*1.5*3.1416*LOOKUP(X11,密度!$A$2:$A$50,密度!$L$2:$L$50)</f>
        <v>47594.877145200007</v>
      </c>
      <c r="Y10" s="73" ph="1">
        <f>Y9*1.5*1.5*3.1416*LOOKUP(Y11,密度!$A$2:$A$50,密度!$L$2:$L$50)</f>
        <v>31314.8593296</v>
      </c>
      <c r="Z10" s="73" ph="1">
        <f>Z9*33.183*LOOKUP(Z11,密度!$A$2:$A$50,密度!$L$2:$L$50)</f>
        <v>95174.053731000007</v>
      </c>
      <c r="AA10" s="73" ph="1">
        <f>AA9*33.183*LOOKUP(AA11,密度!$A$2:$A$50,密度!$D$2:$D$50)</f>
        <v>0</v>
      </c>
      <c r="AB10" s="73" ph="1">
        <f>AB9*20.428*LOOKUP(AB11,密度!$A$2:$A$50,密度!$D$2:$D$50)</f>
        <v>60273.500380799996</v>
      </c>
      <c r="AC10" s="73" ph="1">
        <f>AC9*51.53*LOOKUP(AC11,密度!$A$2:$A$50,密度!$Q$2:$Q$50)</f>
        <v>53859.205468800006</v>
      </c>
      <c r="AD10" s="73" ph="1">
        <f>AD9*20.428*LOOKUP(AD11,密度!$A$2:$A$50,密度!$V$2:$V$50)</f>
        <v>76055.486799999999</v>
      </c>
      <c r="AE10" s="73" ph="1">
        <f>AE9*20.428</f>
        <v>97318.991999999998</v>
      </c>
    </row>
    <row r="11" spans="1:99" ph="1">
      <c r="A11" s="64" t="s" ph="1">
        <v>162</v>
      </c>
      <c r="B11" s="184" ph="1"/>
      <c r="C11" s="156" t="s" ph="1">
        <v>179</v>
      </c>
      <c r="D11" s="74">
        <v>26</v>
      </c>
      <c r="E11" s="74">
        <v>25</v>
      </c>
      <c r="F11" s="74">
        <v>25</v>
      </c>
      <c r="G11" s="74">
        <v>25</v>
      </c>
      <c r="H11" s="74">
        <v>23</v>
      </c>
      <c r="I11" s="74">
        <v>25</v>
      </c>
      <c r="J11" s="74">
        <v>25</v>
      </c>
      <c r="K11" s="74">
        <v>25</v>
      </c>
      <c r="L11" s="74">
        <v>25</v>
      </c>
      <c r="M11" s="74">
        <v>27</v>
      </c>
      <c r="N11" s="74">
        <v>28</v>
      </c>
      <c r="O11" s="74">
        <v>28</v>
      </c>
      <c r="P11" s="74">
        <v>26</v>
      </c>
      <c r="Q11" s="74">
        <v>30</v>
      </c>
      <c r="R11" s="74">
        <v>32</v>
      </c>
      <c r="S11" s="74">
        <v>25</v>
      </c>
      <c r="T11" s="74">
        <v>21</v>
      </c>
      <c r="U11" s="74">
        <v>24</v>
      </c>
      <c r="V11" s="74">
        <v>28</v>
      </c>
      <c r="W11" s="74">
        <v>25</v>
      </c>
      <c r="X11" s="74">
        <v>25</v>
      </c>
      <c r="Y11" s="74">
        <v>25</v>
      </c>
      <c r="Z11" s="74">
        <v>25</v>
      </c>
      <c r="AA11" s="74">
        <v>28</v>
      </c>
      <c r="AB11" s="74">
        <v>18</v>
      </c>
      <c r="AC11" s="74">
        <v>25</v>
      </c>
      <c r="AD11" s="74">
        <v>25</v>
      </c>
      <c r="AE11" s="74">
        <v>32</v>
      </c>
    </row>
    <row r="12" spans="1:99" ht="9.9" customHeight="1" ph="1"/>
    <row r="13" spans="1:99" s="72" customFormat="1" ht="29.25" customHeight="1" ph="1">
      <c r="B13" s="192" t="s" ph="1">
        <v>37</v>
      </c>
      <c r="C13" s="156" t="s" ph="1">
        <v>176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128</v>
      </c>
      <c r="I13" s="76" t="s" ph="1">
        <v>59</v>
      </c>
      <c r="J13" s="76" t="s" ph="1">
        <v>129</v>
      </c>
      <c r="K13" s="76" t="s" ph="1">
        <v>55</v>
      </c>
      <c r="L13" s="76" t="s" ph="1">
        <v>60</v>
      </c>
      <c r="M13" s="76" t="s" ph="1">
        <v>61</v>
      </c>
      <c r="N13" s="76" t="s" ph="1">
        <v>130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131</v>
      </c>
      <c r="W13" s="76" t="s" ph="1">
        <v>132</v>
      </c>
      <c r="X13" s="76" t="s" ph="1">
        <v>133</v>
      </c>
      <c r="Y13" s="105" t="s" ph="1">
        <v>68</v>
      </c>
      <c r="Z13" s="76" t="s" ph="1">
        <v>74</v>
      </c>
      <c r="AA13" s="76" t="s" ph="1">
        <v>134</v>
      </c>
      <c r="AB13" s="76" t="s" ph="1">
        <v>135</v>
      </c>
      <c r="AC13" s="76" t="s" ph="1">
        <v>136</v>
      </c>
      <c r="AD13" s="76" t="s" ph="1">
        <v>137</v>
      </c>
      <c r="AE13" s="76" t="s" ph="1">
        <v>138</v>
      </c>
      <c r="AG13" s="72" t="s" ph="1">
        <v>325</v>
      </c>
      <c r="AH13" s="72" t="s" ph="1">
        <v>188</v>
      </c>
      <c r="AI13" s="72" t="s" ph="1">
        <v>189</v>
      </c>
      <c r="AJ13" s="72" t="s" ph="1">
        <v>190</v>
      </c>
      <c r="AK13" s="72" t="s" ph="1">
        <v>191</v>
      </c>
      <c r="AL13" s="72" t="s" ph="1">
        <v>192</v>
      </c>
      <c r="AM13" s="72" t="s" ph="1">
        <v>193</v>
      </c>
      <c r="AN13" s="72" t="s" ph="1">
        <v>194</v>
      </c>
      <c r="AO13" s="72" t="s" ph="1">
        <v>195</v>
      </c>
      <c r="AP13" s="72" t="s" ph="1">
        <v>196</v>
      </c>
      <c r="AQ13" s="72" t="s" ph="1">
        <v>197</v>
      </c>
      <c r="AR13" s="72" t="s" ph="1">
        <v>198</v>
      </c>
      <c r="AS13" s="72" t="s" ph="1">
        <v>199</v>
      </c>
      <c r="AT13" s="72" t="s" ph="1">
        <v>200</v>
      </c>
      <c r="AU13" s="72" t="s" ph="1">
        <v>201</v>
      </c>
      <c r="AV13" s="72" t="s" ph="1">
        <v>202</v>
      </c>
      <c r="AW13" s="72" t="s" ph="1">
        <v>203</v>
      </c>
      <c r="AX13" s="72" t="s" ph="1">
        <v>204</v>
      </c>
      <c r="AY13" s="72" t="s" ph="1">
        <v>326</v>
      </c>
      <c r="AZ13" s="72" t="s" ph="1">
        <v>205</v>
      </c>
      <c r="BA13" s="72" t="s" ph="1">
        <v>206</v>
      </c>
      <c r="BB13" s="72" t="s" ph="1">
        <v>591</v>
      </c>
      <c r="BC13" s="72" t="s" ph="1">
        <v>207</v>
      </c>
      <c r="BD13" s="72" t="s" ph="1">
        <v>327</v>
      </c>
      <c r="BE13" s="72" t="s" ph="1">
        <v>328</v>
      </c>
      <c r="BF13" s="72" t="s" ph="1">
        <v>329</v>
      </c>
      <c r="BG13" s="72" t="s" ph="1">
        <v>330</v>
      </c>
      <c r="BH13" s="72" t="s" ph="1">
        <v>331</v>
      </c>
    </row>
    <row r="14" spans="1:99" s="72" customFormat="1" ht="24" ph="1">
      <c r="B14" s="193" ph="1"/>
      <c r="C14" s="67" t="s" ph="1">
        <v>36</v>
      </c>
      <c r="D14" s="77" t="s" ph="1">
        <v>616</v>
      </c>
      <c r="E14" s="77" t="s" ph="1">
        <v>616</v>
      </c>
      <c r="F14" s="144" t="s" ph="1">
        <v>636</v>
      </c>
      <c r="G14" s="77" t="s" ph="1">
        <v>617</v>
      </c>
      <c r="H14" s="77" t="s" ph="1">
        <v>637</v>
      </c>
      <c r="I14" s="138" t="s" ph="1">
        <v>618</v>
      </c>
      <c r="J14" s="77" t="s" ph="1">
        <v>619</v>
      </c>
      <c r="K14" s="77" t="s" ph="1">
        <v>186</v>
      </c>
      <c r="L14" s="77" t="s" ph="1">
        <v>41</v>
      </c>
      <c r="M14" s="104" t="s" ph="1">
        <v>620</v>
      </c>
      <c r="N14" s="104" t="s" ph="1">
        <v>621</v>
      </c>
      <c r="O14" s="104" t="s" ph="1">
        <v>619</v>
      </c>
      <c r="P14" s="77" t="s" ph="1">
        <v>622</v>
      </c>
      <c r="Q14" s="77" t="s" ph="1">
        <v>622</v>
      </c>
      <c r="R14" s="88" t="s" ph="1">
        <v>7</v>
      </c>
      <c r="S14" s="77" t="s" ph="1">
        <v>71</v>
      </c>
      <c r="T14" s="77" t="s" ph="1">
        <v>624</v>
      </c>
      <c r="U14" s="77" t="s" ph="1">
        <v>605</v>
      </c>
      <c r="V14" s="77" t="s" ph="1">
        <v>633</v>
      </c>
      <c r="W14" s="77" t="s" ph="1">
        <v>622</v>
      </c>
      <c r="X14" s="77" t="s" ph="1">
        <v>625</v>
      </c>
      <c r="Y14" s="143" t="s" ph="1">
        <v>0</v>
      </c>
      <c r="Z14" s="77" t="s" ph="1">
        <v>54</v>
      </c>
      <c r="AA14" s="77" t="s" ph="1">
        <v>613</v>
      </c>
      <c r="AB14" s="77" t="s" ph="1">
        <v>632</v>
      </c>
      <c r="AC14" s="77" t="s" ph="1">
        <v>632</v>
      </c>
      <c r="AD14" s="77" t="s" ph="1">
        <v>612</v>
      </c>
      <c r="AE14" s="77" t="s" ph="1">
        <v>612</v>
      </c>
      <c r="AG14" s="72" t="s" ph="1">
        <v>208</v>
      </c>
      <c r="AI14" s="72" t="s" ph="1">
        <v>209</v>
      </c>
      <c r="AJ14" s="72" t="s" ph="1">
        <v>332</v>
      </c>
      <c r="AK14" s="72" t="s" ph="1">
        <v>210</v>
      </c>
      <c r="AM14" s="72" t="s" ph="1">
        <v>212</v>
      </c>
      <c r="AN14" s="72" t="s" ph="1">
        <v>210</v>
      </c>
      <c r="AO14" s="72" t="s" ph="1">
        <v>211</v>
      </c>
      <c r="AP14" s="72" t="s" ph="1">
        <v>212</v>
      </c>
      <c r="AQ14" s="72" t="s" ph="1">
        <v>210</v>
      </c>
      <c r="AR14" s="72" t="s" ph="1">
        <v>211</v>
      </c>
      <c r="AS14" s="72" t="s" ph="1">
        <v>212</v>
      </c>
      <c r="AT14" s="72" t="s" ph="1">
        <v>210</v>
      </c>
      <c r="AU14" s="72" t="s" ph="1">
        <v>211</v>
      </c>
      <c r="AV14" s="72" t="s" ph="1">
        <v>212</v>
      </c>
      <c r="AW14" s="72" t="s" ph="1">
        <v>210</v>
      </c>
      <c r="AX14" s="72" t="s" ph="1">
        <v>211</v>
      </c>
      <c r="AY14" s="72" t="s" ph="1">
        <v>212</v>
      </c>
      <c r="AZ14" s="72" t="s" ph="1">
        <v>211</v>
      </c>
    </row>
    <row r="15" spans="1:99" ph="1">
      <c r="B15" s="194" ph="1">
        <v>0.33333333333333331</v>
      </c>
      <c r="C15" s="156" t="s" ph="1">
        <v>177</v>
      </c>
      <c r="D15" s="78">
        <v>829</v>
      </c>
      <c r="E15" s="78">
        <v>5274</v>
      </c>
      <c r="F15" s="78">
        <v>5036</v>
      </c>
      <c r="G15" s="78">
        <v>3755</v>
      </c>
      <c r="H15" s="78">
        <v>4147</v>
      </c>
      <c r="I15" s="78">
        <v>5376</v>
      </c>
      <c r="J15" s="78">
        <v>2048</v>
      </c>
      <c r="K15" s="78">
        <v>2275</v>
      </c>
      <c r="L15" s="78">
        <v>1682</v>
      </c>
      <c r="M15" s="78">
        <v>6236</v>
      </c>
      <c r="N15" s="78">
        <v>1698</v>
      </c>
      <c r="O15" s="78">
        <v>5459</v>
      </c>
      <c r="P15" s="78">
        <v>3614</v>
      </c>
      <c r="Q15" s="78">
        <v>4393</v>
      </c>
      <c r="R15" s="78">
        <v>1947</v>
      </c>
      <c r="S15" s="78">
        <v>191</v>
      </c>
      <c r="T15" s="78">
        <v>1967</v>
      </c>
      <c r="U15" s="78">
        <v>6686</v>
      </c>
      <c r="V15" s="78">
        <v>-817</v>
      </c>
      <c r="W15" s="71">
        <v>-768</v>
      </c>
      <c r="X15" s="78">
        <v>1335</v>
      </c>
      <c r="Y15" s="106">
        <v>-9905</v>
      </c>
      <c r="Z15" s="78">
        <v>1909</v>
      </c>
      <c r="AA15" s="78">
        <v>2560</v>
      </c>
      <c r="AB15" s="78" ph="1">
        <v>690</v>
      </c>
      <c r="AC15" s="78" ph="1">
        <v>498</v>
      </c>
      <c r="AD15" s="78">
        <v>5.88</v>
      </c>
      <c r="AE15" s="78">
        <v>38.47</v>
      </c>
      <c r="AG15" s="64" t="s" ph="1">
        <v>214</v>
      </c>
      <c r="AH15" s="64" ph="1">
        <v>1</v>
      </c>
      <c r="AI15" s="64" t="s" ph="1">
        <v>333</v>
      </c>
      <c r="AK15" s="64" t="s" ph="1">
        <v>587</v>
      </c>
      <c r="AM15" s="64" t="s" ph="1">
        <v>335</v>
      </c>
      <c r="AZ15" s="64" t="s" ph="1">
        <v>216</v>
      </c>
      <c r="BA15" s="64" ph="1">
        <v>0</v>
      </c>
    </row>
    <row r="16" spans="1:99" s="72" customFormat="1" ht="22.2" ph="1">
      <c r="B16" s="195" ph="1"/>
      <c r="C16" s="156" t="s" ph="1">
        <v>178</v>
      </c>
      <c r="D16" s="73" ph="1">
        <f>D15*7.0686*LOOKUP(D17,密度!$A$2:$A$50,密度!$L$2:$L$50)</f>
        <v>5490.6976278000002</v>
      </c>
      <c r="E16" s="73" ph="1">
        <f>E15*7.0686*LOOKUP(E17,密度!$A$2:$A$50,密度!$L$2:$L$50)</f>
        <v>34931.169226800004</v>
      </c>
      <c r="F16" s="73" ph="1">
        <f>F15*9.0746*LOOKUP(F17,密度!$A$2:$A$50,密度!$L$2:$L$50)</f>
        <v>42546.407293600008</v>
      </c>
      <c r="G16" s="73" ph="1">
        <f>G15*9.0746*LOOKUP(G17,密度!$A$2:$A$50,密度!$B$2:$B$50)</f>
        <v>26595.6335015</v>
      </c>
      <c r="H16" s="73" ph="1">
        <f>H15*9.0746*LOOKUP(H17,密度!$A$2:$A$50,密度!$L$2:$L$50)</f>
        <v>35449.688960400003</v>
      </c>
      <c r="I16" s="73" ph="1">
        <f>I15*9.0746*LOOKUP(I17,密度!$A$2:$A$50,密度!$U$2:$U$50)</f>
        <v>50102.245939199995</v>
      </c>
      <c r="J16" s="73" ph="1">
        <f>J15*9.0746*LOOKUP(J17,密度!$A$2:$A$50,密度!$L$2:$L$50)</f>
        <v>17413.939609600002</v>
      </c>
      <c r="K16" s="73" ph="1">
        <f>K15*9.0746*LOOKUP(K17,密度!$A$2:$A$50,密度!$C$2:$C$50)</f>
        <v>22938.3428365</v>
      </c>
      <c r="L16" s="73" ph="1">
        <f>L15*9.0746*LOOKUP(L17,密度!$A$2:$A$50,密度!$E$2:$E$50)</f>
        <v>11954.355343040001</v>
      </c>
      <c r="M16" s="73" ph="1">
        <f>M15*9.0746*LOOKUP(M17,密度!$A$2:$A$50,密度!$M$2:$M$50)</f>
        <v>49566.485185040001</v>
      </c>
      <c r="N16" s="73" ph="1">
        <f>N15*9.0746*LOOKUP(N17,密度!$A$2:$A$50,密度!$M$2:$M$50)</f>
        <v>13528.812962399999</v>
      </c>
      <c r="O16" s="73" ph="1">
        <f>O15*9.0746*LOOKUP(O17,密度!$A$2:$A$50,密度!$G$2:$G$50)</f>
        <v>47566.619392280001</v>
      </c>
      <c r="P16" s="73" ph="1">
        <f ca="1">P15*9.0746*LOOKUP(P17,密度!$A$2:$A$51,密度!$Q$2:$Q$50)</f>
        <v>31096.792092080006</v>
      </c>
      <c r="Q16" s="73" ph="1">
        <f>Q15*9.0746*LOOKUP(Q17,密度!$A$2:$A$50,密度!$Q$2:$Q$50)</f>
        <v>37741.522929972001</v>
      </c>
      <c r="R16" s="73" ph="1">
        <f>MAX(R15*9.0746*LOOKUP(R17,密度!$A$2:$A$50,密度!$B$2:$B$50),0)</f>
        <v>13774.164737520001</v>
      </c>
      <c r="S16" s="73" ph="1">
        <f>S15*9.0746*LOOKUP(S17,密度!$A$2:$A$50,密度!$Q$2:$Q$50)</f>
        <v>1640.9357795640001</v>
      </c>
      <c r="T16" s="73" ph="1">
        <f>T15*9.0746*LOOKUP(T17,密度!$A$2:$A$50,密度!$O$2:$O$50)</f>
        <v>16600.256526000001</v>
      </c>
      <c r="U16" s="73" ph="1">
        <f>U15*9.0746*LOOKUP(U17,密度!$A$2:$A$50,密度!$H$2:$H$50)</f>
        <v>55685.47344568</v>
      </c>
      <c r="V16" s="73" ph="1">
        <f>MAX(5600*LOOKUP(V17,密度!$A$2:$A$50,密度!$Q$2:$Q$50)+V15*9.0476*LOOKUP(V17,密度!$A$2:$A$50,密度!$Q$2:$Q$50),0)</f>
        <v>0</v>
      </c>
      <c r="W16" s="73" ph="1">
        <f>MAX(5600*LOOKUP(W17,密度!$A$2:$A$50,密度!$Q$2:$Q$50)+W15*9.0476*LOOKUP(W17,密度!$A$2:$A$50,密度!$Q$2:$Q$50),0)</f>
        <v>0</v>
      </c>
      <c r="X16" s="73" ph="1">
        <f>MAX(5600*LOOKUP(X17,密度!$A$2:$A$50,密度!$I$2:$I$50)+X15*9.0476*LOOKUP(X17,密度!$A$2:$A$50,密度!$I$2:$I$50),0)</f>
        <v>18387.455694599998</v>
      </c>
      <c r="Y16" s="107" ph="1">
        <v>0</v>
      </c>
      <c r="Z16" s="73" ph="1">
        <f>Z15*9.0746*LOOKUP(Z17,密度!$A$2:$A$50,密度!$D$2:$D$50)</f>
        <v>17785.946484380001</v>
      </c>
      <c r="AA16" s="73" ph="1">
        <f>AA15*9.0746*LOOKUP(AA17,密度!$A$2:$A$50,密度!$B$2:$B$50)</f>
        <v>18173.592524800002</v>
      </c>
      <c r="AB16" s="73" ph="1">
        <f>AB15*9.0746*LOOKUP(AB17,密度!$A$2:$A$50,密度!$L$2:$L$50)</f>
        <v>5885.7855600000003</v>
      </c>
      <c r="AC16" s="73" ph="1">
        <f>AC15*9.0746*LOOKUP(AC17,密度!$A$2:$A$50,密度!$L$2:$L$50)</f>
        <v>4248.0017520000001</v>
      </c>
      <c r="AD16" s="73" ph="1">
        <f>AD15*268.68*LOOKUP(AD17,密度!$A$2:$A$50,密度!B2:B50)+IF(AD15&lt;=0,0,1566*LOOKUP(AD17,密度!$A$2:$A$50,密度!B2:B50))</f>
        <v>2452.4956166399998</v>
      </c>
      <c r="AE16" s="73" ph="1">
        <f>AE15*268.68*LOOKUP(AE17,密度!$A$2:$A$50,密度!B2:B50)+IF(AE15&lt;=0,0,1566*LOOKUP(AE17,密度!$A$2:$A$50,密度!B2:B50))</f>
        <v>9278.8924401599998</v>
      </c>
      <c r="AH16" s="72" ph="1">
        <v>2</v>
      </c>
      <c r="AI16" s="72" t="s" ph="1">
        <v>337</v>
      </c>
      <c r="AZ16" s="72" t="s" ph="1">
        <v>216</v>
      </c>
      <c r="BA16" s="72" ph="1">
        <v>0</v>
      </c>
    </row>
    <row r="17" spans="1:57" ph="1">
      <c r="A17" s="64" t="s" ph="1">
        <v>73</v>
      </c>
      <c r="B17" s="196" ph="1"/>
      <c r="C17" s="79" t="s" ph="1">
        <v>179</v>
      </c>
      <c r="D17" s="74">
        <v>25</v>
      </c>
      <c r="E17" s="74">
        <v>25</v>
      </c>
      <c r="F17" s="74">
        <v>31</v>
      </c>
      <c r="G17" s="74">
        <v>24</v>
      </c>
      <c r="H17" s="74">
        <v>20</v>
      </c>
      <c r="I17" s="74">
        <v>23</v>
      </c>
      <c r="J17" s="74">
        <v>25</v>
      </c>
      <c r="K17" s="74">
        <v>22</v>
      </c>
      <c r="L17" s="74">
        <v>25</v>
      </c>
      <c r="M17" s="74">
        <v>24</v>
      </c>
      <c r="N17" s="74">
        <v>22</v>
      </c>
      <c r="O17" s="74">
        <v>25</v>
      </c>
      <c r="P17" s="74">
        <v>23</v>
      </c>
      <c r="Q17" s="74">
        <v>25</v>
      </c>
      <c r="R17" s="74">
        <v>25</v>
      </c>
      <c r="S17" s="74">
        <v>25</v>
      </c>
      <c r="T17" s="74">
        <v>24</v>
      </c>
      <c r="U17" s="74">
        <v>22</v>
      </c>
      <c r="V17" s="74">
        <v>25</v>
      </c>
      <c r="W17" s="74">
        <v>25</v>
      </c>
      <c r="X17" s="74">
        <v>27</v>
      </c>
      <c r="Y17" s="108">
        <v>27</v>
      </c>
      <c r="Z17" s="74">
        <v>25</v>
      </c>
      <c r="AA17" s="74">
        <v>22</v>
      </c>
      <c r="AB17" s="74">
        <v>22</v>
      </c>
      <c r="AC17" s="74">
        <v>22</v>
      </c>
      <c r="AD17" s="74">
        <v>25</v>
      </c>
      <c r="AE17" s="74">
        <v>25</v>
      </c>
      <c r="AH17" s="64" ph="1">
        <v>3</v>
      </c>
      <c r="AI17" s="64" t="s" ph="1">
        <v>338</v>
      </c>
      <c r="AK17" s="64" t="s" ph="1">
        <v>570</v>
      </c>
      <c r="AL17" s="64" ph="1">
        <v>80</v>
      </c>
      <c r="AM17" s="64" t="s" ph="1">
        <v>335</v>
      </c>
      <c r="AZ17" s="64" t="s" ph="1">
        <v>216</v>
      </c>
      <c r="BA17" s="64" ph="1">
        <v>80</v>
      </c>
      <c r="BD17" s="64" t="s" ph="1">
        <v>214</v>
      </c>
      <c r="BE17" s="64" ph="1">
        <v>2270</v>
      </c>
    </row>
    <row r="18" spans="1:57" ht="26.4" ph="1">
      <c r="B18" s="194" ph="1">
        <v>0.66666666666666663</v>
      </c>
      <c r="C18" s="79" t="s" ph="1">
        <v>180</v>
      </c>
      <c r="D18" s="71">
        <v>2222</v>
      </c>
      <c r="E18" s="71">
        <v>5273</v>
      </c>
      <c r="F18" s="71">
        <v>3470</v>
      </c>
      <c r="G18" s="71">
        <v>3875</v>
      </c>
      <c r="H18" s="71">
        <v>4146</v>
      </c>
      <c r="I18" s="71">
        <v>5376</v>
      </c>
      <c r="J18" s="71">
        <v>2087</v>
      </c>
      <c r="K18" s="71">
        <v>2274</v>
      </c>
      <c r="L18" s="71">
        <v>4236</v>
      </c>
      <c r="M18" s="71">
        <v>3649</v>
      </c>
      <c r="N18" s="71">
        <v>1371</v>
      </c>
      <c r="O18" s="71">
        <v>5459</v>
      </c>
      <c r="P18" s="71">
        <v>1957</v>
      </c>
      <c r="Q18" s="71">
        <v>3111</v>
      </c>
      <c r="R18" s="71">
        <v>1945</v>
      </c>
      <c r="S18" s="71">
        <v>188</v>
      </c>
      <c r="T18" s="71">
        <v>1751</v>
      </c>
      <c r="U18" s="71">
        <v>6689</v>
      </c>
      <c r="V18" s="71">
        <v>-871</v>
      </c>
      <c r="W18" s="71">
        <v>-762</v>
      </c>
      <c r="X18" s="71">
        <v>1334</v>
      </c>
      <c r="Y18" s="109">
        <v>-9907</v>
      </c>
      <c r="Z18" s="71">
        <v>1907</v>
      </c>
      <c r="AA18" s="71">
        <v>2561</v>
      </c>
      <c r="AB18" s="71">
        <v>498</v>
      </c>
      <c r="AC18" s="71">
        <v>498</v>
      </c>
      <c r="AD18" s="71">
        <v>13.8</v>
      </c>
      <c r="AE18" s="71">
        <v>84.49</v>
      </c>
      <c r="AH18" s="64" ph="1">
        <v>4</v>
      </c>
      <c r="AI18" s="64" t="s" ph="1">
        <v>340</v>
      </c>
      <c r="AJ18" s="64" t="s" ph="1">
        <v>588</v>
      </c>
      <c r="AK18" s="64" t="s" ph="1">
        <v>587</v>
      </c>
      <c r="AL18" s="64" ph="1">
        <v>740</v>
      </c>
      <c r="AM18" s="64" t="s" ph="1">
        <v>339</v>
      </c>
      <c r="AZ18" s="64" t="s" ph="1">
        <v>216</v>
      </c>
      <c r="BA18" s="64" ph="1">
        <v>740</v>
      </c>
    </row>
    <row r="19" spans="1:57" s="72" customFormat="1" ht="22.2" ph="1">
      <c r="B19" s="195" ph="1"/>
      <c r="C19" s="156" t="s" ph="1">
        <v>178</v>
      </c>
      <c r="D19" s="73" ph="1">
        <f>D18*7.0686*LOOKUP(D20,密度!$A$2:$A$50,密度!$L$2:$L$50)</f>
        <v>14669.804872800001</v>
      </c>
      <c r="E19" s="73" ph="1">
        <f>E18*7.0686*LOOKUP(E20,密度!$A$2:$A$50,密度!$L$2:$L$50)</f>
        <v>34812.727765200005</v>
      </c>
      <c r="F19" s="73" ph="1">
        <f>F18*9.0746*LOOKUP(F20,密度!$A$2:$A$50,密度!$L$2:$L$50)</f>
        <v>29190.175074000002</v>
      </c>
      <c r="G19" s="73" ph="1">
        <f>G18*9.0746*LOOKUP(G20,密度!$A$2:$A$50,密度!$B$2:$B$50)</f>
        <v>27413.912870000004</v>
      </c>
      <c r="H19" s="73" ph="1">
        <f>H18*9.0746*LOOKUP(H20,密度!$A$2:$A$50,密度!$L$2:$L$50)</f>
        <v>35365.894103999999</v>
      </c>
      <c r="I19" s="73" ph="1">
        <f>I18*9.0746*LOOKUP(I20,密度!$A$2:$A$50,密度!$U$2:$U$50)</f>
        <v>49760.750591999997</v>
      </c>
      <c r="J19" s="73" ph="1">
        <f>J18*9.0746*LOOKUP(J20,密度!$A$2:$A$50,密度!$L$2:$L$50)</f>
        <v>17688.736646800004</v>
      </c>
      <c r="K19" s="73" ph="1">
        <f>K18*9.0746*LOOKUP(K20,密度!$A$2:$A$50,密度!$C$2:$C$50)</f>
        <v>22882.86163956</v>
      </c>
      <c r="L19" s="73" ph="1">
        <f>L18*9.0746*LOOKUP(L20,密度!$A$2:$A$50,密度!$E$2:$E$50)</f>
        <v>30106.212385920004</v>
      </c>
      <c r="M19" s="73" ph="1">
        <f>M18*9.0746*LOOKUP(M20,密度!$A$2:$A$50,密度!$M$2:$M$50)</f>
        <v>28874.723828800001</v>
      </c>
      <c r="N19" s="73" ph="1">
        <f>N18*9.0746*LOOKUP(N20,密度!$A$2:$A$50,密度!$M$2:$M$50)</f>
        <v>10910.999578200001</v>
      </c>
      <c r="O19" s="73" ph="1">
        <f>O18*9.0746*LOOKUP(O20,密度!$A$2:$A$50,密度!$G$2:$G$50)</f>
        <v>47457.635261199997</v>
      </c>
      <c r="P19" s="73" ph="1">
        <f ca="1">P18*9.0746*LOOKUP(P20,密度!$A$2:$A$51,密度!$Q$2:$Q$50)</f>
        <v>16813.148275428</v>
      </c>
      <c r="Q19" s="73" ph="1">
        <f>Q18*9.0746*LOOKUP(Q20,密度!$A$2:$A$50,密度!$Q$2:$Q$50)</f>
        <v>26667.643356372002</v>
      </c>
      <c r="R19" s="73" ph="1">
        <f>MAX(R18*9.0746*LOOKUP(R20,密度!$A$2:$A$50,密度!$B$2:$B$50),0)</f>
        <v>13714.125369000001</v>
      </c>
      <c r="S19" s="73" ph="1">
        <f>S18*9.0746*LOOKUP(S20,密度!$A$2:$A$50,密度!$Q$2:$Q$50)</f>
        <v>1610.3679894640002</v>
      </c>
      <c r="T19" s="73" ph="1">
        <f>T18*9.0746*LOOKUP(T20,密度!$A$2:$A$50,密度!$O$2:$O$50)</f>
        <v>14713.792379600001</v>
      </c>
      <c r="U19" s="73" ph="1">
        <f>U18*9.0746*LOOKUP(U20,密度!$A$2:$A$50,密度!$H$2:$H$50)</f>
        <v>55582.989450579997</v>
      </c>
      <c r="V19" s="73" ph="1">
        <f>MAX(5600*LOOKUP(V20,密度!$A$2:$A$50,密度!$Q$2:$Q$50)+V18*9.0476*LOOKUP(V20,密度!$A$2:$A$50,密度!$Q$2:$Q$50),0)</f>
        <v>0</v>
      </c>
      <c r="W19" s="73" ph="1">
        <f>MAX(5600*LOOKUP(W20,密度!$A$2:$A$50,密度!$Q$2:$Q$50)+W18*9.0476*LOOKUP(W20,密度!$A$2:$A$50,密度!$Q$2:$Q$50),0)</f>
        <v>0</v>
      </c>
      <c r="X19" s="73" ph="1">
        <f>MAX(5600*LOOKUP(X20,密度!$A$2:$A$50,密度!$I$2:$I$50)+X18*9.0476*LOOKUP(X20,密度!$A$2:$A$50,密度!$I$2:$I$50),0)</f>
        <v>18337.40543952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17767.31270074</v>
      </c>
      <c r="AA19" s="73" ph="1">
        <f>AA18*9.0746*LOOKUP(AA20,密度!$A$2:$A$50,密度!$B$2:$B$50)</f>
        <v>18138.859493300002</v>
      </c>
      <c r="AB19" s="73" ph="1">
        <f>AB18*9.0746*LOOKUP(AB20,密度!$A$2:$A$50,密度!$L$2:$L$50)</f>
        <v>4220.8868472000004</v>
      </c>
      <c r="AC19" s="73" ph="1">
        <f>AC18*9.0746*LOOKUP(AC20,密度!$A$2:$A$50,密度!$L$2:$L$50)</f>
        <v>4220.8868472000004</v>
      </c>
      <c r="AD19" s="73" ph="1">
        <f>AD18*268.68*LOOKUP(AD20,密度!$A$2:$A$50,密度!B5:B53)+IF(AD18&lt;=0,0,1566*LOOKUP(AD20,密度!$A$2:$A$50,密度!B5:B53))</f>
        <v>4097.730168</v>
      </c>
      <c r="AE19" s="73" ph="1">
        <f>AE18*268.68*LOOKUP(AE20,密度!$A$2:$A$50,密度!B5:B53)+IF(AE18&lt;=0,0,1566*LOOKUP(AE20,密度!$A$2:$A$50,密度!B5:B53))</f>
        <v>18855.282776399999</v>
      </c>
      <c r="AH19" s="72" ph="1">
        <v>5</v>
      </c>
      <c r="AI19" s="72" t="s" ph="1">
        <v>341</v>
      </c>
      <c r="AZ19" s="72" t="s" ph="1">
        <v>216</v>
      </c>
      <c r="BA19" s="72" ph="1">
        <v>0</v>
      </c>
      <c r="BD19" s="72" t="s" ph="1">
        <v>342</v>
      </c>
      <c r="BE19" s="72" ph="1">
        <v>1440</v>
      </c>
    </row>
    <row r="20" spans="1:57" ph="1">
      <c r="A20" s="72" ph="1"/>
      <c r="B20" s="195" ph="1"/>
      <c r="C20" s="80" t="s" ph="1">
        <v>179</v>
      </c>
      <c r="D20" s="81">
        <v>28</v>
      </c>
      <c r="E20" s="81">
        <v>28</v>
      </c>
      <c r="F20" s="81">
        <v>35</v>
      </c>
      <c r="G20" s="81">
        <v>25</v>
      </c>
      <c r="H20" s="81">
        <v>22</v>
      </c>
      <c r="I20" s="81">
        <v>30</v>
      </c>
      <c r="J20" s="81">
        <v>28</v>
      </c>
      <c r="K20" s="81">
        <v>25</v>
      </c>
      <c r="L20" s="81">
        <v>25</v>
      </c>
      <c r="M20" s="81">
        <v>28</v>
      </c>
      <c r="N20" s="81">
        <v>23</v>
      </c>
      <c r="O20" s="81">
        <v>27</v>
      </c>
      <c r="P20" s="81">
        <v>25</v>
      </c>
      <c r="Q20" s="81">
        <v>28</v>
      </c>
      <c r="R20" s="81">
        <v>28</v>
      </c>
      <c r="S20" s="81">
        <v>29</v>
      </c>
      <c r="T20" s="81">
        <v>26</v>
      </c>
      <c r="U20" s="81">
        <v>24</v>
      </c>
      <c r="V20" s="81">
        <v>28</v>
      </c>
      <c r="W20" s="81">
        <v>28</v>
      </c>
      <c r="X20" s="81">
        <v>29</v>
      </c>
      <c r="Y20" s="110">
        <v>29</v>
      </c>
      <c r="Z20" s="81">
        <v>25</v>
      </c>
      <c r="AA20" s="81">
        <v>24</v>
      </c>
      <c r="AB20" s="81">
        <v>28</v>
      </c>
      <c r="AC20" s="81">
        <v>28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343</v>
      </c>
      <c r="AZ20" s="64" t="s" ph="1">
        <v>216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344</v>
      </c>
      <c r="AZ21" s="64" t="s" ph="1">
        <v>216</v>
      </c>
      <c r="BA21" s="64" ph="1">
        <v>0</v>
      </c>
      <c r="BD21" s="64" t="s" ph="1">
        <v>232</v>
      </c>
      <c r="BE21" s="64" ph="1">
        <v>730</v>
      </c>
    </row>
    <row r="22" spans="1:57" ph="1">
      <c r="A22" s="72" ph="1"/>
      <c r="B22" s="193" t="s" ph="1">
        <v>37</v>
      </c>
      <c r="C22" s="85" t="s" ph="1">
        <v>176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172" t="s" ph="1">
        <v>69</v>
      </c>
      <c r="AA22" s="173"/>
      <c r="AB22" s="173"/>
      <c r="AC22" s="173"/>
      <c r="AD22" s="173"/>
      <c r="AE22" s="174"/>
      <c r="AH22" s="64" ph="1">
        <v>8</v>
      </c>
      <c r="AI22" s="64" t="s" ph="1">
        <v>345</v>
      </c>
      <c r="AZ22" s="64" t="s" ph="1">
        <v>216</v>
      </c>
      <c r="BA22" s="64" ph="1">
        <v>0</v>
      </c>
    </row>
    <row r="23" spans="1:57" ph="1">
      <c r="A23" s="72" ph="1"/>
      <c r="B23" s="188" ph="1"/>
      <c r="C23" s="67" t="s" ph="1">
        <v>36</v>
      </c>
      <c r="D23" s="88" t="s" ph="1">
        <v>109</v>
      </c>
      <c r="E23" s="88" t="s" ph="1">
        <v>107</v>
      </c>
      <c r="F23" s="88" t="s" ph="1">
        <v>109</v>
      </c>
      <c r="G23" s="88" t="s" ph="1">
        <v>626</v>
      </c>
      <c r="H23" s="88" t="s" ph="1">
        <v>626</v>
      </c>
      <c r="I23" s="88" t="s" ph="1">
        <v>627</v>
      </c>
      <c r="J23" s="88" t="s" ph="1">
        <v>628</v>
      </c>
      <c r="K23" s="88" t="s" ph="1">
        <v>628</v>
      </c>
      <c r="L23" s="88" t="s" ph="1">
        <v>628</v>
      </c>
      <c r="M23" s="88" t="s" ph="1">
        <v>623</v>
      </c>
      <c r="N23" s="88" t="s" ph="1">
        <v>623</v>
      </c>
      <c r="O23" s="88" t="s" ph="1">
        <v>318</v>
      </c>
      <c r="P23" s="88" t="s" ph="1">
        <v>629</v>
      </c>
      <c r="Q23" s="89" t="s" ph="1">
        <v>629</v>
      </c>
      <c r="R23" s="88" t="s" ph="1">
        <v>610</v>
      </c>
      <c r="S23" s="88" t="s" ph="1">
        <v>629</v>
      </c>
      <c r="T23" s="88" t="s" ph="1">
        <v>604</v>
      </c>
      <c r="U23" s="104" t="s" ph="1">
        <v>606</v>
      </c>
      <c r="V23" s="88" t="s" ph="1">
        <v>629</v>
      </c>
      <c r="W23" s="88" t="s" ph="1">
        <v>629</v>
      </c>
      <c r="X23" s="88" t="s" ph="1">
        <v>187</v>
      </c>
      <c r="Y23" s="88" t="s" ph="1">
        <v>630</v>
      </c>
      <c r="Z23" s="175" t="s" ph="1">
        <v>638</v>
      </c>
      <c r="AA23" s="176"/>
      <c r="AB23" s="176"/>
      <c r="AC23" s="176"/>
      <c r="AD23" s="176"/>
      <c r="AE23" s="177"/>
      <c r="AH23" s="64" ph="1">
        <v>9</v>
      </c>
      <c r="AI23" s="64" t="s" ph="1">
        <v>346</v>
      </c>
      <c r="AZ23" s="64" t="s" ph="1">
        <v>216</v>
      </c>
      <c r="BA23" s="64" ph="1">
        <v>0</v>
      </c>
      <c r="BD23" s="64" t="s" ph="1">
        <v>238</v>
      </c>
      <c r="BE23" s="64" ph="1">
        <v>890</v>
      </c>
    </row>
    <row r="24" spans="1:57" ph="1">
      <c r="A24" s="72" ph="1"/>
      <c r="B24" s="184" ph="1">
        <v>0.33333333333333331</v>
      </c>
      <c r="C24" s="156" t="s" ph="1">
        <v>177</v>
      </c>
      <c r="D24" s="71">
        <v>4.32</v>
      </c>
      <c r="E24" s="71">
        <v>5.78</v>
      </c>
      <c r="F24" s="71">
        <v>129</v>
      </c>
      <c r="G24" s="71">
        <v>3513</v>
      </c>
      <c r="H24" s="71">
        <v>3788</v>
      </c>
      <c r="I24" s="71">
        <v>1470</v>
      </c>
      <c r="J24" s="71">
        <v>210</v>
      </c>
      <c r="K24" s="71">
        <v>248</v>
      </c>
      <c r="L24" s="71">
        <v>2699</v>
      </c>
      <c r="M24" s="71">
        <v>4824</v>
      </c>
      <c r="N24" s="71">
        <v>4690</v>
      </c>
      <c r="O24" s="71">
        <v>1475</v>
      </c>
      <c r="P24" s="71">
        <v>843</v>
      </c>
      <c r="Q24" s="90">
        <v>1473</v>
      </c>
      <c r="R24" s="71">
        <v>6302</v>
      </c>
      <c r="S24" s="71">
        <v>5913</v>
      </c>
      <c r="T24" s="71">
        <v>510</v>
      </c>
      <c r="U24" s="71">
        <v>5302</v>
      </c>
      <c r="V24" s="71">
        <v>1015</v>
      </c>
      <c r="W24" s="71">
        <v>403</v>
      </c>
      <c r="X24" s="71">
        <v>4464</v>
      </c>
      <c r="Y24" s="71">
        <v>6659</v>
      </c>
      <c r="Z24" s="178"/>
      <c r="AA24" s="179"/>
      <c r="AB24" s="179"/>
      <c r="AC24" s="179"/>
      <c r="AD24" s="179"/>
      <c r="AE24" s="180"/>
      <c r="AH24" s="64" ph="1">
        <v>10</v>
      </c>
      <c r="AI24" s="64" t="s" ph="1">
        <v>347</v>
      </c>
      <c r="AZ24" s="64" t="s" ph="1">
        <v>216</v>
      </c>
      <c r="BA24" s="64" ph="1">
        <v>0</v>
      </c>
    </row>
    <row r="25" spans="1:57" ph="1">
      <c r="A25" s="72" ph="1"/>
      <c r="B25" s="184" ph="1"/>
      <c r="C25" s="68" t="s" ph="1">
        <v>178</v>
      </c>
      <c r="D25" s="91" ph="1">
        <f>D24*268.68*LOOKUP(D26,密度!$A$2:$A$50,密度!$Q$2:$Q$50)+IF(D24&lt;=0,0,1566*LOOKUP(D26,密度!$A$2:$A$50,密度!$Q$2:$Q$50))</f>
        <v>2581.4736858240003</v>
      </c>
      <c r="E25" s="91" ph="1">
        <f>E24*268.68*LOOKUP(E26,密度!$A$2:$A$50,密度!$C$2:$C$50)+IF(E24&lt;=0,0,1566*LOOKUP(E26,密度!$A$2:$A$50,密度!$C$2:$C$50))</f>
        <v>3458.6262765600004</v>
      </c>
      <c r="F25" s="91" ph="1">
        <f>F24*11.702*LOOKUP(F26,密度!$A$2:$A$50,密度!$Q$2:$Q$50)</f>
        <v>1433.6121370200001</v>
      </c>
      <c r="G25" s="91" ph="1">
        <f>G24*18.322*LOOKUP(G26,密度!$A$2:$A$50,密度!$B$2:$B$50)</f>
        <v>50179.099005599994</v>
      </c>
      <c r="H25" s="91" ph="1">
        <f>H24*18.322*LOOKUP(H26,密度!$A$2:$A$50,密度!$B$2:$B$50)</f>
        <v>53989.166234399992</v>
      </c>
      <c r="I25" s="91" ph="1">
        <f>I24*18.322*LOOKUP(I26,密度!$A$2:$A$50,密度!$Q$2:$Q$50)</f>
        <v>25498.8703116</v>
      </c>
      <c r="J25" s="91" ph="1">
        <f>J24*18.322*LOOKUP(J26,密度!$A$2:$A$50,密度!$Q$2:$Q$50)</f>
        <v>3642.6957588</v>
      </c>
      <c r="K25" s="91" ph="1">
        <f>K24*18.322*LOOKUP(K26,密度!$A$2:$A$50,密度!$Q$2:$Q$50)</f>
        <v>4305.1672443199996</v>
      </c>
      <c r="L25" s="91" ph="1">
        <f>L24*18.322*LOOKUP(L26,密度!$A$2:$A$50,密度!$Q$2:$Q$50)</f>
        <v>46817.313585720003</v>
      </c>
      <c r="M25" s="91" ph="1">
        <f>M24*18.322*LOOKUP(M26,密度!$A$2:$A$50,密度!$Q$2:$Q$50)</f>
        <v>83677.925430720003</v>
      </c>
      <c r="N25" s="91" ph="1">
        <f>N24*18.322*LOOKUP(N26,密度!$A$2:$A$50,密度!$Q$2:$Q$50)</f>
        <v>81555.474536199996</v>
      </c>
      <c r="O25" s="91" ph="1">
        <f>O24*18.322*LOOKUP(O26,密度!$A$2:$A$50,密度!$C$2:$C$50)</f>
        <v>30008.50448</v>
      </c>
      <c r="P25" s="91" ph="1">
        <f>P24*11.702*LOOKUP(P26,密度!$A$2:$A$50,密度!$B$2:$B$50)</f>
        <v>7690.5871655999999</v>
      </c>
      <c r="Q25" s="92" ph="1">
        <f>Q24*18.322*LOOKUP(Q26,密度!$A$2:$A$50,密度!$B$2:$B$50)</f>
        <v>21015.7938822</v>
      </c>
      <c r="R25" s="91" ph="1">
        <f>R24*35.891*LOOKUP(R26,密度!$A$2:$A$50,密度!$C$2:$C$50)</f>
        <v>250296.41174119999</v>
      </c>
      <c r="S25" s="91" ph="1">
        <f>S24*35.891*LOOKUP(S26,密度!$A$2:$A$50,密度!$B$2:$B$50)</f>
        <v>165831.42961619998</v>
      </c>
      <c r="T25" s="91" ph="1">
        <f>T24*35.891*LOOKUP(T26,密度!$A$2:$A$50,密度!$Q$2:$Q$50)</f>
        <v>17303.5248612</v>
      </c>
      <c r="U25" s="91" ph="1">
        <f>U24*35.891</f>
        <v>190294.08199999999</v>
      </c>
      <c r="V25" s="91" ph="1">
        <f>V24*47.051*LOOKUP(V26,密度!$A$2:$A$50,密度!$B$2:$B$50)</f>
        <v>37317.136170999998</v>
      </c>
      <c r="W25" s="91" ph="1">
        <f>W24*47.051*LOOKUP(W26,密度!$A$2:$A$50,密度!$B$2:$B$50)</f>
        <v>14799.4921165</v>
      </c>
      <c r="X25" s="91" ph="1">
        <f>X24*47.051*LOOKUP(X26,密度!$A$2:$A$61,密度!$I$2:$I$61)</f>
        <v>218920.17258720001</v>
      </c>
      <c r="Y25" s="91" ph="1">
        <f>Y24*47.051*LOOKUP(Y26,密度!$A$2:$A$50,密度!$L$2:$L$50)</f>
        <v>293887.22724199999</v>
      </c>
      <c r="Z25" s="178"/>
      <c r="AA25" s="179"/>
      <c r="AB25" s="179"/>
      <c r="AC25" s="179"/>
      <c r="AD25" s="179"/>
      <c r="AE25" s="180"/>
      <c r="AH25" s="64" ph="1">
        <v>11</v>
      </c>
      <c r="AI25" s="64" t="s" ph="1">
        <v>348</v>
      </c>
      <c r="AZ25" s="64" t="s" ph="1">
        <v>216</v>
      </c>
      <c r="BA25" s="64" ph="1">
        <v>0</v>
      </c>
      <c r="BD25" s="64" t="s" ph="1">
        <v>241</v>
      </c>
      <c r="BE25" s="64" ph="1">
        <v>8920</v>
      </c>
    </row>
    <row r="26" spans="1:57" ph="1">
      <c r="A26" s="72" ph="1"/>
      <c r="B26" s="184" ph="1"/>
      <c r="C26" s="68" t="s" ph="1">
        <v>179</v>
      </c>
      <c r="D26" s="74">
        <v>25</v>
      </c>
      <c r="E26" s="74">
        <v>25</v>
      </c>
      <c r="F26" s="74">
        <v>21</v>
      </c>
      <c r="G26" s="74">
        <v>25</v>
      </c>
      <c r="H26" s="74">
        <v>27</v>
      </c>
      <c r="I26" s="74">
        <v>25</v>
      </c>
      <c r="J26" s="74">
        <v>25</v>
      </c>
      <c r="K26" s="74">
        <v>24</v>
      </c>
      <c r="L26" s="74">
        <v>25</v>
      </c>
      <c r="M26" s="74">
        <v>25</v>
      </c>
      <c r="N26" s="74">
        <v>22</v>
      </c>
      <c r="O26" s="74">
        <v>23</v>
      </c>
      <c r="P26" s="74">
        <v>25</v>
      </c>
      <c r="Q26" s="93">
        <v>26</v>
      </c>
      <c r="R26" s="74">
        <v>28</v>
      </c>
      <c r="S26" s="74">
        <v>23</v>
      </c>
      <c r="T26" s="74">
        <v>27</v>
      </c>
      <c r="U26" s="74">
        <v>28</v>
      </c>
      <c r="V26" s="74">
        <v>23</v>
      </c>
      <c r="W26" s="74">
        <v>24</v>
      </c>
      <c r="X26" s="74">
        <v>25</v>
      </c>
      <c r="Y26" s="74">
        <v>24</v>
      </c>
      <c r="Z26" s="178"/>
      <c r="AA26" s="179"/>
      <c r="AB26" s="179"/>
      <c r="AC26" s="179"/>
      <c r="AD26" s="179"/>
      <c r="AE26" s="180"/>
      <c r="AH26" s="64" ph="1">
        <v>12</v>
      </c>
      <c r="AI26" s="64" t="s" ph="1">
        <v>349</v>
      </c>
      <c r="AZ26" s="64" t="s" ph="1">
        <v>216</v>
      </c>
      <c r="BA26" s="64" ph="1">
        <v>0</v>
      </c>
    </row>
    <row r="27" spans="1:57" ht="26.4" ph="1">
      <c r="A27" s="72" ph="1"/>
      <c r="B27" s="184" ph="1">
        <v>0.66666666666666663</v>
      </c>
      <c r="C27" s="156" t="s" ph="1">
        <v>180</v>
      </c>
      <c r="D27" s="71">
        <v>4.3099999999999996</v>
      </c>
      <c r="E27" s="71">
        <v>5.75</v>
      </c>
      <c r="F27" s="71">
        <v>126</v>
      </c>
      <c r="G27" s="71">
        <v>2912</v>
      </c>
      <c r="H27" s="71">
        <v>3182</v>
      </c>
      <c r="I27" s="71">
        <v>319</v>
      </c>
      <c r="J27" s="71">
        <v>205</v>
      </c>
      <c r="K27" s="71">
        <v>245</v>
      </c>
      <c r="L27" s="71">
        <v>2696</v>
      </c>
      <c r="M27" s="71">
        <v>4823</v>
      </c>
      <c r="N27" s="71">
        <v>4688</v>
      </c>
      <c r="O27" s="71">
        <v>1472</v>
      </c>
      <c r="P27" s="71">
        <v>840</v>
      </c>
      <c r="Q27" s="90">
        <v>1794</v>
      </c>
      <c r="R27" s="71">
        <v>5778</v>
      </c>
      <c r="S27" s="71">
        <v>5190</v>
      </c>
      <c r="T27" s="71">
        <v>509</v>
      </c>
      <c r="U27" s="71">
        <v>5388</v>
      </c>
      <c r="V27" s="71">
        <v>1012</v>
      </c>
      <c r="W27" s="71">
        <v>400</v>
      </c>
      <c r="X27" s="71">
        <v>5062</v>
      </c>
      <c r="Y27" s="71">
        <v>7183</v>
      </c>
      <c r="Z27" s="178"/>
      <c r="AA27" s="179"/>
      <c r="AB27" s="179"/>
      <c r="AC27" s="179"/>
      <c r="AD27" s="179"/>
      <c r="AE27" s="180"/>
      <c r="AH27" s="64" ph="1">
        <v>13</v>
      </c>
      <c r="AI27" s="64" t="s" ph="1">
        <v>350</v>
      </c>
      <c r="AZ27" s="64" t="s" ph="1">
        <v>216</v>
      </c>
      <c r="BA27" s="64" ph="1">
        <v>0</v>
      </c>
      <c r="BD27" s="64" t="s" ph="1">
        <v>295</v>
      </c>
      <c r="BE27" s="64" ph="1">
        <v>7100</v>
      </c>
    </row>
    <row r="28" spans="1:57" ph="1">
      <c r="A28" s="72" ph="1"/>
      <c r="B28" s="184" ph="1"/>
      <c r="C28" s="156" t="s" ph="1">
        <v>178</v>
      </c>
      <c r="D28" s="91" ph="1">
        <f>D27*268.68*LOOKUP(D29,密度!$A$2:$A$50,密度!$Q$2:$Q$50)+IF(D27&lt;=0,0,1566*LOOKUP(D29,密度!$A$2:$A$50,密度!$Q$2:$Q$50))</f>
        <v>2578.9299847920001</v>
      </c>
      <c r="E28" s="91" ph="1">
        <f>E27*268.68*LOOKUP(E29,密度!$A$2:$A$50,密度!$C$2:$C$50)+IF(E27&lt;=0,0,1566*LOOKUP(E29,密度!$A$2:$A$50,密度!$C$2:$C$50))</f>
        <v>3449.688099</v>
      </c>
      <c r="F28" s="91" ph="1">
        <f>F27*11.702*LOOKUP(F29,密度!$A$2:$A$50,密度!$Q$2:$Q$50)</f>
        <v>1395.92268648</v>
      </c>
      <c r="G28" s="91" ph="1">
        <f>G27*18.322*LOOKUP(G29,密度!$A$2:$A$50,密度!$B$2:$B$50)</f>
        <v>41594.516454399993</v>
      </c>
      <c r="H28" s="91" ph="1">
        <f>H27*18.322*LOOKUP(H29,密度!$A$2:$A$50,密度!$B$2:$B$50)</f>
        <v>45299.569307999998</v>
      </c>
      <c r="I28" s="91" ph="1">
        <f>I27*18.322*LOOKUP(I29,密度!$A$2:$A$50,密度!$Q$2:$Q$50)</f>
        <v>5525.1288197599997</v>
      </c>
      <c r="J28" s="91" ph="1">
        <f>J27*18.322*LOOKUP(J29,密度!$A$2:$A$50,密度!$Q$2:$Q$50)</f>
        <v>3550.6313731999999</v>
      </c>
      <c r="K28" s="91" ph="1">
        <f>K27*18.322*LOOKUP(K29,密度!$A$2:$A$50,密度!$Q$2:$Q$50)</f>
        <v>4246.6246066999993</v>
      </c>
      <c r="L28" s="91" ph="1">
        <f>L27*18.322*LOOKUP(L29,密度!$A$2:$A$50,密度!$Q$2:$Q$50)</f>
        <v>46765.275074880003</v>
      </c>
      <c r="M28" s="91" ph="1">
        <f>M27*18.322*LOOKUP(M29,密度!$A$2:$A$50,密度!$Q$2:$Q$50)</f>
        <v>83660.57926043999</v>
      </c>
      <c r="N28" s="91" ph="1">
        <f>N27*18.322*LOOKUP(N29,密度!$A$2:$A$50,密度!$Q$2:$Q$50)</f>
        <v>81520.696082239985</v>
      </c>
      <c r="O28" s="91" ph="1">
        <f>O27*18.322*LOOKUP(O29,密度!$A$2:$A$50,密度!$C$2:$C$50)</f>
        <v>29925.894246399999</v>
      </c>
      <c r="P28" s="91" ph="1">
        <f>P27*11.702*LOOKUP(P29,密度!$A$2:$A$50,密度!$B$2:$B$50)</f>
        <v>7663.2185279999994</v>
      </c>
      <c r="Q28" s="92" ph="1">
        <f>Q27*18.322*LOOKUP(Q29,密度!$A$2:$A$50,密度!$B$2:$B$50)</f>
        <v>25569.314737199998</v>
      </c>
      <c r="R28" s="91" ph="1">
        <f>R27*35.891*LOOKUP(R29,密度!$A$2:$A$50,密度!$C$2:$C$50)</f>
        <v>229484.7139068</v>
      </c>
      <c r="S28" s="91" ph="1">
        <f>S27*35.891*LOOKUP(S29,密度!$A$2:$A$50,密度!$B$2:$B$50)</f>
        <v>145387.08334499999</v>
      </c>
      <c r="T28" s="91" ph="1">
        <f>T27*35.891*LOOKUP(T29,密度!$A$2:$A$50,密度!$Q$2:$Q$50)</f>
        <v>17256.808417780001</v>
      </c>
      <c r="U28" s="91" ph="1">
        <f>U27*35.891</f>
        <v>193380.70799999998</v>
      </c>
      <c r="V28" s="91" ph="1">
        <f>V27*47.051*LOOKUP(V29,密度!$A$2:$A$50,密度!$B$2:$B$50)</f>
        <v>37206.839216799999</v>
      </c>
      <c r="W28" s="91" ph="1">
        <f>W27*47.051*LOOKUP(W29,密度!$A$2:$A$50,密度!$B$2:$B$50)</f>
        <v>14689.322200000001</v>
      </c>
      <c r="X28" s="91" ph="1">
        <f>X27*47.051*LOOKUP(X29,密度!$A$2:$A$61,密度!$I$2:$I$61)</f>
        <v>248246.84445260002</v>
      </c>
      <c r="Y28" s="91" ph="1">
        <f>Y27*47.051*LOOKUP(Y29,密度!$A$2:$A$50,密度!$L$2:$L$50)</f>
        <v>316337.42368800007</v>
      </c>
      <c r="Z28" s="178"/>
      <c r="AA28" s="179"/>
      <c r="AB28" s="179"/>
      <c r="AC28" s="179"/>
      <c r="AD28" s="179"/>
      <c r="AE28" s="180"/>
      <c r="AH28" s="64" ph="1">
        <v>14</v>
      </c>
      <c r="AI28" s="64" t="s" ph="1">
        <v>351</v>
      </c>
      <c r="AZ28" s="64" t="s" ph="1">
        <v>216</v>
      </c>
      <c r="BA28" s="64" ph="1">
        <v>0</v>
      </c>
    </row>
    <row r="29" spans="1:57" ph="1">
      <c r="A29" s="72" ph="1"/>
      <c r="B29" s="184" ph="1"/>
      <c r="C29" s="156" t="s" ph="1">
        <v>179</v>
      </c>
      <c r="D29" s="74">
        <v>25</v>
      </c>
      <c r="E29" s="74">
        <v>25</v>
      </c>
      <c r="F29" s="74">
        <v>25</v>
      </c>
      <c r="G29" s="74">
        <v>25</v>
      </c>
      <c r="H29" s="74">
        <v>28</v>
      </c>
      <c r="I29" s="74">
        <v>27</v>
      </c>
      <c r="J29" s="74">
        <v>27</v>
      </c>
      <c r="K29" s="74">
        <v>26</v>
      </c>
      <c r="L29" s="74">
        <v>25</v>
      </c>
      <c r="M29" s="74">
        <v>25</v>
      </c>
      <c r="N29" s="74">
        <v>22</v>
      </c>
      <c r="O29" s="74">
        <v>24</v>
      </c>
      <c r="P29" s="74">
        <v>25</v>
      </c>
      <c r="Q29" s="93">
        <v>27</v>
      </c>
      <c r="R29" s="74">
        <v>28</v>
      </c>
      <c r="S29" s="74">
        <v>24</v>
      </c>
      <c r="T29" s="74">
        <v>28</v>
      </c>
      <c r="U29" s="74">
        <v>28</v>
      </c>
      <c r="V29" s="74">
        <v>23</v>
      </c>
      <c r="W29" s="74">
        <v>24</v>
      </c>
      <c r="X29" s="74">
        <v>25</v>
      </c>
      <c r="Y29" s="74">
        <v>26</v>
      </c>
      <c r="Z29" s="181"/>
      <c r="AA29" s="182"/>
      <c r="AB29" s="182"/>
      <c r="AC29" s="182"/>
      <c r="AD29" s="182"/>
      <c r="AE29" s="183"/>
      <c r="AH29" s="64" ph="1">
        <v>15</v>
      </c>
      <c r="AI29" s="64" t="s" ph="1">
        <v>352</v>
      </c>
      <c r="AZ29" s="64" t="s" ph="1">
        <v>216</v>
      </c>
      <c r="BA29" s="64" ph="1">
        <v>0</v>
      </c>
      <c r="BD29" s="64" t="s" ph="1">
        <v>353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354</v>
      </c>
      <c r="AZ30" s="64" t="s" ph="1">
        <v>216</v>
      </c>
      <c r="BA30" s="64" ph="1">
        <v>0</v>
      </c>
    </row>
    <row r="31" spans="1:57" ht="28.2" ph="1">
      <c r="A31" s="64"/>
      <c r="B31" s="197" t="s" ph="1">
        <v>35</v>
      </c>
      <c r="C31" s="198" ph="1"/>
      <c r="D31" s="201" t="s" ph="1">
        <v>9</v>
      </c>
      <c r="E31" s="190" ph="1"/>
      <c r="F31" s="191" ph="1"/>
      <c r="G31" s="201" t="s" ph="1">
        <v>18</v>
      </c>
      <c r="H31" s="190" ph="1"/>
      <c r="I31" s="191" ph="1"/>
      <c r="J31" s="189" t="s" ph="1">
        <v>1</v>
      </c>
      <c r="K31" s="190" ph="1"/>
      <c r="L31" s="191" ph="1"/>
      <c r="M31" s="189" t="s" ph="1">
        <v>7</v>
      </c>
      <c r="N31" s="190" ph="1"/>
      <c r="O31" s="191" ph="1"/>
      <c r="P31" s="189" t="s" ph="1">
        <v>41</v>
      </c>
      <c r="Q31" s="190"/>
      <c r="R31" s="191"/>
      <c r="S31" s="189" t="s" ph="1">
        <v>2</v>
      </c>
      <c r="T31" s="190"/>
      <c r="U31" s="191"/>
      <c r="V31" s="189" t="s" ph="1">
        <v>71</v>
      </c>
      <c r="W31" s="190" ph="1"/>
      <c r="X31" s="191" ph="1"/>
      <c r="Y31" s="189" t="s" ph="1">
        <v>3</v>
      </c>
      <c r="Z31" s="190" ph="1"/>
      <c r="AA31" s="191" ph="1"/>
      <c r="AB31" s="212" t="s">
        <v>42</v>
      </c>
      <c r="AC31" s="213"/>
      <c r="AD31" s="213"/>
      <c r="AE31" s="214"/>
      <c r="AH31" s="64" ph="1">
        <v>17</v>
      </c>
      <c r="AI31" s="64" t="s" ph="1">
        <v>355</v>
      </c>
      <c r="AZ31" s="64" t="s" ph="1">
        <v>216</v>
      </c>
      <c r="BA31" s="64" ph="1">
        <v>0</v>
      </c>
      <c r="BD31" s="64" t="s" ph="1">
        <v>356</v>
      </c>
      <c r="BE31" s="64" ph="1">
        <v>9310</v>
      </c>
    </row>
    <row r="32" spans="1:57" ph="1">
      <c r="A32" s="64"/>
      <c r="B32" s="199" ph="1"/>
      <c r="C32" s="200" ph="1"/>
      <c r="D32" s="96" t="s" ph="1">
        <v>4</v>
      </c>
      <c r="E32" s="156" t="s" ph="1">
        <v>5</v>
      </c>
      <c r="F32" s="155" t="s" ph="1">
        <v>43</v>
      </c>
      <c r="G32" s="97" t="s" ph="1">
        <v>4</v>
      </c>
      <c r="H32" s="156" t="s" ph="1">
        <v>5</v>
      </c>
      <c r="I32" s="155" t="s" ph="1">
        <v>43</v>
      </c>
      <c r="J32" s="97" t="s" ph="1">
        <v>4</v>
      </c>
      <c r="K32" s="156" t="s" ph="1">
        <v>5</v>
      </c>
      <c r="L32" s="155" t="s" ph="1">
        <v>43</v>
      </c>
      <c r="M32" s="97" t="s" ph="1">
        <v>4</v>
      </c>
      <c r="N32" s="156" t="s" ph="1">
        <v>5</v>
      </c>
      <c r="O32" s="155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56" t="s" ph="1">
        <v>5</v>
      </c>
      <c r="U32" s="99" t="s" ph="1">
        <v>43</v>
      </c>
      <c r="V32" s="97" t="s" ph="1">
        <v>4</v>
      </c>
      <c r="W32" s="156" t="s" ph="1">
        <v>5</v>
      </c>
      <c r="X32" s="99" t="s" ph="1">
        <v>43</v>
      </c>
      <c r="Y32" s="100" t="s" ph="1">
        <v>4</v>
      </c>
      <c r="Z32" s="156" t="s" ph="1">
        <v>5</v>
      </c>
      <c r="AA32" s="155" t="s" ph="1">
        <v>43</v>
      </c>
      <c r="AB32" s="97" t="s" ph="1">
        <v>85</v>
      </c>
      <c r="AC32" s="156" t="s" ph="1">
        <v>84</v>
      </c>
      <c r="AD32" s="215" t="s" ph="1">
        <v>83</v>
      </c>
      <c r="AE32" s="216"/>
      <c r="AH32" s="64" ph="1">
        <v>18</v>
      </c>
      <c r="AI32" s="64" t="s" ph="1">
        <v>357</v>
      </c>
      <c r="AZ32" s="64" t="s" ph="1">
        <v>216</v>
      </c>
      <c r="BA32" s="64" ph="1">
        <v>0</v>
      </c>
    </row>
    <row r="33" spans="1:57" ph="1">
      <c r="A33" s="64"/>
      <c r="B33" s="202" t="s" ph="1">
        <v>181</v>
      </c>
      <c r="C33" s="203" ph="1"/>
      <c r="D33" s="206" ph="1">
        <f>AA10+AB10+Z19</f>
        <v>78040.813081539993</v>
      </c>
      <c r="E33" s="206" ph="1">
        <f>M10+I10</f>
        <v>201803.9017208</v>
      </c>
      <c r="F33" s="208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1522252632456786910111213141516171819202123456789101112131415161718192022232424356789101112131415161718192021222345678910111213141516171819202345678910111213149101516171819222123234567891012131415161711181920212224252345678910111213111[[#This Row],[F25]]</f>
        <v>3880</v>
      </c>
      <c r="G33" s="210" ph="1">
        <f>N19</f>
        <v>10910.999578200001</v>
      </c>
      <c r="H33" s="206" ph="1">
        <f>M19</f>
        <v>28874.723828800001</v>
      </c>
      <c r="I33" s="219" ph="1">
        <v>0</v>
      </c>
      <c r="J33" s="217" ph="1">
        <f>F10+O28</f>
        <v>244597.42608220002</v>
      </c>
      <c r="K33" s="206" ph="1">
        <f>O10+K10+E28+R28</f>
        <v>368544.8496898</v>
      </c>
      <c r="L33" s="221" ph="1">
        <f>K19</f>
        <v>22882.86163956</v>
      </c>
      <c r="M33" s="217" ph="1">
        <f>G10+H10+W28+S28+V28+E10+R19+P28+Q28</f>
        <v>934329.26858800009</v>
      </c>
      <c r="N33" s="206" ph="1">
        <f>L10+P10++G28+H28+AD19+AE19</f>
        <v>168918.78164480001</v>
      </c>
      <c r="O33" s="219" ph="1">
        <f>G19</f>
        <v>27413.912870000004</v>
      </c>
      <c r="P33" s="217" ph="1">
        <f>L19</f>
        <v>30106.212385920004</v>
      </c>
      <c r="Q33" s="206" ph="1">
        <f>J10+N10</f>
        <v>6310.5534071999991</v>
      </c>
      <c r="R33" s="219" ph="1">
        <f>BE23</f>
        <v>890</v>
      </c>
      <c r="S33" s="217" ph="1">
        <f>X28</f>
        <v>248246.84445260002</v>
      </c>
      <c r="T33" s="206" ph="1">
        <f>X19</f>
        <v>18337.40543952</v>
      </c>
      <c r="U33" s="227" ph="1">
        <f>BE21</f>
        <v>730</v>
      </c>
      <c r="V33" s="238" ph="1">
        <f ca="1">P19+Q19+S19+M28+N28+J28+D10+AC10+D19+E19+H19+J19+O19+V19+W19+K28+L28</f>
        <v>599499.90705035406</v>
      </c>
      <c r="W33" s="238" ph="1">
        <f>D28+F28+T28+I28</f>
        <v>26756.789908812003</v>
      </c>
      <c r="X33" s="219" ph="1">
        <f>BE29+BE31</f>
        <v>10200</v>
      </c>
      <c r="Y33" s="240" ph="1">
        <f>+Q10+R10+S10+T10+U10+V10+W10+X10+Y10</f>
        <v>231380.75323440001</v>
      </c>
      <c r="Z33" s="225" ph="1">
        <f>T19+U19+Y28+Z10</f>
        <v>481808.25924918003</v>
      </c>
      <c r="AA33" s="227" ph="1">
        <f>BE19</f>
        <v>1440</v>
      </c>
      <c r="AB33" s="229" ph="1">
        <f>I19</f>
        <v>49760.750591999997</v>
      </c>
      <c r="AC33" s="231" ph="1">
        <f>AD10+AB19</f>
        <v>80276.373647200002</v>
      </c>
      <c r="AD33" s="233" ph="1">
        <v>0</v>
      </c>
      <c r="AE33" s="234"/>
      <c r="AH33" s="64" ph="1">
        <v>19</v>
      </c>
      <c r="AI33" s="64" t="s" ph="1">
        <v>358</v>
      </c>
      <c r="AJ33" s="64" t="s" ph="1">
        <v>592</v>
      </c>
      <c r="AK33" s="64" t="s" ph="1">
        <v>589</v>
      </c>
      <c r="AL33" s="64" ph="1">
        <v>730</v>
      </c>
      <c r="AM33" s="64" t="s" ph="1">
        <v>339</v>
      </c>
      <c r="AZ33" s="64" t="s" ph="1">
        <v>216</v>
      </c>
      <c r="BA33" s="64" ph="1">
        <v>730</v>
      </c>
      <c r="BD33" s="64" t="s" ph="1">
        <v>290</v>
      </c>
      <c r="BE33" s="64" ph="1">
        <v>3880</v>
      </c>
    </row>
    <row r="34" spans="1:57" ph="1">
      <c r="A34" s="64"/>
      <c r="B34" s="204" ph="1"/>
      <c r="C34" s="205" ph="1"/>
      <c r="D34" s="207" ph="1"/>
      <c r="E34" s="207" ph="1"/>
      <c r="F34" s="209" ph="1"/>
      <c r="G34" s="211" ph="1"/>
      <c r="H34" s="207" ph="1"/>
      <c r="I34" s="220" ph="1"/>
      <c r="J34" s="218" ph="1"/>
      <c r="K34" s="207" ph="1"/>
      <c r="L34" s="222" ph="1"/>
      <c r="M34" s="218" ph="1"/>
      <c r="N34" s="207" ph="1"/>
      <c r="O34" s="220" ph="1"/>
      <c r="P34" s="218" ph="1"/>
      <c r="Q34" s="207" ph="1"/>
      <c r="R34" s="220" ph="1"/>
      <c r="S34" s="218" ph="1"/>
      <c r="T34" s="207"/>
      <c r="U34" s="228"/>
      <c r="V34" s="239" ph="1"/>
      <c r="W34" s="239" ph="1"/>
      <c r="X34" s="220" ph="1"/>
      <c r="Y34" s="241" ph="1"/>
      <c r="Z34" s="226" ph="1"/>
      <c r="AA34" s="228" ph="1"/>
      <c r="AB34" s="230"/>
      <c r="AC34" s="232"/>
      <c r="AD34" s="235"/>
      <c r="AE34" s="236"/>
      <c r="AH34" s="64" ph="1">
        <v>20</v>
      </c>
      <c r="AI34" s="64" t="s" ph="1">
        <v>359</v>
      </c>
      <c r="AJ34" s="64" t="s" ph="1">
        <v>593</v>
      </c>
      <c r="AK34" s="64" t="s" ph="1">
        <v>589</v>
      </c>
      <c r="AL34" s="64" ph="1">
        <v>720</v>
      </c>
      <c r="AM34" s="64" t="s" ph="1">
        <v>339</v>
      </c>
      <c r="AZ34" s="64" t="s" ph="1">
        <v>216</v>
      </c>
      <c r="BA34" s="64" ph="1">
        <v>720</v>
      </c>
    </row>
    <row r="35" spans="1:57" ph="1">
      <c r="A35" s="64"/>
      <c r="AC35" s="237" t="s" ph="1">
        <v>631</v>
      </c>
      <c r="AD35" s="237"/>
      <c r="AE35" s="237"/>
      <c r="AH35" s="64" ph="1">
        <v>21</v>
      </c>
      <c r="AI35" s="64" t="s" ph="1">
        <v>360</v>
      </c>
      <c r="AZ35" s="64" t="s" ph="1">
        <v>216</v>
      </c>
      <c r="BA35" s="64" ph="1">
        <v>0</v>
      </c>
      <c r="BD35" s="64" t="s" ph="1">
        <v>361</v>
      </c>
      <c r="BE35" s="64" ph="1">
        <v>2030</v>
      </c>
    </row>
    <row r="36" spans="1:57" ht="28.2" ph="1">
      <c r="A36" s="64"/>
      <c r="B36" s="103" t="s" ph="1">
        <v>182</v>
      </c>
      <c r="I36" s="223" t="s" ph="1">
        <v>183</v>
      </c>
      <c r="J36" s="223" ph="1"/>
      <c r="K36" s="101" ph="1"/>
      <c r="P36" s="101" ph="1"/>
      <c r="R36" s="223" t="s" ph="1">
        <v>184</v>
      </c>
      <c r="S36" s="223" ph="1"/>
      <c r="Y36" s="102" ph="1"/>
      <c r="Z36" s="154" t="s" ph="1">
        <v>185</v>
      </c>
      <c r="AA36" s="154" ph="1"/>
      <c r="AB36" s="224" t="s" ph="1">
        <v>640</v>
      </c>
      <c r="AC36" s="224" ph="1"/>
      <c r="AD36" s="224" ph="1"/>
      <c r="AE36" s="224" ph="1"/>
      <c r="BA36" s="64" ph="1">
        <v>2270</v>
      </c>
    </row>
    <row r="37" spans="1:57" s="154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54" t="s" ph="1">
        <v>342</v>
      </c>
      <c r="AI37" s="154" t="s" ph="1">
        <v>209</v>
      </c>
      <c r="AJ37" s="154" t="s" ph="1">
        <v>210</v>
      </c>
      <c r="AK37" s="154" t="s" ph="1">
        <v>211</v>
      </c>
      <c r="AM37" s="154" t="s" ph="1">
        <v>210</v>
      </c>
      <c r="AN37" s="154" t="s" ph="1">
        <v>211</v>
      </c>
      <c r="AO37" s="154" t="s" ph="1">
        <v>212</v>
      </c>
      <c r="AP37" s="154" t="s" ph="1">
        <v>210</v>
      </c>
      <c r="AQ37" s="154" t="s" ph="1">
        <v>211</v>
      </c>
      <c r="AR37" s="154" t="s" ph="1">
        <v>212</v>
      </c>
      <c r="AS37" s="154" t="s" ph="1">
        <v>210</v>
      </c>
      <c r="AT37" s="154" t="s" ph="1">
        <v>211</v>
      </c>
      <c r="AU37" s="154" t="s" ph="1">
        <v>212</v>
      </c>
      <c r="AV37" s="154" t="s" ph="1">
        <v>210</v>
      </c>
      <c r="AW37" s="154" t="s" ph="1">
        <v>211</v>
      </c>
      <c r="AX37" s="154" t="s" ph="1">
        <v>212</v>
      </c>
      <c r="AY37" s="154" t="s" ph="1">
        <v>211</v>
      </c>
      <c r="AZ37" s="154" t="s" ph="1">
        <v>213</v>
      </c>
      <c r="BD37" s="154" t="s" ph="1">
        <v>305</v>
      </c>
      <c r="BE37" s="154" ph="1">
        <v>0</v>
      </c>
    </row>
    <row r="38" spans="1:57" ph="1">
      <c r="AE38" s="64" ph="1"/>
      <c r="AH38" s="64" ph="1">
        <v>1</v>
      </c>
      <c r="AI38" s="64" t="s" ph="1">
        <v>362</v>
      </c>
      <c r="AY38" s="64" t="s" ph="1">
        <v>216</v>
      </c>
      <c r="AZ38" s="64" t="s" ph="1">
        <v>367</v>
      </c>
    </row>
    <row r="39" spans="1:57" ph="1">
      <c r="AH39" s="64" ph="1">
        <v>2</v>
      </c>
      <c r="AI39" s="64" t="s" ph="1">
        <v>364</v>
      </c>
      <c r="AJ39" s="64" t="s" ph="1">
        <v>336</v>
      </c>
      <c r="AK39" s="64" t="s" ph="1">
        <v>365</v>
      </c>
      <c r="AM39" s="64" t="s" ph="1">
        <v>570</v>
      </c>
      <c r="AN39" s="64" t="s" ph="1">
        <v>228</v>
      </c>
      <c r="AO39" s="64" t="s" ph="1">
        <v>363</v>
      </c>
      <c r="AY39" s="64" t="s" ph="1">
        <v>216</v>
      </c>
      <c r="AZ39" s="64" t="s" ph="1">
        <v>499</v>
      </c>
    </row>
    <row r="40" spans="1:57" ph="1">
      <c r="AH40" s="64" ph="1">
        <v>3</v>
      </c>
      <c r="AI40" s="64" t="s" ph="1">
        <v>366</v>
      </c>
      <c r="AJ40" s="64" t="s" ph="1">
        <v>570</v>
      </c>
      <c r="AK40" s="64" t="s" ph="1">
        <v>571</v>
      </c>
      <c r="AY40" s="64" t="s" ph="1">
        <v>216</v>
      </c>
      <c r="AZ40" s="64" t="s" ph="1">
        <v>571</v>
      </c>
    </row>
    <row r="41" spans="1:57" ph="1">
      <c r="AH41" s="64" ph="1">
        <v>4</v>
      </c>
      <c r="AI41" s="64" t="s" ph="1">
        <v>368</v>
      </c>
      <c r="AJ41" s="64" t="s" ph="1">
        <v>572</v>
      </c>
      <c r="AK41" s="64" t="s" ph="1">
        <v>573</v>
      </c>
      <c r="AM41" s="64" t="s" ph="1">
        <v>574</v>
      </c>
      <c r="AY41" s="64" t="s" ph="1">
        <v>216</v>
      </c>
      <c r="AZ41" s="64" t="s" ph="1">
        <v>573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369</v>
      </c>
      <c r="AY42" s="64" t="s" ph="1">
        <v>216</v>
      </c>
      <c r="AZ42" s="64" t="s" ph="1">
        <v>367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370</v>
      </c>
      <c r="AY43" s="64" t="s" ph="1">
        <v>216</v>
      </c>
      <c r="AZ43" s="64" t="s" ph="1">
        <v>367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371</v>
      </c>
      <c r="AV44" s="64" t="s" ph="1">
        <v>217</v>
      </c>
      <c r="AY44" s="64" t="s" ph="1">
        <v>216</v>
      </c>
      <c r="AZ44" s="64" t="s" ph="1">
        <v>367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372</v>
      </c>
      <c r="AV45" s="64" t="s" ph="1">
        <v>217</v>
      </c>
      <c r="AY45" s="64" t="s" ph="1">
        <v>216</v>
      </c>
      <c r="AZ45" s="64" t="s" ph="1">
        <v>367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373</v>
      </c>
      <c r="AV46" s="64" t="s" ph="1">
        <v>217</v>
      </c>
      <c r="AY46" s="64" t="s" ph="1">
        <v>216</v>
      </c>
      <c r="AZ46" s="64" t="s" ph="1">
        <v>367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374</v>
      </c>
      <c r="AV47" s="64" t="s" ph="1">
        <v>217</v>
      </c>
      <c r="AY47" s="64" t="s" ph="1">
        <v>216</v>
      </c>
      <c r="AZ47" s="64" t="s" ph="1">
        <v>367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575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232</v>
      </c>
      <c r="AI49" s="64" t="s" ph="1">
        <v>209</v>
      </c>
      <c r="AJ49" s="64" t="s" ph="1">
        <v>210</v>
      </c>
      <c r="AK49" s="64" t="s" ph="1">
        <v>211</v>
      </c>
      <c r="AM49" s="64" t="s" ph="1">
        <v>210</v>
      </c>
      <c r="AN49" s="64" t="s" ph="1">
        <v>211</v>
      </c>
      <c r="AO49" s="64" t="s" ph="1">
        <v>212</v>
      </c>
      <c r="AP49" s="64" t="s" ph="1">
        <v>210</v>
      </c>
      <c r="AQ49" s="64" t="s" ph="1">
        <v>211</v>
      </c>
      <c r="AR49" s="64" t="s" ph="1">
        <v>212</v>
      </c>
      <c r="AS49" s="64" t="s" ph="1">
        <v>210</v>
      </c>
      <c r="AT49" s="64" t="s" ph="1">
        <v>211</v>
      </c>
      <c r="AU49" s="64" t="s" ph="1">
        <v>212</v>
      </c>
      <c r="AV49" s="64" t="s" ph="1">
        <v>210</v>
      </c>
      <c r="AW49" s="64" t="s" ph="1">
        <v>211</v>
      </c>
      <c r="AX49" s="64" t="s" ph="1">
        <v>212</v>
      </c>
      <c r="AY49" s="64" t="s" ph="1">
        <v>211</v>
      </c>
      <c r="AZ49" s="64" t="s" ph="1">
        <v>213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375</v>
      </c>
      <c r="AY50" s="64" t="s" ph="1">
        <v>216</v>
      </c>
      <c r="AZ50" s="64" t="s" ph="1">
        <v>367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376</v>
      </c>
      <c r="AY51" s="64" t="s" ph="1">
        <v>216</v>
      </c>
      <c r="AZ51" s="64" t="s" ph="1">
        <v>367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377</v>
      </c>
      <c r="AJ52" s="64" t="s" ph="1">
        <v>334</v>
      </c>
      <c r="AK52" s="64" t="s" ph="1">
        <v>228</v>
      </c>
      <c r="AM52" s="64" t="s" ph="1">
        <v>336</v>
      </c>
      <c r="AN52" s="64" t="s" ph="1">
        <v>300</v>
      </c>
      <c r="AO52" s="64" t="s" ph="1">
        <v>233</v>
      </c>
      <c r="AP52" s="64" t="s" ph="1">
        <v>570</v>
      </c>
      <c r="AQ52" s="64" t="s" ph="1">
        <v>282</v>
      </c>
      <c r="AR52" s="64" t="s" ph="1">
        <v>233</v>
      </c>
      <c r="AY52" s="64" t="s" ph="1">
        <v>216</v>
      </c>
      <c r="AZ52" s="64" t="s" ph="1">
        <v>576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378</v>
      </c>
      <c r="AY53" s="64" t="s" ph="1">
        <v>216</v>
      </c>
      <c r="AZ53" s="64" t="s" ph="1">
        <v>367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379</v>
      </c>
      <c r="AJ54" s="64" t="s" ph="1">
        <v>334</v>
      </c>
      <c r="AK54" s="64" t="s" ph="1">
        <v>219</v>
      </c>
      <c r="AM54" s="64" t="s" ph="1">
        <v>336</v>
      </c>
      <c r="AN54" s="64" t="s" ph="1">
        <v>224</v>
      </c>
      <c r="AO54" s="64" t="s" ph="1">
        <v>233</v>
      </c>
      <c r="AP54" s="64" t="s" ph="1">
        <v>570</v>
      </c>
      <c r="AQ54" s="64" t="s" ph="1">
        <v>240</v>
      </c>
      <c r="AR54" s="64" t="s" ph="1">
        <v>233</v>
      </c>
      <c r="AY54" s="64" t="s" ph="1">
        <v>216</v>
      </c>
      <c r="AZ54" s="64" t="s" ph="1">
        <v>234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380</v>
      </c>
      <c r="AY55" s="64" t="s" ph="1">
        <v>216</v>
      </c>
      <c r="AZ55" s="64" t="s" ph="1">
        <v>367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381</v>
      </c>
      <c r="AY56" s="64" t="s" ph="1">
        <v>216</v>
      </c>
      <c r="AZ56" s="64" t="s" ph="1">
        <v>367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382</v>
      </c>
      <c r="AY57" s="64" t="s" ph="1">
        <v>216</v>
      </c>
      <c r="AZ57" s="64" t="s" ph="1">
        <v>367</v>
      </c>
    </row>
    <row r="58" spans="16:52" ph="1">
      <c r="P58" s="64"/>
      <c r="AN58" s="64" t="s" ph="1">
        <v>217</v>
      </c>
      <c r="AZ58" s="64" t="s" ph="1">
        <v>577</v>
      </c>
    </row>
    <row r="59" spans="16:52" ph="1">
      <c r="V59" s="64"/>
      <c r="AG59" s="64" t="s" ph="1">
        <v>235</v>
      </c>
      <c r="AI59" s="64" t="s" ph="1">
        <v>209</v>
      </c>
      <c r="AJ59" s="64" t="s" ph="1">
        <v>210</v>
      </c>
      <c r="AK59" s="64" t="s" ph="1">
        <v>211</v>
      </c>
      <c r="AM59" s="64" t="s" ph="1">
        <v>210</v>
      </c>
      <c r="AN59" s="64" t="s" ph="1">
        <v>211</v>
      </c>
      <c r="AO59" s="64" t="s" ph="1">
        <v>212</v>
      </c>
      <c r="AP59" s="64" t="s" ph="1">
        <v>210</v>
      </c>
      <c r="AQ59" s="64" t="s" ph="1">
        <v>211</v>
      </c>
      <c r="AR59" s="64" t="s" ph="1">
        <v>212</v>
      </c>
      <c r="AS59" s="64" t="s" ph="1">
        <v>210</v>
      </c>
      <c r="AT59" s="64" t="s" ph="1">
        <v>211</v>
      </c>
      <c r="AU59" s="64" t="s" ph="1">
        <v>212</v>
      </c>
      <c r="AV59" s="64" t="s" ph="1">
        <v>210</v>
      </c>
      <c r="AW59" s="64" t="s" ph="1">
        <v>211</v>
      </c>
      <c r="AX59" s="64" t="s" ph="1">
        <v>212</v>
      </c>
      <c r="AY59" s="64" t="s" ph="1">
        <v>211</v>
      </c>
      <c r="AZ59" s="64" t="s" ph="1">
        <v>213</v>
      </c>
    </row>
    <row r="60" spans="16:52" ph="1">
      <c r="R60" s="64"/>
      <c r="S60" s="64"/>
      <c r="T60" s="64"/>
      <c r="AH60" s="64" ph="1">
        <v>1</v>
      </c>
      <c r="AI60" s="64" t="s" ph="1">
        <v>383</v>
      </c>
      <c r="AY60" s="64" t="s" ph="1">
        <v>216</v>
      </c>
      <c r="AZ60" s="64" t="s" ph="1">
        <v>367</v>
      </c>
    </row>
    <row r="61" spans="16:52" ph="1">
      <c r="AH61" s="64" ph="1">
        <v>2</v>
      </c>
      <c r="AI61" s="64" t="s" ph="1">
        <v>384</v>
      </c>
      <c r="AS61" s="64" t="s" ph="1">
        <v>217</v>
      </c>
      <c r="AY61" s="64" t="s" ph="1">
        <v>216</v>
      </c>
      <c r="AZ61" s="64" t="s" ph="1">
        <v>367</v>
      </c>
    </row>
    <row r="62" spans="16:52" ph="1">
      <c r="AZ62" s="64" t="s" ph="1">
        <v>385</v>
      </c>
    </row>
    <row r="63" spans="16:52" ph="1">
      <c r="AG63" s="64" t="s" ph="1">
        <v>238</v>
      </c>
      <c r="AI63" s="64" t="s" ph="1">
        <v>209</v>
      </c>
      <c r="AJ63" s="64" t="s" ph="1">
        <v>210</v>
      </c>
      <c r="AK63" s="64" t="s" ph="1">
        <v>211</v>
      </c>
      <c r="AM63" s="64" t="s" ph="1">
        <v>210</v>
      </c>
      <c r="AN63" s="64" t="s" ph="1">
        <v>211</v>
      </c>
      <c r="AO63" s="64" t="s" ph="1">
        <v>212</v>
      </c>
      <c r="AP63" s="64" t="s" ph="1">
        <v>210</v>
      </c>
      <c r="AQ63" s="64" t="s" ph="1">
        <v>211</v>
      </c>
      <c r="AR63" s="64" t="s" ph="1">
        <v>212</v>
      </c>
      <c r="AS63" s="64" t="s" ph="1">
        <v>210</v>
      </c>
      <c r="AT63" s="64" t="s" ph="1">
        <v>211</v>
      </c>
      <c r="AU63" s="64" t="s" ph="1">
        <v>212</v>
      </c>
      <c r="AV63" s="64" t="s" ph="1">
        <v>210</v>
      </c>
      <c r="AW63" s="64" t="s" ph="1">
        <v>211</v>
      </c>
      <c r="AX63" s="64" t="s" ph="1">
        <v>212</v>
      </c>
      <c r="AY63" s="64" t="s" ph="1">
        <v>211</v>
      </c>
      <c r="AZ63" s="64" t="s" ph="1">
        <v>213</v>
      </c>
    </row>
    <row r="64" spans="16:52" ph="1">
      <c r="AH64" s="64" ph="1">
        <v>1</v>
      </c>
      <c r="AI64" s="64" t="s" ph="1">
        <v>386</v>
      </c>
      <c r="AJ64" s="64" t="s" ph="1">
        <v>387</v>
      </c>
      <c r="AK64" s="64" t="s" ph="1">
        <v>388</v>
      </c>
      <c r="AY64" s="64" t="s" ph="1">
        <v>216</v>
      </c>
      <c r="AZ64" s="64" t="s" ph="1">
        <v>388</v>
      </c>
    </row>
    <row r="65" spans="33:52" ph="1">
      <c r="AH65" s="64" ph="1">
        <v>2</v>
      </c>
      <c r="AI65" s="64" t="s" ph="1">
        <v>389</v>
      </c>
      <c r="AY65" s="64" t="s" ph="1">
        <v>216</v>
      </c>
      <c r="AZ65" s="64" t="s" ph="1">
        <v>367</v>
      </c>
    </row>
    <row r="66" spans="33:52" ph="1">
      <c r="AH66" s="64" ph="1">
        <v>3</v>
      </c>
      <c r="AI66" s="64" t="s" ph="1">
        <v>390</v>
      </c>
      <c r="AY66" s="64" t="s" ph="1">
        <v>216</v>
      </c>
      <c r="AZ66" s="64" t="s" ph="1">
        <v>367</v>
      </c>
    </row>
    <row r="67" spans="33:52" ph="1">
      <c r="AH67" s="64" ph="1">
        <v>4</v>
      </c>
      <c r="AI67" s="64" t="s" ph="1">
        <v>391</v>
      </c>
      <c r="AY67" s="64" t="s" ph="1">
        <v>216</v>
      </c>
      <c r="AZ67" s="64" t="s" ph="1">
        <v>367</v>
      </c>
    </row>
    <row r="68" spans="33:52" ph="1">
      <c r="AH68" s="64" ph="1">
        <v>5</v>
      </c>
      <c r="AI68" s="64" t="s" ph="1">
        <v>392</v>
      </c>
      <c r="AY68" s="64" t="s" ph="1">
        <v>216</v>
      </c>
      <c r="AZ68" s="64" t="s" ph="1">
        <v>367</v>
      </c>
    </row>
    <row r="69" spans="33:52" ph="1">
      <c r="AH69" s="64" ph="1">
        <v>6</v>
      </c>
      <c r="AI69" s="64" t="s" ph="1">
        <v>393</v>
      </c>
      <c r="AY69" s="64" t="s" ph="1">
        <v>216</v>
      </c>
      <c r="AZ69" s="64" t="s" ph="1">
        <v>367</v>
      </c>
    </row>
    <row r="70" spans="33:52" ph="1">
      <c r="AI70" s="64" t="s" ph="1">
        <v>394</v>
      </c>
      <c r="AY70" s="64" t="s" ph="1">
        <v>216</v>
      </c>
      <c r="AZ70" s="64" t="s" ph="1">
        <v>367</v>
      </c>
    </row>
    <row r="71" spans="33:52" ph="1">
      <c r="AH71" s="64" ph="1">
        <v>7</v>
      </c>
      <c r="AI71" s="64" t="s" ph="1">
        <v>395</v>
      </c>
      <c r="AJ71" s="64" t="s" ph="1">
        <v>334</v>
      </c>
      <c r="AK71" s="64" t="s" ph="1">
        <v>228</v>
      </c>
      <c r="AM71" s="64" t="s" ph="1">
        <v>336</v>
      </c>
      <c r="AN71" s="64" t="s" ph="1">
        <v>228</v>
      </c>
      <c r="AO71" s="64" t="s" ph="1">
        <v>396</v>
      </c>
      <c r="AP71" s="64" t="s" ph="1">
        <v>570</v>
      </c>
      <c r="AQ71" s="64" t="s" ph="1">
        <v>219</v>
      </c>
      <c r="AR71" s="64" t="s" ph="1">
        <v>396</v>
      </c>
      <c r="AY71" s="64" t="s" ph="1">
        <v>216</v>
      </c>
      <c r="AZ71" s="64" t="s" ph="1">
        <v>578</v>
      </c>
    </row>
    <row r="72" spans="33:52" ph="1">
      <c r="AZ72" s="64" t="s" ph="1">
        <v>579</v>
      </c>
    </row>
    <row r="73" spans="33:52" ph="1">
      <c r="AG73" s="64" t="s" ph="1">
        <v>241</v>
      </c>
      <c r="AI73" s="64" t="s" ph="1">
        <v>209</v>
      </c>
      <c r="AJ73" s="64" t="s" ph="1">
        <v>210</v>
      </c>
      <c r="AK73" s="64" t="s" ph="1">
        <v>211</v>
      </c>
      <c r="AM73" s="64" t="s" ph="1">
        <v>210</v>
      </c>
      <c r="AN73" s="64" t="s" ph="1">
        <v>211</v>
      </c>
      <c r="AO73" s="64" t="s" ph="1">
        <v>212</v>
      </c>
      <c r="AP73" s="64" t="s" ph="1">
        <v>210</v>
      </c>
      <c r="AQ73" s="64" t="s" ph="1">
        <v>211</v>
      </c>
      <c r="AR73" s="64" t="s" ph="1">
        <v>212</v>
      </c>
      <c r="AS73" s="64" t="s" ph="1">
        <v>210</v>
      </c>
      <c r="AT73" s="64" t="s" ph="1">
        <v>211</v>
      </c>
      <c r="AU73" s="64" t="s" ph="1">
        <v>212</v>
      </c>
      <c r="AV73" s="64" t="s" ph="1">
        <v>210</v>
      </c>
      <c r="AW73" s="64" t="s" ph="1">
        <v>211</v>
      </c>
      <c r="AX73" s="64" t="s" ph="1">
        <v>212</v>
      </c>
      <c r="AY73" s="64" t="s" ph="1">
        <v>211</v>
      </c>
      <c r="AZ73" s="64" t="s" ph="1">
        <v>213</v>
      </c>
    </row>
    <row r="74" spans="33:52" ph="1">
      <c r="AH74" s="64" ph="1">
        <v>1</v>
      </c>
      <c r="AI74" s="64" t="s" ph="1">
        <v>397</v>
      </c>
      <c r="AJ74" s="64" t="s" ph="1">
        <v>242</v>
      </c>
      <c r="AK74" s="64" t="s" ph="1">
        <v>224</v>
      </c>
      <c r="AM74" s="64" t="s" ph="1">
        <v>244</v>
      </c>
      <c r="AN74" s="64" t="s" ph="1">
        <v>254</v>
      </c>
      <c r="AO74" s="64" t="s" ph="1">
        <v>243</v>
      </c>
      <c r="AP74" s="64" t="s" ph="1">
        <v>245</v>
      </c>
      <c r="AQ74" s="64" t="s" ph="1">
        <v>222</v>
      </c>
      <c r="AR74" s="64" t="s" ph="1">
        <v>243</v>
      </c>
      <c r="AS74" s="64" t="s" ph="1">
        <v>215</v>
      </c>
      <c r="AT74" s="64" t="s" ph="1">
        <v>217</v>
      </c>
      <c r="AV74" s="64" t="s" ph="1">
        <v>398</v>
      </c>
      <c r="AW74" s="64" t="s" ph="1">
        <v>399</v>
      </c>
      <c r="AX74" s="64" t="s" ph="1">
        <v>400</v>
      </c>
      <c r="AY74" s="64" t="s" ph="1">
        <v>216</v>
      </c>
      <c r="AZ74" s="64" t="s" ph="1">
        <v>401</v>
      </c>
    </row>
    <row r="75" spans="33:52" ph="1">
      <c r="AJ75" s="64" t="s" ph="1">
        <v>247</v>
      </c>
      <c r="AK75" s="64" t="s" ph="1">
        <v>300</v>
      </c>
      <c r="AM75" s="64" t="s" ph="1">
        <v>245</v>
      </c>
      <c r="AN75" s="64" t="s" ph="1">
        <v>225</v>
      </c>
      <c r="AO75" s="64" t="s" ph="1">
        <v>243</v>
      </c>
      <c r="AS75" s="64" t="s" ph="1">
        <v>215</v>
      </c>
      <c r="AT75" s="64" t="s" ph="1">
        <v>246</v>
      </c>
    </row>
    <row r="76" spans="33:52" ph="1">
      <c r="AJ76" s="64" t="s" ph="1">
        <v>247</v>
      </c>
      <c r="AK76" s="64" t="s" ph="1">
        <v>240</v>
      </c>
      <c r="AM76" s="64" t="s" ph="1">
        <v>245</v>
      </c>
      <c r="AN76" s="64" t="s" ph="1">
        <v>228</v>
      </c>
      <c r="AO76" s="64" t="s" ph="1">
        <v>243</v>
      </c>
      <c r="AS76" s="64" t="s" ph="1">
        <v>215</v>
      </c>
      <c r="AT76" s="64" t="s" ph="1">
        <v>246</v>
      </c>
    </row>
    <row r="77" spans="33:52" ph="1">
      <c r="AJ77" s="64" t="s" ph="1">
        <v>283</v>
      </c>
      <c r="AK77" s="64" t="s" ph="1">
        <v>240</v>
      </c>
      <c r="AM77" s="64" t="s" ph="1">
        <v>284</v>
      </c>
      <c r="AN77" s="64" t="s" ph="1">
        <v>223</v>
      </c>
      <c r="AO77" s="64" t="s" ph="1">
        <v>243</v>
      </c>
      <c r="AS77" s="64" t="s" ph="1">
        <v>215</v>
      </c>
      <c r="AT77" s="64" t="s" ph="1">
        <v>285</v>
      </c>
    </row>
    <row r="78" spans="33:52" ph="1">
      <c r="AH78" s="64" ph="1">
        <v>2</v>
      </c>
      <c r="AI78" s="64" t="s" ph="1">
        <v>249</v>
      </c>
      <c r="AJ78" s="64" t="s" ph="1">
        <v>250</v>
      </c>
      <c r="AK78" s="64" t="s" ph="1">
        <v>219</v>
      </c>
      <c r="AM78" s="64" t="s" ph="1">
        <v>251</v>
      </c>
      <c r="AN78" s="64" t="s" ph="1">
        <v>254</v>
      </c>
      <c r="AO78" s="64" t="s" ph="1">
        <v>243</v>
      </c>
      <c r="AP78" s="64" t="s" ph="1">
        <v>252</v>
      </c>
      <c r="AQ78" s="64" t="s" ph="1">
        <v>298</v>
      </c>
      <c r="AR78" s="64" t="s" ph="1">
        <v>243</v>
      </c>
      <c r="AS78" s="64" t="s" ph="1">
        <v>253</v>
      </c>
      <c r="AT78" s="64" t="s" ph="1">
        <v>254</v>
      </c>
      <c r="AU78" s="64" t="s" ph="1">
        <v>243</v>
      </c>
      <c r="AV78" s="64" t="s" ph="1">
        <v>255</v>
      </c>
      <c r="AW78" s="64" t="s" ph="1">
        <v>243</v>
      </c>
      <c r="AY78" s="64" t="s" ph="1">
        <v>216</v>
      </c>
      <c r="AZ78" s="64" t="s" ph="1">
        <v>402</v>
      </c>
    </row>
    <row r="79" spans="33:52" ph="1">
      <c r="AJ79" s="64" t="s" ph="1">
        <v>245</v>
      </c>
      <c r="AK79" s="64" t="s" ph="1">
        <v>256</v>
      </c>
      <c r="AM79" s="64" t="s" ph="1">
        <v>257</v>
      </c>
      <c r="AN79" s="64" t="s" ph="1">
        <v>225</v>
      </c>
      <c r="AO79" s="64" t="s" ph="1">
        <v>243</v>
      </c>
      <c r="AP79" s="64" t="s" ph="1">
        <v>258</v>
      </c>
      <c r="AQ79" s="64" t="s" ph="1">
        <v>223</v>
      </c>
      <c r="AR79" s="64" t="s" ph="1">
        <v>259</v>
      </c>
      <c r="AS79" s="64" t="s" ph="1">
        <v>215</v>
      </c>
      <c r="AT79" s="64" t="s" ph="1">
        <v>260</v>
      </c>
      <c r="AV79" s="64" t="s" ph="1">
        <v>403</v>
      </c>
      <c r="AW79" s="64" t="s" ph="1">
        <v>302</v>
      </c>
      <c r="AX79" s="64" t="s" ph="1">
        <v>400</v>
      </c>
    </row>
    <row r="80" spans="33:52" ph="1">
      <c r="AH80" s="64" ph="1">
        <v>3</v>
      </c>
      <c r="AI80" s="64" t="s" ph="1">
        <v>261</v>
      </c>
      <c r="AJ80" s="64" t="s" ph="1">
        <v>262</v>
      </c>
      <c r="AK80" s="64" t="s" ph="1">
        <v>263</v>
      </c>
      <c r="AM80" s="64" t="s" ph="1">
        <v>264</v>
      </c>
      <c r="AN80" s="64" t="s" ph="1">
        <v>254</v>
      </c>
      <c r="AO80" s="64" t="s" ph="1">
        <v>243</v>
      </c>
      <c r="AP80" s="64" t="s" ph="1">
        <v>265</v>
      </c>
      <c r="AQ80" s="64" t="s" ph="1">
        <v>228</v>
      </c>
      <c r="AR80" s="64" t="s" ph="1">
        <v>243</v>
      </c>
      <c r="AS80" s="64" t="s" ph="1">
        <v>266</v>
      </c>
      <c r="AT80" s="64" t="s" ph="1">
        <v>227</v>
      </c>
      <c r="AU80" s="64" t="s" ph="1">
        <v>243</v>
      </c>
      <c r="AV80" s="64" t="s" ph="1">
        <v>267</v>
      </c>
      <c r="AW80" s="64" t="s" ph="1">
        <v>243</v>
      </c>
      <c r="AY80" s="64" t="s" ph="1">
        <v>216</v>
      </c>
      <c r="AZ80" s="64" t="s" ph="1">
        <v>404</v>
      </c>
    </row>
    <row r="81" spans="34:52" ph="1">
      <c r="AJ81" s="64" t="s" ph="1">
        <v>268</v>
      </c>
      <c r="AK81" s="64" t="s" ph="1">
        <v>222</v>
      </c>
      <c r="AM81" s="64" t="s" ph="1">
        <v>269</v>
      </c>
      <c r="AN81" s="64" t="s" ph="1">
        <v>225</v>
      </c>
      <c r="AO81" s="64" t="s" ph="1">
        <v>243</v>
      </c>
      <c r="AP81" s="64" t="s" ph="1">
        <v>270</v>
      </c>
      <c r="AQ81" s="64" t="s" ph="1">
        <v>254</v>
      </c>
      <c r="AR81" s="64" t="s" ph="1">
        <v>243</v>
      </c>
      <c r="AS81" s="64" t="s" ph="1">
        <v>271</v>
      </c>
      <c r="AT81" s="64" t="s" ph="1">
        <v>272</v>
      </c>
      <c r="AU81" s="64" t="s" ph="1">
        <v>243</v>
      </c>
      <c r="AV81" s="64" t="s" ph="1">
        <v>273</v>
      </c>
    </row>
    <row r="82" spans="34:52" ph="1">
      <c r="AJ82" s="64" t="s" ph="1">
        <v>274</v>
      </c>
      <c r="AK82" s="64" t="s" ph="1">
        <v>222</v>
      </c>
      <c r="AM82" s="64" t="s" ph="1">
        <v>275</v>
      </c>
      <c r="AN82" s="64" t="s" ph="1">
        <v>272</v>
      </c>
      <c r="AO82" s="64" t="s" ph="1">
        <v>276</v>
      </c>
      <c r="AP82" s="64" t="s" ph="1">
        <v>277</v>
      </c>
      <c r="AQ82" s="64" t="s" ph="1">
        <v>254</v>
      </c>
      <c r="AR82" s="64" t="s" ph="1">
        <v>243</v>
      </c>
      <c r="AS82" s="64" t="s" ph="1">
        <v>278</v>
      </c>
      <c r="AT82" s="64" t="s" ph="1">
        <v>229</v>
      </c>
      <c r="AU82" s="64" t="s" ph="1">
        <v>243</v>
      </c>
      <c r="AV82" s="64" t="s" ph="1">
        <v>403</v>
      </c>
      <c r="AW82" s="64" t="s" ph="1">
        <v>303</v>
      </c>
      <c r="AX82" s="64" t="s" ph="1">
        <v>400</v>
      </c>
    </row>
    <row r="83" spans="34:52" ph="1">
      <c r="AJ83" s="64" t="s" ph="1">
        <v>279</v>
      </c>
      <c r="AK83" s="64" t="s" ph="1">
        <v>296</v>
      </c>
      <c r="AM83" s="64" t="s" ph="1">
        <v>280</v>
      </c>
      <c r="AN83" s="64" t="s" ph="1">
        <v>228</v>
      </c>
      <c r="AO83" s="64" t="s" ph="1">
        <v>259</v>
      </c>
      <c r="AP83" s="64" t="s" ph="1">
        <v>281</v>
      </c>
      <c r="AQ83" s="64" t="s" ph="1">
        <v>282</v>
      </c>
      <c r="AR83" s="64" t="s" ph="1">
        <v>259</v>
      </c>
      <c r="AS83" s="64" t="s" ph="1">
        <v>405</v>
      </c>
      <c r="AT83" s="64" t="s" ph="1">
        <v>254</v>
      </c>
      <c r="AU83" s="64" t="s" ph="1">
        <v>259</v>
      </c>
      <c r="AV83" s="64" t="s" ph="1">
        <v>406</v>
      </c>
      <c r="AW83" s="64" t="s" ph="1">
        <v>303</v>
      </c>
      <c r="AX83" s="64" t="s" ph="1">
        <v>407</v>
      </c>
    </row>
    <row r="84" spans="34:52" ph="1">
      <c r="AH84" s="64" ph="1">
        <v>4</v>
      </c>
      <c r="AI84" s="64" t="s" ph="1">
        <v>286</v>
      </c>
      <c r="AJ84" s="64" t="s" ph="1">
        <v>226</v>
      </c>
      <c r="AK84" s="64" t="s" ph="1">
        <v>229</v>
      </c>
      <c r="AM84" s="64" t="s" ph="1">
        <v>230</v>
      </c>
      <c r="AN84" s="64" t="s" ph="1">
        <v>223</v>
      </c>
      <c r="AO84" s="64" t="s" ph="1">
        <v>259</v>
      </c>
      <c r="AP84" s="64" t="s" ph="1">
        <v>288</v>
      </c>
      <c r="AQ84" s="64" t="s" ph="1">
        <v>222</v>
      </c>
      <c r="AR84" s="64" t="s" ph="1">
        <v>259</v>
      </c>
      <c r="AS84" s="64" t="s" ph="1">
        <v>288</v>
      </c>
      <c r="AT84" s="64" t="s" ph="1">
        <v>224</v>
      </c>
      <c r="AU84" s="64" t="s" ph="1">
        <v>259</v>
      </c>
      <c r="AY84" s="64" t="s" ph="1">
        <v>216</v>
      </c>
      <c r="AZ84" s="64" t="s" ph="1">
        <v>408</v>
      </c>
    </row>
    <row r="85" spans="34:52" ph="1">
      <c r="AJ85" s="64" t="s" ph="1">
        <v>218</v>
      </c>
      <c r="AK85" s="64" t="s" ph="1">
        <v>222</v>
      </c>
      <c r="AM85" s="64" t="s" ph="1">
        <v>409</v>
      </c>
      <c r="AN85" s="64" t="s" ph="1">
        <v>229</v>
      </c>
      <c r="AO85" s="64" t="s" ph="1">
        <v>259</v>
      </c>
      <c r="AP85" s="64" t="s" ph="1">
        <v>410</v>
      </c>
      <c r="AQ85" s="64" t="s" ph="1">
        <v>225</v>
      </c>
      <c r="AR85" s="64" t="s" ph="1">
        <v>259</v>
      </c>
      <c r="AS85" s="64" t="s" ph="1">
        <v>411</v>
      </c>
      <c r="AT85" s="64" t="s" ph="1">
        <v>225</v>
      </c>
      <c r="AU85" s="64" t="s" ph="1">
        <v>259</v>
      </c>
    </row>
    <row r="86" spans="34:52" ph="1">
      <c r="AJ86" s="64" t="s" ph="1">
        <v>412</v>
      </c>
      <c r="AK86" s="64" t="s" ph="1">
        <v>231</v>
      </c>
      <c r="AM86" s="64" t="s" ph="1">
        <v>413</v>
      </c>
      <c r="AN86" s="64" t="s" ph="1">
        <v>272</v>
      </c>
      <c r="AO86" s="64" t="s" ph="1">
        <v>259</v>
      </c>
      <c r="AP86" s="64" t="s" ph="1">
        <v>414</v>
      </c>
      <c r="AQ86" s="64" t="s" ph="1">
        <v>219</v>
      </c>
      <c r="AR86" s="64" t="s" ph="1">
        <v>259</v>
      </c>
      <c r="AS86" s="64" t="s" ph="1">
        <v>415</v>
      </c>
      <c r="AT86" s="64" t="s" ph="1">
        <v>237</v>
      </c>
      <c r="AU86" s="64" t="s" ph="1">
        <v>259</v>
      </c>
    </row>
    <row r="87" spans="34:52" ph="1">
      <c r="AJ87" s="64" t="s" ph="1">
        <v>416</v>
      </c>
      <c r="AK87" s="64" t="s" ph="1">
        <v>272</v>
      </c>
      <c r="AM87" s="64" t="s" ph="1">
        <v>403</v>
      </c>
      <c r="AN87" s="64" t="s" ph="1">
        <v>417</v>
      </c>
      <c r="AO87" s="64" t="s" ph="1">
        <v>400</v>
      </c>
    </row>
    <row r="88" spans="34:52" ph="1">
      <c r="AH88" s="64" ph="1">
        <v>5</v>
      </c>
      <c r="AI88" s="64" t="s" ph="1">
        <v>289</v>
      </c>
      <c r="AJ88" s="64" t="s" ph="1">
        <v>418</v>
      </c>
      <c r="AK88" s="64" t="s" ph="1">
        <v>272</v>
      </c>
      <c r="AM88" s="64" t="s" ph="1">
        <v>419</v>
      </c>
      <c r="AN88" s="64" t="s" ph="1">
        <v>272</v>
      </c>
      <c r="AO88" s="64" t="s" ph="1">
        <v>259</v>
      </c>
      <c r="AP88" s="64" t="s" ph="1">
        <v>420</v>
      </c>
      <c r="AQ88" s="64" t="s" ph="1">
        <v>222</v>
      </c>
      <c r="AR88" s="64" t="s" ph="1">
        <v>259</v>
      </c>
      <c r="AS88" s="64" t="s" ph="1">
        <v>421</v>
      </c>
      <c r="AT88" s="64" t="s" ph="1">
        <v>272</v>
      </c>
      <c r="AU88" s="64" t="s" ph="1">
        <v>259</v>
      </c>
      <c r="AV88" s="64" t="s" ph="1">
        <v>422</v>
      </c>
      <c r="AW88" s="64" t="s" ph="1">
        <v>227</v>
      </c>
      <c r="AX88" s="64" t="s" ph="1">
        <v>259</v>
      </c>
      <c r="AY88" s="64" t="s" ph="1">
        <v>216</v>
      </c>
      <c r="AZ88" s="64" t="s" ph="1">
        <v>423</v>
      </c>
    </row>
    <row r="89" spans="34:52" ph="1">
      <c r="AJ89" s="64" t="s" ph="1">
        <v>424</v>
      </c>
      <c r="AK89" s="64" t="s" ph="1">
        <v>225</v>
      </c>
      <c r="AM89" s="64" t="s" ph="1">
        <v>425</v>
      </c>
      <c r="AN89" s="64" t="s" ph="1">
        <v>228</v>
      </c>
      <c r="AO89" s="64" t="s" ph="1">
        <v>259</v>
      </c>
      <c r="AP89" s="64" t="s" ph="1">
        <v>426</v>
      </c>
      <c r="AQ89" s="64" t="s" ph="1">
        <v>237</v>
      </c>
      <c r="AR89" s="64" t="s" ph="1">
        <v>259</v>
      </c>
      <c r="AS89" s="64" t="s" ph="1">
        <v>427</v>
      </c>
      <c r="AT89" s="64" t="s" ph="1">
        <v>272</v>
      </c>
      <c r="AU89" s="64" t="s" ph="1">
        <v>259</v>
      </c>
      <c r="AV89" s="64" t="s" ph="1">
        <v>428</v>
      </c>
      <c r="AW89" s="64" t="s" ph="1">
        <v>254</v>
      </c>
      <c r="AX89" s="64" t="s" ph="1">
        <v>287</v>
      </c>
    </row>
    <row r="90" spans="34:52" ph="1">
      <c r="AJ90" s="64" t="s" ph="1">
        <v>429</v>
      </c>
      <c r="AK90" s="64" t="s" ph="1">
        <v>228</v>
      </c>
      <c r="AM90" s="64" t="s" ph="1">
        <v>430</v>
      </c>
      <c r="AN90" s="64" t="s" ph="1">
        <v>225</v>
      </c>
      <c r="AO90" s="64" t="s" ph="1">
        <v>259</v>
      </c>
      <c r="AP90" s="64" t="s" ph="1">
        <v>431</v>
      </c>
      <c r="AQ90" s="64" t="s" ph="1">
        <v>294</v>
      </c>
      <c r="AR90" s="64" t="s" ph="1">
        <v>259</v>
      </c>
      <c r="AS90" s="64" t="s" ph="1">
        <v>432</v>
      </c>
      <c r="AT90" s="64" t="s" ph="1">
        <v>282</v>
      </c>
      <c r="AU90" s="64" t="s" ph="1">
        <v>259</v>
      </c>
      <c r="AV90" s="64" t="s" ph="1">
        <v>433</v>
      </c>
      <c r="AW90" s="64" t="s" ph="1">
        <v>219</v>
      </c>
      <c r="AX90" s="64" t="s" ph="1">
        <v>259</v>
      </c>
    </row>
    <row r="91" spans="34:52" ph="1">
      <c r="AJ91" s="64" t="s" ph="1">
        <v>434</v>
      </c>
      <c r="AK91" s="64" t="s" ph="1">
        <v>272</v>
      </c>
      <c r="AM91" s="64" t="s" ph="1">
        <v>435</v>
      </c>
      <c r="AN91" s="64" t="s" ph="1">
        <v>239</v>
      </c>
      <c r="AO91" s="64" t="s" ph="1">
        <v>259</v>
      </c>
      <c r="AP91" s="64" t="s" ph="1">
        <v>436</v>
      </c>
      <c r="AQ91" s="64" t="s" ph="1">
        <v>219</v>
      </c>
      <c r="AS91" s="64" t="s" ph="1">
        <v>403</v>
      </c>
      <c r="AT91" s="64" t="s" ph="1">
        <v>399</v>
      </c>
      <c r="AU91" s="64" t="s" ph="1">
        <v>400</v>
      </c>
    </row>
    <row r="92" spans="34:52" ph="1">
      <c r="AH92" s="64" ph="1">
        <v>6</v>
      </c>
      <c r="AI92" s="64" t="s" ph="1">
        <v>437</v>
      </c>
      <c r="AJ92" s="64" t="s" ph="1">
        <v>438</v>
      </c>
      <c r="AK92" s="64" t="s" ph="1">
        <v>367</v>
      </c>
      <c r="AM92" s="64" t="s" ph="1">
        <v>439</v>
      </c>
      <c r="AN92" s="64" t="s" ph="1">
        <v>227</v>
      </c>
      <c r="AO92" s="64" t="s" ph="1">
        <v>259</v>
      </c>
      <c r="AP92" s="64" t="s" ph="1">
        <v>440</v>
      </c>
      <c r="AQ92" s="64" t="s" ph="1">
        <v>299</v>
      </c>
      <c r="AR92" s="64" t="s" ph="1">
        <v>259</v>
      </c>
      <c r="AS92" s="64" t="s" ph="1">
        <v>441</v>
      </c>
      <c r="AT92" s="64" t="s" ph="1">
        <v>272</v>
      </c>
      <c r="AU92" s="64" t="s" ph="1">
        <v>259</v>
      </c>
      <c r="AV92" s="64" t="s" ph="1">
        <v>442</v>
      </c>
      <c r="AW92" s="64" t="s" ph="1">
        <v>228</v>
      </c>
      <c r="AX92" s="64" t="s" ph="1">
        <v>259</v>
      </c>
      <c r="AY92" s="64" t="s" ph="1">
        <v>216</v>
      </c>
      <c r="AZ92" s="64" t="s" ph="1">
        <v>423</v>
      </c>
    </row>
    <row r="93" spans="34:52" ph="1">
      <c r="AJ93" s="64" t="s" ph="1">
        <v>443</v>
      </c>
      <c r="AK93" s="64" t="s" ph="1">
        <v>222</v>
      </c>
      <c r="AM93" s="64" t="s" ph="1">
        <v>444</v>
      </c>
      <c r="AN93" s="64" t="s" ph="1">
        <v>227</v>
      </c>
      <c r="AO93" s="64" t="s" ph="1">
        <v>259</v>
      </c>
      <c r="AP93" s="64" t="s" ph="1">
        <v>445</v>
      </c>
      <c r="AQ93" s="64" t="s" ph="1">
        <v>231</v>
      </c>
      <c r="AR93" s="64" t="s" ph="1">
        <v>259</v>
      </c>
      <c r="AS93" s="64" t="s" ph="1">
        <v>446</v>
      </c>
      <c r="AT93" s="64" t="s" ph="1">
        <v>237</v>
      </c>
      <c r="AU93" s="64" t="s" ph="1">
        <v>259</v>
      </c>
      <c r="AV93" s="64" t="s" ph="1">
        <v>447</v>
      </c>
      <c r="AW93" s="64" t="s" ph="1">
        <v>231</v>
      </c>
      <c r="AX93" s="64" t="s" ph="1">
        <v>259</v>
      </c>
    </row>
    <row r="94" spans="34:52" ph="1">
      <c r="AJ94" s="64" t="s" ph="1">
        <v>448</v>
      </c>
      <c r="AK94" s="64" t="s" ph="1">
        <v>294</v>
      </c>
      <c r="AM94" s="64" t="s" ph="1">
        <v>449</v>
      </c>
      <c r="AN94" s="64" t="s" ph="1">
        <v>231</v>
      </c>
      <c r="AO94" s="64" t="s" ph="1">
        <v>259</v>
      </c>
      <c r="AP94" s="64" t="s" ph="1">
        <v>450</v>
      </c>
      <c r="AQ94" s="64" t="s" ph="1">
        <v>239</v>
      </c>
      <c r="AR94" s="64" t="s" ph="1">
        <v>259</v>
      </c>
      <c r="AS94" s="64" t="s" ph="1">
        <v>451</v>
      </c>
      <c r="AT94" s="64" t="s" ph="1">
        <v>225</v>
      </c>
      <c r="AU94" s="64" t="s" ph="1">
        <v>259</v>
      </c>
      <c r="AV94" s="64" t="s" ph="1">
        <v>452</v>
      </c>
      <c r="AW94" s="64" t="s" ph="1">
        <v>225</v>
      </c>
      <c r="AX94" s="64" t="s" ph="1">
        <v>259</v>
      </c>
    </row>
    <row r="95" spans="34:52" ph="1">
      <c r="AJ95" s="64" t="s" ph="1">
        <v>453</v>
      </c>
      <c r="AK95" s="64" t="s" ph="1">
        <v>299</v>
      </c>
    </row>
    <row r="96" spans="34:52" ph="1">
      <c r="AH96" s="64" ph="1">
        <v>7</v>
      </c>
      <c r="AI96" s="64" t="s" ph="1">
        <v>454</v>
      </c>
      <c r="AJ96" s="64" t="s" ph="1">
        <v>453</v>
      </c>
      <c r="AK96" s="64" t="s" ph="1">
        <v>254</v>
      </c>
      <c r="AM96" s="64" t="s" ph="1">
        <v>455</v>
      </c>
      <c r="AN96" s="64" t="s" ph="1">
        <v>228</v>
      </c>
      <c r="AO96" s="64" t="s" ph="1">
        <v>259</v>
      </c>
      <c r="AP96" s="64" t="s" ph="1">
        <v>456</v>
      </c>
      <c r="AQ96" s="64" t="s" ph="1">
        <v>272</v>
      </c>
      <c r="AR96" s="64" t="s" ph="1">
        <v>287</v>
      </c>
      <c r="AS96" s="64" t="s" ph="1">
        <v>457</v>
      </c>
      <c r="AT96" s="64" t="s" ph="1">
        <v>231</v>
      </c>
      <c r="AU96" s="64" t="s" ph="1">
        <v>287</v>
      </c>
      <c r="AV96" s="64" t="s" ph="1">
        <v>458</v>
      </c>
      <c r="AW96" s="64" t="s" ph="1">
        <v>227</v>
      </c>
      <c r="AX96" s="64" t="s" ph="1">
        <v>287</v>
      </c>
      <c r="AY96" s="64" t="s" ph="1">
        <v>216</v>
      </c>
      <c r="AZ96" s="64" t="s" ph="1">
        <v>459</v>
      </c>
    </row>
    <row r="97" spans="33:52" ph="1">
      <c r="AJ97" s="64" t="s" ph="1">
        <v>460</v>
      </c>
      <c r="AK97" s="64" t="s" ph="1">
        <v>282</v>
      </c>
      <c r="AM97" s="64" t="s" ph="1">
        <v>461</v>
      </c>
      <c r="AN97" s="64" t="s" ph="1">
        <v>225</v>
      </c>
      <c r="AO97" s="64" t="s" ph="1">
        <v>259</v>
      </c>
      <c r="AP97" s="64" t="s" ph="1">
        <v>462</v>
      </c>
      <c r="AQ97" s="64" t="s" ph="1">
        <v>219</v>
      </c>
      <c r="AR97" s="64" t="s" ph="1">
        <v>287</v>
      </c>
      <c r="AS97" s="64" t="s" ph="1">
        <v>463</v>
      </c>
      <c r="AT97" s="64" t="s" ph="1">
        <v>222</v>
      </c>
      <c r="AU97" s="64" t="s" ph="1">
        <v>287</v>
      </c>
      <c r="AV97" s="64" t="s" ph="1">
        <v>464</v>
      </c>
      <c r="AW97" s="64" t="s" ph="1">
        <v>228</v>
      </c>
      <c r="AX97" s="64" t="s" ph="1">
        <v>287</v>
      </c>
    </row>
    <row r="98" spans="33:52" ph="1">
      <c r="AJ98" s="64" t="s" ph="1">
        <v>465</v>
      </c>
      <c r="AK98" s="64" t="s" ph="1">
        <v>231</v>
      </c>
      <c r="AM98" s="64" t="s" ph="1">
        <v>466</v>
      </c>
      <c r="AN98" s="64" t="s" ph="1">
        <v>239</v>
      </c>
      <c r="AO98" s="64" t="s" ph="1">
        <v>259</v>
      </c>
      <c r="AP98" s="64" t="s" ph="1">
        <v>467</v>
      </c>
      <c r="AQ98" s="64" t="s" ph="1">
        <v>219</v>
      </c>
      <c r="AR98" s="64" t="s" ph="1">
        <v>287</v>
      </c>
      <c r="AS98" s="64" t="s" ph="1">
        <v>468</v>
      </c>
      <c r="AT98" s="64" t="s" ph="1">
        <v>299</v>
      </c>
      <c r="AU98" s="64" t="s" ph="1">
        <v>287</v>
      </c>
      <c r="AV98" s="64" t="s" ph="1">
        <v>469</v>
      </c>
      <c r="AW98" s="64" t="s" ph="1">
        <v>222</v>
      </c>
      <c r="AX98" s="64" t="s" ph="1">
        <v>287</v>
      </c>
    </row>
    <row r="99" spans="33:52" ph="1">
      <c r="AH99" s="64" ph="1">
        <v>8</v>
      </c>
      <c r="AI99" s="64" t="s" ph="1">
        <v>470</v>
      </c>
      <c r="AJ99" s="64" t="s" ph="1">
        <v>471</v>
      </c>
      <c r="AK99" s="64" t="s" ph="1">
        <v>367</v>
      </c>
      <c r="AM99" s="64" t="s" ph="1">
        <v>472</v>
      </c>
      <c r="AN99" s="64" t="s" ph="1">
        <v>254</v>
      </c>
      <c r="AO99" s="64" t="s" ph="1">
        <v>259</v>
      </c>
      <c r="AP99" s="64" t="s" ph="1">
        <v>473</v>
      </c>
      <c r="AQ99" s="64" t="s" ph="1">
        <v>224</v>
      </c>
      <c r="AR99" s="64" t="s" ph="1">
        <v>287</v>
      </c>
      <c r="AS99" s="64" t="s" ph="1">
        <v>474</v>
      </c>
      <c r="AT99" s="64" t="s" ph="1">
        <v>239</v>
      </c>
      <c r="AU99" s="64" t="s" ph="1">
        <v>287</v>
      </c>
      <c r="AV99" s="64" t="s" ph="1">
        <v>475</v>
      </c>
      <c r="AW99" s="64" t="s" ph="1">
        <v>224</v>
      </c>
      <c r="AX99" s="64" t="s" ph="1">
        <v>287</v>
      </c>
      <c r="AY99" s="64" t="s" ph="1">
        <v>216</v>
      </c>
      <c r="AZ99" s="64" t="s" ph="1">
        <v>476</v>
      </c>
    </row>
    <row r="100" spans="33:52" ph="1">
      <c r="AJ100" s="64" t="s" ph="1">
        <v>477</v>
      </c>
      <c r="AK100" s="64" t="s" ph="1">
        <v>222</v>
      </c>
      <c r="AM100" s="64" t="s" ph="1">
        <v>478</v>
      </c>
      <c r="AN100" s="64" t="s" ph="1">
        <v>294</v>
      </c>
      <c r="AO100" s="64" t="s" ph="1">
        <v>259</v>
      </c>
      <c r="AP100" s="64" t="s" ph="1">
        <v>479</v>
      </c>
      <c r="AQ100" s="64" t="s" ph="1">
        <v>300</v>
      </c>
      <c r="AR100" s="64" t="s" ph="1">
        <v>287</v>
      </c>
      <c r="AS100" s="64" t="s" ph="1">
        <v>480</v>
      </c>
      <c r="AT100" s="64" t="s" ph="1">
        <v>367</v>
      </c>
      <c r="AU100" s="64" t="s" ph="1">
        <v>259</v>
      </c>
      <c r="AV100" s="64" t="s" ph="1">
        <v>481</v>
      </c>
      <c r="AW100" s="64" t="s" ph="1">
        <v>367</v>
      </c>
      <c r="AX100" s="64" t="s" ph="1">
        <v>259</v>
      </c>
    </row>
    <row r="101" spans="33:52" ph="1">
      <c r="AJ101" s="64" t="s" ph="1">
        <v>482</v>
      </c>
      <c r="AK101" s="64" t="s" ph="1">
        <v>367</v>
      </c>
      <c r="AM101" s="64" t="s" ph="1">
        <v>483</v>
      </c>
      <c r="AN101" s="64" t="s" ph="1">
        <v>225</v>
      </c>
      <c r="AO101" s="64" t="s" ph="1">
        <v>259</v>
      </c>
      <c r="AP101" s="64" t="s" ph="1">
        <v>484</v>
      </c>
      <c r="AQ101" s="64" t="s" ph="1">
        <v>237</v>
      </c>
      <c r="AR101" s="64" t="s" ph="1">
        <v>287</v>
      </c>
      <c r="AS101" s="64" t="s" ph="1">
        <v>485</v>
      </c>
      <c r="AT101" s="64" t="s" ph="1">
        <v>294</v>
      </c>
      <c r="AU101" s="64" t="s" ph="1">
        <v>287</v>
      </c>
      <c r="AV101" s="64" t="s" ph="1">
        <v>486</v>
      </c>
      <c r="AW101" s="64" t="s" ph="1">
        <v>225</v>
      </c>
      <c r="AX101" s="64" t="s" ph="1">
        <v>259</v>
      </c>
    </row>
    <row r="102" spans="33:52" ph="1">
      <c r="AJ102" s="64" t="s" ph="1">
        <v>487</v>
      </c>
      <c r="AK102" s="64" t="s" ph="1">
        <v>222</v>
      </c>
      <c r="AM102" s="64" t="s" ph="1">
        <v>488</v>
      </c>
      <c r="AN102" s="64" t="s" ph="1">
        <v>231</v>
      </c>
      <c r="AO102" s="64" t="s" ph="1">
        <v>259</v>
      </c>
      <c r="AP102" s="64" t="s" ph="1">
        <v>489</v>
      </c>
      <c r="AQ102" s="64" t="s" ph="1">
        <v>237</v>
      </c>
      <c r="AR102" s="64" t="s" ph="1">
        <v>259</v>
      </c>
      <c r="AS102" s="64" t="s" ph="1">
        <v>490</v>
      </c>
      <c r="AT102" s="64" t="s" ph="1">
        <v>254</v>
      </c>
      <c r="AU102" s="64" t="s" ph="1">
        <v>259</v>
      </c>
      <c r="AV102" s="64" t="s" ph="1">
        <v>491</v>
      </c>
      <c r="AW102" s="64" t="s" ph="1">
        <v>272</v>
      </c>
      <c r="AX102" s="64" t="s" ph="1">
        <v>259</v>
      </c>
    </row>
    <row r="103" spans="33:52" ph="1">
      <c r="AH103" s="64" ph="1">
        <v>9</v>
      </c>
      <c r="AI103" s="64" t="s" ph="1">
        <v>492</v>
      </c>
      <c r="AJ103" s="64" t="s" ph="1">
        <v>493</v>
      </c>
      <c r="AK103" s="64" t="s" ph="1">
        <v>367</v>
      </c>
      <c r="AM103" s="64" t="s" ph="1">
        <v>494</v>
      </c>
      <c r="AN103" s="64" t="s" ph="1">
        <v>282</v>
      </c>
      <c r="AO103" s="64" t="s" ph="1">
        <v>259</v>
      </c>
      <c r="AP103" s="64" t="s" ph="1">
        <v>336</v>
      </c>
      <c r="AQ103" s="64" t="s" ph="1">
        <v>225</v>
      </c>
      <c r="AR103" s="64" t="s" ph="1">
        <v>259</v>
      </c>
      <c r="AS103" s="64" t="s" ph="1">
        <v>570</v>
      </c>
      <c r="AT103" s="64" t="s" ph="1">
        <v>367</v>
      </c>
      <c r="AU103" s="64" t="s" ph="1">
        <v>259</v>
      </c>
      <c r="AY103" s="64" t="s" ph="1">
        <v>216</v>
      </c>
      <c r="AZ103" s="64" t="s" ph="1">
        <v>224</v>
      </c>
    </row>
    <row r="104" spans="33:52" ph="1">
      <c r="AZ104" s="64" t="s" ph="1">
        <v>495</v>
      </c>
    </row>
    <row r="105" spans="33:52" ph="1">
      <c r="AG105" s="64" t="s" ph="1">
        <v>295</v>
      </c>
      <c r="AI105" s="64" t="s" ph="1">
        <v>209</v>
      </c>
      <c r="AJ105" s="64" t="s" ph="1">
        <v>210</v>
      </c>
      <c r="AK105" s="64" t="s" ph="1">
        <v>211</v>
      </c>
      <c r="AM105" s="64" t="s" ph="1">
        <v>210</v>
      </c>
      <c r="AN105" s="64" t="s" ph="1">
        <v>211</v>
      </c>
      <c r="AO105" s="64" t="s" ph="1">
        <v>212</v>
      </c>
      <c r="AP105" s="64" t="s" ph="1">
        <v>210</v>
      </c>
      <c r="AQ105" s="64" t="s" ph="1">
        <v>211</v>
      </c>
      <c r="AR105" s="64" t="s" ph="1">
        <v>212</v>
      </c>
      <c r="AS105" s="64" t="s" ph="1">
        <v>210</v>
      </c>
      <c r="AT105" s="64" t="s" ph="1">
        <v>211</v>
      </c>
      <c r="AU105" s="64" t="s" ph="1">
        <v>212</v>
      </c>
      <c r="AV105" s="64" t="s" ph="1">
        <v>210</v>
      </c>
      <c r="AW105" s="64" t="s" ph="1">
        <v>211</v>
      </c>
      <c r="AX105" s="64" t="s" ph="1">
        <v>212</v>
      </c>
      <c r="AZ105" s="64" t="s" ph="1">
        <v>213</v>
      </c>
    </row>
    <row r="106" spans="33:52" ph="1">
      <c r="AH106" s="64" ph="1">
        <v>1</v>
      </c>
      <c r="AI106" s="64" t="s" ph="1">
        <v>496</v>
      </c>
      <c r="AJ106" s="64" t="s" ph="1">
        <v>570</v>
      </c>
      <c r="AK106" s="64" t="s" ph="1">
        <v>231</v>
      </c>
      <c r="AZ106" s="64" t="s" ph="1">
        <v>231</v>
      </c>
    </row>
    <row r="107" spans="33:52" ph="1">
      <c r="AH107" s="64" ph="1">
        <v>2</v>
      </c>
      <c r="AI107" s="64" t="s" ph="1">
        <v>497</v>
      </c>
      <c r="AJ107" s="64" t="s" ph="1">
        <v>498</v>
      </c>
      <c r="AK107" s="64" t="s" ph="1">
        <v>228</v>
      </c>
      <c r="AM107" s="64" t="s" ph="1">
        <v>334</v>
      </c>
      <c r="AN107" s="64" t="s" ph="1">
        <v>499</v>
      </c>
      <c r="AO107" s="64" t="s" ph="1">
        <v>500</v>
      </c>
      <c r="AP107" s="64" t="s" ph="1">
        <v>336</v>
      </c>
      <c r="AQ107" s="64" t="s" ph="1">
        <v>304</v>
      </c>
      <c r="AR107" s="64" t="s" ph="1">
        <v>500</v>
      </c>
      <c r="AS107" s="64" t="s" ph="1">
        <v>570</v>
      </c>
      <c r="AT107" s="64" t="s" ph="1">
        <v>499</v>
      </c>
      <c r="AU107" s="64" t="s" ph="1">
        <v>500</v>
      </c>
      <c r="AY107" s="64" t="s" ph="1">
        <v>216</v>
      </c>
      <c r="AZ107" s="64" t="s" ph="1">
        <v>580</v>
      </c>
    </row>
    <row r="108" spans="33:52" ph="1">
      <c r="AH108" s="64" ph="1">
        <v>3</v>
      </c>
      <c r="AI108" s="64" t="s" ph="1">
        <v>501</v>
      </c>
      <c r="AY108" s="64" t="s" ph="1">
        <v>216</v>
      </c>
      <c r="AZ108" s="64" t="s" ph="1">
        <v>367</v>
      </c>
    </row>
    <row r="109" spans="33:52" ph="1">
      <c r="AH109" s="64" ph="1">
        <v>4</v>
      </c>
      <c r="AI109" s="64" t="s" ph="1">
        <v>502</v>
      </c>
      <c r="AY109" s="64" t="s" ph="1">
        <v>216</v>
      </c>
      <c r="AZ109" s="64" t="s" ph="1">
        <v>367</v>
      </c>
    </row>
    <row r="110" spans="33:52" ph="1">
      <c r="AH110" s="64" ph="1">
        <v>5</v>
      </c>
      <c r="AI110" s="64" t="s" ph="1">
        <v>503</v>
      </c>
      <c r="AY110" s="64" t="s" ph="1">
        <v>216</v>
      </c>
      <c r="AZ110" s="64" t="s" ph="1">
        <v>367</v>
      </c>
    </row>
    <row r="111" spans="33:52" ph="1">
      <c r="AH111" s="64" ph="1">
        <v>6</v>
      </c>
      <c r="AI111" s="64" t="s" ph="1">
        <v>581</v>
      </c>
      <c r="AJ111" s="64" t="s" ph="1">
        <v>486</v>
      </c>
      <c r="AK111" s="64" t="s" ph="1">
        <v>225</v>
      </c>
      <c r="AM111" s="64" t="s" ph="1">
        <v>487</v>
      </c>
      <c r="AN111" s="64" t="s" ph="1">
        <v>219</v>
      </c>
      <c r="AO111" s="64" t="s" ph="1">
        <v>500</v>
      </c>
      <c r="AP111" s="64" t="s" ph="1">
        <v>488</v>
      </c>
      <c r="AQ111" s="64" t="s" ph="1">
        <v>228</v>
      </c>
      <c r="AR111" s="64" t="s" ph="1">
        <v>500</v>
      </c>
      <c r="AS111" s="64" t="s" ph="1">
        <v>489</v>
      </c>
      <c r="AT111" s="64" t="s" ph="1">
        <v>237</v>
      </c>
      <c r="AU111" s="64" t="s" ph="1">
        <v>500</v>
      </c>
      <c r="AV111" s="64" t="s" ph="1">
        <v>490</v>
      </c>
      <c r="AW111" s="64" t="s" ph="1">
        <v>227</v>
      </c>
      <c r="AX111" s="64" t="s" ph="1">
        <v>500</v>
      </c>
      <c r="AY111" s="64" t="s" ph="1">
        <v>216</v>
      </c>
      <c r="AZ111" s="64" t="s" ph="1">
        <v>504</v>
      </c>
    </row>
    <row r="112" spans="33:52" ph="1">
      <c r="AJ112" s="64" t="s" ph="1">
        <v>491</v>
      </c>
      <c r="AK112" s="64" t="s" ph="1">
        <v>272</v>
      </c>
      <c r="AM112" s="64" t="s" ph="1">
        <v>493</v>
      </c>
      <c r="AN112" s="64" t="s" ph="1">
        <v>296</v>
      </c>
      <c r="AO112" s="64" t="s" ph="1">
        <v>500</v>
      </c>
      <c r="AP112" s="64" t="s" ph="1">
        <v>494</v>
      </c>
      <c r="AQ112" s="64" t="s" ph="1">
        <v>505</v>
      </c>
      <c r="AR112" s="64" t="s" ph="1">
        <v>500</v>
      </c>
      <c r="AS112" s="64" t="s" ph="1">
        <v>506</v>
      </c>
      <c r="AT112" s="64" t="s" ph="1">
        <v>248</v>
      </c>
      <c r="AU112" s="64" t="s" ph="1">
        <v>500</v>
      </c>
      <c r="AV112" s="64" t="s" ph="1">
        <v>507</v>
      </c>
      <c r="AW112" s="64" t="s" ph="1">
        <v>294</v>
      </c>
      <c r="AX112" s="64" t="s" ph="1">
        <v>500</v>
      </c>
    </row>
    <row r="113" spans="33:52" ph="1">
      <c r="AH113" s="64" ph="1">
        <v>7</v>
      </c>
      <c r="AI113" s="64" t="s" ph="1">
        <v>508</v>
      </c>
      <c r="AJ113" s="64" t="s" ph="1">
        <v>589</v>
      </c>
      <c r="AK113" s="64" t="s" ph="1">
        <v>594</v>
      </c>
      <c r="AY113" s="64" t="s" ph="1">
        <v>216</v>
      </c>
      <c r="AZ113" s="64" t="s" ph="1">
        <v>594</v>
      </c>
    </row>
    <row r="114" spans="33:52" ph="1">
      <c r="AH114" s="64" ph="1">
        <v>8</v>
      </c>
      <c r="AI114" s="64" t="s" ph="1">
        <v>509</v>
      </c>
      <c r="AJ114" s="64" t="s" ph="1">
        <v>589</v>
      </c>
      <c r="AK114" s="64" t="s" ph="1">
        <v>595</v>
      </c>
      <c r="AY114" s="64" t="s" ph="1">
        <v>216</v>
      </c>
      <c r="AZ114" s="64" t="s" ph="1">
        <v>595</v>
      </c>
    </row>
    <row r="115" spans="33:52" ph="1">
      <c r="AH115" s="64" ph="1">
        <v>9</v>
      </c>
      <c r="AI115" s="64" t="s" ph="1">
        <v>510</v>
      </c>
      <c r="AJ115" s="64" t="s" ph="1">
        <v>589</v>
      </c>
      <c r="AK115" s="64" t="s" ph="1">
        <v>595</v>
      </c>
      <c r="AY115" s="64" t="s" ph="1">
        <v>216</v>
      </c>
      <c r="AZ115" s="64" t="s" ph="1">
        <v>595</v>
      </c>
    </row>
    <row r="116" spans="33:52" ph="1">
      <c r="AH116" s="64" ph="1">
        <v>10</v>
      </c>
      <c r="AI116" s="64" t="s" ph="1">
        <v>511</v>
      </c>
      <c r="AJ116" s="64" t="s" ph="1">
        <v>589</v>
      </c>
      <c r="AK116" s="64" t="s" ph="1">
        <v>595</v>
      </c>
      <c r="AY116" s="64" t="s" ph="1">
        <v>216</v>
      </c>
      <c r="AZ116" s="64" t="s" ph="1">
        <v>595</v>
      </c>
    </row>
    <row r="117" spans="33:52" ph="1">
      <c r="AH117" s="64" ph="1">
        <v>11</v>
      </c>
      <c r="AI117" s="64" t="s" ph="1">
        <v>512</v>
      </c>
      <c r="AJ117" s="64" t="s" ph="1">
        <v>589</v>
      </c>
      <c r="AK117" s="64" t="s" ph="1">
        <v>595</v>
      </c>
      <c r="AY117" s="64" t="s" ph="1">
        <v>216</v>
      </c>
      <c r="AZ117" s="64" t="s" ph="1">
        <v>595</v>
      </c>
    </row>
    <row r="118" spans="33:52" ph="1">
      <c r="AZ118" s="64" t="s" ph="1">
        <v>596</v>
      </c>
    </row>
    <row r="119" spans="33:52" ph="1">
      <c r="AI119" s="64" t="s" ph="1">
        <v>209</v>
      </c>
      <c r="AJ119" s="64" t="s" ph="1">
        <v>210</v>
      </c>
      <c r="AK119" s="64" t="s" ph="1">
        <v>211</v>
      </c>
      <c r="AM119" s="64" t="s" ph="1">
        <v>210</v>
      </c>
      <c r="AN119" s="64" t="s" ph="1">
        <v>211</v>
      </c>
      <c r="AO119" s="64" t="s" ph="1">
        <v>212</v>
      </c>
      <c r="AP119" s="64" t="s" ph="1">
        <v>210</v>
      </c>
      <c r="AQ119" s="64" t="s" ph="1">
        <v>211</v>
      </c>
      <c r="AR119" s="64" t="s" ph="1">
        <v>212</v>
      </c>
      <c r="AS119" s="64" t="s" ph="1">
        <v>210</v>
      </c>
      <c r="AT119" s="64" t="s" ph="1">
        <v>211</v>
      </c>
      <c r="AU119" s="64" t="s" ph="1">
        <v>212</v>
      </c>
      <c r="AV119" s="64" t="s" ph="1">
        <v>210</v>
      </c>
      <c r="AW119" s="64" t="s" ph="1">
        <v>211</v>
      </c>
      <c r="AX119" s="64" t="s" ph="1">
        <v>212</v>
      </c>
      <c r="AY119" s="64" t="s" ph="1">
        <v>211</v>
      </c>
      <c r="AZ119" s="64" t="s" ph="1">
        <v>213</v>
      </c>
    </row>
    <row r="120" spans="33:52" ph="1">
      <c r="AG120" s="64" t="s" ph="1">
        <v>353</v>
      </c>
      <c r="AH120" s="64" ph="1">
        <v>1</v>
      </c>
      <c r="AI120" s="64" t="s" ph="1">
        <v>513</v>
      </c>
      <c r="AJ120" s="64" t="s" ph="1">
        <v>587</v>
      </c>
      <c r="AK120" s="64" t="s" ph="1">
        <v>367</v>
      </c>
      <c r="AY120" s="64" t="s" ph="1">
        <v>216</v>
      </c>
      <c r="AZ120" s="64" t="s" ph="1">
        <v>367</v>
      </c>
    </row>
    <row r="121" spans="33:52" ph="1">
      <c r="AH121" s="64" ph="1">
        <v>2</v>
      </c>
      <c r="AI121" s="64" t="s" ph="1">
        <v>514</v>
      </c>
      <c r="AY121" s="64" t="s" ph="1">
        <v>216</v>
      </c>
      <c r="AZ121" s="64" t="s" ph="1">
        <v>367</v>
      </c>
    </row>
    <row r="122" spans="33:52" ph="1">
      <c r="AH122" s="64" ph="1">
        <v>3</v>
      </c>
      <c r="AI122" s="64" t="s" ph="1">
        <v>515</v>
      </c>
      <c r="AJ122" s="64" t="s" ph="1">
        <v>570</v>
      </c>
      <c r="AK122" s="64" t="s" ph="1">
        <v>582</v>
      </c>
      <c r="AM122" s="64" t="s" ph="1">
        <v>597</v>
      </c>
      <c r="AN122" s="64" t="s" ph="1">
        <v>590</v>
      </c>
      <c r="AO122" s="64" t="s" ph="1">
        <v>91</v>
      </c>
      <c r="AY122" s="64" t="s" ph="1">
        <v>216</v>
      </c>
      <c r="AZ122" s="64" t="s" ph="1">
        <v>579</v>
      </c>
    </row>
    <row r="123" spans="33:52" ph="1">
      <c r="AY123" s="64" t="s" ph="1">
        <v>216</v>
      </c>
      <c r="AZ123" s="64" t="s" ph="1">
        <v>579</v>
      </c>
    </row>
    <row r="124" spans="33:52" ph="1">
      <c r="AG124" s="64" t="s" ph="1">
        <v>356</v>
      </c>
      <c r="AH124" s="64" ph="1">
        <v>4</v>
      </c>
      <c r="AI124" s="64" t="s" ph="1">
        <v>516</v>
      </c>
      <c r="AJ124" s="64" t="s" ph="1">
        <v>517</v>
      </c>
      <c r="AK124" s="64" t="s" ph="1">
        <v>518</v>
      </c>
      <c r="AY124" s="64" t="s" ph="1">
        <v>216</v>
      </c>
      <c r="AZ124" s="64" t="s" ph="1">
        <v>518</v>
      </c>
    </row>
    <row r="125" spans="33:52" ph="1">
      <c r="AH125" s="64" ph="1">
        <v>5</v>
      </c>
      <c r="AI125" s="64" t="s" ph="1">
        <v>519</v>
      </c>
      <c r="AJ125" s="64" t="s" ph="1">
        <v>517</v>
      </c>
      <c r="AK125" s="64" t="s" ph="1">
        <v>518</v>
      </c>
      <c r="AY125" s="64" t="s" ph="1">
        <v>216</v>
      </c>
      <c r="AZ125" s="64" t="s" ph="1">
        <v>518</v>
      </c>
    </row>
    <row r="126" spans="33:52" ph="1">
      <c r="AH126" s="64" ph="1">
        <v>6</v>
      </c>
      <c r="AI126" s="64" t="s" ph="1">
        <v>520</v>
      </c>
      <c r="AJ126" s="64" t="s" ph="1">
        <v>589</v>
      </c>
      <c r="AK126" s="64" t="s" ph="1">
        <v>598</v>
      </c>
      <c r="AY126" s="64" t="s" ph="1">
        <v>216</v>
      </c>
      <c r="AZ126" s="64" t="s" ph="1">
        <v>598</v>
      </c>
    </row>
    <row r="127" spans="33:52" ph="1">
      <c r="AH127" s="64" ph="1">
        <v>7</v>
      </c>
      <c r="AI127" s="64" t="s" ph="1">
        <v>521</v>
      </c>
      <c r="AJ127" s="64" t="s" ph="1">
        <v>589</v>
      </c>
      <c r="AK127" s="64" t="s" ph="1">
        <v>599</v>
      </c>
      <c r="AY127" s="64" t="s" ph="1">
        <v>216</v>
      </c>
      <c r="AZ127" s="64" t="s" ph="1">
        <v>599</v>
      </c>
    </row>
    <row r="128" spans="33:52" ph="1">
      <c r="AH128" s="64" ph="1">
        <v>8</v>
      </c>
      <c r="AI128" s="64" t="s" ph="1">
        <v>522</v>
      </c>
      <c r="AY128" s="64" t="s" ph="1">
        <v>216</v>
      </c>
      <c r="AZ128" s="64" t="s" ph="1">
        <v>367</v>
      </c>
    </row>
    <row r="129" spans="33:52" ph="1">
      <c r="AH129" s="64" ph="1">
        <v>9</v>
      </c>
      <c r="AI129" s="64" t="s" ph="1">
        <v>523</v>
      </c>
      <c r="AY129" s="64" t="s" ph="1">
        <v>216</v>
      </c>
      <c r="AZ129" s="64" t="s" ph="1">
        <v>367</v>
      </c>
    </row>
    <row r="130" spans="33:52" ph="1">
      <c r="AH130" s="64" ph="1">
        <v>10</v>
      </c>
      <c r="AI130" s="64" t="s" ph="1">
        <v>524</v>
      </c>
      <c r="AY130" s="64" t="s" ph="1">
        <v>216</v>
      </c>
      <c r="AZ130" s="64" t="s" ph="1">
        <v>367</v>
      </c>
    </row>
    <row r="131" spans="33:52" ph="1">
      <c r="AH131" s="64" ph="1">
        <v>11</v>
      </c>
      <c r="AI131" s="64" t="s" ph="1">
        <v>525</v>
      </c>
      <c r="AJ131" s="64" t="s" ph="1">
        <v>583</v>
      </c>
      <c r="AK131" s="64" t="s" ph="1">
        <v>579</v>
      </c>
      <c r="AY131" s="64" t="s" ph="1">
        <v>216</v>
      </c>
      <c r="AZ131" s="64" t="s" ph="1">
        <v>579</v>
      </c>
    </row>
    <row r="132" spans="33:52" ph="1">
      <c r="AH132" s="64" ph="1">
        <v>12</v>
      </c>
      <c r="AI132" s="64" t="s" ph="1">
        <v>526</v>
      </c>
      <c r="AJ132" s="64" t="s" ph="1">
        <v>583</v>
      </c>
      <c r="AK132" s="64" t="s" ph="1">
        <v>518</v>
      </c>
      <c r="AY132" s="64" t="s" ph="1">
        <v>216</v>
      </c>
      <c r="AZ132" s="64" t="s" ph="1">
        <v>518</v>
      </c>
    </row>
    <row r="133" spans="33:52" ph="1">
      <c r="AH133" s="64" ph="1">
        <v>13</v>
      </c>
      <c r="AI133" s="64" t="s" ph="1">
        <v>527</v>
      </c>
      <c r="AJ133" s="64" t="s" ph="1">
        <v>583</v>
      </c>
      <c r="AK133" s="64" t="s" ph="1">
        <v>584</v>
      </c>
      <c r="AY133" s="64" t="s" ph="1">
        <v>216</v>
      </c>
      <c r="AZ133" s="64" t="s" ph="1">
        <v>584</v>
      </c>
    </row>
    <row r="134" spans="33:52" ph="1">
      <c r="AH134" s="64" ph="1">
        <v>14</v>
      </c>
      <c r="AI134" s="64" t="s" ph="1">
        <v>528</v>
      </c>
      <c r="AJ134" s="64" t="s" ph="1">
        <v>583</v>
      </c>
      <c r="AK134" s="64" t="s" ph="1">
        <v>585</v>
      </c>
      <c r="AY134" s="64" t="s" ph="1">
        <v>216</v>
      </c>
      <c r="AZ134" s="64" t="s" ph="1">
        <v>585</v>
      </c>
    </row>
    <row r="135" spans="33:52" ph="1">
      <c r="AH135" s="64" ph="1">
        <v>15</v>
      </c>
      <c r="AI135" s="64" t="s" ph="1">
        <v>529</v>
      </c>
      <c r="AJ135" s="64" t="s" ph="1">
        <v>583</v>
      </c>
      <c r="AK135" s="64" t="s" ph="1">
        <v>586</v>
      </c>
      <c r="AY135" s="64" t="s" ph="1">
        <v>216</v>
      </c>
      <c r="AZ135" s="64" t="s" ph="1">
        <v>586</v>
      </c>
    </row>
    <row r="136" spans="33:52" ph="1">
      <c r="AZ136" s="64" t="s" ph="1">
        <v>600</v>
      </c>
    </row>
    <row r="137" spans="33:52" ph="1">
      <c r="AG137" s="64" t="s" ph="1">
        <v>290</v>
      </c>
      <c r="AI137" s="64" t="s" ph="1">
        <v>209</v>
      </c>
      <c r="AJ137" s="64" t="s" ph="1">
        <v>210</v>
      </c>
      <c r="AK137" s="64" t="s" ph="1">
        <v>211</v>
      </c>
      <c r="AM137" s="64" t="s" ph="1">
        <v>210</v>
      </c>
      <c r="AN137" s="64" t="s" ph="1">
        <v>211</v>
      </c>
      <c r="AO137" s="64" t="s" ph="1">
        <v>212</v>
      </c>
      <c r="AP137" s="64" t="s" ph="1">
        <v>210</v>
      </c>
      <c r="AQ137" s="64" t="s" ph="1">
        <v>211</v>
      </c>
      <c r="AR137" s="64" t="s" ph="1">
        <v>212</v>
      </c>
      <c r="AS137" s="64" t="s" ph="1">
        <v>210</v>
      </c>
      <c r="AT137" s="64" t="s" ph="1">
        <v>211</v>
      </c>
      <c r="AU137" s="64" t="s" ph="1">
        <v>212</v>
      </c>
      <c r="AV137" s="64" t="s" ph="1">
        <v>210</v>
      </c>
      <c r="AW137" s="64" t="s" ph="1">
        <v>211</v>
      </c>
      <c r="AX137" s="64" t="s" ph="1">
        <v>212</v>
      </c>
      <c r="AY137" s="64" t="s" ph="1">
        <v>211</v>
      </c>
      <c r="AZ137" s="64" t="s" ph="1">
        <v>213</v>
      </c>
    </row>
    <row r="138" spans="33:52" ph="1">
      <c r="AH138" s="64" ph="1">
        <v>1</v>
      </c>
      <c r="AI138" s="64" t="s" ph="1">
        <v>530</v>
      </c>
      <c r="AJ138" s="64" t="s" ph="1">
        <v>531</v>
      </c>
      <c r="AK138" s="64" t="s" ph="1">
        <v>532</v>
      </c>
      <c r="AY138" s="64" t="s" ph="1">
        <v>216</v>
      </c>
      <c r="AZ138" s="64" t="s" ph="1">
        <v>532</v>
      </c>
    </row>
    <row r="139" spans="33:52" ph="1">
      <c r="AH139" s="64" ph="1">
        <v>2</v>
      </c>
      <c r="AI139" s="64" t="s" ph="1">
        <v>533</v>
      </c>
      <c r="AJ139" s="64" t="s" ph="1">
        <v>589</v>
      </c>
      <c r="AK139" s="64" t="s" ph="1">
        <v>601</v>
      </c>
      <c r="AY139" s="64" t="s" ph="1">
        <v>216</v>
      </c>
      <c r="AZ139" s="64" t="s" ph="1">
        <v>601</v>
      </c>
    </row>
    <row r="140" spans="33:52" ph="1">
      <c r="AH140" s="64" ph="1">
        <v>3</v>
      </c>
      <c r="AI140" s="64" t="s" ph="1">
        <v>534</v>
      </c>
      <c r="AJ140" s="64" t="s" ph="1">
        <v>487</v>
      </c>
      <c r="AK140" s="64" t="s" ph="1">
        <v>299</v>
      </c>
      <c r="AM140" s="64" t="s" ph="1">
        <v>488</v>
      </c>
      <c r="AN140" s="64" t="s" ph="1">
        <v>219</v>
      </c>
      <c r="AO140" s="64" t="s" ph="1">
        <v>535</v>
      </c>
      <c r="AP140" s="64" t="s" ph="1">
        <v>489</v>
      </c>
      <c r="AQ140" s="64" t="s" ph="1">
        <v>236</v>
      </c>
      <c r="AR140" s="64" t="s" ph="1">
        <v>535</v>
      </c>
      <c r="AS140" s="64" t="s" ph="1">
        <v>490</v>
      </c>
      <c r="AT140" s="64" t="s" ph="1">
        <v>229</v>
      </c>
      <c r="AU140" s="64" t="s" ph="1">
        <v>535</v>
      </c>
      <c r="AV140" s="64" t="s" ph="1">
        <v>491</v>
      </c>
      <c r="AW140" s="64" t="s" ph="1">
        <v>222</v>
      </c>
      <c r="AX140" s="64" t="s" ph="1">
        <v>535</v>
      </c>
      <c r="AY140" s="64" t="s" ph="1">
        <v>216</v>
      </c>
      <c r="AZ140" s="64" t="s" ph="1">
        <v>291</v>
      </c>
    </row>
    <row r="141" spans="33:52" ph="1">
      <c r="AJ141" s="64" t="s" ph="1">
        <v>493</v>
      </c>
      <c r="AK141" s="64" t="s" ph="1">
        <v>222</v>
      </c>
      <c r="AM141" s="64" t="s" ph="1">
        <v>494</v>
      </c>
      <c r="AN141" s="64" t="s" ph="1">
        <v>225</v>
      </c>
      <c r="AO141" s="64" t="s" ph="1">
        <v>535</v>
      </c>
      <c r="AP141" s="64" t="s" ph="1">
        <v>506</v>
      </c>
      <c r="AQ141" s="64" t="s" ph="1">
        <v>294</v>
      </c>
      <c r="AR141" s="64" t="s" ph="1">
        <v>535</v>
      </c>
      <c r="AS141" s="64" t="s" ph="1">
        <v>498</v>
      </c>
      <c r="AT141" s="64" t="s" ph="1">
        <v>222</v>
      </c>
      <c r="AU141" s="64" t="s" ph="1">
        <v>535</v>
      </c>
      <c r="AV141" s="64" t="s" ph="1">
        <v>334</v>
      </c>
      <c r="AW141" s="64" t="s" ph="1">
        <v>228</v>
      </c>
      <c r="AX141" s="64" t="s" ph="1">
        <v>535</v>
      </c>
    </row>
    <row r="142" spans="33:52" ph="1">
      <c r="AJ142" s="64" t="s" ph="1">
        <v>536</v>
      </c>
      <c r="AK142" s="64" t="s" ph="1">
        <v>239</v>
      </c>
    </row>
    <row r="143" spans="33:52" ph="1">
      <c r="AH143" s="64" ph="1">
        <v>4</v>
      </c>
      <c r="AI143" s="64" t="s" ph="1">
        <v>537</v>
      </c>
      <c r="AJ143" s="64" t="s" ph="1">
        <v>517</v>
      </c>
      <c r="AK143" s="64" t="s" ph="1">
        <v>538</v>
      </c>
      <c r="AY143" s="64" t="s" ph="1">
        <v>216</v>
      </c>
      <c r="AZ143" s="64" t="s" ph="1">
        <v>538</v>
      </c>
    </row>
    <row r="144" spans="33:52" ph="1">
      <c r="AH144" s="64" ph="1">
        <v>5</v>
      </c>
      <c r="AI144" s="64" t="s" ph="1">
        <v>539</v>
      </c>
      <c r="AY144" s="64" t="s" ph="1">
        <v>216</v>
      </c>
      <c r="AZ144" s="64" t="s" ph="1">
        <v>367</v>
      </c>
    </row>
    <row r="145" spans="33:52" ph="1">
      <c r="AH145" s="64" ph="1">
        <v>6</v>
      </c>
      <c r="AI145" s="64" t="s" ph="1">
        <v>540</v>
      </c>
      <c r="AY145" s="64" t="s" ph="1">
        <v>216</v>
      </c>
      <c r="AZ145" s="64" t="s" ph="1">
        <v>367</v>
      </c>
    </row>
    <row r="146" spans="33:52" ph="1">
      <c r="AH146" s="64" ph="1">
        <v>7</v>
      </c>
      <c r="AI146" s="64" t="s" ph="1">
        <v>541</v>
      </c>
      <c r="AY146" s="64" t="s" ph="1">
        <v>216</v>
      </c>
      <c r="AZ146" s="64" t="s" ph="1">
        <v>367</v>
      </c>
    </row>
    <row r="147" spans="33:52" ph="1">
      <c r="AH147" s="64" ph="1">
        <v>8</v>
      </c>
      <c r="AI147" s="64" t="s" ph="1">
        <v>542</v>
      </c>
      <c r="AY147" s="64" t="s" ph="1">
        <v>216</v>
      </c>
      <c r="AZ147" s="64" t="s" ph="1">
        <v>367</v>
      </c>
    </row>
    <row r="148" spans="33:52" ph="1">
      <c r="AH148" s="64" ph="1">
        <v>9</v>
      </c>
      <c r="AI148" s="64" t="s" ph="1">
        <v>543</v>
      </c>
      <c r="AY148" s="64" t="s" ph="1">
        <v>216</v>
      </c>
      <c r="AZ148" s="64" t="s" ph="1">
        <v>367</v>
      </c>
    </row>
    <row r="149" spans="33:52" ph="1">
      <c r="AH149" s="64" ph="1">
        <v>10</v>
      </c>
      <c r="AI149" s="64" t="s" ph="1">
        <v>544</v>
      </c>
      <c r="AY149" s="64" t="s" ph="1">
        <v>216</v>
      </c>
      <c r="AZ149" s="64" t="s" ph="1">
        <v>367</v>
      </c>
    </row>
    <row r="150" spans="33:52" ph="1">
      <c r="AH150" s="64" ph="1">
        <v>11</v>
      </c>
      <c r="AI150" s="64" t="s" ph="1">
        <v>545</v>
      </c>
      <c r="AY150" s="64" t="s" ph="1">
        <v>216</v>
      </c>
      <c r="AZ150" s="64" t="s" ph="1">
        <v>367</v>
      </c>
    </row>
    <row r="151" spans="33:52" ph="1">
      <c r="AH151" s="64" ph="1">
        <v>12</v>
      </c>
      <c r="AI151" s="64" t="s" ph="1">
        <v>546</v>
      </c>
      <c r="AY151" s="64" t="s" ph="1">
        <v>216</v>
      </c>
      <c r="AZ151" s="64" t="s" ph="1">
        <v>367</v>
      </c>
    </row>
    <row r="152" spans="33:52" ph="1">
      <c r="AH152" s="64" ph="1">
        <v>13</v>
      </c>
      <c r="AI152" s="64" t="s" ph="1">
        <v>547</v>
      </c>
      <c r="AY152" s="64" t="s" ph="1">
        <v>216</v>
      </c>
      <c r="AZ152" s="64" t="s" ph="1">
        <v>367</v>
      </c>
    </row>
    <row r="153" spans="33:52" ph="1">
      <c r="AH153" s="64" ph="1">
        <v>14</v>
      </c>
      <c r="AI153" s="64" t="s" ph="1">
        <v>548</v>
      </c>
      <c r="AY153" s="64" t="s" ph="1">
        <v>216</v>
      </c>
      <c r="AZ153" s="64" t="s" ph="1">
        <v>367</v>
      </c>
    </row>
    <row r="154" spans="33:52" ph="1">
      <c r="AH154" s="64" ph="1">
        <v>15</v>
      </c>
      <c r="AI154" s="64" t="s" ph="1">
        <v>549</v>
      </c>
      <c r="AY154" s="64" t="s" ph="1">
        <v>216</v>
      </c>
      <c r="AZ154" s="64" t="s" ph="1">
        <v>367</v>
      </c>
    </row>
    <row r="155" spans="33:52" ph="1">
      <c r="AH155" s="64" ph="1">
        <v>16</v>
      </c>
      <c r="AI155" s="64" t="s" ph="1">
        <v>550</v>
      </c>
      <c r="AJ155" s="64" t="s" ph="1">
        <v>336</v>
      </c>
      <c r="AK155" s="64" t="s" ph="1">
        <v>231</v>
      </c>
      <c r="AM155" s="64" t="s" ph="1">
        <v>570</v>
      </c>
      <c r="AN155" s="64" t="s" ph="1">
        <v>282</v>
      </c>
      <c r="AO155" s="64" t="s" ph="1">
        <v>535</v>
      </c>
      <c r="AY155" s="64" t="s" ph="1">
        <v>216</v>
      </c>
      <c r="AZ155" s="64" t="s" ph="1">
        <v>223</v>
      </c>
    </row>
    <row r="156" spans="33:52" ph="1">
      <c r="AZ156" s="64" t="s" ph="1">
        <v>602</v>
      </c>
    </row>
    <row r="157" spans="33:52" ph="1">
      <c r="AG157" s="64" t="s" ph="1">
        <v>551</v>
      </c>
      <c r="AI157" s="64" t="s" ph="1">
        <v>209</v>
      </c>
      <c r="AJ157" s="64" t="s" ph="1">
        <v>210</v>
      </c>
      <c r="AK157" s="64" t="s" ph="1">
        <v>211</v>
      </c>
      <c r="AM157" s="64" t="s" ph="1">
        <v>210</v>
      </c>
      <c r="AN157" s="64" t="s" ph="1">
        <v>211</v>
      </c>
      <c r="AO157" s="64" t="s" ph="1">
        <v>212</v>
      </c>
      <c r="AP157" s="64" t="s" ph="1">
        <v>210</v>
      </c>
      <c r="AQ157" s="64" t="s" ph="1">
        <v>211</v>
      </c>
      <c r="AR157" s="64" t="s" ph="1">
        <v>212</v>
      </c>
      <c r="AS157" s="64" t="s" ph="1">
        <v>210</v>
      </c>
      <c r="AT157" s="64" t="s" ph="1">
        <v>211</v>
      </c>
      <c r="AU157" s="64" t="s" ph="1">
        <v>212</v>
      </c>
      <c r="AV157" s="64" t="s" ph="1">
        <v>210</v>
      </c>
      <c r="AW157" s="64" t="s" ph="1">
        <v>211</v>
      </c>
      <c r="AX157" s="64" t="s" ph="1">
        <v>212</v>
      </c>
      <c r="AY157" s="64" t="s" ph="1">
        <v>211</v>
      </c>
      <c r="AZ157" s="64" t="s" ph="1">
        <v>213</v>
      </c>
    </row>
    <row r="158" spans="33:52" ph="1">
      <c r="AH158" s="64" ph="1">
        <v>1</v>
      </c>
      <c r="AI158" s="64" t="s" ph="1">
        <v>552</v>
      </c>
      <c r="AY158" s="64" t="s" ph="1">
        <v>216</v>
      </c>
      <c r="AZ158" s="64" t="s" ph="1">
        <v>367</v>
      </c>
    </row>
    <row r="159" spans="33:52" ph="1">
      <c r="AH159" s="64" ph="1">
        <v>2</v>
      </c>
      <c r="AI159" s="64" t="s" ph="1">
        <v>553</v>
      </c>
      <c r="AY159" s="64" t="s" ph="1">
        <v>216</v>
      </c>
      <c r="AZ159" s="64" t="s" ph="1">
        <v>367</v>
      </c>
    </row>
    <row r="160" spans="33:52" ph="1">
      <c r="AZ160" s="64" t="s" ph="1">
        <v>385</v>
      </c>
    </row>
    <row r="161" spans="33:52" ph="1">
      <c r="AG161" s="64" t="s" ph="1">
        <v>361</v>
      </c>
      <c r="AI161" s="64" t="s" ph="1">
        <v>209</v>
      </c>
      <c r="AJ161" s="64" t="s" ph="1">
        <v>210</v>
      </c>
      <c r="AK161" s="64" t="s" ph="1">
        <v>211</v>
      </c>
      <c r="AM161" s="64" t="s" ph="1">
        <v>210</v>
      </c>
      <c r="AN161" s="64" t="s" ph="1">
        <v>211</v>
      </c>
      <c r="AO161" s="64" t="s" ph="1">
        <v>212</v>
      </c>
      <c r="AP161" s="64" t="s" ph="1">
        <v>210</v>
      </c>
      <c r="AQ161" s="64" t="s" ph="1">
        <v>211</v>
      </c>
      <c r="AR161" s="64" t="s" ph="1">
        <v>212</v>
      </c>
      <c r="AS161" s="64" t="s" ph="1">
        <v>210</v>
      </c>
      <c r="AT161" s="64" t="s" ph="1">
        <v>211</v>
      </c>
      <c r="AU161" s="64" t="s" ph="1">
        <v>212</v>
      </c>
      <c r="AV161" s="64" t="s" ph="1">
        <v>210</v>
      </c>
      <c r="AW161" s="64" t="s" ph="1">
        <v>211</v>
      </c>
      <c r="AX161" s="64" t="s" ph="1">
        <v>212</v>
      </c>
      <c r="AY161" s="64" t="s" ph="1">
        <v>211</v>
      </c>
      <c r="AZ161" s="64" t="s" ph="1">
        <v>213</v>
      </c>
    </row>
    <row r="162" spans="33:52" ph="1">
      <c r="AH162" s="64" ph="1">
        <v>1</v>
      </c>
      <c r="AI162" s="64" t="s" ph="1">
        <v>554</v>
      </c>
      <c r="AJ162" s="64" t="s" ph="1">
        <v>555</v>
      </c>
      <c r="AK162" s="64" t="s" ph="1">
        <v>499</v>
      </c>
      <c r="AM162" s="64" t="s" ph="1">
        <v>556</v>
      </c>
      <c r="AN162" s="64" t="s" ph="1">
        <v>220</v>
      </c>
      <c r="AO162" s="64" t="s" ph="1">
        <v>557</v>
      </c>
      <c r="AY162" s="64" t="s" ph="1">
        <v>216</v>
      </c>
      <c r="AZ162" s="64" t="s" ph="1">
        <v>292</v>
      </c>
    </row>
    <row r="163" spans="33:52" ph="1">
      <c r="AH163" s="64" ph="1">
        <v>2</v>
      </c>
      <c r="AI163" s="64" t="s" ph="1">
        <v>558</v>
      </c>
      <c r="AJ163" s="64" t="s" ph="1">
        <v>555</v>
      </c>
      <c r="AK163" s="64" t="s" ph="1">
        <v>388</v>
      </c>
      <c r="AY163" s="64" t="s" ph="1">
        <v>216</v>
      </c>
      <c r="AZ163" s="64" t="s" ph="1">
        <v>388</v>
      </c>
    </row>
    <row r="164" spans="33:52" ph="1">
      <c r="AH164" s="64" ph="1">
        <v>3</v>
      </c>
      <c r="AI164" s="64" t="s" ph="1">
        <v>559</v>
      </c>
      <c r="AJ164" s="64" t="s" ph="1">
        <v>555</v>
      </c>
      <c r="AK164" s="64" t="s" ph="1">
        <v>292</v>
      </c>
      <c r="AY164" s="64" t="s" ph="1">
        <v>216</v>
      </c>
      <c r="AZ164" s="64" t="s" ph="1">
        <v>292</v>
      </c>
    </row>
    <row r="165" spans="33:52" ph="1">
      <c r="AH165" s="64" ph="1">
        <v>4</v>
      </c>
      <c r="AI165" s="64" t="s" ph="1">
        <v>560</v>
      </c>
      <c r="AY165" s="64" t="s" ph="1">
        <v>216</v>
      </c>
      <c r="AZ165" s="64" t="s" ph="1">
        <v>367</v>
      </c>
    </row>
    <row r="166" spans="33:52" ph="1">
      <c r="AH166" s="64" ph="1">
        <v>5</v>
      </c>
      <c r="AI166" s="64" t="s" ph="1">
        <v>561</v>
      </c>
      <c r="AY166" s="64" t="s" ph="1">
        <v>216</v>
      </c>
      <c r="AZ166" s="64" t="s" ph="1">
        <v>367</v>
      </c>
    </row>
    <row r="167" spans="33:52" ph="1">
      <c r="AZ167" s="64" t="s" ph="1">
        <v>562</v>
      </c>
    </row>
    <row r="168" spans="33:52" ph="1">
      <c r="AG168" s="64" t="s" ph="1">
        <v>305</v>
      </c>
      <c r="AI168" s="64" t="s" ph="1">
        <v>209</v>
      </c>
      <c r="AJ168" s="64" t="s" ph="1">
        <v>210</v>
      </c>
      <c r="AK168" s="64" t="s" ph="1">
        <v>211</v>
      </c>
      <c r="AM168" s="64" t="s" ph="1">
        <v>210</v>
      </c>
      <c r="AN168" s="64" t="s" ph="1">
        <v>211</v>
      </c>
      <c r="AO168" s="64" t="s" ph="1">
        <v>212</v>
      </c>
      <c r="AP168" s="64" t="s" ph="1">
        <v>210</v>
      </c>
      <c r="AQ168" s="64" t="s" ph="1">
        <v>211</v>
      </c>
      <c r="AR168" s="64" t="s" ph="1">
        <v>212</v>
      </c>
      <c r="AS168" s="64" t="s" ph="1">
        <v>210</v>
      </c>
      <c r="AT168" s="64" t="s" ph="1">
        <v>211</v>
      </c>
      <c r="AU168" s="64" t="s" ph="1">
        <v>212</v>
      </c>
      <c r="AV168" s="64" t="s" ph="1">
        <v>210</v>
      </c>
      <c r="AW168" s="64" t="s" ph="1">
        <v>211</v>
      </c>
      <c r="AX168" s="64" t="s" ph="1">
        <v>212</v>
      </c>
      <c r="AY168" s="64" t="s" ph="1">
        <v>211</v>
      </c>
      <c r="AZ168" s="64" t="s" ph="1">
        <v>213</v>
      </c>
    </row>
    <row r="169" spans="33:52" ph="1">
      <c r="AH169" s="64" ph="1">
        <v>1</v>
      </c>
      <c r="AI169" s="64" t="s" ph="1">
        <v>563</v>
      </c>
      <c r="AY169" s="64" t="s" ph="1">
        <v>216</v>
      </c>
      <c r="AZ169" s="64" t="s" ph="1">
        <v>367</v>
      </c>
    </row>
    <row r="170" spans="33:52" ph="1">
      <c r="AH170" s="64" ph="1">
        <v>2</v>
      </c>
      <c r="AI170" s="64" t="s" ph="1">
        <v>564</v>
      </c>
      <c r="AY170" s="64" t="s" ph="1">
        <v>216</v>
      </c>
      <c r="AZ170" s="64" t="s" ph="1">
        <v>367</v>
      </c>
    </row>
    <row r="171" spans="33:52" ph="1">
      <c r="AH171" s="64" ph="1">
        <v>3</v>
      </c>
      <c r="AI171" s="64" t="s" ph="1">
        <v>565</v>
      </c>
      <c r="AY171" s="64" t="s" ph="1">
        <v>216</v>
      </c>
      <c r="AZ171" s="64" t="s" ph="1">
        <v>367</v>
      </c>
    </row>
    <row r="172" spans="33:52" ph="1">
      <c r="AH172" s="64" ph="1">
        <v>4</v>
      </c>
      <c r="AI172" s="64" t="s" ph="1">
        <v>566</v>
      </c>
      <c r="AY172" s="64" t="s" ph="1">
        <v>216</v>
      </c>
      <c r="AZ172" s="64" t="s" ph="1">
        <v>367</v>
      </c>
    </row>
    <row r="173" spans="33:52" ph="1">
      <c r="AH173" s="64" ph="1">
        <v>5</v>
      </c>
      <c r="AI173" s="64" t="s" ph="1">
        <v>567</v>
      </c>
      <c r="AY173" s="64" t="s" ph="1">
        <v>216</v>
      </c>
      <c r="AZ173" s="64" t="s" ph="1">
        <v>367</v>
      </c>
    </row>
    <row r="174" spans="33:52" ph="1">
      <c r="AZ174" s="64" t="s" ph="1">
        <v>385</v>
      </c>
    </row>
    <row r="175" spans="33:52" ph="1">
      <c r="AJ175" s="64" t="s" ph="1">
        <v>306</v>
      </c>
    </row>
    <row r="176" spans="33:52" ph="1">
      <c r="AJ176" s="64" t="s" ph="1">
        <v>307</v>
      </c>
      <c r="AK176" s="64" t="s" ph="1">
        <v>308</v>
      </c>
      <c r="AM176" s="64" t="s" ph="1">
        <v>309</v>
      </c>
      <c r="AO176" s="64" t="s" ph="1">
        <v>310</v>
      </c>
      <c r="AP176" s="64" t="s" ph="1">
        <v>311</v>
      </c>
      <c r="AQ176" s="64" t="s" ph="1">
        <v>301</v>
      </c>
      <c r="AR176" s="64" t="s" ph="1">
        <v>221</v>
      </c>
    </row>
    <row r="177" spans="36:56" ph="1">
      <c r="AJ177" s="64" t="s" ph="1">
        <v>603</v>
      </c>
      <c r="AK177" s="64" t="s" ph="1">
        <v>312</v>
      </c>
      <c r="AO177" s="64" t="s" ph="1">
        <v>312</v>
      </c>
      <c r="AP177" s="64" t="s" ph="1">
        <v>312</v>
      </c>
      <c r="AQ177" s="64" t="s" ph="1">
        <v>313</v>
      </c>
      <c r="AR177" s="64" t="s" ph="1">
        <v>314</v>
      </c>
    </row>
    <row r="179" spans="36:56" ph="1">
      <c r="AJ179" s="64" t="s" ph="1">
        <v>315</v>
      </c>
      <c r="AK179" s="64" t="s" ph="1">
        <v>316</v>
      </c>
      <c r="AM179" s="64" t="s" ph="1">
        <v>317</v>
      </c>
      <c r="AN179" s="64" t="s" ph="1">
        <v>293</v>
      </c>
      <c r="AO179" s="64" t="s" ph="1">
        <v>318</v>
      </c>
      <c r="AP179" s="64" t="s" ph="1">
        <v>297</v>
      </c>
      <c r="AQ179" s="64" t="s" ph="1">
        <v>319</v>
      </c>
      <c r="AR179" s="64" t="s" ph="1">
        <v>320</v>
      </c>
    </row>
    <row r="180" spans="36:56" ph="1">
      <c r="AJ180" s="64" t="s" ph="1">
        <v>312</v>
      </c>
      <c r="AK180" s="64" t="s" ph="1">
        <v>312</v>
      </c>
      <c r="AL180" s="64" ph="1">
        <v>116</v>
      </c>
      <c r="AM180" s="64" t="s" ph="1">
        <v>312</v>
      </c>
      <c r="AN180" s="64" t="s" ph="1">
        <v>321</v>
      </c>
      <c r="AO180" s="64" t="s" ph="1">
        <v>312</v>
      </c>
      <c r="AP180" s="64" t="s" ph="1">
        <v>322</v>
      </c>
      <c r="AQ180" s="64" t="s" ph="1">
        <v>323</v>
      </c>
      <c r="AR180" s="64" t="s" ph="1">
        <v>324</v>
      </c>
    </row>
    <row r="189" spans="36:56" ph="1">
      <c r="BD189" s="64" t="s" ph="1">
        <v>568</v>
      </c>
    </row>
    <row r="223" spans="18:18" ph="1">
      <c r="R223" s="135" ph="1">
        <v>45496</v>
      </c>
    </row>
  </sheetData>
  <mergeCells count="58"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S31:U31"/>
    <mergeCell ref="V31:X31"/>
    <mergeCell ref="Y31:AA31"/>
    <mergeCell ref="AB31:AE31"/>
    <mergeCell ref="AD32:AE32"/>
    <mergeCell ref="B33:C34"/>
    <mergeCell ref="D33:D34"/>
    <mergeCell ref="E33:E34"/>
    <mergeCell ref="F33:F34"/>
    <mergeCell ref="G33:G34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</mergeCells>
  <phoneticPr fontId="2" type="noConversion"/>
  <conditionalFormatting sqref="D4:D11">
    <cfRule type="expression" dxfId="1566" priority="100">
      <formula>ABS(D$7-D$10)&gt;=1000</formula>
    </cfRule>
  </conditionalFormatting>
  <conditionalFormatting sqref="E4 E6:E11">
    <cfRule type="expression" dxfId="1565" priority="99">
      <formula>ABS(E$7-E$10)&gt;=1000</formula>
    </cfRule>
  </conditionalFormatting>
  <conditionalFormatting sqref="F4:F11">
    <cfRule type="expression" dxfId="1564" priority="98">
      <formula>ABS(F$7-F$10)&gt;=1000</formula>
    </cfRule>
  </conditionalFormatting>
  <conditionalFormatting sqref="G4:G11">
    <cfRule type="expression" dxfId="1563" priority="97">
      <formula>ABS(G$7-G$10)&gt;=1000</formula>
    </cfRule>
  </conditionalFormatting>
  <conditionalFormatting sqref="H4:H11">
    <cfRule type="expression" dxfId="1562" priority="96">
      <formula>ABS(H$7-H$10)&gt;=1000</formula>
    </cfRule>
  </conditionalFormatting>
  <conditionalFormatting sqref="I4:I11">
    <cfRule type="expression" dxfId="1561" priority="95">
      <formula>ABS(I$7-I$10)&gt;=1000</formula>
    </cfRule>
  </conditionalFormatting>
  <conditionalFormatting sqref="J4:J11">
    <cfRule type="expression" dxfId="1560" priority="94">
      <formula>ABS(J$7-J$10)&gt;=1000</formula>
    </cfRule>
  </conditionalFormatting>
  <conditionalFormatting sqref="K4:K11">
    <cfRule type="expression" dxfId="1559" priority="93">
      <formula>ABS(K$7-K$10)&gt;=1000</formula>
    </cfRule>
  </conditionalFormatting>
  <conditionalFormatting sqref="L4:L11">
    <cfRule type="expression" dxfId="1558" priority="92">
      <formula>ABS(L$7-L$10)&gt;=1000</formula>
    </cfRule>
  </conditionalFormatting>
  <conditionalFormatting sqref="M4 M6:M11">
    <cfRule type="expression" dxfId="1557" priority="91">
      <formula>ABS(M$7-M$10)&gt;=1000</formula>
    </cfRule>
  </conditionalFormatting>
  <conditionalFormatting sqref="N4 N6:N11">
    <cfRule type="expression" dxfId="1556" priority="90">
      <formula>ABS(N$7-N$10)&gt;=1000</formula>
    </cfRule>
  </conditionalFormatting>
  <conditionalFormatting sqref="O4 O6:O11">
    <cfRule type="expression" dxfId="1555" priority="89">
      <formula>ABS(O$7-O$10)&gt;=1000</formula>
    </cfRule>
  </conditionalFormatting>
  <conditionalFormatting sqref="P4 P6:P11">
    <cfRule type="expression" dxfId="1554" priority="88">
      <formula>ABS(P$7-P$10)&gt;=1000</formula>
    </cfRule>
  </conditionalFormatting>
  <conditionalFormatting sqref="Q4:Q11">
    <cfRule type="expression" dxfId="1553" priority="87">
      <formula>ABS(Q$7-Q$10)&gt;=1000</formula>
    </cfRule>
  </conditionalFormatting>
  <conditionalFormatting sqref="R4:R11">
    <cfRule type="expression" dxfId="1552" priority="86">
      <formula>ABS(R$7-R$10)&gt;=1000</formula>
    </cfRule>
  </conditionalFormatting>
  <conditionalFormatting sqref="S4:S11">
    <cfRule type="expression" dxfId="1551" priority="85">
      <formula>ABS(S$7-S$10)&gt;=1000</formula>
    </cfRule>
  </conditionalFormatting>
  <conditionalFormatting sqref="T4:T9 T11">
    <cfRule type="expression" dxfId="1550" priority="84">
      <formula>ABS(T$7-T$10)&gt;=1000</formula>
    </cfRule>
  </conditionalFormatting>
  <conditionalFormatting sqref="U4:U9 U11">
    <cfRule type="expression" dxfId="1549" priority="83">
      <formula>ABS(U$7-U$10)&gt;=1000</formula>
    </cfRule>
  </conditionalFormatting>
  <conditionalFormatting sqref="V4:V9 V11">
    <cfRule type="expression" dxfId="1548" priority="82">
      <formula>ABS(V$7-V$10)&gt;=1000</formula>
    </cfRule>
  </conditionalFormatting>
  <conditionalFormatting sqref="W4:W9 W11">
    <cfRule type="expression" dxfId="1547" priority="81">
      <formula>ABS(W$7-W$10)&gt;=1000</formula>
    </cfRule>
  </conditionalFormatting>
  <conditionalFormatting sqref="X4:X9 X11">
    <cfRule type="expression" dxfId="1546" priority="80">
      <formula>ABS(X$7-X$10)&gt;=1000</formula>
    </cfRule>
  </conditionalFormatting>
  <conditionalFormatting sqref="Y4:Y9 Y11">
    <cfRule type="expression" dxfId="1545" priority="79">
      <formula>ABS(Y$7-Y$10)&gt;=1000</formula>
    </cfRule>
  </conditionalFormatting>
  <conditionalFormatting sqref="Z4:Z11">
    <cfRule type="expression" dxfId="1544" priority="78">
      <formula>ABS(Z$7-Z$10)&gt;=1000</formula>
    </cfRule>
  </conditionalFormatting>
  <conditionalFormatting sqref="AA4:AA11">
    <cfRule type="expression" dxfId="1543" priority="77">
      <formula>ABS(AA$7-AA$10)&gt;=1000</formula>
    </cfRule>
  </conditionalFormatting>
  <conditionalFormatting sqref="AB4:AB11">
    <cfRule type="expression" dxfId="1542" priority="76">
      <formula>ABS(AB$7-AB$10)&gt;=1000</formula>
    </cfRule>
  </conditionalFormatting>
  <conditionalFormatting sqref="AC4 AC6:AC11">
    <cfRule type="expression" dxfId="1541" priority="75">
      <formula>ABS(AC$7-AC$10)&gt;=1000</formula>
    </cfRule>
  </conditionalFormatting>
  <conditionalFormatting sqref="AD4 AD6:AD11">
    <cfRule type="expression" dxfId="1540" priority="74">
      <formula>ABS(AD$7-AD$10)&gt;=1000</formula>
    </cfRule>
  </conditionalFormatting>
  <conditionalFormatting sqref="AE4 AE6:AE11">
    <cfRule type="expression" dxfId="1539" priority="73">
      <formula>ABS(AE$7-AE$10)&gt;=1000</formula>
    </cfRule>
  </conditionalFormatting>
  <conditionalFormatting sqref="D13:D20">
    <cfRule type="expression" dxfId="1538" priority="72">
      <formula>ABS(D$16-D$19)&gt;=1000</formula>
    </cfRule>
  </conditionalFormatting>
  <conditionalFormatting sqref="E13:E20">
    <cfRule type="expression" dxfId="1537" priority="71">
      <formula>ABS(E$16-E$19)&gt;=1000</formula>
    </cfRule>
  </conditionalFormatting>
  <conditionalFormatting sqref="F13 F15:F20">
    <cfRule type="expression" dxfId="1536" priority="70">
      <formula>ABS(F$16-F$19)&gt;=1000</formula>
    </cfRule>
  </conditionalFormatting>
  <conditionalFormatting sqref="G13:G20">
    <cfRule type="expression" dxfId="1535" priority="69">
      <formula>ABS(G$16-G$19)&gt;=1000</formula>
    </cfRule>
  </conditionalFormatting>
  <conditionalFormatting sqref="H13 H15:H20">
    <cfRule type="expression" dxfId="1534" priority="68">
      <formula>ABS(H$16-H$19)&gt;=1000</formula>
    </cfRule>
  </conditionalFormatting>
  <conditionalFormatting sqref="I13:I20">
    <cfRule type="expression" dxfId="1533" priority="67">
      <formula>ABS(I$16-I$19)&gt;=1000</formula>
    </cfRule>
  </conditionalFormatting>
  <conditionalFormatting sqref="J13:J20">
    <cfRule type="expression" dxfId="1532" priority="66">
      <formula>ABS(J$16-J$19)&gt;=1000</formula>
    </cfRule>
  </conditionalFormatting>
  <conditionalFormatting sqref="L13:L20">
    <cfRule type="expression" dxfId="1531" priority="65">
      <formula>ABS(L$16-L$19)&gt;=1000</formula>
    </cfRule>
  </conditionalFormatting>
  <conditionalFormatting sqref="M13 M15 M17:M18 M20">
    <cfRule type="expression" dxfId="1530" priority="64">
      <formula>ABS(M$16-M$19)&gt;=1000</formula>
    </cfRule>
  </conditionalFormatting>
  <conditionalFormatting sqref="N13:N20">
    <cfRule type="expression" dxfId="1529" priority="63">
      <formula>ABS(N$16-N$19)&gt;=1000</formula>
    </cfRule>
  </conditionalFormatting>
  <conditionalFormatting sqref="O13:O20">
    <cfRule type="expression" dxfId="1528" priority="62">
      <formula>ABS(O$16-O$19)&gt;=1000</formula>
    </cfRule>
  </conditionalFormatting>
  <conditionalFormatting sqref="P13:P20">
    <cfRule type="expression" dxfId="1527" priority="61">
      <formula>ABS(P$16-P$19)&gt;=1000</formula>
    </cfRule>
  </conditionalFormatting>
  <conditionalFormatting sqref="Q13 Q15:Q20">
    <cfRule type="expression" dxfId="1526" priority="60">
      <formula>ABS(Q$16-Q$19)&gt;=1000</formula>
    </cfRule>
  </conditionalFormatting>
  <conditionalFormatting sqref="R13:R20">
    <cfRule type="expression" dxfId="1525" priority="59">
      <formula>ABS(R$16-R$19)&gt;=1000</formula>
    </cfRule>
  </conditionalFormatting>
  <conditionalFormatting sqref="S13:S20">
    <cfRule type="expression" dxfId="1524" priority="58">
      <formula>ABS(S$16-S$19)&gt;=1000</formula>
    </cfRule>
  </conditionalFormatting>
  <conditionalFormatting sqref="T13:T20">
    <cfRule type="expression" dxfId="1523" priority="57">
      <formula>ABS(T$16-T$19)&gt;=1000</formula>
    </cfRule>
  </conditionalFormatting>
  <conditionalFormatting sqref="U13:U20">
    <cfRule type="expression" dxfId="1522" priority="56">
      <formula>ABS(U$16-U$19)&gt;=1000</formula>
    </cfRule>
  </conditionalFormatting>
  <conditionalFormatting sqref="V13:V20">
    <cfRule type="expression" dxfId="1521" priority="55">
      <formula>ABS(V$16-V$19)&gt;=1000</formula>
    </cfRule>
  </conditionalFormatting>
  <conditionalFormatting sqref="W13 W20 W15:W18">
    <cfRule type="expression" dxfId="1520" priority="54">
      <formula>ABS(W$16-W$19)&gt;=1000</formula>
    </cfRule>
  </conditionalFormatting>
  <conditionalFormatting sqref="X13 X15:X20 Y19">
    <cfRule type="expression" dxfId="1519" priority="53">
      <formula>ABS(X$16-X$19)&gt;=1000</formula>
    </cfRule>
  </conditionalFormatting>
  <conditionalFormatting sqref="Y13 Y15:Y18 Y20">
    <cfRule type="expression" dxfId="1518" priority="52">
      <formula>ABS(Y$16-Y$19)&gt;=1000</formula>
    </cfRule>
  </conditionalFormatting>
  <conditionalFormatting sqref="Z13:Z20">
    <cfRule type="expression" dxfId="1517" priority="51">
      <formula>ABS(Z$16-Z$19)&gt;=1000</formula>
    </cfRule>
  </conditionalFormatting>
  <conditionalFormatting sqref="AA13:AA20">
    <cfRule type="expression" dxfId="1516" priority="50">
      <formula>ABS(AA$16-AA$19)&gt;=1000</formula>
    </cfRule>
  </conditionalFormatting>
  <conditionalFormatting sqref="AB13 AB15:AB20">
    <cfRule type="expression" dxfId="1515" priority="49">
      <formula>ABS(AB$16-AB$19)&gt;=1000</formula>
    </cfRule>
  </conditionalFormatting>
  <conditionalFormatting sqref="AC13 AC15:AC20">
    <cfRule type="expression" dxfId="1514" priority="48">
      <formula>ABS(AC$16-AC$19)&gt;=1000</formula>
    </cfRule>
  </conditionalFormatting>
  <conditionalFormatting sqref="AD13:AD20">
    <cfRule type="expression" dxfId="1513" priority="47">
      <formula>ABS(AD$16-AD$19)&gt;=1000</formula>
    </cfRule>
  </conditionalFormatting>
  <conditionalFormatting sqref="AE13:AE20">
    <cfRule type="expression" dxfId="1512" priority="46">
      <formula>ABS(AE$16-AE$19)&gt;=1000</formula>
    </cfRule>
  </conditionalFormatting>
  <conditionalFormatting sqref="D22:D29">
    <cfRule type="expression" dxfId="1511" priority="45">
      <formula>ABS(D$25-D$28)&gt;=1000</formula>
    </cfRule>
  </conditionalFormatting>
  <conditionalFormatting sqref="E22:E29">
    <cfRule type="expression" dxfId="1510" priority="44">
      <formula>ABS(E$25-E$28)&gt;=1000</formula>
    </cfRule>
  </conditionalFormatting>
  <conditionalFormatting sqref="F22:F29">
    <cfRule type="expression" dxfId="1509" priority="43">
      <formula>ABS(F$25-F$28)&gt;=1000</formula>
    </cfRule>
  </conditionalFormatting>
  <conditionalFormatting sqref="G22:G29">
    <cfRule type="expression" dxfId="1508" priority="42">
      <formula>ABS(G$25-G$28)&gt;=1000</formula>
    </cfRule>
  </conditionalFormatting>
  <conditionalFormatting sqref="H22:H29">
    <cfRule type="expression" dxfId="1507" priority="41">
      <formula>ABS(H$25-H$28)&gt;=1000</formula>
    </cfRule>
  </conditionalFormatting>
  <conditionalFormatting sqref="I22 I24:I29">
    <cfRule type="expression" dxfId="1506" priority="40">
      <formula>ABS(I$25-I$28)&gt;=1000</formula>
    </cfRule>
  </conditionalFormatting>
  <conditionalFormatting sqref="J22:J29 K22">
    <cfRule type="expression" dxfId="1505" priority="39">
      <formula>ABS(J$25-J$28)&gt;=1000</formula>
    </cfRule>
  </conditionalFormatting>
  <conditionalFormatting sqref="K23:K29 L25 L28">
    <cfRule type="expression" dxfId="1504" priority="38">
      <formula>ABS(K$25-K$28)&gt;=1000</formula>
    </cfRule>
  </conditionalFormatting>
  <conditionalFormatting sqref="L22 L26:L27 L29 L24">
    <cfRule type="expression" dxfId="1503" priority="37">
      <formula>ABS(L$25-L$28)&gt;=1000</formula>
    </cfRule>
  </conditionalFormatting>
  <conditionalFormatting sqref="M22:M29">
    <cfRule type="expression" dxfId="1502" priority="36">
      <formula>ABS(M$25-M$28)&gt;=1000</formula>
    </cfRule>
  </conditionalFormatting>
  <conditionalFormatting sqref="N22:N29">
    <cfRule type="expression" dxfId="1501" priority="35">
      <formula>ABS(N$25-N$28)&gt;=1000</formula>
    </cfRule>
  </conditionalFormatting>
  <conditionalFormatting sqref="O22:O29">
    <cfRule type="expression" dxfId="1500" priority="34">
      <formula>ABS(O$25-O$28)&gt;=1000</formula>
    </cfRule>
  </conditionalFormatting>
  <conditionalFormatting sqref="P22:P29">
    <cfRule type="expression" dxfId="1499" priority="33">
      <formula>ABS(P$25-P$28)&gt;=1000</formula>
    </cfRule>
  </conditionalFormatting>
  <conditionalFormatting sqref="Q22:Q29">
    <cfRule type="expression" dxfId="1498" priority="32">
      <formula>ABS(Q$25-Q$28)&gt;=1000</formula>
    </cfRule>
  </conditionalFormatting>
  <conditionalFormatting sqref="R22:R29">
    <cfRule type="expression" dxfId="1497" priority="31">
      <formula>ABS(R$25-R$28)&gt;=1000</formula>
    </cfRule>
  </conditionalFormatting>
  <conditionalFormatting sqref="S22:S29">
    <cfRule type="expression" dxfId="1496" priority="30">
      <formula>ABS(S$25-S$28)&gt;=1000</formula>
    </cfRule>
  </conditionalFormatting>
  <conditionalFormatting sqref="T22:T29">
    <cfRule type="expression" dxfId="1495" priority="29">
      <formula>ABS(T$25-T$28)&gt;=1000</formula>
    </cfRule>
  </conditionalFormatting>
  <conditionalFormatting sqref="U22:U29">
    <cfRule type="expression" dxfId="1494" priority="28">
      <formula>ABS(U$25-U$28)&gt;=1000</formula>
    </cfRule>
  </conditionalFormatting>
  <conditionalFormatting sqref="V22:V29">
    <cfRule type="expression" dxfId="1493" priority="27">
      <formula>ABS(V$25-V$28)&gt;=1000</formula>
    </cfRule>
  </conditionalFormatting>
  <conditionalFormatting sqref="W22:W29">
    <cfRule type="expression" dxfId="1492" priority="26">
      <formula>ABS(W$25-W$28)&gt;=1000</formula>
    </cfRule>
  </conditionalFormatting>
  <conditionalFormatting sqref="X22:X29">
    <cfRule type="expression" dxfId="1491" priority="25">
      <formula>ABS(X$25-X$28)&gt;=1000</formula>
    </cfRule>
  </conditionalFormatting>
  <conditionalFormatting sqref="Y22:Y29">
    <cfRule type="expression" dxfId="1490" priority="24">
      <formula>ABS(Y$25-Y$28)&gt;=1000</formula>
    </cfRule>
  </conditionalFormatting>
  <conditionalFormatting sqref="I23">
    <cfRule type="expression" dxfId="1489" priority="23">
      <formula>ABS(I$25-I$28)&gt;=1000</formula>
    </cfRule>
  </conditionalFormatting>
  <conditionalFormatting sqref="Q14">
    <cfRule type="expression" dxfId="1488" priority="22">
      <formula>ABS(Q$16-Q$19)&gt;=1000</formula>
    </cfRule>
  </conditionalFormatting>
  <conditionalFormatting sqref="W14">
    <cfRule type="expression" dxfId="1487" priority="21">
      <formula>ABS(W$16-W$19)&gt;=1000</formula>
    </cfRule>
  </conditionalFormatting>
  <conditionalFormatting sqref="X14">
    <cfRule type="expression" dxfId="1486" priority="20">
      <formula>ABS(X$16-X$19)&gt;=1000</formula>
    </cfRule>
  </conditionalFormatting>
  <conditionalFormatting sqref="T10:Y10">
    <cfRule type="expression" dxfId="1485" priority="19">
      <formula>ABS(T$7-T$10)&gt;=1000</formula>
    </cfRule>
  </conditionalFormatting>
  <conditionalFormatting sqref="W19">
    <cfRule type="expression" dxfId="1484" priority="18">
      <formula>ABS(W$16-W$19)&gt;=1000</formula>
    </cfRule>
  </conditionalFormatting>
  <conditionalFormatting sqref="AC5">
    <cfRule type="expression" dxfId="1483" priority="17">
      <formula>ABS(AC$7-AC$10)&gt;=1000</formula>
    </cfRule>
  </conditionalFormatting>
  <conditionalFormatting sqref="M14">
    <cfRule type="expression" dxfId="1482" priority="16">
      <formula>ABS(M$16-M$19)&gt;=1000</formula>
    </cfRule>
  </conditionalFormatting>
  <conditionalFormatting sqref="M16">
    <cfRule type="expression" dxfId="1481" priority="15">
      <formula>ABS(M$16-M$19)&gt;=1000</formula>
    </cfRule>
  </conditionalFormatting>
  <conditionalFormatting sqref="M19">
    <cfRule type="expression" dxfId="1480" priority="14">
      <formula>ABS(M$16-M$19)&gt;=1000</formula>
    </cfRule>
  </conditionalFormatting>
  <conditionalFormatting sqref="K13:K20">
    <cfRule type="expression" dxfId="1479" priority="13">
      <formula>ABS(K$16-K$19)&gt;=1000</formula>
    </cfRule>
  </conditionalFormatting>
  <conditionalFormatting sqref="E5">
    <cfRule type="expression" dxfId="1478" priority="12">
      <formula>ABS(E$7-E$10)&gt;=1000</formula>
    </cfRule>
  </conditionalFormatting>
  <conditionalFormatting sqref="AB14:AC14">
    <cfRule type="expression" dxfId="1477" priority="11">
      <formula>ABS(AB$16-AB$19)&gt;=1000</formula>
    </cfRule>
  </conditionalFormatting>
  <conditionalFormatting sqref="M5">
    <cfRule type="expression" dxfId="1476" priority="10">
      <formula>ABS(M$7-M$10)&gt;=1000</formula>
    </cfRule>
  </conditionalFormatting>
  <conditionalFormatting sqref="N5">
    <cfRule type="expression" dxfId="1475" priority="9">
      <formula>ABS(N$7-N$10)&gt;=1000</formula>
    </cfRule>
  </conditionalFormatting>
  <conditionalFormatting sqref="O5">
    <cfRule type="expression" dxfId="1474" priority="8">
      <formula>ABS(O$7-O$10)&gt;=1000</formula>
    </cfRule>
  </conditionalFormatting>
  <conditionalFormatting sqref="P5">
    <cfRule type="expression" dxfId="1473" priority="7">
      <formula>ABS(P$7-P$10)&gt;=1000</formula>
    </cfRule>
  </conditionalFormatting>
  <conditionalFormatting sqref="L23">
    <cfRule type="expression" dxfId="1472" priority="6">
      <formula>ABS(L$25-L$28)&gt;=1000</formula>
    </cfRule>
  </conditionalFormatting>
  <conditionalFormatting sqref="Y14">
    <cfRule type="expression" dxfId="1471" priority="5">
      <formula>ABS(Y$16-Y$19)&gt;=1000</formula>
    </cfRule>
  </conditionalFormatting>
  <conditionalFormatting sqref="F14">
    <cfRule type="expression" dxfId="1470" priority="4">
      <formula>ABS(F$16-F$19)&gt;=1000</formula>
    </cfRule>
  </conditionalFormatting>
  <conditionalFormatting sqref="H14">
    <cfRule type="expression" dxfId="1469" priority="3">
      <formula>ABS(H$16-H$19)&gt;=1000</formula>
    </cfRule>
  </conditionalFormatting>
  <conditionalFormatting sqref="AD5">
    <cfRule type="expression" dxfId="1468" priority="2">
      <formula>ABS(AD$7-AD$10)&gt;=1000</formula>
    </cfRule>
  </conditionalFormatting>
  <conditionalFormatting sqref="AE5">
    <cfRule type="expression" dxfId="1467" priority="1">
      <formula>ABS(AE$7-AE$10)&gt;=1000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79489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910">
    <pageSetUpPr fitToPage="1"/>
  </sheetPr>
  <dimension ref="A1:CU223"/>
  <sheetViews>
    <sheetView view="pageBreakPreview" topLeftCell="A4" zoomScale="70" zoomScaleNormal="100" zoomScaleSheetLayoutView="70" workbookViewId="0">
      <selection activeCell="V16" sqref="V16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185" t="s" ph="1">
        <v>161</v>
      </c>
      <c r="C1" s="185" ph="1"/>
      <c r="D1" s="185" ph="1"/>
      <c r="E1" s="185" ph="1"/>
      <c r="F1" s="185" ph="1"/>
      <c r="G1" s="185" ph="1"/>
      <c r="H1" s="185" ph="1"/>
      <c r="I1" s="185" ph="1"/>
      <c r="J1" s="185" ph="1"/>
      <c r="K1" s="185" ph="1"/>
      <c r="L1" s="185" ph="1"/>
      <c r="M1" s="185" ph="1"/>
      <c r="N1" s="185" ph="1"/>
      <c r="O1" s="185" ph="1"/>
      <c r="P1" s="185" ph="1"/>
      <c r="Q1" s="185" ph="1"/>
      <c r="R1" s="185" ph="1"/>
      <c r="S1" s="185" ph="1"/>
      <c r="T1" s="185" ph="1"/>
      <c r="U1" s="185" ph="1"/>
      <c r="V1" s="185" ph="1"/>
      <c r="W1" s="185" ph="1"/>
      <c r="X1" s="185" ph="1"/>
      <c r="Y1" s="185" ph="1"/>
      <c r="Z1" s="185" ph="1"/>
      <c r="AA1" s="185" ph="1"/>
      <c r="AB1" s="185" ph="1"/>
      <c r="AC1" s="185" ph="1"/>
      <c r="AD1" s="185" ph="1"/>
      <c r="AE1" s="185" ph="1"/>
    </row>
    <row r="2" spans="1:99" s="66" customFormat="1" ht="24" customHeight="1" ph="1">
      <c r="B2" s="186" t="s" ph="1">
        <v>82</v>
      </c>
      <c r="C2" s="186" ph="1"/>
      <c r="D2" s="186" ph="1"/>
      <c r="E2" s="186" ph="1"/>
      <c r="F2" s="186" ph="1"/>
      <c r="G2" s="186" ph="1"/>
      <c r="H2" s="186" ph="1"/>
      <c r="I2" s="186" ph="1"/>
      <c r="J2" s="186" ph="1"/>
      <c r="K2" s="186" ph="1"/>
      <c r="L2" s="186" ph="1"/>
      <c r="M2" s="186" ph="1"/>
      <c r="N2" s="186" ph="1"/>
      <c r="O2" s="186" ph="1"/>
      <c r="P2" s="186" ph="1"/>
      <c r="Q2" s="186" ph="1"/>
      <c r="R2" s="186" ph="1"/>
      <c r="S2" s="186" ph="1"/>
      <c r="T2" s="186" ph="1"/>
      <c r="U2" s="186" ph="1"/>
      <c r="V2" s="186" ph="1"/>
      <c r="W2" s="186" ph="1"/>
      <c r="X2" s="186" ph="1"/>
      <c r="Y2" s="186" ph="1"/>
      <c r="Z2" s="186" ph="1"/>
      <c r="AA2" s="186" ph="1"/>
      <c r="AB2" s="186" ph="1"/>
      <c r="AC2" s="186" ph="1"/>
      <c r="AD2" s="186" ph="1"/>
      <c r="AE2" s="186" ph="1"/>
    </row>
    <row r="3" spans="1:99" ht="21" customHeight="1" ph="1">
      <c r="B3" s="187" ph="1">
        <v>46188</v>
      </c>
      <c r="C3" s="187"/>
      <c r="D3" s="187"/>
      <c r="E3" s="187"/>
      <c r="F3" s="187"/>
      <c r="G3" s="187"/>
      <c r="H3" s="187"/>
      <c r="I3" s="187"/>
      <c r="J3" s="187"/>
      <c r="K3" s="187"/>
      <c r="L3" s="187"/>
      <c r="M3" s="187"/>
      <c r="N3" s="187"/>
      <c r="O3" s="187"/>
      <c r="P3" s="187"/>
      <c r="Q3" s="187"/>
      <c r="R3" s="187"/>
      <c r="S3" s="187"/>
      <c r="T3" s="187"/>
      <c r="U3" s="187"/>
      <c r="V3" s="187"/>
      <c r="W3" s="187"/>
      <c r="X3" s="187"/>
      <c r="Y3" s="187"/>
      <c r="Z3" s="187"/>
      <c r="AA3" s="187"/>
      <c r="AB3" s="187"/>
      <c r="AC3" s="187"/>
      <c r="AD3" s="187"/>
      <c r="AE3" s="187"/>
    </row>
    <row r="4" spans="1:99" s="69" customFormat="1" ph="1">
      <c r="A4" s="65" ph="1"/>
      <c r="B4" s="188" t="s" ph="1">
        <v>37</v>
      </c>
      <c r="C4" s="67" t="s" ph="1">
        <v>176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110</v>
      </c>
      <c r="J4" s="68" t="s" ph="1">
        <v>48</v>
      </c>
      <c r="K4" s="68" t="s" ph="1">
        <v>111</v>
      </c>
      <c r="L4" s="68" t="s" ph="1">
        <v>112</v>
      </c>
      <c r="M4" s="68" t="s" ph="1">
        <v>49</v>
      </c>
      <c r="N4" s="68" t="s" ph="1">
        <v>50</v>
      </c>
      <c r="O4" s="68" t="s" ph="1">
        <v>113</v>
      </c>
      <c r="P4" s="68" t="s" ph="1">
        <v>114</v>
      </c>
      <c r="Q4" s="68" t="s" ph="1">
        <v>115</v>
      </c>
      <c r="R4" s="68" t="s" ph="1">
        <v>116</v>
      </c>
      <c r="S4" s="68" t="s" ph="1">
        <v>117</v>
      </c>
      <c r="T4" s="68" t="s" ph="1">
        <v>118</v>
      </c>
      <c r="U4" s="68" t="s" ph="1">
        <v>119</v>
      </c>
      <c r="V4" s="68" t="s" ph="1">
        <v>120</v>
      </c>
      <c r="W4" s="68" t="s" ph="1">
        <v>121</v>
      </c>
      <c r="X4" s="68" t="s" ph="1">
        <v>122</v>
      </c>
      <c r="Y4" s="68" t="s" ph="1">
        <v>123</v>
      </c>
      <c r="Z4" s="68" t="s" ph="1">
        <v>51</v>
      </c>
      <c r="AA4" s="68" t="s" ph="1">
        <v>124</v>
      </c>
      <c r="AB4" s="68" t="s" ph="1">
        <v>125</v>
      </c>
      <c r="AC4" s="68" t="s" ph="1">
        <v>126</v>
      </c>
      <c r="AD4" s="68" t="s" ph="1">
        <v>40</v>
      </c>
      <c r="AE4" s="68" t="s" ph="1">
        <v>127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188" ph="1"/>
      <c r="C5" s="67" t="s" ph="1">
        <v>36</v>
      </c>
      <c r="D5" s="70" t="s" ph="1">
        <v>160</v>
      </c>
      <c r="E5" s="142" t="s" ph="1">
        <v>7</v>
      </c>
      <c r="F5" s="142" t="s" ph="1">
        <v>1</v>
      </c>
      <c r="G5" s="142" t="s" ph="1">
        <v>7</v>
      </c>
      <c r="H5" s="142" t="s" ph="1">
        <v>7</v>
      </c>
      <c r="I5" s="141" t="s" ph="1">
        <v>608</v>
      </c>
      <c r="J5" s="141" t="s" ph="1">
        <v>609</v>
      </c>
      <c r="K5" s="141" t="s" ph="1">
        <v>611</v>
      </c>
      <c r="L5" s="141" t="s" ph="1">
        <v>613</v>
      </c>
      <c r="M5" s="141" t="s" ph="1">
        <v>608</v>
      </c>
      <c r="N5" s="70" t="s" ph="1">
        <v>609</v>
      </c>
      <c r="O5" s="70" t="s" ph="1">
        <v>611</v>
      </c>
      <c r="P5" s="70" t="s" ph="1">
        <v>613</v>
      </c>
      <c r="Q5" s="70" t="s" ph="1">
        <v>607</v>
      </c>
      <c r="R5" s="70" t="s" ph="1">
        <v>607</v>
      </c>
      <c r="S5" s="70" t="s" ph="1">
        <v>607</v>
      </c>
      <c r="T5" s="70" t="s" ph="1">
        <v>607</v>
      </c>
      <c r="U5" s="70" t="s" ph="1">
        <v>607</v>
      </c>
      <c r="V5" s="70" t="s" ph="1">
        <v>607</v>
      </c>
      <c r="W5" s="70" t="s" ph="1">
        <v>607</v>
      </c>
      <c r="X5" s="70" t="s" ph="1">
        <v>607</v>
      </c>
      <c r="Y5" s="70" t="s" ph="1">
        <v>607</v>
      </c>
      <c r="Z5" s="70" t="s" ph="1">
        <v>614</v>
      </c>
      <c r="AA5" s="70" t="s" ph="1">
        <v>54</v>
      </c>
      <c r="AB5" s="70" t="s" ph="1">
        <v>54</v>
      </c>
      <c r="AC5" s="70" t="s" ph="1">
        <v>615</v>
      </c>
      <c r="AD5" s="71" t="s">
        <v>72</v>
      </c>
      <c r="AE5" s="71" t="s">
        <v>635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184" ph="1">
        <v>0.33333333333333331</v>
      </c>
      <c r="C6" s="156" t="s" ph="1">
        <v>177</v>
      </c>
      <c r="D6" s="71">
        <v>4163</v>
      </c>
      <c r="E6" s="71">
        <v>7787</v>
      </c>
      <c r="F6" s="71">
        <v>5833</v>
      </c>
      <c r="G6" s="71">
        <v>172</v>
      </c>
      <c r="H6" s="71">
        <v>7325</v>
      </c>
      <c r="I6" s="71">
        <v>38.53</v>
      </c>
      <c r="J6" s="71">
        <v>6.29</v>
      </c>
      <c r="K6" s="71">
        <v>62.72</v>
      </c>
      <c r="L6" s="71">
        <v>7.08</v>
      </c>
      <c r="M6" s="71">
        <v>5598</v>
      </c>
      <c r="N6" s="71">
        <v>187</v>
      </c>
      <c r="O6" s="71">
        <v>5100</v>
      </c>
      <c r="P6" s="71">
        <v>674</v>
      </c>
      <c r="Q6" s="71">
        <v>5502</v>
      </c>
      <c r="R6" s="71">
        <v>5474</v>
      </c>
      <c r="S6" s="71">
        <v>0</v>
      </c>
      <c r="T6" s="71">
        <v>0</v>
      </c>
      <c r="U6" s="71">
        <v>2765</v>
      </c>
      <c r="V6" s="71">
        <v>6446</v>
      </c>
      <c r="W6" s="71">
        <v>6975</v>
      </c>
      <c r="X6" s="71">
        <v>7193</v>
      </c>
      <c r="Y6" s="71">
        <v>4732</v>
      </c>
      <c r="Z6" s="71">
        <v>3032</v>
      </c>
      <c r="AA6" s="71">
        <v>0</v>
      </c>
      <c r="AB6" s="71">
        <v>2857</v>
      </c>
      <c r="AC6" s="71">
        <v>1480</v>
      </c>
      <c r="AD6" s="71">
        <v>3875</v>
      </c>
      <c r="AE6" s="71">
        <v>5550</v>
      </c>
    </row>
    <row r="7" spans="1:99" s="72" customFormat="1" ht="22.2" ph="1">
      <c r="B7" s="184" ph="1"/>
      <c r="C7" s="68" t="s" ph="1">
        <v>178</v>
      </c>
      <c r="D7" s="73" ph="1">
        <f>D6*33.183*LOOKUP(D8,密度!$A$2:$A$50,密度!$Q$2:$Q$50)</f>
        <v>130685.36845887</v>
      </c>
      <c r="E7" s="73" ph="1">
        <f>E6*51.53*LOOKUP(E8,密度!$A$2:$A$50,密度!$B$2:$B$50)</f>
        <v>312464.36245699995</v>
      </c>
      <c r="F7" s="73" ph="1">
        <f>F6*33.183*LOOKUP(F8,密度!$A$2:$A$50,密度!$C$2:$C$50)</f>
        <v>214770.22471439998</v>
      </c>
      <c r="G7" s="73" ph="1">
        <f xml:space="preserve"> (G6+2)*51.53*LOOKUP(G8,密度!$A$2:$A$50,密度!$B$2:$B$50)</f>
        <v>6990.0651119999993</v>
      </c>
      <c r="H7" s="73" ph="1">
        <f>(H6)*51.53*LOOKUP(H8,密度!$A$2:$A$50,密度!$B$2:$B$50)</f>
        <v>295284.806675</v>
      </c>
      <c r="I7" s="73" ph="1">
        <f>I6*290.8*1.0267</f>
        <v>11503.6847908</v>
      </c>
      <c r="J7" s="73" ph="1">
        <f>J6*290.8*0.7892</f>
        <v>1443.5509744000001</v>
      </c>
      <c r="K7" s="73" ph="1">
        <f>K6*290.8*1.1126</f>
        <v>20292.684697599998</v>
      </c>
      <c r="L7" s="73" ph="1">
        <f>L6*290.8*0.777</f>
        <v>1599.7373280000002</v>
      </c>
      <c r="M7" s="73" ph="1">
        <f>M6*33.183*LOOKUP(M8,密度!$A$2:$A$50,密度!$D$2:$D$50)</f>
        <v>190885.36677840003</v>
      </c>
      <c r="N7" s="73" ph="1">
        <f>N6*33.183*LOOKUP(N8,密度!$A$2:$A$50,密度!$E$2:$E$50)</f>
        <v>4859.9290872000001</v>
      </c>
      <c r="O7" s="73" ph="1">
        <f>O6*20.428*LOOKUP(O8,密度!$A$2:$A$50,密度!$C$2:$C$50)</f>
        <v>115372.03272</v>
      </c>
      <c r="P7" s="73" ph="1">
        <f>P6*51.53*LOOKUP(P8,密度!$A$2:$A$50,密度!$B$2:$B$50)</f>
        <v>27107.717209999999</v>
      </c>
      <c r="Q7" s="73" ph="1">
        <f>Q6*1.5*1.5*3.1416*LOOKUP(W8,密度!$A$2:$A$50,密度!$L$2:$L$50)</f>
        <v>36402.385219200005</v>
      </c>
      <c r="R7" s="73" ph="1">
        <f>R6*1.5*1.5*3.1416*LOOKUP(R8,密度!$A$2:$A$50,密度!$L$2:$L$50)</f>
        <v>35984.970251999999</v>
      </c>
      <c r="S7" s="73" ph="1">
        <f>S6*1.5*1.5*3.1416*LOOKUP(S8,密度!$A$2:$A$50,密度!$L$2:$L$50)</f>
        <v>0</v>
      </c>
      <c r="T7" s="73" ph="1">
        <f>T6*1.5*1.5*3.1416*LOOKUP(T8,密度!$A$2:$A$50,密度!$L$2:$L$50)</f>
        <v>0</v>
      </c>
      <c r="U7" s="73" ph="1">
        <f>U6*1.5*1.5*3.1416*LOOKUP(U8,密度!$A$2:$A$50,密度!$L$2:$L$50)</f>
        <v>18332.908901999999</v>
      </c>
      <c r="V7" s="73" ph="1">
        <f>V6*1.5*1.5*3.1416*LOOKUP(V8,密度!$A$2:$A$50,密度!$L$2:$L$50)</f>
        <v>42556.958690400003</v>
      </c>
      <c r="W7" s="73" ph="1">
        <f>W6*1.5*1.5*3.1416*LOOKUP(W8,密度!$A$2:$A$50,密度!$L$2:$L$50)</f>
        <v>46148.061960000006</v>
      </c>
      <c r="X7" s="73" ph="1">
        <f>X6*1.5*1.5*3.1416*LOOKUP(X8,密度!$A$2:$A$50,密度!$L$2:$L$50)</f>
        <v>47641.240092600005</v>
      </c>
      <c r="Y7" s="73" ph="1">
        <f>Y6*1.5*1.5*3.1416*LOOKUP(Y8,密度!$A$2:$A$50,密度!$L$2:$L$50)</f>
        <v>31341.352442400002</v>
      </c>
      <c r="Z7" s="73" ph="1">
        <f>Z6*33.183*LOOKUP(Z8,密度!$A$2:$A$50,密度!$L$2:$L$50)</f>
        <v>94674.815495999996</v>
      </c>
      <c r="AA7" s="73" ph="1">
        <f>AA6*33.183*LOOKUP(AA8,密度!$A$2:$A$50,密度!$D$2:$D$50)</f>
        <v>0</v>
      </c>
      <c r="AB7" s="73" ph="1">
        <f>AB6*20.428*LOOKUP(AB8,密度!$A$2:$A$50,密度!$D$2:$D$50)</f>
        <v>60294.6045476</v>
      </c>
      <c r="AC7" s="73" ph="1">
        <f>AC6*51.53*LOOKUP(AC8,密度!$A$2:$A$50,密度!$Q$2:$Q$50)</f>
        <v>72258.231068000008</v>
      </c>
      <c r="AD7" s="73" ph="1">
        <f>AD6*20.428*LOOKUP(AD8,密度!$A$2:$A$50,密度!$V$2:$V$50)</f>
        <v>76055.486799999999</v>
      </c>
      <c r="AE7" s="73" ph="1">
        <f>AE6*20.428</f>
        <v>113375.40000000001</v>
      </c>
    </row>
    <row r="8" spans="1:99" ph="1">
      <c r="B8" s="184" ph="1"/>
      <c r="C8" s="68" t="s" ph="1">
        <v>179</v>
      </c>
      <c r="D8" s="74">
        <v>26</v>
      </c>
      <c r="E8" s="74">
        <v>26</v>
      </c>
      <c r="F8" s="74">
        <v>24</v>
      </c>
      <c r="G8" s="74">
        <v>25</v>
      </c>
      <c r="H8" s="74">
        <v>22</v>
      </c>
      <c r="I8" s="74">
        <v>25</v>
      </c>
      <c r="J8" s="74">
        <v>25</v>
      </c>
      <c r="K8" s="74">
        <v>25</v>
      </c>
      <c r="L8" s="74">
        <v>25</v>
      </c>
      <c r="M8" s="74">
        <v>24</v>
      </c>
      <c r="N8" s="74">
        <v>25</v>
      </c>
      <c r="O8" s="74">
        <v>27</v>
      </c>
      <c r="P8" s="74">
        <v>24</v>
      </c>
      <c r="Q8" s="74">
        <v>28</v>
      </c>
      <c r="R8" s="74">
        <v>32</v>
      </c>
      <c r="S8" s="74">
        <v>22</v>
      </c>
      <c r="T8" s="74">
        <v>21</v>
      </c>
      <c r="U8" s="74">
        <v>24</v>
      </c>
      <c r="V8" s="74">
        <v>28</v>
      </c>
      <c r="W8" s="74">
        <v>26</v>
      </c>
      <c r="X8" s="74">
        <v>25</v>
      </c>
      <c r="Y8" s="74">
        <v>25</v>
      </c>
      <c r="Z8" s="74">
        <v>21</v>
      </c>
      <c r="AA8" s="74">
        <v>25</v>
      </c>
      <c r="AB8" s="74">
        <v>18</v>
      </c>
      <c r="AC8" s="74">
        <v>24</v>
      </c>
      <c r="AD8" s="74">
        <v>21</v>
      </c>
      <c r="AE8" s="74">
        <v>25</v>
      </c>
    </row>
    <row r="9" spans="1:99" ht="26.4" ph="1">
      <c r="B9" s="184" ph="1">
        <v>0.66666666666666663</v>
      </c>
      <c r="C9" s="156" t="s" ph="1">
        <v>180</v>
      </c>
      <c r="D9" s="71">
        <v>4163</v>
      </c>
      <c r="E9" s="71">
        <v>7843</v>
      </c>
      <c r="F9" s="71">
        <v>5833</v>
      </c>
      <c r="G9" s="71">
        <v>608</v>
      </c>
      <c r="H9" s="71">
        <v>7060</v>
      </c>
      <c r="I9" s="71">
        <v>38.520000000000003</v>
      </c>
      <c r="J9" s="71">
        <v>6.31</v>
      </c>
      <c r="K9" s="71">
        <v>62.77</v>
      </c>
      <c r="L9" s="71">
        <v>87.73</v>
      </c>
      <c r="M9" s="71">
        <v>5596</v>
      </c>
      <c r="N9" s="71">
        <v>130</v>
      </c>
      <c r="O9" s="71">
        <v>5101</v>
      </c>
      <c r="P9" s="71">
        <v>672</v>
      </c>
      <c r="Q9" s="71">
        <v>7077</v>
      </c>
      <c r="R9" s="71">
        <v>6804</v>
      </c>
      <c r="S9" s="71">
        <v>2514</v>
      </c>
      <c r="T9" s="71">
        <v>2543</v>
      </c>
      <c r="U9" s="71">
        <v>0</v>
      </c>
      <c r="V9" s="71">
        <v>5922</v>
      </c>
      <c r="W9" s="71">
        <v>6973</v>
      </c>
      <c r="X9" s="71">
        <v>7192</v>
      </c>
      <c r="Y9" s="71">
        <v>4731</v>
      </c>
      <c r="Z9" s="71">
        <v>772</v>
      </c>
      <c r="AA9" s="71">
        <v>0</v>
      </c>
      <c r="AB9" s="71">
        <v>2856</v>
      </c>
      <c r="AC9" s="71">
        <v>2186</v>
      </c>
      <c r="AD9" s="71">
        <v>3874</v>
      </c>
      <c r="AE9" s="71">
        <v>5550</v>
      </c>
    </row>
    <row r="10" spans="1:99" s="72" customFormat="1" ht="22.2" ph="1">
      <c r="B10" s="184" ph="1"/>
      <c r="C10" s="156" t="s" ph="1">
        <v>178</v>
      </c>
      <c r="D10" s="73" ph="1">
        <f>D9*33.183*LOOKUP(D11,密度!$A$2:$A$50,密度!$Q$2:$Q$50)</f>
        <v>130685.36845887</v>
      </c>
      <c r="E10" s="73" ph="1">
        <f>E9*51.53*LOOKUP(E11,密度!$A$2:$A$50,密度!$B$2:$B$50)</f>
        <v>315075.17628399999</v>
      </c>
      <c r="F10" s="73" ph="1">
        <f>F9*33.183*LOOKUP(F11,密度!$A$2:$A$50,密度!$C$2:$C$50)</f>
        <v>214770.22471439998</v>
      </c>
      <c r="G10" s="73" ph="1">
        <f xml:space="preserve"> (G9+2)*51.53*LOOKUP(G11,密度!$A$2:$A$50,密度!$B$2:$B$50)</f>
        <v>24505.400679999999</v>
      </c>
      <c r="H10" s="73" ph="1">
        <f>(H9)*51.53*LOOKUP(H11,密度!$A$2:$A$50,密度!$B$2:$B$50)</f>
        <v>284929.56975999998</v>
      </c>
      <c r="I10" s="73" ph="1">
        <f>I9*290.8*1.0267</f>
        <v>11500.699147200001</v>
      </c>
      <c r="J10" s="73" ph="1">
        <f>J9*290.8*0.7892</f>
        <v>1448.1409615999999</v>
      </c>
      <c r="K10" s="73" ph="1">
        <f>K9*290.8*1.1126</f>
        <v>20308.861901600005</v>
      </c>
      <c r="L10" s="73" ph="1">
        <f>L9*290.8*0.777</f>
        <v>19822.733868000003</v>
      </c>
      <c r="M10" s="73" ph="1">
        <f>M9*33.183*LOOKUP(M11,密度!$A$2:$A$50,密度!$D$2:$D$50)</f>
        <v>191671.35258959999</v>
      </c>
      <c r="N10" s="73" ph="1">
        <f>N9*33.183*LOOKUP(N11,密度!$A$2:$A$50,密度!$E$2:$E$50)</f>
        <v>3378.560328</v>
      </c>
      <c r="O10" s="73" ph="1">
        <f>O9*20.428*LOOKUP(O11,密度!$A$2:$A$50,密度!$C$2:$C$50)</f>
        <v>115311.2921048</v>
      </c>
      <c r="P10" s="73" ph="1">
        <f>P9*51.53*LOOKUP(P11,密度!$A$2:$A$50,密度!$B$2:$B$50)</f>
        <v>27027.278880000002</v>
      </c>
      <c r="Q10" s="73" ph="1">
        <f>Q9*1.5*1.5*3.1416*LOOKUP(W11,密度!$A$2:$A$50,密度!$L$2:$L$50)</f>
        <v>46872.939821400003</v>
      </c>
      <c r="R10" s="73" ph="1">
        <f>R9*1.5*1.5*3.1416*LOOKUP(R11,密度!$A$2:$A$50,密度!$L$2:$L$50)</f>
        <v>44776.216346400004</v>
      </c>
      <c r="S10" s="73" ph="1">
        <f>S9*1.5*1.5*3.1416*LOOKUP(S11,密度!$A$2:$A$50,密度!$L$2:$L$50)</f>
        <v>16722.0032364</v>
      </c>
      <c r="T10" s="73" ph="1">
        <f>T9*1.5*1.5*3.1416*LOOKUP(T11,密度!$A$2:$A$50,密度!$L$2:$L$50)</f>
        <v>16932.873711599997</v>
      </c>
      <c r="U10" s="73" ph="1">
        <f>U9*1.5*1.5*3.1416*LOOKUP(U11,密度!$A$2:$A$50,密度!$L$2:$L$50)</f>
        <v>0</v>
      </c>
      <c r="V10" s="73" ph="1">
        <f>V9*1.5*1.5*3.1416*LOOKUP(V11,密度!$A$2:$A$50,密度!$L$2:$L$50)</f>
        <v>39097.4727528</v>
      </c>
      <c r="W10" s="73" ph="1">
        <f>W9*1.5*1.5*3.1416*LOOKUP(W11,密度!$A$2:$A$50,密度!$L$2:$L$50)</f>
        <v>46184.118888600002</v>
      </c>
      <c r="X10" s="73" ph="1">
        <f>X9*1.5*1.5*3.1416*LOOKUP(X11,密度!$A$2:$A$50,密度!$L$2:$L$50)</f>
        <v>47990.478412799996</v>
      </c>
      <c r="Y10" s="73" ph="1">
        <f>Y9*1.5*1.5*3.1416*LOOKUP(Y11,密度!$A$2:$A$50,密度!$L$2:$L$50)</f>
        <v>31334.729164200002</v>
      </c>
      <c r="Z10" s="73" ph="1">
        <f>Z9*33.183*LOOKUP(Z11,密度!$A$2:$A$50,密度!$L$2:$L$50)</f>
        <v>24157.091268</v>
      </c>
      <c r="AA10" s="73" ph="1">
        <f>AA9*33.183*LOOKUP(AA11,密度!$A$2:$A$50,密度!$D$2:$D$50)</f>
        <v>0</v>
      </c>
      <c r="AB10" s="73" ph="1">
        <f>AB9*20.428*LOOKUP(AB11,密度!$A$2:$A$50,密度!$D$2:$D$50)</f>
        <v>60273.500380799996</v>
      </c>
      <c r="AC10" s="73" ph="1">
        <f>AC9*51.53*LOOKUP(AC11,密度!$A$2:$A$50,密度!$Q$2:$Q$50)</f>
        <v>106645.1296692</v>
      </c>
      <c r="AD10" s="73" ph="1">
        <f>AD9*20.428*LOOKUP(AD11,密度!$A$2:$A$50,密度!$V$2:$V$50)</f>
        <v>76035.8595776</v>
      </c>
      <c r="AE10" s="73" ph="1">
        <f>AE9*20.428</f>
        <v>113375.40000000001</v>
      </c>
    </row>
    <row r="11" spans="1:99" ph="1">
      <c r="A11" s="64" t="s" ph="1">
        <v>162</v>
      </c>
      <c r="B11" s="184" ph="1"/>
      <c r="C11" s="156" t="s" ph="1">
        <v>179</v>
      </c>
      <c r="D11" s="74">
        <v>26</v>
      </c>
      <c r="E11" s="74">
        <v>25</v>
      </c>
      <c r="F11" s="74">
        <v>24</v>
      </c>
      <c r="G11" s="74">
        <v>25</v>
      </c>
      <c r="H11" s="74">
        <v>21</v>
      </c>
      <c r="I11" s="74">
        <v>25</v>
      </c>
      <c r="J11" s="74">
        <v>25</v>
      </c>
      <c r="K11" s="74">
        <v>25</v>
      </c>
      <c r="L11" s="74">
        <v>25</v>
      </c>
      <c r="M11" s="74">
        <v>19</v>
      </c>
      <c r="N11" s="74">
        <v>25</v>
      </c>
      <c r="O11" s="74">
        <v>28</v>
      </c>
      <c r="P11" s="74">
        <v>24</v>
      </c>
      <c r="Q11" s="74">
        <v>28</v>
      </c>
      <c r="R11" s="74">
        <v>31</v>
      </c>
      <c r="S11" s="74">
        <v>21</v>
      </c>
      <c r="T11" s="74">
        <v>20</v>
      </c>
      <c r="U11" s="74">
        <v>24</v>
      </c>
      <c r="V11" s="74">
        <v>28</v>
      </c>
      <c r="W11" s="74">
        <v>25</v>
      </c>
      <c r="X11" s="74">
        <v>18</v>
      </c>
      <c r="Y11" s="74">
        <v>25</v>
      </c>
      <c r="Z11" s="74">
        <v>19</v>
      </c>
      <c r="AA11" s="74">
        <v>26</v>
      </c>
      <c r="AB11" s="74">
        <v>18</v>
      </c>
      <c r="AC11" s="74">
        <v>25</v>
      </c>
      <c r="AD11" s="74">
        <v>21</v>
      </c>
      <c r="AE11" s="74">
        <v>24</v>
      </c>
    </row>
    <row r="12" spans="1:99" ht="9.9" customHeight="1" ph="1"/>
    <row r="13" spans="1:99" s="72" customFormat="1" ht="29.25" customHeight="1" ph="1">
      <c r="B13" s="192" t="s" ph="1">
        <v>37</v>
      </c>
      <c r="C13" s="156" t="s" ph="1">
        <v>176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128</v>
      </c>
      <c r="I13" s="76" t="s" ph="1">
        <v>59</v>
      </c>
      <c r="J13" s="76" t="s" ph="1">
        <v>129</v>
      </c>
      <c r="K13" s="76" t="s" ph="1">
        <v>55</v>
      </c>
      <c r="L13" s="76" t="s" ph="1">
        <v>60</v>
      </c>
      <c r="M13" s="76" t="s" ph="1">
        <v>61</v>
      </c>
      <c r="N13" s="76" t="s" ph="1">
        <v>130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131</v>
      </c>
      <c r="W13" s="76" t="s" ph="1">
        <v>132</v>
      </c>
      <c r="X13" s="76" t="s" ph="1">
        <v>133</v>
      </c>
      <c r="Y13" s="105" t="s" ph="1">
        <v>68</v>
      </c>
      <c r="Z13" s="76" t="s" ph="1">
        <v>74</v>
      </c>
      <c r="AA13" s="76" t="s" ph="1">
        <v>134</v>
      </c>
      <c r="AB13" s="76" t="s" ph="1">
        <v>135</v>
      </c>
      <c r="AC13" s="76" t="s" ph="1">
        <v>136</v>
      </c>
      <c r="AD13" s="76" t="s" ph="1">
        <v>137</v>
      </c>
      <c r="AE13" s="76" t="s" ph="1">
        <v>138</v>
      </c>
      <c r="AG13" s="72" t="s" ph="1">
        <v>325</v>
      </c>
      <c r="AH13" s="72" t="s" ph="1">
        <v>188</v>
      </c>
      <c r="AI13" s="72" t="s" ph="1">
        <v>189</v>
      </c>
      <c r="AJ13" s="72" t="s" ph="1">
        <v>190</v>
      </c>
      <c r="AK13" s="72" t="s" ph="1">
        <v>191</v>
      </c>
      <c r="AL13" s="72" t="s" ph="1">
        <v>192</v>
      </c>
      <c r="AM13" s="72" t="s" ph="1">
        <v>193</v>
      </c>
      <c r="AN13" s="72" t="s" ph="1">
        <v>194</v>
      </c>
      <c r="AO13" s="72" t="s" ph="1">
        <v>195</v>
      </c>
      <c r="AP13" s="72" t="s" ph="1">
        <v>196</v>
      </c>
      <c r="AQ13" s="72" t="s" ph="1">
        <v>197</v>
      </c>
      <c r="AR13" s="72" t="s" ph="1">
        <v>198</v>
      </c>
      <c r="AS13" s="72" t="s" ph="1">
        <v>199</v>
      </c>
      <c r="AT13" s="72" t="s" ph="1">
        <v>200</v>
      </c>
      <c r="AU13" s="72" t="s" ph="1">
        <v>201</v>
      </c>
      <c r="AV13" s="72" t="s" ph="1">
        <v>202</v>
      </c>
      <c r="AW13" s="72" t="s" ph="1">
        <v>203</v>
      </c>
      <c r="AX13" s="72" t="s" ph="1">
        <v>204</v>
      </c>
      <c r="AY13" s="72" t="s" ph="1">
        <v>326</v>
      </c>
      <c r="AZ13" s="72" t="s" ph="1">
        <v>205</v>
      </c>
      <c r="BA13" s="72" t="s" ph="1">
        <v>206</v>
      </c>
      <c r="BB13" s="72" t="s" ph="1">
        <v>591</v>
      </c>
      <c r="BC13" s="72" t="s" ph="1">
        <v>207</v>
      </c>
      <c r="BD13" s="72" t="s" ph="1">
        <v>327</v>
      </c>
      <c r="BE13" s="72" t="s" ph="1">
        <v>328</v>
      </c>
      <c r="BF13" s="72" t="s" ph="1">
        <v>329</v>
      </c>
      <c r="BG13" s="72" t="s" ph="1">
        <v>330</v>
      </c>
      <c r="BH13" s="72" t="s" ph="1">
        <v>331</v>
      </c>
    </row>
    <row r="14" spans="1:99" s="72" customFormat="1" ht="24" ph="1">
      <c r="B14" s="193" ph="1"/>
      <c r="C14" s="67" t="s" ph="1">
        <v>36</v>
      </c>
      <c r="D14" s="77" t="s" ph="1">
        <v>616</v>
      </c>
      <c r="E14" s="77" t="s" ph="1">
        <v>616</v>
      </c>
      <c r="F14" s="144" t="s" ph="1">
        <v>636</v>
      </c>
      <c r="G14" s="77" t="s" ph="1">
        <v>617</v>
      </c>
      <c r="H14" s="77" t="s" ph="1">
        <v>637</v>
      </c>
      <c r="I14" s="138" t="s" ph="1">
        <v>618</v>
      </c>
      <c r="J14" s="77" t="s" ph="1">
        <v>619</v>
      </c>
      <c r="K14" s="77" t="s" ph="1">
        <v>186</v>
      </c>
      <c r="L14" s="77" t="s" ph="1">
        <v>41</v>
      </c>
      <c r="M14" s="104" t="s" ph="1">
        <v>620</v>
      </c>
      <c r="N14" s="104" t="s" ph="1">
        <v>621</v>
      </c>
      <c r="O14" s="104" t="s" ph="1">
        <v>619</v>
      </c>
      <c r="P14" s="77" t="s" ph="1">
        <v>622</v>
      </c>
      <c r="Q14" s="77" t="s" ph="1">
        <v>622</v>
      </c>
      <c r="R14" s="88" t="s" ph="1">
        <v>7</v>
      </c>
      <c r="S14" s="77" t="s" ph="1">
        <v>71</v>
      </c>
      <c r="T14" s="77" t="s" ph="1">
        <v>624</v>
      </c>
      <c r="U14" s="77" t="s" ph="1">
        <v>605</v>
      </c>
      <c r="V14" s="77" t="s" ph="1">
        <v>633</v>
      </c>
      <c r="W14" s="77" t="s" ph="1">
        <v>622</v>
      </c>
      <c r="X14" s="77" t="s" ph="1">
        <v>625</v>
      </c>
      <c r="Y14" s="143" t="s" ph="1">
        <v>0</v>
      </c>
      <c r="Z14" s="77" t="s" ph="1">
        <v>54</v>
      </c>
      <c r="AA14" s="77" t="s" ph="1">
        <v>613</v>
      </c>
      <c r="AB14" s="77" t="s" ph="1">
        <v>632</v>
      </c>
      <c r="AC14" s="77" t="s" ph="1">
        <v>632</v>
      </c>
      <c r="AD14" s="77" t="s" ph="1">
        <v>612</v>
      </c>
      <c r="AE14" s="77" t="s" ph="1">
        <v>612</v>
      </c>
      <c r="AG14" s="72" t="s" ph="1">
        <v>208</v>
      </c>
      <c r="AI14" s="72" t="s" ph="1">
        <v>209</v>
      </c>
      <c r="AJ14" s="72" t="s" ph="1">
        <v>332</v>
      </c>
      <c r="AK14" s="72" t="s" ph="1">
        <v>210</v>
      </c>
      <c r="AM14" s="72" t="s" ph="1">
        <v>212</v>
      </c>
      <c r="AN14" s="72" t="s" ph="1">
        <v>210</v>
      </c>
      <c r="AO14" s="72" t="s" ph="1">
        <v>211</v>
      </c>
      <c r="AP14" s="72" t="s" ph="1">
        <v>212</v>
      </c>
      <c r="AQ14" s="72" t="s" ph="1">
        <v>210</v>
      </c>
      <c r="AR14" s="72" t="s" ph="1">
        <v>211</v>
      </c>
      <c r="AS14" s="72" t="s" ph="1">
        <v>212</v>
      </c>
      <c r="AT14" s="72" t="s" ph="1">
        <v>210</v>
      </c>
      <c r="AU14" s="72" t="s" ph="1">
        <v>211</v>
      </c>
      <c r="AV14" s="72" t="s" ph="1">
        <v>212</v>
      </c>
      <c r="AW14" s="72" t="s" ph="1">
        <v>210</v>
      </c>
      <c r="AX14" s="72" t="s" ph="1">
        <v>211</v>
      </c>
      <c r="AY14" s="72" t="s" ph="1">
        <v>212</v>
      </c>
      <c r="AZ14" s="72" t="s" ph="1">
        <v>211</v>
      </c>
    </row>
    <row r="15" spans="1:99" ph="1">
      <c r="B15" s="194" ph="1">
        <v>0.33333333333333331</v>
      </c>
      <c r="C15" s="156" t="s" ph="1">
        <v>177</v>
      </c>
      <c r="D15" s="78">
        <v>5815</v>
      </c>
      <c r="E15" s="78">
        <v>2497</v>
      </c>
      <c r="F15" s="78">
        <v>3414</v>
      </c>
      <c r="G15" s="78">
        <v>4691</v>
      </c>
      <c r="H15" s="78">
        <v>4140</v>
      </c>
      <c r="I15" s="78">
        <v>5376</v>
      </c>
      <c r="J15" s="78">
        <v>2910</v>
      </c>
      <c r="K15" s="78">
        <v>2275</v>
      </c>
      <c r="L15" s="78">
        <v>5944</v>
      </c>
      <c r="M15" s="78">
        <v>4594</v>
      </c>
      <c r="N15" s="78">
        <v>4676</v>
      </c>
      <c r="O15" s="78">
        <v>5460</v>
      </c>
      <c r="P15" s="78">
        <v>1950</v>
      </c>
      <c r="Q15" s="78">
        <v>747</v>
      </c>
      <c r="R15" s="78">
        <v>1946</v>
      </c>
      <c r="S15" s="78">
        <v>189</v>
      </c>
      <c r="T15" s="78">
        <v>1751</v>
      </c>
      <c r="U15" s="78">
        <v>6688</v>
      </c>
      <c r="V15" s="78">
        <v>-817</v>
      </c>
      <c r="W15" s="71">
        <v>-775</v>
      </c>
      <c r="X15" s="78">
        <v>1333</v>
      </c>
      <c r="Y15" s="106">
        <v>-9905</v>
      </c>
      <c r="Z15" s="78">
        <v>1908</v>
      </c>
      <c r="AA15" s="78">
        <v>2560</v>
      </c>
      <c r="AB15" s="78" ph="1">
        <v>690</v>
      </c>
      <c r="AC15" s="78" ph="1">
        <v>499</v>
      </c>
      <c r="AD15" s="78">
        <v>5.25</v>
      </c>
      <c r="AE15" s="78">
        <v>37.58</v>
      </c>
      <c r="AG15" s="64" t="s" ph="1">
        <v>214</v>
      </c>
      <c r="AH15" s="64" ph="1">
        <v>1</v>
      </c>
      <c r="AI15" s="64" t="s" ph="1">
        <v>333</v>
      </c>
      <c r="AK15" s="64" t="s" ph="1">
        <v>587</v>
      </c>
      <c r="AM15" s="64" t="s" ph="1">
        <v>335</v>
      </c>
      <c r="AZ15" s="64" t="s" ph="1">
        <v>216</v>
      </c>
      <c r="BA15" s="64" ph="1">
        <v>0</v>
      </c>
    </row>
    <row r="16" spans="1:99" s="72" customFormat="1" ht="22.2" ph="1">
      <c r="B16" s="195" ph="1"/>
      <c r="C16" s="156" t="s" ph="1">
        <v>178</v>
      </c>
      <c r="D16" s="73" ph="1">
        <f>D15*7.0686*LOOKUP(D17,密度!$A$2:$A$50,密度!$L$2:$L$50)</f>
        <v>38514.362733000002</v>
      </c>
      <c r="E16" s="73" ph="1">
        <f>E15*7.0686*LOOKUP(E17,密度!$A$2:$A$50,密度!$L$2:$L$50)</f>
        <v>16538.3256654</v>
      </c>
      <c r="F16" s="73" ph="1">
        <f>F15*9.0746*LOOKUP(F17,密度!$A$2:$A$50,密度!$L$2:$L$50)</f>
        <v>28904.978545200003</v>
      </c>
      <c r="G16" s="73" ph="1">
        <f>G15*9.0746*LOOKUP(G17,密度!$A$2:$A$50,密度!$B$2:$B$50)</f>
        <v>33186.752328560004</v>
      </c>
      <c r="H16" s="73" ph="1">
        <f>H15*9.0746*LOOKUP(H17,密度!$A$2:$A$50,密度!$L$2:$L$50)</f>
        <v>35314.713359999994</v>
      </c>
      <c r="I16" s="73" ph="1">
        <f>I15*9.0746*LOOKUP(I17,密度!$A$2:$A$50,密度!$U$2:$U$50)</f>
        <v>50004.675839999996</v>
      </c>
      <c r="J16" s="73" ph="1">
        <f>J15*9.0746*LOOKUP(J17,密度!$A$2:$A$50,密度!$L$2:$L$50)</f>
        <v>24664.218324000001</v>
      </c>
      <c r="K16" s="73" ph="1">
        <f>K15*9.0746*LOOKUP(K17,密度!$A$2:$A$50,密度!$C$2:$C$50)</f>
        <v>22907.375763999997</v>
      </c>
      <c r="L16" s="73" ph="1">
        <f>L15*9.0746*LOOKUP(L17,密度!$A$2:$A$50,密度!$E$2:$E$50)</f>
        <v>42245.35562368</v>
      </c>
      <c r="M16" s="73" ph="1">
        <f>M15*9.0746*LOOKUP(M17,密度!$A$2:$A$50,密度!$M$2:$M$50)</f>
        <v>36352.557212800006</v>
      </c>
      <c r="N16" s="73" ph="1">
        <f>N15*9.0746*LOOKUP(N17,密度!$A$2:$A$50,密度!$M$2:$M$50)</f>
        <v>37166.915446640007</v>
      </c>
      <c r="O16" s="73" ph="1">
        <f>O15*9.0746*LOOKUP(O17,密度!$A$2:$A$50,密度!$G$2:$G$50)</f>
        <v>47575.332823199999</v>
      </c>
      <c r="P16" s="73" ph="1">
        <f ca="1">P15*9.0746*LOOKUP(P17,密度!$A$2:$A$51,密度!$Q$2:$Q$50)</f>
        <v>16753.0092678</v>
      </c>
      <c r="Q16" s="73" ph="1">
        <f>Q15*9.0746*LOOKUP(Q17,密度!$A$2:$A$50,密度!$Q$2:$Q$50)</f>
        <v>6417.691242588</v>
      </c>
      <c r="R16" s="73" ph="1">
        <f>MAX(R15*9.0746*LOOKUP(R17,密度!$A$2:$A$50,密度!$B$2:$B$50),0)</f>
        <v>13767.090179360001</v>
      </c>
      <c r="S16" s="73" ph="1">
        <f>S15*9.0746*LOOKUP(S17,密度!$A$2:$A$50,密度!$Q$2:$Q$50)</f>
        <v>1623.7532059560001</v>
      </c>
      <c r="T16" s="73" ph="1">
        <f>T15*9.0746*LOOKUP(T17,密度!$A$2:$A$50,密度!$O$2:$O$50)</f>
        <v>14713.792379600001</v>
      </c>
      <c r="U16" s="73" ph="1">
        <f>U15*9.0746*LOOKUP(U17,密度!$A$2:$A$50,密度!$H$2:$H$50)</f>
        <v>55574.679839359997</v>
      </c>
      <c r="V16" s="73" ph="1">
        <f>MAX(5600*LOOKUP(V17,密度!$A$2:$A$50,密度!$Q$2:$Q$50)+V15*9.0476*LOOKUP(V17,密度!$A$2:$A$50,密度!$Q$2:$Q$50),0)</f>
        <v>0</v>
      </c>
      <c r="W16" s="73" ph="1">
        <f>MAX(5600*LOOKUP(W17,密度!$A$2:$A$50,密度!$Q$2:$Q$50)+W15*9.0476*LOOKUP(W17,密度!$A$2:$A$50,密度!$Q$2:$Q$50),0)</f>
        <v>0</v>
      </c>
      <c r="X16" s="73" ph="1">
        <f>MAX(5600*LOOKUP(X17,密度!$A$2:$A$50,密度!$I$2:$I$50)+X15*9.0476*LOOKUP(X17,密度!$A$2:$A$50,密度!$I$2:$I$50),0)</f>
        <v>18349.208381199998</v>
      </c>
      <c r="Y16" s="107" ph="1">
        <v>0</v>
      </c>
      <c r="Z16" s="73" ph="1">
        <f>Z15*9.0746*LOOKUP(Z17,密度!$A$2:$A$50,密度!$D$2:$D$50)</f>
        <v>17776.629592559999</v>
      </c>
      <c r="AA16" s="73" ph="1">
        <f>AA15*9.0746*LOOKUP(AA17,密度!$A$2:$A$50,密度!$B$2:$B$50)</f>
        <v>18131.776768</v>
      </c>
      <c r="AB16" s="73" ph="1">
        <f>AB15*9.0746*LOOKUP(AB17,密度!$A$2:$A$50,密度!$L$2:$L$50)</f>
        <v>5867.0011380000005</v>
      </c>
      <c r="AC16" s="73" ph="1">
        <f>AC15*9.0746*LOOKUP(AC17,密度!$A$2:$A$50,密度!$L$2:$L$50)</f>
        <v>4247.4754252000002</v>
      </c>
      <c r="AD16" s="73" ph="1">
        <f>AD15*268.68*LOOKUP(AD17,密度!$A$2:$A$50,密度!B2:B50)+IF(AD15&lt;=0,0,1566*LOOKUP(AD17,密度!$A$2:$A$50,密度!B2:B50))</f>
        <v>2320.5339719999997</v>
      </c>
      <c r="AE16" s="73" ph="1">
        <f>AE15*268.68*LOOKUP(AE17,密度!$A$2:$A$50,密度!B2:B50)+IF(AE15&lt;=0,0,1566*LOOKUP(AE17,密度!$A$2:$A$50,密度!B2:B50))</f>
        <v>9092.47043424</v>
      </c>
      <c r="AH16" s="72" ph="1">
        <v>2</v>
      </c>
      <c r="AI16" s="72" t="s" ph="1">
        <v>337</v>
      </c>
      <c r="AZ16" s="72" t="s" ph="1">
        <v>216</v>
      </c>
      <c r="BA16" s="72" ph="1">
        <v>0</v>
      </c>
    </row>
    <row r="17" spans="1:57" ph="1">
      <c r="A17" s="64" t="s" ph="1">
        <v>73</v>
      </c>
      <c r="B17" s="196" ph="1"/>
      <c r="C17" s="79" t="s" ph="1">
        <v>179</v>
      </c>
      <c r="D17" s="74">
        <v>25</v>
      </c>
      <c r="E17" s="74">
        <v>25</v>
      </c>
      <c r="F17" s="74">
        <v>29</v>
      </c>
      <c r="G17" s="74">
        <v>25</v>
      </c>
      <c r="H17" s="74">
        <v>22</v>
      </c>
      <c r="I17" s="74">
        <v>25</v>
      </c>
      <c r="J17" s="74">
        <v>28</v>
      </c>
      <c r="K17" s="74">
        <v>24</v>
      </c>
      <c r="L17" s="74">
        <v>25</v>
      </c>
      <c r="M17" s="74">
        <v>28</v>
      </c>
      <c r="N17" s="74">
        <v>24</v>
      </c>
      <c r="O17" s="74">
        <v>25</v>
      </c>
      <c r="P17" s="74">
        <v>25</v>
      </c>
      <c r="Q17" s="74">
        <v>25</v>
      </c>
      <c r="R17" s="74">
        <v>25</v>
      </c>
      <c r="S17" s="74">
        <v>25</v>
      </c>
      <c r="T17" s="74">
        <v>25</v>
      </c>
      <c r="U17" s="74">
        <v>24</v>
      </c>
      <c r="V17" s="74">
        <v>26</v>
      </c>
      <c r="W17" s="74">
        <v>26</v>
      </c>
      <c r="X17" s="74">
        <v>28</v>
      </c>
      <c r="Y17" s="108">
        <v>28</v>
      </c>
      <c r="Z17" s="74">
        <v>25</v>
      </c>
      <c r="AA17" s="74">
        <v>24</v>
      </c>
      <c r="AB17" s="74">
        <v>25</v>
      </c>
      <c r="AC17" s="74">
        <v>24</v>
      </c>
      <c r="AD17" s="74">
        <v>25</v>
      </c>
      <c r="AE17" s="74">
        <v>25</v>
      </c>
      <c r="AH17" s="64" ph="1">
        <v>3</v>
      </c>
      <c r="AI17" s="64" t="s" ph="1">
        <v>338</v>
      </c>
      <c r="AK17" s="64" t="s" ph="1">
        <v>570</v>
      </c>
      <c r="AL17" s="64" ph="1">
        <v>80</v>
      </c>
      <c r="AM17" s="64" t="s" ph="1">
        <v>335</v>
      </c>
      <c r="AZ17" s="64" t="s" ph="1">
        <v>216</v>
      </c>
      <c r="BA17" s="64" ph="1">
        <v>80</v>
      </c>
      <c r="BD17" s="64" t="s" ph="1">
        <v>214</v>
      </c>
      <c r="BE17" s="64" ph="1">
        <v>2270</v>
      </c>
    </row>
    <row r="18" spans="1:57" ht="26.4" ph="1">
      <c r="B18" s="194" ph="1">
        <v>0.66666666666666663</v>
      </c>
      <c r="C18" s="79" t="s" ph="1">
        <v>180</v>
      </c>
      <c r="D18" s="71">
        <v>3403</v>
      </c>
      <c r="E18" s="71">
        <v>3648</v>
      </c>
      <c r="F18" s="71">
        <v>3410</v>
      </c>
      <c r="G18" s="71">
        <v>1398</v>
      </c>
      <c r="H18" s="71">
        <v>2026</v>
      </c>
      <c r="I18" s="71">
        <v>5375</v>
      </c>
      <c r="J18" s="71">
        <v>3153</v>
      </c>
      <c r="K18" s="71">
        <v>2275</v>
      </c>
      <c r="L18" s="71">
        <v>5329</v>
      </c>
      <c r="M18" s="71">
        <v>1711</v>
      </c>
      <c r="N18" s="71">
        <v>6616</v>
      </c>
      <c r="O18" s="71">
        <v>5458</v>
      </c>
      <c r="P18" s="71">
        <v>1959</v>
      </c>
      <c r="Q18" s="71">
        <v>747</v>
      </c>
      <c r="R18" s="71">
        <v>1945</v>
      </c>
      <c r="S18" s="71">
        <v>190</v>
      </c>
      <c r="T18" s="71">
        <v>1732</v>
      </c>
      <c r="U18" s="71">
        <v>6686</v>
      </c>
      <c r="V18" s="71">
        <v>-817</v>
      </c>
      <c r="W18" s="71">
        <v>-769</v>
      </c>
      <c r="X18" s="71">
        <v>1334</v>
      </c>
      <c r="Y18" s="109">
        <v>-9906</v>
      </c>
      <c r="Z18" s="71">
        <v>1710</v>
      </c>
      <c r="AA18" s="71">
        <v>2560</v>
      </c>
      <c r="AB18" s="71">
        <v>691</v>
      </c>
      <c r="AC18" s="71">
        <v>499</v>
      </c>
      <c r="AD18" s="71">
        <v>5.91</v>
      </c>
      <c r="AE18" s="71">
        <v>85.61</v>
      </c>
      <c r="AH18" s="64" ph="1">
        <v>4</v>
      </c>
      <c r="AI18" s="64" t="s" ph="1">
        <v>340</v>
      </c>
      <c r="AJ18" s="64" t="s" ph="1">
        <v>588</v>
      </c>
      <c r="AK18" s="64" t="s" ph="1">
        <v>587</v>
      </c>
      <c r="AL18" s="64" ph="1">
        <v>740</v>
      </c>
      <c r="AM18" s="64" t="s" ph="1">
        <v>339</v>
      </c>
      <c r="AZ18" s="64" t="s" ph="1">
        <v>216</v>
      </c>
      <c r="BA18" s="64" ph="1">
        <v>740</v>
      </c>
    </row>
    <row r="19" spans="1:57" s="72" customFormat="1" ht="22.2" ph="1">
      <c r="B19" s="195" ph="1"/>
      <c r="C19" s="156" t="s" ph="1">
        <v>178</v>
      </c>
      <c r="D19" s="73" ph="1">
        <f>D18*7.0686*LOOKUP(D20,密度!$A$2:$A$50,密度!$L$2:$L$50)</f>
        <v>22539.015714600002</v>
      </c>
      <c r="E19" s="73" ph="1">
        <f>E18*7.0686*LOOKUP(E20,密度!$A$2:$A$50,密度!$L$2:$L$50)</f>
        <v>24161.718873599999</v>
      </c>
      <c r="F19" s="73" ph="1">
        <f>F18*9.0746*LOOKUP(F20,密度!$A$2:$A$50,密度!$L$2:$L$50)</f>
        <v>28933.000910000002</v>
      </c>
      <c r="G19" s="73" ph="1">
        <f>G18*9.0746*LOOKUP(G20,密度!$A$2:$A$50,密度!$B$2:$B$50)</f>
        <v>9890.2323076800003</v>
      </c>
      <c r="H19" s="73" ph="1">
        <f>H18*9.0746*LOOKUP(H20,密度!$A$2:$A$50,密度!$L$2:$L$50)</f>
        <v>17318.8015032</v>
      </c>
      <c r="I19" s="73" ph="1">
        <f>I18*9.0746*LOOKUP(I20,密度!$A$2:$A$50,密度!$U$2:$U$50)</f>
        <v>49995.374374999992</v>
      </c>
      <c r="J19" s="73" ph="1">
        <f>J18*9.0746*LOOKUP(J20,密度!$A$2:$A$50,密度!$L$2:$L$50)</f>
        <v>26781.032116800005</v>
      </c>
      <c r="K19" s="73" ph="1">
        <f>K18*9.0746*LOOKUP(K20,密度!$A$2:$A$50,密度!$C$2:$C$50)</f>
        <v>22907.375763999997</v>
      </c>
      <c r="L19" s="73" ph="1">
        <f>L18*9.0746*LOOKUP(L20,密度!$A$2:$A$50,密度!$E$2:$E$50)</f>
        <v>37874.411190880004</v>
      </c>
      <c r="M19" s="73" ph="1">
        <f>M18*9.0746*LOOKUP(M20,密度!$A$2:$A$50,密度!$M$2:$M$50)</f>
        <v>13539.2306032</v>
      </c>
      <c r="N19" s="73" ph="1">
        <f>N18*9.0746*LOOKUP(N20,密度!$A$2:$A$50,密度!$M$2:$M$50)</f>
        <v>52538.863155359999</v>
      </c>
      <c r="O19" s="73" ph="1">
        <f>O18*9.0746*LOOKUP(O20,密度!$A$2:$A$50,密度!$G$2:$G$50)</f>
        <v>47557.905961360004</v>
      </c>
      <c r="P19" s="73" ph="1">
        <f ca="1">P18*9.0746*LOOKUP(P20,密度!$A$2:$A$51,密度!$Q$2:$Q$50)</f>
        <v>16830.330849036</v>
      </c>
      <c r="Q19" s="73" ph="1">
        <f>Q18*9.0746*LOOKUP(Q20,密度!$A$2:$A$50,密度!$Q$2:$Q$50)</f>
        <v>6417.691242588</v>
      </c>
      <c r="R19" s="73" ph="1">
        <f>MAX(R18*9.0746*LOOKUP(R20,密度!$A$2:$A$50,密度!$B$2:$B$50),0)</f>
        <v>13760.0156212</v>
      </c>
      <c r="S19" s="73" ph="1">
        <f>S18*9.0746*LOOKUP(S20,密度!$A$2:$A$50,密度!$Q$2:$Q$50)</f>
        <v>1632.3444927600001</v>
      </c>
      <c r="T19" s="73" ph="1">
        <f>T18*9.0746*LOOKUP(T20,密度!$A$2:$A$50,密度!$O$2:$O$50)</f>
        <v>14554.133867200002</v>
      </c>
      <c r="U19" s="73" ph="1">
        <f>U18*9.0746*LOOKUP(U20,密度!$A$2:$A$50,密度!$H$2:$H$50)</f>
        <v>55685.47344568</v>
      </c>
      <c r="V19" s="73" ph="1">
        <f>MAX(5600*LOOKUP(V20,密度!$A$2:$A$50,密度!$Q$2:$Q$50)+V18*9.0476*LOOKUP(V20,密度!$A$2:$A$50,密度!$Q$2:$Q$50),0)</f>
        <v>0</v>
      </c>
      <c r="W19" s="73" ph="1">
        <f>MAX(5600*LOOKUP(W20,密度!$A$2:$A$50,密度!$Q$2:$Q$50)+W18*9.0476*LOOKUP(W20,密度!$A$2:$A$50,密度!$Q$2:$Q$50),0)</f>
        <v>0</v>
      </c>
      <c r="X19" s="73" ph="1">
        <f>MAX(5600*LOOKUP(X20,密度!$A$2:$A$50,密度!$I$2:$I$50)+X18*9.0476*LOOKUP(X20,密度!$A$2:$A$50,密度!$I$2:$I$50),0)</f>
        <v>18317.968991279999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15931.8850122</v>
      </c>
      <c r="AA19" s="73" ph="1">
        <f>AA18*9.0746*LOOKUP(AA20,密度!$A$2:$A$50,密度!$B$2:$B$50)</f>
        <v>18131.776768</v>
      </c>
      <c r="AB19" s="73" ph="1">
        <f>AB18*9.0746*LOOKUP(AB20,密度!$A$2:$A$50,密度!$L$2:$L$50)</f>
        <v>5875.5040382000007</v>
      </c>
      <c r="AC19" s="73" ph="1">
        <f>AC18*9.0746*LOOKUP(AC20,密度!$A$2:$A$50,密度!$L$2:$L$50)</f>
        <v>4252.0036505999997</v>
      </c>
      <c r="AD19" s="73" ph="1">
        <f>AD18*268.68*LOOKUP(AD20,密度!$A$2:$A$50,密度!B5:B53)+IF(AD18&lt;=0,0,1566*LOOKUP(AD20,密度!$A$2:$A$50,密度!B5:B53))</f>
        <v>2450.5793676000003</v>
      </c>
      <c r="AE19" s="73" ph="1">
        <f>AE18*268.68*LOOKUP(AE20,密度!$A$2:$A$50,密度!B5:B53)+IF(AE18&lt;=0,0,1566*LOOKUP(AE20,密度!$A$2:$A$50,密度!B5:B53))</f>
        <v>19089.098859600002</v>
      </c>
      <c r="AH19" s="72" ph="1">
        <v>5</v>
      </c>
      <c r="AI19" s="72" t="s" ph="1">
        <v>341</v>
      </c>
      <c r="AZ19" s="72" t="s" ph="1">
        <v>216</v>
      </c>
      <c r="BA19" s="72" ph="1">
        <v>0</v>
      </c>
      <c r="BD19" s="72" t="s" ph="1">
        <v>342</v>
      </c>
      <c r="BE19" s="72" ph="1">
        <v>1440</v>
      </c>
    </row>
    <row r="20" spans="1:57" ph="1">
      <c r="A20" s="72" ph="1"/>
      <c r="B20" s="195" ph="1"/>
      <c r="C20" s="80" t="s" ph="1">
        <v>179</v>
      </c>
      <c r="D20" s="81">
        <v>25</v>
      </c>
      <c r="E20" s="81">
        <v>25</v>
      </c>
      <c r="F20" s="81">
        <v>27</v>
      </c>
      <c r="G20" s="81">
        <v>25</v>
      </c>
      <c r="H20" s="81">
        <v>20</v>
      </c>
      <c r="I20" s="81">
        <v>25</v>
      </c>
      <c r="J20" s="81">
        <v>26</v>
      </c>
      <c r="K20" s="81">
        <v>24</v>
      </c>
      <c r="L20" s="81">
        <v>25</v>
      </c>
      <c r="M20" s="81">
        <v>28</v>
      </c>
      <c r="N20" s="81">
        <v>25</v>
      </c>
      <c r="O20" s="81">
        <v>25</v>
      </c>
      <c r="P20" s="81">
        <v>25</v>
      </c>
      <c r="Q20" s="81">
        <v>25</v>
      </c>
      <c r="R20" s="81">
        <v>25</v>
      </c>
      <c r="S20" s="81">
        <v>25</v>
      </c>
      <c r="T20" s="81">
        <v>25</v>
      </c>
      <c r="U20" s="81">
        <v>22</v>
      </c>
      <c r="V20" s="81">
        <v>25</v>
      </c>
      <c r="W20" s="81">
        <v>25</v>
      </c>
      <c r="X20" s="81">
        <v>30</v>
      </c>
      <c r="Y20" s="110">
        <v>30</v>
      </c>
      <c r="Z20" s="81">
        <v>25</v>
      </c>
      <c r="AA20" s="81">
        <v>24</v>
      </c>
      <c r="AB20" s="81">
        <v>25</v>
      </c>
      <c r="AC20" s="81">
        <v>23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343</v>
      </c>
      <c r="AZ20" s="64" t="s" ph="1">
        <v>216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344</v>
      </c>
      <c r="AZ21" s="64" t="s" ph="1">
        <v>216</v>
      </c>
      <c r="BA21" s="64" ph="1">
        <v>0</v>
      </c>
      <c r="BD21" s="64" t="s" ph="1">
        <v>232</v>
      </c>
      <c r="BE21" s="64" ph="1">
        <v>730</v>
      </c>
    </row>
    <row r="22" spans="1:57" ph="1">
      <c r="A22" s="72" ph="1"/>
      <c r="B22" s="193" t="s" ph="1">
        <v>37</v>
      </c>
      <c r="C22" s="85" t="s" ph="1">
        <v>176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172" t="s" ph="1">
        <v>69</v>
      </c>
      <c r="AA22" s="173"/>
      <c r="AB22" s="173"/>
      <c r="AC22" s="173"/>
      <c r="AD22" s="173"/>
      <c r="AE22" s="174"/>
      <c r="AH22" s="64" ph="1">
        <v>8</v>
      </c>
      <c r="AI22" s="64" t="s" ph="1">
        <v>345</v>
      </c>
      <c r="AZ22" s="64" t="s" ph="1">
        <v>216</v>
      </c>
      <c r="BA22" s="64" ph="1">
        <v>0</v>
      </c>
    </row>
    <row r="23" spans="1:57" ph="1">
      <c r="A23" s="72" ph="1"/>
      <c r="B23" s="188" ph="1"/>
      <c r="C23" s="67" t="s" ph="1">
        <v>36</v>
      </c>
      <c r="D23" s="88" t="s" ph="1">
        <v>109</v>
      </c>
      <c r="E23" s="88" t="s" ph="1">
        <v>107</v>
      </c>
      <c r="F23" s="88" t="s" ph="1">
        <v>109</v>
      </c>
      <c r="G23" s="88" t="s" ph="1">
        <v>626</v>
      </c>
      <c r="H23" s="88" t="s" ph="1">
        <v>626</v>
      </c>
      <c r="I23" s="88" t="s" ph="1">
        <v>627</v>
      </c>
      <c r="J23" s="88" t="s" ph="1">
        <v>628</v>
      </c>
      <c r="K23" s="88" t="s" ph="1">
        <v>628</v>
      </c>
      <c r="L23" s="88" t="s" ph="1">
        <v>628</v>
      </c>
      <c r="M23" s="88" t="s" ph="1">
        <v>623</v>
      </c>
      <c r="N23" s="88" t="s" ph="1">
        <v>623</v>
      </c>
      <c r="O23" s="88" t="s" ph="1">
        <v>318</v>
      </c>
      <c r="P23" s="88" t="s" ph="1">
        <v>629</v>
      </c>
      <c r="Q23" s="89" t="s" ph="1">
        <v>629</v>
      </c>
      <c r="R23" s="88" t="s" ph="1">
        <v>610</v>
      </c>
      <c r="S23" s="88" t="s" ph="1">
        <v>629</v>
      </c>
      <c r="T23" s="88" t="s" ph="1">
        <v>604</v>
      </c>
      <c r="U23" s="104" t="s" ph="1">
        <v>606</v>
      </c>
      <c r="V23" s="88" t="s" ph="1">
        <v>629</v>
      </c>
      <c r="W23" s="88" t="s" ph="1">
        <v>629</v>
      </c>
      <c r="X23" s="88" t="s" ph="1">
        <v>187</v>
      </c>
      <c r="Y23" s="88" t="s" ph="1">
        <v>630</v>
      </c>
      <c r="Z23" s="175" t="s" ph="1">
        <v>638</v>
      </c>
      <c r="AA23" s="176"/>
      <c r="AB23" s="176"/>
      <c r="AC23" s="176"/>
      <c r="AD23" s="176"/>
      <c r="AE23" s="177"/>
      <c r="AH23" s="64" ph="1">
        <v>9</v>
      </c>
      <c r="AI23" s="64" t="s" ph="1">
        <v>346</v>
      </c>
      <c r="AZ23" s="64" t="s" ph="1">
        <v>216</v>
      </c>
      <c r="BA23" s="64" ph="1">
        <v>0</v>
      </c>
      <c r="BD23" s="64" t="s" ph="1">
        <v>238</v>
      </c>
      <c r="BE23" s="64" ph="1">
        <v>890</v>
      </c>
    </row>
    <row r="24" spans="1:57" ph="1">
      <c r="A24" s="72" ph="1"/>
      <c r="B24" s="184" ph="1">
        <v>0.33333333333333331</v>
      </c>
      <c r="C24" s="156" t="s" ph="1">
        <v>177</v>
      </c>
      <c r="D24" s="71">
        <v>48.03</v>
      </c>
      <c r="E24" s="71">
        <v>5.76</v>
      </c>
      <c r="F24" s="71">
        <v>1277</v>
      </c>
      <c r="G24" s="71">
        <v>3617</v>
      </c>
      <c r="H24" s="71">
        <v>3956</v>
      </c>
      <c r="I24" s="71">
        <v>1458</v>
      </c>
      <c r="J24" s="71">
        <v>203</v>
      </c>
      <c r="K24" s="71">
        <v>1725</v>
      </c>
      <c r="L24" s="71">
        <v>2699</v>
      </c>
      <c r="M24" s="71">
        <v>1011</v>
      </c>
      <c r="N24" s="71">
        <v>4690</v>
      </c>
      <c r="O24" s="71">
        <v>1474</v>
      </c>
      <c r="P24" s="71">
        <v>841</v>
      </c>
      <c r="Q24" s="90">
        <v>2524</v>
      </c>
      <c r="R24" s="71">
        <v>5778</v>
      </c>
      <c r="S24" s="71">
        <v>5190</v>
      </c>
      <c r="T24" s="71">
        <v>510</v>
      </c>
      <c r="U24" s="71">
        <v>4385</v>
      </c>
      <c r="V24" s="71">
        <v>1014</v>
      </c>
      <c r="W24" s="71">
        <v>401</v>
      </c>
      <c r="X24" s="71">
        <v>5063</v>
      </c>
      <c r="Y24" s="71">
        <v>8222</v>
      </c>
      <c r="Z24" s="178"/>
      <c r="AA24" s="179"/>
      <c r="AB24" s="179"/>
      <c r="AC24" s="179"/>
      <c r="AD24" s="179"/>
      <c r="AE24" s="180"/>
      <c r="AH24" s="64" ph="1">
        <v>10</v>
      </c>
      <c r="AI24" s="64" t="s" ph="1">
        <v>347</v>
      </c>
      <c r="AZ24" s="64" t="s" ph="1">
        <v>216</v>
      </c>
      <c r="BA24" s="64" ph="1">
        <v>0</v>
      </c>
    </row>
    <row r="25" spans="1:57" ph="1">
      <c r="A25" s="72" ph="1"/>
      <c r="B25" s="184" ph="1"/>
      <c r="C25" s="68" t="s" ph="1">
        <v>178</v>
      </c>
      <c r="D25" s="91" ph="1">
        <f>D24*268.68*LOOKUP(D26,密度!$A$2:$A$50,密度!$Q$2:$Q$50)+IF(D24&lt;=0,0,1566*LOOKUP(D26,密度!$A$2:$A$50,密度!$Q$2:$Q$50))</f>
        <v>13699.990896696001</v>
      </c>
      <c r="E25" s="91" ph="1">
        <f>E24*268.68*LOOKUP(E26,密度!$A$2:$A$50,密度!$C$2:$C$50)+IF(E24&lt;=0,0,1566*LOOKUP(E26,密度!$A$2:$A$50,密度!$C$2:$C$50))</f>
        <v>3452.6674915200001</v>
      </c>
      <c r="F25" s="91" ph="1">
        <f>F24*11.702*LOOKUP(F26,密度!$A$2:$A$50,密度!$Q$2:$Q$50)</f>
        <v>14182.68275686</v>
      </c>
      <c r="G25" s="91" ph="1">
        <f>G24*18.322*LOOKUP(G26,密度!$A$2:$A$50,密度!$B$2:$B$50)</f>
        <v>51604.973843799999</v>
      </c>
      <c r="H25" s="91" ph="1">
        <f>H24*18.322*LOOKUP(H26,密度!$A$2:$A$50,密度!$B$2:$B$50)</f>
        <v>56506.836227199994</v>
      </c>
      <c r="I25" s="91" ph="1">
        <f>I24*18.322*LOOKUP(I26,密度!$A$2:$A$50,密度!$Q$2:$Q$50)</f>
        <v>25290.716268240001</v>
      </c>
      <c r="J25" s="91" ph="1">
        <f>J24*18.322*LOOKUP(J26,密度!$A$2:$A$50,密度!$Q$2:$Q$50)</f>
        <v>3521.2725668400003</v>
      </c>
      <c r="K25" s="91" ph="1">
        <f>K24*18.322*LOOKUP(K26,密度!$A$2:$A$50,密度!$Q$2:$Q$50)</f>
        <v>29945.215711499997</v>
      </c>
      <c r="L25" s="91" ph="1">
        <f>L24*18.322*LOOKUP(L26,密度!$A$2:$A$50,密度!$Q$2:$Q$50)</f>
        <v>46817.313585720003</v>
      </c>
      <c r="M25" s="91" ph="1">
        <f>M24*18.322*LOOKUP(M26,密度!$A$2:$A$50,密度!$Q$2:$Q$50)</f>
        <v>17536.978153079999</v>
      </c>
      <c r="N25" s="91" ph="1">
        <f>N24*18.322*LOOKUP(N26,密度!$A$2:$A$50,密度!$Q$2:$Q$50)</f>
        <v>81478.996675999995</v>
      </c>
      <c r="O25" s="91" ph="1">
        <f>O24*18.322*LOOKUP(O26,密度!$A$2:$A$50,密度!$C$2:$C$50)</f>
        <v>29966.554428799995</v>
      </c>
      <c r="P25" s="91" ph="1">
        <f>P24*11.702*LOOKUP(P26,密度!$A$2:$A$50,密度!$B$2:$B$50)</f>
        <v>7681.1986509999997</v>
      </c>
      <c r="Q25" s="92" ph="1">
        <f>Q24*18.322*LOOKUP(Q26,密度!$A$2:$A$50,密度!$B$2:$B$50)</f>
        <v>36010.769693599992</v>
      </c>
      <c r="R25" s="91" ph="1">
        <f>R24*35.891*LOOKUP(R26,密度!$A$2:$A$50,密度!$C$2:$C$50)</f>
        <v>229484.7139068</v>
      </c>
      <c r="S25" s="91" ph="1">
        <f>S24*35.891*LOOKUP(S26,密度!$A$2:$A$50,密度!$B$2:$B$50)</f>
        <v>145387.08334499999</v>
      </c>
      <c r="T25" s="91" ph="1">
        <f>T24*35.891*LOOKUP(T26,密度!$A$2:$A$50,密度!$Q$2:$Q$50)</f>
        <v>17303.5248612</v>
      </c>
      <c r="U25" s="91" ph="1">
        <f>U24*35.891</f>
        <v>157382.035</v>
      </c>
      <c r="V25" s="91" ph="1">
        <f>V24*47.051*LOOKUP(V26,密度!$A$2:$A$50,密度!$B$2:$B$50)</f>
        <v>37323.309262199997</v>
      </c>
      <c r="W25" s="91" ph="1">
        <f>W24*47.051*LOOKUP(W26,密度!$A$2:$A$50,密度!$B$2:$B$50)</f>
        <v>14726.0455055</v>
      </c>
      <c r="X25" s="91" ph="1">
        <f>X24*47.051*LOOKUP(X26,密度!$A$2:$A$61,密度!$I$2:$I$61)</f>
        <v>248295.88570990003</v>
      </c>
      <c r="Y25" s="91" ph="1">
        <f>Y24*47.051*LOOKUP(Y26,密度!$A$2:$A$50,密度!$L$2:$L$50)</f>
        <v>362094.70939200005</v>
      </c>
      <c r="Z25" s="178"/>
      <c r="AA25" s="179"/>
      <c r="AB25" s="179"/>
      <c r="AC25" s="179"/>
      <c r="AD25" s="179"/>
      <c r="AE25" s="180"/>
      <c r="AH25" s="64" ph="1">
        <v>11</v>
      </c>
      <c r="AI25" s="64" t="s" ph="1">
        <v>348</v>
      </c>
      <c r="AZ25" s="64" t="s" ph="1">
        <v>216</v>
      </c>
      <c r="BA25" s="64" ph="1">
        <v>0</v>
      </c>
      <c r="BD25" s="64" t="s" ph="1">
        <v>241</v>
      </c>
      <c r="BE25" s="64" ph="1">
        <v>8920</v>
      </c>
    </row>
    <row r="26" spans="1:57" ph="1">
      <c r="A26" s="72" ph="1"/>
      <c r="B26" s="184" ph="1"/>
      <c r="C26" s="68" t="s" ph="1">
        <v>179</v>
      </c>
      <c r="D26" s="74">
        <v>25</v>
      </c>
      <c r="E26" s="74">
        <v>25</v>
      </c>
      <c r="F26" s="74">
        <v>22</v>
      </c>
      <c r="G26" s="74">
        <v>26</v>
      </c>
      <c r="H26" s="74">
        <v>25</v>
      </c>
      <c r="I26" s="74">
        <v>25</v>
      </c>
      <c r="J26" s="74">
        <v>25</v>
      </c>
      <c r="K26" s="74">
        <v>24</v>
      </c>
      <c r="L26" s="74">
        <v>25</v>
      </c>
      <c r="M26" s="74">
        <v>25</v>
      </c>
      <c r="N26" s="74">
        <v>23</v>
      </c>
      <c r="O26" s="74">
        <v>24</v>
      </c>
      <c r="P26" s="74">
        <v>24</v>
      </c>
      <c r="Q26" s="93">
        <v>26</v>
      </c>
      <c r="R26" s="74">
        <v>28</v>
      </c>
      <c r="S26" s="74">
        <v>24</v>
      </c>
      <c r="T26" s="74">
        <v>27</v>
      </c>
      <c r="U26" s="74">
        <v>28</v>
      </c>
      <c r="V26" s="74">
        <v>22</v>
      </c>
      <c r="W26" s="74">
        <v>24</v>
      </c>
      <c r="X26" s="74">
        <v>25</v>
      </c>
      <c r="Y26" s="74">
        <v>26</v>
      </c>
      <c r="Z26" s="178"/>
      <c r="AA26" s="179"/>
      <c r="AB26" s="179"/>
      <c r="AC26" s="179"/>
      <c r="AD26" s="179"/>
      <c r="AE26" s="180"/>
      <c r="AH26" s="64" ph="1">
        <v>12</v>
      </c>
      <c r="AI26" s="64" t="s" ph="1">
        <v>349</v>
      </c>
      <c r="AZ26" s="64" t="s" ph="1">
        <v>216</v>
      </c>
      <c r="BA26" s="64" ph="1">
        <v>0</v>
      </c>
    </row>
    <row r="27" spans="1:57" ht="26.4" ph="1">
      <c r="A27" s="72" ph="1"/>
      <c r="B27" s="184" ph="1">
        <v>0.66666666666666663</v>
      </c>
      <c r="C27" s="156" t="s" ph="1">
        <v>180</v>
      </c>
      <c r="D27" s="71">
        <v>20.02</v>
      </c>
      <c r="E27" s="71">
        <v>5.78</v>
      </c>
      <c r="F27" s="71">
        <v>45</v>
      </c>
      <c r="G27" s="71">
        <v>3161</v>
      </c>
      <c r="H27" s="71">
        <v>3517</v>
      </c>
      <c r="I27" s="71">
        <v>1459</v>
      </c>
      <c r="J27" s="71">
        <v>203</v>
      </c>
      <c r="K27" s="71">
        <v>1725</v>
      </c>
      <c r="L27" s="71">
        <v>2699</v>
      </c>
      <c r="M27" s="71">
        <v>386</v>
      </c>
      <c r="N27" s="71">
        <v>4690</v>
      </c>
      <c r="O27" s="71">
        <v>1474</v>
      </c>
      <c r="P27" s="71">
        <v>842</v>
      </c>
      <c r="Q27" s="90">
        <v>2801</v>
      </c>
      <c r="R27" s="71">
        <v>5245</v>
      </c>
      <c r="S27" s="71">
        <v>3932</v>
      </c>
      <c r="T27" s="71">
        <v>511</v>
      </c>
      <c r="U27" s="71">
        <v>4413</v>
      </c>
      <c r="V27" s="71">
        <v>1015</v>
      </c>
      <c r="W27" s="71">
        <v>402</v>
      </c>
      <c r="X27" s="71">
        <v>5542</v>
      </c>
      <c r="Y27" s="71">
        <v>8186</v>
      </c>
      <c r="Z27" s="178"/>
      <c r="AA27" s="179"/>
      <c r="AB27" s="179"/>
      <c r="AC27" s="179"/>
      <c r="AD27" s="179"/>
      <c r="AE27" s="180"/>
      <c r="AH27" s="64" ph="1">
        <v>13</v>
      </c>
      <c r="AI27" s="64" t="s" ph="1">
        <v>350</v>
      </c>
      <c r="AZ27" s="64" t="s" ph="1">
        <v>216</v>
      </c>
      <c r="BA27" s="64" ph="1">
        <v>0</v>
      </c>
      <c r="BD27" s="64" t="s" ph="1">
        <v>295</v>
      </c>
      <c r="BE27" s="64" ph="1">
        <v>7100</v>
      </c>
    </row>
    <row r="28" spans="1:57" ph="1">
      <c r="A28" s="72" ph="1"/>
      <c r="B28" s="184" ph="1"/>
      <c r="C28" s="156" t="s" ph="1">
        <v>178</v>
      </c>
      <c r="D28" s="91" ph="1">
        <f>D27*268.68*LOOKUP(D29,密度!$A$2:$A$50,密度!$Q$2:$Q$50)+IF(D27&lt;=0,0,1566*LOOKUP(D29,密度!$A$2:$A$50,密度!$Q$2:$Q$50))</f>
        <v>6575.084306064</v>
      </c>
      <c r="E28" s="91" ph="1">
        <f>E27*268.68*LOOKUP(E29,密度!$A$2:$A$50,密度!$C$2:$C$50)+IF(E27&lt;=0,0,1566*LOOKUP(E29,密度!$A$2:$A$50,密度!$C$2:$C$50))</f>
        <v>3458.6262765600004</v>
      </c>
      <c r="F28" s="91" ph="1">
        <f>F27*11.702*LOOKUP(F29,密度!$A$2:$A$50,密度!$Q$2:$Q$50)</f>
        <v>500.09725710000004</v>
      </c>
      <c r="G28" s="91" ph="1">
        <f>G27*18.322*LOOKUP(G29,密度!$A$2:$A$50,密度!$B$2:$B$50)</f>
        <v>45151.190423199994</v>
      </c>
      <c r="H28" s="91" ph="1">
        <f>H27*18.322*LOOKUP(H29,密度!$A$2:$A$50,密度!$B$2:$B$50)</f>
        <v>50294.228956999992</v>
      </c>
      <c r="I28" s="91" ph="1">
        <f>I27*18.322*LOOKUP(I29,密度!$A$2:$A$50,密度!$Q$2:$Q$50)</f>
        <v>25327.576651060001</v>
      </c>
      <c r="J28" s="91" ph="1">
        <f>J27*18.322*LOOKUP(J29,密度!$A$2:$A$50,密度!$Q$2:$Q$50)</f>
        <v>3521.2725668400003</v>
      </c>
      <c r="K28" s="91" ph="1">
        <f>K27*18.322*LOOKUP(K29,密度!$A$2:$A$50,密度!$Q$2:$Q$50)</f>
        <v>29945.215711499997</v>
      </c>
      <c r="L28" s="91" ph="1">
        <f>L27*18.322*LOOKUP(L29,密度!$A$2:$A$50,密度!$Q$2:$Q$50)</f>
        <v>46853.412872660003</v>
      </c>
      <c r="M28" s="91" ph="1">
        <f>M27*18.322*LOOKUP(M29,密度!$A$2:$A$50,密度!$Q$2:$Q$50)</f>
        <v>6695.6217280799992</v>
      </c>
      <c r="N28" s="91" ph="1">
        <f>N27*18.322*LOOKUP(N29,密度!$A$2:$A$50,密度!$Q$2:$Q$50)</f>
        <v>81555.474536199996</v>
      </c>
      <c r="O28" s="91" ph="1">
        <f>O27*18.322*LOOKUP(O29,密度!$A$2:$A$50,密度!$C$2:$C$50)</f>
        <v>29988.159731199998</v>
      </c>
      <c r="P28" s="91" ph="1">
        <f>P27*11.702*LOOKUP(P29,密度!$A$2:$A$50,密度!$B$2:$B$50)</f>
        <v>7681.4642863999998</v>
      </c>
      <c r="Q28" s="92" ph="1">
        <f>Q27*18.322*LOOKUP(Q29,密度!$A$2:$A$50,密度!$B$2:$B$50)</f>
        <v>39921.767323799999</v>
      </c>
      <c r="R28" s="91" ph="1">
        <f>R27*35.891*LOOKUP(R29,密度!$A$2:$A$50,密度!$C$2:$C$50)</f>
        <v>208466.16188299996</v>
      </c>
      <c r="S28" s="91" ph="1">
        <f>S27*35.891*LOOKUP(S29,密度!$A$2:$A$50,密度!$B$2:$B$50)</f>
        <v>110019.81199519998</v>
      </c>
      <c r="T28" s="91" ph="1">
        <f>T27*35.891*LOOKUP(T29,密度!$A$2:$A$50,密度!$Q$2:$Q$50)</f>
        <v>17337.453341320001</v>
      </c>
      <c r="U28" s="91" ph="1">
        <f>U27*35.891</f>
        <v>158386.98299999998</v>
      </c>
      <c r="V28" s="91" ph="1">
        <f>V27*47.051*LOOKUP(V29,密度!$A$2:$A$50,密度!$B$2:$B$50)</f>
        <v>37317.136170999998</v>
      </c>
      <c r="W28" s="91" ph="1">
        <f>W27*47.051*LOOKUP(W29,密度!$A$2:$A$50,密度!$B$2:$B$50)</f>
        <v>14762.768811</v>
      </c>
      <c r="X28" s="91" ph="1">
        <f>X27*47.051*LOOKUP(X29,密度!$A$2:$A$61,密度!$I$2:$I$61)</f>
        <v>271499.81565040001</v>
      </c>
      <c r="Y28" s="91" ph="1">
        <f>Y27*47.051*LOOKUP(Y29,密度!$A$2:$A$50,密度!$L$2:$L$50)</f>
        <v>360509.27889600006</v>
      </c>
      <c r="Z28" s="178"/>
      <c r="AA28" s="179"/>
      <c r="AB28" s="179"/>
      <c r="AC28" s="179"/>
      <c r="AD28" s="179"/>
      <c r="AE28" s="180"/>
      <c r="AH28" s="64" ph="1">
        <v>14</v>
      </c>
      <c r="AI28" s="64" t="s" ph="1">
        <v>351</v>
      </c>
      <c r="AZ28" s="64" t="s" ph="1">
        <v>216</v>
      </c>
      <c r="BA28" s="64" ph="1">
        <v>0</v>
      </c>
    </row>
    <row r="29" spans="1:57" ph="1">
      <c r="A29" s="72" ph="1"/>
      <c r="B29" s="184" ph="1"/>
      <c r="C29" s="156" t="s" ph="1">
        <v>179</v>
      </c>
      <c r="D29" s="74">
        <v>25</v>
      </c>
      <c r="E29" s="74">
        <v>25</v>
      </c>
      <c r="F29" s="74">
        <v>21</v>
      </c>
      <c r="G29" s="74">
        <v>25</v>
      </c>
      <c r="H29" s="74">
        <v>24</v>
      </c>
      <c r="I29" s="74">
        <v>24</v>
      </c>
      <c r="J29" s="74">
        <v>25</v>
      </c>
      <c r="K29" s="74">
        <v>24</v>
      </c>
      <c r="L29" s="74">
        <v>24</v>
      </c>
      <c r="M29" s="74">
        <v>25</v>
      </c>
      <c r="N29" s="74">
        <v>22</v>
      </c>
      <c r="O29" s="74">
        <v>23</v>
      </c>
      <c r="P29" s="74">
        <v>25</v>
      </c>
      <c r="Q29" s="93">
        <v>27</v>
      </c>
      <c r="R29" s="74">
        <v>27</v>
      </c>
      <c r="S29" s="74">
        <v>25</v>
      </c>
      <c r="T29" s="74">
        <v>27</v>
      </c>
      <c r="U29" s="74">
        <v>28</v>
      </c>
      <c r="V29" s="74">
        <v>23</v>
      </c>
      <c r="W29" s="74">
        <v>24</v>
      </c>
      <c r="X29" s="74">
        <v>26</v>
      </c>
      <c r="Y29" s="74">
        <v>26</v>
      </c>
      <c r="Z29" s="181"/>
      <c r="AA29" s="182"/>
      <c r="AB29" s="182"/>
      <c r="AC29" s="182"/>
      <c r="AD29" s="182"/>
      <c r="AE29" s="183"/>
      <c r="AH29" s="64" ph="1">
        <v>15</v>
      </c>
      <c r="AI29" s="64" t="s" ph="1">
        <v>352</v>
      </c>
      <c r="AZ29" s="64" t="s" ph="1">
        <v>216</v>
      </c>
      <c r="BA29" s="64" ph="1">
        <v>0</v>
      </c>
      <c r="BD29" s="64" t="s" ph="1">
        <v>353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354</v>
      </c>
      <c r="AZ30" s="64" t="s" ph="1">
        <v>216</v>
      </c>
      <c r="BA30" s="64" ph="1">
        <v>0</v>
      </c>
    </row>
    <row r="31" spans="1:57" ht="28.2" ph="1">
      <c r="A31" s="64"/>
      <c r="B31" s="197" t="s" ph="1">
        <v>35</v>
      </c>
      <c r="C31" s="198" ph="1"/>
      <c r="D31" s="201" t="s" ph="1">
        <v>9</v>
      </c>
      <c r="E31" s="190" ph="1"/>
      <c r="F31" s="191" ph="1"/>
      <c r="G31" s="201" t="s" ph="1">
        <v>18</v>
      </c>
      <c r="H31" s="190" ph="1"/>
      <c r="I31" s="191" ph="1"/>
      <c r="J31" s="189" t="s" ph="1">
        <v>1</v>
      </c>
      <c r="K31" s="190" ph="1"/>
      <c r="L31" s="191" ph="1"/>
      <c r="M31" s="189" t="s" ph="1">
        <v>7</v>
      </c>
      <c r="N31" s="190" ph="1"/>
      <c r="O31" s="191" ph="1"/>
      <c r="P31" s="189" t="s" ph="1">
        <v>41</v>
      </c>
      <c r="Q31" s="190"/>
      <c r="R31" s="191"/>
      <c r="S31" s="189" t="s" ph="1">
        <v>2</v>
      </c>
      <c r="T31" s="190"/>
      <c r="U31" s="191"/>
      <c r="V31" s="189" t="s" ph="1">
        <v>71</v>
      </c>
      <c r="W31" s="190" ph="1"/>
      <c r="X31" s="191" ph="1"/>
      <c r="Y31" s="189" t="s" ph="1">
        <v>3</v>
      </c>
      <c r="Z31" s="190" ph="1"/>
      <c r="AA31" s="191" ph="1"/>
      <c r="AB31" s="212" t="s">
        <v>42</v>
      </c>
      <c r="AC31" s="213"/>
      <c r="AD31" s="213"/>
      <c r="AE31" s="214"/>
      <c r="AH31" s="64" ph="1">
        <v>17</v>
      </c>
      <c r="AI31" s="64" t="s" ph="1">
        <v>355</v>
      </c>
      <c r="AZ31" s="64" t="s" ph="1">
        <v>216</v>
      </c>
      <c r="BA31" s="64" ph="1">
        <v>0</v>
      </c>
      <c r="BD31" s="64" t="s" ph="1">
        <v>356</v>
      </c>
      <c r="BE31" s="64" ph="1">
        <v>9310</v>
      </c>
    </row>
    <row r="32" spans="1:57" ph="1">
      <c r="A32" s="64"/>
      <c r="B32" s="199" ph="1"/>
      <c r="C32" s="200" ph="1"/>
      <c r="D32" s="96" t="s" ph="1">
        <v>4</v>
      </c>
      <c r="E32" s="156" t="s" ph="1">
        <v>5</v>
      </c>
      <c r="F32" s="155" t="s" ph="1">
        <v>43</v>
      </c>
      <c r="G32" s="97" t="s" ph="1">
        <v>4</v>
      </c>
      <c r="H32" s="156" t="s" ph="1">
        <v>5</v>
      </c>
      <c r="I32" s="155" t="s" ph="1">
        <v>43</v>
      </c>
      <c r="J32" s="97" t="s" ph="1">
        <v>4</v>
      </c>
      <c r="K32" s="156" t="s" ph="1">
        <v>5</v>
      </c>
      <c r="L32" s="155" t="s" ph="1">
        <v>43</v>
      </c>
      <c r="M32" s="97" t="s" ph="1">
        <v>4</v>
      </c>
      <c r="N32" s="156" t="s" ph="1">
        <v>5</v>
      </c>
      <c r="O32" s="155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56" t="s" ph="1">
        <v>5</v>
      </c>
      <c r="U32" s="99" t="s" ph="1">
        <v>43</v>
      </c>
      <c r="V32" s="97" t="s" ph="1">
        <v>4</v>
      </c>
      <c r="W32" s="156" t="s" ph="1">
        <v>5</v>
      </c>
      <c r="X32" s="99" t="s" ph="1">
        <v>43</v>
      </c>
      <c r="Y32" s="100" t="s" ph="1">
        <v>4</v>
      </c>
      <c r="Z32" s="156" t="s" ph="1">
        <v>5</v>
      </c>
      <c r="AA32" s="155" t="s" ph="1">
        <v>43</v>
      </c>
      <c r="AB32" s="97" t="s" ph="1">
        <v>85</v>
      </c>
      <c r="AC32" s="156" t="s" ph="1">
        <v>84</v>
      </c>
      <c r="AD32" s="215" t="s" ph="1">
        <v>83</v>
      </c>
      <c r="AE32" s="216"/>
      <c r="AH32" s="64" ph="1">
        <v>18</v>
      </c>
      <c r="AI32" s="64" t="s" ph="1">
        <v>357</v>
      </c>
      <c r="AZ32" s="64" t="s" ph="1">
        <v>216</v>
      </c>
      <c r="BA32" s="64" ph="1">
        <v>0</v>
      </c>
    </row>
    <row r="33" spans="1:57" ph="1">
      <c r="A33" s="64"/>
      <c r="B33" s="202" t="s" ph="1">
        <v>181</v>
      </c>
      <c r="C33" s="203" ph="1"/>
      <c r="D33" s="206" ph="1">
        <f>AA10+AB10+Z19</f>
        <v>76205.385393000004</v>
      </c>
      <c r="E33" s="206" ph="1">
        <f>M10+I10</f>
        <v>203172.0517368</v>
      </c>
      <c r="F33" s="208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1522252632456786910111213141516171819202123456789101112131415161718192022232424356789101112131415161718192021222345678910111213141516171819202345678910111213149101516171819222123234567891012131415161711181920212224252345678910111213112[[#This Row],[F25]]</f>
        <v>3880</v>
      </c>
      <c r="G33" s="210" ph="1">
        <f>N19</f>
        <v>52538.863155359999</v>
      </c>
      <c r="H33" s="206" ph="1">
        <f>M19</f>
        <v>13539.2306032</v>
      </c>
      <c r="I33" s="219" ph="1">
        <v>0</v>
      </c>
      <c r="J33" s="217" ph="1">
        <f>F10+O28</f>
        <v>244758.38444559998</v>
      </c>
      <c r="K33" s="206" ph="1">
        <f>O10+K10+E28+R28</f>
        <v>347544.94216595998</v>
      </c>
      <c r="L33" s="221" ph="1">
        <f>K19</f>
        <v>22907.375763999997</v>
      </c>
      <c r="M33" s="217" ph="1">
        <f>G10+H10+W28+S28+V28+E10+R19+P28+Q28</f>
        <v>847973.11093259999</v>
      </c>
      <c r="N33" s="206" ph="1">
        <f>L10+P10++G28+H28+AD19+AE19</f>
        <v>163835.11035539999</v>
      </c>
      <c r="O33" s="219" ph="1">
        <f>G19</f>
        <v>9890.2323076800003</v>
      </c>
      <c r="P33" s="217" ph="1">
        <f>L19</f>
        <v>37874.411190880004</v>
      </c>
      <c r="Q33" s="206" ph="1">
        <f>J10+N10</f>
        <v>4826.7012895999997</v>
      </c>
      <c r="R33" s="219" ph="1">
        <f>BE23</f>
        <v>890</v>
      </c>
      <c r="S33" s="217" ph="1">
        <f>X28</f>
        <v>271499.81565040001</v>
      </c>
      <c r="T33" s="206" ph="1">
        <f>X19</f>
        <v>18317.968991279999</v>
      </c>
      <c r="U33" s="227" ph="1">
        <f>BE21</f>
        <v>730</v>
      </c>
      <c r="V33" s="238" ph="1">
        <f ca="1">P19+Q19+S19+M28+N28+J28+D10+AC10+D19+E19+H19+J19+O19+V19+W19+K28+L28</f>
        <v>569140.33629729401</v>
      </c>
      <c r="W33" s="238" ph="1">
        <f>D28+F28+T28+I28</f>
        <v>49740.211555544003</v>
      </c>
      <c r="X33" s="219" ph="1">
        <f>BE29+BE31</f>
        <v>10200</v>
      </c>
      <c r="Y33" s="240" ph="1">
        <f>+Q10+R10+S10+T10+U10+V10+W10+X10+Y10</f>
        <v>289910.83233420004</v>
      </c>
      <c r="Z33" s="225" ph="1">
        <f>T19+U19+Y28+Z10</f>
        <v>454905.97747688007</v>
      </c>
      <c r="AA33" s="227" ph="1">
        <f>BE19</f>
        <v>1440</v>
      </c>
      <c r="AB33" s="229" ph="1">
        <f>I19</f>
        <v>49995.374374999992</v>
      </c>
      <c r="AC33" s="231" ph="1">
        <f>AD10+AB19</f>
        <v>81911.363615800001</v>
      </c>
      <c r="AD33" s="233" ph="1">
        <v>0</v>
      </c>
      <c r="AE33" s="234"/>
      <c r="AH33" s="64" ph="1">
        <v>19</v>
      </c>
      <c r="AI33" s="64" t="s" ph="1">
        <v>358</v>
      </c>
      <c r="AJ33" s="64" t="s" ph="1">
        <v>592</v>
      </c>
      <c r="AK33" s="64" t="s" ph="1">
        <v>589</v>
      </c>
      <c r="AL33" s="64" ph="1">
        <v>730</v>
      </c>
      <c r="AM33" s="64" t="s" ph="1">
        <v>339</v>
      </c>
      <c r="AZ33" s="64" t="s" ph="1">
        <v>216</v>
      </c>
      <c r="BA33" s="64" ph="1">
        <v>730</v>
      </c>
      <c r="BD33" s="64" t="s" ph="1">
        <v>290</v>
      </c>
      <c r="BE33" s="64" ph="1">
        <v>3880</v>
      </c>
    </row>
    <row r="34" spans="1:57" ph="1">
      <c r="A34" s="64"/>
      <c r="B34" s="204" ph="1"/>
      <c r="C34" s="205" ph="1"/>
      <c r="D34" s="207" ph="1"/>
      <c r="E34" s="207" ph="1"/>
      <c r="F34" s="209" ph="1"/>
      <c r="G34" s="211" ph="1"/>
      <c r="H34" s="207" ph="1"/>
      <c r="I34" s="220" ph="1"/>
      <c r="J34" s="218" ph="1"/>
      <c r="K34" s="207" ph="1"/>
      <c r="L34" s="222" ph="1"/>
      <c r="M34" s="218" ph="1"/>
      <c r="N34" s="207" ph="1"/>
      <c r="O34" s="220" ph="1"/>
      <c r="P34" s="218" ph="1"/>
      <c r="Q34" s="207" ph="1"/>
      <c r="R34" s="220" ph="1"/>
      <c r="S34" s="218" ph="1"/>
      <c r="T34" s="207"/>
      <c r="U34" s="228"/>
      <c r="V34" s="239" ph="1"/>
      <c r="W34" s="239" ph="1"/>
      <c r="X34" s="220" ph="1"/>
      <c r="Y34" s="241" ph="1"/>
      <c r="Z34" s="226" ph="1"/>
      <c r="AA34" s="228" ph="1"/>
      <c r="AB34" s="230"/>
      <c r="AC34" s="232"/>
      <c r="AD34" s="235"/>
      <c r="AE34" s="236"/>
      <c r="AH34" s="64" ph="1">
        <v>20</v>
      </c>
      <c r="AI34" s="64" t="s" ph="1">
        <v>359</v>
      </c>
      <c r="AJ34" s="64" t="s" ph="1">
        <v>593</v>
      </c>
      <c r="AK34" s="64" t="s" ph="1">
        <v>589</v>
      </c>
      <c r="AL34" s="64" ph="1">
        <v>720</v>
      </c>
      <c r="AM34" s="64" t="s" ph="1">
        <v>339</v>
      </c>
      <c r="AZ34" s="64" t="s" ph="1">
        <v>216</v>
      </c>
      <c r="BA34" s="64" ph="1">
        <v>720</v>
      </c>
    </row>
    <row r="35" spans="1:57" ph="1">
      <c r="A35" s="64"/>
      <c r="AC35" s="237" t="s" ph="1">
        <v>631</v>
      </c>
      <c r="AD35" s="237"/>
      <c r="AE35" s="237"/>
      <c r="AH35" s="64" ph="1">
        <v>21</v>
      </c>
      <c r="AI35" s="64" t="s" ph="1">
        <v>360</v>
      </c>
      <c r="AZ35" s="64" t="s" ph="1">
        <v>216</v>
      </c>
      <c r="BA35" s="64" ph="1">
        <v>0</v>
      </c>
      <c r="BD35" s="64" t="s" ph="1">
        <v>361</v>
      </c>
      <c r="BE35" s="64" ph="1">
        <v>2030</v>
      </c>
    </row>
    <row r="36" spans="1:57" ht="28.2" ph="1">
      <c r="A36" s="64"/>
      <c r="B36" s="103" t="s" ph="1">
        <v>182</v>
      </c>
      <c r="I36" s="223" t="s" ph="1">
        <v>183</v>
      </c>
      <c r="J36" s="223" ph="1"/>
      <c r="K36" s="101" ph="1"/>
      <c r="P36" s="101" ph="1"/>
      <c r="R36" s="223" t="s" ph="1">
        <v>184</v>
      </c>
      <c r="S36" s="223" ph="1"/>
      <c r="Y36" s="102" ph="1"/>
      <c r="Z36" s="154" t="s" ph="1">
        <v>185</v>
      </c>
      <c r="AA36" s="154" ph="1"/>
      <c r="AB36" s="224" t="s" ph="1">
        <v>640</v>
      </c>
      <c r="AC36" s="224" ph="1"/>
      <c r="AD36" s="224" ph="1"/>
      <c r="AE36" s="224" ph="1"/>
      <c r="BA36" s="64" ph="1">
        <v>2270</v>
      </c>
    </row>
    <row r="37" spans="1:57" s="154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54" t="s" ph="1">
        <v>342</v>
      </c>
      <c r="AI37" s="154" t="s" ph="1">
        <v>209</v>
      </c>
      <c r="AJ37" s="154" t="s" ph="1">
        <v>210</v>
      </c>
      <c r="AK37" s="154" t="s" ph="1">
        <v>211</v>
      </c>
      <c r="AM37" s="154" t="s" ph="1">
        <v>210</v>
      </c>
      <c r="AN37" s="154" t="s" ph="1">
        <v>211</v>
      </c>
      <c r="AO37" s="154" t="s" ph="1">
        <v>212</v>
      </c>
      <c r="AP37" s="154" t="s" ph="1">
        <v>210</v>
      </c>
      <c r="AQ37" s="154" t="s" ph="1">
        <v>211</v>
      </c>
      <c r="AR37" s="154" t="s" ph="1">
        <v>212</v>
      </c>
      <c r="AS37" s="154" t="s" ph="1">
        <v>210</v>
      </c>
      <c r="AT37" s="154" t="s" ph="1">
        <v>211</v>
      </c>
      <c r="AU37" s="154" t="s" ph="1">
        <v>212</v>
      </c>
      <c r="AV37" s="154" t="s" ph="1">
        <v>210</v>
      </c>
      <c r="AW37" s="154" t="s" ph="1">
        <v>211</v>
      </c>
      <c r="AX37" s="154" t="s" ph="1">
        <v>212</v>
      </c>
      <c r="AY37" s="154" t="s" ph="1">
        <v>211</v>
      </c>
      <c r="AZ37" s="154" t="s" ph="1">
        <v>213</v>
      </c>
      <c r="BD37" s="154" t="s" ph="1">
        <v>305</v>
      </c>
      <c r="BE37" s="154" ph="1">
        <v>0</v>
      </c>
    </row>
    <row r="38" spans="1:57" ph="1">
      <c r="AE38" s="64" ph="1"/>
      <c r="AH38" s="64" ph="1">
        <v>1</v>
      </c>
      <c r="AI38" s="64" t="s" ph="1">
        <v>362</v>
      </c>
      <c r="AY38" s="64" t="s" ph="1">
        <v>216</v>
      </c>
      <c r="AZ38" s="64" t="s" ph="1">
        <v>367</v>
      </c>
    </row>
    <row r="39" spans="1:57" ph="1">
      <c r="AH39" s="64" ph="1">
        <v>2</v>
      </c>
      <c r="AI39" s="64" t="s" ph="1">
        <v>364</v>
      </c>
      <c r="AJ39" s="64" t="s" ph="1">
        <v>336</v>
      </c>
      <c r="AK39" s="64" t="s" ph="1">
        <v>365</v>
      </c>
      <c r="AM39" s="64" t="s" ph="1">
        <v>570</v>
      </c>
      <c r="AN39" s="64" t="s" ph="1">
        <v>228</v>
      </c>
      <c r="AO39" s="64" t="s" ph="1">
        <v>363</v>
      </c>
      <c r="AY39" s="64" t="s" ph="1">
        <v>216</v>
      </c>
      <c r="AZ39" s="64" t="s" ph="1">
        <v>499</v>
      </c>
    </row>
    <row r="40" spans="1:57" ph="1">
      <c r="AH40" s="64" ph="1">
        <v>3</v>
      </c>
      <c r="AI40" s="64" t="s" ph="1">
        <v>366</v>
      </c>
      <c r="AJ40" s="64" t="s" ph="1">
        <v>570</v>
      </c>
      <c r="AK40" s="64" t="s" ph="1">
        <v>571</v>
      </c>
      <c r="AY40" s="64" t="s" ph="1">
        <v>216</v>
      </c>
      <c r="AZ40" s="64" t="s" ph="1">
        <v>571</v>
      </c>
    </row>
    <row r="41" spans="1:57" ph="1">
      <c r="AH41" s="64" ph="1">
        <v>4</v>
      </c>
      <c r="AI41" s="64" t="s" ph="1">
        <v>368</v>
      </c>
      <c r="AJ41" s="64" t="s" ph="1">
        <v>572</v>
      </c>
      <c r="AK41" s="64" t="s" ph="1">
        <v>573</v>
      </c>
      <c r="AM41" s="64" t="s" ph="1">
        <v>574</v>
      </c>
      <c r="AY41" s="64" t="s" ph="1">
        <v>216</v>
      </c>
      <c r="AZ41" s="64" t="s" ph="1">
        <v>573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369</v>
      </c>
      <c r="AY42" s="64" t="s" ph="1">
        <v>216</v>
      </c>
      <c r="AZ42" s="64" t="s" ph="1">
        <v>367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370</v>
      </c>
      <c r="AY43" s="64" t="s" ph="1">
        <v>216</v>
      </c>
      <c r="AZ43" s="64" t="s" ph="1">
        <v>367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371</v>
      </c>
      <c r="AV44" s="64" t="s" ph="1">
        <v>217</v>
      </c>
      <c r="AY44" s="64" t="s" ph="1">
        <v>216</v>
      </c>
      <c r="AZ44" s="64" t="s" ph="1">
        <v>367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372</v>
      </c>
      <c r="AV45" s="64" t="s" ph="1">
        <v>217</v>
      </c>
      <c r="AY45" s="64" t="s" ph="1">
        <v>216</v>
      </c>
      <c r="AZ45" s="64" t="s" ph="1">
        <v>367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373</v>
      </c>
      <c r="AV46" s="64" t="s" ph="1">
        <v>217</v>
      </c>
      <c r="AY46" s="64" t="s" ph="1">
        <v>216</v>
      </c>
      <c r="AZ46" s="64" t="s" ph="1">
        <v>367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374</v>
      </c>
      <c r="AV47" s="64" t="s" ph="1">
        <v>217</v>
      </c>
      <c r="AY47" s="64" t="s" ph="1">
        <v>216</v>
      </c>
      <c r="AZ47" s="64" t="s" ph="1">
        <v>367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575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232</v>
      </c>
      <c r="AI49" s="64" t="s" ph="1">
        <v>209</v>
      </c>
      <c r="AJ49" s="64" t="s" ph="1">
        <v>210</v>
      </c>
      <c r="AK49" s="64" t="s" ph="1">
        <v>211</v>
      </c>
      <c r="AM49" s="64" t="s" ph="1">
        <v>210</v>
      </c>
      <c r="AN49" s="64" t="s" ph="1">
        <v>211</v>
      </c>
      <c r="AO49" s="64" t="s" ph="1">
        <v>212</v>
      </c>
      <c r="AP49" s="64" t="s" ph="1">
        <v>210</v>
      </c>
      <c r="AQ49" s="64" t="s" ph="1">
        <v>211</v>
      </c>
      <c r="AR49" s="64" t="s" ph="1">
        <v>212</v>
      </c>
      <c r="AS49" s="64" t="s" ph="1">
        <v>210</v>
      </c>
      <c r="AT49" s="64" t="s" ph="1">
        <v>211</v>
      </c>
      <c r="AU49" s="64" t="s" ph="1">
        <v>212</v>
      </c>
      <c r="AV49" s="64" t="s" ph="1">
        <v>210</v>
      </c>
      <c r="AW49" s="64" t="s" ph="1">
        <v>211</v>
      </c>
      <c r="AX49" s="64" t="s" ph="1">
        <v>212</v>
      </c>
      <c r="AY49" s="64" t="s" ph="1">
        <v>211</v>
      </c>
      <c r="AZ49" s="64" t="s" ph="1">
        <v>213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375</v>
      </c>
      <c r="AY50" s="64" t="s" ph="1">
        <v>216</v>
      </c>
      <c r="AZ50" s="64" t="s" ph="1">
        <v>367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376</v>
      </c>
      <c r="AY51" s="64" t="s" ph="1">
        <v>216</v>
      </c>
      <c r="AZ51" s="64" t="s" ph="1">
        <v>367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377</v>
      </c>
      <c r="AJ52" s="64" t="s" ph="1">
        <v>334</v>
      </c>
      <c r="AK52" s="64" t="s" ph="1">
        <v>228</v>
      </c>
      <c r="AM52" s="64" t="s" ph="1">
        <v>336</v>
      </c>
      <c r="AN52" s="64" t="s" ph="1">
        <v>300</v>
      </c>
      <c r="AO52" s="64" t="s" ph="1">
        <v>233</v>
      </c>
      <c r="AP52" s="64" t="s" ph="1">
        <v>570</v>
      </c>
      <c r="AQ52" s="64" t="s" ph="1">
        <v>282</v>
      </c>
      <c r="AR52" s="64" t="s" ph="1">
        <v>233</v>
      </c>
      <c r="AY52" s="64" t="s" ph="1">
        <v>216</v>
      </c>
      <c r="AZ52" s="64" t="s" ph="1">
        <v>576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378</v>
      </c>
      <c r="AY53" s="64" t="s" ph="1">
        <v>216</v>
      </c>
      <c r="AZ53" s="64" t="s" ph="1">
        <v>367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379</v>
      </c>
      <c r="AJ54" s="64" t="s" ph="1">
        <v>334</v>
      </c>
      <c r="AK54" s="64" t="s" ph="1">
        <v>219</v>
      </c>
      <c r="AM54" s="64" t="s" ph="1">
        <v>336</v>
      </c>
      <c r="AN54" s="64" t="s" ph="1">
        <v>224</v>
      </c>
      <c r="AO54" s="64" t="s" ph="1">
        <v>233</v>
      </c>
      <c r="AP54" s="64" t="s" ph="1">
        <v>570</v>
      </c>
      <c r="AQ54" s="64" t="s" ph="1">
        <v>240</v>
      </c>
      <c r="AR54" s="64" t="s" ph="1">
        <v>233</v>
      </c>
      <c r="AY54" s="64" t="s" ph="1">
        <v>216</v>
      </c>
      <c r="AZ54" s="64" t="s" ph="1">
        <v>234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380</v>
      </c>
      <c r="AY55" s="64" t="s" ph="1">
        <v>216</v>
      </c>
      <c r="AZ55" s="64" t="s" ph="1">
        <v>367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381</v>
      </c>
      <c r="AY56" s="64" t="s" ph="1">
        <v>216</v>
      </c>
      <c r="AZ56" s="64" t="s" ph="1">
        <v>367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382</v>
      </c>
      <c r="AY57" s="64" t="s" ph="1">
        <v>216</v>
      </c>
      <c r="AZ57" s="64" t="s" ph="1">
        <v>367</v>
      </c>
    </row>
    <row r="58" spans="16:52" ph="1">
      <c r="P58" s="64"/>
      <c r="AN58" s="64" t="s" ph="1">
        <v>217</v>
      </c>
      <c r="AZ58" s="64" t="s" ph="1">
        <v>577</v>
      </c>
    </row>
    <row r="59" spans="16:52" ph="1">
      <c r="V59" s="64"/>
      <c r="AG59" s="64" t="s" ph="1">
        <v>235</v>
      </c>
      <c r="AI59" s="64" t="s" ph="1">
        <v>209</v>
      </c>
      <c r="AJ59" s="64" t="s" ph="1">
        <v>210</v>
      </c>
      <c r="AK59" s="64" t="s" ph="1">
        <v>211</v>
      </c>
      <c r="AM59" s="64" t="s" ph="1">
        <v>210</v>
      </c>
      <c r="AN59" s="64" t="s" ph="1">
        <v>211</v>
      </c>
      <c r="AO59" s="64" t="s" ph="1">
        <v>212</v>
      </c>
      <c r="AP59" s="64" t="s" ph="1">
        <v>210</v>
      </c>
      <c r="AQ59" s="64" t="s" ph="1">
        <v>211</v>
      </c>
      <c r="AR59" s="64" t="s" ph="1">
        <v>212</v>
      </c>
      <c r="AS59" s="64" t="s" ph="1">
        <v>210</v>
      </c>
      <c r="AT59" s="64" t="s" ph="1">
        <v>211</v>
      </c>
      <c r="AU59" s="64" t="s" ph="1">
        <v>212</v>
      </c>
      <c r="AV59" s="64" t="s" ph="1">
        <v>210</v>
      </c>
      <c r="AW59" s="64" t="s" ph="1">
        <v>211</v>
      </c>
      <c r="AX59" s="64" t="s" ph="1">
        <v>212</v>
      </c>
      <c r="AY59" s="64" t="s" ph="1">
        <v>211</v>
      </c>
      <c r="AZ59" s="64" t="s" ph="1">
        <v>213</v>
      </c>
    </row>
    <row r="60" spans="16:52" ph="1">
      <c r="R60" s="64"/>
      <c r="S60" s="64"/>
      <c r="T60" s="64"/>
      <c r="AH60" s="64" ph="1">
        <v>1</v>
      </c>
      <c r="AI60" s="64" t="s" ph="1">
        <v>383</v>
      </c>
      <c r="AY60" s="64" t="s" ph="1">
        <v>216</v>
      </c>
      <c r="AZ60" s="64" t="s" ph="1">
        <v>367</v>
      </c>
    </row>
    <row r="61" spans="16:52" ph="1">
      <c r="AH61" s="64" ph="1">
        <v>2</v>
      </c>
      <c r="AI61" s="64" t="s" ph="1">
        <v>384</v>
      </c>
      <c r="AS61" s="64" t="s" ph="1">
        <v>217</v>
      </c>
      <c r="AY61" s="64" t="s" ph="1">
        <v>216</v>
      </c>
      <c r="AZ61" s="64" t="s" ph="1">
        <v>367</v>
      </c>
    </row>
    <row r="62" spans="16:52" ph="1">
      <c r="AZ62" s="64" t="s" ph="1">
        <v>385</v>
      </c>
    </row>
    <row r="63" spans="16:52" ph="1">
      <c r="AG63" s="64" t="s" ph="1">
        <v>238</v>
      </c>
      <c r="AI63" s="64" t="s" ph="1">
        <v>209</v>
      </c>
      <c r="AJ63" s="64" t="s" ph="1">
        <v>210</v>
      </c>
      <c r="AK63" s="64" t="s" ph="1">
        <v>211</v>
      </c>
      <c r="AM63" s="64" t="s" ph="1">
        <v>210</v>
      </c>
      <c r="AN63" s="64" t="s" ph="1">
        <v>211</v>
      </c>
      <c r="AO63" s="64" t="s" ph="1">
        <v>212</v>
      </c>
      <c r="AP63" s="64" t="s" ph="1">
        <v>210</v>
      </c>
      <c r="AQ63" s="64" t="s" ph="1">
        <v>211</v>
      </c>
      <c r="AR63" s="64" t="s" ph="1">
        <v>212</v>
      </c>
      <c r="AS63" s="64" t="s" ph="1">
        <v>210</v>
      </c>
      <c r="AT63" s="64" t="s" ph="1">
        <v>211</v>
      </c>
      <c r="AU63" s="64" t="s" ph="1">
        <v>212</v>
      </c>
      <c r="AV63" s="64" t="s" ph="1">
        <v>210</v>
      </c>
      <c r="AW63" s="64" t="s" ph="1">
        <v>211</v>
      </c>
      <c r="AX63" s="64" t="s" ph="1">
        <v>212</v>
      </c>
      <c r="AY63" s="64" t="s" ph="1">
        <v>211</v>
      </c>
      <c r="AZ63" s="64" t="s" ph="1">
        <v>213</v>
      </c>
    </row>
    <row r="64" spans="16:52" ph="1">
      <c r="AH64" s="64" ph="1">
        <v>1</v>
      </c>
      <c r="AI64" s="64" t="s" ph="1">
        <v>386</v>
      </c>
      <c r="AJ64" s="64" t="s" ph="1">
        <v>387</v>
      </c>
      <c r="AK64" s="64" t="s" ph="1">
        <v>388</v>
      </c>
      <c r="AY64" s="64" t="s" ph="1">
        <v>216</v>
      </c>
      <c r="AZ64" s="64" t="s" ph="1">
        <v>388</v>
      </c>
    </row>
    <row r="65" spans="33:52" ph="1">
      <c r="AH65" s="64" ph="1">
        <v>2</v>
      </c>
      <c r="AI65" s="64" t="s" ph="1">
        <v>389</v>
      </c>
      <c r="AY65" s="64" t="s" ph="1">
        <v>216</v>
      </c>
      <c r="AZ65" s="64" t="s" ph="1">
        <v>367</v>
      </c>
    </row>
    <row r="66" spans="33:52" ph="1">
      <c r="AH66" s="64" ph="1">
        <v>3</v>
      </c>
      <c r="AI66" s="64" t="s" ph="1">
        <v>390</v>
      </c>
      <c r="AY66" s="64" t="s" ph="1">
        <v>216</v>
      </c>
      <c r="AZ66" s="64" t="s" ph="1">
        <v>367</v>
      </c>
    </row>
    <row r="67" spans="33:52" ph="1">
      <c r="AH67" s="64" ph="1">
        <v>4</v>
      </c>
      <c r="AI67" s="64" t="s" ph="1">
        <v>391</v>
      </c>
      <c r="AY67" s="64" t="s" ph="1">
        <v>216</v>
      </c>
      <c r="AZ67" s="64" t="s" ph="1">
        <v>367</v>
      </c>
    </row>
    <row r="68" spans="33:52" ph="1">
      <c r="AH68" s="64" ph="1">
        <v>5</v>
      </c>
      <c r="AI68" s="64" t="s" ph="1">
        <v>392</v>
      </c>
      <c r="AY68" s="64" t="s" ph="1">
        <v>216</v>
      </c>
      <c r="AZ68" s="64" t="s" ph="1">
        <v>367</v>
      </c>
    </row>
    <row r="69" spans="33:52" ph="1">
      <c r="AH69" s="64" ph="1">
        <v>6</v>
      </c>
      <c r="AI69" s="64" t="s" ph="1">
        <v>393</v>
      </c>
      <c r="AY69" s="64" t="s" ph="1">
        <v>216</v>
      </c>
      <c r="AZ69" s="64" t="s" ph="1">
        <v>367</v>
      </c>
    </row>
    <row r="70" spans="33:52" ph="1">
      <c r="AI70" s="64" t="s" ph="1">
        <v>394</v>
      </c>
      <c r="AY70" s="64" t="s" ph="1">
        <v>216</v>
      </c>
      <c r="AZ70" s="64" t="s" ph="1">
        <v>367</v>
      </c>
    </row>
    <row r="71" spans="33:52" ph="1">
      <c r="AH71" s="64" ph="1">
        <v>7</v>
      </c>
      <c r="AI71" s="64" t="s" ph="1">
        <v>395</v>
      </c>
      <c r="AJ71" s="64" t="s" ph="1">
        <v>334</v>
      </c>
      <c r="AK71" s="64" t="s" ph="1">
        <v>228</v>
      </c>
      <c r="AM71" s="64" t="s" ph="1">
        <v>336</v>
      </c>
      <c r="AN71" s="64" t="s" ph="1">
        <v>228</v>
      </c>
      <c r="AO71" s="64" t="s" ph="1">
        <v>396</v>
      </c>
      <c r="AP71" s="64" t="s" ph="1">
        <v>570</v>
      </c>
      <c r="AQ71" s="64" t="s" ph="1">
        <v>219</v>
      </c>
      <c r="AR71" s="64" t="s" ph="1">
        <v>396</v>
      </c>
      <c r="AY71" s="64" t="s" ph="1">
        <v>216</v>
      </c>
      <c r="AZ71" s="64" t="s" ph="1">
        <v>578</v>
      </c>
    </row>
    <row r="72" spans="33:52" ph="1">
      <c r="AZ72" s="64" t="s" ph="1">
        <v>579</v>
      </c>
    </row>
    <row r="73" spans="33:52" ph="1">
      <c r="AG73" s="64" t="s" ph="1">
        <v>241</v>
      </c>
      <c r="AI73" s="64" t="s" ph="1">
        <v>209</v>
      </c>
      <c r="AJ73" s="64" t="s" ph="1">
        <v>210</v>
      </c>
      <c r="AK73" s="64" t="s" ph="1">
        <v>211</v>
      </c>
      <c r="AM73" s="64" t="s" ph="1">
        <v>210</v>
      </c>
      <c r="AN73" s="64" t="s" ph="1">
        <v>211</v>
      </c>
      <c r="AO73" s="64" t="s" ph="1">
        <v>212</v>
      </c>
      <c r="AP73" s="64" t="s" ph="1">
        <v>210</v>
      </c>
      <c r="AQ73" s="64" t="s" ph="1">
        <v>211</v>
      </c>
      <c r="AR73" s="64" t="s" ph="1">
        <v>212</v>
      </c>
      <c r="AS73" s="64" t="s" ph="1">
        <v>210</v>
      </c>
      <c r="AT73" s="64" t="s" ph="1">
        <v>211</v>
      </c>
      <c r="AU73" s="64" t="s" ph="1">
        <v>212</v>
      </c>
      <c r="AV73" s="64" t="s" ph="1">
        <v>210</v>
      </c>
      <c r="AW73" s="64" t="s" ph="1">
        <v>211</v>
      </c>
      <c r="AX73" s="64" t="s" ph="1">
        <v>212</v>
      </c>
      <c r="AY73" s="64" t="s" ph="1">
        <v>211</v>
      </c>
      <c r="AZ73" s="64" t="s" ph="1">
        <v>213</v>
      </c>
    </row>
    <row r="74" spans="33:52" ph="1">
      <c r="AH74" s="64" ph="1">
        <v>1</v>
      </c>
      <c r="AI74" s="64" t="s" ph="1">
        <v>397</v>
      </c>
      <c r="AJ74" s="64" t="s" ph="1">
        <v>242</v>
      </c>
      <c r="AK74" s="64" t="s" ph="1">
        <v>224</v>
      </c>
      <c r="AM74" s="64" t="s" ph="1">
        <v>244</v>
      </c>
      <c r="AN74" s="64" t="s" ph="1">
        <v>254</v>
      </c>
      <c r="AO74" s="64" t="s" ph="1">
        <v>243</v>
      </c>
      <c r="AP74" s="64" t="s" ph="1">
        <v>245</v>
      </c>
      <c r="AQ74" s="64" t="s" ph="1">
        <v>222</v>
      </c>
      <c r="AR74" s="64" t="s" ph="1">
        <v>243</v>
      </c>
      <c r="AS74" s="64" t="s" ph="1">
        <v>215</v>
      </c>
      <c r="AT74" s="64" t="s" ph="1">
        <v>217</v>
      </c>
      <c r="AV74" s="64" t="s" ph="1">
        <v>398</v>
      </c>
      <c r="AW74" s="64" t="s" ph="1">
        <v>399</v>
      </c>
      <c r="AX74" s="64" t="s" ph="1">
        <v>400</v>
      </c>
      <c r="AY74" s="64" t="s" ph="1">
        <v>216</v>
      </c>
      <c r="AZ74" s="64" t="s" ph="1">
        <v>401</v>
      </c>
    </row>
    <row r="75" spans="33:52" ph="1">
      <c r="AJ75" s="64" t="s" ph="1">
        <v>247</v>
      </c>
      <c r="AK75" s="64" t="s" ph="1">
        <v>300</v>
      </c>
      <c r="AM75" s="64" t="s" ph="1">
        <v>245</v>
      </c>
      <c r="AN75" s="64" t="s" ph="1">
        <v>225</v>
      </c>
      <c r="AO75" s="64" t="s" ph="1">
        <v>243</v>
      </c>
      <c r="AS75" s="64" t="s" ph="1">
        <v>215</v>
      </c>
      <c r="AT75" s="64" t="s" ph="1">
        <v>246</v>
      </c>
    </row>
    <row r="76" spans="33:52" ph="1">
      <c r="AJ76" s="64" t="s" ph="1">
        <v>247</v>
      </c>
      <c r="AK76" s="64" t="s" ph="1">
        <v>240</v>
      </c>
      <c r="AM76" s="64" t="s" ph="1">
        <v>245</v>
      </c>
      <c r="AN76" s="64" t="s" ph="1">
        <v>228</v>
      </c>
      <c r="AO76" s="64" t="s" ph="1">
        <v>243</v>
      </c>
      <c r="AS76" s="64" t="s" ph="1">
        <v>215</v>
      </c>
      <c r="AT76" s="64" t="s" ph="1">
        <v>246</v>
      </c>
    </row>
    <row r="77" spans="33:52" ph="1">
      <c r="AJ77" s="64" t="s" ph="1">
        <v>283</v>
      </c>
      <c r="AK77" s="64" t="s" ph="1">
        <v>240</v>
      </c>
      <c r="AM77" s="64" t="s" ph="1">
        <v>284</v>
      </c>
      <c r="AN77" s="64" t="s" ph="1">
        <v>223</v>
      </c>
      <c r="AO77" s="64" t="s" ph="1">
        <v>243</v>
      </c>
      <c r="AS77" s="64" t="s" ph="1">
        <v>215</v>
      </c>
      <c r="AT77" s="64" t="s" ph="1">
        <v>285</v>
      </c>
    </row>
    <row r="78" spans="33:52" ph="1">
      <c r="AH78" s="64" ph="1">
        <v>2</v>
      </c>
      <c r="AI78" s="64" t="s" ph="1">
        <v>249</v>
      </c>
      <c r="AJ78" s="64" t="s" ph="1">
        <v>250</v>
      </c>
      <c r="AK78" s="64" t="s" ph="1">
        <v>219</v>
      </c>
      <c r="AM78" s="64" t="s" ph="1">
        <v>251</v>
      </c>
      <c r="AN78" s="64" t="s" ph="1">
        <v>254</v>
      </c>
      <c r="AO78" s="64" t="s" ph="1">
        <v>243</v>
      </c>
      <c r="AP78" s="64" t="s" ph="1">
        <v>252</v>
      </c>
      <c r="AQ78" s="64" t="s" ph="1">
        <v>298</v>
      </c>
      <c r="AR78" s="64" t="s" ph="1">
        <v>243</v>
      </c>
      <c r="AS78" s="64" t="s" ph="1">
        <v>253</v>
      </c>
      <c r="AT78" s="64" t="s" ph="1">
        <v>254</v>
      </c>
      <c r="AU78" s="64" t="s" ph="1">
        <v>243</v>
      </c>
      <c r="AV78" s="64" t="s" ph="1">
        <v>255</v>
      </c>
      <c r="AW78" s="64" t="s" ph="1">
        <v>243</v>
      </c>
      <c r="AY78" s="64" t="s" ph="1">
        <v>216</v>
      </c>
      <c r="AZ78" s="64" t="s" ph="1">
        <v>402</v>
      </c>
    </row>
    <row r="79" spans="33:52" ph="1">
      <c r="AJ79" s="64" t="s" ph="1">
        <v>245</v>
      </c>
      <c r="AK79" s="64" t="s" ph="1">
        <v>256</v>
      </c>
      <c r="AM79" s="64" t="s" ph="1">
        <v>257</v>
      </c>
      <c r="AN79" s="64" t="s" ph="1">
        <v>225</v>
      </c>
      <c r="AO79" s="64" t="s" ph="1">
        <v>243</v>
      </c>
      <c r="AP79" s="64" t="s" ph="1">
        <v>258</v>
      </c>
      <c r="AQ79" s="64" t="s" ph="1">
        <v>223</v>
      </c>
      <c r="AR79" s="64" t="s" ph="1">
        <v>259</v>
      </c>
      <c r="AS79" s="64" t="s" ph="1">
        <v>215</v>
      </c>
      <c r="AT79" s="64" t="s" ph="1">
        <v>260</v>
      </c>
      <c r="AV79" s="64" t="s" ph="1">
        <v>403</v>
      </c>
      <c r="AW79" s="64" t="s" ph="1">
        <v>302</v>
      </c>
      <c r="AX79" s="64" t="s" ph="1">
        <v>400</v>
      </c>
    </row>
    <row r="80" spans="33:52" ph="1">
      <c r="AH80" s="64" ph="1">
        <v>3</v>
      </c>
      <c r="AI80" s="64" t="s" ph="1">
        <v>261</v>
      </c>
      <c r="AJ80" s="64" t="s" ph="1">
        <v>262</v>
      </c>
      <c r="AK80" s="64" t="s" ph="1">
        <v>263</v>
      </c>
      <c r="AM80" s="64" t="s" ph="1">
        <v>264</v>
      </c>
      <c r="AN80" s="64" t="s" ph="1">
        <v>254</v>
      </c>
      <c r="AO80" s="64" t="s" ph="1">
        <v>243</v>
      </c>
      <c r="AP80" s="64" t="s" ph="1">
        <v>265</v>
      </c>
      <c r="AQ80" s="64" t="s" ph="1">
        <v>228</v>
      </c>
      <c r="AR80" s="64" t="s" ph="1">
        <v>243</v>
      </c>
      <c r="AS80" s="64" t="s" ph="1">
        <v>266</v>
      </c>
      <c r="AT80" s="64" t="s" ph="1">
        <v>227</v>
      </c>
      <c r="AU80" s="64" t="s" ph="1">
        <v>243</v>
      </c>
      <c r="AV80" s="64" t="s" ph="1">
        <v>267</v>
      </c>
      <c r="AW80" s="64" t="s" ph="1">
        <v>243</v>
      </c>
      <c r="AY80" s="64" t="s" ph="1">
        <v>216</v>
      </c>
      <c r="AZ80" s="64" t="s" ph="1">
        <v>404</v>
      </c>
    </row>
    <row r="81" spans="34:52" ph="1">
      <c r="AJ81" s="64" t="s" ph="1">
        <v>268</v>
      </c>
      <c r="AK81" s="64" t="s" ph="1">
        <v>222</v>
      </c>
      <c r="AM81" s="64" t="s" ph="1">
        <v>269</v>
      </c>
      <c r="AN81" s="64" t="s" ph="1">
        <v>225</v>
      </c>
      <c r="AO81" s="64" t="s" ph="1">
        <v>243</v>
      </c>
      <c r="AP81" s="64" t="s" ph="1">
        <v>270</v>
      </c>
      <c r="AQ81" s="64" t="s" ph="1">
        <v>254</v>
      </c>
      <c r="AR81" s="64" t="s" ph="1">
        <v>243</v>
      </c>
      <c r="AS81" s="64" t="s" ph="1">
        <v>271</v>
      </c>
      <c r="AT81" s="64" t="s" ph="1">
        <v>272</v>
      </c>
      <c r="AU81" s="64" t="s" ph="1">
        <v>243</v>
      </c>
      <c r="AV81" s="64" t="s" ph="1">
        <v>273</v>
      </c>
    </row>
    <row r="82" spans="34:52" ph="1">
      <c r="AJ82" s="64" t="s" ph="1">
        <v>274</v>
      </c>
      <c r="AK82" s="64" t="s" ph="1">
        <v>222</v>
      </c>
      <c r="AM82" s="64" t="s" ph="1">
        <v>275</v>
      </c>
      <c r="AN82" s="64" t="s" ph="1">
        <v>272</v>
      </c>
      <c r="AO82" s="64" t="s" ph="1">
        <v>276</v>
      </c>
      <c r="AP82" s="64" t="s" ph="1">
        <v>277</v>
      </c>
      <c r="AQ82" s="64" t="s" ph="1">
        <v>254</v>
      </c>
      <c r="AR82" s="64" t="s" ph="1">
        <v>243</v>
      </c>
      <c r="AS82" s="64" t="s" ph="1">
        <v>278</v>
      </c>
      <c r="AT82" s="64" t="s" ph="1">
        <v>229</v>
      </c>
      <c r="AU82" s="64" t="s" ph="1">
        <v>243</v>
      </c>
      <c r="AV82" s="64" t="s" ph="1">
        <v>403</v>
      </c>
      <c r="AW82" s="64" t="s" ph="1">
        <v>303</v>
      </c>
      <c r="AX82" s="64" t="s" ph="1">
        <v>400</v>
      </c>
    </row>
    <row r="83" spans="34:52" ph="1">
      <c r="AJ83" s="64" t="s" ph="1">
        <v>279</v>
      </c>
      <c r="AK83" s="64" t="s" ph="1">
        <v>296</v>
      </c>
      <c r="AM83" s="64" t="s" ph="1">
        <v>280</v>
      </c>
      <c r="AN83" s="64" t="s" ph="1">
        <v>228</v>
      </c>
      <c r="AO83" s="64" t="s" ph="1">
        <v>259</v>
      </c>
      <c r="AP83" s="64" t="s" ph="1">
        <v>281</v>
      </c>
      <c r="AQ83" s="64" t="s" ph="1">
        <v>282</v>
      </c>
      <c r="AR83" s="64" t="s" ph="1">
        <v>259</v>
      </c>
      <c r="AS83" s="64" t="s" ph="1">
        <v>405</v>
      </c>
      <c r="AT83" s="64" t="s" ph="1">
        <v>254</v>
      </c>
      <c r="AU83" s="64" t="s" ph="1">
        <v>259</v>
      </c>
      <c r="AV83" s="64" t="s" ph="1">
        <v>406</v>
      </c>
      <c r="AW83" s="64" t="s" ph="1">
        <v>303</v>
      </c>
      <c r="AX83" s="64" t="s" ph="1">
        <v>407</v>
      </c>
    </row>
    <row r="84" spans="34:52" ph="1">
      <c r="AH84" s="64" ph="1">
        <v>4</v>
      </c>
      <c r="AI84" s="64" t="s" ph="1">
        <v>286</v>
      </c>
      <c r="AJ84" s="64" t="s" ph="1">
        <v>226</v>
      </c>
      <c r="AK84" s="64" t="s" ph="1">
        <v>229</v>
      </c>
      <c r="AM84" s="64" t="s" ph="1">
        <v>230</v>
      </c>
      <c r="AN84" s="64" t="s" ph="1">
        <v>223</v>
      </c>
      <c r="AO84" s="64" t="s" ph="1">
        <v>259</v>
      </c>
      <c r="AP84" s="64" t="s" ph="1">
        <v>288</v>
      </c>
      <c r="AQ84" s="64" t="s" ph="1">
        <v>222</v>
      </c>
      <c r="AR84" s="64" t="s" ph="1">
        <v>259</v>
      </c>
      <c r="AS84" s="64" t="s" ph="1">
        <v>288</v>
      </c>
      <c r="AT84" s="64" t="s" ph="1">
        <v>224</v>
      </c>
      <c r="AU84" s="64" t="s" ph="1">
        <v>259</v>
      </c>
      <c r="AY84" s="64" t="s" ph="1">
        <v>216</v>
      </c>
      <c r="AZ84" s="64" t="s" ph="1">
        <v>408</v>
      </c>
    </row>
    <row r="85" spans="34:52" ph="1">
      <c r="AJ85" s="64" t="s" ph="1">
        <v>218</v>
      </c>
      <c r="AK85" s="64" t="s" ph="1">
        <v>222</v>
      </c>
      <c r="AM85" s="64" t="s" ph="1">
        <v>409</v>
      </c>
      <c r="AN85" s="64" t="s" ph="1">
        <v>229</v>
      </c>
      <c r="AO85" s="64" t="s" ph="1">
        <v>259</v>
      </c>
      <c r="AP85" s="64" t="s" ph="1">
        <v>410</v>
      </c>
      <c r="AQ85" s="64" t="s" ph="1">
        <v>225</v>
      </c>
      <c r="AR85" s="64" t="s" ph="1">
        <v>259</v>
      </c>
      <c r="AS85" s="64" t="s" ph="1">
        <v>411</v>
      </c>
      <c r="AT85" s="64" t="s" ph="1">
        <v>225</v>
      </c>
      <c r="AU85" s="64" t="s" ph="1">
        <v>259</v>
      </c>
    </row>
    <row r="86" spans="34:52" ph="1">
      <c r="AJ86" s="64" t="s" ph="1">
        <v>412</v>
      </c>
      <c r="AK86" s="64" t="s" ph="1">
        <v>231</v>
      </c>
      <c r="AM86" s="64" t="s" ph="1">
        <v>413</v>
      </c>
      <c r="AN86" s="64" t="s" ph="1">
        <v>272</v>
      </c>
      <c r="AO86" s="64" t="s" ph="1">
        <v>259</v>
      </c>
      <c r="AP86" s="64" t="s" ph="1">
        <v>414</v>
      </c>
      <c r="AQ86" s="64" t="s" ph="1">
        <v>219</v>
      </c>
      <c r="AR86" s="64" t="s" ph="1">
        <v>259</v>
      </c>
      <c r="AS86" s="64" t="s" ph="1">
        <v>415</v>
      </c>
      <c r="AT86" s="64" t="s" ph="1">
        <v>237</v>
      </c>
      <c r="AU86" s="64" t="s" ph="1">
        <v>259</v>
      </c>
    </row>
    <row r="87" spans="34:52" ph="1">
      <c r="AJ87" s="64" t="s" ph="1">
        <v>416</v>
      </c>
      <c r="AK87" s="64" t="s" ph="1">
        <v>272</v>
      </c>
      <c r="AM87" s="64" t="s" ph="1">
        <v>403</v>
      </c>
      <c r="AN87" s="64" t="s" ph="1">
        <v>417</v>
      </c>
      <c r="AO87" s="64" t="s" ph="1">
        <v>400</v>
      </c>
    </row>
    <row r="88" spans="34:52" ph="1">
      <c r="AH88" s="64" ph="1">
        <v>5</v>
      </c>
      <c r="AI88" s="64" t="s" ph="1">
        <v>289</v>
      </c>
      <c r="AJ88" s="64" t="s" ph="1">
        <v>418</v>
      </c>
      <c r="AK88" s="64" t="s" ph="1">
        <v>272</v>
      </c>
      <c r="AM88" s="64" t="s" ph="1">
        <v>419</v>
      </c>
      <c r="AN88" s="64" t="s" ph="1">
        <v>272</v>
      </c>
      <c r="AO88" s="64" t="s" ph="1">
        <v>259</v>
      </c>
      <c r="AP88" s="64" t="s" ph="1">
        <v>420</v>
      </c>
      <c r="AQ88" s="64" t="s" ph="1">
        <v>222</v>
      </c>
      <c r="AR88" s="64" t="s" ph="1">
        <v>259</v>
      </c>
      <c r="AS88" s="64" t="s" ph="1">
        <v>421</v>
      </c>
      <c r="AT88" s="64" t="s" ph="1">
        <v>272</v>
      </c>
      <c r="AU88" s="64" t="s" ph="1">
        <v>259</v>
      </c>
      <c r="AV88" s="64" t="s" ph="1">
        <v>422</v>
      </c>
      <c r="AW88" s="64" t="s" ph="1">
        <v>227</v>
      </c>
      <c r="AX88" s="64" t="s" ph="1">
        <v>259</v>
      </c>
      <c r="AY88" s="64" t="s" ph="1">
        <v>216</v>
      </c>
      <c r="AZ88" s="64" t="s" ph="1">
        <v>423</v>
      </c>
    </row>
    <row r="89" spans="34:52" ph="1">
      <c r="AJ89" s="64" t="s" ph="1">
        <v>424</v>
      </c>
      <c r="AK89" s="64" t="s" ph="1">
        <v>225</v>
      </c>
      <c r="AM89" s="64" t="s" ph="1">
        <v>425</v>
      </c>
      <c r="AN89" s="64" t="s" ph="1">
        <v>228</v>
      </c>
      <c r="AO89" s="64" t="s" ph="1">
        <v>259</v>
      </c>
      <c r="AP89" s="64" t="s" ph="1">
        <v>426</v>
      </c>
      <c r="AQ89" s="64" t="s" ph="1">
        <v>237</v>
      </c>
      <c r="AR89" s="64" t="s" ph="1">
        <v>259</v>
      </c>
      <c r="AS89" s="64" t="s" ph="1">
        <v>427</v>
      </c>
      <c r="AT89" s="64" t="s" ph="1">
        <v>272</v>
      </c>
      <c r="AU89" s="64" t="s" ph="1">
        <v>259</v>
      </c>
      <c r="AV89" s="64" t="s" ph="1">
        <v>428</v>
      </c>
      <c r="AW89" s="64" t="s" ph="1">
        <v>254</v>
      </c>
      <c r="AX89" s="64" t="s" ph="1">
        <v>287</v>
      </c>
    </row>
    <row r="90" spans="34:52" ph="1">
      <c r="AJ90" s="64" t="s" ph="1">
        <v>429</v>
      </c>
      <c r="AK90" s="64" t="s" ph="1">
        <v>228</v>
      </c>
      <c r="AM90" s="64" t="s" ph="1">
        <v>430</v>
      </c>
      <c r="AN90" s="64" t="s" ph="1">
        <v>225</v>
      </c>
      <c r="AO90" s="64" t="s" ph="1">
        <v>259</v>
      </c>
      <c r="AP90" s="64" t="s" ph="1">
        <v>431</v>
      </c>
      <c r="AQ90" s="64" t="s" ph="1">
        <v>294</v>
      </c>
      <c r="AR90" s="64" t="s" ph="1">
        <v>259</v>
      </c>
      <c r="AS90" s="64" t="s" ph="1">
        <v>432</v>
      </c>
      <c r="AT90" s="64" t="s" ph="1">
        <v>282</v>
      </c>
      <c r="AU90" s="64" t="s" ph="1">
        <v>259</v>
      </c>
      <c r="AV90" s="64" t="s" ph="1">
        <v>433</v>
      </c>
      <c r="AW90" s="64" t="s" ph="1">
        <v>219</v>
      </c>
      <c r="AX90" s="64" t="s" ph="1">
        <v>259</v>
      </c>
    </row>
    <row r="91" spans="34:52" ph="1">
      <c r="AJ91" s="64" t="s" ph="1">
        <v>434</v>
      </c>
      <c r="AK91" s="64" t="s" ph="1">
        <v>272</v>
      </c>
      <c r="AM91" s="64" t="s" ph="1">
        <v>435</v>
      </c>
      <c r="AN91" s="64" t="s" ph="1">
        <v>239</v>
      </c>
      <c r="AO91" s="64" t="s" ph="1">
        <v>259</v>
      </c>
      <c r="AP91" s="64" t="s" ph="1">
        <v>436</v>
      </c>
      <c r="AQ91" s="64" t="s" ph="1">
        <v>219</v>
      </c>
      <c r="AS91" s="64" t="s" ph="1">
        <v>403</v>
      </c>
      <c r="AT91" s="64" t="s" ph="1">
        <v>399</v>
      </c>
      <c r="AU91" s="64" t="s" ph="1">
        <v>400</v>
      </c>
    </row>
    <row r="92" spans="34:52" ph="1">
      <c r="AH92" s="64" ph="1">
        <v>6</v>
      </c>
      <c r="AI92" s="64" t="s" ph="1">
        <v>437</v>
      </c>
      <c r="AJ92" s="64" t="s" ph="1">
        <v>438</v>
      </c>
      <c r="AK92" s="64" t="s" ph="1">
        <v>367</v>
      </c>
      <c r="AM92" s="64" t="s" ph="1">
        <v>439</v>
      </c>
      <c r="AN92" s="64" t="s" ph="1">
        <v>227</v>
      </c>
      <c r="AO92" s="64" t="s" ph="1">
        <v>259</v>
      </c>
      <c r="AP92" s="64" t="s" ph="1">
        <v>440</v>
      </c>
      <c r="AQ92" s="64" t="s" ph="1">
        <v>299</v>
      </c>
      <c r="AR92" s="64" t="s" ph="1">
        <v>259</v>
      </c>
      <c r="AS92" s="64" t="s" ph="1">
        <v>441</v>
      </c>
      <c r="AT92" s="64" t="s" ph="1">
        <v>272</v>
      </c>
      <c r="AU92" s="64" t="s" ph="1">
        <v>259</v>
      </c>
      <c r="AV92" s="64" t="s" ph="1">
        <v>442</v>
      </c>
      <c r="AW92" s="64" t="s" ph="1">
        <v>228</v>
      </c>
      <c r="AX92" s="64" t="s" ph="1">
        <v>259</v>
      </c>
      <c r="AY92" s="64" t="s" ph="1">
        <v>216</v>
      </c>
      <c r="AZ92" s="64" t="s" ph="1">
        <v>423</v>
      </c>
    </row>
    <row r="93" spans="34:52" ph="1">
      <c r="AJ93" s="64" t="s" ph="1">
        <v>443</v>
      </c>
      <c r="AK93" s="64" t="s" ph="1">
        <v>222</v>
      </c>
      <c r="AM93" s="64" t="s" ph="1">
        <v>444</v>
      </c>
      <c r="AN93" s="64" t="s" ph="1">
        <v>227</v>
      </c>
      <c r="AO93" s="64" t="s" ph="1">
        <v>259</v>
      </c>
      <c r="AP93" s="64" t="s" ph="1">
        <v>445</v>
      </c>
      <c r="AQ93" s="64" t="s" ph="1">
        <v>231</v>
      </c>
      <c r="AR93" s="64" t="s" ph="1">
        <v>259</v>
      </c>
      <c r="AS93" s="64" t="s" ph="1">
        <v>446</v>
      </c>
      <c r="AT93" s="64" t="s" ph="1">
        <v>237</v>
      </c>
      <c r="AU93" s="64" t="s" ph="1">
        <v>259</v>
      </c>
      <c r="AV93" s="64" t="s" ph="1">
        <v>447</v>
      </c>
      <c r="AW93" s="64" t="s" ph="1">
        <v>231</v>
      </c>
      <c r="AX93" s="64" t="s" ph="1">
        <v>259</v>
      </c>
    </row>
    <row r="94" spans="34:52" ph="1">
      <c r="AJ94" s="64" t="s" ph="1">
        <v>448</v>
      </c>
      <c r="AK94" s="64" t="s" ph="1">
        <v>294</v>
      </c>
      <c r="AM94" s="64" t="s" ph="1">
        <v>449</v>
      </c>
      <c r="AN94" s="64" t="s" ph="1">
        <v>231</v>
      </c>
      <c r="AO94" s="64" t="s" ph="1">
        <v>259</v>
      </c>
      <c r="AP94" s="64" t="s" ph="1">
        <v>450</v>
      </c>
      <c r="AQ94" s="64" t="s" ph="1">
        <v>239</v>
      </c>
      <c r="AR94" s="64" t="s" ph="1">
        <v>259</v>
      </c>
      <c r="AS94" s="64" t="s" ph="1">
        <v>451</v>
      </c>
      <c r="AT94" s="64" t="s" ph="1">
        <v>225</v>
      </c>
      <c r="AU94" s="64" t="s" ph="1">
        <v>259</v>
      </c>
      <c r="AV94" s="64" t="s" ph="1">
        <v>452</v>
      </c>
      <c r="AW94" s="64" t="s" ph="1">
        <v>225</v>
      </c>
      <c r="AX94" s="64" t="s" ph="1">
        <v>259</v>
      </c>
    </row>
    <row r="95" spans="34:52" ph="1">
      <c r="AJ95" s="64" t="s" ph="1">
        <v>453</v>
      </c>
      <c r="AK95" s="64" t="s" ph="1">
        <v>299</v>
      </c>
    </row>
    <row r="96" spans="34:52" ph="1">
      <c r="AH96" s="64" ph="1">
        <v>7</v>
      </c>
      <c r="AI96" s="64" t="s" ph="1">
        <v>454</v>
      </c>
      <c r="AJ96" s="64" t="s" ph="1">
        <v>453</v>
      </c>
      <c r="AK96" s="64" t="s" ph="1">
        <v>254</v>
      </c>
      <c r="AM96" s="64" t="s" ph="1">
        <v>455</v>
      </c>
      <c r="AN96" s="64" t="s" ph="1">
        <v>228</v>
      </c>
      <c r="AO96" s="64" t="s" ph="1">
        <v>259</v>
      </c>
      <c r="AP96" s="64" t="s" ph="1">
        <v>456</v>
      </c>
      <c r="AQ96" s="64" t="s" ph="1">
        <v>272</v>
      </c>
      <c r="AR96" s="64" t="s" ph="1">
        <v>287</v>
      </c>
      <c r="AS96" s="64" t="s" ph="1">
        <v>457</v>
      </c>
      <c r="AT96" s="64" t="s" ph="1">
        <v>231</v>
      </c>
      <c r="AU96" s="64" t="s" ph="1">
        <v>287</v>
      </c>
      <c r="AV96" s="64" t="s" ph="1">
        <v>458</v>
      </c>
      <c r="AW96" s="64" t="s" ph="1">
        <v>227</v>
      </c>
      <c r="AX96" s="64" t="s" ph="1">
        <v>287</v>
      </c>
      <c r="AY96" s="64" t="s" ph="1">
        <v>216</v>
      </c>
      <c r="AZ96" s="64" t="s" ph="1">
        <v>459</v>
      </c>
    </row>
    <row r="97" spans="33:52" ph="1">
      <c r="AJ97" s="64" t="s" ph="1">
        <v>460</v>
      </c>
      <c r="AK97" s="64" t="s" ph="1">
        <v>282</v>
      </c>
      <c r="AM97" s="64" t="s" ph="1">
        <v>461</v>
      </c>
      <c r="AN97" s="64" t="s" ph="1">
        <v>225</v>
      </c>
      <c r="AO97" s="64" t="s" ph="1">
        <v>259</v>
      </c>
      <c r="AP97" s="64" t="s" ph="1">
        <v>462</v>
      </c>
      <c r="AQ97" s="64" t="s" ph="1">
        <v>219</v>
      </c>
      <c r="AR97" s="64" t="s" ph="1">
        <v>287</v>
      </c>
      <c r="AS97" s="64" t="s" ph="1">
        <v>463</v>
      </c>
      <c r="AT97" s="64" t="s" ph="1">
        <v>222</v>
      </c>
      <c r="AU97" s="64" t="s" ph="1">
        <v>287</v>
      </c>
      <c r="AV97" s="64" t="s" ph="1">
        <v>464</v>
      </c>
      <c r="AW97" s="64" t="s" ph="1">
        <v>228</v>
      </c>
      <c r="AX97" s="64" t="s" ph="1">
        <v>287</v>
      </c>
    </row>
    <row r="98" spans="33:52" ph="1">
      <c r="AJ98" s="64" t="s" ph="1">
        <v>465</v>
      </c>
      <c r="AK98" s="64" t="s" ph="1">
        <v>231</v>
      </c>
      <c r="AM98" s="64" t="s" ph="1">
        <v>466</v>
      </c>
      <c r="AN98" s="64" t="s" ph="1">
        <v>239</v>
      </c>
      <c r="AO98" s="64" t="s" ph="1">
        <v>259</v>
      </c>
      <c r="AP98" s="64" t="s" ph="1">
        <v>467</v>
      </c>
      <c r="AQ98" s="64" t="s" ph="1">
        <v>219</v>
      </c>
      <c r="AR98" s="64" t="s" ph="1">
        <v>287</v>
      </c>
      <c r="AS98" s="64" t="s" ph="1">
        <v>468</v>
      </c>
      <c r="AT98" s="64" t="s" ph="1">
        <v>299</v>
      </c>
      <c r="AU98" s="64" t="s" ph="1">
        <v>287</v>
      </c>
      <c r="AV98" s="64" t="s" ph="1">
        <v>469</v>
      </c>
      <c r="AW98" s="64" t="s" ph="1">
        <v>222</v>
      </c>
      <c r="AX98" s="64" t="s" ph="1">
        <v>287</v>
      </c>
    </row>
    <row r="99" spans="33:52" ph="1">
      <c r="AH99" s="64" ph="1">
        <v>8</v>
      </c>
      <c r="AI99" s="64" t="s" ph="1">
        <v>470</v>
      </c>
      <c r="AJ99" s="64" t="s" ph="1">
        <v>471</v>
      </c>
      <c r="AK99" s="64" t="s" ph="1">
        <v>367</v>
      </c>
      <c r="AM99" s="64" t="s" ph="1">
        <v>472</v>
      </c>
      <c r="AN99" s="64" t="s" ph="1">
        <v>254</v>
      </c>
      <c r="AO99" s="64" t="s" ph="1">
        <v>259</v>
      </c>
      <c r="AP99" s="64" t="s" ph="1">
        <v>473</v>
      </c>
      <c r="AQ99" s="64" t="s" ph="1">
        <v>224</v>
      </c>
      <c r="AR99" s="64" t="s" ph="1">
        <v>287</v>
      </c>
      <c r="AS99" s="64" t="s" ph="1">
        <v>474</v>
      </c>
      <c r="AT99" s="64" t="s" ph="1">
        <v>239</v>
      </c>
      <c r="AU99" s="64" t="s" ph="1">
        <v>287</v>
      </c>
      <c r="AV99" s="64" t="s" ph="1">
        <v>475</v>
      </c>
      <c r="AW99" s="64" t="s" ph="1">
        <v>224</v>
      </c>
      <c r="AX99" s="64" t="s" ph="1">
        <v>287</v>
      </c>
      <c r="AY99" s="64" t="s" ph="1">
        <v>216</v>
      </c>
      <c r="AZ99" s="64" t="s" ph="1">
        <v>476</v>
      </c>
    </row>
    <row r="100" spans="33:52" ph="1">
      <c r="AJ100" s="64" t="s" ph="1">
        <v>477</v>
      </c>
      <c r="AK100" s="64" t="s" ph="1">
        <v>222</v>
      </c>
      <c r="AM100" s="64" t="s" ph="1">
        <v>478</v>
      </c>
      <c r="AN100" s="64" t="s" ph="1">
        <v>294</v>
      </c>
      <c r="AO100" s="64" t="s" ph="1">
        <v>259</v>
      </c>
      <c r="AP100" s="64" t="s" ph="1">
        <v>479</v>
      </c>
      <c r="AQ100" s="64" t="s" ph="1">
        <v>300</v>
      </c>
      <c r="AR100" s="64" t="s" ph="1">
        <v>287</v>
      </c>
      <c r="AS100" s="64" t="s" ph="1">
        <v>480</v>
      </c>
      <c r="AT100" s="64" t="s" ph="1">
        <v>367</v>
      </c>
      <c r="AU100" s="64" t="s" ph="1">
        <v>259</v>
      </c>
      <c r="AV100" s="64" t="s" ph="1">
        <v>481</v>
      </c>
      <c r="AW100" s="64" t="s" ph="1">
        <v>367</v>
      </c>
      <c r="AX100" s="64" t="s" ph="1">
        <v>259</v>
      </c>
    </row>
    <row r="101" spans="33:52" ph="1">
      <c r="AJ101" s="64" t="s" ph="1">
        <v>482</v>
      </c>
      <c r="AK101" s="64" t="s" ph="1">
        <v>367</v>
      </c>
      <c r="AM101" s="64" t="s" ph="1">
        <v>483</v>
      </c>
      <c r="AN101" s="64" t="s" ph="1">
        <v>225</v>
      </c>
      <c r="AO101" s="64" t="s" ph="1">
        <v>259</v>
      </c>
      <c r="AP101" s="64" t="s" ph="1">
        <v>484</v>
      </c>
      <c r="AQ101" s="64" t="s" ph="1">
        <v>237</v>
      </c>
      <c r="AR101" s="64" t="s" ph="1">
        <v>287</v>
      </c>
      <c r="AS101" s="64" t="s" ph="1">
        <v>485</v>
      </c>
      <c r="AT101" s="64" t="s" ph="1">
        <v>294</v>
      </c>
      <c r="AU101" s="64" t="s" ph="1">
        <v>287</v>
      </c>
      <c r="AV101" s="64" t="s" ph="1">
        <v>486</v>
      </c>
      <c r="AW101" s="64" t="s" ph="1">
        <v>225</v>
      </c>
      <c r="AX101" s="64" t="s" ph="1">
        <v>259</v>
      </c>
    </row>
    <row r="102" spans="33:52" ph="1">
      <c r="AJ102" s="64" t="s" ph="1">
        <v>487</v>
      </c>
      <c r="AK102" s="64" t="s" ph="1">
        <v>222</v>
      </c>
      <c r="AM102" s="64" t="s" ph="1">
        <v>488</v>
      </c>
      <c r="AN102" s="64" t="s" ph="1">
        <v>231</v>
      </c>
      <c r="AO102" s="64" t="s" ph="1">
        <v>259</v>
      </c>
      <c r="AP102" s="64" t="s" ph="1">
        <v>489</v>
      </c>
      <c r="AQ102" s="64" t="s" ph="1">
        <v>237</v>
      </c>
      <c r="AR102" s="64" t="s" ph="1">
        <v>259</v>
      </c>
      <c r="AS102" s="64" t="s" ph="1">
        <v>490</v>
      </c>
      <c r="AT102" s="64" t="s" ph="1">
        <v>254</v>
      </c>
      <c r="AU102" s="64" t="s" ph="1">
        <v>259</v>
      </c>
      <c r="AV102" s="64" t="s" ph="1">
        <v>491</v>
      </c>
      <c r="AW102" s="64" t="s" ph="1">
        <v>272</v>
      </c>
      <c r="AX102" s="64" t="s" ph="1">
        <v>259</v>
      </c>
    </row>
    <row r="103" spans="33:52" ph="1">
      <c r="AH103" s="64" ph="1">
        <v>9</v>
      </c>
      <c r="AI103" s="64" t="s" ph="1">
        <v>492</v>
      </c>
      <c r="AJ103" s="64" t="s" ph="1">
        <v>493</v>
      </c>
      <c r="AK103" s="64" t="s" ph="1">
        <v>367</v>
      </c>
      <c r="AM103" s="64" t="s" ph="1">
        <v>494</v>
      </c>
      <c r="AN103" s="64" t="s" ph="1">
        <v>282</v>
      </c>
      <c r="AO103" s="64" t="s" ph="1">
        <v>259</v>
      </c>
      <c r="AP103" s="64" t="s" ph="1">
        <v>336</v>
      </c>
      <c r="AQ103" s="64" t="s" ph="1">
        <v>225</v>
      </c>
      <c r="AR103" s="64" t="s" ph="1">
        <v>259</v>
      </c>
      <c r="AS103" s="64" t="s" ph="1">
        <v>570</v>
      </c>
      <c r="AT103" s="64" t="s" ph="1">
        <v>367</v>
      </c>
      <c r="AU103" s="64" t="s" ph="1">
        <v>259</v>
      </c>
      <c r="AY103" s="64" t="s" ph="1">
        <v>216</v>
      </c>
      <c r="AZ103" s="64" t="s" ph="1">
        <v>224</v>
      </c>
    </row>
    <row r="104" spans="33:52" ph="1">
      <c r="AZ104" s="64" t="s" ph="1">
        <v>495</v>
      </c>
    </row>
    <row r="105" spans="33:52" ph="1">
      <c r="AG105" s="64" t="s" ph="1">
        <v>295</v>
      </c>
      <c r="AI105" s="64" t="s" ph="1">
        <v>209</v>
      </c>
      <c r="AJ105" s="64" t="s" ph="1">
        <v>210</v>
      </c>
      <c r="AK105" s="64" t="s" ph="1">
        <v>211</v>
      </c>
      <c r="AM105" s="64" t="s" ph="1">
        <v>210</v>
      </c>
      <c r="AN105" s="64" t="s" ph="1">
        <v>211</v>
      </c>
      <c r="AO105" s="64" t="s" ph="1">
        <v>212</v>
      </c>
      <c r="AP105" s="64" t="s" ph="1">
        <v>210</v>
      </c>
      <c r="AQ105" s="64" t="s" ph="1">
        <v>211</v>
      </c>
      <c r="AR105" s="64" t="s" ph="1">
        <v>212</v>
      </c>
      <c r="AS105" s="64" t="s" ph="1">
        <v>210</v>
      </c>
      <c r="AT105" s="64" t="s" ph="1">
        <v>211</v>
      </c>
      <c r="AU105" s="64" t="s" ph="1">
        <v>212</v>
      </c>
      <c r="AV105" s="64" t="s" ph="1">
        <v>210</v>
      </c>
      <c r="AW105" s="64" t="s" ph="1">
        <v>211</v>
      </c>
      <c r="AX105" s="64" t="s" ph="1">
        <v>212</v>
      </c>
      <c r="AZ105" s="64" t="s" ph="1">
        <v>213</v>
      </c>
    </row>
    <row r="106" spans="33:52" ph="1">
      <c r="AH106" s="64" ph="1">
        <v>1</v>
      </c>
      <c r="AI106" s="64" t="s" ph="1">
        <v>496</v>
      </c>
      <c r="AJ106" s="64" t="s" ph="1">
        <v>570</v>
      </c>
      <c r="AK106" s="64" t="s" ph="1">
        <v>231</v>
      </c>
      <c r="AZ106" s="64" t="s" ph="1">
        <v>231</v>
      </c>
    </row>
    <row r="107" spans="33:52" ph="1">
      <c r="AH107" s="64" ph="1">
        <v>2</v>
      </c>
      <c r="AI107" s="64" t="s" ph="1">
        <v>497</v>
      </c>
      <c r="AJ107" s="64" t="s" ph="1">
        <v>498</v>
      </c>
      <c r="AK107" s="64" t="s" ph="1">
        <v>228</v>
      </c>
      <c r="AM107" s="64" t="s" ph="1">
        <v>334</v>
      </c>
      <c r="AN107" s="64" t="s" ph="1">
        <v>499</v>
      </c>
      <c r="AO107" s="64" t="s" ph="1">
        <v>500</v>
      </c>
      <c r="AP107" s="64" t="s" ph="1">
        <v>336</v>
      </c>
      <c r="AQ107" s="64" t="s" ph="1">
        <v>304</v>
      </c>
      <c r="AR107" s="64" t="s" ph="1">
        <v>500</v>
      </c>
      <c r="AS107" s="64" t="s" ph="1">
        <v>570</v>
      </c>
      <c r="AT107" s="64" t="s" ph="1">
        <v>499</v>
      </c>
      <c r="AU107" s="64" t="s" ph="1">
        <v>500</v>
      </c>
      <c r="AY107" s="64" t="s" ph="1">
        <v>216</v>
      </c>
      <c r="AZ107" s="64" t="s" ph="1">
        <v>580</v>
      </c>
    </row>
    <row r="108" spans="33:52" ph="1">
      <c r="AH108" s="64" ph="1">
        <v>3</v>
      </c>
      <c r="AI108" s="64" t="s" ph="1">
        <v>501</v>
      </c>
      <c r="AY108" s="64" t="s" ph="1">
        <v>216</v>
      </c>
      <c r="AZ108" s="64" t="s" ph="1">
        <v>367</v>
      </c>
    </row>
    <row r="109" spans="33:52" ph="1">
      <c r="AH109" s="64" ph="1">
        <v>4</v>
      </c>
      <c r="AI109" s="64" t="s" ph="1">
        <v>502</v>
      </c>
      <c r="AY109" s="64" t="s" ph="1">
        <v>216</v>
      </c>
      <c r="AZ109" s="64" t="s" ph="1">
        <v>367</v>
      </c>
    </row>
    <row r="110" spans="33:52" ph="1">
      <c r="AH110" s="64" ph="1">
        <v>5</v>
      </c>
      <c r="AI110" s="64" t="s" ph="1">
        <v>503</v>
      </c>
      <c r="AY110" s="64" t="s" ph="1">
        <v>216</v>
      </c>
      <c r="AZ110" s="64" t="s" ph="1">
        <v>367</v>
      </c>
    </row>
    <row r="111" spans="33:52" ph="1">
      <c r="AH111" s="64" ph="1">
        <v>6</v>
      </c>
      <c r="AI111" s="64" t="s" ph="1">
        <v>581</v>
      </c>
      <c r="AJ111" s="64" t="s" ph="1">
        <v>486</v>
      </c>
      <c r="AK111" s="64" t="s" ph="1">
        <v>225</v>
      </c>
      <c r="AM111" s="64" t="s" ph="1">
        <v>487</v>
      </c>
      <c r="AN111" s="64" t="s" ph="1">
        <v>219</v>
      </c>
      <c r="AO111" s="64" t="s" ph="1">
        <v>500</v>
      </c>
      <c r="AP111" s="64" t="s" ph="1">
        <v>488</v>
      </c>
      <c r="AQ111" s="64" t="s" ph="1">
        <v>228</v>
      </c>
      <c r="AR111" s="64" t="s" ph="1">
        <v>500</v>
      </c>
      <c r="AS111" s="64" t="s" ph="1">
        <v>489</v>
      </c>
      <c r="AT111" s="64" t="s" ph="1">
        <v>237</v>
      </c>
      <c r="AU111" s="64" t="s" ph="1">
        <v>500</v>
      </c>
      <c r="AV111" s="64" t="s" ph="1">
        <v>490</v>
      </c>
      <c r="AW111" s="64" t="s" ph="1">
        <v>227</v>
      </c>
      <c r="AX111" s="64" t="s" ph="1">
        <v>500</v>
      </c>
      <c r="AY111" s="64" t="s" ph="1">
        <v>216</v>
      </c>
      <c r="AZ111" s="64" t="s" ph="1">
        <v>504</v>
      </c>
    </row>
    <row r="112" spans="33:52" ph="1">
      <c r="AJ112" s="64" t="s" ph="1">
        <v>491</v>
      </c>
      <c r="AK112" s="64" t="s" ph="1">
        <v>272</v>
      </c>
      <c r="AM112" s="64" t="s" ph="1">
        <v>493</v>
      </c>
      <c r="AN112" s="64" t="s" ph="1">
        <v>296</v>
      </c>
      <c r="AO112" s="64" t="s" ph="1">
        <v>500</v>
      </c>
      <c r="AP112" s="64" t="s" ph="1">
        <v>494</v>
      </c>
      <c r="AQ112" s="64" t="s" ph="1">
        <v>505</v>
      </c>
      <c r="AR112" s="64" t="s" ph="1">
        <v>500</v>
      </c>
      <c r="AS112" s="64" t="s" ph="1">
        <v>506</v>
      </c>
      <c r="AT112" s="64" t="s" ph="1">
        <v>248</v>
      </c>
      <c r="AU112" s="64" t="s" ph="1">
        <v>500</v>
      </c>
      <c r="AV112" s="64" t="s" ph="1">
        <v>507</v>
      </c>
      <c r="AW112" s="64" t="s" ph="1">
        <v>294</v>
      </c>
      <c r="AX112" s="64" t="s" ph="1">
        <v>500</v>
      </c>
    </row>
    <row r="113" spans="33:52" ph="1">
      <c r="AH113" s="64" ph="1">
        <v>7</v>
      </c>
      <c r="AI113" s="64" t="s" ph="1">
        <v>508</v>
      </c>
      <c r="AJ113" s="64" t="s" ph="1">
        <v>589</v>
      </c>
      <c r="AK113" s="64" t="s" ph="1">
        <v>594</v>
      </c>
      <c r="AY113" s="64" t="s" ph="1">
        <v>216</v>
      </c>
      <c r="AZ113" s="64" t="s" ph="1">
        <v>594</v>
      </c>
    </row>
    <row r="114" spans="33:52" ph="1">
      <c r="AH114" s="64" ph="1">
        <v>8</v>
      </c>
      <c r="AI114" s="64" t="s" ph="1">
        <v>509</v>
      </c>
      <c r="AJ114" s="64" t="s" ph="1">
        <v>589</v>
      </c>
      <c r="AK114" s="64" t="s" ph="1">
        <v>595</v>
      </c>
      <c r="AY114" s="64" t="s" ph="1">
        <v>216</v>
      </c>
      <c r="AZ114" s="64" t="s" ph="1">
        <v>595</v>
      </c>
    </row>
    <row r="115" spans="33:52" ph="1">
      <c r="AH115" s="64" ph="1">
        <v>9</v>
      </c>
      <c r="AI115" s="64" t="s" ph="1">
        <v>510</v>
      </c>
      <c r="AJ115" s="64" t="s" ph="1">
        <v>589</v>
      </c>
      <c r="AK115" s="64" t="s" ph="1">
        <v>595</v>
      </c>
      <c r="AY115" s="64" t="s" ph="1">
        <v>216</v>
      </c>
      <c r="AZ115" s="64" t="s" ph="1">
        <v>595</v>
      </c>
    </row>
    <row r="116" spans="33:52" ph="1">
      <c r="AH116" s="64" ph="1">
        <v>10</v>
      </c>
      <c r="AI116" s="64" t="s" ph="1">
        <v>511</v>
      </c>
      <c r="AJ116" s="64" t="s" ph="1">
        <v>589</v>
      </c>
      <c r="AK116" s="64" t="s" ph="1">
        <v>595</v>
      </c>
      <c r="AY116" s="64" t="s" ph="1">
        <v>216</v>
      </c>
      <c r="AZ116" s="64" t="s" ph="1">
        <v>595</v>
      </c>
    </row>
    <row r="117" spans="33:52" ph="1">
      <c r="AH117" s="64" ph="1">
        <v>11</v>
      </c>
      <c r="AI117" s="64" t="s" ph="1">
        <v>512</v>
      </c>
      <c r="AJ117" s="64" t="s" ph="1">
        <v>589</v>
      </c>
      <c r="AK117" s="64" t="s" ph="1">
        <v>595</v>
      </c>
      <c r="AY117" s="64" t="s" ph="1">
        <v>216</v>
      </c>
      <c r="AZ117" s="64" t="s" ph="1">
        <v>595</v>
      </c>
    </row>
    <row r="118" spans="33:52" ph="1">
      <c r="AZ118" s="64" t="s" ph="1">
        <v>596</v>
      </c>
    </row>
    <row r="119" spans="33:52" ph="1">
      <c r="AI119" s="64" t="s" ph="1">
        <v>209</v>
      </c>
      <c r="AJ119" s="64" t="s" ph="1">
        <v>210</v>
      </c>
      <c r="AK119" s="64" t="s" ph="1">
        <v>211</v>
      </c>
      <c r="AM119" s="64" t="s" ph="1">
        <v>210</v>
      </c>
      <c r="AN119" s="64" t="s" ph="1">
        <v>211</v>
      </c>
      <c r="AO119" s="64" t="s" ph="1">
        <v>212</v>
      </c>
      <c r="AP119" s="64" t="s" ph="1">
        <v>210</v>
      </c>
      <c r="AQ119" s="64" t="s" ph="1">
        <v>211</v>
      </c>
      <c r="AR119" s="64" t="s" ph="1">
        <v>212</v>
      </c>
      <c r="AS119" s="64" t="s" ph="1">
        <v>210</v>
      </c>
      <c r="AT119" s="64" t="s" ph="1">
        <v>211</v>
      </c>
      <c r="AU119" s="64" t="s" ph="1">
        <v>212</v>
      </c>
      <c r="AV119" s="64" t="s" ph="1">
        <v>210</v>
      </c>
      <c r="AW119" s="64" t="s" ph="1">
        <v>211</v>
      </c>
      <c r="AX119" s="64" t="s" ph="1">
        <v>212</v>
      </c>
      <c r="AY119" s="64" t="s" ph="1">
        <v>211</v>
      </c>
      <c r="AZ119" s="64" t="s" ph="1">
        <v>213</v>
      </c>
    </row>
    <row r="120" spans="33:52" ph="1">
      <c r="AG120" s="64" t="s" ph="1">
        <v>353</v>
      </c>
      <c r="AH120" s="64" ph="1">
        <v>1</v>
      </c>
      <c r="AI120" s="64" t="s" ph="1">
        <v>513</v>
      </c>
      <c r="AJ120" s="64" t="s" ph="1">
        <v>587</v>
      </c>
      <c r="AK120" s="64" t="s" ph="1">
        <v>367</v>
      </c>
      <c r="AY120" s="64" t="s" ph="1">
        <v>216</v>
      </c>
      <c r="AZ120" s="64" t="s" ph="1">
        <v>367</v>
      </c>
    </row>
    <row r="121" spans="33:52" ph="1">
      <c r="AH121" s="64" ph="1">
        <v>2</v>
      </c>
      <c r="AI121" s="64" t="s" ph="1">
        <v>514</v>
      </c>
      <c r="AY121" s="64" t="s" ph="1">
        <v>216</v>
      </c>
      <c r="AZ121" s="64" t="s" ph="1">
        <v>367</v>
      </c>
    </row>
    <row r="122" spans="33:52" ph="1">
      <c r="AH122" s="64" ph="1">
        <v>3</v>
      </c>
      <c r="AI122" s="64" t="s" ph="1">
        <v>515</v>
      </c>
      <c r="AJ122" s="64" t="s" ph="1">
        <v>570</v>
      </c>
      <c r="AK122" s="64" t="s" ph="1">
        <v>582</v>
      </c>
      <c r="AM122" s="64" t="s" ph="1">
        <v>597</v>
      </c>
      <c r="AN122" s="64" t="s" ph="1">
        <v>590</v>
      </c>
      <c r="AO122" s="64" t="s" ph="1">
        <v>91</v>
      </c>
      <c r="AY122" s="64" t="s" ph="1">
        <v>216</v>
      </c>
      <c r="AZ122" s="64" t="s" ph="1">
        <v>579</v>
      </c>
    </row>
    <row r="123" spans="33:52" ph="1">
      <c r="AY123" s="64" t="s" ph="1">
        <v>216</v>
      </c>
      <c r="AZ123" s="64" t="s" ph="1">
        <v>579</v>
      </c>
    </row>
    <row r="124" spans="33:52" ph="1">
      <c r="AG124" s="64" t="s" ph="1">
        <v>356</v>
      </c>
      <c r="AH124" s="64" ph="1">
        <v>4</v>
      </c>
      <c r="AI124" s="64" t="s" ph="1">
        <v>516</v>
      </c>
      <c r="AJ124" s="64" t="s" ph="1">
        <v>517</v>
      </c>
      <c r="AK124" s="64" t="s" ph="1">
        <v>518</v>
      </c>
      <c r="AY124" s="64" t="s" ph="1">
        <v>216</v>
      </c>
      <c r="AZ124" s="64" t="s" ph="1">
        <v>518</v>
      </c>
    </row>
    <row r="125" spans="33:52" ph="1">
      <c r="AH125" s="64" ph="1">
        <v>5</v>
      </c>
      <c r="AI125" s="64" t="s" ph="1">
        <v>519</v>
      </c>
      <c r="AJ125" s="64" t="s" ph="1">
        <v>517</v>
      </c>
      <c r="AK125" s="64" t="s" ph="1">
        <v>518</v>
      </c>
      <c r="AY125" s="64" t="s" ph="1">
        <v>216</v>
      </c>
      <c r="AZ125" s="64" t="s" ph="1">
        <v>518</v>
      </c>
    </row>
    <row r="126" spans="33:52" ph="1">
      <c r="AH126" s="64" ph="1">
        <v>6</v>
      </c>
      <c r="AI126" s="64" t="s" ph="1">
        <v>520</v>
      </c>
      <c r="AJ126" s="64" t="s" ph="1">
        <v>589</v>
      </c>
      <c r="AK126" s="64" t="s" ph="1">
        <v>598</v>
      </c>
      <c r="AY126" s="64" t="s" ph="1">
        <v>216</v>
      </c>
      <c r="AZ126" s="64" t="s" ph="1">
        <v>598</v>
      </c>
    </row>
    <row r="127" spans="33:52" ph="1">
      <c r="AH127" s="64" ph="1">
        <v>7</v>
      </c>
      <c r="AI127" s="64" t="s" ph="1">
        <v>521</v>
      </c>
      <c r="AJ127" s="64" t="s" ph="1">
        <v>589</v>
      </c>
      <c r="AK127" s="64" t="s" ph="1">
        <v>599</v>
      </c>
      <c r="AY127" s="64" t="s" ph="1">
        <v>216</v>
      </c>
      <c r="AZ127" s="64" t="s" ph="1">
        <v>599</v>
      </c>
    </row>
    <row r="128" spans="33:52" ph="1">
      <c r="AH128" s="64" ph="1">
        <v>8</v>
      </c>
      <c r="AI128" s="64" t="s" ph="1">
        <v>522</v>
      </c>
      <c r="AY128" s="64" t="s" ph="1">
        <v>216</v>
      </c>
      <c r="AZ128" s="64" t="s" ph="1">
        <v>367</v>
      </c>
    </row>
    <row r="129" spans="33:52" ph="1">
      <c r="AH129" s="64" ph="1">
        <v>9</v>
      </c>
      <c r="AI129" s="64" t="s" ph="1">
        <v>523</v>
      </c>
      <c r="AY129" s="64" t="s" ph="1">
        <v>216</v>
      </c>
      <c r="AZ129" s="64" t="s" ph="1">
        <v>367</v>
      </c>
    </row>
    <row r="130" spans="33:52" ph="1">
      <c r="AH130" s="64" ph="1">
        <v>10</v>
      </c>
      <c r="AI130" s="64" t="s" ph="1">
        <v>524</v>
      </c>
      <c r="AY130" s="64" t="s" ph="1">
        <v>216</v>
      </c>
      <c r="AZ130" s="64" t="s" ph="1">
        <v>367</v>
      </c>
    </row>
    <row r="131" spans="33:52" ph="1">
      <c r="AH131" s="64" ph="1">
        <v>11</v>
      </c>
      <c r="AI131" s="64" t="s" ph="1">
        <v>525</v>
      </c>
      <c r="AJ131" s="64" t="s" ph="1">
        <v>583</v>
      </c>
      <c r="AK131" s="64" t="s" ph="1">
        <v>579</v>
      </c>
      <c r="AY131" s="64" t="s" ph="1">
        <v>216</v>
      </c>
      <c r="AZ131" s="64" t="s" ph="1">
        <v>579</v>
      </c>
    </row>
    <row r="132" spans="33:52" ph="1">
      <c r="AH132" s="64" ph="1">
        <v>12</v>
      </c>
      <c r="AI132" s="64" t="s" ph="1">
        <v>526</v>
      </c>
      <c r="AJ132" s="64" t="s" ph="1">
        <v>583</v>
      </c>
      <c r="AK132" s="64" t="s" ph="1">
        <v>518</v>
      </c>
      <c r="AY132" s="64" t="s" ph="1">
        <v>216</v>
      </c>
      <c r="AZ132" s="64" t="s" ph="1">
        <v>518</v>
      </c>
    </row>
    <row r="133" spans="33:52" ph="1">
      <c r="AH133" s="64" ph="1">
        <v>13</v>
      </c>
      <c r="AI133" s="64" t="s" ph="1">
        <v>527</v>
      </c>
      <c r="AJ133" s="64" t="s" ph="1">
        <v>583</v>
      </c>
      <c r="AK133" s="64" t="s" ph="1">
        <v>584</v>
      </c>
      <c r="AY133" s="64" t="s" ph="1">
        <v>216</v>
      </c>
      <c r="AZ133" s="64" t="s" ph="1">
        <v>584</v>
      </c>
    </row>
    <row r="134" spans="33:52" ph="1">
      <c r="AH134" s="64" ph="1">
        <v>14</v>
      </c>
      <c r="AI134" s="64" t="s" ph="1">
        <v>528</v>
      </c>
      <c r="AJ134" s="64" t="s" ph="1">
        <v>583</v>
      </c>
      <c r="AK134" s="64" t="s" ph="1">
        <v>585</v>
      </c>
      <c r="AY134" s="64" t="s" ph="1">
        <v>216</v>
      </c>
      <c r="AZ134" s="64" t="s" ph="1">
        <v>585</v>
      </c>
    </row>
    <row r="135" spans="33:52" ph="1">
      <c r="AH135" s="64" ph="1">
        <v>15</v>
      </c>
      <c r="AI135" s="64" t="s" ph="1">
        <v>529</v>
      </c>
      <c r="AJ135" s="64" t="s" ph="1">
        <v>583</v>
      </c>
      <c r="AK135" s="64" t="s" ph="1">
        <v>586</v>
      </c>
      <c r="AY135" s="64" t="s" ph="1">
        <v>216</v>
      </c>
      <c r="AZ135" s="64" t="s" ph="1">
        <v>586</v>
      </c>
    </row>
    <row r="136" spans="33:52" ph="1">
      <c r="AZ136" s="64" t="s" ph="1">
        <v>600</v>
      </c>
    </row>
    <row r="137" spans="33:52" ph="1">
      <c r="AG137" s="64" t="s" ph="1">
        <v>290</v>
      </c>
      <c r="AI137" s="64" t="s" ph="1">
        <v>209</v>
      </c>
      <c r="AJ137" s="64" t="s" ph="1">
        <v>210</v>
      </c>
      <c r="AK137" s="64" t="s" ph="1">
        <v>211</v>
      </c>
      <c r="AM137" s="64" t="s" ph="1">
        <v>210</v>
      </c>
      <c r="AN137" s="64" t="s" ph="1">
        <v>211</v>
      </c>
      <c r="AO137" s="64" t="s" ph="1">
        <v>212</v>
      </c>
      <c r="AP137" s="64" t="s" ph="1">
        <v>210</v>
      </c>
      <c r="AQ137" s="64" t="s" ph="1">
        <v>211</v>
      </c>
      <c r="AR137" s="64" t="s" ph="1">
        <v>212</v>
      </c>
      <c r="AS137" s="64" t="s" ph="1">
        <v>210</v>
      </c>
      <c r="AT137" s="64" t="s" ph="1">
        <v>211</v>
      </c>
      <c r="AU137" s="64" t="s" ph="1">
        <v>212</v>
      </c>
      <c r="AV137" s="64" t="s" ph="1">
        <v>210</v>
      </c>
      <c r="AW137" s="64" t="s" ph="1">
        <v>211</v>
      </c>
      <c r="AX137" s="64" t="s" ph="1">
        <v>212</v>
      </c>
      <c r="AY137" s="64" t="s" ph="1">
        <v>211</v>
      </c>
      <c r="AZ137" s="64" t="s" ph="1">
        <v>213</v>
      </c>
    </row>
    <row r="138" spans="33:52" ph="1">
      <c r="AH138" s="64" ph="1">
        <v>1</v>
      </c>
      <c r="AI138" s="64" t="s" ph="1">
        <v>530</v>
      </c>
      <c r="AJ138" s="64" t="s" ph="1">
        <v>531</v>
      </c>
      <c r="AK138" s="64" t="s" ph="1">
        <v>532</v>
      </c>
      <c r="AY138" s="64" t="s" ph="1">
        <v>216</v>
      </c>
      <c r="AZ138" s="64" t="s" ph="1">
        <v>532</v>
      </c>
    </row>
    <row r="139" spans="33:52" ph="1">
      <c r="AH139" s="64" ph="1">
        <v>2</v>
      </c>
      <c r="AI139" s="64" t="s" ph="1">
        <v>533</v>
      </c>
      <c r="AJ139" s="64" t="s" ph="1">
        <v>589</v>
      </c>
      <c r="AK139" s="64" t="s" ph="1">
        <v>601</v>
      </c>
      <c r="AY139" s="64" t="s" ph="1">
        <v>216</v>
      </c>
      <c r="AZ139" s="64" t="s" ph="1">
        <v>601</v>
      </c>
    </row>
    <row r="140" spans="33:52" ph="1">
      <c r="AH140" s="64" ph="1">
        <v>3</v>
      </c>
      <c r="AI140" s="64" t="s" ph="1">
        <v>534</v>
      </c>
      <c r="AJ140" s="64" t="s" ph="1">
        <v>487</v>
      </c>
      <c r="AK140" s="64" t="s" ph="1">
        <v>299</v>
      </c>
      <c r="AM140" s="64" t="s" ph="1">
        <v>488</v>
      </c>
      <c r="AN140" s="64" t="s" ph="1">
        <v>219</v>
      </c>
      <c r="AO140" s="64" t="s" ph="1">
        <v>535</v>
      </c>
      <c r="AP140" s="64" t="s" ph="1">
        <v>489</v>
      </c>
      <c r="AQ140" s="64" t="s" ph="1">
        <v>236</v>
      </c>
      <c r="AR140" s="64" t="s" ph="1">
        <v>535</v>
      </c>
      <c r="AS140" s="64" t="s" ph="1">
        <v>490</v>
      </c>
      <c r="AT140" s="64" t="s" ph="1">
        <v>229</v>
      </c>
      <c r="AU140" s="64" t="s" ph="1">
        <v>535</v>
      </c>
      <c r="AV140" s="64" t="s" ph="1">
        <v>491</v>
      </c>
      <c r="AW140" s="64" t="s" ph="1">
        <v>222</v>
      </c>
      <c r="AX140" s="64" t="s" ph="1">
        <v>535</v>
      </c>
      <c r="AY140" s="64" t="s" ph="1">
        <v>216</v>
      </c>
      <c r="AZ140" s="64" t="s" ph="1">
        <v>291</v>
      </c>
    </row>
    <row r="141" spans="33:52" ph="1">
      <c r="AJ141" s="64" t="s" ph="1">
        <v>493</v>
      </c>
      <c r="AK141" s="64" t="s" ph="1">
        <v>222</v>
      </c>
      <c r="AM141" s="64" t="s" ph="1">
        <v>494</v>
      </c>
      <c r="AN141" s="64" t="s" ph="1">
        <v>225</v>
      </c>
      <c r="AO141" s="64" t="s" ph="1">
        <v>535</v>
      </c>
      <c r="AP141" s="64" t="s" ph="1">
        <v>506</v>
      </c>
      <c r="AQ141" s="64" t="s" ph="1">
        <v>294</v>
      </c>
      <c r="AR141" s="64" t="s" ph="1">
        <v>535</v>
      </c>
      <c r="AS141" s="64" t="s" ph="1">
        <v>498</v>
      </c>
      <c r="AT141" s="64" t="s" ph="1">
        <v>222</v>
      </c>
      <c r="AU141" s="64" t="s" ph="1">
        <v>535</v>
      </c>
      <c r="AV141" s="64" t="s" ph="1">
        <v>334</v>
      </c>
      <c r="AW141" s="64" t="s" ph="1">
        <v>228</v>
      </c>
      <c r="AX141" s="64" t="s" ph="1">
        <v>535</v>
      </c>
    </row>
    <row r="142" spans="33:52" ph="1">
      <c r="AJ142" s="64" t="s" ph="1">
        <v>536</v>
      </c>
      <c r="AK142" s="64" t="s" ph="1">
        <v>239</v>
      </c>
    </row>
    <row r="143" spans="33:52" ph="1">
      <c r="AH143" s="64" ph="1">
        <v>4</v>
      </c>
      <c r="AI143" s="64" t="s" ph="1">
        <v>537</v>
      </c>
      <c r="AJ143" s="64" t="s" ph="1">
        <v>517</v>
      </c>
      <c r="AK143" s="64" t="s" ph="1">
        <v>538</v>
      </c>
      <c r="AY143" s="64" t="s" ph="1">
        <v>216</v>
      </c>
      <c r="AZ143" s="64" t="s" ph="1">
        <v>538</v>
      </c>
    </row>
    <row r="144" spans="33:52" ph="1">
      <c r="AH144" s="64" ph="1">
        <v>5</v>
      </c>
      <c r="AI144" s="64" t="s" ph="1">
        <v>539</v>
      </c>
      <c r="AY144" s="64" t="s" ph="1">
        <v>216</v>
      </c>
      <c r="AZ144" s="64" t="s" ph="1">
        <v>367</v>
      </c>
    </row>
    <row r="145" spans="33:52" ph="1">
      <c r="AH145" s="64" ph="1">
        <v>6</v>
      </c>
      <c r="AI145" s="64" t="s" ph="1">
        <v>540</v>
      </c>
      <c r="AY145" s="64" t="s" ph="1">
        <v>216</v>
      </c>
      <c r="AZ145" s="64" t="s" ph="1">
        <v>367</v>
      </c>
    </row>
    <row r="146" spans="33:52" ph="1">
      <c r="AH146" s="64" ph="1">
        <v>7</v>
      </c>
      <c r="AI146" s="64" t="s" ph="1">
        <v>541</v>
      </c>
      <c r="AY146" s="64" t="s" ph="1">
        <v>216</v>
      </c>
      <c r="AZ146" s="64" t="s" ph="1">
        <v>367</v>
      </c>
    </row>
    <row r="147" spans="33:52" ph="1">
      <c r="AH147" s="64" ph="1">
        <v>8</v>
      </c>
      <c r="AI147" s="64" t="s" ph="1">
        <v>542</v>
      </c>
      <c r="AY147" s="64" t="s" ph="1">
        <v>216</v>
      </c>
      <c r="AZ147" s="64" t="s" ph="1">
        <v>367</v>
      </c>
    </row>
    <row r="148" spans="33:52" ph="1">
      <c r="AH148" s="64" ph="1">
        <v>9</v>
      </c>
      <c r="AI148" s="64" t="s" ph="1">
        <v>543</v>
      </c>
      <c r="AY148" s="64" t="s" ph="1">
        <v>216</v>
      </c>
      <c r="AZ148" s="64" t="s" ph="1">
        <v>367</v>
      </c>
    </row>
    <row r="149" spans="33:52" ph="1">
      <c r="AH149" s="64" ph="1">
        <v>10</v>
      </c>
      <c r="AI149" s="64" t="s" ph="1">
        <v>544</v>
      </c>
      <c r="AY149" s="64" t="s" ph="1">
        <v>216</v>
      </c>
      <c r="AZ149" s="64" t="s" ph="1">
        <v>367</v>
      </c>
    </row>
    <row r="150" spans="33:52" ph="1">
      <c r="AH150" s="64" ph="1">
        <v>11</v>
      </c>
      <c r="AI150" s="64" t="s" ph="1">
        <v>545</v>
      </c>
      <c r="AY150" s="64" t="s" ph="1">
        <v>216</v>
      </c>
      <c r="AZ150" s="64" t="s" ph="1">
        <v>367</v>
      </c>
    </row>
    <row r="151" spans="33:52" ph="1">
      <c r="AH151" s="64" ph="1">
        <v>12</v>
      </c>
      <c r="AI151" s="64" t="s" ph="1">
        <v>546</v>
      </c>
      <c r="AY151" s="64" t="s" ph="1">
        <v>216</v>
      </c>
      <c r="AZ151" s="64" t="s" ph="1">
        <v>367</v>
      </c>
    </row>
    <row r="152" spans="33:52" ph="1">
      <c r="AH152" s="64" ph="1">
        <v>13</v>
      </c>
      <c r="AI152" s="64" t="s" ph="1">
        <v>547</v>
      </c>
      <c r="AY152" s="64" t="s" ph="1">
        <v>216</v>
      </c>
      <c r="AZ152" s="64" t="s" ph="1">
        <v>367</v>
      </c>
    </row>
    <row r="153" spans="33:52" ph="1">
      <c r="AH153" s="64" ph="1">
        <v>14</v>
      </c>
      <c r="AI153" s="64" t="s" ph="1">
        <v>548</v>
      </c>
      <c r="AY153" s="64" t="s" ph="1">
        <v>216</v>
      </c>
      <c r="AZ153" s="64" t="s" ph="1">
        <v>367</v>
      </c>
    </row>
    <row r="154" spans="33:52" ph="1">
      <c r="AH154" s="64" ph="1">
        <v>15</v>
      </c>
      <c r="AI154" s="64" t="s" ph="1">
        <v>549</v>
      </c>
      <c r="AY154" s="64" t="s" ph="1">
        <v>216</v>
      </c>
      <c r="AZ154" s="64" t="s" ph="1">
        <v>367</v>
      </c>
    </row>
    <row r="155" spans="33:52" ph="1">
      <c r="AH155" s="64" ph="1">
        <v>16</v>
      </c>
      <c r="AI155" s="64" t="s" ph="1">
        <v>550</v>
      </c>
      <c r="AJ155" s="64" t="s" ph="1">
        <v>336</v>
      </c>
      <c r="AK155" s="64" t="s" ph="1">
        <v>231</v>
      </c>
      <c r="AM155" s="64" t="s" ph="1">
        <v>570</v>
      </c>
      <c r="AN155" s="64" t="s" ph="1">
        <v>282</v>
      </c>
      <c r="AO155" s="64" t="s" ph="1">
        <v>535</v>
      </c>
      <c r="AY155" s="64" t="s" ph="1">
        <v>216</v>
      </c>
      <c r="AZ155" s="64" t="s" ph="1">
        <v>223</v>
      </c>
    </row>
    <row r="156" spans="33:52" ph="1">
      <c r="AZ156" s="64" t="s" ph="1">
        <v>602</v>
      </c>
    </row>
    <row r="157" spans="33:52" ph="1">
      <c r="AG157" s="64" t="s" ph="1">
        <v>551</v>
      </c>
      <c r="AI157" s="64" t="s" ph="1">
        <v>209</v>
      </c>
      <c r="AJ157" s="64" t="s" ph="1">
        <v>210</v>
      </c>
      <c r="AK157" s="64" t="s" ph="1">
        <v>211</v>
      </c>
      <c r="AM157" s="64" t="s" ph="1">
        <v>210</v>
      </c>
      <c r="AN157" s="64" t="s" ph="1">
        <v>211</v>
      </c>
      <c r="AO157" s="64" t="s" ph="1">
        <v>212</v>
      </c>
      <c r="AP157" s="64" t="s" ph="1">
        <v>210</v>
      </c>
      <c r="AQ157" s="64" t="s" ph="1">
        <v>211</v>
      </c>
      <c r="AR157" s="64" t="s" ph="1">
        <v>212</v>
      </c>
      <c r="AS157" s="64" t="s" ph="1">
        <v>210</v>
      </c>
      <c r="AT157" s="64" t="s" ph="1">
        <v>211</v>
      </c>
      <c r="AU157" s="64" t="s" ph="1">
        <v>212</v>
      </c>
      <c r="AV157" s="64" t="s" ph="1">
        <v>210</v>
      </c>
      <c r="AW157" s="64" t="s" ph="1">
        <v>211</v>
      </c>
      <c r="AX157" s="64" t="s" ph="1">
        <v>212</v>
      </c>
      <c r="AY157" s="64" t="s" ph="1">
        <v>211</v>
      </c>
      <c r="AZ157" s="64" t="s" ph="1">
        <v>213</v>
      </c>
    </row>
    <row r="158" spans="33:52" ph="1">
      <c r="AH158" s="64" ph="1">
        <v>1</v>
      </c>
      <c r="AI158" s="64" t="s" ph="1">
        <v>552</v>
      </c>
      <c r="AY158" s="64" t="s" ph="1">
        <v>216</v>
      </c>
      <c r="AZ158" s="64" t="s" ph="1">
        <v>367</v>
      </c>
    </row>
    <row r="159" spans="33:52" ph="1">
      <c r="AH159" s="64" ph="1">
        <v>2</v>
      </c>
      <c r="AI159" s="64" t="s" ph="1">
        <v>553</v>
      </c>
      <c r="AY159" s="64" t="s" ph="1">
        <v>216</v>
      </c>
      <c r="AZ159" s="64" t="s" ph="1">
        <v>367</v>
      </c>
    </row>
    <row r="160" spans="33:52" ph="1">
      <c r="AZ160" s="64" t="s" ph="1">
        <v>385</v>
      </c>
    </row>
    <row r="161" spans="33:52" ph="1">
      <c r="AG161" s="64" t="s" ph="1">
        <v>361</v>
      </c>
      <c r="AI161" s="64" t="s" ph="1">
        <v>209</v>
      </c>
      <c r="AJ161" s="64" t="s" ph="1">
        <v>210</v>
      </c>
      <c r="AK161" s="64" t="s" ph="1">
        <v>211</v>
      </c>
      <c r="AM161" s="64" t="s" ph="1">
        <v>210</v>
      </c>
      <c r="AN161" s="64" t="s" ph="1">
        <v>211</v>
      </c>
      <c r="AO161" s="64" t="s" ph="1">
        <v>212</v>
      </c>
      <c r="AP161" s="64" t="s" ph="1">
        <v>210</v>
      </c>
      <c r="AQ161" s="64" t="s" ph="1">
        <v>211</v>
      </c>
      <c r="AR161" s="64" t="s" ph="1">
        <v>212</v>
      </c>
      <c r="AS161" s="64" t="s" ph="1">
        <v>210</v>
      </c>
      <c r="AT161" s="64" t="s" ph="1">
        <v>211</v>
      </c>
      <c r="AU161" s="64" t="s" ph="1">
        <v>212</v>
      </c>
      <c r="AV161" s="64" t="s" ph="1">
        <v>210</v>
      </c>
      <c r="AW161" s="64" t="s" ph="1">
        <v>211</v>
      </c>
      <c r="AX161" s="64" t="s" ph="1">
        <v>212</v>
      </c>
      <c r="AY161" s="64" t="s" ph="1">
        <v>211</v>
      </c>
      <c r="AZ161" s="64" t="s" ph="1">
        <v>213</v>
      </c>
    </row>
    <row r="162" spans="33:52" ph="1">
      <c r="AH162" s="64" ph="1">
        <v>1</v>
      </c>
      <c r="AI162" s="64" t="s" ph="1">
        <v>554</v>
      </c>
      <c r="AJ162" s="64" t="s" ph="1">
        <v>555</v>
      </c>
      <c r="AK162" s="64" t="s" ph="1">
        <v>499</v>
      </c>
      <c r="AM162" s="64" t="s" ph="1">
        <v>556</v>
      </c>
      <c r="AN162" s="64" t="s" ph="1">
        <v>220</v>
      </c>
      <c r="AO162" s="64" t="s" ph="1">
        <v>557</v>
      </c>
      <c r="AY162" s="64" t="s" ph="1">
        <v>216</v>
      </c>
      <c r="AZ162" s="64" t="s" ph="1">
        <v>292</v>
      </c>
    </row>
    <row r="163" spans="33:52" ph="1">
      <c r="AH163" s="64" ph="1">
        <v>2</v>
      </c>
      <c r="AI163" s="64" t="s" ph="1">
        <v>558</v>
      </c>
      <c r="AJ163" s="64" t="s" ph="1">
        <v>555</v>
      </c>
      <c r="AK163" s="64" t="s" ph="1">
        <v>388</v>
      </c>
      <c r="AY163" s="64" t="s" ph="1">
        <v>216</v>
      </c>
      <c r="AZ163" s="64" t="s" ph="1">
        <v>388</v>
      </c>
    </row>
    <row r="164" spans="33:52" ph="1">
      <c r="AH164" s="64" ph="1">
        <v>3</v>
      </c>
      <c r="AI164" s="64" t="s" ph="1">
        <v>559</v>
      </c>
      <c r="AJ164" s="64" t="s" ph="1">
        <v>555</v>
      </c>
      <c r="AK164" s="64" t="s" ph="1">
        <v>292</v>
      </c>
      <c r="AY164" s="64" t="s" ph="1">
        <v>216</v>
      </c>
      <c r="AZ164" s="64" t="s" ph="1">
        <v>292</v>
      </c>
    </row>
    <row r="165" spans="33:52" ph="1">
      <c r="AH165" s="64" ph="1">
        <v>4</v>
      </c>
      <c r="AI165" s="64" t="s" ph="1">
        <v>560</v>
      </c>
      <c r="AY165" s="64" t="s" ph="1">
        <v>216</v>
      </c>
      <c r="AZ165" s="64" t="s" ph="1">
        <v>367</v>
      </c>
    </row>
    <row r="166" spans="33:52" ph="1">
      <c r="AH166" s="64" ph="1">
        <v>5</v>
      </c>
      <c r="AI166" s="64" t="s" ph="1">
        <v>561</v>
      </c>
      <c r="AY166" s="64" t="s" ph="1">
        <v>216</v>
      </c>
      <c r="AZ166" s="64" t="s" ph="1">
        <v>367</v>
      </c>
    </row>
    <row r="167" spans="33:52" ph="1">
      <c r="AZ167" s="64" t="s" ph="1">
        <v>562</v>
      </c>
    </row>
    <row r="168" spans="33:52" ph="1">
      <c r="AG168" s="64" t="s" ph="1">
        <v>305</v>
      </c>
      <c r="AI168" s="64" t="s" ph="1">
        <v>209</v>
      </c>
      <c r="AJ168" s="64" t="s" ph="1">
        <v>210</v>
      </c>
      <c r="AK168" s="64" t="s" ph="1">
        <v>211</v>
      </c>
      <c r="AM168" s="64" t="s" ph="1">
        <v>210</v>
      </c>
      <c r="AN168" s="64" t="s" ph="1">
        <v>211</v>
      </c>
      <c r="AO168" s="64" t="s" ph="1">
        <v>212</v>
      </c>
      <c r="AP168" s="64" t="s" ph="1">
        <v>210</v>
      </c>
      <c r="AQ168" s="64" t="s" ph="1">
        <v>211</v>
      </c>
      <c r="AR168" s="64" t="s" ph="1">
        <v>212</v>
      </c>
      <c r="AS168" s="64" t="s" ph="1">
        <v>210</v>
      </c>
      <c r="AT168" s="64" t="s" ph="1">
        <v>211</v>
      </c>
      <c r="AU168" s="64" t="s" ph="1">
        <v>212</v>
      </c>
      <c r="AV168" s="64" t="s" ph="1">
        <v>210</v>
      </c>
      <c r="AW168" s="64" t="s" ph="1">
        <v>211</v>
      </c>
      <c r="AX168" s="64" t="s" ph="1">
        <v>212</v>
      </c>
      <c r="AY168" s="64" t="s" ph="1">
        <v>211</v>
      </c>
      <c r="AZ168" s="64" t="s" ph="1">
        <v>213</v>
      </c>
    </row>
    <row r="169" spans="33:52" ph="1">
      <c r="AH169" s="64" ph="1">
        <v>1</v>
      </c>
      <c r="AI169" s="64" t="s" ph="1">
        <v>563</v>
      </c>
      <c r="AY169" s="64" t="s" ph="1">
        <v>216</v>
      </c>
      <c r="AZ169" s="64" t="s" ph="1">
        <v>367</v>
      </c>
    </row>
    <row r="170" spans="33:52" ph="1">
      <c r="AH170" s="64" ph="1">
        <v>2</v>
      </c>
      <c r="AI170" s="64" t="s" ph="1">
        <v>564</v>
      </c>
      <c r="AY170" s="64" t="s" ph="1">
        <v>216</v>
      </c>
      <c r="AZ170" s="64" t="s" ph="1">
        <v>367</v>
      </c>
    </row>
    <row r="171" spans="33:52" ph="1">
      <c r="AH171" s="64" ph="1">
        <v>3</v>
      </c>
      <c r="AI171" s="64" t="s" ph="1">
        <v>565</v>
      </c>
      <c r="AY171" s="64" t="s" ph="1">
        <v>216</v>
      </c>
      <c r="AZ171" s="64" t="s" ph="1">
        <v>367</v>
      </c>
    </row>
    <row r="172" spans="33:52" ph="1">
      <c r="AH172" s="64" ph="1">
        <v>4</v>
      </c>
      <c r="AI172" s="64" t="s" ph="1">
        <v>566</v>
      </c>
      <c r="AY172" s="64" t="s" ph="1">
        <v>216</v>
      </c>
      <c r="AZ172" s="64" t="s" ph="1">
        <v>367</v>
      </c>
    </row>
    <row r="173" spans="33:52" ph="1">
      <c r="AH173" s="64" ph="1">
        <v>5</v>
      </c>
      <c r="AI173" s="64" t="s" ph="1">
        <v>567</v>
      </c>
      <c r="AY173" s="64" t="s" ph="1">
        <v>216</v>
      </c>
      <c r="AZ173" s="64" t="s" ph="1">
        <v>367</v>
      </c>
    </row>
    <row r="174" spans="33:52" ph="1">
      <c r="AZ174" s="64" t="s" ph="1">
        <v>385</v>
      </c>
    </row>
    <row r="175" spans="33:52" ph="1">
      <c r="AJ175" s="64" t="s" ph="1">
        <v>306</v>
      </c>
    </row>
    <row r="176" spans="33:52" ph="1">
      <c r="AJ176" s="64" t="s" ph="1">
        <v>307</v>
      </c>
      <c r="AK176" s="64" t="s" ph="1">
        <v>308</v>
      </c>
      <c r="AM176" s="64" t="s" ph="1">
        <v>309</v>
      </c>
      <c r="AO176" s="64" t="s" ph="1">
        <v>310</v>
      </c>
      <c r="AP176" s="64" t="s" ph="1">
        <v>311</v>
      </c>
      <c r="AQ176" s="64" t="s" ph="1">
        <v>301</v>
      </c>
      <c r="AR176" s="64" t="s" ph="1">
        <v>221</v>
      </c>
    </row>
    <row r="177" spans="36:56" ph="1">
      <c r="AJ177" s="64" t="s" ph="1">
        <v>603</v>
      </c>
      <c r="AK177" s="64" t="s" ph="1">
        <v>312</v>
      </c>
      <c r="AO177" s="64" t="s" ph="1">
        <v>312</v>
      </c>
      <c r="AP177" s="64" t="s" ph="1">
        <v>312</v>
      </c>
      <c r="AQ177" s="64" t="s" ph="1">
        <v>313</v>
      </c>
      <c r="AR177" s="64" t="s" ph="1">
        <v>314</v>
      </c>
    </row>
    <row r="179" spans="36:56" ph="1">
      <c r="AJ179" s="64" t="s" ph="1">
        <v>315</v>
      </c>
      <c r="AK179" s="64" t="s" ph="1">
        <v>316</v>
      </c>
      <c r="AM179" s="64" t="s" ph="1">
        <v>317</v>
      </c>
      <c r="AN179" s="64" t="s" ph="1">
        <v>293</v>
      </c>
      <c r="AO179" s="64" t="s" ph="1">
        <v>318</v>
      </c>
      <c r="AP179" s="64" t="s" ph="1">
        <v>297</v>
      </c>
      <c r="AQ179" s="64" t="s" ph="1">
        <v>319</v>
      </c>
      <c r="AR179" s="64" t="s" ph="1">
        <v>320</v>
      </c>
    </row>
    <row r="180" spans="36:56" ph="1">
      <c r="AJ180" s="64" t="s" ph="1">
        <v>312</v>
      </c>
      <c r="AK180" s="64" t="s" ph="1">
        <v>312</v>
      </c>
      <c r="AL180" s="64" ph="1">
        <v>116</v>
      </c>
      <c r="AM180" s="64" t="s" ph="1">
        <v>312</v>
      </c>
      <c r="AN180" s="64" t="s" ph="1">
        <v>321</v>
      </c>
      <c r="AO180" s="64" t="s" ph="1">
        <v>312</v>
      </c>
      <c r="AP180" s="64" t="s" ph="1">
        <v>322</v>
      </c>
      <c r="AQ180" s="64" t="s" ph="1">
        <v>323</v>
      </c>
      <c r="AR180" s="64" t="s" ph="1">
        <v>324</v>
      </c>
    </row>
    <row r="189" spans="36:56" ph="1">
      <c r="BD189" s="64" t="s" ph="1">
        <v>568</v>
      </c>
    </row>
    <row r="223" spans="18:18" ph="1">
      <c r="R223" s="135" ph="1">
        <v>45496</v>
      </c>
    </row>
  </sheetData>
  <mergeCells count="58"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S31:U31"/>
    <mergeCell ref="V31:X31"/>
    <mergeCell ref="Y31:AA31"/>
    <mergeCell ref="AB31:AE31"/>
    <mergeCell ref="AD32:AE32"/>
    <mergeCell ref="B33:C34"/>
    <mergeCell ref="D33:D34"/>
    <mergeCell ref="E33:E34"/>
    <mergeCell ref="F33:F34"/>
    <mergeCell ref="G33:G34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</mergeCells>
  <phoneticPr fontId="2" type="noConversion"/>
  <conditionalFormatting sqref="D4:D11">
    <cfRule type="expression" dxfId="1436" priority="100">
      <formula>ABS(D$7-D$10)&gt;=1000</formula>
    </cfRule>
  </conditionalFormatting>
  <conditionalFormatting sqref="E4 E6:E11">
    <cfRule type="expression" dxfId="1435" priority="99">
      <formula>ABS(E$7-E$10)&gt;=1000</formula>
    </cfRule>
  </conditionalFormatting>
  <conditionalFormatting sqref="F4:F11">
    <cfRule type="expression" dxfId="1434" priority="98">
      <formula>ABS(F$7-F$10)&gt;=1000</formula>
    </cfRule>
  </conditionalFormatting>
  <conditionalFormatting sqref="G4:G11">
    <cfRule type="expression" dxfId="1433" priority="97">
      <formula>ABS(G$7-G$10)&gt;=1000</formula>
    </cfRule>
  </conditionalFormatting>
  <conditionalFormatting sqref="H4:H11">
    <cfRule type="expression" dxfId="1432" priority="96">
      <formula>ABS(H$7-H$10)&gt;=1000</formula>
    </cfRule>
  </conditionalFormatting>
  <conditionalFormatting sqref="I4:I11">
    <cfRule type="expression" dxfId="1431" priority="95">
      <formula>ABS(I$7-I$10)&gt;=1000</formula>
    </cfRule>
  </conditionalFormatting>
  <conditionalFormatting sqref="J4:J11">
    <cfRule type="expression" dxfId="1430" priority="94">
      <formula>ABS(J$7-J$10)&gt;=1000</formula>
    </cfRule>
  </conditionalFormatting>
  <conditionalFormatting sqref="K4:K11">
    <cfRule type="expression" dxfId="1429" priority="93">
      <formula>ABS(K$7-K$10)&gt;=1000</formula>
    </cfRule>
  </conditionalFormatting>
  <conditionalFormatting sqref="L4:L11">
    <cfRule type="expression" dxfId="1428" priority="92">
      <formula>ABS(L$7-L$10)&gt;=1000</formula>
    </cfRule>
  </conditionalFormatting>
  <conditionalFormatting sqref="M4 M6:M11">
    <cfRule type="expression" dxfId="1427" priority="91">
      <formula>ABS(M$7-M$10)&gt;=1000</formula>
    </cfRule>
  </conditionalFormatting>
  <conditionalFormatting sqref="N4 N6:N11">
    <cfRule type="expression" dxfId="1426" priority="90">
      <formula>ABS(N$7-N$10)&gt;=1000</formula>
    </cfRule>
  </conditionalFormatting>
  <conditionalFormatting sqref="O4 O6:O11">
    <cfRule type="expression" dxfId="1425" priority="89">
      <formula>ABS(O$7-O$10)&gt;=1000</formula>
    </cfRule>
  </conditionalFormatting>
  <conditionalFormatting sqref="P4 P6:P11">
    <cfRule type="expression" dxfId="1424" priority="88">
      <formula>ABS(P$7-P$10)&gt;=1000</formula>
    </cfRule>
  </conditionalFormatting>
  <conditionalFormatting sqref="Q4:Q11">
    <cfRule type="expression" dxfId="1423" priority="87">
      <formula>ABS(Q$7-Q$10)&gt;=1000</formula>
    </cfRule>
  </conditionalFormatting>
  <conditionalFormatting sqref="R4:R11">
    <cfRule type="expression" dxfId="1422" priority="86">
      <formula>ABS(R$7-R$10)&gt;=1000</formula>
    </cfRule>
  </conditionalFormatting>
  <conditionalFormatting sqref="S4:S11">
    <cfRule type="expression" dxfId="1421" priority="85">
      <formula>ABS(S$7-S$10)&gt;=1000</formula>
    </cfRule>
  </conditionalFormatting>
  <conditionalFormatting sqref="T4:T9 T11">
    <cfRule type="expression" dxfId="1420" priority="84">
      <formula>ABS(T$7-T$10)&gt;=1000</formula>
    </cfRule>
  </conditionalFormatting>
  <conditionalFormatting sqref="U4:U9 U11">
    <cfRule type="expression" dxfId="1419" priority="83">
      <formula>ABS(U$7-U$10)&gt;=1000</formula>
    </cfRule>
  </conditionalFormatting>
  <conditionalFormatting sqref="V4:V9 V11">
    <cfRule type="expression" dxfId="1418" priority="82">
      <formula>ABS(V$7-V$10)&gt;=1000</formula>
    </cfRule>
  </conditionalFormatting>
  <conditionalFormatting sqref="W4:W9 W11">
    <cfRule type="expression" dxfId="1417" priority="81">
      <formula>ABS(W$7-W$10)&gt;=1000</formula>
    </cfRule>
  </conditionalFormatting>
  <conditionalFormatting sqref="X4:X9 X11">
    <cfRule type="expression" dxfId="1416" priority="80">
      <formula>ABS(X$7-X$10)&gt;=1000</formula>
    </cfRule>
  </conditionalFormatting>
  <conditionalFormatting sqref="Y4:Y9 Y11">
    <cfRule type="expression" dxfId="1415" priority="79">
      <formula>ABS(Y$7-Y$10)&gt;=1000</formula>
    </cfRule>
  </conditionalFormatting>
  <conditionalFormatting sqref="Z4:Z11">
    <cfRule type="expression" dxfId="1414" priority="78">
      <formula>ABS(Z$7-Z$10)&gt;=1000</formula>
    </cfRule>
  </conditionalFormatting>
  <conditionalFormatting sqref="AA4:AA11">
    <cfRule type="expression" dxfId="1413" priority="77">
      <formula>ABS(AA$7-AA$10)&gt;=1000</formula>
    </cfRule>
  </conditionalFormatting>
  <conditionalFormatting sqref="AB4:AB11">
    <cfRule type="expression" dxfId="1412" priority="76">
      <formula>ABS(AB$7-AB$10)&gt;=1000</formula>
    </cfRule>
  </conditionalFormatting>
  <conditionalFormatting sqref="AC4 AC6:AC11">
    <cfRule type="expression" dxfId="1411" priority="75">
      <formula>ABS(AC$7-AC$10)&gt;=1000</formula>
    </cfRule>
  </conditionalFormatting>
  <conditionalFormatting sqref="AD4 AD6:AD11">
    <cfRule type="expression" dxfId="1410" priority="74">
      <formula>ABS(AD$7-AD$10)&gt;=1000</formula>
    </cfRule>
  </conditionalFormatting>
  <conditionalFormatting sqref="AE4 AE6:AE11">
    <cfRule type="expression" dxfId="1409" priority="73">
      <formula>ABS(AE$7-AE$10)&gt;=1000</formula>
    </cfRule>
  </conditionalFormatting>
  <conditionalFormatting sqref="D13:D20">
    <cfRule type="expression" dxfId="1408" priority="72">
      <formula>ABS(D$16-D$19)&gt;=1000</formula>
    </cfRule>
  </conditionalFormatting>
  <conditionalFormatting sqref="E13:E20">
    <cfRule type="expression" dxfId="1407" priority="71">
      <formula>ABS(E$16-E$19)&gt;=1000</formula>
    </cfRule>
  </conditionalFormatting>
  <conditionalFormatting sqref="F13 F15:F20">
    <cfRule type="expression" dxfId="1406" priority="70">
      <formula>ABS(F$16-F$19)&gt;=1000</formula>
    </cfRule>
  </conditionalFormatting>
  <conditionalFormatting sqref="G13:G20">
    <cfRule type="expression" dxfId="1405" priority="69">
      <formula>ABS(G$16-G$19)&gt;=1000</formula>
    </cfRule>
  </conditionalFormatting>
  <conditionalFormatting sqref="H13 H15:H20">
    <cfRule type="expression" dxfId="1404" priority="68">
      <formula>ABS(H$16-H$19)&gt;=1000</formula>
    </cfRule>
  </conditionalFormatting>
  <conditionalFormatting sqref="I13:I20">
    <cfRule type="expression" dxfId="1403" priority="67">
      <formula>ABS(I$16-I$19)&gt;=1000</formula>
    </cfRule>
  </conditionalFormatting>
  <conditionalFormatting sqref="J13:J20">
    <cfRule type="expression" dxfId="1402" priority="66">
      <formula>ABS(J$16-J$19)&gt;=1000</formula>
    </cfRule>
  </conditionalFormatting>
  <conditionalFormatting sqref="L13:L20">
    <cfRule type="expression" dxfId="1401" priority="65">
      <formula>ABS(L$16-L$19)&gt;=1000</formula>
    </cfRule>
  </conditionalFormatting>
  <conditionalFormatting sqref="M13 M15 M17:M18 M20">
    <cfRule type="expression" dxfId="1400" priority="64">
      <formula>ABS(M$16-M$19)&gt;=1000</formula>
    </cfRule>
  </conditionalFormatting>
  <conditionalFormatting sqref="N13:N20">
    <cfRule type="expression" dxfId="1399" priority="63">
      <formula>ABS(N$16-N$19)&gt;=1000</formula>
    </cfRule>
  </conditionalFormatting>
  <conditionalFormatting sqref="O13:O20">
    <cfRule type="expression" dxfId="1398" priority="62">
      <formula>ABS(O$16-O$19)&gt;=1000</formula>
    </cfRule>
  </conditionalFormatting>
  <conditionalFormatting sqref="P13:P20">
    <cfRule type="expression" dxfId="1397" priority="61">
      <formula>ABS(P$16-P$19)&gt;=1000</formula>
    </cfRule>
  </conditionalFormatting>
  <conditionalFormatting sqref="Q13 Q15:Q20">
    <cfRule type="expression" dxfId="1396" priority="60">
      <formula>ABS(Q$16-Q$19)&gt;=1000</formula>
    </cfRule>
  </conditionalFormatting>
  <conditionalFormatting sqref="R13:R20">
    <cfRule type="expression" dxfId="1395" priority="59">
      <formula>ABS(R$16-R$19)&gt;=1000</formula>
    </cfRule>
  </conditionalFormatting>
  <conditionalFormatting sqref="S13:S20">
    <cfRule type="expression" dxfId="1394" priority="58">
      <formula>ABS(S$16-S$19)&gt;=1000</formula>
    </cfRule>
  </conditionalFormatting>
  <conditionalFormatting sqref="T13:T20">
    <cfRule type="expression" dxfId="1393" priority="57">
      <formula>ABS(T$16-T$19)&gt;=1000</formula>
    </cfRule>
  </conditionalFormatting>
  <conditionalFormatting sqref="U13:U20">
    <cfRule type="expression" dxfId="1392" priority="56">
      <formula>ABS(U$16-U$19)&gt;=1000</formula>
    </cfRule>
  </conditionalFormatting>
  <conditionalFormatting sqref="V13:V20">
    <cfRule type="expression" dxfId="1391" priority="55">
      <formula>ABS(V$16-V$19)&gt;=1000</formula>
    </cfRule>
  </conditionalFormatting>
  <conditionalFormatting sqref="W13 W20 W15:W18">
    <cfRule type="expression" dxfId="1390" priority="54">
      <formula>ABS(W$16-W$19)&gt;=1000</formula>
    </cfRule>
  </conditionalFormatting>
  <conditionalFormatting sqref="X13 X15:X20 Y19">
    <cfRule type="expression" dxfId="1389" priority="53">
      <formula>ABS(X$16-X$19)&gt;=1000</formula>
    </cfRule>
  </conditionalFormatting>
  <conditionalFormatting sqref="Y13 Y15:Y18 Y20">
    <cfRule type="expression" dxfId="1388" priority="52">
      <formula>ABS(Y$16-Y$19)&gt;=1000</formula>
    </cfRule>
  </conditionalFormatting>
  <conditionalFormatting sqref="Z13:Z20">
    <cfRule type="expression" dxfId="1387" priority="51">
      <formula>ABS(Z$16-Z$19)&gt;=1000</formula>
    </cfRule>
  </conditionalFormatting>
  <conditionalFormatting sqref="AA13:AA20">
    <cfRule type="expression" dxfId="1386" priority="50">
      <formula>ABS(AA$16-AA$19)&gt;=1000</formula>
    </cfRule>
  </conditionalFormatting>
  <conditionalFormatting sqref="AB13 AB15:AB20">
    <cfRule type="expression" dxfId="1385" priority="49">
      <formula>ABS(AB$16-AB$19)&gt;=1000</formula>
    </cfRule>
  </conditionalFormatting>
  <conditionalFormatting sqref="AC13 AC15:AC20">
    <cfRule type="expression" dxfId="1384" priority="48">
      <formula>ABS(AC$16-AC$19)&gt;=1000</formula>
    </cfRule>
  </conditionalFormatting>
  <conditionalFormatting sqref="AD13:AD20">
    <cfRule type="expression" dxfId="1383" priority="47">
      <formula>ABS(AD$16-AD$19)&gt;=1000</formula>
    </cfRule>
  </conditionalFormatting>
  <conditionalFormatting sqref="AE13:AE20">
    <cfRule type="expression" dxfId="1382" priority="46">
      <formula>ABS(AE$16-AE$19)&gt;=1000</formula>
    </cfRule>
  </conditionalFormatting>
  <conditionalFormatting sqref="D22:D29">
    <cfRule type="expression" dxfId="1381" priority="45">
      <formula>ABS(D$25-D$28)&gt;=1000</formula>
    </cfRule>
  </conditionalFormatting>
  <conditionalFormatting sqref="E22:E29">
    <cfRule type="expression" dxfId="1380" priority="44">
      <formula>ABS(E$25-E$28)&gt;=1000</formula>
    </cfRule>
  </conditionalFormatting>
  <conditionalFormatting sqref="F22:F29">
    <cfRule type="expression" dxfId="1379" priority="43">
      <formula>ABS(F$25-F$28)&gt;=1000</formula>
    </cfRule>
  </conditionalFormatting>
  <conditionalFormatting sqref="G22:G29">
    <cfRule type="expression" dxfId="1378" priority="42">
      <formula>ABS(G$25-G$28)&gt;=1000</formula>
    </cfRule>
  </conditionalFormatting>
  <conditionalFormatting sqref="H22:H29">
    <cfRule type="expression" dxfId="1377" priority="41">
      <formula>ABS(H$25-H$28)&gt;=1000</formula>
    </cfRule>
  </conditionalFormatting>
  <conditionalFormatting sqref="I22 I24:I29">
    <cfRule type="expression" dxfId="1376" priority="40">
      <formula>ABS(I$25-I$28)&gt;=1000</formula>
    </cfRule>
  </conditionalFormatting>
  <conditionalFormatting sqref="J22:J29 K22">
    <cfRule type="expression" dxfId="1375" priority="39">
      <formula>ABS(J$25-J$28)&gt;=1000</formula>
    </cfRule>
  </conditionalFormatting>
  <conditionalFormatting sqref="K23:K29 L25 L28">
    <cfRule type="expression" dxfId="1374" priority="38">
      <formula>ABS(K$25-K$28)&gt;=1000</formula>
    </cfRule>
  </conditionalFormatting>
  <conditionalFormatting sqref="L22 L26:L27 L29 L24">
    <cfRule type="expression" dxfId="1373" priority="37">
      <formula>ABS(L$25-L$28)&gt;=1000</formula>
    </cfRule>
  </conditionalFormatting>
  <conditionalFormatting sqref="M22:M29">
    <cfRule type="expression" dxfId="1372" priority="36">
      <formula>ABS(M$25-M$28)&gt;=1000</formula>
    </cfRule>
  </conditionalFormatting>
  <conditionalFormatting sqref="N22:N29">
    <cfRule type="expression" dxfId="1371" priority="35">
      <formula>ABS(N$25-N$28)&gt;=1000</formula>
    </cfRule>
  </conditionalFormatting>
  <conditionalFormatting sqref="O22:O29">
    <cfRule type="expression" dxfId="1370" priority="34">
      <formula>ABS(O$25-O$28)&gt;=1000</formula>
    </cfRule>
  </conditionalFormatting>
  <conditionalFormatting sqref="P22:P29">
    <cfRule type="expression" dxfId="1369" priority="33">
      <formula>ABS(P$25-P$28)&gt;=1000</formula>
    </cfRule>
  </conditionalFormatting>
  <conditionalFormatting sqref="Q22:Q29">
    <cfRule type="expression" dxfId="1368" priority="32">
      <formula>ABS(Q$25-Q$28)&gt;=1000</formula>
    </cfRule>
  </conditionalFormatting>
  <conditionalFormatting sqref="R22:R29">
    <cfRule type="expression" dxfId="1367" priority="31">
      <formula>ABS(R$25-R$28)&gt;=1000</formula>
    </cfRule>
  </conditionalFormatting>
  <conditionalFormatting sqref="S22:S29">
    <cfRule type="expression" dxfId="1366" priority="30">
      <formula>ABS(S$25-S$28)&gt;=1000</formula>
    </cfRule>
  </conditionalFormatting>
  <conditionalFormatting sqref="T22:T29">
    <cfRule type="expression" dxfId="1365" priority="29">
      <formula>ABS(T$25-T$28)&gt;=1000</formula>
    </cfRule>
  </conditionalFormatting>
  <conditionalFormatting sqref="U22:U29">
    <cfRule type="expression" dxfId="1364" priority="28">
      <formula>ABS(U$25-U$28)&gt;=1000</formula>
    </cfRule>
  </conditionalFormatting>
  <conditionalFormatting sqref="V22:V29">
    <cfRule type="expression" dxfId="1363" priority="27">
      <formula>ABS(V$25-V$28)&gt;=1000</formula>
    </cfRule>
  </conditionalFormatting>
  <conditionalFormatting sqref="W22:W29">
    <cfRule type="expression" dxfId="1362" priority="26">
      <formula>ABS(W$25-W$28)&gt;=1000</formula>
    </cfRule>
  </conditionalFormatting>
  <conditionalFormatting sqref="X22:X29">
    <cfRule type="expression" dxfId="1361" priority="25">
      <formula>ABS(X$25-X$28)&gt;=1000</formula>
    </cfRule>
  </conditionalFormatting>
  <conditionalFormatting sqref="Y22:Y29">
    <cfRule type="expression" dxfId="1360" priority="24">
      <formula>ABS(Y$25-Y$28)&gt;=1000</formula>
    </cfRule>
  </conditionalFormatting>
  <conditionalFormatting sqref="I23">
    <cfRule type="expression" dxfId="1359" priority="23">
      <formula>ABS(I$25-I$28)&gt;=1000</formula>
    </cfRule>
  </conditionalFormatting>
  <conditionalFormatting sqref="Q14">
    <cfRule type="expression" dxfId="1358" priority="22">
      <formula>ABS(Q$16-Q$19)&gt;=1000</formula>
    </cfRule>
  </conditionalFormatting>
  <conditionalFormatting sqref="W14">
    <cfRule type="expression" dxfId="1357" priority="21">
      <formula>ABS(W$16-W$19)&gt;=1000</formula>
    </cfRule>
  </conditionalFormatting>
  <conditionalFormatting sqref="X14">
    <cfRule type="expression" dxfId="1356" priority="20">
      <formula>ABS(X$16-X$19)&gt;=1000</formula>
    </cfRule>
  </conditionalFormatting>
  <conditionalFormatting sqref="T10:Y10">
    <cfRule type="expression" dxfId="1355" priority="19">
      <formula>ABS(T$7-T$10)&gt;=1000</formula>
    </cfRule>
  </conditionalFormatting>
  <conditionalFormatting sqref="W19">
    <cfRule type="expression" dxfId="1354" priority="18">
      <formula>ABS(W$16-W$19)&gt;=1000</formula>
    </cfRule>
  </conditionalFormatting>
  <conditionalFormatting sqref="AC5">
    <cfRule type="expression" dxfId="1353" priority="17">
      <formula>ABS(AC$7-AC$10)&gt;=1000</formula>
    </cfRule>
  </conditionalFormatting>
  <conditionalFormatting sqref="M14">
    <cfRule type="expression" dxfId="1352" priority="16">
      <formula>ABS(M$16-M$19)&gt;=1000</formula>
    </cfRule>
  </conditionalFormatting>
  <conditionalFormatting sqref="M16">
    <cfRule type="expression" dxfId="1351" priority="15">
      <formula>ABS(M$16-M$19)&gt;=1000</formula>
    </cfRule>
  </conditionalFormatting>
  <conditionalFormatting sqref="M19">
    <cfRule type="expression" dxfId="1350" priority="14">
      <formula>ABS(M$16-M$19)&gt;=1000</formula>
    </cfRule>
  </conditionalFormatting>
  <conditionalFormatting sqref="K13:K20">
    <cfRule type="expression" dxfId="1349" priority="13">
      <formula>ABS(K$16-K$19)&gt;=1000</formula>
    </cfRule>
  </conditionalFormatting>
  <conditionalFormatting sqref="E5">
    <cfRule type="expression" dxfId="1348" priority="12">
      <formula>ABS(E$7-E$10)&gt;=1000</formula>
    </cfRule>
  </conditionalFormatting>
  <conditionalFormatting sqref="AB14:AC14">
    <cfRule type="expression" dxfId="1347" priority="11">
      <formula>ABS(AB$16-AB$19)&gt;=1000</formula>
    </cfRule>
  </conditionalFormatting>
  <conditionalFormatting sqref="M5">
    <cfRule type="expression" dxfId="1346" priority="10">
      <formula>ABS(M$7-M$10)&gt;=1000</formula>
    </cfRule>
  </conditionalFormatting>
  <conditionalFormatting sqref="N5">
    <cfRule type="expression" dxfId="1345" priority="9">
      <formula>ABS(N$7-N$10)&gt;=1000</formula>
    </cfRule>
  </conditionalFormatting>
  <conditionalFormatting sqref="O5">
    <cfRule type="expression" dxfId="1344" priority="8">
      <formula>ABS(O$7-O$10)&gt;=1000</formula>
    </cfRule>
  </conditionalFormatting>
  <conditionalFormatting sqref="P5">
    <cfRule type="expression" dxfId="1343" priority="7">
      <formula>ABS(P$7-P$10)&gt;=1000</formula>
    </cfRule>
  </conditionalFormatting>
  <conditionalFormatting sqref="L23">
    <cfRule type="expression" dxfId="1342" priority="6">
      <formula>ABS(L$25-L$28)&gt;=1000</formula>
    </cfRule>
  </conditionalFormatting>
  <conditionalFormatting sqref="Y14">
    <cfRule type="expression" dxfId="1341" priority="5">
      <formula>ABS(Y$16-Y$19)&gt;=1000</formula>
    </cfRule>
  </conditionalFormatting>
  <conditionalFormatting sqref="F14">
    <cfRule type="expression" dxfId="1340" priority="4">
      <formula>ABS(F$16-F$19)&gt;=1000</formula>
    </cfRule>
  </conditionalFormatting>
  <conditionalFormatting sqref="H14">
    <cfRule type="expression" dxfId="1339" priority="3">
      <formula>ABS(H$16-H$19)&gt;=1000</formula>
    </cfRule>
  </conditionalFormatting>
  <conditionalFormatting sqref="AD5">
    <cfRule type="expression" dxfId="1338" priority="2">
      <formula>ABS(AD$7-AD$10)&gt;=1000</formula>
    </cfRule>
  </conditionalFormatting>
  <conditionalFormatting sqref="AE5">
    <cfRule type="expression" dxfId="1337" priority="1">
      <formula>ABS(AE$7-AE$10)&gt;=1000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80513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911">
    <pageSetUpPr fitToPage="1"/>
  </sheetPr>
  <dimension ref="A1:CU223"/>
  <sheetViews>
    <sheetView view="pageBreakPreview" topLeftCell="A4" zoomScale="70" zoomScaleNormal="100" zoomScaleSheetLayoutView="70" workbookViewId="0">
      <selection activeCell="T16" sqref="T16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185" t="s" ph="1">
        <v>161</v>
      </c>
      <c r="C1" s="185" ph="1"/>
      <c r="D1" s="185" ph="1"/>
      <c r="E1" s="185" ph="1"/>
      <c r="F1" s="185" ph="1"/>
      <c r="G1" s="185" ph="1"/>
      <c r="H1" s="185" ph="1"/>
      <c r="I1" s="185" ph="1"/>
      <c r="J1" s="185" ph="1"/>
      <c r="K1" s="185" ph="1"/>
      <c r="L1" s="185" ph="1"/>
      <c r="M1" s="185" ph="1"/>
      <c r="N1" s="185" ph="1"/>
      <c r="O1" s="185" ph="1"/>
      <c r="P1" s="185" ph="1"/>
      <c r="Q1" s="185" ph="1"/>
      <c r="R1" s="185" ph="1"/>
      <c r="S1" s="185" ph="1"/>
      <c r="T1" s="185" ph="1"/>
      <c r="U1" s="185" ph="1"/>
      <c r="V1" s="185" ph="1"/>
      <c r="W1" s="185" ph="1"/>
      <c r="X1" s="185" ph="1"/>
      <c r="Y1" s="185" ph="1"/>
      <c r="Z1" s="185" ph="1"/>
      <c r="AA1" s="185" ph="1"/>
      <c r="AB1" s="185" ph="1"/>
      <c r="AC1" s="185" ph="1"/>
      <c r="AD1" s="185" ph="1"/>
      <c r="AE1" s="185" ph="1"/>
    </row>
    <row r="2" spans="1:99" s="66" customFormat="1" ht="24" customHeight="1" ph="1">
      <c r="B2" s="186" t="s" ph="1">
        <v>82</v>
      </c>
      <c r="C2" s="186" ph="1"/>
      <c r="D2" s="186" ph="1"/>
      <c r="E2" s="186" ph="1"/>
      <c r="F2" s="186" ph="1"/>
      <c r="G2" s="186" ph="1"/>
      <c r="H2" s="186" ph="1"/>
      <c r="I2" s="186" ph="1"/>
      <c r="J2" s="186" ph="1"/>
      <c r="K2" s="186" ph="1"/>
      <c r="L2" s="186" ph="1"/>
      <c r="M2" s="186" ph="1"/>
      <c r="N2" s="186" ph="1"/>
      <c r="O2" s="186" ph="1"/>
      <c r="P2" s="186" ph="1"/>
      <c r="Q2" s="186" ph="1"/>
      <c r="R2" s="186" ph="1"/>
      <c r="S2" s="186" ph="1"/>
      <c r="T2" s="186" ph="1"/>
      <c r="U2" s="186" ph="1"/>
      <c r="V2" s="186" ph="1"/>
      <c r="W2" s="186" ph="1"/>
      <c r="X2" s="186" ph="1"/>
      <c r="Y2" s="186" ph="1"/>
      <c r="Z2" s="186" ph="1"/>
      <c r="AA2" s="186" ph="1"/>
      <c r="AB2" s="186" ph="1"/>
      <c r="AC2" s="186" ph="1"/>
      <c r="AD2" s="186" ph="1"/>
      <c r="AE2" s="186" ph="1"/>
    </row>
    <row r="3" spans="1:99" ht="21" customHeight="1" ph="1">
      <c r="B3" s="187" ph="1">
        <v>46189</v>
      </c>
      <c r="C3" s="187"/>
      <c r="D3" s="187"/>
      <c r="E3" s="187"/>
      <c r="F3" s="187"/>
      <c r="G3" s="187"/>
      <c r="H3" s="187"/>
      <c r="I3" s="187"/>
      <c r="J3" s="187"/>
      <c r="K3" s="187"/>
      <c r="L3" s="187"/>
      <c r="M3" s="187"/>
      <c r="N3" s="187"/>
      <c r="O3" s="187"/>
      <c r="P3" s="187"/>
      <c r="Q3" s="187"/>
      <c r="R3" s="187"/>
      <c r="S3" s="187"/>
      <c r="T3" s="187"/>
      <c r="U3" s="187"/>
      <c r="V3" s="187"/>
      <c r="W3" s="187"/>
      <c r="X3" s="187"/>
      <c r="Y3" s="187"/>
      <c r="Z3" s="187"/>
      <c r="AA3" s="187"/>
      <c r="AB3" s="187"/>
      <c r="AC3" s="187"/>
      <c r="AD3" s="187"/>
      <c r="AE3" s="187"/>
    </row>
    <row r="4" spans="1:99" s="69" customFormat="1" ph="1">
      <c r="A4" s="65" ph="1"/>
      <c r="B4" s="188" t="s" ph="1">
        <v>37</v>
      </c>
      <c r="C4" s="67" t="s" ph="1">
        <v>176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110</v>
      </c>
      <c r="J4" s="68" t="s" ph="1">
        <v>48</v>
      </c>
      <c r="K4" s="68" t="s" ph="1">
        <v>111</v>
      </c>
      <c r="L4" s="68" t="s" ph="1">
        <v>112</v>
      </c>
      <c r="M4" s="68" t="s" ph="1">
        <v>49</v>
      </c>
      <c r="N4" s="68" t="s" ph="1">
        <v>50</v>
      </c>
      <c r="O4" s="68" t="s" ph="1">
        <v>113</v>
      </c>
      <c r="P4" s="68" t="s" ph="1">
        <v>114</v>
      </c>
      <c r="Q4" s="68" t="s" ph="1">
        <v>115</v>
      </c>
      <c r="R4" s="68" t="s" ph="1">
        <v>116</v>
      </c>
      <c r="S4" s="68" t="s" ph="1">
        <v>117</v>
      </c>
      <c r="T4" s="68" t="s" ph="1">
        <v>118</v>
      </c>
      <c r="U4" s="68" t="s" ph="1">
        <v>119</v>
      </c>
      <c r="V4" s="68" t="s" ph="1">
        <v>120</v>
      </c>
      <c r="W4" s="68" t="s" ph="1">
        <v>121</v>
      </c>
      <c r="X4" s="68" t="s" ph="1">
        <v>122</v>
      </c>
      <c r="Y4" s="68" t="s" ph="1">
        <v>123</v>
      </c>
      <c r="Z4" s="68" t="s" ph="1">
        <v>51</v>
      </c>
      <c r="AA4" s="68" t="s" ph="1">
        <v>124</v>
      </c>
      <c r="AB4" s="68" t="s" ph="1">
        <v>125</v>
      </c>
      <c r="AC4" s="68" t="s" ph="1">
        <v>126</v>
      </c>
      <c r="AD4" s="68" t="s" ph="1">
        <v>40</v>
      </c>
      <c r="AE4" s="68" t="s" ph="1">
        <v>127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188" ph="1"/>
      <c r="C5" s="67" t="s" ph="1">
        <v>36</v>
      </c>
      <c r="D5" s="70" t="s" ph="1">
        <v>160</v>
      </c>
      <c r="E5" s="142" t="s" ph="1">
        <v>7</v>
      </c>
      <c r="F5" s="142" t="s" ph="1">
        <v>1</v>
      </c>
      <c r="G5" s="142" t="s" ph="1">
        <v>7</v>
      </c>
      <c r="H5" s="142" t="s" ph="1">
        <v>7</v>
      </c>
      <c r="I5" s="141" t="s" ph="1">
        <v>608</v>
      </c>
      <c r="J5" s="141" t="s" ph="1">
        <v>609</v>
      </c>
      <c r="K5" s="141" t="s" ph="1">
        <v>611</v>
      </c>
      <c r="L5" s="141" t="s" ph="1">
        <v>613</v>
      </c>
      <c r="M5" s="141" t="s" ph="1">
        <v>608</v>
      </c>
      <c r="N5" s="70" t="s" ph="1">
        <v>609</v>
      </c>
      <c r="O5" s="70" t="s" ph="1">
        <v>611</v>
      </c>
      <c r="P5" s="70" t="s" ph="1">
        <v>613</v>
      </c>
      <c r="Q5" s="70" t="s" ph="1">
        <v>607</v>
      </c>
      <c r="R5" s="70" t="s" ph="1">
        <v>607</v>
      </c>
      <c r="S5" s="70" t="s" ph="1">
        <v>607</v>
      </c>
      <c r="T5" s="70" t="s" ph="1">
        <v>607</v>
      </c>
      <c r="U5" s="70" t="s" ph="1">
        <v>607</v>
      </c>
      <c r="V5" s="70" t="s" ph="1">
        <v>607</v>
      </c>
      <c r="W5" s="70" t="s" ph="1">
        <v>607</v>
      </c>
      <c r="X5" s="70" t="s" ph="1">
        <v>607</v>
      </c>
      <c r="Y5" s="70" t="s" ph="1">
        <v>607</v>
      </c>
      <c r="Z5" s="70" t="s" ph="1">
        <v>614</v>
      </c>
      <c r="AA5" s="70" t="s" ph="1">
        <v>54</v>
      </c>
      <c r="AB5" s="70" t="s" ph="1">
        <v>54</v>
      </c>
      <c r="AC5" s="70" t="s" ph="1">
        <v>615</v>
      </c>
      <c r="AD5" s="71" t="s">
        <v>72</v>
      </c>
      <c r="AE5" s="71" t="s">
        <v>635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184" ph="1">
        <v>0.33333333333333331</v>
      </c>
      <c r="C6" s="156" t="s" ph="1">
        <v>177</v>
      </c>
      <c r="D6" s="71">
        <v>4160</v>
      </c>
      <c r="E6" s="71">
        <v>7841</v>
      </c>
      <c r="F6" s="71">
        <v>5831</v>
      </c>
      <c r="G6" s="71">
        <v>610</v>
      </c>
      <c r="H6" s="71">
        <v>6464</v>
      </c>
      <c r="I6" s="71">
        <v>38.53</v>
      </c>
      <c r="J6" s="71">
        <v>52.69</v>
      </c>
      <c r="K6" s="71">
        <v>62.71</v>
      </c>
      <c r="L6" s="71">
        <v>7.09</v>
      </c>
      <c r="M6" s="71">
        <v>5595</v>
      </c>
      <c r="N6" s="71">
        <v>129</v>
      </c>
      <c r="O6" s="71">
        <v>5100</v>
      </c>
      <c r="P6" s="71">
        <v>860</v>
      </c>
      <c r="Q6" s="71">
        <v>7076</v>
      </c>
      <c r="R6" s="71">
        <v>6804</v>
      </c>
      <c r="S6" s="71">
        <v>2514</v>
      </c>
      <c r="T6" s="71">
        <v>2544</v>
      </c>
      <c r="U6" s="71">
        <v>0</v>
      </c>
      <c r="V6" s="71">
        <v>0</v>
      </c>
      <c r="W6" s="71">
        <v>5683</v>
      </c>
      <c r="X6" s="71">
        <v>7190</v>
      </c>
      <c r="Y6" s="71">
        <v>4730</v>
      </c>
      <c r="Z6" s="71">
        <v>854</v>
      </c>
      <c r="AA6" s="71">
        <v>0</v>
      </c>
      <c r="AB6" s="71">
        <v>2856</v>
      </c>
      <c r="AC6" s="71">
        <v>2331</v>
      </c>
      <c r="AD6" s="71">
        <v>3874</v>
      </c>
      <c r="AE6" s="71">
        <v>5510</v>
      </c>
    </row>
    <row r="7" spans="1:99" s="72" customFormat="1" ht="22.2" ph="1">
      <c r="B7" s="184" ph="1"/>
      <c r="C7" s="68" t="s" ph="1">
        <v>178</v>
      </c>
      <c r="D7" s="73" ph="1">
        <f>D6*33.183*LOOKUP(D8,密度!$A$2:$A$50,密度!$Q$2:$Q$50)</f>
        <v>130591.19211840001</v>
      </c>
      <c r="E7" s="73" ph="1">
        <f>E6*51.53*LOOKUP(E8,密度!$A$2:$A$50,密度!$B$2:$B$50)</f>
        <v>315358.47276499995</v>
      </c>
      <c r="F7" s="73" ph="1">
        <f>F6*33.183*LOOKUP(F8,密度!$A$2:$A$50,密度!$C$2:$C$50)</f>
        <v>214696.5850008</v>
      </c>
      <c r="G7" s="73" ph="1">
        <f xml:space="preserve"> (G6+2)*51.53*LOOKUP(G8,密度!$A$2:$A$50,密度!$B$2:$B$50)</f>
        <v>24585.746255999999</v>
      </c>
      <c r="H7" s="73" ph="1">
        <f>(H6)*51.53*LOOKUP(H8,密度!$A$2:$A$50,密度!$B$2:$B$50)</f>
        <v>260876.02534399999</v>
      </c>
      <c r="I7" s="73" ph="1">
        <f>I6*290.8*1.0267</f>
        <v>11503.6847908</v>
      </c>
      <c r="J7" s="73" ph="1">
        <f>J6*290.8*0.7892</f>
        <v>12092.321278400001</v>
      </c>
      <c r="K7" s="73" ph="1">
        <f>K6*290.8*1.1126</f>
        <v>20289.449256799999</v>
      </c>
      <c r="L7" s="73" ph="1">
        <f>L6*290.8*0.777</f>
        <v>1601.996844</v>
      </c>
      <c r="M7" s="73" ph="1">
        <f>M6*33.183*LOOKUP(M8,密度!$A$2:$A$50,密度!$D$2:$D$50)</f>
        <v>190615.97722949999</v>
      </c>
      <c r="N7" s="73" ph="1">
        <f>N6*33.183*LOOKUP(N8,密度!$A$2:$A$50,密度!$E$2:$E$50)</f>
        <v>3352.5714023999999</v>
      </c>
      <c r="O7" s="73" ph="1">
        <f>O6*20.428*LOOKUP(O8,密度!$A$2:$A$50,密度!$C$2:$C$50)</f>
        <v>115288.68648</v>
      </c>
      <c r="P7" s="73" ph="1">
        <f>P6*51.53*LOOKUP(P8,密度!$A$2:$A$50,密度!$B$2:$B$50)</f>
        <v>34628.366119999999</v>
      </c>
      <c r="Q7" s="73" ph="1">
        <f>Q6*1.5*1.5*3.1416*LOOKUP(W8,密度!$A$2:$A$50,密度!$L$2:$L$50)</f>
        <v>46866.316543200002</v>
      </c>
      <c r="R7" s="73" ph="1">
        <f>R6*1.5*1.5*3.1416*LOOKUP(R8,密度!$A$2:$A$50,密度!$L$2:$L$50)</f>
        <v>44824.311100799998</v>
      </c>
      <c r="S7" s="73" ph="1">
        <f>S6*1.5*1.5*3.1416*LOOKUP(S8,密度!$A$2:$A$50,密度!$L$2:$L$50)</f>
        <v>16739.773696799999</v>
      </c>
      <c r="T7" s="73" ph="1">
        <f>T6*1.5*1.5*3.1416*LOOKUP(T8,密度!$A$2:$A$50,密度!$L$2:$L$50)</f>
        <v>16939.532332800001</v>
      </c>
      <c r="U7" s="73" ph="1">
        <f>U6*1.5*1.5*3.1416*LOOKUP(U8,密度!$A$2:$A$50,密度!$L$2:$L$50)</f>
        <v>0</v>
      </c>
      <c r="V7" s="73" ph="1">
        <f>V6*1.5*1.5*3.1416*LOOKUP(V8,密度!$A$2:$A$50,密度!$L$2:$L$50)</f>
        <v>0</v>
      </c>
      <c r="W7" s="73" ph="1">
        <f>W6*1.5*1.5*3.1416*LOOKUP(W8,密度!$A$2:$A$50,密度!$L$2:$L$50)</f>
        <v>37640.090010599997</v>
      </c>
      <c r="X7" s="73" ph="1">
        <f>X6*1.5*1.5*3.1416*LOOKUP(X8,密度!$A$2:$A$50,密度!$L$2:$L$50)</f>
        <v>47621.370258000003</v>
      </c>
      <c r="Y7" s="73" ph="1">
        <f>Y6*1.5*1.5*3.1416*LOOKUP(Y8,密度!$A$2:$A$50,密度!$L$2:$L$50)</f>
        <v>31328.105886000005</v>
      </c>
      <c r="Z7" s="73" ph="1">
        <f>Z6*33.183*LOOKUP(Z8,密度!$A$2:$A$50,密度!$L$2:$L$50)</f>
        <v>26666.323361999999</v>
      </c>
      <c r="AA7" s="73" ph="1">
        <f>AA6*33.183*LOOKUP(AA8,密度!$A$2:$A$50,密度!$D$2:$D$50)</f>
        <v>0</v>
      </c>
      <c r="AB7" s="73" ph="1">
        <f>AB6*20.428*LOOKUP(AB8,密度!$A$2:$A$50,密度!$D$2:$D$50)</f>
        <v>60273.500380799996</v>
      </c>
      <c r="AC7" s="73" ph="1">
        <f>AC6*51.53*LOOKUP(AC8,密度!$A$2:$A$50,密度!$Q$2:$Q$50)</f>
        <v>113719.0289382</v>
      </c>
      <c r="AD7" s="73" ph="1">
        <f>AD6*20.428*LOOKUP(AD8,密度!$A$2:$A$50,密度!$V$2:$V$50)</f>
        <v>76035.8595776</v>
      </c>
      <c r="AE7" s="73" ph="1">
        <f>AE6*20.428</f>
        <v>112558.28</v>
      </c>
    </row>
    <row r="8" spans="1:99" ph="1">
      <c r="B8" s="184" ph="1"/>
      <c r="C8" s="68" t="s" ph="1">
        <v>179</v>
      </c>
      <c r="D8" s="74">
        <v>26</v>
      </c>
      <c r="E8" s="74">
        <v>24</v>
      </c>
      <c r="F8" s="74">
        <v>24</v>
      </c>
      <c r="G8" s="74">
        <v>25</v>
      </c>
      <c r="H8" s="74">
        <v>21</v>
      </c>
      <c r="I8" s="74">
        <v>25</v>
      </c>
      <c r="J8" s="74">
        <v>25</v>
      </c>
      <c r="K8" s="74">
        <v>25</v>
      </c>
      <c r="L8" s="74">
        <v>25</v>
      </c>
      <c r="M8" s="74">
        <v>25</v>
      </c>
      <c r="N8" s="74">
        <v>25</v>
      </c>
      <c r="O8" s="74">
        <v>28</v>
      </c>
      <c r="P8" s="74">
        <v>23</v>
      </c>
      <c r="Q8" s="74">
        <v>27</v>
      </c>
      <c r="R8" s="74">
        <v>30</v>
      </c>
      <c r="S8" s="74">
        <v>20</v>
      </c>
      <c r="T8" s="74">
        <v>20</v>
      </c>
      <c r="U8" s="74">
        <v>25</v>
      </c>
      <c r="V8" s="74">
        <v>28</v>
      </c>
      <c r="W8" s="74">
        <v>25</v>
      </c>
      <c r="X8" s="74">
        <v>25</v>
      </c>
      <c r="Y8" s="74">
        <v>25</v>
      </c>
      <c r="Z8" s="74">
        <v>21</v>
      </c>
      <c r="AA8" s="74">
        <v>25</v>
      </c>
      <c r="AB8" s="74">
        <v>18</v>
      </c>
      <c r="AC8" s="74">
        <v>25</v>
      </c>
      <c r="AD8" s="74">
        <v>22</v>
      </c>
      <c r="AE8" s="74">
        <v>30</v>
      </c>
    </row>
    <row r="9" spans="1:99" ht="26.4" ph="1">
      <c r="B9" s="184" ph="1">
        <v>0.66666666666666663</v>
      </c>
      <c r="C9" s="156" t="s" ph="1">
        <v>180</v>
      </c>
      <c r="D9" s="71">
        <v>4163</v>
      </c>
      <c r="E9" s="71">
        <v>7846</v>
      </c>
      <c r="F9" s="71">
        <v>5833</v>
      </c>
      <c r="G9" s="71">
        <v>1488</v>
      </c>
      <c r="H9" s="71">
        <v>6193</v>
      </c>
      <c r="I9" s="71">
        <v>38.58</v>
      </c>
      <c r="J9" s="71">
        <v>18.649999999999999</v>
      </c>
      <c r="K9" s="71">
        <v>62.75</v>
      </c>
      <c r="L9" s="71">
        <v>23.95</v>
      </c>
      <c r="M9" s="71">
        <v>5598</v>
      </c>
      <c r="N9" s="71">
        <v>735</v>
      </c>
      <c r="O9" s="71">
        <v>5101</v>
      </c>
      <c r="P9" s="71">
        <v>830</v>
      </c>
      <c r="Q9" s="71">
        <v>7085</v>
      </c>
      <c r="R9" s="71">
        <v>6812</v>
      </c>
      <c r="S9" s="71">
        <v>5554</v>
      </c>
      <c r="T9" s="71">
        <v>5502</v>
      </c>
      <c r="U9" s="71">
        <v>0</v>
      </c>
      <c r="V9" s="71">
        <v>0</v>
      </c>
      <c r="W9" s="71">
        <v>626</v>
      </c>
      <c r="X9" s="71">
        <v>7197</v>
      </c>
      <c r="Y9" s="71">
        <v>4736</v>
      </c>
      <c r="Z9" s="71">
        <v>1872</v>
      </c>
      <c r="AA9" s="71">
        <v>0</v>
      </c>
      <c r="AB9" s="71">
        <v>2857</v>
      </c>
      <c r="AC9" s="71">
        <v>3083</v>
      </c>
      <c r="AD9" s="71">
        <v>3876</v>
      </c>
      <c r="AE9" s="71">
        <v>5350</v>
      </c>
    </row>
    <row r="10" spans="1:99" s="72" customFormat="1" ht="22.2" ph="1">
      <c r="B10" s="184" ph="1"/>
      <c r="C10" s="156" t="s" ph="1">
        <v>178</v>
      </c>
      <c r="D10" s="73" ph="1">
        <f>D9*33.183*LOOKUP(D11,密度!$A$2:$A$50,密度!$Q$2:$Q$50)</f>
        <v>130587.28847028001</v>
      </c>
      <c r="E10" s="73" ph="1">
        <f>E9*51.53*LOOKUP(E11,密度!$A$2:$A$50,密度!$B$2:$B$50)</f>
        <v>315195.694648</v>
      </c>
      <c r="F10" s="73" ph="1">
        <f>F9*33.183*LOOKUP(F11,密度!$A$2:$A$50,密度!$C$2:$C$50)</f>
        <v>214634.73520710002</v>
      </c>
      <c r="G10" s="73" ph="1">
        <f xml:space="preserve"> (G9+2)*51.53*LOOKUP(G11,密度!$A$2:$A$50,密度!$B$2:$B$50)</f>
        <v>59726.928630000002</v>
      </c>
      <c r="H10" s="73" ph="1">
        <f>(H9)*51.53*LOOKUP(H11,密度!$A$2:$A$50,密度!$B$2:$B$50)</f>
        <v>248790.07608399997</v>
      </c>
      <c r="I10" s="73" ph="1">
        <f>I9*290.8*1.0267</f>
        <v>11518.613008799999</v>
      </c>
      <c r="J10" s="73" ph="1">
        <f>J9*290.8*0.7892</f>
        <v>4280.1630640000003</v>
      </c>
      <c r="K10" s="73" ph="1">
        <f>K9*290.8*1.1126</f>
        <v>20302.391020000003</v>
      </c>
      <c r="L10" s="73" ph="1">
        <f>L9*290.8*0.777</f>
        <v>5411.5408200000002</v>
      </c>
      <c r="M10" s="73" ph="1">
        <f>M9*33.183*LOOKUP(M11,密度!$A$2:$A$50,密度!$D$2:$D$50)</f>
        <v>190012.3021386</v>
      </c>
      <c r="N10" s="73" ph="1">
        <f>N9*33.183*LOOKUP(N11,密度!$A$2:$A$50,密度!$E$2:$E$50)</f>
        <v>18965.279087999999</v>
      </c>
      <c r="O10" s="73" ph="1">
        <f>O9*20.428*LOOKUP(O11,密度!$A$2:$A$50,密度!$C$2:$C$50)</f>
        <v>115154.9872628</v>
      </c>
      <c r="P10" s="73" ph="1">
        <f>P9*51.53*LOOKUP(P11,密度!$A$2:$A$50,密度!$B$2:$B$50)</f>
        <v>33270.70521</v>
      </c>
      <c r="Q10" s="73" ph="1">
        <f>Q9*1.5*1.5*3.1416*LOOKUP(W11,密度!$A$2:$A$50,密度!$L$2:$L$50)</f>
        <v>46825.763985000005</v>
      </c>
      <c r="R10" s="73" ph="1">
        <f>R9*1.5*1.5*3.1416*LOOKUP(R11,密度!$A$2:$A$50,密度!$L$2:$L$50)</f>
        <v>44780.711976000006</v>
      </c>
      <c r="S10" s="73" ph="1">
        <f>S9*1.5*1.5*3.1416*LOOKUP(S11,密度!$A$2:$A$50,密度!$L$2:$L$50)</f>
        <v>36903.464135999995</v>
      </c>
      <c r="T10" s="73" ph="1">
        <f>T9*1.5*1.5*3.1416*LOOKUP(T11,密度!$A$2:$A$50,密度!$L$2:$L$50)</f>
        <v>36635.733842399997</v>
      </c>
      <c r="U10" s="73" ph="1">
        <f>U9*1.5*1.5*3.1416*LOOKUP(U11,密度!$A$2:$A$50,密度!$L$2:$L$50)</f>
        <v>0</v>
      </c>
      <c r="V10" s="73" ph="1">
        <f>V9*1.5*1.5*3.1416*LOOKUP(V11,密度!$A$2:$A$50,密度!$L$2:$L$50)</f>
        <v>0</v>
      </c>
      <c r="W10" s="73" ph="1">
        <f>W9*1.5*1.5*3.1416*LOOKUP(W11,密度!$A$2:$A$50,密度!$L$2:$L$50)</f>
        <v>4137.3222660000001</v>
      </c>
      <c r="X10" s="73" ph="1">
        <f>X9*1.5*1.5*3.1416*LOOKUP(X11,密度!$A$2:$A$50,密度!$L$2:$L$50)</f>
        <v>48176.460347400003</v>
      </c>
      <c r="Y10" s="73" ph="1">
        <f>Y9*1.5*1.5*3.1416*LOOKUP(Y11,密度!$A$2:$A$50,密度!$L$2:$L$50)</f>
        <v>31334.368665600003</v>
      </c>
      <c r="Z10" s="73" ph="1">
        <f>Z9*33.183*LOOKUP(Z11,密度!$A$2:$A$50,密度!$L$2:$L$50)</f>
        <v>58018.749984000002</v>
      </c>
      <c r="AA10" s="73" ph="1">
        <f>AA9*33.183*LOOKUP(AA11,密度!$A$2:$A$50,密度!$D$2:$D$50)</f>
        <v>0</v>
      </c>
      <c r="AB10" s="73" ph="1">
        <f>AB9*20.428*LOOKUP(AB11,密度!$A$2:$A$50,密度!$D$2:$D$50)</f>
        <v>60242.078031200006</v>
      </c>
      <c r="AC10" s="73" ph="1">
        <f>AC9*51.53*LOOKUP(AC11,密度!$A$2:$A$50,密度!$Q$2:$Q$50)</f>
        <v>150068.9360938</v>
      </c>
      <c r="AD10" s="73" ph="1">
        <f>AD9*20.428*LOOKUP(AD11,密度!$A$2:$A$50,密度!$V$2:$V$50)</f>
        <v>76075.114022399997</v>
      </c>
      <c r="AE10" s="73" ph="1">
        <f>AE9*20.428</f>
        <v>109289.8</v>
      </c>
    </row>
    <row r="11" spans="1:99" ph="1">
      <c r="A11" s="64" t="s" ph="1">
        <v>162</v>
      </c>
      <c r="B11" s="184" ph="1"/>
      <c r="C11" s="156" t="s" ph="1">
        <v>179</v>
      </c>
      <c r="D11" s="74">
        <v>27</v>
      </c>
      <c r="E11" s="74">
        <v>25</v>
      </c>
      <c r="F11" s="74">
        <v>25</v>
      </c>
      <c r="G11" s="74">
        <v>27</v>
      </c>
      <c r="H11" s="74">
        <v>25</v>
      </c>
      <c r="I11" s="74">
        <v>25</v>
      </c>
      <c r="J11" s="74">
        <v>25</v>
      </c>
      <c r="K11" s="74">
        <v>25</v>
      </c>
      <c r="L11" s="74">
        <v>25</v>
      </c>
      <c r="M11" s="74">
        <v>29</v>
      </c>
      <c r="N11" s="74">
        <v>30</v>
      </c>
      <c r="O11" s="74">
        <v>30</v>
      </c>
      <c r="P11" s="74">
        <v>27</v>
      </c>
      <c r="Q11" s="74">
        <v>29</v>
      </c>
      <c r="R11" s="74">
        <v>32</v>
      </c>
      <c r="S11" s="74">
        <v>22</v>
      </c>
      <c r="T11" s="74">
        <v>20</v>
      </c>
      <c r="U11" s="74">
        <v>28</v>
      </c>
      <c r="V11" s="74">
        <v>28</v>
      </c>
      <c r="W11" s="74">
        <v>27</v>
      </c>
      <c r="X11" s="74">
        <v>15</v>
      </c>
      <c r="Y11" s="74">
        <v>26</v>
      </c>
      <c r="Z11" s="74">
        <v>28</v>
      </c>
      <c r="AA11" s="74">
        <v>30</v>
      </c>
      <c r="AB11" s="74">
        <v>19</v>
      </c>
      <c r="AC11" s="74">
        <v>28</v>
      </c>
      <c r="AD11" s="74">
        <v>24</v>
      </c>
      <c r="AE11" s="74">
        <v>27</v>
      </c>
    </row>
    <row r="12" spans="1:99" ht="9.9" customHeight="1" ph="1"/>
    <row r="13" spans="1:99" s="72" customFormat="1" ht="29.25" customHeight="1" ph="1">
      <c r="B13" s="192" t="s" ph="1">
        <v>37</v>
      </c>
      <c r="C13" s="156" t="s" ph="1">
        <v>176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128</v>
      </c>
      <c r="I13" s="76" t="s" ph="1">
        <v>59</v>
      </c>
      <c r="J13" s="76" t="s" ph="1">
        <v>129</v>
      </c>
      <c r="K13" s="76" t="s" ph="1">
        <v>55</v>
      </c>
      <c r="L13" s="76" t="s" ph="1">
        <v>60</v>
      </c>
      <c r="M13" s="76" t="s" ph="1">
        <v>61</v>
      </c>
      <c r="N13" s="76" t="s" ph="1">
        <v>130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131</v>
      </c>
      <c r="W13" s="76" t="s" ph="1">
        <v>132</v>
      </c>
      <c r="X13" s="76" t="s" ph="1">
        <v>133</v>
      </c>
      <c r="Y13" s="105" t="s" ph="1">
        <v>68</v>
      </c>
      <c r="Z13" s="76" t="s" ph="1">
        <v>74</v>
      </c>
      <c r="AA13" s="76" t="s" ph="1">
        <v>134</v>
      </c>
      <c r="AB13" s="76" t="s" ph="1">
        <v>135</v>
      </c>
      <c r="AC13" s="76" t="s" ph="1">
        <v>136</v>
      </c>
      <c r="AD13" s="76" t="s" ph="1">
        <v>137</v>
      </c>
      <c r="AE13" s="76" t="s" ph="1">
        <v>138</v>
      </c>
      <c r="AG13" s="72" t="s" ph="1">
        <v>325</v>
      </c>
      <c r="AH13" s="72" t="s" ph="1">
        <v>188</v>
      </c>
      <c r="AI13" s="72" t="s" ph="1">
        <v>189</v>
      </c>
      <c r="AJ13" s="72" t="s" ph="1">
        <v>190</v>
      </c>
      <c r="AK13" s="72" t="s" ph="1">
        <v>191</v>
      </c>
      <c r="AL13" s="72" t="s" ph="1">
        <v>192</v>
      </c>
      <c r="AM13" s="72" t="s" ph="1">
        <v>193</v>
      </c>
      <c r="AN13" s="72" t="s" ph="1">
        <v>194</v>
      </c>
      <c r="AO13" s="72" t="s" ph="1">
        <v>195</v>
      </c>
      <c r="AP13" s="72" t="s" ph="1">
        <v>196</v>
      </c>
      <c r="AQ13" s="72" t="s" ph="1">
        <v>197</v>
      </c>
      <c r="AR13" s="72" t="s" ph="1">
        <v>198</v>
      </c>
      <c r="AS13" s="72" t="s" ph="1">
        <v>199</v>
      </c>
      <c r="AT13" s="72" t="s" ph="1">
        <v>200</v>
      </c>
      <c r="AU13" s="72" t="s" ph="1">
        <v>201</v>
      </c>
      <c r="AV13" s="72" t="s" ph="1">
        <v>202</v>
      </c>
      <c r="AW13" s="72" t="s" ph="1">
        <v>203</v>
      </c>
      <c r="AX13" s="72" t="s" ph="1">
        <v>204</v>
      </c>
      <c r="AY13" s="72" t="s" ph="1">
        <v>326</v>
      </c>
      <c r="AZ13" s="72" t="s" ph="1">
        <v>205</v>
      </c>
      <c r="BA13" s="72" t="s" ph="1">
        <v>206</v>
      </c>
      <c r="BB13" s="72" t="s" ph="1">
        <v>591</v>
      </c>
      <c r="BC13" s="72" t="s" ph="1">
        <v>207</v>
      </c>
      <c r="BD13" s="72" t="s" ph="1">
        <v>327</v>
      </c>
      <c r="BE13" s="72" t="s" ph="1">
        <v>328</v>
      </c>
      <c r="BF13" s="72" t="s" ph="1">
        <v>329</v>
      </c>
      <c r="BG13" s="72" t="s" ph="1">
        <v>330</v>
      </c>
      <c r="BH13" s="72" t="s" ph="1">
        <v>331</v>
      </c>
    </row>
    <row r="14" spans="1:99" s="72" customFormat="1" ht="24" ph="1">
      <c r="B14" s="193" ph="1"/>
      <c r="C14" s="67" t="s" ph="1">
        <v>36</v>
      </c>
      <c r="D14" s="77" t="s" ph="1">
        <v>616</v>
      </c>
      <c r="E14" s="77" t="s" ph="1">
        <v>616</v>
      </c>
      <c r="F14" s="144" t="s" ph="1">
        <v>636</v>
      </c>
      <c r="G14" s="77" t="s" ph="1">
        <v>617</v>
      </c>
      <c r="H14" s="77" t="s" ph="1">
        <v>637</v>
      </c>
      <c r="I14" s="138" t="s" ph="1">
        <v>618</v>
      </c>
      <c r="J14" s="77" t="s" ph="1">
        <v>619</v>
      </c>
      <c r="K14" s="77" t="s" ph="1">
        <v>186</v>
      </c>
      <c r="L14" s="77" t="s" ph="1">
        <v>41</v>
      </c>
      <c r="M14" s="104" t="s" ph="1">
        <v>620</v>
      </c>
      <c r="N14" s="104" t="s" ph="1">
        <v>621</v>
      </c>
      <c r="O14" s="104" t="s" ph="1">
        <v>641</v>
      </c>
      <c r="P14" s="77" t="s" ph="1">
        <v>622</v>
      </c>
      <c r="Q14" s="77" t="s" ph="1">
        <v>622</v>
      </c>
      <c r="R14" s="88" t="s" ph="1">
        <v>7</v>
      </c>
      <c r="S14" s="77" t="s" ph="1">
        <v>622</v>
      </c>
      <c r="T14" s="77" t="s" ph="1">
        <v>624</v>
      </c>
      <c r="U14" s="77" t="s" ph="1">
        <v>605</v>
      </c>
      <c r="V14" s="77" t="s" ph="1">
        <v>633</v>
      </c>
      <c r="W14" s="77" t="s" ph="1">
        <v>622</v>
      </c>
      <c r="X14" s="77" t="s" ph="1">
        <v>625</v>
      </c>
      <c r="Y14" s="143" t="s" ph="1">
        <v>0</v>
      </c>
      <c r="Z14" s="77" t="s" ph="1">
        <v>54</v>
      </c>
      <c r="AA14" s="77" t="s" ph="1">
        <v>613</v>
      </c>
      <c r="AB14" s="77" t="s" ph="1">
        <v>632</v>
      </c>
      <c r="AC14" s="77" t="s" ph="1">
        <v>632</v>
      </c>
      <c r="AD14" s="77" t="s" ph="1">
        <v>612</v>
      </c>
      <c r="AE14" s="77" t="s" ph="1">
        <v>612</v>
      </c>
      <c r="AG14" s="72" t="s" ph="1">
        <v>208</v>
      </c>
      <c r="AI14" s="72" t="s" ph="1">
        <v>209</v>
      </c>
      <c r="AJ14" s="72" t="s" ph="1">
        <v>332</v>
      </c>
      <c r="AK14" s="72" t="s" ph="1">
        <v>210</v>
      </c>
      <c r="AM14" s="72" t="s" ph="1">
        <v>212</v>
      </c>
      <c r="AN14" s="72" t="s" ph="1">
        <v>210</v>
      </c>
      <c r="AO14" s="72" t="s" ph="1">
        <v>211</v>
      </c>
      <c r="AP14" s="72" t="s" ph="1">
        <v>212</v>
      </c>
      <c r="AQ14" s="72" t="s" ph="1">
        <v>210</v>
      </c>
      <c r="AR14" s="72" t="s" ph="1">
        <v>211</v>
      </c>
      <c r="AS14" s="72" t="s" ph="1">
        <v>212</v>
      </c>
      <c r="AT14" s="72" t="s" ph="1">
        <v>210</v>
      </c>
      <c r="AU14" s="72" t="s" ph="1">
        <v>211</v>
      </c>
      <c r="AV14" s="72" t="s" ph="1">
        <v>212</v>
      </c>
      <c r="AW14" s="72" t="s" ph="1">
        <v>210</v>
      </c>
      <c r="AX14" s="72" t="s" ph="1">
        <v>211</v>
      </c>
      <c r="AY14" s="72" t="s" ph="1">
        <v>212</v>
      </c>
      <c r="AZ14" s="72" t="s" ph="1">
        <v>211</v>
      </c>
    </row>
    <row r="15" spans="1:99" ph="1">
      <c r="B15" s="194" ph="1">
        <v>0.33333333333333331</v>
      </c>
      <c r="C15" s="156" t="s" ph="1">
        <v>177</v>
      </c>
      <c r="D15" s="78">
        <v>1787</v>
      </c>
      <c r="E15" s="78">
        <v>3648</v>
      </c>
      <c r="F15" s="78">
        <v>3407</v>
      </c>
      <c r="G15" s="78">
        <v>1625</v>
      </c>
      <c r="H15" s="78">
        <v>2025</v>
      </c>
      <c r="I15" s="78">
        <v>5374</v>
      </c>
      <c r="J15" s="78">
        <v>3615</v>
      </c>
      <c r="K15" s="78">
        <v>2274</v>
      </c>
      <c r="L15" s="78">
        <v>3592</v>
      </c>
      <c r="M15" s="78">
        <v>6533</v>
      </c>
      <c r="N15" s="78">
        <v>1752</v>
      </c>
      <c r="O15" s="78">
        <v>5458</v>
      </c>
      <c r="P15" s="78">
        <v>1958</v>
      </c>
      <c r="Q15" s="78">
        <v>747</v>
      </c>
      <c r="R15" s="78">
        <v>1946</v>
      </c>
      <c r="S15" s="78">
        <v>190</v>
      </c>
      <c r="T15" s="78">
        <v>1683</v>
      </c>
      <c r="U15" s="78">
        <v>6685</v>
      </c>
      <c r="V15" s="78">
        <v>-817</v>
      </c>
      <c r="W15" s="71">
        <v>-769</v>
      </c>
      <c r="X15" s="78">
        <v>1333</v>
      </c>
      <c r="Y15" s="106">
        <v>-9905</v>
      </c>
      <c r="Z15" s="78">
        <v>1709</v>
      </c>
      <c r="AA15" s="78">
        <v>2558</v>
      </c>
      <c r="AB15" s="78" ph="1">
        <v>690</v>
      </c>
      <c r="AC15" s="78" ph="1">
        <v>498</v>
      </c>
      <c r="AD15" s="78">
        <v>9.56</v>
      </c>
      <c r="AE15" s="78">
        <v>36.42</v>
      </c>
      <c r="AG15" s="64" t="s" ph="1">
        <v>214</v>
      </c>
      <c r="AH15" s="64" ph="1">
        <v>1</v>
      </c>
      <c r="AI15" s="64" t="s" ph="1">
        <v>333</v>
      </c>
      <c r="AK15" s="64" t="s" ph="1">
        <v>587</v>
      </c>
      <c r="AM15" s="64" t="s" ph="1">
        <v>335</v>
      </c>
      <c r="AZ15" s="64" t="s" ph="1">
        <v>216</v>
      </c>
      <c r="BA15" s="64" ph="1">
        <v>0</v>
      </c>
    </row>
    <row r="16" spans="1:99" s="72" customFormat="1" ht="22.2" ph="1">
      <c r="B16" s="195" ph="1"/>
      <c r="C16" s="156" t="s" ph="1">
        <v>178</v>
      </c>
      <c r="D16" s="73" ph="1">
        <f>D15*7.0686*LOOKUP(D17,密度!$A$2:$A$50,密度!$L$2:$L$50)</f>
        <v>11873.692907999999</v>
      </c>
      <c r="E16" s="73" ph="1">
        <f>E15*7.0686*LOOKUP(E17,密度!$A$2:$A$50,密度!$L$2:$L$50)</f>
        <v>24239.077631999997</v>
      </c>
      <c r="F16" s="73" ph="1">
        <f>F15*9.0746*LOOKUP(F17,密度!$A$2:$A$50,密度!$L$2:$L$50)</f>
        <v>28876.629494800003</v>
      </c>
      <c r="G16" s="73" ph="1">
        <f>G15*9.0746*LOOKUP(G17,密度!$A$2:$A$50,密度!$B$2:$B$50)</f>
        <v>11509.4286125</v>
      </c>
      <c r="H16" s="73" ph="1">
        <f>H15*9.0746*LOOKUP(H17,密度!$A$2:$A$50,密度!$L$2:$L$50)</f>
        <v>17310.253229999998</v>
      </c>
      <c r="I16" s="73" ph="1">
        <f>I15*9.0746*LOOKUP(I17,密度!$A$2:$A$50,密度!$U$2:$U$50)</f>
        <v>50034.839810400001</v>
      </c>
      <c r="J16" s="73" ph="1">
        <f>J15*9.0746*LOOKUP(J17,密度!$A$2:$A$50,密度!$L$2:$L$50)</f>
        <v>30639.570186000004</v>
      </c>
      <c r="K16" s="73" ph="1">
        <f>K15*9.0746*LOOKUP(K17,密度!$A$2:$A$50,密度!$C$2:$C$50)</f>
        <v>22897.306587839998</v>
      </c>
      <c r="L16" s="73" ph="1">
        <f>L15*9.0746*LOOKUP(L17,密度!$A$2:$A$50,密度!$E$2:$E$50)</f>
        <v>25457.447259200002</v>
      </c>
      <c r="M16" s="73" ph="1">
        <f>M15*9.0746*LOOKUP(M17,密度!$A$2:$A$50,密度!$M$2:$M$50)</f>
        <v>51695.963489599999</v>
      </c>
      <c r="N16" s="73" ph="1">
        <f>N15*9.0746*LOOKUP(N17,密度!$A$2:$A$50,密度!$M$2:$M$50)</f>
        <v>13943.159198400001</v>
      </c>
      <c r="O16" s="73" ph="1">
        <f>O15*9.0746*LOOKUP(O17,密度!$A$2:$A$50,密度!$G$2:$G$50)</f>
        <v>47557.905961360004</v>
      </c>
      <c r="P16" s="73" ph="1">
        <f ca="1">P15*9.0746*LOOKUP(P17,密度!$A$2:$A$51,密度!$Q$2:$Q$50)</f>
        <v>16821.739562232</v>
      </c>
      <c r="Q16" s="73" ph="1">
        <f>Q15*9.0746*LOOKUP(Q17,密度!$A$2:$A$50,密度!$Q$2:$Q$50)</f>
        <v>6433.621249158</v>
      </c>
      <c r="R16" s="73" ph="1">
        <f>MAX(R15*9.0746*LOOKUP(R17,密度!$A$2:$A$50,密度!$B$2:$B$50),0)</f>
        <v>13767.090179360001</v>
      </c>
      <c r="S16" s="73" ph="1">
        <f>S15*9.0746*LOOKUP(S17,密度!$A$2:$A$50,密度!$Q$2:$Q$50)</f>
        <v>1632.3444927600001</v>
      </c>
      <c r="T16" s="73" ph="1">
        <f>T15*9.0746*LOOKUP(T17,密度!$A$2:$A$50,密度!$O$2:$O$50)</f>
        <v>14142.382966800002</v>
      </c>
      <c r="U16" s="73" ph="1">
        <f>U15*9.0746*LOOKUP(U17,密度!$A$2:$A$50,密度!$H$2:$H$50)</f>
        <v>55677.1447778</v>
      </c>
      <c r="V16" s="73" ph="1">
        <f>MAX(5600*LOOKUP(V17,密度!$A$2:$A$50,密度!$Q$2:$Q$50)+V15*9.0476*LOOKUP(V17,密度!$A$2:$A$50,密度!$Q$2:$Q$50),0)</f>
        <v>0</v>
      </c>
      <c r="W16" s="73" ph="1">
        <f>MAX(5600*LOOKUP(W17,密度!$A$2:$A$50,密度!$Q$2:$Q$50)+W15*9.0476*LOOKUP(W17,密度!$A$2:$A$50,密度!$Q$2:$Q$50),0)</f>
        <v>0</v>
      </c>
      <c r="X16" s="73" ph="1">
        <f>MAX(5600*LOOKUP(X17,密度!$A$2:$A$50,密度!$I$2:$I$50)+X15*9.0476*LOOKUP(X17,密度!$A$2:$A$50,密度!$I$2:$I$50),0)</f>
        <v>18368.63487708</v>
      </c>
      <c r="Y16" s="107" ph="1">
        <v>0</v>
      </c>
      <c r="Z16" s="73" ph="1">
        <f>Z15*9.0746*LOOKUP(Z17,密度!$A$2:$A$50,密度!$D$2:$D$50)</f>
        <v>15922.56812038</v>
      </c>
      <c r="AA16" s="73" ph="1">
        <f>AA15*9.0746*LOOKUP(AA17,密度!$A$2:$A$50,密度!$B$2:$B$50)</f>
        <v>18117.611317399998</v>
      </c>
      <c r="AB16" s="73" ph="1">
        <f>AB15*9.0746*LOOKUP(AB17,密度!$A$2:$A$50,密度!$L$2:$L$50)</f>
        <v>5867.0011380000005</v>
      </c>
      <c r="AC16" s="73" ph="1">
        <f>AC15*9.0746*LOOKUP(AC17,密度!$A$2:$A$50,密度!$L$2:$L$50)</f>
        <v>4243.4826012000003</v>
      </c>
      <c r="AD16" s="73" ph="1">
        <f>AD15*268.68*LOOKUP(AD17,密度!$A$2:$A$50,密度!B2:B50)+IF(AD15&lt;=0,0,1566*LOOKUP(AD17,密度!$A$2:$A$50,密度!B2:B50))</f>
        <v>3223.3191916799997</v>
      </c>
      <c r="AE16" s="73" ph="1">
        <f>AE15*268.68*LOOKUP(AE17,密度!$A$2:$A$50,密度!B2:B50)+IF(AE15&lt;=0,0,1566*LOOKUP(AE17,密度!$A$2:$A$50,密度!B2:B50))</f>
        <v>8849.4934377600002</v>
      </c>
      <c r="AH16" s="72" ph="1">
        <v>2</v>
      </c>
      <c r="AI16" s="72" t="s" ph="1">
        <v>337</v>
      </c>
      <c r="AZ16" s="72" t="s" ph="1">
        <v>216</v>
      </c>
      <c r="BA16" s="72" ph="1">
        <v>0</v>
      </c>
    </row>
    <row r="17" spans="1:57" ph="1">
      <c r="A17" s="64" t="s" ph="1">
        <v>73</v>
      </c>
      <c r="B17" s="196" ph="1"/>
      <c r="C17" s="79" t="s" ph="1">
        <v>179</v>
      </c>
      <c r="D17" s="74">
        <v>22</v>
      </c>
      <c r="E17" s="74">
        <v>22</v>
      </c>
      <c r="F17" s="74">
        <v>28</v>
      </c>
      <c r="G17" s="74">
        <v>24</v>
      </c>
      <c r="H17" s="74">
        <v>20</v>
      </c>
      <c r="I17" s="74">
        <v>24</v>
      </c>
      <c r="J17" s="74">
        <v>28</v>
      </c>
      <c r="K17" s="74">
        <v>24</v>
      </c>
      <c r="L17" s="74">
        <v>27</v>
      </c>
      <c r="M17" s="74">
        <v>28</v>
      </c>
      <c r="N17" s="74">
        <v>23</v>
      </c>
      <c r="O17" s="74">
        <v>25</v>
      </c>
      <c r="P17" s="74">
        <v>25</v>
      </c>
      <c r="Q17" s="74">
        <v>22</v>
      </c>
      <c r="R17" s="74">
        <v>25</v>
      </c>
      <c r="S17" s="74">
        <v>25</v>
      </c>
      <c r="T17" s="74">
        <v>25</v>
      </c>
      <c r="U17" s="74">
        <v>22</v>
      </c>
      <c r="V17" s="74">
        <v>25</v>
      </c>
      <c r="W17" s="74">
        <v>26</v>
      </c>
      <c r="X17" s="74">
        <v>27</v>
      </c>
      <c r="Y17" s="108">
        <v>27</v>
      </c>
      <c r="Z17" s="74">
        <v>25</v>
      </c>
      <c r="AA17" s="74">
        <v>24</v>
      </c>
      <c r="AB17" s="74">
        <v>25</v>
      </c>
      <c r="AC17" s="74">
        <v>23</v>
      </c>
      <c r="AD17" s="74">
        <v>25</v>
      </c>
      <c r="AE17" s="74">
        <v>25</v>
      </c>
      <c r="AH17" s="64" ph="1">
        <v>3</v>
      </c>
      <c r="AI17" s="64" t="s" ph="1">
        <v>338</v>
      </c>
      <c r="AK17" s="64" t="s" ph="1">
        <v>570</v>
      </c>
      <c r="AL17" s="64" ph="1">
        <v>80</v>
      </c>
      <c r="AM17" s="64" t="s" ph="1">
        <v>335</v>
      </c>
      <c r="AZ17" s="64" t="s" ph="1">
        <v>216</v>
      </c>
      <c r="BA17" s="64" ph="1">
        <v>80</v>
      </c>
      <c r="BD17" s="64" t="s" ph="1">
        <v>214</v>
      </c>
      <c r="BE17" s="64" ph="1">
        <v>2270</v>
      </c>
    </row>
    <row r="18" spans="1:57" ht="26.4" ph="1">
      <c r="B18" s="194" ph="1">
        <v>0.66666666666666663</v>
      </c>
      <c r="C18" s="79" t="s" ph="1">
        <v>180</v>
      </c>
      <c r="D18" s="71">
        <v>2411</v>
      </c>
      <c r="E18" s="71">
        <v>2897</v>
      </c>
      <c r="F18" s="71">
        <v>1265</v>
      </c>
      <c r="G18" s="71">
        <v>1724</v>
      </c>
      <c r="H18" s="71">
        <v>2026</v>
      </c>
      <c r="I18" s="71">
        <v>5378</v>
      </c>
      <c r="J18" s="71">
        <v>3872</v>
      </c>
      <c r="K18" s="71">
        <v>2275</v>
      </c>
      <c r="L18" s="71">
        <v>5680</v>
      </c>
      <c r="M18" s="71">
        <v>4528</v>
      </c>
      <c r="N18" s="71">
        <v>1754</v>
      </c>
      <c r="O18" s="71">
        <v>5462</v>
      </c>
      <c r="P18" s="71">
        <v>1960</v>
      </c>
      <c r="Q18" s="71">
        <v>748</v>
      </c>
      <c r="R18" s="71">
        <v>1946</v>
      </c>
      <c r="S18" s="71">
        <v>190</v>
      </c>
      <c r="T18" s="71">
        <v>1334</v>
      </c>
      <c r="U18" s="71">
        <v>6690</v>
      </c>
      <c r="V18" s="71">
        <v>-817</v>
      </c>
      <c r="W18" s="71">
        <v>-768</v>
      </c>
      <c r="X18" s="71">
        <v>1332</v>
      </c>
      <c r="Y18" s="109">
        <v>-9907</v>
      </c>
      <c r="Z18" s="71">
        <v>1710</v>
      </c>
      <c r="AA18" s="71">
        <v>2561</v>
      </c>
      <c r="AB18" s="71">
        <v>690</v>
      </c>
      <c r="AC18" s="71">
        <v>499</v>
      </c>
      <c r="AD18" s="71">
        <v>11.88</v>
      </c>
      <c r="AE18" s="71">
        <v>84.53</v>
      </c>
      <c r="AH18" s="64" ph="1">
        <v>4</v>
      </c>
      <c r="AI18" s="64" t="s" ph="1">
        <v>340</v>
      </c>
      <c r="AJ18" s="64" t="s" ph="1">
        <v>588</v>
      </c>
      <c r="AK18" s="64" t="s" ph="1">
        <v>587</v>
      </c>
      <c r="AL18" s="64" ph="1">
        <v>740</v>
      </c>
      <c r="AM18" s="64" t="s" ph="1">
        <v>339</v>
      </c>
      <c r="AZ18" s="64" t="s" ph="1">
        <v>216</v>
      </c>
      <c r="BA18" s="64" ph="1">
        <v>740</v>
      </c>
    </row>
    <row r="19" spans="1:57" s="72" customFormat="1" ht="22.2" ph="1">
      <c r="B19" s="195" ph="1"/>
      <c r="C19" s="156" t="s" ph="1">
        <v>178</v>
      </c>
      <c r="D19" s="73" ph="1">
        <f>D18*7.0686*LOOKUP(D20,密度!$A$2:$A$50,密度!$L$2:$L$50)</f>
        <v>15900.554161800001</v>
      </c>
      <c r="E19" s="73" ph="1">
        <f>E18*7.0686*LOOKUP(E20,密度!$A$2:$A$50,密度!$L$2:$L$50)</f>
        <v>19105.726008599999</v>
      </c>
      <c r="F19" s="73" ph="1">
        <f>F18*9.0746*LOOKUP(F20,密度!$A$2:$A$50,密度!$L$2:$L$50)</f>
        <v>10675.813170000001</v>
      </c>
      <c r="G19" s="73" ph="1">
        <f>G18*9.0746*LOOKUP(G20,密度!$A$2:$A$50,密度!$B$2:$B$50)</f>
        <v>12196.538267839998</v>
      </c>
      <c r="H19" s="73" ph="1">
        <f>H18*9.0746*LOOKUP(H20,密度!$A$2:$A$50,密度!$L$2:$L$50)</f>
        <v>17282.031224000002</v>
      </c>
      <c r="I19" s="73" ph="1">
        <f>I18*9.0746*LOOKUP(I20,密度!$A$2:$A$50,密度!$U$2:$U$50)</f>
        <v>49974.475571199997</v>
      </c>
      <c r="J19" s="73" ph="1">
        <f>J18*9.0746*LOOKUP(J20,密度!$A$2:$A$50,密度!$L$2:$L$50)</f>
        <v>32712.408467199999</v>
      </c>
      <c r="K19" s="73" ph="1">
        <f>K18*9.0746*LOOKUP(K20,密度!$A$2:$A$50,密度!$C$2:$C$50)</f>
        <v>22845.441619000001</v>
      </c>
      <c r="L19" s="73" ph="1">
        <f>L18*9.0746*LOOKUP(L20,密度!$A$2:$A$50,密度!$E$2:$E$50)</f>
        <v>40193.799094400005</v>
      </c>
      <c r="M19" s="73" ph="1">
        <f>M18*9.0746*LOOKUP(M20,密度!$A$2:$A$50,密度!$M$2:$M$50)</f>
        <v>35789.206044800005</v>
      </c>
      <c r="N19" s="73" ph="1">
        <f>N18*9.0746*LOOKUP(N20,密度!$A$2:$A$50,密度!$M$2:$M$50)</f>
        <v>13928.83403484</v>
      </c>
      <c r="O19" s="73" ph="1">
        <f>O18*9.0746*LOOKUP(O20,密度!$A$2:$A$50,密度!$G$2:$G$50)</f>
        <v>47434.150196399998</v>
      </c>
      <c r="P19" s="73" ph="1">
        <f ca="1">P18*9.0746*LOOKUP(P20,密度!$A$2:$A$51,密度!$Q$2:$Q$50)</f>
        <v>16838.922135839999</v>
      </c>
      <c r="Q19" s="73" ph="1">
        <f>Q18*9.0746*LOOKUP(Q20,密度!$A$2:$A$50,密度!$Q$2:$Q$50)</f>
        <v>6407.208809144</v>
      </c>
      <c r="R19" s="73" ph="1">
        <f>MAX(R18*9.0746*LOOKUP(R20,密度!$A$2:$A$50,密度!$B$2:$B$50),0)</f>
        <v>13767.090179360001</v>
      </c>
      <c r="S19" s="73" ph="1">
        <f>S18*9.0746*LOOKUP(S20,密度!$A$2:$A$50,密度!$Q$2:$Q$50)</f>
        <v>1627.49956382</v>
      </c>
      <c r="T19" s="73" ph="1">
        <f>T18*9.0746*LOOKUP(T20,密度!$A$2:$A$50,密度!$O$2:$O$50)</f>
        <v>11209.708186400001</v>
      </c>
      <c r="U19" s="73" ph="1">
        <f>U18*9.0746*LOOKUP(U20,密度!$A$2:$A$50,密度!$H$2:$H$50)</f>
        <v>55530.589987799998</v>
      </c>
      <c r="V19" s="73" ph="1">
        <f>MAX(5600*LOOKUP(V20,密度!$A$2:$A$50,密度!$Q$2:$Q$50)+V18*9.0476*LOOKUP(V20,密度!$A$2:$A$50,密度!$Q$2:$Q$50),0)</f>
        <v>0</v>
      </c>
      <c r="W19" s="73" ph="1">
        <f>MAX(5600*LOOKUP(W20,密度!$A$2:$A$50,密度!$Q$2:$Q$50)+W18*9.0476*LOOKUP(W20,密度!$A$2:$A$50,密度!$Q$2:$Q$50),0)</f>
        <v>0</v>
      </c>
      <c r="X19" s="73" ph="1">
        <f>MAX(5600*LOOKUP(X20,密度!$A$2:$A$50,密度!$I$2:$I$50)+X18*9.0476*LOOKUP(X20,密度!$A$2:$A$50,密度!$I$2:$I$50),0)</f>
        <v>18299.209697439997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15917.919202800002</v>
      </c>
      <c r="AA19" s="73" ph="1">
        <f>AA18*9.0746*LOOKUP(AA20,密度!$A$2:$A$50,密度!$B$2:$B$50)</f>
        <v>18117.943447760001</v>
      </c>
      <c r="AB19" s="73" ph="1">
        <f>AB18*9.0746*LOOKUP(AB20,密度!$A$2:$A$50,密度!$L$2:$L$50)</f>
        <v>5841.9552420000009</v>
      </c>
      <c r="AC19" s="73" ph="1">
        <f>AC18*9.0746*LOOKUP(AC20,密度!$A$2:$A$50,密度!$L$2:$L$50)</f>
        <v>4229.3625236000007</v>
      </c>
      <c r="AD19" s="73" ph="1">
        <f>AD18*268.68*LOOKUP(AD20,密度!$A$2:$A$50,密度!B5:B53)+IF(AD18&lt;=0,0,1566*LOOKUP(AD20,密度!$A$2:$A$50,密度!B5:B53))</f>
        <v>3696.9025968000005</v>
      </c>
      <c r="AE19" s="73" ph="1">
        <f>AE18*268.68*LOOKUP(AE20,密度!$A$2:$A$50,密度!B5:B53)+IF(AE18&lt;=0,0,1566*LOOKUP(AE20,密度!$A$2:$A$50,密度!B5:B53))</f>
        <v>18863.633350800003</v>
      </c>
      <c r="AH19" s="72" ph="1">
        <v>5</v>
      </c>
      <c r="AI19" s="72" t="s" ph="1">
        <v>341</v>
      </c>
      <c r="AZ19" s="72" t="s" ph="1">
        <v>216</v>
      </c>
      <c r="BA19" s="72" ph="1">
        <v>0</v>
      </c>
      <c r="BD19" s="72" t="s" ph="1">
        <v>342</v>
      </c>
      <c r="BE19" s="72" ph="1">
        <v>1440</v>
      </c>
    </row>
    <row r="20" spans="1:57" ph="1">
      <c r="A20" s="72" ph="1"/>
      <c r="B20" s="195" ph="1"/>
      <c r="C20" s="80" t="s" ph="1">
        <v>179</v>
      </c>
      <c r="D20" s="81">
        <v>29</v>
      </c>
      <c r="E20" s="81">
        <v>29</v>
      </c>
      <c r="F20" s="81">
        <v>32</v>
      </c>
      <c r="G20" s="81">
        <v>25</v>
      </c>
      <c r="H20" s="81">
        <v>22</v>
      </c>
      <c r="I20" s="81">
        <v>26</v>
      </c>
      <c r="J20" s="81">
        <v>31</v>
      </c>
      <c r="K20" s="81">
        <v>28</v>
      </c>
      <c r="L20" s="81">
        <v>28</v>
      </c>
      <c r="M20" s="81">
        <v>29</v>
      </c>
      <c r="N20" s="81">
        <v>25</v>
      </c>
      <c r="O20" s="81">
        <v>28</v>
      </c>
      <c r="P20" s="81">
        <v>25</v>
      </c>
      <c r="Q20" s="81">
        <v>29</v>
      </c>
      <c r="R20" s="81">
        <v>25</v>
      </c>
      <c r="S20" s="81">
        <v>29</v>
      </c>
      <c r="T20" s="81">
        <v>28</v>
      </c>
      <c r="U20" s="81">
        <v>25</v>
      </c>
      <c r="V20" s="81">
        <v>29</v>
      </c>
      <c r="W20" s="81">
        <v>29</v>
      </c>
      <c r="X20" s="81">
        <v>30</v>
      </c>
      <c r="Y20" s="110">
        <v>30</v>
      </c>
      <c r="Z20" s="81">
        <v>26</v>
      </c>
      <c r="AA20" s="81">
        <v>25</v>
      </c>
      <c r="AB20" s="81">
        <v>29</v>
      </c>
      <c r="AC20" s="81">
        <v>28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343</v>
      </c>
      <c r="AZ20" s="64" t="s" ph="1">
        <v>216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344</v>
      </c>
      <c r="AZ21" s="64" t="s" ph="1">
        <v>216</v>
      </c>
      <c r="BA21" s="64" ph="1">
        <v>0</v>
      </c>
      <c r="BD21" s="64" t="s" ph="1">
        <v>232</v>
      </c>
      <c r="BE21" s="64" ph="1">
        <v>730</v>
      </c>
    </row>
    <row r="22" spans="1:57" ph="1">
      <c r="A22" s="72" ph="1"/>
      <c r="B22" s="193" t="s" ph="1">
        <v>37</v>
      </c>
      <c r="C22" s="85" t="s" ph="1">
        <v>176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172" t="s" ph="1">
        <v>69</v>
      </c>
      <c r="AA22" s="173"/>
      <c r="AB22" s="173"/>
      <c r="AC22" s="173"/>
      <c r="AD22" s="173"/>
      <c r="AE22" s="174"/>
      <c r="AH22" s="64" ph="1">
        <v>8</v>
      </c>
      <c r="AI22" s="64" t="s" ph="1">
        <v>345</v>
      </c>
      <c r="AZ22" s="64" t="s" ph="1">
        <v>216</v>
      </c>
      <c r="BA22" s="64" ph="1">
        <v>0</v>
      </c>
    </row>
    <row r="23" spans="1:57" ph="1">
      <c r="A23" s="72" ph="1"/>
      <c r="B23" s="188" ph="1"/>
      <c r="C23" s="67" t="s" ph="1">
        <v>36</v>
      </c>
      <c r="D23" s="88" t="s" ph="1">
        <v>109</v>
      </c>
      <c r="E23" s="88" t="s" ph="1">
        <v>107</v>
      </c>
      <c r="F23" s="88" t="s" ph="1">
        <v>109</v>
      </c>
      <c r="G23" s="88" t="s" ph="1">
        <v>626</v>
      </c>
      <c r="H23" s="88" t="s" ph="1">
        <v>626</v>
      </c>
      <c r="I23" s="88" t="s" ph="1">
        <v>627</v>
      </c>
      <c r="J23" s="88" t="s" ph="1">
        <v>628</v>
      </c>
      <c r="K23" s="88" t="s" ph="1">
        <v>628</v>
      </c>
      <c r="L23" s="88" t="s" ph="1">
        <v>628</v>
      </c>
      <c r="M23" s="88" t="s" ph="1">
        <v>623</v>
      </c>
      <c r="N23" s="88" t="s" ph="1">
        <v>623</v>
      </c>
      <c r="O23" s="88" t="s" ph="1">
        <v>318</v>
      </c>
      <c r="P23" s="88" t="s" ph="1">
        <v>629</v>
      </c>
      <c r="Q23" s="89" t="s" ph="1">
        <v>629</v>
      </c>
      <c r="R23" s="88" t="s" ph="1">
        <v>610</v>
      </c>
      <c r="S23" s="88" t="s" ph="1">
        <v>629</v>
      </c>
      <c r="T23" s="88" t="s" ph="1">
        <v>604</v>
      </c>
      <c r="U23" s="104" t="s" ph="1">
        <v>606</v>
      </c>
      <c r="V23" s="88" t="s" ph="1">
        <v>629</v>
      </c>
      <c r="W23" s="88" t="s" ph="1">
        <v>629</v>
      </c>
      <c r="X23" s="88" t="s" ph="1">
        <v>187</v>
      </c>
      <c r="Y23" s="88" t="s" ph="1">
        <v>630</v>
      </c>
      <c r="Z23" s="175" t="s" ph="1">
        <v>638</v>
      </c>
      <c r="AA23" s="176"/>
      <c r="AB23" s="176"/>
      <c r="AC23" s="176"/>
      <c r="AD23" s="176"/>
      <c r="AE23" s="177"/>
      <c r="AH23" s="64" ph="1">
        <v>9</v>
      </c>
      <c r="AI23" s="64" t="s" ph="1">
        <v>346</v>
      </c>
      <c r="AZ23" s="64" t="s" ph="1">
        <v>216</v>
      </c>
      <c r="BA23" s="64" ph="1">
        <v>0</v>
      </c>
      <c r="BD23" s="64" t="s" ph="1">
        <v>238</v>
      </c>
      <c r="BE23" s="64" ph="1">
        <v>890</v>
      </c>
    </row>
    <row r="24" spans="1:57" ph="1">
      <c r="A24" s="72" ph="1"/>
      <c r="B24" s="184" ph="1">
        <v>0.33333333333333331</v>
      </c>
      <c r="C24" s="156" t="s" ph="1">
        <v>177</v>
      </c>
      <c r="D24" s="71">
        <v>54.89</v>
      </c>
      <c r="E24" s="71">
        <v>5.77</v>
      </c>
      <c r="F24" s="71">
        <v>1261</v>
      </c>
      <c r="G24" s="71">
        <v>3629</v>
      </c>
      <c r="H24" s="71">
        <v>3920</v>
      </c>
      <c r="I24" s="71">
        <v>1458</v>
      </c>
      <c r="J24" s="71">
        <v>203</v>
      </c>
      <c r="K24" s="71">
        <v>1724</v>
      </c>
      <c r="L24" s="71">
        <v>2699</v>
      </c>
      <c r="M24" s="71">
        <v>323</v>
      </c>
      <c r="N24" s="71">
        <v>3215</v>
      </c>
      <c r="O24" s="71">
        <v>1474</v>
      </c>
      <c r="P24" s="71">
        <v>841</v>
      </c>
      <c r="Q24" s="90">
        <v>2852</v>
      </c>
      <c r="R24" s="71">
        <v>5244</v>
      </c>
      <c r="S24" s="71">
        <v>3303</v>
      </c>
      <c r="T24" s="71">
        <v>511</v>
      </c>
      <c r="U24" s="71">
        <v>4510</v>
      </c>
      <c r="V24" s="71">
        <v>1014</v>
      </c>
      <c r="W24" s="71">
        <v>403</v>
      </c>
      <c r="X24" s="71">
        <v>5542</v>
      </c>
      <c r="Y24" s="71">
        <v>9148</v>
      </c>
      <c r="Z24" s="178"/>
      <c r="AA24" s="179"/>
      <c r="AB24" s="179"/>
      <c r="AC24" s="179"/>
      <c r="AD24" s="179"/>
      <c r="AE24" s="180"/>
      <c r="AH24" s="64" ph="1">
        <v>10</v>
      </c>
      <c r="AI24" s="64" t="s" ph="1">
        <v>347</v>
      </c>
      <c r="AZ24" s="64" t="s" ph="1">
        <v>216</v>
      </c>
      <c r="BA24" s="64" ph="1">
        <v>0</v>
      </c>
    </row>
    <row r="25" spans="1:57" ph="1">
      <c r="A25" s="72" ph="1"/>
      <c r="B25" s="184" ph="1"/>
      <c r="C25" s="68" t="s" ph="1">
        <v>178</v>
      </c>
      <c r="D25" s="91" ph="1">
        <f>D24*268.68*LOOKUP(D26,密度!$A$2:$A$50,密度!$Q$2:$Q$50)+IF(D24&lt;=0,0,1566*LOOKUP(D26,密度!$A$2:$A$50,密度!$Q$2:$Q$50))</f>
        <v>15444.969804648001</v>
      </c>
      <c r="E25" s="91" ph="1">
        <f>E24*268.68*LOOKUP(E26,密度!$A$2:$A$50,密度!$C$2:$C$50)+IF(E24&lt;=0,0,1566*LOOKUP(E26,密度!$A$2:$A$50,密度!$C$2:$C$50))</f>
        <v>3455.6468840399998</v>
      </c>
      <c r="F25" s="91" ph="1">
        <f>F24*11.702*LOOKUP(F26,密度!$A$2:$A$50,密度!$Q$2:$Q$50)</f>
        <v>14004.982737979999</v>
      </c>
      <c r="G25" s="91" ph="1">
        <f>G24*18.322*LOOKUP(G26,密度!$A$2:$A$50,密度!$B$2:$B$50)</f>
        <v>51836.023424799998</v>
      </c>
      <c r="H25" s="91" ph="1">
        <f>H24*18.322*LOOKUP(H26,密度!$A$2:$A$50,密度!$B$2:$B$50)</f>
        <v>55805.880479999993</v>
      </c>
      <c r="I25" s="91" ph="1">
        <f>I24*18.322*LOOKUP(I26,密度!$A$2:$A$50,密度!$Q$2:$Q$50)</f>
        <v>25310.217105719999</v>
      </c>
      <c r="J25" s="91" ph="1">
        <f>J24*18.322*LOOKUP(J26,密度!$A$2:$A$50,密度!$Q$2:$Q$50)</f>
        <v>3521.2725668400003</v>
      </c>
      <c r="K25" s="91" ph="1">
        <f>K24*18.322*LOOKUP(K26,密度!$A$2:$A$50,密度!$Q$2:$Q$50)</f>
        <v>29927.85616616</v>
      </c>
      <c r="L25" s="91" ph="1">
        <f>L24*18.322*LOOKUP(L26,密度!$A$2:$A$50,密度!$Q$2:$Q$50)</f>
        <v>46853.412872660003</v>
      </c>
      <c r="M25" s="91" ph="1">
        <f>M24*18.322*LOOKUP(M26,密度!$A$2:$A$50,密度!$Q$2:$Q$50)</f>
        <v>5602.81300044</v>
      </c>
      <c r="N25" s="91" ph="1">
        <f>N24*18.322*LOOKUP(N26,密度!$A$2:$A$50,密度!$Q$2:$Q$50)</f>
        <v>55906.364740699995</v>
      </c>
      <c r="O25" s="91" ph="1">
        <f>O24*18.322*LOOKUP(O26,密度!$A$2:$A$50,密度!$C$2:$C$50)</f>
        <v>29988.159731199998</v>
      </c>
      <c r="P25" s="91" ph="1">
        <f>P24*11.702*LOOKUP(P26,密度!$A$2:$A$50,密度!$B$2:$B$50)</f>
        <v>7681.1986509999997</v>
      </c>
      <c r="Q25" s="92" ph="1">
        <f>Q24*18.322*LOOKUP(Q26,密度!$A$2:$A$50,密度!$B$2:$B$50)</f>
        <v>40648.654197600001</v>
      </c>
      <c r="R25" s="91" ph="1">
        <f>R24*35.891*LOOKUP(R26,密度!$A$2:$A$50,密度!$C$2:$C$50)</f>
        <v>208275.84626639998</v>
      </c>
      <c r="S25" s="91" ph="1">
        <f>S24*35.891*LOOKUP(S26,密度!$A$2:$A$50,密度!$B$2:$B$50)</f>
        <v>92313.306575099996</v>
      </c>
      <c r="T25" s="91" ph="1">
        <f>T24*35.891*LOOKUP(T26,密度!$A$2:$A$50,密度!$Q$2:$Q$50)</f>
        <v>17337.453341320001</v>
      </c>
      <c r="U25" s="91" ph="1">
        <f>U24*35.891</f>
        <v>161868.41</v>
      </c>
      <c r="V25" s="91" ph="1">
        <f>V24*47.051*LOOKUP(V26,密度!$A$2:$A$50,密度!$B$2:$B$50)</f>
        <v>37237.431776999998</v>
      </c>
      <c r="W25" s="91" ph="1">
        <f>W24*47.051*LOOKUP(W26,密度!$A$2:$A$50,密度!$B$2:$B$50)</f>
        <v>14799.4921165</v>
      </c>
      <c r="X25" s="91" ph="1">
        <f>X24*47.051*LOOKUP(X26,密度!$A$2:$A$61,密度!$I$2:$I$61)</f>
        <v>271786.64795660001</v>
      </c>
      <c r="Y25" s="91" ph="1">
        <f>Y24*47.051*LOOKUP(Y26,密度!$A$2:$A$50,密度!$L$2:$L$50)</f>
        <v>402875.50492800004</v>
      </c>
      <c r="Z25" s="178"/>
      <c r="AA25" s="179"/>
      <c r="AB25" s="179"/>
      <c r="AC25" s="179"/>
      <c r="AD25" s="179"/>
      <c r="AE25" s="180"/>
      <c r="AH25" s="64" ph="1">
        <v>11</v>
      </c>
      <c r="AI25" s="64" t="s" ph="1">
        <v>348</v>
      </c>
      <c r="AZ25" s="64" t="s" ph="1">
        <v>216</v>
      </c>
      <c r="BA25" s="64" ph="1">
        <v>0</v>
      </c>
      <c r="BD25" s="64" t="s" ph="1">
        <v>241</v>
      </c>
      <c r="BE25" s="64" ph="1">
        <v>8920</v>
      </c>
    </row>
    <row r="26" spans="1:57" ph="1">
      <c r="A26" s="72" ph="1"/>
      <c r="B26" s="184" ph="1"/>
      <c r="C26" s="68" t="s" ph="1">
        <v>179</v>
      </c>
      <c r="D26" s="74">
        <v>25</v>
      </c>
      <c r="E26" s="74">
        <v>25</v>
      </c>
      <c r="F26" s="74">
        <v>22</v>
      </c>
      <c r="G26" s="74">
        <v>25</v>
      </c>
      <c r="H26" s="74">
        <v>28</v>
      </c>
      <c r="I26" s="74">
        <v>24</v>
      </c>
      <c r="J26" s="74">
        <v>25</v>
      </c>
      <c r="K26" s="74">
        <v>24</v>
      </c>
      <c r="L26" s="74">
        <v>24</v>
      </c>
      <c r="M26" s="74">
        <v>25</v>
      </c>
      <c r="N26" s="74">
        <v>22</v>
      </c>
      <c r="O26" s="74">
        <v>23</v>
      </c>
      <c r="P26" s="74">
        <v>24</v>
      </c>
      <c r="Q26" s="93">
        <v>27</v>
      </c>
      <c r="R26" s="74">
        <v>28</v>
      </c>
      <c r="S26" s="74">
        <v>26</v>
      </c>
      <c r="T26" s="74">
        <v>27</v>
      </c>
      <c r="U26" s="74">
        <v>28</v>
      </c>
      <c r="V26" s="74">
        <v>24</v>
      </c>
      <c r="W26" s="74">
        <v>24</v>
      </c>
      <c r="X26" s="74">
        <v>25</v>
      </c>
      <c r="Y26" s="74">
        <v>26</v>
      </c>
      <c r="Z26" s="178"/>
      <c r="AA26" s="179"/>
      <c r="AB26" s="179"/>
      <c r="AC26" s="179"/>
      <c r="AD26" s="179"/>
      <c r="AE26" s="180"/>
      <c r="AH26" s="64" ph="1">
        <v>12</v>
      </c>
      <c r="AI26" s="64" t="s" ph="1">
        <v>349</v>
      </c>
      <c r="AZ26" s="64" t="s" ph="1">
        <v>216</v>
      </c>
      <c r="BA26" s="64" ph="1">
        <v>0</v>
      </c>
    </row>
    <row r="27" spans="1:57" ht="26.4" ph="1">
      <c r="A27" s="72" ph="1"/>
      <c r="B27" s="184" ph="1">
        <v>0.66666666666666663</v>
      </c>
      <c r="C27" s="156" t="s" ph="1">
        <v>180</v>
      </c>
      <c r="D27" s="71">
        <v>19.97</v>
      </c>
      <c r="E27" s="71">
        <v>5.79</v>
      </c>
      <c r="F27" s="71">
        <v>257</v>
      </c>
      <c r="G27" s="71">
        <v>3196</v>
      </c>
      <c r="H27" s="71">
        <v>3493</v>
      </c>
      <c r="I27" s="71">
        <v>1458</v>
      </c>
      <c r="J27" s="71">
        <v>199</v>
      </c>
      <c r="K27" s="71">
        <v>1721</v>
      </c>
      <c r="L27" s="71">
        <v>2698</v>
      </c>
      <c r="M27" s="71">
        <v>322</v>
      </c>
      <c r="N27" s="71">
        <v>2490</v>
      </c>
      <c r="O27" s="71">
        <v>1474</v>
      </c>
      <c r="P27" s="71">
        <v>842</v>
      </c>
      <c r="Q27" s="90">
        <v>3114</v>
      </c>
      <c r="R27" s="71">
        <v>5174</v>
      </c>
      <c r="S27" s="71">
        <v>2593</v>
      </c>
      <c r="T27" s="71">
        <v>511</v>
      </c>
      <c r="U27" s="71">
        <v>4650</v>
      </c>
      <c r="V27" s="71">
        <v>1014</v>
      </c>
      <c r="W27" s="71">
        <v>403</v>
      </c>
      <c r="X27" s="71">
        <v>6012</v>
      </c>
      <c r="Y27" s="71">
        <v>7066</v>
      </c>
      <c r="Z27" s="178"/>
      <c r="AA27" s="179"/>
      <c r="AB27" s="179"/>
      <c r="AC27" s="179"/>
      <c r="AD27" s="179"/>
      <c r="AE27" s="180"/>
      <c r="AH27" s="64" ph="1">
        <v>13</v>
      </c>
      <c r="AI27" s="64" t="s" ph="1">
        <v>350</v>
      </c>
      <c r="AZ27" s="64" t="s" ph="1">
        <v>216</v>
      </c>
      <c r="BA27" s="64" ph="1">
        <v>0</v>
      </c>
      <c r="BD27" s="64" t="s" ph="1">
        <v>295</v>
      </c>
      <c r="BE27" s="64" ph="1">
        <v>7100</v>
      </c>
    </row>
    <row r="28" spans="1:57" ph="1">
      <c r="A28" s="72" ph="1"/>
      <c r="B28" s="184" ph="1"/>
      <c r="C28" s="156" t="s" ph="1">
        <v>178</v>
      </c>
      <c r="D28" s="91" ph="1">
        <f>D27*268.68*LOOKUP(D29,密度!$A$2:$A$50,密度!$Q$2:$Q$50)+IF(D27&lt;=0,0,1566*LOOKUP(D29,密度!$A$2:$A$50,密度!$Q$2:$Q$50))</f>
        <v>6562.365800904</v>
      </c>
      <c r="E28" s="91" ph="1">
        <f>E27*268.68*LOOKUP(E29,密度!$A$2:$A$50,密度!$C$2:$C$50)+IF(E27&lt;=0,0,1566*LOOKUP(E29,密度!$A$2:$A$50,密度!$C$2:$C$50))</f>
        <v>3461.6056690800001</v>
      </c>
      <c r="F28" s="91" ph="1">
        <f>F27*11.702*LOOKUP(F29,密度!$A$2:$A$50,密度!$Q$2:$Q$50)</f>
        <v>2847.2391303600002</v>
      </c>
      <c r="G28" s="91" ph="1">
        <f>G27*18.322*LOOKUP(G29,密度!$A$2:$A$50,密度!$B$2:$B$50)</f>
        <v>45551.577424800002</v>
      </c>
      <c r="H28" s="91" ph="1">
        <f>H27*18.322*LOOKUP(H29,密度!$A$2:$A$50,密度!$B$2:$B$50)</f>
        <v>49727.025642000001</v>
      </c>
      <c r="I28" s="91" ph="1">
        <f>I27*18.322*LOOKUP(I29,密度!$A$2:$A$50,密度!$Q$2:$Q$50)</f>
        <v>25290.716268240001</v>
      </c>
      <c r="J28" s="91" ph="1">
        <f>J27*18.322*LOOKUP(J29,密度!$A$2:$A$50,密度!$Q$2:$Q$50)</f>
        <v>3439.4547597400001</v>
      </c>
      <c r="K28" s="91" ph="1">
        <f>K27*18.322*LOOKUP(K29,密度!$A$2:$A$50,密度!$Q$2:$Q$50)</f>
        <v>29807.98338184</v>
      </c>
      <c r="L28" s="91" ph="1">
        <f>L27*18.322*LOOKUP(L29,密度!$A$2:$A$50,密度!$Q$2:$Q$50)</f>
        <v>46799.967415440005</v>
      </c>
      <c r="M28" s="91" ph="1">
        <f>M27*18.322*LOOKUP(M29,密度!$A$2:$A$50,密度!$Q$2:$Q$50)</f>
        <v>5572.9595000799991</v>
      </c>
      <c r="N28" s="91" ph="1">
        <f>N27*18.322*LOOKUP(N29,密度!$A$2:$A$50,密度!$Q$2:$Q$50)</f>
        <v>43299.1751802</v>
      </c>
      <c r="O28" s="91" ph="1">
        <f>O27*18.322*LOOKUP(O29,密度!$A$2:$A$50,密度!$C$2:$C$50)</f>
        <v>29966.554428799995</v>
      </c>
      <c r="P28" s="91" ph="1">
        <f>P27*11.702*LOOKUP(P29,密度!$A$2:$A$50,密度!$B$2:$B$50)</f>
        <v>7664.7140436000009</v>
      </c>
      <c r="Q28" s="92" ph="1">
        <f>Q27*18.322*LOOKUP(Q29,密度!$A$2:$A$50,密度!$B$2:$B$50)</f>
        <v>44382.857353200001</v>
      </c>
      <c r="R28" s="91" ph="1">
        <f>R27*35.891*LOOKUP(R29,密度!$A$2:$A$50,密度!$C$2:$C$50)</f>
        <v>205495.65762439999</v>
      </c>
      <c r="S28" s="91" ph="1">
        <f>S27*35.891*LOOKUP(S29,密度!$A$2:$A$50,密度!$B$2:$B$50)</f>
        <v>72637.515821499997</v>
      </c>
      <c r="T28" s="91" ph="1">
        <f>T27*35.891*LOOKUP(T29,密度!$A$2:$A$50,密度!$Q$2:$Q$50)</f>
        <v>17324.615130620001</v>
      </c>
      <c r="U28" s="91" ph="1">
        <f>U27*35.891</f>
        <v>166893.15</v>
      </c>
      <c r="V28" s="91" ph="1">
        <f>V27*47.051*LOOKUP(V29,密度!$A$2:$A$50,密度!$B$2:$B$50)</f>
        <v>37237.431776999998</v>
      </c>
      <c r="W28" s="91" ph="1">
        <f>W27*47.051*LOOKUP(W29,密度!$A$2:$A$50,密度!$B$2:$B$50)</f>
        <v>14782.426718799999</v>
      </c>
      <c r="X28" s="91" ph="1">
        <f>X27*47.051*LOOKUP(X29,密度!$A$2:$A$61,密度!$I$2:$I$61)</f>
        <v>294836.03888760001</v>
      </c>
      <c r="Y28" s="91" ph="1">
        <f>Y27*47.051*LOOKUP(Y29,密度!$A$2:$A$50,密度!$L$2:$L$50)</f>
        <v>310852.31221000006</v>
      </c>
      <c r="Z28" s="178"/>
      <c r="AA28" s="179"/>
      <c r="AB28" s="179"/>
      <c r="AC28" s="179"/>
      <c r="AD28" s="179"/>
      <c r="AE28" s="180"/>
      <c r="AH28" s="64" ph="1">
        <v>14</v>
      </c>
      <c r="AI28" s="64" t="s" ph="1">
        <v>351</v>
      </c>
      <c r="AZ28" s="64" t="s" ph="1">
        <v>216</v>
      </c>
      <c r="BA28" s="64" ph="1">
        <v>0</v>
      </c>
    </row>
    <row r="29" spans="1:57" ph="1">
      <c r="A29" s="72" ph="1"/>
      <c r="B29" s="184" ph="1"/>
      <c r="C29" s="156" t="s" ph="1">
        <v>179</v>
      </c>
      <c r="D29" s="74">
        <v>25</v>
      </c>
      <c r="E29" s="74">
        <v>25</v>
      </c>
      <c r="F29" s="74">
        <v>25</v>
      </c>
      <c r="G29" s="74">
        <v>27</v>
      </c>
      <c r="H29" s="74">
        <v>28</v>
      </c>
      <c r="I29" s="74">
        <v>25</v>
      </c>
      <c r="J29" s="74">
        <v>30</v>
      </c>
      <c r="K29" s="74">
        <v>27</v>
      </c>
      <c r="L29" s="74">
        <v>25</v>
      </c>
      <c r="M29" s="74">
        <v>28</v>
      </c>
      <c r="N29" s="74">
        <v>22</v>
      </c>
      <c r="O29" s="74">
        <v>24</v>
      </c>
      <c r="P29" s="74">
        <v>27</v>
      </c>
      <c r="Q29" s="93">
        <v>27</v>
      </c>
      <c r="R29" s="74">
        <v>28</v>
      </c>
      <c r="S29" s="74">
        <v>24</v>
      </c>
      <c r="T29" s="74">
        <v>28</v>
      </c>
      <c r="U29" s="74">
        <v>25</v>
      </c>
      <c r="V29" s="74">
        <v>24</v>
      </c>
      <c r="W29" s="74">
        <v>25</v>
      </c>
      <c r="X29" s="74">
        <v>25</v>
      </c>
      <c r="Y29" s="74">
        <v>27</v>
      </c>
      <c r="Z29" s="181"/>
      <c r="AA29" s="182"/>
      <c r="AB29" s="182"/>
      <c r="AC29" s="182"/>
      <c r="AD29" s="182"/>
      <c r="AE29" s="183"/>
      <c r="AH29" s="64" ph="1">
        <v>15</v>
      </c>
      <c r="AI29" s="64" t="s" ph="1">
        <v>352</v>
      </c>
      <c r="AZ29" s="64" t="s" ph="1">
        <v>216</v>
      </c>
      <c r="BA29" s="64" ph="1">
        <v>0</v>
      </c>
      <c r="BD29" s="64" t="s" ph="1">
        <v>353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354</v>
      </c>
      <c r="AZ30" s="64" t="s" ph="1">
        <v>216</v>
      </c>
      <c r="BA30" s="64" ph="1">
        <v>0</v>
      </c>
    </row>
    <row r="31" spans="1:57" ht="28.2" ph="1">
      <c r="A31" s="64"/>
      <c r="B31" s="197" t="s" ph="1">
        <v>35</v>
      </c>
      <c r="C31" s="198" ph="1"/>
      <c r="D31" s="201" t="s" ph="1">
        <v>9</v>
      </c>
      <c r="E31" s="190" ph="1"/>
      <c r="F31" s="191" ph="1"/>
      <c r="G31" s="201" t="s" ph="1">
        <v>18</v>
      </c>
      <c r="H31" s="190" ph="1"/>
      <c r="I31" s="191" ph="1"/>
      <c r="J31" s="189" t="s" ph="1">
        <v>1</v>
      </c>
      <c r="K31" s="190" ph="1"/>
      <c r="L31" s="191" ph="1"/>
      <c r="M31" s="189" t="s" ph="1">
        <v>7</v>
      </c>
      <c r="N31" s="190" ph="1"/>
      <c r="O31" s="191" ph="1"/>
      <c r="P31" s="189" t="s" ph="1">
        <v>41</v>
      </c>
      <c r="Q31" s="190"/>
      <c r="R31" s="191"/>
      <c r="S31" s="189" t="s" ph="1">
        <v>2</v>
      </c>
      <c r="T31" s="190"/>
      <c r="U31" s="191"/>
      <c r="V31" s="189" t="s" ph="1">
        <v>71</v>
      </c>
      <c r="W31" s="190" ph="1"/>
      <c r="X31" s="191" ph="1"/>
      <c r="Y31" s="189" t="s" ph="1">
        <v>3</v>
      </c>
      <c r="Z31" s="190" ph="1"/>
      <c r="AA31" s="191" ph="1"/>
      <c r="AB31" s="212" t="s">
        <v>42</v>
      </c>
      <c r="AC31" s="213"/>
      <c r="AD31" s="213"/>
      <c r="AE31" s="214"/>
      <c r="AH31" s="64" ph="1">
        <v>17</v>
      </c>
      <c r="AI31" s="64" t="s" ph="1">
        <v>355</v>
      </c>
      <c r="AZ31" s="64" t="s" ph="1">
        <v>216</v>
      </c>
      <c r="BA31" s="64" ph="1">
        <v>0</v>
      </c>
      <c r="BD31" s="64" t="s" ph="1">
        <v>356</v>
      </c>
      <c r="BE31" s="64" ph="1">
        <v>9310</v>
      </c>
    </row>
    <row r="32" spans="1:57" ph="1">
      <c r="A32" s="64"/>
      <c r="B32" s="199" ph="1"/>
      <c r="C32" s="200" ph="1"/>
      <c r="D32" s="96" t="s" ph="1">
        <v>4</v>
      </c>
      <c r="E32" s="156" t="s" ph="1">
        <v>5</v>
      </c>
      <c r="F32" s="155" t="s" ph="1">
        <v>43</v>
      </c>
      <c r="G32" s="97" t="s" ph="1">
        <v>4</v>
      </c>
      <c r="H32" s="156" t="s" ph="1">
        <v>5</v>
      </c>
      <c r="I32" s="155" t="s" ph="1">
        <v>43</v>
      </c>
      <c r="J32" s="97" t="s" ph="1">
        <v>4</v>
      </c>
      <c r="K32" s="156" t="s" ph="1">
        <v>5</v>
      </c>
      <c r="L32" s="155" t="s" ph="1">
        <v>43</v>
      </c>
      <c r="M32" s="97" t="s" ph="1">
        <v>4</v>
      </c>
      <c r="N32" s="156" t="s" ph="1">
        <v>5</v>
      </c>
      <c r="O32" s="155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56" t="s" ph="1">
        <v>5</v>
      </c>
      <c r="U32" s="99" t="s" ph="1">
        <v>43</v>
      </c>
      <c r="V32" s="97" t="s" ph="1">
        <v>4</v>
      </c>
      <c r="W32" s="156" t="s" ph="1">
        <v>5</v>
      </c>
      <c r="X32" s="99" t="s" ph="1">
        <v>43</v>
      </c>
      <c r="Y32" s="100" t="s" ph="1">
        <v>4</v>
      </c>
      <c r="Z32" s="156" t="s" ph="1">
        <v>5</v>
      </c>
      <c r="AA32" s="155" t="s" ph="1">
        <v>43</v>
      </c>
      <c r="AB32" s="97" t="s" ph="1">
        <v>85</v>
      </c>
      <c r="AC32" s="156" t="s" ph="1">
        <v>84</v>
      </c>
      <c r="AD32" s="215" t="s" ph="1">
        <v>83</v>
      </c>
      <c r="AE32" s="216"/>
      <c r="AH32" s="64" ph="1">
        <v>18</v>
      </c>
      <c r="AI32" s="64" t="s" ph="1">
        <v>357</v>
      </c>
      <c r="AZ32" s="64" t="s" ph="1">
        <v>216</v>
      </c>
      <c r="BA32" s="64" ph="1">
        <v>0</v>
      </c>
    </row>
    <row r="33" spans="1:57" ph="1">
      <c r="A33" s="64"/>
      <c r="B33" s="202" t="s" ph="1">
        <v>181</v>
      </c>
      <c r="C33" s="203" ph="1"/>
      <c r="D33" s="206" ph="1">
        <f>AA10+AB10+Z19</f>
        <v>76159.997234000009</v>
      </c>
      <c r="E33" s="206" ph="1">
        <f>M10+I10</f>
        <v>201530.9151474</v>
      </c>
      <c r="F33" s="208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1522252632456786910111213141516171819202123456789101112131415161718192022232424356789101112131415161718192021222345678910111213141516171819202345678910111213149101516171819222123234567891012131415161711181920212224252345678910111213113[[#This Row],[F25]]</f>
        <v>3880</v>
      </c>
      <c r="G33" s="210" ph="1">
        <f>N19</f>
        <v>13928.83403484</v>
      </c>
      <c r="H33" s="206" ph="1">
        <f>M19</f>
        <v>35789.206044800005</v>
      </c>
      <c r="I33" s="219" ph="1">
        <v>0</v>
      </c>
      <c r="J33" s="217" ph="1">
        <f>F10+O28</f>
        <v>244601.2896359</v>
      </c>
      <c r="K33" s="206" ph="1">
        <f>O10+K10+E28+R28</f>
        <v>344414.64157628</v>
      </c>
      <c r="L33" s="221" ph="1">
        <f>K19</f>
        <v>22845.441619000001</v>
      </c>
      <c r="M33" s="217" ph="1">
        <f>G10+H10+W28+S28+V28+E10+R19+P28+Q28</f>
        <v>814184.73525546002</v>
      </c>
      <c r="N33" s="206" ph="1">
        <f>L10+P10++G28+H28+AD19+AE19</f>
        <v>156521.3850444</v>
      </c>
      <c r="O33" s="219" ph="1">
        <f>G19</f>
        <v>12196.538267839998</v>
      </c>
      <c r="P33" s="217" ph="1">
        <f>L19</f>
        <v>40193.799094400005</v>
      </c>
      <c r="Q33" s="206" ph="1">
        <f>J10+N10</f>
        <v>23245.442152</v>
      </c>
      <c r="R33" s="219" ph="1">
        <f>BE23</f>
        <v>890</v>
      </c>
      <c r="S33" s="217" ph="1">
        <f>X28</f>
        <v>294836.03888760001</v>
      </c>
      <c r="T33" s="206" ph="1">
        <f>X19</f>
        <v>18299.209697439997</v>
      </c>
      <c r="U33" s="227" ph="1">
        <f>BE21</f>
        <v>730</v>
      </c>
      <c r="V33" s="238" ph="1">
        <f ca="1">P19+Q19+S19+M28+N28+J28+D10+AC10+D19+E19+H19+J19+O19+V19+W19+K28+L28</f>
        <v>566884.26536818396</v>
      </c>
      <c r="W33" s="238" ph="1">
        <f>D28+F28+T28+I28</f>
        <v>52024.936330124001</v>
      </c>
      <c r="X33" s="219" ph="1">
        <f>BE29+BE31</f>
        <v>10200</v>
      </c>
      <c r="Y33" s="240" ph="1">
        <f>+Q10+R10+S10+T10+U10+V10+W10+X10+Y10</f>
        <v>248793.82521840002</v>
      </c>
      <c r="Z33" s="225" ph="1">
        <f>T19+U19+Y28+Z10</f>
        <v>435611.36036820005</v>
      </c>
      <c r="AA33" s="227" ph="1">
        <f>BE19</f>
        <v>1440</v>
      </c>
      <c r="AB33" s="229" ph="1">
        <f>I19</f>
        <v>49974.475571199997</v>
      </c>
      <c r="AC33" s="231" ph="1">
        <f>AD10+AB19</f>
        <v>81917.069264399994</v>
      </c>
      <c r="AD33" s="233" ph="1">
        <v>0</v>
      </c>
      <c r="AE33" s="234"/>
      <c r="AH33" s="64" ph="1">
        <v>19</v>
      </c>
      <c r="AI33" s="64" t="s" ph="1">
        <v>358</v>
      </c>
      <c r="AJ33" s="64" t="s" ph="1">
        <v>592</v>
      </c>
      <c r="AK33" s="64" t="s" ph="1">
        <v>589</v>
      </c>
      <c r="AL33" s="64" ph="1">
        <v>730</v>
      </c>
      <c r="AM33" s="64" t="s" ph="1">
        <v>339</v>
      </c>
      <c r="AZ33" s="64" t="s" ph="1">
        <v>216</v>
      </c>
      <c r="BA33" s="64" ph="1">
        <v>730</v>
      </c>
      <c r="BD33" s="64" t="s" ph="1">
        <v>290</v>
      </c>
      <c r="BE33" s="64" ph="1">
        <v>3880</v>
      </c>
    </row>
    <row r="34" spans="1:57" ph="1">
      <c r="A34" s="64"/>
      <c r="B34" s="204" ph="1"/>
      <c r="C34" s="205" ph="1"/>
      <c r="D34" s="207" ph="1"/>
      <c r="E34" s="207" ph="1"/>
      <c r="F34" s="209" ph="1"/>
      <c r="G34" s="211" ph="1"/>
      <c r="H34" s="207" ph="1"/>
      <c r="I34" s="220" ph="1"/>
      <c r="J34" s="218" ph="1"/>
      <c r="K34" s="207" ph="1"/>
      <c r="L34" s="222" ph="1"/>
      <c r="M34" s="218" ph="1"/>
      <c r="N34" s="207" ph="1"/>
      <c r="O34" s="220" ph="1"/>
      <c r="P34" s="218" ph="1"/>
      <c r="Q34" s="207" ph="1"/>
      <c r="R34" s="220" ph="1"/>
      <c r="S34" s="218" ph="1"/>
      <c r="T34" s="207"/>
      <c r="U34" s="228"/>
      <c r="V34" s="239" ph="1"/>
      <c r="W34" s="239" ph="1"/>
      <c r="X34" s="220" ph="1"/>
      <c r="Y34" s="241" ph="1"/>
      <c r="Z34" s="226" ph="1"/>
      <c r="AA34" s="228" ph="1"/>
      <c r="AB34" s="230"/>
      <c r="AC34" s="232"/>
      <c r="AD34" s="235"/>
      <c r="AE34" s="236"/>
      <c r="AH34" s="64" ph="1">
        <v>20</v>
      </c>
      <c r="AI34" s="64" t="s" ph="1">
        <v>359</v>
      </c>
      <c r="AJ34" s="64" t="s" ph="1">
        <v>593</v>
      </c>
      <c r="AK34" s="64" t="s" ph="1">
        <v>589</v>
      </c>
      <c r="AL34" s="64" ph="1">
        <v>720</v>
      </c>
      <c r="AM34" s="64" t="s" ph="1">
        <v>339</v>
      </c>
      <c r="AZ34" s="64" t="s" ph="1">
        <v>216</v>
      </c>
      <c r="BA34" s="64" ph="1">
        <v>720</v>
      </c>
    </row>
    <row r="35" spans="1:57" ph="1">
      <c r="A35" s="64"/>
      <c r="AC35" s="237" t="s" ph="1">
        <v>631</v>
      </c>
      <c r="AD35" s="237"/>
      <c r="AE35" s="237"/>
      <c r="AH35" s="64" ph="1">
        <v>21</v>
      </c>
      <c r="AI35" s="64" t="s" ph="1">
        <v>360</v>
      </c>
      <c r="AZ35" s="64" t="s" ph="1">
        <v>216</v>
      </c>
      <c r="BA35" s="64" ph="1">
        <v>0</v>
      </c>
      <c r="BD35" s="64" t="s" ph="1">
        <v>361</v>
      </c>
      <c r="BE35" s="64" ph="1">
        <v>2030</v>
      </c>
    </row>
    <row r="36" spans="1:57" ht="28.2" ph="1">
      <c r="A36" s="64"/>
      <c r="B36" s="103" t="s" ph="1">
        <v>182</v>
      </c>
      <c r="I36" s="223" t="s" ph="1">
        <v>183</v>
      </c>
      <c r="J36" s="223" ph="1"/>
      <c r="K36" s="101" ph="1"/>
      <c r="P36" s="101" ph="1"/>
      <c r="R36" s="223" t="s" ph="1">
        <v>184</v>
      </c>
      <c r="S36" s="223" ph="1"/>
      <c r="Y36" s="102" ph="1"/>
      <c r="Z36" s="154" t="s" ph="1">
        <v>185</v>
      </c>
      <c r="AA36" s="154" ph="1"/>
      <c r="AB36" s="224" t="s" ph="1">
        <v>640</v>
      </c>
      <c r="AC36" s="224" ph="1"/>
      <c r="AD36" s="224" ph="1"/>
      <c r="AE36" s="224" ph="1"/>
      <c r="BA36" s="64" ph="1">
        <v>2270</v>
      </c>
    </row>
    <row r="37" spans="1:57" s="154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54" t="s" ph="1">
        <v>342</v>
      </c>
      <c r="AI37" s="154" t="s" ph="1">
        <v>209</v>
      </c>
      <c r="AJ37" s="154" t="s" ph="1">
        <v>210</v>
      </c>
      <c r="AK37" s="154" t="s" ph="1">
        <v>211</v>
      </c>
      <c r="AM37" s="154" t="s" ph="1">
        <v>210</v>
      </c>
      <c r="AN37" s="154" t="s" ph="1">
        <v>211</v>
      </c>
      <c r="AO37" s="154" t="s" ph="1">
        <v>212</v>
      </c>
      <c r="AP37" s="154" t="s" ph="1">
        <v>210</v>
      </c>
      <c r="AQ37" s="154" t="s" ph="1">
        <v>211</v>
      </c>
      <c r="AR37" s="154" t="s" ph="1">
        <v>212</v>
      </c>
      <c r="AS37" s="154" t="s" ph="1">
        <v>210</v>
      </c>
      <c r="AT37" s="154" t="s" ph="1">
        <v>211</v>
      </c>
      <c r="AU37" s="154" t="s" ph="1">
        <v>212</v>
      </c>
      <c r="AV37" s="154" t="s" ph="1">
        <v>210</v>
      </c>
      <c r="AW37" s="154" t="s" ph="1">
        <v>211</v>
      </c>
      <c r="AX37" s="154" t="s" ph="1">
        <v>212</v>
      </c>
      <c r="AY37" s="154" t="s" ph="1">
        <v>211</v>
      </c>
      <c r="AZ37" s="154" t="s" ph="1">
        <v>213</v>
      </c>
      <c r="BD37" s="154" t="s" ph="1">
        <v>305</v>
      </c>
      <c r="BE37" s="154" ph="1">
        <v>0</v>
      </c>
    </row>
    <row r="38" spans="1:57" ph="1">
      <c r="AE38" s="64" ph="1"/>
      <c r="AH38" s="64" ph="1">
        <v>1</v>
      </c>
      <c r="AI38" s="64" t="s" ph="1">
        <v>362</v>
      </c>
      <c r="AY38" s="64" t="s" ph="1">
        <v>216</v>
      </c>
      <c r="AZ38" s="64" t="s" ph="1">
        <v>367</v>
      </c>
    </row>
    <row r="39" spans="1:57" ph="1">
      <c r="AH39" s="64" ph="1">
        <v>2</v>
      </c>
      <c r="AI39" s="64" t="s" ph="1">
        <v>364</v>
      </c>
      <c r="AJ39" s="64" t="s" ph="1">
        <v>336</v>
      </c>
      <c r="AK39" s="64" t="s" ph="1">
        <v>365</v>
      </c>
      <c r="AM39" s="64" t="s" ph="1">
        <v>570</v>
      </c>
      <c r="AN39" s="64" t="s" ph="1">
        <v>228</v>
      </c>
      <c r="AO39" s="64" t="s" ph="1">
        <v>363</v>
      </c>
      <c r="AY39" s="64" t="s" ph="1">
        <v>216</v>
      </c>
      <c r="AZ39" s="64" t="s" ph="1">
        <v>499</v>
      </c>
    </row>
    <row r="40" spans="1:57" ph="1">
      <c r="AH40" s="64" ph="1">
        <v>3</v>
      </c>
      <c r="AI40" s="64" t="s" ph="1">
        <v>366</v>
      </c>
      <c r="AJ40" s="64" t="s" ph="1">
        <v>570</v>
      </c>
      <c r="AK40" s="64" t="s" ph="1">
        <v>571</v>
      </c>
      <c r="AY40" s="64" t="s" ph="1">
        <v>216</v>
      </c>
      <c r="AZ40" s="64" t="s" ph="1">
        <v>571</v>
      </c>
    </row>
    <row r="41" spans="1:57" ph="1">
      <c r="AH41" s="64" ph="1">
        <v>4</v>
      </c>
      <c r="AI41" s="64" t="s" ph="1">
        <v>368</v>
      </c>
      <c r="AJ41" s="64" t="s" ph="1">
        <v>572</v>
      </c>
      <c r="AK41" s="64" t="s" ph="1">
        <v>573</v>
      </c>
      <c r="AM41" s="64" t="s" ph="1">
        <v>574</v>
      </c>
      <c r="AY41" s="64" t="s" ph="1">
        <v>216</v>
      </c>
      <c r="AZ41" s="64" t="s" ph="1">
        <v>573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369</v>
      </c>
      <c r="AY42" s="64" t="s" ph="1">
        <v>216</v>
      </c>
      <c r="AZ42" s="64" t="s" ph="1">
        <v>367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370</v>
      </c>
      <c r="AY43" s="64" t="s" ph="1">
        <v>216</v>
      </c>
      <c r="AZ43" s="64" t="s" ph="1">
        <v>367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371</v>
      </c>
      <c r="AV44" s="64" t="s" ph="1">
        <v>217</v>
      </c>
      <c r="AY44" s="64" t="s" ph="1">
        <v>216</v>
      </c>
      <c r="AZ44" s="64" t="s" ph="1">
        <v>367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372</v>
      </c>
      <c r="AV45" s="64" t="s" ph="1">
        <v>217</v>
      </c>
      <c r="AY45" s="64" t="s" ph="1">
        <v>216</v>
      </c>
      <c r="AZ45" s="64" t="s" ph="1">
        <v>367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373</v>
      </c>
      <c r="AV46" s="64" t="s" ph="1">
        <v>217</v>
      </c>
      <c r="AY46" s="64" t="s" ph="1">
        <v>216</v>
      </c>
      <c r="AZ46" s="64" t="s" ph="1">
        <v>367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374</v>
      </c>
      <c r="AV47" s="64" t="s" ph="1">
        <v>217</v>
      </c>
      <c r="AY47" s="64" t="s" ph="1">
        <v>216</v>
      </c>
      <c r="AZ47" s="64" t="s" ph="1">
        <v>367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575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232</v>
      </c>
      <c r="AI49" s="64" t="s" ph="1">
        <v>209</v>
      </c>
      <c r="AJ49" s="64" t="s" ph="1">
        <v>210</v>
      </c>
      <c r="AK49" s="64" t="s" ph="1">
        <v>211</v>
      </c>
      <c r="AM49" s="64" t="s" ph="1">
        <v>210</v>
      </c>
      <c r="AN49" s="64" t="s" ph="1">
        <v>211</v>
      </c>
      <c r="AO49" s="64" t="s" ph="1">
        <v>212</v>
      </c>
      <c r="AP49" s="64" t="s" ph="1">
        <v>210</v>
      </c>
      <c r="AQ49" s="64" t="s" ph="1">
        <v>211</v>
      </c>
      <c r="AR49" s="64" t="s" ph="1">
        <v>212</v>
      </c>
      <c r="AS49" s="64" t="s" ph="1">
        <v>210</v>
      </c>
      <c r="AT49" s="64" t="s" ph="1">
        <v>211</v>
      </c>
      <c r="AU49" s="64" t="s" ph="1">
        <v>212</v>
      </c>
      <c r="AV49" s="64" t="s" ph="1">
        <v>210</v>
      </c>
      <c r="AW49" s="64" t="s" ph="1">
        <v>211</v>
      </c>
      <c r="AX49" s="64" t="s" ph="1">
        <v>212</v>
      </c>
      <c r="AY49" s="64" t="s" ph="1">
        <v>211</v>
      </c>
      <c r="AZ49" s="64" t="s" ph="1">
        <v>213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375</v>
      </c>
      <c r="AY50" s="64" t="s" ph="1">
        <v>216</v>
      </c>
      <c r="AZ50" s="64" t="s" ph="1">
        <v>367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376</v>
      </c>
      <c r="AY51" s="64" t="s" ph="1">
        <v>216</v>
      </c>
      <c r="AZ51" s="64" t="s" ph="1">
        <v>367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377</v>
      </c>
      <c r="AJ52" s="64" t="s" ph="1">
        <v>334</v>
      </c>
      <c r="AK52" s="64" t="s" ph="1">
        <v>228</v>
      </c>
      <c r="AM52" s="64" t="s" ph="1">
        <v>336</v>
      </c>
      <c r="AN52" s="64" t="s" ph="1">
        <v>300</v>
      </c>
      <c r="AO52" s="64" t="s" ph="1">
        <v>233</v>
      </c>
      <c r="AP52" s="64" t="s" ph="1">
        <v>570</v>
      </c>
      <c r="AQ52" s="64" t="s" ph="1">
        <v>282</v>
      </c>
      <c r="AR52" s="64" t="s" ph="1">
        <v>233</v>
      </c>
      <c r="AY52" s="64" t="s" ph="1">
        <v>216</v>
      </c>
      <c r="AZ52" s="64" t="s" ph="1">
        <v>576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378</v>
      </c>
      <c r="AY53" s="64" t="s" ph="1">
        <v>216</v>
      </c>
      <c r="AZ53" s="64" t="s" ph="1">
        <v>367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379</v>
      </c>
      <c r="AJ54" s="64" t="s" ph="1">
        <v>334</v>
      </c>
      <c r="AK54" s="64" t="s" ph="1">
        <v>219</v>
      </c>
      <c r="AM54" s="64" t="s" ph="1">
        <v>336</v>
      </c>
      <c r="AN54" s="64" t="s" ph="1">
        <v>224</v>
      </c>
      <c r="AO54" s="64" t="s" ph="1">
        <v>233</v>
      </c>
      <c r="AP54" s="64" t="s" ph="1">
        <v>570</v>
      </c>
      <c r="AQ54" s="64" t="s" ph="1">
        <v>240</v>
      </c>
      <c r="AR54" s="64" t="s" ph="1">
        <v>233</v>
      </c>
      <c r="AY54" s="64" t="s" ph="1">
        <v>216</v>
      </c>
      <c r="AZ54" s="64" t="s" ph="1">
        <v>234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380</v>
      </c>
      <c r="AY55" s="64" t="s" ph="1">
        <v>216</v>
      </c>
      <c r="AZ55" s="64" t="s" ph="1">
        <v>367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381</v>
      </c>
      <c r="AY56" s="64" t="s" ph="1">
        <v>216</v>
      </c>
      <c r="AZ56" s="64" t="s" ph="1">
        <v>367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382</v>
      </c>
      <c r="AY57" s="64" t="s" ph="1">
        <v>216</v>
      </c>
      <c r="AZ57" s="64" t="s" ph="1">
        <v>367</v>
      </c>
    </row>
    <row r="58" spans="16:52" ph="1">
      <c r="P58" s="64"/>
      <c r="AN58" s="64" t="s" ph="1">
        <v>217</v>
      </c>
      <c r="AZ58" s="64" t="s" ph="1">
        <v>577</v>
      </c>
    </row>
    <row r="59" spans="16:52" ph="1">
      <c r="V59" s="64"/>
      <c r="AG59" s="64" t="s" ph="1">
        <v>235</v>
      </c>
      <c r="AI59" s="64" t="s" ph="1">
        <v>209</v>
      </c>
      <c r="AJ59" s="64" t="s" ph="1">
        <v>210</v>
      </c>
      <c r="AK59" s="64" t="s" ph="1">
        <v>211</v>
      </c>
      <c r="AM59" s="64" t="s" ph="1">
        <v>210</v>
      </c>
      <c r="AN59" s="64" t="s" ph="1">
        <v>211</v>
      </c>
      <c r="AO59" s="64" t="s" ph="1">
        <v>212</v>
      </c>
      <c r="AP59" s="64" t="s" ph="1">
        <v>210</v>
      </c>
      <c r="AQ59" s="64" t="s" ph="1">
        <v>211</v>
      </c>
      <c r="AR59" s="64" t="s" ph="1">
        <v>212</v>
      </c>
      <c r="AS59" s="64" t="s" ph="1">
        <v>210</v>
      </c>
      <c r="AT59" s="64" t="s" ph="1">
        <v>211</v>
      </c>
      <c r="AU59" s="64" t="s" ph="1">
        <v>212</v>
      </c>
      <c r="AV59" s="64" t="s" ph="1">
        <v>210</v>
      </c>
      <c r="AW59" s="64" t="s" ph="1">
        <v>211</v>
      </c>
      <c r="AX59" s="64" t="s" ph="1">
        <v>212</v>
      </c>
      <c r="AY59" s="64" t="s" ph="1">
        <v>211</v>
      </c>
      <c r="AZ59" s="64" t="s" ph="1">
        <v>213</v>
      </c>
    </row>
    <row r="60" spans="16:52" ph="1">
      <c r="R60" s="64"/>
      <c r="S60" s="64"/>
      <c r="T60" s="64"/>
      <c r="AH60" s="64" ph="1">
        <v>1</v>
      </c>
      <c r="AI60" s="64" t="s" ph="1">
        <v>383</v>
      </c>
      <c r="AY60" s="64" t="s" ph="1">
        <v>216</v>
      </c>
      <c r="AZ60" s="64" t="s" ph="1">
        <v>367</v>
      </c>
    </row>
    <row r="61" spans="16:52" ph="1">
      <c r="AH61" s="64" ph="1">
        <v>2</v>
      </c>
      <c r="AI61" s="64" t="s" ph="1">
        <v>384</v>
      </c>
      <c r="AS61" s="64" t="s" ph="1">
        <v>217</v>
      </c>
      <c r="AY61" s="64" t="s" ph="1">
        <v>216</v>
      </c>
      <c r="AZ61" s="64" t="s" ph="1">
        <v>367</v>
      </c>
    </row>
    <row r="62" spans="16:52" ph="1">
      <c r="AZ62" s="64" t="s" ph="1">
        <v>385</v>
      </c>
    </row>
    <row r="63" spans="16:52" ph="1">
      <c r="AG63" s="64" t="s" ph="1">
        <v>238</v>
      </c>
      <c r="AI63" s="64" t="s" ph="1">
        <v>209</v>
      </c>
      <c r="AJ63" s="64" t="s" ph="1">
        <v>210</v>
      </c>
      <c r="AK63" s="64" t="s" ph="1">
        <v>211</v>
      </c>
      <c r="AM63" s="64" t="s" ph="1">
        <v>210</v>
      </c>
      <c r="AN63" s="64" t="s" ph="1">
        <v>211</v>
      </c>
      <c r="AO63" s="64" t="s" ph="1">
        <v>212</v>
      </c>
      <c r="AP63" s="64" t="s" ph="1">
        <v>210</v>
      </c>
      <c r="AQ63" s="64" t="s" ph="1">
        <v>211</v>
      </c>
      <c r="AR63" s="64" t="s" ph="1">
        <v>212</v>
      </c>
      <c r="AS63" s="64" t="s" ph="1">
        <v>210</v>
      </c>
      <c r="AT63" s="64" t="s" ph="1">
        <v>211</v>
      </c>
      <c r="AU63" s="64" t="s" ph="1">
        <v>212</v>
      </c>
      <c r="AV63" s="64" t="s" ph="1">
        <v>210</v>
      </c>
      <c r="AW63" s="64" t="s" ph="1">
        <v>211</v>
      </c>
      <c r="AX63" s="64" t="s" ph="1">
        <v>212</v>
      </c>
      <c r="AY63" s="64" t="s" ph="1">
        <v>211</v>
      </c>
      <c r="AZ63" s="64" t="s" ph="1">
        <v>213</v>
      </c>
    </row>
    <row r="64" spans="16:52" ph="1">
      <c r="AH64" s="64" ph="1">
        <v>1</v>
      </c>
      <c r="AI64" s="64" t="s" ph="1">
        <v>386</v>
      </c>
      <c r="AJ64" s="64" t="s" ph="1">
        <v>387</v>
      </c>
      <c r="AK64" s="64" t="s" ph="1">
        <v>388</v>
      </c>
      <c r="AY64" s="64" t="s" ph="1">
        <v>216</v>
      </c>
      <c r="AZ64" s="64" t="s" ph="1">
        <v>388</v>
      </c>
    </row>
    <row r="65" spans="33:52" ph="1">
      <c r="AH65" s="64" ph="1">
        <v>2</v>
      </c>
      <c r="AI65" s="64" t="s" ph="1">
        <v>389</v>
      </c>
      <c r="AY65" s="64" t="s" ph="1">
        <v>216</v>
      </c>
      <c r="AZ65" s="64" t="s" ph="1">
        <v>367</v>
      </c>
    </row>
    <row r="66" spans="33:52" ph="1">
      <c r="AH66" s="64" ph="1">
        <v>3</v>
      </c>
      <c r="AI66" s="64" t="s" ph="1">
        <v>390</v>
      </c>
      <c r="AY66" s="64" t="s" ph="1">
        <v>216</v>
      </c>
      <c r="AZ66" s="64" t="s" ph="1">
        <v>367</v>
      </c>
    </row>
    <row r="67" spans="33:52" ph="1">
      <c r="AH67" s="64" ph="1">
        <v>4</v>
      </c>
      <c r="AI67" s="64" t="s" ph="1">
        <v>391</v>
      </c>
      <c r="AY67" s="64" t="s" ph="1">
        <v>216</v>
      </c>
      <c r="AZ67" s="64" t="s" ph="1">
        <v>367</v>
      </c>
    </row>
    <row r="68" spans="33:52" ph="1">
      <c r="AH68" s="64" ph="1">
        <v>5</v>
      </c>
      <c r="AI68" s="64" t="s" ph="1">
        <v>392</v>
      </c>
      <c r="AY68" s="64" t="s" ph="1">
        <v>216</v>
      </c>
      <c r="AZ68" s="64" t="s" ph="1">
        <v>367</v>
      </c>
    </row>
    <row r="69" spans="33:52" ph="1">
      <c r="AH69" s="64" ph="1">
        <v>6</v>
      </c>
      <c r="AI69" s="64" t="s" ph="1">
        <v>393</v>
      </c>
      <c r="AY69" s="64" t="s" ph="1">
        <v>216</v>
      </c>
      <c r="AZ69" s="64" t="s" ph="1">
        <v>367</v>
      </c>
    </row>
    <row r="70" spans="33:52" ph="1">
      <c r="AI70" s="64" t="s" ph="1">
        <v>394</v>
      </c>
      <c r="AY70" s="64" t="s" ph="1">
        <v>216</v>
      </c>
      <c r="AZ70" s="64" t="s" ph="1">
        <v>367</v>
      </c>
    </row>
    <row r="71" spans="33:52" ph="1">
      <c r="AH71" s="64" ph="1">
        <v>7</v>
      </c>
      <c r="AI71" s="64" t="s" ph="1">
        <v>395</v>
      </c>
      <c r="AJ71" s="64" t="s" ph="1">
        <v>334</v>
      </c>
      <c r="AK71" s="64" t="s" ph="1">
        <v>228</v>
      </c>
      <c r="AM71" s="64" t="s" ph="1">
        <v>336</v>
      </c>
      <c r="AN71" s="64" t="s" ph="1">
        <v>228</v>
      </c>
      <c r="AO71" s="64" t="s" ph="1">
        <v>396</v>
      </c>
      <c r="AP71" s="64" t="s" ph="1">
        <v>570</v>
      </c>
      <c r="AQ71" s="64" t="s" ph="1">
        <v>219</v>
      </c>
      <c r="AR71" s="64" t="s" ph="1">
        <v>396</v>
      </c>
      <c r="AY71" s="64" t="s" ph="1">
        <v>216</v>
      </c>
      <c r="AZ71" s="64" t="s" ph="1">
        <v>578</v>
      </c>
    </row>
    <row r="72" spans="33:52" ph="1">
      <c r="AZ72" s="64" t="s" ph="1">
        <v>579</v>
      </c>
    </row>
    <row r="73" spans="33:52" ph="1">
      <c r="AG73" s="64" t="s" ph="1">
        <v>241</v>
      </c>
      <c r="AI73" s="64" t="s" ph="1">
        <v>209</v>
      </c>
      <c r="AJ73" s="64" t="s" ph="1">
        <v>210</v>
      </c>
      <c r="AK73" s="64" t="s" ph="1">
        <v>211</v>
      </c>
      <c r="AM73" s="64" t="s" ph="1">
        <v>210</v>
      </c>
      <c r="AN73" s="64" t="s" ph="1">
        <v>211</v>
      </c>
      <c r="AO73" s="64" t="s" ph="1">
        <v>212</v>
      </c>
      <c r="AP73" s="64" t="s" ph="1">
        <v>210</v>
      </c>
      <c r="AQ73" s="64" t="s" ph="1">
        <v>211</v>
      </c>
      <c r="AR73" s="64" t="s" ph="1">
        <v>212</v>
      </c>
      <c r="AS73" s="64" t="s" ph="1">
        <v>210</v>
      </c>
      <c r="AT73" s="64" t="s" ph="1">
        <v>211</v>
      </c>
      <c r="AU73" s="64" t="s" ph="1">
        <v>212</v>
      </c>
      <c r="AV73" s="64" t="s" ph="1">
        <v>210</v>
      </c>
      <c r="AW73" s="64" t="s" ph="1">
        <v>211</v>
      </c>
      <c r="AX73" s="64" t="s" ph="1">
        <v>212</v>
      </c>
      <c r="AY73" s="64" t="s" ph="1">
        <v>211</v>
      </c>
      <c r="AZ73" s="64" t="s" ph="1">
        <v>213</v>
      </c>
    </row>
    <row r="74" spans="33:52" ph="1">
      <c r="AH74" s="64" ph="1">
        <v>1</v>
      </c>
      <c r="AI74" s="64" t="s" ph="1">
        <v>397</v>
      </c>
      <c r="AJ74" s="64" t="s" ph="1">
        <v>242</v>
      </c>
      <c r="AK74" s="64" t="s" ph="1">
        <v>224</v>
      </c>
      <c r="AM74" s="64" t="s" ph="1">
        <v>244</v>
      </c>
      <c r="AN74" s="64" t="s" ph="1">
        <v>254</v>
      </c>
      <c r="AO74" s="64" t="s" ph="1">
        <v>243</v>
      </c>
      <c r="AP74" s="64" t="s" ph="1">
        <v>245</v>
      </c>
      <c r="AQ74" s="64" t="s" ph="1">
        <v>222</v>
      </c>
      <c r="AR74" s="64" t="s" ph="1">
        <v>243</v>
      </c>
      <c r="AS74" s="64" t="s" ph="1">
        <v>215</v>
      </c>
      <c r="AT74" s="64" t="s" ph="1">
        <v>217</v>
      </c>
      <c r="AV74" s="64" t="s" ph="1">
        <v>398</v>
      </c>
      <c r="AW74" s="64" t="s" ph="1">
        <v>399</v>
      </c>
      <c r="AX74" s="64" t="s" ph="1">
        <v>400</v>
      </c>
      <c r="AY74" s="64" t="s" ph="1">
        <v>216</v>
      </c>
      <c r="AZ74" s="64" t="s" ph="1">
        <v>401</v>
      </c>
    </row>
    <row r="75" spans="33:52" ph="1">
      <c r="AJ75" s="64" t="s" ph="1">
        <v>247</v>
      </c>
      <c r="AK75" s="64" t="s" ph="1">
        <v>300</v>
      </c>
      <c r="AM75" s="64" t="s" ph="1">
        <v>245</v>
      </c>
      <c r="AN75" s="64" t="s" ph="1">
        <v>225</v>
      </c>
      <c r="AO75" s="64" t="s" ph="1">
        <v>243</v>
      </c>
      <c r="AS75" s="64" t="s" ph="1">
        <v>215</v>
      </c>
      <c r="AT75" s="64" t="s" ph="1">
        <v>246</v>
      </c>
    </row>
    <row r="76" spans="33:52" ph="1">
      <c r="AJ76" s="64" t="s" ph="1">
        <v>247</v>
      </c>
      <c r="AK76" s="64" t="s" ph="1">
        <v>240</v>
      </c>
      <c r="AM76" s="64" t="s" ph="1">
        <v>245</v>
      </c>
      <c r="AN76" s="64" t="s" ph="1">
        <v>228</v>
      </c>
      <c r="AO76" s="64" t="s" ph="1">
        <v>243</v>
      </c>
      <c r="AS76" s="64" t="s" ph="1">
        <v>215</v>
      </c>
      <c r="AT76" s="64" t="s" ph="1">
        <v>246</v>
      </c>
    </row>
    <row r="77" spans="33:52" ph="1">
      <c r="AJ77" s="64" t="s" ph="1">
        <v>283</v>
      </c>
      <c r="AK77" s="64" t="s" ph="1">
        <v>240</v>
      </c>
      <c r="AM77" s="64" t="s" ph="1">
        <v>284</v>
      </c>
      <c r="AN77" s="64" t="s" ph="1">
        <v>223</v>
      </c>
      <c r="AO77" s="64" t="s" ph="1">
        <v>243</v>
      </c>
      <c r="AS77" s="64" t="s" ph="1">
        <v>215</v>
      </c>
      <c r="AT77" s="64" t="s" ph="1">
        <v>285</v>
      </c>
    </row>
    <row r="78" spans="33:52" ph="1">
      <c r="AH78" s="64" ph="1">
        <v>2</v>
      </c>
      <c r="AI78" s="64" t="s" ph="1">
        <v>249</v>
      </c>
      <c r="AJ78" s="64" t="s" ph="1">
        <v>250</v>
      </c>
      <c r="AK78" s="64" t="s" ph="1">
        <v>219</v>
      </c>
      <c r="AM78" s="64" t="s" ph="1">
        <v>251</v>
      </c>
      <c r="AN78" s="64" t="s" ph="1">
        <v>254</v>
      </c>
      <c r="AO78" s="64" t="s" ph="1">
        <v>243</v>
      </c>
      <c r="AP78" s="64" t="s" ph="1">
        <v>252</v>
      </c>
      <c r="AQ78" s="64" t="s" ph="1">
        <v>298</v>
      </c>
      <c r="AR78" s="64" t="s" ph="1">
        <v>243</v>
      </c>
      <c r="AS78" s="64" t="s" ph="1">
        <v>253</v>
      </c>
      <c r="AT78" s="64" t="s" ph="1">
        <v>254</v>
      </c>
      <c r="AU78" s="64" t="s" ph="1">
        <v>243</v>
      </c>
      <c r="AV78" s="64" t="s" ph="1">
        <v>255</v>
      </c>
      <c r="AW78" s="64" t="s" ph="1">
        <v>243</v>
      </c>
      <c r="AY78" s="64" t="s" ph="1">
        <v>216</v>
      </c>
      <c r="AZ78" s="64" t="s" ph="1">
        <v>402</v>
      </c>
    </row>
    <row r="79" spans="33:52" ph="1">
      <c r="AJ79" s="64" t="s" ph="1">
        <v>245</v>
      </c>
      <c r="AK79" s="64" t="s" ph="1">
        <v>256</v>
      </c>
      <c r="AM79" s="64" t="s" ph="1">
        <v>257</v>
      </c>
      <c r="AN79" s="64" t="s" ph="1">
        <v>225</v>
      </c>
      <c r="AO79" s="64" t="s" ph="1">
        <v>243</v>
      </c>
      <c r="AP79" s="64" t="s" ph="1">
        <v>258</v>
      </c>
      <c r="AQ79" s="64" t="s" ph="1">
        <v>223</v>
      </c>
      <c r="AR79" s="64" t="s" ph="1">
        <v>259</v>
      </c>
      <c r="AS79" s="64" t="s" ph="1">
        <v>215</v>
      </c>
      <c r="AT79" s="64" t="s" ph="1">
        <v>260</v>
      </c>
      <c r="AV79" s="64" t="s" ph="1">
        <v>403</v>
      </c>
      <c r="AW79" s="64" t="s" ph="1">
        <v>302</v>
      </c>
      <c r="AX79" s="64" t="s" ph="1">
        <v>400</v>
      </c>
    </row>
    <row r="80" spans="33:52" ph="1">
      <c r="AH80" s="64" ph="1">
        <v>3</v>
      </c>
      <c r="AI80" s="64" t="s" ph="1">
        <v>261</v>
      </c>
      <c r="AJ80" s="64" t="s" ph="1">
        <v>262</v>
      </c>
      <c r="AK80" s="64" t="s" ph="1">
        <v>263</v>
      </c>
      <c r="AM80" s="64" t="s" ph="1">
        <v>264</v>
      </c>
      <c r="AN80" s="64" t="s" ph="1">
        <v>254</v>
      </c>
      <c r="AO80" s="64" t="s" ph="1">
        <v>243</v>
      </c>
      <c r="AP80" s="64" t="s" ph="1">
        <v>265</v>
      </c>
      <c r="AQ80" s="64" t="s" ph="1">
        <v>228</v>
      </c>
      <c r="AR80" s="64" t="s" ph="1">
        <v>243</v>
      </c>
      <c r="AS80" s="64" t="s" ph="1">
        <v>266</v>
      </c>
      <c r="AT80" s="64" t="s" ph="1">
        <v>227</v>
      </c>
      <c r="AU80" s="64" t="s" ph="1">
        <v>243</v>
      </c>
      <c r="AV80" s="64" t="s" ph="1">
        <v>267</v>
      </c>
      <c r="AW80" s="64" t="s" ph="1">
        <v>243</v>
      </c>
      <c r="AY80" s="64" t="s" ph="1">
        <v>216</v>
      </c>
      <c r="AZ80" s="64" t="s" ph="1">
        <v>404</v>
      </c>
    </row>
    <row r="81" spans="34:52" ph="1">
      <c r="AJ81" s="64" t="s" ph="1">
        <v>268</v>
      </c>
      <c r="AK81" s="64" t="s" ph="1">
        <v>222</v>
      </c>
      <c r="AM81" s="64" t="s" ph="1">
        <v>269</v>
      </c>
      <c r="AN81" s="64" t="s" ph="1">
        <v>225</v>
      </c>
      <c r="AO81" s="64" t="s" ph="1">
        <v>243</v>
      </c>
      <c r="AP81" s="64" t="s" ph="1">
        <v>270</v>
      </c>
      <c r="AQ81" s="64" t="s" ph="1">
        <v>254</v>
      </c>
      <c r="AR81" s="64" t="s" ph="1">
        <v>243</v>
      </c>
      <c r="AS81" s="64" t="s" ph="1">
        <v>271</v>
      </c>
      <c r="AT81" s="64" t="s" ph="1">
        <v>272</v>
      </c>
      <c r="AU81" s="64" t="s" ph="1">
        <v>243</v>
      </c>
      <c r="AV81" s="64" t="s" ph="1">
        <v>273</v>
      </c>
    </row>
    <row r="82" spans="34:52" ph="1">
      <c r="AJ82" s="64" t="s" ph="1">
        <v>274</v>
      </c>
      <c r="AK82" s="64" t="s" ph="1">
        <v>222</v>
      </c>
      <c r="AM82" s="64" t="s" ph="1">
        <v>275</v>
      </c>
      <c r="AN82" s="64" t="s" ph="1">
        <v>272</v>
      </c>
      <c r="AO82" s="64" t="s" ph="1">
        <v>276</v>
      </c>
      <c r="AP82" s="64" t="s" ph="1">
        <v>277</v>
      </c>
      <c r="AQ82" s="64" t="s" ph="1">
        <v>254</v>
      </c>
      <c r="AR82" s="64" t="s" ph="1">
        <v>243</v>
      </c>
      <c r="AS82" s="64" t="s" ph="1">
        <v>278</v>
      </c>
      <c r="AT82" s="64" t="s" ph="1">
        <v>229</v>
      </c>
      <c r="AU82" s="64" t="s" ph="1">
        <v>243</v>
      </c>
      <c r="AV82" s="64" t="s" ph="1">
        <v>403</v>
      </c>
      <c r="AW82" s="64" t="s" ph="1">
        <v>303</v>
      </c>
      <c r="AX82" s="64" t="s" ph="1">
        <v>400</v>
      </c>
    </row>
    <row r="83" spans="34:52" ph="1">
      <c r="AJ83" s="64" t="s" ph="1">
        <v>279</v>
      </c>
      <c r="AK83" s="64" t="s" ph="1">
        <v>296</v>
      </c>
      <c r="AM83" s="64" t="s" ph="1">
        <v>280</v>
      </c>
      <c r="AN83" s="64" t="s" ph="1">
        <v>228</v>
      </c>
      <c r="AO83" s="64" t="s" ph="1">
        <v>259</v>
      </c>
      <c r="AP83" s="64" t="s" ph="1">
        <v>281</v>
      </c>
      <c r="AQ83" s="64" t="s" ph="1">
        <v>282</v>
      </c>
      <c r="AR83" s="64" t="s" ph="1">
        <v>259</v>
      </c>
      <c r="AS83" s="64" t="s" ph="1">
        <v>405</v>
      </c>
      <c r="AT83" s="64" t="s" ph="1">
        <v>254</v>
      </c>
      <c r="AU83" s="64" t="s" ph="1">
        <v>259</v>
      </c>
      <c r="AV83" s="64" t="s" ph="1">
        <v>406</v>
      </c>
      <c r="AW83" s="64" t="s" ph="1">
        <v>303</v>
      </c>
      <c r="AX83" s="64" t="s" ph="1">
        <v>407</v>
      </c>
    </row>
    <row r="84" spans="34:52" ph="1">
      <c r="AH84" s="64" ph="1">
        <v>4</v>
      </c>
      <c r="AI84" s="64" t="s" ph="1">
        <v>286</v>
      </c>
      <c r="AJ84" s="64" t="s" ph="1">
        <v>226</v>
      </c>
      <c r="AK84" s="64" t="s" ph="1">
        <v>229</v>
      </c>
      <c r="AM84" s="64" t="s" ph="1">
        <v>230</v>
      </c>
      <c r="AN84" s="64" t="s" ph="1">
        <v>223</v>
      </c>
      <c r="AO84" s="64" t="s" ph="1">
        <v>259</v>
      </c>
      <c r="AP84" s="64" t="s" ph="1">
        <v>288</v>
      </c>
      <c r="AQ84" s="64" t="s" ph="1">
        <v>222</v>
      </c>
      <c r="AR84" s="64" t="s" ph="1">
        <v>259</v>
      </c>
      <c r="AS84" s="64" t="s" ph="1">
        <v>288</v>
      </c>
      <c r="AT84" s="64" t="s" ph="1">
        <v>224</v>
      </c>
      <c r="AU84" s="64" t="s" ph="1">
        <v>259</v>
      </c>
      <c r="AY84" s="64" t="s" ph="1">
        <v>216</v>
      </c>
      <c r="AZ84" s="64" t="s" ph="1">
        <v>408</v>
      </c>
    </row>
    <row r="85" spans="34:52" ph="1">
      <c r="AJ85" s="64" t="s" ph="1">
        <v>218</v>
      </c>
      <c r="AK85" s="64" t="s" ph="1">
        <v>222</v>
      </c>
      <c r="AM85" s="64" t="s" ph="1">
        <v>409</v>
      </c>
      <c r="AN85" s="64" t="s" ph="1">
        <v>229</v>
      </c>
      <c r="AO85" s="64" t="s" ph="1">
        <v>259</v>
      </c>
      <c r="AP85" s="64" t="s" ph="1">
        <v>410</v>
      </c>
      <c r="AQ85" s="64" t="s" ph="1">
        <v>225</v>
      </c>
      <c r="AR85" s="64" t="s" ph="1">
        <v>259</v>
      </c>
      <c r="AS85" s="64" t="s" ph="1">
        <v>411</v>
      </c>
      <c r="AT85" s="64" t="s" ph="1">
        <v>225</v>
      </c>
      <c r="AU85" s="64" t="s" ph="1">
        <v>259</v>
      </c>
    </row>
    <row r="86" spans="34:52" ph="1">
      <c r="AJ86" s="64" t="s" ph="1">
        <v>412</v>
      </c>
      <c r="AK86" s="64" t="s" ph="1">
        <v>231</v>
      </c>
      <c r="AM86" s="64" t="s" ph="1">
        <v>413</v>
      </c>
      <c r="AN86" s="64" t="s" ph="1">
        <v>272</v>
      </c>
      <c r="AO86" s="64" t="s" ph="1">
        <v>259</v>
      </c>
      <c r="AP86" s="64" t="s" ph="1">
        <v>414</v>
      </c>
      <c r="AQ86" s="64" t="s" ph="1">
        <v>219</v>
      </c>
      <c r="AR86" s="64" t="s" ph="1">
        <v>259</v>
      </c>
      <c r="AS86" s="64" t="s" ph="1">
        <v>415</v>
      </c>
      <c r="AT86" s="64" t="s" ph="1">
        <v>237</v>
      </c>
      <c r="AU86" s="64" t="s" ph="1">
        <v>259</v>
      </c>
    </row>
    <row r="87" spans="34:52" ph="1">
      <c r="AJ87" s="64" t="s" ph="1">
        <v>416</v>
      </c>
      <c r="AK87" s="64" t="s" ph="1">
        <v>272</v>
      </c>
      <c r="AM87" s="64" t="s" ph="1">
        <v>403</v>
      </c>
      <c r="AN87" s="64" t="s" ph="1">
        <v>417</v>
      </c>
      <c r="AO87" s="64" t="s" ph="1">
        <v>400</v>
      </c>
    </row>
    <row r="88" spans="34:52" ph="1">
      <c r="AH88" s="64" ph="1">
        <v>5</v>
      </c>
      <c r="AI88" s="64" t="s" ph="1">
        <v>289</v>
      </c>
      <c r="AJ88" s="64" t="s" ph="1">
        <v>418</v>
      </c>
      <c r="AK88" s="64" t="s" ph="1">
        <v>272</v>
      </c>
      <c r="AM88" s="64" t="s" ph="1">
        <v>419</v>
      </c>
      <c r="AN88" s="64" t="s" ph="1">
        <v>272</v>
      </c>
      <c r="AO88" s="64" t="s" ph="1">
        <v>259</v>
      </c>
      <c r="AP88" s="64" t="s" ph="1">
        <v>420</v>
      </c>
      <c r="AQ88" s="64" t="s" ph="1">
        <v>222</v>
      </c>
      <c r="AR88" s="64" t="s" ph="1">
        <v>259</v>
      </c>
      <c r="AS88" s="64" t="s" ph="1">
        <v>421</v>
      </c>
      <c r="AT88" s="64" t="s" ph="1">
        <v>272</v>
      </c>
      <c r="AU88" s="64" t="s" ph="1">
        <v>259</v>
      </c>
      <c r="AV88" s="64" t="s" ph="1">
        <v>422</v>
      </c>
      <c r="AW88" s="64" t="s" ph="1">
        <v>227</v>
      </c>
      <c r="AX88" s="64" t="s" ph="1">
        <v>259</v>
      </c>
      <c r="AY88" s="64" t="s" ph="1">
        <v>216</v>
      </c>
      <c r="AZ88" s="64" t="s" ph="1">
        <v>423</v>
      </c>
    </row>
    <row r="89" spans="34:52" ph="1">
      <c r="AJ89" s="64" t="s" ph="1">
        <v>424</v>
      </c>
      <c r="AK89" s="64" t="s" ph="1">
        <v>225</v>
      </c>
      <c r="AM89" s="64" t="s" ph="1">
        <v>425</v>
      </c>
      <c r="AN89" s="64" t="s" ph="1">
        <v>228</v>
      </c>
      <c r="AO89" s="64" t="s" ph="1">
        <v>259</v>
      </c>
      <c r="AP89" s="64" t="s" ph="1">
        <v>426</v>
      </c>
      <c r="AQ89" s="64" t="s" ph="1">
        <v>237</v>
      </c>
      <c r="AR89" s="64" t="s" ph="1">
        <v>259</v>
      </c>
      <c r="AS89" s="64" t="s" ph="1">
        <v>427</v>
      </c>
      <c r="AT89" s="64" t="s" ph="1">
        <v>272</v>
      </c>
      <c r="AU89" s="64" t="s" ph="1">
        <v>259</v>
      </c>
      <c r="AV89" s="64" t="s" ph="1">
        <v>428</v>
      </c>
      <c r="AW89" s="64" t="s" ph="1">
        <v>254</v>
      </c>
      <c r="AX89" s="64" t="s" ph="1">
        <v>287</v>
      </c>
    </row>
    <row r="90" spans="34:52" ph="1">
      <c r="AJ90" s="64" t="s" ph="1">
        <v>429</v>
      </c>
      <c r="AK90" s="64" t="s" ph="1">
        <v>228</v>
      </c>
      <c r="AM90" s="64" t="s" ph="1">
        <v>430</v>
      </c>
      <c r="AN90" s="64" t="s" ph="1">
        <v>225</v>
      </c>
      <c r="AO90" s="64" t="s" ph="1">
        <v>259</v>
      </c>
      <c r="AP90" s="64" t="s" ph="1">
        <v>431</v>
      </c>
      <c r="AQ90" s="64" t="s" ph="1">
        <v>294</v>
      </c>
      <c r="AR90" s="64" t="s" ph="1">
        <v>259</v>
      </c>
      <c r="AS90" s="64" t="s" ph="1">
        <v>432</v>
      </c>
      <c r="AT90" s="64" t="s" ph="1">
        <v>282</v>
      </c>
      <c r="AU90" s="64" t="s" ph="1">
        <v>259</v>
      </c>
      <c r="AV90" s="64" t="s" ph="1">
        <v>433</v>
      </c>
      <c r="AW90" s="64" t="s" ph="1">
        <v>219</v>
      </c>
      <c r="AX90" s="64" t="s" ph="1">
        <v>259</v>
      </c>
    </row>
    <row r="91" spans="34:52" ph="1">
      <c r="AJ91" s="64" t="s" ph="1">
        <v>434</v>
      </c>
      <c r="AK91" s="64" t="s" ph="1">
        <v>272</v>
      </c>
      <c r="AM91" s="64" t="s" ph="1">
        <v>435</v>
      </c>
      <c r="AN91" s="64" t="s" ph="1">
        <v>239</v>
      </c>
      <c r="AO91" s="64" t="s" ph="1">
        <v>259</v>
      </c>
      <c r="AP91" s="64" t="s" ph="1">
        <v>436</v>
      </c>
      <c r="AQ91" s="64" t="s" ph="1">
        <v>219</v>
      </c>
      <c r="AS91" s="64" t="s" ph="1">
        <v>403</v>
      </c>
      <c r="AT91" s="64" t="s" ph="1">
        <v>399</v>
      </c>
      <c r="AU91" s="64" t="s" ph="1">
        <v>400</v>
      </c>
    </row>
    <row r="92" spans="34:52" ph="1">
      <c r="AH92" s="64" ph="1">
        <v>6</v>
      </c>
      <c r="AI92" s="64" t="s" ph="1">
        <v>437</v>
      </c>
      <c r="AJ92" s="64" t="s" ph="1">
        <v>438</v>
      </c>
      <c r="AK92" s="64" t="s" ph="1">
        <v>367</v>
      </c>
      <c r="AM92" s="64" t="s" ph="1">
        <v>439</v>
      </c>
      <c r="AN92" s="64" t="s" ph="1">
        <v>227</v>
      </c>
      <c r="AO92" s="64" t="s" ph="1">
        <v>259</v>
      </c>
      <c r="AP92" s="64" t="s" ph="1">
        <v>440</v>
      </c>
      <c r="AQ92" s="64" t="s" ph="1">
        <v>299</v>
      </c>
      <c r="AR92" s="64" t="s" ph="1">
        <v>259</v>
      </c>
      <c r="AS92" s="64" t="s" ph="1">
        <v>441</v>
      </c>
      <c r="AT92" s="64" t="s" ph="1">
        <v>272</v>
      </c>
      <c r="AU92" s="64" t="s" ph="1">
        <v>259</v>
      </c>
      <c r="AV92" s="64" t="s" ph="1">
        <v>442</v>
      </c>
      <c r="AW92" s="64" t="s" ph="1">
        <v>228</v>
      </c>
      <c r="AX92" s="64" t="s" ph="1">
        <v>259</v>
      </c>
      <c r="AY92" s="64" t="s" ph="1">
        <v>216</v>
      </c>
      <c r="AZ92" s="64" t="s" ph="1">
        <v>423</v>
      </c>
    </row>
    <row r="93" spans="34:52" ph="1">
      <c r="AJ93" s="64" t="s" ph="1">
        <v>443</v>
      </c>
      <c r="AK93" s="64" t="s" ph="1">
        <v>222</v>
      </c>
      <c r="AM93" s="64" t="s" ph="1">
        <v>444</v>
      </c>
      <c r="AN93" s="64" t="s" ph="1">
        <v>227</v>
      </c>
      <c r="AO93" s="64" t="s" ph="1">
        <v>259</v>
      </c>
      <c r="AP93" s="64" t="s" ph="1">
        <v>445</v>
      </c>
      <c r="AQ93" s="64" t="s" ph="1">
        <v>231</v>
      </c>
      <c r="AR93" s="64" t="s" ph="1">
        <v>259</v>
      </c>
      <c r="AS93" s="64" t="s" ph="1">
        <v>446</v>
      </c>
      <c r="AT93" s="64" t="s" ph="1">
        <v>237</v>
      </c>
      <c r="AU93" s="64" t="s" ph="1">
        <v>259</v>
      </c>
      <c r="AV93" s="64" t="s" ph="1">
        <v>447</v>
      </c>
      <c r="AW93" s="64" t="s" ph="1">
        <v>231</v>
      </c>
      <c r="AX93" s="64" t="s" ph="1">
        <v>259</v>
      </c>
    </row>
    <row r="94" spans="34:52" ph="1">
      <c r="AJ94" s="64" t="s" ph="1">
        <v>448</v>
      </c>
      <c r="AK94" s="64" t="s" ph="1">
        <v>294</v>
      </c>
      <c r="AM94" s="64" t="s" ph="1">
        <v>449</v>
      </c>
      <c r="AN94" s="64" t="s" ph="1">
        <v>231</v>
      </c>
      <c r="AO94" s="64" t="s" ph="1">
        <v>259</v>
      </c>
      <c r="AP94" s="64" t="s" ph="1">
        <v>450</v>
      </c>
      <c r="AQ94" s="64" t="s" ph="1">
        <v>239</v>
      </c>
      <c r="AR94" s="64" t="s" ph="1">
        <v>259</v>
      </c>
      <c r="AS94" s="64" t="s" ph="1">
        <v>451</v>
      </c>
      <c r="AT94" s="64" t="s" ph="1">
        <v>225</v>
      </c>
      <c r="AU94" s="64" t="s" ph="1">
        <v>259</v>
      </c>
      <c r="AV94" s="64" t="s" ph="1">
        <v>452</v>
      </c>
      <c r="AW94" s="64" t="s" ph="1">
        <v>225</v>
      </c>
      <c r="AX94" s="64" t="s" ph="1">
        <v>259</v>
      </c>
    </row>
    <row r="95" spans="34:52" ph="1">
      <c r="AJ95" s="64" t="s" ph="1">
        <v>453</v>
      </c>
      <c r="AK95" s="64" t="s" ph="1">
        <v>299</v>
      </c>
    </row>
    <row r="96" spans="34:52" ph="1">
      <c r="AH96" s="64" ph="1">
        <v>7</v>
      </c>
      <c r="AI96" s="64" t="s" ph="1">
        <v>454</v>
      </c>
      <c r="AJ96" s="64" t="s" ph="1">
        <v>453</v>
      </c>
      <c r="AK96" s="64" t="s" ph="1">
        <v>254</v>
      </c>
      <c r="AM96" s="64" t="s" ph="1">
        <v>455</v>
      </c>
      <c r="AN96" s="64" t="s" ph="1">
        <v>228</v>
      </c>
      <c r="AO96" s="64" t="s" ph="1">
        <v>259</v>
      </c>
      <c r="AP96" s="64" t="s" ph="1">
        <v>456</v>
      </c>
      <c r="AQ96" s="64" t="s" ph="1">
        <v>272</v>
      </c>
      <c r="AR96" s="64" t="s" ph="1">
        <v>287</v>
      </c>
      <c r="AS96" s="64" t="s" ph="1">
        <v>457</v>
      </c>
      <c r="AT96" s="64" t="s" ph="1">
        <v>231</v>
      </c>
      <c r="AU96" s="64" t="s" ph="1">
        <v>287</v>
      </c>
      <c r="AV96" s="64" t="s" ph="1">
        <v>458</v>
      </c>
      <c r="AW96" s="64" t="s" ph="1">
        <v>227</v>
      </c>
      <c r="AX96" s="64" t="s" ph="1">
        <v>287</v>
      </c>
      <c r="AY96" s="64" t="s" ph="1">
        <v>216</v>
      </c>
      <c r="AZ96" s="64" t="s" ph="1">
        <v>459</v>
      </c>
    </row>
    <row r="97" spans="33:52" ph="1">
      <c r="AJ97" s="64" t="s" ph="1">
        <v>460</v>
      </c>
      <c r="AK97" s="64" t="s" ph="1">
        <v>282</v>
      </c>
      <c r="AM97" s="64" t="s" ph="1">
        <v>461</v>
      </c>
      <c r="AN97" s="64" t="s" ph="1">
        <v>225</v>
      </c>
      <c r="AO97" s="64" t="s" ph="1">
        <v>259</v>
      </c>
      <c r="AP97" s="64" t="s" ph="1">
        <v>462</v>
      </c>
      <c r="AQ97" s="64" t="s" ph="1">
        <v>219</v>
      </c>
      <c r="AR97" s="64" t="s" ph="1">
        <v>287</v>
      </c>
      <c r="AS97" s="64" t="s" ph="1">
        <v>463</v>
      </c>
      <c r="AT97" s="64" t="s" ph="1">
        <v>222</v>
      </c>
      <c r="AU97" s="64" t="s" ph="1">
        <v>287</v>
      </c>
      <c r="AV97" s="64" t="s" ph="1">
        <v>464</v>
      </c>
      <c r="AW97" s="64" t="s" ph="1">
        <v>228</v>
      </c>
      <c r="AX97" s="64" t="s" ph="1">
        <v>287</v>
      </c>
    </row>
    <row r="98" spans="33:52" ph="1">
      <c r="AJ98" s="64" t="s" ph="1">
        <v>465</v>
      </c>
      <c r="AK98" s="64" t="s" ph="1">
        <v>231</v>
      </c>
      <c r="AM98" s="64" t="s" ph="1">
        <v>466</v>
      </c>
      <c r="AN98" s="64" t="s" ph="1">
        <v>239</v>
      </c>
      <c r="AO98" s="64" t="s" ph="1">
        <v>259</v>
      </c>
      <c r="AP98" s="64" t="s" ph="1">
        <v>467</v>
      </c>
      <c r="AQ98" s="64" t="s" ph="1">
        <v>219</v>
      </c>
      <c r="AR98" s="64" t="s" ph="1">
        <v>287</v>
      </c>
      <c r="AS98" s="64" t="s" ph="1">
        <v>468</v>
      </c>
      <c r="AT98" s="64" t="s" ph="1">
        <v>299</v>
      </c>
      <c r="AU98" s="64" t="s" ph="1">
        <v>287</v>
      </c>
      <c r="AV98" s="64" t="s" ph="1">
        <v>469</v>
      </c>
      <c r="AW98" s="64" t="s" ph="1">
        <v>222</v>
      </c>
      <c r="AX98" s="64" t="s" ph="1">
        <v>287</v>
      </c>
    </row>
    <row r="99" spans="33:52" ph="1">
      <c r="AH99" s="64" ph="1">
        <v>8</v>
      </c>
      <c r="AI99" s="64" t="s" ph="1">
        <v>470</v>
      </c>
      <c r="AJ99" s="64" t="s" ph="1">
        <v>471</v>
      </c>
      <c r="AK99" s="64" t="s" ph="1">
        <v>367</v>
      </c>
      <c r="AM99" s="64" t="s" ph="1">
        <v>472</v>
      </c>
      <c r="AN99" s="64" t="s" ph="1">
        <v>254</v>
      </c>
      <c r="AO99" s="64" t="s" ph="1">
        <v>259</v>
      </c>
      <c r="AP99" s="64" t="s" ph="1">
        <v>473</v>
      </c>
      <c r="AQ99" s="64" t="s" ph="1">
        <v>224</v>
      </c>
      <c r="AR99" s="64" t="s" ph="1">
        <v>287</v>
      </c>
      <c r="AS99" s="64" t="s" ph="1">
        <v>474</v>
      </c>
      <c r="AT99" s="64" t="s" ph="1">
        <v>239</v>
      </c>
      <c r="AU99" s="64" t="s" ph="1">
        <v>287</v>
      </c>
      <c r="AV99" s="64" t="s" ph="1">
        <v>475</v>
      </c>
      <c r="AW99" s="64" t="s" ph="1">
        <v>224</v>
      </c>
      <c r="AX99" s="64" t="s" ph="1">
        <v>287</v>
      </c>
      <c r="AY99" s="64" t="s" ph="1">
        <v>216</v>
      </c>
      <c r="AZ99" s="64" t="s" ph="1">
        <v>476</v>
      </c>
    </row>
    <row r="100" spans="33:52" ph="1">
      <c r="AJ100" s="64" t="s" ph="1">
        <v>477</v>
      </c>
      <c r="AK100" s="64" t="s" ph="1">
        <v>222</v>
      </c>
      <c r="AM100" s="64" t="s" ph="1">
        <v>478</v>
      </c>
      <c r="AN100" s="64" t="s" ph="1">
        <v>294</v>
      </c>
      <c r="AO100" s="64" t="s" ph="1">
        <v>259</v>
      </c>
      <c r="AP100" s="64" t="s" ph="1">
        <v>479</v>
      </c>
      <c r="AQ100" s="64" t="s" ph="1">
        <v>300</v>
      </c>
      <c r="AR100" s="64" t="s" ph="1">
        <v>287</v>
      </c>
      <c r="AS100" s="64" t="s" ph="1">
        <v>480</v>
      </c>
      <c r="AT100" s="64" t="s" ph="1">
        <v>367</v>
      </c>
      <c r="AU100" s="64" t="s" ph="1">
        <v>259</v>
      </c>
      <c r="AV100" s="64" t="s" ph="1">
        <v>481</v>
      </c>
      <c r="AW100" s="64" t="s" ph="1">
        <v>367</v>
      </c>
      <c r="AX100" s="64" t="s" ph="1">
        <v>259</v>
      </c>
    </row>
    <row r="101" spans="33:52" ph="1">
      <c r="AJ101" s="64" t="s" ph="1">
        <v>482</v>
      </c>
      <c r="AK101" s="64" t="s" ph="1">
        <v>367</v>
      </c>
      <c r="AM101" s="64" t="s" ph="1">
        <v>483</v>
      </c>
      <c r="AN101" s="64" t="s" ph="1">
        <v>225</v>
      </c>
      <c r="AO101" s="64" t="s" ph="1">
        <v>259</v>
      </c>
      <c r="AP101" s="64" t="s" ph="1">
        <v>484</v>
      </c>
      <c r="AQ101" s="64" t="s" ph="1">
        <v>237</v>
      </c>
      <c r="AR101" s="64" t="s" ph="1">
        <v>287</v>
      </c>
      <c r="AS101" s="64" t="s" ph="1">
        <v>485</v>
      </c>
      <c r="AT101" s="64" t="s" ph="1">
        <v>294</v>
      </c>
      <c r="AU101" s="64" t="s" ph="1">
        <v>287</v>
      </c>
      <c r="AV101" s="64" t="s" ph="1">
        <v>486</v>
      </c>
      <c r="AW101" s="64" t="s" ph="1">
        <v>225</v>
      </c>
      <c r="AX101" s="64" t="s" ph="1">
        <v>259</v>
      </c>
    </row>
    <row r="102" spans="33:52" ph="1">
      <c r="AJ102" s="64" t="s" ph="1">
        <v>487</v>
      </c>
      <c r="AK102" s="64" t="s" ph="1">
        <v>222</v>
      </c>
      <c r="AM102" s="64" t="s" ph="1">
        <v>488</v>
      </c>
      <c r="AN102" s="64" t="s" ph="1">
        <v>231</v>
      </c>
      <c r="AO102" s="64" t="s" ph="1">
        <v>259</v>
      </c>
      <c r="AP102" s="64" t="s" ph="1">
        <v>489</v>
      </c>
      <c r="AQ102" s="64" t="s" ph="1">
        <v>237</v>
      </c>
      <c r="AR102" s="64" t="s" ph="1">
        <v>259</v>
      </c>
      <c r="AS102" s="64" t="s" ph="1">
        <v>490</v>
      </c>
      <c r="AT102" s="64" t="s" ph="1">
        <v>254</v>
      </c>
      <c r="AU102" s="64" t="s" ph="1">
        <v>259</v>
      </c>
      <c r="AV102" s="64" t="s" ph="1">
        <v>491</v>
      </c>
      <c r="AW102" s="64" t="s" ph="1">
        <v>272</v>
      </c>
      <c r="AX102" s="64" t="s" ph="1">
        <v>259</v>
      </c>
    </row>
    <row r="103" spans="33:52" ph="1">
      <c r="AH103" s="64" ph="1">
        <v>9</v>
      </c>
      <c r="AI103" s="64" t="s" ph="1">
        <v>492</v>
      </c>
      <c r="AJ103" s="64" t="s" ph="1">
        <v>493</v>
      </c>
      <c r="AK103" s="64" t="s" ph="1">
        <v>367</v>
      </c>
      <c r="AM103" s="64" t="s" ph="1">
        <v>494</v>
      </c>
      <c r="AN103" s="64" t="s" ph="1">
        <v>282</v>
      </c>
      <c r="AO103" s="64" t="s" ph="1">
        <v>259</v>
      </c>
      <c r="AP103" s="64" t="s" ph="1">
        <v>336</v>
      </c>
      <c r="AQ103" s="64" t="s" ph="1">
        <v>225</v>
      </c>
      <c r="AR103" s="64" t="s" ph="1">
        <v>259</v>
      </c>
      <c r="AS103" s="64" t="s" ph="1">
        <v>570</v>
      </c>
      <c r="AT103" s="64" t="s" ph="1">
        <v>367</v>
      </c>
      <c r="AU103" s="64" t="s" ph="1">
        <v>259</v>
      </c>
      <c r="AY103" s="64" t="s" ph="1">
        <v>216</v>
      </c>
      <c r="AZ103" s="64" t="s" ph="1">
        <v>224</v>
      </c>
    </row>
    <row r="104" spans="33:52" ph="1">
      <c r="AZ104" s="64" t="s" ph="1">
        <v>495</v>
      </c>
    </row>
    <row r="105" spans="33:52" ph="1">
      <c r="AG105" s="64" t="s" ph="1">
        <v>295</v>
      </c>
      <c r="AI105" s="64" t="s" ph="1">
        <v>209</v>
      </c>
      <c r="AJ105" s="64" t="s" ph="1">
        <v>210</v>
      </c>
      <c r="AK105" s="64" t="s" ph="1">
        <v>211</v>
      </c>
      <c r="AM105" s="64" t="s" ph="1">
        <v>210</v>
      </c>
      <c r="AN105" s="64" t="s" ph="1">
        <v>211</v>
      </c>
      <c r="AO105" s="64" t="s" ph="1">
        <v>212</v>
      </c>
      <c r="AP105" s="64" t="s" ph="1">
        <v>210</v>
      </c>
      <c r="AQ105" s="64" t="s" ph="1">
        <v>211</v>
      </c>
      <c r="AR105" s="64" t="s" ph="1">
        <v>212</v>
      </c>
      <c r="AS105" s="64" t="s" ph="1">
        <v>210</v>
      </c>
      <c r="AT105" s="64" t="s" ph="1">
        <v>211</v>
      </c>
      <c r="AU105" s="64" t="s" ph="1">
        <v>212</v>
      </c>
      <c r="AV105" s="64" t="s" ph="1">
        <v>210</v>
      </c>
      <c r="AW105" s="64" t="s" ph="1">
        <v>211</v>
      </c>
      <c r="AX105" s="64" t="s" ph="1">
        <v>212</v>
      </c>
      <c r="AZ105" s="64" t="s" ph="1">
        <v>213</v>
      </c>
    </row>
    <row r="106" spans="33:52" ph="1">
      <c r="AH106" s="64" ph="1">
        <v>1</v>
      </c>
      <c r="AI106" s="64" t="s" ph="1">
        <v>496</v>
      </c>
      <c r="AJ106" s="64" t="s" ph="1">
        <v>570</v>
      </c>
      <c r="AK106" s="64" t="s" ph="1">
        <v>231</v>
      </c>
      <c r="AZ106" s="64" t="s" ph="1">
        <v>231</v>
      </c>
    </row>
    <row r="107" spans="33:52" ph="1">
      <c r="AH107" s="64" ph="1">
        <v>2</v>
      </c>
      <c r="AI107" s="64" t="s" ph="1">
        <v>497</v>
      </c>
      <c r="AJ107" s="64" t="s" ph="1">
        <v>498</v>
      </c>
      <c r="AK107" s="64" t="s" ph="1">
        <v>228</v>
      </c>
      <c r="AM107" s="64" t="s" ph="1">
        <v>334</v>
      </c>
      <c r="AN107" s="64" t="s" ph="1">
        <v>499</v>
      </c>
      <c r="AO107" s="64" t="s" ph="1">
        <v>500</v>
      </c>
      <c r="AP107" s="64" t="s" ph="1">
        <v>336</v>
      </c>
      <c r="AQ107" s="64" t="s" ph="1">
        <v>304</v>
      </c>
      <c r="AR107" s="64" t="s" ph="1">
        <v>500</v>
      </c>
      <c r="AS107" s="64" t="s" ph="1">
        <v>570</v>
      </c>
      <c r="AT107" s="64" t="s" ph="1">
        <v>499</v>
      </c>
      <c r="AU107" s="64" t="s" ph="1">
        <v>500</v>
      </c>
      <c r="AY107" s="64" t="s" ph="1">
        <v>216</v>
      </c>
      <c r="AZ107" s="64" t="s" ph="1">
        <v>580</v>
      </c>
    </row>
    <row r="108" spans="33:52" ph="1">
      <c r="AH108" s="64" ph="1">
        <v>3</v>
      </c>
      <c r="AI108" s="64" t="s" ph="1">
        <v>501</v>
      </c>
      <c r="AY108" s="64" t="s" ph="1">
        <v>216</v>
      </c>
      <c r="AZ108" s="64" t="s" ph="1">
        <v>367</v>
      </c>
    </row>
    <row r="109" spans="33:52" ph="1">
      <c r="AH109" s="64" ph="1">
        <v>4</v>
      </c>
      <c r="AI109" s="64" t="s" ph="1">
        <v>502</v>
      </c>
      <c r="AY109" s="64" t="s" ph="1">
        <v>216</v>
      </c>
      <c r="AZ109" s="64" t="s" ph="1">
        <v>367</v>
      </c>
    </row>
    <row r="110" spans="33:52" ph="1">
      <c r="AH110" s="64" ph="1">
        <v>5</v>
      </c>
      <c r="AI110" s="64" t="s" ph="1">
        <v>503</v>
      </c>
      <c r="AY110" s="64" t="s" ph="1">
        <v>216</v>
      </c>
      <c r="AZ110" s="64" t="s" ph="1">
        <v>367</v>
      </c>
    </row>
    <row r="111" spans="33:52" ph="1">
      <c r="AH111" s="64" ph="1">
        <v>6</v>
      </c>
      <c r="AI111" s="64" t="s" ph="1">
        <v>581</v>
      </c>
      <c r="AJ111" s="64" t="s" ph="1">
        <v>486</v>
      </c>
      <c r="AK111" s="64" t="s" ph="1">
        <v>225</v>
      </c>
      <c r="AM111" s="64" t="s" ph="1">
        <v>487</v>
      </c>
      <c r="AN111" s="64" t="s" ph="1">
        <v>219</v>
      </c>
      <c r="AO111" s="64" t="s" ph="1">
        <v>500</v>
      </c>
      <c r="AP111" s="64" t="s" ph="1">
        <v>488</v>
      </c>
      <c r="AQ111" s="64" t="s" ph="1">
        <v>228</v>
      </c>
      <c r="AR111" s="64" t="s" ph="1">
        <v>500</v>
      </c>
      <c r="AS111" s="64" t="s" ph="1">
        <v>489</v>
      </c>
      <c r="AT111" s="64" t="s" ph="1">
        <v>237</v>
      </c>
      <c r="AU111" s="64" t="s" ph="1">
        <v>500</v>
      </c>
      <c r="AV111" s="64" t="s" ph="1">
        <v>490</v>
      </c>
      <c r="AW111" s="64" t="s" ph="1">
        <v>227</v>
      </c>
      <c r="AX111" s="64" t="s" ph="1">
        <v>500</v>
      </c>
      <c r="AY111" s="64" t="s" ph="1">
        <v>216</v>
      </c>
      <c r="AZ111" s="64" t="s" ph="1">
        <v>504</v>
      </c>
    </row>
    <row r="112" spans="33:52" ph="1">
      <c r="AJ112" s="64" t="s" ph="1">
        <v>491</v>
      </c>
      <c r="AK112" s="64" t="s" ph="1">
        <v>272</v>
      </c>
      <c r="AM112" s="64" t="s" ph="1">
        <v>493</v>
      </c>
      <c r="AN112" s="64" t="s" ph="1">
        <v>296</v>
      </c>
      <c r="AO112" s="64" t="s" ph="1">
        <v>500</v>
      </c>
      <c r="AP112" s="64" t="s" ph="1">
        <v>494</v>
      </c>
      <c r="AQ112" s="64" t="s" ph="1">
        <v>505</v>
      </c>
      <c r="AR112" s="64" t="s" ph="1">
        <v>500</v>
      </c>
      <c r="AS112" s="64" t="s" ph="1">
        <v>506</v>
      </c>
      <c r="AT112" s="64" t="s" ph="1">
        <v>248</v>
      </c>
      <c r="AU112" s="64" t="s" ph="1">
        <v>500</v>
      </c>
      <c r="AV112" s="64" t="s" ph="1">
        <v>507</v>
      </c>
      <c r="AW112" s="64" t="s" ph="1">
        <v>294</v>
      </c>
      <c r="AX112" s="64" t="s" ph="1">
        <v>500</v>
      </c>
    </row>
    <row r="113" spans="33:52" ph="1">
      <c r="AH113" s="64" ph="1">
        <v>7</v>
      </c>
      <c r="AI113" s="64" t="s" ph="1">
        <v>508</v>
      </c>
      <c r="AJ113" s="64" t="s" ph="1">
        <v>589</v>
      </c>
      <c r="AK113" s="64" t="s" ph="1">
        <v>594</v>
      </c>
      <c r="AY113" s="64" t="s" ph="1">
        <v>216</v>
      </c>
      <c r="AZ113" s="64" t="s" ph="1">
        <v>594</v>
      </c>
    </row>
    <row r="114" spans="33:52" ph="1">
      <c r="AH114" s="64" ph="1">
        <v>8</v>
      </c>
      <c r="AI114" s="64" t="s" ph="1">
        <v>509</v>
      </c>
      <c r="AJ114" s="64" t="s" ph="1">
        <v>589</v>
      </c>
      <c r="AK114" s="64" t="s" ph="1">
        <v>595</v>
      </c>
      <c r="AY114" s="64" t="s" ph="1">
        <v>216</v>
      </c>
      <c r="AZ114" s="64" t="s" ph="1">
        <v>595</v>
      </c>
    </row>
    <row r="115" spans="33:52" ph="1">
      <c r="AH115" s="64" ph="1">
        <v>9</v>
      </c>
      <c r="AI115" s="64" t="s" ph="1">
        <v>510</v>
      </c>
      <c r="AJ115" s="64" t="s" ph="1">
        <v>589</v>
      </c>
      <c r="AK115" s="64" t="s" ph="1">
        <v>595</v>
      </c>
      <c r="AY115" s="64" t="s" ph="1">
        <v>216</v>
      </c>
      <c r="AZ115" s="64" t="s" ph="1">
        <v>595</v>
      </c>
    </row>
    <row r="116" spans="33:52" ph="1">
      <c r="AH116" s="64" ph="1">
        <v>10</v>
      </c>
      <c r="AI116" s="64" t="s" ph="1">
        <v>511</v>
      </c>
      <c r="AJ116" s="64" t="s" ph="1">
        <v>589</v>
      </c>
      <c r="AK116" s="64" t="s" ph="1">
        <v>595</v>
      </c>
      <c r="AY116" s="64" t="s" ph="1">
        <v>216</v>
      </c>
      <c r="AZ116" s="64" t="s" ph="1">
        <v>595</v>
      </c>
    </row>
    <row r="117" spans="33:52" ph="1">
      <c r="AH117" s="64" ph="1">
        <v>11</v>
      </c>
      <c r="AI117" s="64" t="s" ph="1">
        <v>512</v>
      </c>
      <c r="AJ117" s="64" t="s" ph="1">
        <v>589</v>
      </c>
      <c r="AK117" s="64" t="s" ph="1">
        <v>595</v>
      </c>
      <c r="AY117" s="64" t="s" ph="1">
        <v>216</v>
      </c>
      <c r="AZ117" s="64" t="s" ph="1">
        <v>595</v>
      </c>
    </row>
    <row r="118" spans="33:52" ph="1">
      <c r="AZ118" s="64" t="s" ph="1">
        <v>596</v>
      </c>
    </row>
    <row r="119" spans="33:52" ph="1">
      <c r="AI119" s="64" t="s" ph="1">
        <v>209</v>
      </c>
      <c r="AJ119" s="64" t="s" ph="1">
        <v>210</v>
      </c>
      <c r="AK119" s="64" t="s" ph="1">
        <v>211</v>
      </c>
      <c r="AM119" s="64" t="s" ph="1">
        <v>210</v>
      </c>
      <c r="AN119" s="64" t="s" ph="1">
        <v>211</v>
      </c>
      <c r="AO119" s="64" t="s" ph="1">
        <v>212</v>
      </c>
      <c r="AP119" s="64" t="s" ph="1">
        <v>210</v>
      </c>
      <c r="AQ119" s="64" t="s" ph="1">
        <v>211</v>
      </c>
      <c r="AR119" s="64" t="s" ph="1">
        <v>212</v>
      </c>
      <c r="AS119" s="64" t="s" ph="1">
        <v>210</v>
      </c>
      <c r="AT119" s="64" t="s" ph="1">
        <v>211</v>
      </c>
      <c r="AU119" s="64" t="s" ph="1">
        <v>212</v>
      </c>
      <c r="AV119" s="64" t="s" ph="1">
        <v>210</v>
      </c>
      <c r="AW119" s="64" t="s" ph="1">
        <v>211</v>
      </c>
      <c r="AX119" s="64" t="s" ph="1">
        <v>212</v>
      </c>
      <c r="AY119" s="64" t="s" ph="1">
        <v>211</v>
      </c>
      <c r="AZ119" s="64" t="s" ph="1">
        <v>213</v>
      </c>
    </row>
    <row r="120" spans="33:52" ph="1">
      <c r="AG120" s="64" t="s" ph="1">
        <v>353</v>
      </c>
      <c r="AH120" s="64" ph="1">
        <v>1</v>
      </c>
      <c r="AI120" s="64" t="s" ph="1">
        <v>513</v>
      </c>
      <c r="AJ120" s="64" t="s" ph="1">
        <v>587</v>
      </c>
      <c r="AK120" s="64" t="s" ph="1">
        <v>367</v>
      </c>
      <c r="AY120" s="64" t="s" ph="1">
        <v>216</v>
      </c>
      <c r="AZ120" s="64" t="s" ph="1">
        <v>367</v>
      </c>
    </row>
    <row r="121" spans="33:52" ph="1">
      <c r="AH121" s="64" ph="1">
        <v>2</v>
      </c>
      <c r="AI121" s="64" t="s" ph="1">
        <v>514</v>
      </c>
      <c r="AY121" s="64" t="s" ph="1">
        <v>216</v>
      </c>
      <c r="AZ121" s="64" t="s" ph="1">
        <v>367</v>
      </c>
    </row>
    <row r="122" spans="33:52" ph="1">
      <c r="AH122" s="64" ph="1">
        <v>3</v>
      </c>
      <c r="AI122" s="64" t="s" ph="1">
        <v>515</v>
      </c>
      <c r="AJ122" s="64" t="s" ph="1">
        <v>570</v>
      </c>
      <c r="AK122" s="64" t="s" ph="1">
        <v>582</v>
      </c>
      <c r="AM122" s="64" t="s" ph="1">
        <v>597</v>
      </c>
      <c r="AN122" s="64" t="s" ph="1">
        <v>590</v>
      </c>
      <c r="AO122" s="64" t="s" ph="1">
        <v>91</v>
      </c>
      <c r="AY122" s="64" t="s" ph="1">
        <v>216</v>
      </c>
      <c r="AZ122" s="64" t="s" ph="1">
        <v>579</v>
      </c>
    </row>
    <row r="123" spans="33:52" ph="1">
      <c r="AY123" s="64" t="s" ph="1">
        <v>216</v>
      </c>
      <c r="AZ123" s="64" t="s" ph="1">
        <v>579</v>
      </c>
    </row>
    <row r="124" spans="33:52" ph="1">
      <c r="AG124" s="64" t="s" ph="1">
        <v>356</v>
      </c>
      <c r="AH124" s="64" ph="1">
        <v>4</v>
      </c>
      <c r="AI124" s="64" t="s" ph="1">
        <v>516</v>
      </c>
      <c r="AJ124" s="64" t="s" ph="1">
        <v>517</v>
      </c>
      <c r="AK124" s="64" t="s" ph="1">
        <v>518</v>
      </c>
      <c r="AY124" s="64" t="s" ph="1">
        <v>216</v>
      </c>
      <c r="AZ124" s="64" t="s" ph="1">
        <v>518</v>
      </c>
    </row>
    <row r="125" spans="33:52" ph="1">
      <c r="AH125" s="64" ph="1">
        <v>5</v>
      </c>
      <c r="AI125" s="64" t="s" ph="1">
        <v>519</v>
      </c>
      <c r="AJ125" s="64" t="s" ph="1">
        <v>517</v>
      </c>
      <c r="AK125" s="64" t="s" ph="1">
        <v>518</v>
      </c>
      <c r="AY125" s="64" t="s" ph="1">
        <v>216</v>
      </c>
      <c r="AZ125" s="64" t="s" ph="1">
        <v>518</v>
      </c>
    </row>
    <row r="126" spans="33:52" ph="1">
      <c r="AH126" s="64" ph="1">
        <v>6</v>
      </c>
      <c r="AI126" s="64" t="s" ph="1">
        <v>520</v>
      </c>
      <c r="AJ126" s="64" t="s" ph="1">
        <v>589</v>
      </c>
      <c r="AK126" s="64" t="s" ph="1">
        <v>598</v>
      </c>
      <c r="AY126" s="64" t="s" ph="1">
        <v>216</v>
      </c>
      <c r="AZ126" s="64" t="s" ph="1">
        <v>598</v>
      </c>
    </row>
    <row r="127" spans="33:52" ph="1">
      <c r="AH127" s="64" ph="1">
        <v>7</v>
      </c>
      <c r="AI127" s="64" t="s" ph="1">
        <v>521</v>
      </c>
      <c r="AJ127" s="64" t="s" ph="1">
        <v>589</v>
      </c>
      <c r="AK127" s="64" t="s" ph="1">
        <v>599</v>
      </c>
      <c r="AY127" s="64" t="s" ph="1">
        <v>216</v>
      </c>
      <c r="AZ127" s="64" t="s" ph="1">
        <v>599</v>
      </c>
    </row>
    <row r="128" spans="33:52" ph="1">
      <c r="AH128" s="64" ph="1">
        <v>8</v>
      </c>
      <c r="AI128" s="64" t="s" ph="1">
        <v>522</v>
      </c>
      <c r="AY128" s="64" t="s" ph="1">
        <v>216</v>
      </c>
      <c r="AZ128" s="64" t="s" ph="1">
        <v>367</v>
      </c>
    </row>
    <row r="129" spans="33:52" ph="1">
      <c r="AH129" s="64" ph="1">
        <v>9</v>
      </c>
      <c r="AI129" s="64" t="s" ph="1">
        <v>523</v>
      </c>
      <c r="AY129" s="64" t="s" ph="1">
        <v>216</v>
      </c>
      <c r="AZ129" s="64" t="s" ph="1">
        <v>367</v>
      </c>
    </row>
    <row r="130" spans="33:52" ph="1">
      <c r="AH130" s="64" ph="1">
        <v>10</v>
      </c>
      <c r="AI130" s="64" t="s" ph="1">
        <v>524</v>
      </c>
      <c r="AY130" s="64" t="s" ph="1">
        <v>216</v>
      </c>
      <c r="AZ130" s="64" t="s" ph="1">
        <v>367</v>
      </c>
    </row>
    <row r="131" spans="33:52" ph="1">
      <c r="AH131" s="64" ph="1">
        <v>11</v>
      </c>
      <c r="AI131" s="64" t="s" ph="1">
        <v>525</v>
      </c>
      <c r="AJ131" s="64" t="s" ph="1">
        <v>583</v>
      </c>
      <c r="AK131" s="64" t="s" ph="1">
        <v>579</v>
      </c>
      <c r="AY131" s="64" t="s" ph="1">
        <v>216</v>
      </c>
      <c r="AZ131" s="64" t="s" ph="1">
        <v>579</v>
      </c>
    </row>
    <row r="132" spans="33:52" ph="1">
      <c r="AH132" s="64" ph="1">
        <v>12</v>
      </c>
      <c r="AI132" s="64" t="s" ph="1">
        <v>526</v>
      </c>
      <c r="AJ132" s="64" t="s" ph="1">
        <v>583</v>
      </c>
      <c r="AK132" s="64" t="s" ph="1">
        <v>518</v>
      </c>
      <c r="AY132" s="64" t="s" ph="1">
        <v>216</v>
      </c>
      <c r="AZ132" s="64" t="s" ph="1">
        <v>518</v>
      </c>
    </row>
    <row r="133" spans="33:52" ph="1">
      <c r="AH133" s="64" ph="1">
        <v>13</v>
      </c>
      <c r="AI133" s="64" t="s" ph="1">
        <v>527</v>
      </c>
      <c r="AJ133" s="64" t="s" ph="1">
        <v>583</v>
      </c>
      <c r="AK133" s="64" t="s" ph="1">
        <v>584</v>
      </c>
      <c r="AY133" s="64" t="s" ph="1">
        <v>216</v>
      </c>
      <c r="AZ133" s="64" t="s" ph="1">
        <v>584</v>
      </c>
    </row>
    <row r="134" spans="33:52" ph="1">
      <c r="AH134" s="64" ph="1">
        <v>14</v>
      </c>
      <c r="AI134" s="64" t="s" ph="1">
        <v>528</v>
      </c>
      <c r="AJ134" s="64" t="s" ph="1">
        <v>583</v>
      </c>
      <c r="AK134" s="64" t="s" ph="1">
        <v>585</v>
      </c>
      <c r="AY134" s="64" t="s" ph="1">
        <v>216</v>
      </c>
      <c r="AZ134" s="64" t="s" ph="1">
        <v>585</v>
      </c>
    </row>
    <row r="135" spans="33:52" ph="1">
      <c r="AH135" s="64" ph="1">
        <v>15</v>
      </c>
      <c r="AI135" s="64" t="s" ph="1">
        <v>529</v>
      </c>
      <c r="AJ135" s="64" t="s" ph="1">
        <v>583</v>
      </c>
      <c r="AK135" s="64" t="s" ph="1">
        <v>586</v>
      </c>
      <c r="AY135" s="64" t="s" ph="1">
        <v>216</v>
      </c>
      <c r="AZ135" s="64" t="s" ph="1">
        <v>586</v>
      </c>
    </row>
    <row r="136" spans="33:52" ph="1">
      <c r="AZ136" s="64" t="s" ph="1">
        <v>600</v>
      </c>
    </row>
    <row r="137" spans="33:52" ph="1">
      <c r="AG137" s="64" t="s" ph="1">
        <v>290</v>
      </c>
      <c r="AI137" s="64" t="s" ph="1">
        <v>209</v>
      </c>
      <c r="AJ137" s="64" t="s" ph="1">
        <v>210</v>
      </c>
      <c r="AK137" s="64" t="s" ph="1">
        <v>211</v>
      </c>
      <c r="AM137" s="64" t="s" ph="1">
        <v>210</v>
      </c>
      <c r="AN137" s="64" t="s" ph="1">
        <v>211</v>
      </c>
      <c r="AO137" s="64" t="s" ph="1">
        <v>212</v>
      </c>
      <c r="AP137" s="64" t="s" ph="1">
        <v>210</v>
      </c>
      <c r="AQ137" s="64" t="s" ph="1">
        <v>211</v>
      </c>
      <c r="AR137" s="64" t="s" ph="1">
        <v>212</v>
      </c>
      <c r="AS137" s="64" t="s" ph="1">
        <v>210</v>
      </c>
      <c r="AT137" s="64" t="s" ph="1">
        <v>211</v>
      </c>
      <c r="AU137" s="64" t="s" ph="1">
        <v>212</v>
      </c>
      <c r="AV137" s="64" t="s" ph="1">
        <v>210</v>
      </c>
      <c r="AW137" s="64" t="s" ph="1">
        <v>211</v>
      </c>
      <c r="AX137" s="64" t="s" ph="1">
        <v>212</v>
      </c>
      <c r="AY137" s="64" t="s" ph="1">
        <v>211</v>
      </c>
      <c r="AZ137" s="64" t="s" ph="1">
        <v>213</v>
      </c>
    </row>
    <row r="138" spans="33:52" ph="1">
      <c r="AH138" s="64" ph="1">
        <v>1</v>
      </c>
      <c r="AI138" s="64" t="s" ph="1">
        <v>530</v>
      </c>
      <c r="AJ138" s="64" t="s" ph="1">
        <v>531</v>
      </c>
      <c r="AK138" s="64" t="s" ph="1">
        <v>532</v>
      </c>
      <c r="AY138" s="64" t="s" ph="1">
        <v>216</v>
      </c>
      <c r="AZ138" s="64" t="s" ph="1">
        <v>532</v>
      </c>
    </row>
    <row r="139" spans="33:52" ph="1">
      <c r="AH139" s="64" ph="1">
        <v>2</v>
      </c>
      <c r="AI139" s="64" t="s" ph="1">
        <v>533</v>
      </c>
      <c r="AJ139" s="64" t="s" ph="1">
        <v>589</v>
      </c>
      <c r="AK139" s="64" t="s" ph="1">
        <v>601</v>
      </c>
      <c r="AY139" s="64" t="s" ph="1">
        <v>216</v>
      </c>
      <c r="AZ139" s="64" t="s" ph="1">
        <v>601</v>
      </c>
    </row>
    <row r="140" spans="33:52" ph="1">
      <c r="AH140" s="64" ph="1">
        <v>3</v>
      </c>
      <c r="AI140" s="64" t="s" ph="1">
        <v>534</v>
      </c>
      <c r="AJ140" s="64" t="s" ph="1">
        <v>487</v>
      </c>
      <c r="AK140" s="64" t="s" ph="1">
        <v>299</v>
      </c>
      <c r="AM140" s="64" t="s" ph="1">
        <v>488</v>
      </c>
      <c r="AN140" s="64" t="s" ph="1">
        <v>219</v>
      </c>
      <c r="AO140" s="64" t="s" ph="1">
        <v>535</v>
      </c>
      <c r="AP140" s="64" t="s" ph="1">
        <v>489</v>
      </c>
      <c r="AQ140" s="64" t="s" ph="1">
        <v>236</v>
      </c>
      <c r="AR140" s="64" t="s" ph="1">
        <v>535</v>
      </c>
      <c r="AS140" s="64" t="s" ph="1">
        <v>490</v>
      </c>
      <c r="AT140" s="64" t="s" ph="1">
        <v>229</v>
      </c>
      <c r="AU140" s="64" t="s" ph="1">
        <v>535</v>
      </c>
      <c r="AV140" s="64" t="s" ph="1">
        <v>491</v>
      </c>
      <c r="AW140" s="64" t="s" ph="1">
        <v>222</v>
      </c>
      <c r="AX140" s="64" t="s" ph="1">
        <v>535</v>
      </c>
      <c r="AY140" s="64" t="s" ph="1">
        <v>216</v>
      </c>
      <c r="AZ140" s="64" t="s" ph="1">
        <v>291</v>
      </c>
    </row>
    <row r="141" spans="33:52" ph="1">
      <c r="AJ141" s="64" t="s" ph="1">
        <v>493</v>
      </c>
      <c r="AK141" s="64" t="s" ph="1">
        <v>222</v>
      </c>
      <c r="AM141" s="64" t="s" ph="1">
        <v>494</v>
      </c>
      <c r="AN141" s="64" t="s" ph="1">
        <v>225</v>
      </c>
      <c r="AO141" s="64" t="s" ph="1">
        <v>535</v>
      </c>
      <c r="AP141" s="64" t="s" ph="1">
        <v>506</v>
      </c>
      <c r="AQ141" s="64" t="s" ph="1">
        <v>294</v>
      </c>
      <c r="AR141" s="64" t="s" ph="1">
        <v>535</v>
      </c>
      <c r="AS141" s="64" t="s" ph="1">
        <v>498</v>
      </c>
      <c r="AT141" s="64" t="s" ph="1">
        <v>222</v>
      </c>
      <c r="AU141" s="64" t="s" ph="1">
        <v>535</v>
      </c>
      <c r="AV141" s="64" t="s" ph="1">
        <v>334</v>
      </c>
      <c r="AW141" s="64" t="s" ph="1">
        <v>228</v>
      </c>
      <c r="AX141" s="64" t="s" ph="1">
        <v>535</v>
      </c>
    </row>
    <row r="142" spans="33:52" ph="1">
      <c r="AJ142" s="64" t="s" ph="1">
        <v>536</v>
      </c>
      <c r="AK142" s="64" t="s" ph="1">
        <v>239</v>
      </c>
    </row>
    <row r="143" spans="33:52" ph="1">
      <c r="AH143" s="64" ph="1">
        <v>4</v>
      </c>
      <c r="AI143" s="64" t="s" ph="1">
        <v>537</v>
      </c>
      <c r="AJ143" s="64" t="s" ph="1">
        <v>517</v>
      </c>
      <c r="AK143" s="64" t="s" ph="1">
        <v>538</v>
      </c>
      <c r="AY143" s="64" t="s" ph="1">
        <v>216</v>
      </c>
      <c r="AZ143" s="64" t="s" ph="1">
        <v>538</v>
      </c>
    </row>
    <row r="144" spans="33:52" ph="1">
      <c r="AH144" s="64" ph="1">
        <v>5</v>
      </c>
      <c r="AI144" s="64" t="s" ph="1">
        <v>539</v>
      </c>
      <c r="AY144" s="64" t="s" ph="1">
        <v>216</v>
      </c>
      <c r="AZ144" s="64" t="s" ph="1">
        <v>367</v>
      </c>
    </row>
    <row r="145" spans="33:52" ph="1">
      <c r="AH145" s="64" ph="1">
        <v>6</v>
      </c>
      <c r="AI145" s="64" t="s" ph="1">
        <v>540</v>
      </c>
      <c r="AY145" s="64" t="s" ph="1">
        <v>216</v>
      </c>
      <c r="AZ145" s="64" t="s" ph="1">
        <v>367</v>
      </c>
    </row>
    <row r="146" spans="33:52" ph="1">
      <c r="AH146" s="64" ph="1">
        <v>7</v>
      </c>
      <c r="AI146" s="64" t="s" ph="1">
        <v>541</v>
      </c>
      <c r="AY146" s="64" t="s" ph="1">
        <v>216</v>
      </c>
      <c r="AZ146" s="64" t="s" ph="1">
        <v>367</v>
      </c>
    </row>
    <row r="147" spans="33:52" ph="1">
      <c r="AH147" s="64" ph="1">
        <v>8</v>
      </c>
      <c r="AI147" s="64" t="s" ph="1">
        <v>542</v>
      </c>
      <c r="AY147" s="64" t="s" ph="1">
        <v>216</v>
      </c>
      <c r="AZ147" s="64" t="s" ph="1">
        <v>367</v>
      </c>
    </row>
    <row r="148" spans="33:52" ph="1">
      <c r="AH148" s="64" ph="1">
        <v>9</v>
      </c>
      <c r="AI148" s="64" t="s" ph="1">
        <v>543</v>
      </c>
      <c r="AY148" s="64" t="s" ph="1">
        <v>216</v>
      </c>
      <c r="AZ148" s="64" t="s" ph="1">
        <v>367</v>
      </c>
    </row>
    <row r="149" spans="33:52" ph="1">
      <c r="AH149" s="64" ph="1">
        <v>10</v>
      </c>
      <c r="AI149" s="64" t="s" ph="1">
        <v>544</v>
      </c>
      <c r="AY149" s="64" t="s" ph="1">
        <v>216</v>
      </c>
      <c r="AZ149" s="64" t="s" ph="1">
        <v>367</v>
      </c>
    </row>
    <row r="150" spans="33:52" ph="1">
      <c r="AH150" s="64" ph="1">
        <v>11</v>
      </c>
      <c r="AI150" s="64" t="s" ph="1">
        <v>545</v>
      </c>
      <c r="AY150" s="64" t="s" ph="1">
        <v>216</v>
      </c>
      <c r="AZ150" s="64" t="s" ph="1">
        <v>367</v>
      </c>
    </row>
    <row r="151" spans="33:52" ph="1">
      <c r="AH151" s="64" ph="1">
        <v>12</v>
      </c>
      <c r="AI151" s="64" t="s" ph="1">
        <v>546</v>
      </c>
      <c r="AY151" s="64" t="s" ph="1">
        <v>216</v>
      </c>
      <c r="AZ151" s="64" t="s" ph="1">
        <v>367</v>
      </c>
    </row>
    <row r="152" spans="33:52" ph="1">
      <c r="AH152" s="64" ph="1">
        <v>13</v>
      </c>
      <c r="AI152" s="64" t="s" ph="1">
        <v>547</v>
      </c>
      <c r="AY152" s="64" t="s" ph="1">
        <v>216</v>
      </c>
      <c r="AZ152" s="64" t="s" ph="1">
        <v>367</v>
      </c>
    </row>
    <row r="153" spans="33:52" ph="1">
      <c r="AH153" s="64" ph="1">
        <v>14</v>
      </c>
      <c r="AI153" s="64" t="s" ph="1">
        <v>548</v>
      </c>
      <c r="AY153" s="64" t="s" ph="1">
        <v>216</v>
      </c>
      <c r="AZ153" s="64" t="s" ph="1">
        <v>367</v>
      </c>
    </row>
    <row r="154" spans="33:52" ph="1">
      <c r="AH154" s="64" ph="1">
        <v>15</v>
      </c>
      <c r="AI154" s="64" t="s" ph="1">
        <v>549</v>
      </c>
      <c r="AY154" s="64" t="s" ph="1">
        <v>216</v>
      </c>
      <c r="AZ154" s="64" t="s" ph="1">
        <v>367</v>
      </c>
    </row>
    <row r="155" spans="33:52" ph="1">
      <c r="AH155" s="64" ph="1">
        <v>16</v>
      </c>
      <c r="AI155" s="64" t="s" ph="1">
        <v>550</v>
      </c>
      <c r="AJ155" s="64" t="s" ph="1">
        <v>336</v>
      </c>
      <c r="AK155" s="64" t="s" ph="1">
        <v>231</v>
      </c>
      <c r="AM155" s="64" t="s" ph="1">
        <v>570</v>
      </c>
      <c r="AN155" s="64" t="s" ph="1">
        <v>282</v>
      </c>
      <c r="AO155" s="64" t="s" ph="1">
        <v>535</v>
      </c>
      <c r="AY155" s="64" t="s" ph="1">
        <v>216</v>
      </c>
      <c r="AZ155" s="64" t="s" ph="1">
        <v>223</v>
      </c>
    </row>
    <row r="156" spans="33:52" ph="1">
      <c r="AZ156" s="64" t="s" ph="1">
        <v>602</v>
      </c>
    </row>
    <row r="157" spans="33:52" ph="1">
      <c r="AG157" s="64" t="s" ph="1">
        <v>551</v>
      </c>
      <c r="AI157" s="64" t="s" ph="1">
        <v>209</v>
      </c>
      <c r="AJ157" s="64" t="s" ph="1">
        <v>210</v>
      </c>
      <c r="AK157" s="64" t="s" ph="1">
        <v>211</v>
      </c>
      <c r="AM157" s="64" t="s" ph="1">
        <v>210</v>
      </c>
      <c r="AN157" s="64" t="s" ph="1">
        <v>211</v>
      </c>
      <c r="AO157" s="64" t="s" ph="1">
        <v>212</v>
      </c>
      <c r="AP157" s="64" t="s" ph="1">
        <v>210</v>
      </c>
      <c r="AQ157" s="64" t="s" ph="1">
        <v>211</v>
      </c>
      <c r="AR157" s="64" t="s" ph="1">
        <v>212</v>
      </c>
      <c r="AS157" s="64" t="s" ph="1">
        <v>210</v>
      </c>
      <c r="AT157" s="64" t="s" ph="1">
        <v>211</v>
      </c>
      <c r="AU157" s="64" t="s" ph="1">
        <v>212</v>
      </c>
      <c r="AV157" s="64" t="s" ph="1">
        <v>210</v>
      </c>
      <c r="AW157" s="64" t="s" ph="1">
        <v>211</v>
      </c>
      <c r="AX157" s="64" t="s" ph="1">
        <v>212</v>
      </c>
      <c r="AY157" s="64" t="s" ph="1">
        <v>211</v>
      </c>
      <c r="AZ157" s="64" t="s" ph="1">
        <v>213</v>
      </c>
    </row>
    <row r="158" spans="33:52" ph="1">
      <c r="AH158" s="64" ph="1">
        <v>1</v>
      </c>
      <c r="AI158" s="64" t="s" ph="1">
        <v>552</v>
      </c>
      <c r="AY158" s="64" t="s" ph="1">
        <v>216</v>
      </c>
      <c r="AZ158" s="64" t="s" ph="1">
        <v>367</v>
      </c>
    </row>
    <row r="159" spans="33:52" ph="1">
      <c r="AH159" s="64" ph="1">
        <v>2</v>
      </c>
      <c r="AI159" s="64" t="s" ph="1">
        <v>553</v>
      </c>
      <c r="AY159" s="64" t="s" ph="1">
        <v>216</v>
      </c>
      <c r="AZ159" s="64" t="s" ph="1">
        <v>367</v>
      </c>
    </row>
    <row r="160" spans="33:52" ph="1">
      <c r="AZ160" s="64" t="s" ph="1">
        <v>385</v>
      </c>
    </row>
    <row r="161" spans="33:52" ph="1">
      <c r="AG161" s="64" t="s" ph="1">
        <v>361</v>
      </c>
      <c r="AI161" s="64" t="s" ph="1">
        <v>209</v>
      </c>
      <c r="AJ161" s="64" t="s" ph="1">
        <v>210</v>
      </c>
      <c r="AK161" s="64" t="s" ph="1">
        <v>211</v>
      </c>
      <c r="AM161" s="64" t="s" ph="1">
        <v>210</v>
      </c>
      <c r="AN161" s="64" t="s" ph="1">
        <v>211</v>
      </c>
      <c r="AO161" s="64" t="s" ph="1">
        <v>212</v>
      </c>
      <c r="AP161" s="64" t="s" ph="1">
        <v>210</v>
      </c>
      <c r="AQ161" s="64" t="s" ph="1">
        <v>211</v>
      </c>
      <c r="AR161" s="64" t="s" ph="1">
        <v>212</v>
      </c>
      <c r="AS161" s="64" t="s" ph="1">
        <v>210</v>
      </c>
      <c r="AT161" s="64" t="s" ph="1">
        <v>211</v>
      </c>
      <c r="AU161" s="64" t="s" ph="1">
        <v>212</v>
      </c>
      <c r="AV161" s="64" t="s" ph="1">
        <v>210</v>
      </c>
      <c r="AW161" s="64" t="s" ph="1">
        <v>211</v>
      </c>
      <c r="AX161" s="64" t="s" ph="1">
        <v>212</v>
      </c>
      <c r="AY161" s="64" t="s" ph="1">
        <v>211</v>
      </c>
      <c r="AZ161" s="64" t="s" ph="1">
        <v>213</v>
      </c>
    </row>
    <row r="162" spans="33:52" ph="1">
      <c r="AH162" s="64" ph="1">
        <v>1</v>
      </c>
      <c r="AI162" s="64" t="s" ph="1">
        <v>554</v>
      </c>
      <c r="AJ162" s="64" t="s" ph="1">
        <v>555</v>
      </c>
      <c r="AK162" s="64" t="s" ph="1">
        <v>499</v>
      </c>
      <c r="AM162" s="64" t="s" ph="1">
        <v>556</v>
      </c>
      <c r="AN162" s="64" t="s" ph="1">
        <v>220</v>
      </c>
      <c r="AO162" s="64" t="s" ph="1">
        <v>557</v>
      </c>
      <c r="AY162" s="64" t="s" ph="1">
        <v>216</v>
      </c>
      <c r="AZ162" s="64" t="s" ph="1">
        <v>292</v>
      </c>
    </row>
    <row r="163" spans="33:52" ph="1">
      <c r="AH163" s="64" ph="1">
        <v>2</v>
      </c>
      <c r="AI163" s="64" t="s" ph="1">
        <v>558</v>
      </c>
      <c r="AJ163" s="64" t="s" ph="1">
        <v>555</v>
      </c>
      <c r="AK163" s="64" t="s" ph="1">
        <v>388</v>
      </c>
      <c r="AY163" s="64" t="s" ph="1">
        <v>216</v>
      </c>
      <c r="AZ163" s="64" t="s" ph="1">
        <v>388</v>
      </c>
    </row>
    <row r="164" spans="33:52" ph="1">
      <c r="AH164" s="64" ph="1">
        <v>3</v>
      </c>
      <c r="AI164" s="64" t="s" ph="1">
        <v>559</v>
      </c>
      <c r="AJ164" s="64" t="s" ph="1">
        <v>555</v>
      </c>
      <c r="AK164" s="64" t="s" ph="1">
        <v>292</v>
      </c>
      <c r="AY164" s="64" t="s" ph="1">
        <v>216</v>
      </c>
      <c r="AZ164" s="64" t="s" ph="1">
        <v>292</v>
      </c>
    </row>
    <row r="165" spans="33:52" ph="1">
      <c r="AH165" s="64" ph="1">
        <v>4</v>
      </c>
      <c r="AI165" s="64" t="s" ph="1">
        <v>560</v>
      </c>
      <c r="AY165" s="64" t="s" ph="1">
        <v>216</v>
      </c>
      <c r="AZ165" s="64" t="s" ph="1">
        <v>367</v>
      </c>
    </row>
    <row r="166" spans="33:52" ph="1">
      <c r="AH166" s="64" ph="1">
        <v>5</v>
      </c>
      <c r="AI166" s="64" t="s" ph="1">
        <v>561</v>
      </c>
      <c r="AY166" s="64" t="s" ph="1">
        <v>216</v>
      </c>
      <c r="AZ166" s="64" t="s" ph="1">
        <v>367</v>
      </c>
    </row>
    <row r="167" spans="33:52" ph="1">
      <c r="AZ167" s="64" t="s" ph="1">
        <v>562</v>
      </c>
    </row>
    <row r="168" spans="33:52" ph="1">
      <c r="AG168" s="64" t="s" ph="1">
        <v>305</v>
      </c>
      <c r="AI168" s="64" t="s" ph="1">
        <v>209</v>
      </c>
      <c r="AJ168" s="64" t="s" ph="1">
        <v>210</v>
      </c>
      <c r="AK168" s="64" t="s" ph="1">
        <v>211</v>
      </c>
      <c r="AM168" s="64" t="s" ph="1">
        <v>210</v>
      </c>
      <c r="AN168" s="64" t="s" ph="1">
        <v>211</v>
      </c>
      <c r="AO168" s="64" t="s" ph="1">
        <v>212</v>
      </c>
      <c r="AP168" s="64" t="s" ph="1">
        <v>210</v>
      </c>
      <c r="AQ168" s="64" t="s" ph="1">
        <v>211</v>
      </c>
      <c r="AR168" s="64" t="s" ph="1">
        <v>212</v>
      </c>
      <c r="AS168" s="64" t="s" ph="1">
        <v>210</v>
      </c>
      <c r="AT168" s="64" t="s" ph="1">
        <v>211</v>
      </c>
      <c r="AU168" s="64" t="s" ph="1">
        <v>212</v>
      </c>
      <c r="AV168" s="64" t="s" ph="1">
        <v>210</v>
      </c>
      <c r="AW168" s="64" t="s" ph="1">
        <v>211</v>
      </c>
      <c r="AX168" s="64" t="s" ph="1">
        <v>212</v>
      </c>
      <c r="AY168" s="64" t="s" ph="1">
        <v>211</v>
      </c>
      <c r="AZ168" s="64" t="s" ph="1">
        <v>213</v>
      </c>
    </row>
    <row r="169" spans="33:52" ph="1">
      <c r="AH169" s="64" ph="1">
        <v>1</v>
      </c>
      <c r="AI169" s="64" t="s" ph="1">
        <v>563</v>
      </c>
      <c r="AY169" s="64" t="s" ph="1">
        <v>216</v>
      </c>
      <c r="AZ169" s="64" t="s" ph="1">
        <v>367</v>
      </c>
    </row>
    <row r="170" spans="33:52" ph="1">
      <c r="AH170" s="64" ph="1">
        <v>2</v>
      </c>
      <c r="AI170" s="64" t="s" ph="1">
        <v>564</v>
      </c>
      <c r="AY170" s="64" t="s" ph="1">
        <v>216</v>
      </c>
      <c r="AZ170" s="64" t="s" ph="1">
        <v>367</v>
      </c>
    </row>
    <row r="171" spans="33:52" ph="1">
      <c r="AH171" s="64" ph="1">
        <v>3</v>
      </c>
      <c r="AI171" s="64" t="s" ph="1">
        <v>565</v>
      </c>
      <c r="AY171" s="64" t="s" ph="1">
        <v>216</v>
      </c>
      <c r="AZ171" s="64" t="s" ph="1">
        <v>367</v>
      </c>
    </row>
    <row r="172" spans="33:52" ph="1">
      <c r="AH172" s="64" ph="1">
        <v>4</v>
      </c>
      <c r="AI172" s="64" t="s" ph="1">
        <v>566</v>
      </c>
      <c r="AY172" s="64" t="s" ph="1">
        <v>216</v>
      </c>
      <c r="AZ172" s="64" t="s" ph="1">
        <v>367</v>
      </c>
    </row>
    <row r="173" spans="33:52" ph="1">
      <c r="AH173" s="64" ph="1">
        <v>5</v>
      </c>
      <c r="AI173" s="64" t="s" ph="1">
        <v>567</v>
      </c>
      <c r="AY173" s="64" t="s" ph="1">
        <v>216</v>
      </c>
      <c r="AZ173" s="64" t="s" ph="1">
        <v>367</v>
      </c>
    </row>
    <row r="174" spans="33:52" ph="1">
      <c r="AZ174" s="64" t="s" ph="1">
        <v>385</v>
      </c>
    </row>
    <row r="175" spans="33:52" ph="1">
      <c r="AJ175" s="64" t="s" ph="1">
        <v>306</v>
      </c>
    </row>
    <row r="176" spans="33:52" ph="1">
      <c r="AJ176" s="64" t="s" ph="1">
        <v>307</v>
      </c>
      <c r="AK176" s="64" t="s" ph="1">
        <v>308</v>
      </c>
      <c r="AM176" s="64" t="s" ph="1">
        <v>309</v>
      </c>
      <c r="AO176" s="64" t="s" ph="1">
        <v>310</v>
      </c>
      <c r="AP176" s="64" t="s" ph="1">
        <v>311</v>
      </c>
      <c r="AQ176" s="64" t="s" ph="1">
        <v>301</v>
      </c>
      <c r="AR176" s="64" t="s" ph="1">
        <v>221</v>
      </c>
    </row>
    <row r="177" spans="36:56" ph="1">
      <c r="AJ177" s="64" t="s" ph="1">
        <v>603</v>
      </c>
      <c r="AK177" s="64" t="s" ph="1">
        <v>312</v>
      </c>
      <c r="AO177" s="64" t="s" ph="1">
        <v>312</v>
      </c>
      <c r="AP177" s="64" t="s" ph="1">
        <v>312</v>
      </c>
      <c r="AQ177" s="64" t="s" ph="1">
        <v>313</v>
      </c>
      <c r="AR177" s="64" t="s" ph="1">
        <v>314</v>
      </c>
    </row>
    <row r="179" spans="36:56" ph="1">
      <c r="AJ179" s="64" t="s" ph="1">
        <v>315</v>
      </c>
      <c r="AK179" s="64" t="s" ph="1">
        <v>316</v>
      </c>
      <c r="AM179" s="64" t="s" ph="1">
        <v>317</v>
      </c>
      <c r="AN179" s="64" t="s" ph="1">
        <v>293</v>
      </c>
      <c r="AO179" s="64" t="s" ph="1">
        <v>318</v>
      </c>
      <c r="AP179" s="64" t="s" ph="1">
        <v>297</v>
      </c>
      <c r="AQ179" s="64" t="s" ph="1">
        <v>319</v>
      </c>
      <c r="AR179" s="64" t="s" ph="1">
        <v>320</v>
      </c>
    </row>
    <row r="180" spans="36:56" ph="1">
      <c r="AJ180" s="64" t="s" ph="1">
        <v>312</v>
      </c>
      <c r="AK180" s="64" t="s" ph="1">
        <v>312</v>
      </c>
      <c r="AL180" s="64" ph="1">
        <v>116</v>
      </c>
      <c r="AM180" s="64" t="s" ph="1">
        <v>312</v>
      </c>
      <c r="AN180" s="64" t="s" ph="1">
        <v>321</v>
      </c>
      <c r="AO180" s="64" t="s" ph="1">
        <v>312</v>
      </c>
      <c r="AP180" s="64" t="s" ph="1">
        <v>322</v>
      </c>
      <c r="AQ180" s="64" t="s" ph="1">
        <v>323</v>
      </c>
      <c r="AR180" s="64" t="s" ph="1">
        <v>324</v>
      </c>
    </row>
    <row r="189" spans="36:56" ph="1">
      <c r="BD189" s="64" t="s" ph="1">
        <v>568</v>
      </c>
    </row>
    <row r="223" spans="18:18" ph="1">
      <c r="R223" s="135" ph="1">
        <v>45496</v>
      </c>
    </row>
  </sheetData>
  <mergeCells count="58"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S31:U31"/>
    <mergeCell ref="V31:X31"/>
    <mergeCell ref="Y31:AA31"/>
    <mergeCell ref="AB31:AE31"/>
    <mergeCell ref="AD32:AE32"/>
    <mergeCell ref="B33:C34"/>
    <mergeCell ref="D33:D34"/>
    <mergeCell ref="E33:E34"/>
    <mergeCell ref="F33:F34"/>
    <mergeCell ref="G33:G34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</mergeCells>
  <phoneticPr fontId="2" type="noConversion"/>
  <conditionalFormatting sqref="D4:D11">
    <cfRule type="expression" dxfId="1306" priority="100">
      <formula>ABS(D$7-D$10)&gt;=1000</formula>
    </cfRule>
  </conditionalFormatting>
  <conditionalFormatting sqref="E4 E6:E11">
    <cfRule type="expression" dxfId="1305" priority="99">
      <formula>ABS(E$7-E$10)&gt;=1000</formula>
    </cfRule>
  </conditionalFormatting>
  <conditionalFormatting sqref="F4:F11">
    <cfRule type="expression" dxfId="1304" priority="98">
      <formula>ABS(F$7-F$10)&gt;=1000</formula>
    </cfRule>
  </conditionalFormatting>
  <conditionalFormatting sqref="G4:G11">
    <cfRule type="expression" dxfId="1303" priority="97">
      <formula>ABS(G$7-G$10)&gt;=1000</formula>
    </cfRule>
  </conditionalFormatting>
  <conditionalFormatting sqref="H4:H11">
    <cfRule type="expression" dxfId="1302" priority="96">
      <formula>ABS(H$7-H$10)&gt;=1000</formula>
    </cfRule>
  </conditionalFormatting>
  <conditionalFormatting sqref="I4:I11">
    <cfRule type="expression" dxfId="1301" priority="95">
      <formula>ABS(I$7-I$10)&gt;=1000</formula>
    </cfRule>
  </conditionalFormatting>
  <conditionalFormatting sqref="J4:J11">
    <cfRule type="expression" dxfId="1300" priority="94">
      <formula>ABS(J$7-J$10)&gt;=1000</formula>
    </cfRule>
  </conditionalFormatting>
  <conditionalFormatting sqref="K4:K11">
    <cfRule type="expression" dxfId="1299" priority="93">
      <formula>ABS(K$7-K$10)&gt;=1000</formula>
    </cfRule>
  </conditionalFormatting>
  <conditionalFormatting sqref="L4:L11">
    <cfRule type="expression" dxfId="1298" priority="92">
      <formula>ABS(L$7-L$10)&gt;=1000</formula>
    </cfRule>
  </conditionalFormatting>
  <conditionalFormatting sqref="M4 M6:M11">
    <cfRule type="expression" dxfId="1297" priority="91">
      <formula>ABS(M$7-M$10)&gt;=1000</formula>
    </cfRule>
  </conditionalFormatting>
  <conditionalFormatting sqref="N4 N6:N11">
    <cfRule type="expression" dxfId="1296" priority="90">
      <formula>ABS(N$7-N$10)&gt;=1000</formula>
    </cfRule>
  </conditionalFormatting>
  <conditionalFormatting sqref="O4 O6:O11">
    <cfRule type="expression" dxfId="1295" priority="89">
      <formula>ABS(O$7-O$10)&gt;=1000</formula>
    </cfRule>
  </conditionalFormatting>
  <conditionalFormatting sqref="P4 P6:P11">
    <cfRule type="expression" dxfId="1294" priority="88">
      <formula>ABS(P$7-P$10)&gt;=1000</formula>
    </cfRule>
  </conditionalFormatting>
  <conditionalFormatting sqref="Q4:Q11">
    <cfRule type="expression" dxfId="1293" priority="87">
      <formula>ABS(Q$7-Q$10)&gt;=1000</formula>
    </cfRule>
  </conditionalFormatting>
  <conditionalFormatting sqref="R4:R11">
    <cfRule type="expression" dxfId="1292" priority="86">
      <formula>ABS(R$7-R$10)&gt;=1000</formula>
    </cfRule>
  </conditionalFormatting>
  <conditionalFormatting sqref="S4:S11">
    <cfRule type="expression" dxfId="1291" priority="85">
      <formula>ABS(S$7-S$10)&gt;=1000</formula>
    </cfRule>
  </conditionalFormatting>
  <conditionalFormatting sqref="T4:T9 T11">
    <cfRule type="expression" dxfId="1290" priority="84">
      <formula>ABS(T$7-T$10)&gt;=1000</formula>
    </cfRule>
  </conditionalFormatting>
  <conditionalFormatting sqref="U4:U9 U11">
    <cfRule type="expression" dxfId="1289" priority="83">
      <formula>ABS(U$7-U$10)&gt;=1000</formula>
    </cfRule>
  </conditionalFormatting>
  <conditionalFormatting sqref="V4:V9 V11">
    <cfRule type="expression" dxfId="1288" priority="82">
      <formula>ABS(V$7-V$10)&gt;=1000</formula>
    </cfRule>
  </conditionalFormatting>
  <conditionalFormatting sqref="W4:W9 W11">
    <cfRule type="expression" dxfId="1287" priority="81">
      <formula>ABS(W$7-W$10)&gt;=1000</formula>
    </cfRule>
  </conditionalFormatting>
  <conditionalFormatting sqref="X4:X9 X11">
    <cfRule type="expression" dxfId="1286" priority="80">
      <formula>ABS(X$7-X$10)&gt;=1000</formula>
    </cfRule>
  </conditionalFormatting>
  <conditionalFormatting sqref="Y4:Y9 Y11">
    <cfRule type="expression" dxfId="1285" priority="79">
      <formula>ABS(Y$7-Y$10)&gt;=1000</formula>
    </cfRule>
  </conditionalFormatting>
  <conditionalFormatting sqref="Z4:Z11">
    <cfRule type="expression" dxfId="1284" priority="78">
      <formula>ABS(Z$7-Z$10)&gt;=1000</formula>
    </cfRule>
  </conditionalFormatting>
  <conditionalFormatting sqref="AA4:AA11">
    <cfRule type="expression" dxfId="1283" priority="77">
      <formula>ABS(AA$7-AA$10)&gt;=1000</formula>
    </cfRule>
  </conditionalFormatting>
  <conditionalFormatting sqref="AB4:AB11">
    <cfRule type="expression" dxfId="1282" priority="76">
      <formula>ABS(AB$7-AB$10)&gt;=1000</formula>
    </cfRule>
  </conditionalFormatting>
  <conditionalFormatting sqref="AC4 AC6:AC11">
    <cfRule type="expression" dxfId="1281" priority="75">
      <formula>ABS(AC$7-AC$10)&gt;=1000</formula>
    </cfRule>
  </conditionalFormatting>
  <conditionalFormatting sqref="AD4 AD6:AD11">
    <cfRule type="expression" dxfId="1280" priority="74">
      <formula>ABS(AD$7-AD$10)&gt;=1000</formula>
    </cfRule>
  </conditionalFormatting>
  <conditionalFormatting sqref="AE4 AE6:AE11">
    <cfRule type="expression" dxfId="1279" priority="73">
      <formula>ABS(AE$7-AE$10)&gt;=1000</formula>
    </cfRule>
  </conditionalFormatting>
  <conditionalFormatting sqref="D13:D20">
    <cfRule type="expression" dxfId="1278" priority="72">
      <formula>ABS(D$16-D$19)&gt;=1000</formula>
    </cfRule>
  </conditionalFormatting>
  <conditionalFormatting sqref="E13:E20">
    <cfRule type="expression" dxfId="1277" priority="71">
      <formula>ABS(E$16-E$19)&gt;=1000</formula>
    </cfRule>
  </conditionalFormatting>
  <conditionalFormatting sqref="F13 F15:F20">
    <cfRule type="expression" dxfId="1276" priority="70">
      <formula>ABS(F$16-F$19)&gt;=1000</formula>
    </cfRule>
  </conditionalFormatting>
  <conditionalFormatting sqref="G13:G20">
    <cfRule type="expression" dxfId="1275" priority="69">
      <formula>ABS(G$16-G$19)&gt;=1000</formula>
    </cfRule>
  </conditionalFormatting>
  <conditionalFormatting sqref="H13 H15:H20">
    <cfRule type="expression" dxfId="1274" priority="68">
      <formula>ABS(H$16-H$19)&gt;=1000</formula>
    </cfRule>
  </conditionalFormatting>
  <conditionalFormatting sqref="I13:I20">
    <cfRule type="expression" dxfId="1273" priority="67">
      <formula>ABS(I$16-I$19)&gt;=1000</formula>
    </cfRule>
  </conditionalFormatting>
  <conditionalFormatting sqref="J13:J20">
    <cfRule type="expression" dxfId="1272" priority="66">
      <formula>ABS(J$16-J$19)&gt;=1000</formula>
    </cfRule>
  </conditionalFormatting>
  <conditionalFormatting sqref="L13:L20">
    <cfRule type="expression" dxfId="1271" priority="65">
      <formula>ABS(L$16-L$19)&gt;=1000</formula>
    </cfRule>
  </conditionalFormatting>
  <conditionalFormatting sqref="M13 M15 M17:M18 M20">
    <cfRule type="expression" dxfId="1270" priority="64">
      <formula>ABS(M$16-M$19)&gt;=1000</formula>
    </cfRule>
  </conditionalFormatting>
  <conditionalFormatting sqref="N13:N20">
    <cfRule type="expression" dxfId="1269" priority="63">
      <formula>ABS(N$16-N$19)&gt;=1000</formula>
    </cfRule>
  </conditionalFormatting>
  <conditionalFormatting sqref="O13:O20">
    <cfRule type="expression" dxfId="1268" priority="62">
      <formula>ABS(O$16-O$19)&gt;=1000</formula>
    </cfRule>
  </conditionalFormatting>
  <conditionalFormatting sqref="P13:P20">
    <cfRule type="expression" dxfId="1267" priority="61">
      <formula>ABS(P$16-P$19)&gt;=1000</formula>
    </cfRule>
  </conditionalFormatting>
  <conditionalFormatting sqref="Q13 Q15:Q20">
    <cfRule type="expression" dxfId="1266" priority="60">
      <formula>ABS(Q$16-Q$19)&gt;=1000</formula>
    </cfRule>
  </conditionalFormatting>
  <conditionalFormatting sqref="R13:R20">
    <cfRule type="expression" dxfId="1265" priority="59">
      <formula>ABS(R$16-R$19)&gt;=1000</formula>
    </cfRule>
  </conditionalFormatting>
  <conditionalFormatting sqref="S13:S20">
    <cfRule type="expression" dxfId="1264" priority="58">
      <formula>ABS(S$16-S$19)&gt;=1000</formula>
    </cfRule>
  </conditionalFormatting>
  <conditionalFormatting sqref="T13:T20">
    <cfRule type="expression" dxfId="1263" priority="57">
      <formula>ABS(T$16-T$19)&gt;=1000</formula>
    </cfRule>
  </conditionalFormatting>
  <conditionalFormatting sqref="U13:U20">
    <cfRule type="expression" dxfId="1262" priority="56">
      <formula>ABS(U$16-U$19)&gt;=1000</formula>
    </cfRule>
  </conditionalFormatting>
  <conditionalFormatting sqref="V13:V20">
    <cfRule type="expression" dxfId="1261" priority="55">
      <formula>ABS(V$16-V$19)&gt;=1000</formula>
    </cfRule>
  </conditionalFormatting>
  <conditionalFormatting sqref="W13 W20 W15:W18">
    <cfRule type="expression" dxfId="1260" priority="54">
      <formula>ABS(W$16-W$19)&gt;=1000</formula>
    </cfRule>
  </conditionalFormatting>
  <conditionalFormatting sqref="X13 X15:X20 Y19">
    <cfRule type="expression" dxfId="1259" priority="53">
      <formula>ABS(X$16-X$19)&gt;=1000</formula>
    </cfRule>
  </conditionalFormatting>
  <conditionalFormatting sqref="Y13 Y15:Y18 Y20">
    <cfRule type="expression" dxfId="1258" priority="52">
      <formula>ABS(Y$16-Y$19)&gt;=1000</formula>
    </cfRule>
  </conditionalFormatting>
  <conditionalFormatting sqref="Z13:Z20">
    <cfRule type="expression" dxfId="1257" priority="51">
      <formula>ABS(Z$16-Z$19)&gt;=1000</formula>
    </cfRule>
  </conditionalFormatting>
  <conditionalFormatting sqref="AA13:AA20">
    <cfRule type="expression" dxfId="1256" priority="50">
      <formula>ABS(AA$16-AA$19)&gt;=1000</formula>
    </cfRule>
  </conditionalFormatting>
  <conditionalFormatting sqref="AB13 AB15:AB20">
    <cfRule type="expression" dxfId="1255" priority="49">
      <formula>ABS(AB$16-AB$19)&gt;=1000</formula>
    </cfRule>
  </conditionalFormatting>
  <conditionalFormatting sqref="AC13 AC15:AC20">
    <cfRule type="expression" dxfId="1254" priority="48">
      <formula>ABS(AC$16-AC$19)&gt;=1000</formula>
    </cfRule>
  </conditionalFormatting>
  <conditionalFormatting sqref="AD13:AD20">
    <cfRule type="expression" dxfId="1253" priority="47">
      <formula>ABS(AD$16-AD$19)&gt;=1000</formula>
    </cfRule>
  </conditionalFormatting>
  <conditionalFormatting sqref="AE13:AE20">
    <cfRule type="expression" dxfId="1252" priority="46">
      <formula>ABS(AE$16-AE$19)&gt;=1000</formula>
    </cfRule>
  </conditionalFormatting>
  <conditionalFormatting sqref="D22:D29">
    <cfRule type="expression" dxfId="1251" priority="45">
      <formula>ABS(D$25-D$28)&gt;=1000</formula>
    </cfRule>
  </conditionalFormatting>
  <conditionalFormatting sqref="E22:E29">
    <cfRule type="expression" dxfId="1250" priority="44">
      <formula>ABS(E$25-E$28)&gt;=1000</formula>
    </cfRule>
  </conditionalFormatting>
  <conditionalFormatting sqref="F22:F29">
    <cfRule type="expression" dxfId="1249" priority="43">
      <formula>ABS(F$25-F$28)&gt;=1000</formula>
    </cfRule>
  </conditionalFormatting>
  <conditionalFormatting sqref="G22:G29">
    <cfRule type="expression" dxfId="1248" priority="42">
      <formula>ABS(G$25-G$28)&gt;=1000</formula>
    </cfRule>
  </conditionalFormatting>
  <conditionalFormatting sqref="H22:H29">
    <cfRule type="expression" dxfId="1247" priority="41">
      <formula>ABS(H$25-H$28)&gt;=1000</formula>
    </cfRule>
  </conditionalFormatting>
  <conditionalFormatting sqref="I22 I24:I29">
    <cfRule type="expression" dxfId="1246" priority="40">
      <formula>ABS(I$25-I$28)&gt;=1000</formula>
    </cfRule>
  </conditionalFormatting>
  <conditionalFormatting sqref="J22:J29 K22">
    <cfRule type="expression" dxfId="1245" priority="39">
      <formula>ABS(J$25-J$28)&gt;=1000</formula>
    </cfRule>
  </conditionalFormatting>
  <conditionalFormatting sqref="K23:K29 L25 L28">
    <cfRule type="expression" dxfId="1244" priority="38">
      <formula>ABS(K$25-K$28)&gt;=1000</formula>
    </cfRule>
  </conditionalFormatting>
  <conditionalFormatting sqref="L22 L26:L27 L29 L24">
    <cfRule type="expression" dxfId="1243" priority="37">
      <formula>ABS(L$25-L$28)&gt;=1000</formula>
    </cfRule>
  </conditionalFormatting>
  <conditionalFormatting sqref="M22:M29">
    <cfRule type="expression" dxfId="1242" priority="36">
      <formula>ABS(M$25-M$28)&gt;=1000</formula>
    </cfRule>
  </conditionalFormatting>
  <conditionalFormatting sqref="N22:N29">
    <cfRule type="expression" dxfId="1241" priority="35">
      <formula>ABS(N$25-N$28)&gt;=1000</formula>
    </cfRule>
  </conditionalFormatting>
  <conditionalFormatting sqref="O22:O29">
    <cfRule type="expression" dxfId="1240" priority="34">
      <formula>ABS(O$25-O$28)&gt;=1000</formula>
    </cfRule>
  </conditionalFormatting>
  <conditionalFormatting sqref="P22:P29">
    <cfRule type="expression" dxfId="1239" priority="33">
      <formula>ABS(P$25-P$28)&gt;=1000</formula>
    </cfRule>
  </conditionalFormatting>
  <conditionalFormatting sqref="Q22:Q29">
    <cfRule type="expression" dxfId="1238" priority="32">
      <formula>ABS(Q$25-Q$28)&gt;=1000</formula>
    </cfRule>
  </conditionalFormatting>
  <conditionalFormatting sqref="R22:R29">
    <cfRule type="expression" dxfId="1237" priority="31">
      <formula>ABS(R$25-R$28)&gt;=1000</formula>
    </cfRule>
  </conditionalFormatting>
  <conditionalFormatting sqref="S22:S29">
    <cfRule type="expression" dxfId="1236" priority="30">
      <formula>ABS(S$25-S$28)&gt;=1000</formula>
    </cfRule>
  </conditionalFormatting>
  <conditionalFormatting sqref="T22:T29">
    <cfRule type="expression" dxfId="1235" priority="29">
      <formula>ABS(T$25-T$28)&gt;=1000</formula>
    </cfRule>
  </conditionalFormatting>
  <conditionalFormatting sqref="U22:U29">
    <cfRule type="expression" dxfId="1234" priority="28">
      <formula>ABS(U$25-U$28)&gt;=1000</formula>
    </cfRule>
  </conditionalFormatting>
  <conditionalFormatting sqref="V22:V29">
    <cfRule type="expression" dxfId="1233" priority="27">
      <formula>ABS(V$25-V$28)&gt;=1000</formula>
    </cfRule>
  </conditionalFormatting>
  <conditionalFormatting sqref="W22:W29">
    <cfRule type="expression" dxfId="1232" priority="26">
      <formula>ABS(W$25-W$28)&gt;=1000</formula>
    </cfRule>
  </conditionalFormatting>
  <conditionalFormatting sqref="X22:X29">
    <cfRule type="expression" dxfId="1231" priority="25">
      <formula>ABS(X$25-X$28)&gt;=1000</formula>
    </cfRule>
  </conditionalFormatting>
  <conditionalFormatting sqref="Y22:Y29">
    <cfRule type="expression" dxfId="1230" priority="24">
      <formula>ABS(Y$25-Y$28)&gt;=1000</formula>
    </cfRule>
  </conditionalFormatting>
  <conditionalFormatting sqref="I23">
    <cfRule type="expression" dxfId="1229" priority="23">
      <formula>ABS(I$25-I$28)&gt;=1000</formula>
    </cfRule>
  </conditionalFormatting>
  <conditionalFormatting sqref="Q14">
    <cfRule type="expression" dxfId="1228" priority="22">
      <formula>ABS(Q$16-Q$19)&gt;=1000</formula>
    </cfRule>
  </conditionalFormatting>
  <conditionalFormatting sqref="W14">
    <cfRule type="expression" dxfId="1227" priority="21">
      <formula>ABS(W$16-W$19)&gt;=1000</formula>
    </cfRule>
  </conditionalFormatting>
  <conditionalFormatting sqref="X14">
    <cfRule type="expression" dxfId="1226" priority="20">
      <formula>ABS(X$16-X$19)&gt;=1000</formula>
    </cfRule>
  </conditionalFormatting>
  <conditionalFormatting sqref="T10:Y10">
    <cfRule type="expression" dxfId="1225" priority="19">
      <formula>ABS(T$7-T$10)&gt;=1000</formula>
    </cfRule>
  </conditionalFormatting>
  <conditionalFormatting sqref="W19">
    <cfRule type="expression" dxfId="1224" priority="18">
      <formula>ABS(W$16-W$19)&gt;=1000</formula>
    </cfRule>
  </conditionalFormatting>
  <conditionalFormatting sqref="AC5">
    <cfRule type="expression" dxfId="1223" priority="17">
      <formula>ABS(AC$7-AC$10)&gt;=1000</formula>
    </cfRule>
  </conditionalFormatting>
  <conditionalFormatting sqref="M14">
    <cfRule type="expression" dxfId="1222" priority="16">
      <formula>ABS(M$16-M$19)&gt;=1000</formula>
    </cfRule>
  </conditionalFormatting>
  <conditionalFormatting sqref="M16">
    <cfRule type="expression" dxfId="1221" priority="15">
      <formula>ABS(M$16-M$19)&gt;=1000</formula>
    </cfRule>
  </conditionalFormatting>
  <conditionalFormatting sqref="M19">
    <cfRule type="expression" dxfId="1220" priority="14">
      <formula>ABS(M$16-M$19)&gt;=1000</formula>
    </cfRule>
  </conditionalFormatting>
  <conditionalFormatting sqref="K13:K20">
    <cfRule type="expression" dxfId="1219" priority="13">
      <formula>ABS(K$16-K$19)&gt;=1000</formula>
    </cfRule>
  </conditionalFormatting>
  <conditionalFormatting sqref="E5">
    <cfRule type="expression" dxfId="1218" priority="12">
      <formula>ABS(E$7-E$10)&gt;=1000</formula>
    </cfRule>
  </conditionalFormatting>
  <conditionalFormatting sqref="AB14:AC14">
    <cfRule type="expression" dxfId="1217" priority="11">
      <formula>ABS(AB$16-AB$19)&gt;=1000</formula>
    </cfRule>
  </conditionalFormatting>
  <conditionalFormatting sqref="M5">
    <cfRule type="expression" dxfId="1216" priority="10">
      <formula>ABS(M$7-M$10)&gt;=1000</formula>
    </cfRule>
  </conditionalFormatting>
  <conditionalFormatting sqref="N5">
    <cfRule type="expression" dxfId="1215" priority="9">
      <formula>ABS(N$7-N$10)&gt;=1000</formula>
    </cfRule>
  </conditionalFormatting>
  <conditionalFormatting sqref="O5">
    <cfRule type="expression" dxfId="1214" priority="8">
      <formula>ABS(O$7-O$10)&gt;=1000</formula>
    </cfRule>
  </conditionalFormatting>
  <conditionalFormatting sqref="P5">
    <cfRule type="expression" dxfId="1213" priority="7">
      <formula>ABS(P$7-P$10)&gt;=1000</formula>
    </cfRule>
  </conditionalFormatting>
  <conditionalFormatting sqref="L23">
    <cfRule type="expression" dxfId="1212" priority="6">
      <formula>ABS(L$25-L$28)&gt;=1000</formula>
    </cfRule>
  </conditionalFormatting>
  <conditionalFormatting sqref="Y14">
    <cfRule type="expression" dxfId="1211" priority="5">
      <formula>ABS(Y$16-Y$19)&gt;=1000</formula>
    </cfRule>
  </conditionalFormatting>
  <conditionalFormatting sqref="F14">
    <cfRule type="expression" dxfId="1210" priority="4">
      <formula>ABS(F$16-F$19)&gt;=1000</formula>
    </cfRule>
  </conditionalFormatting>
  <conditionalFormatting sqref="H14">
    <cfRule type="expression" dxfId="1209" priority="3">
      <formula>ABS(H$16-H$19)&gt;=1000</formula>
    </cfRule>
  </conditionalFormatting>
  <conditionalFormatting sqref="AD5">
    <cfRule type="expression" dxfId="1208" priority="2">
      <formula>ABS(AD$7-AD$10)&gt;=1000</formula>
    </cfRule>
  </conditionalFormatting>
  <conditionalFormatting sqref="AE5">
    <cfRule type="expression" dxfId="1207" priority="1">
      <formula>ABS(AE$7-AE$10)&gt;=1000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81537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912">
    <pageSetUpPr fitToPage="1"/>
  </sheetPr>
  <dimension ref="A1:CU223"/>
  <sheetViews>
    <sheetView view="pageBreakPreview" zoomScale="70" zoomScaleNormal="100" zoomScaleSheetLayoutView="70" workbookViewId="0">
      <selection activeCell="T16" sqref="T16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185" t="s" ph="1">
        <v>161</v>
      </c>
      <c r="C1" s="185" ph="1"/>
      <c r="D1" s="185" ph="1"/>
      <c r="E1" s="185" ph="1"/>
      <c r="F1" s="185" ph="1"/>
      <c r="G1" s="185" ph="1"/>
      <c r="H1" s="185" ph="1"/>
      <c r="I1" s="185" ph="1"/>
      <c r="J1" s="185" ph="1"/>
      <c r="K1" s="185" ph="1"/>
      <c r="L1" s="185" ph="1"/>
      <c r="M1" s="185" ph="1"/>
      <c r="N1" s="185" ph="1"/>
      <c r="O1" s="185" ph="1"/>
      <c r="P1" s="185" ph="1"/>
      <c r="Q1" s="185" ph="1"/>
      <c r="R1" s="185" ph="1"/>
      <c r="S1" s="185" ph="1"/>
      <c r="T1" s="185" ph="1"/>
      <c r="U1" s="185" ph="1"/>
      <c r="V1" s="185" ph="1"/>
      <c r="W1" s="185" ph="1"/>
      <c r="X1" s="185" ph="1"/>
      <c r="Y1" s="185" ph="1"/>
      <c r="Z1" s="185" ph="1"/>
      <c r="AA1" s="185" ph="1"/>
      <c r="AB1" s="185" ph="1"/>
      <c r="AC1" s="185" ph="1"/>
      <c r="AD1" s="185" ph="1"/>
      <c r="AE1" s="185" ph="1"/>
    </row>
    <row r="2" spans="1:99" s="66" customFormat="1" ht="24" customHeight="1" ph="1">
      <c r="B2" s="186" t="s" ph="1">
        <v>82</v>
      </c>
      <c r="C2" s="186" ph="1"/>
      <c r="D2" s="186" ph="1"/>
      <c r="E2" s="186" ph="1"/>
      <c r="F2" s="186" ph="1"/>
      <c r="G2" s="186" ph="1"/>
      <c r="H2" s="186" ph="1"/>
      <c r="I2" s="186" ph="1"/>
      <c r="J2" s="186" ph="1"/>
      <c r="K2" s="186" ph="1"/>
      <c r="L2" s="186" ph="1"/>
      <c r="M2" s="186" ph="1"/>
      <c r="N2" s="186" ph="1"/>
      <c r="O2" s="186" ph="1"/>
      <c r="P2" s="186" ph="1"/>
      <c r="Q2" s="186" ph="1"/>
      <c r="R2" s="186" ph="1"/>
      <c r="S2" s="186" ph="1"/>
      <c r="T2" s="186" ph="1"/>
      <c r="U2" s="186" ph="1"/>
      <c r="V2" s="186" ph="1"/>
      <c r="W2" s="186" ph="1"/>
      <c r="X2" s="186" ph="1"/>
      <c r="Y2" s="186" ph="1"/>
      <c r="Z2" s="186" ph="1"/>
      <c r="AA2" s="186" ph="1"/>
      <c r="AB2" s="186" ph="1"/>
      <c r="AC2" s="186" ph="1"/>
      <c r="AD2" s="186" ph="1"/>
      <c r="AE2" s="186" ph="1"/>
    </row>
    <row r="3" spans="1:99" ht="21" customHeight="1" ph="1">
      <c r="B3" s="187" ph="1">
        <v>46190</v>
      </c>
      <c r="C3" s="187"/>
      <c r="D3" s="187"/>
      <c r="E3" s="187"/>
      <c r="F3" s="187"/>
      <c r="G3" s="187"/>
      <c r="H3" s="187"/>
      <c r="I3" s="187"/>
      <c r="J3" s="187"/>
      <c r="K3" s="187"/>
      <c r="L3" s="187"/>
      <c r="M3" s="187"/>
      <c r="N3" s="187"/>
      <c r="O3" s="187"/>
      <c r="P3" s="187"/>
      <c r="Q3" s="187"/>
      <c r="R3" s="187"/>
      <c r="S3" s="187"/>
      <c r="T3" s="187"/>
      <c r="U3" s="187"/>
      <c r="V3" s="187"/>
      <c r="W3" s="187"/>
      <c r="X3" s="187"/>
      <c r="Y3" s="187"/>
      <c r="Z3" s="187"/>
      <c r="AA3" s="187"/>
      <c r="AB3" s="187"/>
      <c r="AC3" s="187"/>
      <c r="AD3" s="187"/>
      <c r="AE3" s="187"/>
    </row>
    <row r="4" spans="1:99" s="69" customFormat="1" ph="1">
      <c r="A4" s="65" ph="1"/>
      <c r="B4" s="188" t="s" ph="1">
        <v>37</v>
      </c>
      <c r="C4" s="67" t="s" ph="1">
        <v>176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110</v>
      </c>
      <c r="J4" s="68" t="s" ph="1">
        <v>48</v>
      </c>
      <c r="K4" s="68" t="s" ph="1">
        <v>111</v>
      </c>
      <c r="L4" s="68" t="s" ph="1">
        <v>112</v>
      </c>
      <c r="M4" s="68" t="s" ph="1">
        <v>49</v>
      </c>
      <c r="N4" s="68" t="s" ph="1">
        <v>50</v>
      </c>
      <c r="O4" s="68" t="s" ph="1">
        <v>113</v>
      </c>
      <c r="P4" s="68" t="s" ph="1">
        <v>114</v>
      </c>
      <c r="Q4" s="68" t="s" ph="1">
        <v>115</v>
      </c>
      <c r="R4" s="68" t="s" ph="1">
        <v>116</v>
      </c>
      <c r="S4" s="68" t="s" ph="1">
        <v>117</v>
      </c>
      <c r="T4" s="68" t="s" ph="1">
        <v>118</v>
      </c>
      <c r="U4" s="68" t="s" ph="1">
        <v>119</v>
      </c>
      <c r="V4" s="68" t="s" ph="1">
        <v>120</v>
      </c>
      <c r="W4" s="68" t="s" ph="1">
        <v>121</v>
      </c>
      <c r="X4" s="68" t="s" ph="1">
        <v>122</v>
      </c>
      <c r="Y4" s="68" t="s" ph="1">
        <v>123</v>
      </c>
      <c r="Z4" s="68" t="s" ph="1">
        <v>51</v>
      </c>
      <c r="AA4" s="68" t="s" ph="1">
        <v>124</v>
      </c>
      <c r="AB4" s="68" t="s" ph="1">
        <v>125</v>
      </c>
      <c r="AC4" s="68" t="s" ph="1">
        <v>126</v>
      </c>
      <c r="AD4" s="68" t="s" ph="1">
        <v>40</v>
      </c>
      <c r="AE4" s="68" t="s" ph="1">
        <v>127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188" ph="1"/>
      <c r="C5" s="67" t="s" ph="1">
        <v>36</v>
      </c>
      <c r="D5" s="70" t="s" ph="1">
        <v>160</v>
      </c>
      <c r="E5" s="142" t="s" ph="1">
        <v>7</v>
      </c>
      <c r="F5" s="142" t="s" ph="1">
        <v>1</v>
      </c>
      <c r="G5" s="142" t="s" ph="1">
        <v>7</v>
      </c>
      <c r="H5" s="142" t="s" ph="1">
        <v>7</v>
      </c>
      <c r="I5" s="141" t="s" ph="1">
        <v>608</v>
      </c>
      <c r="J5" s="141" t="s" ph="1">
        <v>609</v>
      </c>
      <c r="K5" s="141" t="s" ph="1">
        <v>611</v>
      </c>
      <c r="L5" s="141" t="s" ph="1">
        <v>613</v>
      </c>
      <c r="M5" s="141" t="s" ph="1">
        <v>608</v>
      </c>
      <c r="N5" s="70" t="s" ph="1">
        <v>609</v>
      </c>
      <c r="O5" s="70" t="s" ph="1">
        <v>611</v>
      </c>
      <c r="P5" s="70" t="s" ph="1">
        <v>613</v>
      </c>
      <c r="Q5" s="70" t="s" ph="1">
        <v>607</v>
      </c>
      <c r="R5" s="70" t="s" ph="1">
        <v>607</v>
      </c>
      <c r="S5" s="70" t="s" ph="1">
        <v>607</v>
      </c>
      <c r="T5" s="70" t="s" ph="1">
        <v>607</v>
      </c>
      <c r="U5" s="70" t="s" ph="1">
        <v>607</v>
      </c>
      <c r="V5" s="70" t="s" ph="1">
        <v>607</v>
      </c>
      <c r="W5" s="70" t="s" ph="1">
        <v>607</v>
      </c>
      <c r="X5" s="70" t="s" ph="1">
        <v>607</v>
      </c>
      <c r="Y5" s="70" t="s" ph="1">
        <v>607</v>
      </c>
      <c r="Z5" s="70" t="s" ph="1">
        <v>614</v>
      </c>
      <c r="AA5" s="70" t="s" ph="1">
        <v>54</v>
      </c>
      <c r="AB5" s="70" t="s" ph="1">
        <v>54</v>
      </c>
      <c r="AC5" s="70" t="s" ph="1">
        <v>615</v>
      </c>
      <c r="AD5" s="71" t="s">
        <v>72</v>
      </c>
      <c r="AE5" s="71" t="s">
        <v>635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184" ph="1">
        <v>0.33333333333333331</v>
      </c>
      <c r="C6" s="156" t="s" ph="1">
        <v>177</v>
      </c>
      <c r="D6" s="71">
        <v>4160</v>
      </c>
      <c r="E6" s="71">
        <v>7843</v>
      </c>
      <c r="F6" s="71">
        <v>5831</v>
      </c>
      <c r="G6" s="71">
        <v>1486</v>
      </c>
      <c r="H6" s="71">
        <v>5596</v>
      </c>
      <c r="I6" s="71">
        <v>38.56</v>
      </c>
      <c r="J6" s="71">
        <v>51.95</v>
      </c>
      <c r="K6" s="71">
        <v>62.7</v>
      </c>
      <c r="L6" s="71">
        <v>6.58</v>
      </c>
      <c r="M6" s="71">
        <v>5596</v>
      </c>
      <c r="N6" s="71">
        <v>1148</v>
      </c>
      <c r="O6" s="71">
        <v>5100</v>
      </c>
      <c r="P6" s="71">
        <v>1428</v>
      </c>
      <c r="Q6" s="71">
        <v>7081</v>
      </c>
      <c r="R6" s="71">
        <v>6809</v>
      </c>
      <c r="S6" s="71">
        <v>5552</v>
      </c>
      <c r="T6" s="71">
        <v>5503</v>
      </c>
      <c r="U6" s="71">
        <v>0</v>
      </c>
      <c r="V6" s="71">
        <v>0</v>
      </c>
      <c r="W6" s="71">
        <v>0</v>
      </c>
      <c r="X6" s="71">
        <v>0</v>
      </c>
      <c r="Y6" s="71">
        <v>2810</v>
      </c>
      <c r="Z6" s="71">
        <v>3982</v>
      </c>
      <c r="AA6" s="71">
        <v>0</v>
      </c>
      <c r="AB6" s="71">
        <v>2856</v>
      </c>
      <c r="AC6" s="71">
        <v>3240</v>
      </c>
      <c r="AD6" s="71">
        <v>3874</v>
      </c>
      <c r="AE6" s="71">
        <v>5340</v>
      </c>
    </row>
    <row r="7" spans="1:99" s="72" customFormat="1" ht="22.2" ph="1">
      <c r="B7" s="184" ph="1"/>
      <c r="C7" s="68" t="s" ph="1">
        <v>178</v>
      </c>
      <c r="D7" s="73" ph="1">
        <f>D6*33.183*LOOKUP(D8,密度!$A$2:$A$50,密度!$Q$2:$Q$50)</f>
        <v>130591.19211840001</v>
      </c>
      <c r="E7" s="73" ph="1">
        <f>E6*51.53*LOOKUP(E8,密度!$A$2:$A$50,密度!$B$2:$B$50)</f>
        <v>314711.44147299998</v>
      </c>
      <c r="F7" s="73" ph="1">
        <f>F6*33.183*LOOKUP(F8,密度!$A$2:$A$50,密度!$C$2:$C$50)</f>
        <v>214696.5850008</v>
      </c>
      <c r="G7" s="73" ph="1">
        <f xml:space="preserve"> (G6+2)*51.53*LOOKUP(G8,密度!$A$2:$A$50,密度!$B$2:$B$50)</f>
        <v>59777.108543999995</v>
      </c>
      <c r="H7" s="73" ph="1">
        <f>(H6)*51.53*LOOKUP(H8,密度!$A$2:$A$50,密度!$B$2:$B$50)</f>
        <v>224547.39595599999</v>
      </c>
      <c r="I7" s="73" ph="1">
        <f>I6*290.8*1.0267</f>
        <v>11512.641721600001</v>
      </c>
      <c r="J7" s="73" ph="1">
        <f>J6*290.8*0.7892</f>
        <v>11922.491752000002</v>
      </c>
      <c r="K7" s="73" ph="1">
        <f>K6*290.8*1.1126</f>
        <v>20286.213815999999</v>
      </c>
      <c r="L7" s="73" ph="1">
        <f>L6*290.8*0.777</f>
        <v>1486.7615280000002</v>
      </c>
      <c r="M7" s="73" ph="1">
        <f>M6*33.183*LOOKUP(M8,密度!$A$2:$A$50,密度!$D$2:$D$50)</f>
        <v>190482.9233544</v>
      </c>
      <c r="N7" s="73" ph="1">
        <f>N6*33.183*LOOKUP(N8,密度!$A$2:$A$50,密度!$E$2:$E$50)</f>
        <v>29793.383096400004</v>
      </c>
      <c r="O7" s="73" ph="1">
        <f>O6*20.428*LOOKUP(O8,密度!$A$2:$A$50,密度!$C$2:$C$50)</f>
        <v>115444.96068000002</v>
      </c>
      <c r="P7" s="73" ph="1">
        <f>P6*51.53*LOOKUP(P8,密度!$A$2:$A$50,密度!$B$2:$B$50)</f>
        <v>57432.967619999996</v>
      </c>
      <c r="Q7" s="73" ph="1">
        <f>Q6*1.5*1.5*3.1416*LOOKUP(W8,密度!$A$2:$A$50,密度!$L$2:$L$50)</f>
        <v>46899.432934200006</v>
      </c>
      <c r="R7" s="73" ph="1">
        <f>R6*1.5*1.5*3.1416*LOOKUP(R8,密度!$A$2:$A$50,密度!$L$2:$L$50)</f>
        <v>44760.990581999999</v>
      </c>
      <c r="S7" s="73" ph="1">
        <f>S6*1.5*1.5*3.1416*LOOKUP(S8,密度!$A$2:$A$50,密度!$L$2:$L$50)</f>
        <v>36929.420035199997</v>
      </c>
      <c r="T7" s="73" ph="1">
        <f>T6*1.5*1.5*3.1416*LOOKUP(T8,密度!$A$2:$A$50,密度!$L$2:$L$50)</f>
        <v>36642.392463599994</v>
      </c>
      <c r="U7" s="73" ph="1">
        <f>U6*1.5*1.5*3.1416*LOOKUP(U8,密度!$A$2:$A$50,密度!$L$2:$L$50)</f>
        <v>0</v>
      </c>
      <c r="V7" s="73" ph="1">
        <f>V6*1.5*1.5*3.1416*LOOKUP(V8,密度!$A$2:$A$50,密度!$L$2:$L$50)</f>
        <v>0</v>
      </c>
      <c r="W7" s="73" ph="1">
        <f>W6*1.5*1.5*3.1416*LOOKUP(W8,密度!$A$2:$A$50,密度!$L$2:$L$50)</f>
        <v>0</v>
      </c>
      <c r="X7" s="73" ph="1">
        <f>X6*1.5*1.5*3.1416*LOOKUP(X8,密度!$A$2:$A$50,密度!$L$2:$L$50)</f>
        <v>0</v>
      </c>
      <c r="Y7" s="73" ph="1">
        <f>Y6*1.5*1.5*3.1416*LOOKUP(Y8,密度!$A$2:$A$50,密度!$L$2:$L$50)</f>
        <v>18611.411742</v>
      </c>
      <c r="Z7" s="73" ph="1">
        <f>Z6*33.183*LOOKUP(Z8,密度!$A$2:$A$50,密度!$L$2:$L$50)</f>
        <v>123810.21952200001</v>
      </c>
      <c r="AA7" s="73" ph="1">
        <f>AA6*33.183*LOOKUP(AA8,密度!$A$2:$A$50,密度!$D$2:$D$50)</f>
        <v>0</v>
      </c>
      <c r="AB7" s="73" ph="1">
        <f>AB6*20.428*LOOKUP(AB8,密度!$A$2:$A$50,密度!$D$2:$D$50)</f>
        <v>60273.500380799996</v>
      </c>
      <c r="AC7" s="73" ph="1">
        <f>AC6*51.53*LOOKUP(AC8,密度!$A$2:$A$50,密度!$Q$2:$Q$50)</f>
        <v>158065.05952800001</v>
      </c>
      <c r="AD7" s="73" ph="1">
        <f>AD6*20.428*LOOKUP(AD8,密度!$A$2:$A$50,密度!$V$2:$V$50)</f>
        <v>76035.8595776</v>
      </c>
      <c r="AE7" s="73" ph="1">
        <f>AE6*20.428</f>
        <v>109085.52</v>
      </c>
    </row>
    <row r="8" spans="1:99" ph="1">
      <c r="B8" s="184" ph="1"/>
      <c r="C8" s="68" t="s" ph="1">
        <v>179</v>
      </c>
      <c r="D8" s="74">
        <v>26</v>
      </c>
      <c r="E8" s="74">
        <v>26</v>
      </c>
      <c r="F8" s="74">
        <v>24</v>
      </c>
      <c r="G8" s="74">
        <v>25</v>
      </c>
      <c r="H8" s="74">
        <v>26</v>
      </c>
      <c r="I8" s="74">
        <v>25</v>
      </c>
      <c r="J8" s="74">
        <v>25</v>
      </c>
      <c r="K8" s="74">
        <v>25</v>
      </c>
      <c r="L8" s="74">
        <v>25</v>
      </c>
      <c r="M8" s="74">
        <v>26</v>
      </c>
      <c r="N8" s="74">
        <v>26</v>
      </c>
      <c r="O8" s="74">
        <v>26</v>
      </c>
      <c r="P8" s="74">
        <v>24</v>
      </c>
      <c r="Q8" s="74">
        <v>28</v>
      </c>
      <c r="R8" s="74">
        <v>32</v>
      </c>
      <c r="S8" s="74">
        <v>21</v>
      </c>
      <c r="T8" s="74">
        <v>20</v>
      </c>
      <c r="U8" s="74">
        <v>25</v>
      </c>
      <c r="V8" s="74">
        <v>28</v>
      </c>
      <c r="W8" s="74">
        <v>25</v>
      </c>
      <c r="X8" s="74">
        <v>15</v>
      </c>
      <c r="Y8" s="74">
        <v>25</v>
      </c>
      <c r="Z8" s="74">
        <v>25</v>
      </c>
      <c r="AA8" s="74">
        <v>25</v>
      </c>
      <c r="AB8" s="74">
        <v>18</v>
      </c>
      <c r="AC8" s="74">
        <v>25</v>
      </c>
      <c r="AD8" s="74">
        <v>22</v>
      </c>
      <c r="AE8" s="74">
        <v>26</v>
      </c>
    </row>
    <row r="9" spans="1:99" ht="26.4" ph="1">
      <c r="B9" s="184" ph="1">
        <v>0.66666666666666663</v>
      </c>
      <c r="C9" s="156" t="s" ph="1">
        <v>180</v>
      </c>
      <c r="D9" s="71">
        <v>4163</v>
      </c>
      <c r="E9" s="71">
        <v>7846</v>
      </c>
      <c r="F9" s="71">
        <v>5835</v>
      </c>
      <c r="G9" s="71">
        <v>1488</v>
      </c>
      <c r="H9" s="71">
        <v>5311</v>
      </c>
      <c r="I9" s="71">
        <v>38.61</v>
      </c>
      <c r="J9" s="71">
        <v>21.6</v>
      </c>
      <c r="K9" s="71">
        <v>62.89</v>
      </c>
      <c r="L9" s="71">
        <v>36.869999999999997</v>
      </c>
      <c r="M9" s="71">
        <v>5599</v>
      </c>
      <c r="N9" s="71">
        <v>1816</v>
      </c>
      <c r="O9" s="71">
        <v>4218</v>
      </c>
      <c r="P9" s="71">
        <v>1404</v>
      </c>
      <c r="Q9" s="71">
        <v>7094</v>
      </c>
      <c r="R9" s="71">
        <v>6820</v>
      </c>
      <c r="S9" s="71">
        <v>4689</v>
      </c>
      <c r="T9" s="71">
        <v>7073</v>
      </c>
      <c r="U9" s="71">
        <v>5320</v>
      </c>
      <c r="V9" s="71">
        <v>0</v>
      </c>
      <c r="W9" s="71">
        <v>0</v>
      </c>
      <c r="X9" s="71">
        <v>0</v>
      </c>
      <c r="Y9" s="71">
        <v>0</v>
      </c>
      <c r="Z9" s="71">
        <v>4658</v>
      </c>
      <c r="AA9" s="71">
        <v>0</v>
      </c>
      <c r="AB9" s="71">
        <v>2734</v>
      </c>
      <c r="AC9" s="71">
        <v>3513</v>
      </c>
      <c r="AD9" s="71">
        <v>3876</v>
      </c>
      <c r="AE9" s="71">
        <v>5282</v>
      </c>
    </row>
    <row r="10" spans="1:99" s="72" customFormat="1" ht="22.2" ph="1">
      <c r="B10" s="184" ph="1"/>
      <c r="C10" s="156" t="s" ph="1">
        <v>178</v>
      </c>
      <c r="D10" s="73" ph="1">
        <f>D9*33.183*LOOKUP(D11,密度!$A$2:$A$50,密度!$Q$2:$Q$50)</f>
        <v>130114.84683509999</v>
      </c>
      <c r="E10" s="73" ph="1">
        <f>E9*51.53*LOOKUP(E11,密度!$A$2:$A$50,密度!$B$2:$B$50)</f>
        <v>313457.18581400003</v>
      </c>
      <c r="F10" s="73" ph="1">
        <f>F9*33.183*LOOKUP(F11,密度!$A$2:$A$50,密度!$C$2:$C$50)</f>
        <v>214553.43022050001</v>
      </c>
      <c r="G10" s="73" ph="1">
        <f xml:space="preserve"> (G9+2)*51.53*LOOKUP(G11,密度!$A$2:$A$50,密度!$B$2:$B$50)</f>
        <v>59657.8269</v>
      </c>
      <c r="H10" s="73" ph="1">
        <f>(H9)*51.53*LOOKUP(H11,密度!$A$2:$A$50,密度!$B$2:$B$50)</f>
        <v>212892.42815700002</v>
      </c>
      <c r="I10" s="73" ph="1">
        <f>I9*290.8*1.0267</f>
        <v>11527.5699396</v>
      </c>
      <c r="J10" s="73" ph="1">
        <f>J9*290.8*0.7892</f>
        <v>4957.1861760000002</v>
      </c>
      <c r="K10" s="73" ph="1">
        <f>K9*290.8*1.1126</f>
        <v>20347.687191200002</v>
      </c>
      <c r="L10" s="73" ph="1">
        <f>L9*290.8*0.777</f>
        <v>8330.8354920000002</v>
      </c>
      <c r="M10" s="73" ph="1">
        <f>M9*33.183*LOOKUP(M11,密度!$A$2:$A$50,密度!$D$2:$D$50)</f>
        <v>189711.82011869998</v>
      </c>
      <c r="N10" s="73" ph="1">
        <f>N9*33.183*LOOKUP(N11,密度!$A$2:$A$50,密度!$E$2:$E$50)</f>
        <v>46721.037504960004</v>
      </c>
      <c r="O10" s="73" ph="1">
        <f>O9*20.428*LOOKUP(O11,密度!$A$2:$A$50,密度!$C$2:$C$50)</f>
        <v>95135.112146400017</v>
      </c>
      <c r="P10" s="73" ph="1">
        <f>P9*51.53*LOOKUP(P11,密度!$A$2:$A$50,密度!$B$2:$B$50)</f>
        <v>56091.497435999998</v>
      </c>
      <c r="Q10" s="73" ph="1">
        <f>Q9*1.5*1.5*3.1416*LOOKUP(W11,密度!$A$2:$A$50,密度!$L$2:$L$50)</f>
        <v>46484.089066799999</v>
      </c>
      <c r="R10" s="73" ph="1">
        <f>R9*1.5*1.5*3.1416*LOOKUP(R11,密度!$A$2:$A$50,密度!$L$2:$L$50)</f>
        <v>44688.678804000003</v>
      </c>
      <c r="S10" s="73" ph="1">
        <f>S9*1.5*1.5*3.1416*LOOKUP(S11,密度!$A$2:$A$50,密度!$L$2:$L$50)</f>
        <v>31056.5514798</v>
      </c>
      <c r="T10" s="73" ph="1">
        <f>T9*1.5*1.5*3.1416*LOOKUP(T11,密度!$A$2:$A$50,密度!$L$2:$L$50)</f>
        <v>46996.435331999994</v>
      </c>
      <c r="U10" s="73" ph="1">
        <f>U9*1.5*1.5*3.1416*LOOKUP(U11,密度!$A$2:$A$50,密度!$L$2:$L$50)</f>
        <v>35123.025168</v>
      </c>
      <c r="V10" s="73" ph="1">
        <f>V9*1.5*1.5*3.1416*LOOKUP(V11,密度!$A$2:$A$50,密度!$L$2:$L$50)</f>
        <v>0</v>
      </c>
      <c r="W10" s="73" ph="1">
        <f>W9*1.5*1.5*3.1416*LOOKUP(W11,密度!$A$2:$A$50,密度!$L$2:$L$50)</f>
        <v>0</v>
      </c>
      <c r="X10" s="73" ph="1">
        <f>X9*1.5*1.5*3.1416*LOOKUP(X11,密度!$A$2:$A$50,密度!$L$2:$L$50)</f>
        <v>0</v>
      </c>
      <c r="Y10" s="73" ph="1">
        <f>Y9*1.5*1.5*3.1416*LOOKUP(Y11,密度!$A$2:$A$50,密度!$L$2:$L$50)</f>
        <v>0</v>
      </c>
      <c r="Z10" s="73" ph="1">
        <f>Z9*33.183*LOOKUP(Z11,密度!$A$2:$A$50,密度!$L$2:$L$50)</f>
        <v>144055.89784799999</v>
      </c>
      <c r="AA10" s="73" ph="1">
        <f>AA9*33.183*LOOKUP(AA11,密度!$A$2:$A$50,密度!$D$2:$D$50)</f>
        <v>0</v>
      </c>
      <c r="AB10" s="73" ph="1">
        <f>AB9*20.428*LOOKUP(AB11,密度!$A$2:$A$50,密度!$D$2:$D$50)</f>
        <v>57553.581636000003</v>
      </c>
      <c r="AC10" s="73" ph="1">
        <f>AC9*51.53*LOOKUP(AC11,密度!$A$2:$A$50,密度!$Q$2:$Q$50)</f>
        <v>170999.73159180002</v>
      </c>
      <c r="AD10" s="73" ph="1">
        <f>AD9*20.428*LOOKUP(AD11,密度!$A$2:$A$50,密度!$V$2:$V$50)</f>
        <v>75821.741452799994</v>
      </c>
      <c r="AE10" s="73" ph="1">
        <f>AE9*20.428</f>
        <v>107900.69600000001</v>
      </c>
    </row>
    <row r="11" spans="1:99" ph="1">
      <c r="A11" s="64" t="s" ph="1">
        <v>162</v>
      </c>
      <c r="B11" s="184" ph="1"/>
      <c r="C11" s="156" t="s" ph="1">
        <v>179</v>
      </c>
      <c r="D11" s="74">
        <v>32</v>
      </c>
      <c r="E11" s="74">
        <v>30</v>
      </c>
      <c r="F11" s="74">
        <v>26</v>
      </c>
      <c r="G11" s="74">
        <v>28</v>
      </c>
      <c r="H11" s="74">
        <v>27</v>
      </c>
      <c r="I11" s="74">
        <v>25</v>
      </c>
      <c r="J11" s="74">
        <v>25</v>
      </c>
      <c r="K11" s="74">
        <v>25</v>
      </c>
      <c r="L11" s="74">
        <v>25</v>
      </c>
      <c r="M11" s="74">
        <v>31</v>
      </c>
      <c r="N11" s="74">
        <v>32</v>
      </c>
      <c r="O11" s="74">
        <v>31</v>
      </c>
      <c r="P11" s="74">
        <v>30</v>
      </c>
      <c r="Q11" s="74">
        <v>30</v>
      </c>
      <c r="R11" s="74">
        <v>35</v>
      </c>
      <c r="S11" s="74">
        <v>25</v>
      </c>
      <c r="T11" s="74">
        <v>22</v>
      </c>
      <c r="U11" s="74">
        <v>28</v>
      </c>
      <c r="V11" s="74">
        <v>28</v>
      </c>
      <c r="W11" s="74">
        <v>35</v>
      </c>
      <c r="X11" s="74">
        <v>22</v>
      </c>
      <c r="Y11" s="74">
        <v>34</v>
      </c>
      <c r="Z11" s="74">
        <v>30</v>
      </c>
      <c r="AA11" s="74">
        <v>30</v>
      </c>
      <c r="AB11" s="74">
        <v>21</v>
      </c>
      <c r="AC11" s="74">
        <v>28</v>
      </c>
      <c r="AD11" s="74">
        <v>29</v>
      </c>
      <c r="AE11" s="74">
        <v>29</v>
      </c>
    </row>
    <row r="12" spans="1:99" ht="9.9" customHeight="1" ph="1"/>
    <row r="13" spans="1:99" s="72" customFormat="1" ht="29.25" customHeight="1" ph="1">
      <c r="B13" s="192" t="s" ph="1">
        <v>37</v>
      </c>
      <c r="C13" s="156" t="s" ph="1">
        <v>176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128</v>
      </c>
      <c r="I13" s="76" t="s" ph="1">
        <v>59</v>
      </c>
      <c r="J13" s="76" t="s" ph="1">
        <v>129</v>
      </c>
      <c r="K13" s="76" t="s" ph="1">
        <v>55</v>
      </c>
      <c r="L13" s="76" t="s" ph="1">
        <v>60</v>
      </c>
      <c r="M13" s="76" t="s" ph="1">
        <v>61</v>
      </c>
      <c r="N13" s="76" t="s" ph="1">
        <v>130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131</v>
      </c>
      <c r="W13" s="76" t="s" ph="1">
        <v>132</v>
      </c>
      <c r="X13" s="76" t="s" ph="1">
        <v>133</v>
      </c>
      <c r="Y13" s="105" t="s" ph="1">
        <v>68</v>
      </c>
      <c r="Z13" s="76" t="s" ph="1">
        <v>74</v>
      </c>
      <c r="AA13" s="76" t="s" ph="1">
        <v>134</v>
      </c>
      <c r="AB13" s="76" t="s" ph="1">
        <v>135</v>
      </c>
      <c r="AC13" s="76" t="s" ph="1">
        <v>136</v>
      </c>
      <c r="AD13" s="76" t="s" ph="1">
        <v>137</v>
      </c>
      <c r="AE13" s="76" t="s" ph="1">
        <v>138</v>
      </c>
      <c r="AG13" s="72" t="s" ph="1">
        <v>325</v>
      </c>
      <c r="AH13" s="72" t="s" ph="1">
        <v>188</v>
      </c>
      <c r="AI13" s="72" t="s" ph="1">
        <v>189</v>
      </c>
      <c r="AJ13" s="72" t="s" ph="1">
        <v>190</v>
      </c>
      <c r="AK13" s="72" t="s" ph="1">
        <v>191</v>
      </c>
      <c r="AL13" s="72" t="s" ph="1">
        <v>192</v>
      </c>
      <c r="AM13" s="72" t="s" ph="1">
        <v>193</v>
      </c>
      <c r="AN13" s="72" t="s" ph="1">
        <v>194</v>
      </c>
      <c r="AO13" s="72" t="s" ph="1">
        <v>195</v>
      </c>
      <c r="AP13" s="72" t="s" ph="1">
        <v>196</v>
      </c>
      <c r="AQ13" s="72" t="s" ph="1">
        <v>197</v>
      </c>
      <c r="AR13" s="72" t="s" ph="1">
        <v>198</v>
      </c>
      <c r="AS13" s="72" t="s" ph="1">
        <v>199</v>
      </c>
      <c r="AT13" s="72" t="s" ph="1">
        <v>200</v>
      </c>
      <c r="AU13" s="72" t="s" ph="1">
        <v>201</v>
      </c>
      <c r="AV13" s="72" t="s" ph="1">
        <v>202</v>
      </c>
      <c r="AW13" s="72" t="s" ph="1">
        <v>203</v>
      </c>
      <c r="AX13" s="72" t="s" ph="1">
        <v>204</v>
      </c>
      <c r="AY13" s="72" t="s" ph="1">
        <v>326</v>
      </c>
      <c r="AZ13" s="72" t="s" ph="1">
        <v>205</v>
      </c>
      <c r="BA13" s="72" t="s" ph="1">
        <v>206</v>
      </c>
      <c r="BB13" s="72" t="s" ph="1">
        <v>591</v>
      </c>
      <c r="BC13" s="72" t="s" ph="1">
        <v>207</v>
      </c>
      <c r="BD13" s="72" t="s" ph="1">
        <v>327</v>
      </c>
      <c r="BE13" s="72" t="s" ph="1">
        <v>328</v>
      </c>
      <c r="BF13" s="72" t="s" ph="1">
        <v>329</v>
      </c>
      <c r="BG13" s="72" t="s" ph="1">
        <v>330</v>
      </c>
      <c r="BH13" s="72" t="s" ph="1">
        <v>331</v>
      </c>
    </row>
    <row r="14" spans="1:99" s="72" customFormat="1" ht="24" ph="1">
      <c r="B14" s="193" ph="1"/>
      <c r="C14" s="67" t="s" ph="1">
        <v>36</v>
      </c>
      <c r="D14" s="77" t="s" ph="1">
        <v>616</v>
      </c>
      <c r="E14" s="77" t="s" ph="1">
        <v>616</v>
      </c>
      <c r="F14" s="144" t="s" ph="1">
        <v>636</v>
      </c>
      <c r="G14" s="77" t="s" ph="1">
        <v>617</v>
      </c>
      <c r="H14" s="77" t="s" ph="1">
        <v>637</v>
      </c>
      <c r="I14" s="138" t="s" ph="1">
        <v>618</v>
      </c>
      <c r="J14" s="77" t="s" ph="1">
        <v>619</v>
      </c>
      <c r="K14" s="77" t="s" ph="1">
        <v>186</v>
      </c>
      <c r="L14" s="77" t="s" ph="1">
        <v>41</v>
      </c>
      <c r="M14" s="104" t="s" ph="1">
        <v>620</v>
      </c>
      <c r="N14" s="104" t="s" ph="1">
        <v>621</v>
      </c>
      <c r="O14" s="104" t="s" ph="1">
        <v>641</v>
      </c>
      <c r="P14" s="77" t="s" ph="1">
        <v>622</v>
      </c>
      <c r="Q14" s="77" t="s" ph="1">
        <v>622</v>
      </c>
      <c r="R14" s="88" t="s" ph="1">
        <v>7</v>
      </c>
      <c r="S14" s="77" t="s" ph="1">
        <v>622</v>
      </c>
      <c r="T14" s="77" t="s" ph="1">
        <v>624</v>
      </c>
      <c r="U14" s="77" t="s" ph="1">
        <v>605</v>
      </c>
      <c r="V14" s="77" t="s" ph="1">
        <v>633</v>
      </c>
      <c r="W14" s="77" t="s" ph="1">
        <v>622</v>
      </c>
      <c r="X14" s="77" t="s" ph="1">
        <v>625</v>
      </c>
      <c r="Y14" s="143" t="s" ph="1">
        <v>0</v>
      </c>
      <c r="Z14" s="77" t="s" ph="1">
        <v>54</v>
      </c>
      <c r="AA14" s="77" t="s" ph="1">
        <v>613</v>
      </c>
      <c r="AB14" s="77" t="s" ph="1">
        <v>632</v>
      </c>
      <c r="AC14" s="77" t="s" ph="1">
        <v>632</v>
      </c>
      <c r="AD14" s="77" t="s" ph="1">
        <v>612</v>
      </c>
      <c r="AE14" s="77" t="s" ph="1">
        <v>612</v>
      </c>
      <c r="AG14" s="72" t="s" ph="1">
        <v>208</v>
      </c>
      <c r="AI14" s="72" t="s" ph="1">
        <v>209</v>
      </c>
      <c r="AJ14" s="72" t="s" ph="1">
        <v>332</v>
      </c>
      <c r="AK14" s="72" t="s" ph="1">
        <v>210</v>
      </c>
      <c r="AM14" s="72" t="s" ph="1">
        <v>212</v>
      </c>
      <c r="AN14" s="72" t="s" ph="1">
        <v>210</v>
      </c>
      <c r="AO14" s="72" t="s" ph="1">
        <v>211</v>
      </c>
      <c r="AP14" s="72" t="s" ph="1">
        <v>212</v>
      </c>
      <c r="AQ14" s="72" t="s" ph="1">
        <v>210</v>
      </c>
      <c r="AR14" s="72" t="s" ph="1">
        <v>211</v>
      </c>
      <c r="AS14" s="72" t="s" ph="1">
        <v>212</v>
      </c>
      <c r="AT14" s="72" t="s" ph="1">
        <v>210</v>
      </c>
      <c r="AU14" s="72" t="s" ph="1">
        <v>211</v>
      </c>
      <c r="AV14" s="72" t="s" ph="1">
        <v>212</v>
      </c>
      <c r="AW14" s="72" t="s" ph="1">
        <v>210</v>
      </c>
      <c r="AX14" s="72" t="s" ph="1">
        <v>211</v>
      </c>
      <c r="AY14" s="72" t="s" ph="1">
        <v>212</v>
      </c>
      <c r="AZ14" s="72" t="s" ph="1">
        <v>211</v>
      </c>
    </row>
    <row r="15" spans="1:99" ph="1">
      <c r="B15" s="194" ph="1">
        <v>0.33333333333333331</v>
      </c>
      <c r="C15" s="156" t="s" ph="1">
        <v>177</v>
      </c>
      <c r="D15" s="78">
        <v>2409</v>
      </c>
      <c r="E15" s="78">
        <v>1384</v>
      </c>
      <c r="F15" s="78">
        <v>1262</v>
      </c>
      <c r="G15" s="78">
        <v>1932</v>
      </c>
      <c r="H15" s="78">
        <v>2025</v>
      </c>
      <c r="I15" s="78">
        <v>5375</v>
      </c>
      <c r="J15" s="78">
        <v>3992</v>
      </c>
      <c r="K15" s="78">
        <v>2275</v>
      </c>
      <c r="L15" s="78">
        <v>3141</v>
      </c>
      <c r="M15" s="78">
        <v>5939</v>
      </c>
      <c r="N15" s="78">
        <v>1865</v>
      </c>
      <c r="O15" s="78">
        <v>5460</v>
      </c>
      <c r="P15" s="78">
        <v>1958</v>
      </c>
      <c r="Q15" s="78">
        <v>747</v>
      </c>
      <c r="R15" s="78">
        <v>1945</v>
      </c>
      <c r="S15" s="78">
        <v>190</v>
      </c>
      <c r="T15" s="78">
        <v>1333</v>
      </c>
      <c r="U15" s="78">
        <v>6685</v>
      </c>
      <c r="V15" s="78">
        <v>-817</v>
      </c>
      <c r="W15" s="71">
        <v>-774</v>
      </c>
      <c r="X15" s="78">
        <v>1332</v>
      </c>
      <c r="Y15" s="106">
        <v>-9905</v>
      </c>
      <c r="Z15" s="78">
        <v>1709</v>
      </c>
      <c r="AA15" s="78">
        <v>2558</v>
      </c>
      <c r="AB15" s="78" ph="1">
        <v>690</v>
      </c>
      <c r="AC15" s="78" ph="1">
        <v>498</v>
      </c>
      <c r="AD15" s="78">
        <v>5.7</v>
      </c>
      <c r="AE15" s="78">
        <v>40.68</v>
      </c>
      <c r="AG15" s="64" t="s" ph="1">
        <v>214</v>
      </c>
      <c r="AH15" s="64" ph="1">
        <v>1</v>
      </c>
      <c r="AI15" s="64" t="s" ph="1">
        <v>333</v>
      </c>
      <c r="AK15" s="64" t="s" ph="1">
        <v>587</v>
      </c>
      <c r="AM15" s="64" t="s" ph="1">
        <v>335</v>
      </c>
      <c r="AZ15" s="64" t="s" ph="1">
        <v>216</v>
      </c>
      <c r="BA15" s="64" ph="1">
        <v>0</v>
      </c>
    </row>
    <row r="16" spans="1:99" s="72" customFormat="1" ht="22.2" ph="1">
      <c r="B16" s="195" ph="1"/>
      <c r="C16" s="156" t="s" ph="1">
        <v>178</v>
      </c>
      <c r="D16" s="73" ph="1">
        <f>D15*7.0686*LOOKUP(D17,密度!$A$2:$A$50,密度!$L$2:$L$50)</f>
        <v>15955.4771838</v>
      </c>
      <c r="E16" s="73" ph="1">
        <f>E15*7.0686*LOOKUP(E17,密度!$A$2:$A$50,密度!$L$2:$L$50)</f>
        <v>9166.6170288000012</v>
      </c>
      <c r="F16" s="73" ph="1">
        <f>F15*9.0746*LOOKUP(F17,密度!$A$2:$A$50,密度!$L$2:$L$50)</f>
        <v>10719.207907200002</v>
      </c>
      <c r="G16" s="73" ph="1">
        <f>G15*9.0746*LOOKUP(G17,密度!$A$2:$A$50,密度!$B$2:$B$50)</f>
        <v>13668.046365119999</v>
      </c>
      <c r="H16" s="73" ph="1">
        <f>H15*9.0746*LOOKUP(H17,密度!$A$2:$A$50,密度!$L$2:$L$50)</f>
        <v>17310.253229999998</v>
      </c>
      <c r="I16" s="73" ph="1">
        <f>I15*9.0746*LOOKUP(I17,密度!$A$2:$A$50,密度!$U$2:$U$50)</f>
        <v>50044.150349999996</v>
      </c>
      <c r="J16" s="73" ph="1">
        <f>J15*9.0746*LOOKUP(J17,密度!$A$2:$A$50,密度!$L$2:$L$50)</f>
        <v>33907.351795200004</v>
      </c>
      <c r="K16" s="73" ph="1">
        <f>K15*9.0746*LOOKUP(K17,密度!$A$2:$A$50,密度!$C$2:$C$50)</f>
        <v>22892.9244635</v>
      </c>
      <c r="L16" s="73" ph="1">
        <f>L15*9.0746*LOOKUP(L17,密度!$A$2:$A$50,密度!$E$2:$E$50)</f>
        <v>22323.799127520004</v>
      </c>
      <c r="M16" s="73" ph="1">
        <f>M15*9.0746*LOOKUP(M17,密度!$A$2:$A$50,密度!$M$2:$M$50)</f>
        <v>47108.78858054</v>
      </c>
      <c r="N16" s="73" ph="1">
        <f>N15*9.0746*LOOKUP(N17,密度!$A$2:$A$50,密度!$M$2:$M$50)</f>
        <v>14859.385262000002</v>
      </c>
      <c r="O16" s="73" ph="1">
        <f>O15*9.0746*LOOKUP(O17,密度!$A$2:$A$50,密度!$G$2:$G$50)</f>
        <v>47575.332823199999</v>
      </c>
      <c r="P16" s="73" ph="1">
        <f ca="1">P15*9.0746*LOOKUP(P17,密度!$A$2:$A$51,密度!$Q$2:$Q$50)</f>
        <v>16821.739562232</v>
      </c>
      <c r="Q16" s="73" ph="1">
        <f>Q15*9.0746*LOOKUP(Q17,密度!$A$2:$A$50,密度!$Q$2:$Q$50)</f>
        <v>6417.691242588</v>
      </c>
      <c r="R16" s="73" ph="1">
        <f>MAX(R15*9.0746*LOOKUP(R17,密度!$A$2:$A$50,密度!$B$2:$B$50),0)</f>
        <v>13760.0156212</v>
      </c>
      <c r="S16" s="73" ph="1">
        <f>S15*9.0746*LOOKUP(S17,密度!$A$2:$A$50,密度!$Q$2:$Q$50)</f>
        <v>1632.3444927600001</v>
      </c>
      <c r="T16" s="73" ph="1">
        <f>T15*9.0746*LOOKUP(T17,密度!$A$2:$A$50,密度!$O$2:$O$50)</f>
        <v>11201.3051068</v>
      </c>
      <c r="U16" s="73" ph="1">
        <f>U15*9.0746*LOOKUP(U17,密度!$A$2:$A$50,密度!$H$2:$H$50)</f>
        <v>55549.751005699996</v>
      </c>
      <c r="V16" s="73" ph="1">
        <f>MAX(5600*LOOKUP(V17,密度!$A$2:$A$50,密度!$Q$2:$Q$50)+V15*9.0476*LOOKUP(V17,密度!$A$2:$A$50,密度!$Q$2:$Q$50),0)</f>
        <v>0</v>
      </c>
      <c r="W16" s="73" ph="1">
        <f>MAX(5600*LOOKUP(W17,密度!$A$2:$A$50,密度!$Q$2:$Q$50)+W15*9.0476*LOOKUP(W17,密度!$A$2:$A$50,密度!$Q$2:$Q$50),0)</f>
        <v>0</v>
      </c>
      <c r="X16" s="73" ph="1">
        <f>MAX(5600*LOOKUP(X17,密度!$A$2:$A$50,密度!$I$2:$I$50)+X15*9.0476*LOOKUP(X17,密度!$A$2:$A$50,密度!$I$2:$I$50),0)</f>
        <v>18339.807924799999</v>
      </c>
      <c r="Y16" s="107" ph="1">
        <v>0</v>
      </c>
      <c r="Z16" s="73" ph="1">
        <f>Z15*9.0746*LOOKUP(Z17,密度!$A$2:$A$50,密度!$D$2:$D$50)</f>
        <v>15922.56812038</v>
      </c>
      <c r="AA16" s="73" ph="1">
        <f>AA15*9.0746*LOOKUP(AA17,密度!$A$2:$A$50,密度!$B$2:$B$50)</f>
        <v>18096.719773279998</v>
      </c>
      <c r="AB16" s="73" ph="1">
        <f>AB15*9.0746*LOOKUP(AB17,密度!$A$2:$A$50,密度!$L$2:$L$50)</f>
        <v>5867.0011380000005</v>
      </c>
      <c r="AC16" s="73" ph="1">
        <f>AC15*9.0746*LOOKUP(AC17,密度!$A$2:$A$50,密度!$L$2:$L$50)</f>
        <v>4234.4442996000007</v>
      </c>
      <c r="AD16" s="73" ph="1">
        <f>AD15*268.68*LOOKUP(AD17,密度!$A$2:$A$50,密度!B2:B50)+IF(AD15&lt;=0,0,1566*LOOKUP(AD17,密度!$A$2:$A$50,密度!B2:B50))</f>
        <v>2414.7922896</v>
      </c>
      <c r="AE16" s="73" ph="1">
        <f>AE15*268.68*LOOKUP(AE17,密度!$A$2:$A$50,密度!B2:B50)+IF(AE15&lt;=0,0,1566*LOOKUP(AE17,密度!$A$2:$A$50,密度!B2:B50))</f>
        <v>9741.8055110400001</v>
      </c>
      <c r="AH16" s="72" ph="1">
        <v>2</v>
      </c>
      <c r="AI16" s="72" t="s" ph="1">
        <v>337</v>
      </c>
      <c r="AZ16" s="72" t="s" ph="1">
        <v>216</v>
      </c>
      <c r="BA16" s="72" ph="1">
        <v>0</v>
      </c>
    </row>
    <row r="17" spans="1:57" ph="1">
      <c r="A17" s="64" t="s" ph="1">
        <v>73</v>
      </c>
      <c r="B17" s="196" ph="1"/>
      <c r="C17" s="79" t="s" ph="1">
        <v>179</v>
      </c>
      <c r="D17" s="74">
        <v>25</v>
      </c>
      <c r="E17" s="74">
        <v>25</v>
      </c>
      <c r="F17" s="74">
        <v>26</v>
      </c>
      <c r="G17" s="74">
        <v>25</v>
      </c>
      <c r="H17" s="74">
        <v>20</v>
      </c>
      <c r="I17" s="74">
        <v>24</v>
      </c>
      <c r="J17" s="74">
        <v>26</v>
      </c>
      <c r="K17" s="74">
        <v>25</v>
      </c>
      <c r="L17" s="74">
        <v>25</v>
      </c>
      <c r="M17" s="74">
        <v>26</v>
      </c>
      <c r="N17" s="74">
        <v>22</v>
      </c>
      <c r="O17" s="74">
        <v>25</v>
      </c>
      <c r="P17" s="74">
        <v>25</v>
      </c>
      <c r="Q17" s="74">
        <v>25</v>
      </c>
      <c r="R17" s="74">
        <v>25</v>
      </c>
      <c r="S17" s="74">
        <v>25</v>
      </c>
      <c r="T17" s="74">
        <v>25</v>
      </c>
      <c r="U17" s="74">
        <v>24</v>
      </c>
      <c r="V17" s="74">
        <v>25</v>
      </c>
      <c r="W17" s="74">
        <v>25</v>
      </c>
      <c r="X17" s="74">
        <v>28</v>
      </c>
      <c r="Y17" s="108">
        <v>28</v>
      </c>
      <c r="Z17" s="74">
        <v>25</v>
      </c>
      <c r="AA17" s="74">
        <v>25</v>
      </c>
      <c r="AB17" s="74">
        <v>25</v>
      </c>
      <c r="AC17" s="74">
        <v>25</v>
      </c>
      <c r="AD17" s="74">
        <v>25</v>
      </c>
      <c r="AE17" s="74">
        <v>25</v>
      </c>
      <c r="AH17" s="64" ph="1">
        <v>3</v>
      </c>
      <c r="AI17" s="64" t="s" ph="1">
        <v>338</v>
      </c>
      <c r="AK17" s="64" t="s" ph="1">
        <v>570</v>
      </c>
      <c r="AL17" s="64" ph="1">
        <v>80</v>
      </c>
      <c r="AM17" s="64" t="s" ph="1">
        <v>335</v>
      </c>
      <c r="AZ17" s="64" t="s" ph="1">
        <v>216</v>
      </c>
      <c r="BA17" s="64" ph="1">
        <v>80</v>
      </c>
      <c r="BD17" s="64" t="s" ph="1">
        <v>214</v>
      </c>
      <c r="BE17" s="64" ph="1">
        <v>2270</v>
      </c>
    </row>
    <row r="18" spans="1:57" ht="26.4" ph="1">
      <c r="B18" s="194" ph="1">
        <v>0.66666666666666663</v>
      </c>
      <c r="C18" s="79" t="s" ph="1">
        <v>180</v>
      </c>
      <c r="D18" s="71">
        <v>4343</v>
      </c>
      <c r="E18" s="71">
        <v>155</v>
      </c>
      <c r="F18" s="71">
        <v>1262</v>
      </c>
      <c r="G18" s="71">
        <v>2038</v>
      </c>
      <c r="H18" s="71">
        <v>2027</v>
      </c>
      <c r="I18" s="71">
        <v>5381</v>
      </c>
      <c r="J18" s="71">
        <v>3998</v>
      </c>
      <c r="K18" s="71">
        <v>2275</v>
      </c>
      <c r="L18" s="71">
        <v>2713</v>
      </c>
      <c r="M18" s="71">
        <v>4236</v>
      </c>
      <c r="N18" s="71">
        <v>3544</v>
      </c>
      <c r="O18" s="71">
        <v>2695</v>
      </c>
      <c r="P18" s="71">
        <v>1961</v>
      </c>
      <c r="Q18" s="71">
        <v>746</v>
      </c>
      <c r="R18" s="71">
        <v>1947</v>
      </c>
      <c r="S18" s="71">
        <v>185</v>
      </c>
      <c r="T18" s="71">
        <v>1333</v>
      </c>
      <c r="U18" s="71">
        <v>6695</v>
      </c>
      <c r="V18" s="71">
        <v>-817</v>
      </c>
      <c r="W18" s="71">
        <v>-765</v>
      </c>
      <c r="X18" s="71">
        <v>1330</v>
      </c>
      <c r="Y18" s="109">
        <v>-9909</v>
      </c>
      <c r="Z18" s="71">
        <v>1710</v>
      </c>
      <c r="AA18" s="71">
        <v>2562</v>
      </c>
      <c r="AB18" s="71">
        <v>689</v>
      </c>
      <c r="AC18" s="71">
        <v>497</v>
      </c>
      <c r="AD18" s="71">
        <v>15.23</v>
      </c>
      <c r="AE18" s="71">
        <v>84.58</v>
      </c>
      <c r="AH18" s="64" ph="1">
        <v>4</v>
      </c>
      <c r="AI18" s="64" t="s" ph="1">
        <v>340</v>
      </c>
      <c r="AJ18" s="64" t="s" ph="1">
        <v>588</v>
      </c>
      <c r="AK18" s="64" t="s" ph="1">
        <v>587</v>
      </c>
      <c r="AL18" s="64" ph="1">
        <v>740</v>
      </c>
      <c r="AM18" s="64" t="s" ph="1">
        <v>339</v>
      </c>
      <c r="AZ18" s="64" t="s" ph="1">
        <v>216</v>
      </c>
      <c r="BA18" s="64" ph="1">
        <v>740</v>
      </c>
    </row>
    <row r="19" spans="1:57" s="72" customFormat="1" ht="22.2" ph="1">
      <c r="B19" s="195" ph="1"/>
      <c r="C19" s="156" t="s" ph="1">
        <v>178</v>
      </c>
      <c r="D19" s="73" ph="1">
        <f>D18*7.0686*LOOKUP(D20,密度!$A$2:$A$50,密度!$L$2:$L$50)</f>
        <v>28457.907924600004</v>
      </c>
      <c r="E19" s="73" ph="1">
        <f>E18*7.0686*LOOKUP(E20,密度!$A$2:$A$50,密度!$L$2:$L$50)</f>
        <v>1015.6517910000001</v>
      </c>
      <c r="F19" s="73" ph="1">
        <f>F18*9.0746*LOOKUP(F20,密度!$A$2:$A$50,密度!$L$2:$L$50)</f>
        <v>10604.686455200001</v>
      </c>
      <c r="G19" s="73" ph="1">
        <f>G18*9.0746*LOOKUP(G20,密度!$A$2:$A$50,密度!$B$2:$B$50)</f>
        <v>14401.30489876</v>
      </c>
      <c r="H19" s="73" ph="1">
        <f>H18*9.0746*LOOKUP(H20,密度!$A$2:$A$50,密度!$L$2:$L$50)</f>
        <v>17253.7729196</v>
      </c>
      <c r="I19" s="73" ph="1">
        <f>I18*9.0746*LOOKUP(I20,密度!$A$2:$A$50,密度!$U$2:$U$50)</f>
        <v>49904.691897199998</v>
      </c>
      <c r="J19" s="73" ph="1">
        <f>J18*9.0746*LOOKUP(J20,密度!$A$2:$A$50,密度!$L$2:$L$50)</f>
        <v>33631.792491600005</v>
      </c>
      <c r="K19" s="73" ph="1">
        <f>K18*9.0746*LOOKUP(K20,密度!$A$2:$A$50,密度!$C$2:$C$50)</f>
        <v>22814.474546499998</v>
      </c>
      <c r="L19" s="73" ph="1">
        <f>L18*9.0746*LOOKUP(L20,密度!$A$2:$A$50,密度!$E$2:$E$50)</f>
        <v>19171.118837260001</v>
      </c>
      <c r="M19" s="73" ph="1">
        <f>M18*9.0746*LOOKUP(M20,密度!$A$2:$A$50,密度!$M$2:$M$50)</f>
        <v>33399.367665672005</v>
      </c>
      <c r="N19" s="73" ph="1">
        <f>N18*9.0746*LOOKUP(N20,密度!$A$2:$A$50,密度!$M$2:$M$50)</f>
        <v>28143.550638240002</v>
      </c>
      <c r="O19" s="73" ph="1">
        <f>O18*9.0746*LOOKUP(O20,密度!$A$2:$A$50,密度!$G$2:$G$50)</f>
        <v>23297.808614080004</v>
      </c>
      <c r="P19" s="73" ph="1">
        <f ca="1">P18*9.0746*LOOKUP(P20,密度!$A$2:$A$51,密度!$Q$2:$Q$50)</f>
        <v>16809.787406571999</v>
      </c>
      <c r="Q19" s="73" ph="1">
        <f>Q18*9.0746*LOOKUP(Q20,密度!$A$2:$A$50,密度!$Q$2:$Q$50)</f>
        <v>6363.0663249039999</v>
      </c>
      <c r="R19" s="73" ph="1">
        <f>MAX(R18*9.0746*LOOKUP(R20,密度!$A$2:$A$50,密度!$B$2:$B$50),0)</f>
        <v>13698.19127886</v>
      </c>
      <c r="S19" s="73" ph="1">
        <f>S18*9.0746*LOOKUP(S20,密度!$A$2:$A$50,密度!$Q$2:$Q$50)</f>
        <v>1577.9722119399999</v>
      </c>
      <c r="T19" s="73" ph="1">
        <f>T18*9.0746*LOOKUP(T20,密度!$A$2:$A$50,密度!$O$2:$O$50)</f>
        <v>11152.919339600001</v>
      </c>
      <c r="U19" s="73" ph="1">
        <f>U18*9.0746*LOOKUP(U20,密度!$A$2:$A$50,密度!$H$2:$H$50)</f>
        <v>54993.10279099</v>
      </c>
      <c r="V19" s="73" ph="1">
        <f>MAX(5600*LOOKUP(V20,密度!$A$2:$A$50,密度!$Q$2:$Q$50)+V18*9.0476*LOOKUP(V20,密度!$A$2:$A$50,密度!$Q$2:$Q$50),0)</f>
        <v>0</v>
      </c>
      <c r="W19" s="73" ph="1">
        <f>MAX(5600*LOOKUP(W20,密度!$A$2:$A$50,密度!$Q$2:$Q$50)+W18*9.0476*LOOKUP(W20,密度!$A$2:$A$50,密度!$Q$2:$Q$50),0)</f>
        <v>0</v>
      </c>
      <c r="X19" s="73" ph="1">
        <f>MAX(5600*LOOKUP(X20,密度!$A$2:$A$50,密度!$I$2:$I$50)+X18*9.0476*LOOKUP(X20,密度!$A$2:$A$50,密度!$I$2:$I$50),0)</f>
        <v>18241.657125999998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15888.435827400001</v>
      </c>
      <c r="AA19" s="73" ph="1">
        <f>AA18*9.0746*LOOKUP(AA20,密度!$A$2:$A$50,密度!$B$2:$B$50)</f>
        <v>18104.093793240001</v>
      </c>
      <c r="AB19" s="73" ph="1">
        <f>AB18*9.0746*LOOKUP(AB20,密度!$A$2:$A$50,密度!$L$2:$L$50)</f>
        <v>5808.4790426000009</v>
      </c>
      <c r="AC19" s="73" ph="1">
        <f>AC18*9.0746*LOOKUP(AC20,密度!$A$2:$A$50,密度!$L$2:$L$50)</f>
        <v>4189.8607898000009</v>
      </c>
      <c r="AD19" s="73" ph="1">
        <f>AD18*268.68*LOOKUP(AD20,密度!$A$2:$A$50,密度!B5:B53)+IF(AD18&lt;=0,0,1566*LOOKUP(AD20,密度!$A$2:$A$50,密度!B5:B53))</f>
        <v>4396.2632027999998</v>
      </c>
      <c r="AE19" s="73" ph="1">
        <f>AE18*268.68*LOOKUP(AE20,密度!$A$2:$A$50,密度!B5:B53)+IF(AE18&lt;=0,0,1566*LOOKUP(AE20,密度!$A$2:$A$50,密度!B5:B53))</f>
        <v>18874.071568799998</v>
      </c>
      <c r="AH19" s="72" ph="1">
        <v>5</v>
      </c>
      <c r="AI19" s="72" t="s" ph="1">
        <v>341</v>
      </c>
      <c r="AZ19" s="72" t="s" ph="1">
        <v>216</v>
      </c>
      <c r="BA19" s="72" ph="1">
        <v>0</v>
      </c>
      <c r="BD19" s="72" t="s" ph="1">
        <v>342</v>
      </c>
      <c r="BE19" s="72" ph="1">
        <v>1440</v>
      </c>
    </row>
    <row r="20" spans="1:57" ph="1">
      <c r="A20" s="72" ph="1"/>
      <c r="B20" s="195" ph="1"/>
      <c r="C20" s="80" t="s" ph="1">
        <v>179</v>
      </c>
      <c r="D20" s="81">
        <v>35</v>
      </c>
      <c r="E20" s="81">
        <v>35</v>
      </c>
      <c r="F20" s="81">
        <v>36</v>
      </c>
      <c r="G20" s="81">
        <v>26</v>
      </c>
      <c r="H20" s="81">
        <v>24</v>
      </c>
      <c r="I20" s="81">
        <v>28</v>
      </c>
      <c r="J20" s="81">
        <v>35</v>
      </c>
      <c r="K20" s="81">
        <v>30</v>
      </c>
      <c r="L20" s="81">
        <v>29</v>
      </c>
      <c r="M20" s="81">
        <v>31</v>
      </c>
      <c r="N20" s="81">
        <v>25</v>
      </c>
      <c r="O20" s="81">
        <v>32</v>
      </c>
      <c r="P20" s="81">
        <v>28</v>
      </c>
      <c r="Q20" s="81">
        <v>35</v>
      </c>
      <c r="R20" s="81">
        <v>30</v>
      </c>
      <c r="S20" s="81">
        <v>35</v>
      </c>
      <c r="T20" s="81">
        <v>30</v>
      </c>
      <c r="U20" s="81">
        <v>35</v>
      </c>
      <c r="V20" s="81">
        <v>32</v>
      </c>
      <c r="W20" s="81">
        <v>32</v>
      </c>
      <c r="X20" s="81">
        <v>32</v>
      </c>
      <c r="Y20" s="110">
        <v>32</v>
      </c>
      <c r="Z20" s="81">
        <v>28</v>
      </c>
      <c r="AA20" s="81">
        <v>26</v>
      </c>
      <c r="AB20" s="81">
        <v>33</v>
      </c>
      <c r="AC20" s="81">
        <v>33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343</v>
      </c>
      <c r="AZ20" s="64" t="s" ph="1">
        <v>216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344</v>
      </c>
      <c r="AZ21" s="64" t="s" ph="1">
        <v>216</v>
      </c>
      <c r="BA21" s="64" ph="1">
        <v>0</v>
      </c>
      <c r="BD21" s="64" t="s" ph="1">
        <v>232</v>
      </c>
      <c r="BE21" s="64" ph="1">
        <v>730</v>
      </c>
    </row>
    <row r="22" spans="1:57" ph="1">
      <c r="A22" s="72" ph="1"/>
      <c r="B22" s="193" t="s" ph="1">
        <v>37</v>
      </c>
      <c r="C22" s="85" t="s" ph="1">
        <v>176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172" t="s" ph="1">
        <v>69</v>
      </c>
      <c r="AA22" s="173"/>
      <c r="AB22" s="173"/>
      <c r="AC22" s="173"/>
      <c r="AD22" s="173"/>
      <c r="AE22" s="174"/>
      <c r="AH22" s="64" ph="1">
        <v>8</v>
      </c>
      <c r="AI22" s="64" t="s" ph="1">
        <v>345</v>
      </c>
      <c r="AZ22" s="64" t="s" ph="1">
        <v>216</v>
      </c>
      <c r="BA22" s="64" ph="1">
        <v>0</v>
      </c>
    </row>
    <row r="23" spans="1:57" ph="1">
      <c r="A23" s="72" ph="1"/>
      <c r="B23" s="188" ph="1"/>
      <c r="C23" s="67" t="s" ph="1">
        <v>36</v>
      </c>
      <c r="D23" s="88" t="s" ph="1">
        <v>109</v>
      </c>
      <c r="E23" s="88" t="s" ph="1">
        <v>107</v>
      </c>
      <c r="F23" s="88" t="s" ph="1">
        <v>109</v>
      </c>
      <c r="G23" s="88" t="s" ph="1">
        <v>626</v>
      </c>
      <c r="H23" s="88" t="s" ph="1">
        <v>626</v>
      </c>
      <c r="I23" s="88" t="s" ph="1">
        <v>627</v>
      </c>
      <c r="J23" s="88" t="s" ph="1">
        <v>628</v>
      </c>
      <c r="K23" s="88" t="s" ph="1">
        <v>628</v>
      </c>
      <c r="L23" s="88" t="s" ph="1">
        <v>628</v>
      </c>
      <c r="M23" s="88" t="s" ph="1">
        <v>623</v>
      </c>
      <c r="N23" s="88" t="s" ph="1">
        <v>623</v>
      </c>
      <c r="O23" s="88" t="s" ph="1">
        <v>318</v>
      </c>
      <c r="P23" s="88" t="s" ph="1">
        <v>629</v>
      </c>
      <c r="Q23" s="89" t="s" ph="1">
        <v>629</v>
      </c>
      <c r="R23" s="88" t="s" ph="1">
        <v>610</v>
      </c>
      <c r="S23" s="88" t="s" ph="1">
        <v>629</v>
      </c>
      <c r="T23" s="88" t="s" ph="1">
        <v>604</v>
      </c>
      <c r="U23" s="104" t="s" ph="1">
        <v>606</v>
      </c>
      <c r="V23" s="88" t="s" ph="1">
        <v>629</v>
      </c>
      <c r="W23" s="88" t="s" ph="1">
        <v>629</v>
      </c>
      <c r="X23" s="88" t="s" ph="1">
        <v>187</v>
      </c>
      <c r="Y23" s="88" t="s" ph="1">
        <v>630</v>
      </c>
      <c r="Z23" s="175" t="s" ph="1">
        <v>638</v>
      </c>
      <c r="AA23" s="176"/>
      <c r="AB23" s="176"/>
      <c r="AC23" s="176"/>
      <c r="AD23" s="176"/>
      <c r="AE23" s="177"/>
      <c r="AH23" s="64" ph="1">
        <v>9</v>
      </c>
      <c r="AI23" s="64" t="s" ph="1">
        <v>346</v>
      </c>
      <c r="AZ23" s="64" t="s" ph="1">
        <v>216</v>
      </c>
      <c r="BA23" s="64" ph="1">
        <v>0</v>
      </c>
      <c r="BD23" s="64" t="s" ph="1">
        <v>238</v>
      </c>
      <c r="BE23" s="64" ph="1">
        <v>890</v>
      </c>
    </row>
    <row r="24" spans="1:57" ph="1">
      <c r="A24" s="72" ph="1"/>
      <c r="B24" s="184" ph="1">
        <v>0.33333333333333331</v>
      </c>
      <c r="C24" s="156" t="s" ph="1">
        <v>177</v>
      </c>
      <c r="D24" s="71">
        <v>53.49</v>
      </c>
      <c r="E24" s="71">
        <v>5.79</v>
      </c>
      <c r="F24" s="71">
        <v>1482</v>
      </c>
      <c r="G24" s="71">
        <v>3687</v>
      </c>
      <c r="H24" s="71">
        <v>3921</v>
      </c>
      <c r="I24" s="71">
        <v>1457</v>
      </c>
      <c r="J24" s="71">
        <v>197</v>
      </c>
      <c r="K24" s="71">
        <v>1722</v>
      </c>
      <c r="L24" s="71">
        <v>2698</v>
      </c>
      <c r="M24" s="71">
        <v>323</v>
      </c>
      <c r="N24" s="71">
        <v>1134</v>
      </c>
      <c r="O24" s="71">
        <v>1474</v>
      </c>
      <c r="P24" s="71">
        <v>840</v>
      </c>
      <c r="Q24" s="90">
        <v>3520</v>
      </c>
      <c r="R24" s="71">
        <v>5175</v>
      </c>
      <c r="S24" s="71">
        <v>2037</v>
      </c>
      <c r="T24" s="71">
        <v>514</v>
      </c>
      <c r="U24" s="71">
        <v>4807</v>
      </c>
      <c r="V24" s="71">
        <v>1014</v>
      </c>
      <c r="W24" s="71">
        <v>403</v>
      </c>
      <c r="X24" s="71">
        <v>6013</v>
      </c>
      <c r="Y24" s="71">
        <v>7294</v>
      </c>
      <c r="Z24" s="178"/>
      <c r="AA24" s="179"/>
      <c r="AB24" s="179"/>
      <c r="AC24" s="179"/>
      <c r="AD24" s="179"/>
      <c r="AE24" s="180"/>
      <c r="AH24" s="64" ph="1">
        <v>10</v>
      </c>
      <c r="AI24" s="64" t="s" ph="1">
        <v>347</v>
      </c>
      <c r="AZ24" s="64" t="s" ph="1">
        <v>216</v>
      </c>
      <c r="BA24" s="64" ph="1">
        <v>0</v>
      </c>
    </row>
    <row r="25" spans="1:57" ph="1">
      <c r="A25" s="72" ph="1"/>
      <c r="B25" s="184" ph="1"/>
      <c r="C25" s="68" t="s" ph="1">
        <v>178</v>
      </c>
      <c r="D25" s="91" ph="1">
        <f>D24*268.68*LOOKUP(D26,密度!$A$2:$A$50,密度!$Q$2:$Q$50)+IF(D24&lt;=0,0,1566*LOOKUP(D26,密度!$A$2:$A$50,密度!$Q$2:$Q$50))</f>
        <v>15088.851660168002</v>
      </c>
      <c r="E25" s="91" ph="1">
        <f>E24*268.68*LOOKUP(E26,密度!$A$2:$A$50,密度!$C$2:$C$50)+IF(E24&lt;=0,0,1566*LOOKUP(E26,密度!$A$2:$A$50,密度!$C$2:$C$50))</f>
        <v>3461.6056690800001</v>
      </c>
      <c r="F25" s="91" ph="1">
        <f>F24*11.702*LOOKUP(F26,密度!$A$2:$A$50,密度!$Q$2:$Q$50)</f>
        <v>16418.709693360001</v>
      </c>
      <c r="G25" s="91" ph="1">
        <f>G24*18.322*LOOKUP(G26,密度!$A$2:$A$50,密度!$B$2:$B$50)</f>
        <v>52603.687741799993</v>
      </c>
      <c r="H25" s="91" ph="1">
        <f>H24*18.322*LOOKUP(H26,密度!$A$2:$A$50,密度!$B$2:$B$50)</f>
        <v>55884.773179799995</v>
      </c>
      <c r="I25" s="91" ph="1">
        <f>I24*18.322*LOOKUP(I26,密度!$A$2:$A$50,密度!$Q$2:$Q$50)</f>
        <v>25292.857560379998</v>
      </c>
      <c r="J25" s="91" ph="1">
        <f>J24*18.322*LOOKUP(J26,密度!$A$2:$A$50,密度!$Q$2:$Q$50)</f>
        <v>3417.1955451599997</v>
      </c>
      <c r="K25" s="91" ph="1">
        <f>K24*18.322*LOOKUP(K26,密度!$A$2:$A$50,密度!$Q$2:$Q$50)</f>
        <v>29893.137075480001</v>
      </c>
      <c r="L25" s="91" ph="1">
        <f>L24*18.322*LOOKUP(L26,密度!$A$2:$A$50,密度!$Q$2:$Q$50)</f>
        <v>46836.053327320005</v>
      </c>
      <c r="M25" s="91" ph="1">
        <f>M24*18.322*LOOKUP(M26,密度!$A$2:$A$50,密度!$Q$2:$Q$50)</f>
        <v>5602.81300044</v>
      </c>
      <c r="N25" s="91" ph="1">
        <f>N24*18.322*LOOKUP(N26,密度!$A$2:$A$50,密度!$Q$2:$Q$50)</f>
        <v>19719.383395319997</v>
      </c>
      <c r="O25" s="91" ph="1">
        <f>O24*18.322*LOOKUP(O26,密度!$A$2:$A$50,密度!$C$2:$C$50)</f>
        <v>29988.159731199998</v>
      </c>
      <c r="P25" s="91" ph="1">
        <f>P24*11.702*LOOKUP(P26,密度!$A$2:$A$50,密度!$B$2:$B$50)</f>
        <v>7663.2185279999994</v>
      </c>
      <c r="Q25" s="92" ph="1">
        <f>Q24*18.322*LOOKUP(Q26,密度!$A$2:$A$50,密度!$B$2:$B$50)</f>
        <v>50169.446975999999</v>
      </c>
      <c r="R25" s="91" ph="1">
        <f>R24*35.891*LOOKUP(R26,密度!$A$2:$A$50,密度!$C$2:$C$50)</f>
        <v>205535.37460499999</v>
      </c>
      <c r="S25" s="91" ph="1">
        <f>S24*35.891*LOOKUP(S26,密度!$A$2:$A$50,密度!$B$2:$B$50)</f>
        <v>57062.329243499989</v>
      </c>
      <c r="T25" s="91" ph="1">
        <f>T24*35.891*LOOKUP(T26,密度!$A$2:$A$50,密度!$Q$2:$Q$50)</f>
        <v>17376.146710599998</v>
      </c>
      <c r="U25" s="91" ph="1">
        <f>U24*35.891</f>
        <v>172528.03699999998</v>
      </c>
      <c r="V25" s="91" ph="1">
        <f>V24*47.051*LOOKUP(V26,密度!$A$2:$A$50,密度!$B$2:$B$50)</f>
        <v>37280.370519600001</v>
      </c>
      <c r="W25" s="91" ph="1">
        <f>W24*47.051*LOOKUP(W26,密度!$A$2:$A$50,密度!$B$2:$B$50)</f>
        <v>14799.4921165</v>
      </c>
      <c r="X25" s="91" ph="1">
        <f>X24*47.051*LOOKUP(X26,密度!$A$2:$A$61,密度!$I$2:$I$61)</f>
        <v>294885.08014490001</v>
      </c>
      <c r="Y25" s="91" ph="1">
        <f>Y24*47.051*LOOKUP(Y26,密度!$A$2:$A$50,密度!$L$2:$L$50)</f>
        <v>321225.83438400005</v>
      </c>
      <c r="Z25" s="178"/>
      <c r="AA25" s="179"/>
      <c r="AB25" s="179"/>
      <c r="AC25" s="179"/>
      <c r="AD25" s="179"/>
      <c r="AE25" s="180"/>
      <c r="AH25" s="64" ph="1">
        <v>11</v>
      </c>
      <c r="AI25" s="64" t="s" ph="1">
        <v>348</v>
      </c>
      <c r="AZ25" s="64" t="s" ph="1">
        <v>216</v>
      </c>
      <c r="BA25" s="64" ph="1">
        <v>0</v>
      </c>
      <c r="BD25" s="64" t="s" ph="1">
        <v>241</v>
      </c>
      <c r="BE25" s="64" ph="1">
        <v>8920</v>
      </c>
    </row>
    <row r="26" spans="1:57" ph="1">
      <c r="A26" s="72" ph="1"/>
      <c r="B26" s="184" ph="1"/>
      <c r="C26" s="68" t="s" ph="1">
        <v>179</v>
      </c>
      <c r="D26" s="74">
        <v>25</v>
      </c>
      <c r="E26" s="74">
        <v>25</v>
      </c>
      <c r="F26" s="74">
        <v>25</v>
      </c>
      <c r="G26" s="74">
        <v>26</v>
      </c>
      <c r="H26" s="74">
        <v>27</v>
      </c>
      <c r="I26" s="74">
        <v>24</v>
      </c>
      <c r="J26" s="74">
        <v>25</v>
      </c>
      <c r="K26" s="74">
        <v>24</v>
      </c>
      <c r="L26" s="74">
        <v>24</v>
      </c>
      <c r="M26" s="74">
        <v>25</v>
      </c>
      <c r="N26" s="74">
        <v>22</v>
      </c>
      <c r="O26" s="74">
        <v>23</v>
      </c>
      <c r="P26" s="74">
        <v>25</v>
      </c>
      <c r="Q26" s="93">
        <v>27</v>
      </c>
      <c r="R26" s="74">
        <v>28</v>
      </c>
      <c r="S26" s="74">
        <v>24</v>
      </c>
      <c r="T26" s="74">
        <v>32</v>
      </c>
      <c r="U26" s="74">
        <v>28</v>
      </c>
      <c r="V26" s="74">
        <v>23</v>
      </c>
      <c r="W26" s="74">
        <v>24</v>
      </c>
      <c r="X26" s="74">
        <v>25</v>
      </c>
      <c r="Y26" s="74">
        <v>26</v>
      </c>
      <c r="Z26" s="178"/>
      <c r="AA26" s="179"/>
      <c r="AB26" s="179"/>
      <c r="AC26" s="179"/>
      <c r="AD26" s="179"/>
      <c r="AE26" s="180"/>
      <c r="AH26" s="64" ph="1">
        <v>12</v>
      </c>
      <c r="AI26" s="64" t="s" ph="1">
        <v>349</v>
      </c>
      <c r="AZ26" s="64" t="s" ph="1">
        <v>216</v>
      </c>
      <c r="BA26" s="64" ph="1">
        <v>0</v>
      </c>
    </row>
    <row r="27" spans="1:57" ht="26.4" ph="1">
      <c r="A27" s="72" ph="1"/>
      <c r="B27" s="184" ph="1">
        <v>0.66666666666666663</v>
      </c>
      <c r="C27" s="156" t="s" ph="1">
        <v>180</v>
      </c>
      <c r="D27" s="71">
        <v>22.09</v>
      </c>
      <c r="E27" s="71">
        <v>66.760000000000005</v>
      </c>
      <c r="F27" s="71">
        <v>898</v>
      </c>
      <c r="G27" s="71">
        <v>3267</v>
      </c>
      <c r="H27" s="71">
        <v>3472</v>
      </c>
      <c r="I27" s="71">
        <v>1457</v>
      </c>
      <c r="J27" s="71">
        <v>189</v>
      </c>
      <c r="K27" s="71">
        <v>1716</v>
      </c>
      <c r="L27" s="71">
        <v>2697</v>
      </c>
      <c r="M27" s="71">
        <v>319</v>
      </c>
      <c r="N27" s="71">
        <v>523</v>
      </c>
      <c r="O27" s="71">
        <v>1472</v>
      </c>
      <c r="P27" s="71">
        <v>840</v>
      </c>
      <c r="Q27" s="90">
        <v>3778</v>
      </c>
      <c r="R27" s="71">
        <v>5173</v>
      </c>
      <c r="S27" s="71">
        <v>298</v>
      </c>
      <c r="T27" s="71">
        <v>802</v>
      </c>
      <c r="U27" s="71">
        <v>4767</v>
      </c>
      <c r="V27" s="71">
        <v>1011</v>
      </c>
      <c r="W27" s="71">
        <v>401</v>
      </c>
      <c r="X27" s="71">
        <v>5637</v>
      </c>
      <c r="Y27" s="71">
        <v>5145</v>
      </c>
      <c r="Z27" s="178"/>
      <c r="AA27" s="179"/>
      <c r="AB27" s="179"/>
      <c r="AC27" s="179"/>
      <c r="AD27" s="179"/>
      <c r="AE27" s="180"/>
      <c r="AH27" s="64" ph="1">
        <v>13</v>
      </c>
      <c r="AI27" s="64" t="s" ph="1">
        <v>350</v>
      </c>
      <c r="AZ27" s="64" t="s" ph="1">
        <v>216</v>
      </c>
      <c r="BA27" s="64" ph="1">
        <v>0</v>
      </c>
      <c r="BD27" s="64" t="s" ph="1">
        <v>295</v>
      </c>
      <c r="BE27" s="64" ph="1">
        <v>7100</v>
      </c>
    </row>
    <row r="28" spans="1:57" ph="1">
      <c r="A28" s="72" ph="1"/>
      <c r="B28" s="184" ph="1"/>
      <c r="C28" s="156" t="s" ph="1">
        <v>178</v>
      </c>
      <c r="D28" s="91" ph="1">
        <f>D27*268.68*LOOKUP(D29,密度!$A$2:$A$50,密度!$Q$2:$Q$50)+IF(D27&lt;=0,0,1566*LOOKUP(D29,密度!$A$2:$A$50,密度!$Q$2:$Q$50))</f>
        <v>7101.6304196880001</v>
      </c>
      <c r="E28" s="91" ph="1">
        <f>E27*268.68*LOOKUP(E29,密度!$A$2:$A$50,密度!$C$2:$C$50)+IF(E27&lt;=0,0,1566*LOOKUP(E29,密度!$A$2:$A$50,密度!$C$2:$C$50))</f>
        <v>21626.961863520002</v>
      </c>
      <c r="F28" s="91" ph="1">
        <f>F27*11.702*LOOKUP(F29,密度!$A$2:$A$50,密度!$Q$2:$Q$50)</f>
        <v>9948.7188290400009</v>
      </c>
      <c r="G28" s="91" ph="1">
        <f>G27*18.322*LOOKUP(G29,密度!$A$2:$A$50,密度!$B$2:$B$50)</f>
        <v>46563.517974599999</v>
      </c>
      <c r="H28" s="91" ph="1">
        <f>H27*18.322*LOOKUP(H29,密度!$A$2:$A$50,密度!$B$2:$B$50)</f>
        <v>49377.174380799996</v>
      </c>
      <c r="I28" s="91" ph="1">
        <f>I27*18.322*LOOKUP(I29,密度!$A$2:$A$50,密度!$Q$2:$Q$50)</f>
        <v>25254.41653862</v>
      </c>
      <c r="J28" s="91" ph="1">
        <f>J27*18.322*LOOKUP(J29,密度!$A$2:$A$50,密度!$Q$2:$Q$50)</f>
        <v>3264.0206936399995</v>
      </c>
      <c r="K28" s="91" ph="1">
        <f>K27*18.322*LOOKUP(K29,密度!$A$2:$A$50,密度!$Q$2:$Q$50)</f>
        <v>29721.382616639999</v>
      </c>
      <c r="L28" s="91" ph="1">
        <f>L27*18.322*LOOKUP(L29,密度!$A$2:$A$50,密度!$Q$2:$Q$50)</f>
        <v>46782.62124516</v>
      </c>
      <c r="M28" s="91" ph="1">
        <f>M27*18.322*LOOKUP(M29,密度!$A$2:$A$50,密度!$Q$2:$Q$50)</f>
        <v>5525.1288197599997</v>
      </c>
      <c r="N28" s="91" ph="1">
        <f>N27*18.322*LOOKUP(N29,密度!$A$2:$A$50,密度!$Q$2:$Q$50)</f>
        <v>9086.0373691999994</v>
      </c>
      <c r="O28" s="91" ph="1">
        <f>O27*18.322*LOOKUP(O29,密度!$A$2:$A$50,密度!$C$2:$C$50)</f>
        <v>29907.0152576</v>
      </c>
      <c r="P28" s="91" ph="1">
        <f>P27*11.702*LOOKUP(P29,密度!$A$2:$A$50,密度!$B$2:$B$50)</f>
        <v>7646.5080720000005</v>
      </c>
      <c r="Q28" s="92" ph="1">
        <f>Q27*18.322*LOOKUP(Q29,密度!$A$2:$A$50,密度!$B$2:$B$50)</f>
        <v>53846.639396400002</v>
      </c>
      <c r="R28" s="91" ph="1">
        <f>R27*35.891*LOOKUP(R29,密度!$A$2:$A$50,密度!$C$2:$C$50)</f>
        <v>205455.94064379999</v>
      </c>
      <c r="S28" s="91" ph="1">
        <f>S27*35.891*LOOKUP(S29,密度!$A$2:$A$50,密度!$B$2:$B$50)</f>
        <v>8338.2258327999989</v>
      </c>
      <c r="T28" s="91" ph="1">
        <f>T27*35.891*LOOKUP(T29,密度!$A$2:$A$50,密度!$Q$2:$Q$50)</f>
        <v>27190.49184884</v>
      </c>
      <c r="U28" s="91" ph="1">
        <f>U27*35.891</f>
        <v>171092.397</v>
      </c>
      <c r="V28" s="91" ph="1">
        <f>V27*47.051*LOOKUP(V29,密度!$A$2:$A$50,密度!$B$2:$B$50)</f>
        <v>37041.638450699997</v>
      </c>
      <c r="W28" s="91" ph="1">
        <f>W27*47.051*LOOKUP(W29,密度!$A$2:$A$50,密度!$B$2:$B$50)</f>
        <v>14692.084093699999</v>
      </c>
      <c r="X28" s="91" ph="1">
        <f>X27*47.051*LOOKUP(X29,密度!$A$2:$A$61,密度!$I$2:$I$61)</f>
        <v>276445.5674001</v>
      </c>
      <c r="Y28" s="91" ph="1">
        <f>Y27*47.051*LOOKUP(Y29,密度!$A$2:$A$50,密度!$L$2:$L$50)</f>
        <v>226342.36432500003</v>
      </c>
      <c r="Z28" s="178"/>
      <c r="AA28" s="179"/>
      <c r="AB28" s="179"/>
      <c r="AC28" s="179"/>
      <c r="AD28" s="179"/>
      <c r="AE28" s="180"/>
      <c r="AH28" s="64" ph="1">
        <v>14</v>
      </c>
      <c r="AI28" s="64" t="s" ph="1">
        <v>351</v>
      </c>
      <c r="AZ28" s="64" t="s" ph="1">
        <v>216</v>
      </c>
      <c r="BA28" s="64" ph="1">
        <v>0</v>
      </c>
    </row>
    <row r="29" spans="1:57" ph="1">
      <c r="A29" s="72" ph="1"/>
      <c r="B29" s="184" ph="1"/>
      <c r="C29" s="156" t="s" ph="1">
        <v>179</v>
      </c>
      <c r="D29" s="74">
        <v>25</v>
      </c>
      <c r="E29" s="74">
        <v>25</v>
      </c>
      <c r="F29" s="74">
        <v>25</v>
      </c>
      <c r="G29" s="74">
        <v>27</v>
      </c>
      <c r="H29" s="74">
        <v>29</v>
      </c>
      <c r="I29" s="74">
        <v>26</v>
      </c>
      <c r="J29" s="74">
        <v>31</v>
      </c>
      <c r="K29" s="74">
        <v>27</v>
      </c>
      <c r="L29" s="74">
        <v>25</v>
      </c>
      <c r="M29" s="74">
        <v>27</v>
      </c>
      <c r="N29" s="74">
        <v>23</v>
      </c>
      <c r="O29" s="74">
        <v>25</v>
      </c>
      <c r="P29" s="74">
        <v>27</v>
      </c>
      <c r="Q29" s="93">
        <v>27</v>
      </c>
      <c r="R29" s="74">
        <v>28</v>
      </c>
      <c r="S29" s="74">
        <v>25</v>
      </c>
      <c r="T29" s="74">
        <v>28</v>
      </c>
      <c r="U29" s="74">
        <v>26</v>
      </c>
      <c r="V29" s="74">
        <v>26</v>
      </c>
      <c r="W29" s="74">
        <v>26</v>
      </c>
      <c r="X29" s="74">
        <v>25</v>
      </c>
      <c r="Y29" s="74">
        <v>27</v>
      </c>
      <c r="Z29" s="181"/>
      <c r="AA29" s="182"/>
      <c r="AB29" s="182"/>
      <c r="AC29" s="182"/>
      <c r="AD29" s="182"/>
      <c r="AE29" s="183"/>
      <c r="AH29" s="64" ph="1">
        <v>15</v>
      </c>
      <c r="AI29" s="64" t="s" ph="1">
        <v>352</v>
      </c>
      <c r="AZ29" s="64" t="s" ph="1">
        <v>216</v>
      </c>
      <c r="BA29" s="64" ph="1">
        <v>0</v>
      </c>
      <c r="BD29" s="64" t="s" ph="1">
        <v>353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354</v>
      </c>
      <c r="AZ30" s="64" t="s" ph="1">
        <v>216</v>
      </c>
      <c r="BA30" s="64" ph="1">
        <v>0</v>
      </c>
    </row>
    <row r="31" spans="1:57" ht="28.2" ph="1">
      <c r="A31" s="64"/>
      <c r="B31" s="197" t="s" ph="1">
        <v>35</v>
      </c>
      <c r="C31" s="198" ph="1"/>
      <c r="D31" s="201" t="s" ph="1">
        <v>9</v>
      </c>
      <c r="E31" s="190" ph="1"/>
      <c r="F31" s="191" ph="1"/>
      <c r="G31" s="201" t="s" ph="1">
        <v>18</v>
      </c>
      <c r="H31" s="190" ph="1"/>
      <c r="I31" s="191" ph="1"/>
      <c r="J31" s="189" t="s" ph="1">
        <v>1</v>
      </c>
      <c r="K31" s="190" ph="1"/>
      <c r="L31" s="191" ph="1"/>
      <c r="M31" s="189" t="s" ph="1">
        <v>7</v>
      </c>
      <c r="N31" s="190" ph="1"/>
      <c r="O31" s="191" ph="1"/>
      <c r="P31" s="189" t="s" ph="1">
        <v>41</v>
      </c>
      <c r="Q31" s="190"/>
      <c r="R31" s="191"/>
      <c r="S31" s="189" t="s" ph="1">
        <v>2</v>
      </c>
      <c r="T31" s="190"/>
      <c r="U31" s="191"/>
      <c r="V31" s="189" t="s" ph="1">
        <v>71</v>
      </c>
      <c r="W31" s="190" ph="1"/>
      <c r="X31" s="191" ph="1"/>
      <c r="Y31" s="189" t="s" ph="1">
        <v>3</v>
      </c>
      <c r="Z31" s="190" ph="1"/>
      <c r="AA31" s="191" ph="1"/>
      <c r="AB31" s="212" t="s">
        <v>42</v>
      </c>
      <c r="AC31" s="213"/>
      <c r="AD31" s="213"/>
      <c r="AE31" s="214"/>
      <c r="AH31" s="64" ph="1">
        <v>17</v>
      </c>
      <c r="AI31" s="64" t="s" ph="1">
        <v>355</v>
      </c>
      <c r="AZ31" s="64" t="s" ph="1">
        <v>216</v>
      </c>
      <c r="BA31" s="64" ph="1">
        <v>0</v>
      </c>
      <c r="BD31" s="64" t="s" ph="1">
        <v>356</v>
      </c>
      <c r="BE31" s="64" ph="1">
        <v>9310</v>
      </c>
    </row>
    <row r="32" spans="1:57" ph="1">
      <c r="A32" s="64"/>
      <c r="B32" s="199" ph="1"/>
      <c r="C32" s="200" ph="1"/>
      <c r="D32" s="96" t="s" ph="1">
        <v>4</v>
      </c>
      <c r="E32" s="156" t="s" ph="1">
        <v>5</v>
      </c>
      <c r="F32" s="155" t="s" ph="1">
        <v>43</v>
      </c>
      <c r="G32" s="97" t="s" ph="1">
        <v>4</v>
      </c>
      <c r="H32" s="156" t="s" ph="1">
        <v>5</v>
      </c>
      <c r="I32" s="155" t="s" ph="1">
        <v>43</v>
      </c>
      <c r="J32" s="97" t="s" ph="1">
        <v>4</v>
      </c>
      <c r="K32" s="156" t="s" ph="1">
        <v>5</v>
      </c>
      <c r="L32" s="155" t="s" ph="1">
        <v>43</v>
      </c>
      <c r="M32" s="97" t="s" ph="1">
        <v>4</v>
      </c>
      <c r="N32" s="156" t="s" ph="1">
        <v>5</v>
      </c>
      <c r="O32" s="155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56" t="s" ph="1">
        <v>5</v>
      </c>
      <c r="U32" s="99" t="s" ph="1">
        <v>43</v>
      </c>
      <c r="V32" s="97" t="s" ph="1">
        <v>4</v>
      </c>
      <c r="W32" s="156" t="s" ph="1">
        <v>5</v>
      </c>
      <c r="X32" s="99" t="s" ph="1">
        <v>43</v>
      </c>
      <c r="Y32" s="100" t="s" ph="1">
        <v>4</v>
      </c>
      <c r="Z32" s="156" t="s" ph="1">
        <v>5</v>
      </c>
      <c r="AA32" s="155" t="s" ph="1">
        <v>43</v>
      </c>
      <c r="AB32" s="97" t="s" ph="1">
        <v>85</v>
      </c>
      <c r="AC32" s="156" t="s" ph="1">
        <v>84</v>
      </c>
      <c r="AD32" s="215" t="s" ph="1">
        <v>83</v>
      </c>
      <c r="AE32" s="216"/>
      <c r="AH32" s="64" ph="1">
        <v>18</v>
      </c>
      <c r="AI32" s="64" t="s" ph="1">
        <v>357</v>
      </c>
      <c r="AZ32" s="64" t="s" ph="1">
        <v>216</v>
      </c>
      <c r="BA32" s="64" ph="1">
        <v>0</v>
      </c>
    </row>
    <row r="33" spans="1:57" ph="1">
      <c r="A33" s="64"/>
      <c r="B33" s="202" t="s" ph="1">
        <v>181</v>
      </c>
      <c r="C33" s="203" ph="1"/>
      <c r="D33" s="206" ph="1">
        <f>AA10+AB10+Z19</f>
        <v>73442.0174634</v>
      </c>
      <c r="E33" s="206" ph="1">
        <f>M10+I10</f>
        <v>201239.39005829999</v>
      </c>
      <c r="F33" s="208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1522252632456786910111213141516171819202123456789101112131415161718192022232424356789101112131415161718192021222345678910111213141516171819202345678910111213149101516171819222123234567891012131415161711181920212224252345678910111213114[[#This Row],[F25]]</f>
        <v>3880</v>
      </c>
      <c r="G33" s="210" ph="1">
        <f>N19</f>
        <v>28143.550638240002</v>
      </c>
      <c r="H33" s="206" ph="1">
        <f>M19</f>
        <v>33399.367665672005</v>
      </c>
      <c r="I33" s="219" ph="1">
        <v>0</v>
      </c>
      <c r="J33" s="217" ph="1">
        <f>F10+O28</f>
        <v>244460.44547810001</v>
      </c>
      <c r="K33" s="206" ph="1">
        <f>O10+K10+E28+R28</f>
        <v>342565.70184492006</v>
      </c>
      <c r="L33" s="221" ph="1">
        <f>K19</f>
        <v>22814.474546499998</v>
      </c>
      <c r="M33" s="217" ph="1">
        <f>G10+H10+W28+S28+V28+E10+R19+P28+Q28</f>
        <v>721270.72799545992</v>
      </c>
      <c r="N33" s="206" ph="1">
        <f>L10+P10++G28+H28+AD19+AE19</f>
        <v>183633.360055</v>
      </c>
      <c r="O33" s="219" ph="1">
        <f>G19</f>
        <v>14401.30489876</v>
      </c>
      <c r="P33" s="217" ph="1">
        <f>L19</f>
        <v>19171.118837260001</v>
      </c>
      <c r="Q33" s="206" ph="1">
        <f>J10+N10</f>
        <v>51678.223680960007</v>
      </c>
      <c r="R33" s="219" ph="1">
        <f>BE23</f>
        <v>890</v>
      </c>
      <c r="S33" s="217" ph="1">
        <f>X28</f>
        <v>276445.5674001</v>
      </c>
      <c r="T33" s="206" ph="1">
        <f>X19</f>
        <v>18241.657125999998</v>
      </c>
      <c r="U33" s="227" ph="1">
        <f>BE21</f>
        <v>730</v>
      </c>
      <c r="V33" s="238" ph="1">
        <f ca="1">P19+Q19+S19+M28+N28+J28+D10+AC10+D19+E19+H19+J19+O19+V19+W19+K28+L28</f>
        <v>523901.52885559609</v>
      </c>
      <c r="W33" s="238" ph="1">
        <f>D28+F28+T28+I28</f>
        <v>69495.257636188006</v>
      </c>
      <c r="X33" s="219" ph="1">
        <f>BE29+BE31</f>
        <v>10200</v>
      </c>
      <c r="Y33" s="240" ph="1">
        <f>+Q10+R10+S10+T10+U10+V10+W10+X10+Y10</f>
        <v>204348.7798506</v>
      </c>
      <c r="Z33" s="225" ph="1">
        <f>T19+U19+Y28+Z10</f>
        <v>436544.28430359002</v>
      </c>
      <c r="AA33" s="227" ph="1">
        <f>BE19</f>
        <v>1440</v>
      </c>
      <c r="AB33" s="229" ph="1">
        <f>I19</f>
        <v>49904.691897199998</v>
      </c>
      <c r="AC33" s="231" ph="1">
        <f>AD10+AB19</f>
        <v>81630.22049539999</v>
      </c>
      <c r="AD33" s="233" ph="1">
        <v>0</v>
      </c>
      <c r="AE33" s="234"/>
      <c r="AH33" s="64" ph="1">
        <v>19</v>
      </c>
      <c r="AI33" s="64" t="s" ph="1">
        <v>358</v>
      </c>
      <c r="AJ33" s="64" t="s" ph="1">
        <v>592</v>
      </c>
      <c r="AK33" s="64" t="s" ph="1">
        <v>589</v>
      </c>
      <c r="AL33" s="64" ph="1">
        <v>730</v>
      </c>
      <c r="AM33" s="64" t="s" ph="1">
        <v>339</v>
      </c>
      <c r="AZ33" s="64" t="s" ph="1">
        <v>216</v>
      </c>
      <c r="BA33" s="64" ph="1">
        <v>730</v>
      </c>
      <c r="BD33" s="64" t="s" ph="1">
        <v>290</v>
      </c>
      <c r="BE33" s="64" ph="1">
        <v>3880</v>
      </c>
    </row>
    <row r="34" spans="1:57" ph="1">
      <c r="A34" s="64"/>
      <c r="B34" s="204" ph="1"/>
      <c r="C34" s="205" ph="1"/>
      <c r="D34" s="207" ph="1"/>
      <c r="E34" s="207" ph="1"/>
      <c r="F34" s="209" ph="1"/>
      <c r="G34" s="211" ph="1"/>
      <c r="H34" s="207" ph="1"/>
      <c r="I34" s="220" ph="1"/>
      <c r="J34" s="218" ph="1"/>
      <c r="K34" s="207" ph="1"/>
      <c r="L34" s="222" ph="1"/>
      <c r="M34" s="218" ph="1"/>
      <c r="N34" s="207" ph="1"/>
      <c r="O34" s="220" ph="1"/>
      <c r="P34" s="218" ph="1"/>
      <c r="Q34" s="207" ph="1"/>
      <c r="R34" s="220" ph="1"/>
      <c r="S34" s="218" ph="1"/>
      <c r="T34" s="207"/>
      <c r="U34" s="228"/>
      <c r="V34" s="239" ph="1"/>
      <c r="W34" s="239" ph="1"/>
      <c r="X34" s="220" ph="1"/>
      <c r="Y34" s="241" ph="1"/>
      <c r="Z34" s="226" ph="1"/>
      <c r="AA34" s="228" ph="1"/>
      <c r="AB34" s="230"/>
      <c r="AC34" s="232"/>
      <c r="AD34" s="235"/>
      <c r="AE34" s="236"/>
      <c r="AH34" s="64" ph="1">
        <v>20</v>
      </c>
      <c r="AI34" s="64" t="s" ph="1">
        <v>359</v>
      </c>
      <c r="AJ34" s="64" t="s" ph="1">
        <v>593</v>
      </c>
      <c r="AK34" s="64" t="s" ph="1">
        <v>589</v>
      </c>
      <c r="AL34" s="64" ph="1">
        <v>720</v>
      </c>
      <c r="AM34" s="64" t="s" ph="1">
        <v>339</v>
      </c>
      <c r="AZ34" s="64" t="s" ph="1">
        <v>216</v>
      </c>
      <c r="BA34" s="64" ph="1">
        <v>720</v>
      </c>
    </row>
    <row r="35" spans="1:57" ph="1">
      <c r="A35" s="64"/>
      <c r="AC35" s="237" t="s" ph="1">
        <v>631</v>
      </c>
      <c r="AD35" s="237"/>
      <c r="AE35" s="237"/>
      <c r="AH35" s="64" ph="1">
        <v>21</v>
      </c>
      <c r="AI35" s="64" t="s" ph="1">
        <v>360</v>
      </c>
      <c r="AZ35" s="64" t="s" ph="1">
        <v>216</v>
      </c>
      <c r="BA35" s="64" ph="1">
        <v>0</v>
      </c>
      <c r="BD35" s="64" t="s" ph="1">
        <v>361</v>
      </c>
      <c r="BE35" s="64" ph="1">
        <v>2030</v>
      </c>
    </row>
    <row r="36" spans="1:57" ht="28.2" ph="1">
      <c r="A36" s="64"/>
      <c r="B36" s="103" t="s" ph="1">
        <v>182</v>
      </c>
      <c r="I36" s="223" t="s" ph="1">
        <v>183</v>
      </c>
      <c r="J36" s="223" ph="1"/>
      <c r="K36" s="101" ph="1"/>
      <c r="P36" s="101" ph="1"/>
      <c r="R36" s="223" t="s" ph="1">
        <v>184</v>
      </c>
      <c r="S36" s="223" ph="1"/>
      <c r="Y36" s="102" ph="1"/>
      <c r="Z36" s="154" t="s" ph="1">
        <v>185</v>
      </c>
      <c r="AA36" s="154" ph="1"/>
      <c r="AB36" s="224" t="s" ph="1">
        <v>640</v>
      </c>
      <c r="AC36" s="224" ph="1"/>
      <c r="AD36" s="224" ph="1"/>
      <c r="AE36" s="224" ph="1"/>
      <c r="BA36" s="64" ph="1">
        <v>2270</v>
      </c>
    </row>
    <row r="37" spans="1:57" s="154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54" t="s" ph="1">
        <v>342</v>
      </c>
      <c r="AI37" s="154" t="s" ph="1">
        <v>209</v>
      </c>
      <c r="AJ37" s="154" t="s" ph="1">
        <v>210</v>
      </c>
      <c r="AK37" s="154" t="s" ph="1">
        <v>211</v>
      </c>
      <c r="AM37" s="154" t="s" ph="1">
        <v>210</v>
      </c>
      <c r="AN37" s="154" t="s" ph="1">
        <v>211</v>
      </c>
      <c r="AO37" s="154" t="s" ph="1">
        <v>212</v>
      </c>
      <c r="AP37" s="154" t="s" ph="1">
        <v>210</v>
      </c>
      <c r="AQ37" s="154" t="s" ph="1">
        <v>211</v>
      </c>
      <c r="AR37" s="154" t="s" ph="1">
        <v>212</v>
      </c>
      <c r="AS37" s="154" t="s" ph="1">
        <v>210</v>
      </c>
      <c r="AT37" s="154" t="s" ph="1">
        <v>211</v>
      </c>
      <c r="AU37" s="154" t="s" ph="1">
        <v>212</v>
      </c>
      <c r="AV37" s="154" t="s" ph="1">
        <v>210</v>
      </c>
      <c r="AW37" s="154" t="s" ph="1">
        <v>211</v>
      </c>
      <c r="AX37" s="154" t="s" ph="1">
        <v>212</v>
      </c>
      <c r="AY37" s="154" t="s" ph="1">
        <v>211</v>
      </c>
      <c r="AZ37" s="154" t="s" ph="1">
        <v>213</v>
      </c>
      <c r="BD37" s="154" t="s" ph="1">
        <v>305</v>
      </c>
      <c r="BE37" s="154" ph="1">
        <v>0</v>
      </c>
    </row>
    <row r="38" spans="1:57" ph="1">
      <c r="AE38" s="64" ph="1"/>
      <c r="AH38" s="64" ph="1">
        <v>1</v>
      </c>
      <c r="AI38" s="64" t="s" ph="1">
        <v>362</v>
      </c>
      <c r="AY38" s="64" t="s" ph="1">
        <v>216</v>
      </c>
      <c r="AZ38" s="64" t="s" ph="1">
        <v>367</v>
      </c>
    </row>
    <row r="39" spans="1:57" ph="1">
      <c r="AH39" s="64" ph="1">
        <v>2</v>
      </c>
      <c r="AI39" s="64" t="s" ph="1">
        <v>364</v>
      </c>
      <c r="AJ39" s="64" t="s" ph="1">
        <v>336</v>
      </c>
      <c r="AK39" s="64" t="s" ph="1">
        <v>365</v>
      </c>
      <c r="AM39" s="64" t="s" ph="1">
        <v>570</v>
      </c>
      <c r="AN39" s="64" t="s" ph="1">
        <v>228</v>
      </c>
      <c r="AO39" s="64" t="s" ph="1">
        <v>363</v>
      </c>
      <c r="AY39" s="64" t="s" ph="1">
        <v>216</v>
      </c>
      <c r="AZ39" s="64" t="s" ph="1">
        <v>499</v>
      </c>
    </row>
    <row r="40" spans="1:57" ph="1">
      <c r="AH40" s="64" ph="1">
        <v>3</v>
      </c>
      <c r="AI40" s="64" t="s" ph="1">
        <v>366</v>
      </c>
      <c r="AJ40" s="64" t="s" ph="1">
        <v>570</v>
      </c>
      <c r="AK40" s="64" t="s" ph="1">
        <v>571</v>
      </c>
      <c r="AY40" s="64" t="s" ph="1">
        <v>216</v>
      </c>
      <c r="AZ40" s="64" t="s" ph="1">
        <v>571</v>
      </c>
    </row>
    <row r="41" spans="1:57" ph="1">
      <c r="AH41" s="64" ph="1">
        <v>4</v>
      </c>
      <c r="AI41" s="64" t="s" ph="1">
        <v>368</v>
      </c>
      <c r="AJ41" s="64" t="s" ph="1">
        <v>572</v>
      </c>
      <c r="AK41" s="64" t="s" ph="1">
        <v>573</v>
      </c>
      <c r="AM41" s="64" t="s" ph="1">
        <v>574</v>
      </c>
      <c r="AY41" s="64" t="s" ph="1">
        <v>216</v>
      </c>
      <c r="AZ41" s="64" t="s" ph="1">
        <v>573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369</v>
      </c>
      <c r="AY42" s="64" t="s" ph="1">
        <v>216</v>
      </c>
      <c r="AZ42" s="64" t="s" ph="1">
        <v>367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370</v>
      </c>
      <c r="AY43" s="64" t="s" ph="1">
        <v>216</v>
      </c>
      <c r="AZ43" s="64" t="s" ph="1">
        <v>367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371</v>
      </c>
      <c r="AV44" s="64" t="s" ph="1">
        <v>217</v>
      </c>
      <c r="AY44" s="64" t="s" ph="1">
        <v>216</v>
      </c>
      <c r="AZ44" s="64" t="s" ph="1">
        <v>367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372</v>
      </c>
      <c r="AV45" s="64" t="s" ph="1">
        <v>217</v>
      </c>
      <c r="AY45" s="64" t="s" ph="1">
        <v>216</v>
      </c>
      <c r="AZ45" s="64" t="s" ph="1">
        <v>367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373</v>
      </c>
      <c r="AV46" s="64" t="s" ph="1">
        <v>217</v>
      </c>
      <c r="AY46" s="64" t="s" ph="1">
        <v>216</v>
      </c>
      <c r="AZ46" s="64" t="s" ph="1">
        <v>367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374</v>
      </c>
      <c r="AV47" s="64" t="s" ph="1">
        <v>217</v>
      </c>
      <c r="AY47" s="64" t="s" ph="1">
        <v>216</v>
      </c>
      <c r="AZ47" s="64" t="s" ph="1">
        <v>367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575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232</v>
      </c>
      <c r="AI49" s="64" t="s" ph="1">
        <v>209</v>
      </c>
      <c r="AJ49" s="64" t="s" ph="1">
        <v>210</v>
      </c>
      <c r="AK49" s="64" t="s" ph="1">
        <v>211</v>
      </c>
      <c r="AM49" s="64" t="s" ph="1">
        <v>210</v>
      </c>
      <c r="AN49" s="64" t="s" ph="1">
        <v>211</v>
      </c>
      <c r="AO49" s="64" t="s" ph="1">
        <v>212</v>
      </c>
      <c r="AP49" s="64" t="s" ph="1">
        <v>210</v>
      </c>
      <c r="AQ49" s="64" t="s" ph="1">
        <v>211</v>
      </c>
      <c r="AR49" s="64" t="s" ph="1">
        <v>212</v>
      </c>
      <c r="AS49" s="64" t="s" ph="1">
        <v>210</v>
      </c>
      <c r="AT49" s="64" t="s" ph="1">
        <v>211</v>
      </c>
      <c r="AU49" s="64" t="s" ph="1">
        <v>212</v>
      </c>
      <c r="AV49" s="64" t="s" ph="1">
        <v>210</v>
      </c>
      <c r="AW49" s="64" t="s" ph="1">
        <v>211</v>
      </c>
      <c r="AX49" s="64" t="s" ph="1">
        <v>212</v>
      </c>
      <c r="AY49" s="64" t="s" ph="1">
        <v>211</v>
      </c>
      <c r="AZ49" s="64" t="s" ph="1">
        <v>213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375</v>
      </c>
      <c r="AY50" s="64" t="s" ph="1">
        <v>216</v>
      </c>
      <c r="AZ50" s="64" t="s" ph="1">
        <v>367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376</v>
      </c>
      <c r="AY51" s="64" t="s" ph="1">
        <v>216</v>
      </c>
      <c r="AZ51" s="64" t="s" ph="1">
        <v>367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377</v>
      </c>
      <c r="AJ52" s="64" t="s" ph="1">
        <v>334</v>
      </c>
      <c r="AK52" s="64" t="s" ph="1">
        <v>228</v>
      </c>
      <c r="AM52" s="64" t="s" ph="1">
        <v>336</v>
      </c>
      <c r="AN52" s="64" t="s" ph="1">
        <v>300</v>
      </c>
      <c r="AO52" s="64" t="s" ph="1">
        <v>233</v>
      </c>
      <c r="AP52" s="64" t="s" ph="1">
        <v>570</v>
      </c>
      <c r="AQ52" s="64" t="s" ph="1">
        <v>282</v>
      </c>
      <c r="AR52" s="64" t="s" ph="1">
        <v>233</v>
      </c>
      <c r="AY52" s="64" t="s" ph="1">
        <v>216</v>
      </c>
      <c r="AZ52" s="64" t="s" ph="1">
        <v>576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378</v>
      </c>
      <c r="AY53" s="64" t="s" ph="1">
        <v>216</v>
      </c>
      <c r="AZ53" s="64" t="s" ph="1">
        <v>367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379</v>
      </c>
      <c r="AJ54" s="64" t="s" ph="1">
        <v>334</v>
      </c>
      <c r="AK54" s="64" t="s" ph="1">
        <v>219</v>
      </c>
      <c r="AM54" s="64" t="s" ph="1">
        <v>336</v>
      </c>
      <c r="AN54" s="64" t="s" ph="1">
        <v>224</v>
      </c>
      <c r="AO54" s="64" t="s" ph="1">
        <v>233</v>
      </c>
      <c r="AP54" s="64" t="s" ph="1">
        <v>570</v>
      </c>
      <c r="AQ54" s="64" t="s" ph="1">
        <v>240</v>
      </c>
      <c r="AR54" s="64" t="s" ph="1">
        <v>233</v>
      </c>
      <c r="AY54" s="64" t="s" ph="1">
        <v>216</v>
      </c>
      <c r="AZ54" s="64" t="s" ph="1">
        <v>234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380</v>
      </c>
      <c r="AY55" s="64" t="s" ph="1">
        <v>216</v>
      </c>
      <c r="AZ55" s="64" t="s" ph="1">
        <v>367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381</v>
      </c>
      <c r="AY56" s="64" t="s" ph="1">
        <v>216</v>
      </c>
      <c r="AZ56" s="64" t="s" ph="1">
        <v>367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382</v>
      </c>
      <c r="AY57" s="64" t="s" ph="1">
        <v>216</v>
      </c>
      <c r="AZ57" s="64" t="s" ph="1">
        <v>367</v>
      </c>
    </row>
    <row r="58" spans="16:52" ph="1">
      <c r="P58" s="64"/>
      <c r="AN58" s="64" t="s" ph="1">
        <v>217</v>
      </c>
      <c r="AZ58" s="64" t="s" ph="1">
        <v>577</v>
      </c>
    </row>
    <row r="59" spans="16:52" ph="1">
      <c r="V59" s="64"/>
      <c r="AG59" s="64" t="s" ph="1">
        <v>235</v>
      </c>
      <c r="AI59" s="64" t="s" ph="1">
        <v>209</v>
      </c>
      <c r="AJ59" s="64" t="s" ph="1">
        <v>210</v>
      </c>
      <c r="AK59" s="64" t="s" ph="1">
        <v>211</v>
      </c>
      <c r="AM59" s="64" t="s" ph="1">
        <v>210</v>
      </c>
      <c r="AN59" s="64" t="s" ph="1">
        <v>211</v>
      </c>
      <c r="AO59" s="64" t="s" ph="1">
        <v>212</v>
      </c>
      <c r="AP59" s="64" t="s" ph="1">
        <v>210</v>
      </c>
      <c r="AQ59" s="64" t="s" ph="1">
        <v>211</v>
      </c>
      <c r="AR59" s="64" t="s" ph="1">
        <v>212</v>
      </c>
      <c r="AS59" s="64" t="s" ph="1">
        <v>210</v>
      </c>
      <c r="AT59" s="64" t="s" ph="1">
        <v>211</v>
      </c>
      <c r="AU59" s="64" t="s" ph="1">
        <v>212</v>
      </c>
      <c r="AV59" s="64" t="s" ph="1">
        <v>210</v>
      </c>
      <c r="AW59" s="64" t="s" ph="1">
        <v>211</v>
      </c>
      <c r="AX59" s="64" t="s" ph="1">
        <v>212</v>
      </c>
      <c r="AY59" s="64" t="s" ph="1">
        <v>211</v>
      </c>
      <c r="AZ59" s="64" t="s" ph="1">
        <v>213</v>
      </c>
    </row>
    <row r="60" spans="16:52" ph="1">
      <c r="R60" s="64"/>
      <c r="S60" s="64"/>
      <c r="T60" s="64"/>
      <c r="AH60" s="64" ph="1">
        <v>1</v>
      </c>
      <c r="AI60" s="64" t="s" ph="1">
        <v>383</v>
      </c>
      <c r="AY60" s="64" t="s" ph="1">
        <v>216</v>
      </c>
      <c r="AZ60" s="64" t="s" ph="1">
        <v>367</v>
      </c>
    </row>
    <row r="61" spans="16:52" ph="1">
      <c r="AH61" s="64" ph="1">
        <v>2</v>
      </c>
      <c r="AI61" s="64" t="s" ph="1">
        <v>384</v>
      </c>
      <c r="AS61" s="64" t="s" ph="1">
        <v>217</v>
      </c>
      <c r="AY61" s="64" t="s" ph="1">
        <v>216</v>
      </c>
      <c r="AZ61" s="64" t="s" ph="1">
        <v>367</v>
      </c>
    </row>
    <row r="62" spans="16:52" ph="1">
      <c r="AZ62" s="64" t="s" ph="1">
        <v>385</v>
      </c>
    </row>
    <row r="63" spans="16:52" ph="1">
      <c r="AG63" s="64" t="s" ph="1">
        <v>238</v>
      </c>
      <c r="AI63" s="64" t="s" ph="1">
        <v>209</v>
      </c>
      <c r="AJ63" s="64" t="s" ph="1">
        <v>210</v>
      </c>
      <c r="AK63" s="64" t="s" ph="1">
        <v>211</v>
      </c>
      <c r="AM63" s="64" t="s" ph="1">
        <v>210</v>
      </c>
      <c r="AN63" s="64" t="s" ph="1">
        <v>211</v>
      </c>
      <c r="AO63" s="64" t="s" ph="1">
        <v>212</v>
      </c>
      <c r="AP63" s="64" t="s" ph="1">
        <v>210</v>
      </c>
      <c r="AQ63" s="64" t="s" ph="1">
        <v>211</v>
      </c>
      <c r="AR63" s="64" t="s" ph="1">
        <v>212</v>
      </c>
      <c r="AS63" s="64" t="s" ph="1">
        <v>210</v>
      </c>
      <c r="AT63" s="64" t="s" ph="1">
        <v>211</v>
      </c>
      <c r="AU63" s="64" t="s" ph="1">
        <v>212</v>
      </c>
      <c r="AV63" s="64" t="s" ph="1">
        <v>210</v>
      </c>
      <c r="AW63" s="64" t="s" ph="1">
        <v>211</v>
      </c>
      <c r="AX63" s="64" t="s" ph="1">
        <v>212</v>
      </c>
      <c r="AY63" s="64" t="s" ph="1">
        <v>211</v>
      </c>
      <c r="AZ63" s="64" t="s" ph="1">
        <v>213</v>
      </c>
    </row>
    <row r="64" spans="16:52" ph="1">
      <c r="AH64" s="64" ph="1">
        <v>1</v>
      </c>
      <c r="AI64" s="64" t="s" ph="1">
        <v>386</v>
      </c>
      <c r="AJ64" s="64" t="s" ph="1">
        <v>387</v>
      </c>
      <c r="AK64" s="64" t="s" ph="1">
        <v>388</v>
      </c>
      <c r="AY64" s="64" t="s" ph="1">
        <v>216</v>
      </c>
      <c r="AZ64" s="64" t="s" ph="1">
        <v>388</v>
      </c>
    </row>
    <row r="65" spans="33:52" ph="1">
      <c r="AH65" s="64" ph="1">
        <v>2</v>
      </c>
      <c r="AI65" s="64" t="s" ph="1">
        <v>389</v>
      </c>
      <c r="AY65" s="64" t="s" ph="1">
        <v>216</v>
      </c>
      <c r="AZ65" s="64" t="s" ph="1">
        <v>367</v>
      </c>
    </row>
    <row r="66" spans="33:52" ph="1">
      <c r="AH66" s="64" ph="1">
        <v>3</v>
      </c>
      <c r="AI66" s="64" t="s" ph="1">
        <v>390</v>
      </c>
      <c r="AY66" s="64" t="s" ph="1">
        <v>216</v>
      </c>
      <c r="AZ66" s="64" t="s" ph="1">
        <v>367</v>
      </c>
    </row>
    <row r="67" spans="33:52" ph="1">
      <c r="AH67" s="64" ph="1">
        <v>4</v>
      </c>
      <c r="AI67" s="64" t="s" ph="1">
        <v>391</v>
      </c>
      <c r="AY67" s="64" t="s" ph="1">
        <v>216</v>
      </c>
      <c r="AZ67" s="64" t="s" ph="1">
        <v>367</v>
      </c>
    </row>
    <row r="68" spans="33:52" ph="1">
      <c r="AH68" s="64" ph="1">
        <v>5</v>
      </c>
      <c r="AI68" s="64" t="s" ph="1">
        <v>392</v>
      </c>
      <c r="AY68" s="64" t="s" ph="1">
        <v>216</v>
      </c>
      <c r="AZ68" s="64" t="s" ph="1">
        <v>367</v>
      </c>
    </row>
    <row r="69" spans="33:52" ph="1">
      <c r="AH69" s="64" ph="1">
        <v>6</v>
      </c>
      <c r="AI69" s="64" t="s" ph="1">
        <v>393</v>
      </c>
      <c r="AY69" s="64" t="s" ph="1">
        <v>216</v>
      </c>
      <c r="AZ69" s="64" t="s" ph="1">
        <v>367</v>
      </c>
    </row>
    <row r="70" spans="33:52" ph="1">
      <c r="AI70" s="64" t="s" ph="1">
        <v>394</v>
      </c>
      <c r="AY70" s="64" t="s" ph="1">
        <v>216</v>
      </c>
      <c r="AZ70" s="64" t="s" ph="1">
        <v>367</v>
      </c>
    </row>
    <row r="71" spans="33:52" ph="1">
      <c r="AH71" s="64" ph="1">
        <v>7</v>
      </c>
      <c r="AI71" s="64" t="s" ph="1">
        <v>395</v>
      </c>
      <c r="AJ71" s="64" t="s" ph="1">
        <v>334</v>
      </c>
      <c r="AK71" s="64" t="s" ph="1">
        <v>228</v>
      </c>
      <c r="AM71" s="64" t="s" ph="1">
        <v>336</v>
      </c>
      <c r="AN71" s="64" t="s" ph="1">
        <v>228</v>
      </c>
      <c r="AO71" s="64" t="s" ph="1">
        <v>396</v>
      </c>
      <c r="AP71" s="64" t="s" ph="1">
        <v>570</v>
      </c>
      <c r="AQ71" s="64" t="s" ph="1">
        <v>219</v>
      </c>
      <c r="AR71" s="64" t="s" ph="1">
        <v>396</v>
      </c>
      <c r="AY71" s="64" t="s" ph="1">
        <v>216</v>
      </c>
      <c r="AZ71" s="64" t="s" ph="1">
        <v>578</v>
      </c>
    </row>
    <row r="72" spans="33:52" ph="1">
      <c r="AZ72" s="64" t="s" ph="1">
        <v>579</v>
      </c>
    </row>
    <row r="73" spans="33:52" ph="1">
      <c r="AG73" s="64" t="s" ph="1">
        <v>241</v>
      </c>
      <c r="AI73" s="64" t="s" ph="1">
        <v>209</v>
      </c>
      <c r="AJ73" s="64" t="s" ph="1">
        <v>210</v>
      </c>
      <c r="AK73" s="64" t="s" ph="1">
        <v>211</v>
      </c>
      <c r="AM73" s="64" t="s" ph="1">
        <v>210</v>
      </c>
      <c r="AN73" s="64" t="s" ph="1">
        <v>211</v>
      </c>
      <c r="AO73" s="64" t="s" ph="1">
        <v>212</v>
      </c>
      <c r="AP73" s="64" t="s" ph="1">
        <v>210</v>
      </c>
      <c r="AQ73" s="64" t="s" ph="1">
        <v>211</v>
      </c>
      <c r="AR73" s="64" t="s" ph="1">
        <v>212</v>
      </c>
      <c r="AS73" s="64" t="s" ph="1">
        <v>210</v>
      </c>
      <c r="AT73" s="64" t="s" ph="1">
        <v>211</v>
      </c>
      <c r="AU73" s="64" t="s" ph="1">
        <v>212</v>
      </c>
      <c r="AV73" s="64" t="s" ph="1">
        <v>210</v>
      </c>
      <c r="AW73" s="64" t="s" ph="1">
        <v>211</v>
      </c>
      <c r="AX73" s="64" t="s" ph="1">
        <v>212</v>
      </c>
      <c r="AY73" s="64" t="s" ph="1">
        <v>211</v>
      </c>
      <c r="AZ73" s="64" t="s" ph="1">
        <v>213</v>
      </c>
    </row>
    <row r="74" spans="33:52" ph="1">
      <c r="AH74" s="64" ph="1">
        <v>1</v>
      </c>
      <c r="AI74" s="64" t="s" ph="1">
        <v>397</v>
      </c>
      <c r="AJ74" s="64" t="s" ph="1">
        <v>242</v>
      </c>
      <c r="AK74" s="64" t="s" ph="1">
        <v>224</v>
      </c>
      <c r="AM74" s="64" t="s" ph="1">
        <v>244</v>
      </c>
      <c r="AN74" s="64" t="s" ph="1">
        <v>254</v>
      </c>
      <c r="AO74" s="64" t="s" ph="1">
        <v>243</v>
      </c>
      <c r="AP74" s="64" t="s" ph="1">
        <v>245</v>
      </c>
      <c r="AQ74" s="64" t="s" ph="1">
        <v>222</v>
      </c>
      <c r="AR74" s="64" t="s" ph="1">
        <v>243</v>
      </c>
      <c r="AS74" s="64" t="s" ph="1">
        <v>215</v>
      </c>
      <c r="AT74" s="64" t="s" ph="1">
        <v>217</v>
      </c>
      <c r="AV74" s="64" t="s" ph="1">
        <v>398</v>
      </c>
      <c r="AW74" s="64" t="s" ph="1">
        <v>399</v>
      </c>
      <c r="AX74" s="64" t="s" ph="1">
        <v>400</v>
      </c>
      <c r="AY74" s="64" t="s" ph="1">
        <v>216</v>
      </c>
      <c r="AZ74" s="64" t="s" ph="1">
        <v>401</v>
      </c>
    </row>
    <row r="75" spans="33:52" ph="1">
      <c r="AJ75" s="64" t="s" ph="1">
        <v>247</v>
      </c>
      <c r="AK75" s="64" t="s" ph="1">
        <v>300</v>
      </c>
      <c r="AM75" s="64" t="s" ph="1">
        <v>245</v>
      </c>
      <c r="AN75" s="64" t="s" ph="1">
        <v>225</v>
      </c>
      <c r="AO75" s="64" t="s" ph="1">
        <v>243</v>
      </c>
      <c r="AS75" s="64" t="s" ph="1">
        <v>215</v>
      </c>
      <c r="AT75" s="64" t="s" ph="1">
        <v>246</v>
      </c>
    </row>
    <row r="76" spans="33:52" ph="1">
      <c r="AJ76" s="64" t="s" ph="1">
        <v>247</v>
      </c>
      <c r="AK76" s="64" t="s" ph="1">
        <v>240</v>
      </c>
      <c r="AM76" s="64" t="s" ph="1">
        <v>245</v>
      </c>
      <c r="AN76" s="64" t="s" ph="1">
        <v>228</v>
      </c>
      <c r="AO76" s="64" t="s" ph="1">
        <v>243</v>
      </c>
      <c r="AS76" s="64" t="s" ph="1">
        <v>215</v>
      </c>
      <c r="AT76" s="64" t="s" ph="1">
        <v>246</v>
      </c>
    </row>
    <row r="77" spans="33:52" ph="1">
      <c r="AJ77" s="64" t="s" ph="1">
        <v>283</v>
      </c>
      <c r="AK77" s="64" t="s" ph="1">
        <v>240</v>
      </c>
      <c r="AM77" s="64" t="s" ph="1">
        <v>284</v>
      </c>
      <c r="AN77" s="64" t="s" ph="1">
        <v>223</v>
      </c>
      <c r="AO77" s="64" t="s" ph="1">
        <v>243</v>
      </c>
      <c r="AS77" s="64" t="s" ph="1">
        <v>215</v>
      </c>
      <c r="AT77" s="64" t="s" ph="1">
        <v>285</v>
      </c>
    </row>
    <row r="78" spans="33:52" ph="1">
      <c r="AH78" s="64" ph="1">
        <v>2</v>
      </c>
      <c r="AI78" s="64" t="s" ph="1">
        <v>249</v>
      </c>
      <c r="AJ78" s="64" t="s" ph="1">
        <v>250</v>
      </c>
      <c r="AK78" s="64" t="s" ph="1">
        <v>219</v>
      </c>
      <c r="AM78" s="64" t="s" ph="1">
        <v>251</v>
      </c>
      <c r="AN78" s="64" t="s" ph="1">
        <v>254</v>
      </c>
      <c r="AO78" s="64" t="s" ph="1">
        <v>243</v>
      </c>
      <c r="AP78" s="64" t="s" ph="1">
        <v>252</v>
      </c>
      <c r="AQ78" s="64" t="s" ph="1">
        <v>298</v>
      </c>
      <c r="AR78" s="64" t="s" ph="1">
        <v>243</v>
      </c>
      <c r="AS78" s="64" t="s" ph="1">
        <v>253</v>
      </c>
      <c r="AT78" s="64" t="s" ph="1">
        <v>254</v>
      </c>
      <c r="AU78" s="64" t="s" ph="1">
        <v>243</v>
      </c>
      <c r="AV78" s="64" t="s" ph="1">
        <v>255</v>
      </c>
      <c r="AW78" s="64" t="s" ph="1">
        <v>243</v>
      </c>
      <c r="AY78" s="64" t="s" ph="1">
        <v>216</v>
      </c>
      <c r="AZ78" s="64" t="s" ph="1">
        <v>402</v>
      </c>
    </row>
    <row r="79" spans="33:52" ph="1">
      <c r="AJ79" s="64" t="s" ph="1">
        <v>245</v>
      </c>
      <c r="AK79" s="64" t="s" ph="1">
        <v>256</v>
      </c>
      <c r="AM79" s="64" t="s" ph="1">
        <v>257</v>
      </c>
      <c r="AN79" s="64" t="s" ph="1">
        <v>225</v>
      </c>
      <c r="AO79" s="64" t="s" ph="1">
        <v>243</v>
      </c>
      <c r="AP79" s="64" t="s" ph="1">
        <v>258</v>
      </c>
      <c r="AQ79" s="64" t="s" ph="1">
        <v>223</v>
      </c>
      <c r="AR79" s="64" t="s" ph="1">
        <v>259</v>
      </c>
      <c r="AS79" s="64" t="s" ph="1">
        <v>215</v>
      </c>
      <c r="AT79" s="64" t="s" ph="1">
        <v>260</v>
      </c>
      <c r="AV79" s="64" t="s" ph="1">
        <v>403</v>
      </c>
      <c r="AW79" s="64" t="s" ph="1">
        <v>302</v>
      </c>
      <c r="AX79" s="64" t="s" ph="1">
        <v>400</v>
      </c>
    </row>
    <row r="80" spans="33:52" ph="1">
      <c r="AH80" s="64" ph="1">
        <v>3</v>
      </c>
      <c r="AI80" s="64" t="s" ph="1">
        <v>261</v>
      </c>
      <c r="AJ80" s="64" t="s" ph="1">
        <v>262</v>
      </c>
      <c r="AK80" s="64" t="s" ph="1">
        <v>263</v>
      </c>
      <c r="AM80" s="64" t="s" ph="1">
        <v>264</v>
      </c>
      <c r="AN80" s="64" t="s" ph="1">
        <v>254</v>
      </c>
      <c r="AO80" s="64" t="s" ph="1">
        <v>243</v>
      </c>
      <c r="AP80" s="64" t="s" ph="1">
        <v>265</v>
      </c>
      <c r="AQ80" s="64" t="s" ph="1">
        <v>228</v>
      </c>
      <c r="AR80" s="64" t="s" ph="1">
        <v>243</v>
      </c>
      <c r="AS80" s="64" t="s" ph="1">
        <v>266</v>
      </c>
      <c r="AT80" s="64" t="s" ph="1">
        <v>227</v>
      </c>
      <c r="AU80" s="64" t="s" ph="1">
        <v>243</v>
      </c>
      <c r="AV80" s="64" t="s" ph="1">
        <v>267</v>
      </c>
      <c r="AW80" s="64" t="s" ph="1">
        <v>243</v>
      </c>
      <c r="AY80" s="64" t="s" ph="1">
        <v>216</v>
      </c>
      <c r="AZ80" s="64" t="s" ph="1">
        <v>404</v>
      </c>
    </row>
    <row r="81" spans="34:52" ph="1">
      <c r="AJ81" s="64" t="s" ph="1">
        <v>268</v>
      </c>
      <c r="AK81" s="64" t="s" ph="1">
        <v>222</v>
      </c>
      <c r="AM81" s="64" t="s" ph="1">
        <v>269</v>
      </c>
      <c r="AN81" s="64" t="s" ph="1">
        <v>225</v>
      </c>
      <c r="AO81" s="64" t="s" ph="1">
        <v>243</v>
      </c>
      <c r="AP81" s="64" t="s" ph="1">
        <v>270</v>
      </c>
      <c r="AQ81" s="64" t="s" ph="1">
        <v>254</v>
      </c>
      <c r="AR81" s="64" t="s" ph="1">
        <v>243</v>
      </c>
      <c r="AS81" s="64" t="s" ph="1">
        <v>271</v>
      </c>
      <c r="AT81" s="64" t="s" ph="1">
        <v>272</v>
      </c>
      <c r="AU81" s="64" t="s" ph="1">
        <v>243</v>
      </c>
      <c r="AV81" s="64" t="s" ph="1">
        <v>273</v>
      </c>
    </row>
    <row r="82" spans="34:52" ph="1">
      <c r="AJ82" s="64" t="s" ph="1">
        <v>274</v>
      </c>
      <c r="AK82" s="64" t="s" ph="1">
        <v>222</v>
      </c>
      <c r="AM82" s="64" t="s" ph="1">
        <v>275</v>
      </c>
      <c r="AN82" s="64" t="s" ph="1">
        <v>272</v>
      </c>
      <c r="AO82" s="64" t="s" ph="1">
        <v>276</v>
      </c>
      <c r="AP82" s="64" t="s" ph="1">
        <v>277</v>
      </c>
      <c r="AQ82" s="64" t="s" ph="1">
        <v>254</v>
      </c>
      <c r="AR82" s="64" t="s" ph="1">
        <v>243</v>
      </c>
      <c r="AS82" s="64" t="s" ph="1">
        <v>278</v>
      </c>
      <c r="AT82" s="64" t="s" ph="1">
        <v>229</v>
      </c>
      <c r="AU82" s="64" t="s" ph="1">
        <v>243</v>
      </c>
      <c r="AV82" s="64" t="s" ph="1">
        <v>403</v>
      </c>
      <c r="AW82" s="64" t="s" ph="1">
        <v>303</v>
      </c>
      <c r="AX82" s="64" t="s" ph="1">
        <v>400</v>
      </c>
    </row>
    <row r="83" spans="34:52" ph="1">
      <c r="AJ83" s="64" t="s" ph="1">
        <v>279</v>
      </c>
      <c r="AK83" s="64" t="s" ph="1">
        <v>296</v>
      </c>
      <c r="AM83" s="64" t="s" ph="1">
        <v>280</v>
      </c>
      <c r="AN83" s="64" t="s" ph="1">
        <v>228</v>
      </c>
      <c r="AO83" s="64" t="s" ph="1">
        <v>259</v>
      </c>
      <c r="AP83" s="64" t="s" ph="1">
        <v>281</v>
      </c>
      <c r="AQ83" s="64" t="s" ph="1">
        <v>282</v>
      </c>
      <c r="AR83" s="64" t="s" ph="1">
        <v>259</v>
      </c>
      <c r="AS83" s="64" t="s" ph="1">
        <v>405</v>
      </c>
      <c r="AT83" s="64" t="s" ph="1">
        <v>254</v>
      </c>
      <c r="AU83" s="64" t="s" ph="1">
        <v>259</v>
      </c>
      <c r="AV83" s="64" t="s" ph="1">
        <v>406</v>
      </c>
      <c r="AW83" s="64" t="s" ph="1">
        <v>303</v>
      </c>
      <c r="AX83" s="64" t="s" ph="1">
        <v>407</v>
      </c>
    </row>
    <row r="84" spans="34:52" ph="1">
      <c r="AH84" s="64" ph="1">
        <v>4</v>
      </c>
      <c r="AI84" s="64" t="s" ph="1">
        <v>286</v>
      </c>
      <c r="AJ84" s="64" t="s" ph="1">
        <v>226</v>
      </c>
      <c r="AK84" s="64" t="s" ph="1">
        <v>229</v>
      </c>
      <c r="AM84" s="64" t="s" ph="1">
        <v>230</v>
      </c>
      <c r="AN84" s="64" t="s" ph="1">
        <v>223</v>
      </c>
      <c r="AO84" s="64" t="s" ph="1">
        <v>259</v>
      </c>
      <c r="AP84" s="64" t="s" ph="1">
        <v>288</v>
      </c>
      <c r="AQ84" s="64" t="s" ph="1">
        <v>222</v>
      </c>
      <c r="AR84" s="64" t="s" ph="1">
        <v>259</v>
      </c>
      <c r="AS84" s="64" t="s" ph="1">
        <v>288</v>
      </c>
      <c r="AT84" s="64" t="s" ph="1">
        <v>224</v>
      </c>
      <c r="AU84" s="64" t="s" ph="1">
        <v>259</v>
      </c>
      <c r="AY84" s="64" t="s" ph="1">
        <v>216</v>
      </c>
      <c r="AZ84" s="64" t="s" ph="1">
        <v>408</v>
      </c>
    </row>
    <row r="85" spans="34:52" ph="1">
      <c r="AJ85" s="64" t="s" ph="1">
        <v>218</v>
      </c>
      <c r="AK85" s="64" t="s" ph="1">
        <v>222</v>
      </c>
      <c r="AM85" s="64" t="s" ph="1">
        <v>409</v>
      </c>
      <c r="AN85" s="64" t="s" ph="1">
        <v>229</v>
      </c>
      <c r="AO85" s="64" t="s" ph="1">
        <v>259</v>
      </c>
      <c r="AP85" s="64" t="s" ph="1">
        <v>410</v>
      </c>
      <c r="AQ85" s="64" t="s" ph="1">
        <v>225</v>
      </c>
      <c r="AR85" s="64" t="s" ph="1">
        <v>259</v>
      </c>
      <c r="AS85" s="64" t="s" ph="1">
        <v>411</v>
      </c>
      <c r="AT85" s="64" t="s" ph="1">
        <v>225</v>
      </c>
      <c r="AU85" s="64" t="s" ph="1">
        <v>259</v>
      </c>
    </row>
    <row r="86" spans="34:52" ph="1">
      <c r="AJ86" s="64" t="s" ph="1">
        <v>412</v>
      </c>
      <c r="AK86" s="64" t="s" ph="1">
        <v>231</v>
      </c>
      <c r="AM86" s="64" t="s" ph="1">
        <v>413</v>
      </c>
      <c r="AN86" s="64" t="s" ph="1">
        <v>272</v>
      </c>
      <c r="AO86" s="64" t="s" ph="1">
        <v>259</v>
      </c>
      <c r="AP86" s="64" t="s" ph="1">
        <v>414</v>
      </c>
      <c r="AQ86" s="64" t="s" ph="1">
        <v>219</v>
      </c>
      <c r="AR86" s="64" t="s" ph="1">
        <v>259</v>
      </c>
      <c r="AS86" s="64" t="s" ph="1">
        <v>415</v>
      </c>
      <c r="AT86" s="64" t="s" ph="1">
        <v>237</v>
      </c>
      <c r="AU86" s="64" t="s" ph="1">
        <v>259</v>
      </c>
    </row>
    <row r="87" spans="34:52" ph="1">
      <c r="AJ87" s="64" t="s" ph="1">
        <v>416</v>
      </c>
      <c r="AK87" s="64" t="s" ph="1">
        <v>272</v>
      </c>
      <c r="AM87" s="64" t="s" ph="1">
        <v>403</v>
      </c>
      <c r="AN87" s="64" t="s" ph="1">
        <v>417</v>
      </c>
      <c r="AO87" s="64" t="s" ph="1">
        <v>400</v>
      </c>
    </row>
    <row r="88" spans="34:52" ph="1">
      <c r="AH88" s="64" ph="1">
        <v>5</v>
      </c>
      <c r="AI88" s="64" t="s" ph="1">
        <v>289</v>
      </c>
      <c r="AJ88" s="64" t="s" ph="1">
        <v>418</v>
      </c>
      <c r="AK88" s="64" t="s" ph="1">
        <v>272</v>
      </c>
      <c r="AM88" s="64" t="s" ph="1">
        <v>419</v>
      </c>
      <c r="AN88" s="64" t="s" ph="1">
        <v>272</v>
      </c>
      <c r="AO88" s="64" t="s" ph="1">
        <v>259</v>
      </c>
      <c r="AP88" s="64" t="s" ph="1">
        <v>420</v>
      </c>
      <c r="AQ88" s="64" t="s" ph="1">
        <v>222</v>
      </c>
      <c r="AR88" s="64" t="s" ph="1">
        <v>259</v>
      </c>
      <c r="AS88" s="64" t="s" ph="1">
        <v>421</v>
      </c>
      <c r="AT88" s="64" t="s" ph="1">
        <v>272</v>
      </c>
      <c r="AU88" s="64" t="s" ph="1">
        <v>259</v>
      </c>
      <c r="AV88" s="64" t="s" ph="1">
        <v>422</v>
      </c>
      <c r="AW88" s="64" t="s" ph="1">
        <v>227</v>
      </c>
      <c r="AX88" s="64" t="s" ph="1">
        <v>259</v>
      </c>
      <c r="AY88" s="64" t="s" ph="1">
        <v>216</v>
      </c>
      <c r="AZ88" s="64" t="s" ph="1">
        <v>423</v>
      </c>
    </row>
    <row r="89" spans="34:52" ph="1">
      <c r="AJ89" s="64" t="s" ph="1">
        <v>424</v>
      </c>
      <c r="AK89" s="64" t="s" ph="1">
        <v>225</v>
      </c>
      <c r="AM89" s="64" t="s" ph="1">
        <v>425</v>
      </c>
      <c r="AN89" s="64" t="s" ph="1">
        <v>228</v>
      </c>
      <c r="AO89" s="64" t="s" ph="1">
        <v>259</v>
      </c>
      <c r="AP89" s="64" t="s" ph="1">
        <v>426</v>
      </c>
      <c r="AQ89" s="64" t="s" ph="1">
        <v>237</v>
      </c>
      <c r="AR89" s="64" t="s" ph="1">
        <v>259</v>
      </c>
      <c r="AS89" s="64" t="s" ph="1">
        <v>427</v>
      </c>
      <c r="AT89" s="64" t="s" ph="1">
        <v>272</v>
      </c>
      <c r="AU89" s="64" t="s" ph="1">
        <v>259</v>
      </c>
      <c r="AV89" s="64" t="s" ph="1">
        <v>428</v>
      </c>
      <c r="AW89" s="64" t="s" ph="1">
        <v>254</v>
      </c>
      <c r="AX89" s="64" t="s" ph="1">
        <v>287</v>
      </c>
    </row>
    <row r="90" spans="34:52" ph="1">
      <c r="AJ90" s="64" t="s" ph="1">
        <v>429</v>
      </c>
      <c r="AK90" s="64" t="s" ph="1">
        <v>228</v>
      </c>
      <c r="AM90" s="64" t="s" ph="1">
        <v>430</v>
      </c>
      <c r="AN90" s="64" t="s" ph="1">
        <v>225</v>
      </c>
      <c r="AO90" s="64" t="s" ph="1">
        <v>259</v>
      </c>
      <c r="AP90" s="64" t="s" ph="1">
        <v>431</v>
      </c>
      <c r="AQ90" s="64" t="s" ph="1">
        <v>294</v>
      </c>
      <c r="AR90" s="64" t="s" ph="1">
        <v>259</v>
      </c>
      <c r="AS90" s="64" t="s" ph="1">
        <v>432</v>
      </c>
      <c r="AT90" s="64" t="s" ph="1">
        <v>282</v>
      </c>
      <c r="AU90" s="64" t="s" ph="1">
        <v>259</v>
      </c>
      <c r="AV90" s="64" t="s" ph="1">
        <v>433</v>
      </c>
      <c r="AW90" s="64" t="s" ph="1">
        <v>219</v>
      </c>
      <c r="AX90" s="64" t="s" ph="1">
        <v>259</v>
      </c>
    </row>
    <row r="91" spans="34:52" ph="1">
      <c r="AJ91" s="64" t="s" ph="1">
        <v>434</v>
      </c>
      <c r="AK91" s="64" t="s" ph="1">
        <v>272</v>
      </c>
      <c r="AM91" s="64" t="s" ph="1">
        <v>435</v>
      </c>
      <c r="AN91" s="64" t="s" ph="1">
        <v>239</v>
      </c>
      <c r="AO91" s="64" t="s" ph="1">
        <v>259</v>
      </c>
      <c r="AP91" s="64" t="s" ph="1">
        <v>436</v>
      </c>
      <c r="AQ91" s="64" t="s" ph="1">
        <v>219</v>
      </c>
      <c r="AS91" s="64" t="s" ph="1">
        <v>403</v>
      </c>
      <c r="AT91" s="64" t="s" ph="1">
        <v>399</v>
      </c>
      <c r="AU91" s="64" t="s" ph="1">
        <v>400</v>
      </c>
    </row>
    <row r="92" spans="34:52" ph="1">
      <c r="AH92" s="64" ph="1">
        <v>6</v>
      </c>
      <c r="AI92" s="64" t="s" ph="1">
        <v>437</v>
      </c>
      <c r="AJ92" s="64" t="s" ph="1">
        <v>438</v>
      </c>
      <c r="AK92" s="64" t="s" ph="1">
        <v>367</v>
      </c>
      <c r="AM92" s="64" t="s" ph="1">
        <v>439</v>
      </c>
      <c r="AN92" s="64" t="s" ph="1">
        <v>227</v>
      </c>
      <c r="AO92" s="64" t="s" ph="1">
        <v>259</v>
      </c>
      <c r="AP92" s="64" t="s" ph="1">
        <v>440</v>
      </c>
      <c r="AQ92" s="64" t="s" ph="1">
        <v>299</v>
      </c>
      <c r="AR92" s="64" t="s" ph="1">
        <v>259</v>
      </c>
      <c r="AS92" s="64" t="s" ph="1">
        <v>441</v>
      </c>
      <c r="AT92" s="64" t="s" ph="1">
        <v>272</v>
      </c>
      <c r="AU92" s="64" t="s" ph="1">
        <v>259</v>
      </c>
      <c r="AV92" s="64" t="s" ph="1">
        <v>442</v>
      </c>
      <c r="AW92" s="64" t="s" ph="1">
        <v>228</v>
      </c>
      <c r="AX92" s="64" t="s" ph="1">
        <v>259</v>
      </c>
      <c r="AY92" s="64" t="s" ph="1">
        <v>216</v>
      </c>
      <c r="AZ92" s="64" t="s" ph="1">
        <v>423</v>
      </c>
    </row>
    <row r="93" spans="34:52" ph="1">
      <c r="AJ93" s="64" t="s" ph="1">
        <v>443</v>
      </c>
      <c r="AK93" s="64" t="s" ph="1">
        <v>222</v>
      </c>
      <c r="AM93" s="64" t="s" ph="1">
        <v>444</v>
      </c>
      <c r="AN93" s="64" t="s" ph="1">
        <v>227</v>
      </c>
      <c r="AO93" s="64" t="s" ph="1">
        <v>259</v>
      </c>
      <c r="AP93" s="64" t="s" ph="1">
        <v>445</v>
      </c>
      <c r="AQ93" s="64" t="s" ph="1">
        <v>231</v>
      </c>
      <c r="AR93" s="64" t="s" ph="1">
        <v>259</v>
      </c>
      <c r="AS93" s="64" t="s" ph="1">
        <v>446</v>
      </c>
      <c r="AT93" s="64" t="s" ph="1">
        <v>237</v>
      </c>
      <c r="AU93" s="64" t="s" ph="1">
        <v>259</v>
      </c>
      <c r="AV93" s="64" t="s" ph="1">
        <v>447</v>
      </c>
      <c r="AW93" s="64" t="s" ph="1">
        <v>231</v>
      </c>
      <c r="AX93" s="64" t="s" ph="1">
        <v>259</v>
      </c>
    </row>
    <row r="94" spans="34:52" ph="1">
      <c r="AJ94" s="64" t="s" ph="1">
        <v>448</v>
      </c>
      <c r="AK94" s="64" t="s" ph="1">
        <v>294</v>
      </c>
      <c r="AM94" s="64" t="s" ph="1">
        <v>449</v>
      </c>
      <c r="AN94" s="64" t="s" ph="1">
        <v>231</v>
      </c>
      <c r="AO94" s="64" t="s" ph="1">
        <v>259</v>
      </c>
      <c r="AP94" s="64" t="s" ph="1">
        <v>450</v>
      </c>
      <c r="AQ94" s="64" t="s" ph="1">
        <v>239</v>
      </c>
      <c r="AR94" s="64" t="s" ph="1">
        <v>259</v>
      </c>
      <c r="AS94" s="64" t="s" ph="1">
        <v>451</v>
      </c>
      <c r="AT94" s="64" t="s" ph="1">
        <v>225</v>
      </c>
      <c r="AU94" s="64" t="s" ph="1">
        <v>259</v>
      </c>
      <c r="AV94" s="64" t="s" ph="1">
        <v>452</v>
      </c>
      <c r="AW94" s="64" t="s" ph="1">
        <v>225</v>
      </c>
      <c r="AX94" s="64" t="s" ph="1">
        <v>259</v>
      </c>
    </row>
    <row r="95" spans="34:52" ph="1">
      <c r="AJ95" s="64" t="s" ph="1">
        <v>453</v>
      </c>
      <c r="AK95" s="64" t="s" ph="1">
        <v>299</v>
      </c>
    </row>
    <row r="96" spans="34:52" ph="1">
      <c r="AH96" s="64" ph="1">
        <v>7</v>
      </c>
      <c r="AI96" s="64" t="s" ph="1">
        <v>454</v>
      </c>
      <c r="AJ96" s="64" t="s" ph="1">
        <v>453</v>
      </c>
      <c r="AK96" s="64" t="s" ph="1">
        <v>254</v>
      </c>
      <c r="AM96" s="64" t="s" ph="1">
        <v>455</v>
      </c>
      <c r="AN96" s="64" t="s" ph="1">
        <v>228</v>
      </c>
      <c r="AO96" s="64" t="s" ph="1">
        <v>259</v>
      </c>
      <c r="AP96" s="64" t="s" ph="1">
        <v>456</v>
      </c>
      <c r="AQ96" s="64" t="s" ph="1">
        <v>272</v>
      </c>
      <c r="AR96" s="64" t="s" ph="1">
        <v>287</v>
      </c>
      <c r="AS96" s="64" t="s" ph="1">
        <v>457</v>
      </c>
      <c r="AT96" s="64" t="s" ph="1">
        <v>231</v>
      </c>
      <c r="AU96" s="64" t="s" ph="1">
        <v>287</v>
      </c>
      <c r="AV96" s="64" t="s" ph="1">
        <v>458</v>
      </c>
      <c r="AW96" s="64" t="s" ph="1">
        <v>227</v>
      </c>
      <c r="AX96" s="64" t="s" ph="1">
        <v>287</v>
      </c>
      <c r="AY96" s="64" t="s" ph="1">
        <v>216</v>
      </c>
      <c r="AZ96" s="64" t="s" ph="1">
        <v>459</v>
      </c>
    </row>
    <row r="97" spans="33:52" ph="1">
      <c r="AJ97" s="64" t="s" ph="1">
        <v>460</v>
      </c>
      <c r="AK97" s="64" t="s" ph="1">
        <v>282</v>
      </c>
      <c r="AM97" s="64" t="s" ph="1">
        <v>461</v>
      </c>
      <c r="AN97" s="64" t="s" ph="1">
        <v>225</v>
      </c>
      <c r="AO97" s="64" t="s" ph="1">
        <v>259</v>
      </c>
      <c r="AP97" s="64" t="s" ph="1">
        <v>462</v>
      </c>
      <c r="AQ97" s="64" t="s" ph="1">
        <v>219</v>
      </c>
      <c r="AR97" s="64" t="s" ph="1">
        <v>287</v>
      </c>
      <c r="AS97" s="64" t="s" ph="1">
        <v>463</v>
      </c>
      <c r="AT97" s="64" t="s" ph="1">
        <v>222</v>
      </c>
      <c r="AU97" s="64" t="s" ph="1">
        <v>287</v>
      </c>
      <c r="AV97" s="64" t="s" ph="1">
        <v>464</v>
      </c>
      <c r="AW97" s="64" t="s" ph="1">
        <v>228</v>
      </c>
      <c r="AX97" s="64" t="s" ph="1">
        <v>287</v>
      </c>
    </row>
    <row r="98" spans="33:52" ph="1">
      <c r="AJ98" s="64" t="s" ph="1">
        <v>465</v>
      </c>
      <c r="AK98" s="64" t="s" ph="1">
        <v>231</v>
      </c>
      <c r="AM98" s="64" t="s" ph="1">
        <v>466</v>
      </c>
      <c r="AN98" s="64" t="s" ph="1">
        <v>239</v>
      </c>
      <c r="AO98" s="64" t="s" ph="1">
        <v>259</v>
      </c>
      <c r="AP98" s="64" t="s" ph="1">
        <v>467</v>
      </c>
      <c r="AQ98" s="64" t="s" ph="1">
        <v>219</v>
      </c>
      <c r="AR98" s="64" t="s" ph="1">
        <v>287</v>
      </c>
      <c r="AS98" s="64" t="s" ph="1">
        <v>468</v>
      </c>
      <c r="AT98" s="64" t="s" ph="1">
        <v>299</v>
      </c>
      <c r="AU98" s="64" t="s" ph="1">
        <v>287</v>
      </c>
      <c r="AV98" s="64" t="s" ph="1">
        <v>469</v>
      </c>
      <c r="AW98" s="64" t="s" ph="1">
        <v>222</v>
      </c>
      <c r="AX98" s="64" t="s" ph="1">
        <v>287</v>
      </c>
    </row>
    <row r="99" spans="33:52" ph="1">
      <c r="AH99" s="64" ph="1">
        <v>8</v>
      </c>
      <c r="AI99" s="64" t="s" ph="1">
        <v>470</v>
      </c>
      <c r="AJ99" s="64" t="s" ph="1">
        <v>471</v>
      </c>
      <c r="AK99" s="64" t="s" ph="1">
        <v>367</v>
      </c>
      <c r="AM99" s="64" t="s" ph="1">
        <v>472</v>
      </c>
      <c r="AN99" s="64" t="s" ph="1">
        <v>254</v>
      </c>
      <c r="AO99" s="64" t="s" ph="1">
        <v>259</v>
      </c>
      <c r="AP99" s="64" t="s" ph="1">
        <v>473</v>
      </c>
      <c r="AQ99" s="64" t="s" ph="1">
        <v>224</v>
      </c>
      <c r="AR99" s="64" t="s" ph="1">
        <v>287</v>
      </c>
      <c r="AS99" s="64" t="s" ph="1">
        <v>474</v>
      </c>
      <c r="AT99" s="64" t="s" ph="1">
        <v>239</v>
      </c>
      <c r="AU99" s="64" t="s" ph="1">
        <v>287</v>
      </c>
      <c r="AV99" s="64" t="s" ph="1">
        <v>475</v>
      </c>
      <c r="AW99" s="64" t="s" ph="1">
        <v>224</v>
      </c>
      <c r="AX99" s="64" t="s" ph="1">
        <v>287</v>
      </c>
      <c r="AY99" s="64" t="s" ph="1">
        <v>216</v>
      </c>
      <c r="AZ99" s="64" t="s" ph="1">
        <v>476</v>
      </c>
    </row>
    <row r="100" spans="33:52" ph="1">
      <c r="AJ100" s="64" t="s" ph="1">
        <v>477</v>
      </c>
      <c r="AK100" s="64" t="s" ph="1">
        <v>222</v>
      </c>
      <c r="AM100" s="64" t="s" ph="1">
        <v>478</v>
      </c>
      <c r="AN100" s="64" t="s" ph="1">
        <v>294</v>
      </c>
      <c r="AO100" s="64" t="s" ph="1">
        <v>259</v>
      </c>
      <c r="AP100" s="64" t="s" ph="1">
        <v>479</v>
      </c>
      <c r="AQ100" s="64" t="s" ph="1">
        <v>300</v>
      </c>
      <c r="AR100" s="64" t="s" ph="1">
        <v>287</v>
      </c>
      <c r="AS100" s="64" t="s" ph="1">
        <v>480</v>
      </c>
      <c r="AT100" s="64" t="s" ph="1">
        <v>367</v>
      </c>
      <c r="AU100" s="64" t="s" ph="1">
        <v>259</v>
      </c>
      <c r="AV100" s="64" t="s" ph="1">
        <v>481</v>
      </c>
      <c r="AW100" s="64" t="s" ph="1">
        <v>367</v>
      </c>
      <c r="AX100" s="64" t="s" ph="1">
        <v>259</v>
      </c>
    </row>
    <row r="101" spans="33:52" ph="1">
      <c r="AJ101" s="64" t="s" ph="1">
        <v>482</v>
      </c>
      <c r="AK101" s="64" t="s" ph="1">
        <v>367</v>
      </c>
      <c r="AM101" s="64" t="s" ph="1">
        <v>483</v>
      </c>
      <c r="AN101" s="64" t="s" ph="1">
        <v>225</v>
      </c>
      <c r="AO101" s="64" t="s" ph="1">
        <v>259</v>
      </c>
      <c r="AP101" s="64" t="s" ph="1">
        <v>484</v>
      </c>
      <c r="AQ101" s="64" t="s" ph="1">
        <v>237</v>
      </c>
      <c r="AR101" s="64" t="s" ph="1">
        <v>287</v>
      </c>
      <c r="AS101" s="64" t="s" ph="1">
        <v>485</v>
      </c>
      <c r="AT101" s="64" t="s" ph="1">
        <v>294</v>
      </c>
      <c r="AU101" s="64" t="s" ph="1">
        <v>287</v>
      </c>
      <c r="AV101" s="64" t="s" ph="1">
        <v>486</v>
      </c>
      <c r="AW101" s="64" t="s" ph="1">
        <v>225</v>
      </c>
      <c r="AX101" s="64" t="s" ph="1">
        <v>259</v>
      </c>
    </row>
    <row r="102" spans="33:52" ph="1">
      <c r="AJ102" s="64" t="s" ph="1">
        <v>487</v>
      </c>
      <c r="AK102" s="64" t="s" ph="1">
        <v>222</v>
      </c>
      <c r="AM102" s="64" t="s" ph="1">
        <v>488</v>
      </c>
      <c r="AN102" s="64" t="s" ph="1">
        <v>231</v>
      </c>
      <c r="AO102" s="64" t="s" ph="1">
        <v>259</v>
      </c>
      <c r="AP102" s="64" t="s" ph="1">
        <v>489</v>
      </c>
      <c r="AQ102" s="64" t="s" ph="1">
        <v>237</v>
      </c>
      <c r="AR102" s="64" t="s" ph="1">
        <v>259</v>
      </c>
      <c r="AS102" s="64" t="s" ph="1">
        <v>490</v>
      </c>
      <c r="AT102" s="64" t="s" ph="1">
        <v>254</v>
      </c>
      <c r="AU102" s="64" t="s" ph="1">
        <v>259</v>
      </c>
      <c r="AV102" s="64" t="s" ph="1">
        <v>491</v>
      </c>
      <c r="AW102" s="64" t="s" ph="1">
        <v>272</v>
      </c>
      <c r="AX102" s="64" t="s" ph="1">
        <v>259</v>
      </c>
    </row>
    <row r="103" spans="33:52" ph="1">
      <c r="AH103" s="64" ph="1">
        <v>9</v>
      </c>
      <c r="AI103" s="64" t="s" ph="1">
        <v>492</v>
      </c>
      <c r="AJ103" s="64" t="s" ph="1">
        <v>493</v>
      </c>
      <c r="AK103" s="64" t="s" ph="1">
        <v>367</v>
      </c>
      <c r="AM103" s="64" t="s" ph="1">
        <v>494</v>
      </c>
      <c r="AN103" s="64" t="s" ph="1">
        <v>282</v>
      </c>
      <c r="AO103" s="64" t="s" ph="1">
        <v>259</v>
      </c>
      <c r="AP103" s="64" t="s" ph="1">
        <v>336</v>
      </c>
      <c r="AQ103" s="64" t="s" ph="1">
        <v>225</v>
      </c>
      <c r="AR103" s="64" t="s" ph="1">
        <v>259</v>
      </c>
      <c r="AS103" s="64" t="s" ph="1">
        <v>570</v>
      </c>
      <c r="AT103" s="64" t="s" ph="1">
        <v>367</v>
      </c>
      <c r="AU103" s="64" t="s" ph="1">
        <v>259</v>
      </c>
      <c r="AY103" s="64" t="s" ph="1">
        <v>216</v>
      </c>
      <c r="AZ103" s="64" t="s" ph="1">
        <v>224</v>
      </c>
    </row>
    <row r="104" spans="33:52" ph="1">
      <c r="AZ104" s="64" t="s" ph="1">
        <v>495</v>
      </c>
    </row>
    <row r="105" spans="33:52" ph="1">
      <c r="AG105" s="64" t="s" ph="1">
        <v>295</v>
      </c>
      <c r="AI105" s="64" t="s" ph="1">
        <v>209</v>
      </c>
      <c r="AJ105" s="64" t="s" ph="1">
        <v>210</v>
      </c>
      <c r="AK105" s="64" t="s" ph="1">
        <v>211</v>
      </c>
      <c r="AM105" s="64" t="s" ph="1">
        <v>210</v>
      </c>
      <c r="AN105" s="64" t="s" ph="1">
        <v>211</v>
      </c>
      <c r="AO105" s="64" t="s" ph="1">
        <v>212</v>
      </c>
      <c r="AP105" s="64" t="s" ph="1">
        <v>210</v>
      </c>
      <c r="AQ105" s="64" t="s" ph="1">
        <v>211</v>
      </c>
      <c r="AR105" s="64" t="s" ph="1">
        <v>212</v>
      </c>
      <c r="AS105" s="64" t="s" ph="1">
        <v>210</v>
      </c>
      <c r="AT105" s="64" t="s" ph="1">
        <v>211</v>
      </c>
      <c r="AU105" s="64" t="s" ph="1">
        <v>212</v>
      </c>
      <c r="AV105" s="64" t="s" ph="1">
        <v>210</v>
      </c>
      <c r="AW105" s="64" t="s" ph="1">
        <v>211</v>
      </c>
      <c r="AX105" s="64" t="s" ph="1">
        <v>212</v>
      </c>
      <c r="AZ105" s="64" t="s" ph="1">
        <v>213</v>
      </c>
    </row>
    <row r="106" spans="33:52" ph="1">
      <c r="AH106" s="64" ph="1">
        <v>1</v>
      </c>
      <c r="AI106" s="64" t="s" ph="1">
        <v>496</v>
      </c>
      <c r="AJ106" s="64" t="s" ph="1">
        <v>570</v>
      </c>
      <c r="AK106" s="64" t="s" ph="1">
        <v>231</v>
      </c>
      <c r="AZ106" s="64" t="s" ph="1">
        <v>231</v>
      </c>
    </row>
    <row r="107" spans="33:52" ph="1">
      <c r="AH107" s="64" ph="1">
        <v>2</v>
      </c>
      <c r="AI107" s="64" t="s" ph="1">
        <v>497</v>
      </c>
      <c r="AJ107" s="64" t="s" ph="1">
        <v>498</v>
      </c>
      <c r="AK107" s="64" t="s" ph="1">
        <v>228</v>
      </c>
      <c r="AM107" s="64" t="s" ph="1">
        <v>334</v>
      </c>
      <c r="AN107" s="64" t="s" ph="1">
        <v>499</v>
      </c>
      <c r="AO107" s="64" t="s" ph="1">
        <v>500</v>
      </c>
      <c r="AP107" s="64" t="s" ph="1">
        <v>336</v>
      </c>
      <c r="AQ107" s="64" t="s" ph="1">
        <v>304</v>
      </c>
      <c r="AR107" s="64" t="s" ph="1">
        <v>500</v>
      </c>
      <c r="AS107" s="64" t="s" ph="1">
        <v>570</v>
      </c>
      <c r="AT107" s="64" t="s" ph="1">
        <v>499</v>
      </c>
      <c r="AU107" s="64" t="s" ph="1">
        <v>500</v>
      </c>
      <c r="AY107" s="64" t="s" ph="1">
        <v>216</v>
      </c>
      <c r="AZ107" s="64" t="s" ph="1">
        <v>580</v>
      </c>
    </row>
    <row r="108" spans="33:52" ph="1">
      <c r="AH108" s="64" ph="1">
        <v>3</v>
      </c>
      <c r="AI108" s="64" t="s" ph="1">
        <v>501</v>
      </c>
      <c r="AY108" s="64" t="s" ph="1">
        <v>216</v>
      </c>
      <c r="AZ108" s="64" t="s" ph="1">
        <v>367</v>
      </c>
    </row>
    <row r="109" spans="33:52" ph="1">
      <c r="AH109" s="64" ph="1">
        <v>4</v>
      </c>
      <c r="AI109" s="64" t="s" ph="1">
        <v>502</v>
      </c>
      <c r="AY109" s="64" t="s" ph="1">
        <v>216</v>
      </c>
      <c r="AZ109" s="64" t="s" ph="1">
        <v>367</v>
      </c>
    </row>
    <row r="110" spans="33:52" ph="1">
      <c r="AH110" s="64" ph="1">
        <v>5</v>
      </c>
      <c r="AI110" s="64" t="s" ph="1">
        <v>503</v>
      </c>
      <c r="AY110" s="64" t="s" ph="1">
        <v>216</v>
      </c>
      <c r="AZ110" s="64" t="s" ph="1">
        <v>367</v>
      </c>
    </row>
    <row r="111" spans="33:52" ph="1">
      <c r="AH111" s="64" ph="1">
        <v>6</v>
      </c>
      <c r="AI111" s="64" t="s" ph="1">
        <v>581</v>
      </c>
      <c r="AJ111" s="64" t="s" ph="1">
        <v>486</v>
      </c>
      <c r="AK111" s="64" t="s" ph="1">
        <v>225</v>
      </c>
      <c r="AM111" s="64" t="s" ph="1">
        <v>487</v>
      </c>
      <c r="AN111" s="64" t="s" ph="1">
        <v>219</v>
      </c>
      <c r="AO111" s="64" t="s" ph="1">
        <v>500</v>
      </c>
      <c r="AP111" s="64" t="s" ph="1">
        <v>488</v>
      </c>
      <c r="AQ111" s="64" t="s" ph="1">
        <v>228</v>
      </c>
      <c r="AR111" s="64" t="s" ph="1">
        <v>500</v>
      </c>
      <c r="AS111" s="64" t="s" ph="1">
        <v>489</v>
      </c>
      <c r="AT111" s="64" t="s" ph="1">
        <v>237</v>
      </c>
      <c r="AU111" s="64" t="s" ph="1">
        <v>500</v>
      </c>
      <c r="AV111" s="64" t="s" ph="1">
        <v>490</v>
      </c>
      <c r="AW111" s="64" t="s" ph="1">
        <v>227</v>
      </c>
      <c r="AX111" s="64" t="s" ph="1">
        <v>500</v>
      </c>
      <c r="AY111" s="64" t="s" ph="1">
        <v>216</v>
      </c>
      <c r="AZ111" s="64" t="s" ph="1">
        <v>504</v>
      </c>
    </row>
    <row r="112" spans="33:52" ph="1">
      <c r="AJ112" s="64" t="s" ph="1">
        <v>491</v>
      </c>
      <c r="AK112" s="64" t="s" ph="1">
        <v>272</v>
      </c>
      <c r="AM112" s="64" t="s" ph="1">
        <v>493</v>
      </c>
      <c r="AN112" s="64" t="s" ph="1">
        <v>296</v>
      </c>
      <c r="AO112" s="64" t="s" ph="1">
        <v>500</v>
      </c>
      <c r="AP112" s="64" t="s" ph="1">
        <v>494</v>
      </c>
      <c r="AQ112" s="64" t="s" ph="1">
        <v>505</v>
      </c>
      <c r="AR112" s="64" t="s" ph="1">
        <v>500</v>
      </c>
      <c r="AS112" s="64" t="s" ph="1">
        <v>506</v>
      </c>
      <c r="AT112" s="64" t="s" ph="1">
        <v>248</v>
      </c>
      <c r="AU112" s="64" t="s" ph="1">
        <v>500</v>
      </c>
      <c r="AV112" s="64" t="s" ph="1">
        <v>507</v>
      </c>
      <c r="AW112" s="64" t="s" ph="1">
        <v>294</v>
      </c>
      <c r="AX112" s="64" t="s" ph="1">
        <v>500</v>
      </c>
    </row>
    <row r="113" spans="33:52" ph="1">
      <c r="AH113" s="64" ph="1">
        <v>7</v>
      </c>
      <c r="AI113" s="64" t="s" ph="1">
        <v>508</v>
      </c>
      <c r="AJ113" s="64" t="s" ph="1">
        <v>589</v>
      </c>
      <c r="AK113" s="64" t="s" ph="1">
        <v>594</v>
      </c>
      <c r="AY113" s="64" t="s" ph="1">
        <v>216</v>
      </c>
      <c r="AZ113" s="64" t="s" ph="1">
        <v>594</v>
      </c>
    </row>
    <row r="114" spans="33:52" ph="1">
      <c r="AH114" s="64" ph="1">
        <v>8</v>
      </c>
      <c r="AI114" s="64" t="s" ph="1">
        <v>509</v>
      </c>
      <c r="AJ114" s="64" t="s" ph="1">
        <v>589</v>
      </c>
      <c r="AK114" s="64" t="s" ph="1">
        <v>595</v>
      </c>
      <c r="AY114" s="64" t="s" ph="1">
        <v>216</v>
      </c>
      <c r="AZ114" s="64" t="s" ph="1">
        <v>595</v>
      </c>
    </row>
    <row r="115" spans="33:52" ph="1">
      <c r="AH115" s="64" ph="1">
        <v>9</v>
      </c>
      <c r="AI115" s="64" t="s" ph="1">
        <v>510</v>
      </c>
      <c r="AJ115" s="64" t="s" ph="1">
        <v>589</v>
      </c>
      <c r="AK115" s="64" t="s" ph="1">
        <v>595</v>
      </c>
      <c r="AY115" s="64" t="s" ph="1">
        <v>216</v>
      </c>
      <c r="AZ115" s="64" t="s" ph="1">
        <v>595</v>
      </c>
    </row>
    <row r="116" spans="33:52" ph="1">
      <c r="AH116" s="64" ph="1">
        <v>10</v>
      </c>
      <c r="AI116" s="64" t="s" ph="1">
        <v>511</v>
      </c>
      <c r="AJ116" s="64" t="s" ph="1">
        <v>589</v>
      </c>
      <c r="AK116" s="64" t="s" ph="1">
        <v>595</v>
      </c>
      <c r="AY116" s="64" t="s" ph="1">
        <v>216</v>
      </c>
      <c r="AZ116" s="64" t="s" ph="1">
        <v>595</v>
      </c>
    </row>
    <row r="117" spans="33:52" ph="1">
      <c r="AH117" s="64" ph="1">
        <v>11</v>
      </c>
      <c r="AI117" s="64" t="s" ph="1">
        <v>512</v>
      </c>
      <c r="AJ117" s="64" t="s" ph="1">
        <v>589</v>
      </c>
      <c r="AK117" s="64" t="s" ph="1">
        <v>595</v>
      </c>
      <c r="AY117" s="64" t="s" ph="1">
        <v>216</v>
      </c>
      <c r="AZ117" s="64" t="s" ph="1">
        <v>595</v>
      </c>
    </row>
    <row r="118" spans="33:52" ph="1">
      <c r="AZ118" s="64" t="s" ph="1">
        <v>596</v>
      </c>
    </row>
    <row r="119" spans="33:52" ph="1">
      <c r="AI119" s="64" t="s" ph="1">
        <v>209</v>
      </c>
      <c r="AJ119" s="64" t="s" ph="1">
        <v>210</v>
      </c>
      <c r="AK119" s="64" t="s" ph="1">
        <v>211</v>
      </c>
      <c r="AM119" s="64" t="s" ph="1">
        <v>210</v>
      </c>
      <c r="AN119" s="64" t="s" ph="1">
        <v>211</v>
      </c>
      <c r="AO119" s="64" t="s" ph="1">
        <v>212</v>
      </c>
      <c r="AP119" s="64" t="s" ph="1">
        <v>210</v>
      </c>
      <c r="AQ119" s="64" t="s" ph="1">
        <v>211</v>
      </c>
      <c r="AR119" s="64" t="s" ph="1">
        <v>212</v>
      </c>
      <c r="AS119" s="64" t="s" ph="1">
        <v>210</v>
      </c>
      <c r="AT119" s="64" t="s" ph="1">
        <v>211</v>
      </c>
      <c r="AU119" s="64" t="s" ph="1">
        <v>212</v>
      </c>
      <c r="AV119" s="64" t="s" ph="1">
        <v>210</v>
      </c>
      <c r="AW119" s="64" t="s" ph="1">
        <v>211</v>
      </c>
      <c r="AX119" s="64" t="s" ph="1">
        <v>212</v>
      </c>
      <c r="AY119" s="64" t="s" ph="1">
        <v>211</v>
      </c>
      <c r="AZ119" s="64" t="s" ph="1">
        <v>213</v>
      </c>
    </row>
    <row r="120" spans="33:52" ph="1">
      <c r="AG120" s="64" t="s" ph="1">
        <v>353</v>
      </c>
      <c r="AH120" s="64" ph="1">
        <v>1</v>
      </c>
      <c r="AI120" s="64" t="s" ph="1">
        <v>513</v>
      </c>
      <c r="AJ120" s="64" t="s" ph="1">
        <v>587</v>
      </c>
      <c r="AK120" s="64" t="s" ph="1">
        <v>367</v>
      </c>
      <c r="AY120" s="64" t="s" ph="1">
        <v>216</v>
      </c>
      <c r="AZ120" s="64" t="s" ph="1">
        <v>367</v>
      </c>
    </row>
    <row r="121" spans="33:52" ph="1">
      <c r="AH121" s="64" ph="1">
        <v>2</v>
      </c>
      <c r="AI121" s="64" t="s" ph="1">
        <v>514</v>
      </c>
      <c r="AY121" s="64" t="s" ph="1">
        <v>216</v>
      </c>
      <c r="AZ121" s="64" t="s" ph="1">
        <v>367</v>
      </c>
    </row>
    <row r="122" spans="33:52" ph="1">
      <c r="AH122" s="64" ph="1">
        <v>3</v>
      </c>
      <c r="AI122" s="64" t="s" ph="1">
        <v>515</v>
      </c>
      <c r="AJ122" s="64" t="s" ph="1">
        <v>570</v>
      </c>
      <c r="AK122" s="64" t="s" ph="1">
        <v>582</v>
      </c>
      <c r="AM122" s="64" t="s" ph="1">
        <v>597</v>
      </c>
      <c r="AN122" s="64" t="s" ph="1">
        <v>590</v>
      </c>
      <c r="AO122" s="64" t="s" ph="1">
        <v>91</v>
      </c>
      <c r="AY122" s="64" t="s" ph="1">
        <v>216</v>
      </c>
      <c r="AZ122" s="64" t="s" ph="1">
        <v>579</v>
      </c>
    </row>
    <row r="123" spans="33:52" ph="1">
      <c r="AY123" s="64" t="s" ph="1">
        <v>216</v>
      </c>
      <c r="AZ123" s="64" t="s" ph="1">
        <v>579</v>
      </c>
    </row>
    <row r="124" spans="33:52" ph="1">
      <c r="AG124" s="64" t="s" ph="1">
        <v>356</v>
      </c>
      <c r="AH124" s="64" ph="1">
        <v>4</v>
      </c>
      <c r="AI124" s="64" t="s" ph="1">
        <v>516</v>
      </c>
      <c r="AJ124" s="64" t="s" ph="1">
        <v>517</v>
      </c>
      <c r="AK124" s="64" t="s" ph="1">
        <v>518</v>
      </c>
      <c r="AY124" s="64" t="s" ph="1">
        <v>216</v>
      </c>
      <c r="AZ124" s="64" t="s" ph="1">
        <v>518</v>
      </c>
    </row>
    <row r="125" spans="33:52" ph="1">
      <c r="AH125" s="64" ph="1">
        <v>5</v>
      </c>
      <c r="AI125" s="64" t="s" ph="1">
        <v>519</v>
      </c>
      <c r="AJ125" s="64" t="s" ph="1">
        <v>517</v>
      </c>
      <c r="AK125" s="64" t="s" ph="1">
        <v>518</v>
      </c>
      <c r="AY125" s="64" t="s" ph="1">
        <v>216</v>
      </c>
      <c r="AZ125" s="64" t="s" ph="1">
        <v>518</v>
      </c>
    </row>
    <row r="126" spans="33:52" ph="1">
      <c r="AH126" s="64" ph="1">
        <v>6</v>
      </c>
      <c r="AI126" s="64" t="s" ph="1">
        <v>520</v>
      </c>
      <c r="AJ126" s="64" t="s" ph="1">
        <v>589</v>
      </c>
      <c r="AK126" s="64" t="s" ph="1">
        <v>598</v>
      </c>
      <c r="AY126" s="64" t="s" ph="1">
        <v>216</v>
      </c>
      <c r="AZ126" s="64" t="s" ph="1">
        <v>598</v>
      </c>
    </row>
    <row r="127" spans="33:52" ph="1">
      <c r="AH127" s="64" ph="1">
        <v>7</v>
      </c>
      <c r="AI127" s="64" t="s" ph="1">
        <v>521</v>
      </c>
      <c r="AJ127" s="64" t="s" ph="1">
        <v>589</v>
      </c>
      <c r="AK127" s="64" t="s" ph="1">
        <v>599</v>
      </c>
      <c r="AY127" s="64" t="s" ph="1">
        <v>216</v>
      </c>
      <c r="AZ127" s="64" t="s" ph="1">
        <v>599</v>
      </c>
    </row>
    <row r="128" spans="33:52" ph="1">
      <c r="AH128" s="64" ph="1">
        <v>8</v>
      </c>
      <c r="AI128" s="64" t="s" ph="1">
        <v>522</v>
      </c>
      <c r="AY128" s="64" t="s" ph="1">
        <v>216</v>
      </c>
      <c r="AZ128" s="64" t="s" ph="1">
        <v>367</v>
      </c>
    </row>
    <row r="129" spans="33:52" ph="1">
      <c r="AH129" s="64" ph="1">
        <v>9</v>
      </c>
      <c r="AI129" s="64" t="s" ph="1">
        <v>523</v>
      </c>
      <c r="AY129" s="64" t="s" ph="1">
        <v>216</v>
      </c>
      <c r="AZ129" s="64" t="s" ph="1">
        <v>367</v>
      </c>
    </row>
    <row r="130" spans="33:52" ph="1">
      <c r="AH130" s="64" ph="1">
        <v>10</v>
      </c>
      <c r="AI130" s="64" t="s" ph="1">
        <v>524</v>
      </c>
      <c r="AY130" s="64" t="s" ph="1">
        <v>216</v>
      </c>
      <c r="AZ130" s="64" t="s" ph="1">
        <v>367</v>
      </c>
    </row>
    <row r="131" spans="33:52" ph="1">
      <c r="AH131" s="64" ph="1">
        <v>11</v>
      </c>
      <c r="AI131" s="64" t="s" ph="1">
        <v>525</v>
      </c>
      <c r="AJ131" s="64" t="s" ph="1">
        <v>583</v>
      </c>
      <c r="AK131" s="64" t="s" ph="1">
        <v>579</v>
      </c>
      <c r="AY131" s="64" t="s" ph="1">
        <v>216</v>
      </c>
      <c r="AZ131" s="64" t="s" ph="1">
        <v>579</v>
      </c>
    </row>
    <row r="132" spans="33:52" ph="1">
      <c r="AH132" s="64" ph="1">
        <v>12</v>
      </c>
      <c r="AI132" s="64" t="s" ph="1">
        <v>526</v>
      </c>
      <c r="AJ132" s="64" t="s" ph="1">
        <v>583</v>
      </c>
      <c r="AK132" s="64" t="s" ph="1">
        <v>518</v>
      </c>
      <c r="AY132" s="64" t="s" ph="1">
        <v>216</v>
      </c>
      <c r="AZ132" s="64" t="s" ph="1">
        <v>518</v>
      </c>
    </row>
    <row r="133" spans="33:52" ph="1">
      <c r="AH133" s="64" ph="1">
        <v>13</v>
      </c>
      <c r="AI133" s="64" t="s" ph="1">
        <v>527</v>
      </c>
      <c r="AJ133" s="64" t="s" ph="1">
        <v>583</v>
      </c>
      <c r="AK133" s="64" t="s" ph="1">
        <v>584</v>
      </c>
      <c r="AY133" s="64" t="s" ph="1">
        <v>216</v>
      </c>
      <c r="AZ133" s="64" t="s" ph="1">
        <v>584</v>
      </c>
    </row>
    <row r="134" spans="33:52" ph="1">
      <c r="AH134" s="64" ph="1">
        <v>14</v>
      </c>
      <c r="AI134" s="64" t="s" ph="1">
        <v>528</v>
      </c>
      <c r="AJ134" s="64" t="s" ph="1">
        <v>583</v>
      </c>
      <c r="AK134" s="64" t="s" ph="1">
        <v>585</v>
      </c>
      <c r="AY134" s="64" t="s" ph="1">
        <v>216</v>
      </c>
      <c r="AZ134" s="64" t="s" ph="1">
        <v>585</v>
      </c>
    </row>
    <row r="135" spans="33:52" ph="1">
      <c r="AH135" s="64" ph="1">
        <v>15</v>
      </c>
      <c r="AI135" s="64" t="s" ph="1">
        <v>529</v>
      </c>
      <c r="AJ135" s="64" t="s" ph="1">
        <v>583</v>
      </c>
      <c r="AK135" s="64" t="s" ph="1">
        <v>586</v>
      </c>
      <c r="AY135" s="64" t="s" ph="1">
        <v>216</v>
      </c>
      <c r="AZ135" s="64" t="s" ph="1">
        <v>586</v>
      </c>
    </row>
    <row r="136" spans="33:52" ph="1">
      <c r="AZ136" s="64" t="s" ph="1">
        <v>600</v>
      </c>
    </row>
    <row r="137" spans="33:52" ph="1">
      <c r="AG137" s="64" t="s" ph="1">
        <v>290</v>
      </c>
      <c r="AI137" s="64" t="s" ph="1">
        <v>209</v>
      </c>
      <c r="AJ137" s="64" t="s" ph="1">
        <v>210</v>
      </c>
      <c r="AK137" s="64" t="s" ph="1">
        <v>211</v>
      </c>
      <c r="AM137" s="64" t="s" ph="1">
        <v>210</v>
      </c>
      <c r="AN137" s="64" t="s" ph="1">
        <v>211</v>
      </c>
      <c r="AO137" s="64" t="s" ph="1">
        <v>212</v>
      </c>
      <c r="AP137" s="64" t="s" ph="1">
        <v>210</v>
      </c>
      <c r="AQ137" s="64" t="s" ph="1">
        <v>211</v>
      </c>
      <c r="AR137" s="64" t="s" ph="1">
        <v>212</v>
      </c>
      <c r="AS137" s="64" t="s" ph="1">
        <v>210</v>
      </c>
      <c r="AT137" s="64" t="s" ph="1">
        <v>211</v>
      </c>
      <c r="AU137" s="64" t="s" ph="1">
        <v>212</v>
      </c>
      <c r="AV137" s="64" t="s" ph="1">
        <v>210</v>
      </c>
      <c r="AW137" s="64" t="s" ph="1">
        <v>211</v>
      </c>
      <c r="AX137" s="64" t="s" ph="1">
        <v>212</v>
      </c>
      <c r="AY137" s="64" t="s" ph="1">
        <v>211</v>
      </c>
      <c r="AZ137" s="64" t="s" ph="1">
        <v>213</v>
      </c>
    </row>
    <row r="138" spans="33:52" ph="1">
      <c r="AH138" s="64" ph="1">
        <v>1</v>
      </c>
      <c r="AI138" s="64" t="s" ph="1">
        <v>530</v>
      </c>
      <c r="AJ138" s="64" t="s" ph="1">
        <v>531</v>
      </c>
      <c r="AK138" s="64" t="s" ph="1">
        <v>532</v>
      </c>
      <c r="AY138" s="64" t="s" ph="1">
        <v>216</v>
      </c>
      <c r="AZ138" s="64" t="s" ph="1">
        <v>532</v>
      </c>
    </row>
    <row r="139" spans="33:52" ph="1">
      <c r="AH139" s="64" ph="1">
        <v>2</v>
      </c>
      <c r="AI139" s="64" t="s" ph="1">
        <v>533</v>
      </c>
      <c r="AJ139" s="64" t="s" ph="1">
        <v>589</v>
      </c>
      <c r="AK139" s="64" t="s" ph="1">
        <v>601</v>
      </c>
      <c r="AY139" s="64" t="s" ph="1">
        <v>216</v>
      </c>
      <c r="AZ139" s="64" t="s" ph="1">
        <v>601</v>
      </c>
    </row>
    <row r="140" spans="33:52" ph="1">
      <c r="AH140" s="64" ph="1">
        <v>3</v>
      </c>
      <c r="AI140" s="64" t="s" ph="1">
        <v>534</v>
      </c>
      <c r="AJ140" s="64" t="s" ph="1">
        <v>487</v>
      </c>
      <c r="AK140" s="64" t="s" ph="1">
        <v>299</v>
      </c>
      <c r="AM140" s="64" t="s" ph="1">
        <v>488</v>
      </c>
      <c r="AN140" s="64" t="s" ph="1">
        <v>219</v>
      </c>
      <c r="AO140" s="64" t="s" ph="1">
        <v>535</v>
      </c>
      <c r="AP140" s="64" t="s" ph="1">
        <v>489</v>
      </c>
      <c r="AQ140" s="64" t="s" ph="1">
        <v>236</v>
      </c>
      <c r="AR140" s="64" t="s" ph="1">
        <v>535</v>
      </c>
      <c r="AS140" s="64" t="s" ph="1">
        <v>490</v>
      </c>
      <c r="AT140" s="64" t="s" ph="1">
        <v>229</v>
      </c>
      <c r="AU140" s="64" t="s" ph="1">
        <v>535</v>
      </c>
      <c r="AV140" s="64" t="s" ph="1">
        <v>491</v>
      </c>
      <c r="AW140" s="64" t="s" ph="1">
        <v>222</v>
      </c>
      <c r="AX140" s="64" t="s" ph="1">
        <v>535</v>
      </c>
      <c r="AY140" s="64" t="s" ph="1">
        <v>216</v>
      </c>
      <c r="AZ140" s="64" t="s" ph="1">
        <v>291</v>
      </c>
    </row>
    <row r="141" spans="33:52" ph="1">
      <c r="AJ141" s="64" t="s" ph="1">
        <v>493</v>
      </c>
      <c r="AK141" s="64" t="s" ph="1">
        <v>222</v>
      </c>
      <c r="AM141" s="64" t="s" ph="1">
        <v>494</v>
      </c>
      <c r="AN141" s="64" t="s" ph="1">
        <v>225</v>
      </c>
      <c r="AO141" s="64" t="s" ph="1">
        <v>535</v>
      </c>
      <c r="AP141" s="64" t="s" ph="1">
        <v>506</v>
      </c>
      <c r="AQ141" s="64" t="s" ph="1">
        <v>294</v>
      </c>
      <c r="AR141" s="64" t="s" ph="1">
        <v>535</v>
      </c>
      <c r="AS141" s="64" t="s" ph="1">
        <v>498</v>
      </c>
      <c r="AT141" s="64" t="s" ph="1">
        <v>222</v>
      </c>
      <c r="AU141" s="64" t="s" ph="1">
        <v>535</v>
      </c>
      <c r="AV141" s="64" t="s" ph="1">
        <v>334</v>
      </c>
      <c r="AW141" s="64" t="s" ph="1">
        <v>228</v>
      </c>
      <c r="AX141" s="64" t="s" ph="1">
        <v>535</v>
      </c>
    </row>
    <row r="142" spans="33:52" ph="1">
      <c r="AJ142" s="64" t="s" ph="1">
        <v>536</v>
      </c>
      <c r="AK142" s="64" t="s" ph="1">
        <v>239</v>
      </c>
    </row>
    <row r="143" spans="33:52" ph="1">
      <c r="AH143" s="64" ph="1">
        <v>4</v>
      </c>
      <c r="AI143" s="64" t="s" ph="1">
        <v>537</v>
      </c>
      <c r="AJ143" s="64" t="s" ph="1">
        <v>517</v>
      </c>
      <c r="AK143" s="64" t="s" ph="1">
        <v>538</v>
      </c>
      <c r="AY143" s="64" t="s" ph="1">
        <v>216</v>
      </c>
      <c r="AZ143" s="64" t="s" ph="1">
        <v>538</v>
      </c>
    </row>
    <row r="144" spans="33:52" ph="1">
      <c r="AH144" s="64" ph="1">
        <v>5</v>
      </c>
      <c r="AI144" s="64" t="s" ph="1">
        <v>539</v>
      </c>
      <c r="AY144" s="64" t="s" ph="1">
        <v>216</v>
      </c>
      <c r="AZ144" s="64" t="s" ph="1">
        <v>367</v>
      </c>
    </row>
    <row r="145" spans="33:52" ph="1">
      <c r="AH145" s="64" ph="1">
        <v>6</v>
      </c>
      <c r="AI145" s="64" t="s" ph="1">
        <v>540</v>
      </c>
      <c r="AY145" s="64" t="s" ph="1">
        <v>216</v>
      </c>
      <c r="AZ145" s="64" t="s" ph="1">
        <v>367</v>
      </c>
    </row>
    <row r="146" spans="33:52" ph="1">
      <c r="AH146" s="64" ph="1">
        <v>7</v>
      </c>
      <c r="AI146" s="64" t="s" ph="1">
        <v>541</v>
      </c>
      <c r="AY146" s="64" t="s" ph="1">
        <v>216</v>
      </c>
      <c r="AZ146" s="64" t="s" ph="1">
        <v>367</v>
      </c>
    </row>
    <row r="147" spans="33:52" ph="1">
      <c r="AH147" s="64" ph="1">
        <v>8</v>
      </c>
      <c r="AI147" s="64" t="s" ph="1">
        <v>542</v>
      </c>
      <c r="AY147" s="64" t="s" ph="1">
        <v>216</v>
      </c>
      <c r="AZ147" s="64" t="s" ph="1">
        <v>367</v>
      </c>
    </row>
    <row r="148" spans="33:52" ph="1">
      <c r="AH148" s="64" ph="1">
        <v>9</v>
      </c>
      <c r="AI148" s="64" t="s" ph="1">
        <v>543</v>
      </c>
      <c r="AY148" s="64" t="s" ph="1">
        <v>216</v>
      </c>
      <c r="AZ148" s="64" t="s" ph="1">
        <v>367</v>
      </c>
    </row>
    <row r="149" spans="33:52" ph="1">
      <c r="AH149" s="64" ph="1">
        <v>10</v>
      </c>
      <c r="AI149" s="64" t="s" ph="1">
        <v>544</v>
      </c>
      <c r="AY149" s="64" t="s" ph="1">
        <v>216</v>
      </c>
      <c r="AZ149" s="64" t="s" ph="1">
        <v>367</v>
      </c>
    </row>
    <row r="150" spans="33:52" ph="1">
      <c r="AH150" s="64" ph="1">
        <v>11</v>
      </c>
      <c r="AI150" s="64" t="s" ph="1">
        <v>545</v>
      </c>
      <c r="AY150" s="64" t="s" ph="1">
        <v>216</v>
      </c>
      <c r="AZ150" s="64" t="s" ph="1">
        <v>367</v>
      </c>
    </row>
    <row r="151" spans="33:52" ph="1">
      <c r="AH151" s="64" ph="1">
        <v>12</v>
      </c>
      <c r="AI151" s="64" t="s" ph="1">
        <v>546</v>
      </c>
      <c r="AY151" s="64" t="s" ph="1">
        <v>216</v>
      </c>
      <c r="AZ151" s="64" t="s" ph="1">
        <v>367</v>
      </c>
    </row>
    <row r="152" spans="33:52" ph="1">
      <c r="AH152" s="64" ph="1">
        <v>13</v>
      </c>
      <c r="AI152" s="64" t="s" ph="1">
        <v>547</v>
      </c>
      <c r="AY152" s="64" t="s" ph="1">
        <v>216</v>
      </c>
      <c r="AZ152" s="64" t="s" ph="1">
        <v>367</v>
      </c>
    </row>
    <row r="153" spans="33:52" ph="1">
      <c r="AH153" s="64" ph="1">
        <v>14</v>
      </c>
      <c r="AI153" s="64" t="s" ph="1">
        <v>548</v>
      </c>
      <c r="AY153" s="64" t="s" ph="1">
        <v>216</v>
      </c>
      <c r="AZ153" s="64" t="s" ph="1">
        <v>367</v>
      </c>
    </row>
    <row r="154" spans="33:52" ph="1">
      <c r="AH154" s="64" ph="1">
        <v>15</v>
      </c>
      <c r="AI154" s="64" t="s" ph="1">
        <v>549</v>
      </c>
      <c r="AY154" s="64" t="s" ph="1">
        <v>216</v>
      </c>
      <c r="AZ154" s="64" t="s" ph="1">
        <v>367</v>
      </c>
    </row>
    <row r="155" spans="33:52" ph="1">
      <c r="AH155" s="64" ph="1">
        <v>16</v>
      </c>
      <c r="AI155" s="64" t="s" ph="1">
        <v>550</v>
      </c>
      <c r="AJ155" s="64" t="s" ph="1">
        <v>336</v>
      </c>
      <c r="AK155" s="64" t="s" ph="1">
        <v>231</v>
      </c>
      <c r="AM155" s="64" t="s" ph="1">
        <v>570</v>
      </c>
      <c r="AN155" s="64" t="s" ph="1">
        <v>282</v>
      </c>
      <c r="AO155" s="64" t="s" ph="1">
        <v>535</v>
      </c>
      <c r="AY155" s="64" t="s" ph="1">
        <v>216</v>
      </c>
      <c r="AZ155" s="64" t="s" ph="1">
        <v>223</v>
      </c>
    </row>
    <row r="156" spans="33:52" ph="1">
      <c r="AZ156" s="64" t="s" ph="1">
        <v>602</v>
      </c>
    </row>
    <row r="157" spans="33:52" ph="1">
      <c r="AG157" s="64" t="s" ph="1">
        <v>551</v>
      </c>
      <c r="AI157" s="64" t="s" ph="1">
        <v>209</v>
      </c>
      <c r="AJ157" s="64" t="s" ph="1">
        <v>210</v>
      </c>
      <c r="AK157" s="64" t="s" ph="1">
        <v>211</v>
      </c>
      <c r="AM157" s="64" t="s" ph="1">
        <v>210</v>
      </c>
      <c r="AN157" s="64" t="s" ph="1">
        <v>211</v>
      </c>
      <c r="AO157" s="64" t="s" ph="1">
        <v>212</v>
      </c>
      <c r="AP157" s="64" t="s" ph="1">
        <v>210</v>
      </c>
      <c r="AQ157" s="64" t="s" ph="1">
        <v>211</v>
      </c>
      <c r="AR157" s="64" t="s" ph="1">
        <v>212</v>
      </c>
      <c r="AS157" s="64" t="s" ph="1">
        <v>210</v>
      </c>
      <c r="AT157" s="64" t="s" ph="1">
        <v>211</v>
      </c>
      <c r="AU157" s="64" t="s" ph="1">
        <v>212</v>
      </c>
      <c r="AV157" s="64" t="s" ph="1">
        <v>210</v>
      </c>
      <c r="AW157" s="64" t="s" ph="1">
        <v>211</v>
      </c>
      <c r="AX157" s="64" t="s" ph="1">
        <v>212</v>
      </c>
      <c r="AY157" s="64" t="s" ph="1">
        <v>211</v>
      </c>
      <c r="AZ157" s="64" t="s" ph="1">
        <v>213</v>
      </c>
    </row>
    <row r="158" spans="33:52" ph="1">
      <c r="AH158" s="64" ph="1">
        <v>1</v>
      </c>
      <c r="AI158" s="64" t="s" ph="1">
        <v>552</v>
      </c>
      <c r="AY158" s="64" t="s" ph="1">
        <v>216</v>
      </c>
      <c r="AZ158" s="64" t="s" ph="1">
        <v>367</v>
      </c>
    </row>
    <row r="159" spans="33:52" ph="1">
      <c r="AH159" s="64" ph="1">
        <v>2</v>
      </c>
      <c r="AI159" s="64" t="s" ph="1">
        <v>553</v>
      </c>
      <c r="AY159" s="64" t="s" ph="1">
        <v>216</v>
      </c>
      <c r="AZ159" s="64" t="s" ph="1">
        <v>367</v>
      </c>
    </row>
    <row r="160" spans="33:52" ph="1">
      <c r="AZ160" s="64" t="s" ph="1">
        <v>385</v>
      </c>
    </row>
    <row r="161" spans="33:52" ph="1">
      <c r="AG161" s="64" t="s" ph="1">
        <v>361</v>
      </c>
      <c r="AI161" s="64" t="s" ph="1">
        <v>209</v>
      </c>
      <c r="AJ161" s="64" t="s" ph="1">
        <v>210</v>
      </c>
      <c r="AK161" s="64" t="s" ph="1">
        <v>211</v>
      </c>
      <c r="AM161" s="64" t="s" ph="1">
        <v>210</v>
      </c>
      <c r="AN161" s="64" t="s" ph="1">
        <v>211</v>
      </c>
      <c r="AO161" s="64" t="s" ph="1">
        <v>212</v>
      </c>
      <c r="AP161" s="64" t="s" ph="1">
        <v>210</v>
      </c>
      <c r="AQ161" s="64" t="s" ph="1">
        <v>211</v>
      </c>
      <c r="AR161" s="64" t="s" ph="1">
        <v>212</v>
      </c>
      <c r="AS161" s="64" t="s" ph="1">
        <v>210</v>
      </c>
      <c r="AT161" s="64" t="s" ph="1">
        <v>211</v>
      </c>
      <c r="AU161" s="64" t="s" ph="1">
        <v>212</v>
      </c>
      <c r="AV161" s="64" t="s" ph="1">
        <v>210</v>
      </c>
      <c r="AW161" s="64" t="s" ph="1">
        <v>211</v>
      </c>
      <c r="AX161" s="64" t="s" ph="1">
        <v>212</v>
      </c>
      <c r="AY161" s="64" t="s" ph="1">
        <v>211</v>
      </c>
      <c r="AZ161" s="64" t="s" ph="1">
        <v>213</v>
      </c>
    </row>
    <row r="162" spans="33:52" ph="1">
      <c r="AH162" s="64" ph="1">
        <v>1</v>
      </c>
      <c r="AI162" s="64" t="s" ph="1">
        <v>554</v>
      </c>
      <c r="AJ162" s="64" t="s" ph="1">
        <v>555</v>
      </c>
      <c r="AK162" s="64" t="s" ph="1">
        <v>499</v>
      </c>
      <c r="AM162" s="64" t="s" ph="1">
        <v>556</v>
      </c>
      <c r="AN162" s="64" t="s" ph="1">
        <v>220</v>
      </c>
      <c r="AO162" s="64" t="s" ph="1">
        <v>557</v>
      </c>
      <c r="AY162" s="64" t="s" ph="1">
        <v>216</v>
      </c>
      <c r="AZ162" s="64" t="s" ph="1">
        <v>292</v>
      </c>
    </row>
    <row r="163" spans="33:52" ph="1">
      <c r="AH163" s="64" ph="1">
        <v>2</v>
      </c>
      <c r="AI163" s="64" t="s" ph="1">
        <v>558</v>
      </c>
      <c r="AJ163" s="64" t="s" ph="1">
        <v>555</v>
      </c>
      <c r="AK163" s="64" t="s" ph="1">
        <v>388</v>
      </c>
      <c r="AY163" s="64" t="s" ph="1">
        <v>216</v>
      </c>
      <c r="AZ163" s="64" t="s" ph="1">
        <v>388</v>
      </c>
    </row>
    <row r="164" spans="33:52" ph="1">
      <c r="AH164" s="64" ph="1">
        <v>3</v>
      </c>
      <c r="AI164" s="64" t="s" ph="1">
        <v>559</v>
      </c>
      <c r="AJ164" s="64" t="s" ph="1">
        <v>555</v>
      </c>
      <c r="AK164" s="64" t="s" ph="1">
        <v>292</v>
      </c>
      <c r="AY164" s="64" t="s" ph="1">
        <v>216</v>
      </c>
      <c r="AZ164" s="64" t="s" ph="1">
        <v>292</v>
      </c>
    </row>
    <row r="165" spans="33:52" ph="1">
      <c r="AH165" s="64" ph="1">
        <v>4</v>
      </c>
      <c r="AI165" s="64" t="s" ph="1">
        <v>560</v>
      </c>
      <c r="AY165" s="64" t="s" ph="1">
        <v>216</v>
      </c>
      <c r="AZ165" s="64" t="s" ph="1">
        <v>367</v>
      </c>
    </row>
    <row r="166" spans="33:52" ph="1">
      <c r="AH166" s="64" ph="1">
        <v>5</v>
      </c>
      <c r="AI166" s="64" t="s" ph="1">
        <v>561</v>
      </c>
      <c r="AY166" s="64" t="s" ph="1">
        <v>216</v>
      </c>
      <c r="AZ166" s="64" t="s" ph="1">
        <v>367</v>
      </c>
    </row>
    <row r="167" spans="33:52" ph="1">
      <c r="AZ167" s="64" t="s" ph="1">
        <v>562</v>
      </c>
    </row>
    <row r="168" spans="33:52" ph="1">
      <c r="AG168" s="64" t="s" ph="1">
        <v>305</v>
      </c>
      <c r="AI168" s="64" t="s" ph="1">
        <v>209</v>
      </c>
      <c r="AJ168" s="64" t="s" ph="1">
        <v>210</v>
      </c>
      <c r="AK168" s="64" t="s" ph="1">
        <v>211</v>
      </c>
      <c r="AM168" s="64" t="s" ph="1">
        <v>210</v>
      </c>
      <c r="AN168" s="64" t="s" ph="1">
        <v>211</v>
      </c>
      <c r="AO168" s="64" t="s" ph="1">
        <v>212</v>
      </c>
      <c r="AP168" s="64" t="s" ph="1">
        <v>210</v>
      </c>
      <c r="AQ168" s="64" t="s" ph="1">
        <v>211</v>
      </c>
      <c r="AR168" s="64" t="s" ph="1">
        <v>212</v>
      </c>
      <c r="AS168" s="64" t="s" ph="1">
        <v>210</v>
      </c>
      <c r="AT168" s="64" t="s" ph="1">
        <v>211</v>
      </c>
      <c r="AU168" s="64" t="s" ph="1">
        <v>212</v>
      </c>
      <c r="AV168" s="64" t="s" ph="1">
        <v>210</v>
      </c>
      <c r="AW168" s="64" t="s" ph="1">
        <v>211</v>
      </c>
      <c r="AX168" s="64" t="s" ph="1">
        <v>212</v>
      </c>
      <c r="AY168" s="64" t="s" ph="1">
        <v>211</v>
      </c>
      <c r="AZ168" s="64" t="s" ph="1">
        <v>213</v>
      </c>
    </row>
    <row r="169" spans="33:52" ph="1">
      <c r="AH169" s="64" ph="1">
        <v>1</v>
      </c>
      <c r="AI169" s="64" t="s" ph="1">
        <v>563</v>
      </c>
      <c r="AY169" s="64" t="s" ph="1">
        <v>216</v>
      </c>
      <c r="AZ169" s="64" t="s" ph="1">
        <v>367</v>
      </c>
    </row>
    <row r="170" spans="33:52" ph="1">
      <c r="AH170" s="64" ph="1">
        <v>2</v>
      </c>
      <c r="AI170" s="64" t="s" ph="1">
        <v>564</v>
      </c>
      <c r="AY170" s="64" t="s" ph="1">
        <v>216</v>
      </c>
      <c r="AZ170" s="64" t="s" ph="1">
        <v>367</v>
      </c>
    </row>
    <row r="171" spans="33:52" ph="1">
      <c r="AH171" s="64" ph="1">
        <v>3</v>
      </c>
      <c r="AI171" s="64" t="s" ph="1">
        <v>565</v>
      </c>
      <c r="AY171" s="64" t="s" ph="1">
        <v>216</v>
      </c>
      <c r="AZ171" s="64" t="s" ph="1">
        <v>367</v>
      </c>
    </row>
    <row r="172" spans="33:52" ph="1">
      <c r="AH172" s="64" ph="1">
        <v>4</v>
      </c>
      <c r="AI172" s="64" t="s" ph="1">
        <v>566</v>
      </c>
      <c r="AY172" s="64" t="s" ph="1">
        <v>216</v>
      </c>
      <c r="AZ172" s="64" t="s" ph="1">
        <v>367</v>
      </c>
    </row>
    <row r="173" spans="33:52" ph="1">
      <c r="AH173" s="64" ph="1">
        <v>5</v>
      </c>
      <c r="AI173" s="64" t="s" ph="1">
        <v>567</v>
      </c>
      <c r="AY173" s="64" t="s" ph="1">
        <v>216</v>
      </c>
      <c r="AZ173" s="64" t="s" ph="1">
        <v>367</v>
      </c>
    </row>
    <row r="174" spans="33:52" ph="1">
      <c r="AZ174" s="64" t="s" ph="1">
        <v>385</v>
      </c>
    </row>
    <row r="175" spans="33:52" ph="1">
      <c r="AJ175" s="64" t="s" ph="1">
        <v>306</v>
      </c>
    </row>
    <row r="176" spans="33:52" ph="1">
      <c r="AJ176" s="64" t="s" ph="1">
        <v>307</v>
      </c>
      <c r="AK176" s="64" t="s" ph="1">
        <v>308</v>
      </c>
      <c r="AM176" s="64" t="s" ph="1">
        <v>309</v>
      </c>
      <c r="AO176" s="64" t="s" ph="1">
        <v>310</v>
      </c>
      <c r="AP176" s="64" t="s" ph="1">
        <v>311</v>
      </c>
      <c r="AQ176" s="64" t="s" ph="1">
        <v>301</v>
      </c>
      <c r="AR176" s="64" t="s" ph="1">
        <v>221</v>
      </c>
    </row>
    <row r="177" spans="36:56" ph="1">
      <c r="AJ177" s="64" t="s" ph="1">
        <v>603</v>
      </c>
      <c r="AK177" s="64" t="s" ph="1">
        <v>312</v>
      </c>
      <c r="AO177" s="64" t="s" ph="1">
        <v>312</v>
      </c>
      <c r="AP177" s="64" t="s" ph="1">
        <v>312</v>
      </c>
      <c r="AQ177" s="64" t="s" ph="1">
        <v>313</v>
      </c>
      <c r="AR177" s="64" t="s" ph="1">
        <v>314</v>
      </c>
    </row>
    <row r="179" spans="36:56" ph="1">
      <c r="AJ179" s="64" t="s" ph="1">
        <v>315</v>
      </c>
      <c r="AK179" s="64" t="s" ph="1">
        <v>316</v>
      </c>
      <c r="AM179" s="64" t="s" ph="1">
        <v>317</v>
      </c>
      <c r="AN179" s="64" t="s" ph="1">
        <v>293</v>
      </c>
      <c r="AO179" s="64" t="s" ph="1">
        <v>318</v>
      </c>
      <c r="AP179" s="64" t="s" ph="1">
        <v>297</v>
      </c>
      <c r="AQ179" s="64" t="s" ph="1">
        <v>319</v>
      </c>
      <c r="AR179" s="64" t="s" ph="1">
        <v>320</v>
      </c>
    </row>
    <row r="180" spans="36:56" ph="1">
      <c r="AJ180" s="64" t="s" ph="1">
        <v>312</v>
      </c>
      <c r="AK180" s="64" t="s" ph="1">
        <v>312</v>
      </c>
      <c r="AL180" s="64" ph="1">
        <v>116</v>
      </c>
      <c r="AM180" s="64" t="s" ph="1">
        <v>312</v>
      </c>
      <c r="AN180" s="64" t="s" ph="1">
        <v>321</v>
      </c>
      <c r="AO180" s="64" t="s" ph="1">
        <v>312</v>
      </c>
      <c r="AP180" s="64" t="s" ph="1">
        <v>322</v>
      </c>
      <c r="AQ180" s="64" t="s" ph="1">
        <v>323</v>
      </c>
      <c r="AR180" s="64" t="s" ph="1">
        <v>324</v>
      </c>
    </row>
    <row r="189" spans="36:56" ph="1">
      <c r="BD189" s="64" t="s" ph="1">
        <v>568</v>
      </c>
    </row>
    <row r="223" spans="18:18" ph="1">
      <c r="R223" s="135" ph="1">
        <v>45496</v>
      </c>
    </row>
  </sheetData>
  <mergeCells count="58"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S31:U31"/>
    <mergeCell ref="V31:X31"/>
    <mergeCell ref="Y31:AA31"/>
    <mergeCell ref="AB31:AE31"/>
    <mergeCell ref="AD32:AE32"/>
    <mergeCell ref="B33:C34"/>
    <mergeCell ref="D33:D34"/>
    <mergeCell ref="E33:E34"/>
    <mergeCell ref="F33:F34"/>
    <mergeCell ref="G33:G34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</mergeCells>
  <phoneticPr fontId="2" type="noConversion"/>
  <conditionalFormatting sqref="D4:D11">
    <cfRule type="expression" dxfId="1176" priority="100">
      <formula>ABS(D$7-D$10)&gt;=1000</formula>
    </cfRule>
  </conditionalFormatting>
  <conditionalFormatting sqref="E4 E6:E11">
    <cfRule type="expression" dxfId="1175" priority="99">
      <formula>ABS(E$7-E$10)&gt;=1000</formula>
    </cfRule>
  </conditionalFormatting>
  <conditionalFormatting sqref="F4:F11">
    <cfRule type="expression" dxfId="1174" priority="98">
      <formula>ABS(F$7-F$10)&gt;=1000</formula>
    </cfRule>
  </conditionalFormatting>
  <conditionalFormatting sqref="G4:G11">
    <cfRule type="expression" dxfId="1173" priority="97">
      <formula>ABS(G$7-G$10)&gt;=1000</formula>
    </cfRule>
  </conditionalFormatting>
  <conditionalFormatting sqref="H4:H11">
    <cfRule type="expression" dxfId="1172" priority="96">
      <formula>ABS(H$7-H$10)&gt;=1000</formula>
    </cfRule>
  </conditionalFormatting>
  <conditionalFormatting sqref="I4:I11">
    <cfRule type="expression" dxfId="1171" priority="95">
      <formula>ABS(I$7-I$10)&gt;=1000</formula>
    </cfRule>
  </conditionalFormatting>
  <conditionalFormatting sqref="J4:J11">
    <cfRule type="expression" dxfId="1170" priority="94">
      <formula>ABS(J$7-J$10)&gt;=1000</formula>
    </cfRule>
  </conditionalFormatting>
  <conditionalFormatting sqref="K4:K11">
    <cfRule type="expression" dxfId="1169" priority="93">
      <formula>ABS(K$7-K$10)&gt;=1000</formula>
    </cfRule>
  </conditionalFormatting>
  <conditionalFormatting sqref="L4:L11">
    <cfRule type="expression" dxfId="1168" priority="92">
      <formula>ABS(L$7-L$10)&gt;=1000</formula>
    </cfRule>
  </conditionalFormatting>
  <conditionalFormatting sqref="M4 M6:M11">
    <cfRule type="expression" dxfId="1167" priority="91">
      <formula>ABS(M$7-M$10)&gt;=1000</formula>
    </cfRule>
  </conditionalFormatting>
  <conditionalFormatting sqref="N4 N6:N11">
    <cfRule type="expression" dxfId="1166" priority="90">
      <formula>ABS(N$7-N$10)&gt;=1000</formula>
    </cfRule>
  </conditionalFormatting>
  <conditionalFormatting sqref="O4 O6:O11">
    <cfRule type="expression" dxfId="1165" priority="89">
      <formula>ABS(O$7-O$10)&gt;=1000</formula>
    </cfRule>
  </conditionalFormatting>
  <conditionalFormatting sqref="P4 P6:P11">
    <cfRule type="expression" dxfId="1164" priority="88">
      <formula>ABS(P$7-P$10)&gt;=1000</formula>
    </cfRule>
  </conditionalFormatting>
  <conditionalFormatting sqref="Q4:Q11">
    <cfRule type="expression" dxfId="1163" priority="87">
      <formula>ABS(Q$7-Q$10)&gt;=1000</formula>
    </cfRule>
  </conditionalFormatting>
  <conditionalFormatting sqref="R4:R11">
    <cfRule type="expression" dxfId="1162" priority="86">
      <formula>ABS(R$7-R$10)&gt;=1000</formula>
    </cfRule>
  </conditionalFormatting>
  <conditionalFormatting sqref="S4:S11">
    <cfRule type="expression" dxfId="1161" priority="85">
      <formula>ABS(S$7-S$10)&gt;=1000</formula>
    </cfRule>
  </conditionalFormatting>
  <conditionalFormatting sqref="T4:T9 T11">
    <cfRule type="expression" dxfId="1160" priority="84">
      <formula>ABS(T$7-T$10)&gt;=1000</formula>
    </cfRule>
  </conditionalFormatting>
  <conditionalFormatting sqref="U4:U9 U11">
    <cfRule type="expression" dxfId="1159" priority="83">
      <formula>ABS(U$7-U$10)&gt;=1000</formula>
    </cfRule>
  </conditionalFormatting>
  <conditionalFormatting sqref="V4:V9 V11">
    <cfRule type="expression" dxfId="1158" priority="82">
      <formula>ABS(V$7-V$10)&gt;=1000</formula>
    </cfRule>
  </conditionalFormatting>
  <conditionalFormatting sqref="W4:W9 W11">
    <cfRule type="expression" dxfId="1157" priority="81">
      <formula>ABS(W$7-W$10)&gt;=1000</formula>
    </cfRule>
  </conditionalFormatting>
  <conditionalFormatting sqref="X4:X9 X11">
    <cfRule type="expression" dxfId="1156" priority="80">
      <formula>ABS(X$7-X$10)&gt;=1000</formula>
    </cfRule>
  </conditionalFormatting>
  <conditionalFormatting sqref="Y4:Y9 Y11">
    <cfRule type="expression" dxfId="1155" priority="79">
      <formula>ABS(Y$7-Y$10)&gt;=1000</formula>
    </cfRule>
  </conditionalFormatting>
  <conditionalFormatting sqref="Z4:Z11">
    <cfRule type="expression" dxfId="1154" priority="78">
      <formula>ABS(Z$7-Z$10)&gt;=1000</formula>
    </cfRule>
  </conditionalFormatting>
  <conditionalFormatting sqref="AA4:AA11">
    <cfRule type="expression" dxfId="1153" priority="77">
      <formula>ABS(AA$7-AA$10)&gt;=1000</formula>
    </cfRule>
  </conditionalFormatting>
  <conditionalFormatting sqref="AB4:AB11">
    <cfRule type="expression" dxfId="1152" priority="76">
      <formula>ABS(AB$7-AB$10)&gt;=1000</formula>
    </cfRule>
  </conditionalFormatting>
  <conditionalFormatting sqref="AC4 AC6:AC11">
    <cfRule type="expression" dxfId="1151" priority="75">
      <formula>ABS(AC$7-AC$10)&gt;=1000</formula>
    </cfRule>
  </conditionalFormatting>
  <conditionalFormatting sqref="AD4 AD6:AD11">
    <cfRule type="expression" dxfId="1150" priority="74">
      <formula>ABS(AD$7-AD$10)&gt;=1000</formula>
    </cfRule>
  </conditionalFormatting>
  <conditionalFormatting sqref="AE4 AE6:AE11">
    <cfRule type="expression" dxfId="1149" priority="73">
      <formula>ABS(AE$7-AE$10)&gt;=1000</formula>
    </cfRule>
  </conditionalFormatting>
  <conditionalFormatting sqref="D13:D20">
    <cfRule type="expression" dxfId="1148" priority="72">
      <formula>ABS(D$16-D$19)&gt;=1000</formula>
    </cfRule>
  </conditionalFormatting>
  <conditionalFormatting sqref="E13:E20">
    <cfRule type="expression" dxfId="1147" priority="71">
      <formula>ABS(E$16-E$19)&gt;=1000</formula>
    </cfRule>
  </conditionalFormatting>
  <conditionalFormatting sqref="F13 F15:F20">
    <cfRule type="expression" dxfId="1146" priority="70">
      <formula>ABS(F$16-F$19)&gt;=1000</formula>
    </cfRule>
  </conditionalFormatting>
  <conditionalFormatting sqref="G13:G20">
    <cfRule type="expression" dxfId="1145" priority="69">
      <formula>ABS(G$16-G$19)&gt;=1000</formula>
    </cfRule>
  </conditionalFormatting>
  <conditionalFormatting sqref="H13 H15:H20">
    <cfRule type="expression" dxfId="1144" priority="68">
      <formula>ABS(H$16-H$19)&gt;=1000</formula>
    </cfRule>
  </conditionalFormatting>
  <conditionalFormatting sqref="I13:I20">
    <cfRule type="expression" dxfId="1143" priority="67">
      <formula>ABS(I$16-I$19)&gt;=1000</formula>
    </cfRule>
  </conditionalFormatting>
  <conditionalFormatting sqref="J13:J20">
    <cfRule type="expression" dxfId="1142" priority="66">
      <formula>ABS(J$16-J$19)&gt;=1000</formula>
    </cfRule>
  </conditionalFormatting>
  <conditionalFormatting sqref="L13:L20">
    <cfRule type="expression" dxfId="1141" priority="65">
      <formula>ABS(L$16-L$19)&gt;=1000</formula>
    </cfRule>
  </conditionalFormatting>
  <conditionalFormatting sqref="M13 M15 M17:M18 M20">
    <cfRule type="expression" dxfId="1140" priority="64">
      <formula>ABS(M$16-M$19)&gt;=1000</formula>
    </cfRule>
  </conditionalFormatting>
  <conditionalFormatting sqref="N13:N20">
    <cfRule type="expression" dxfId="1139" priority="63">
      <formula>ABS(N$16-N$19)&gt;=1000</formula>
    </cfRule>
  </conditionalFormatting>
  <conditionalFormatting sqref="O13:O20">
    <cfRule type="expression" dxfId="1138" priority="62">
      <formula>ABS(O$16-O$19)&gt;=1000</formula>
    </cfRule>
  </conditionalFormatting>
  <conditionalFormatting sqref="P13:P20">
    <cfRule type="expression" dxfId="1137" priority="61">
      <formula>ABS(P$16-P$19)&gt;=1000</formula>
    </cfRule>
  </conditionalFormatting>
  <conditionalFormatting sqref="Q13 Q15:Q20">
    <cfRule type="expression" dxfId="1136" priority="60">
      <formula>ABS(Q$16-Q$19)&gt;=1000</formula>
    </cfRule>
  </conditionalFormatting>
  <conditionalFormatting sqref="R13:R20">
    <cfRule type="expression" dxfId="1135" priority="59">
      <formula>ABS(R$16-R$19)&gt;=1000</formula>
    </cfRule>
  </conditionalFormatting>
  <conditionalFormatting sqref="S13:S20">
    <cfRule type="expression" dxfId="1134" priority="58">
      <formula>ABS(S$16-S$19)&gt;=1000</formula>
    </cfRule>
  </conditionalFormatting>
  <conditionalFormatting sqref="T13:T20">
    <cfRule type="expression" dxfId="1133" priority="57">
      <formula>ABS(T$16-T$19)&gt;=1000</formula>
    </cfRule>
  </conditionalFormatting>
  <conditionalFormatting sqref="U13:U20">
    <cfRule type="expression" dxfId="1132" priority="56">
      <formula>ABS(U$16-U$19)&gt;=1000</formula>
    </cfRule>
  </conditionalFormatting>
  <conditionalFormatting sqref="V13:V20">
    <cfRule type="expression" dxfId="1131" priority="55">
      <formula>ABS(V$16-V$19)&gt;=1000</formula>
    </cfRule>
  </conditionalFormatting>
  <conditionalFormatting sqref="W13 W20 W15:W18">
    <cfRule type="expression" dxfId="1130" priority="54">
      <formula>ABS(W$16-W$19)&gt;=1000</formula>
    </cfRule>
  </conditionalFormatting>
  <conditionalFormatting sqref="X13 X15:X20 Y19">
    <cfRule type="expression" dxfId="1129" priority="53">
      <formula>ABS(X$16-X$19)&gt;=1000</formula>
    </cfRule>
  </conditionalFormatting>
  <conditionalFormatting sqref="Y13 Y15:Y18 Y20">
    <cfRule type="expression" dxfId="1128" priority="52">
      <formula>ABS(Y$16-Y$19)&gt;=1000</formula>
    </cfRule>
  </conditionalFormatting>
  <conditionalFormatting sqref="Z13:Z20">
    <cfRule type="expression" dxfId="1127" priority="51">
      <formula>ABS(Z$16-Z$19)&gt;=1000</formula>
    </cfRule>
  </conditionalFormatting>
  <conditionalFormatting sqref="AA13:AA20">
    <cfRule type="expression" dxfId="1126" priority="50">
      <formula>ABS(AA$16-AA$19)&gt;=1000</formula>
    </cfRule>
  </conditionalFormatting>
  <conditionalFormatting sqref="AB13 AB15:AB20">
    <cfRule type="expression" dxfId="1125" priority="49">
      <formula>ABS(AB$16-AB$19)&gt;=1000</formula>
    </cfRule>
  </conditionalFormatting>
  <conditionalFormatting sqref="AC13 AC15:AC20">
    <cfRule type="expression" dxfId="1124" priority="48">
      <formula>ABS(AC$16-AC$19)&gt;=1000</formula>
    </cfRule>
  </conditionalFormatting>
  <conditionalFormatting sqref="AD13:AD20">
    <cfRule type="expression" dxfId="1123" priority="47">
      <formula>ABS(AD$16-AD$19)&gt;=1000</formula>
    </cfRule>
  </conditionalFormatting>
  <conditionalFormatting sqref="AE13:AE20">
    <cfRule type="expression" dxfId="1122" priority="46">
      <formula>ABS(AE$16-AE$19)&gt;=1000</formula>
    </cfRule>
  </conditionalFormatting>
  <conditionalFormatting sqref="D22:D29">
    <cfRule type="expression" dxfId="1121" priority="45">
      <formula>ABS(D$25-D$28)&gt;=1000</formula>
    </cfRule>
  </conditionalFormatting>
  <conditionalFormatting sqref="E22:E29">
    <cfRule type="expression" dxfId="1120" priority="44">
      <formula>ABS(E$25-E$28)&gt;=1000</formula>
    </cfRule>
  </conditionalFormatting>
  <conditionalFormatting sqref="F22:F29">
    <cfRule type="expression" dxfId="1119" priority="43">
      <formula>ABS(F$25-F$28)&gt;=1000</formula>
    </cfRule>
  </conditionalFormatting>
  <conditionalFormatting sqref="G22:G29">
    <cfRule type="expression" dxfId="1118" priority="42">
      <formula>ABS(G$25-G$28)&gt;=1000</formula>
    </cfRule>
  </conditionalFormatting>
  <conditionalFormatting sqref="H22:H29">
    <cfRule type="expression" dxfId="1117" priority="41">
      <formula>ABS(H$25-H$28)&gt;=1000</formula>
    </cfRule>
  </conditionalFormatting>
  <conditionalFormatting sqref="I22 I24:I29">
    <cfRule type="expression" dxfId="1116" priority="40">
      <formula>ABS(I$25-I$28)&gt;=1000</formula>
    </cfRule>
  </conditionalFormatting>
  <conditionalFormatting sqref="J22:J29 K22">
    <cfRule type="expression" dxfId="1115" priority="39">
      <formula>ABS(J$25-J$28)&gt;=1000</formula>
    </cfRule>
  </conditionalFormatting>
  <conditionalFormatting sqref="K23:K29 L25 L28">
    <cfRule type="expression" dxfId="1114" priority="38">
      <formula>ABS(K$25-K$28)&gt;=1000</formula>
    </cfRule>
  </conditionalFormatting>
  <conditionalFormatting sqref="L22 L26:L27 L29 L24">
    <cfRule type="expression" dxfId="1113" priority="37">
      <formula>ABS(L$25-L$28)&gt;=1000</formula>
    </cfRule>
  </conditionalFormatting>
  <conditionalFormatting sqref="M22:M29">
    <cfRule type="expression" dxfId="1112" priority="36">
      <formula>ABS(M$25-M$28)&gt;=1000</formula>
    </cfRule>
  </conditionalFormatting>
  <conditionalFormatting sqref="N22:N29">
    <cfRule type="expression" dxfId="1111" priority="35">
      <formula>ABS(N$25-N$28)&gt;=1000</formula>
    </cfRule>
  </conditionalFormatting>
  <conditionalFormatting sqref="O22:O29">
    <cfRule type="expression" dxfId="1110" priority="34">
      <formula>ABS(O$25-O$28)&gt;=1000</formula>
    </cfRule>
  </conditionalFormatting>
  <conditionalFormatting sqref="P22:P29">
    <cfRule type="expression" dxfId="1109" priority="33">
      <formula>ABS(P$25-P$28)&gt;=1000</formula>
    </cfRule>
  </conditionalFormatting>
  <conditionalFormatting sqref="Q22:Q29">
    <cfRule type="expression" dxfId="1108" priority="32">
      <formula>ABS(Q$25-Q$28)&gt;=1000</formula>
    </cfRule>
  </conditionalFormatting>
  <conditionalFormatting sqref="R22:R29">
    <cfRule type="expression" dxfId="1107" priority="31">
      <formula>ABS(R$25-R$28)&gt;=1000</formula>
    </cfRule>
  </conditionalFormatting>
  <conditionalFormatting sqref="S22:S29">
    <cfRule type="expression" dxfId="1106" priority="30">
      <formula>ABS(S$25-S$28)&gt;=1000</formula>
    </cfRule>
  </conditionalFormatting>
  <conditionalFormatting sqref="T22:T29">
    <cfRule type="expression" dxfId="1105" priority="29">
      <formula>ABS(T$25-T$28)&gt;=1000</formula>
    </cfRule>
  </conditionalFormatting>
  <conditionalFormatting sqref="U22:U29">
    <cfRule type="expression" dxfId="1104" priority="28">
      <formula>ABS(U$25-U$28)&gt;=1000</formula>
    </cfRule>
  </conditionalFormatting>
  <conditionalFormatting sqref="V22:V29">
    <cfRule type="expression" dxfId="1103" priority="27">
      <formula>ABS(V$25-V$28)&gt;=1000</formula>
    </cfRule>
  </conditionalFormatting>
  <conditionalFormatting sqref="W22:W29">
    <cfRule type="expression" dxfId="1102" priority="26">
      <formula>ABS(W$25-W$28)&gt;=1000</formula>
    </cfRule>
  </conditionalFormatting>
  <conditionalFormatting sqref="X22:X29">
    <cfRule type="expression" dxfId="1101" priority="25">
      <formula>ABS(X$25-X$28)&gt;=1000</formula>
    </cfRule>
  </conditionalFormatting>
  <conditionalFormatting sqref="Y22:Y29">
    <cfRule type="expression" dxfId="1100" priority="24">
      <formula>ABS(Y$25-Y$28)&gt;=1000</formula>
    </cfRule>
  </conditionalFormatting>
  <conditionalFormatting sqref="I23">
    <cfRule type="expression" dxfId="1099" priority="23">
      <formula>ABS(I$25-I$28)&gt;=1000</formula>
    </cfRule>
  </conditionalFormatting>
  <conditionalFormatting sqref="Q14">
    <cfRule type="expression" dxfId="1098" priority="22">
      <formula>ABS(Q$16-Q$19)&gt;=1000</formula>
    </cfRule>
  </conditionalFormatting>
  <conditionalFormatting sqref="W14">
    <cfRule type="expression" dxfId="1097" priority="21">
      <formula>ABS(W$16-W$19)&gt;=1000</formula>
    </cfRule>
  </conditionalFormatting>
  <conditionalFormatting sqref="X14">
    <cfRule type="expression" dxfId="1096" priority="20">
      <formula>ABS(X$16-X$19)&gt;=1000</formula>
    </cfRule>
  </conditionalFormatting>
  <conditionalFormatting sqref="T10:Y10">
    <cfRule type="expression" dxfId="1095" priority="19">
      <formula>ABS(T$7-T$10)&gt;=1000</formula>
    </cfRule>
  </conditionalFormatting>
  <conditionalFormatting sqref="W19">
    <cfRule type="expression" dxfId="1094" priority="18">
      <formula>ABS(W$16-W$19)&gt;=1000</formula>
    </cfRule>
  </conditionalFormatting>
  <conditionalFormatting sqref="AC5">
    <cfRule type="expression" dxfId="1093" priority="17">
      <formula>ABS(AC$7-AC$10)&gt;=1000</formula>
    </cfRule>
  </conditionalFormatting>
  <conditionalFormatting sqref="M14">
    <cfRule type="expression" dxfId="1092" priority="16">
      <formula>ABS(M$16-M$19)&gt;=1000</formula>
    </cfRule>
  </conditionalFormatting>
  <conditionalFormatting sqref="M16">
    <cfRule type="expression" dxfId="1091" priority="15">
      <formula>ABS(M$16-M$19)&gt;=1000</formula>
    </cfRule>
  </conditionalFormatting>
  <conditionalFormatting sqref="M19">
    <cfRule type="expression" dxfId="1090" priority="14">
      <formula>ABS(M$16-M$19)&gt;=1000</formula>
    </cfRule>
  </conditionalFormatting>
  <conditionalFormatting sqref="K13:K20">
    <cfRule type="expression" dxfId="1089" priority="13">
      <formula>ABS(K$16-K$19)&gt;=1000</formula>
    </cfRule>
  </conditionalFormatting>
  <conditionalFormatting sqref="E5">
    <cfRule type="expression" dxfId="1088" priority="12">
      <formula>ABS(E$7-E$10)&gt;=1000</formula>
    </cfRule>
  </conditionalFormatting>
  <conditionalFormatting sqref="AB14:AC14">
    <cfRule type="expression" dxfId="1087" priority="11">
      <formula>ABS(AB$16-AB$19)&gt;=1000</formula>
    </cfRule>
  </conditionalFormatting>
  <conditionalFormatting sqref="M5">
    <cfRule type="expression" dxfId="1086" priority="10">
      <formula>ABS(M$7-M$10)&gt;=1000</formula>
    </cfRule>
  </conditionalFormatting>
  <conditionalFormatting sqref="N5">
    <cfRule type="expression" dxfId="1085" priority="9">
      <formula>ABS(N$7-N$10)&gt;=1000</formula>
    </cfRule>
  </conditionalFormatting>
  <conditionalFormatting sqref="O5">
    <cfRule type="expression" dxfId="1084" priority="8">
      <formula>ABS(O$7-O$10)&gt;=1000</formula>
    </cfRule>
  </conditionalFormatting>
  <conditionalFormatting sqref="P5">
    <cfRule type="expression" dxfId="1083" priority="7">
      <formula>ABS(P$7-P$10)&gt;=1000</formula>
    </cfRule>
  </conditionalFormatting>
  <conditionalFormatting sqref="L23">
    <cfRule type="expression" dxfId="1082" priority="6">
      <formula>ABS(L$25-L$28)&gt;=1000</formula>
    </cfRule>
  </conditionalFormatting>
  <conditionalFormatting sqref="Y14">
    <cfRule type="expression" dxfId="1081" priority="5">
      <formula>ABS(Y$16-Y$19)&gt;=1000</formula>
    </cfRule>
  </conditionalFormatting>
  <conditionalFormatting sqref="F14">
    <cfRule type="expression" dxfId="1080" priority="4">
      <formula>ABS(F$16-F$19)&gt;=1000</formula>
    </cfRule>
  </conditionalFormatting>
  <conditionalFormatting sqref="H14">
    <cfRule type="expression" dxfId="1079" priority="3">
      <formula>ABS(H$16-H$19)&gt;=1000</formula>
    </cfRule>
  </conditionalFormatting>
  <conditionalFormatting sqref="AD5">
    <cfRule type="expression" dxfId="1078" priority="2">
      <formula>ABS(AD$7-AD$10)&gt;=1000</formula>
    </cfRule>
  </conditionalFormatting>
  <conditionalFormatting sqref="AE5">
    <cfRule type="expression" dxfId="1077" priority="1">
      <formula>ABS(AE$7-AE$10)&gt;=1000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82561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913">
    <pageSetUpPr fitToPage="1"/>
  </sheetPr>
  <dimension ref="A1:CU223"/>
  <sheetViews>
    <sheetView view="pageBreakPreview" zoomScale="70" zoomScaleNormal="100" zoomScaleSheetLayoutView="70" workbookViewId="0">
      <selection activeCell="O9" sqref="O9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185" t="s" ph="1">
        <v>161</v>
      </c>
      <c r="C1" s="185" ph="1"/>
      <c r="D1" s="185" ph="1"/>
      <c r="E1" s="185" ph="1"/>
      <c r="F1" s="185" ph="1"/>
      <c r="G1" s="185" ph="1"/>
      <c r="H1" s="185" ph="1"/>
      <c r="I1" s="185" ph="1"/>
      <c r="J1" s="185" ph="1"/>
      <c r="K1" s="185" ph="1"/>
      <c r="L1" s="185" ph="1"/>
      <c r="M1" s="185" ph="1"/>
      <c r="N1" s="185" ph="1"/>
      <c r="O1" s="185" ph="1"/>
      <c r="P1" s="185" ph="1"/>
      <c r="Q1" s="185" ph="1"/>
      <c r="R1" s="185" ph="1"/>
      <c r="S1" s="185" ph="1"/>
      <c r="T1" s="185" ph="1"/>
      <c r="U1" s="185" ph="1"/>
      <c r="V1" s="185" ph="1"/>
      <c r="W1" s="185" ph="1"/>
      <c r="X1" s="185" ph="1"/>
      <c r="Y1" s="185" ph="1"/>
      <c r="Z1" s="185" ph="1"/>
      <c r="AA1" s="185" ph="1"/>
      <c r="AB1" s="185" ph="1"/>
      <c r="AC1" s="185" ph="1"/>
      <c r="AD1" s="185" ph="1"/>
      <c r="AE1" s="185" ph="1"/>
    </row>
    <row r="2" spans="1:99" s="66" customFormat="1" ht="24" customHeight="1" ph="1">
      <c r="B2" s="186" t="s" ph="1">
        <v>82</v>
      </c>
      <c r="C2" s="186" ph="1"/>
      <c r="D2" s="186" ph="1"/>
      <c r="E2" s="186" ph="1"/>
      <c r="F2" s="186" ph="1"/>
      <c r="G2" s="186" ph="1"/>
      <c r="H2" s="186" ph="1"/>
      <c r="I2" s="186" ph="1"/>
      <c r="J2" s="186" ph="1"/>
      <c r="K2" s="186" ph="1"/>
      <c r="L2" s="186" ph="1"/>
      <c r="M2" s="186" ph="1"/>
      <c r="N2" s="186" ph="1"/>
      <c r="O2" s="186" ph="1"/>
      <c r="P2" s="186" ph="1"/>
      <c r="Q2" s="186" ph="1"/>
      <c r="R2" s="186" ph="1"/>
      <c r="S2" s="186" ph="1"/>
      <c r="T2" s="186" ph="1"/>
      <c r="U2" s="186" ph="1"/>
      <c r="V2" s="186" ph="1"/>
      <c r="W2" s="186" ph="1"/>
      <c r="X2" s="186" ph="1"/>
      <c r="Y2" s="186" ph="1"/>
      <c r="Z2" s="186" ph="1"/>
      <c r="AA2" s="186" ph="1"/>
      <c r="AB2" s="186" ph="1"/>
      <c r="AC2" s="186" ph="1"/>
      <c r="AD2" s="186" ph="1"/>
      <c r="AE2" s="186" ph="1"/>
    </row>
    <row r="3" spans="1:99" ht="21" customHeight="1" ph="1">
      <c r="B3" s="187" ph="1">
        <v>46191</v>
      </c>
      <c r="C3" s="187"/>
      <c r="D3" s="187"/>
      <c r="E3" s="187"/>
      <c r="F3" s="187"/>
      <c r="G3" s="187"/>
      <c r="H3" s="187"/>
      <c r="I3" s="187"/>
      <c r="J3" s="187"/>
      <c r="K3" s="187"/>
      <c r="L3" s="187"/>
      <c r="M3" s="187"/>
      <c r="N3" s="187"/>
      <c r="O3" s="187"/>
      <c r="P3" s="187"/>
      <c r="Q3" s="187"/>
      <c r="R3" s="187"/>
      <c r="S3" s="187"/>
      <c r="T3" s="187"/>
      <c r="U3" s="187"/>
      <c r="V3" s="187"/>
      <c r="W3" s="187"/>
      <c r="X3" s="187"/>
      <c r="Y3" s="187"/>
      <c r="Z3" s="187"/>
      <c r="AA3" s="187"/>
      <c r="AB3" s="187"/>
      <c r="AC3" s="187"/>
      <c r="AD3" s="187"/>
      <c r="AE3" s="187"/>
    </row>
    <row r="4" spans="1:99" s="69" customFormat="1" ph="1">
      <c r="A4" s="65" ph="1"/>
      <c r="B4" s="188" t="s" ph="1">
        <v>37</v>
      </c>
      <c r="C4" s="67" t="s" ph="1">
        <v>176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110</v>
      </c>
      <c r="J4" s="68" t="s" ph="1">
        <v>48</v>
      </c>
      <c r="K4" s="68" t="s" ph="1">
        <v>111</v>
      </c>
      <c r="L4" s="68" t="s" ph="1">
        <v>112</v>
      </c>
      <c r="M4" s="68" t="s" ph="1">
        <v>49</v>
      </c>
      <c r="N4" s="68" t="s" ph="1">
        <v>50</v>
      </c>
      <c r="O4" s="68" t="s" ph="1">
        <v>113</v>
      </c>
      <c r="P4" s="68" t="s" ph="1">
        <v>114</v>
      </c>
      <c r="Q4" s="68" t="s" ph="1">
        <v>115</v>
      </c>
      <c r="R4" s="68" t="s" ph="1">
        <v>116</v>
      </c>
      <c r="S4" s="68" t="s" ph="1">
        <v>117</v>
      </c>
      <c r="T4" s="68" t="s" ph="1">
        <v>118</v>
      </c>
      <c r="U4" s="68" t="s" ph="1">
        <v>119</v>
      </c>
      <c r="V4" s="68" t="s" ph="1">
        <v>120</v>
      </c>
      <c r="W4" s="68" t="s" ph="1">
        <v>121</v>
      </c>
      <c r="X4" s="68" t="s" ph="1">
        <v>122</v>
      </c>
      <c r="Y4" s="68" t="s" ph="1">
        <v>123</v>
      </c>
      <c r="Z4" s="68" t="s" ph="1">
        <v>51</v>
      </c>
      <c r="AA4" s="68" t="s" ph="1">
        <v>124</v>
      </c>
      <c r="AB4" s="68" t="s" ph="1">
        <v>125</v>
      </c>
      <c r="AC4" s="68" t="s" ph="1">
        <v>126</v>
      </c>
      <c r="AD4" s="68" t="s" ph="1">
        <v>40</v>
      </c>
      <c r="AE4" s="68" t="s" ph="1">
        <v>127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188" ph="1"/>
      <c r="C5" s="67" t="s" ph="1">
        <v>36</v>
      </c>
      <c r="D5" s="70" t="s" ph="1">
        <v>160</v>
      </c>
      <c r="E5" s="142" t="s" ph="1">
        <v>7</v>
      </c>
      <c r="F5" s="142" t="s" ph="1">
        <v>1</v>
      </c>
      <c r="G5" s="142" t="s" ph="1">
        <v>7</v>
      </c>
      <c r="H5" s="142" t="s" ph="1">
        <v>7</v>
      </c>
      <c r="I5" s="141" t="s" ph="1">
        <v>608</v>
      </c>
      <c r="J5" s="141" t="s" ph="1">
        <v>609</v>
      </c>
      <c r="K5" s="141" t="s" ph="1">
        <v>611</v>
      </c>
      <c r="L5" s="141" t="s" ph="1">
        <v>613</v>
      </c>
      <c r="M5" s="141" t="s" ph="1">
        <v>608</v>
      </c>
      <c r="N5" s="70" t="s" ph="1">
        <v>609</v>
      </c>
      <c r="O5" s="70" t="s" ph="1">
        <v>611</v>
      </c>
      <c r="P5" s="70" t="s" ph="1">
        <v>613</v>
      </c>
      <c r="Q5" s="70" t="s" ph="1">
        <v>607</v>
      </c>
      <c r="R5" s="70" t="s" ph="1">
        <v>607</v>
      </c>
      <c r="S5" s="70" t="s" ph="1">
        <v>607</v>
      </c>
      <c r="T5" s="70" t="s" ph="1">
        <v>607</v>
      </c>
      <c r="U5" s="70" t="s" ph="1">
        <v>607</v>
      </c>
      <c r="V5" s="70" t="s" ph="1">
        <v>607</v>
      </c>
      <c r="W5" s="70" t="s" ph="1">
        <v>607</v>
      </c>
      <c r="X5" s="70" t="s" ph="1">
        <v>607</v>
      </c>
      <c r="Y5" s="70" t="s" ph="1">
        <v>607</v>
      </c>
      <c r="Z5" s="70" t="s" ph="1">
        <v>614</v>
      </c>
      <c r="AA5" s="70" t="s" ph="1">
        <v>54</v>
      </c>
      <c r="AB5" s="70" t="s" ph="1">
        <v>54</v>
      </c>
      <c r="AC5" s="70" t="s" ph="1">
        <v>615</v>
      </c>
      <c r="AD5" s="71" t="s">
        <v>72</v>
      </c>
      <c r="AE5" s="71" t="s">
        <v>635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184" ph="1">
        <v>0.33333333333333331</v>
      </c>
      <c r="C6" s="159" t="s" ph="1">
        <v>177</v>
      </c>
      <c r="D6" s="71">
        <v>4164</v>
      </c>
      <c r="E6" s="71">
        <v>7850</v>
      </c>
      <c r="F6" s="71">
        <v>5834</v>
      </c>
      <c r="G6" s="71">
        <v>2377</v>
      </c>
      <c r="H6" s="71">
        <v>4731</v>
      </c>
      <c r="I6" s="71">
        <v>38.590000000000003</v>
      </c>
      <c r="J6" s="71">
        <v>59.47</v>
      </c>
      <c r="K6" s="71">
        <v>62.9</v>
      </c>
      <c r="L6" s="71">
        <v>6.39</v>
      </c>
      <c r="M6" s="71">
        <v>5600</v>
      </c>
      <c r="N6" s="71">
        <v>2055</v>
      </c>
      <c r="O6" s="71">
        <v>4218</v>
      </c>
      <c r="P6" s="71">
        <v>1668</v>
      </c>
      <c r="Q6" s="71">
        <v>7095</v>
      </c>
      <c r="R6" s="71">
        <v>1218</v>
      </c>
      <c r="S6" s="71">
        <v>0</v>
      </c>
      <c r="T6" s="71">
        <v>7076</v>
      </c>
      <c r="U6" s="71">
        <v>5945</v>
      </c>
      <c r="V6" s="71">
        <v>2678</v>
      </c>
      <c r="W6" s="71">
        <v>0</v>
      </c>
      <c r="X6" s="71">
        <v>0</v>
      </c>
      <c r="Y6" s="71">
        <v>0</v>
      </c>
      <c r="Z6" s="71">
        <v>4932</v>
      </c>
      <c r="AA6" s="71">
        <v>0</v>
      </c>
      <c r="AB6" s="71">
        <v>2736</v>
      </c>
      <c r="AC6" s="71">
        <v>3510</v>
      </c>
      <c r="AD6" s="71">
        <v>3877</v>
      </c>
      <c r="AE6" s="71">
        <v>5377</v>
      </c>
    </row>
    <row r="7" spans="1:99" s="72" customFormat="1" ht="22.2" ph="1">
      <c r="B7" s="184" ph="1"/>
      <c r="C7" s="68" t="s" ph="1">
        <v>178</v>
      </c>
      <c r="D7" s="73" ph="1">
        <f>D6*33.183*LOOKUP(D8,密度!$A$2:$A$50,密度!$Q$2:$Q$50)</f>
        <v>130716.76057236</v>
      </c>
      <c r="E7" s="73" ph="1">
        <f>E6*51.53*LOOKUP(E8,密度!$A$2:$A$50,密度!$B$2:$B$50)</f>
        <v>314992.32634999999</v>
      </c>
      <c r="F7" s="73" ph="1">
        <f>F6*33.183*LOOKUP(F8,密度!$A$2:$A$50,密度!$C$2:$C$50)</f>
        <v>214671.53183580001</v>
      </c>
      <c r="G7" s="73" ph="1">
        <f xml:space="preserve"> (G6+2)*51.53*LOOKUP(G8,密度!$A$2:$A$50,密度!$B$2:$B$50)</f>
        <v>95362.659873000011</v>
      </c>
      <c r="H7" s="73" ph="1">
        <f>(H6)*51.53*LOOKUP(H8,密度!$A$2:$A$50,密度!$B$2:$B$50)</f>
        <v>190276.86961499997</v>
      </c>
      <c r="I7" s="73" ph="1">
        <f>I6*290.8*1.0267</f>
        <v>11521.598652400002</v>
      </c>
      <c r="J7" s="73" ph="1">
        <f>J6*290.8*0.7892</f>
        <v>13648.3269392</v>
      </c>
      <c r="K7" s="73" ph="1">
        <f>K6*290.8*1.1126</f>
        <v>20350.922632000002</v>
      </c>
      <c r="L7" s="73" ph="1">
        <f>L6*290.8*0.777</f>
        <v>1443.8307240000001</v>
      </c>
      <c r="M7" s="73" ph="1">
        <f>M6*33.183*LOOKUP(M8,密度!$A$2:$A$50,密度!$D$2:$D$50)</f>
        <v>190433.25503999999</v>
      </c>
      <c r="N7" s="73" ph="1">
        <f>N6*33.183*LOOKUP(N8,密度!$A$2:$A$50,密度!$E$2:$E$50)</f>
        <v>53025.372144000001</v>
      </c>
      <c r="O7" s="73" ph="1">
        <f>O6*20.428*LOOKUP(O8,密度!$A$2:$A$50,密度!$C$2:$C$50)</f>
        <v>95221.277450399997</v>
      </c>
      <c r="P7" s="73" ph="1">
        <f>P6*51.53*LOOKUP(P8,密度!$A$2:$A$50,密度!$B$2:$B$50)</f>
        <v>66862.091916000005</v>
      </c>
      <c r="Q7" s="73" ph="1">
        <f>Q6*1.5*1.5*3.1416*LOOKUP(W8,密度!$A$2:$A$50,密度!$L$2:$L$50)</f>
        <v>46791.551960999997</v>
      </c>
      <c r="R7" s="73" ph="1">
        <f>R6*1.5*1.5*3.1416*LOOKUP(R8,密度!$A$2:$A$50,密度!$L$2:$L$50)</f>
        <v>7981.0572996000001</v>
      </c>
      <c r="S7" s="73" ph="1">
        <f>S6*1.5*1.5*3.1416*LOOKUP(S8,密度!$A$2:$A$50,密度!$L$2:$L$50)</f>
        <v>0</v>
      </c>
      <c r="T7" s="73" ph="1">
        <f>T6*1.5*1.5*3.1416*LOOKUP(T8,密度!$A$2:$A$50,密度!$L$2:$L$50)</f>
        <v>47016.368783999998</v>
      </c>
      <c r="U7" s="73" ph="1">
        <f>U6*1.5*1.5*3.1416*LOOKUP(U8,密度!$A$2:$A$50,密度!$L$2:$L$50)</f>
        <v>39249.320418000003</v>
      </c>
      <c r="V7" s="73" ph="1">
        <f>V6*1.5*1.5*3.1416*LOOKUP(V8,密度!$A$2:$A$50,密度!$L$2:$L$50)</f>
        <v>17680.349887200002</v>
      </c>
      <c r="W7" s="73" ph="1">
        <f>W6*1.5*1.5*3.1416*LOOKUP(W8,密度!$A$2:$A$50,密度!$L$2:$L$50)</f>
        <v>0</v>
      </c>
      <c r="X7" s="73" ph="1">
        <f>X6*1.5*1.5*3.1416*LOOKUP(X8,密度!$A$2:$A$50,密度!$L$2:$L$50)</f>
        <v>0</v>
      </c>
      <c r="Y7" s="73" ph="1">
        <f>Y6*1.5*1.5*3.1416*LOOKUP(Y8,密度!$A$2:$A$50,密度!$L$2:$L$50)</f>
        <v>0</v>
      </c>
      <c r="Z7" s="73" ph="1">
        <f>Z6*33.183*LOOKUP(Z8,密度!$A$2:$A$50,密度!$L$2:$L$50)</f>
        <v>152693.43274800002</v>
      </c>
      <c r="AA7" s="73" ph="1">
        <f>AA6*33.183*LOOKUP(AA8,密度!$A$2:$A$50,密度!$D$2:$D$50)</f>
        <v>0</v>
      </c>
      <c r="AB7" s="73" ph="1">
        <f>AB6*20.428*LOOKUP(AB8,密度!$A$2:$A$50,密度!$D$2:$D$50)</f>
        <v>57645.985651200004</v>
      </c>
      <c r="AC7" s="73" ph="1">
        <f>AC6*51.53*LOOKUP(AC8,密度!$A$2:$A$50,密度!$Q$2:$Q$50)</f>
        <v>170980.31199600003</v>
      </c>
      <c r="AD7" s="73" ph="1">
        <f>AD6*20.428*LOOKUP(AD8,密度!$A$2:$A$50,密度!$V$2:$V$50)</f>
        <v>76094.741244799996</v>
      </c>
      <c r="AE7" s="73" ph="1">
        <f>AE6*20.428</f>
        <v>109841.356</v>
      </c>
    </row>
    <row r="8" spans="1:99" ph="1">
      <c r="B8" s="184" ph="1"/>
      <c r="C8" s="68" t="s" ph="1">
        <v>179</v>
      </c>
      <c r="D8" s="74">
        <v>26</v>
      </c>
      <c r="E8" s="74">
        <v>26</v>
      </c>
      <c r="F8" s="74">
        <v>25</v>
      </c>
      <c r="G8" s="74">
        <v>27</v>
      </c>
      <c r="H8" s="74">
        <v>24</v>
      </c>
      <c r="I8" s="74">
        <v>25</v>
      </c>
      <c r="J8" s="74">
        <v>25</v>
      </c>
      <c r="K8" s="74">
        <v>25</v>
      </c>
      <c r="L8" s="74">
        <v>25</v>
      </c>
      <c r="M8" s="74">
        <v>27</v>
      </c>
      <c r="N8" s="74">
        <v>30</v>
      </c>
      <c r="O8" s="74">
        <v>30</v>
      </c>
      <c r="P8" s="74">
        <v>27</v>
      </c>
      <c r="Q8" s="74">
        <v>30</v>
      </c>
      <c r="R8" s="74">
        <v>35</v>
      </c>
      <c r="S8" s="74">
        <v>28</v>
      </c>
      <c r="T8" s="74">
        <v>22</v>
      </c>
      <c r="U8" s="74">
        <v>28</v>
      </c>
      <c r="V8" s="74">
        <v>28</v>
      </c>
      <c r="W8" s="74">
        <v>29</v>
      </c>
      <c r="X8" s="74">
        <v>18</v>
      </c>
      <c r="Y8" s="74">
        <v>28</v>
      </c>
      <c r="Z8" s="74">
        <v>29</v>
      </c>
      <c r="AA8" s="74">
        <v>28</v>
      </c>
      <c r="AB8" s="74">
        <v>20</v>
      </c>
      <c r="AC8" s="74">
        <v>27</v>
      </c>
      <c r="AD8" s="74">
        <v>25</v>
      </c>
      <c r="AE8" s="74">
        <v>29</v>
      </c>
    </row>
    <row r="9" spans="1:99" ht="26.4" ph="1">
      <c r="B9" s="184" ph="1">
        <v>0.66666666666666663</v>
      </c>
      <c r="C9" s="159" t="s" ph="1">
        <v>180</v>
      </c>
      <c r="D9" s="71">
        <v>4169</v>
      </c>
      <c r="E9" s="71">
        <v>7854</v>
      </c>
      <c r="F9" s="71">
        <v>5837</v>
      </c>
      <c r="G9" s="71">
        <v>3245</v>
      </c>
      <c r="H9" s="71">
        <v>4441</v>
      </c>
      <c r="I9" s="71">
        <v>38.630000000000003</v>
      </c>
      <c r="J9" s="71">
        <v>25.08</v>
      </c>
      <c r="K9" s="71">
        <v>62.96</v>
      </c>
      <c r="L9" s="71">
        <v>27.3</v>
      </c>
      <c r="M9" s="71">
        <v>5604</v>
      </c>
      <c r="N9" s="71">
        <v>2771</v>
      </c>
      <c r="O9" s="71">
        <v>3317</v>
      </c>
      <c r="P9" s="71">
        <v>1640</v>
      </c>
      <c r="Q9" s="71">
        <v>3634</v>
      </c>
      <c r="R9" s="71">
        <v>0</v>
      </c>
      <c r="S9" s="71">
        <v>0</v>
      </c>
      <c r="T9" s="71">
        <v>7087</v>
      </c>
      <c r="U9" s="71">
        <v>5953</v>
      </c>
      <c r="V9" s="71">
        <v>5329</v>
      </c>
      <c r="W9" s="71">
        <v>2500</v>
      </c>
      <c r="X9" s="71">
        <v>0</v>
      </c>
      <c r="Y9" s="71">
        <v>0</v>
      </c>
      <c r="Z9" s="71">
        <v>5950</v>
      </c>
      <c r="AA9" s="71">
        <v>0</v>
      </c>
      <c r="AB9" s="71">
        <v>2737</v>
      </c>
      <c r="AC9" s="71">
        <v>3629</v>
      </c>
      <c r="AD9" s="71">
        <v>3880</v>
      </c>
      <c r="AE9" s="71">
        <v>5685</v>
      </c>
    </row>
    <row r="10" spans="1:99" s="72" customFormat="1" ht="22.2" ph="1">
      <c r="B10" s="184" ph="1"/>
      <c r="C10" s="159" t="s" ph="1">
        <v>178</v>
      </c>
      <c r="D10" s="73" ph="1">
        <f>D9*33.183*LOOKUP(D11,密度!$A$2:$A$50,密度!$Q$2:$Q$50)</f>
        <v>130500.20333691</v>
      </c>
      <c r="E10" s="73" ph="1">
        <f>E9*51.53*LOOKUP(E11,密度!$A$2:$A$50,密度!$B$2:$B$50)</f>
        <v>314141.04044399998</v>
      </c>
      <c r="F10" s="73" ph="1">
        <f>F9*33.183*LOOKUP(F11,密度!$A$2:$A$50,密度!$C$2:$C$50)</f>
        <v>214045.90287210001</v>
      </c>
      <c r="G10" s="73" ph="1">
        <f xml:space="preserve"> (G9+2)*51.53*LOOKUP(G11,密度!$A$2:$A$50,密度!$B$2:$B$50)</f>
        <v>129872.161742</v>
      </c>
      <c r="H10" s="73" ph="1">
        <f>(H9)*51.53*LOOKUP(H11,密度!$A$2:$A$50,密度!$B$2:$B$50)</f>
        <v>177812.35521000001</v>
      </c>
      <c r="I10" s="73" ph="1">
        <f>I9*290.8*1.0267</f>
        <v>11533.5412268</v>
      </c>
      <c r="J10" s="73" ph="1">
        <f>J9*290.8*0.7892</f>
        <v>5755.8439488000004</v>
      </c>
      <c r="K10" s="73" ph="1">
        <f>K9*290.8*1.1126</f>
        <v>20370.3352768</v>
      </c>
      <c r="L10" s="73" ph="1">
        <f>L9*290.8*0.777</f>
        <v>6168.4786800000002</v>
      </c>
      <c r="M10" s="73" ph="1">
        <f>M9*33.183*LOOKUP(M11,密度!$A$2:$A$50,密度!$D$2:$D$50)</f>
        <v>188244.80964359999</v>
      </c>
      <c r="N10" s="73" ph="1">
        <f>N9*33.183*LOOKUP(N11,密度!$A$2:$A$50,密度!$E$2:$E$50)</f>
        <v>70979.035289489999</v>
      </c>
      <c r="O10" s="73" ph="1">
        <f>O9*20.428*LOOKUP(O11,密度!$A$2:$A$50,密度!$C$2:$C$50)</f>
        <v>74528.867632400012</v>
      </c>
      <c r="P10" s="73" ph="1">
        <f>P9*51.53*LOOKUP(P11,密度!$A$2:$A$50,密度!$B$2:$B$50)</f>
        <v>65519.982759999999</v>
      </c>
      <c r="Q10" s="73" ph="1">
        <f>Q9*1.5*1.5*3.1416*LOOKUP(W11,密度!$A$2:$A$50,密度!$L$2:$L$50)</f>
        <v>23991.931101599999</v>
      </c>
      <c r="R10" s="73" ph="1">
        <f>R9*1.5*1.5*3.1416*LOOKUP(R11,密度!$A$2:$A$50,密度!$L$2:$L$50)</f>
        <v>0</v>
      </c>
      <c r="S10" s="73" ph="1">
        <f>S9*1.5*1.5*3.1416*LOOKUP(S11,密度!$A$2:$A$50,密度!$L$2:$L$50)</f>
        <v>0</v>
      </c>
      <c r="T10" s="73" ph="1">
        <f>T9*1.5*1.5*3.1416*LOOKUP(T11,密度!$A$2:$A$50,密度!$L$2:$L$50)</f>
        <v>47039.362939799998</v>
      </c>
      <c r="U10" s="73" ph="1">
        <f>U9*1.5*1.5*3.1416*LOOKUP(U11,密度!$A$2:$A$50,密度!$L$2:$L$50)</f>
        <v>39302.136997200003</v>
      </c>
      <c r="V10" s="73" ph="1">
        <f>V9*1.5*1.5*3.1416*LOOKUP(V11,密度!$A$2:$A$50,密度!$L$2:$L$50)</f>
        <v>35182.443819600005</v>
      </c>
      <c r="W10" s="73" ph="1">
        <f>W9*1.5*1.5*3.1416*LOOKUP(W11,密度!$A$2:$A$50,密度!$L$2:$L$50)</f>
        <v>16505.181</v>
      </c>
      <c r="X10" s="73" ph="1">
        <f>X9*1.5*1.5*3.1416*LOOKUP(X11,密度!$A$2:$A$50,密度!$L$2:$L$50)</f>
        <v>0</v>
      </c>
      <c r="Y10" s="73" ph="1">
        <f>Y9*1.5*1.5*3.1416*LOOKUP(Y11,密度!$A$2:$A$50,密度!$L$2:$L$50)</f>
        <v>0</v>
      </c>
      <c r="Z10" s="73" ph="1">
        <f>Z9*33.183*LOOKUP(Z11,密度!$A$2:$A$50,密度!$L$2:$L$50)</f>
        <v>182236.05855000002</v>
      </c>
      <c r="AA10" s="73" ph="1">
        <f>AA9*33.183*LOOKUP(AA11,密度!$A$2:$A$50,密度!$D$2:$D$50)</f>
        <v>0</v>
      </c>
      <c r="AB10" s="73" ph="1">
        <f>AB9*20.428*LOOKUP(AB11,密度!$A$2:$A$50,密度!$D$2:$D$50)</f>
        <v>57454.591633600008</v>
      </c>
      <c r="AC10" s="73" ph="1">
        <f>AC9*51.53*LOOKUP(AC11,密度!$A$2:$A$50,密度!$Q$2:$Q$50)</f>
        <v>176264.69391459998</v>
      </c>
      <c r="AD10" s="73" ph="1">
        <f>AD9*20.428*LOOKUP(AD11,密度!$A$2:$A$50,密度!$V$2:$V$50)</f>
        <v>75899.988863999999</v>
      </c>
      <c r="AE10" s="73" ph="1">
        <f>AE9*20.428</f>
        <v>116133.18000000001</v>
      </c>
    </row>
    <row r="11" spans="1:99" ph="1">
      <c r="A11" s="64" t="s" ph="1">
        <v>162</v>
      </c>
      <c r="B11" s="184" ph="1"/>
      <c r="C11" s="159" t="s" ph="1">
        <v>179</v>
      </c>
      <c r="D11" s="74">
        <v>30</v>
      </c>
      <c r="E11" s="74">
        <v>29</v>
      </c>
      <c r="F11" s="74">
        <v>30</v>
      </c>
      <c r="G11" s="74">
        <v>29</v>
      </c>
      <c r="H11" s="74">
        <v>28</v>
      </c>
      <c r="I11" s="74">
        <v>25</v>
      </c>
      <c r="J11" s="74">
        <v>25</v>
      </c>
      <c r="K11" s="74">
        <v>25</v>
      </c>
      <c r="L11" s="74">
        <v>25</v>
      </c>
      <c r="M11" s="74">
        <v>41</v>
      </c>
      <c r="N11" s="74">
        <v>35</v>
      </c>
      <c r="O11" s="74">
        <v>35</v>
      </c>
      <c r="P11" s="74">
        <v>30</v>
      </c>
      <c r="Q11" s="74">
        <v>33</v>
      </c>
      <c r="R11" s="74">
        <v>42</v>
      </c>
      <c r="S11" s="74">
        <v>31</v>
      </c>
      <c r="T11" s="74">
        <v>23</v>
      </c>
      <c r="U11" s="74">
        <v>28</v>
      </c>
      <c r="V11" s="74">
        <v>28</v>
      </c>
      <c r="W11" s="74">
        <v>28</v>
      </c>
      <c r="X11" s="74">
        <v>23</v>
      </c>
      <c r="Y11" s="74">
        <v>34</v>
      </c>
      <c r="Z11" s="74">
        <v>39</v>
      </c>
      <c r="AA11" s="74">
        <v>52</v>
      </c>
      <c r="AB11" s="74">
        <v>24</v>
      </c>
      <c r="AC11" s="74">
        <v>31</v>
      </c>
      <c r="AD11" s="74">
        <v>31</v>
      </c>
      <c r="AE11" s="74">
        <v>30</v>
      </c>
    </row>
    <row r="12" spans="1:99" ht="9.9" customHeight="1" ph="1"/>
    <row r="13" spans="1:99" s="72" customFormat="1" ht="29.25" customHeight="1" ph="1">
      <c r="B13" s="192" t="s" ph="1">
        <v>37</v>
      </c>
      <c r="C13" s="159" t="s" ph="1">
        <v>176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128</v>
      </c>
      <c r="I13" s="76" t="s" ph="1">
        <v>59</v>
      </c>
      <c r="J13" s="76" t="s" ph="1">
        <v>129</v>
      </c>
      <c r="K13" s="76" t="s" ph="1">
        <v>55</v>
      </c>
      <c r="L13" s="76" t="s" ph="1">
        <v>60</v>
      </c>
      <c r="M13" s="76" t="s" ph="1">
        <v>61</v>
      </c>
      <c r="N13" s="76" t="s" ph="1">
        <v>130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131</v>
      </c>
      <c r="W13" s="76" t="s" ph="1">
        <v>132</v>
      </c>
      <c r="X13" s="76" t="s" ph="1">
        <v>133</v>
      </c>
      <c r="Y13" s="105" t="s" ph="1">
        <v>68</v>
      </c>
      <c r="Z13" s="76" t="s" ph="1">
        <v>74</v>
      </c>
      <c r="AA13" s="76" t="s" ph="1">
        <v>134</v>
      </c>
      <c r="AB13" s="76" t="s" ph="1">
        <v>135</v>
      </c>
      <c r="AC13" s="76" t="s" ph="1">
        <v>136</v>
      </c>
      <c r="AD13" s="76" t="s" ph="1">
        <v>137</v>
      </c>
      <c r="AE13" s="76" t="s" ph="1">
        <v>138</v>
      </c>
      <c r="AG13" s="72" t="s" ph="1">
        <v>325</v>
      </c>
      <c r="AH13" s="72" t="s" ph="1">
        <v>188</v>
      </c>
      <c r="AI13" s="72" t="s" ph="1">
        <v>189</v>
      </c>
      <c r="AJ13" s="72" t="s" ph="1">
        <v>190</v>
      </c>
      <c r="AK13" s="72" t="s" ph="1">
        <v>191</v>
      </c>
      <c r="AL13" s="72" t="s" ph="1">
        <v>192</v>
      </c>
      <c r="AM13" s="72" t="s" ph="1">
        <v>193</v>
      </c>
      <c r="AN13" s="72" t="s" ph="1">
        <v>194</v>
      </c>
      <c r="AO13" s="72" t="s" ph="1">
        <v>195</v>
      </c>
      <c r="AP13" s="72" t="s" ph="1">
        <v>196</v>
      </c>
      <c r="AQ13" s="72" t="s" ph="1">
        <v>197</v>
      </c>
      <c r="AR13" s="72" t="s" ph="1">
        <v>198</v>
      </c>
      <c r="AS13" s="72" t="s" ph="1">
        <v>199</v>
      </c>
      <c r="AT13" s="72" t="s" ph="1">
        <v>200</v>
      </c>
      <c r="AU13" s="72" t="s" ph="1">
        <v>201</v>
      </c>
      <c r="AV13" s="72" t="s" ph="1">
        <v>202</v>
      </c>
      <c r="AW13" s="72" t="s" ph="1">
        <v>203</v>
      </c>
      <c r="AX13" s="72" t="s" ph="1">
        <v>204</v>
      </c>
      <c r="AY13" s="72" t="s" ph="1">
        <v>326</v>
      </c>
      <c r="AZ13" s="72" t="s" ph="1">
        <v>205</v>
      </c>
      <c r="BA13" s="72" t="s" ph="1">
        <v>206</v>
      </c>
      <c r="BB13" s="72" t="s" ph="1">
        <v>591</v>
      </c>
      <c r="BC13" s="72" t="s" ph="1">
        <v>207</v>
      </c>
      <c r="BD13" s="72" t="s" ph="1">
        <v>327</v>
      </c>
      <c r="BE13" s="72" t="s" ph="1">
        <v>328</v>
      </c>
      <c r="BF13" s="72" t="s" ph="1">
        <v>329</v>
      </c>
      <c r="BG13" s="72" t="s" ph="1">
        <v>330</v>
      </c>
      <c r="BH13" s="72" t="s" ph="1">
        <v>331</v>
      </c>
    </row>
    <row r="14" spans="1:99" s="72" customFormat="1" ht="24" ph="1">
      <c r="B14" s="193" ph="1"/>
      <c r="C14" s="67" t="s" ph="1">
        <v>36</v>
      </c>
      <c r="D14" s="77" t="s" ph="1">
        <v>616</v>
      </c>
      <c r="E14" s="77" t="s" ph="1">
        <v>616</v>
      </c>
      <c r="F14" s="144" t="s" ph="1">
        <v>636</v>
      </c>
      <c r="G14" s="77" t="s" ph="1">
        <v>617</v>
      </c>
      <c r="H14" s="77" t="s" ph="1">
        <v>637</v>
      </c>
      <c r="I14" s="138" t="s" ph="1">
        <v>618</v>
      </c>
      <c r="J14" s="77" t="s" ph="1">
        <v>619</v>
      </c>
      <c r="K14" s="77" t="s" ph="1">
        <v>186</v>
      </c>
      <c r="L14" s="77" t="s" ph="1">
        <v>41</v>
      </c>
      <c r="M14" s="104" t="s" ph="1">
        <v>620</v>
      </c>
      <c r="N14" s="104" t="s" ph="1">
        <v>621</v>
      </c>
      <c r="O14" s="104" t="s" ph="1">
        <v>641</v>
      </c>
      <c r="P14" s="77" t="s" ph="1">
        <v>622</v>
      </c>
      <c r="Q14" s="77" t="s" ph="1">
        <v>622</v>
      </c>
      <c r="R14" s="88" t="s" ph="1">
        <v>7</v>
      </c>
      <c r="S14" s="77" t="s" ph="1">
        <v>622</v>
      </c>
      <c r="T14" s="77" t="s" ph="1">
        <v>624</v>
      </c>
      <c r="U14" s="77" t="s" ph="1">
        <v>605</v>
      </c>
      <c r="V14" s="77" t="s" ph="1">
        <v>633</v>
      </c>
      <c r="W14" s="77" t="s" ph="1">
        <v>622</v>
      </c>
      <c r="X14" s="77" t="s" ph="1">
        <v>625</v>
      </c>
      <c r="Y14" s="143" t="s" ph="1">
        <v>0</v>
      </c>
      <c r="Z14" s="77" t="s" ph="1">
        <v>54</v>
      </c>
      <c r="AA14" s="77" t="s" ph="1">
        <v>613</v>
      </c>
      <c r="AB14" s="77" t="s" ph="1">
        <v>632</v>
      </c>
      <c r="AC14" s="77" t="s" ph="1">
        <v>632</v>
      </c>
      <c r="AD14" s="77" t="s" ph="1">
        <v>612</v>
      </c>
      <c r="AE14" s="77" t="s" ph="1">
        <v>612</v>
      </c>
      <c r="AG14" s="72" t="s" ph="1">
        <v>208</v>
      </c>
      <c r="AI14" s="72" t="s" ph="1">
        <v>209</v>
      </c>
      <c r="AJ14" s="72" t="s" ph="1">
        <v>332</v>
      </c>
      <c r="AK14" s="72" t="s" ph="1">
        <v>210</v>
      </c>
      <c r="AM14" s="72" t="s" ph="1">
        <v>212</v>
      </c>
      <c r="AN14" s="72" t="s" ph="1">
        <v>210</v>
      </c>
      <c r="AO14" s="72" t="s" ph="1">
        <v>211</v>
      </c>
      <c r="AP14" s="72" t="s" ph="1">
        <v>212</v>
      </c>
      <c r="AQ14" s="72" t="s" ph="1">
        <v>210</v>
      </c>
      <c r="AR14" s="72" t="s" ph="1">
        <v>211</v>
      </c>
      <c r="AS14" s="72" t="s" ph="1">
        <v>212</v>
      </c>
      <c r="AT14" s="72" t="s" ph="1">
        <v>210</v>
      </c>
      <c r="AU14" s="72" t="s" ph="1">
        <v>211</v>
      </c>
      <c r="AV14" s="72" t="s" ph="1">
        <v>212</v>
      </c>
      <c r="AW14" s="72" t="s" ph="1">
        <v>210</v>
      </c>
      <c r="AX14" s="72" t="s" ph="1">
        <v>211</v>
      </c>
      <c r="AY14" s="72" t="s" ph="1">
        <v>212</v>
      </c>
      <c r="AZ14" s="72" t="s" ph="1">
        <v>211</v>
      </c>
    </row>
    <row r="15" spans="1:99" ph="1">
      <c r="B15" s="194" ph="1">
        <v>0.33333333333333331</v>
      </c>
      <c r="C15" s="159" t="s" ph="1">
        <v>177</v>
      </c>
      <c r="D15" s="78">
        <v>4342</v>
      </c>
      <c r="E15" s="78">
        <v>154</v>
      </c>
      <c r="F15" s="78">
        <v>1262</v>
      </c>
      <c r="G15" s="78">
        <v>2243</v>
      </c>
      <c r="H15" s="78">
        <v>2028</v>
      </c>
      <c r="I15" s="78">
        <v>5382</v>
      </c>
      <c r="J15" s="78">
        <v>4010</v>
      </c>
      <c r="K15" s="78">
        <v>2276</v>
      </c>
      <c r="L15" s="78">
        <v>3435</v>
      </c>
      <c r="M15" s="78">
        <v>6998</v>
      </c>
      <c r="N15" s="78">
        <v>739</v>
      </c>
      <c r="O15" s="78">
        <v>2696</v>
      </c>
      <c r="P15" s="78">
        <v>1962</v>
      </c>
      <c r="Q15" s="78">
        <v>747</v>
      </c>
      <c r="R15" s="78">
        <v>1946</v>
      </c>
      <c r="S15" s="78">
        <v>189</v>
      </c>
      <c r="T15" s="78">
        <v>1333</v>
      </c>
      <c r="U15" s="78">
        <v>6696</v>
      </c>
      <c r="V15" s="78">
        <v>-817</v>
      </c>
      <c r="W15" s="71">
        <v>-770</v>
      </c>
      <c r="X15" s="78">
        <v>1331</v>
      </c>
      <c r="Y15" s="106">
        <v>-2367</v>
      </c>
      <c r="Z15" s="78">
        <v>1711</v>
      </c>
      <c r="AA15" s="78">
        <v>2562</v>
      </c>
      <c r="AB15" s="78" ph="1">
        <v>689</v>
      </c>
      <c r="AC15" s="78" ph="1">
        <v>497</v>
      </c>
      <c r="AD15" s="78">
        <v>5.82</v>
      </c>
      <c r="AE15" s="78">
        <v>28.17</v>
      </c>
      <c r="AG15" s="64" t="s" ph="1">
        <v>214</v>
      </c>
      <c r="AH15" s="64" ph="1">
        <v>1</v>
      </c>
      <c r="AI15" s="64" t="s" ph="1">
        <v>333</v>
      </c>
      <c r="AK15" s="64" t="s" ph="1">
        <v>587</v>
      </c>
      <c r="AM15" s="64" t="s" ph="1">
        <v>335</v>
      </c>
      <c r="AZ15" s="64" t="s" ph="1">
        <v>216</v>
      </c>
      <c r="BA15" s="64" ph="1">
        <v>0</v>
      </c>
    </row>
    <row r="16" spans="1:99" s="72" customFormat="1" ht="22.2" ph="1">
      <c r="B16" s="195" ph="1"/>
      <c r="C16" s="159" t="s" ph="1">
        <v>178</v>
      </c>
      <c r="D16" s="73" ph="1">
        <f>D15*7.0686*LOOKUP(D17,密度!$A$2:$A$50,密度!$L$2:$L$50)</f>
        <v>28666.198360800001</v>
      </c>
      <c r="E16" s="73" ph="1">
        <f>E15*7.0686*LOOKUP(E17,密度!$A$2:$A$50,密度!$L$2:$L$50)</f>
        <v>1016.7191496</v>
      </c>
      <c r="F16" s="73" ph="1">
        <f>F15*9.0746*LOOKUP(F17,密度!$A$2:$A$50,密度!$L$2:$L$50)</f>
        <v>10650.495036000002</v>
      </c>
      <c r="G16" s="73" ph="1">
        <f>G15*9.0746*LOOKUP(G17,密度!$A$2:$A$50,密度!$B$2:$B$50)</f>
        <v>15849.915057859998</v>
      </c>
      <c r="H16" s="73" ph="1">
        <f>H15*9.0746*LOOKUP(H17,密度!$A$2:$A$50,密度!$L$2:$L$50)</f>
        <v>17299.091472</v>
      </c>
      <c r="I16" s="73" ph="1">
        <f>I15*9.0746*LOOKUP(I17,密度!$A$2:$A$50,密度!$U$2:$U$50)</f>
        <v>49962.805635599994</v>
      </c>
      <c r="J16" s="73" ph="1">
        <f>J15*9.0746*LOOKUP(J17,密度!$A$2:$A$50,密度!$L$2:$L$50)</f>
        <v>33951.073218000005</v>
      </c>
      <c r="K16" s="73" ph="1">
        <f>K15*9.0746*LOOKUP(K17,密度!$A$2:$A$50,密度!$C$2:$C$50)</f>
        <v>22855.48357136</v>
      </c>
      <c r="L16" s="73" ph="1">
        <f>L15*9.0746*LOOKUP(L17,密度!$A$2:$A$50,密度!$E$2:$E$50)</f>
        <v>24238.764777599998</v>
      </c>
      <c r="M16" s="73" ph="1">
        <f>M15*9.0746*LOOKUP(M17,密度!$A$2:$A$50,密度!$M$2:$M$50)</f>
        <v>55312.0282468</v>
      </c>
      <c r="N16" s="73" ph="1">
        <f>N15*9.0746*LOOKUP(N17,密度!$A$2:$A$50,密度!$M$2:$M$50)</f>
        <v>5861.8277085399995</v>
      </c>
      <c r="O16" s="73" ph="1">
        <f>O15*9.0746*LOOKUP(O17,密度!$A$2:$A$50,密度!$G$2:$G$50)</f>
        <v>23413.121371200003</v>
      </c>
      <c r="P16" s="73" ph="1">
        <f ca="1">P15*9.0746*LOOKUP(P17,密度!$A$2:$A$51,密度!$Q$2:$Q$50)</f>
        <v>16856.104709448002</v>
      </c>
      <c r="Q16" s="73" ph="1">
        <f>Q15*9.0746*LOOKUP(Q17,密度!$A$2:$A$50,密度!$Q$2:$Q$50)</f>
        <v>6403.3203430439999</v>
      </c>
      <c r="R16" s="73" ph="1">
        <f>MAX(R15*9.0746*LOOKUP(R17,密度!$A$2:$A$50,密度!$B$2:$B$50),0)</f>
        <v>13721.176333200001</v>
      </c>
      <c r="S16" s="73" ph="1">
        <f>S15*9.0746*LOOKUP(S17,密度!$A$2:$A$50,密度!$Q$2:$Q$50)</f>
        <v>1620.1171952280001</v>
      </c>
      <c r="T16" s="73" ph="1">
        <f>T15*9.0746*LOOKUP(T17,密度!$A$2:$A$50,密度!$O$2:$O$50)</f>
        <v>11201.3051068</v>
      </c>
      <c r="U16" s="73" ph="1">
        <f>U15*9.0746*LOOKUP(U17,密度!$A$2:$A$50,密度!$H$2:$H$50)</f>
        <v>55471.01886864</v>
      </c>
      <c r="V16" s="73" ph="1">
        <f>MAX(5600*LOOKUP(V17,密度!$A$2:$A$50,密度!$Q$2:$Q$50)+V15*9.0476*LOOKUP(V17,密度!$A$2:$A$50,密度!$Q$2:$Q$50),0)</f>
        <v>0</v>
      </c>
      <c r="W16" s="73" ph="1">
        <f>MAX(5600*LOOKUP(W17,密度!$A$2:$A$50,密度!$Q$2:$Q$50)+W15*9.0476*LOOKUP(W17,密度!$A$2:$A$50,密度!$Q$2:$Q$50),0)</f>
        <v>0</v>
      </c>
      <c r="X16" s="73" ph="1">
        <f>MAX(5600*LOOKUP(X17,密度!$A$2:$A$50,密度!$I$2:$I$50)+X15*9.0476*LOOKUP(X17,密度!$A$2:$A$50,密度!$I$2:$I$50),0)</f>
        <v>18309.23664168</v>
      </c>
      <c r="Y16" s="107" ph="1">
        <v>0</v>
      </c>
      <c r="Z16" s="73" ph="1">
        <f>Z15*9.0746*LOOKUP(Z17,密度!$A$2:$A$50,密度!$D$2:$D$50)</f>
        <v>15897.72731034</v>
      </c>
      <c r="AA16" s="73" ph="1">
        <f>AA15*9.0746*LOOKUP(AA17,密度!$A$2:$A$50,密度!$B$2:$B$50)</f>
        <v>18104.093793240001</v>
      </c>
      <c r="AB16" s="73" ph="1">
        <f>AB15*9.0746*LOOKUP(AB17,密度!$A$2:$A$50,密度!$L$2:$L$50)</f>
        <v>5833.4886402000002</v>
      </c>
      <c r="AC16" s="73" ph="1">
        <f>AC15*9.0746*LOOKUP(AC17,密度!$A$2:$A$50,密度!$L$2:$L$50)</f>
        <v>4212.4111708000009</v>
      </c>
      <c r="AD16" s="73" ph="1">
        <f>AD15*268.68*LOOKUP(AD17,密度!$A$2:$A$50,密度!B2:B50)+IF(AD15&lt;=0,0,1566*LOOKUP(AD17,密度!$A$2:$A$50,密度!B2:B50))</f>
        <v>2439.9278409600001</v>
      </c>
      <c r="AE16" s="73" ph="1">
        <f>AE15*268.68*LOOKUP(AE17,密度!$A$2:$A$50,密度!B2:B50)+IF(AE15&lt;=0,0,1566*LOOKUP(AE17,密度!$A$2:$A$50,密度!B2:B50))</f>
        <v>7121.4242817600007</v>
      </c>
      <c r="AH16" s="72" ph="1">
        <v>2</v>
      </c>
      <c r="AI16" s="72" t="s" ph="1">
        <v>337</v>
      </c>
      <c r="AZ16" s="72" t="s" ph="1">
        <v>216</v>
      </c>
      <c r="BA16" s="72" ph="1">
        <v>0</v>
      </c>
    </row>
    <row r="17" spans="1:57" ph="1">
      <c r="A17" s="64" t="s" ph="1">
        <v>73</v>
      </c>
      <c r="B17" s="196" ph="1"/>
      <c r="C17" s="79" t="s" ph="1">
        <v>179</v>
      </c>
      <c r="D17" s="74">
        <v>28</v>
      </c>
      <c r="E17" s="74">
        <v>28</v>
      </c>
      <c r="F17" s="74">
        <v>32</v>
      </c>
      <c r="G17" s="74">
        <v>26</v>
      </c>
      <c r="H17" s="74">
        <v>22</v>
      </c>
      <c r="I17" s="74">
        <v>27</v>
      </c>
      <c r="J17" s="74">
        <v>29</v>
      </c>
      <c r="K17" s="74">
        <v>28</v>
      </c>
      <c r="L17" s="74">
        <v>30</v>
      </c>
      <c r="M17" s="74">
        <v>29</v>
      </c>
      <c r="N17" s="74">
        <v>26</v>
      </c>
      <c r="O17" s="74">
        <v>28</v>
      </c>
      <c r="P17" s="74">
        <v>25</v>
      </c>
      <c r="Q17" s="74">
        <v>28</v>
      </c>
      <c r="R17" s="74">
        <v>28</v>
      </c>
      <c r="S17" s="74">
        <v>28</v>
      </c>
      <c r="T17" s="74">
        <v>28</v>
      </c>
      <c r="U17" s="74">
        <v>27</v>
      </c>
      <c r="V17" s="74">
        <v>33</v>
      </c>
      <c r="W17" s="74">
        <v>30</v>
      </c>
      <c r="X17" s="74">
        <v>29</v>
      </c>
      <c r="Y17" s="108">
        <v>29</v>
      </c>
      <c r="Z17" s="74">
        <v>28</v>
      </c>
      <c r="AA17" s="74">
        <v>26</v>
      </c>
      <c r="AB17" s="74">
        <v>29</v>
      </c>
      <c r="AC17" s="74">
        <v>28</v>
      </c>
      <c r="AD17" s="74">
        <v>25</v>
      </c>
      <c r="AE17" s="74">
        <v>25</v>
      </c>
      <c r="AH17" s="64" ph="1">
        <v>3</v>
      </c>
      <c r="AI17" s="64" t="s" ph="1">
        <v>338</v>
      </c>
      <c r="AK17" s="64" t="s" ph="1">
        <v>570</v>
      </c>
      <c r="AL17" s="64" ph="1">
        <v>80</v>
      </c>
      <c r="AM17" s="64" t="s" ph="1">
        <v>335</v>
      </c>
      <c r="AZ17" s="64" t="s" ph="1">
        <v>216</v>
      </c>
      <c r="BA17" s="64" ph="1">
        <v>80</v>
      </c>
      <c r="BD17" s="64" t="s" ph="1">
        <v>214</v>
      </c>
      <c r="BE17" s="64" ph="1">
        <v>2270</v>
      </c>
    </row>
    <row r="18" spans="1:57" ht="26.4" ph="1">
      <c r="B18" s="194" ph="1">
        <v>0.66666666666666663</v>
      </c>
      <c r="C18" s="79" t="s" ph="1">
        <v>180</v>
      </c>
      <c r="D18" s="71">
        <v>3428</v>
      </c>
      <c r="E18" s="71">
        <v>57</v>
      </c>
      <c r="F18" s="71">
        <v>1264</v>
      </c>
      <c r="G18" s="71">
        <v>2421</v>
      </c>
      <c r="H18" s="71">
        <v>2031</v>
      </c>
      <c r="I18" s="71">
        <v>5389</v>
      </c>
      <c r="J18" s="71">
        <v>4017</v>
      </c>
      <c r="K18" s="71">
        <v>2278</v>
      </c>
      <c r="L18" s="71">
        <v>2094</v>
      </c>
      <c r="M18" s="71">
        <v>4050</v>
      </c>
      <c r="N18" s="71">
        <v>2331</v>
      </c>
      <c r="O18" s="71">
        <v>2700</v>
      </c>
      <c r="P18" s="71">
        <v>1965</v>
      </c>
      <c r="Q18" s="71">
        <v>746</v>
      </c>
      <c r="R18" s="71">
        <v>1949</v>
      </c>
      <c r="S18" s="71">
        <v>191</v>
      </c>
      <c r="T18" s="71">
        <v>819</v>
      </c>
      <c r="U18" s="71">
        <v>6704</v>
      </c>
      <c r="V18" s="71">
        <v>-817</v>
      </c>
      <c r="W18" s="71">
        <v>-758</v>
      </c>
      <c r="X18" s="71">
        <v>1331</v>
      </c>
      <c r="Y18" s="109">
        <v>-9909</v>
      </c>
      <c r="Z18" s="71">
        <v>1711</v>
      </c>
      <c r="AA18" s="71">
        <v>2565</v>
      </c>
      <c r="AB18" s="71">
        <v>689</v>
      </c>
      <c r="AC18" s="71">
        <v>497</v>
      </c>
      <c r="AD18" s="71">
        <v>5.74</v>
      </c>
      <c r="AE18" s="71">
        <v>82.48</v>
      </c>
      <c r="AH18" s="64" ph="1">
        <v>4</v>
      </c>
      <c r="AI18" s="64" t="s" ph="1">
        <v>340</v>
      </c>
      <c r="AJ18" s="64" t="s" ph="1">
        <v>588</v>
      </c>
      <c r="AK18" s="64" t="s" ph="1">
        <v>587</v>
      </c>
      <c r="AL18" s="64" ph="1">
        <v>740</v>
      </c>
      <c r="AM18" s="64" t="s" ph="1">
        <v>339</v>
      </c>
      <c r="AZ18" s="64" t="s" ph="1">
        <v>216</v>
      </c>
      <c r="BA18" s="64" ph="1">
        <v>740</v>
      </c>
    </row>
    <row r="19" spans="1:57" s="72" customFormat="1" ht="22.2" ph="1">
      <c r="B19" s="195" ph="1"/>
      <c r="C19" s="159" t="s" ph="1">
        <v>178</v>
      </c>
      <c r="D19" s="73" ph="1">
        <f>D18*7.0686*LOOKUP(D20,密度!$A$2:$A$50,密度!$L$2:$L$50)</f>
        <v>22462.286061600003</v>
      </c>
      <c r="E19" s="73" ph="1">
        <f>E18*7.0686*LOOKUP(E20,密度!$A$2:$A$50,密度!$L$2:$L$50)</f>
        <v>373.49775540000002</v>
      </c>
      <c r="F19" s="73" ph="1">
        <f>F18*9.0746*LOOKUP(F20,密度!$A$2:$A$50,密度!$L$2:$L$50)</f>
        <v>10632.962908800002</v>
      </c>
      <c r="G19" s="73" ph="1">
        <f>G18*9.0746*LOOKUP(G20,密度!$A$2:$A$50,密度!$B$2:$B$50)</f>
        <v>17052.808642920001</v>
      </c>
      <c r="H19" s="73" ph="1">
        <f>H18*9.0746*LOOKUP(H20,密度!$A$2:$A$50,密度!$L$2:$L$50)</f>
        <v>17232.529281000003</v>
      </c>
      <c r="I19" s="73" ph="1">
        <f>I18*9.0746*LOOKUP(I20,密度!$A$2:$A$50,密度!$U$2:$U$50)</f>
        <v>49440.952613399997</v>
      </c>
      <c r="J19" s="73" ph="1">
        <f>J18*9.0746*LOOKUP(J20,密度!$A$2:$A$50,密度!$L$2:$L$50)</f>
        <v>33791.6234214</v>
      </c>
      <c r="K19" s="73" ph="1">
        <f>K18*9.0746*LOOKUP(K20,密度!$A$2:$A$50,密度!$C$2:$C$50)</f>
        <v>22844.559567879998</v>
      </c>
      <c r="L19" s="73" ph="1">
        <f>L18*9.0746*LOOKUP(L20,密度!$A$2:$A$50,密度!$E$2:$E$50)</f>
        <v>14754.26781798</v>
      </c>
      <c r="M19" s="73" ph="1">
        <f>M18*9.0746*LOOKUP(M20,密度!$A$2:$A$50,密度!$M$2:$M$50)</f>
        <v>31817.053983599999</v>
      </c>
      <c r="N19" s="73" ph="1">
        <f>N18*9.0746*LOOKUP(N20,密度!$A$2:$A$50,密度!$M$2:$M$50)</f>
        <v>18445.322347199999</v>
      </c>
      <c r="O19" s="73" ph="1">
        <f>O18*9.0746*LOOKUP(O20,密度!$A$2:$A$50,密度!$G$2:$G$50)</f>
        <v>23341.032748800004</v>
      </c>
      <c r="P19" s="73" ph="1">
        <f ca="1">P18*9.0746*LOOKUP(P20,密度!$A$2:$A$51,密度!$Q$2:$Q$50)</f>
        <v>16831.77180477</v>
      </c>
      <c r="Q19" s="73" ph="1">
        <f>Q18*9.0746*LOOKUP(Q20,密度!$A$2:$A$50,密度!$Q$2:$Q$50)</f>
        <v>6363.0663249039999</v>
      </c>
      <c r="R19" s="73" ph="1">
        <f>MAX(R18*9.0746*LOOKUP(R20,密度!$A$2:$A$50,密度!$B$2:$B$50),0)</f>
        <v>13712.262353620001</v>
      </c>
      <c r="S19" s="73" ph="1">
        <f>S18*9.0746*LOOKUP(S20,密度!$A$2:$A$50,密度!$Q$2:$Q$50)</f>
        <v>1630.2763006740001</v>
      </c>
      <c r="T19" s="73" ph="1">
        <f>T18*9.0746*LOOKUP(T20,密度!$A$2:$A$50,密度!$O$2:$O$50)</f>
        <v>6840.5024469600003</v>
      </c>
      <c r="U19" s="73" ph="1">
        <f>U18*9.0746*LOOKUP(U20,密度!$A$2:$A$50,密度!$H$2:$H$50)</f>
        <v>55360.867744000003</v>
      </c>
      <c r="V19" s="73" ph="1">
        <f>MAX(5600*LOOKUP(V20,密度!$A$2:$A$50,密度!$Q$2:$Q$50)+V18*9.0476*LOOKUP(V20,密度!$A$2:$A$50,密度!$Q$2:$Q$50),0)</f>
        <v>0</v>
      </c>
      <c r="W19" s="73" ph="1">
        <f>MAX(5600*LOOKUP(W20,密度!$A$2:$A$50,密度!$Q$2:$Q$50)+W18*9.0476*LOOKUP(W20,密度!$A$2:$A$50,密度!$Q$2:$Q$50),0)</f>
        <v>0</v>
      </c>
      <c r="X19" s="73" ph="1">
        <f>MAX(5600*LOOKUP(X20,密度!$A$2:$A$50,密度!$I$2:$I$50)+X18*9.0476*LOOKUP(X20,密度!$A$2:$A$50,密度!$I$2:$I$50),0)</f>
        <v>18251.016868199997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15882.200669739999</v>
      </c>
      <c r="AA19" s="73" ph="1">
        <f>AA18*9.0746*LOOKUP(AA20,密度!$A$2:$A$50,密度!$B$2:$B$50)</f>
        <v>18085.723173000002</v>
      </c>
      <c r="AB19" s="73" ph="1">
        <f>AB18*9.0746*LOOKUP(AB20,密度!$A$2:$A$50,密度!$L$2:$L$50)</f>
        <v>5802.2266432000006</v>
      </c>
      <c r="AC19" s="73" ph="1">
        <f>AC18*9.0746*LOOKUP(AC20,密度!$A$2:$A$50,密度!$L$2:$L$50)</f>
        <v>4185.3507136000007</v>
      </c>
      <c r="AD19" s="73" ph="1">
        <f>AD18*268.68*LOOKUP(AD20,密度!$A$2:$A$50,密度!B5:B53)+IF(AD18&lt;=0,0,1566*LOOKUP(AD20,密度!$A$2:$A$50,密度!B5:B53))</f>
        <v>2415.0894263999999</v>
      </c>
      <c r="AE19" s="73" ph="1">
        <f>AE18*268.68*LOOKUP(AE20,密度!$A$2:$A$50,密度!B5:B53)+IF(AE18&lt;=0,0,1566*LOOKUP(AE20,密度!$A$2:$A$50,密度!B5:B53))</f>
        <v>18435.666412800001</v>
      </c>
      <c r="AH19" s="72" ph="1">
        <v>5</v>
      </c>
      <c r="AI19" s="72" t="s" ph="1">
        <v>341</v>
      </c>
      <c r="AZ19" s="72" t="s" ph="1">
        <v>216</v>
      </c>
      <c r="BA19" s="72" ph="1">
        <v>0</v>
      </c>
      <c r="BD19" s="72" t="s" ph="1">
        <v>342</v>
      </c>
      <c r="BE19" s="72" ph="1">
        <v>1440</v>
      </c>
    </row>
    <row r="20" spans="1:57" ph="1">
      <c r="A20" s="72" ph="1"/>
      <c r="B20" s="195" ph="1"/>
      <c r="C20" s="80" t="s" ph="1">
        <v>179</v>
      </c>
      <c r="D20" s="81">
        <v>35</v>
      </c>
      <c r="E20" s="81">
        <v>35</v>
      </c>
      <c r="F20" s="81">
        <v>35</v>
      </c>
      <c r="G20" s="81">
        <v>29</v>
      </c>
      <c r="H20" s="81">
        <v>27</v>
      </c>
      <c r="I20" s="81">
        <v>40</v>
      </c>
      <c r="J20" s="81">
        <v>35</v>
      </c>
      <c r="K20" s="81">
        <v>30</v>
      </c>
      <c r="L20" s="81">
        <v>31</v>
      </c>
      <c r="M20" s="81">
        <v>34</v>
      </c>
      <c r="N20" s="81">
        <v>28</v>
      </c>
      <c r="O20" s="81">
        <v>32</v>
      </c>
      <c r="P20" s="81">
        <v>29</v>
      </c>
      <c r="Q20" s="81">
        <v>35</v>
      </c>
      <c r="R20" s="81">
        <v>30</v>
      </c>
      <c r="S20" s="81">
        <v>34</v>
      </c>
      <c r="T20" s="81">
        <v>34</v>
      </c>
      <c r="U20" s="81">
        <v>30</v>
      </c>
      <c r="V20" s="81">
        <v>37</v>
      </c>
      <c r="W20" s="81">
        <v>34</v>
      </c>
      <c r="X20" s="81">
        <v>32</v>
      </c>
      <c r="Y20" s="110">
        <v>32</v>
      </c>
      <c r="Z20" s="81">
        <v>29</v>
      </c>
      <c r="AA20" s="81">
        <v>28</v>
      </c>
      <c r="AB20" s="81">
        <v>34</v>
      </c>
      <c r="AC20" s="81">
        <v>34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343</v>
      </c>
      <c r="AZ20" s="64" t="s" ph="1">
        <v>216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344</v>
      </c>
      <c r="AZ21" s="64" t="s" ph="1">
        <v>216</v>
      </c>
      <c r="BA21" s="64" ph="1">
        <v>0</v>
      </c>
      <c r="BD21" s="64" t="s" ph="1">
        <v>232</v>
      </c>
      <c r="BE21" s="64" ph="1">
        <v>730</v>
      </c>
    </row>
    <row r="22" spans="1:57" ph="1">
      <c r="A22" s="72" ph="1"/>
      <c r="B22" s="193" t="s" ph="1">
        <v>37</v>
      </c>
      <c r="C22" s="85" t="s" ph="1">
        <v>176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172" t="s" ph="1">
        <v>69</v>
      </c>
      <c r="AA22" s="173"/>
      <c r="AB22" s="173"/>
      <c r="AC22" s="173"/>
      <c r="AD22" s="173"/>
      <c r="AE22" s="174"/>
      <c r="AH22" s="64" ph="1">
        <v>8</v>
      </c>
      <c r="AI22" s="64" t="s" ph="1">
        <v>345</v>
      </c>
      <c r="AZ22" s="64" t="s" ph="1">
        <v>216</v>
      </c>
      <c r="BA22" s="64" ph="1">
        <v>0</v>
      </c>
    </row>
    <row r="23" spans="1:57" ph="1">
      <c r="A23" s="72" ph="1"/>
      <c r="B23" s="188" ph="1"/>
      <c r="C23" s="67" t="s" ph="1">
        <v>36</v>
      </c>
      <c r="D23" s="88" t="s" ph="1">
        <v>109</v>
      </c>
      <c r="E23" s="88" t="s" ph="1">
        <v>107</v>
      </c>
      <c r="F23" s="88" t="s" ph="1">
        <v>109</v>
      </c>
      <c r="G23" s="88" t="s" ph="1">
        <v>626</v>
      </c>
      <c r="H23" s="88" t="s" ph="1">
        <v>626</v>
      </c>
      <c r="I23" s="88" t="s" ph="1">
        <v>627</v>
      </c>
      <c r="J23" s="88" t="s" ph="1">
        <v>628</v>
      </c>
      <c r="K23" s="88" t="s" ph="1">
        <v>628</v>
      </c>
      <c r="L23" s="88" t="s" ph="1">
        <v>628</v>
      </c>
      <c r="M23" s="88" t="s" ph="1">
        <v>623</v>
      </c>
      <c r="N23" s="88" t="s" ph="1">
        <v>623</v>
      </c>
      <c r="O23" s="88" t="s" ph="1">
        <v>318</v>
      </c>
      <c r="P23" s="88" t="s" ph="1">
        <v>629</v>
      </c>
      <c r="Q23" s="89" t="s" ph="1">
        <v>629</v>
      </c>
      <c r="R23" s="88" t="s" ph="1">
        <v>610</v>
      </c>
      <c r="S23" s="88" t="s" ph="1">
        <v>629</v>
      </c>
      <c r="T23" s="88" t="s" ph="1">
        <v>604</v>
      </c>
      <c r="U23" s="104" t="s" ph="1">
        <v>606</v>
      </c>
      <c r="V23" s="88" t="s" ph="1">
        <v>629</v>
      </c>
      <c r="W23" s="88" t="s" ph="1">
        <v>629</v>
      </c>
      <c r="X23" s="88" t="s" ph="1">
        <v>187</v>
      </c>
      <c r="Y23" s="88" t="s" ph="1">
        <v>630</v>
      </c>
      <c r="Z23" s="175" t="s" ph="1">
        <v>638</v>
      </c>
      <c r="AA23" s="176"/>
      <c r="AB23" s="176"/>
      <c r="AC23" s="176"/>
      <c r="AD23" s="176"/>
      <c r="AE23" s="177"/>
      <c r="AH23" s="64" ph="1">
        <v>9</v>
      </c>
      <c r="AI23" s="64" t="s" ph="1">
        <v>346</v>
      </c>
      <c r="AZ23" s="64" t="s" ph="1">
        <v>216</v>
      </c>
      <c r="BA23" s="64" ph="1">
        <v>0</v>
      </c>
      <c r="BD23" s="64" t="s" ph="1">
        <v>238</v>
      </c>
      <c r="BE23" s="64" ph="1">
        <v>890</v>
      </c>
    </row>
    <row r="24" spans="1:57" ph="1">
      <c r="A24" s="72" ph="1"/>
      <c r="B24" s="184" ph="1">
        <v>0.33333333333333331</v>
      </c>
      <c r="C24" s="159" t="s" ph="1">
        <v>177</v>
      </c>
      <c r="D24" s="71">
        <v>52.81</v>
      </c>
      <c r="E24" s="71">
        <v>5.26</v>
      </c>
      <c r="F24" s="71">
        <v>2154</v>
      </c>
      <c r="G24" s="71">
        <v>3765</v>
      </c>
      <c r="H24" s="71">
        <v>3895</v>
      </c>
      <c r="I24" s="71">
        <v>1459</v>
      </c>
      <c r="J24" s="71">
        <v>192</v>
      </c>
      <c r="K24" s="71">
        <v>1717</v>
      </c>
      <c r="L24" s="71">
        <v>1657</v>
      </c>
      <c r="M24" s="71">
        <v>322</v>
      </c>
      <c r="N24" s="71">
        <v>317</v>
      </c>
      <c r="O24" s="71">
        <v>1475</v>
      </c>
      <c r="P24" s="71">
        <v>1122</v>
      </c>
      <c r="Q24" s="90">
        <v>4215</v>
      </c>
      <c r="R24" s="71">
        <v>5628</v>
      </c>
      <c r="S24" s="71">
        <v>297</v>
      </c>
      <c r="T24" s="71">
        <v>355</v>
      </c>
      <c r="U24" s="71">
        <v>4925</v>
      </c>
      <c r="V24" s="71">
        <v>1014</v>
      </c>
      <c r="W24" s="71">
        <v>402</v>
      </c>
      <c r="X24" s="71">
        <v>5639</v>
      </c>
      <c r="Y24" s="71">
        <v>6446</v>
      </c>
      <c r="Z24" s="178"/>
      <c r="AA24" s="179"/>
      <c r="AB24" s="179"/>
      <c r="AC24" s="179"/>
      <c r="AD24" s="179"/>
      <c r="AE24" s="180"/>
      <c r="AH24" s="64" ph="1">
        <v>10</v>
      </c>
      <c r="AI24" s="64" t="s" ph="1">
        <v>347</v>
      </c>
      <c r="AZ24" s="64" t="s" ph="1">
        <v>216</v>
      </c>
      <c r="BA24" s="64" ph="1">
        <v>0</v>
      </c>
    </row>
    <row r="25" spans="1:57" ph="1">
      <c r="A25" s="72" ph="1"/>
      <c r="B25" s="184" ph="1"/>
      <c r="C25" s="68" t="s" ph="1">
        <v>178</v>
      </c>
      <c r="D25" s="91" ph="1">
        <f>D24*268.68*LOOKUP(D26,密度!$A$2:$A$50,密度!$Q$2:$Q$50)+IF(D24&lt;=0,0,1566*LOOKUP(D26,密度!$A$2:$A$50,密度!$Q$2:$Q$50))</f>
        <v>14915.879989992001</v>
      </c>
      <c r="E25" s="91" ph="1">
        <f>E24*268.68*LOOKUP(E26,密度!$A$2:$A$50,密度!$C$2:$C$50)+IF(E24&lt;=0,0,1566*LOOKUP(E26,密度!$A$2:$A$50,密度!$C$2:$C$50))</f>
        <v>3303.6978655200001</v>
      </c>
      <c r="F25" s="91" ph="1">
        <f>F24*11.702*LOOKUP(F26,密度!$A$2:$A$50,密度!$Q$2:$Q$50)</f>
        <v>23845.73435124</v>
      </c>
      <c r="G25" s="91" ph="1">
        <f>G24*18.322*LOOKUP(G26,密度!$A$2:$A$50,密度!$B$2:$B$50)</f>
        <v>53599.270410000005</v>
      </c>
      <c r="H25" s="91" ph="1">
        <f>H24*18.322*LOOKUP(H26,密度!$A$2:$A$50,密度!$B$2:$B$50)</f>
        <v>55392.884278000005</v>
      </c>
      <c r="I25" s="91" ph="1">
        <f>I24*18.322*LOOKUP(I26,密度!$A$2:$A$50,密度!$Q$2:$Q$50)</f>
        <v>25308.062438519999</v>
      </c>
      <c r="J25" s="91" ph="1">
        <f>J24*18.322*LOOKUP(J26,密度!$A$2:$A$50,密度!$Q$2:$Q$50)</f>
        <v>3325.4693836799997</v>
      </c>
      <c r="K25" s="91" ph="1">
        <f>K24*18.322*LOOKUP(K26,密度!$A$2:$A$50,密度!$Q$2:$Q$50)</f>
        <v>29676.099610419998</v>
      </c>
      <c r="L25" s="91" ph="1">
        <f>L24*18.322*LOOKUP(L26,密度!$A$2:$A$50,密度!$Q$2:$Q$50)</f>
        <v>28742.604153960001</v>
      </c>
      <c r="M25" s="91" ph="1">
        <f>M24*18.322*LOOKUP(M26,密度!$A$2:$A$50,密度!$Q$2:$Q$50)</f>
        <v>5581.2780545199994</v>
      </c>
      <c r="N25" s="91" ph="1">
        <f>N24*18.322*LOOKUP(N26,密度!$A$2:$A$50,密度!$Q$2:$Q$50)</f>
        <v>5507.2157668</v>
      </c>
      <c r="O25" s="91" ph="1">
        <f>O24*18.322*LOOKUP(O26,密度!$A$2:$A$50,密度!$C$2:$C$50)</f>
        <v>30008.50448</v>
      </c>
      <c r="P25" s="91" ph="1">
        <f>P24*11.702*LOOKUP(P26,密度!$A$2:$A$50,密度!$B$2:$B$50)</f>
        <v>10213.550067600001</v>
      </c>
      <c r="Q25" s="92" ph="1">
        <f>Q24*18.322*LOOKUP(Q26,密度!$A$2:$A$50,密度!$B$2:$B$50)</f>
        <v>60075.062216999999</v>
      </c>
      <c r="R25" s="91" ph="1">
        <f>R24*35.891*LOOKUP(R26,密度!$A$2:$A$50,密度!$C$2:$C$50)</f>
        <v>223527.16681679999</v>
      </c>
      <c r="S25" s="91" ph="1">
        <f>S24*35.891*LOOKUP(S26,密度!$A$2:$A$50,密度!$B$2:$B$50)</f>
        <v>8282.5301789999994</v>
      </c>
      <c r="T25" s="91" ph="1">
        <f>T24*35.891*LOOKUP(T26,密度!$A$2:$A$50,密度!$Q$2:$Q$50)</f>
        <v>12035.691529099999</v>
      </c>
      <c r="U25" s="91" ph="1">
        <f>U24*35.891</f>
        <v>176763.17499999999</v>
      </c>
      <c r="V25" s="91" ph="1">
        <f>V24*47.051*LOOKUP(V26,密度!$A$2:$A$50,密度!$B$2:$B$50)</f>
        <v>37409.186747400003</v>
      </c>
      <c r="W25" s="91" ph="1">
        <f>W24*47.051*LOOKUP(W26,密度!$A$2:$A$50,密度!$B$2:$B$50)</f>
        <v>14762.768811</v>
      </c>
      <c r="X25" s="91" ph="1">
        <f>X24*47.051*LOOKUP(X26,密度!$A$2:$A$61,密度!$I$2:$I$61)</f>
        <v>276543.64991470001</v>
      </c>
      <c r="Y25" s="91" ph="1">
        <f>Y24*47.051*LOOKUP(Y26,密度!$A$2:$A$50,密度!$L$2:$L$50)</f>
        <v>282666.97527200001</v>
      </c>
      <c r="Z25" s="178"/>
      <c r="AA25" s="179"/>
      <c r="AB25" s="179"/>
      <c r="AC25" s="179"/>
      <c r="AD25" s="179"/>
      <c r="AE25" s="180"/>
      <c r="AH25" s="64" ph="1">
        <v>11</v>
      </c>
      <c r="AI25" s="64" t="s" ph="1">
        <v>348</v>
      </c>
      <c r="AZ25" s="64" t="s" ph="1">
        <v>216</v>
      </c>
      <c r="BA25" s="64" ph="1">
        <v>0</v>
      </c>
      <c r="BD25" s="64" t="s" ph="1">
        <v>241</v>
      </c>
      <c r="BE25" s="64" ph="1">
        <v>8920</v>
      </c>
    </row>
    <row r="26" spans="1:57" ph="1">
      <c r="A26" s="72" ph="1"/>
      <c r="B26" s="184" ph="1"/>
      <c r="C26" s="68" t="s" ph="1">
        <v>179</v>
      </c>
      <c r="D26" s="74">
        <v>25</v>
      </c>
      <c r="E26" s="74">
        <v>25</v>
      </c>
      <c r="F26" s="74">
        <v>26</v>
      </c>
      <c r="G26" s="74">
        <v>28</v>
      </c>
      <c r="H26" s="74">
        <v>29</v>
      </c>
      <c r="I26" s="74">
        <v>25</v>
      </c>
      <c r="J26" s="74">
        <v>27</v>
      </c>
      <c r="K26" s="74">
        <v>30</v>
      </c>
      <c r="L26" s="74">
        <v>25</v>
      </c>
      <c r="M26" s="74">
        <v>26</v>
      </c>
      <c r="N26" s="74">
        <v>23</v>
      </c>
      <c r="O26" s="74">
        <v>23</v>
      </c>
      <c r="P26" s="74">
        <v>27</v>
      </c>
      <c r="Q26" s="93">
        <v>27</v>
      </c>
      <c r="R26" s="74">
        <v>28</v>
      </c>
      <c r="S26" s="74">
        <v>28</v>
      </c>
      <c r="T26" s="74">
        <v>28</v>
      </c>
      <c r="U26" s="74">
        <v>29</v>
      </c>
      <c r="V26" s="74">
        <v>20</v>
      </c>
      <c r="W26" s="74">
        <v>24</v>
      </c>
      <c r="X26" s="74">
        <v>25</v>
      </c>
      <c r="Y26" s="74">
        <v>30</v>
      </c>
      <c r="Z26" s="178"/>
      <c r="AA26" s="179"/>
      <c r="AB26" s="179"/>
      <c r="AC26" s="179"/>
      <c r="AD26" s="179"/>
      <c r="AE26" s="180"/>
      <c r="AH26" s="64" ph="1">
        <v>12</v>
      </c>
      <c r="AI26" s="64" t="s" ph="1">
        <v>349</v>
      </c>
      <c r="AZ26" s="64" t="s" ph="1">
        <v>216</v>
      </c>
      <c r="BA26" s="64" ph="1">
        <v>0</v>
      </c>
    </row>
    <row r="27" spans="1:57" ht="26.4" ph="1">
      <c r="A27" s="72" ph="1"/>
      <c r="B27" s="184" ph="1">
        <v>0.66666666666666663</v>
      </c>
      <c r="C27" s="159" t="s" ph="1">
        <v>180</v>
      </c>
      <c r="D27" s="71">
        <v>23.32</v>
      </c>
      <c r="E27" s="71">
        <v>5.73</v>
      </c>
      <c r="F27" s="71">
        <v>1080</v>
      </c>
      <c r="G27" s="71">
        <v>3306</v>
      </c>
      <c r="H27" s="71">
        <v>3470</v>
      </c>
      <c r="I27" s="71">
        <v>1459</v>
      </c>
      <c r="J27" s="71">
        <v>186</v>
      </c>
      <c r="K27" s="71">
        <v>1715</v>
      </c>
      <c r="L27" s="71">
        <v>1030</v>
      </c>
      <c r="M27" s="71">
        <v>318</v>
      </c>
      <c r="N27" s="71">
        <v>313</v>
      </c>
      <c r="O27" s="71">
        <v>1471</v>
      </c>
      <c r="P27" s="71">
        <v>1122</v>
      </c>
      <c r="Q27" s="90">
        <v>2089</v>
      </c>
      <c r="R27" s="71">
        <v>6076</v>
      </c>
      <c r="S27" s="71">
        <v>293</v>
      </c>
      <c r="T27" s="71">
        <v>358</v>
      </c>
      <c r="U27" s="71">
        <v>4891</v>
      </c>
      <c r="V27" s="71">
        <v>880</v>
      </c>
      <c r="W27" s="71">
        <v>401</v>
      </c>
      <c r="X27" s="71">
        <v>5632</v>
      </c>
      <c r="Y27" s="71">
        <v>4824</v>
      </c>
      <c r="Z27" s="178"/>
      <c r="AA27" s="179"/>
      <c r="AB27" s="179"/>
      <c r="AC27" s="179"/>
      <c r="AD27" s="179"/>
      <c r="AE27" s="180"/>
      <c r="AH27" s="64" ph="1">
        <v>13</v>
      </c>
      <c r="AI27" s="64" t="s" ph="1">
        <v>350</v>
      </c>
      <c r="AZ27" s="64" t="s" ph="1">
        <v>216</v>
      </c>
      <c r="BA27" s="64" ph="1">
        <v>0</v>
      </c>
      <c r="BD27" s="64" t="s" ph="1">
        <v>295</v>
      </c>
      <c r="BE27" s="64" ph="1">
        <v>7100</v>
      </c>
    </row>
    <row r="28" spans="1:57" ph="1">
      <c r="A28" s="72" ph="1"/>
      <c r="B28" s="184" ph="1"/>
      <c r="C28" s="159" t="s" ph="1">
        <v>178</v>
      </c>
      <c r="D28" s="91" ph="1">
        <f>D27*268.68*LOOKUP(D29,密度!$A$2:$A$50,密度!$Q$2:$Q$50)+IF(D27&lt;=0,0,1566*LOOKUP(D29,密度!$A$2:$A$50,密度!$Q$2:$Q$50))</f>
        <v>7414.5056466240003</v>
      </c>
      <c r="E28" s="91" ph="1">
        <f>E27*268.68*LOOKUP(E29,密度!$A$2:$A$50,密度!$C$2:$C$50)+IF(E27&lt;=0,0,1566*LOOKUP(E29,密度!$A$2:$A$50,密度!$C$2:$C$50))</f>
        <v>3443.7293139600001</v>
      </c>
      <c r="F28" s="91" ph="1">
        <f>F27*11.702*LOOKUP(F29,密度!$A$2:$A$50,密度!$Q$2:$Q$50)</f>
        <v>11921.9554728</v>
      </c>
      <c r="G28" s="91" ph="1">
        <f>G27*18.322*LOOKUP(G29,密度!$A$2:$A$50,密度!$B$2:$B$50)</f>
        <v>46961.884059600001</v>
      </c>
      <c r="H28" s="91" ph="1">
        <f>H27*18.322*LOOKUP(H29,密度!$A$2:$A$50,密度!$B$2:$B$50)</f>
        <v>49291.511701999996</v>
      </c>
      <c r="I28" s="91" ph="1">
        <f>I27*18.322*LOOKUP(I29,密度!$A$2:$A$50,密度!$Q$2:$Q$50)</f>
        <v>25289.082861939998</v>
      </c>
      <c r="J28" s="91" ph="1">
        <f>J27*18.322*LOOKUP(J29,密度!$A$2:$A$50,密度!$Q$2:$Q$50)</f>
        <v>3194.5579607999998</v>
      </c>
      <c r="K28" s="91" ph="1">
        <f>K27*18.322*LOOKUP(K29,密度!$A$2:$A$50,密度!$Q$2:$Q$50)</f>
        <v>29660.385563899999</v>
      </c>
      <c r="L28" s="91" ph="1">
        <f>L27*18.322*LOOKUP(L29,密度!$A$2:$A$50,密度!$Q$2:$Q$50)</f>
        <v>17839.757631200002</v>
      </c>
      <c r="M28" s="91" ph="1">
        <f>M27*18.322*LOOKUP(M29,密度!$A$2:$A$50,密度!$Q$2:$Q$50)</f>
        <v>5465.2759759199998</v>
      </c>
      <c r="N28" s="91" ph="1">
        <f>N27*18.322*LOOKUP(N29,密度!$A$2:$A$50,密度!$Q$2:$Q$50)</f>
        <v>5405.4945878799999</v>
      </c>
      <c r="O28" s="91" ph="1">
        <f>O27*18.322*LOOKUP(O29,密度!$A$2:$A$50,密度!$C$2:$C$50)</f>
        <v>29905.564155199998</v>
      </c>
      <c r="P28" s="91" ph="1">
        <f>P27*11.702*LOOKUP(P29,密度!$A$2:$A$50,密度!$B$2:$B$50)</f>
        <v>10201.733388000001</v>
      </c>
      <c r="Q28" s="92" ph="1">
        <f>Q27*18.322*LOOKUP(Q29,密度!$A$2:$A$50,密度!$B$2:$B$50)</f>
        <v>29674.342347399997</v>
      </c>
      <c r="R28" s="91" ph="1">
        <f>R27*35.891*LOOKUP(R29,密度!$A$2:$A$50,密度!$C$2:$C$50)</f>
        <v>241167.72252440001</v>
      </c>
      <c r="S28" s="91" ph="1">
        <f>S27*35.891*LOOKUP(S29,密度!$A$2:$A$50,密度!$B$2:$B$50)</f>
        <v>8153.1036439</v>
      </c>
      <c r="T28" s="91" ph="1">
        <f>T27*35.891*LOOKUP(T29,密度!$A$2:$A$50,密度!$Q$2:$Q$50)</f>
        <v>12102.452378199998</v>
      </c>
      <c r="U28" s="91" ph="1">
        <f>U27*35.891</f>
        <v>175542.88099999999</v>
      </c>
      <c r="V28" s="91" ph="1">
        <f>V27*47.051*LOOKUP(V29,密度!$A$2:$A$50,密度!$B$2:$B$50)</f>
        <v>32279.244448000001</v>
      </c>
      <c r="W28" s="91" ph="1">
        <f>W27*47.051*LOOKUP(W29,密度!$A$2:$A$50,密度!$B$2:$B$50)</f>
        <v>14709.064799600001</v>
      </c>
      <c r="X28" s="91" ph="1">
        <f>X27*47.051*LOOKUP(X29,密度!$A$2:$A$61,密度!$I$2:$I$61)</f>
        <v>276200.36111360003</v>
      </c>
      <c r="Y28" s="91" ph="1">
        <f>Y27*47.051*LOOKUP(Y29,密度!$A$2:$A$50,密度!$L$2:$L$50)</f>
        <v>211539.79036800002</v>
      </c>
      <c r="Z28" s="178"/>
      <c r="AA28" s="179"/>
      <c r="AB28" s="179"/>
      <c r="AC28" s="179"/>
      <c r="AD28" s="179"/>
      <c r="AE28" s="180"/>
      <c r="AH28" s="64" ph="1">
        <v>14</v>
      </c>
      <c r="AI28" s="64" t="s" ph="1">
        <v>351</v>
      </c>
      <c r="AZ28" s="64" t="s" ph="1">
        <v>216</v>
      </c>
      <c r="BA28" s="64" ph="1">
        <v>0</v>
      </c>
    </row>
    <row r="29" spans="1:57" ph="1">
      <c r="A29" s="72" ph="1"/>
      <c r="B29" s="184" ph="1"/>
      <c r="C29" s="159" t="s" ph="1">
        <v>179</v>
      </c>
      <c r="D29" s="74">
        <v>25</v>
      </c>
      <c r="E29" s="74">
        <v>25</v>
      </c>
      <c r="F29" s="74">
        <v>30</v>
      </c>
      <c r="G29" s="74">
        <v>30</v>
      </c>
      <c r="H29" s="74">
        <v>30</v>
      </c>
      <c r="I29" s="74">
        <v>26</v>
      </c>
      <c r="J29" s="74">
        <v>39</v>
      </c>
      <c r="K29" s="74">
        <v>29</v>
      </c>
      <c r="L29" s="74">
        <v>27</v>
      </c>
      <c r="M29" s="74">
        <v>38</v>
      </c>
      <c r="N29" s="74">
        <v>31</v>
      </c>
      <c r="O29" s="74">
        <v>24</v>
      </c>
      <c r="P29" s="74">
        <v>28</v>
      </c>
      <c r="Q29" s="93">
        <v>30</v>
      </c>
      <c r="R29" s="74">
        <v>29</v>
      </c>
      <c r="S29" s="74">
        <v>30</v>
      </c>
      <c r="T29" s="74">
        <v>32</v>
      </c>
      <c r="U29" s="74">
        <v>28</v>
      </c>
      <c r="V29" s="74">
        <v>25</v>
      </c>
      <c r="W29" s="74">
        <v>25</v>
      </c>
      <c r="X29" s="74">
        <v>25</v>
      </c>
      <c r="Y29" s="74">
        <v>30</v>
      </c>
      <c r="Z29" s="181"/>
      <c r="AA29" s="182"/>
      <c r="AB29" s="182"/>
      <c r="AC29" s="182"/>
      <c r="AD29" s="182"/>
      <c r="AE29" s="183"/>
      <c r="AH29" s="64" ph="1">
        <v>15</v>
      </c>
      <c r="AI29" s="64" t="s" ph="1">
        <v>352</v>
      </c>
      <c r="AZ29" s="64" t="s" ph="1">
        <v>216</v>
      </c>
      <c r="BA29" s="64" ph="1">
        <v>0</v>
      </c>
      <c r="BD29" s="64" t="s" ph="1">
        <v>353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354</v>
      </c>
      <c r="AZ30" s="64" t="s" ph="1">
        <v>216</v>
      </c>
      <c r="BA30" s="64" ph="1">
        <v>0</v>
      </c>
    </row>
    <row r="31" spans="1:57" ht="28.2" ph="1">
      <c r="A31" s="64"/>
      <c r="B31" s="197" t="s" ph="1">
        <v>35</v>
      </c>
      <c r="C31" s="198" ph="1"/>
      <c r="D31" s="201" t="s" ph="1">
        <v>9</v>
      </c>
      <c r="E31" s="190" ph="1"/>
      <c r="F31" s="191" ph="1"/>
      <c r="G31" s="201" t="s" ph="1">
        <v>18</v>
      </c>
      <c r="H31" s="190" ph="1"/>
      <c r="I31" s="191" ph="1"/>
      <c r="J31" s="189" t="s" ph="1">
        <v>1</v>
      </c>
      <c r="K31" s="190" ph="1"/>
      <c r="L31" s="191" ph="1"/>
      <c r="M31" s="189" t="s" ph="1">
        <v>7</v>
      </c>
      <c r="N31" s="190" ph="1"/>
      <c r="O31" s="191" ph="1"/>
      <c r="P31" s="189" t="s" ph="1">
        <v>41</v>
      </c>
      <c r="Q31" s="190"/>
      <c r="R31" s="191"/>
      <c r="S31" s="189" t="s" ph="1">
        <v>2</v>
      </c>
      <c r="T31" s="190"/>
      <c r="U31" s="191"/>
      <c r="V31" s="189" t="s" ph="1">
        <v>71</v>
      </c>
      <c r="W31" s="190" ph="1"/>
      <c r="X31" s="191" ph="1"/>
      <c r="Y31" s="189" t="s" ph="1">
        <v>3</v>
      </c>
      <c r="Z31" s="190" ph="1"/>
      <c r="AA31" s="191" ph="1"/>
      <c r="AB31" s="212" t="s">
        <v>42</v>
      </c>
      <c r="AC31" s="213"/>
      <c r="AD31" s="213"/>
      <c r="AE31" s="214"/>
      <c r="AH31" s="64" ph="1">
        <v>17</v>
      </c>
      <c r="AI31" s="64" t="s" ph="1">
        <v>355</v>
      </c>
      <c r="AZ31" s="64" t="s" ph="1">
        <v>216</v>
      </c>
      <c r="BA31" s="64" ph="1">
        <v>0</v>
      </c>
      <c r="BD31" s="64" t="s" ph="1">
        <v>356</v>
      </c>
      <c r="BE31" s="64" ph="1">
        <v>9310</v>
      </c>
    </row>
    <row r="32" spans="1:57" ph="1">
      <c r="A32" s="64"/>
      <c r="B32" s="199" ph="1"/>
      <c r="C32" s="200" ph="1"/>
      <c r="D32" s="96" t="s" ph="1">
        <v>4</v>
      </c>
      <c r="E32" s="159" t="s" ph="1">
        <v>5</v>
      </c>
      <c r="F32" s="158" t="s" ph="1">
        <v>43</v>
      </c>
      <c r="G32" s="97" t="s" ph="1">
        <v>4</v>
      </c>
      <c r="H32" s="159" t="s" ph="1">
        <v>5</v>
      </c>
      <c r="I32" s="158" t="s" ph="1">
        <v>43</v>
      </c>
      <c r="J32" s="97" t="s" ph="1">
        <v>4</v>
      </c>
      <c r="K32" s="159" t="s" ph="1">
        <v>5</v>
      </c>
      <c r="L32" s="158" t="s" ph="1">
        <v>43</v>
      </c>
      <c r="M32" s="97" t="s" ph="1">
        <v>4</v>
      </c>
      <c r="N32" s="159" t="s" ph="1">
        <v>5</v>
      </c>
      <c r="O32" s="158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59" t="s" ph="1">
        <v>5</v>
      </c>
      <c r="U32" s="99" t="s" ph="1">
        <v>43</v>
      </c>
      <c r="V32" s="97" t="s" ph="1">
        <v>4</v>
      </c>
      <c r="W32" s="159" t="s" ph="1">
        <v>5</v>
      </c>
      <c r="X32" s="99" t="s" ph="1">
        <v>43</v>
      </c>
      <c r="Y32" s="100" t="s" ph="1">
        <v>4</v>
      </c>
      <c r="Z32" s="159" t="s" ph="1">
        <v>5</v>
      </c>
      <c r="AA32" s="158" t="s" ph="1">
        <v>43</v>
      </c>
      <c r="AB32" s="97" t="s" ph="1">
        <v>85</v>
      </c>
      <c r="AC32" s="159" t="s" ph="1">
        <v>84</v>
      </c>
      <c r="AD32" s="215" t="s" ph="1">
        <v>83</v>
      </c>
      <c r="AE32" s="216"/>
      <c r="AH32" s="64" ph="1">
        <v>18</v>
      </c>
      <c r="AI32" s="64" t="s" ph="1">
        <v>357</v>
      </c>
      <c r="AZ32" s="64" t="s" ph="1">
        <v>216</v>
      </c>
      <c r="BA32" s="64" ph="1">
        <v>0</v>
      </c>
    </row>
    <row r="33" spans="1:57" ph="1">
      <c r="A33" s="64"/>
      <c r="B33" s="202" t="s" ph="1">
        <v>181</v>
      </c>
      <c r="C33" s="203" ph="1"/>
      <c r="D33" s="206" ph="1">
        <f>AA10+AB10+Z19</f>
        <v>73336.792303340015</v>
      </c>
      <c r="E33" s="206" ph="1">
        <f>M10+I10</f>
        <v>199778.3508704</v>
      </c>
      <c r="F33" s="208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1522252632456786910111213141516171819202123456789101112131415161718192022232424356789101112131415161718192021222345678910111213141516171819202345678910111213149101516171819222123234567891012131415161711181920212224252345678910111213115[[#This Row],[F25]]</f>
        <v>3880</v>
      </c>
      <c r="G33" s="210" ph="1">
        <f>N19</f>
        <v>18445.322347199999</v>
      </c>
      <c r="H33" s="206" ph="1">
        <f>M19</f>
        <v>31817.053983599999</v>
      </c>
      <c r="I33" s="219" ph="1">
        <v>0</v>
      </c>
      <c r="J33" s="217" ph="1">
        <f>F10+O28</f>
        <v>243951.46702730001</v>
      </c>
      <c r="K33" s="206" ph="1">
        <f>O10+K10+E28+R28</f>
        <v>339510.65474756004</v>
      </c>
      <c r="L33" s="221" ph="1">
        <f>K19</f>
        <v>22844.559567879998</v>
      </c>
      <c r="M33" s="217" ph="1">
        <f>G10+H10+W28+S28+V28+E10+R19+P28+Q28</f>
        <v>730555.30837652006</v>
      </c>
      <c r="N33" s="206" ph="1">
        <f>L10+P10++G28+H28+AD19+AE19</f>
        <v>188792.61304079997</v>
      </c>
      <c r="O33" s="219" ph="1">
        <f>G19</f>
        <v>17052.808642920001</v>
      </c>
      <c r="P33" s="217" ph="1">
        <f>L19</f>
        <v>14754.26781798</v>
      </c>
      <c r="Q33" s="206" ph="1">
        <f>J10+N10</f>
        <v>76734.879238289999</v>
      </c>
      <c r="R33" s="219" ph="1">
        <f>BE23</f>
        <v>890</v>
      </c>
      <c r="S33" s="217" ph="1">
        <f>X28</f>
        <v>276200.36111360003</v>
      </c>
      <c r="T33" s="206" ph="1">
        <f>X19</f>
        <v>18251.016868199997</v>
      </c>
      <c r="U33" s="227" ph="1">
        <f>BE21</f>
        <v>730</v>
      </c>
      <c r="V33" s="238" ph="1">
        <f ca="1">P19+Q19+S19+M28+N28+J28+D10+AC10+D19+E19+H19+J19+O19+V19+W19+K28+L28</f>
        <v>490356.45266975812</v>
      </c>
      <c r="W33" s="238" ph="1">
        <f>D28+F28+T28+I28</f>
        <v>56727.996359563993</v>
      </c>
      <c r="X33" s="219" ph="1">
        <f>BE29+BE31</f>
        <v>10200</v>
      </c>
      <c r="Y33" s="240" ph="1">
        <f>+Q10+R10+S10+T10+U10+V10+W10+X10+Y10</f>
        <v>162021.05585820001</v>
      </c>
      <c r="Z33" s="225" ph="1">
        <f>T19+U19+Y28+Z10</f>
        <v>455977.21910896007</v>
      </c>
      <c r="AA33" s="227" ph="1">
        <f>BE19</f>
        <v>1440</v>
      </c>
      <c r="AB33" s="229" ph="1">
        <f>I19</f>
        <v>49440.952613399997</v>
      </c>
      <c r="AC33" s="231" ph="1">
        <f>AD10+AB19</f>
        <v>81702.215507200002</v>
      </c>
      <c r="AD33" s="233" ph="1">
        <v>0</v>
      </c>
      <c r="AE33" s="234"/>
      <c r="AH33" s="64" ph="1">
        <v>19</v>
      </c>
      <c r="AI33" s="64" t="s" ph="1">
        <v>358</v>
      </c>
      <c r="AJ33" s="64" t="s" ph="1">
        <v>592</v>
      </c>
      <c r="AK33" s="64" t="s" ph="1">
        <v>589</v>
      </c>
      <c r="AL33" s="64" ph="1">
        <v>730</v>
      </c>
      <c r="AM33" s="64" t="s" ph="1">
        <v>339</v>
      </c>
      <c r="AZ33" s="64" t="s" ph="1">
        <v>216</v>
      </c>
      <c r="BA33" s="64" ph="1">
        <v>730</v>
      </c>
      <c r="BD33" s="64" t="s" ph="1">
        <v>290</v>
      </c>
      <c r="BE33" s="64" ph="1">
        <v>3880</v>
      </c>
    </row>
    <row r="34" spans="1:57" ph="1">
      <c r="A34" s="64"/>
      <c r="B34" s="204" ph="1"/>
      <c r="C34" s="205" ph="1"/>
      <c r="D34" s="207" ph="1"/>
      <c r="E34" s="207" ph="1"/>
      <c r="F34" s="209" ph="1"/>
      <c r="G34" s="211" ph="1"/>
      <c r="H34" s="207" ph="1"/>
      <c r="I34" s="220" ph="1"/>
      <c r="J34" s="218" ph="1"/>
      <c r="K34" s="207" ph="1"/>
      <c r="L34" s="222" ph="1"/>
      <c r="M34" s="218" ph="1"/>
      <c r="N34" s="207" ph="1"/>
      <c r="O34" s="220" ph="1"/>
      <c r="P34" s="218" ph="1"/>
      <c r="Q34" s="207" ph="1"/>
      <c r="R34" s="220" ph="1"/>
      <c r="S34" s="218" ph="1"/>
      <c r="T34" s="207"/>
      <c r="U34" s="228"/>
      <c r="V34" s="239" ph="1"/>
      <c r="W34" s="239" ph="1"/>
      <c r="X34" s="220" ph="1"/>
      <c r="Y34" s="241" ph="1"/>
      <c r="Z34" s="226" ph="1"/>
      <c r="AA34" s="228" ph="1"/>
      <c r="AB34" s="230"/>
      <c r="AC34" s="232"/>
      <c r="AD34" s="235"/>
      <c r="AE34" s="236"/>
      <c r="AH34" s="64" ph="1">
        <v>20</v>
      </c>
      <c r="AI34" s="64" t="s" ph="1">
        <v>359</v>
      </c>
      <c r="AJ34" s="64" t="s" ph="1">
        <v>593</v>
      </c>
      <c r="AK34" s="64" t="s" ph="1">
        <v>589</v>
      </c>
      <c r="AL34" s="64" ph="1">
        <v>720</v>
      </c>
      <c r="AM34" s="64" t="s" ph="1">
        <v>339</v>
      </c>
      <c r="AZ34" s="64" t="s" ph="1">
        <v>216</v>
      </c>
      <c r="BA34" s="64" ph="1">
        <v>720</v>
      </c>
    </row>
    <row r="35" spans="1:57" ph="1">
      <c r="A35" s="64"/>
      <c r="AC35" s="237" t="s" ph="1">
        <v>631</v>
      </c>
      <c r="AD35" s="237"/>
      <c r="AE35" s="237"/>
      <c r="AH35" s="64" ph="1">
        <v>21</v>
      </c>
      <c r="AI35" s="64" t="s" ph="1">
        <v>360</v>
      </c>
      <c r="AZ35" s="64" t="s" ph="1">
        <v>216</v>
      </c>
      <c r="BA35" s="64" ph="1">
        <v>0</v>
      </c>
      <c r="BD35" s="64" t="s" ph="1">
        <v>361</v>
      </c>
      <c r="BE35" s="64" ph="1">
        <v>2030</v>
      </c>
    </row>
    <row r="36" spans="1:57" ht="28.2" ph="1">
      <c r="A36" s="64"/>
      <c r="B36" s="103" t="s" ph="1">
        <v>182</v>
      </c>
      <c r="I36" s="223" t="s" ph="1">
        <v>183</v>
      </c>
      <c r="J36" s="223" ph="1"/>
      <c r="K36" s="101" ph="1"/>
      <c r="P36" s="101" ph="1"/>
      <c r="R36" s="223" t="s" ph="1">
        <v>184</v>
      </c>
      <c r="S36" s="223" ph="1"/>
      <c r="Y36" s="102" ph="1"/>
      <c r="Z36" s="157" t="s" ph="1">
        <v>185</v>
      </c>
      <c r="AA36" s="157" ph="1"/>
      <c r="AB36" s="224" t="s" ph="1">
        <v>640</v>
      </c>
      <c r="AC36" s="224" ph="1"/>
      <c r="AD36" s="224" ph="1"/>
      <c r="AE36" s="224" ph="1"/>
      <c r="BA36" s="64" ph="1">
        <v>2270</v>
      </c>
    </row>
    <row r="37" spans="1:57" s="157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57" t="s" ph="1">
        <v>342</v>
      </c>
      <c r="AI37" s="157" t="s" ph="1">
        <v>209</v>
      </c>
      <c r="AJ37" s="157" t="s" ph="1">
        <v>210</v>
      </c>
      <c r="AK37" s="157" t="s" ph="1">
        <v>211</v>
      </c>
      <c r="AM37" s="157" t="s" ph="1">
        <v>210</v>
      </c>
      <c r="AN37" s="157" t="s" ph="1">
        <v>211</v>
      </c>
      <c r="AO37" s="157" t="s" ph="1">
        <v>212</v>
      </c>
      <c r="AP37" s="157" t="s" ph="1">
        <v>210</v>
      </c>
      <c r="AQ37" s="157" t="s" ph="1">
        <v>211</v>
      </c>
      <c r="AR37" s="157" t="s" ph="1">
        <v>212</v>
      </c>
      <c r="AS37" s="157" t="s" ph="1">
        <v>210</v>
      </c>
      <c r="AT37" s="157" t="s" ph="1">
        <v>211</v>
      </c>
      <c r="AU37" s="157" t="s" ph="1">
        <v>212</v>
      </c>
      <c r="AV37" s="157" t="s" ph="1">
        <v>210</v>
      </c>
      <c r="AW37" s="157" t="s" ph="1">
        <v>211</v>
      </c>
      <c r="AX37" s="157" t="s" ph="1">
        <v>212</v>
      </c>
      <c r="AY37" s="157" t="s" ph="1">
        <v>211</v>
      </c>
      <c r="AZ37" s="157" t="s" ph="1">
        <v>213</v>
      </c>
      <c r="BD37" s="157" t="s" ph="1">
        <v>305</v>
      </c>
      <c r="BE37" s="157" ph="1">
        <v>0</v>
      </c>
    </row>
    <row r="38" spans="1:57" ph="1">
      <c r="AE38" s="64" ph="1"/>
      <c r="AH38" s="64" ph="1">
        <v>1</v>
      </c>
      <c r="AI38" s="64" t="s" ph="1">
        <v>362</v>
      </c>
      <c r="AY38" s="64" t="s" ph="1">
        <v>216</v>
      </c>
      <c r="AZ38" s="64" t="s" ph="1">
        <v>367</v>
      </c>
    </row>
    <row r="39" spans="1:57" ph="1">
      <c r="AH39" s="64" ph="1">
        <v>2</v>
      </c>
      <c r="AI39" s="64" t="s" ph="1">
        <v>364</v>
      </c>
      <c r="AJ39" s="64" t="s" ph="1">
        <v>336</v>
      </c>
      <c r="AK39" s="64" t="s" ph="1">
        <v>365</v>
      </c>
      <c r="AM39" s="64" t="s" ph="1">
        <v>570</v>
      </c>
      <c r="AN39" s="64" t="s" ph="1">
        <v>228</v>
      </c>
      <c r="AO39" s="64" t="s" ph="1">
        <v>363</v>
      </c>
      <c r="AY39" s="64" t="s" ph="1">
        <v>216</v>
      </c>
      <c r="AZ39" s="64" t="s" ph="1">
        <v>499</v>
      </c>
    </row>
    <row r="40" spans="1:57" ph="1">
      <c r="AH40" s="64" ph="1">
        <v>3</v>
      </c>
      <c r="AI40" s="64" t="s" ph="1">
        <v>366</v>
      </c>
      <c r="AJ40" s="64" t="s" ph="1">
        <v>570</v>
      </c>
      <c r="AK40" s="64" t="s" ph="1">
        <v>571</v>
      </c>
      <c r="AY40" s="64" t="s" ph="1">
        <v>216</v>
      </c>
      <c r="AZ40" s="64" t="s" ph="1">
        <v>571</v>
      </c>
    </row>
    <row r="41" spans="1:57" ph="1">
      <c r="AH41" s="64" ph="1">
        <v>4</v>
      </c>
      <c r="AI41" s="64" t="s" ph="1">
        <v>368</v>
      </c>
      <c r="AJ41" s="64" t="s" ph="1">
        <v>572</v>
      </c>
      <c r="AK41" s="64" t="s" ph="1">
        <v>573</v>
      </c>
      <c r="AM41" s="64" t="s" ph="1">
        <v>574</v>
      </c>
      <c r="AY41" s="64" t="s" ph="1">
        <v>216</v>
      </c>
      <c r="AZ41" s="64" t="s" ph="1">
        <v>573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369</v>
      </c>
      <c r="AY42" s="64" t="s" ph="1">
        <v>216</v>
      </c>
      <c r="AZ42" s="64" t="s" ph="1">
        <v>367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370</v>
      </c>
      <c r="AY43" s="64" t="s" ph="1">
        <v>216</v>
      </c>
      <c r="AZ43" s="64" t="s" ph="1">
        <v>367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371</v>
      </c>
      <c r="AV44" s="64" t="s" ph="1">
        <v>217</v>
      </c>
      <c r="AY44" s="64" t="s" ph="1">
        <v>216</v>
      </c>
      <c r="AZ44" s="64" t="s" ph="1">
        <v>367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372</v>
      </c>
      <c r="AV45" s="64" t="s" ph="1">
        <v>217</v>
      </c>
      <c r="AY45" s="64" t="s" ph="1">
        <v>216</v>
      </c>
      <c r="AZ45" s="64" t="s" ph="1">
        <v>367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373</v>
      </c>
      <c r="AV46" s="64" t="s" ph="1">
        <v>217</v>
      </c>
      <c r="AY46" s="64" t="s" ph="1">
        <v>216</v>
      </c>
      <c r="AZ46" s="64" t="s" ph="1">
        <v>367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374</v>
      </c>
      <c r="AV47" s="64" t="s" ph="1">
        <v>217</v>
      </c>
      <c r="AY47" s="64" t="s" ph="1">
        <v>216</v>
      </c>
      <c r="AZ47" s="64" t="s" ph="1">
        <v>367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575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232</v>
      </c>
      <c r="AI49" s="64" t="s" ph="1">
        <v>209</v>
      </c>
      <c r="AJ49" s="64" t="s" ph="1">
        <v>210</v>
      </c>
      <c r="AK49" s="64" t="s" ph="1">
        <v>211</v>
      </c>
      <c r="AM49" s="64" t="s" ph="1">
        <v>210</v>
      </c>
      <c r="AN49" s="64" t="s" ph="1">
        <v>211</v>
      </c>
      <c r="AO49" s="64" t="s" ph="1">
        <v>212</v>
      </c>
      <c r="AP49" s="64" t="s" ph="1">
        <v>210</v>
      </c>
      <c r="AQ49" s="64" t="s" ph="1">
        <v>211</v>
      </c>
      <c r="AR49" s="64" t="s" ph="1">
        <v>212</v>
      </c>
      <c r="AS49" s="64" t="s" ph="1">
        <v>210</v>
      </c>
      <c r="AT49" s="64" t="s" ph="1">
        <v>211</v>
      </c>
      <c r="AU49" s="64" t="s" ph="1">
        <v>212</v>
      </c>
      <c r="AV49" s="64" t="s" ph="1">
        <v>210</v>
      </c>
      <c r="AW49" s="64" t="s" ph="1">
        <v>211</v>
      </c>
      <c r="AX49" s="64" t="s" ph="1">
        <v>212</v>
      </c>
      <c r="AY49" s="64" t="s" ph="1">
        <v>211</v>
      </c>
      <c r="AZ49" s="64" t="s" ph="1">
        <v>213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375</v>
      </c>
      <c r="AY50" s="64" t="s" ph="1">
        <v>216</v>
      </c>
      <c r="AZ50" s="64" t="s" ph="1">
        <v>367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376</v>
      </c>
      <c r="AY51" s="64" t="s" ph="1">
        <v>216</v>
      </c>
      <c r="AZ51" s="64" t="s" ph="1">
        <v>367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377</v>
      </c>
      <c r="AJ52" s="64" t="s" ph="1">
        <v>334</v>
      </c>
      <c r="AK52" s="64" t="s" ph="1">
        <v>228</v>
      </c>
      <c r="AM52" s="64" t="s" ph="1">
        <v>336</v>
      </c>
      <c r="AN52" s="64" t="s" ph="1">
        <v>300</v>
      </c>
      <c r="AO52" s="64" t="s" ph="1">
        <v>233</v>
      </c>
      <c r="AP52" s="64" t="s" ph="1">
        <v>570</v>
      </c>
      <c r="AQ52" s="64" t="s" ph="1">
        <v>282</v>
      </c>
      <c r="AR52" s="64" t="s" ph="1">
        <v>233</v>
      </c>
      <c r="AY52" s="64" t="s" ph="1">
        <v>216</v>
      </c>
      <c r="AZ52" s="64" t="s" ph="1">
        <v>576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378</v>
      </c>
      <c r="AY53" s="64" t="s" ph="1">
        <v>216</v>
      </c>
      <c r="AZ53" s="64" t="s" ph="1">
        <v>367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379</v>
      </c>
      <c r="AJ54" s="64" t="s" ph="1">
        <v>334</v>
      </c>
      <c r="AK54" s="64" t="s" ph="1">
        <v>219</v>
      </c>
      <c r="AM54" s="64" t="s" ph="1">
        <v>336</v>
      </c>
      <c r="AN54" s="64" t="s" ph="1">
        <v>224</v>
      </c>
      <c r="AO54" s="64" t="s" ph="1">
        <v>233</v>
      </c>
      <c r="AP54" s="64" t="s" ph="1">
        <v>570</v>
      </c>
      <c r="AQ54" s="64" t="s" ph="1">
        <v>240</v>
      </c>
      <c r="AR54" s="64" t="s" ph="1">
        <v>233</v>
      </c>
      <c r="AY54" s="64" t="s" ph="1">
        <v>216</v>
      </c>
      <c r="AZ54" s="64" t="s" ph="1">
        <v>234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380</v>
      </c>
      <c r="AY55" s="64" t="s" ph="1">
        <v>216</v>
      </c>
      <c r="AZ55" s="64" t="s" ph="1">
        <v>367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381</v>
      </c>
      <c r="AY56" s="64" t="s" ph="1">
        <v>216</v>
      </c>
      <c r="AZ56" s="64" t="s" ph="1">
        <v>367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382</v>
      </c>
      <c r="AY57" s="64" t="s" ph="1">
        <v>216</v>
      </c>
      <c r="AZ57" s="64" t="s" ph="1">
        <v>367</v>
      </c>
    </row>
    <row r="58" spans="16:52" ph="1">
      <c r="P58" s="64"/>
      <c r="AN58" s="64" t="s" ph="1">
        <v>217</v>
      </c>
      <c r="AZ58" s="64" t="s" ph="1">
        <v>577</v>
      </c>
    </row>
    <row r="59" spans="16:52" ph="1">
      <c r="V59" s="64"/>
      <c r="AG59" s="64" t="s" ph="1">
        <v>235</v>
      </c>
      <c r="AI59" s="64" t="s" ph="1">
        <v>209</v>
      </c>
      <c r="AJ59" s="64" t="s" ph="1">
        <v>210</v>
      </c>
      <c r="AK59" s="64" t="s" ph="1">
        <v>211</v>
      </c>
      <c r="AM59" s="64" t="s" ph="1">
        <v>210</v>
      </c>
      <c r="AN59" s="64" t="s" ph="1">
        <v>211</v>
      </c>
      <c r="AO59" s="64" t="s" ph="1">
        <v>212</v>
      </c>
      <c r="AP59" s="64" t="s" ph="1">
        <v>210</v>
      </c>
      <c r="AQ59" s="64" t="s" ph="1">
        <v>211</v>
      </c>
      <c r="AR59" s="64" t="s" ph="1">
        <v>212</v>
      </c>
      <c r="AS59" s="64" t="s" ph="1">
        <v>210</v>
      </c>
      <c r="AT59" s="64" t="s" ph="1">
        <v>211</v>
      </c>
      <c r="AU59" s="64" t="s" ph="1">
        <v>212</v>
      </c>
      <c r="AV59" s="64" t="s" ph="1">
        <v>210</v>
      </c>
      <c r="AW59" s="64" t="s" ph="1">
        <v>211</v>
      </c>
      <c r="AX59" s="64" t="s" ph="1">
        <v>212</v>
      </c>
      <c r="AY59" s="64" t="s" ph="1">
        <v>211</v>
      </c>
      <c r="AZ59" s="64" t="s" ph="1">
        <v>213</v>
      </c>
    </row>
    <row r="60" spans="16:52" ph="1">
      <c r="R60" s="64"/>
      <c r="S60" s="64"/>
      <c r="T60" s="64"/>
      <c r="AH60" s="64" ph="1">
        <v>1</v>
      </c>
      <c r="AI60" s="64" t="s" ph="1">
        <v>383</v>
      </c>
      <c r="AY60" s="64" t="s" ph="1">
        <v>216</v>
      </c>
      <c r="AZ60" s="64" t="s" ph="1">
        <v>367</v>
      </c>
    </row>
    <row r="61" spans="16:52" ph="1">
      <c r="AH61" s="64" ph="1">
        <v>2</v>
      </c>
      <c r="AI61" s="64" t="s" ph="1">
        <v>384</v>
      </c>
      <c r="AS61" s="64" t="s" ph="1">
        <v>217</v>
      </c>
      <c r="AY61" s="64" t="s" ph="1">
        <v>216</v>
      </c>
      <c r="AZ61" s="64" t="s" ph="1">
        <v>367</v>
      </c>
    </row>
    <row r="62" spans="16:52" ph="1">
      <c r="AZ62" s="64" t="s" ph="1">
        <v>385</v>
      </c>
    </row>
    <row r="63" spans="16:52" ph="1">
      <c r="AG63" s="64" t="s" ph="1">
        <v>238</v>
      </c>
      <c r="AI63" s="64" t="s" ph="1">
        <v>209</v>
      </c>
      <c r="AJ63" s="64" t="s" ph="1">
        <v>210</v>
      </c>
      <c r="AK63" s="64" t="s" ph="1">
        <v>211</v>
      </c>
      <c r="AM63" s="64" t="s" ph="1">
        <v>210</v>
      </c>
      <c r="AN63" s="64" t="s" ph="1">
        <v>211</v>
      </c>
      <c r="AO63" s="64" t="s" ph="1">
        <v>212</v>
      </c>
      <c r="AP63" s="64" t="s" ph="1">
        <v>210</v>
      </c>
      <c r="AQ63" s="64" t="s" ph="1">
        <v>211</v>
      </c>
      <c r="AR63" s="64" t="s" ph="1">
        <v>212</v>
      </c>
      <c r="AS63" s="64" t="s" ph="1">
        <v>210</v>
      </c>
      <c r="AT63" s="64" t="s" ph="1">
        <v>211</v>
      </c>
      <c r="AU63" s="64" t="s" ph="1">
        <v>212</v>
      </c>
      <c r="AV63" s="64" t="s" ph="1">
        <v>210</v>
      </c>
      <c r="AW63" s="64" t="s" ph="1">
        <v>211</v>
      </c>
      <c r="AX63" s="64" t="s" ph="1">
        <v>212</v>
      </c>
      <c r="AY63" s="64" t="s" ph="1">
        <v>211</v>
      </c>
      <c r="AZ63" s="64" t="s" ph="1">
        <v>213</v>
      </c>
    </row>
    <row r="64" spans="16:52" ph="1">
      <c r="AH64" s="64" ph="1">
        <v>1</v>
      </c>
      <c r="AI64" s="64" t="s" ph="1">
        <v>386</v>
      </c>
      <c r="AJ64" s="64" t="s" ph="1">
        <v>387</v>
      </c>
      <c r="AK64" s="64" t="s" ph="1">
        <v>388</v>
      </c>
      <c r="AY64" s="64" t="s" ph="1">
        <v>216</v>
      </c>
      <c r="AZ64" s="64" t="s" ph="1">
        <v>388</v>
      </c>
    </row>
    <row r="65" spans="33:52" ph="1">
      <c r="AH65" s="64" ph="1">
        <v>2</v>
      </c>
      <c r="AI65" s="64" t="s" ph="1">
        <v>389</v>
      </c>
      <c r="AY65" s="64" t="s" ph="1">
        <v>216</v>
      </c>
      <c r="AZ65" s="64" t="s" ph="1">
        <v>367</v>
      </c>
    </row>
    <row r="66" spans="33:52" ph="1">
      <c r="AH66" s="64" ph="1">
        <v>3</v>
      </c>
      <c r="AI66" s="64" t="s" ph="1">
        <v>390</v>
      </c>
      <c r="AY66" s="64" t="s" ph="1">
        <v>216</v>
      </c>
      <c r="AZ66" s="64" t="s" ph="1">
        <v>367</v>
      </c>
    </row>
    <row r="67" spans="33:52" ph="1">
      <c r="AH67" s="64" ph="1">
        <v>4</v>
      </c>
      <c r="AI67" s="64" t="s" ph="1">
        <v>391</v>
      </c>
      <c r="AY67" s="64" t="s" ph="1">
        <v>216</v>
      </c>
      <c r="AZ67" s="64" t="s" ph="1">
        <v>367</v>
      </c>
    </row>
    <row r="68" spans="33:52" ph="1">
      <c r="AH68" s="64" ph="1">
        <v>5</v>
      </c>
      <c r="AI68" s="64" t="s" ph="1">
        <v>392</v>
      </c>
      <c r="AY68" s="64" t="s" ph="1">
        <v>216</v>
      </c>
      <c r="AZ68" s="64" t="s" ph="1">
        <v>367</v>
      </c>
    </row>
    <row r="69" spans="33:52" ph="1">
      <c r="AH69" s="64" ph="1">
        <v>6</v>
      </c>
      <c r="AI69" s="64" t="s" ph="1">
        <v>393</v>
      </c>
      <c r="AY69" s="64" t="s" ph="1">
        <v>216</v>
      </c>
      <c r="AZ69" s="64" t="s" ph="1">
        <v>367</v>
      </c>
    </row>
    <row r="70" spans="33:52" ph="1">
      <c r="AI70" s="64" t="s" ph="1">
        <v>394</v>
      </c>
      <c r="AY70" s="64" t="s" ph="1">
        <v>216</v>
      </c>
      <c r="AZ70" s="64" t="s" ph="1">
        <v>367</v>
      </c>
    </row>
    <row r="71" spans="33:52" ph="1">
      <c r="AH71" s="64" ph="1">
        <v>7</v>
      </c>
      <c r="AI71" s="64" t="s" ph="1">
        <v>395</v>
      </c>
      <c r="AJ71" s="64" t="s" ph="1">
        <v>334</v>
      </c>
      <c r="AK71" s="64" t="s" ph="1">
        <v>228</v>
      </c>
      <c r="AM71" s="64" t="s" ph="1">
        <v>336</v>
      </c>
      <c r="AN71" s="64" t="s" ph="1">
        <v>228</v>
      </c>
      <c r="AO71" s="64" t="s" ph="1">
        <v>396</v>
      </c>
      <c r="AP71" s="64" t="s" ph="1">
        <v>570</v>
      </c>
      <c r="AQ71" s="64" t="s" ph="1">
        <v>219</v>
      </c>
      <c r="AR71" s="64" t="s" ph="1">
        <v>396</v>
      </c>
      <c r="AY71" s="64" t="s" ph="1">
        <v>216</v>
      </c>
      <c r="AZ71" s="64" t="s" ph="1">
        <v>578</v>
      </c>
    </row>
    <row r="72" spans="33:52" ph="1">
      <c r="AZ72" s="64" t="s" ph="1">
        <v>579</v>
      </c>
    </row>
    <row r="73" spans="33:52" ph="1">
      <c r="AG73" s="64" t="s" ph="1">
        <v>241</v>
      </c>
      <c r="AI73" s="64" t="s" ph="1">
        <v>209</v>
      </c>
      <c r="AJ73" s="64" t="s" ph="1">
        <v>210</v>
      </c>
      <c r="AK73" s="64" t="s" ph="1">
        <v>211</v>
      </c>
      <c r="AM73" s="64" t="s" ph="1">
        <v>210</v>
      </c>
      <c r="AN73" s="64" t="s" ph="1">
        <v>211</v>
      </c>
      <c r="AO73" s="64" t="s" ph="1">
        <v>212</v>
      </c>
      <c r="AP73" s="64" t="s" ph="1">
        <v>210</v>
      </c>
      <c r="AQ73" s="64" t="s" ph="1">
        <v>211</v>
      </c>
      <c r="AR73" s="64" t="s" ph="1">
        <v>212</v>
      </c>
      <c r="AS73" s="64" t="s" ph="1">
        <v>210</v>
      </c>
      <c r="AT73" s="64" t="s" ph="1">
        <v>211</v>
      </c>
      <c r="AU73" s="64" t="s" ph="1">
        <v>212</v>
      </c>
      <c r="AV73" s="64" t="s" ph="1">
        <v>210</v>
      </c>
      <c r="AW73" s="64" t="s" ph="1">
        <v>211</v>
      </c>
      <c r="AX73" s="64" t="s" ph="1">
        <v>212</v>
      </c>
      <c r="AY73" s="64" t="s" ph="1">
        <v>211</v>
      </c>
      <c r="AZ73" s="64" t="s" ph="1">
        <v>213</v>
      </c>
    </row>
    <row r="74" spans="33:52" ph="1">
      <c r="AH74" s="64" ph="1">
        <v>1</v>
      </c>
      <c r="AI74" s="64" t="s" ph="1">
        <v>397</v>
      </c>
      <c r="AJ74" s="64" t="s" ph="1">
        <v>242</v>
      </c>
      <c r="AK74" s="64" t="s" ph="1">
        <v>224</v>
      </c>
      <c r="AM74" s="64" t="s" ph="1">
        <v>244</v>
      </c>
      <c r="AN74" s="64" t="s" ph="1">
        <v>254</v>
      </c>
      <c r="AO74" s="64" t="s" ph="1">
        <v>243</v>
      </c>
      <c r="AP74" s="64" t="s" ph="1">
        <v>245</v>
      </c>
      <c r="AQ74" s="64" t="s" ph="1">
        <v>222</v>
      </c>
      <c r="AR74" s="64" t="s" ph="1">
        <v>243</v>
      </c>
      <c r="AS74" s="64" t="s" ph="1">
        <v>215</v>
      </c>
      <c r="AT74" s="64" t="s" ph="1">
        <v>217</v>
      </c>
      <c r="AV74" s="64" t="s" ph="1">
        <v>398</v>
      </c>
      <c r="AW74" s="64" t="s" ph="1">
        <v>399</v>
      </c>
      <c r="AX74" s="64" t="s" ph="1">
        <v>400</v>
      </c>
      <c r="AY74" s="64" t="s" ph="1">
        <v>216</v>
      </c>
      <c r="AZ74" s="64" t="s" ph="1">
        <v>401</v>
      </c>
    </row>
    <row r="75" spans="33:52" ph="1">
      <c r="AJ75" s="64" t="s" ph="1">
        <v>247</v>
      </c>
      <c r="AK75" s="64" t="s" ph="1">
        <v>300</v>
      </c>
      <c r="AM75" s="64" t="s" ph="1">
        <v>245</v>
      </c>
      <c r="AN75" s="64" t="s" ph="1">
        <v>225</v>
      </c>
      <c r="AO75" s="64" t="s" ph="1">
        <v>243</v>
      </c>
      <c r="AS75" s="64" t="s" ph="1">
        <v>215</v>
      </c>
      <c r="AT75" s="64" t="s" ph="1">
        <v>246</v>
      </c>
    </row>
    <row r="76" spans="33:52" ph="1">
      <c r="AJ76" s="64" t="s" ph="1">
        <v>247</v>
      </c>
      <c r="AK76" s="64" t="s" ph="1">
        <v>240</v>
      </c>
      <c r="AM76" s="64" t="s" ph="1">
        <v>245</v>
      </c>
      <c r="AN76" s="64" t="s" ph="1">
        <v>228</v>
      </c>
      <c r="AO76" s="64" t="s" ph="1">
        <v>243</v>
      </c>
      <c r="AS76" s="64" t="s" ph="1">
        <v>215</v>
      </c>
      <c r="AT76" s="64" t="s" ph="1">
        <v>246</v>
      </c>
    </row>
    <row r="77" spans="33:52" ph="1">
      <c r="AJ77" s="64" t="s" ph="1">
        <v>283</v>
      </c>
      <c r="AK77" s="64" t="s" ph="1">
        <v>240</v>
      </c>
      <c r="AM77" s="64" t="s" ph="1">
        <v>284</v>
      </c>
      <c r="AN77" s="64" t="s" ph="1">
        <v>223</v>
      </c>
      <c r="AO77" s="64" t="s" ph="1">
        <v>243</v>
      </c>
      <c r="AS77" s="64" t="s" ph="1">
        <v>215</v>
      </c>
      <c r="AT77" s="64" t="s" ph="1">
        <v>285</v>
      </c>
    </row>
    <row r="78" spans="33:52" ph="1">
      <c r="AH78" s="64" ph="1">
        <v>2</v>
      </c>
      <c r="AI78" s="64" t="s" ph="1">
        <v>249</v>
      </c>
      <c r="AJ78" s="64" t="s" ph="1">
        <v>250</v>
      </c>
      <c r="AK78" s="64" t="s" ph="1">
        <v>219</v>
      </c>
      <c r="AM78" s="64" t="s" ph="1">
        <v>251</v>
      </c>
      <c r="AN78" s="64" t="s" ph="1">
        <v>254</v>
      </c>
      <c r="AO78" s="64" t="s" ph="1">
        <v>243</v>
      </c>
      <c r="AP78" s="64" t="s" ph="1">
        <v>252</v>
      </c>
      <c r="AQ78" s="64" t="s" ph="1">
        <v>298</v>
      </c>
      <c r="AR78" s="64" t="s" ph="1">
        <v>243</v>
      </c>
      <c r="AS78" s="64" t="s" ph="1">
        <v>253</v>
      </c>
      <c r="AT78" s="64" t="s" ph="1">
        <v>254</v>
      </c>
      <c r="AU78" s="64" t="s" ph="1">
        <v>243</v>
      </c>
      <c r="AV78" s="64" t="s" ph="1">
        <v>255</v>
      </c>
      <c r="AW78" s="64" t="s" ph="1">
        <v>243</v>
      </c>
      <c r="AY78" s="64" t="s" ph="1">
        <v>216</v>
      </c>
      <c r="AZ78" s="64" t="s" ph="1">
        <v>402</v>
      </c>
    </row>
    <row r="79" spans="33:52" ph="1">
      <c r="AJ79" s="64" t="s" ph="1">
        <v>245</v>
      </c>
      <c r="AK79" s="64" t="s" ph="1">
        <v>256</v>
      </c>
      <c r="AM79" s="64" t="s" ph="1">
        <v>257</v>
      </c>
      <c r="AN79" s="64" t="s" ph="1">
        <v>225</v>
      </c>
      <c r="AO79" s="64" t="s" ph="1">
        <v>243</v>
      </c>
      <c r="AP79" s="64" t="s" ph="1">
        <v>258</v>
      </c>
      <c r="AQ79" s="64" t="s" ph="1">
        <v>223</v>
      </c>
      <c r="AR79" s="64" t="s" ph="1">
        <v>259</v>
      </c>
      <c r="AS79" s="64" t="s" ph="1">
        <v>215</v>
      </c>
      <c r="AT79" s="64" t="s" ph="1">
        <v>260</v>
      </c>
      <c r="AV79" s="64" t="s" ph="1">
        <v>403</v>
      </c>
      <c r="AW79" s="64" t="s" ph="1">
        <v>302</v>
      </c>
      <c r="AX79" s="64" t="s" ph="1">
        <v>400</v>
      </c>
    </row>
    <row r="80" spans="33:52" ph="1">
      <c r="AH80" s="64" ph="1">
        <v>3</v>
      </c>
      <c r="AI80" s="64" t="s" ph="1">
        <v>261</v>
      </c>
      <c r="AJ80" s="64" t="s" ph="1">
        <v>262</v>
      </c>
      <c r="AK80" s="64" t="s" ph="1">
        <v>263</v>
      </c>
      <c r="AM80" s="64" t="s" ph="1">
        <v>264</v>
      </c>
      <c r="AN80" s="64" t="s" ph="1">
        <v>254</v>
      </c>
      <c r="AO80" s="64" t="s" ph="1">
        <v>243</v>
      </c>
      <c r="AP80" s="64" t="s" ph="1">
        <v>265</v>
      </c>
      <c r="AQ80" s="64" t="s" ph="1">
        <v>228</v>
      </c>
      <c r="AR80" s="64" t="s" ph="1">
        <v>243</v>
      </c>
      <c r="AS80" s="64" t="s" ph="1">
        <v>266</v>
      </c>
      <c r="AT80" s="64" t="s" ph="1">
        <v>227</v>
      </c>
      <c r="AU80" s="64" t="s" ph="1">
        <v>243</v>
      </c>
      <c r="AV80" s="64" t="s" ph="1">
        <v>267</v>
      </c>
      <c r="AW80" s="64" t="s" ph="1">
        <v>243</v>
      </c>
      <c r="AY80" s="64" t="s" ph="1">
        <v>216</v>
      </c>
      <c r="AZ80" s="64" t="s" ph="1">
        <v>404</v>
      </c>
    </row>
    <row r="81" spans="34:52" ph="1">
      <c r="AJ81" s="64" t="s" ph="1">
        <v>268</v>
      </c>
      <c r="AK81" s="64" t="s" ph="1">
        <v>222</v>
      </c>
      <c r="AM81" s="64" t="s" ph="1">
        <v>269</v>
      </c>
      <c r="AN81" s="64" t="s" ph="1">
        <v>225</v>
      </c>
      <c r="AO81" s="64" t="s" ph="1">
        <v>243</v>
      </c>
      <c r="AP81" s="64" t="s" ph="1">
        <v>270</v>
      </c>
      <c r="AQ81" s="64" t="s" ph="1">
        <v>254</v>
      </c>
      <c r="AR81" s="64" t="s" ph="1">
        <v>243</v>
      </c>
      <c r="AS81" s="64" t="s" ph="1">
        <v>271</v>
      </c>
      <c r="AT81" s="64" t="s" ph="1">
        <v>272</v>
      </c>
      <c r="AU81" s="64" t="s" ph="1">
        <v>243</v>
      </c>
      <c r="AV81" s="64" t="s" ph="1">
        <v>273</v>
      </c>
    </row>
    <row r="82" spans="34:52" ph="1">
      <c r="AJ82" s="64" t="s" ph="1">
        <v>274</v>
      </c>
      <c r="AK82" s="64" t="s" ph="1">
        <v>222</v>
      </c>
      <c r="AM82" s="64" t="s" ph="1">
        <v>275</v>
      </c>
      <c r="AN82" s="64" t="s" ph="1">
        <v>272</v>
      </c>
      <c r="AO82" s="64" t="s" ph="1">
        <v>276</v>
      </c>
      <c r="AP82" s="64" t="s" ph="1">
        <v>277</v>
      </c>
      <c r="AQ82" s="64" t="s" ph="1">
        <v>254</v>
      </c>
      <c r="AR82" s="64" t="s" ph="1">
        <v>243</v>
      </c>
      <c r="AS82" s="64" t="s" ph="1">
        <v>278</v>
      </c>
      <c r="AT82" s="64" t="s" ph="1">
        <v>229</v>
      </c>
      <c r="AU82" s="64" t="s" ph="1">
        <v>243</v>
      </c>
      <c r="AV82" s="64" t="s" ph="1">
        <v>403</v>
      </c>
      <c r="AW82" s="64" t="s" ph="1">
        <v>303</v>
      </c>
      <c r="AX82" s="64" t="s" ph="1">
        <v>400</v>
      </c>
    </row>
    <row r="83" spans="34:52" ph="1">
      <c r="AJ83" s="64" t="s" ph="1">
        <v>279</v>
      </c>
      <c r="AK83" s="64" t="s" ph="1">
        <v>296</v>
      </c>
      <c r="AM83" s="64" t="s" ph="1">
        <v>280</v>
      </c>
      <c r="AN83" s="64" t="s" ph="1">
        <v>228</v>
      </c>
      <c r="AO83" s="64" t="s" ph="1">
        <v>259</v>
      </c>
      <c r="AP83" s="64" t="s" ph="1">
        <v>281</v>
      </c>
      <c r="AQ83" s="64" t="s" ph="1">
        <v>282</v>
      </c>
      <c r="AR83" s="64" t="s" ph="1">
        <v>259</v>
      </c>
      <c r="AS83" s="64" t="s" ph="1">
        <v>405</v>
      </c>
      <c r="AT83" s="64" t="s" ph="1">
        <v>254</v>
      </c>
      <c r="AU83" s="64" t="s" ph="1">
        <v>259</v>
      </c>
      <c r="AV83" s="64" t="s" ph="1">
        <v>406</v>
      </c>
      <c r="AW83" s="64" t="s" ph="1">
        <v>303</v>
      </c>
      <c r="AX83" s="64" t="s" ph="1">
        <v>407</v>
      </c>
    </row>
    <row r="84" spans="34:52" ph="1">
      <c r="AH84" s="64" ph="1">
        <v>4</v>
      </c>
      <c r="AI84" s="64" t="s" ph="1">
        <v>286</v>
      </c>
      <c r="AJ84" s="64" t="s" ph="1">
        <v>226</v>
      </c>
      <c r="AK84" s="64" t="s" ph="1">
        <v>229</v>
      </c>
      <c r="AM84" s="64" t="s" ph="1">
        <v>230</v>
      </c>
      <c r="AN84" s="64" t="s" ph="1">
        <v>223</v>
      </c>
      <c r="AO84" s="64" t="s" ph="1">
        <v>259</v>
      </c>
      <c r="AP84" s="64" t="s" ph="1">
        <v>288</v>
      </c>
      <c r="AQ84" s="64" t="s" ph="1">
        <v>222</v>
      </c>
      <c r="AR84" s="64" t="s" ph="1">
        <v>259</v>
      </c>
      <c r="AS84" s="64" t="s" ph="1">
        <v>288</v>
      </c>
      <c r="AT84" s="64" t="s" ph="1">
        <v>224</v>
      </c>
      <c r="AU84" s="64" t="s" ph="1">
        <v>259</v>
      </c>
      <c r="AY84" s="64" t="s" ph="1">
        <v>216</v>
      </c>
      <c r="AZ84" s="64" t="s" ph="1">
        <v>408</v>
      </c>
    </row>
    <row r="85" spans="34:52" ph="1">
      <c r="AJ85" s="64" t="s" ph="1">
        <v>218</v>
      </c>
      <c r="AK85" s="64" t="s" ph="1">
        <v>222</v>
      </c>
      <c r="AM85" s="64" t="s" ph="1">
        <v>409</v>
      </c>
      <c r="AN85" s="64" t="s" ph="1">
        <v>229</v>
      </c>
      <c r="AO85" s="64" t="s" ph="1">
        <v>259</v>
      </c>
      <c r="AP85" s="64" t="s" ph="1">
        <v>410</v>
      </c>
      <c r="AQ85" s="64" t="s" ph="1">
        <v>225</v>
      </c>
      <c r="AR85" s="64" t="s" ph="1">
        <v>259</v>
      </c>
      <c r="AS85" s="64" t="s" ph="1">
        <v>411</v>
      </c>
      <c r="AT85" s="64" t="s" ph="1">
        <v>225</v>
      </c>
      <c r="AU85" s="64" t="s" ph="1">
        <v>259</v>
      </c>
    </row>
    <row r="86" spans="34:52" ph="1">
      <c r="AJ86" s="64" t="s" ph="1">
        <v>412</v>
      </c>
      <c r="AK86" s="64" t="s" ph="1">
        <v>231</v>
      </c>
      <c r="AM86" s="64" t="s" ph="1">
        <v>413</v>
      </c>
      <c r="AN86" s="64" t="s" ph="1">
        <v>272</v>
      </c>
      <c r="AO86" s="64" t="s" ph="1">
        <v>259</v>
      </c>
      <c r="AP86" s="64" t="s" ph="1">
        <v>414</v>
      </c>
      <c r="AQ86" s="64" t="s" ph="1">
        <v>219</v>
      </c>
      <c r="AR86" s="64" t="s" ph="1">
        <v>259</v>
      </c>
      <c r="AS86" s="64" t="s" ph="1">
        <v>415</v>
      </c>
      <c r="AT86" s="64" t="s" ph="1">
        <v>237</v>
      </c>
      <c r="AU86" s="64" t="s" ph="1">
        <v>259</v>
      </c>
    </row>
    <row r="87" spans="34:52" ph="1">
      <c r="AJ87" s="64" t="s" ph="1">
        <v>416</v>
      </c>
      <c r="AK87" s="64" t="s" ph="1">
        <v>272</v>
      </c>
      <c r="AM87" s="64" t="s" ph="1">
        <v>403</v>
      </c>
      <c r="AN87" s="64" t="s" ph="1">
        <v>417</v>
      </c>
      <c r="AO87" s="64" t="s" ph="1">
        <v>400</v>
      </c>
    </row>
    <row r="88" spans="34:52" ph="1">
      <c r="AH88" s="64" ph="1">
        <v>5</v>
      </c>
      <c r="AI88" s="64" t="s" ph="1">
        <v>289</v>
      </c>
      <c r="AJ88" s="64" t="s" ph="1">
        <v>418</v>
      </c>
      <c r="AK88" s="64" t="s" ph="1">
        <v>272</v>
      </c>
      <c r="AM88" s="64" t="s" ph="1">
        <v>419</v>
      </c>
      <c r="AN88" s="64" t="s" ph="1">
        <v>272</v>
      </c>
      <c r="AO88" s="64" t="s" ph="1">
        <v>259</v>
      </c>
      <c r="AP88" s="64" t="s" ph="1">
        <v>420</v>
      </c>
      <c r="AQ88" s="64" t="s" ph="1">
        <v>222</v>
      </c>
      <c r="AR88" s="64" t="s" ph="1">
        <v>259</v>
      </c>
      <c r="AS88" s="64" t="s" ph="1">
        <v>421</v>
      </c>
      <c r="AT88" s="64" t="s" ph="1">
        <v>272</v>
      </c>
      <c r="AU88" s="64" t="s" ph="1">
        <v>259</v>
      </c>
      <c r="AV88" s="64" t="s" ph="1">
        <v>422</v>
      </c>
      <c r="AW88" s="64" t="s" ph="1">
        <v>227</v>
      </c>
      <c r="AX88" s="64" t="s" ph="1">
        <v>259</v>
      </c>
      <c r="AY88" s="64" t="s" ph="1">
        <v>216</v>
      </c>
      <c r="AZ88" s="64" t="s" ph="1">
        <v>423</v>
      </c>
    </row>
    <row r="89" spans="34:52" ph="1">
      <c r="AJ89" s="64" t="s" ph="1">
        <v>424</v>
      </c>
      <c r="AK89" s="64" t="s" ph="1">
        <v>225</v>
      </c>
      <c r="AM89" s="64" t="s" ph="1">
        <v>425</v>
      </c>
      <c r="AN89" s="64" t="s" ph="1">
        <v>228</v>
      </c>
      <c r="AO89" s="64" t="s" ph="1">
        <v>259</v>
      </c>
      <c r="AP89" s="64" t="s" ph="1">
        <v>426</v>
      </c>
      <c r="AQ89" s="64" t="s" ph="1">
        <v>237</v>
      </c>
      <c r="AR89" s="64" t="s" ph="1">
        <v>259</v>
      </c>
      <c r="AS89" s="64" t="s" ph="1">
        <v>427</v>
      </c>
      <c r="AT89" s="64" t="s" ph="1">
        <v>272</v>
      </c>
      <c r="AU89" s="64" t="s" ph="1">
        <v>259</v>
      </c>
      <c r="AV89" s="64" t="s" ph="1">
        <v>428</v>
      </c>
      <c r="AW89" s="64" t="s" ph="1">
        <v>254</v>
      </c>
      <c r="AX89" s="64" t="s" ph="1">
        <v>287</v>
      </c>
    </row>
    <row r="90" spans="34:52" ph="1">
      <c r="AJ90" s="64" t="s" ph="1">
        <v>429</v>
      </c>
      <c r="AK90" s="64" t="s" ph="1">
        <v>228</v>
      </c>
      <c r="AM90" s="64" t="s" ph="1">
        <v>430</v>
      </c>
      <c r="AN90" s="64" t="s" ph="1">
        <v>225</v>
      </c>
      <c r="AO90" s="64" t="s" ph="1">
        <v>259</v>
      </c>
      <c r="AP90" s="64" t="s" ph="1">
        <v>431</v>
      </c>
      <c r="AQ90" s="64" t="s" ph="1">
        <v>294</v>
      </c>
      <c r="AR90" s="64" t="s" ph="1">
        <v>259</v>
      </c>
      <c r="AS90" s="64" t="s" ph="1">
        <v>432</v>
      </c>
      <c r="AT90" s="64" t="s" ph="1">
        <v>282</v>
      </c>
      <c r="AU90" s="64" t="s" ph="1">
        <v>259</v>
      </c>
      <c r="AV90" s="64" t="s" ph="1">
        <v>433</v>
      </c>
      <c r="AW90" s="64" t="s" ph="1">
        <v>219</v>
      </c>
      <c r="AX90" s="64" t="s" ph="1">
        <v>259</v>
      </c>
    </row>
    <row r="91" spans="34:52" ph="1">
      <c r="AJ91" s="64" t="s" ph="1">
        <v>434</v>
      </c>
      <c r="AK91" s="64" t="s" ph="1">
        <v>272</v>
      </c>
      <c r="AM91" s="64" t="s" ph="1">
        <v>435</v>
      </c>
      <c r="AN91" s="64" t="s" ph="1">
        <v>239</v>
      </c>
      <c r="AO91" s="64" t="s" ph="1">
        <v>259</v>
      </c>
      <c r="AP91" s="64" t="s" ph="1">
        <v>436</v>
      </c>
      <c r="AQ91" s="64" t="s" ph="1">
        <v>219</v>
      </c>
      <c r="AS91" s="64" t="s" ph="1">
        <v>403</v>
      </c>
      <c r="AT91" s="64" t="s" ph="1">
        <v>399</v>
      </c>
      <c r="AU91" s="64" t="s" ph="1">
        <v>400</v>
      </c>
    </row>
    <row r="92" spans="34:52" ph="1">
      <c r="AH92" s="64" ph="1">
        <v>6</v>
      </c>
      <c r="AI92" s="64" t="s" ph="1">
        <v>437</v>
      </c>
      <c r="AJ92" s="64" t="s" ph="1">
        <v>438</v>
      </c>
      <c r="AK92" s="64" t="s" ph="1">
        <v>367</v>
      </c>
      <c r="AM92" s="64" t="s" ph="1">
        <v>439</v>
      </c>
      <c r="AN92" s="64" t="s" ph="1">
        <v>227</v>
      </c>
      <c r="AO92" s="64" t="s" ph="1">
        <v>259</v>
      </c>
      <c r="AP92" s="64" t="s" ph="1">
        <v>440</v>
      </c>
      <c r="AQ92" s="64" t="s" ph="1">
        <v>299</v>
      </c>
      <c r="AR92" s="64" t="s" ph="1">
        <v>259</v>
      </c>
      <c r="AS92" s="64" t="s" ph="1">
        <v>441</v>
      </c>
      <c r="AT92" s="64" t="s" ph="1">
        <v>272</v>
      </c>
      <c r="AU92" s="64" t="s" ph="1">
        <v>259</v>
      </c>
      <c r="AV92" s="64" t="s" ph="1">
        <v>442</v>
      </c>
      <c r="AW92" s="64" t="s" ph="1">
        <v>228</v>
      </c>
      <c r="AX92" s="64" t="s" ph="1">
        <v>259</v>
      </c>
      <c r="AY92" s="64" t="s" ph="1">
        <v>216</v>
      </c>
      <c r="AZ92" s="64" t="s" ph="1">
        <v>423</v>
      </c>
    </row>
    <row r="93" spans="34:52" ph="1">
      <c r="AJ93" s="64" t="s" ph="1">
        <v>443</v>
      </c>
      <c r="AK93" s="64" t="s" ph="1">
        <v>222</v>
      </c>
      <c r="AM93" s="64" t="s" ph="1">
        <v>444</v>
      </c>
      <c r="AN93" s="64" t="s" ph="1">
        <v>227</v>
      </c>
      <c r="AO93" s="64" t="s" ph="1">
        <v>259</v>
      </c>
      <c r="AP93" s="64" t="s" ph="1">
        <v>445</v>
      </c>
      <c r="AQ93" s="64" t="s" ph="1">
        <v>231</v>
      </c>
      <c r="AR93" s="64" t="s" ph="1">
        <v>259</v>
      </c>
      <c r="AS93" s="64" t="s" ph="1">
        <v>446</v>
      </c>
      <c r="AT93" s="64" t="s" ph="1">
        <v>237</v>
      </c>
      <c r="AU93" s="64" t="s" ph="1">
        <v>259</v>
      </c>
      <c r="AV93" s="64" t="s" ph="1">
        <v>447</v>
      </c>
      <c r="AW93" s="64" t="s" ph="1">
        <v>231</v>
      </c>
      <c r="AX93" s="64" t="s" ph="1">
        <v>259</v>
      </c>
    </row>
    <row r="94" spans="34:52" ph="1">
      <c r="AJ94" s="64" t="s" ph="1">
        <v>448</v>
      </c>
      <c r="AK94" s="64" t="s" ph="1">
        <v>294</v>
      </c>
      <c r="AM94" s="64" t="s" ph="1">
        <v>449</v>
      </c>
      <c r="AN94" s="64" t="s" ph="1">
        <v>231</v>
      </c>
      <c r="AO94" s="64" t="s" ph="1">
        <v>259</v>
      </c>
      <c r="AP94" s="64" t="s" ph="1">
        <v>450</v>
      </c>
      <c r="AQ94" s="64" t="s" ph="1">
        <v>239</v>
      </c>
      <c r="AR94" s="64" t="s" ph="1">
        <v>259</v>
      </c>
      <c r="AS94" s="64" t="s" ph="1">
        <v>451</v>
      </c>
      <c r="AT94" s="64" t="s" ph="1">
        <v>225</v>
      </c>
      <c r="AU94" s="64" t="s" ph="1">
        <v>259</v>
      </c>
      <c r="AV94" s="64" t="s" ph="1">
        <v>452</v>
      </c>
      <c r="AW94" s="64" t="s" ph="1">
        <v>225</v>
      </c>
      <c r="AX94" s="64" t="s" ph="1">
        <v>259</v>
      </c>
    </row>
    <row r="95" spans="34:52" ph="1">
      <c r="AJ95" s="64" t="s" ph="1">
        <v>453</v>
      </c>
      <c r="AK95" s="64" t="s" ph="1">
        <v>299</v>
      </c>
    </row>
    <row r="96" spans="34:52" ph="1">
      <c r="AH96" s="64" ph="1">
        <v>7</v>
      </c>
      <c r="AI96" s="64" t="s" ph="1">
        <v>454</v>
      </c>
      <c r="AJ96" s="64" t="s" ph="1">
        <v>453</v>
      </c>
      <c r="AK96" s="64" t="s" ph="1">
        <v>254</v>
      </c>
      <c r="AM96" s="64" t="s" ph="1">
        <v>455</v>
      </c>
      <c r="AN96" s="64" t="s" ph="1">
        <v>228</v>
      </c>
      <c r="AO96" s="64" t="s" ph="1">
        <v>259</v>
      </c>
      <c r="AP96" s="64" t="s" ph="1">
        <v>456</v>
      </c>
      <c r="AQ96" s="64" t="s" ph="1">
        <v>272</v>
      </c>
      <c r="AR96" s="64" t="s" ph="1">
        <v>287</v>
      </c>
      <c r="AS96" s="64" t="s" ph="1">
        <v>457</v>
      </c>
      <c r="AT96" s="64" t="s" ph="1">
        <v>231</v>
      </c>
      <c r="AU96" s="64" t="s" ph="1">
        <v>287</v>
      </c>
      <c r="AV96" s="64" t="s" ph="1">
        <v>458</v>
      </c>
      <c r="AW96" s="64" t="s" ph="1">
        <v>227</v>
      </c>
      <c r="AX96" s="64" t="s" ph="1">
        <v>287</v>
      </c>
      <c r="AY96" s="64" t="s" ph="1">
        <v>216</v>
      </c>
      <c r="AZ96" s="64" t="s" ph="1">
        <v>459</v>
      </c>
    </row>
    <row r="97" spans="33:52" ph="1">
      <c r="AJ97" s="64" t="s" ph="1">
        <v>460</v>
      </c>
      <c r="AK97" s="64" t="s" ph="1">
        <v>282</v>
      </c>
      <c r="AM97" s="64" t="s" ph="1">
        <v>461</v>
      </c>
      <c r="AN97" s="64" t="s" ph="1">
        <v>225</v>
      </c>
      <c r="AO97" s="64" t="s" ph="1">
        <v>259</v>
      </c>
      <c r="AP97" s="64" t="s" ph="1">
        <v>462</v>
      </c>
      <c r="AQ97" s="64" t="s" ph="1">
        <v>219</v>
      </c>
      <c r="AR97" s="64" t="s" ph="1">
        <v>287</v>
      </c>
      <c r="AS97" s="64" t="s" ph="1">
        <v>463</v>
      </c>
      <c r="AT97" s="64" t="s" ph="1">
        <v>222</v>
      </c>
      <c r="AU97" s="64" t="s" ph="1">
        <v>287</v>
      </c>
      <c r="AV97" s="64" t="s" ph="1">
        <v>464</v>
      </c>
      <c r="AW97" s="64" t="s" ph="1">
        <v>228</v>
      </c>
      <c r="AX97" s="64" t="s" ph="1">
        <v>287</v>
      </c>
    </row>
    <row r="98" spans="33:52" ph="1">
      <c r="AJ98" s="64" t="s" ph="1">
        <v>465</v>
      </c>
      <c r="AK98" s="64" t="s" ph="1">
        <v>231</v>
      </c>
      <c r="AM98" s="64" t="s" ph="1">
        <v>466</v>
      </c>
      <c r="AN98" s="64" t="s" ph="1">
        <v>239</v>
      </c>
      <c r="AO98" s="64" t="s" ph="1">
        <v>259</v>
      </c>
      <c r="AP98" s="64" t="s" ph="1">
        <v>467</v>
      </c>
      <c r="AQ98" s="64" t="s" ph="1">
        <v>219</v>
      </c>
      <c r="AR98" s="64" t="s" ph="1">
        <v>287</v>
      </c>
      <c r="AS98" s="64" t="s" ph="1">
        <v>468</v>
      </c>
      <c r="AT98" s="64" t="s" ph="1">
        <v>299</v>
      </c>
      <c r="AU98" s="64" t="s" ph="1">
        <v>287</v>
      </c>
      <c r="AV98" s="64" t="s" ph="1">
        <v>469</v>
      </c>
      <c r="AW98" s="64" t="s" ph="1">
        <v>222</v>
      </c>
      <c r="AX98" s="64" t="s" ph="1">
        <v>287</v>
      </c>
    </row>
    <row r="99" spans="33:52" ph="1">
      <c r="AH99" s="64" ph="1">
        <v>8</v>
      </c>
      <c r="AI99" s="64" t="s" ph="1">
        <v>470</v>
      </c>
      <c r="AJ99" s="64" t="s" ph="1">
        <v>471</v>
      </c>
      <c r="AK99" s="64" t="s" ph="1">
        <v>367</v>
      </c>
      <c r="AM99" s="64" t="s" ph="1">
        <v>472</v>
      </c>
      <c r="AN99" s="64" t="s" ph="1">
        <v>254</v>
      </c>
      <c r="AO99" s="64" t="s" ph="1">
        <v>259</v>
      </c>
      <c r="AP99" s="64" t="s" ph="1">
        <v>473</v>
      </c>
      <c r="AQ99" s="64" t="s" ph="1">
        <v>224</v>
      </c>
      <c r="AR99" s="64" t="s" ph="1">
        <v>287</v>
      </c>
      <c r="AS99" s="64" t="s" ph="1">
        <v>474</v>
      </c>
      <c r="AT99" s="64" t="s" ph="1">
        <v>239</v>
      </c>
      <c r="AU99" s="64" t="s" ph="1">
        <v>287</v>
      </c>
      <c r="AV99" s="64" t="s" ph="1">
        <v>475</v>
      </c>
      <c r="AW99" s="64" t="s" ph="1">
        <v>224</v>
      </c>
      <c r="AX99" s="64" t="s" ph="1">
        <v>287</v>
      </c>
      <c r="AY99" s="64" t="s" ph="1">
        <v>216</v>
      </c>
      <c r="AZ99" s="64" t="s" ph="1">
        <v>476</v>
      </c>
    </row>
    <row r="100" spans="33:52" ph="1">
      <c r="AJ100" s="64" t="s" ph="1">
        <v>477</v>
      </c>
      <c r="AK100" s="64" t="s" ph="1">
        <v>222</v>
      </c>
      <c r="AM100" s="64" t="s" ph="1">
        <v>478</v>
      </c>
      <c r="AN100" s="64" t="s" ph="1">
        <v>294</v>
      </c>
      <c r="AO100" s="64" t="s" ph="1">
        <v>259</v>
      </c>
      <c r="AP100" s="64" t="s" ph="1">
        <v>479</v>
      </c>
      <c r="AQ100" s="64" t="s" ph="1">
        <v>300</v>
      </c>
      <c r="AR100" s="64" t="s" ph="1">
        <v>287</v>
      </c>
      <c r="AS100" s="64" t="s" ph="1">
        <v>480</v>
      </c>
      <c r="AT100" s="64" t="s" ph="1">
        <v>367</v>
      </c>
      <c r="AU100" s="64" t="s" ph="1">
        <v>259</v>
      </c>
      <c r="AV100" s="64" t="s" ph="1">
        <v>481</v>
      </c>
      <c r="AW100" s="64" t="s" ph="1">
        <v>367</v>
      </c>
      <c r="AX100" s="64" t="s" ph="1">
        <v>259</v>
      </c>
    </row>
    <row r="101" spans="33:52" ph="1">
      <c r="AJ101" s="64" t="s" ph="1">
        <v>482</v>
      </c>
      <c r="AK101" s="64" t="s" ph="1">
        <v>367</v>
      </c>
      <c r="AM101" s="64" t="s" ph="1">
        <v>483</v>
      </c>
      <c r="AN101" s="64" t="s" ph="1">
        <v>225</v>
      </c>
      <c r="AO101" s="64" t="s" ph="1">
        <v>259</v>
      </c>
      <c r="AP101" s="64" t="s" ph="1">
        <v>484</v>
      </c>
      <c r="AQ101" s="64" t="s" ph="1">
        <v>237</v>
      </c>
      <c r="AR101" s="64" t="s" ph="1">
        <v>287</v>
      </c>
      <c r="AS101" s="64" t="s" ph="1">
        <v>485</v>
      </c>
      <c r="AT101" s="64" t="s" ph="1">
        <v>294</v>
      </c>
      <c r="AU101" s="64" t="s" ph="1">
        <v>287</v>
      </c>
      <c r="AV101" s="64" t="s" ph="1">
        <v>486</v>
      </c>
      <c r="AW101" s="64" t="s" ph="1">
        <v>225</v>
      </c>
      <c r="AX101" s="64" t="s" ph="1">
        <v>259</v>
      </c>
    </row>
    <row r="102" spans="33:52" ph="1">
      <c r="AJ102" s="64" t="s" ph="1">
        <v>487</v>
      </c>
      <c r="AK102" s="64" t="s" ph="1">
        <v>222</v>
      </c>
      <c r="AM102" s="64" t="s" ph="1">
        <v>488</v>
      </c>
      <c r="AN102" s="64" t="s" ph="1">
        <v>231</v>
      </c>
      <c r="AO102" s="64" t="s" ph="1">
        <v>259</v>
      </c>
      <c r="AP102" s="64" t="s" ph="1">
        <v>489</v>
      </c>
      <c r="AQ102" s="64" t="s" ph="1">
        <v>237</v>
      </c>
      <c r="AR102" s="64" t="s" ph="1">
        <v>259</v>
      </c>
      <c r="AS102" s="64" t="s" ph="1">
        <v>490</v>
      </c>
      <c r="AT102" s="64" t="s" ph="1">
        <v>254</v>
      </c>
      <c r="AU102" s="64" t="s" ph="1">
        <v>259</v>
      </c>
      <c r="AV102" s="64" t="s" ph="1">
        <v>491</v>
      </c>
      <c r="AW102" s="64" t="s" ph="1">
        <v>272</v>
      </c>
      <c r="AX102" s="64" t="s" ph="1">
        <v>259</v>
      </c>
    </row>
    <row r="103" spans="33:52" ph="1">
      <c r="AH103" s="64" ph="1">
        <v>9</v>
      </c>
      <c r="AI103" s="64" t="s" ph="1">
        <v>492</v>
      </c>
      <c r="AJ103" s="64" t="s" ph="1">
        <v>493</v>
      </c>
      <c r="AK103" s="64" t="s" ph="1">
        <v>367</v>
      </c>
      <c r="AM103" s="64" t="s" ph="1">
        <v>494</v>
      </c>
      <c r="AN103" s="64" t="s" ph="1">
        <v>282</v>
      </c>
      <c r="AO103" s="64" t="s" ph="1">
        <v>259</v>
      </c>
      <c r="AP103" s="64" t="s" ph="1">
        <v>336</v>
      </c>
      <c r="AQ103" s="64" t="s" ph="1">
        <v>225</v>
      </c>
      <c r="AR103" s="64" t="s" ph="1">
        <v>259</v>
      </c>
      <c r="AS103" s="64" t="s" ph="1">
        <v>570</v>
      </c>
      <c r="AT103" s="64" t="s" ph="1">
        <v>367</v>
      </c>
      <c r="AU103" s="64" t="s" ph="1">
        <v>259</v>
      </c>
      <c r="AY103" s="64" t="s" ph="1">
        <v>216</v>
      </c>
      <c r="AZ103" s="64" t="s" ph="1">
        <v>224</v>
      </c>
    </row>
    <row r="104" spans="33:52" ph="1">
      <c r="AZ104" s="64" t="s" ph="1">
        <v>495</v>
      </c>
    </row>
    <row r="105" spans="33:52" ph="1">
      <c r="AG105" s="64" t="s" ph="1">
        <v>295</v>
      </c>
      <c r="AI105" s="64" t="s" ph="1">
        <v>209</v>
      </c>
      <c r="AJ105" s="64" t="s" ph="1">
        <v>210</v>
      </c>
      <c r="AK105" s="64" t="s" ph="1">
        <v>211</v>
      </c>
      <c r="AM105" s="64" t="s" ph="1">
        <v>210</v>
      </c>
      <c r="AN105" s="64" t="s" ph="1">
        <v>211</v>
      </c>
      <c r="AO105" s="64" t="s" ph="1">
        <v>212</v>
      </c>
      <c r="AP105" s="64" t="s" ph="1">
        <v>210</v>
      </c>
      <c r="AQ105" s="64" t="s" ph="1">
        <v>211</v>
      </c>
      <c r="AR105" s="64" t="s" ph="1">
        <v>212</v>
      </c>
      <c r="AS105" s="64" t="s" ph="1">
        <v>210</v>
      </c>
      <c r="AT105" s="64" t="s" ph="1">
        <v>211</v>
      </c>
      <c r="AU105" s="64" t="s" ph="1">
        <v>212</v>
      </c>
      <c r="AV105" s="64" t="s" ph="1">
        <v>210</v>
      </c>
      <c r="AW105" s="64" t="s" ph="1">
        <v>211</v>
      </c>
      <c r="AX105" s="64" t="s" ph="1">
        <v>212</v>
      </c>
      <c r="AZ105" s="64" t="s" ph="1">
        <v>213</v>
      </c>
    </row>
    <row r="106" spans="33:52" ph="1">
      <c r="AH106" s="64" ph="1">
        <v>1</v>
      </c>
      <c r="AI106" s="64" t="s" ph="1">
        <v>496</v>
      </c>
      <c r="AJ106" s="64" t="s" ph="1">
        <v>570</v>
      </c>
      <c r="AK106" s="64" t="s" ph="1">
        <v>231</v>
      </c>
      <c r="AZ106" s="64" t="s" ph="1">
        <v>231</v>
      </c>
    </row>
    <row r="107" spans="33:52" ph="1">
      <c r="AH107" s="64" ph="1">
        <v>2</v>
      </c>
      <c r="AI107" s="64" t="s" ph="1">
        <v>497</v>
      </c>
      <c r="AJ107" s="64" t="s" ph="1">
        <v>498</v>
      </c>
      <c r="AK107" s="64" t="s" ph="1">
        <v>228</v>
      </c>
      <c r="AM107" s="64" t="s" ph="1">
        <v>334</v>
      </c>
      <c r="AN107" s="64" t="s" ph="1">
        <v>499</v>
      </c>
      <c r="AO107" s="64" t="s" ph="1">
        <v>500</v>
      </c>
      <c r="AP107" s="64" t="s" ph="1">
        <v>336</v>
      </c>
      <c r="AQ107" s="64" t="s" ph="1">
        <v>304</v>
      </c>
      <c r="AR107" s="64" t="s" ph="1">
        <v>500</v>
      </c>
      <c r="AS107" s="64" t="s" ph="1">
        <v>570</v>
      </c>
      <c r="AT107" s="64" t="s" ph="1">
        <v>499</v>
      </c>
      <c r="AU107" s="64" t="s" ph="1">
        <v>500</v>
      </c>
      <c r="AY107" s="64" t="s" ph="1">
        <v>216</v>
      </c>
      <c r="AZ107" s="64" t="s" ph="1">
        <v>580</v>
      </c>
    </row>
    <row r="108" spans="33:52" ph="1">
      <c r="AH108" s="64" ph="1">
        <v>3</v>
      </c>
      <c r="AI108" s="64" t="s" ph="1">
        <v>501</v>
      </c>
      <c r="AY108" s="64" t="s" ph="1">
        <v>216</v>
      </c>
      <c r="AZ108" s="64" t="s" ph="1">
        <v>367</v>
      </c>
    </row>
    <row r="109" spans="33:52" ph="1">
      <c r="AH109" s="64" ph="1">
        <v>4</v>
      </c>
      <c r="AI109" s="64" t="s" ph="1">
        <v>502</v>
      </c>
      <c r="AY109" s="64" t="s" ph="1">
        <v>216</v>
      </c>
      <c r="AZ109" s="64" t="s" ph="1">
        <v>367</v>
      </c>
    </row>
    <row r="110" spans="33:52" ph="1">
      <c r="AH110" s="64" ph="1">
        <v>5</v>
      </c>
      <c r="AI110" s="64" t="s" ph="1">
        <v>503</v>
      </c>
      <c r="AY110" s="64" t="s" ph="1">
        <v>216</v>
      </c>
      <c r="AZ110" s="64" t="s" ph="1">
        <v>367</v>
      </c>
    </row>
    <row r="111" spans="33:52" ph="1">
      <c r="AH111" s="64" ph="1">
        <v>6</v>
      </c>
      <c r="AI111" s="64" t="s" ph="1">
        <v>581</v>
      </c>
      <c r="AJ111" s="64" t="s" ph="1">
        <v>486</v>
      </c>
      <c r="AK111" s="64" t="s" ph="1">
        <v>225</v>
      </c>
      <c r="AM111" s="64" t="s" ph="1">
        <v>487</v>
      </c>
      <c r="AN111" s="64" t="s" ph="1">
        <v>219</v>
      </c>
      <c r="AO111" s="64" t="s" ph="1">
        <v>500</v>
      </c>
      <c r="AP111" s="64" t="s" ph="1">
        <v>488</v>
      </c>
      <c r="AQ111" s="64" t="s" ph="1">
        <v>228</v>
      </c>
      <c r="AR111" s="64" t="s" ph="1">
        <v>500</v>
      </c>
      <c r="AS111" s="64" t="s" ph="1">
        <v>489</v>
      </c>
      <c r="AT111" s="64" t="s" ph="1">
        <v>237</v>
      </c>
      <c r="AU111" s="64" t="s" ph="1">
        <v>500</v>
      </c>
      <c r="AV111" s="64" t="s" ph="1">
        <v>490</v>
      </c>
      <c r="AW111" s="64" t="s" ph="1">
        <v>227</v>
      </c>
      <c r="AX111" s="64" t="s" ph="1">
        <v>500</v>
      </c>
      <c r="AY111" s="64" t="s" ph="1">
        <v>216</v>
      </c>
      <c r="AZ111" s="64" t="s" ph="1">
        <v>504</v>
      </c>
    </row>
    <row r="112" spans="33:52" ph="1">
      <c r="AJ112" s="64" t="s" ph="1">
        <v>491</v>
      </c>
      <c r="AK112" s="64" t="s" ph="1">
        <v>272</v>
      </c>
      <c r="AM112" s="64" t="s" ph="1">
        <v>493</v>
      </c>
      <c r="AN112" s="64" t="s" ph="1">
        <v>296</v>
      </c>
      <c r="AO112" s="64" t="s" ph="1">
        <v>500</v>
      </c>
      <c r="AP112" s="64" t="s" ph="1">
        <v>494</v>
      </c>
      <c r="AQ112" s="64" t="s" ph="1">
        <v>505</v>
      </c>
      <c r="AR112" s="64" t="s" ph="1">
        <v>500</v>
      </c>
      <c r="AS112" s="64" t="s" ph="1">
        <v>506</v>
      </c>
      <c r="AT112" s="64" t="s" ph="1">
        <v>248</v>
      </c>
      <c r="AU112" s="64" t="s" ph="1">
        <v>500</v>
      </c>
      <c r="AV112" s="64" t="s" ph="1">
        <v>507</v>
      </c>
      <c r="AW112" s="64" t="s" ph="1">
        <v>294</v>
      </c>
      <c r="AX112" s="64" t="s" ph="1">
        <v>500</v>
      </c>
    </row>
    <row r="113" spans="33:52" ph="1">
      <c r="AH113" s="64" ph="1">
        <v>7</v>
      </c>
      <c r="AI113" s="64" t="s" ph="1">
        <v>508</v>
      </c>
      <c r="AJ113" s="64" t="s" ph="1">
        <v>589</v>
      </c>
      <c r="AK113" s="64" t="s" ph="1">
        <v>594</v>
      </c>
      <c r="AY113" s="64" t="s" ph="1">
        <v>216</v>
      </c>
      <c r="AZ113" s="64" t="s" ph="1">
        <v>594</v>
      </c>
    </row>
    <row r="114" spans="33:52" ph="1">
      <c r="AH114" s="64" ph="1">
        <v>8</v>
      </c>
      <c r="AI114" s="64" t="s" ph="1">
        <v>509</v>
      </c>
      <c r="AJ114" s="64" t="s" ph="1">
        <v>589</v>
      </c>
      <c r="AK114" s="64" t="s" ph="1">
        <v>595</v>
      </c>
      <c r="AY114" s="64" t="s" ph="1">
        <v>216</v>
      </c>
      <c r="AZ114" s="64" t="s" ph="1">
        <v>595</v>
      </c>
    </row>
    <row r="115" spans="33:52" ph="1">
      <c r="AH115" s="64" ph="1">
        <v>9</v>
      </c>
      <c r="AI115" s="64" t="s" ph="1">
        <v>510</v>
      </c>
      <c r="AJ115" s="64" t="s" ph="1">
        <v>589</v>
      </c>
      <c r="AK115" s="64" t="s" ph="1">
        <v>595</v>
      </c>
      <c r="AY115" s="64" t="s" ph="1">
        <v>216</v>
      </c>
      <c r="AZ115" s="64" t="s" ph="1">
        <v>595</v>
      </c>
    </row>
    <row r="116" spans="33:52" ph="1">
      <c r="AH116" s="64" ph="1">
        <v>10</v>
      </c>
      <c r="AI116" s="64" t="s" ph="1">
        <v>511</v>
      </c>
      <c r="AJ116" s="64" t="s" ph="1">
        <v>589</v>
      </c>
      <c r="AK116" s="64" t="s" ph="1">
        <v>595</v>
      </c>
      <c r="AY116" s="64" t="s" ph="1">
        <v>216</v>
      </c>
      <c r="AZ116" s="64" t="s" ph="1">
        <v>595</v>
      </c>
    </row>
    <row r="117" spans="33:52" ph="1">
      <c r="AH117" s="64" ph="1">
        <v>11</v>
      </c>
      <c r="AI117" s="64" t="s" ph="1">
        <v>512</v>
      </c>
      <c r="AJ117" s="64" t="s" ph="1">
        <v>589</v>
      </c>
      <c r="AK117" s="64" t="s" ph="1">
        <v>595</v>
      </c>
      <c r="AY117" s="64" t="s" ph="1">
        <v>216</v>
      </c>
      <c r="AZ117" s="64" t="s" ph="1">
        <v>595</v>
      </c>
    </row>
    <row r="118" spans="33:52" ph="1">
      <c r="AZ118" s="64" t="s" ph="1">
        <v>596</v>
      </c>
    </row>
    <row r="119" spans="33:52" ph="1">
      <c r="AI119" s="64" t="s" ph="1">
        <v>209</v>
      </c>
      <c r="AJ119" s="64" t="s" ph="1">
        <v>210</v>
      </c>
      <c r="AK119" s="64" t="s" ph="1">
        <v>211</v>
      </c>
      <c r="AM119" s="64" t="s" ph="1">
        <v>210</v>
      </c>
      <c r="AN119" s="64" t="s" ph="1">
        <v>211</v>
      </c>
      <c r="AO119" s="64" t="s" ph="1">
        <v>212</v>
      </c>
      <c r="AP119" s="64" t="s" ph="1">
        <v>210</v>
      </c>
      <c r="AQ119" s="64" t="s" ph="1">
        <v>211</v>
      </c>
      <c r="AR119" s="64" t="s" ph="1">
        <v>212</v>
      </c>
      <c r="AS119" s="64" t="s" ph="1">
        <v>210</v>
      </c>
      <c r="AT119" s="64" t="s" ph="1">
        <v>211</v>
      </c>
      <c r="AU119" s="64" t="s" ph="1">
        <v>212</v>
      </c>
      <c r="AV119" s="64" t="s" ph="1">
        <v>210</v>
      </c>
      <c r="AW119" s="64" t="s" ph="1">
        <v>211</v>
      </c>
      <c r="AX119" s="64" t="s" ph="1">
        <v>212</v>
      </c>
      <c r="AY119" s="64" t="s" ph="1">
        <v>211</v>
      </c>
      <c r="AZ119" s="64" t="s" ph="1">
        <v>213</v>
      </c>
    </row>
    <row r="120" spans="33:52" ph="1">
      <c r="AG120" s="64" t="s" ph="1">
        <v>353</v>
      </c>
      <c r="AH120" s="64" ph="1">
        <v>1</v>
      </c>
      <c r="AI120" s="64" t="s" ph="1">
        <v>513</v>
      </c>
      <c r="AJ120" s="64" t="s" ph="1">
        <v>587</v>
      </c>
      <c r="AK120" s="64" t="s" ph="1">
        <v>367</v>
      </c>
      <c r="AY120" s="64" t="s" ph="1">
        <v>216</v>
      </c>
      <c r="AZ120" s="64" t="s" ph="1">
        <v>367</v>
      </c>
    </row>
    <row r="121" spans="33:52" ph="1">
      <c r="AH121" s="64" ph="1">
        <v>2</v>
      </c>
      <c r="AI121" s="64" t="s" ph="1">
        <v>514</v>
      </c>
      <c r="AY121" s="64" t="s" ph="1">
        <v>216</v>
      </c>
      <c r="AZ121" s="64" t="s" ph="1">
        <v>367</v>
      </c>
    </row>
    <row r="122" spans="33:52" ph="1">
      <c r="AH122" s="64" ph="1">
        <v>3</v>
      </c>
      <c r="AI122" s="64" t="s" ph="1">
        <v>515</v>
      </c>
      <c r="AJ122" s="64" t="s" ph="1">
        <v>570</v>
      </c>
      <c r="AK122" s="64" t="s" ph="1">
        <v>582</v>
      </c>
      <c r="AM122" s="64" t="s" ph="1">
        <v>597</v>
      </c>
      <c r="AN122" s="64" t="s" ph="1">
        <v>590</v>
      </c>
      <c r="AO122" s="64" t="s" ph="1">
        <v>91</v>
      </c>
      <c r="AY122" s="64" t="s" ph="1">
        <v>216</v>
      </c>
      <c r="AZ122" s="64" t="s" ph="1">
        <v>579</v>
      </c>
    </row>
    <row r="123" spans="33:52" ph="1">
      <c r="AY123" s="64" t="s" ph="1">
        <v>216</v>
      </c>
      <c r="AZ123" s="64" t="s" ph="1">
        <v>579</v>
      </c>
    </row>
    <row r="124" spans="33:52" ph="1">
      <c r="AG124" s="64" t="s" ph="1">
        <v>356</v>
      </c>
      <c r="AH124" s="64" ph="1">
        <v>4</v>
      </c>
      <c r="AI124" s="64" t="s" ph="1">
        <v>516</v>
      </c>
      <c r="AJ124" s="64" t="s" ph="1">
        <v>517</v>
      </c>
      <c r="AK124" s="64" t="s" ph="1">
        <v>518</v>
      </c>
      <c r="AY124" s="64" t="s" ph="1">
        <v>216</v>
      </c>
      <c r="AZ124" s="64" t="s" ph="1">
        <v>518</v>
      </c>
    </row>
    <row r="125" spans="33:52" ph="1">
      <c r="AH125" s="64" ph="1">
        <v>5</v>
      </c>
      <c r="AI125" s="64" t="s" ph="1">
        <v>519</v>
      </c>
      <c r="AJ125" s="64" t="s" ph="1">
        <v>517</v>
      </c>
      <c r="AK125" s="64" t="s" ph="1">
        <v>518</v>
      </c>
      <c r="AY125" s="64" t="s" ph="1">
        <v>216</v>
      </c>
      <c r="AZ125" s="64" t="s" ph="1">
        <v>518</v>
      </c>
    </row>
    <row r="126" spans="33:52" ph="1">
      <c r="AH126" s="64" ph="1">
        <v>6</v>
      </c>
      <c r="AI126" s="64" t="s" ph="1">
        <v>520</v>
      </c>
      <c r="AJ126" s="64" t="s" ph="1">
        <v>589</v>
      </c>
      <c r="AK126" s="64" t="s" ph="1">
        <v>598</v>
      </c>
      <c r="AY126" s="64" t="s" ph="1">
        <v>216</v>
      </c>
      <c r="AZ126" s="64" t="s" ph="1">
        <v>598</v>
      </c>
    </row>
    <row r="127" spans="33:52" ph="1">
      <c r="AH127" s="64" ph="1">
        <v>7</v>
      </c>
      <c r="AI127" s="64" t="s" ph="1">
        <v>521</v>
      </c>
      <c r="AJ127" s="64" t="s" ph="1">
        <v>589</v>
      </c>
      <c r="AK127" s="64" t="s" ph="1">
        <v>599</v>
      </c>
      <c r="AY127" s="64" t="s" ph="1">
        <v>216</v>
      </c>
      <c r="AZ127" s="64" t="s" ph="1">
        <v>599</v>
      </c>
    </row>
    <row r="128" spans="33:52" ph="1">
      <c r="AH128" s="64" ph="1">
        <v>8</v>
      </c>
      <c r="AI128" s="64" t="s" ph="1">
        <v>522</v>
      </c>
      <c r="AY128" s="64" t="s" ph="1">
        <v>216</v>
      </c>
      <c r="AZ128" s="64" t="s" ph="1">
        <v>367</v>
      </c>
    </row>
    <row r="129" spans="33:52" ph="1">
      <c r="AH129" s="64" ph="1">
        <v>9</v>
      </c>
      <c r="AI129" s="64" t="s" ph="1">
        <v>523</v>
      </c>
      <c r="AY129" s="64" t="s" ph="1">
        <v>216</v>
      </c>
      <c r="AZ129" s="64" t="s" ph="1">
        <v>367</v>
      </c>
    </row>
    <row r="130" spans="33:52" ph="1">
      <c r="AH130" s="64" ph="1">
        <v>10</v>
      </c>
      <c r="AI130" s="64" t="s" ph="1">
        <v>524</v>
      </c>
      <c r="AY130" s="64" t="s" ph="1">
        <v>216</v>
      </c>
      <c r="AZ130" s="64" t="s" ph="1">
        <v>367</v>
      </c>
    </row>
    <row r="131" spans="33:52" ph="1">
      <c r="AH131" s="64" ph="1">
        <v>11</v>
      </c>
      <c r="AI131" s="64" t="s" ph="1">
        <v>525</v>
      </c>
      <c r="AJ131" s="64" t="s" ph="1">
        <v>583</v>
      </c>
      <c r="AK131" s="64" t="s" ph="1">
        <v>579</v>
      </c>
      <c r="AY131" s="64" t="s" ph="1">
        <v>216</v>
      </c>
      <c r="AZ131" s="64" t="s" ph="1">
        <v>579</v>
      </c>
    </row>
    <row r="132" spans="33:52" ph="1">
      <c r="AH132" s="64" ph="1">
        <v>12</v>
      </c>
      <c r="AI132" s="64" t="s" ph="1">
        <v>526</v>
      </c>
      <c r="AJ132" s="64" t="s" ph="1">
        <v>583</v>
      </c>
      <c r="AK132" s="64" t="s" ph="1">
        <v>518</v>
      </c>
      <c r="AY132" s="64" t="s" ph="1">
        <v>216</v>
      </c>
      <c r="AZ132" s="64" t="s" ph="1">
        <v>518</v>
      </c>
    </row>
    <row r="133" spans="33:52" ph="1">
      <c r="AH133" s="64" ph="1">
        <v>13</v>
      </c>
      <c r="AI133" s="64" t="s" ph="1">
        <v>527</v>
      </c>
      <c r="AJ133" s="64" t="s" ph="1">
        <v>583</v>
      </c>
      <c r="AK133" s="64" t="s" ph="1">
        <v>584</v>
      </c>
      <c r="AY133" s="64" t="s" ph="1">
        <v>216</v>
      </c>
      <c r="AZ133" s="64" t="s" ph="1">
        <v>584</v>
      </c>
    </row>
    <row r="134" spans="33:52" ph="1">
      <c r="AH134" s="64" ph="1">
        <v>14</v>
      </c>
      <c r="AI134" s="64" t="s" ph="1">
        <v>528</v>
      </c>
      <c r="AJ134" s="64" t="s" ph="1">
        <v>583</v>
      </c>
      <c r="AK134" s="64" t="s" ph="1">
        <v>585</v>
      </c>
      <c r="AY134" s="64" t="s" ph="1">
        <v>216</v>
      </c>
      <c r="AZ134" s="64" t="s" ph="1">
        <v>585</v>
      </c>
    </row>
    <row r="135" spans="33:52" ph="1">
      <c r="AH135" s="64" ph="1">
        <v>15</v>
      </c>
      <c r="AI135" s="64" t="s" ph="1">
        <v>529</v>
      </c>
      <c r="AJ135" s="64" t="s" ph="1">
        <v>583</v>
      </c>
      <c r="AK135" s="64" t="s" ph="1">
        <v>586</v>
      </c>
      <c r="AY135" s="64" t="s" ph="1">
        <v>216</v>
      </c>
      <c r="AZ135" s="64" t="s" ph="1">
        <v>586</v>
      </c>
    </row>
    <row r="136" spans="33:52" ph="1">
      <c r="AZ136" s="64" t="s" ph="1">
        <v>600</v>
      </c>
    </row>
    <row r="137" spans="33:52" ph="1">
      <c r="AG137" s="64" t="s" ph="1">
        <v>290</v>
      </c>
      <c r="AI137" s="64" t="s" ph="1">
        <v>209</v>
      </c>
      <c r="AJ137" s="64" t="s" ph="1">
        <v>210</v>
      </c>
      <c r="AK137" s="64" t="s" ph="1">
        <v>211</v>
      </c>
      <c r="AM137" s="64" t="s" ph="1">
        <v>210</v>
      </c>
      <c r="AN137" s="64" t="s" ph="1">
        <v>211</v>
      </c>
      <c r="AO137" s="64" t="s" ph="1">
        <v>212</v>
      </c>
      <c r="AP137" s="64" t="s" ph="1">
        <v>210</v>
      </c>
      <c r="AQ137" s="64" t="s" ph="1">
        <v>211</v>
      </c>
      <c r="AR137" s="64" t="s" ph="1">
        <v>212</v>
      </c>
      <c r="AS137" s="64" t="s" ph="1">
        <v>210</v>
      </c>
      <c r="AT137" s="64" t="s" ph="1">
        <v>211</v>
      </c>
      <c r="AU137" s="64" t="s" ph="1">
        <v>212</v>
      </c>
      <c r="AV137" s="64" t="s" ph="1">
        <v>210</v>
      </c>
      <c r="AW137" s="64" t="s" ph="1">
        <v>211</v>
      </c>
      <c r="AX137" s="64" t="s" ph="1">
        <v>212</v>
      </c>
      <c r="AY137" s="64" t="s" ph="1">
        <v>211</v>
      </c>
      <c r="AZ137" s="64" t="s" ph="1">
        <v>213</v>
      </c>
    </row>
    <row r="138" spans="33:52" ph="1">
      <c r="AH138" s="64" ph="1">
        <v>1</v>
      </c>
      <c r="AI138" s="64" t="s" ph="1">
        <v>530</v>
      </c>
      <c r="AJ138" s="64" t="s" ph="1">
        <v>531</v>
      </c>
      <c r="AK138" s="64" t="s" ph="1">
        <v>532</v>
      </c>
      <c r="AY138" s="64" t="s" ph="1">
        <v>216</v>
      </c>
      <c r="AZ138" s="64" t="s" ph="1">
        <v>532</v>
      </c>
    </row>
    <row r="139" spans="33:52" ph="1">
      <c r="AH139" s="64" ph="1">
        <v>2</v>
      </c>
      <c r="AI139" s="64" t="s" ph="1">
        <v>533</v>
      </c>
      <c r="AJ139" s="64" t="s" ph="1">
        <v>589</v>
      </c>
      <c r="AK139" s="64" t="s" ph="1">
        <v>601</v>
      </c>
      <c r="AY139" s="64" t="s" ph="1">
        <v>216</v>
      </c>
      <c r="AZ139" s="64" t="s" ph="1">
        <v>601</v>
      </c>
    </row>
    <row r="140" spans="33:52" ph="1">
      <c r="AH140" s="64" ph="1">
        <v>3</v>
      </c>
      <c r="AI140" s="64" t="s" ph="1">
        <v>534</v>
      </c>
      <c r="AJ140" s="64" t="s" ph="1">
        <v>487</v>
      </c>
      <c r="AK140" s="64" t="s" ph="1">
        <v>299</v>
      </c>
      <c r="AM140" s="64" t="s" ph="1">
        <v>488</v>
      </c>
      <c r="AN140" s="64" t="s" ph="1">
        <v>219</v>
      </c>
      <c r="AO140" s="64" t="s" ph="1">
        <v>535</v>
      </c>
      <c r="AP140" s="64" t="s" ph="1">
        <v>489</v>
      </c>
      <c r="AQ140" s="64" t="s" ph="1">
        <v>236</v>
      </c>
      <c r="AR140" s="64" t="s" ph="1">
        <v>535</v>
      </c>
      <c r="AS140" s="64" t="s" ph="1">
        <v>490</v>
      </c>
      <c r="AT140" s="64" t="s" ph="1">
        <v>229</v>
      </c>
      <c r="AU140" s="64" t="s" ph="1">
        <v>535</v>
      </c>
      <c r="AV140" s="64" t="s" ph="1">
        <v>491</v>
      </c>
      <c r="AW140" s="64" t="s" ph="1">
        <v>222</v>
      </c>
      <c r="AX140" s="64" t="s" ph="1">
        <v>535</v>
      </c>
      <c r="AY140" s="64" t="s" ph="1">
        <v>216</v>
      </c>
      <c r="AZ140" s="64" t="s" ph="1">
        <v>291</v>
      </c>
    </row>
    <row r="141" spans="33:52" ph="1">
      <c r="AJ141" s="64" t="s" ph="1">
        <v>493</v>
      </c>
      <c r="AK141" s="64" t="s" ph="1">
        <v>222</v>
      </c>
      <c r="AM141" s="64" t="s" ph="1">
        <v>494</v>
      </c>
      <c r="AN141" s="64" t="s" ph="1">
        <v>225</v>
      </c>
      <c r="AO141" s="64" t="s" ph="1">
        <v>535</v>
      </c>
      <c r="AP141" s="64" t="s" ph="1">
        <v>506</v>
      </c>
      <c r="AQ141" s="64" t="s" ph="1">
        <v>294</v>
      </c>
      <c r="AR141" s="64" t="s" ph="1">
        <v>535</v>
      </c>
      <c r="AS141" s="64" t="s" ph="1">
        <v>498</v>
      </c>
      <c r="AT141" s="64" t="s" ph="1">
        <v>222</v>
      </c>
      <c r="AU141" s="64" t="s" ph="1">
        <v>535</v>
      </c>
      <c r="AV141" s="64" t="s" ph="1">
        <v>334</v>
      </c>
      <c r="AW141" s="64" t="s" ph="1">
        <v>228</v>
      </c>
      <c r="AX141" s="64" t="s" ph="1">
        <v>535</v>
      </c>
    </row>
    <row r="142" spans="33:52" ph="1">
      <c r="AJ142" s="64" t="s" ph="1">
        <v>536</v>
      </c>
      <c r="AK142" s="64" t="s" ph="1">
        <v>239</v>
      </c>
    </row>
    <row r="143" spans="33:52" ph="1">
      <c r="AH143" s="64" ph="1">
        <v>4</v>
      </c>
      <c r="AI143" s="64" t="s" ph="1">
        <v>537</v>
      </c>
      <c r="AJ143" s="64" t="s" ph="1">
        <v>517</v>
      </c>
      <c r="AK143" s="64" t="s" ph="1">
        <v>538</v>
      </c>
      <c r="AY143" s="64" t="s" ph="1">
        <v>216</v>
      </c>
      <c r="AZ143" s="64" t="s" ph="1">
        <v>538</v>
      </c>
    </row>
    <row r="144" spans="33:52" ph="1">
      <c r="AH144" s="64" ph="1">
        <v>5</v>
      </c>
      <c r="AI144" s="64" t="s" ph="1">
        <v>539</v>
      </c>
      <c r="AY144" s="64" t="s" ph="1">
        <v>216</v>
      </c>
      <c r="AZ144" s="64" t="s" ph="1">
        <v>367</v>
      </c>
    </row>
    <row r="145" spans="33:52" ph="1">
      <c r="AH145" s="64" ph="1">
        <v>6</v>
      </c>
      <c r="AI145" s="64" t="s" ph="1">
        <v>540</v>
      </c>
      <c r="AY145" s="64" t="s" ph="1">
        <v>216</v>
      </c>
      <c r="AZ145" s="64" t="s" ph="1">
        <v>367</v>
      </c>
    </row>
    <row r="146" spans="33:52" ph="1">
      <c r="AH146" s="64" ph="1">
        <v>7</v>
      </c>
      <c r="AI146" s="64" t="s" ph="1">
        <v>541</v>
      </c>
      <c r="AY146" s="64" t="s" ph="1">
        <v>216</v>
      </c>
      <c r="AZ146" s="64" t="s" ph="1">
        <v>367</v>
      </c>
    </row>
    <row r="147" spans="33:52" ph="1">
      <c r="AH147" s="64" ph="1">
        <v>8</v>
      </c>
      <c r="AI147" s="64" t="s" ph="1">
        <v>542</v>
      </c>
      <c r="AY147" s="64" t="s" ph="1">
        <v>216</v>
      </c>
      <c r="AZ147" s="64" t="s" ph="1">
        <v>367</v>
      </c>
    </row>
    <row r="148" spans="33:52" ph="1">
      <c r="AH148" s="64" ph="1">
        <v>9</v>
      </c>
      <c r="AI148" s="64" t="s" ph="1">
        <v>543</v>
      </c>
      <c r="AY148" s="64" t="s" ph="1">
        <v>216</v>
      </c>
      <c r="AZ148" s="64" t="s" ph="1">
        <v>367</v>
      </c>
    </row>
    <row r="149" spans="33:52" ph="1">
      <c r="AH149" s="64" ph="1">
        <v>10</v>
      </c>
      <c r="AI149" s="64" t="s" ph="1">
        <v>544</v>
      </c>
      <c r="AY149" s="64" t="s" ph="1">
        <v>216</v>
      </c>
      <c r="AZ149" s="64" t="s" ph="1">
        <v>367</v>
      </c>
    </row>
    <row r="150" spans="33:52" ph="1">
      <c r="AH150" s="64" ph="1">
        <v>11</v>
      </c>
      <c r="AI150" s="64" t="s" ph="1">
        <v>545</v>
      </c>
      <c r="AY150" s="64" t="s" ph="1">
        <v>216</v>
      </c>
      <c r="AZ150" s="64" t="s" ph="1">
        <v>367</v>
      </c>
    </row>
    <row r="151" spans="33:52" ph="1">
      <c r="AH151" s="64" ph="1">
        <v>12</v>
      </c>
      <c r="AI151" s="64" t="s" ph="1">
        <v>546</v>
      </c>
      <c r="AY151" s="64" t="s" ph="1">
        <v>216</v>
      </c>
      <c r="AZ151" s="64" t="s" ph="1">
        <v>367</v>
      </c>
    </row>
    <row r="152" spans="33:52" ph="1">
      <c r="AH152" s="64" ph="1">
        <v>13</v>
      </c>
      <c r="AI152" s="64" t="s" ph="1">
        <v>547</v>
      </c>
      <c r="AY152" s="64" t="s" ph="1">
        <v>216</v>
      </c>
      <c r="AZ152" s="64" t="s" ph="1">
        <v>367</v>
      </c>
    </row>
    <row r="153" spans="33:52" ph="1">
      <c r="AH153" s="64" ph="1">
        <v>14</v>
      </c>
      <c r="AI153" s="64" t="s" ph="1">
        <v>548</v>
      </c>
      <c r="AY153" s="64" t="s" ph="1">
        <v>216</v>
      </c>
      <c r="AZ153" s="64" t="s" ph="1">
        <v>367</v>
      </c>
    </row>
    <row r="154" spans="33:52" ph="1">
      <c r="AH154" s="64" ph="1">
        <v>15</v>
      </c>
      <c r="AI154" s="64" t="s" ph="1">
        <v>549</v>
      </c>
      <c r="AY154" s="64" t="s" ph="1">
        <v>216</v>
      </c>
      <c r="AZ154" s="64" t="s" ph="1">
        <v>367</v>
      </c>
    </row>
    <row r="155" spans="33:52" ph="1">
      <c r="AH155" s="64" ph="1">
        <v>16</v>
      </c>
      <c r="AI155" s="64" t="s" ph="1">
        <v>550</v>
      </c>
      <c r="AJ155" s="64" t="s" ph="1">
        <v>336</v>
      </c>
      <c r="AK155" s="64" t="s" ph="1">
        <v>231</v>
      </c>
      <c r="AM155" s="64" t="s" ph="1">
        <v>570</v>
      </c>
      <c r="AN155" s="64" t="s" ph="1">
        <v>282</v>
      </c>
      <c r="AO155" s="64" t="s" ph="1">
        <v>535</v>
      </c>
      <c r="AY155" s="64" t="s" ph="1">
        <v>216</v>
      </c>
      <c r="AZ155" s="64" t="s" ph="1">
        <v>223</v>
      </c>
    </row>
    <row r="156" spans="33:52" ph="1">
      <c r="AZ156" s="64" t="s" ph="1">
        <v>602</v>
      </c>
    </row>
    <row r="157" spans="33:52" ph="1">
      <c r="AG157" s="64" t="s" ph="1">
        <v>551</v>
      </c>
      <c r="AI157" s="64" t="s" ph="1">
        <v>209</v>
      </c>
      <c r="AJ157" s="64" t="s" ph="1">
        <v>210</v>
      </c>
      <c r="AK157" s="64" t="s" ph="1">
        <v>211</v>
      </c>
      <c r="AM157" s="64" t="s" ph="1">
        <v>210</v>
      </c>
      <c r="AN157" s="64" t="s" ph="1">
        <v>211</v>
      </c>
      <c r="AO157" s="64" t="s" ph="1">
        <v>212</v>
      </c>
      <c r="AP157" s="64" t="s" ph="1">
        <v>210</v>
      </c>
      <c r="AQ157" s="64" t="s" ph="1">
        <v>211</v>
      </c>
      <c r="AR157" s="64" t="s" ph="1">
        <v>212</v>
      </c>
      <c r="AS157" s="64" t="s" ph="1">
        <v>210</v>
      </c>
      <c r="AT157" s="64" t="s" ph="1">
        <v>211</v>
      </c>
      <c r="AU157" s="64" t="s" ph="1">
        <v>212</v>
      </c>
      <c r="AV157" s="64" t="s" ph="1">
        <v>210</v>
      </c>
      <c r="AW157" s="64" t="s" ph="1">
        <v>211</v>
      </c>
      <c r="AX157" s="64" t="s" ph="1">
        <v>212</v>
      </c>
      <c r="AY157" s="64" t="s" ph="1">
        <v>211</v>
      </c>
      <c r="AZ157" s="64" t="s" ph="1">
        <v>213</v>
      </c>
    </row>
    <row r="158" spans="33:52" ph="1">
      <c r="AH158" s="64" ph="1">
        <v>1</v>
      </c>
      <c r="AI158" s="64" t="s" ph="1">
        <v>552</v>
      </c>
      <c r="AY158" s="64" t="s" ph="1">
        <v>216</v>
      </c>
      <c r="AZ158" s="64" t="s" ph="1">
        <v>367</v>
      </c>
    </row>
    <row r="159" spans="33:52" ph="1">
      <c r="AH159" s="64" ph="1">
        <v>2</v>
      </c>
      <c r="AI159" s="64" t="s" ph="1">
        <v>553</v>
      </c>
      <c r="AY159" s="64" t="s" ph="1">
        <v>216</v>
      </c>
      <c r="AZ159" s="64" t="s" ph="1">
        <v>367</v>
      </c>
    </row>
    <row r="160" spans="33:52" ph="1">
      <c r="AZ160" s="64" t="s" ph="1">
        <v>385</v>
      </c>
    </row>
    <row r="161" spans="33:52" ph="1">
      <c r="AG161" s="64" t="s" ph="1">
        <v>361</v>
      </c>
      <c r="AI161" s="64" t="s" ph="1">
        <v>209</v>
      </c>
      <c r="AJ161" s="64" t="s" ph="1">
        <v>210</v>
      </c>
      <c r="AK161" s="64" t="s" ph="1">
        <v>211</v>
      </c>
      <c r="AM161" s="64" t="s" ph="1">
        <v>210</v>
      </c>
      <c r="AN161" s="64" t="s" ph="1">
        <v>211</v>
      </c>
      <c r="AO161" s="64" t="s" ph="1">
        <v>212</v>
      </c>
      <c r="AP161" s="64" t="s" ph="1">
        <v>210</v>
      </c>
      <c r="AQ161" s="64" t="s" ph="1">
        <v>211</v>
      </c>
      <c r="AR161" s="64" t="s" ph="1">
        <v>212</v>
      </c>
      <c r="AS161" s="64" t="s" ph="1">
        <v>210</v>
      </c>
      <c r="AT161" s="64" t="s" ph="1">
        <v>211</v>
      </c>
      <c r="AU161" s="64" t="s" ph="1">
        <v>212</v>
      </c>
      <c r="AV161" s="64" t="s" ph="1">
        <v>210</v>
      </c>
      <c r="AW161" s="64" t="s" ph="1">
        <v>211</v>
      </c>
      <c r="AX161" s="64" t="s" ph="1">
        <v>212</v>
      </c>
      <c r="AY161" s="64" t="s" ph="1">
        <v>211</v>
      </c>
      <c r="AZ161" s="64" t="s" ph="1">
        <v>213</v>
      </c>
    </row>
    <row r="162" spans="33:52" ph="1">
      <c r="AH162" s="64" ph="1">
        <v>1</v>
      </c>
      <c r="AI162" s="64" t="s" ph="1">
        <v>554</v>
      </c>
      <c r="AJ162" s="64" t="s" ph="1">
        <v>555</v>
      </c>
      <c r="AK162" s="64" t="s" ph="1">
        <v>499</v>
      </c>
      <c r="AM162" s="64" t="s" ph="1">
        <v>556</v>
      </c>
      <c r="AN162" s="64" t="s" ph="1">
        <v>220</v>
      </c>
      <c r="AO162" s="64" t="s" ph="1">
        <v>557</v>
      </c>
      <c r="AY162" s="64" t="s" ph="1">
        <v>216</v>
      </c>
      <c r="AZ162" s="64" t="s" ph="1">
        <v>292</v>
      </c>
    </row>
    <row r="163" spans="33:52" ph="1">
      <c r="AH163" s="64" ph="1">
        <v>2</v>
      </c>
      <c r="AI163" s="64" t="s" ph="1">
        <v>558</v>
      </c>
      <c r="AJ163" s="64" t="s" ph="1">
        <v>555</v>
      </c>
      <c r="AK163" s="64" t="s" ph="1">
        <v>388</v>
      </c>
      <c r="AY163" s="64" t="s" ph="1">
        <v>216</v>
      </c>
      <c r="AZ163" s="64" t="s" ph="1">
        <v>388</v>
      </c>
    </row>
    <row r="164" spans="33:52" ph="1">
      <c r="AH164" s="64" ph="1">
        <v>3</v>
      </c>
      <c r="AI164" s="64" t="s" ph="1">
        <v>559</v>
      </c>
      <c r="AJ164" s="64" t="s" ph="1">
        <v>555</v>
      </c>
      <c r="AK164" s="64" t="s" ph="1">
        <v>292</v>
      </c>
      <c r="AY164" s="64" t="s" ph="1">
        <v>216</v>
      </c>
      <c r="AZ164" s="64" t="s" ph="1">
        <v>292</v>
      </c>
    </row>
    <row r="165" spans="33:52" ph="1">
      <c r="AH165" s="64" ph="1">
        <v>4</v>
      </c>
      <c r="AI165" s="64" t="s" ph="1">
        <v>560</v>
      </c>
      <c r="AY165" s="64" t="s" ph="1">
        <v>216</v>
      </c>
      <c r="AZ165" s="64" t="s" ph="1">
        <v>367</v>
      </c>
    </row>
    <row r="166" spans="33:52" ph="1">
      <c r="AH166" s="64" ph="1">
        <v>5</v>
      </c>
      <c r="AI166" s="64" t="s" ph="1">
        <v>561</v>
      </c>
      <c r="AY166" s="64" t="s" ph="1">
        <v>216</v>
      </c>
      <c r="AZ166" s="64" t="s" ph="1">
        <v>367</v>
      </c>
    </row>
    <row r="167" spans="33:52" ph="1">
      <c r="AZ167" s="64" t="s" ph="1">
        <v>562</v>
      </c>
    </row>
    <row r="168" spans="33:52" ph="1">
      <c r="AG168" s="64" t="s" ph="1">
        <v>305</v>
      </c>
      <c r="AI168" s="64" t="s" ph="1">
        <v>209</v>
      </c>
      <c r="AJ168" s="64" t="s" ph="1">
        <v>210</v>
      </c>
      <c r="AK168" s="64" t="s" ph="1">
        <v>211</v>
      </c>
      <c r="AM168" s="64" t="s" ph="1">
        <v>210</v>
      </c>
      <c r="AN168" s="64" t="s" ph="1">
        <v>211</v>
      </c>
      <c r="AO168" s="64" t="s" ph="1">
        <v>212</v>
      </c>
      <c r="AP168" s="64" t="s" ph="1">
        <v>210</v>
      </c>
      <c r="AQ168" s="64" t="s" ph="1">
        <v>211</v>
      </c>
      <c r="AR168" s="64" t="s" ph="1">
        <v>212</v>
      </c>
      <c r="AS168" s="64" t="s" ph="1">
        <v>210</v>
      </c>
      <c r="AT168" s="64" t="s" ph="1">
        <v>211</v>
      </c>
      <c r="AU168" s="64" t="s" ph="1">
        <v>212</v>
      </c>
      <c r="AV168" s="64" t="s" ph="1">
        <v>210</v>
      </c>
      <c r="AW168" s="64" t="s" ph="1">
        <v>211</v>
      </c>
      <c r="AX168" s="64" t="s" ph="1">
        <v>212</v>
      </c>
      <c r="AY168" s="64" t="s" ph="1">
        <v>211</v>
      </c>
      <c r="AZ168" s="64" t="s" ph="1">
        <v>213</v>
      </c>
    </row>
    <row r="169" spans="33:52" ph="1">
      <c r="AH169" s="64" ph="1">
        <v>1</v>
      </c>
      <c r="AI169" s="64" t="s" ph="1">
        <v>563</v>
      </c>
      <c r="AY169" s="64" t="s" ph="1">
        <v>216</v>
      </c>
      <c r="AZ169" s="64" t="s" ph="1">
        <v>367</v>
      </c>
    </row>
    <row r="170" spans="33:52" ph="1">
      <c r="AH170" s="64" ph="1">
        <v>2</v>
      </c>
      <c r="AI170" s="64" t="s" ph="1">
        <v>564</v>
      </c>
      <c r="AY170" s="64" t="s" ph="1">
        <v>216</v>
      </c>
      <c r="AZ170" s="64" t="s" ph="1">
        <v>367</v>
      </c>
    </row>
    <row r="171" spans="33:52" ph="1">
      <c r="AH171" s="64" ph="1">
        <v>3</v>
      </c>
      <c r="AI171" s="64" t="s" ph="1">
        <v>565</v>
      </c>
      <c r="AY171" s="64" t="s" ph="1">
        <v>216</v>
      </c>
      <c r="AZ171" s="64" t="s" ph="1">
        <v>367</v>
      </c>
    </row>
    <row r="172" spans="33:52" ph="1">
      <c r="AH172" s="64" ph="1">
        <v>4</v>
      </c>
      <c r="AI172" s="64" t="s" ph="1">
        <v>566</v>
      </c>
      <c r="AY172" s="64" t="s" ph="1">
        <v>216</v>
      </c>
      <c r="AZ172" s="64" t="s" ph="1">
        <v>367</v>
      </c>
    </row>
    <row r="173" spans="33:52" ph="1">
      <c r="AH173" s="64" ph="1">
        <v>5</v>
      </c>
      <c r="AI173" s="64" t="s" ph="1">
        <v>567</v>
      </c>
      <c r="AY173" s="64" t="s" ph="1">
        <v>216</v>
      </c>
      <c r="AZ173" s="64" t="s" ph="1">
        <v>367</v>
      </c>
    </row>
    <row r="174" spans="33:52" ph="1">
      <c r="AZ174" s="64" t="s" ph="1">
        <v>385</v>
      </c>
    </row>
    <row r="175" spans="33:52" ph="1">
      <c r="AJ175" s="64" t="s" ph="1">
        <v>306</v>
      </c>
    </row>
    <row r="176" spans="33:52" ph="1">
      <c r="AJ176" s="64" t="s" ph="1">
        <v>307</v>
      </c>
      <c r="AK176" s="64" t="s" ph="1">
        <v>308</v>
      </c>
      <c r="AM176" s="64" t="s" ph="1">
        <v>309</v>
      </c>
      <c r="AO176" s="64" t="s" ph="1">
        <v>310</v>
      </c>
      <c r="AP176" s="64" t="s" ph="1">
        <v>311</v>
      </c>
      <c r="AQ176" s="64" t="s" ph="1">
        <v>301</v>
      </c>
      <c r="AR176" s="64" t="s" ph="1">
        <v>221</v>
      </c>
    </row>
    <row r="177" spans="36:56" ph="1">
      <c r="AJ177" s="64" t="s" ph="1">
        <v>603</v>
      </c>
      <c r="AK177" s="64" t="s" ph="1">
        <v>312</v>
      </c>
      <c r="AO177" s="64" t="s" ph="1">
        <v>312</v>
      </c>
      <c r="AP177" s="64" t="s" ph="1">
        <v>312</v>
      </c>
      <c r="AQ177" s="64" t="s" ph="1">
        <v>313</v>
      </c>
      <c r="AR177" s="64" t="s" ph="1">
        <v>314</v>
      </c>
    </row>
    <row r="179" spans="36:56" ph="1">
      <c r="AJ179" s="64" t="s" ph="1">
        <v>315</v>
      </c>
      <c r="AK179" s="64" t="s" ph="1">
        <v>316</v>
      </c>
      <c r="AM179" s="64" t="s" ph="1">
        <v>317</v>
      </c>
      <c r="AN179" s="64" t="s" ph="1">
        <v>293</v>
      </c>
      <c r="AO179" s="64" t="s" ph="1">
        <v>318</v>
      </c>
      <c r="AP179" s="64" t="s" ph="1">
        <v>297</v>
      </c>
      <c r="AQ179" s="64" t="s" ph="1">
        <v>319</v>
      </c>
      <c r="AR179" s="64" t="s" ph="1">
        <v>320</v>
      </c>
    </row>
    <row r="180" spans="36:56" ph="1">
      <c r="AJ180" s="64" t="s" ph="1">
        <v>312</v>
      </c>
      <c r="AK180" s="64" t="s" ph="1">
        <v>312</v>
      </c>
      <c r="AL180" s="64" ph="1">
        <v>116</v>
      </c>
      <c r="AM180" s="64" t="s" ph="1">
        <v>312</v>
      </c>
      <c r="AN180" s="64" t="s" ph="1">
        <v>321</v>
      </c>
      <c r="AO180" s="64" t="s" ph="1">
        <v>312</v>
      </c>
      <c r="AP180" s="64" t="s" ph="1">
        <v>322</v>
      </c>
      <c r="AQ180" s="64" t="s" ph="1">
        <v>323</v>
      </c>
      <c r="AR180" s="64" t="s" ph="1">
        <v>324</v>
      </c>
    </row>
    <row r="189" spans="36:56" ph="1">
      <c r="BD189" s="64" t="s" ph="1">
        <v>568</v>
      </c>
    </row>
    <row r="223" spans="18:18" ph="1">
      <c r="R223" s="135" ph="1">
        <v>45496</v>
      </c>
    </row>
  </sheetData>
  <mergeCells count="58"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S31:U31"/>
    <mergeCell ref="V31:X31"/>
    <mergeCell ref="Y31:AA31"/>
    <mergeCell ref="AB31:AE31"/>
    <mergeCell ref="AD32:AE32"/>
    <mergeCell ref="B33:C34"/>
    <mergeCell ref="D33:D34"/>
    <mergeCell ref="E33:E34"/>
    <mergeCell ref="F33:F34"/>
    <mergeCell ref="G33:G34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</mergeCells>
  <phoneticPr fontId="2" type="noConversion"/>
  <conditionalFormatting sqref="D4:D11">
    <cfRule type="expression" dxfId="1046" priority="100">
      <formula>ABS(D$7-D$10)&gt;=1000</formula>
    </cfRule>
  </conditionalFormatting>
  <conditionalFormatting sqref="E4 E6:E11">
    <cfRule type="expression" dxfId="1045" priority="99">
      <formula>ABS(E$7-E$10)&gt;=1000</formula>
    </cfRule>
  </conditionalFormatting>
  <conditionalFormatting sqref="F4:F11">
    <cfRule type="expression" dxfId="1044" priority="98">
      <formula>ABS(F$7-F$10)&gt;=1000</formula>
    </cfRule>
  </conditionalFormatting>
  <conditionalFormatting sqref="G4:G11">
    <cfRule type="expression" dxfId="1043" priority="97">
      <formula>ABS(G$7-G$10)&gt;=1000</formula>
    </cfRule>
  </conditionalFormatting>
  <conditionalFormatting sqref="H4:H11">
    <cfRule type="expression" dxfId="1042" priority="96">
      <formula>ABS(H$7-H$10)&gt;=1000</formula>
    </cfRule>
  </conditionalFormatting>
  <conditionalFormatting sqref="I4:I11">
    <cfRule type="expression" dxfId="1041" priority="95">
      <formula>ABS(I$7-I$10)&gt;=1000</formula>
    </cfRule>
  </conditionalFormatting>
  <conditionalFormatting sqref="J4:J11">
    <cfRule type="expression" dxfId="1040" priority="94">
      <formula>ABS(J$7-J$10)&gt;=1000</formula>
    </cfRule>
  </conditionalFormatting>
  <conditionalFormatting sqref="K4:K11">
    <cfRule type="expression" dxfId="1039" priority="93">
      <formula>ABS(K$7-K$10)&gt;=1000</formula>
    </cfRule>
  </conditionalFormatting>
  <conditionalFormatting sqref="L4:L11">
    <cfRule type="expression" dxfId="1038" priority="92">
      <formula>ABS(L$7-L$10)&gt;=1000</formula>
    </cfRule>
  </conditionalFormatting>
  <conditionalFormatting sqref="M4 M6:M11">
    <cfRule type="expression" dxfId="1037" priority="91">
      <formula>ABS(M$7-M$10)&gt;=1000</formula>
    </cfRule>
  </conditionalFormatting>
  <conditionalFormatting sqref="N4 N6:N11">
    <cfRule type="expression" dxfId="1036" priority="90">
      <formula>ABS(N$7-N$10)&gt;=1000</formula>
    </cfRule>
  </conditionalFormatting>
  <conditionalFormatting sqref="O4 O6:O11">
    <cfRule type="expression" dxfId="1035" priority="89">
      <formula>ABS(O$7-O$10)&gt;=1000</formula>
    </cfRule>
  </conditionalFormatting>
  <conditionalFormatting sqref="P4 P6:P11">
    <cfRule type="expression" dxfId="1034" priority="88">
      <formula>ABS(P$7-P$10)&gt;=1000</formula>
    </cfRule>
  </conditionalFormatting>
  <conditionalFormatting sqref="Q4:Q11">
    <cfRule type="expression" dxfId="1033" priority="87">
      <formula>ABS(Q$7-Q$10)&gt;=1000</formula>
    </cfRule>
  </conditionalFormatting>
  <conditionalFormatting sqref="R4:R11">
    <cfRule type="expression" dxfId="1032" priority="86">
      <formula>ABS(R$7-R$10)&gt;=1000</formula>
    </cfRule>
  </conditionalFormatting>
  <conditionalFormatting sqref="S4:S11">
    <cfRule type="expression" dxfId="1031" priority="85">
      <formula>ABS(S$7-S$10)&gt;=1000</formula>
    </cfRule>
  </conditionalFormatting>
  <conditionalFormatting sqref="T4:T9 T11">
    <cfRule type="expression" dxfId="1030" priority="84">
      <formula>ABS(T$7-T$10)&gt;=1000</formula>
    </cfRule>
  </conditionalFormatting>
  <conditionalFormatting sqref="U4:U9 U11">
    <cfRule type="expression" dxfId="1029" priority="83">
      <formula>ABS(U$7-U$10)&gt;=1000</formula>
    </cfRule>
  </conditionalFormatting>
  <conditionalFormatting sqref="V4:V9 V11">
    <cfRule type="expression" dxfId="1028" priority="82">
      <formula>ABS(V$7-V$10)&gt;=1000</formula>
    </cfRule>
  </conditionalFormatting>
  <conditionalFormatting sqref="W4:W9 W11">
    <cfRule type="expression" dxfId="1027" priority="81">
      <formula>ABS(W$7-W$10)&gt;=1000</formula>
    </cfRule>
  </conditionalFormatting>
  <conditionalFormatting sqref="X4:X9 X11">
    <cfRule type="expression" dxfId="1026" priority="80">
      <formula>ABS(X$7-X$10)&gt;=1000</formula>
    </cfRule>
  </conditionalFormatting>
  <conditionalFormatting sqref="Y4:Y9 Y11">
    <cfRule type="expression" dxfId="1025" priority="79">
      <formula>ABS(Y$7-Y$10)&gt;=1000</formula>
    </cfRule>
  </conditionalFormatting>
  <conditionalFormatting sqref="Z4:Z11">
    <cfRule type="expression" dxfId="1024" priority="78">
      <formula>ABS(Z$7-Z$10)&gt;=1000</formula>
    </cfRule>
  </conditionalFormatting>
  <conditionalFormatting sqref="AA4:AA11">
    <cfRule type="expression" dxfId="1023" priority="77">
      <formula>ABS(AA$7-AA$10)&gt;=1000</formula>
    </cfRule>
  </conditionalFormatting>
  <conditionalFormatting sqref="AB4:AB11">
    <cfRule type="expression" dxfId="1022" priority="76">
      <formula>ABS(AB$7-AB$10)&gt;=1000</formula>
    </cfRule>
  </conditionalFormatting>
  <conditionalFormatting sqref="AC4 AC6:AC11">
    <cfRule type="expression" dxfId="1021" priority="75">
      <formula>ABS(AC$7-AC$10)&gt;=1000</formula>
    </cfRule>
  </conditionalFormatting>
  <conditionalFormatting sqref="AD4 AD6:AD11">
    <cfRule type="expression" dxfId="1020" priority="74">
      <formula>ABS(AD$7-AD$10)&gt;=1000</formula>
    </cfRule>
  </conditionalFormatting>
  <conditionalFormatting sqref="AE4 AE6:AE11">
    <cfRule type="expression" dxfId="1019" priority="73">
      <formula>ABS(AE$7-AE$10)&gt;=1000</formula>
    </cfRule>
  </conditionalFormatting>
  <conditionalFormatting sqref="D13:D20">
    <cfRule type="expression" dxfId="1018" priority="72">
      <formula>ABS(D$16-D$19)&gt;=1000</formula>
    </cfRule>
  </conditionalFormatting>
  <conditionalFormatting sqref="E13:E20">
    <cfRule type="expression" dxfId="1017" priority="71">
      <formula>ABS(E$16-E$19)&gt;=1000</formula>
    </cfRule>
  </conditionalFormatting>
  <conditionalFormatting sqref="F13 F15:F20">
    <cfRule type="expression" dxfId="1016" priority="70">
      <formula>ABS(F$16-F$19)&gt;=1000</formula>
    </cfRule>
  </conditionalFormatting>
  <conditionalFormatting sqref="G13:G20">
    <cfRule type="expression" dxfId="1015" priority="69">
      <formula>ABS(G$16-G$19)&gt;=1000</formula>
    </cfRule>
  </conditionalFormatting>
  <conditionalFormatting sqref="H13 H15:H20">
    <cfRule type="expression" dxfId="1014" priority="68">
      <formula>ABS(H$16-H$19)&gt;=1000</formula>
    </cfRule>
  </conditionalFormatting>
  <conditionalFormatting sqref="I13:I20">
    <cfRule type="expression" dxfId="1013" priority="67">
      <formula>ABS(I$16-I$19)&gt;=1000</formula>
    </cfRule>
  </conditionalFormatting>
  <conditionalFormatting sqref="J13:J20">
    <cfRule type="expression" dxfId="1012" priority="66">
      <formula>ABS(J$16-J$19)&gt;=1000</formula>
    </cfRule>
  </conditionalFormatting>
  <conditionalFormatting sqref="L13:L20">
    <cfRule type="expression" dxfId="1011" priority="65">
      <formula>ABS(L$16-L$19)&gt;=1000</formula>
    </cfRule>
  </conditionalFormatting>
  <conditionalFormatting sqref="M13 M15 M17:M18 M20">
    <cfRule type="expression" dxfId="1010" priority="64">
      <formula>ABS(M$16-M$19)&gt;=1000</formula>
    </cfRule>
  </conditionalFormatting>
  <conditionalFormatting sqref="N13:N20">
    <cfRule type="expression" dxfId="1009" priority="63">
      <formula>ABS(N$16-N$19)&gt;=1000</formula>
    </cfRule>
  </conditionalFormatting>
  <conditionalFormatting sqref="O13:O20">
    <cfRule type="expression" dxfId="1008" priority="62">
      <formula>ABS(O$16-O$19)&gt;=1000</formula>
    </cfRule>
  </conditionalFormatting>
  <conditionalFormatting sqref="P13:P20">
    <cfRule type="expression" dxfId="1007" priority="61">
      <formula>ABS(P$16-P$19)&gt;=1000</formula>
    </cfRule>
  </conditionalFormatting>
  <conditionalFormatting sqref="Q13 Q15:Q20">
    <cfRule type="expression" dxfId="1006" priority="60">
      <formula>ABS(Q$16-Q$19)&gt;=1000</formula>
    </cfRule>
  </conditionalFormatting>
  <conditionalFormatting sqref="R13:R20">
    <cfRule type="expression" dxfId="1005" priority="59">
      <formula>ABS(R$16-R$19)&gt;=1000</formula>
    </cfRule>
  </conditionalFormatting>
  <conditionalFormatting sqref="S13:S20">
    <cfRule type="expression" dxfId="1004" priority="58">
      <formula>ABS(S$16-S$19)&gt;=1000</formula>
    </cfRule>
  </conditionalFormatting>
  <conditionalFormatting sqref="T13:T20">
    <cfRule type="expression" dxfId="1003" priority="57">
      <formula>ABS(T$16-T$19)&gt;=1000</formula>
    </cfRule>
  </conditionalFormatting>
  <conditionalFormatting sqref="U13:U20">
    <cfRule type="expression" dxfId="1002" priority="56">
      <formula>ABS(U$16-U$19)&gt;=1000</formula>
    </cfRule>
  </conditionalFormatting>
  <conditionalFormatting sqref="V13:V20">
    <cfRule type="expression" dxfId="1001" priority="55">
      <formula>ABS(V$16-V$19)&gt;=1000</formula>
    </cfRule>
  </conditionalFormatting>
  <conditionalFormatting sqref="W13 W20 W15:W18">
    <cfRule type="expression" dxfId="1000" priority="54">
      <formula>ABS(W$16-W$19)&gt;=1000</formula>
    </cfRule>
  </conditionalFormatting>
  <conditionalFormatting sqref="X13 X15:X20 Y19">
    <cfRule type="expression" dxfId="999" priority="53">
      <formula>ABS(X$16-X$19)&gt;=1000</formula>
    </cfRule>
  </conditionalFormatting>
  <conditionalFormatting sqref="Y13 Y15:Y18 Y20">
    <cfRule type="expression" dxfId="998" priority="52">
      <formula>ABS(Y$16-Y$19)&gt;=1000</formula>
    </cfRule>
  </conditionalFormatting>
  <conditionalFormatting sqref="Z13:Z20">
    <cfRule type="expression" dxfId="997" priority="51">
      <formula>ABS(Z$16-Z$19)&gt;=1000</formula>
    </cfRule>
  </conditionalFormatting>
  <conditionalFormatting sqref="AA13:AA20">
    <cfRule type="expression" dxfId="996" priority="50">
      <formula>ABS(AA$16-AA$19)&gt;=1000</formula>
    </cfRule>
  </conditionalFormatting>
  <conditionalFormatting sqref="AB13 AB15:AB20">
    <cfRule type="expression" dxfId="995" priority="49">
      <formula>ABS(AB$16-AB$19)&gt;=1000</formula>
    </cfRule>
  </conditionalFormatting>
  <conditionalFormatting sqref="AC13 AC15:AC20">
    <cfRule type="expression" dxfId="994" priority="48">
      <formula>ABS(AC$16-AC$19)&gt;=1000</formula>
    </cfRule>
  </conditionalFormatting>
  <conditionalFormatting sqref="AD13:AD20">
    <cfRule type="expression" dxfId="993" priority="47">
      <formula>ABS(AD$16-AD$19)&gt;=1000</formula>
    </cfRule>
  </conditionalFormatting>
  <conditionalFormatting sqref="AE13:AE20">
    <cfRule type="expression" dxfId="992" priority="46">
      <formula>ABS(AE$16-AE$19)&gt;=1000</formula>
    </cfRule>
  </conditionalFormatting>
  <conditionalFormatting sqref="D22:D29">
    <cfRule type="expression" dxfId="991" priority="45">
      <formula>ABS(D$25-D$28)&gt;=1000</formula>
    </cfRule>
  </conditionalFormatting>
  <conditionalFormatting sqref="E22:E29">
    <cfRule type="expression" dxfId="990" priority="44">
      <formula>ABS(E$25-E$28)&gt;=1000</formula>
    </cfRule>
  </conditionalFormatting>
  <conditionalFormatting sqref="F22:F29">
    <cfRule type="expression" dxfId="989" priority="43">
      <formula>ABS(F$25-F$28)&gt;=1000</formula>
    </cfRule>
  </conditionalFormatting>
  <conditionalFormatting sqref="G22:G29">
    <cfRule type="expression" dxfId="988" priority="42">
      <formula>ABS(G$25-G$28)&gt;=1000</formula>
    </cfRule>
  </conditionalFormatting>
  <conditionalFormatting sqref="H22:H29">
    <cfRule type="expression" dxfId="987" priority="41">
      <formula>ABS(H$25-H$28)&gt;=1000</formula>
    </cfRule>
  </conditionalFormatting>
  <conditionalFormatting sqref="I22 I24:I29">
    <cfRule type="expression" dxfId="986" priority="40">
      <formula>ABS(I$25-I$28)&gt;=1000</formula>
    </cfRule>
  </conditionalFormatting>
  <conditionalFormatting sqref="J22:J29 K22">
    <cfRule type="expression" dxfId="985" priority="39">
      <formula>ABS(J$25-J$28)&gt;=1000</formula>
    </cfRule>
  </conditionalFormatting>
  <conditionalFormatting sqref="K23:K29 L25 L28">
    <cfRule type="expression" dxfId="984" priority="38">
      <formula>ABS(K$25-K$28)&gt;=1000</formula>
    </cfRule>
  </conditionalFormatting>
  <conditionalFormatting sqref="L22 L26:L27 L29 L24">
    <cfRule type="expression" dxfId="983" priority="37">
      <formula>ABS(L$25-L$28)&gt;=1000</formula>
    </cfRule>
  </conditionalFormatting>
  <conditionalFormatting sqref="M22:M29">
    <cfRule type="expression" dxfId="982" priority="36">
      <formula>ABS(M$25-M$28)&gt;=1000</formula>
    </cfRule>
  </conditionalFormatting>
  <conditionalFormatting sqref="N22:N29">
    <cfRule type="expression" dxfId="981" priority="35">
      <formula>ABS(N$25-N$28)&gt;=1000</formula>
    </cfRule>
  </conditionalFormatting>
  <conditionalFormatting sqref="O22:O29">
    <cfRule type="expression" dxfId="980" priority="34">
      <formula>ABS(O$25-O$28)&gt;=1000</formula>
    </cfRule>
  </conditionalFormatting>
  <conditionalFormatting sqref="P22:P29">
    <cfRule type="expression" dxfId="979" priority="33">
      <formula>ABS(P$25-P$28)&gt;=1000</formula>
    </cfRule>
  </conditionalFormatting>
  <conditionalFormatting sqref="Q22:Q29">
    <cfRule type="expression" dxfId="978" priority="32">
      <formula>ABS(Q$25-Q$28)&gt;=1000</formula>
    </cfRule>
  </conditionalFormatting>
  <conditionalFormatting sqref="R22:R29">
    <cfRule type="expression" dxfId="977" priority="31">
      <formula>ABS(R$25-R$28)&gt;=1000</formula>
    </cfRule>
  </conditionalFormatting>
  <conditionalFormatting sqref="S22:S29">
    <cfRule type="expression" dxfId="976" priority="30">
      <formula>ABS(S$25-S$28)&gt;=1000</formula>
    </cfRule>
  </conditionalFormatting>
  <conditionalFormatting sqref="T22:T29">
    <cfRule type="expression" dxfId="975" priority="29">
      <formula>ABS(T$25-T$28)&gt;=1000</formula>
    </cfRule>
  </conditionalFormatting>
  <conditionalFormatting sqref="U22:U29">
    <cfRule type="expression" dxfId="974" priority="28">
      <formula>ABS(U$25-U$28)&gt;=1000</formula>
    </cfRule>
  </conditionalFormatting>
  <conditionalFormatting sqref="V22:V29">
    <cfRule type="expression" dxfId="973" priority="27">
      <formula>ABS(V$25-V$28)&gt;=1000</formula>
    </cfRule>
  </conditionalFormatting>
  <conditionalFormatting sqref="W22:W29">
    <cfRule type="expression" dxfId="972" priority="26">
      <formula>ABS(W$25-W$28)&gt;=1000</formula>
    </cfRule>
  </conditionalFormatting>
  <conditionalFormatting sqref="X22:X29">
    <cfRule type="expression" dxfId="971" priority="25">
      <formula>ABS(X$25-X$28)&gt;=1000</formula>
    </cfRule>
  </conditionalFormatting>
  <conditionalFormatting sqref="Y22:Y29">
    <cfRule type="expression" dxfId="970" priority="24">
      <formula>ABS(Y$25-Y$28)&gt;=1000</formula>
    </cfRule>
  </conditionalFormatting>
  <conditionalFormatting sqref="I23">
    <cfRule type="expression" dxfId="969" priority="23">
      <formula>ABS(I$25-I$28)&gt;=1000</formula>
    </cfRule>
  </conditionalFormatting>
  <conditionalFormatting sqref="Q14">
    <cfRule type="expression" dxfId="968" priority="22">
      <formula>ABS(Q$16-Q$19)&gt;=1000</formula>
    </cfRule>
  </conditionalFormatting>
  <conditionalFormatting sqref="W14">
    <cfRule type="expression" dxfId="967" priority="21">
      <formula>ABS(W$16-W$19)&gt;=1000</formula>
    </cfRule>
  </conditionalFormatting>
  <conditionalFormatting sqref="X14">
    <cfRule type="expression" dxfId="966" priority="20">
      <formula>ABS(X$16-X$19)&gt;=1000</formula>
    </cfRule>
  </conditionalFormatting>
  <conditionalFormatting sqref="T10:Y10">
    <cfRule type="expression" dxfId="965" priority="19">
      <formula>ABS(T$7-T$10)&gt;=1000</formula>
    </cfRule>
  </conditionalFormatting>
  <conditionalFormatting sqref="W19">
    <cfRule type="expression" dxfId="964" priority="18">
      <formula>ABS(W$16-W$19)&gt;=1000</formula>
    </cfRule>
  </conditionalFormatting>
  <conditionalFormatting sqref="AC5">
    <cfRule type="expression" dxfId="963" priority="17">
      <formula>ABS(AC$7-AC$10)&gt;=1000</formula>
    </cfRule>
  </conditionalFormatting>
  <conditionalFormatting sqref="M14">
    <cfRule type="expression" dxfId="962" priority="16">
      <formula>ABS(M$16-M$19)&gt;=1000</formula>
    </cfRule>
  </conditionalFormatting>
  <conditionalFormatting sqref="M16">
    <cfRule type="expression" dxfId="961" priority="15">
      <formula>ABS(M$16-M$19)&gt;=1000</formula>
    </cfRule>
  </conditionalFormatting>
  <conditionalFormatting sqref="M19">
    <cfRule type="expression" dxfId="960" priority="14">
      <formula>ABS(M$16-M$19)&gt;=1000</formula>
    </cfRule>
  </conditionalFormatting>
  <conditionalFormatting sqref="K13:K20">
    <cfRule type="expression" dxfId="959" priority="13">
      <formula>ABS(K$16-K$19)&gt;=1000</formula>
    </cfRule>
  </conditionalFormatting>
  <conditionalFormatting sqref="E5">
    <cfRule type="expression" dxfId="958" priority="12">
      <formula>ABS(E$7-E$10)&gt;=1000</formula>
    </cfRule>
  </conditionalFormatting>
  <conditionalFormatting sqref="AB14:AC14">
    <cfRule type="expression" dxfId="957" priority="11">
      <formula>ABS(AB$16-AB$19)&gt;=1000</formula>
    </cfRule>
  </conditionalFormatting>
  <conditionalFormatting sqref="M5">
    <cfRule type="expression" dxfId="956" priority="10">
      <formula>ABS(M$7-M$10)&gt;=1000</formula>
    </cfRule>
  </conditionalFormatting>
  <conditionalFormatting sqref="N5">
    <cfRule type="expression" dxfId="955" priority="9">
      <formula>ABS(N$7-N$10)&gt;=1000</formula>
    </cfRule>
  </conditionalFormatting>
  <conditionalFormatting sqref="O5">
    <cfRule type="expression" dxfId="954" priority="8">
      <formula>ABS(O$7-O$10)&gt;=1000</formula>
    </cfRule>
  </conditionalFormatting>
  <conditionalFormatting sqref="P5">
    <cfRule type="expression" dxfId="953" priority="7">
      <formula>ABS(P$7-P$10)&gt;=1000</formula>
    </cfRule>
  </conditionalFormatting>
  <conditionalFormatting sqref="L23">
    <cfRule type="expression" dxfId="952" priority="6">
      <formula>ABS(L$25-L$28)&gt;=1000</formula>
    </cfRule>
  </conditionalFormatting>
  <conditionalFormatting sqref="Y14">
    <cfRule type="expression" dxfId="951" priority="5">
      <formula>ABS(Y$16-Y$19)&gt;=1000</formula>
    </cfRule>
  </conditionalFormatting>
  <conditionalFormatting sqref="F14">
    <cfRule type="expression" dxfId="950" priority="4">
      <formula>ABS(F$16-F$19)&gt;=1000</formula>
    </cfRule>
  </conditionalFormatting>
  <conditionalFormatting sqref="H14">
    <cfRule type="expression" dxfId="949" priority="3">
      <formula>ABS(H$16-H$19)&gt;=1000</formula>
    </cfRule>
  </conditionalFormatting>
  <conditionalFormatting sqref="AD5">
    <cfRule type="expression" dxfId="948" priority="2">
      <formula>ABS(AD$7-AD$10)&gt;=1000</formula>
    </cfRule>
  </conditionalFormatting>
  <conditionalFormatting sqref="AE5">
    <cfRule type="expression" dxfId="947" priority="1">
      <formula>ABS(AE$7-AE$10)&gt;=1000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84609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914">
    <pageSetUpPr fitToPage="1"/>
  </sheetPr>
  <dimension ref="A1:CU223"/>
  <sheetViews>
    <sheetView view="pageBreakPreview" zoomScale="70" zoomScaleNormal="100" zoomScaleSheetLayoutView="70" workbookViewId="0">
      <selection activeCell="O6" sqref="O6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185" t="s" ph="1">
        <v>161</v>
      </c>
      <c r="C1" s="185" ph="1"/>
      <c r="D1" s="185" ph="1"/>
      <c r="E1" s="185" ph="1"/>
      <c r="F1" s="185" ph="1"/>
      <c r="G1" s="185" ph="1"/>
      <c r="H1" s="185" ph="1"/>
      <c r="I1" s="185" ph="1"/>
      <c r="J1" s="185" ph="1"/>
      <c r="K1" s="185" ph="1"/>
      <c r="L1" s="185" ph="1"/>
      <c r="M1" s="185" ph="1"/>
      <c r="N1" s="185" ph="1"/>
      <c r="O1" s="185" ph="1"/>
      <c r="P1" s="185" ph="1"/>
      <c r="Q1" s="185" ph="1"/>
      <c r="R1" s="185" ph="1"/>
      <c r="S1" s="185" ph="1"/>
      <c r="T1" s="185" ph="1"/>
      <c r="U1" s="185" ph="1"/>
      <c r="V1" s="185" ph="1"/>
      <c r="W1" s="185" ph="1"/>
      <c r="X1" s="185" ph="1"/>
      <c r="Y1" s="185" ph="1"/>
      <c r="Z1" s="185" ph="1"/>
      <c r="AA1" s="185" ph="1"/>
      <c r="AB1" s="185" ph="1"/>
      <c r="AC1" s="185" ph="1"/>
      <c r="AD1" s="185" ph="1"/>
      <c r="AE1" s="185" ph="1"/>
    </row>
    <row r="2" spans="1:99" s="66" customFormat="1" ht="24" customHeight="1" ph="1">
      <c r="B2" s="186" t="s" ph="1">
        <v>82</v>
      </c>
      <c r="C2" s="186" ph="1"/>
      <c r="D2" s="186" ph="1"/>
      <c r="E2" s="186" ph="1"/>
      <c r="F2" s="186" ph="1"/>
      <c r="G2" s="186" ph="1"/>
      <c r="H2" s="186" ph="1"/>
      <c r="I2" s="186" ph="1"/>
      <c r="J2" s="186" ph="1"/>
      <c r="K2" s="186" ph="1"/>
      <c r="L2" s="186" ph="1"/>
      <c r="M2" s="186" ph="1"/>
      <c r="N2" s="186" ph="1"/>
      <c r="O2" s="186" ph="1"/>
      <c r="P2" s="186" ph="1"/>
      <c r="Q2" s="186" ph="1"/>
      <c r="R2" s="186" ph="1"/>
      <c r="S2" s="186" ph="1"/>
      <c r="T2" s="186" ph="1"/>
      <c r="U2" s="186" ph="1"/>
      <c r="V2" s="186" ph="1"/>
      <c r="W2" s="186" ph="1"/>
      <c r="X2" s="186" ph="1"/>
      <c r="Y2" s="186" ph="1"/>
      <c r="Z2" s="186" ph="1"/>
      <c r="AA2" s="186" ph="1"/>
      <c r="AB2" s="186" ph="1"/>
      <c r="AC2" s="186" ph="1"/>
      <c r="AD2" s="186" ph="1"/>
      <c r="AE2" s="186" ph="1"/>
    </row>
    <row r="3" spans="1:99" ht="21" customHeight="1" ph="1">
      <c r="B3" s="187" ph="1">
        <v>46195</v>
      </c>
      <c r="C3" s="187"/>
      <c r="D3" s="187"/>
      <c r="E3" s="187"/>
      <c r="F3" s="187"/>
      <c r="G3" s="187"/>
      <c r="H3" s="187"/>
      <c r="I3" s="187"/>
      <c r="J3" s="187"/>
      <c r="K3" s="187"/>
      <c r="L3" s="187"/>
      <c r="M3" s="187"/>
      <c r="N3" s="187"/>
      <c r="O3" s="187"/>
      <c r="P3" s="187"/>
      <c r="Q3" s="187"/>
      <c r="R3" s="187"/>
      <c r="S3" s="187"/>
      <c r="T3" s="187"/>
      <c r="U3" s="187"/>
      <c r="V3" s="187"/>
      <c r="W3" s="187"/>
      <c r="X3" s="187"/>
      <c r="Y3" s="187"/>
      <c r="Z3" s="187"/>
      <c r="AA3" s="187"/>
      <c r="AB3" s="187"/>
      <c r="AC3" s="187"/>
      <c r="AD3" s="187"/>
      <c r="AE3" s="187"/>
    </row>
    <row r="4" spans="1:99" s="69" customFormat="1" ph="1">
      <c r="A4" s="65" ph="1"/>
      <c r="B4" s="188" t="s" ph="1">
        <v>37</v>
      </c>
      <c r="C4" s="67" t="s" ph="1">
        <v>176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110</v>
      </c>
      <c r="J4" s="68" t="s" ph="1">
        <v>48</v>
      </c>
      <c r="K4" s="68" t="s" ph="1">
        <v>111</v>
      </c>
      <c r="L4" s="68" t="s" ph="1">
        <v>112</v>
      </c>
      <c r="M4" s="68" t="s" ph="1">
        <v>49</v>
      </c>
      <c r="N4" s="68" t="s" ph="1">
        <v>50</v>
      </c>
      <c r="O4" s="68" t="s" ph="1">
        <v>113</v>
      </c>
      <c r="P4" s="68" t="s" ph="1">
        <v>114</v>
      </c>
      <c r="Q4" s="68" t="s" ph="1">
        <v>115</v>
      </c>
      <c r="R4" s="68" t="s" ph="1">
        <v>116</v>
      </c>
      <c r="S4" s="68" t="s" ph="1">
        <v>117</v>
      </c>
      <c r="T4" s="68" t="s" ph="1">
        <v>118</v>
      </c>
      <c r="U4" s="68" t="s" ph="1">
        <v>119</v>
      </c>
      <c r="V4" s="68" t="s" ph="1">
        <v>120</v>
      </c>
      <c r="W4" s="68" t="s" ph="1">
        <v>121</v>
      </c>
      <c r="X4" s="68" t="s" ph="1">
        <v>122</v>
      </c>
      <c r="Y4" s="68" t="s" ph="1">
        <v>123</v>
      </c>
      <c r="Z4" s="68" t="s" ph="1">
        <v>51</v>
      </c>
      <c r="AA4" s="68" t="s" ph="1">
        <v>124</v>
      </c>
      <c r="AB4" s="68" t="s" ph="1">
        <v>125</v>
      </c>
      <c r="AC4" s="68" t="s" ph="1">
        <v>126</v>
      </c>
      <c r="AD4" s="68" t="s" ph="1">
        <v>40</v>
      </c>
      <c r="AE4" s="68" t="s" ph="1">
        <v>127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188" ph="1"/>
      <c r="C5" s="67" t="s" ph="1">
        <v>36</v>
      </c>
      <c r="D5" s="70" t="s" ph="1">
        <v>160</v>
      </c>
      <c r="E5" s="142" t="s" ph="1">
        <v>7</v>
      </c>
      <c r="F5" s="142" t="s" ph="1">
        <v>1</v>
      </c>
      <c r="G5" s="142" t="s" ph="1">
        <v>7</v>
      </c>
      <c r="H5" s="142" t="s" ph="1">
        <v>7</v>
      </c>
      <c r="I5" s="141" t="s" ph="1">
        <v>608</v>
      </c>
      <c r="J5" s="141" t="s" ph="1">
        <v>609</v>
      </c>
      <c r="K5" s="141" t="s" ph="1">
        <v>611</v>
      </c>
      <c r="L5" s="141" t="s" ph="1">
        <v>613</v>
      </c>
      <c r="M5" s="141" t="s" ph="1">
        <v>608</v>
      </c>
      <c r="N5" s="70" t="s" ph="1">
        <v>609</v>
      </c>
      <c r="O5" s="70" t="s" ph="1">
        <v>611</v>
      </c>
      <c r="P5" s="70" t="s" ph="1">
        <v>613</v>
      </c>
      <c r="Q5" s="70" t="s" ph="1">
        <v>607</v>
      </c>
      <c r="R5" s="70" t="s" ph="1">
        <v>607</v>
      </c>
      <c r="S5" s="70" t="s" ph="1">
        <v>607</v>
      </c>
      <c r="T5" s="70" t="s" ph="1">
        <v>607</v>
      </c>
      <c r="U5" s="70" t="s" ph="1">
        <v>607</v>
      </c>
      <c r="V5" s="70" t="s" ph="1">
        <v>607</v>
      </c>
      <c r="W5" s="70" t="s" ph="1">
        <v>607</v>
      </c>
      <c r="X5" s="70" t="s" ph="1">
        <v>607</v>
      </c>
      <c r="Y5" s="70" t="s" ph="1">
        <v>607</v>
      </c>
      <c r="Z5" s="70" t="s" ph="1">
        <v>614</v>
      </c>
      <c r="AA5" s="70" t="s" ph="1">
        <v>54</v>
      </c>
      <c r="AB5" s="70" t="s" ph="1">
        <v>54</v>
      </c>
      <c r="AC5" s="70" t="s" ph="1">
        <v>615</v>
      </c>
      <c r="AD5" s="71" t="s">
        <v>72</v>
      </c>
      <c r="AE5" s="71" t="s">
        <v>635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184" ph="1">
        <v>0.33333333333333331</v>
      </c>
      <c r="C6" s="159" t="s" ph="1">
        <v>177</v>
      </c>
      <c r="D6" s="71">
        <v>2436</v>
      </c>
      <c r="E6" s="71">
        <v>7871</v>
      </c>
      <c r="F6" s="71">
        <v>5840</v>
      </c>
      <c r="G6" s="71">
        <v>3690</v>
      </c>
      <c r="H6" s="71">
        <v>1237</v>
      </c>
      <c r="I6" s="71">
        <v>38.68</v>
      </c>
      <c r="J6" s="71">
        <v>61.72</v>
      </c>
      <c r="K6" s="71">
        <v>62.6</v>
      </c>
      <c r="L6" s="71">
        <v>6.89</v>
      </c>
      <c r="M6" s="71">
        <v>5612</v>
      </c>
      <c r="N6" s="71">
        <v>6906</v>
      </c>
      <c r="O6" s="71">
        <v>5955</v>
      </c>
      <c r="P6" s="71">
        <v>2105</v>
      </c>
      <c r="Q6" s="71">
        <v>2795</v>
      </c>
      <c r="R6" s="71">
        <v>0</v>
      </c>
      <c r="S6" s="71">
        <v>0</v>
      </c>
      <c r="T6" s="71">
        <v>0</v>
      </c>
      <c r="U6" s="71">
        <v>5643</v>
      </c>
      <c r="V6" s="71">
        <v>5346</v>
      </c>
      <c r="W6" s="71">
        <v>7010</v>
      </c>
      <c r="X6" s="71">
        <v>5827</v>
      </c>
      <c r="Y6" s="71">
        <v>5680</v>
      </c>
      <c r="Z6" s="71">
        <v>6762</v>
      </c>
      <c r="AA6" s="71">
        <v>0</v>
      </c>
      <c r="AB6" s="71">
        <v>2743</v>
      </c>
      <c r="AC6" s="71">
        <v>4276</v>
      </c>
      <c r="AD6" s="71">
        <v>3806</v>
      </c>
      <c r="AE6" s="71">
        <v>4979</v>
      </c>
    </row>
    <row r="7" spans="1:99" s="72" customFormat="1" ht="22.2" ph="1">
      <c r="B7" s="184" ph="1"/>
      <c r="C7" s="68" t="s" ph="1">
        <v>178</v>
      </c>
      <c r="D7" s="73" ph="1">
        <f>D6*33.183*LOOKUP(D8,密度!$A$2:$A$50,密度!$Q$2:$Q$50)</f>
        <v>76413.79647216</v>
      </c>
      <c r="E7" s="73" ph="1">
        <f>E6*51.53*LOOKUP(E8,密度!$A$2:$A$50,密度!$B$2:$B$50)</f>
        <v>316200.014348</v>
      </c>
      <c r="F7" s="73" ph="1">
        <f>F6*33.183*LOOKUP(F8,密度!$A$2:$A$50,密度!$C$2:$C$50)</f>
        <v>214737.28063200001</v>
      </c>
      <c r="G7" s="73" ph="1">
        <f xml:space="preserve"> (G6+2)*51.53*LOOKUP(G8,密度!$A$2:$A$50,密度!$B$2:$B$50)</f>
        <v>147823.28652000002</v>
      </c>
      <c r="H7" s="73" ph="1">
        <f>(H6)*51.53*LOOKUP(H8,密度!$A$2:$A$50,密度!$B$2:$B$50)</f>
        <v>49693.738755999999</v>
      </c>
      <c r="I7" s="73" ph="1">
        <f>I6*290.8*1.0267</f>
        <v>11548.469444799999</v>
      </c>
      <c r="J7" s="73" ph="1">
        <f>J6*290.8*0.7892</f>
        <v>14164.7004992</v>
      </c>
      <c r="K7" s="73" ph="1">
        <f>K6*290.8*1.1126</f>
        <v>20253.859408000004</v>
      </c>
      <c r="L7" s="73" ph="1">
        <f>L6*290.8*0.777</f>
        <v>1556.8065240000001</v>
      </c>
      <c r="M7" s="73" ph="1">
        <f>M6*33.183*LOOKUP(M8,密度!$A$2:$A$50,密度!$D$2:$D$50)</f>
        <v>190673.72560439998</v>
      </c>
      <c r="N7" s="73" ph="1">
        <f>N6*33.183*LOOKUP(N8,密度!$A$2:$A$50,密度!$E$2:$E$50)</f>
        <v>177932.67805710001</v>
      </c>
      <c r="O7" s="73" ph="1">
        <f>O6*20.428*LOOKUP(O8,密度!$A$2:$A$50,密度!$C$2:$C$50)</f>
        <v>134178.56022000001</v>
      </c>
      <c r="P7" s="73" ph="1">
        <f>P6*51.53*LOOKUP(P8,密度!$A$2:$A$50,密度!$B$2:$B$50)</f>
        <v>84281.695050000009</v>
      </c>
      <c r="Q7" s="73" ph="1">
        <f>Q6*1.5*1.5*3.1416*LOOKUP(W8,密度!$A$2:$A$50,密度!$L$2:$L$50)</f>
        <v>18452.792358000002</v>
      </c>
      <c r="R7" s="73" ph="1">
        <f>R6*1.5*1.5*3.1416*LOOKUP(R8,密度!$A$2:$A$50,密度!$L$2:$L$50)</f>
        <v>0</v>
      </c>
      <c r="S7" s="73" ph="1">
        <f>S6*1.5*1.5*3.1416*LOOKUP(S8,密度!$A$2:$A$50,密度!$L$2:$L$50)</f>
        <v>0</v>
      </c>
      <c r="T7" s="73" ph="1">
        <f>T6*1.5*1.5*3.1416*LOOKUP(T8,密度!$A$2:$A$50,密度!$L$2:$L$50)</f>
        <v>0</v>
      </c>
      <c r="U7" s="73" ph="1">
        <f>U6*1.5*1.5*3.1416*LOOKUP(U8,密度!$A$2:$A$50,密度!$L$2:$L$50)</f>
        <v>37175.718333600002</v>
      </c>
      <c r="V7" s="73" ph="1">
        <f>V6*1.5*1.5*3.1416*LOOKUP(V8,密度!$A$2:$A$50,密度!$L$2:$L$50)</f>
        <v>35294.679050400002</v>
      </c>
      <c r="W7" s="73" ph="1">
        <f>W6*1.5*1.5*3.1416*LOOKUP(W8,密度!$A$2:$A$50,密度!$L$2:$L$50)</f>
        <v>46280.527524000005</v>
      </c>
      <c r="X7" s="73" ph="1">
        <f>X6*1.5*1.5*3.1416*LOOKUP(X8,密度!$A$2:$A$50,密度!$L$2:$L$50)</f>
        <v>38840.974464599996</v>
      </c>
      <c r="Y7" s="73" ph="1">
        <f>Y6*1.5*1.5*3.1416*LOOKUP(Y8,密度!$A$2:$A$50,密度!$L$2:$L$50)</f>
        <v>37499.771232000006</v>
      </c>
      <c r="Z7" s="73" ph="1">
        <f>Z6*33.183*LOOKUP(Z8,密度!$A$2:$A$50,密度!$L$2:$L$50)</f>
        <v>209574.13856400002</v>
      </c>
      <c r="AA7" s="73" ph="1">
        <f>AA6*33.183*LOOKUP(AA8,密度!$A$2:$A$50,密度!$D$2:$D$50)</f>
        <v>0</v>
      </c>
      <c r="AB7" s="73" ph="1">
        <f>AB6*20.428*LOOKUP(AB8,密度!$A$2:$A$50,密度!$D$2:$D$50)</f>
        <v>57580.542510400002</v>
      </c>
      <c r="AC7" s="73" ph="1">
        <f>AC6*51.53*LOOKUP(AC8,密度!$A$2:$A$50,密度!$Q$2:$Q$50)</f>
        <v>208139.72453360001</v>
      </c>
      <c r="AD7" s="73" ph="1">
        <f>AD6*20.428*LOOKUP(AD8,密度!$A$2:$A$50,密度!$V$2:$V$50)</f>
        <v>74701.20845440001</v>
      </c>
      <c r="AE7" s="73" ph="1">
        <f>AE6*20.428</f>
        <v>101711.012</v>
      </c>
    </row>
    <row r="8" spans="1:99" ph="1">
      <c r="B8" s="184" ph="1"/>
      <c r="C8" s="68" t="s" ph="1">
        <v>179</v>
      </c>
      <c r="D8" s="74">
        <v>27</v>
      </c>
      <c r="E8" s="74">
        <v>25</v>
      </c>
      <c r="F8" s="74">
        <v>26</v>
      </c>
      <c r="G8" s="74">
        <v>28</v>
      </c>
      <c r="H8" s="74">
        <v>25</v>
      </c>
      <c r="I8" s="74">
        <v>25</v>
      </c>
      <c r="J8" s="74">
        <v>25</v>
      </c>
      <c r="K8" s="74">
        <v>25</v>
      </c>
      <c r="L8" s="74">
        <v>25</v>
      </c>
      <c r="M8" s="74">
        <v>28</v>
      </c>
      <c r="N8" s="74">
        <v>31</v>
      </c>
      <c r="O8" s="74">
        <v>32</v>
      </c>
      <c r="P8" s="74">
        <v>28</v>
      </c>
      <c r="Q8" s="74">
        <v>31</v>
      </c>
      <c r="R8" s="74">
        <v>35</v>
      </c>
      <c r="S8" s="74">
        <v>28</v>
      </c>
      <c r="T8" s="74">
        <v>22</v>
      </c>
      <c r="U8" s="74">
        <v>30</v>
      </c>
      <c r="V8" s="74">
        <v>28</v>
      </c>
      <c r="W8" s="74">
        <v>28</v>
      </c>
      <c r="X8" s="74">
        <v>19</v>
      </c>
      <c r="Y8" s="74">
        <v>28</v>
      </c>
      <c r="Z8" s="74">
        <v>28</v>
      </c>
      <c r="AA8" s="74">
        <v>27</v>
      </c>
      <c r="AB8" s="74">
        <v>24</v>
      </c>
      <c r="AC8" s="74">
        <v>28</v>
      </c>
      <c r="AD8" s="74">
        <v>25</v>
      </c>
      <c r="AE8" s="74">
        <v>26</v>
      </c>
    </row>
    <row r="9" spans="1:99" ht="26.4" ph="1">
      <c r="B9" s="184" ph="1">
        <v>0.66666666666666663</v>
      </c>
      <c r="C9" s="159" t="s" ph="1">
        <v>180</v>
      </c>
      <c r="D9" s="71">
        <v>2054</v>
      </c>
      <c r="E9" s="71">
        <v>7871</v>
      </c>
      <c r="F9" s="71">
        <v>5844</v>
      </c>
      <c r="G9" s="71">
        <v>3692</v>
      </c>
      <c r="H9" s="71">
        <v>959</v>
      </c>
      <c r="I9" s="71">
        <v>38.64</v>
      </c>
      <c r="J9" s="71">
        <v>77.28</v>
      </c>
      <c r="K9" s="71">
        <v>63.12</v>
      </c>
      <c r="L9" s="71">
        <v>27.77</v>
      </c>
      <c r="M9" s="71">
        <v>5615</v>
      </c>
      <c r="N9" s="71">
        <v>6682</v>
      </c>
      <c r="O9" s="71">
        <v>2296</v>
      </c>
      <c r="P9" s="71">
        <v>2073</v>
      </c>
      <c r="Q9" s="71">
        <v>5390</v>
      </c>
      <c r="R9" s="71">
        <v>4469</v>
      </c>
      <c r="S9" s="71">
        <v>0</v>
      </c>
      <c r="T9" s="71">
        <v>0</v>
      </c>
      <c r="U9" s="71">
        <v>1382</v>
      </c>
      <c r="V9" s="71">
        <v>5354</v>
      </c>
      <c r="W9" s="71">
        <v>7018</v>
      </c>
      <c r="X9" s="71">
        <v>5833</v>
      </c>
      <c r="Y9" s="71">
        <v>5689</v>
      </c>
      <c r="Z9" s="71">
        <v>3715</v>
      </c>
      <c r="AA9" s="71">
        <v>0</v>
      </c>
      <c r="AB9" s="71">
        <v>2478</v>
      </c>
      <c r="AC9" s="71">
        <v>5036</v>
      </c>
      <c r="AD9" s="71">
        <v>3887</v>
      </c>
      <c r="AE9" s="71">
        <v>4923</v>
      </c>
    </row>
    <row r="10" spans="1:99" s="72" customFormat="1" ht="22.2" ph="1">
      <c r="B10" s="184" ph="1"/>
      <c r="C10" s="159" t="s" ph="1">
        <v>178</v>
      </c>
      <c r="D10" s="73" ph="1">
        <f>D9*33.183*LOOKUP(D11,密度!$A$2:$A$50,密度!$Q$2:$Q$50)</f>
        <v>64244.256415559998</v>
      </c>
      <c r="E10" s="73" ph="1">
        <f>E9*51.53*LOOKUP(E11,密度!$A$2:$A$50,密度!$B$2:$B$50)</f>
        <v>314820.99940600002</v>
      </c>
      <c r="F10" s="73" ph="1">
        <f>F9*33.183*LOOKUP(F11,密度!$A$2:$A$50,密度!$C$2:$C$50)</f>
        <v>214108.67515319999</v>
      </c>
      <c r="G10" s="73" ph="1">
        <f xml:space="preserve"> (G9+2)*51.53*LOOKUP(G11,密度!$A$2:$A$50,密度!$B$2:$B$50)</f>
        <v>147579.766046</v>
      </c>
      <c r="H10" s="73" ph="1">
        <f>(H9)*51.53*LOOKUP(H11,密度!$A$2:$A$50,密度!$B$2:$B$50)</f>
        <v>38313.209431000003</v>
      </c>
      <c r="I10" s="73" ph="1">
        <f>I9*290.8*1.0267</f>
        <v>11536.526870400001</v>
      </c>
      <c r="J10" s="73" ph="1">
        <f>J9*290.8*0.7892</f>
        <v>17735.710540800002</v>
      </c>
      <c r="K10" s="73" ph="1">
        <f>K9*290.8*1.1126</f>
        <v>20422.102329599998</v>
      </c>
      <c r="L10" s="73" ph="1">
        <f>L9*290.8*0.777</f>
        <v>6274.675932000001</v>
      </c>
      <c r="M10" s="73" ph="1">
        <f>M9*33.183*LOOKUP(M11,密度!$A$2:$A$50,密度!$D$2:$D$50)</f>
        <v>188446.62201300001</v>
      </c>
      <c r="N10" s="73" ph="1">
        <f>N9*33.183*LOOKUP(N11,密度!$A$2:$A$50,密度!$E$2:$E$50)</f>
        <v>171159.11721558002</v>
      </c>
      <c r="O10" s="73" ph="1">
        <f>O9*20.428*LOOKUP(O11,密度!$A$2:$A$50,密度!$C$2:$C$50)</f>
        <v>51536.673574400003</v>
      </c>
      <c r="P10" s="73" ph="1">
        <f>P9*51.53*LOOKUP(P11,密度!$A$2:$A$50,密度!$B$2:$B$50)</f>
        <v>82722.716736000002</v>
      </c>
      <c r="Q10" s="73" ph="1">
        <f>Q9*1.5*1.5*3.1416*LOOKUP(W11,密度!$A$2:$A$50,密度!$L$2:$L$50)</f>
        <v>35508.970728</v>
      </c>
      <c r="R10" s="73" ph="1">
        <f>R9*1.5*1.5*3.1416*LOOKUP(R11,密度!$A$2:$A$50,密度!$L$2:$L$50)</f>
        <v>29251.944968400003</v>
      </c>
      <c r="S10" s="73" ph="1">
        <f>S9*1.5*1.5*3.1416*LOOKUP(S11,密度!$A$2:$A$50,密度!$L$2:$L$50)</f>
        <v>0</v>
      </c>
      <c r="T10" s="73" ph="1">
        <f>T9*1.5*1.5*3.1416*LOOKUP(T11,密度!$A$2:$A$50,密度!$L$2:$L$50)</f>
        <v>0</v>
      </c>
      <c r="U10" s="73" ph="1">
        <f>U9*1.5*1.5*3.1416*LOOKUP(U11,密度!$A$2:$A$50,密度!$L$2:$L$50)</f>
        <v>9104.5264464000011</v>
      </c>
      <c r="V10" s="73" ph="1">
        <f>V9*1.5*1.5*3.1416*LOOKUP(V11,密度!$A$2:$A$50,密度!$L$2:$L$50)</f>
        <v>35347.495629600002</v>
      </c>
      <c r="W10" s="73" ph="1">
        <f>W9*1.5*1.5*3.1416*LOOKUP(W11,密度!$A$2:$A$50,密度!$L$2:$L$50)</f>
        <v>46234.129233600004</v>
      </c>
      <c r="X10" s="73" ph="1">
        <f>X9*1.5*1.5*3.1416*LOOKUP(X11,密度!$A$2:$A$50,密度!$L$2:$L$50)</f>
        <v>38839.737459599994</v>
      </c>
      <c r="Y10" s="73" ph="1">
        <f>Y9*1.5*1.5*3.1416*LOOKUP(Y11,密度!$A$2:$A$50,密度!$L$2:$L$50)</f>
        <v>37478.763352800001</v>
      </c>
      <c r="Z10" s="73" ph="1">
        <f>Z9*33.183*LOOKUP(Z11,密度!$A$2:$A$50,密度!$L$2:$L$50)</f>
        <v>113905.95678000001</v>
      </c>
      <c r="AA10" s="73" ph="1">
        <f>AA9*33.183*LOOKUP(AA11,密度!$A$2:$A$50,密度!$D$2:$D$50)</f>
        <v>0</v>
      </c>
      <c r="AB10" s="73" ph="1">
        <f>AB9*20.428*LOOKUP(AB11,密度!$A$2:$A$50,密度!$D$2:$D$50)</f>
        <v>51875.9744832</v>
      </c>
      <c r="AC10" s="73" ph="1">
        <f>AC9*51.53*LOOKUP(AC11,密度!$A$2:$A$50,密度!$Q$2:$Q$50)</f>
        <v>244427.834852</v>
      </c>
      <c r="AD10" s="73" ph="1">
        <f>AD9*20.428*LOOKUP(AD11,密度!$A$2:$A$50,密度!$V$2:$V$50)</f>
        <v>76036.921833600005</v>
      </c>
      <c r="AE10" s="73" ph="1">
        <f>AE9*20.428</f>
        <v>100567.04400000001</v>
      </c>
    </row>
    <row r="11" spans="1:99" ph="1">
      <c r="A11" s="64" t="s" ph="1">
        <v>162</v>
      </c>
      <c r="B11" s="184" ph="1"/>
      <c r="C11" s="159" t="s" ph="1">
        <v>179</v>
      </c>
      <c r="D11" s="74">
        <v>31</v>
      </c>
      <c r="E11" s="74">
        <v>29</v>
      </c>
      <c r="F11" s="74">
        <v>31</v>
      </c>
      <c r="G11" s="74">
        <v>30</v>
      </c>
      <c r="H11" s="74">
        <v>30</v>
      </c>
      <c r="I11" s="74">
        <v>25</v>
      </c>
      <c r="J11" s="74">
        <v>25</v>
      </c>
      <c r="K11" s="74">
        <v>25</v>
      </c>
      <c r="L11" s="74">
        <v>25</v>
      </c>
      <c r="M11" s="74">
        <v>42</v>
      </c>
      <c r="N11" s="74">
        <v>35</v>
      </c>
      <c r="O11" s="74">
        <v>36</v>
      </c>
      <c r="P11" s="74">
        <v>31</v>
      </c>
      <c r="Q11" s="74">
        <v>32</v>
      </c>
      <c r="R11" s="74">
        <v>36</v>
      </c>
      <c r="S11" s="74">
        <v>30</v>
      </c>
      <c r="T11" s="74">
        <v>40</v>
      </c>
      <c r="U11" s="74">
        <v>30</v>
      </c>
      <c r="V11" s="74">
        <v>28</v>
      </c>
      <c r="W11" s="74">
        <v>30</v>
      </c>
      <c r="X11" s="74">
        <v>20</v>
      </c>
      <c r="Y11" s="74">
        <v>30</v>
      </c>
      <c r="Z11" s="74">
        <v>38</v>
      </c>
      <c r="AA11" s="74">
        <v>54</v>
      </c>
      <c r="AB11" s="74">
        <v>27</v>
      </c>
      <c r="AC11" s="74">
        <v>32</v>
      </c>
      <c r="AD11" s="74">
        <v>33</v>
      </c>
      <c r="AE11" s="74">
        <v>30</v>
      </c>
    </row>
    <row r="12" spans="1:99" ht="9.9" customHeight="1" ph="1"/>
    <row r="13" spans="1:99" s="72" customFormat="1" ht="29.25" customHeight="1" ph="1">
      <c r="B13" s="192" t="s" ph="1">
        <v>37</v>
      </c>
      <c r="C13" s="159" t="s" ph="1">
        <v>176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128</v>
      </c>
      <c r="I13" s="76" t="s" ph="1">
        <v>59</v>
      </c>
      <c r="J13" s="76" t="s" ph="1">
        <v>129</v>
      </c>
      <c r="K13" s="76" t="s" ph="1">
        <v>55</v>
      </c>
      <c r="L13" s="76" t="s" ph="1">
        <v>60</v>
      </c>
      <c r="M13" s="76" t="s" ph="1">
        <v>61</v>
      </c>
      <c r="N13" s="76" t="s" ph="1">
        <v>130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131</v>
      </c>
      <c r="W13" s="76" t="s" ph="1">
        <v>132</v>
      </c>
      <c r="X13" s="76" t="s" ph="1">
        <v>133</v>
      </c>
      <c r="Y13" s="105" t="s" ph="1">
        <v>68</v>
      </c>
      <c r="Z13" s="76" t="s" ph="1">
        <v>74</v>
      </c>
      <c r="AA13" s="76" t="s" ph="1">
        <v>134</v>
      </c>
      <c r="AB13" s="76" t="s" ph="1">
        <v>135</v>
      </c>
      <c r="AC13" s="76" t="s" ph="1">
        <v>136</v>
      </c>
      <c r="AD13" s="76" t="s" ph="1">
        <v>137</v>
      </c>
      <c r="AE13" s="76" t="s" ph="1">
        <v>138</v>
      </c>
      <c r="AG13" s="72" t="s" ph="1">
        <v>325</v>
      </c>
      <c r="AH13" s="72" t="s" ph="1">
        <v>188</v>
      </c>
      <c r="AI13" s="72" t="s" ph="1">
        <v>189</v>
      </c>
      <c r="AJ13" s="72" t="s" ph="1">
        <v>190</v>
      </c>
      <c r="AK13" s="72" t="s" ph="1">
        <v>191</v>
      </c>
      <c r="AL13" s="72" t="s" ph="1">
        <v>192</v>
      </c>
      <c r="AM13" s="72" t="s" ph="1">
        <v>193</v>
      </c>
      <c r="AN13" s="72" t="s" ph="1">
        <v>194</v>
      </c>
      <c r="AO13" s="72" t="s" ph="1">
        <v>195</v>
      </c>
      <c r="AP13" s="72" t="s" ph="1">
        <v>196</v>
      </c>
      <c r="AQ13" s="72" t="s" ph="1">
        <v>197</v>
      </c>
      <c r="AR13" s="72" t="s" ph="1">
        <v>198</v>
      </c>
      <c r="AS13" s="72" t="s" ph="1">
        <v>199</v>
      </c>
      <c r="AT13" s="72" t="s" ph="1">
        <v>200</v>
      </c>
      <c r="AU13" s="72" t="s" ph="1">
        <v>201</v>
      </c>
      <c r="AV13" s="72" t="s" ph="1">
        <v>202</v>
      </c>
      <c r="AW13" s="72" t="s" ph="1">
        <v>203</v>
      </c>
      <c r="AX13" s="72" t="s" ph="1">
        <v>204</v>
      </c>
      <c r="AY13" s="72" t="s" ph="1">
        <v>326</v>
      </c>
      <c r="AZ13" s="72" t="s" ph="1">
        <v>205</v>
      </c>
      <c r="BA13" s="72" t="s" ph="1">
        <v>206</v>
      </c>
      <c r="BB13" s="72" t="s" ph="1">
        <v>591</v>
      </c>
      <c r="BC13" s="72" t="s" ph="1">
        <v>207</v>
      </c>
      <c r="BD13" s="72" t="s" ph="1">
        <v>327</v>
      </c>
      <c r="BE13" s="72" t="s" ph="1">
        <v>328</v>
      </c>
      <c r="BF13" s="72" t="s" ph="1">
        <v>329</v>
      </c>
      <c r="BG13" s="72" t="s" ph="1">
        <v>330</v>
      </c>
      <c r="BH13" s="72" t="s" ph="1">
        <v>331</v>
      </c>
    </row>
    <row r="14" spans="1:99" s="72" customFormat="1" ht="24" ph="1">
      <c r="B14" s="193" ph="1"/>
      <c r="C14" s="67" t="s" ph="1">
        <v>36</v>
      </c>
      <c r="D14" s="77" t="s" ph="1">
        <v>616</v>
      </c>
      <c r="E14" s="77" t="s" ph="1">
        <v>616</v>
      </c>
      <c r="F14" s="144" t="s" ph="1">
        <v>636</v>
      </c>
      <c r="G14" s="77" t="s" ph="1">
        <v>617</v>
      </c>
      <c r="H14" s="77" t="s" ph="1">
        <v>637</v>
      </c>
      <c r="I14" s="138" t="s" ph="1">
        <v>618</v>
      </c>
      <c r="J14" s="77" t="s" ph="1">
        <v>619</v>
      </c>
      <c r="K14" s="77" t="s" ph="1">
        <v>186</v>
      </c>
      <c r="L14" s="77" t="s" ph="1">
        <v>41</v>
      </c>
      <c r="M14" s="104" t="s" ph="1">
        <v>620</v>
      </c>
      <c r="N14" s="104" t="s" ph="1">
        <v>621</v>
      </c>
      <c r="O14" s="104" t="s" ph="1">
        <v>641</v>
      </c>
      <c r="P14" s="77" t="s" ph="1">
        <v>622</v>
      </c>
      <c r="Q14" s="77" t="s" ph="1">
        <v>622</v>
      </c>
      <c r="R14" s="88" t="s" ph="1">
        <v>7</v>
      </c>
      <c r="S14" s="77" t="s" ph="1">
        <v>622</v>
      </c>
      <c r="T14" s="77" t="s" ph="1">
        <v>624</v>
      </c>
      <c r="U14" s="77" t="s" ph="1">
        <v>605</v>
      </c>
      <c r="V14" s="77" t="s" ph="1">
        <v>633</v>
      </c>
      <c r="W14" s="77" t="s" ph="1">
        <v>622</v>
      </c>
      <c r="X14" s="77" t="s" ph="1">
        <v>625</v>
      </c>
      <c r="Y14" s="143" t="s" ph="1">
        <v>0</v>
      </c>
      <c r="Z14" s="77" t="s" ph="1">
        <v>54</v>
      </c>
      <c r="AA14" s="77" t="s" ph="1">
        <v>613</v>
      </c>
      <c r="AB14" s="77" t="s" ph="1">
        <v>632</v>
      </c>
      <c r="AC14" s="77" t="s" ph="1">
        <v>632</v>
      </c>
      <c r="AD14" s="77" t="s" ph="1">
        <v>612</v>
      </c>
      <c r="AE14" s="77" t="s" ph="1">
        <v>612</v>
      </c>
      <c r="AG14" s="72" t="s" ph="1">
        <v>208</v>
      </c>
      <c r="AI14" s="72" t="s" ph="1">
        <v>209</v>
      </c>
      <c r="AJ14" s="72" t="s" ph="1">
        <v>332</v>
      </c>
      <c r="AK14" s="72" t="s" ph="1">
        <v>210</v>
      </c>
      <c r="AM14" s="72" t="s" ph="1">
        <v>212</v>
      </c>
      <c r="AN14" s="72" t="s" ph="1">
        <v>210</v>
      </c>
      <c r="AO14" s="72" t="s" ph="1">
        <v>211</v>
      </c>
      <c r="AP14" s="72" t="s" ph="1">
        <v>212</v>
      </c>
      <c r="AQ14" s="72" t="s" ph="1">
        <v>210</v>
      </c>
      <c r="AR14" s="72" t="s" ph="1">
        <v>211</v>
      </c>
      <c r="AS14" s="72" t="s" ph="1">
        <v>212</v>
      </c>
      <c r="AT14" s="72" t="s" ph="1">
        <v>210</v>
      </c>
      <c r="AU14" s="72" t="s" ph="1">
        <v>211</v>
      </c>
      <c r="AV14" s="72" t="s" ph="1">
        <v>212</v>
      </c>
      <c r="AW14" s="72" t="s" ph="1">
        <v>210</v>
      </c>
      <c r="AX14" s="72" t="s" ph="1">
        <v>211</v>
      </c>
      <c r="AY14" s="72" t="s" ph="1">
        <v>212</v>
      </c>
      <c r="AZ14" s="72" t="s" ph="1">
        <v>211</v>
      </c>
    </row>
    <row r="15" spans="1:99" ph="1">
      <c r="B15" s="194" ph="1">
        <v>0.33333333333333331</v>
      </c>
      <c r="C15" s="159" t="s" ph="1">
        <v>177</v>
      </c>
      <c r="D15" s="78">
        <v>0</v>
      </c>
      <c r="E15" s="78">
        <v>4210</v>
      </c>
      <c r="F15" s="78">
        <v>2162</v>
      </c>
      <c r="G15" s="78">
        <v>3634</v>
      </c>
      <c r="H15" s="78">
        <v>2033</v>
      </c>
      <c r="I15" s="78">
        <v>5397</v>
      </c>
      <c r="J15" s="78">
        <v>4612</v>
      </c>
      <c r="K15" s="78">
        <v>2280</v>
      </c>
      <c r="L15" s="78">
        <v>1337</v>
      </c>
      <c r="M15" s="78">
        <v>5951</v>
      </c>
      <c r="N15" s="78">
        <v>3492</v>
      </c>
      <c r="O15" s="78">
        <v>2701</v>
      </c>
      <c r="P15" s="78">
        <v>11</v>
      </c>
      <c r="Q15" s="78">
        <v>5898</v>
      </c>
      <c r="R15" s="78">
        <v>1951</v>
      </c>
      <c r="S15" s="78">
        <v>191</v>
      </c>
      <c r="T15" s="78">
        <v>819</v>
      </c>
      <c r="U15" s="78">
        <v>6712</v>
      </c>
      <c r="V15" s="78">
        <v>-817</v>
      </c>
      <c r="W15" s="71">
        <v>-772</v>
      </c>
      <c r="X15" s="78">
        <v>1335</v>
      </c>
      <c r="Y15" s="106">
        <v>2368</v>
      </c>
      <c r="Z15" s="78">
        <v>1714</v>
      </c>
      <c r="AA15" s="78">
        <v>2561</v>
      </c>
      <c r="AB15" s="78" ph="1">
        <v>689</v>
      </c>
      <c r="AC15" s="78" ph="1">
        <v>498</v>
      </c>
      <c r="AD15" s="78">
        <v>6.55</v>
      </c>
      <c r="AE15" s="78">
        <v>55.51</v>
      </c>
      <c r="AG15" s="64" t="s" ph="1">
        <v>214</v>
      </c>
      <c r="AH15" s="64" ph="1">
        <v>1</v>
      </c>
      <c r="AI15" s="64" t="s" ph="1">
        <v>333</v>
      </c>
      <c r="AK15" s="64" t="s" ph="1">
        <v>587</v>
      </c>
      <c r="AM15" s="64" t="s" ph="1">
        <v>335</v>
      </c>
      <c r="AZ15" s="64" t="s" ph="1">
        <v>216</v>
      </c>
      <c r="BA15" s="64" ph="1">
        <v>0</v>
      </c>
    </row>
    <row r="16" spans="1:99" s="72" customFormat="1" ht="22.2" ph="1">
      <c r="B16" s="195" ph="1"/>
      <c r="C16" s="159" t="s" ph="1">
        <v>178</v>
      </c>
      <c r="D16" s="73" ph="1">
        <f>D15*7.0686*LOOKUP(D17,密度!$A$2:$A$50,密度!$L$2:$L$50)</f>
        <v>0</v>
      </c>
      <c r="E16" s="73" ph="1">
        <f>E15*7.0686*LOOKUP(E17,密度!$A$2:$A$50,密度!$L$2:$L$50)</f>
        <v>27675.689580000002</v>
      </c>
      <c r="F16" s="73" ph="1">
        <f>F15*9.0746*LOOKUP(F17,密度!$A$2:$A$50,密度!$L$2:$L$50)</f>
        <v>18187.077380400002</v>
      </c>
      <c r="G16" s="73" ph="1">
        <f>G15*9.0746*LOOKUP(G17,密度!$A$2:$A$50,密度!$B$2:$B$50)</f>
        <v>25623.203902800004</v>
      </c>
      <c r="H16" s="73" ph="1">
        <f>H15*9.0746*LOOKUP(H17,密度!$A$2:$A$50,密度!$L$2:$L$50)</f>
        <v>17286.396106600001</v>
      </c>
      <c r="I16" s="73" ph="1">
        <f>I15*9.0746*LOOKUP(I17,密度!$A$2:$A$50,密度!$U$2:$U$50)</f>
        <v>50102.0553726</v>
      </c>
      <c r="J16" s="73" ph="1">
        <f>J15*9.0746*LOOKUP(J17,密度!$A$2:$A$50,密度!$L$2:$L$50)</f>
        <v>39089.819556800001</v>
      </c>
      <c r="K16" s="73" ph="1">
        <f>K15*9.0746*LOOKUP(K17,密度!$A$2:$A$50,密度!$C$2:$C$50)</f>
        <v>22912.203451199999</v>
      </c>
      <c r="L16" s="73" ph="1">
        <f>L15*9.0746*LOOKUP(L17,密度!$A$2:$A$50,密度!$E$2:$E$50)</f>
        <v>9434.4187795199996</v>
      </c>
      <c r="M16" s="73" ph="1">
        <f>M15*9.0746*LOOKUP(M17,密度!$A$2:$A$50,密度!$M$2:$M$50)</f>
        <v>46921.538474602006</v>
      </c>
      <c r="N16" s="73" ph="1">
        <f>N15*9.0746*LOOKUP(N17,密度!$A$2:$A$50,密度!$M$2:$M$50)</f>
        <v>27730.60915032</v>
      </c>
      <c r="O16" s="73" ph="1">
        <f>O15*9.0746*LOOKUP(O17,密度!$A$2:$A$50,密度!$G$2:$G$50)</f>
        <v>23456.543332199999</v>
      </c>
      <c r="P16" s="73" ph="1">
        <f ca="1">P15*9.0746*LOOKUP(P17,密度!$A$2:$A$51,密度!$Q$2:$Q$50)</f>
        <v>94.504154843999999</v>
      </c>
      <c r="Q16" s="73" ph="1">
        <f>Q15*9.0746*LOOKUP(Q17,密度!$A$2:$A$50,密度!$Q$2:$Q$50)</f>
        <v>50412.363134519997</v>
      </c>
      <c r="R16" s="73" ph="1">
        <f>MAX(R15*9.0746*LOOKUP(R17,密度!$A$2:$A$50,密度!$B$2:$B$50),0)</f>
        <v>13742.267518520001</v>
      </c>
      <c r="S16" s="73" ph="1">
        <f>S15*9.0746*LOOKUP(S17,密度!$A$2:$A$50,密度!$Q$2:$Q$50)</f>
        <v>1639.7051730580001</v>
      </c>
      <c r="T16" s="73" ph="1">
        <f>T15*9.0746*LOOKUP(T17,密度!$A$2:$A$50,密度!$O$2:$O$50)</f>
        <v>6882.122192400001</v>
      </c>
      <c r="U16" s="73" ph="1">
        <f>U15*9.0746*LOOKUP(U17,密度!$A$2:$A$50,密度!$H$2:$H$50)</f>
        <v>55548.748262400004</v>
      </c>
      <c r="V16" s="73" ph="1">
        <f>MAX(5600*LOOKUP(V17,密度!$A$2:$A$50,密度!$Q$2:$Q$50)+V15*9.0476*LOOKUP(V17,密度!$A$2:$A$50,密度!$Q$2:$Q$50),0)</f>
        <v>0</v>
      </c>
      <c r="W16" s="73" ph="1">
        <f>MAX(5600*LOOKUP(W17,密度!$A$2:$A$50,密度!$Q$2:$Q$50)+W15*9.0476*LOOKUP(W17,密度!$A$2:$A$50,密度!$Q$2:$Q$50),0)</f>
        <v>0</v>
      </c>
      <c r="X16" s="73" ph="1">
        <f>MAX(5600*LOOKUP(X17,密度!$A$2:$A$50,密度!$I$2:$I$50)+X15*9.0476*LOOKUP(X17,密度!$A$2:$A$50,密度!$I$2:$I$50),0)</f>
        <v>18346.795038799999</v>
      </c>
      <c r="Y16" s="107" ph="1">
        <v>0</v>
      </c>
      <c r="Z16" s="73" ph="1">
        <f>Z15*9.0746*LOOKUP(Z17,密度!$A$2:$A$50,密度!$D$2:$D$50)</f>
        <v>15896.0494168</v>
      </c>
      <c r="AA16" s="73" ph="1">
        <f>AA15*9.0746*LOOKUP(AA17,密度!$A$2:$A$50,密度!$B$2:$B$50)</f>
        <v>18057.519316200003</v>
      </c>
      <c r="AB16" s="73" ph="1">
        <f>AB15*9.0746*LOOKUP(AB17,密度!$A$2:$A$50,密度!$L$2:$L$50)</f>
        <v>5839.7410396000005</v>
      </c>
      <c r="AC16" s="73" ph="1">
        <f>AC15*9.0746*LOOKUP(AC17,密度!$A$2:$A$50,密度!$L$2:$L$50)</f>
        <v>4211.8485456000008</v>
      </c>
      <c r="AD16" s="73" ph="1">
        <f>AD15*268.68*LOOKUP(AD17,密度!$A$2:$A$50,密度!B2:B50)+IF(AD15&lt;=0,0,1566*LOOKUP(AD17,密度!$A$2:$A$50,密度!B2:B50))</f>
        <v>2592.8357784</v>
      </c>
      <c r="AE16" s="73" ph="1">
        <f>AE15*268.68*LOOKUP(AE17,密度!$A$2:$A$50,密度!B2:B50)+IF(AE15&lt;=0,0,1566*LOOKUP(AE17,密度!$A$2:$A$50,密度!B2:B50))</f>
        <v>12848.140733279999</v>
      </c>
      <c r="AH16" s="72" ph="1">
        <v>2</v>
      </c>
      <c r="AI16" s="72" t="s" ph="1">
        <v>337</v>
      </c>
      <c r="AZ16" s="72" t="s" ph="1">
        <v>216</v>
      </c>
      <c r="BA16" s="72" ph="1">
        <v>0</v>
      </c>
    </row>
    <row r="17" spans="1:57" ph="1">
      <c r="A17" s="64" t="s" ph="1">
        <v>73</v>
      </c>
      <c r="B17" s="196" ph="1"/>
      <c r="C17" s="79" t="s" ph="1">
        <v>179</v>
      </c>
      <c r="D17" s="74">
        <v>32</v>
      </c>
      <c r="E17" s="74">
        <v>32</v>
      </c>
      <c r="F17" s="74">
        <v>35</v>
      </c>
      <c r="G17" s="74">
        <v>28</v>
      </c>
      <c r="H17" s="74">
        <v>25</v>
      </c>
      <c r="I17" s="74">
        <v>27</v>
      </c>
      <c r="J17" s="74">
        <v>28</v>
      </c>
      <c r="K17" s="74">
        <v>27</v>
      </c>
      <c r="L17" s="74">
        <v>30</v>
      </c>
      <c r="M17" s="74">
        <v>31</v>
      </c>
      <c r="N17" s="74">
        <v>25</v>
      </c>
      <c r="O17" s="74">
        <v>28</v>
      </c>
      <c r="P17" s="74">
        <v>25</v>
      </c>
      <c r="Q17" s="74">
        <v>32</v>
      </c>
      <c r="R17" s="74">
        <v>29</v>
      </c>
      <c r="S17" s="74">
        <v>26</v>
      </c>
      <c r="T17" s="74">
        <v>26</v>
      </c>
      <c r="U17" s="74">
        <v>28</v>
      </c>
      <c r="V17" s="74">
        <v>32</v>
      </c>
      <c r="W17" s="74">
        <v>29</v>
      </c>
      <c r="X17" s="74">
        <v>29</v>
      </c>
      <c r="Y17" s="108">
        <v>29</v>
      </c>
      <c r="Z17" s="74">
        <v>30</v>
      </c>
      <c r="AA17" s="74">
        <v>28</v>
      </c>
      <c r="AB17" s="74">
        <v>28</v>
      </c>
      <c r="AC17" s="74">
        <v>30</v>
      </c>
      <c r="AD17" s="74">
        <v>25</v>
      </c>
      <c r="AE17" s="74">
        <v>25</v>
      </c>
      <c r="AH17" s="64" ph="1">
        <v>3</v>
      </c>
      <c r="AI17" s="64" t="s" ph="1">
        <v>338</v>
      </c>
      <c r="AK17" s="64" t="s" ph="1">
        <v>570</v>
      </c>
      <c r="AL17" s="64" ph="1">
        <v>80</v>
      </c>
      <c r="AM17" s="64" t="s" ph="1">
        <v>335</v>
      </c>
      <c r="AZ17" s="64" t="s" ph="1">
        <v>216</v>
      </c>
      <c r="BA17" s="64" ph="1">
        <v>80</v>
      </c>
      <c r="BD17" s="64" t="s" ph="1">
        <v>214</v>
      </c>
      <c r="BE17" s="64" ph="1">
        <v>2270</v>
      </c>
    </row>
    <row r="18" spans="1:57" ht="26.4" ph="1">
      <c r="B18" s="194" ph="1">
        <v>0.66666666666666663</v>
      </c>
      <c r="C18" s="79" t="s" ph="1">
        <v>180</v>
      </c>
      <c r="D18" s="71">
        <v>936</v>
      </c>
      <c r="E18" s="71">
        <v>3335</v>
      </c>
      <c r="F18" s="71">
        <v>245</v>
      </c>
      <c r="G18" s="71">
        <v>3737</v>
      </c>
      <c r="H18" s="71">
        <v>2034</v>
      </c>
      <c r="I18" s="71">
        <v>5401</v>
      </c>
      <c r="J18" s="71">
        <v>4738</v>
      </c>
      <c r="K18" s="71">
        <v>2281</v>
      </c>
      <c r="L18" s="71">
        <v>4523</v>
      </c>
      <c r="M18" s="71">
        <v>5961</v>
      </c>
      <c r="N18" s="71">
        <v>2103</v>
      </c>
      <c r="O18" s="71">
        <v>2703</v>
      </c>
      <c r="P18" s="71">
        <v>247</v>
      </c>
      <c r="Q18" s="71">
        <v>7020</v>
      </c>
      <c r="R18" s="71">
        <v>1951</v>
      </c>
      <c r="S18" s="71">
        <v>191</v>
      </c>
      <c r="T18" s="71">
        <v>6440</v>
      </c>
      <c r="U18" s="71">
        <v>2733</v>
      </c>
      <c r="V18" s="71">
        <v>-817</v>
      </c>
      <c r="W18" s="71">
        <v>-775</v>
      </c>
      <c r="X18" s="71">
        <v>1335</v>
      </c>
      <c r="Y18" s="109">
        <v>-9909</v>
      </c>
      <c r="Z18" s="71">
        <v>1406</v>
      </c>
      <c r="AA18" s="71">
        <v>2564</v>
      </c>
      <c r="AB18" s="71">
        <v>689</v>
      </c>
      <c r="AC18" s="71">
        <v>499</v>
      </c>
      <c r="AD18" s="71">
        <v>24.48</v>
      </c>
      <c r="AE18" s="71">
        <v>84.54</v>
      </c>
      <c r="AH18" s="64" ph="1">
        <v>4</v>
      </c>
      <c r="AI18" s="64" t="s" ph="1">
        <v>340</v>
      </c>
      <c r="AJ18" s="64" t="s" ph="1">
        <v>588</v>
      </c>
      <c r="AK18" s="64" t="s" ph="1">
        <v>587</v>
      </c>
      <c r="AL18" s="64" ph="1">
        <v>740</v>
      </c>
      <c r="AM18" s="64" t="s" ph="1">
        <v>339</v>
      </c>
      <c r="AZ18" s="64" t="s" ph="1">
        <v>216</v>
      </c>
      <c r="BA18" s="64" ph="1">
        <v>740</v>
      </c>
    </row>
    <row r="19" spans="1:57" s="72" customFormat="1" ht="22.2" ph="1">
      <c r="B19" s="195" ph="1"/>
      <c r="C19" s="159" t="s" ph="1">
        <v>178</v>
      </c>
      <c r="D19" s="73" ph="1">
        <f>D18*7.0686*LOOKUP(D20,密度!$A$2:$A$50,密度!$L$2:$L$50)</f>
        <v>6133.2262992000005</v>
      </c>
      <c r="E19" s="73" ph="1">
        <f>E18*7.0686*LOOKUP(E20,密度!$A$2:$A$50,密度!$L$2:$L$50)</f>
        <v>21852.894987</v>
      </c>
      <c r="F19" s="73" ph="1">
        <f>F18*9.0746*LOOKUP(F20,密度!$A$2:$A$50,密度!$L$2:$L$50)</f>
        <v>2060.9777790000003</v>
      </c>
      <c r="G19" s="73" ph="1">
        <f>G18*9.0746*LOOKUP(G20,密度!$A$2:$A$50,密度!$B$2:$B$50)</f>
        <v>26291.80318906</v>
      </c>
      <c r="H19" s="73" ph="1">
        <f>H18*9.0746*LOOKUP(H20,密度!$A$2:$A$50,密度!$L$2:$L$50)</f>
        <v>17239.525797600003</v>
      </c>
      <c r="I19" s="73" ph="1">
        <f>I18*9.0746*LOOKUP(I20,密度!$A$2:$A$50,密度!$U$2:$U$50)</f>
        <v>49992.152892000006</v>
      </c>
      <c r="J19" s="73" ph="1">
        <f>J18*9.0746*LOOKUP(J20,密度!$A$2:$A$50,密度!$L$2:$L$50)</f>
        <v>39770.795689999999</v>
      </c>
      <c r="K19" s="73" ph="1">
        <f>K18*9.0746*LOOKUP(K20,密度!$A$2:$A$50,密度!$C$2:$C$50)</f>
        <v>22831.176347799999</v>
      </c>
      <c r="L19" s="73" ph="1">
        <f>L18*9.0746*LOOKUP(L20,密度!$A$2:$A$50,密度!$E$2:$E$50)</f>
        <v>31822.556458056002</v>
      </c>
      <c r="M19" s="73" ph="1">
        <f>M18*9.0746*LOOKUP(M20,密度!$A$2:$A$50,密度!$M$2:$M$50)</f>
        <v>46773.191451102008</v>
      </c>
      <c r="N19" s="73" ph="1">
        <f>N18*9.0746*LOOKUP(N20,密度!$A$2:$A$50,密度!$M$2:$M$50)</f>
        <v>16622.062789799998</v>
      </c>
      <c r="O19" s="73" ph="1">
        <f>O18*9.0746*LOOKUP(O20,密度!$A$2:$A$50,密度!$G$2:$G$50)</f>
        <v>23366.967229632002</v>
      </c>
      <c r="P19" s="73" ph="1">
        <f ca="1">P18*9.0746*LOOKUP(P20,密度!$A$2:$A$51,密度!$Q$2:$Q$50)</f>
        <v>2111.19933778</v>
      </c>
      <c r="Q19" s="73" ph="1">
        <f>Q18*9.0746*LOOKUP(Q20,密度!$A$2:$A$50,密度!$Q$2:$Q$50)</f>
        <v>59877.648258480003</v>
      </c>
      <c r="R19" s="73" ph="1">
        <f>MAX(R18*9.0746*LOOKUP(R20,密度!$A$2:$A$50,密度!$B$2:$B$50),0)</f>
        <v>13648.433432140002</v>
      </c>
      <c r="S19" s="73" ph="1">
        <f>S18*9.0746*LOOKUP(S20,密度!$A$2:$A$50,密度!$Q$2:$Q$50)</f>
        <v>1630.2763006740001</v>
      </c>
      <c r="T19" s="73" ph="1">
        <f>T18*9.0746*LOOKUP(T20,密度!$A$2:$A$50,密度!$O$2:$O$50)</f>
        <v>54115.832624000002</v>
      </c>
      <c r="U19" s="73" ph="1">
        <f>U18*9.0746*LOOKUP(U20,密度!$A$2:$A$50,密度!$H$2:$H$50)</f>
        <v>22521.184744943999</v>
      </c>
      <c r="V19" s="73" ph="1">
        <f>MAX(5600*LOOKUP(V20,密度!$A$2:$A$50,密度!$Q$2:$Q$50)+V18*9.0476*LOOKUP(V20,密度!$A$2:$A$50,密度!$Q$2:$Q$50),0)</f>
        <v>0</v>
      </c>
      <c r="W19" s="73" ph="1">
        <f>MAX(5600*LOOKUP(W20,密度!$A$2:$A$50,密度!$Q$2:$Q$50)+W18*9.0476*LOOKUP(W20,密度!$A$2:$A$50,密度!$Q$2:$Q$50),0)</f>
        <v>0</v>
      </c>
      <c r="X19" s="73" ph="1">
        <f>MAX(5600*LOOKUP(X20,密度!$A$2:$A$50,密度!$I$2:$I$50)+X18*9.0476*LOOKUP(X20,密度!$A$2:$A$50,密度!$I$2:$I$50),0)</f>
        <v>18327.348638199997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13028.100128359998</v>
      </c>
      <c r="AA19" s="73" ph="1">
        <f>AA18*9.0746*LOOKUP(AA20,密度!$A$2:$A$50,密度!$B$2:$B$50)</f>
        <v>18039.11784232</v>
      </c>
      <c r="AB19" s="73" ph="1">
        <f>AB18*9.0746*LOOKUP(AB20,密度!$A$2:$A$50,密度!$L$2:$L$50)</f>
        <v>5802.2266432000006</v>
      </c>
      <c r="AC19" s="73" ph="1">
        <f>AC18*9.0746*LOOKUP(AC20,密度!$A$2:$A$50,密度!$L$2:$L$50)</f>
        <v>4197.6649458000002</v>
      </c>
      <c r="AD19" s="73" ph="1">
        <f>AD18*268.68*LOOKUP(AD20,密度!$A$2:$A$50,密度!B5:B53)+IF(AD18&lt;=0,0,1566*LOOKUP(AD20,密度!$A$2:$A$50,密度!B5:B53))</f>
        <v>6327.3335328000003</v>
      </c>
      <c r="AE19" s="73" ph="1">
        <f>AE18*268.68*LOOKUP(AE20,密度!$A$2:$A$50,密度!B5:B53)+IF(AE18&lt;=0,0,1566*LOOKUP(AE20,密度!$A$2:$A$50,密度!B5:B53))</f>
        <v>18865.720994399999</v>
      </c>
      <c r="AH19" s="72" ph="1">
        <v>5</v>
      </c>
      <c r="AI19" s="72" t="s" ph="1">
        <v>341</v>
      </c>
      <c r="AZ19" s="72" t="s" ph="1">
        <v>216</v>
      </c>
      <c r="BA19" s="72" ph="1">
        <v>0</v>
      </c>
      <c r="BD19" s="72" t="s" ph="1">
        <v>342</v>
      </c>
      <c r="BE19" s="72" ph="1">
        <v>1440</v>
      </c>
    </row>
    <row r="20" spans="1:57" ph="1">
      <c r="A20" s="72" ph="1"/>
      <c r="B20" s="195" ph="1"/>
      <c r="C20" s="80" t="s" ph="1">
        <v>179</v>
      </c>
      <c r="D20" s="81">
        <v>35</v>
      </c>
      <c r="E20" s="81">
        <v>35</v>
      </c>
      <c r="F20" s="81">
        <v>35</v>
      </c>
      <c r="G20" s="81">
        <v>30</v>
      </c>
      <c r="H20" s="81">
        <v>28</v>
      </c>
      <c r="I20" s="81">
        <v>30</v>
      </c>
      <c r="J20" s="81">
        <v>37</v>
      </c>
      <c r="K20" s="81">
        <v>32</v>
      </c>
      <c r="L20" s="81">
        <v>32</v>
      </c>
      <c r="M20" s="81">
        <v>35</v>
      </c>
      <c r="N20" s="81">
        <v>29</v>
      </c>
      <c r="O20" s="81">
        <v>32</v>
      </c>
      <c r="P20" s="81">
        <v>32</v>
      </c>
      <c r="Q20" s="81">
        <v>35</v>
      </c>
      <c r="R20" s="81">
        <v>35</v>
      </c>
      <c r="S20" s="81">
        <v>34</v>
      </c>
      <c r="T20" s="81">
        <v>29</v>
      </c>
      <c r="U20" s="81">
        <v>32</v>
      </c>
      <c r="V20" s="81">
        <v>37</v>
      </c>
      <c r="W20" s="81">
        <v>33</v>
      </c>
      <c r="X20" s="81">
        <v>30</v>
      </c>
      <c r="Y20" s="110">
        <v>30</v>
      </c>
      <c r="Z20" s="81">
        <v>31</v>
      </c>
      <c r="AA20" s="81">
        <v>30</v>
      </c>
      <c r="AB20" s="81">
        <v>34</v>
      </c>
      <c r="AC20" s="81">
        <v>35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343</v>
      </c>
      <c r="AZ20" s="64" t="s" ph="1">
        <v>216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344</v>
      </c>
      <c r="AZ21" s="64" t="s" ph="1">
        <v>216</v>
      </c>
      <c r="BA21" s="64" ph="1">
        <v>0</v>
      </c>
      <c r="BD21" s="64" t="s" ph="1">
        <v>232</v>
      </c>
      <c r="BE21" s="64" ph="1">
        <v>730</v>
      </c>
    </row>
    <row r="22" spans="1:57" ph="1">
      <c r="A22" s="72" ph="1"/>
      <c r="B22" s="193" t="s" ph="1">
        <v>37</v>
      </c>
      <c r="C22" s="85" t="s" ph="1">
        <v>176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172" t="s" ph="1">
        <v>69</v>
      </c>
      <c r="AA22" s="173"/>
      <c r="AB22" s="173"/>
      <c r="AC22" s="173"/>
      <c r="AD22" s="173"/>
      <c r="AE22" s="174"/>
      <c r="AH22" s="64" ph="1">
        <v>8</v>
      </c>
      <c r="AI22" s="64" t="s" ph="1">
        <v>345</v>
      </c>
      <c r="AZ22" s="64" t="s" ph="1">
        <v>216</v>
      </c>
      <c r="BA22" s="64" ph="1">
        <v>0</v>
      </c>
    </row>
    <row r="23" spans="1:57" ph="1">
      <c r="A23" s="72" ph="1"/>
      <c r="B23" s="188" ph="1"/>
      <c r="C23" s="67" t="s" ph="1">
        <v>36</v>
      </c>
      <c r="D23" s="88" t="s" ph="1">
        <v>109</v>
      </c>
      <c r="E23" s="88" t="s" ph="1">
        <v>107</v>
      </c>
      <c r="F23" s="88" t="s" ph="1">
        <v>109</v>
      </c>
      <c r="G23" s="88" t="s" ph="1">
        <v>626</v>
      </c>
      <c r="H23" s="88" t="s" ph="1">
        <v>626</v>
      </c>
      <c r="I23" s="88" t="s" ph="1">
        <v>627</v>
      </c>
      <c r="J23" s="88" t="s" ph="1">
        <v>628</v>
      </c>
      <c r="K23" s="88" t="s" ph="1">
        <v>628</v>
      </c>
      <c r="L23" s="88" t="s" ph="1">
        <v>628</v>
      </c>
      <c r="M23" s="88" t="s" ph="1">
        <v>623</v>
      </c>
      <c r="N23" s="88" t="s" ph="1">
        <v>623</v>
      </c>
      <c r="O23" s="88" t="s" ph="1">
        <v>318</v>
      </c>
      <c r="P23" s="88" t="s" ph="1">
        <v>629</v>
      </c>
      <c r="Q23" s="89" t="s" ph="1">
        <v>629</v>
      </c>
      <c r="R23" s="88" t="s" ph="1">
        <v>610</v>
      </c>
      <c r="S23" s="88" t="s" ph="1">
        <v>629</v>
      </c>
      <c r="T23" s="88" t="s" ph="1">
        <v>604</v>
      </c>
      <c r="U23" s="104" t="s" ph="1">
        <v>606</v>
      </c>
      <c r="V23" s="88" t="s" ph="1">
        <v>629</v>
      </c>
      <c r="W23" s="88" t="s" ph="1">
        <v>629</v>
      </c>
      <c r="X23" s="88" t="s" ph="1">
        <v>187</v>
      </c>
      <c r="Y23" s="88" t="s" ph="1">
        <v>630</v>
      </c>
      <c r="Z23" s="175" t="s" ph="1">
        <v>642</v>
      </c>
      <c r="AA23" s="176"/>
      <c r="AB23" s="176"/>
      <c r="AC23" s="176"/>
      <c r="AD23" s="176"/>
      <c r="AE23" s="177"/>
      <c r="AH23" s="64" ph="1">
        <v>9</v>
      </c>
      <c r="AI23" s="64" t="s" ph="1">
        <v>346</v>
      </c>
      <c r="AZ23" s="64" t="s" ph="1">
        <v>216</v>
      </c>
      <c r="BA23" s="64" ph="1">
        <v>0</v>
      </c>
      <c r="BD23" s="64" t="s" ph="1">
        <v>238</v>
      </c>
      <c r="BE23" s="64" ph="1">
        <v>890</v>
      </c>
    </row>
    <row r="24" spans="1:57" ph="1">
      <c r="A24" s="72" ph="1"/>
      <c r="B24" s="184" ph="1">
        <v>0.33333333333333331</v>
      </c>
      <c r="C24" s="159" t="s" ph="1">
        <v>177</v>
      </c>
      <c r="D24" s="71">
        <v>51.36</v>
      </c>
      <c r="E24" s="71">
        <v>5.77</v>
      </c>
      <c r="F24" s="71">
        <v>4041</v>
      </c>
      <c r="G24" s="71">
        <v>3916</v>
      </c>
      <c r="H24" s="71">
        <v>3744</v>
      </c>
      <c r="I24" s="71">
        <v>2706</v>
      </c>
      <c r="J24" s="71">
        <v>188</v>
      </c>
      <c r="K24" s="71">
        <v>223</v>
      </c>
      <c r="L24" s="71">
        <v>301</v>
      </c>
      <c r="M24" s="71">
        <v>324</v>
      </c>
      <c r="N24" s="71">
        <v>318</v>
      </c>
      <c r="O24" s="71">
        <v>1479</v>
      </c>
      <c r="P24" s="71">
        <v>1124</v>
      </c>
      <c r="Q24" s="90">
        <v>3094</v>
      </c>
      <c r="R24" s="71">
        <v>6533</v>
      </c>
      <c r="S24" s="71">
        <v>298</v>
      </c>
      <c r="T24" s="71">
        <v>361</v>
      </c>
      <c r="U24" s="71">
        <v>5118</v>
      </c>
      <c r="V24" s="71">
        <v>883</v>
      </c>
      <c r="W24" s="71">
        <v>404</v>
      </c>
      <c r="X24" s="71">
        <v>5634</v>
      </c>
      <c r="Y24" s="71">
        <v>6058</v>
      </c>
      <c r="Z24" s="178"/>
      <c r="AA24" s="179"/>
      <c r="AB24" s="179"/>
      <c r="AC24" s="179"/>
      <c r="AD24" s="179"/>
      <c r="AE24" s="180"/>
      <c r="AH24" s="64" ph="1">
        <v>10</v>
      </c>
      <c r="AI24" s="64" t="s" ph="1">
        <v>347</v>
      </c>
      <c r="AZ24" s="64" t="s" ph="1">
        <v>216</v>
      </c>
      <c r="BA24" s="64" ph="1">
        <v>0</v>
      </c>
    </row>
    <row r="25" spans="1:57" ph="1">
      <c r="A25" s="72" ph="1"/>
      <c r="B25" s="184" ph="1"/>
      <c r="C25" s="68" t="s" ph="1">
        <v>178</v>
      </c>
      <c r="D25" s="91" ph="1">
        <f>D24*268.68*LOOKUP(D26,密度!$A$2:$A$50,密度!$Q$2:$Q$50)+IF(D24&lt;=0,0,1566*LOOKUP(D26,密度!$A$2:$A$50,密度!$Q$2:$Q$50))</f>
        <v>14547.043340352</v>
      </c>
      <c r="E25" s="91" ph="1">
        <f>E24*268.68*LOOKUP(E26,密度!$A$2:$A$50,密度!$C$2:$C$50)+IF(E24&lt;=0,0,1566*LOOKUP(E26,密度!$A$2:$A$50,密度!$C$2:$C$50))</f>
        <v>3455.6468840399998</v>
      </c>
      <c r="F25" s="91" ph="1">
        <f>F24*11.702*LOOKUP(F26,密度!$A$2:$A$50,密度!$Q$2:$Q$50)</f>
        <v>44735.660405460003</v>
      </c>
      <c r="G25" s="91" ph="1">
        <f>G24*18.322*LOOKUP(G26,密度!$A$2:$A$50,密度!$B$2:$B$50)</f>
        <v>55748.935703999996</v>
      </c>
      <c r="H25" s="91" ph="1">
        <f>H24*18.322*LOOKUP(H26,密度!$A$2:$A$50,密度!$B$2:$B$50)</f>
        <v>53300.310336000002</v>
      </c>
      <c r="I25" s="91" ph="1">
        <f>I24*18.322*LOOKUP(I26,密度!$A$2:$A$50,密度!$Q$2:$Q$50)</f>
        <v>46903.535451960001</v>
      </c>
      <c r="J25" s="91" ph="1">
        <f>J24*18.322*LOOKUP(J26,密度!$A$2:$A$50,密度!$Q$2:$Q$50)</f>
        <v>3256.18877152</v>
      </c>
      <c r="K25" s="91" ph="1">
        <f>K24*18.322*LOOKUP(K26,密度!$A$2:$A$50,密度!$Q$2:$Q$50)</f>
        <v>3856.7148575800002</v>
      </c>
      <c r="L25" s="91" ph="1">
        <f>L24*18.322*LOOKUP(L26,密度!$A$2:$A$50,密度!$Q$2:$Q$50)</f>
        <v>5202.3913702599993</v>
      </c>
      <c r="M25" s="91" ph="1">
        <f>M24*18.322*LOOKUP(M26,密度!$A$2:$A$50,密度!$Q$2:$Q$50)</f>
        <v>5620.1591707199996</v>
      </c>
      <c r="N25" s="91" ph="1">
        <f>N24*18.322*LOOKUP(N26,密度!$A$2:$A$50,密度!$Q$2:$Q$50)</f>
        <v>5520.3354181200002</v>
      </c>
      <c r="O25" s="91" ph="1">
        <f>O24*18.322*LOOKUP(O26,密度!$A$2:$A$50,密度!$C$2:$C$50)</f>
        <v>30089.8834752</v>
      </c>
      <c r="P25" s="91" ph="1">
        <f>P24*11.702*LOOKUP(P26,密度!$A$2:$A$50,密度!$B$2:$B$50)</f>
        <v>10231.756039200001</v>
      </c>
      <c r="Q25" s="92" ph="1">
        <f>Q24*18.322*LOOKUP(Q26,密度!$A$2:$A$50,密度!$B$2:$B$50)</f>
        <v>44097.803677199998</v>
      </c>
      <c r="R25" s="91" ph="1">
        <f>R24*35.891*LOOKUP(R26,密度!$A$2:$A$50,密度!$C$2:$C$50)</f>
        <v>259471.03425979998</v>
      </c>
      <c r="S25" s="91" ph="1">
        <f>S24*35.891*LOOKUP(S26,密度!$A$2:$A$50,密度!$B$2:$B$50)</f>
        <v>8310.4174860000003</v>
      </c>
      <c r="T25" s="91" ph="1">
        <f>T24*35.891*LOOKUP(T26,密度!$A$2:$A$50,密度!$Q$2:$Q$50)</f>
        <v>12239.11166762</v>
      </c>
      <c r="U25" s="91" ph="1">
        <f>U24*35.891</f>
        <v>183690.13799999998</v>
      </c>
      <c r="V25" s="91" ph="1">
        <f>V24*47.051*LOOKUP(V26,密度!$A$2:$A$50,密度!$B$2:$B$50)</f>
        <v>32389.2873268</v>
      </c>
      <c r="W25" s="91" ph="1">
        <f>W24*47.051*LOOKUP(W26,密度!$A$2:$A$50,密度!$B$2:$B$50)</f>
        <v>14819.107678399998</v>
      </c>
      <c r="X25" s="91" ph="1">
        <f>X24*47.051*LOOKUP(X26,密度!$A$2:$A$61,密度!$I$2:$I$61)</f>
        <v>276298.44362820004</v>
      </c>
      <c r="Y25" s="91" ph="1">
        <f>Y24*47.051*LOOKUP(Y26,密度!$A$2:$A$50,密度!$L$2:$L$50)</f>
        <v>265652.58085600002</v>
      </c>
      <c r="Z25" s="178"/>
      <c r="AA25" s="179"/>
      <c r="AB25" s="179"/>
      <c r="AC25" s="179"/>
      <c r="AD25" s="179"/>
      <c r="AE25" s="180"/>
      <c r="AH25" s="64" ph="1">
        <v>11</v>
      </c>
      <c r="AI25" s="64" t="s" ph="1">
        <v>348</v>
      </c>
      <c r="AZ25" s="64" t="s" ph="1">
        <v>216</v>
      </c>
      <c r="BA25" s="64" ph="1">
        <v>0</v>
      </c>
      <c r="BD25" s="64" t="s" ph="1">
        <v>241</v>
      </c>
      <c r="BE25" s="64" ph="1">
        <v>8920</v>
      </c>
    </row>
    <row r="26" spans="1:57" ph="1">
      <c r="A26" s="72" ph="1"/>
      <c r="B26" s="184" ph="1"/>
      <c r="C26" s="68" t="s" ph="1">
        <v>179</v>
      </c>
      <c r="D26" s="74">
        <v>25</v>
      </c>
      <c r="E26" s="74">
        <v>25</v>
      </c>
      <c r="F26" s="74">
        <v>26</v>
      </c>
      <c r="G26" s="74">
        <v>28</v>
      </c>
      <c r="H26" s="74">
        <v>28</v>
      </c>
      <c r="I26" s="74">
        <v>26</v>
      </c>
      <c r="J26" s="74">
        <v>27</v>
      </c>
      <c r="K26" s="74">
        <v>29</v>
      </c>
      <c r="L26" s="74">
        <v>30</v>
      </c>
      <c r="M26" s="74">
        <v>25</v>
      </c>
      <c r="N26" s="74">
        <v>24</v>
      </c>
      <c r="O26" s="74">
        <v>23</v>
      </c>
      <c r="P26" s="74">
        <v>27</v>
      </c>
      <c r="Q26" s="93">
        <v>27</v>
      </c>
      <c r="R26" s="74">
        <v>28</v>
      </c>
      <c r="S26" s="74">
        <v>28</v>
      </c>
      <c r="T26" s="74">
        <v>28</v>
      </c>
      <c r="U26" s="74">
        <v>29</v>
      </c>
      <c r="V26" s="74">
        <v>25</v>
      </c>
      <c r="W26" s="74">
        <v>25</v>
      </c>
      <c r="X26" s="74">
        <v>25</v>
      </c>
      <c r="Y26" s="74">
        <v>30</v>
      </c>
      <c r="Z26" s="178"/>
      <c r="AA26" s="179"/>
      <c r="AB26" s="179"/>
      <c r="AC26" s="179"/>
      <c r="AD26" s="179"/>
      <c r="AE26" s="180"/>
      <c r="AH26" s="64" ph="1">
        <v>12</v>
      </c>
      <c r="AI26" s="64" t="s" ph="1">
        <v>349</v>
      </c>
      <c r="AZ26" s="64" t="s" ph="1">
        <v>216</v>
      </c>
      <c r="BA26" s="64" ph="1">
        <v>0</v>
      </c>
    </row>
    <row r="27" spans="1:57" ht="26.4" ph="1">
      <c r="A27" s="72" ph="1"/>
      <c r="B27" s="184" ph="1">
        <v>0.66666666666666663</v>
      </c>
      <c r="C27" s="159" t="s" ph="1">
        <v>180</v>
      </c>
      <c r="D27" s="71">
        <v>50.77</v>
      </c>
      <c r="E27" s="71">
        <v>5.75</v>
      </c>
      <c r="F27" s="71">
        <v>4057</v>
      </c>
      <c r="G27" s="71">
        <v>3484</v>
      </c>
      <c r="H27" s="71">
        <v>3333</v>
      </c>
      <c r="I27" s="71">
        <v>2705</v>
      </c>
      <c r="J27" s="71">
        <v>183</v>
      </c>
      <c r="K27" s="71">
        <v>218</v>
      </c>
      <c r="L27" s="71">
        <v>295</v>
      </c>
      <c r="M27" s="71">
        <v>318</v>
      </c>
      <c r="N27" s="71">
        <v>312</v>
      </c>
      <c r="O27" s="71">
        <v>640</v>
      </c>
      <c r="P27" s="71">
        <v>1120</v>
      </c>
      <c r="Q27" s="90">
        <v>3386</v>
      </c>
      <c r="R27" s="71">
        <v>6531</v>
      </c>
      <c r="S27" s="71">
        <v>294</v>
      </c>
      <c r="T27" s="71">
        <v>358</v>
      </c>
      <c r="U27" s="71">
        <v>5138</v>
      </c>
      <c r="V27" s="71">
        <v>880</v>
      </c>
      <c r="W27" s="71">
        <v>403</v>
      </c>
      <c r="X27" s="71">
        <v>5402</v>
      </c>
      <c r="Y27" s="71">
        <v>6702</v>
      </c>
      <c r="Z27" s="178"/>
      <c r="AA27" s="179"/>
      <c r="AB27" s="179"/>
      <c r="AC27" s="179"/>
      <c r="AD27" s="179"/>
      <c r="AE27" s="180"/>
      <c r="AH27" s="64" ph="1">
        <v>13</v>
      </c>
      <c r="AI27" s="64" t="s" ph="1">
        <v>350</v>
      </c>
      <c r="AZ27" s="64" t="s" ph="1">
        <v>216</v>
      </c>
      <c r="BA27" s="64" ph="1">
        <v>0</v>
      </c>
      <c r="BD27" s="64" t="s" ph="1">
        <v>295</v>
      </c>
      <c r="BE27" s="64" ph="1">
        <v>7100</v>
      </c>
    </row>
    <row r="28" spans="1:57" ph="1">
      <c r="A28" s="72" ph="1"/>
      <c r="B28" s="184" ph="1"/>
      <c r="C28" s="159" t="s" ph="1">
        <v>178</v>
      </c>
      <c r="D28" s="91" ph="1">
        <f>D27*268.68*LOOKUP(D29,密度!$A$2:$A$50,密度!$Q$2:$Q$50)+IF(D27&lt;=0,0,1566*LOOKUP(D29,密度!$A$2:$A$50,密度!$Q$2:$Q$50))</f>
        <v>14396.964979464001</v>
      </c>
      <c r="E28" s="91" ph="1">
        <f>E27*268.68*LOOKUP(E29,密度!$A$2:$A$50,密度!$C$2:$C$50)+IF(E27&lt;=0,0,1566*LOOKUP(E29,密度!$A$2:$A$50,密度!$C$2:$C$50))</f>
        <v>3449.688099</v>
      </c>
      <c r="F28" s="91" ph="1">
        <f>F27*11.702*LOOKUP(F29,密度!$A$2:$A$50,密度!$Q$2:$Q$50)</f>
        <v>44748.998696120005</v>
      </c>
      <c r="G28" s="91" ph="1">
        <f>G27*18.322*LOOKUP(G29,密度!$A$2:$A$50,密度!$B$2:$B$50)</f>
        <v>49432.931891199994</v>
      </c>
      <c r="H28" s="91" ph="1">
        <f>H27*18.322*LOOKUP(H29,密度!$A$2:$A$50,密度!$B$2:$B$50)</f>
        <v>47290.459814399997</v>
      </c>
      <c r="I28" s="91" ph="1">
        <f>I27*18.322*LOOKUP(I29,密度!$A$2:$A$50,密度!$Q$2:$Q$50)</f>
        <v>46851.013973199995</v>
      </c>
      <c r="J28" s="91" ph="1">
        <f>J27*18.322*LOOKUP(J29,密度!$A$2:$A$50,密度!$Q$2:$Q$50)</f>
        <v>3141.0881353199998</v>
      </c>
      <c r="K28" s="91" ph="1">
        <f>K27*18.322*LOOKUP(K29,密度!$A$2:$A$50,密度!$Q$2:$Q$50)</f>
        <v>3767.8449126800001</v>
      </c>
      <c r="L28" s="91" ph="1">
        <f>L27*18.322*LOOKUP(L29,密度!$A$2:$A$50,密度!$Q$2:$Q$50)</f>
        <v>5105.6616537999998</v>
      </c>
      <c r="M28" s="91" ph="1">
        <f>M27*18.322*LOOKUP(M29,密度!$A$2:$A$50,密度!$Q$2:$Q$50)</f>
        <v>5461.6636103999999</v>
      </c>
      <c r="N28" s="91" ph="1">
        <f>N27*18.322*LOOKUP(N29,密度!$A$2:$A$50,密度!$Q$2:$Q$50)</f>
        <v>5388.2246371199999</v>
      </c>
      <c r="O28" s="91" ph="1">
        <f>O27*18.322*LOOKUP(O29,密度!$A$2:$A$50,密度!$C$2:$C$50)</f>
        <v>13003.050111999999</v>
      </c>
      <c r="P28" s="91" ph="1">
        <f>P27*11.702*LOOKUP(P29,密度!$A$2:$A$50,密度!$B$2:$B$50)</f>
        <v>10173.063488</v>
      </c>
      <c r="Q28" s="92" ph="1">
        <f>Q27*18.322*LOOKUP(Q29,密度!$A$2:$A$50,密度!$B$2:$B$50)</f>
        <v>47986.618861999996</v>
      </c>
      <c r="R28" s="91" ph="1">
        <f>R27*35.891*LOOKUP(R29,密度!$A$2:$A$50,密度!$C$2:$C$50)</f>
        <v>259039.99411709997</v>
      </c>
      <c r="S28" s="91" ph="1">
        <f>S27*35.891*LOOKUP(S29,密度!$A$2:$A$50,密度!$B$2:$B$50)</f>
        <v>8180.9299361999992</v>
      </c>
      <c r="T28" s="91" ph="1">
        <f>T27*35.891*LOOKUP(T29,密度!$A$2:$A$50,密度!$Q$2:$Q$50)</f>
        <v>12120.826416739999</v>
      </c>
      <c r="U28" s="91" ph="1">
        <f>U27*35.891</f>
        <v>184407.95799999998</v>
      </c>
      <c r="V28" s="91" ph="1">
        <f>V27*47.051*LOOKUP(V29,密度!$A$2:$A$50,密度!$B$2:$B$50)</f>
        <v>32279.244448000001</v>
      </c>
      <c r="W28" s="91" ph="1">
        <f>W27*47.051*LOOKUP(W29,密度!$A$2:$A$50,密度!$B$2:$B$50)</f>
        <v>14799.4921165</v>
      </c>
      <c r="X28" s="91" ph="1">
        <f>X27*47.051*LOOKUP(X29,密度!$A$2:$A$61,密度!$I$2:$I$61)</f>
        <v>264920.8719346</v>
      </c>
      <c r="Y28" s="91" ph="1">
        <f>Y27*47.051*LOOKUP(Y29,密度!$A$2:$A$50,密度!$L$2:$L$50)</f>
        <v>293892.96746400004</v>
      </c>
      <c r="Z28" s="178"/>
      <c r="AA28" s="179"/>
      <c r="AB28" s="179"/>
      <c r="AC28" s="179"/>
      <c r="AD28" s="179"/>
      <c r="AE28" s="180"/>
      <c r="AH28" s="64" ph="1">
        <v>14</v>
      </c>
      <c r="AI28" s="64" t="s" ph="1">
        <v>351</v>
      </c>
      <c r="AZ28" s="64" t="s" ph="1">
        <v>216</v>
      </c>
      <c r="BA28" s="64" ph="1">
        <v>0</v>
      </c>
    </row>
    <row r="29" spans="1:57" ph="1">
      <c r="A29" s="72" ph="1"/>
      <c r="B29" s="184" ph="1"/>
      <c r="C29" s="159" t="s" ph="1">
        <v>179</v>
      </c>
      <c r="D29" s="74">
        <v>25</v>
      </c>
      <c r="E29" s="74">
        <v>25</v>
      </c>
      <c r="F29" s="74">
        <v>31</v>
      </c>
      <c r="G29" s="74">
        <v>31</v>
      </c>
      <c r="H29" s="74">
        <v>31</v>
      </c>
      <c r="I29" s="74">
        <v>27</v>
      </c>
      <c r="J29" s="74">
        <v>40</v>
      </c>
      <c r="K29" s="74">
        <v>30</v>
      </c>
      <c r="L29" s="74">
        <v>28</v>
      </c>
      <c r="M29" s="74">
        <v>39</v>
      </c>
      <c r="N29" s="74">
        <v>31</v>
      </c>
      <c r="O29" s="74">
        <v>25</v>
      </c>
      <c r="P29" s="74">
        <v>29</v>
      </c>
      <c r="Q29" s="93">
        <v>32</v>
      </c>
      <c r="R29" s="74">
        <v>30</v>
      </c>
      <c r="S29" s="74">
        <v>30</v>
      </c>
      <c r="T29" s="74">
        <v>30</v>
      </c>
      <c r="U29" s="74">
        <v>28</v>
      </c>
      <c r="V29" s="74">
        <v>25</v>
      </c>
      <c r="W29" s="74">
        <v>24</v>
      </c>
      <c r="X29" s="74">
        <v>25</v>
      </c>
      <c r="Y29" s="74">
        <v>30</v>
      </c>
      <c r="Z29" s="181"/>
      <c r="AA29" s="182"/>
      <c r="AB29" s="182"/>
      <c r="AC29" s="182"/>
      <c r="AD29" s="182"/>
      <c r="AE29" s="183"/>
      <c r="AH29" s="64" ph="1">
        <v>15</v>
      </c>
      <c r="AI29" s="64" t="s" ph="1">
        <v>352</v>
      </c>
      <c r="AZ29" s="64" t="s" ph="1">
        <v>216</v>
      </c>
      <c r="BA29" s="64" ph="1">
        <v>0</v>
      </c>
      <c r="BD29" s="64" t="s" ph="1">
        <v>353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354</v>
      </c>
      <c r="AZ30" s="64" t="s" ph="1">
        <v>216</v>
      </c>
      <c r="BA30" s="64" ph="1">
        <v>0</v>
      </c>
    </row>
    <row r="31" spans="1:57" ht="28.2" ph="1">
      <c r="A31" s="64"/>
      <c r="B31" s="197" t="s" ph="1">
        <v>35</v>
      </c>
      <c r="C31" s="198" ph="1"/>
      <c r="D31" s="201" t="s" ph="1">
        <v>9</v>
      </c>
      <c r="E31" s="190" ph="1"/>
      <c r="F31" s="191" ph="1"/>
      <c r="G31" s="201" t="s" ph="1">
        <v>18</v>
      </c>
      <c r="H31" s="190" ph="1"/>
      <c r="I31" s="191" ph="1"/>
      <c r="J31" s="189" t="s" ph="1">
        <v>1</v>
      </c>
      <c r="K31" s="190" ph="1"/>
      <c r="L31" s="191" ph="1"/>
      <c r="M31" s="189" t="s" ph="1">
        <v>7</v>
      </c>
      <c r="N31" s="190" ph="1"/>
      <c r="O31" s="191" ph="1"/>
      <c r="P31" s="189" t="s" ph="1">
        <v>41</v>
      </c>
      <c r="Q31" s="190"/>
      <c r="R31" s="191"/>
      <c r="S31" s="189" t="s" ph="1">
        <v>2</v>
      </c>
      <c r="T31" s="190"/>
      <c r="U31" s="191"/>
      <c r="V31" s="189" t="s" ph="1">
        <v>71</v>
      </c>
      <c r="W31" s="190" ph="1"/>
      <c r="X31" s="191" ph="1"/>
      <c r="Y31" s="189" t="s" ph="1">
        <v>3</v>
      </c>
      <c r="Z31" s="190" ph="1"/>
      <c r="AA31" s="191" ph="1"/>
      <c r="AB31" s="212" t="s">
        <v>42</v>
      </c>
      <c r="AC31" s="213"/>
      <c r="AD31" s="213"/>
      <c r="AE31" s="214"/>
      <c r="AH31" s="64" ph="1">
        <v>17</v>
      </c>
      <c r="AI31" s="64" t="s" ph="1">
        <v>355</v>
      </c>
      <c r="AZ31" s="64" t="s" ph="1">
        <v>216</v>
      </c>
      <c r="BA31" s="64" ph="1">
        <v>0</v>
      </c>
      <c r="BD31" s="64" t="s" ph="1">
        <v>356</v>
      </c>
      <c r="BE31" s="64" ph="1">
        <v>9310</v>
      </c>
    </row>
    <row r="32" spans="1:57" ph="1">
      <c r="A32" s="64"/>
      <c r="B32" s="199" ph="1"/>
      <c r="C32" s="200" ph="1"/>
      <c r="D32" s="96" t="s" ph="1">
        <v>4</v>
      </c>
      <c r="E32" s="159" t="s" ph="1">
        <v>5</v>
      </c>
      <c r="F32" s="158" t="s" ph="1">
        <v>43</v>
      </c>
      <c r="G32" s="97" t="s" ph="1">
        <v>4</v>
      </c>
      <c r="H32" s="159" t="s" ph="1">
        <v>5</v>
      </c>
      <c r="I32" s="158" t="s" ph="1">
        <v>43</v>
      </c>
      <c r="J32" s="97" t="s" ph="1">
        <v>4</v>
      </c>
      <c r="K32" s="159" t="s" ph="1">
        <v>5</v>
      </c>
      <c r="L32" s="158" t="s" ph="1">
        <v>43</v>
      </c>
      <c r="M32" s="97" t="s" ph="1">
        <v>4</v>
      </c>
      <c r="N32" s="159" t="s" ph="1">
        <v>5</v>
      </c>
      <c r="O32" s="158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59" t="s" ph="1">
        <v>5</v>
      </c>
      <c r="U32" s="99" t="s" ph="1">
        <v>43</v>
      </c>
      <c r="V32" s="97" t="s" ph="1">
        <v>4</v>
      </c>
      <c r="W32" s="159" t="s" ph="1">
        <v>5</v>
      </c>
      <c r="X32" s="99" t="s" ph="1">
        <v>43</v>
      </c>
      <c r="Y32" s="100" t="s" ph="1">
        <v>4</v>
      </c>
      <c r="Z32" s="159" t="s" ph="1">
        <v>5</v>
      </c>
      <c r="AA32" s="158" t="s" ph="1">
        <v>43</v>
      </c>
      <c r="AB32" s="97" t="s" ph="1">
        <v>85</v>
      </c>
      <c r="AC32" s="159" t="s" ph="1">
        <v>84</v>
      </c>
      <c r="AD32" s="215" t="s" ph="1">
        <v>83</v>
      </c>
      <c r="AE32" s="216"/>
      <c r="AH32" s="64" ph="1">
        <v>18</v>
      </c>
      <c r="AI32" s="64" t="s" ph="1">
        <v>357</v>
      </c>
      <c r="AZ32" s="64" t="s" ph="1">
        <v>216</v>
      </c>
      <c r="BA32" s="64" ph="1">
        <v>0</v>
      </c>
    </row>
    <row r="33" spans="1:57" ph="1">
      <c r="A33" s="64"/>
      <c r="B33" s="202" t="s" ph="1">
        <v>181</v>
      </c>
      <c r="C33" s="203" ph="1"/>
      <c r="D33" s="206" ph="1">
        <f>AA10+AB10+Z19</f>
        <v>64904.074611559998</v>
      </c>
      <c r="E33" s="206" ph="1">
        <f>M10+I10</f>
        <v>199983.14888340002</v>
      </c>
      <c r="F33" s="208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1522252632456786910111213141516171819202123456789101112131415161718192022232424356789101112131415161718192021222345678910111213141516171819202345678910111213149101516171819222123234567891012131415161711181920212224252345678910111213116[[#This Row],[F25]]</f>
        <v>3880</v>
      </c>
      <c r="G33" s="210" ph="1">
        <f>N19</f>
        <v>16622.062789799998</v>
      </c>
      <c r="H33" s="206" ph="1">
        <f>M19</f>
        <v>46773.191451102008</v>
      </c>
      <c r="I33" s="219" ph="1">
        <v>0</v>
      </c>
      <c r="J33" s="217" ph="1">
        <f>F10+O28</f>
        <v>227111.72526519999</v>
      </c>
      <c r="K33" s="206" ph="1">
        <f>O10+K10+E28+R28</f>
        <v>334448.45812009997</v>
      </c>
      <c r="L33" s="221" ph="1">
        <f>K19</f>
        <v>22831.176347799999</v>
      </c>
      <c r="M33" s="217" ph="1">
        <f>G10+H10+W28+S28+V28+E10+R19+P28+Q28</f>
        <v>627781.75716584001</v>
      </c>
      <c r="N33" s="206" ph="1">
        <f>L10+P10++G28+H28+AD19+AE19</f>
        <v>210913.83890080001</v>
      </c>
      <c r="O33" s="219" ph="1">
        <f>G19</f>
        <v>26291.80318906</v>
      </c>
      <c r="P33" s="217" ph="1">
        <f>L19</f>
        <v>31822.556458056002</v>
      </c>
      <c r="Q33" s="206" ph="1">
        <f>J10+N10</f>
        <v>188894.82775638002</v>
      </c>
      <c r="R33" s="219" ph="1">
        <f>BE23</f>
        <v>890</v>
      </c>
      <c r="S33" s="217" ph="1">
        <f>X28</f>
        <v>264920.8719346</v>
      </c>
      <c r="T33" s="206" ph="1">
        <f>X19</f>
        <v>18327.348638199997</v>
      </c>
      <c r="U33" s="227" ph="1">
        <f>BE21</f>
        <v>730</v>
      </c>
      <c r="V33" s="238" ph="1">
        <f ca="1">P19+Q19+S19+M28+N28+J28+D10+AC10+D19+E19+H19+J19+O19+V19+W19+K28+L28</f>
        <v>503519.10811724595</v>
      </c>
      <c r="W33" s="238" ph="1">
        <f>D28+F28+T28+I28</f>
        <v>118117.804065524</v>
      </c>
      <c r="X33" s="219" ph="1">
        <f>BE29+BE31</f>
        <v>10200</v>
      </c>
      <c r="Y33" s="240" ph="1">
        <f>+Q10+R10+S10+T10+U10+V10+W10+X10+Y10</f>
        <v>231765.56781840004</v>
      </c>
      <c r="Z33" s="225" ph="1">
        <f>T19+U19+Y28+Z10</f>
        <v>484435.94161294407</v>
      </c>
      <c r="AA33" s="227" ph="1">
        <f>BE19</f>
        <v>1440</v>
      </c>
      <c r="AB33" s="229" ph="1">
        <f>I19</f>
        <v>49992.152892000006</v>
      </c>
      <c r="AC33" s="231" ph="1">
        <f>AD10+AB19</f>
        <v>81839.148476800008</v>
      </c>
      <c r="AD33" s="233" ph="1">
        <v>0</v>
      </c>
      <c r="AE33" s="234"/>
      <c r="AH33" s="64" ph="1">
        <v>19</v>
      </c>
      <c r="AI33" s="64" t="s" ph="1">
        <v>358</v>
      </c>
      <c r="AJ33" s="64" t="s" ph="1">
        <v>592</v>
      </c>
      <c r="AK33" s="64" t="s" ph="1">
        <v>589</v>
      </c>
      <c r="AL33" s="64" ph="1">
        <v>730</v>
      </c>
      <c r="AM33" s="64" t="s" ph="1">
        <v>339</v>
      </c>
      <c r="AZ33" s="64" t="s" ph="1">
        <v>216</v>
      </c>
      <c r="BA33" s="64" ph="1">
        <v>730</v>
      </c>
      <c r="BD33" s="64" t="s" ph="1">
        <v>290</v>
      </c>
      <c r="BE33" s="64" ph="1">
        <v>3880</v>
      </c>
    </row>
    <row r="34" spans="1:57" ph="1">
      <c r="A34" s="64"/>
      <c r="B34" s="204" ph="1"/>
      <c r="C34" s="205" ph="1"/>
      <c r="D34" s="207" ph="1"/>
      <c r="E34" s="207" ph="1"/>
      <c r="F34" s="209" ph="1"/>
      <c r="G34" s="211" ph="1"/>
      <c r="H34" s="207" ph="1"/>
      <c r="I34" s="220" ph="1"/>
      <c r="J34" s="218" ph="1"/>
      <c r="K34" s="207" ph="1"/>
      <c r="L34" s="222" ph="1"/>
      <c r="M34" s="218" ph="1"/>
      <c r="N34" s="207" ph="1"/>
      <c r="O34" s="220" ph="1"/>
      <c r="P34" s="218" ph="1"/>
      <c r="Q34" s="207" ph="1"/>
      <c r="R34" s="220" ph="1"/>
      <c r="S34" s="218" ph="1"/>
      <c r="T34" s="207"/>
      <c r="U34" s="228"/>
      <c r="V34" s="239" ph="1"/>
      <c r="W34" s="239" ph="1"/>
      <c r="X34" s="220" ph="1"/>
      <c r="Y34" s="241" ph="1"/>
      <c r="Z34" s="226" ph="1"/>
      <c r="AA34" s="228" ph="1"/>
      <c r="AB34" s="230"/>
      <c r="AC34" s="232"/>
      <c r="AD34" s="235"/>
      <c r="AE34" s="236"/>
      <c r="AH34" s="64" ph="1">
        <v>20</v>
      </c>
      <c r="AI34" s="64" t="s" ph="1">
        <v>359</v>
      </c>
      <c r="AJ34" s="64" t="s" ph="1">
        <v>593</v>
      </c>
      <c r="AK34" s="64" t="s" ph="1">
        <v>589</v>
      </c>
      <c r="AL34" s="64" ph="1">
        <v>720</v>
      </c>
      <c r="AM34" s="64" t="s" ph="1">
        <v>339</v>
      </c>
      <c r="AZ34" s="64" t="s" ph="1">
        <v>216</v>
      </c>
      <c r="BA34" s="64" ph="1">
        <v>720</v>
      </c>
    </row>
    <row r="35" spans="1:57" ph="1">
      <c r="A35" s="64"/>
      <c r="AC35" s="237" t="s" ph="1">
        <v>631</v>
      </c>
      <c r="AD35" s="237"/>
      <c r="AE35" s="237"/>
      <c r="AH35" s="64" ph="1">
        <v>21</v>
      </c>
      <c r="AI35" s="64" t="s" ph="1">
        <v>360</v>
      </c>
      <c r="AZ35" s="64" t="s" ph="1">
        <v>216</v>
      </c>
      <c r="BA35" s="64" ph="1">
        <v>0</v>
      </c>
      <c r="BD35" s="64" t="s" ph="1">
        <v>361</v>
      </c>
      <c r="BE35" s="64" ph="1">
        <v>2030</v>
      </c>
    </row>
    <row r="36" spans="1:57" ht="28.2" ph="1">
      <c r="A36" s="64"/>
      <c r="B36" s="103" t="s" ph="1">
        <v>182</v>
      </c>
      <c r="I36" s="223" t="s" ph="1">
        <v>183</v>
      </c>
      <c r="J36" s="223" ph="1"/>
      <c r="K36" s="101" ph="1"/>
      <c r="P36" s="101" ph="1"/>
      <c r="R36" s="223" t="s" ph="1">
        <v>184</v>
      </c>
      <c r="S36" s="223" ph="1"/>
      <c r="Y36" s="102" ph="1"/>
      <c r="Z36" s="157" t="s" ph="1">
        <v>185</v>
      </c>
      <c r="AA36" s="157" ph="1"/>
      <c r="AB36" s="224" t="s" ph="1">
        <v>640</v>
      </c>
      <c r="AC36" s="224" ph="1"/>
      <c r="AD36" s="224" ph="1"/>
      <c r="AE36" s="224" ph="1"/>
      <c r="BA36" s="64" ph="1">
        <v>2270</v>
      </c>
    </row>
    <row r="37" spans="1:57" s="157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57" t="s" ph="1">
        <v>342</v>
      </c>
      <c r="AI37" s="157" t="s" ph="1">
        <v>209</v>
      </c>
      <c r="AJ37" s="157" t="s" ph="1">
        <v>210</v>
      </c>
      <c r="AK37" s="157" t="s" ph="1">
        <v>211</v>
      </c>
      <c r="AM37" s="157" t="s" ph="1">
        <v>210</v>
      </c>
      <c r="AN37" s="157" t="s" ph="1">
        <v>211</v>
      </c>
      <c r="AO37" s="157" t="s" ph="1">
        <v>212</v>
      </c>
      <c r="AP37" s="157" t="s" ph="1">
        <v>210</v>
      </c>
      <c r="AQ37" s="157" t="s" ph="1">
        <v>211</v>
      </c>
      <c r="AR37" s="157" t="s" ph="1">
        <v>212</v>
      </c>
      <c r="AS37" s="157" t="s" ph="1">
        <v>210</v>
      </c>
      <c r="AT37" s="157" t="s" ph="1">
        <v>211</v>
      </c>
      <c r="AU37" s="157" t="s" ph="1">
        <v>212</v>
      </c>
      <c r="AV37" s="157" t="s" ph="1">
        <v>210</v>
      </c>
      <c r="AW37" s="157" t="s" ph="1">
        <v>211</v>
      </c>
      <c r="AX37" s="157" t="s" ph="1">
        <v>212</v>
      </c>
      <c r="AY37" s="157" t="s" ph="1">
        <v>211</v>
      </c>
      <c r="AZ37" s="157" t="s" ph="1">
        <v>213</v>
      </c>
      <c r="BD37" s="157" t="s" ph="1">
        <v>305</v>
      </c>
      <c r="BE37" s="157" ph="1">
        <v>0</v>
      </c>
    </row>
    <row r="38" spans="1:57" ph="1">
      <c r="AE38" s="64" ph="1"/>
      <c r="AH38" s="64" ph="1">
        <v>1</v>
      </c>
      <c r="AI38" s="64" t="s" ph="1">
        <v>362</v>
      </c>
      <c r="AY38" s="64" t="s" ph="1">
        <v>216</v>
      </c>
      <c r="AZ38" s="64" t="s" ph="1">
        <v>367</v>
      </c>
    </row>
    <row r="39" spans="1:57" ph="1">
      <c r="AH39" s="64" ph="1">
        <v>2</v>
      </c>
      <c r="AI39" s="64" t="s" ph="1">
        <v>364</v>
      </c>
      <c r="AJ39" s="64" t="s" ph="1">
        <v>336</v>
      </c>
      <c r="AK39" s="64" t="s" ph="1">
        <v>365</v>
      </c>
      <c r="AM39" s="64" t="s" ph="1">
        <v>570</v>
      </c>
      <c r="AN39" s="64" t="s" ph="1">
        <v>228</v>
      </c>
      <c r="AO39" s="64" t="s" ph="1">
        <v>363</v>
      </c>
      <c r="AY39" s="64" t="s" ph="1">
        <v>216</v>
      </c>
      <c r="AZ39" s="64" t="s" ph="1">
        <v>499</v>
      </c>
    </row>
    <row r="40" spans="1:57" ph="1">
      <c r="AH40" s="64" ph="1">
        <v>3</v>
      </c>
      <c r="AI40" s="64" t="s" ph="1">
        <v>366</v>
      </c>
      <c r="AJ40" s="64" t="s" ph="1">
        <v>570</v>
      </c>
      <c r="AK40" s="64" t="s" ph="1">
        <v>571</v>
      </c>
      <c r="AY40" s="64" t="s" ph="1">
        <v>216</v>
      </c>
      <c r="AZ40" s="64" t="s" ph="1">
        <v>571</v>
      </c>
    </row>
    <row r="41" spans="1:57" ph="1">
      <c r="AH41" s="64" ph="1">
        <v>4</v>
      </c>
      <c r="AI41" s="64" t="s" ph="1">
        <v>368</v>
      </c>
      <c r="AJ41" s="64" t="s" ph="1">
        <v>572</v>
      </c>
      <c r="AK41" s="64" t="s" ph="1">
        <v>573</v>
      </c>
      <c r="AM41" s="64" t="s" ph="1">
        <v>574</v>
      </c>
      <c r="AY41" s="64" t="s" ph="1">
        <v>216</v>
      </c>
      <c r="AZ41" s="64" t="s" ph="1">
        <v>573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369</v>
      </c>
      <c r="AY42" s="64" t="s" ph="1">
        <v>216</v>
      </c>
      <c r="AZ42" s="64" t="s" ph="1">
        <v>367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370</v>
      </c>
      <c r="AY43" s="64" t="s" ph="1">
        <v>216</v>
      </c>
      <c r="AZ43" s="64" t="s" ph="1">
        <v>367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371</v>
      </c>
      <c r="AV44" s="64" t="s" ph="1">
        <v>217</v>
      </c>
      <c r="AY44" s="64" t="s" ph="1">
        <v>216</v>
      </c>
      <c r="AZ44" s="64" t="s" ph="1">
        <v>367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372</v>
      </c>
      <c r="AV45" s="64" t="s" ph="1">
        <v>217</v>
      </c>
      <c r="AY45" s="64" t="s" ph="1">
        <v>216</v>
      </c>
      <c r="AZ45" s="64" t="s" ph="1">
        <v>367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373</v>
      </c>
      <c r="AV46" s="64" t="s" ph="1">
        <v>217</v>
      </c>
      <c r="AY46" s="64" t="s" ph="1">
        <v>216</v>
      </c>
      <c r="AZ46" s="64" t="s" ph="1">
        <v>367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374</v>
      </c>
      <c r="AV47" s="64" t="s" ph="1">
        <v>217</v>
      </c>
      <c r="AY47" s="64" t="s" ph="1">
        <v>216</v>
      </c>
      <c r="AZ47" s="64" t="s" ph="1">
        <v>367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575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232</v>
      </c>
      <c r="AI49" s="64" t="s" ph="1">
        <v>209</v>
      </c>
      <c r="AJ49" s="64" t="s" ph="1">
        <v>210</v>
      </c>
      <c r="AK49" s="64" t="s" ph="1">
        <v>211</v>
      </c>
      <c r="AM49" s="64" t="s" ph="1">
        <v>210</v>
      </c>
      <c r="AN49" s="64" t="s" ph="1">
        <v>211</v>
      </c>
      <c r="AO49" s="64" t="s" ph="1">
        <v>212</v>
      </c>
      <c r="AP49" s="64" t="s" ph="1">
        <v>210</v>
      </c>
      <c r="AQ49" s="64" t="s" ph="1">
        <v>211</v>
      </c>
      <c r="AR49" s="64" t="s" ph="1">
        <v>212</v>
      </c>
      <c r="AS49" s="64" t="s" ph="1">
        <v>210</v>
      </c>
      <c r="AT49" s="64" t="s" ph="1">
        <v>211</v>
      </c>
      <c r="AU49" s="64" t="s" ph="1">
        <v>212</v>
      </c>
      <c r="AV49" s="64" t="s" ph="1">
        <v>210</v>
      </c>
      <c r="AW49" s="64" t="s" ph="1">
        <v>211</v>
      </c>
      <c r="AX49" s="64" t="s" ph="1">
        <v>212</v>
      </c>
      <c r="AY49" s="64" t="s" ph="1">
        <v>211</v>
      </c>
      <c r="AZ49" s="64" t="s" ph="1">
        <v>213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375</v>
      </c>
      <c r="AY50" s="64" t="s" ph="1">
        <v>216</v>
      </c>
      <c r="AZ50" s="64" t="s" ph="1">
        <v>367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376</v>
      </c>
      <c r="AY51" s="64" t="s" ph="1">
        <v>216</v>
      </c>
      <c r="AZ51" s="64" t="s" ph="1">
        <v>367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377</v>
      </c>
      <c r="AJ52" s="64" t="s" ph="1">
        <v>334</v>
      </c>
      <c r="AK52" s="64" t="s" ph="1">
        <v>228</v>
      </c>
      <c r="AM52" s="64" t="s" ph="1">
        <v>336</v>
      </c>
      <c r="AN52" s="64" t="s" ph="1">
        <v>300</v>
      </c>
      <c r="AO52" s="64" t="s" ph="1">
        <v>233</v>
      </c>
      <c r="AP52" s="64" t="s" ph="1">
        <v>570</v>
      </c>
      <c r="AQ52" s="64" t="s" ph="1">
        <v>282</v>
      </c>
      <c r="AR52" s="64" t="s" ph="1">
        <v>233</v>
      </c>
      <c r="AY52" s="64" t="s" ph="1">
        <v>216</v>
      </c>
      <c r="AZ52" s="64" t="s" ph="1">
        <v>576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378</v>
      </c>
      <c r="AY53" s="64" t="s" ph="1">
        <v>216</v>
      </c>
      <c r="AZ53" s="64" t="s" ph="1">
        <v>367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379</v>
      </c>
      <c r="AJ54" s="64" t="s" ph="1">
        <v>334</v>
      </c>
      <c r="AK54" s="64" t="s" ph="1">
        <v>219</v>
      </c>
      <c r="AM54" s="64" t="s" ph="1">
        <v>336</v>
      </c>
      <c r="AN54" s="64" t="s" ph="1">
        <v>224</v>
      </c>
      <c r="AO54" s="64" t="s" ph="1">
        <v>233</v>
      </c>
      <c r="AP54" s="64" t="s" ph="1">
        <v>570</v>
      </c>
      <c r="AQ54" s="64" t="s" ph="1">
        <v>240</v>
      </c>
      <c r="AR54" s="64" t="s" ph="1">
        <v>233</v>
      </c>
      <c r="AY54" s="64" t="s" ph="1">
        <v>216</v>
      </c>
      <c r="AZ54" s="64" t="s" ph="1">
        <v>234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380</v>
      </c>
      <c r="AY55" s="64" t="s" ph="1">
        <v>216</v>
      </c>
      <c r="AZ55" s="64" t="s" ph="1">
        <v>367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381</v>
      </c>
      <c r="AY56" s="64" t="s" ph="1">
        <v>216</v>
      </c>
      <c r="AZ56" s="64" t="s" ph="1">
        <v>367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382</v>
      </c>
      <c r="AY57" s="64" t="s" ph="1">
        <v>216</v>
      </c>
      <c r="AZ57" s="64" t="s" ph="1">
        <v>367</v>
      </c>
    </row>
    <row r="58" spans="16:52" ph="1">
      <c r="P58" s="64"/>
      <c r="AN58" s="64" t="s" ph="1">
        <v>217</v>
      </c>
      <c r="AZ58" s="64" t="s" ph="1">
        <v>577</v>
      </c>
    </row>
    <row r="59" spans="16:52" ph="1">
      <c r="V59" s="64"/>
      <c r="AG59" s="64" t="s" ph="1">
        <v>235</v>
      </c>
      <c r="AI59" s="64" t="s" ph="1">
        <v>209</v>
      </c>
      <c r="AJ59" s="64" t="s" ph="1">
        <v>210</v>
      </c>
      <c r="AK59" s="64" t="s" ph="1">
        <v>211</v>
      </c>
      <c r="AM59" s="64" t="s" ph="1">
        <v>210</v>
      </c>
      <c r="AN59" s="64" t="s" ph="1">
        <v>211</v>
      </c>
      <c r="AO59" s="64" t="s" ph="1">
        <v>212</v>
      </c>
      <c r="AP59" s="64" t="s" ph="1">
        <v>210</v>
      </c>
      <c r="AQ59" s="64" t="s" ph="1">
        <v>211</v>
      </c>
      <c r="AR59" s="64" t="s" ph="1">
        <v>212</v>
      </c>
      <c r="AS59" s="64" t="s" ph="1">
        <v>210</v>
      </c>
      <c r="AT59" s="64" t="s" ph="1">
        <v>211</v>
      </c>
      <c r="AU59" s="64" t="s" ph="1">
        <v>212</v>
      </c>
      <c r="AV59" s="64" t="s" ph="1">
        <v>210</v>
      </c>
      <c r="AW59" s="64" t="s" ph="1">
        <v>211</v>
      </c>
      <c r="AX59" s="64" t="s" ph="1">
        <v>212</v>
      </c>
      <c r="AY59" s="64" t="s" ph="1">
        <v>211</v>
      </c>
      <c r="AZ59" s="64" t="s" ph="1">
        <v>213</v>
      </c>
    </row>
    <row r="60" spans="16:52" ph="1">
      <c r="R60" s="64"/>
      <c r="S60" s="64"/>
      <c r="T60" s="64"/>
      <c r="AH60" s="64" ph="1">
        <v>1</v>
      </c>
      <c r="AI60" s="64" t="s" ph="1">
        <v>383</v>
      </c>
      <c r="AY60" s="64" t="s" ph="1">
        <v>216</v>
      </c>
      <c r="AZ60" s="64" t="s" ph="1">
        <v>367</v>
      </c>
    </row>
    <row r="61" spans="16:52" ph="1">
      <c r="AH61" s="64" ph="1">
        <v>2</v>
      </c>
      <c r="AI61" s="64" t="s" ph="1">
        <v>384</v>
      </c>
      <c r="AS61" s="64" t="s" ph="1">
        <v>217</v>
      </c>
      <c r="AY61" s="64" t="s" ph="1">
        <v>216</v>
      </c>
      <c r="AZ61" s="64" t="s" ph="1">
        <v>367</v>
      </c>
    </row>
    <row r="62" spans="16:52" ph="1">
      <c r="AZ62" s="64" t="s" ph="1">
        <v>385</v>
      </c>
    </row>
    <row r="63" spans="16:52" ph="1">
      <c r="AG63" s="64" t="s" ph="1">
        <v>238</v>
      </c>
      <c r="AI63" s="64" t="s" ph="1">
        <v>209</v>
      </c>
      <c r="AJ63" s="64" t="s" ph="1">
        <v>210</v>
      </c>
      <c r="AK63" s="64" t="s" ph="1">
        <v>211</v>
      </c>
      <c r="AM63" s="64" t="s" ph="1">
        <v>210</v>
      </c>
      <c r="AN63" s="64" t="s" ph="1">
        <v>211</v>
      </c>
      <c r="AO63" s="64" t="s" ph="1">
        <v>212</v>
      </c>
      <c r="AP63" s="64" t="s" ph="1">
        <v>210</v>
      </c>
      <c r="AQ63" s="64" t="s" ph="1">
        <v>211</v>
      </c>
      <c r="AR63" s="64" t="s" ph="1">
        <v>212</v>
      </c>
      <c r="AS63" s="64" t="s" ph="1">
        <v>210</v>
      </c>
      <c r="AT63" s="64" t="s" ph="1">
        <v>211</v>
      </c>
      <c r="AU63" s="64" t="s" ph="1">
        <v>212</v>
      </c>
      <c r="AV63" s="64" t="s" ph="1">
        <v>210</v>
      </c>
      <c r="AW63" s="64" t="s" ph="1">
        <v>211</v>
      </c>
      <c r="AX63" s="64" t="s" ph="1">
        <v>212</v>
      </c>
      <c r="AY63" s="64" t="s" ph="1">
        <v>211</v>
      </c>
      <c r="AZ63" s="64" t="s" ph="1">
        <v>213</v>
      </c>
    </row>
    <row r="64" spans="16:52" ph="1">
      <c r="AH64" s="64" ph="1">
        <v>1</v>
      </c>
      <c r="AI64" s="64" t="s" ph="1">
        <v>386</v>
      </c>
      <c r="AJ64" s="64" t="s" ph="1">
        <v>387</v>
      </c>
      <c r="AK64" s="64" t="s" ph="1">
        <v>388</v>
      </c>
      <c r="AY64" s="64" t="s" ph="1">
        <v>216</v>
      </c>
      <c r="AZ64" s="64" t="s" ph="1">
        <v>388</v>
      </c>
    </row>
    <row r="65" spans="33:52" ph="1">
      <c r="AH65" s="64" ph="1">
        <v>2</v>
      </c>
      <c r="AI65" s="64" t="s" ph="1">
        <v>389</v>
      </c>
      <c r="AY65" s="64" t="s" ph="1">
        <v>216</v>
      </c>
      <c r="AZ65" s="64" t="s" ph="1">
        <v>367</v>
      </c>
    </row>
    <row r="66" spans="33:52" ph="1">
      <c r="AH66" s="64" ph="1">
        <v>3</v>
      </c>
      <c r="AI66" s="64" t="s" ph="1">
        <v>390</v>
      </c>
      <c r="AY66" s="64" t="s" ph="1">
        <v>216</v>
      </c>
      <c r="AZ66" s="64" t="s" ph="1">
        <v>367</v>
      </c>
    </row>
    <row r="67" spans="33:52" ph="1">
      <c r="AH67" s="64" ph="1">
        <v>4</v>
      </c>
      <c r="AI67" s="64" t="s" ph="1">
        <v>391</v>
      </c>
      <c r="AY67" s="64" t="s" ph="1">
        <v>216</v>
      </c>
      <c r="AZ67" s="64" t="s" ph="1">
        <v>367</v>
      </c>
    </row>
    <row r="68" spans="33:52" ph="1">
      <c r="AH68" s="64" ph="1">
        <v>5</v>
      </c>
      <c r="AI68" s="64" t="s" ph="1">
        <v>392</v>
      </c>
      <c r="AY68" s="64" t="s" ph="1">
        <v>216</v>
      </c>
      <c r="AZ68" s="64" t="s" ph="1">
        <v>367</v>
      </c>
    </row>
    <row r="69" spans="33:52" ph="1">
      <c r="AH69" s="64" ph="1">
        <v>6</v>
      </c>
      <c r="AI69" s="64" t="s" ph="1">
        <v>393</v>
      </c>
      <c r="AY69" s="64" t="s" ph="1">
        <v>216</v>
      </c>
      <c r="AZ69" s="64" t="s" ph="1">
        <v>367</v>
      </c>
    </row>
    <row r="70" spans="33:52" ph="1">
      <c r="AI70" s="64" t="s" ph="1">
        <v>394</v>
      </c>
      <c r="AY70" s="64" t="s" ph="1">
        <v>216</v>
      </c>
      <c r="AZ70" s="64" t="s" ph="1">
        <v>367</v>
      </c>
    </row>
    <row r="71" spans="33:52" ph="1">
      <c r="AH71" s="64" ph="1">
        <v>7</v>
      </c>
      <c r="AI71" s="64" t="s" ph="1">
        <v>395</v>
      </c>
      <c r="AJ71" s="64" t="s" ph="1">
        <v>334</v>
      </c>
      <c r="AK71" s="64" t="s" ph="1">
        <v>228</v>
      </c>
      <c r="AM71" s="64" t="s" ph="1">
        <v>336</v>
      </c>
      <c r="AN71" s="64" t="s" ph="1">
        <v>228</v>
      </c>
      <c r="AO71" s="64" t="s" ph="1">
        <v>396</v>
      </c>
      <c r="AP71" s="64" t="s" ph="1">
        <v>570</v>
      </c>
      <c r="AQ71" s="64" t="s" ph="1">
        <v>219</v>
      </c>
      <c r="AR71" s="64" t="s" ph="1">
        <v>396</v>
      </c>
      <c r="AY71" s="64" t="s" ph="1">
        <v>216</v>
      </c>
      <c r="AZ71" s="64" t="s" ph="1">
        <v>578</v>
      </c>
    </row>
    <row r="72" spans="33:52" ph="1">
      <c r="AZ72" s="64" t="s" ph="1">
        <v>579</v>
      </c>
    </row>
    <row r="73" spans="33:52" ph="1">
      <c r="AG73" s="64" t="s" ph="1">
        <v>241</v>
      </c>
      <c r="AI73" s="64" t="s" ph="1">
        <v>209</v>
      </c>
      <c r="AJ73" s="64" t="s" ph="1">
        <v>210</v>
      </c>
      <c r="AK73" s="64" t="s" ph="1">
        <v>211</v>
      </c>
      <c r="AM73" s="64" t="s" ph="1">
        <v>210</v>
      </c>
      <c r="AN73" s="64" t="s" ph="1">
        <v>211</v>
      </c>
      <c r="AO73" s="64" t="s" ph="1">
        <v>212</v>
      </c>
      <c r="AP73" s="64" t="s" ph="1">
        <v>210</v>
      </c>
      <c r="AQ73" s="64" t="s" ph="1">
        <v>211</v>
      </c>
      <c r="AR73" s="64" t="s" ph="1">
        <v>212</v>
      </c>
      <c r="AS73" s="64" t="s" ph="1">
        <v>210</v>
      </c>
      <c r="AT73" s="64" t="s" ph="1">
        <v>211</v>
      </c>
      <c r="AU73" s="64" t="s" ph="1">
        <v>212</v>
      </c>
      <c r="AV73" s="64" t="s" ph="1">
        <v>210</v>
      </c>
      <c r="AW73" s="64" t="s" ph="1">
        <v>211</v>
      </c>
      <c r="AX73" s="64" t="s" ph="1">
        <v>212</v>
      </c>
      <c r="AY73" s="64" t="s" ph="1">
        <v>211</v>
      </c>
      <c r="AZ73" s="64" t="s" ph="1">
        <v>213</v>
      </c>
    </row>
    <row r="74" spans="33:52" ph="1">
      <c r="AH74" s="64" ph="1">
        <v>1</v>
      </c>
      <c r="AI74" s="64" t="s" ph="1">
        <v>397</v>
      </c>
      <c r="AJ74" s="64" t="s" ph="1">
        <v>242</v>
      </c>
      <c r="AK74" s="64" t="s" ph="1">
        <v>224</v>
      </c>
      <c r="AM74" s="64" t="s" ph="1">
        <v>244</v>
      </c>
      <c r="AN74" s="64" t="s" ph="1">
        <v>254</v>
      </c>
      <c r="AO74" s="64" t="s" ph="1">
        <v>243</v>
      </c>
      <c r="AP74" s="64" t="s" ph="1">
        <v>245</v>
      </c>
      <c r="AQ74" s="64" t="s" ph="1">
        <v>222</v>
      </c>
      <c r="AR74" s="64" t="s" ph="1">
        <v>243</v>
      </c>
      <c r="AS74" s="64" t="s" ph="1">
        <v>215</v>
      </c>
      <c r="AT74" s="64" t="s" ph="1">
        <v>217</v>
      </c>
      <c r="AV74" s="64" t="s" ph="1">
        <v>398</v>
      </c>
      <c r="AW74" s="64" t="s" ph="1">
        <v>399</v>
      </c>
      <c r="AX74" s="64" t="s" ph="1">
        <v>400</v>
      </c>
      <c r="AY74" s="64" t="s" ph="1">
        <v>216</v>
      </c>
      <c r="AZ74" s="64" t="s" ph="1">
        <v>401</v>
      </c>
    </row>
    <row r="75" spans="33:52" ph="1">
      <c r="AJ75" s="64" t="s" ph="1">
        <v>247</v>
      </c>
      <c r="AK75" s="64" t="s" ph="1">
        <v>300</v>
      </c>
      <c r="AM75" s="64" t="s" ph="1">
        <v>245</v>
      </c>
      <c r="AN75" s="64" t="s" ph="1">
        <v>225</v>
      </c>
      <c r="AO75" s="64" t="s" ph="1">
        <v>243</v>
      </c>
      <c r="AS75" s="64" t="s" ph="1">
        <v>215</v>
      </c>
      <c r="AT75" s="64" t="s" ph="1">
        <v>246</v>
      </c>
    </row>
    <row r="76" spans="33:52" ph="1">
      <c r="AJ76" s="64" t="s" ph="1">
        <v>247</v>
      </c>
      <c r="AK76" s="64" t="s" ph="1">
        <v>240</v>
      </c>
      <c r="AM76" s="64" t="s" ph="1">
        <v>245</v>
      </c>
      <c r="AN76" s="64" t="s" ph="1">
        <v>228</v>
      </c>
      <c r="AO76" s="64" t="s" ph="1">
        <v>243</v>
      </c>
      <c r="AS76" s="64" t="s" ph="1">
        <v>215</v>
      </c>
      <c r="AT76" s="64" t="s" ph="1">
        <v>246</v>
      </c>
    </row>
    <row r="77" spans="33:52" ph="1">
      <c r="AJ77" s="64" t="s" ph="1">
        <v>283</v>
      </c>
      <c r="AK77" s="64" t="s" ph="1">
        <v>240</v>
      </c>
      <c r="AM77" s="64" t="s" ph="1">
        <v>284</v>
      </c>
      <c r="AN77" s="64" t="s" ph="1">
        <v>223</v>
      </c>
      <c r="AO77" s="64" t="s" ph="1">
        <v>243</v>
      </c>
      <c r="AS77" s="64" t="s" ph="1">
        <v>215</v>
      </c>
      <c r="AT77" s="64" t="s" ph="1">
        <v>285</v>
      </c>
    </row>
    <row r="78" spans="33:52" ph="1">
      <c r="AH78" s="64" ph="1">
        <v>2</v>
      </c>
      <c r="AI78" s="64" t="s" ph="1">
        <v>249</v>
      </c>
      <c r="AJ78" s="64" t="s" ph="1">
        <v>250</v>
      </c>
      <c r="AK78" s="64" t="s" ph="1">
        <v>219</v>
      </c>
      <c r="AM78" s="64" t="s" ph="1">
        <v>251</v>
      </c>
      <c r="AN78" s="64" t="s" ph="1">
        <v>254</v>
      </c>
      <c r="AO78" s="64" t="s" ph="1">
        <v>243</v>
      </c>
      <c r="AP78" s="64" t="s" ph="1">
        <v>252</v>
      </c>
      <c r="AQ78" s="64" t="s" ph="1">
        <v>298</v>
      </c>
      <c r="AR78" s="64" t="s" ph="1">
        <v>243</v>
      </c>
      <c r="AS78" s="64" t="s" ph="1">
        <v>253</v>
      </c>
      <c r="AT78" s="64" t="s" ph="1">
        <v>254</v>
      </c>
      <c r="AU78" s="64" t="s" ph="1">
        <v>243</v>
      </c>
      <c r="AV78" s="64" t="s" ph="1">
        <v>255</v>
      </c>
      <c r="AW78" s="64" t="s" ph="1">
        <v>243</v>
      </c>
      <c r="AY78" s="64" t="s" ph="1">
        <v>216</v>
      </c>
      <c r="AZ78" s="64" t="s" ph="1">
        <v>402</v>
      </c>
    </row>
    <row r="79" spans="33:52" ph="1">
      <c r="AJ79" s="64" t="s" ph="1">
        <v>245</v>
      </c>
      <c r="AK79" s="64" t="s" ph="1">
        <v>256</v>
      </c>
      <c r="AM79" s="64" t="s" ph="1">
        <v>257</v>
      </c>
      <c r="AN79" s="64" t="s" ph="1">
        <v>225</v>
      </c>
      <c r="AO79" s="64" t="s" ph="1">
        <v>243</v>
      </c>
      <c r="AP79" s="64" t="s" ph="1">
        <v>258</v>
      </c>
      <c r="AQ79" s="64" t="s" ph="1">
        <v>223</v>
      </c>
      <c r="AR79" s="64" t="s" ph="1">
        <v>259</v>
      </c>
      <c r="AS79" s="64" t="s" ph="1">
        <v>215</v>
      </c>
      <c r="AT79" s="64" t="s" ph="1">
        <v>260</v>
      </c>
      <c r="AV79" s="64" t="s" ph="1">
        <v>403</v>
      </c>
      <c r="AW79" s="64" t="s" ph="1">
        <v>302</v>
      </c>
      <c r="AX79" s="64" t="s" ph="1">
        <v>400</v>
      </c>
    </row>
    <row r="80" spans="33:52" ph="1">
      <c r="AH80" s="64" ph="1">
        <v>3</v>
      </c>
      <c r="AI80" s="64" t="s" ph="1">
        <v>261</v>
      </c>
      <c r="AJ80" s="64" t="s" ph="1">
        <v>262</v>
      </c>
      <c r="AK80" s="64" t="s" ph="1">
        <v>263</v>
      </c>
      <c r="AM80" s="64" t="s" ph="1">
        <v>264</v>
      </c>
      <c r="AN80" s="64" t="s" ph="1">
        <v>254</v>
      </c>
      <c r="AO80" s="64" t="s" ph="1">
        <v>243</v>
      </c>
      <c r="AP80" s="64" t="s" ph="1">
        <v>265</v>
      </c>
      <c r="AQ80" s="64" t="s" ph="1">
        <v>228</v>
      </c>
      <c r="AR80" s="64" t="s" ph="1">
        <v>243</v>
      </c>
      <c r="AS80" s="64" t="s" ph="1">
        <v>266</v>
      </c>
      <c r="AT80" s="64" t="s" ph="1">
        <v>227</v>
      </c>
      <c r="AU80" s="64" t="s" ph="1">
        <v>243</v>
      </c>
      <c r="AV80" s="64" t="s" ph="1">
        <v>267</v>
      </c>
      <c r="AW80" s="64" t="s" ph="1">
        <v>243</v>
      </c>
      <c r="AY80" s="64" t="s" ph="1">
        <v>216</v>
      </c>
      <c r="AZ80" s="64" t="s" ph="1">
        <v>404</v>
      </c>
    </row>
    <row r="81" spans="34:52" ph="1">
      <c r="AJ81" s="64" t="s" ph="1">
        <v>268</v>
      </c>
      <c r="AK81" s="64" t="s" ph="1">
        <v>222</v>
      </c>
      <c r="AM81" s="64" t="s" ph="1">
        <v>269</v>
      </c>
      <c r="AN81" s="64" t="s" ph="1">
        <v>225</v>
      </c>
      <c r="AO81" s="64" t="s" ph="1">
        <v>243</v>
      </c>
      <c r="AP81" s="64" t="s" ph="1">
        <v>270</v>
      </c>
      <c r="AQ81" s="64" t="s" ph="1">
        <v>254</v>
      </c>
      <c r="AR81" s="64" t="s" ph="1">
        <v>243</v>
      </c>
      <c r="AS81" s="64" t="s" ph="1">
        <v>271</v>
      </c>
      <c r="AT81" s="64" t="s" ph="1">
        <v>272</v>
      </c>
      <c r="AU81" s="64" t="s" ph="1">
        <v>243</v>
      </c>
      <c r="AV81" s="64" t="s" ph="1">
        <v>273</v>
      </c>
    </row>
    <row r="82" spans="34:52" ph="1">
      <c r="AJ82" s="64" t="s" ph="1">
        <v>274</v>
      </c>
      <c r="AK82" s="64" t="s" ph="1">
        <v>222</v>
      </c>
      <c r="AM82" s="64" t="s" ph="1">
        <v>275</v>
      </c>
      <c r="AN82" s="64" t="s" ph="1">
        <v>272</v>
      </c>
      <c r="AO82" s="64" t="s" ph="1">
        <v>276</v>
      </c>
      <c r="AP82" s="64" t="s" ph="1">
        <v>277</v>
      </c>
      <c r="AQ82" s="64" t="s" ph="1">
        <v>254</v>
      </c>
      <c r="AR82" s="64" t="s" ph="1">
        <v>243</v>
      </c>
      <c r="AS82" s="64" t="s" ph="1">
        <v>278</v>
      </c>
      <c r="AT82" s="64" t="s" ph="1">
        <v>229</v>
      </c>
      <c r="AU82" s="64" t="s" ph="1">
        <v>243</v>
      </c>
      <c r="AV82" s="64" t="s" ph="1">
        <v>403</v>
      </c>
      <c r="AW82" s="64" t="s" ph="1">
        <v>303</v>
      </c>
      <c r="AX82" s="64" t="s" ph="1">
        <v>400</v>
      </c>
    </row>
    <row r="83" spans="34:52" ph="1">
      <c r="AJ83" s="64" t="s" ph="1">
        <v>279</v>
      </c>
      <c r="AK83" s="64" t="s" ph="1">
        <v>296</v>
      </c>
      <c r="AM83" s="64" t="s" ph="1">
        <v>280</v>
      </c>
      <c r="AN83" s="64" t="s" ph="1">
        <v>228</v>
      </c>
      <c r="AO83" s="64" t="s" ph="1">
        <v>259</v>
      </c>
      <c r="AP83" s="64" t="s" ph="1">
        <v>281</v>
      </c>
      <c r="AQ83" s="64" t="s" ph="1">
        <v>282</v>
      </c>
      <c r="AR83" s="64" t="s" ph="1">
        <v>259</v>
      </c>
      <c r="AS83" s="64" t="s" ph="1">
        <v>405</v>
      </c>
      <c r="AT83" s="64" t="s" ph="1">
        <v>254</v>
      </c>
      <c r="AU83" s="64" t="s" ph="1">
        <v>259</v>
      </c>
      <c r="AV83" s="64" t="s" ph="1">
        <v>406</v>
      </c>
      <c r="AW83" s="64" t="s" ph="1">
        <v>303</v>
      </c>
      <c r="AX83" s="64" t="s" ph="1">
        <v>407</v>
      </c>
    </row>
    <row r="84" spans="34:52" ph="1">
      <c r="AH84" s="64" ph="1">
        <v>4</v>
      </c>
      <c r="AI84" s="64" t="s" ph="1">
        <v>286</v>
      </c>
      <c r="AJ84" s="64" t="s" ph="1">
        <v>226</v>
      </c>
      <c r="AK84" s="64" t="s" ph="1">
        <v>229</v>
      </c>
      <c r="AM84" s="64" t="s" ph="1">
        <v>230</v>
      </c>
      <c r="AN84" s="64" t="s" ph="1">
        <v>223</v>
      </c>
      <c r="AO84" s="64" t="s" ph="1">
        <v>259</v>
      </c>
      <c r="AP84" s="64" t="s" ph="1">
        <v>288</v>
      </c>
      <c r="AQ84" s="64" t="s" ph="1">
        <v>222</v>
      </c>
      <c r="AR84" s="64" t="s" ph="1">
        <v>259</v>
      </c>
      <c r="AS84" s="64" t="s" ph="1">
        <v>288</v>
      </c>
      <c r="AT84" s="64" t="s" ph="1">
        <v>224</v>
      </c>
      <c r="AU84" s="64" t="s" ph="1">
        <v>259</v>
      </c>
      <c r="AY84" s="64" t="s" ph="1">
        <v>216</v>
      </c>
      <c r="AZ84" s="64" t="s" ph="1">
        <v>408</v>
      </c>
    </row>
    <row r="85" spans="34:52" ph="1">
      <c r="AJ85" s="64" t="s" ph="1">
        <v>218</v>
      </c>
      <c r="AK85" s="64" t="s" ph="1">
        <v>222</v>
      </c>
      <c r="AM85" s="64" t="s" ph="1">
        <v>409</v>
      </c>
      <c r="AN85" s="64" t="s" ph="1">
        <v>229</v>
      </c>
      <c r="AO85" s="64" t="s" ph="1">
        <v>259</v>
      </c>
      <c r="AP85" s="64" t="s" ph="1">
        <v>410</v>
      </c>
      <c r="AQ85" s="64" t="s" ph="1">
        <v>225</v>
      </c>
      <c r="AR85" s="64" t="s" ph="1">
        <v>259</v>
      </c>
      <c r="AS85" s="64" t="s" ph="1">
        <v>411</v>
      </c>
      <c r="AT85" s="64" t="s" ph="1">
        <v>225</v>
      </c>
      <c r="AU85" s="64" t="s" ph="1">
        <v>259</v>
      </c>
    </row>
    <row r="86" spans="34:52" ph="1">
      <c r="AJ86" s="64" t="s" ph="1">
        <v>412</v>
      </c>
      <c r="AK86" s="64" t="s" ph="1">
        <v>231</v>
      </c>
      <c r="AM86" s="64" t="s" ph="1">
        <v>413</v>
      </c>
      <c r="AN86" s="64" t="s" ph="1">
        <v>272</v>
      </c>
      <c r="AO86" s="64" t="s" ph="1">
        <v>259</v>
      </c>
      <c r="AP86" s="64" t="s" ph="1">
        <v>414</v>
      </c>
      <c r="AQ86" s="64" t="s" ph="1">
        <v>219</v>
      </c>
      <c r="AR86" s="64" t="s" ph="1">
        <v>259</v>
      </c>
      <c r="AS86" s="64" t="s" ph="1">
        <v>415</v>
      </c>
      <c r="AT86" s="64" t="s" ph="1">
        <v>237</v>
      </c>
      <c r="AU86" s="64" t="s" ph="1">
        <v>259</v>
      </c>
    </row>
    <row r="87" spans="34:52" ph="1">
      <c r="AJ87" s="64" t="s" ph="1">
        <v>416</v>
      </c>
      <c r="AK87" s="64" t="s" ph="1">
        <v>272</v>
      </c>
      <c r="AM87" s="64" t="s" ph="1">
        <v>403</v>
      </c>
      <c r="AN87" s="64" t="s" ph="1">
        <v>417</v>
      </c>
      <c r="AO87" s="64" t="s" ph="1">
        <v>400</v>
      </c>
    </row>
    <row r="88" spans="34:52" ph="1">
      <c r="AH88" s="64" ph="1">
        <v>5</v>
      </c>
      <c r="AI88" s="64" t="s" ph="1">
        <v>289</v>
      </c>
      <c r="AJ88" s="64" t="s" ph="1">
        <v>418</v>
      </c>
      <c r="AK88" s="64" t="s" ph="1">
        <v>272</v>
      </c>
      <c r="AM88" s="64" t="s" ph="1">
        <v>419</v>
      </c>
      <c r="AN88" s="64" t="s" ph="1">
        <v>272</v>
      </c>
      <c r="AO88" s="64" t="s" ph="1">
        <v>259</v>
      </c>
      <c r="AP88" s="64" t="s" ph="1">
        <v>420</v>
      </c>
      <c r="AQ88" s="64" t="s" ph="1">
        <v>222</v>
      </c>
      <c r="AR88" s="64" t="s" ph="1">
        <v>259</v>
      </c>
      <c r="AS88" s="64" t="s" ph="1">
        <v>421</v>
      </c>
      <c r="AT88" s="64" t="s" ph="1">
        <v>272</v>
      </c>
      <c r="AU88" s="64" t="s" ph="1">
        <v>259</v>
      </c>
      <c r="AV88" s="64" t="s" ph="1">
        <v>422</v>
      </c>
      <c r="AW88" s="64" t="s" ph="1">
        <v>227</v>
      </c>
      <c r="AX88" s="64" t="s" ph="1">
        <v>259</v>
      </c>
      <c r="AY88" s="64" t="s" ph="1">
        <v>216</v>
      </c>
      <c r="AZ88" s="64" t="s" ph="1">
        <v>423</v>
      </c>
    </row>
    <row r="89" spans="34:52" ph="1">
      <c r="AJ89" s="64" t="s" ph="1">
        <v>424</v>
      </c>
      <c r="AK89" s="64" t="s" ph="1">
        <v>225</v>
      </c>
      <c r="AM89" s="64" t="s" ph="1">
        <v>425</v>
      </c>
      <c r="AN89" s="64" t="s" ph="1">
        <v>228</v>
      </c>
      <c r="AO89" s="64" t="s" ph="1">
        <v>259</v>
      </c>
      <c r="AP89" s="64" t="s" ph="1">
        <v>426</v>
      </c>
      <c r="AQ89" s="64" t="s" ph="1">
        <v>237</v>
      </c>
      <c r="AR89" s="64" t="s" ph="1">
        <v>259</v>
      </c>
      <c r="AS89" s="64" t="s" ph="1">
        <v>427</v>
      </c>
      <c r="AT89" s="64" t="s" ph="1">
        <v>272</v>
      </c>
      <c r="AU89" s="64" t="s" ph="1">
        <v>259</v>
      </c>
      <c r="AV89" s="64" t="s" ph="1">
        <v>428</v>
      </c>
      <c r="AW89" s="64" t="s" ph="1">
        <v>254</v>
      </c>
      <c r="AX89" s="64" t="s" ph="1">
        <v>287</v>
      </c>
    </row>
    <row r="90" spans="34:52" ph="1">
      <c r="AJ90" s="64" t="s" ph="1">
        <v>429</v>
      </c>
      <c r="AK90" s="64" t="s" ph="1">
        <v>228</v>
      </c>
      <c r="AM90" s="64" t="s" ph="1">
        <v>430</v>
      </c>
      <c r="AN90" s="64" t="s" ph="1">
        <v>225</v>
      </c>
      <c r="AO90" s="64" t="s" ph="1">
        <v>259</v>
      </c>
      <c r="AP90" s="64" t="s" ph="1">
        <v>431</v>
      </c>
      <c r="AQ90" s="64" t="s" ph="1">
        <v>294</v>
      </c>
      <c r="AR90" s="64" t="s" ph="1">
        <v>259</v>
      </c>
      <c r="AS90" s="64" t="s" ph="1">
        <v>432</v>
      </c>
      <c r="AT90" s="64" t="s" ph="1">
        <v>282</v>
      </c>
      <c r="AU90" s="64" t="s" ph="1">
        <v>259</v>
      </c>
      <c r="AV90" s="64" t="s" ph="1">
        <v>433</v>
      </c>
      <c r="AW90" s="64" t="s" ph="1">
        <v>219</v>
      </c>
      <c r="AX90" s="64" t="s" ph="1">
        <v>259</v>
      </c>
    </row>
    <row r="91" spans="34:52" ph="1">
      <c r="AJ91" s="64" t="s" ph="1">
        <v>434</v>
      </c>
      <c r="AK91" s="64" t="s" ph="1">
        <v>272</v>
      </c>
      <c r="AM91" s="64" t="s" ph="1">
        <v>435</v>
      </c>
      <c r="AN91" s="64" t="s" ph="1">
        <v>239</v>
      </c>
      <c r="AO91" s="64" t="s" ph="1">
        <v>259</v>
      </c>
      <c r="AP91" s="64" t="s" ph="1">
        <v>436</v>
      </c>
      <c r="AQ91" s="64" t="s" ph="1">
        <v>219</v>
      </c>
      <c r="AS91" s="64" t="s" ph="1">
        <v>403</v>
      </c>
      <c r="AT91" s="64" t="s" ph="1">
        <v>399</v>
      </c>
      <c r="AU91" s="64" t="s" ph="1">
        <v>400</v>
      </c>
    </row>
    <row r="92" spans="34:52" ph="1">
      <c r="AH92" s="64" ph="1">
        <v>6</v>
      </c>
      <c r="AI92" s="64" t="s" ph="1">
        <v>437</v>
      </c>
      <c r="AJ92" s="64" t="s" ph="1">
        <v>438</v>
      </c>
      <c r="AK92" s="64" t="s" ph="1">
        <v>367</v>
      </c>
      <c r="AM92" s="64" t="s" ph="1">
        <v>439</v>
      </c>
      <c r="AN92" s="64" t="s" ph="1">
        <v>227</v>
      </c>
      <c r="AO92" s="64" t="s" ph="1">
        <v>259</v>
      </c>
      <c r="AP92" s="64" t="s" ph="1">
        <v>440</v>
      </c>
      <c r="AQ92" s="64" t="s" ph="1">
        <v>299</v>
      </c>
      <c r="AR92" s="64" t="s" ph="1">
        <v>259</v>
      </c>
      <c r="AS92" s="64" t="s" ph="1">
        <v>441</v>
      </c>
      <c r="AT92" s="64" t="s" ph="1">
        <v>272</v>
      </c>
      <c r="AU92" s="64" t="s" ph="1">
        <v>259</v>
      </c>
      <c r="AV92" s="64" t="s" ph="1">
        <v>442</v>
      </c>
      <c r="AW92" s="64" t="s" ph="1">
        <v>228</v>
      </c>
      <c r="AX92" s="64" t="s" ph="1">
        <v>259</v>
      </c>
      <c r="AY92" s="64" t="s" ph="1">
        <v>216</v>
      </c>
      <c r="AZ92" s="64" t="s" ph="1">
        <v>423</v>
      </c>
    </row>
    <row r="93" spans="34:52" ph="1">
      <c r="AJ93" s="64" t="s" ph="1">
        <v>443</v>
      </c>
      <c r="AK93" s="64" t="s" ph="1">
        <v>222</v>
      </c>
      <c r="AM93" s="64" t="s" ph="1">
        <v>444</v>
      </c>
      <c r="AN93" s="64" t="s" ph="1">
        <v>227</v>
      </c>
      <c r="AO93" s="64" t="s" ph="1">
        <v>259</v>
      </c>
      <c r="AP93" s="64" t="s" ph="1">
        <v>445</v>
      </c>
      <c r="AQ93" s="64" t="s" ph="1">
        <v>231</v>
      </c>
      <c r="AR93" s="64" t="s" ph="1">
        <v>259</v>
      </c>
      <c r="AS93" s="64" t="s" ph="1">
        <v>446</v>
      </c>
      <c r="AT93" s="64" t="s" ph="1">
        <v>237</v>
      </c>
      <c r="AU93" s="64" t="s" ph="1">
        <v>259</v>
      </c>
      <c r="AV93" s="64" t="s" ph="1">
        <v>447</v>
      </c>
      <c r="AW93" s="64" t="s" ph="1">
        <v>231</v>
      </c>
      <c r="AX93" s="64" t="s" ph="1">
        <v>259</v>
      </c>
    </row>
    <row r="94" spans="34:52" ph="1">
      <c r="AJ94" s="64" t="s" ph="1">
        <v>448</v>
      </c>
      <c r="AK94" s="64" t="s" ph="1">
        <v>294</v>
      </c>
      <c r="AM94" s="64" t="s" ph="1">
        <v>449</v>
      </c>
      <c r="AN94" s="64" t="s" ph="1">
        <v>231</v>
      </c>
      <c r="AO94" s="64" t="s" ph="1">
        <v>259</v>
      </c>
      <c r="AP94" s="64" t="s" ph="1">
        <v>450</v>
      </c>
      <c r="AQ94" s="64" t="s" ph="1">
        <v>239</v>
      </c>
      <c r="AR94" s="64" t="s" ph="1">
        <v>259</v>
      </c>
      <c r="AS94" s="64" t="s" ph="1">
        <v>451</v>
      </c>
      <c r="AT94" s="64" t="s" ph="1">
        <v>225</v>
      </c>
      <c r="AU94" s="64" t="s" ph="1">
        <v>259</v>
      </c>
      <c r="AV94" s="64" t="s" ph="1">
        <v>452</v>
      </c>
      <c r="AW94" s="64" t="s" ph="1">
        <v>225</v>
      </c>
      <c r="AX94" s="64" t="s" ph="1">
        <v>259</v>
      </c>
    </row>
    <row r="95" spans="34:52" ph="1">
      <c r="AJ95" s="64" t="s" ph="1">
        <v>453</v>
      </c>
      <c r="AK95" s="64" t="s" ph="1">
        <v>299</v>
      </c>
    </row>
    <row r="96" spans="34:52" ph="1">
      <c r="AH96" s="64" ph="1">
        <v>7</v>
      </c>
      <c r="AI96" s="64" t="s" ph="1">
        <v>454</v>
      </c>
      <c r="AJ96" s="64" t="s" ph="1">
        <v>453</v>
      </c>
      <c r="AK96" s="64" t="s" ph="1">
        <v>254</v>
      </c>
      <c r="AM96" s="64" t="s" ph="1">
        <v>455</v>
      </c>
      <c r="AN96" s="64" t="s" ph="1">
        <v>228</v>
      </c>
      <c r="AO96" s="64" t="s" ph="1">
        <v>259</v>
      </c>
      <c r="AP96" s="64" t="s" ph="1">
        <v>456</v>
      </c>
      <c r="AQ96" s="64" t="s" ph="1">
        <v>272</v>
      </c>
      <c r="AR96" s="64" t="s" ph="1">
        <v>287</v>
      </c>
      <c r="AS96" s="64" t="s" ph="1">
        <v>457</v>
      </c>
      <c r="AT96" s="64" t="s" ph="1">
        <v>231</v>
      </c>
      <c r="AU96" s="64" t="s" ph="1">
        <v>287</v>
      </c>
      <c r="AV96" s="64" t="s" ph="1">
        <v>458</v>
      </c>
      <c r="AW96" s="64" t="s" ph="1">
        <v>227</v>
      </c>
      <c r="AX96" s="64" t="s" ph="1">
        <v>287</v>
      </c>
      <c r="AY96" s="64" t="s" ph="1">
        <v>216</v>
      </c>
      <c r="AZ96" s="64" t="s" ph="1">
        <v>459</v>
      </c>
    </row>
    <row r="97" spans="33:52" ph="1">
      <c r="AJ97" s="64" t="s" ph="1">
        <v>460</v>
      </c>
      <c r="AK97" s="64" t="s" ph="1">
        <v>282</v>
      </c>
      <c r="AM97" s="64" t="s" ph="1">
        <v>461</v>
      </c>
      <c r="AN97" s="64" t="s" ph="1">
        <v>225</v>
      </c>
      <c r="AO97" s="64" t="s" ph="1">
        <v>259</v>
      </c>
      <c r="AP97" s="64" t="s" ph="1">
        <v>462</v>
      </c>
      <c r="AQ97" s="64" t="s" ph="1">
        <v>219</v>
      </c>
      <c r="AR97" s="64" t="s" ph="1">
        <v>287</v>
      </c>
      <c r="AS97" s="64" t="s" ph="1">
        <v>463</v>
      </c>
      <c r="AT97" s="64" t="s" ph="1">
        <v>222</v>
      </c>
      <c r="AU97" s="64" t="s" ph="1">
        <v>287</v>
      </c>
      <c r="AV97" s="64" t="s" ph="1">
        <v>464</v>
      </c>
      <c r="AW97" s="64" t="s" ph="1">
        <v>228</v>
      </c>
      <c r="AX97" s="64" t="s" ph="1">
        <v>287</v>
      </c>
    </row>
    <row r="98" spans="33:52" ph="1">
      <c r="AJ98" s="64" t="s" ph="1">
        <v>465</v>
      </c>
      <c r="AK98" s="64" t="s" ph="1">
        <v>231</v>
      </c>
      <c r="AM98" s="64" t="s" ph="1">
        <v>466</v>
      </c>
      <c r="AN98" s="64" t="s" ph="1">
        <v>239</v>
      </c>
      <c r="AO98" s="64" t="s" ph="1">
        <v>259</v>
      </c>
      <c r="AP98" s="64" t="s" ph="1">
        <v>467</v>
      </c>
      <c r="AQ98" s="64" t="s" ph="1">
        <v>219</v>
      </c>
      <c r="AR98" s="64" t="s" ph="1">
        <v>287</v>
      </c>
      <c r="AS98" s="64" t="s" ph="1">
        <v>468</v>
      </c>
      <c r="AT98" s="64" t="s" ph="1">
        <v>299</v>
      </c>
      <c r="AU98" s="64" t="s" ph="1">
        <v>287</v>
      </c>
      <c r="AV98" s="64" t="s" ph="1">
        <v>469</v>
      </c>
      <c r="AW98" s="64" t="s" ph="1">
        <v>222</v>
      </c>
      <c r="AX98" s="64" t="s" ph="1">
        <v>287</v>
      </c>
    </row>
    <row r="99" spans="33:52" ph="1">
      <c r="AH99" s="64" ph="1">
        <v>8</v>
      </c>
      <c r="AI99" s="64" t="s" ph="1">
        <v>470</v>
      </c>
      <c r="AJ99" s="64" t="s" ph="1">
        <v>471</v>
      </c>
      <c r="AK99" s="64" t="s" ph="1">
        <v>367</v>
      </c>
      <c r="AM99" s="64" t="s" ph="1">
        <v>472</v>
      </c>
      <c r="AN99" s="64" t="s" ph="1">
        <v>254</v>
      </c>
      <c r="AO99" s="64" t="s" ph="1">
        <v>259</v>
      </c>
      <c r="AP99" s="64" t="s" ph="1">
        <v>473</v>
      </c>
      <c r="AQ99" s="64" t="s" ph="1">
        <v>224</v>
      </c>
      <c r="AR99" s="64" t="s" ph="1">
        <v>287</v>
      </c>
      <c r="AS99" s="64" t="s" ph="1">
        <v>474</v>
      </c>
      <c r="AT99" s="64" t="s" ph="1">
        <v>239</v>
      </c>
      <c r="AU99" s="64" t="s" ph="1">
        <v>287</v>
      </c>
      <c r="AV99" s="64" t="s" ph="1">
        <v>475</v>
      </c>
      <c r="AW99" s="64" t="s" ph="1">
        <v>224</v>
      </c>
      <c r="AX99" s="64" t="s" ph="1">
        <v>287</v>
      </c>
      <c r="AY99" s="64" t="s" ph="1">
        <v>216</v>
      </c>
      <c r="AZ99" s="64" t="s" ph="1">
        <v>476</v>
      </c>
    </row>
    <row r="100" spans="33:52" ph="1">
      <c r="AJ100" s="64" t="s" ph="1">
        <v>477</v>
      </c>
      <c r="AK100" s="64" t="s" ph="1">
        <v>222</v>
      </c>
      <c r="AM100" s="64" t="s" ph="1">
        <v>478</v>
      </c>
      <c r="AN100" s="64" t="s" ph="1">
        <v>294</v>
      </c>
      <c r="AO100" s="64" t="s" ph="1">
        <v>259</v>
      </c>
      <c r="AP100" s="64" t="s" ph="1">
        <v>479</v>
      </c>
      <c r="AQ100" s="64" t="s" ph="1">
        <v>300</v>
      </c>
      <c r="AR100" s="64" t="s" ph="1">
        <v>287</v>
      </c>
      <c r="AS100" s="64" t="s" ph="1">
        <v>480</v>
      </c>
      <c r="AT100" s="64" t="s" ph="1">
        <v>367</v>
      </c>
      <c r="AU100" s="64" t="s" ph="1">
        <v>259</v>
      </c>
      <c r="AV100" s="64" t="s" ph="1">
        <v>481</v>
      </c>
      <c r="AW100" s="64" t="s" ph="1">
        <v>367</v>
      </c>
      <c r="AX100" s="64" t="s" ph="1">
        <v>259</v>
      </c>
    </row>
    <row r="101" spans="33:52" ph="1">
      <c r="AJ101" s="64" t="s" ph="1">
        <v>482</v>
      </c>
      <c r="AK101" s="64" t="s" ph="1">
        <v>367</v>
      </c>
      <c r="AM101" s="64" t="s" ph="1">
        <v>483</v>
      </c>
      <c r="AN101" s="64" t="s" ph="1">
        <v>225</v>
      </c>
      <c r="AO101" s="64" t="s" ph="1">
        <v>259</v>
      </c>
      <c r="AP101" s="64" t="s" ph="1">
        <v>484</v>
      </c>
      <c r="AQ101" s="64" t="s" ph="1">
        <v>237</v>
      </c>
      <c r="AR101" s="64" t="s" ph="1">
        <v>287</v>
      </c>
      <c r="AS101" s="64" t="s" ph="1">
        <v>485</v>
      </c>
      <c r="AT101" s="64" t="s" ph="1">
        <v>294</v>
      </c>
      <c r="AU101" s="64" t="s" ph="1">
        <v>287</v>
      </c>
      <c r="AV101" s="64" t="s" ph="1">
        <v>486</v>
      </c>
      <c r="AW101" s="64" t="s" ph="1">
        <v>225</v>
      </c>
      <c r="AX101" s="64" t="s" ph="1">
        <v>259</v>
      </c>
    </row>
    <row r="102" spans="33:52" ph="1">
      <c r="AJ102" s="64" t="s" ph="1">
        <v>487</v>
      </c>
      <c r="AK102" s="64" t="s" ph="1">
        <v>222</v>
      </c>
      <c r="AM102" s="64" t="s" ph="1">
        <v>488</v>
      </c>
      <c r="AN102" s="64" t="s" ph="1">
        <v>231</v>
      </c>
      <c r="AO102" s="64" t="s" ph="1">
        <v>259</v>
      </c>
      <c r="AP102" s="64" t="s" ph="1">
        <v>489</v>
      </c>
      <c r="AQ102" s="64" t="s" ph="1">
        <v>237</v>
      </c>
      <c r="AR102" s="64" t="s" ph="1">
        <v>259</v>
      </c>
      <c r="AS102" s="64" t="s" ph="1">
        <v>490</v>
      </c>
      <c r="AT102" s="64" t="s" ph="1">
        <v>254</v>
      </c>
      <c r="AU102" s="64" t="s" ph="1">
        <v>259</v>
      </c>
      <c r="AV102" s="64" t="s" ph="1">
        <v>491</v>
      </c>
      <c r="AW102" s="64" t="s" ph="1">
        <v>272</v>
      </c>
      <c r="AX102" s="64" t="s" ph="1">
        <v>259</v>
      </c>
    </row>
    <row r="103" spans="33:52" ph="1">
      <c r="AH103" s="64" ph="1">
        <v>9</v>
      </c>
      <c r="AI103" s="64" t="s" ph="1">
        <v>492</v>
      </c>
      <c r="AJ103" s="64" t="s" ph="1">
        <v>493</v>
      </c>
      <c r="AK103" s="64" t="s" ph="1">
        <v>367</v>
      </c>
      <c r="AM103" s="64" t="s" ph="1">
        <v>494</v>
      </c>
      <c r="AN103" s="64" t="s" ph="1">
        <v>282</v>
      </c>
      <c r="AO103" s="64" t="s" ph="1">
        <v>259</v>
      </c>
      <c r="AP103" s="64" t="s" ph="1">
        <v>336</v>
      </c>
      <c r="AQ103" s="64" t="s" ph="1">
        <v>225</v>
      </c>
      <c r="AR103" s="64" t="s" ph="1">
        <v>259</v>
      </c>
      <c r="AS103" s="64" t="s" ph="1">
        <v>570</v>
      </c>
      <c r="AT103" s="64" t="s" ph="1">
        <v>367</v>
      </c>
      <c r="AU103" s="64" t="s" ph="1">
        <v>259</v>
      </c>
      <c r="AY103" s="64" t="s" ph="1">
        <v>216</v>
      </c>
      <c r="AZ103" s="64" t="s" ph="1">
        <v>224</v>
      </c>
    </row>
    <row r="104" spans="33:52" ph="1">
      <c r="AZ104" s="64" t="s" ph="1">
        <v>495</v>
      </c>
    </row>
    <row r="105" spans="33:52" ph="1">
      <c r="AG105" s="64" t="s" ph="1">
        <v>295</v>
      </c>
      <c r="AI105" s="64" t="s" ph="1">
        <v>209</v>
      </c>
      <c r="AJ105" s="64" t="s" ph="1">
        <v>210</v>
      </c>
      <c r="AK105" s="64" t="s" ph="1">
        <v>211</v>
      </c>
      <c r="AM105" s="64" t="s" ph="1">
        <v>210</v>
      </c>
      <c r="AN105" s="64" t="s" ph="1">
        <v>211</v>
      </c>
      <c r="AO105" s="64" t="s" ph="1">
        <v>212</v>
      </c>
      <c r="AP105" s="64" t="s" ph="1">
        <v>210</v>
      </c>
      <c r="AQ105" s="64" t="s" ph="1">
        <v>211</v>
      </c>
      <c r="AR105" s="64" t="s" ph="1">
        <v>212</v>
      </c>
      <c r="AS105" s="64" t="s" ph="1">
        <v>210</v>
      </c>
      <c r="AT105" s="64" t="s" ph="1">
        <v>211</v>
      </c>
      <c r="AU105" s="64" t="s" ph="1">
        <v>212</v>
      </c>
      <c r="AV105" s="64" t="s" ph="1">
        <v>210</v>
      </c>
      <c r="AW105" s="64" t="s" ph="1">
        <v>211</v>
      </c>
      <c r="AX105" s="64" t="s" ph="1">
        <v>212</v>
      </c>
      <c r="AZ105" s="64" t="s" ph="1">
        <v>213</v>
      </c>
    </row>
    <row r="106" spans="33:52" ph="1">
      <c r="AH106" s="64" ph="1">
        <v>1</v>
      </c>
      <c r="AI106" s="64" t="s" ph="1">
        <v>496</v>
      </c>
      <c r="AJ106" s="64" t="s" ph="1">
        <v>570</v>
      </c>
      <c r="AK106" s="64" t="s" ph="1">
        <v>231</v>
      </c>
      <c r="AZ106" s="64" t="s" ph="1">
        <v>231</v>
      </c>
    </row>
    <row r="107" spans="33:52" ph="1">
      <c r="AH107" s="64" ph="1">
        <v>2</v>
      </c>
      <c r="AI107" s="64" t="s" ph="1">
        <v>497</v>
      </c>
      <c r="AJ107" s="64" t="s" ph="1">
        <v>498</v>
      </c>
      <c r="AK107" s="64" t="s" ph="1">
        <v>228</v>
      </c>
      <c r="AM107" s="64" t="s" ph="1">
        <v>334</v>
      </c>
      <c r="AN107" s="64" t="s" ph="1">
        <v>499</v>
      </c>
      <c r="AO107" s="64" t="s" ph="1">
        <v>500</v>
      </c>
      <c r="AP107" s="64" t="s" ph="1">
        <v>336</v>
      </c>
      <c r="AQ107" s="64" t="s" ph="1">
        <v>304</v>
      </c>
      <c r="AR107" s="64" t="s" ph="1">
        <v>500</v>
      </c>
      <c r="AS107" s="64" t="s" ph="1">
        <v>570</v>
      </c>
      <c r="AT107" s="64" t="s" ph="1">
        <v>499</v>
      </c>
      <c r="AU107" s="64" t="s" ph="1">
        <v>500</v>
      </c>
      <c r="AY107" s="64" t="s" ph="1">
        <v>216</v>
      </c>
      <c r="AZ107" s="64" t="s" ph="1">
        <v>580</v>
      </c>
    </row>
    <row r="108" spans="33:52" ph="1">
      <c r="AH108" s="64" ph="1">
        <v>3</v>
      </c>
      <c r="AI108" s="64" t="s" ph="1">
        <v>501</v>
      </c>
      <c r="AY108" s="64" t="s" ph="1">
        <v>216</v>
      </c>
      <c r="AZ108" s="64" t="s" ph="1">
        <v>367</v>
      </c>
    </row>
    <row r="109" spans="33:52" ph="1">
      <c r="AH109" s="64" ph="1">
        <v>4</v>
      </c>
      <c r="AI109" s="64" t="s" ph="1">
        <v>502</v>
      </c>
      <c r="AY109" s="64" t="s" ph="1">
        <v>216</v>
      </c>
      <c r="AZ109" s="64" t="s" ph="1">
        <v>367</v>
      </c>
    </row>
    <row r="110" spans="33:52" ph="1">
      <c r="AH110" s="64" ph="1">
        <v>5</v>
      </c>
      <c r="AI110" s="64" t="s" ph="1">
        <v>503</v>
      </c>
      <c r="AY110" s="64" t="s" ph="1">
        <v>216</v>
      </c>
      <c r="AZ110" s="64" t="s" ph="1">
        <v>367</v>
      </c>
    </row>
    <row r="111" spans="33:52" ph="1">
      <c r="AH111" s="64" ph="1">
        <v>6</v>
      </c>
      <c r="AI111" s="64" t="s" ph="1">
        <v>581</v>
      </c>
      <c r="AJ111" s="64" t="s" ph="1">
        <v>486</v>
      </c>
      <c r="AK111" s="64" t="s" ph="1">
        <v>225</v>
      </c>
      <c r="AM111" s="64" t="s" ph="1">
        <v>487</v>
      </c>
      <c r="AN111" s="64" t="s" ph="1">
        <v>219</v>
      </c>
      <c r="AO111" s="64" t="s" ph="1">
        <v>500</v>
      </c>
      <c r="AP111" s="64" t="s" ph="1">
        <v>488</v>
      </c>
      <c r="AQ111" s="64" t="s" ph="1">
        <v>228</v>
      </c>
      <c r="AR111" s="64" t="s" ph="1">
        <v>500</v>
      </c>
      <c r="AS111" s="64" t="s" ph="1">
        <v>489</v>
      </c>
      <c r="AT111" s="64" t="s" ph="1">
        <v>237</v>
      </c>
      <c r="AU111" s="64" t="s" ph="1">
        <v>500</v>
      </c>
      <c r="AV111" s="64" t="s" ph="1">
        <v>490</v>
      </c>
      <c r="AW111" s="64" t="s" ph="1">
        <v>227</v>
      </c>
      <c r="AX111" s="64" t="s" ph="1">
        <v>500</v>
      </c>
      <c r="AY111" s="64" t="s" ph="1">
        <v>216</v>
      </c>
      <c r="AZ111" s="64" t="s" ph="1">
        <v>504</v>
      </c>
    </row>
    <row r="112" spans="33:52" ph="1">
      <c r="AJ112" s="64" t="s" ph="1">
        <v>491</v>
      </c>
      <c r="AK112" s="64" t="s" ph="1">
        <v>272</v>
      </c>
      <c r="AM112" s="64" t="s" ph="1">
        <v>493</v>
      </c>
      <c r="AN112" s="64" t="s" ph="1">
        <v>296</v>
      </c>
      <c r="AO112" s="64" t="s" ph="1">
        <v>500</v>
      </c>
      <c r="AP112" s="64" t="s" ph="1">
        <v>494</v>
      </c>
      <c r="AQ112" s="64" t="s" ph="1">
        <v>505</v>
      </c>
      <c r="AR112" s="64" t="s" ph="1">
        <v>500</v>
      </c>
      <c r="AS112" s="64" t="s" ph="1">
        <v>506</v>
      </c>
      <c r="AT112" s="64" t="s" ph="1">
        <v>248</v>
      </c>
      <c r="AU112" s="64" t="s" ph="1">
        <v>500</v>
      </c>
      <c r="AV112" s="64" t="s" ph="1">
        <v>507</v>
      </c>
      <c r="AW112" s="64" t="s" ph="1">
        <v>294</v>
      </c>
      <c r="AX112" s="64" t="s" ph="1">
        <v>500</v>
      </c>
    </row>
    <row r="113" spans="33:52" ph="1">
      <c r="AH113" s="64" ph="1">
        <v>7</v>
      </c>
      <c r="AI113" s="64" t="s" ph="1">
        <v>508</v>
      </c>
      <c r="AJ113" s="64" t="s" ph="1">
        <v>589</v>
      </c>
      <c r="AK113" s="64" t="s" ph="1">
        <v>594</v>
      </c>
      <c r="AY113" s="64" t="s" ph="1">
        <v>216</v>
      </c>
      <c r="AZ113" s="64" t="s" ph="1">
        <v>594</v>
      </c>
    </row>
    <row r="114" spans="33:52" ph="1">
      <c r="AH114" s="64" ph="1">
        <v>8</v>
      </c>
      <c r="AI114" s="64" t="s" ph="1">
        <v>509</v>
      </c>
      <c r="AJ114" s="64" t="s" ph="1">
        <v>589</v>
      </c>
      <c r="AK114" s="64" t="s" ph="1">
        <v>595</v>
      </c>
      <c r="AY114" s="64" t="s" ph="1">
        <v>216</v>
      </c>
      <c r="AZ114" s="64" t="s" ph="1">
        <v>595</v>
      </c>
    </row>
    <row r="115" spans="33:52" ph="1">
      <c r="AH115" s="64" ph="1">
        <v>9</v>
      </c>
      <c r="AI115" s="64" t="s" ph="1">
        <v>510</v>
      </c>
      <c r="AJ115" s="64" t="s" ph="1">
        <v>589</v>
      </c>
      <c r="AK115" s="64" t="s" ph="1">
        <v>595</v>
      </c>
      <c r="AY115" s="64" t="s" ph="1">
        <v>216</v>
      </c>
      <c r="AZ115" s="64" t="s" ph="1">
        <v>595</v>
      </c>
    </row>
    <row r="116" spans="33:52" ph="1">
      <c r="AH116" s="64" ph="1">
        <v>10</v>
      </c>
      <c r="AI116" s="64" t="s" ph="1">
        <v>511</v>
      </c>
      <c r="AJ116" s="64" t="s" ph="1">
        <v>589</v>
      </c>
      <c r="AK116" s="64" t="s" ph="1">
        <v>595</v>
      </c>
      <c r="AY116" s="64" t="s" ph="1">
        <v>216</v>
      </c>
      <c r="AZ116" s="64" t="s" ph="1">
        <v>595</v>
      </c>
    </row>
    <row r="117" spans="33:52" ph="1">
      <c r="AH117" s="64" ph="1">
        <v>11</v>
      </c>
      <c r="AI117" s="64" t="s" ph="1">
        <v>512</v>
      </c>
      <c r="AJ117" s="64" t="s" ph="1">
        <v>589</v>
      </c>
      <c r="AK117" s="64" t="s" ph="1">
        <v>595</v>
      </c>
      <c r="AY117" s="64" t="s" ph="1">
        <v>216</v>
      </c>
      <c r="AZ117" s="64" t="s" ph="1">
        <v>595</v>
      </c>
    </row>
    <row r="118" spans="33:52" ph="1">
      <c r="AZ118" s="64" t="s" ph="1">
        <v>596</v>
      </c>
    </row>
    <row r="119" spans="33:52" ph="1">
      <c r="AI119" s="64" t="s" ph="1">
        <v>209</v>
      </c>
      <c r="AJ119" s="64" t="s" ph="1">
        <v>210</v>
      </c>
      <c r="AK119" s="64" t="s" ph="1">
        <v>211</v>
      </c>
      <c r="AM119" s="64" t="s" ph="1">
        <v>210</v>
      </c>
      <c r="AN119" s="64" t="s" ph="1">
        <v>211</v>
      </c>
      <c r="AO119" s="64" t="s" ph="1">
        <v>212</v>
      </c>
      <c r="AP119" s="64" t="s" ph="1">
        <v>210</v>
      </c>
      <c r="AQ119" s="64" t="s" ph="1">
        <v>211</v>
      </c>
      <c r="AR119" s="64" t="s" ph="1">
        <v>212</v>
      </c>
      <c r="AS119" s="64" t="s" ph="1">
        <v>210</v>
      </c>
      <c r="AT119" s="64" t="s" ph="1">
        <v>211</v>
      </c>
      <c r="AU119" s="64" t="s" ph="1">
        <v>212</v>
      </c>
      <c r="AV119" s="64" t="s" ph="1">
        <v>210</v>
      </c>
      <c r="AW119" s="64" t="s" ph="1">
        <v>211</v>
      </c>
      <c r="AX119" s="64" t="s" ph="1">
        <v>212</v>
      </c>
      <c r="AY119" s="64" t="s" ph="1">
        <v>211</v>
      </c>
      <c r="AZ119" s="64" t="s" ph="1">
        <v>213</v>
      </c>
    </row>
    <row r="120" spans="33:52" ph="1">
      <c r="AG120" s="64" t="s" ph="1">
        <v>353</v>
      </c>
      <c r="AH120" s="64" ph="1">
        <v>1</v>
      </c>
      <c r="AI120" s="64" t="s" ph="1">
        <v>513</v>
      </c>
      <c r="AJ120" s="64" t="s" ph="1">
        <v>587</v>
      </c>
      <c r="AK120" s="64" t="s" ph="1">
        <v>367</v>
      </c>
      <c r="AY120" s="64" t="s" ph="1">
        <v>216</v>
      </c>
      <c r="AZ120" s="64" t="s" ph="1">
        <v>367</v>
      </c>
    </row>
    <row r="121" spans="33:52" ph="1">
      <c r="AH121" s="64" ph="1">
        <v>2</v>
      </c>
      <c r="AI121" s="64" t="s" ph="1">
        <v>514</v>
      </c>
      <c r="AY121" s="64" t="s" ph="1">
        <v>216</v>
      </c>
      <c r="AZ121" s="64" t="s" ph="1">
        <v>367</v>
      </c>
    </row>
    <row r="122" spans="33:52" ph="1">
      <c r="AH122" s="64" ph="1">
        <v>3</v>
      </c>
      <c r="AI122" s="64" t="s" ph="1">
        <v>515</v>
      </c>
      <c r="AJ122" s="64" t="s" ph="1">
        <v>570</v>
      </c>
      <c r="AK122" s="64" t="s" ph="1">
        <v>582</v>
      </c>
      <c r="AM122" s="64" t="s" ph="1">
        <v>597</v>
      </c>
      <c r="AN122" s="64" t="s" ph="1">
        <v>590</v>
      </c>
      <c r="AO122" s="64" t="s" ph="1">
        <v>91</v>
      </c>
      <c r="AY122" s="64" t="s" ph="1">
        <v>216</v>
      </c>
      <c r="AZ122" s="64" t="s" ph="1">
        <v>579</v>
      </c>
    </row>
    <row r="123" spans="33:52" ph="1">
      <c r="AY123" s="64" t="s" ph="1">
        <v>216</v>
      </c>
      <c r="AZ123" s="64" t="s" ph="1">
        <v>579</v>
      </c>
    </row>
    <row r="124" spans="33:52" ph="1">
      <c r="AG124" s="64" t="s" ph="1">
        <v>356</v>
      </c>
      <c r="AH124" s="64" ph="1">
        <v>4</v>
      </c>
      <c r="AI124" s="64" t="s" ph="1">
        <v>516</v>
      </c>
      <c r="AJ124" s="64" t="s" ph="1">
        <v>517</v>
      </c>
      <c r="AK124" s="64" t="s" ph="1">
        <v>518</v>
      </c>
      <c r="AY124" s="64" t="s" ph="1">
        <v>216</v>
      </c>
      <c r="AZ124" s="64" t="s" ph="1">
        <v>518</v>
      </c>
    </row>
    <row r="125" spans="33:52" ph="1">
      <c r="AH125" s="64" ph="1">
        <v>5</v>
      </c>
      <c r="AI125" s="64" t="s" ph="1">
        <v>519</v>
      </c>
      <c r="AJ125" s="64" t="s" ph="1">
        <v>517</v>
      </c>
      <c r="AK125" s="64" t="s" ph="1">
        <v>518</v>
      </c>
      <c r="AY125" s="64" t="s" ph="1">
        <v>216</v>
      </c>
      <c r="AZ125" s="64" t="s" ph="1">
        <v>518</v>
      </c>
    </row>
    <row r="126" spans="33:52" ph="1">
      <c r="AH126" s="64" ph="1">
        <v>6</v>
      </c>
      <c r="AI126" s="64" t="s" ph="1">
        <v>520</v>
      </c>
      <c r="AJ126" s="64" t="s" ph="1">
        <v>589</v>
      </c>
      <c r="AK126" s="64" t="s" ph="1">
        <v>598</v>
      </c>
      <c r="AY126" s="64" t="s" ph="1">
        <v>216</v>
      </c>
      <c r="AZ126" s="64" t="s" ph="1">
        <v>598</v>
      </c>
    </row>
    <row r="127" spans="33:52" ph="1">
      <c r="AH127" s="64" ph="1">
        <v>7</v>
      </c>
      <c r="AI127" s="64" t="s" ph="1">
        <v>521</v>
      </c>
      <c r="AJ127" s="64" t="s" ph="1">
        <v>589</v>
      </c>
      <c r="AK127" s="64" t="s" ph="1">
        <v>599</v>
      </c>
      <c r="AY127" s="64" t="s" ph="1">
        <v>216</v>
      </c>
      <c r="AZ127" s="64" t="s" ph="1">
        <v>599</v>
      </c>
    </row>
    <row r="128" spans="33:52" ph="1">
      <c r="AH128" s="64" ph="1">
        <v>8</v>
      </c>
      <c r="AI128" s="64" t="s" ph="1">
        <v>522</v>
      </c>
      <c r="AY128" s="64" t="s" ph="1">
        <v>216</v>
      </c>
      <c r="AZ128" s="64" t="s" ph="1">
        <v>367</v>
      </c>
    </row>
    <row r="129" spans="33:52" ph="1">
      <c r="AH129" s="64" ph="1">
        <v>9</v>
      </c>
      <c r="AI129" s="64" t="s" ph="1">
        <v>523</v>
      </c>
      <c r="AY129" s="64" t="s" ph="1">
        <v>216</v>
      </c>
      <c r="AZ129" s="64" t="s" ph="1">
        <v>367</v>
      </c>
    </row>
    <row r="130" spans="33:52" ph="1">
      <c r="AH130" s="64" ph="1">
        <v>10</v>
      </c>
      <c r="AI130" s="64" t="s" ph="1">
        <v>524</v>
      </c>
      <c r="AY130" s="64" t="s" ph="1">
        <v>216</v>
      </c>
      <c r="AZ130" s="64" t="s" ph="1">
        <v>367</v>
      </c>
    </row>
    <row r="131" spans="33:52" ph="1">
      <c r="AH131" s="64" ph="1">
        <v>11</v>
      </c>
      <c r="AI131" s="64" t="s" ph="1">
        <v>525</v>
      </c>
      <c r="AJ131" s="64" t="s" ph="1">
        <v>583</v>
      </c>
      <c r="AK131" s="64" t="s" ph="1">
        <v>579</v>
      </c>
      <c r="AY131" s="64" t="s" ph="1">
        <v>216</v>
      </c>
      <c r="AZ131" s="64" t="s" ph="1">
        <v>579</v>
      </c>
    </row>
    <row r="132" spans="33:52" ph="1">
      <c r="AH132" s="64" ph="1">
        <v>12</v>
      </c>
      <c r="AI132" s="64" t="s" ph="1">
        <v>526</v>
      </c>
      <c r="AJ132" s="64" t="s" ph="1">
        <v>583</v>
      </c>
      <c r="AK132" s="64" t="s" ph="1">
        <v>518</v>
      </c>
      <c r="AY132" s="64" t="s" ph="1">
        <v>216</v>
      </c>
      <c r="AZ132" s="64" t="s" ph="1">
        <v>518</v>
      </c>
    </row>
    <row r="133" spans="33:52" ph="1">
      <c r="AH133" s="64" ph="1">
        <v>13</v>
      </c>
      <c r="AI133" s="64" t="s" ph="1">
        <v>527</v>
      </c>
      <c r="AJ133" s="64" t="s" ph="1">
        <v>583</v>
      </c>
      <c r="AK133" s="64" t="s" ph="1">
        <v>584</v>
      </c>
      <c r="AY133" s="64" t="s" ph="1">
        <v>216</v>
      </c>
      <c r="AZ133" s="64" t="s" ph="1">
        <v>584</v>
      </c>
    </row>
    <row r="134" spans="33:52" ph="1">
      <c r="AH134" s="64" ph="1">
        <v>14</v>
      </c>
      <c r="AI134" s="64" t="s" ph="1">
        <v>528</v>
      </c>
      <c r="AJ134" s="64" t="s" ph="1">
        <v>583</v>
      </c>
      <c r="AK134" s="64" t="s" ph="1">
        <v>585</v>
      </c>
      <c r="AY134" s="64" t="s" ph="1">
        <v>216</v>
      </c>
      <c r="AZ134" s="64" t="s" ph="1">
        <v>585</v>
      </c>
    </row>
    <row r="135" spans="33:52" ph="1">
      <c r="AH135" s="64" ph="1">
        <v>15</v>
      </c>
      <c r="AI135" s="64" t="s" ph="1">
        <v>529</v>
      </c>
      <c r="AJ135" s="64" t="s" ph="1">
        <v>583</v>
      </c>
      <c r="AK135" s="64" t="s" ph="1">
        <v>586</v>
      </c>
      <c r="AY135" s="64" t="s" ph="1">
        <v>216</v>
      </c>
      <c r="AZ135" s="64" t="s" ph="1">
        <v>586</v>
      </c>
    </row>
    <row r="136" spans="33:52" ph="1">
      <c r="AZ136" s="64" t="s" ph="1">
        <v>600</v>
      </c>
    </row>
    <row r="137" spans="33:52" ph="1">
      <c r="AG137" s="64" t="s" ph="1">
        <v>290</v>
      </c>
      <c r="AI137" s="64" t="s" ph="1">
        <v>209</v>
      </c>
      <c r="AJ137" s="64" t="s" ph="1">
        <v>210</v>
      </c>
      <c r="AK137" s="64" t="s" ph="1">
        <v>211</v>
      </c>
      <c r="AM137" s="64" t="s" ph="1">
        <v>210</v>
      </c>
      <c r="AN137" s="64" t="s" ph="1">
        <v>211</v>
      </c>
      <c r="AO137" s="64" t="s" ph="1">
        <v>212</v>
      </c>
      <c r="AP137" s="64" t="s" ph="1">
        <v>210</v>
      </c>
      <c r="AQ137" s="64" t="s" ph="1">
        <v>211</v>
      </c>
      <c r="AR137" s="64" t="s" ph="1">
        <v>212</v>
      </c>
      <c r="AS137" s="64" t="s" ph="1">
        <v>210</v>
      </c>
      <c r="AT137" s="64" t="s" ph="1">
        <v>211</v>
      </c>
      <c r="AU137" s="64" t="s" ph="1">
        <v>212</v>
      </c>
      <c r="AV137" s="64" t="s" ph="1">
        <v>210</v>
      </c>
      <c r="AW137" s="64" t="s" ph="1">
        <v>211</v>
      </c>
      <c r="AX137" s="64" t="s" ph="1">
        <v>212</v>
      </c>
      <c r="AY137" s="64" t="s" ph="1">
        <v>211</v>
      </c>
      <c r="AZ137" s="64" t="s" ph="1">
        <v>213</v>
      </c>
    </row>
    <row r="138" spans="33:52" ph="1">
      <c r="AH138" s="64" ph="1">
        <v>1</v>
      </c>
      <c r="AI138" s="64" t="s" ph="1">
        <v>530</v>
      </c>
      <c r="AJ138" s="64" t="s" ph="1">
        <v>531</v>
      </c>
      <c r="AK138" s="64" t="s" ph="1">
        <v>532</v>
      </c>
      <c r="AY138" s="64" t="s" ph="1">
        <v>216</v>
      </c>
      <c r="AZ138" s="64" t="s" ph="1">
        <v>532</v>
      </c>
    </row>
    <row r="139" spans="33:52" ph="1">
      <c r="AH139" s="64" ph="1">
        <v>2</v>
      </c>
      <c r="AI139" s="64" t="s" ph="1">
        <v>533</v>
      </c>
      <c r="AJ139" s="64" t="s" ph="1">
        <v>589</v>
      </c>
      <c r="AK139" s="64" t="s" ph="1">
        <v>601</v>
      </c>
      <c r="AY139" s="64" t="s" ph="1">
        <v>216</v>
      </c>
      <c r="AZ139" s="64" t="s" ph="1">
        <v>601</v>
      </c>
    </row>
    <row r="140" spans="33:52" ph="1">
      <c r="AH140" s="64" ph="1">
        <v>3</v>
      </c>
      <c r="AI140" s="64" t="s" ph="1">
        <v>534</v>
      </c>
      <c r="AJ140" s="64" t="s" ph="1">
        <v>487</v>
      </c>
      <c r="AK140" s="64" t="s" ph="1">
        <v>299</v>
      </c>
      <c r="AM140" s="64" t="s" ph="1">
        <v>488</v>
      </c>
      <c r="AN140" s="64" t="s" ph="1">
        <v>219</v>
      </c>
      <c r="AO140" s="64" t="s" ph="1">
        <v>535</v>
      </c>
      <c r="AP140" s="64" t="s" ph="1">
        <v>489</v>
      </c>
      <c r="AQ140" s="64" t="s" ph="1">
        <v>236</v>
      </c>
      <c r="AR140" s="64" t="s" ph="1">
        <v>535</v>
      </c>
      <c r="AS140" s="64" t="s" ph="1">
        <v>490</v>
      </c>
      <c r="AT140" s="64" t="s" ph="1">
        <v>229</v>
      </c>
      <c r="AU140" s="64" t="s" ph="1">
        <v>535</v>
      </c>
      <c r="AV140" s="64" t="s" ph="1">
        <v>491</v>
      </c>
      <c r="AW140" s="64" t="s" ph="1">
        <v>222</v>
      </c>
      <c r="AX140" s="64" t="s" ph="1">
        <v>535</v>
      </c>
      <c r="AY140" s="64" t="s" ph="1">
        <v>216</v>
      </c>
      <c r="AZ140" s="64" t="s" ph="1">
        <v>291</v>
      </c>
    </row>
    <row r="141" spans="33:52" ph="1">
      <c r="AJ141" s="64" t="s" ph="1">
        <v>493</v>
      </c>
      <c r="AK141" s="64" t="s" ph="1">
        <v>222</v>
      </c>
      <c r="AM141" s="64" t="s" ph="1">
        <v>494</v>
      </c>
      <c r="AN141" s="64" t="s" ph="1">
        <v>225</v>
      </c>
      <c r="AO141" s="64" t="s" ph="1">
        <v>535</v>
      </c>
      <c r="AP141" s="64" t="s" ph="1">
        <v>506</v>
      </c>
      <c r="AQ141" s="64" t="s" ph="1">
        <v>294</v>
      </c>
      <c r="AR141" s="64" t="s" ph="1">
        <v>535</v>
      </c>
      <c r="AS141" s="64" t="s" ph="1">
        <v>498</v>
      </c>
      <c r="AT141" s="64" t="s" ph="1">
        <v>222</v>
      </c>
      <c r="AU141" s="64" t="s" ph="1">
        <v>535</v>
      </c>
      <c r="AV141" s="64" t="s" ph="1">
        <v>334</v>
      </c>
      <c r="AW141" s="64" t="s" ph="1">
        <v>228</v>
      </c>
      <c r="AX141" s="64" t="s" ph="1">
        <v>535</v>
      </c>
    </row>
    <row r="142" spans="33:52" ph="1">
      <c r="AJ142" s="64" t="s" ph="1">
        <v>536</v>
      </c>
      <c r="AK142" s="64" t="s" ph="1">
        <v>239</v>
      </c>
    </row>
    <row r="143" spans="33:52" ph="1">
      <c r="AH143" s="64" ph="1">
        <v>4</v>
      </c>
      <c r="AI143" s="64" t="s" ph="1">
        <v>537</v>
      </c>
      <c r="AJ143" s="64" t="s" ph="1">
        <v>517</v>
      </c>
      <c r="AK143" s="64" t="s" ph="1">
        <v>538</v>
      </c>
      <c r="AY143" s="64" t="s" ph="1">
        <v>216</v>
      </c>
      <c r="AZ143" s="64" t="s" ph="1">
        <v>538</v>
      </c>
    </row>
    <row r="144" spans="33:52" ph="1">
      <c r="AH144" s="64" ph="1">
        <v>5</v>
      </c>
      <c r="AI144" s="64" t="s" ph="1">
        <v>539</v>
      </c>
      <c r="AY144" s="64" t="s" ph="1">
        <v>216</v>
      </c>
      <c r="AZ144" s="64" t="s" ph="1">
        <v>367</v>
      </c>
    </row>
    <row r="145" spans="33:52" ph="1">
      <c r="AH145" s="64" ph="1">
        <v>6</v>
      </c>
      <c r="AI145" s="64" t="s" ph="1">
        <v>540</v>
      </c>
      <c r="AY145" s="64" t="s" ph="1">
        <v>216</v>
      </c>
      <c r="AZ145" s="64" t="s" ph="1">
        <v>367</v>
      </c>
    </row>
    <row r="146" spans="33:52" ph="1">
      <c r="AH146" s="64" ph="1">
        <v>7</v>
      </c>
      <c r="AI146" s="64" t="s" ph="1">
        <v>541</v>
      </c>
      <c r="AY146" s="64" t="s" ph="1">
        <v>216</v>
      </c>
      <c r="AZ146" s="64" t="s" ph="1">
        <v>367</v>
      </c>
    </row>
    <row r="147" spans="33:52" ph="1">
      <c r="AH147" s="64" ph="1">
        <v>8</v>
      </c>
      <c r="AI147" s="64" t="s" ph="1">
        <v>542</v>
      </c>
      <c r="AY147" s="64" t="s" ph="1">
        <v>216</v>
      </c>
      <c r="AZ147" s="64" t="s" ph="1">
        <v>367</v>
      </c>
    </row>
    <row r="148" spans="33:52" ph="1">
      <c r="AH148" s="64" ph="1">
        <v>9</v>
      </c>
      <c r="AI148" s="64" t="s" ph="1">
        <v>543</v>
      </c>
      <c r="AY148" s="64" t="s" ph="1">
        <v>216</v>
      </c>
      <c r="AZ148" s="64" t="s" ph="1">
        <v>367</v>
      </c>
    </row>
    <row r="149" spans="33:52" ph="1">
      <c r="AH149" s="64" ph="1">
        <v>10</v>
      </c>
      <c r="AI149" s="64" t="s" ph="1">
        <v>544</v>
      </c>
      <c r="AY149" s="64" t="s" ph="1">
        <v>216</v>
      </c>
      <c r="AZ149" s="64" t="s" ph="1">
        <v>367</v>
      </c>
    </row>
    <row r="150" spans="33:52" ph="1">
      <c r="AH150" s="64" ph="1">
        <v>11</v>
      </c>
      <c r="AI150" s="64" t="s" ph="1">
        <v>545</v>
      </c>
      <c r="AY150" s="64" t="s" ph="1">
        <v>216</v>
      </c>
      <c r="AZ150" s="64" t="s" ph="1">
        <v>367</v>
      </c>
    </row>
    <row r="151" spans="33:52" ph="1">
      <c r="AH151" s="64" ph="1">
        <v>12</v>
      </c>
      <c r="AI151" s="64" t="s" ph="1">
        <v>546</v>
      </c>
      <c r="AY151" s="64" t="s" ph="1">
        <v>216</v>
      </c>
      <c r="AZ151" s="64" t="s" ph="1">
        <v>367</v>
      </c>
    </row>
    <row r="152" spans="33:52" ph="1">
      <c r="AH152" s="64" ph="1">
        <v>13</v>
      </c>
      <c r="AI152" s="64" t="s" ph="1">
        <v>547</v>
      </c>
      <c r="AY152" s="64" t="s" ph="1">
        <v>216</v>
      </c>
      <c r="AZ152" s="64" t="s" ph="1">
        <v>367</v>
      </c>
    </row>
    <row r="153" spans="33:52" ph="1">
      <c r="AH153" s="64" ph="1">
        <v>14</v>
      </c>
      <c r="AI153" s="64" t="s" ph="1">
        <v>548</v>
      </c>
      <c r="AY153" s="64" t="s" ph="1">
        <v>216</v>
      </c>
      <c r="AZ153" s="64" t="s" ph="1">
        <v>367</v>
      </c>
    </row>
    <row r="154" spans="33:52" ph="1">
      <c r="AH154" s="64" ph="1">
        <v>15</v>
      </c>
      <c r="AI154" s="64" t="s" ph="1">
        <v>549</v>
      </c>
      <c r="AY154" s="64" t="s" ph="1">
        <v>216</v>
      </c>
      <c r="AZ154" s="64" t="s" ph="1">
        <v>367</v>
      </c>
    </row>
    <row r="155" spans="33:52" ph="1">
      <c r="AH155" s="64" ph="1">
        <v>16</v>
      </c>
      <c r="AI155" s="64" t="s" ph="1">
        <v>550</v>
      </c>
      <c r="AJ155" s="64" t="s" ph="1">
        <v>336</v>
      </c>
      <c r="AK155" s="64" t="s" ph="1">
        <v>231</v>
      </c>
      <c r="AM155" s="64" t="s" ph="1">
        <v>570</v>
      </c>
      <c r="AN155" s="64" t="s" ph="1">
        <v>282</v>
      </c>
      <c r="AO155" s="64" t="s" ph="1">
        <v>535</v>
      </c>
      <c r="AY155" s="64" t="s" ph="1">
        <v>216</v>
      </c>
      <c r="AZ155" s="64" t="s" ph="1">
        <v>223</v>
      </c>
    </row>
    <row r="156" spans="33:52" ph="1">
      <c r="AZ156" s="64" t="s" ph="1">
        <v>602</v>
      </c>
    </row>
    <row r="157" spans="33:52" ph="1">
      <c r="AG157" s="64" t="s" ph="1">
        <v>551</v>
      </c>
      <c r="AI157" s="64" t="s" ph="1">
        <v>209</v>
      </c>
      <c r="AJ157" s="64" t="s" ph="1">
        <v>210</v>
      </c>
      <c r="AK157" s="64" t="s" ph="1">
        <v>211</v>
      </c>
      <c r="AM157" s="64" t="s" ph="1">
        <v>210</v>
      </c>
      <c r="AN157" s="64" t="s" ph="1">
        <v>211</v>
      </c>
      <c r="AO157" s="64" t="s" ph="1">
        <v>212</v>
      </c>
      <c r="AP157" s="64" t="s" ph="1">
        <v>210</v>
      </c>
      <c r="AQ157" s="64" t="s" ph="1">
        <v>211</v>
      </c>
      <c r="AR157" s="64" t="s" ph="1">
        <v>212</v>
      </c>
      <c r="AS157" s="64" t="s" ph="1">
        <v>210</v>
      </c>
      <c r="AT157" s="64" t="s" ph="1">
        <v>211</v>
      </c>
      <c r="AU157" s="64" t="s" ph="1">
        <v>212</v>
      </c>
      <c r="AV157" s="64" t="s" ph="1">
        <v>210</v>
      </c>
      <c r="AW157" s="64" t="s" ph="1">
        <v>211</v>
      </c>
      <c r="AX157" s="64" t="s" ph="1">
        <v>212</v>
      </c>
      <c r="AY157" s="64" t="s" ph="1">
        <v>211</v>
      </c>
      <c r="AZ157" s="64" t="s" ph="1">
        <v>213</v>
      </c>
    </row>
    <row r="158" spans="33:52" ph="1">
      <c r="AH158" s="64" ph="1">
        <v>1</v>
      </c>
      <c r="AI158" s="64" t="s" ph="1">
        <v>552</v>
      </c>
      <c r="AY158" s="64" t="s" ph="1">
        <v>216</v>
      </c>
      <c r="AZ158" s="64" t="s" ph="1">
        <v>367</v>
      </c>
    </row>
    <row r="159" spans="33:52" ph="1">
      <c r="AH159" s="64" ph="1">
        <v>2</v>
      </c>
      <c r="AI159" s="64" t="s" ph="1">
        <v>553</v>
      </c>
      <c r="AY159" s="64" t="s" ph="1">
        <v>216</v>
      </c>
      <c r="AZ159" s="64" t="s" ph="1">
        <v>367</v>
      </c>
    </row>
    <row r="160" spans="33:52" ph="1">
      <c r="AZ160" s="64" t="s" ph="1">
        <v>385</v>
      </c>
    </row>
    <row r="161" spans="33:52" ph="1">
      <c r="AG161" s="64" t="s" ph="1">
        <v>361</v>
      </c>
      <c r="AI161" s="64" t="s" ph="1">
        <v>209</v>
      </c>
      <c r="AJ161" s="64" t="s" ph="1">
        <v>210</v>
      </c>
      <c r="AK161" s="64" t="s" ph="1">
        <v>211</v>
      </c>
      <c r="AM161" s="64" t="s" ph="1">
        <v>210</v>
      </c>
      <c r="AN161" s="64" t="s" ph="1">
        <v>211</v>
      </c>
      <c r="AO161" s="64" t="s" ph="1">
        <v>212</v>
      </c>
      <c r="AP161" s="64" t="s" ph="1">
        <v>210</v>
      </c>
      <c r="AQ161" s="64" t="s" ph="1">
        <v>211</v>
      </c>
      <c r="AR161" s="64" t="s" ph="1">
        <v>212</v>
      </c>
      <c r="AS161" s="64" t="s" ph="1">
        <v>210</v>
      </c>
      <c r="AT161" s="64" t="s" ph="1">
        <v>211</v>
      </c>
      <c r="AU161" s="64" t="s" ph="1">
        <v>212</v>
      </c>
      <c r="AV161" s="64" t="s" ph="1">
        <v>210</v>
      </c>
      <c r="AW161" s="64" t="s" ph="1">
        <v>211</v>
      </c>
      <c r="AX161" s="64" t="s" ph="1">
        <v>212</v>
      </c>
      <c r="AY161" s="64" t="s" ph="1">
        <v>211</v>
      </c>
      <c r="AZ161" s="64" t="s" ph="1">
        <v>213</v>
      </c>
    </row>
    <row r="162" spans="33:52" ph="1">
      <c r="AH162" s="64" ph="1">
        <v>1</v>
      </c>
      <c r="AI162" s="64" t="s" ph="1">
        <v>554</v>
      </c>
      <c r="AJ162" s="64" t="s" ph="1">
        <v>555</v>
      </c>
      <c r="AK162" s="64" t="s" ph="1">
        <v>499</v>
      </c>
      <c r="AM162" s="64" t="s" ph="1">
        <v>556</v>
      </c>
      <c r="AN162" s="64" t="s" ph="1">
        <v>220</v>
      </c>
      <c r="AO162" s="64" t="s" ph="1">
        <v>557</v>
      </c>
      <c r="AY162" s="64" t="s" ph="1">
        <v>216</v>
      </c>
      <c r="AZ162" s="64" t="s" ph="1">
        <v>292</v>
      </c>
    </row>
    <row r="163" spans="33:52" ph="1">
      <c r="AH163" s="64" ph="1">
        <v>2</v>
      </c>
      <c r="AI163" s="64" t="s" ph="1">
        <v>558</v>
      </c>
      <c r="AJ163" s="64" t="s" ph="1">
        <v>555</v>
      </c>
      <c r="AK163" s="64" t="s" ph="1">
        <v>388</v>
      </c>
      <c r="AY163" s="64" t="s" ph="1">
        <v>216</v>
      </c>
      <c r="AZ163" s="64" t="s" ph="1">
        <v>388</v>
      </c>
    </row>
    <row r="164" spans="33:52" ph="1">
      <c r="AH164" s="64" ph="1">
        <v>3</v>
      </c>
      <c r="AI164" s="64" t="s" ph="1">
        <v>559</v>
      </c>
      <c r="AJ164" s="64" t="s" ph="1">
        <v>555</v>
      </c>
      <c r="AK164" s="64" t="s" ph="1">
        <v>292</v>
      </c>
      <c r="AY164" s="64" t="s" ph="1">
        <v>216</v>
      </c>
      <c r="AZ164" s="64" t="s" ph="1">
        <v>292</v>
      </c>
    </row>
    <row r="165" spans="33:52" ph="1">
      <c r="AH165" s="64" ph="1">
        <v>4</v>
      </c>
      <c r="AI165" s="64" t="s" ph="1">
        <v>560</v>
      </c>
      <c r="AY165" s="64" t="s" ph="1">
        <v>216</v>
      </c>
      <c r="AZ165" s="64" t="s" ph="1">
        <v>367</v>
      </c>
    </row>
    <row r="166" spans="33:52" ph="1">
      <c r="AH166" s="64" ph="1">
        <v>5</v>
      </c>
      <c r="AI166" s="64" t="s" ph="1">
        <v>561</v>
      </c>
      <c r="AY166" s="64" t="s" ph="1">
        <v>216</v>
      </c>
      <c r="AZ166" s="64" t="s" ph="1">
        <v>367</v>
      </c>
    </row>
    <row r="167" spans="33:52" ph="1">
      <c r="AZ167" s="64" t="s" ph="1">
        <v>562</v>
      </c>
    </row>
    <row r="168" spans="33:52" ph="1">
      <c r="AG168" s="64" t="s" ph="1">
        <v>305</v>
      </c>
      <c r="AI168" s="64" t="s" ph="1">
        <v>209</v>
      </c>
      <c r="AJ168" s="64" t="s" ph="1">
        <v>210</v>
      </c>
      <c r="AK168" s="64" t="s" ph="1">
        <v>211</v>
      </c>
      <c r="AM168" s="64" t="s" ph="1">
        <v>210</v>
      </c>
      <c r="AN168" s="64" t="s" ph="1">
        <v>211</v>
      </c>
      <c r="AO168" s="64" t="s" ph="1">
        <v>212</v>
      </c>
      <c r="AP168" s="64" t="s" ph="1">
        <v>210</v>
      </c>
      <c r="AQ168" s="64" t="s" ph="1">
        <v>211</v>
      </c>
      <c r="AR168" s="64" t="s" ph="1">
        <v>212</v>
      </c>
      <c r="AS168" s="64" t="s" ph="1">
        <v>210</v>
      </c>
      <c r="AT168" s="64" t="s" ph="1">
        <v>211</v>
      </c>
      <c r="AU168" s="64" t="s" ph="1">
        <v>212</v>
      </c>
      <c r="AV168" s="64" t="s" ph="1">
        <v>210</v>
      </c>
      <c r="AW168" s="64" t="s" ph="1">
        <v>211</v>
      </c>
      <c r="AX168" s="64" t="s" ph="1">
        <v>212</v>
      </c>
      <c r="AY168" s="64" t="s" ph="1">
        <v>211</v>
      </c>
      <c r="AZ168" s="64" t="s" ph="1">
        <v>213</v>
      </c>
    </row>
    <row r="169" spans="33:52" ph="1">
      <c r="AH169" s="64" ph="1">
        <v>1</v>
      </c>
      <c r="AI169" s="64" t="s" ph="1">
        <v>563</v>
      </c>
      <c r="AY169" s="64" t="s" ph="1">
        <v>216</v>
      </c>
      <c r="AZ169" s="64" t="s" ph="1">
        <v>367</v>
      </c>
    </row>
    <row r="170" spans="33:52" ph="1">
      <c r="AH170" s="64" ph="1">
        <v>2</v>
      </c>
      <c r="AI170" s="64" t="s" ph="1">
        <v>564</v>
      </c>
      <c r="AY170" s="64" t="s" ph="1">
        <v>216</v>
      </c>
      <c r="AZ170" s="64" t="s" ph="1">
        <v>367</v>
      </c>
    </row>
    <row r="171" spans="33:52" ph="1">
      <c r="AH171" s="64" ph="1">
        <v>3</v>
      </c>
      <c r="AI171" s="64" t="s" ph="1">
        <v>565</v>
      </c>
      <c r="AY171" s="64" t="s" ph="1">
        <v>216</v>
      </c>
      <c r="AZ171" s="64" t="s" ph="1">
        <v>367</v>
      </c>
    </row>
    <row r="172" spans="33:52" ph="1">
      <c r="AH172" s="64" ph="1">
        <v>4</v>
      </c>
      <c r="AI172" s="64" t="s" ph="1">
        <v>566</v>
      </c>
      <c r="AY172" s="64" t="s" ph="1">
        <v>216</v>
      </c>
      <c r="AZ172" s="64" t="s" ph="1">
        <v>367</v>
      </c>
    </row>
    <row r="173" spans="33:52" ph="1">
      <c r="AH173" s="64" ph="1">
        <v>5</v>
      </c>
      <c r="AI173" s="64" t="s" ph="1">
        <v>567</v>
      </c>
      <c r="AY173" s="64" t="s" ph="1">
        <v>216</v>
      </c>
      <c r="AZ173" s="64" t="s" ph="1">
        <v>367</v>
      </c>
    </row>
    <row r="174" spans="33:52" ph="1">
      <c r="AZ174" s="64" t="s" ph="1">
        <v>385</v>
      </c>
    </row>
    <row r="175" spans="33:52" ph="1">
      <c r="AJ175" s="64" t="s" ph="1">
        <v>306</v>
      </c>
    </row>
    <row r="176" spans="33:52" ph="1">
      <c r="AJ176" s="64" t="s" ph="1">
        <v>307</v>
      </c>
      <c r="AK176" s="64" t="s" ph="1">
        <v>308</v>
      </c>
      <c r="AM176" s="64" t="s" ph="1">
        <v>309</v>
      </c>
      <c r="AO176" s="64" t="s" ph="1">
        <v>310</v>
      </c>
      <c r="AP176" s="64" t="s" ph="1">
        <v>311</v>
      </c>
      <c r="AQ176" s="64" t="s" ph="1">
        <v>301</v>
      </c>
      <c r="AR176" s="64" t="s" ph="1">
        <v>221</v>
      </c>
    </row>
    <row r="177" spans="36:56" ph="1">
      <c r="AJ177" s="64" t="s" ph="1">
        <v>603</v>
      </c>
      <c r="AK177" s="64" t="s" ph="1">
        <v>312</v>
      </c>
      <c r="AO177" s="64" t="s" ph="1">
        <v>312</v>
      </c>
      <c r="AP177" s="64" t="s" ph="1">
        <v>312</v>
      </c>
      <c r="AQ177" s="64" t="s" ph="1">
        <v>313</v>
      </c>
      <c r="AR177" s="64" t="s" ph="1">
        <v>314</v>
      </c>
    </row>
    <row r="179" spans="36:56" ph="1">
      <c r="AJ179" s="64" t="s" ph="1">
        <v>315</v>
      </c>
      <c r="AK179" s="64" t="s" ph="1">
        <v>316</v>
      </c>
      <c r="AM179" s="64" t="s" ph="1">
        <v>317</v>
      </c>
      <c r="AN179" s="64" t="s" ph="1">
        <v>293</v>
      </c>
      <c r="AO179" s="64" t="s" ph="1">
        <v>318</v>
      </c>
      <c r="AP179" s="64" t="s" ph="1">
        <v>297</v>
      </c>
      <c r="AQ179" s="64" t="s" ph="1">
        <v>319</v>
      </c>
      <c r="AR179" s="64" t="s" ph="1">
        <v>320</v>
      </c>
    </row>
    <row r="180" spans="36:56" ph="1">
      <c r="AJ180" s="64" t="s" ph="1">
        <v>312</v>
      </c>
      <c r="AK180" s="64" t="s" ph="1">
        <v>312</v>
      </c>
      <c r="AL180" s="64" ph="1">
        <v>116</v>
      </c>
      <c r="AM180" s="64" t="s" ph="1">
        <v>312</v>
      </c>
      <c r="AN180" s="64" t="s" ph="1">
        <v>321</v>
      </c>
      <c r="AO180" s="64" t="s" ph="1">
        <v>312</v>
      </c>
      <c r="AP180" s="64" t="s" ph="1">
        <v>322</v>
      </c>
      <c r="AQ180" s="64" t="s" ph="1">
        <v>323</v>
      </c>
      <c r="AR180" s="64" t="s" ph="1">
        <v>324</v>
      </c>
    </row>
    <row r="189" spans="36:56" ph="1">
      <c r="BD189" s="64" t="s" ph="1">
        <v>568</v>
      </c>
    </row>
    <row r="223" spans="18:18" ph="1">
      <c r="R223" s="135" ph="1">
        <v>45496</v>
      </c>
    </row>
  </sheetData>
  <mergeCells count="58"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S31:U31"/>
    <mergeCell ref="V31:X31"/>
    <mergeCell ref="Y31:AA31"/>
    <mergeCell ref="AB31:AE31"/>
    <mergeCell ref="AD32:AE32"/>
    <mergeCell ref="B33:C34"/>
    <mergeCell ref="D33:D34"/>
    <mergeCell ref="E33:E34"/>
    <mergeCell ref="F33:F34"/>
    <mergeCell ref="G33:G34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</mergeCells>
  <phoneticPr fontId="2" type="noConversion"/>
  <conditionalFormatting sqref="D4:D11">
    <cfRule type="expression" dxfId="916" priority="101">
      <formula>ABS(D$7-D$10)&gt;=1000</formula>
    </cfRule>
  </conditionalFormatting>
  <conditionalFormatting sqref="E4 E6:E11">
    <cfRule type="expression" dxfId="915" priority="100">
      <formula>ABS(E$7-E$10)&gt;=1000</formula>
    </cfRule>
  </conditionalFormatting>
  <conditionalFormatting sqref="F4:F11">
    <cfRule type="expression" dxfId="914" priority="99">
      <formula>ABS(F$7-F$10)&gt;=1000</formula>
    </cfRule>
  </conditionalFormatting>
  <conditionalFormatting sqref="G4:G11">
    <cfRule type="expression" dxfId="913" priority="98">
      <formula>ABS(G$7-G$10)&gt;=1000</formula>
    </cfRule>
  </conditionalFormatting>
  <conditionalFormatting sqref="H4:H11">
    <cfRule type="expression" dxfId="912" priority="97">
      <formula>ABS(H$7-H$10)&gt;=1000</formula>
    </cfRule>
  </conditionalFormatting>
  <conditionalFormatting sqref="I4:I11">
    <cfRule type="expression" dxfId="911" priority="96">
      <formula>ABS(I$7-I$10)&gt;=1000</formula>
    </cfRule>
  </conditionalFormatting>
  <conditionalFormatting sqref="J4:J11">
    <cfRule type="expression" dxfId="910" priority="95">
      <formula>ABS(J$7-J$10)&gt;=1000</formula>
    </cfRule>
  </conditionalFormatting>
  <conditionalFormatting sqref="K4:K11">
    <cfRule type="expression" dxfId="909" priority="94">
      <formula>ABS(K$7-K$10)&gt;=1000</formula>
    </cfRule>
  </conditionalFormatting>
  <conditionalFormatting sqref="L4:L11">
    <cfRule type="expression" dxfId="908" priority="93">
      <formula>ABS(L$7-L$10)&gt;=1000</formula>
    </cfRule>
  </conditionalFormatting>
  <conditionalFormatting sqref="M4 M6:M11">
    <cfRule type="expression" dxfId="907" priority="92">
      <formula>ABS(M$7-M$10)&gt;=1000</formula>
    </cfRule>
  </conditionalFormatting>
  <conditionalFormatting sqref="N4 N6:N11">
    <cfRule type="expression" dxfId="906" priority="91">
      <formula>ABS(N$7-N$10)&gt;=1000</formula>
    </cfRule>
  </conditionalFormatting>
  <conditionalFormatting sqref="O4 O6:O11">
    <cfRule type="expression" dxfId="905" priority="90">
      <formula>ABS(O$7-O$10)&gt;=1000</formula>
    </cfRule>
  </conditionalFormatting>
  <conditionalFormatting sqref="P4 P6:P11">
    <cfRule type="expression" dxfId="904" priority="89">
      <formula>ABS(P$7-P$10)&gt;=1000</formula>
    </cfRule>
  </conditionalFormatting>
  <conditionalFormatting sqref="Q4:Q11">
    <cfRule type="expression" dxfId="903" priority="88">
      <formula>ABS(Q$7-Q$10)&gt;=1000</formula>
    </cfRule>
  </conditionalFormatting>
  <conditionalFormatting sqref="R4:R11">
    <cfRule type="expression" dxfId="902" priority="87">
      <formula>ABS(R$7-R$10)&gt;=1000</formula>
    </cfRule>
  </conditionalFormatting>
  <conditionalFormatting sqref="S4:S11">
    <cfRule type="expression" dxfId="901" priority="86">
      <formula>ABS(S$7-S$10)&gt;=1000</formula>
    </cfRule>
  </conditionalFormatting>
  <conditionalFormatting sqref="T4:T9 T11">
    <cfRule type="expression" dxfId="900" priority="85">
      <formula>ABS(T$7-T$10)&gt;=1000</formula>
    </cfRule>
  </conditionalFormatting>
  <conditionalFormatting sqref="U4:U9 U11">
    <cfRule type="expression" dxfId="899" priority="84">
      <formula>ABS(U$7-U$10)&gt;=1000</formula>
    </cfRule>
  </conditionalFormatting>
  <conditionalFormatting sqref="V4:V9 V11">
    <cfRule type="expression" dxfId="898" priority="83">
      <formula>ABS(V$7-V$10)&gt;=1000</formula>
    </cfRule>
  </conditionalFormatting>
  <conditionalFormatting sqref="W4:W9 W11">
    <cfRule type="expression" dxfId="897" priority="82">
      <formula>ABS(W$7-W$10)&gt;=1000</formula>
    </cfRule>
  </conditionalFormatting>
  <conditionalFormatting sqref="X4:X9 X11">
    <cfRule type="expression" dxfId="896" priority="81">
      <formula>ABS(X$7-X$10)&gt;=1000</formula>
    </cfRule>
  </conditionalFormatting>
  <conditionalFormatting sqref="Y4:Y9 Y11">
    <cfRule type="expression" dxfId="895" priority="80">
      <formula>ABS(Y$7-Y$10)&gt;=1000</formula>
    </cfRule>
  </conditionalFormatting>
  <conditionalFormatting sqref="Z4:Z11">
    <cfRule type="expression" dxfId="894" priority="79">
      <formula>ABS(Z$7-Z$10)&gt;=1000</formula>
    </cfRule>
  </conditionalFormatting>
  <conditionalFormatting sqref="AA4:AA11">
    <cfRule type="expression" dxfId="893" priority="78">
      <formula>ABS(AA$7-AA$10)&gt;=1000</formula>
    </cfRule>
  </conditionalFormatting>
  <conditionalFormatting sqref="AB4:AB11">
    <cfRule type="expression" dxfId="892" priority="77">
      <formula>ABS(AB$7-AB$10)&gt;=1000</formula>
    </cfRule>
  </conditionalFormatting>
  <conditionalFormatting sqref="AC4 AC6:AC11">
    <cfRule type="expression" dxfId="891" priority="76">
      <formula>ABS(AC$7-AC$10)&gt;=1000</formula>
    </cfRule>
  </conditionalFormatting>
  <conditionalFormatting sqref="AD4 AD6:AD11">
    <cfRule type="expression" dxfId="890" priority="75">
      <formula>ABS(AD$7-AD$10)&gt;=1000</formula>
    </cfRule>
  </conditionalFormatting>
  <conditionalFormatting sqref="AE4 AE6:AE11">
    <cfRule type="expression" dxfId="889" priority="74">
      <formula>ABS(AE$7-AE$10)&gt;=1000</formula>
    </cfRule>
  </conditionalFormatting>
  <conditionalFormatting sqref="D13:D20">
    <cfRule type="expression" dxfId="888" priority="73">
      <formula>ABS(D$16-D$19)&gt;=1000</formula>
    </cfRule>
  </conditionalFormatting>
  <conditionalFormatting sqref="E13:E20">
    <cfRule type="expression" dxfId="887" priority="72">
      <formula>ABS(E$16-E$19)&gt;=1000</formula>
    </cfRule>
  </conditionalFormatting>
  <conditionalFormatting sqref="F13 F15:F20">
    <cfRule type="expression" dxfId="886" priority="71">
      <formula>ABS(F$16-F$19)&gt;=1000</formula>
    </cfRule>
  </conditionalFormatting>
  <conditionalFormatting sqref="G13:G20">
    <cfRule type="expression" dxfId="885" priority="70">
      <formula>ABS(G$16-G$19)&gt;=1000</formula>
    </cfRule>
  </conditionalFormatting>
  <conditionalFormatting sqref="H13 H15:H20">
    <cfRule type="expression" dxfId="884" priority="69">
      <formula>ABS(H$16-H$19)&gt;=1000</formula>
    </cfRule>
  </conditionalFormatting>
  <conditionalFormatting sqref="I13:I20">
    <cfRule type="expression" dxfId="883" priority="68">
      <formula>ABS(I$16-I$19)&gt;=1000</formula>
    </cfRule>
  </conditionalFormatting>
  <conditionalFormatting sqref="J13:J20">
    <cfRule type="expression" dxfId="882" priority="67">
      <formula>ABS(J$16-J$19)&gt;=1000</formula>
    </cfRule>
  </conditionalFormatting>
  <conditionalFormatting sqref="L13:L20">
    <cfRule type="expression" dxfId="881" priority="66">
      <formula>ABS(L$16-L$19)&gt;=1000</formula>
    </cfRule>
  </conditionalFormatting>
  <conditionalFormatting sqref="M13 M15 M17:M18 M20">
    <cfRule type="expression" dxfId="880" priority="65">
      <formula>ABS(M$16-M$19)&gt;=1000</formula>
    </cfRule>
  </conditionalFormatting>
  <conditionalFormatting sqref="N13:N20">
    <cfRule type="expression" dxfId="879" priority="64">
      <formula>ABS(N$16-N$19)&gt;=1000</formula>
    </cfRule>
  </conditionalFormatting>
  <conditionalFormatting sqref="O13:O20">
    <cfRule type="expression" dxfId="878" priority="63">
      <formula>ABS(O$16-O$19)&gt;=1000</formula>
    </cfRule>
  </conditionalFormatting>
  <conditionalFormatting sqref="P13:P20">
    <cfRule type="expression" dxfId="877" priority="62">
      <formula>ABS(P$16-P$19)&gt;=1000</formula>
    </cfRule>
  </conditionalFormatting>
  <conditionalFormatting sqref="Q13 Q15:Q20">
    <cfRule type="expression" dxfId="876" priority="61">
      <formula>ABS(Q$16-Q$19)&gt;=1000</formula>
    </cfRule>
  </conditionalFormatting>
  <conditionalFormatting sqref="R13:R20">
    <cfRule type="expression" dxfId="875" priority="60">
      <formula>ABS(R$16-R$19)&gt;=1000</formula>
    </cfRule>
  </conditionalFormatting>
  <conditionalFormatting sqref="S13:S20">
    <cfRule type="expression" dxfId="874" priority="59">
      <formula>ABS(S$16-S$19)&gt;=1000</formula>
    </cfRule>
  </conditionalFormatting>
  <conditionalFormatting sqref="T13:T15 T17:T20">
    <cfRule type="expression" dxfId="873" priority="58">
      <formula>ABS(T$16-T$19)&gt;=1000</formula>
    </cfRule>
  </conditionalFormatting>
  <conditionalFormatting sqref="U13:U20">
    <cfRule type="expression" dxfId="872" priority="57">
      <formula>ABS(U$16-U$19)&gt;=1000</formula>
    </cfRule>
  </conditionalFormatting>
  <conditionalFormatting sqref="V13:V20">
    <cfRule type="expression" dxfId="871" priority="56">
      <formula>ABS(V$16-V$19)&gt;=1000</formula>
    </cfRule>
  </conditionalFormatting>
  <conditionalFormatting sqref="W13 W20 W15:W18">
    <cfRule type="expression" dxfId="870" priority="55">
      <formula>ABS(W$16-W$19)&gt;=1000</formula>
    </cfRule>
  </conditionalFormatting>
  <conditionalFormatting sqref="X13 X15:X20 Y19">
    <cfRule type="expression" dxfId="869" priority="54">
      <formula>ABS(X$16-X$19)&gt;=1000</formula>
    </cfRule>
  </conditionalFormatting>
  <conditionalFormatting sqref="Y13 Y15:Y18 Y20">
    <cfRule type="expression" dxfId="868" priority="53">
      <formula>ABS(Y$16-Y$19)&gt;=1000</formula>
    </cfRule>
  </conditionalFormatting>
  <conditionalFormatting sqref="Z13:Z20">
    <cfRule type="expression" dxfId="867" priority="52">
      <formula>ABS(Z$16-Z$19)&gt;=1000</formula>
    </cfRule>
  </conditionalFormatting>
  <conditionalFormatting sqref="AA13:AA20">
    <cfRule type="expression" dxfId="866" priority="51">
      <formula>ABS(AA$16-AA$19)&gt;=1000</formula>
    </cfRule>
  </conditionalFormatting>
  <conditionalFormatting sqref="AB13 AB15:AB20">
    <cfRule type="expression" dxfId="865" priority="50">
      <formula>ABS(AB$16-AB$19)&gt;=1000</formula>
    </cfRule>
  </conditionalFormatting>
  <conditionalFormatting sqref="AC13 AC15:AC20">
    <cfRule type="expression" dxfId="864" priority="49">
      <formula>ABS(AC$16-AC$19)&gt;=1000</formula>
    </cfRule>
  </conditionalFormatting>
  <conditionalFormatting sqref="AD13:AD20">
    <cfRule type="expression" dxfId="863" priority="48">
      <formula>ABS(AD$16-AD$19)&gt;=1000</formula>
    </cfRule>
  </conditionalFormatting>
  <conditionalFormatting sqref="AE13:AE20">
    <cfRule type="expression" dxfId="862" priority="47">
      <formula>ABS(AE$16-AE$19)&gt;=1000</formula>
    </cfRule>
  </conditionalFormatting>
  <conditionalFormatting sqref="D22:D29">
    <cfRule type="expression" dxfId="861" priority="46">
      <formula>ABS(D$25-D$28)&gt;=1000</formula>
    </cfRule>
  </conditionalFormatting>
  <conditionalFormatting sqref="E22:E29">
    <cfRule type="expression" dxfId="860" priority="45">
      <formula>ABS(E$25-E$28)&gt;=1000</formula>
    </cfRule>
  </conditionalFormatting>
  <conditionalFormatting sqref="F22:F29">
    <cfRule type="expression" dxfId="859" priority="44">
      <formula>ABS(F$25-F$28)&gt;=1000</formula>
    </cfRule>
  </conditionalFormatting>
  <conditionalFormatting sqref="G22:G29">
    <cfRule type="expression" dxfId="858" priority="43">
      <formula>ABS(G$25-G$28)&gt;=1000</formula>
    </cfRule>
  </conditionalFormatting>
  <conditionalFormatting sqref="H22:H29">
    <cfRule type="expression" dxfId="857" priority="42">
      <formula>ABS(H$25-H$28)&gt;=1000</formula>
    </cfRule>
  </conditionalFormatting>
  <conditionalFormatting sqref="I22 I24:I29">
    <cfRule type="expression" dxfId="856" priority="41">
      <formula>ABS(I$25-I$28)&gt;=1000</formula>
    </cfRule>
  </conditionalFormatting>
  <conditionalFormatting sqref="J22:J29 K22">
    <cfRule type="expression" dxfId="855" priority="40">
      <formula>ABS(J$25-J$28)&gt;=1000</formula>
    </cfRule>
  </conditionalFormatting>
  <conditionalFormatting sqref="K23:K29 L25 L28">
    <cfRule type="expression" dxfId="854" priority="39">
      <formula>ABS(K$25-K$28)&gt;=1000</formula>
    </cfRule>
  </conditionalFormatting>
  <conditionalFormatting sqref="L22 L26:L27 L29 L24">
    <cfRule type="expression" dxfId="853" priority="38">
      <formula>ABS(L$25-L$28)&gt;=1000</formula>
    </cfRule>
  </conditionalFormatting>
  <conditionalFormatting sqref="M22:M29">
    <cfRule type="expression" dxfId="852" priority="37">
      <formula>ABS(M$25-M$28)&gt;=1000</formula>
    </cfRule>
  </conditionalFormatting>
  <conditionalFormatting sqref="N22:N29">
    <cfRule type="expression" dxfId="851" priority="36">
      <formula>ABS(N$25-N$28)&gt;=1000</formula>
    </cfRule>
  </conditionalFormatting>
  <conditionalFormatting sqref="O22:O29">
    <cfRule type="expression" dxfId="850" priority="35">
      <formula>ABS(O$25-O$28)&gt;=1000</formula>
    </cfRule>
  </conditionalFormatting>
  <conditionalFormatting sqref="P22:P29">
    <cfRule type="expression" dxfId="849" priority="34">
      <formula>ABS(P$25-P$28)&gt;=1000</formula>
    </cfRule>
  </conditionalFormatting>
  <conditionalFormatting sqref="Q22:Q29">
    <cfRule type="expression" dxfId="848" priority="33">
      <formula>ABS(Q$25-Q$28)&gt;=1000</formula>
    </cfRule>
  </conditionalFormatting>
  <conditionalFormatting sqref="R22:R29">
    <cfRule type="expression" dxfId="847" priority="32">
      <formula>ABS(R$25-R$28)&gt;=1000</formula>
    </cfRule>
  </conditionalFormatting>
  <conditionalFormatting sqref="S22:S29">
    <cfRule type="expression" dxfId="846" priority="31">
      <formula>ABS(S$25-S$28)&gt;=1000</formula>
    </cfRule>
  </conditionalFormatting>
  <conditionalFormatting sqref="T22:T29">
    <cfRule type="expression" dxfId="845" priority="30">
      <formula>ABS(T$25-T$28)&gt;=1000</formula>
    </cfRule>
  </conditionalFormatting>
  <conditionalFormatting sqref="U22:U29">
    <cfRule type="expression" dxfId="844" priority="29">
      <formula>ABS(U$25-U$28)&gt;=1000</formula>
    </cfRule>
  </conditionalFormatting>
  <conditionalFormatting sqref="V22:V29">
    <cfRule type="expression" dxfId="843" priority="28">
      <formula>ABS(V$25-V$28)&gt;=1000</formula>
    </cfRule>
  </conditionalFormatting>
  <conditionalFormatting sqref="W22:W29">
    <cfRule type="expression" dxfId="842" priority="27">
      <formula>ABS(W$25-W$28)&gt;=1000</formula>
    </cfRule>
  </conditionalFormatting>
  <conditionalFormatting sqref="X22:X29">
    <cfRule type="expression" dxfId="841" priority="26">
      <formula>ABS(X$25-X$28)&gt;=1000</formula>
    </cfRule>
  </conditionalFormatting>
  <conditionalFormatting sqref="Y22:Y29">
    <cfRule type="expression" dxfId="840" priority="25">
      <formula>ABS(Y$25-Y$28)&gt;=1000</formula>
    </cfRule>
  </conditionalFormatting>
  <conditionalFormatting sqref="I23">
    <cfRule type="expression" dxfId="839" priority="24">
      <formula>ABS(I$25-I$28)&gt;=1000</formula>
    </cfRule>
  </conditionalFormatting>
  <conditionalFormatting sqref="Q14">
    <cfRule type="expression" dxfId="838" priority="23">
      <formula>ABS(Q$16-Q$19)&gt;=1000</formula>
    </cfRule>
  </conditionalFormatting>
  <conditionalFormatting sqref="W14">
    <cfRule type="expression" dxfId="837" priority="22">
      <formula>ABS(W$16-W$19)&gt;=1000</formula>
    </cfRule>
  </conditionalFormatting>
  <conditionalFormatting sqref="X14">
    <cfRule type="expression" dxfId="836" priority="21">
      <formula>ABS(X$16-X$19)&gt;=1000</formula>
    </cfRule>
  </conditionalFormatting>
  <conditionalFormatting sqref="T10:Y10">
    <cfRule type="expression" dxfId="835" priority="20">
      <formula>ABS(T$7-T$10)&gt;=1000</formula>
    </cfRule>
  </conditionalFormatting>
  <conditionalFormatting sqref="W19">
    <cfRule type="expression" dxfId="834" priority="19">
      <formula>ABS(W$16-W$19)&gt;=1000</formula>
    </cfRule>
  </conditionalFormatting>
  <conditionalFormatting sqref="AC5">
    <cfRule type="expression" dxfId="833" priority="18">
      <formula>ABS(AC$7-AC$10)&gt;=1000</formula>
    </cfRule>
  </conditionalFormatting>
  <conditionalFormatting sqref="M14">
    <cfRule type="expression" dxfId="832" priority="17">
      <formula>ABS(M$16-M$19)&gt;=1000</formula>
    </cfRule>
  </conditionalFormatting>
  <conditionalFormatting sqref="M16">
    <cfRule type="expression" dxfId="831" priority="16">
      <formula>ABS(M$16-M$19)&gt;=1000</formula>
    </cfRule>
  </conditionalFormatting>
  <conditionalFormatting sqref="M19">
    <cfRule type="expression" dxfId="830" priority="15">
      <formula>ABS(M$16-M$19)&gt;=1000</formula>
    </cfRule>
  </conditionalFormatting>
  <conditionalFormatting sqref="K13:K20">
    <cfRule type="expression" dxfId="829" priority="14">
      <formula>ABS(K$16-K$19)&gt;=1000</formula>
    </cfRule>
  </conditionalFormatting>
  <conditionalFormatting sqref="E5">
    <cfRule type="expression" dxfId="828" priority="13">
      <formula>ABS(E$7-E$10)&gt;=1000</formula>
    </cfRule>
  </conditionalFormatting>
  <conditionalFormatting sqref="AB14:AC14">
    <cfRule type="expression" dxfId="827" priority="12">
      <formula>ABS(AB$16-AB$19)&gt;=1000</formula>
    </cfRule>
  </conditionalFormatting>
  <conditionalFormatting sqref="M5">
    <cfRule type="expression" dxfId="826" priority="11">
      <formula>ABS(M$7-M$10)&gt;=1000</formula>
    </cfRule>
  </conditionalFormatting>
  <conditionalFormatting sqref="N5">
    <cfRule type="expression" dxfId="825" priority="10">
      <formula>ABS(N$7-N$10)&gt;=1000</formula>
    </cfRule>
  </conditionalFormatting>
  <conditionalFormatting sqref="O5">
    <cfRule type="expression" dxfId="824" priority="9">
      <formula>ABS(O$7-O$10)&gt;=1000</formula>
    </cfRule>
  </conditionalFormatting>
  <conditionalFormatting sqref="P5">
    <cfRule type="expression" dxfId="823" priority="8">
      <formula>ABS(P$7-P$10)&gt;=1000</formula>
    </cfRule>
  </conditionalFormatting>
  <conditionalFormatting sqref="L23">
    <cfRule type="expression" dxfId="822" priority="7">
      <formula>ABS(L$25-L$28)&gt;=1000</formula>
    </cfRule>
  </conditionalFormatting>
  <conditionalFormatting sqref="Y14">
    <cfRule type="expression" dxfId="821" priority="6">
      <formula>ABS(Y$16-Y$19)&gt;=1000</formula>
    </cfRule>
  </conditionalFormatting>
  <conditionalFormatting sqref="F14">
    <cfRule type="expression" dxfId="820" priority="5">
      <formula>ABS(F$16-F$19)&gt;=1000</formula>
    </cfRule>
  </conditionalFormatting>
  <conditionalFormatting sqref="H14">
    <cfRule type="expression" dxfId="819" priority="4">
      <formula>ABS(H$16-H$19)&gt;=1000</formula>
    </cfRule>
  </conditionalFormatting>
  <conditionalFormatting sqref="AD5">
    <cfRule type="expression" dxfId="818" priority="3">
      <formula>ABS(AD$7-AD$10)&gt;=1000</formula>
    </cfRule>
  </conditionalFormatting>
  <conditionalFormatting sqref="AE5">
    <cfRule type="expression" dxfId="817" priority="2">
      <formula>ABS(AE$7-AE$10)&gt;=1000</formula>
    </cfRule>
  </conditionalFormatting>
  <conditionalFormatting sqref="T16">
    <cfRule type="expression" dxfId="816" priority="1">
      <formula>ABS(T$16-T$19)&gt;=1000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85633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915">
    <pageSetUpPr fitToPage="1"/>
  </sheetPr>
  <dimension ref="A1:CU223"/>
  <sheetViews>
    <sheetView view="pageBreakPreview" topLeftCell="A18" zoomScale="70" zoomScaleNormal="100" zoomScaleSheetLayoutView="70" workbookViewId="0">
      <selection activeCell="AF27" sqref="AF27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185" t="s" ph="1">
        <v>161</v>
      </c>
      <c r="C1" s="185" ph="1"/>
      <c r="D1" s="185" ph="1"/>
      <c r="E1" s="185" ph="1"/>
      <c r="F1" s="185" ph="1"/>
      <c r="G1" s="185" ph="1"/>
      <c r="H1" s="185" ph="1"/>
      <c r="I1" s="185" ph="1"/>
      <c r="J1" s="185" ph="1"/>
      <c r="K1" s="185" ph="1"/>
      <c r="L1" s="185" ph="1"/>
      <c r="M1" s="185" ph="1"/>
      <c r="N1" s="185" ph="1"/>
      <c r="O1" s="185" ph="1"/>
      <c r="P1" s="185" ph="1"/>
      <c r="Q1" s="185" ph="1"/>
      <c r="R1" s="185" ph="1"/>
      <c r="S1" s="185" ph="1"/>
      <c r="T1" s="185" ph="1"/>
      <c r="U1" s="185" ph="1"/>
      <c r="V1" s="185" ph="1"/>
      <c r="W1" s="185" ph="1"/>
      <c r="X1" s="185" ph="1"/>
      <c r="Y1" s="185" ph="1"/>
      <c r="Z1" s="185" ph="1"/>
      <c r="AA1" s="185" ph="1"/>
      <c r="AB1" s="185" ph="1"/>
      <c r="AC1" s="185" ph="1"/>
      <c r="AD1" s="185" ph="1"/>
      <c r="AE1" s="185" ph="1"/>
    </row>
    <row r="2" spans="1:99" s="66" customFormat="1" ht="24" customHeight="1" ph="1">
      <c r="B2" s="186" t="s" ph="1">
        <v>82</v>
      </c>
      <c r="C2" s="186" ph="1"/>
      <c r="D2" s="186" ph="1"/>
      <c r="E2" s="186" ph="1"/>
      <c r="F2" s="186" ph="1"/>
      <c r="G2" s="186" ph="1"/>
      <c r="H2" s="186" ph="1"/>
      <c r="I2" s="186" ph="1"/>
      <c r="J2" s="186" ph="1"/>
      <c r="K2" s="186" ph="1"/>
      <c r="L2" s="186" ph="1"/>
      <c r="M2" s="186" ph="1"/>
      <c r="N2" s="186" ph="1"/>
      <c r="O2" s="186" ph="1"/>
      <c r="P2" s="186" ph="1"/>
      <c r="Q2" s="186" ph="1"/>
      <c r="R2" s="186" ph="1"/>
      <c r="S2" s="186" ph="1"/>
      <c r="T2" s="186" ph="1"/>
      <c r="U2" s="186" ph="1"/>
      <c r="V2" s="186" ph="1"/>
      <c r="W2" s="186" ph="1"/>
      <c r="X2" s="186" ph="1"/>
      <c r="Y2" s="186" ph="1"/>
      <c r="Z2" s="186" ph="1"/>
      <c r="AA2" s="186" ph="1"/>
      <c r="AB2" s="186" ph="1"/>
      <c r="AC2" s="186" ph="1"/>
      <c r="AD2" s="186" ph="1"/>
      <c r="AE2" s="186" ph="1"/>
    </row>
    <row r="3" spans="1:99" ht="21" customHeight="1" ph="1">
      <c r="B3" s="187" ph="1">
        <v>46196</v>
      </c>
      <c r="C3" s="187"/>
      <c r="D3" s="187"/>
      <c r="E3" s="187"/>
      <c r="F3" s="187"/>
      <c r="G3" s="187"/>
      <c r="H3" s="187"/>
      <c r="I3" s="187"/>
      <c r="J3" s="187"/>
      <c r="K3" s="187"/>
      <c r="L3" s="187"/>
      <c r="M3" s="187"/>
      <c r="N3" s="187"/>
      <c r="O3" s="187"/>
      <c r="P3" s="187"/>
      <c r="Q3" s="187"/>
      <c r="R3" s="187"/>
      <c r="S3" s="187"/>
      <c r="T3" s="187"/>
      <c r="U3" s="187"/>
      <c r="V3" s="187"/>
      <c r="W3" s="187"/>
      <c r="X3" s="187"/>
      <c r="Y3" s="187"/>
      <c r="Z3" s="187"/>
      <c r="AA3" s="187"/>
      <c r="AB3" s="187"/>
      <c r="AC3" s="187"/>
      <c r="AD3" s="187"/>
      <c r="AE3" s="187"/>
    </row>
    <row r="4" spans="1:99" s="69" customFormat="1" ph="1">
      <c r="A4" s="65" ph="1"/>
      <c r="B4" s="188" t="s" ph="1">
        <v>37</v>
      </c>
      <c r="C4" s="67" t="s" ph="1">
        <v>176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110</v>
      </c>
      <c r="J4" s="68" t="s" ph="1">
        <v>48</v>
      </c>
      <c r="K4" s="68" t="s" ph="1">
        <v>111</v>
      </c>
      <c r="L4" s="68" t="s" ph="1">
        <v>112</v>
      </c>
      <c r="M4" s="68" t="s" ph="1">
        <v>49</v>
      </c>
      <c r="N4" s="68" t="s" ph="1">
        <v>50</v>
      </c>
      <c r="O4" s="68" t="s" ph="1">
        <v>113</v>
      </c>
      <c r="P4" s="68" t="s" ph="1">
        <v>114</v>
      </c>
      <c r="Q4" s="68" t="s" ph="1">
        <v>115</v>
      </c>
      <c r="R4" s="68" t="s" ph="1">
        <v>116</v>
      </c>
      <c r="S4" s="68" t="s" ph="1">
        <v>117</v>
      </c>
      <c r="T4" s="68" t="s" ph="1">
        <v>118</v>
      </c>
      <c r="U4" s="68" t="s" ph="1">
        <v>119</v>
      </c>
      <c r="V4" s="68" t="s" ph="1">
        <v>120</v>
      </c>
      <c r="W4" s="68" t="s" ph="1">
        <v>121</v>
      </c>
      <c r="X4" s="68" t="s" ph="1">
        <v>122</v>
      </c>
      <c r="Y4" s="68" t="s" ph="1">
        <v>123</v>
      </c>
      <c r="Z4" s="68" t="s" ph="1">
        <v>51</v>
      </c>
      <c r="AA4" s="68" t="s" ph="1">
        <v>124</v>
      </c>
      <c r="AB4" s="68" t="s" ph="1">
        <v>125</v>
      </c>
      <c r="AC4" s="68" t="s" ph="1">
        <v>126</v>
      </c>
      <c r="AD4" s="68" t="s" ph="1">
        <v>40</v>
      </c>
      <c r="AE4" s="68" t="s" ph="1">
        <v>127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188" ph="1"/>
      <c r="C5" s="67" t="s" ph="1">
        <v>36</v>
      </c>
      <c r="D5" s="70" t="s" ph="1">
        <v>160</v>
      </c>
      <c r="E5" s="142" t="s" ph="1">
        <v>7</v>
      </c>
      <c r="F5" s="142" t="s" ph="1">
        <v>1</v>
      </c>
      <c r="G5" s="142" t="s" ph="1">
        <v>7</v>
      </c>
      <c r="H5" s="142" t="s" ph="1">
        <v>7</v>
      </c>
      <c r="I5" s="141" t="s" ph="1">
        <v>608</v>
      </c>
      <c r="J5" s="141" t="s" ph="1">
        <v>609</v>
      </c>
      <c r="K5" s="141" t="s" ph="1">
        <v>611</v>
      </c>
      <c r="L5" s="141" t="s" ph="1">
        <v>613</v>
      </c>
      <c r="M5" s="141" t="s" ph="1">
        <v>608</v>
      </c>
      <c r="N5" s="70" t="s" ph="1">
        <v>609</v>
      </c>
      <c r="O5" s="70" t="s" ph="1">
        <v>611</v>
      </c>
      <c r="P5" s="70" t="s" ph="1">
        <v>613</v>
      </c>
      <c r="Q5" s="70" t="s" ph="1">
        <v>607</v>
      </c>
      <c r="R5" s="70" t="s" ph="1">
        <v>607</v>
      </c>
      <c r="S5" s="70" t="s" ph="1">
        <v>607</v>
      </c>
      <c r="T5" s="70" t="s" ph="1">
        <v>607</v>
      </c>
      <c r="U5" s="70" t="s" ph="1">
        <v>607</v>
      </c>
      <c r="V5" s="70" t="s" ph="1">
        <v>607</v>
      </c>
      <c r="W5" s="70" t="s" ph="1">
        <v>607</v>
      </c>
      <c r="X5" s="70" t="s" ph="1">
        <v>607</v>
      </c>
      <c r="Y5" s="70" t="s" ph="1">
        <v>607</v>
      </c>
      <c r="Z5" s="70" t="s" ph="1">
        <v>614</v>
      </c>
      <c r="AA5" s="70" t="s" ph="1">
        <v>54</v>
      </c>
      <c r="AB5" s="70" t="s" ph="1">
        <v>54</v>
      </c>
      <c r="AC5" s="70" t="s" ph="1">
        <v>615</v>
      </c>
      <c r="AD5" s="71" t="s">
        <v>72</v>
      </c>
      <c r="AE5" s="71" t="s">
        <v>635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184" ph="1">
        <v>0.33333333333333331</v>
      </c>
      <c r="C6" s="159" t="s" ph="1">
        <v>177</v>
      </c>
      <c r="D6" s="71">
        <v>1159</v>
      </c>
      <c r="E6" s="71">
        <v>7873</v>
      </c>
      <c r="F6" s="71">
        <v>5841</v>
      </c>
      <c r="G6" s="71">
        <v>3690</v>
      </c>
      <c r="H6" s="71">
        <v>369</v>
      </c>
      <c r="I6" s="71">
        <v>38.65</v>
      </c>
      <c r="J6" s="71">
        <v>77.03</v>
      </c>
      <c r="K6" s="71">
        <v>62.67</v>
      </c>
      <c r="L6" s="71">
        <v>7.22</v>
      </c>
      <c r="M6" s="71">
        <v>5614</v>
      </c>
      <c r="N6" s="71">
        <v>6674</v>
      </c>
      <c r="O6" s="71">
        <v>5955</v>
      </c>
      <c r="P6" s="71">
        <v>2754</v>
      </c>
      <c r="Q6" s="71">
        <v>5394</v>
      </c>
      <c r="R6" s="71">
        <v>5732</v>
      </c>
      <c r="S6" s="71">
        <v>0</v>
      </c>
      <c r="T6" s="71">
        <v>0</v>
      </c>
      <c r="U6" s="71">
        <v>0</v>
      </c>
      <c r="V6" s="71">
        <v>2472</v>
      </c>
      <c r="W6" s="71">
        <v>7012</v>
      </c>
      <c r="X6" s="71">
        <v>5830</v>
      </c>
      <c r="Y6" s="71">
        <v>5686</v>
      </c>
      <c r="Z6" s="71">
        <v>3720</v>
      </c>
      <c r="AA6" s="71">
        <v>0</v>
      </c>
      <c r="AB6" s="71">
        <v>2477</v>
      </c>
      <c r="AC6" s="71">
        <v>5223</v>
      </c>
      <c r="AD6" s="71">
        <v>3886</v>
      </c>
      <c r="AE6" s="71">
        <v>4923</v>
      </c>
    </row>
    <row r="7" spans="1:99" s="72" customFormat="1" ht="22.2" ph="1">
      <c r="B7" s="184" ph="1"/>
      <c r="C7" s="68" t="s" ph="1">
        <v>178</v>
      </c>
      <c r="D7" s="73" ph="1">
        <f>D6*33.183*LOOKUP(D8,密度!$A$2:$A$50,密度!$Q$2:$Q$50)</f>
        <v>36383.459534910005</v>
      </c>
      <c r="E7" s="73" ph="1">
        <f>E6*51.53*LOOKUP(E8,密度!$A$2:$A$50,密度!$B$2:$B$50)</f>
        <v>316280.35992399999</v>
      </c>
      <c r="F7" s="73" ph="1">
        <f>F6*33.183*LOOKUP(F8,密度!$A$2:$A$50,密度!$C$2:$C$50)</f>
        <v>214638.37538219997</v>
      </c>
      <c r="G7" s="73" ph="1">
        <f xml:space="preserve"> (G6+2)*51.53*LOOKUP(G8,密度!$A$2:$A$50,密度!$B$2:$B$50)</f>
        <v>147823.28652000002</v>
      </c>
      <c r="H7" s="73" ph="1">
        <f>(H6)*51.53*LOOKUP(H8,密度!$A$2:$A$50,密度!$B$2:$B$50)</f>
        <v>14823.758771999999</v>
      </c>
      <c r="I7" s="73" ph="1">
        <f>I6*290.8*1.0267</f>
        <v>11539.512514</v>
      </c>
      <c r="J7" s="73" ph="1">
        <f>J6*290.8*0.7892</f>
        <v>17678.335700800002</v>
      </c>
      <c r="K7" s="73" ph="1">
        <f>K6*290.8*1.1126</f>
        <v>20276.507493600002</v>
      </c>
      <c r="L7" s="73" ph="1">
        <f>L6*290.8*0.777</f>
        <v>1631.3705520000001</v>
      </c>
      <c r="M7" s="73" ph="1">
        <f>M6*33.183*LOOKUP(M8,密度!$A$2:$A$50,密度!$D$2:$D$50)</f>
        <v>190741.67775179999</v>
      </c>
      <c r="N7" s="73" ph="1">
        <f>N6*33.183*LOOKUP(N8,密度!$A$2:$A$50,密度!$E$2:$E$50)</f>
        <v>171955.21189589999</v>
      </c>
      <c r="O7" s="73" ph="1">
        <f>O6*20.428*LOOKUP(O8,密度!$A$2:$A$50,密度!$C$2:$C$50)</f>
        <v>134178.56022000001</v>
      </c>
      <c r="P7" s="73" ph="1">
        <f>P6*51.53*LOOKUP(P8,密度!$A$2:$A$50,密度!$B$2:$B$50)</f>
        <v>110394.604998</v>
      </c>
      <c r="Q7" s="73" ph="1">
        <f>Q6*1.5*1.5*3.1416*LOOKUP(W8,密度!$A$2:$A$50,密度!$L$2:$L$50)</f>
        <v>35573.450497200007</v>
      </c>
      <c r="R7" s="73" ph="1">
        <f>R6*1.5*1.5*3.1416*LOOKUP(R8,密度!$A$2:$A$50,密度!$L$2:$L$50)</f>
        <v>37559.4584904</v>
      </c>
      <c r="S7" s="73" ph="1">
        <f>S6*1.5*1.5*3.1416*LOOKUP(S8,密度!$A$2:$A$50,密度!$L$2:$L$50)</f>
        <v>0</v>
      </c>
      <c r="T7" s="73" ph="1">
        <f>T6*1.5*1.5*3.1416*LOOKUP(T8,密度!$A$2:$A$50,密度!$L$2:$L$50)</f>
        <v>0</v>
      </c>
      <c r="U7" s="73" ph="1">
        <f>U6*1.5*1.5*3.1416*LOOKUP(U8,密度!$A$2:$A$50,密度!$L$2:$L$50)</f>
        <v>0</v>
      </c>
      <c r="V7" s="73" ph="1">
        <f>V6*1.5*1.5*3.1416*LOOKUP(V8,密度!$A$2:$A$50,密度!$L$2:$L$50)</f>
        <v>16320.322972800001</v>
      </c>
      <c r="W7" s="73" ph="1">
        <f>W6*1.5*1.5*3.1416*LOOKUP(W8,密度!$A$2:$A$50,密度!$L$2:$L$50)</f>
        <v>46244.166645600002</v>
      </c>
      <c r="X7" s="73" ph="1">
        <f>X6*1.5*1.5*3.1416*LOOKUP(X8,密度!$A$2:$A$50,密度!$L$2:$L$50)</f>
        <v>38902.181471999997</v>
      </c>
      <c r="Y7" s="73" ph="1">
        <f>Y6*1.5*1.5*3.1416*LOOKUP(Y8,密度!$A$2:$A$50,密度!$L$2:$L$50)</f>
        <v>37539.383666400005</v>
      </c>
      <c r="Z7" s="73" ph="1">
        <f>Z6*33.183*LOOKUP(Z8,密度!$A$2:$A$50,密度!$L$2:$L$50)</f>
        <v>115293.66984</v>
      </c>
      <c r="AA7" s="73" ph="1">
        <f>AA6*33.183*LOOKUP(AA8,密度!$A$2:$A$50,密度!$D$2:$D$50)</f>
        <v>0</v>
      </c>
      <c r="AB7" s="73" ph="1">
        <f>AB6*20.428*LOOKUP(AB8,密度!$A$2:$A$50,密度!$D$2:$D$50)</f>
        <v>51996.720305600007</v>
      </c>
      <c r="AC7" s="73" ph="1">
        <f>AC6*51.53*LOOKUP(AC8,密度!$A$2:$A$50,密度!$Q$2:$Q$50)</f>
        <v>254050.44347670002</v>
      </c>
      <c r="AD7" s="73" ph="1">
        <f>AD6*20.428*LOOKUP(AD8,密度!$A$2:$A$50,密度!$V$2:$V$50)</f>
        <v>76017.3599808</v>
      </c>
      <c r="AE7" s="73" ph="1">
        <f>AE6*20.428</f>
        <v>100567.04400000001</v>
      </c>
    </row>
    <row r="8" spans="1:99" ph="1">
      <c r="B8" s="184" ph="1"/>
      <c r="C8" s="68" t="s" ph="1">
        <v>179</v>
      </c>
      <c r="D8" s="74">
        <v>26</v>
      </c>
      <c r="E8" s="74">
        <v>25</v>
      </c>
      <c r="F8" s="74">
        <v>27</v>
      </c>
      <c r="G8" s="74">
        <v>28</v>
      </c>
      <c r="H8" s="74">
        <v>25</v>
      </c>
      <c r="I8" s="74">
        <v>25</v>
      </c>
      <c r="J8" s="74">
        <v>25</v>
      </c>
      <c r="K8" s="74">
        <v>25</v>
      </c>
      <c r="L8" s="74">
        <v>25</v>
      </c>
      <c r="M8" s="74">
        <v>28</v>
      </c>
      <c r="N8" s="74">
        <v>31</v>
      </c>
      <c r="O8" s="74">
        <v>32</v>
      </c>
      <c r="P8" s="74">
        <v>27</v>
      </c>
      <c r="Q8" s="74">
        <v>32</v>
      </c>
      <c r="R8" s="74">
        <v>35</v>
      </c>
      <c r="S8" s="74">
        <v>28</v>
      </c>
      <c r="T8" s="74">
        <v>23</v>
      </c>
      <c r="U8" s="74">
        <v>28</v>
      </c>
      <c r="V8" s="74">
        <v>28</v>
      </c>
      <c r="W8" s="74">
        <v>29</v>
      </c>
      <c r="X8" s="74">
        <v>18</v>
      </c>
      <c r="Y8" s="74">
        <v>28</v>
      </c>
      <c r="Z8" s="74">
        <v>28</v>
      </c>
      <c r="AA8" s="74">
        <v>28</v>
      </c>
      <c r="AB8" s="74">
        <v>24</v>
      </c>
      <c r="AC8" s="74">
        <v>29</v>
      </c>
      <c r="AD8" s="74">
        <v>26</v>
      </c>
      <c r="AE8" s="74">
        <v>31</v>
      </c>
    </row>
    <row r="9" spans="1:99" ht="26.4" ph="1">
      <c r="B9" s="184" ph="1">
        <v>0.66666666666666663</v>
      </c>
      <c r="C9" s="159" t="s" ph="1">
        <v>180</v>
      </c>
      <c r="D9" s="71">
        <v>730</v>
      </c>
      <c r="E9" s="71">
        <v>7875</v>
      </c>
      <c r="F9" s="71">
        <v>5844</v>
      </c>
      <c r="G9" s="71">
        <v>3692</v>
      </c>
      <c r="H9" s="71">
        <v>75</v>
      </c>
      <c r="I9" s="71">
        <v>38.68</v>
      </c>
      <c r="J9" s="71">
        <v>77.14</v>
      </c>
      <c r="K9" s="71">
        <v>63.02</v>
      </c>
      <c r="L9" s="71">
        <v>19.97</v>
      </c>
      <c r="M9" s="71">
        <v>5616</v>
      </c>
      <c r="N9" s="71">
        <v>6679</v>
      </c>
      <c r="O9" s="71">
        <v>2118</v>
      </c>
      <c r="P9" s="71">
        <v>2671</v>
      </c>
      <c r="Q9" s="71">
        <v>7182</v>
      </c>
      <c r="R9" s="71">
        <v>5991</v>
      </c>
      <c r="S9" s="71">
        <v>2482</v>
      </c>
      <c r="T9" s="71">
        <v>0</v>
      </c>
      <c r="U9" s="71">
        <v>0</v>
      </c>
      <c r="V9" s="71">
        <v>0</v>
      </c>
      <c r="W9" s="71">
        <v>5473</v>
      </c>
      <c r="X9" s="71">
        <v>5836</v>
      </c>
      <c r="Y9" s="71">
        <v>5694</v>
      </c>
      <c r="Z9" s="71">
        <v>1076</v>
      </c>
      <c r="AA9" s="71">
        <v>0</v>
      </c>
      <c r="AB9" s="71">
        <v>2362</v>
      </c>
      <c r="AC9" s="71">
        <v>6280</v>
      </c>
      <c r="AD9" s="71">
        <v>3888</v>
      </c>
      <c r="AE9" s="71">
        <v>4831</v>
      </c>
    </row>
    <row r="10" spans="1:99" s="72" customFormat="1" ht="22.2" ph="1">
      <c r="B10" s="184" ph="1"/>
      <c r="C10" s="159" t="s" ph="1">
        <v>178</v>
      </c>
      <c r="D10" s="73" ph="1">
        <f>D9*33.183*LOOKUP(D11,密度!$A$2:$A$50,密度!$Q$2:$Q$50)</f>
        <v>22722.211891799998</v>
      </c>
      <c r="E10" s="73" ph="1">
        <f>E9*51.53*LOOKUP(E11,密度!$A$2:$A$50,密度!$B$2:$B$50)</f>
        <v>314980.98975000001</v>
      </c>
      <c r="F10" s="73" ph="1">
        <f>F9*33.183*LOOKUP(F11,密度!$A$2:$A$50,密度!$C$2:$C$50)</f>
        <v>214108.67515319999</v>
      </c>
      <c r="G10" s="73" ph="1">
        <f xml:space="preserve"> (G9+2)*51.53*LOOKUP(G11,密度!$A$2:$A$50,密度!$B$2:$B$50)</f>
        <v>147408.44940800001</v>
      </c>
      <c r="H10" s="73" ph="1">
        <f>(H9)*51.53*LOOKUP(H11,密度!$A$2:$A$50,密度!$B$2:$B$50)</f>
        <v>2992.8624</v>
      </c>
      <c r="I10" s="73" ph="1">
        <f>I9*290.8*1.0267</f>
        <v>11548.469444799999</v>
      </c>
      <c r="J10" s="73" ph="1">
        <f>J9*290.8*0.7892</f>
        <v>17703.580630400003</v>
      </c>
      <c r="K10" s="73" ph="1">
        <f>K9*290.8*1.1126</f>
        <v>20389.747921599999</v>
      </c>
      <c r="L10" s="73" ph="1">
        <f>L9*290.8*0.777</f>
        <v>4512.2534519999999</v>
      </c>
      <c r="M10" s="73" ph="1">
        <f>M9*33.183*LOOKUP(M11,密度!$A$2:$A$50,密度!$D$2:$D$50)</f>
        <v>188647.90345439999</v>
      </c>
      <c r="N10" s="73" ph="1">
        <f>N9*33.183*LOOKUP(N11,密度!$A$2:$A$50,密度!$E$2:$E$50)</f>
        <v>171332.71341642001</v>
      </c>
      <c r="O10" s="73" ph="1">
        <f>O9*20.428*LOOKUP(O11,密度!$A$2:$A$50,密度!$C$2:$C$50)</f>
        <v>47541.234595200003</v>
      </c>
      <c r="P10" s="73" ph="1">
        <f>P9*51.53*LOOKUP(P11,密度!$A$2:$A$50,密度!$B$2:$B$50)</f>
        <v>106585.806272</v>
      </c>
      <c r="Q10" s="73" ph="1">
        <f>Q9*1.5*1.5*3.1416*LOOKUP(W11,密度!$A$2:$A$50,密度!$L$2:$L$50)</f>
        <v>47263.783921200004</v>
      </c>
      <c r="R10" s="73" ph="1">
        <f>R9*1.5*1.5*3.1416*LOOKUP(R11,密度!$A$2:$A$50,密度!$L$2:$L$50)</f>
        <v>39129.535922399999</v>
      </c>
      <c r="S10" s="73" ph="1">
        <f>S9*1.5*1.5*3.1416*LOOKUP(S11,密度!$A$2:$A$50,密度!$L$2:$L$50)</f>
        <v>16421.432227199999</v>
      </c>
      <c r="T10" s="73" ph="1">
        <f>T9*1.5*1.5*3.1416*LOOKUP(T11,密度!$A$2:$A$50,密度!$L$2:$L$50)</f>
        <v>0</v>
      </c>
      <c r="U10" s="73" ph="1">
        <f>U9*1.5*1.5*3.1416*LOOKUP(U11,密度!$A$2:$A$50,密度!$L$2:$L$50)</f>
        <v>0</v>
      </c>
      <c r="V10" s="73" ph="1">
        <f>V9*1.5*1.5*3.1416*LOOKUP(V11,密度!$A$2:$A$50,密度!$L$2:$L$50)</f>
        <v>0</v>
      </c>
      <c r="W10" s="73" ph="1">
        <f>W9*1.5*1.5*3.1416*LOOKUP(W11,密度!$A$2:$A$50,密度!$L$2:$L$50)</f>
        <v>36017.0829018</v>
      </c>
      <c r="X10" s="73" ph="1">
        <f>X9*1.5*1.5*3.1416*LOOKUP(X11,密度!$A$2:$A$50,密度!$L$2:$L$50)</f>
        <v>38859.713323199998</v>
      </c>
      <c r="Y10" s="73" ph="1">
        <f>Y9*1.5*1.5*3.1416*LOOKUP(Y11,密度!$A$2:$A$50,密度!$L$2:$L$50)</f>
        <v>37511.703028800002</v>
      </c>
      <c r="Z10" s="73" ph="1">
        <f>Z9*33.183*LOOKUP(Z11,密度!$A$2:$A$50,密度!$L$2:$L$50)</f>
        <v>33062.744808000003</v>
      </c>
      <c r="AA10" s="73" ph="1">
        <f>AA9*33.183*LOOKUP(AA11,密度!$A$2:$A$50,密度!$D$2:$D$50)</f>
        <v>0</v>
      </c>
      <c r="AB10" s="73" ph="1">
        <f>AB9*20.428*LOOKUP(AB11,密度!$A$2:$A$50,密度!$D$2:$D$50)</f>
        <v>49447.559212799999</v>
      </c>
      <c r="AC10" s="73" ph="1">
        <f>AC9*51.53*LOOKUP(AC11,密度!$A$2:$A$50,密度!$Q$2:$Q$50)</f>
        <v>304596.40650000004</v>
      </c>
      <c r="AD10" s="73" ph="1">
        <f>AD9*20.428*LOOKUP(AD11,密度!$A$2:$A$50,密度!$V$2:$V$50)</f>
        <v>76056.483686399995</v>
      </c>
      <c r="AE10" s="73" ph="1">
        <f>AE9*20.428</f>
        <v>98687.668000000005</v>
      </c>
    </row>
    <row r="11" spans="1:99" ph="1">
      <c r="A11" s="64" t="s" ph="1">
        <v>162</v>
      </c>
      <c r="B11" s="184" ph="1"/>
      <c r="C11" s="159" t="s" ph="1">
        <v>179</v>
      </c>
      <c r="D11" s="74">
        <v>38</v>
      </c>
      <c r="E11" s="74">
        <v>29</v>
      </c>
      <c r="F11" s="74">
        <v>31</v>
      </c>
      <c r="G11" s="74">
        <v>31</v>
      </c>
      <c r="H11" s="74">
        <v>31</v>
      </c>
      <c r="I11" s="74">
        <v>25</v>
      </c>
      <c r="J11" s="74">
        <v>25</v>
      </c>
      <c r="K11" s="74">
        <v>25</v>
      </c>
      <c r="L11" s="74">
        <v>25</v>
      </c>
      <c r="M11" s="74">
        <v>41</v>
      </c>
      <c r="N11" s="74">
        <v>34</v>
      </c>
      <c r="O11" s="74">
        <v>36</v>
      </c>
      <c r="P11" s="74">
        <v>31</v>
      </c>
      <c r="Q11" s="74">
        <v>34</v>
      </c>
      <c r="R11" s="74">
        <v>38</v>
      </c>
      <c r="S11" s="74">
        <v>26</v>
      </c>
      <c r="T11" s="74">
        <v>36</v>
      </c>
      <c r="U11" s="74">
        <v>35</v>
      </c>
      <c r="V11" s="74">
        <v>28</v>
      </c>
      <c r="W11" s="74">
        <v>31</v>
      </c>
      <c r="X11" s="74">
        <v>20</v>
      </c>
      <c r="Y11" s="74">
        <v>30</v>
      </c>
      <c r="Z11" s="74">
        <v>36</v>
      </c>
      <c r="AA11" s="74">
        <v>53</v>
      </c>
      <c r="AB11" s="74">
        <v>27</v>
      </c>
      <c r="AC11" s="74">
        <v>33</v>
      </c>
      <c r="AD11" s="74">
        <v>34</v>
      </c>
      <c r="AE11" s="74">
        <v>30</v>
      </c>
    </row>
    <row r="12" spans="1:99" ht="9.9" customHeight="1" ph="1"/>
    <row r="13" spans="1:99" s="72" customFormat="1" ht="29.25" customHeight="1" ph="1">
      <c r="B13" s="192" t="s" ph="1">
        <v>37</v>
      </c>
      <c r="C13" s="159" t="s" ph="1">
        <v>176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128</v>
      </c>
      <c r="I13" s="76" t="s" ph="1">
        <v>59</v>
      </c>
      <c r="J13" s="76" t="s" ph="1">
        <v>129</v>
      </c>
      <c r="K13" s="76" t="s" ph="1">
        <v>55</v>
      </c>
      <c r="L13" s="76" t="s" ph="1">
        <v>60</v>
      </c>
      <c r="M13" s="76" t="s" ph="1">
        <v>61</v>
      </c>
      <c r="N13" s="76" t="s" ph="1">
        <v>130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131</v>
      </c>
      <c r="W13" s="76" t="s" ph="1">
        <v>132</v>
      </c>
      <c r="X13" s="76" t="s" ph="1">
        <v>133</v>
      </c>
      <c r="Y13" s="105" t="s" ph="1">
        <v>68</v>
      </c>
      <c r="Z13" s="76" t="s" ph="1">
        <v>74</v>
      </c>
      <c r="AA13" s="76" t="s" ph="1">
        <v>134</v>
      </c>
      <c r="AB13" s="76" t="s" ph="1">
        <v>135</v>
      </c>
      <c r="AC13" s="76" t="s" ph="1">
        <v>136</v>
      </c>
      <c r="AD13" s="76" t="s" ph="1">
        <v>137</v>
      </c>
      <c r="AE13" s="76" t="s" ph="1">
        <v>138</v>
      </c>
      <c r="AG13" s="72" t="s" ph="1">
        <v>325</v>
      </c>
      <c r="AH13" s="72" t="s" ph="1">
        <v>188</v>
      </c>
      <c r="AI13" s="72" t="s" ph="1">
        <v>189</v>
      </c>
      <c r="AJ13" s="72" t="s" ph="1">
        <v>190</v>
      </c>
      <c r="AK13" s="72" t="s" ph="1">
        <v>191</v>
      </c>
      <c r="AL13" s="72" t="s" ph="1">
        <v>192</v>
      </c>
      <c r="AM13" s="72" t="s" ph="1">
        <v>193</v>
      </c>
      <c r="AN13" s="72" t="s" ph="1">
        <v>194</v>
      </c>
      <c r="AO13" s="72" t="s" ph="1">
        <v>195</v>
      </c>
      <c r="AP13" s="72" t="s" ph="1">
        <v>196</v>
      </c>
      <c r="AQ13" s="72" t="s" ph="1">
        <v>197</v>
      </c>
      <c r="AR13" s="72" t="s" ph="1">
        <v>198</v>
      </c>
      <c r="AS13" s="72" t="s" ph="1">
        <v>199</v>
      </c>
      <c r="AT13" s="72" t="s" ph="1">
        <v>200</v>
      </c>
      <c r="AU13" s="72" t="s" ph="1">
        <v>201</v>
      </c>
      <c r="AV13" s="72" t="s" ph="1">
        <v>202</v>
      </c>
      <c r="AW13" s="72" t="s" ph="1">
        <v>203</v>
      </c>
      <c r="AX13" s="72" t="s" ph="1">
        <v>204</v>
      </c>
      <c r="AY13" s="72" t="s" ph="1">
        <v>326</v>
      </c>
      <c r="AZ13" s="72" t="s" ph="1">
        <v>205</v>
      </c>
      <c r="BA13" s="72" t="s" ph="1">
        <v>206</v>
      </c>
      <c r="BB13" s="72" t="s" ph="1">
        <v>591</v>
      </c>
      <c r="BC13" s="72" t="s" ph="1">
        <v>207</v>
      </c>
      <c r="BD13" s="72" t="s" ph="1">
        <v>327</v>
      </c>
      <c r="BE13" s="72" t="s" ph="1">
        <v>328</v>
      </c>
      <c r="BF13" s="72" t="s" ph="1">
        <v>329</v>
      </c>
      <c r="BG13" s="72" t="s" ph="1">
        <v>330</v>
      </c>
      <c r="BH13" s="72" t="s" ph="1">
        <v>331</v>
      </c>
    </row>
    <row r="14" spans="1:99" s="72" customFormat="1" ht="24" ph="1">
      <c r="B14" s="193" ph="1"/>
      <c r="C14" s="67" t="s" ph="1">
        <v>36</v>
      </c>
      <c r="D14" s="77" t="s" ph="1">
        <v>616</v>
      </c>
      <c r="E14" s="77" t="s" ph="1">
        <v>616</v>
      </c>
      <c r="F14" s="144" t="s" ph="1">
        <v>636</v>
      </c>
      <c r="G14" s="77" t="s" ph="1">
        <v>617</v>
      </c>
      <c r="H14" s="77" t="s" ph="1">
        <v>637</v>
      </c>
      <c r="I14" s="138" t="s" ph="1">
        <v>618</v>
      </c>
      <c r="J14" s="77" t="s" ph="1">
        <v>619</v>
      </c>
      <c r="K14" s="77" t="s" ph="1">
        <v>186</v>
      </c>
      <c r="L14" s="77" t="s" ph="1">
        <v>41</v>
      </c>
      <c r="M14" s="104" t="s" ph="1">
        <v>620</v>
      </c>
      <c r="N14" s="104" t="s" ph="1">
        <v>621</v>
      </c>
      <c r="O14" s="104" t="s" ph="1">
        <v>641</v>
      </c>
      <c r="P14" s="77" t="s" ph="1">
        <v>622</v>
      </c>
      <c r="Q14" s="77" t="s" ph="1">
        <v>622</v>
      </c>
      <c r="R14" s="88" t="s" ph="1">
        <v>7</v>
      </c>
      <c r="S14" s="77" t="s" ph="1">
        <v>622</v>
      </c>
      <c r="T14" s="77" t="s" ph="1">
        <v>624</v>
      </c>
      <c r="U14" s="77" t="s" ph="1">
        <v>605</v>
      </c>
      <c r="V14" s="77" t="s" ph="1">
        <v>633</v>
      </c>
      <c r="W14" s="77" t="s" ph="1">
        <v>622</v>
      </c>
      <c r="X14" s="77" t="s" ph="1">
        <v>625</v>
      </c>
      <c r="Y14" s="143" t="s" ph="1">
        <v>0</v>
      </c>
      <c r="Z14" s="77" t="s" ph="1">
        <v>54</v>
      </c>
      <c r="AA14" s="77" t="s" ph="1">
        <v>613</v>
      </c>
      <c r="AB14" s="77" t="s" ph="1">
        <v>632</v>
      </c>
      <c r="AC14" s="77" t="s" ph="1">
        <v>632</v>
      </c>
      <c r="AD14" s="77" t="s" ph="1">
        <v>612</v>
      </c>
      <c r="AE14" s="77" t="s" ph="1">
        <v>612</v>
      </c>
      <c r="AG14" s="72" t="s" ph="1">
        <v>208</v>
      </c>
      <c r="AI14" s="72" t="s" ph="1">
        <v>209</v>
      </c>
      <c r="AJ14" s="72" t="s" ph="1">
        <v>332</v>
      </c>
      <c r="AK14" s="72" t="s" ph="1">
        <v>210</v>
      </c>
      <c r="AM14" s="72" t="s" ph="1">
        <v>212</v>
      </c>
      <c r="AN14" s="72" t="s" ph="1">
        <v>210</v>
      </c>
      <c r="AO14" s="72" t="s" ph="1">
        <v>211</v>
      </c>
      <c r="AP14" s="72" t="s" ph="1">
        <v>212</v>
      </c>
      <c r="AQ14" s="72" t="s" ph="1">
        <v>210</v>
      </c>
      <c r="AR14" s="72" t="s" ph="1">
        <v>211</v>
      </c>
      <c r="AS14" s="72" t="s" ph="1">
        <v>212</v>
      </c>
      <c r="AT14" s="72" t="s" ph="1">
        <v>210</v>
      </c>
      <c r="AU14" s="72" t="s" ph="1">
        <v>211</v>
      </c>
      <c r="AV14" s="72" t="s" ph="1">
        <v>212</v>
      </c>
      <c r="AW14" s="72" t="s" ph="1">
        <v>210</v>
      </c>
      <c r="AX14" s="72" t="s" ph="1">
        <v>211</v>
      </c>
      <c r="AY14" s="72" t="s" ph="1">
        <v>212</v>
      </c>
      <c r="AZ14" s="72" t="s" ph="1">
        <v>211</v>
      </c>
    </row>
    <row r="15" spans="1:99" ph="1">
      <c r="B15" s="194" ph="1">
        <v>0.33333333333333331</v>
      </c>
      <c r="C15" s="159" t="s" ph="1">
        <v>177</v>
      </c>
      <c r="D15" s="78">
        <v>935</v>
      </c>
      <c r="E15" s="78">
        <v>1805</v>
      </c>
      <c r="F15" s="78">
        <v>243</v>
      </c>
      <c r="G15" s="78">
        <v>3941</v>
      </c>
      <c r="H15" s="78">
        <v>2033</v>
      </c>
      <c r="I15" s="78">
        <v>5398</v>
      </c>
      <c r="J15" s="78">
        <v>5016</v>
      </c>
      <c r="K15" s="78">
        <v>2280</v>
      </c>
      <c r="L15" s="78">
        <v>4510</v>
      </c>
      <c r="M15" s="78">
        <v>5948</v>
      </c>
      <c r="N15" s="78">
        <v>2095</v>
      </c>
      <c r="O15" s="78">
        <v>2701</v>
      </c>
      <c r="P15" s="78">
        <v>3148</v>
      </c>
      <c r="Q15" s="78">
        <v>7001</v>
      </c>
      <c r="R15" s="78">
        <v>1951</v>
      </c>
      <c r="S15" s="78">
        <v>191</v>
      </c>
      <c r="T15" s="78">
        <v>6504</v>
      </c>
      <c r="U15" s="78">
        <v>2681</v>
      </c>
      <c r="V15" s="78">
        <v>-817</v>
      </c>
      <c r="W15" s="71">
        <v>-772</v>
      </c>
      <c r="X15" s="78">
        <v>1334</v>
      </c>
      <c r="Y15" s="106">
        <v>-2367</v>
      </c>
      <c r="Z15" s="78">
        <v>1269</v>
      </c>
      <c r="AA15" s="78">
        <v>2559</v>
      </c>
      <c r="AB15" s="78" ph="1">
        <v>689</v>
      </c>
      <c r="AC15" s="78" ph="1">
        <v>499</v>
      </c>
      <c r="AD15" s="78">
        <v>6.77</v>
      </c>
      <c r="AE15" s="78">
        <v>53.03</v>
      </c>
      <c r="AG15" s="64" t="s" ph="1">
        <v>214</v>
      </c>
      <c r="AH15" s="64" ph="1">
        <v>1</v>
      </c>
      <c r="AI15" s="64" t="s" ph="1">
        <v>333</v>
      </c>
      <c r="AK15" s="64" t="s" ph="1">
        <v>587</v>
      </c>
      <c r="AM15" s="64" t="s" ph="1">
        <v>335</v>
      </c>
      <c r="AZ15" s="64" t="s" ph="1">
        <v>216</v>
      </c>
      <c r="BA15" s="64" ph="1">
        <v>0</v>
      </c>
    </row>
    <row r="16" spans="1:99" s="72" customFormat="1" ht="22.2" ph="1">
      <c r="B16" s="195" ph="1"/>
      <c r="C16" s="159" t="s" ph="1">
        <v>178</v>
      </c>
      <c r="D16" s="73" ph="1">
        <f>D15*7.0686*LOOKUP(D17,密度!$A$2:$A$50,密度!$L$2:$L$50)</f>
        <v>6146.5011299999996</v>
      </c>
      <c r="E16" s="73" ph="1">
        <f>E15*7.0686*LOOKUP(E17,密度!$A$2:$A$50,密度!$L$2:$L$50)</f>
        <v>11865.705390000001</v>
      </c>
      <c r="F16" s="73" ph="1">
        <f>F15*9.0746*LOOKUP(F17,密度!$A$2:$A$50,密度!$L$2:$L$50)</f>
        <v>2052.9739818000003</v>
      </c>
      <c r="G16" s="73" ph="1">
        <f>G15*9.0746*LOOKUP(G17,密度!$A$2:$A$50,密度!$B$2:$B$50)</f>
        <v>27787.849912199999</v>
      </c>
      <c r="H16" s="73" ph="1">
        <f>H15*9.0746*LOOKUP(H17,密度!$A$2:$A$50,密度!$L$2:$L$50)</f>
        <v>17286.396106600001</v>
      </c>
      <c r="I16" s="73" ph="1">
        <f>I15*9.0746*LOOKUP(I17,密度!$A$2:$A$50,密度!$U$2:$U$50)</f>
        <v>50062.353997600003</v>
      </c>
      <c r="J16" s="73" ph="1">
        <f>J15*9.0746*LOOKUP(J17,密度!$A$2:$A$50,密度!$L$2:$L$50)</f>
        <v>42513.992822400003</v>
      </c>
      <c r="K16" s="73" ph="1">
        <f>K15*9.0746*LOOKUP(K17,密度!$A$2:$A$50,密度!$C$2:$C$50)</f>
        <v>22895.651380800002</v>
      </c>
      <c r="L16" s="73" ph="1">
        <f>L15*9.0746*LOOKUP(L17,密度!$A$2:$A$50,密度!$E$2:$E$50)</f>
        <v>31824.4044096</v>
      </c>
      <c r="M16" s="73" ph="1">
        <f>M15*9.0746*LOOKUP(M17,密度!$A$2:$A$50,密度!$M$2:$M$50)</f>
        <v>46841.210024656008</v>
      </c>
      <c r="N16" s="73" ph="1">
        <f>N15*9.0746*LOOKUP(N17,密度!$A$2:$A$50,密度!$M$2:$M$50)</f>
        <v>16636.777253699998</v>
      </c>
      <c r="O16" s="73" ph="1">
        <f>O15*9.0746*LOOKUP(O17,密度!$A$2:$A$50,密度!$G$2:$G$50)</f>
        <v>23429.58178814</v>
      </c>
      <c r="P16" s="73" ph="1">
        <f ca="1">P15*9.0746*LOOKUP(P17,密度!$A$2:$A$51,密度!$Q$2:$Q$50)</f>
        <v>26907.10734952</v>
      </c>
      <c r="Q16" s="73" ph="1">
        <f>Q15*9.0746*LOOKUP(Q17,密度!$A$2:$A$50,密度!$Q$2:$Q$50)</f>
        <v>59840.10754574</v>
      </c>
      <c r="R16" s="73" ph="1">
        <f>MAX(R15*9.0746*LOOKUP(R17,密度!$A$2:$A$50,密度!$B$2:$B$50),0)</f>
        <v>13742.267518520001</v>
      </c>
      <c r="S16" s="73" ph="1">
        <f>S15*9.0746*LOOKUP(S17,密度!$A$2:$A$50,密度!$Q$2:$Q$50)</f>
        <v>1637.2612925320002</v>
      </c>
      <c r="T16" s="73" ph="1">
        <f>T15*9.0746*LOOKUP(T17,密度!$A$2:$A$50,密度!$O$2:$O$50)</f>
        <v>54653.629718400007</v>
      </c>
      <c r="U16" s="73" ph="1">
        <f>U15*9.0746*LOOKUP(U17,密度!$A$2:$A$50,密度!$H$2:$H$50)</f>
        <v>22188.050371199999</v>
      </c>
      <c r="V16" s="73" ph="1">
        <f>MAX(5600*LOOKUP(V17,密度!$A$2:$A$50,密度!$Q$2:$Q$50)+V15*9.0476*LOOKUP(V17,密度!$A$2:$A$50,密度!$Q$2:$Q$50),0)</f>
        <v>0</v>
      </c>
      <c r="W16" s="73" ph="1">
        <f>MAX(5600*LOOKUP(W17,密度!$A$2:$A$50,密度!$Q$2:$Q$50)+W15*9.0476*LOOKUP(W17,密度!$A$2:$A$50,密度!$Q$2:$Q$50),0)</f>
        <v>0</v>
      </c>
      <c r="X16" s="73" ph="1">
        <f>MAX(5600*LOOKUP(X17,密度!$A$2:$A$50,密度!$I$2:$I$50)+X15*9.0476*LOOKUP(X17,密度!$A$2:$A$50,密度!$I$2:$I$50),0)</f>
        <v>18358.608837599997</v>
      </c>
      <c r="Y16" s="107" ph="1">
        <v>0</v>
      </c>
      <c r="Z16" s="73" ph="1">
        <f>Z15*9.0746*LOOKUP(Z17,密度!$A$2:$A$50,密度!$D$2:$D$50)</f>
        <v>11769.0120828</v>
      </c>
      <c r="AA16" s="73" ph="1">
        <f>AA15*9.0746*LOOKUP(AA17,密度!$A$2:$A$50,密度!$B$2:$B$50)</f>
        <v>18043.4173878</v>
      </c>
      <c r="AB16" s="73" ph="1">
        <f>AB15*9.0746*LOOKUP(AB17,密度!$A$2:$A$50,密度!$L$2:$L$50)</f>
        <v>5839.7410396000005</v>
      </c>
      <c r="AC16" s="73" ph="1">
        <f>AC15*9.0746*LOOKUP(AC17,密度!$A$2:$A$50,密度!$L$2:$L$50)</f>
        <v>4233.8907490000001</v>
      </c>
      <c r="AD16" s="73" ph="1">
        <f>AD15*268.68*LOOKUP(AD17,密度!$A$2:$A$50,密度!B2:B50)+IF(AD15&lt;=0,0,1566*LOOKUP(AD17,密度!$A$2:$A$50,密度!B2:B50))</f>
        <v>2638.9176225599999</v>
      </c>
      <c r="AE16" s="73" ph="1">
        <f>AE15*268.68*LOOKUP(AE17,密度!$A$2:$A$50,密度!B2:B50)+IF(AE15&lt;=0,0,1566*LOOKUP(AE17,密度!$A$2:$A$50,密度!B2:B50))</f>
        <v>12328.67267184</v>
      </c>
      <c r="AH16" s="72" ph="1">
        <v>2</v>
      </c>
      <c r="AI16" s="72" t="s" ph="1">
        <v>337</v>
      </c>
      <c r="AZ16" s="72" t="s" ph="1">
        <v>216</v>
      </c>
      <c r="BA16" s="72" ph="1">
        <v>0</v>
      </c>
    </row>
    <row r="17" spans="1:57" ph="1">
      <c r="A17" s="64" t="s" ph="1">
        <v>73</v>
      </c>
      <c r="B17" s="196" ph="1"/>
      <c r="C17" s="79" t="s" ph="1">
        <v>179</v>
      </c>
      <c r="D17" s="74">
        <v>32</v>
      </c>
      <c r="E17" s="74">
        <v>32</v>
      </c>
      <c r="F17" s="74">
        <v>31</v>
      </c>
      <c r="G17" s="74">
        <v>28</v>
      </c>
      <c r="H17" s="74">
        <v>25</v>
      </c>
      <c r="I17" s="74">
        <v>28</v>
      </c>
      <c r="J17" s="74">
        <v>28</v>
      </c>
      <c r="K17" s="74">
        <v>28</v>
      </c>
      <c r="L17" s="74">
        <v>30</v>
      </c>
      <c r="M17" s="74">
        <v>32</v>
      </c>
      <c r="N17" s="74">
        <v>25</v>
      </c>
      <c r="O17" s="74">
        <v>29</v>
      </c>
      <c r="P17" s="74">
        <v>32</v>
      </c>
      <c r="Q17" s="74">
        <v>32</v>
      </c>
      <c r="R17" s="74">
        <v>29</v>
      </c>
      <c r="S17" s="74">
        <v>28</v>
      </c>
      <c r="T17" s="74">
        <v>27</v>
      </c>
      <c r="U17" s="74">
        <v>28</v>
      </c>
      <c r="V17" s="74">
        <v>33</v>
      </c>
      <c r="W17" s="74">
        <v>29</v>
      </c>
      <c r="X17" s="74">
        <v>28</v>
      </c>
      <c r="Y17" s="108">
        <v>28</v>
      </c>
      <c r="Z17" s="74">
        <v>30</v>
      </c>
      <c r="AA17" s="74">
        <v>28</v>
      </c>
      <c r="AB17" s="74">
        <v>28</v>
      </c>
      <c r="AC17" s="74">
        <v>27</v>
      </c>
      <c r="AD17" s="74">
        <v>25</v>
      </c>
      <c r="AE17" s="74">
        <v>25</v>
      </c>
      <c r="AH17" s="64" ph="1">
        <v>3</v>
      </c>
      <c r="AI17" s="64" t="s" ph="1">
        <v>338</v>
      </c>
      <c r="AK17" s="64" t="s" ph="1">
        <v>570</v>
      </c>
      <c r="AL17" s="64" ph="1">
        <v>80</v>
      </c>
      <c r="AM17" s="64" t="s" ph="1">
        <v>335</v>
      </c>
      <c r="AZ17" s="64" t="s" ph="1">
        <v>216</v>
      </c>
      <c r="BA17" s="64" ph="1">
        <v>80</v>
      </c>
      <c r="BD17" s="64" t="s" ph="1">
        <v>214</v>
      </c>
      <c r="BE17" s="64" ph="1">
        <v>2270</v>
      </c>
    </row>
    <row r="18" spans="1:57" ht="26.4" ph="1">
      <c r="B18" s="194" ph="1">
        <v>0.66666666666666663</v>
      </c>
      <c r="C18" s="79" t="s" ph="1">
        <v>180</v>
      </c>
      <c r="D18" s="71">
        <v>4015</v>
      </c>
      <c r="E18" s="71">
        <v>50</v>
      </c>
      <c r="F18" s="71">
        <v>243</v>
      </c>
      <c r="G18" s="71">
        <v>4069</v>
      </c>
      <c r="H18" s="71">
        <v>2035</v>
      </c>
      <c r="I18" s="71">
        <v>5402</v>
      </c>
      <c r="J18" s="71">
        <v>4305</v>
      </c>
      <c r="K18" s="71">
        <v>2281</v>
      </c>
      <c r="L18" s="71">
        <v>4518</v>
      </c>
      <c r="M18" s="71">
        <v>4974</v>
      </c>
      <c r="N18" s="71">
        <v>2721</v>
      </c>
      <c r="O18" s="71">
        <v>2703</v>
      </c>
      <c r="P18" s="71">
        <v>4534</v>
      </c>
      <c r="Q18" s="71">
        <v>5365</v>
      </c>
      <c r="R18" s="71">
        <v>1952</v>
      </c>
      <c r="S18" s="71">
        <v>191</v>
      </c>
      <c r="T18" s="71">
        <v>5934</v>
      </c>
      <c r="U18" s="71">
        <v>2682</v>
      </c>
      <c r="V18" s="71">
        <v>-817</v>
      </c>
      <c r="W18" s="71">
        <v>-775</v>
      </c>
      <c r="X18" s="71">
        <v>1290</v>
      </c>
      <c r="Y18" s="109">
        <v>-9909</v>
      </c>
      <c r="Z18" s="71">
        <v>1269</v>
      </c>
      <c r="AA18" s="71">
        <v>2562</v>
      </c>
      <c r="AB18" s="71">
        <v>691</v>
      </c>
      <c r="AC18" s="71">
        <v>500</v>
      </c>
      <c r="AD18" s="71">
        <v>25.93</v>
      </c>
      <c r="AE18" s="71">
        <v>85.62</v>
      </c>
      <c r="AH18" s="64" ph="1">
        <v>4</v>
      </c>
      <c r="AI18" s="64" t="s" ph="1">
        <v>340</v>
      </c>
      <c r="AJ18" s="64" t="s" ph="1">
        <v>588</v>
      </c>
      <c r="AK18" s="64" t="s" ph="1">
        <v>587</v>
      </c>
      <c r="AL18" s="64" ph="1">
        <v>740</v>
      </c>
      <c r="AM18" s="64" t="s" ph="1">
        <v>339</v>
      </c>
      <c r="AZ18" s="64" t="s" ph="1">
        <v>216</v>
      </c>
      <c r="BA18" s="64" ph="1">
        <v>740</v>
      </c>
    </row>
    <row r="19" spans="1:57" s="72" customFormat="1" ht="22.2" ph="1">
      <c r="B19" s="195" ph="1"/>
      <c r="C19" s="159" t="s" ph="1">
        <v>178</v>
      </c>
      <c r="D19" s="73" ph="1">
        <f>D18*7.0686*LOOKUP(D20,密度!$A$2:$A$50,密度!$L$2:$L$50)</f>
        <v>26308.657683000001</v>
      </c>
      <c r="E19" s="73" ph="1">
        <f>E18*7.0686*LOOKUP(E20,密度!$A$2:$A$50,密度!$L$2:$L$50)</f>
        <v>327.62961000000001</v>
      </c>
      <c r="F19" s="73" ph="1">
        <f>F18*9.0746*LOOKUP(F20,密度!$A$2:$A$50,密度!$L$2:$L$50)</f>
        <v>2041.9483428000003</v>
      </c>
      <c r="G19" s="73" ph="1">
        <f>G18*9.0746*LOOKUP(G20,密度!$A$2:$A$50,密度!$B$2:$B$50)</f>
        <v>28627.601599220001</v>
      </c>
      <c r="H19" s="73" ph="1">
        <f>H18*9.0746*LOOKUP(H20,密度!$A$2:$A$50,密度!$L$2:$L$50)</f>
        <v>17266.468285000003</v>
      </c>
      <c r="I19" s="73" ph="1">
        <f>I18*9.0746*LOOKUP(I20,密度!$A$2:$A$50,密度!$U$2:$U$50)</f>
        <v>49638.653663919999</v>
      </c>
      <c r="J19" s="73" ph="1">
        <f>J18*9.0746*LOOKUP(J20,密度!$A$2:$A$50,密度!$L$2:$L$50)</f>
        <v>36097.125372000002</v>
      </c>
      <c r="K19" s="73" ph="1">
        <f>K18*9.0746*LOOKUP(K20,密度!$A$2:$A$50,密度!$C$2:$C$50)</f>
        <v>22810.477185200001</v>
      </c>
      <c r="L19" s="73" ph="1">
        <f>L18*9.0746*LOOKUP(L20,密度!$A$2:$A$50,密度!$E$2:$E$50)</f>
        <v>31787.377863696001</v>
      </c>
      <c r="M19" s="73" ph="1">
        <f>M18*9.0746*LOOKUP(M20,密度!$A$2:$A$50,密度!$M$2:$M$50)</f>
        <v>39076.055929488</v>
      </c>
      <c r="N19" s="73" ph="1">
        <f>N18*9.0746*LOOKUP(N20,密度!$A$2:$A$50,密度!$M$2:$M$50)</f>
        <v>21531.412315199999</v>
      </c>
      <c r="O19" s="73" ph="1">
        <f>O18*9.0746*LOOKUP(O20,密度!$A$2:$A$50,密度!$G$2:$G$50)</f>
        <v>23288.230283034001</v>
      </c>
      <c r="P19" s="73" ph="1">
        <f ca="1">P18*9.0746*LOOKUP(P20,密度!$A$2:$A$51,密度!$Q$2:$Q$50)</f>
        <v>38673.113561816004</v>
      </c>
      <c r="Q19" s="73" ph="1">
        <f>Q18*9.0746*LOOKUP(Q20,密度!$A$2:$A$50,密度!$Q$2:$Q$50)</f>
        <v>45761.194146260001</v>
      </c>
      <c r="R19" s="73" ph="1">
        <f>MAX(R18*9.0746*LOOKUP(R20,密度!$A$2:$A$50,密度!$B$2:$B$50),0)</f>
        <v>13717.426708480001</v>
      </c>
      <c r="S19" s="73" ph="1">
        <f>S18*9.0746*LOOKUP(S20,密度!$A$2:$A$50,密度!$Q$2:$Q$50)</f>
        <v>1629.1496890840001</v>
      </c>
      <c r="T19" s="73" ph="1">
        <f>T18*9.0746*LOOKUP(T20,密度!$A$2:$A$50,密度!$O$2:$O$50)</f>
        <v>49648.479640800004</v>
      </c>
      <c r="U19" s="73" ph="1">
        <f>U18*9.0746*LOOKUP(U20,密度!$A$2:$A$50,密度!$H$2:$H$50)</f>
        <v>22147.650251999999</v>
      </c>
      <c r="V19" s="73" ph="1">
        <f>MAX(5600*LOOKUP(V20,密度!$A$2:$A$50,密度!$Q$2:$Q$50)+V18*9.0476*LOOKUP(V20,密度!$A$2:$A$50,密度!$Q$2:$Q$50),0)</f>
        <v>0</v>
      </c>
      <c r="W19" s="73" ph="1">
        <f>MAX(5600*LOOKUP(W20,密度!$A$2:$A$50,密度!$Q$2:$Q$50)+W18*9.0476*LOOKUP(W20,密度!$A$2:$A$50,密度!$Q$2:$Q$50),0)</f>
        <v>0</v>
      </c>
      <c r="X19" s="73" ph="1">
        <f>MAX(5600*LOOKUP(X20,密度!$A$2:$A$50,密度!$I$2:$I$50)+X18*9.0476*LOOKUP(X20,密度!$A$2:$A$50,密度!$I$2:$I$50),0)</f>
        <v>17886.2659824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11718.34314624</v>
      </c>
      <c r="AA19" s="73" ph="1">
        <f>AA18*9.0746*LOOKUP(AA20,密度!$A$2:$A$50,密度!$B$2:$B$50)</f>
        <v>18025.046767560001</v>
      </c>
      <c r="AB19" s="73" ph="1">
        <f>AB18*9.0746*LOOKUP(AB20,密度!$A$2:$A$50,密度!$L$2:$L$50)</f>
        <v>5825.3396494000008</v>
      </c>
      <c r="AC19" s="73" ph="1">
        <f>AC18*9.0746*LOOKUP(AC20,密度!$A$2:$A$50,密度!$L$2:$L$50)</f>
        <v>4210.6144000000004</v>
      </c>
      <c r="AD19" s="73" ph="1">
        <f>AD18*268.68*LOOKUP(AD20,密度!$A$2:$A$50,密度!B5:B53)+IF(AD18&lt;=0,0,1566*LOOKUP(AD20,密度!$A$2:$A$50,密度!B5:B53))</f>
        <v>6630.0418548000007</v>
      </c>
      <c r="AE19" s="73" ph="1">
        <f>AE18*268.68*LOOKUP(AE20,密度!$A$2:$A$50,密度!B5:B53)+IF(AE18&lt;=0,0,1566*LOOKUP(AE20,密度!$A$2:$A$50,密度!B5:B53))</f>
        <v>19091.186503199999</v>
      </c>
      <c r="AH19" s="72" ph="1">
        <v>5</v>
      </c>
      <c r="AI19" s="72" t="s" ph="1">
        <v>341</v>
      </c>
      <c r="AZ19" s="72" t="s" ph="1">
        <v>216</v>
      </c>
      <c r="BA19" s="72" ph="1">
        <v>0</v>
      </c>
      <c r="BD19" s="72" t="s" ph="1">
        <v>342</v>
      </c>
      <c r="BE19" s="72" ph="1">
        <v>1440</v>
      </c>
    </row>
    <row r="20" spans="1:57" ph="1">
      <c r="A20" s="72" ph="1"/>
      <c r="B20" s="195" ph="1"/>
      <c r="C20" s="80" t="s" ph="1">
        <v>179</v>
      </c>
      <c r="D20" s="81">
        <v>35</v>
      </c>
      <c r="E20" s="81">
        <v>35</v>
      </c>
      <c r="F20" s="81">
        <v>36</v>
      </c>
      <c r="G20" s="81">
        <v>30</v>
      </c>
      <c r="H20" s="81">
        <v>27</v>
      </c>
      <c r="I20" s="81">
        <v>38</v>
      </c>
      <c r="J20" s="81">
        <v>38</v>
      </c>
      <c r="K20" s="81">
        <v>33</v>
      </c>
      <c r="L20" s="81">
        <v>32</v>
      </c>
      <c r="M20" s="81">
        <v>34</v>
      </c>
      <c r="N20" s="81">
        <v>28</v>
      </c>
      <c r="O20" s="81">
        <v>35</v>
      </c>
      <c r="P20" s="81">
        <v>35</v>
      </c>
      <c r="Q20" s="81">
        <v>35</v>
      </c>
      <c r="R20" s="81">
        <v>31</v>
      </c>
      <c r="S20" s="81">
        <v>35</v>
      </c>
      <c r="T20" s="81">
        <v>30</v>
      </c>
      <c r="U20" s="81">
        <v>30</v>
      </c>
      <c r="V20" s="81">
        <v>37</v>
      </c>
      <c r="W20" s="81">
        <v>33</v>
      </c>
      <c r="X20" s="81">
        <v>31</v>
      </c>
      <c r="Y20" s="110">
        <v>31</v>
      </c>
      <c r="Z20" s="81">
        <v>35</v>
      </c>
      <c r="AA20" s="81">
        <v>30</v>
      </c>
      <c r="AB20" s="81">
        <v>33</v>
      </c>
      <c r="AC20" s="81">
        <v>34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343</v>
      </c>
      <c r="AZ20" s="64" t="s" ph="1">
        <v>216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344</v>
      </c>
      <c r="AZ21" s="64" t="s" ph="1">
        <v>216</v>
      </c>
      <c r="BA21" s="64" ph="1">
        <v>0</v>
      </c>
      <c r="BD21" s="64" t="s" ph="1">
        <v>232</v>
      </c>
      <c r="BE21" s="64" ph="1">
        <v>730</v>
      </c>
    </row>
    <row r="22" spans="1:57" ph="1">
      <c r="A22" s="72" ph="1"/>
      <c r="B22" s="193" t="s" ph="1">
        <v>37</v>
      </c>
      <c r="C22" s="85" t="s" ph="1">
        <v>176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172" t="s" ph="1">
        <v>69</v>
      </c>
      <c r="AA22" s="173"/>
      <c r="AB22" s="173"/>
      <c r="AC22" s="173"/>
      <c r="AD22" s="173"/>
      <c r="AE22" s="174"/>
      <c r="AH22" s="64" ph="1">
        <v>8</v>
      </c>
      <c r="AI22" s="64" t="s" ph="1">
        <v>345</v>
      </c>
      <c r="AZ22" s="64" t="s" ph="1">
        <v>216</v>
      </c>
      <c r="BA22" s="64" ph="1">
        <v>0</v>
      </c>
    </row>
    <row r="23" spans="1:57" ph="1">
      <c r="A23" s="72" ph="1"/>
      <c r="B23" s="188" ph="1"/>
      <c r="C23" s="67" t="s" ph="1">
        <v>36</v>
      </c>
      <c r="D23" s="88" t="s" ph="1">
        <v>109</v>
      </c>
      <c r="E23" s="88" t="s" ph="1">
        <v>107</v>
      </c>
      <c r="F23" s="88" t="s" ph="1">
        <v>109</v>
      </c>
      <c r="G23" s="88" t="s" ph="1">
        <v>626</v>
      </c>
      <c r="H23" s="88" t="s" ph="1">
        <v>626</v>
      </c>
      <c r="I23" s="88" t="s" ph="1">
        <v>627</v>
      </c>
      <c r="J23" s="88" t="s" ph="1">
        <v>628</v>
      </c>
      <c r="K23" s="88" t="s" ph="1">
        <v>628</v>
      </c>
      <c r="L23" s="88" t="s" ph="1">
        <v>628</v>
      </c>
      <c r="M23" s="88" t="s" ph="1">
        <v>623</v>
      </c>
      <c r="N23" s="88" t="s" ph="1">
        <v>623</v>
      </c>
      <c r="O23" s="88" t="s" ph="1">
        <v>318</v>
      </c>
      <c r="P23" s="88" t="s" ph="1">
        <v>629</v>
      </c>
      <c r="Q23" s="89" t="s" ph="1">
        <v>629</v>
      </c>
      <c r="R23" s="88" t="s" ph="1">
        <v>610</v>
      </c>
      <c r="S23" s="88" t="s" ph="1">
        <v>629</v>
      </c>
      <c r="T23" s="88" t="s" ph="1">
        <v>604</v>
      </c>
      <c r="U23" s="104" t="s" ph="1">
        <v>606</v>
      </c>
      <c r="V23" s="88" t="s" ph="1">
        <v>629</v>
      </c>
      <c r="W23" s="88" t="s" ph="1">
        <v>629</v>
      </c>
      <c r="X23" s="88" t="s" ph="1">
        <v>187</v>
      </c>
      <c r="Y23" s="88" t="s" ph="1">
        <v>630</v>
      </c>
      <c r="Z23" s="175" t="s" ph="1">
        <v>643</v>
      </c>
      <c r="AA23" s="176"/>
      <c r="AB23" s="176"/>
      <c r="AC23" s="176"/>
      <c r="AD23" s="176"/>
      <c r="AE23" s="177"/>
      <c r="AH23" s="64" ph="1">
        <v>9</v>
      </c>
      <c r="AI23" s="64" t="s" ph="1">
        <v>346</v>
      </c>
      <c r="AZ23" s="64" t="s" ph="1">
        <v>216</v>
      </c>
      <c r="BA23" s="64" ph="1">
        <v>0</v>
      </c>
      <c r="BD23" s="64" t="s" ph="1">
        <v>238</v>
      </c>
      <c r="BE23" s="64" ph="1">
        <v>890</v>
      </c>
    </row>
    <row r="24" spans="1:57" ph="1">
      <c r="A24" s="72" ph="1"/>
      <c r="B24" s="184" ph="1">
        <v>0.33333333333333331</v>
      </c>
      <c r="C24" s="159" t="s" ph="1">
        <v>177</v>
      </c>
      <c r="D24" s="71">
        <v>49.8</v>
      </c>
      <c r="E24" s="71">
        <v>5.78</v>
      </c>
      <c r="F24" s="71">
        <v>4076</v>
      </c>
      <c r="G24" s="71">
        <v>3918</v>
      </c>
      <c r="H24" s="71">
        <v>3753</v>
      </c>
      <c r="I24" s="71">
        <v>2705</v>
      </c>
      <c r="J24" s="71">
        <v>189</v>
      </c>
      <c r="K24" s="71">
        <v>223</v>
      </c>
      <c r="L24" s="71">
        <v>302</v>
      </c>
      <c r="M24" s="71">
        <v>324</v>
      </c>
      <c r="N24" s="71">
        <v>318</v>
      </c>
      <c r="O24" s="71">
        <v>341</v>
      </c>
      <c r="P24" s="71">
        <v>1122</v>
      </c>
      <c r="Q24" s="90">
        <v>3475</v>
      </c>
      <c r="R24" s="71">
        <v>6533</v>
      </c>
      <c r="S24" s="71">
        <v>298</v>
      </c>
      <c r="T24" s="71">
        <v>361</v>
      </c>
      <c r="U24" s="71">
        <v>5307</v>
      </c>
      <c r="V24" s="71">
        <v>883</v>
      </c>
      <c r="W24" s="71">
        <v>404</v>
      </c>
      <c r="X24" s="71">
        <v>5399</v>
      </c>
      <c r="Y24" s="71">
        <v>7329</v>
      </c>
      <c r="Z24" s="178"/>
      <c r="AA24" s="179"/>
      <c r="AB24" s="179"/>
      <c r="AC24" s="179"/>
      <c r="AD24" s="179"/>
      <c r="AE24" s="180"/>
      <c r="AH24" s="64" ph="1">
        <v>10</v>
      </c>
      <c r="AI24" s="64" t="s" ph="1">
        <v>347</v>
      </c>
      <c r="AZ24" s="64" t="s" ph="1">
        <v>216</v>
      </c>
      <c r="BA24" s="64" ph="1">
        <v>0</v>
      </c>
    </row>
    <row r="25" spans="1:57" ph="1">
      <c r="A25" s="72" ph="1"/>
      <c r="B25" s="184" ph="1"/>
      <c r="C25" s="68" t="s" ph="1">
        <v>178</v>
      </c>
      <c r="D25" s="91" ph="1">
        <f>D24*268.68*LOOKUP(D26,密度!$A$2:$A$50,密度!$Q$2:$Q$50)+IF(D24&lt;=0,0,1566*LOOKUP(D26,密度!$A$2:$A$50,密度!$Q$2:$Q$50))</f>
        <v>14150.225979359999</v>
      </c>
      <c r="E25" s="91" ph="1">
        <f>E24*268.68*LOOKUP(E26,密度!$A$2:$A$50,密度!$C$2:$C$50)+IF(E24&lt;=0,0,1566*LOOKUP(E26,密度!$A$2:$A$50,密度!$C$2:$C$50))</f>
        <v>3458.6262765600004</v>
      </c>
      <c r="F25" s="91" ph="1">
        <f>F24*11.702*LOOKUP(F26,密度!$A$2:$A$50,密度!$Q$2:$Q$50)</f>
        <v>45089.260792640001</v>
      </c>
      <c r="G25" s="91" ph="1">
        <f>G24*18.322*LOOKUP(G26,密度!$A$2:$A$50,密度!$B$2:$B$50)</f>
        <v>55590.765542399989</v>
      </c>
      <c r="H25" s="91" ph="1">
        <f>H24*18.322*LOOKUP(H26,密度!$A$2:$A$50,密度!$B$2:$B$50)</f>
        <v>53311.539889799998</v>
      </c>
      <c r="I25" s="91" ph="1">
        <f>I24*18.322*LOOKUP(I26,密度!$A$2:$A$50,密度!$Q$2:$Q$50)</f>
        <v>46816.321266199993</v>
      </c>
      <c r="J25" s="91" ph="1">
        <f>J24*18.322*LOOKUP(J26,密度!$A$2:$A$50,密度!$Q$2:$Q$50)</f>
        <v>3273.5089245599997</v>
      </c>
      <c r="K25" s="91" ph="1">
        <f>K24*18.322*LOOKUP(K26,密度!$A$2:$A$50,密度!$Q$2:$Q$50)</f>
        <v>3862.3941279200003</v>
      </c>
      <c r="L25" s="91" ph="1">
        <f>L24*18.322*LOOKUP(L26,密度!$A$2:$A$50,密度!$Q$2:$Q$50)</f>
        <v>5234.6148213199995</v>
      </c>
      <c r="M25" s="91" ph="1">
        <f>M24*18.322*LOOKUP(M26,密度!$A$2:$A$50,密度!$Q$2:$Q$50)</f>
        <v>5615.94437784</v>
      </c>
      <c r="N25" s="91" ph="1">
        <f>N24*18.322*LOOKUP(N26,密度!$A$2:$A$50,密度!$Q$2:$Q$50)</f>
        <v>5511.9454078799999</v>
      </c>
      <c r="O25" s="91" ph="1">
        <f>O24*18.322*LOOKUP(O26,密度!$A$2:$A$50,密度!$C$2:$C$50)</f>
        <v>6928.1876377999997</v>
      </c>
      <c r="P25" s="91" ph="1">
        <f>P24*11.702*LOOKUP(P26,密度!$A$2:$A$50,密度!$B$2:$B$50)</f>
        <v>10213.550067600001</v>
      </c>
      <c r="Q25" s="92" ph="1">
        <f>Q24*18.322*LOOKUP(Q26,密度!$A$2:$A$50,密度!$B$2:$B$50)</f>
        <v>49419.838989999997</v>
      </c>
      <c r="R25" s="91" ph="1">
        <f>R24*35.891*LOOKUP(R26,密度!$A$2:$A$50,密度!$C$2:$C$50)</f>
        <v>259306.90112770002</v>
      </c>
      <c r="S25" s="91" ph="1">
        <f>S24*35.891*LOOKUP(S26,密度!$A$2:$A$50,密度!$B$2:$B$50)</f>
        <v>8328.5998665999996</v>
      </c>
      <c r="T25" s="91" ph="1">
        <f>T24*35.891*LOOKUP(T26,密度!$A$2:$A$50,密度!$Q$2:$Q$50)</f>
        <v>12239.11166762</v>
      </c>
      <c r="U25" s="91" ph="1">
        <f>U24*35.891</f>
        <v>190473.53699999998</v>
      </c>
      <c r="V25" s="91" ph="1">
        <f>V24*47.051*LOOKUP(V26,密度!$A$2:$A$50,密度!$B$2:$B$50)</f>
        <v>32389.2873268</v>
      </c>
      <c r="W25" s="91" ph="1">
        <f>W24*47.051*LOOKUP(W26,密度!$A$2:$A$50,密度!$B$2:$B$50)</f>
        <v>14836.215421999999</v>
      </c>
      <c r="X25" s="91" ph="1">
        <f>X24*47.051*LOOKUP(X26,密度!$A$2:$A$61,密度!$I$2:$I$61)</f>
        <v>264494.31697879999</v>
      </c>
      <c r="Y25" s="91" ph="1">
        <f>Y24*47.051*LOOKUP(Y26,密度!$A$2:$A$50,密度!$L$2:$L$50)</f>
        <v>321387.87802800006</v>
      </c>
      <c r="Z25" s="178"/>
      <c r="AA25" s="179"/>
      <c r="AB25" s="179"/>
      <c r="AC25" s="179"/>
      <c r="AD25" s="179"/>
      <c r="AE25" s="180"/>
      <c r="AH25" s="64" ph="1">
        <v>11</v>
      </c>
      <c r="AI25" s="64" t="s" ph="1">
        <v>348</v>
      </c>
      <c r="AZ25" s="64" t="s" ph="1">
        <v>216</v>
      </c>
      <c r="BA25" s="64" ph="1">
        <v>0</v>
      </c>
      <c r="BD25" s="64" t="s" ph="1">
        <v>241</v>
      </c>
      <c r="BE25" s="64" ph="1">
        <v>8920</v>
      </c>
    </row>
    <row r="26" spans="1:57" ph="1">
      <c r="A26" s="72" ph="1"/>
      <c r="B26" s="184" ph="1"/>
      <c r="C26" s="68" t="s" ph="1">
        <v>179</v>
      </c>
      <c r="D26" s="74">
        <v>25</v>
      </c>
      <c r="E26" s="74">
        <v>25</v>
      </c>
      <c r="F26" s="74">
        <v>27</v>
      </c>
      <c r="G26" s="74">
        <v>31</v>
      </c>
      <c r="H26" s="74">
        <v>30</v>
      </c>
      <c r="I26" s="74">
        <v>28</v>
      </c>
      <c r="J26" s="74">
        <v>27</v>
      </c>
      <c r="K26" s="74">
        <v>27</v>
      </c>
      <c r="L26" s="74">
        <v>26</v>
      </c>
      <c r="M26" s="74">
        <v>26</v>
      </c>
      <c r="N26" s="74">
        <v>26</v>
      </c>
      <c r="O26" s="74">
        <v>25</v>
      </c>
      <c r="P26" s="74">
        <v>27</v>
      </c>
      <c r="Q26" s="93">
        <v>29</v>
      </c>
      <c r="R26" s="74">
        <v>29</v>
      </c>
      <c r="S26" s="74">
        <v>26</v>
      </c>
      <c r="T26" s="74">
        <v>28</v>
      </c>
      <c r="U26" s="74">
        <v>28</v>
      </c>
      <c r="V26" s="74">
        <v>25</v>
      </c>
      <c r="W26" s="74">
        <v>24</v>
      </c>
      <c r="X26" s="74">
        <v>26</v>
      </c>
      <c r="Y26" s="74">
        <v>30</v>
      </c>
      <c r="Z26" s="178"/>
      <c r="AA26" s="179"/>
      <c r="AB26" s="179"/>
      <c r="AC26" s="179"/>
      <c r="AD26" s="179"/>
      <c r="AE26" s="180"/>
      <c r="AH26" s="64" ph="1">
        <v>12</v>
      </c>
      <c r="AI26" s="64" t="s" ph="1">
        <v>349</v>
      </c>
      <c r="AZ26" s="64" t="s" ph="1">
        <v>216</v>
      </c>
      <c r="BA26" s="64" ph="1">
        <v>0</v>
      </c>
    </row>
    <row r="27" spans="1:57" ht="26.4" ph="1">
      <c r="A27" s="72" ph="1"/>
      <c r="B27" s="184" ph="1">
        <v>0.66666666666666663</v>
      </c>
      <c r="C27" s="159" t="s" ph="1">
        <v>180</v>
      </c>
      <c r="D27" s="71">
        <v>48.98</v>
      </c>
      <c r="E27" s="71">
        <v>5.75</v>
      </c>
      <c r="F27" s="71">
        <v>2689</v>
      </c>
      <c r="G27" s="71">
        <v>3410</v>
      </c>
      <c r="H27" s="71">
        <v>3339</v>
      </c>
      <c r="I27" s="71">
        <v>2704</v>
      </c>
      <c r="J27" s="71">
        <v>182</v>
      </c>
      <c r="K27" s="71">
        <v>219</v>
      </c>
      <c r="L27" s="71">
        <v>295</v>
      </c>
      <c r="M27" s="71">
        <v>319</v>
      </c>
      <c r="N27" s="71">
        <v>313</v>
      </c>
      <c r="O27" s="71">
        <v>336</v>
      </c>
      <c r="P27" s="71">
        <v>1120</v>
      </c>
      <c r="Q27" s="90">
        <v>3797</v>
      </c>
      <c r="R27" s="71">
        <v>6523</v>
      </c>
      <c r="S27" s="71">
        <v>295</v>
      </c>
      <c r="T27" s="71">
        <v>360</v>
      </c>
      <c r="U27" s="71">
        <v>5317</v>
      </c>
      <c r="V27" s="71">
        <v>879</v>
      </c>
      <c r="W27" s="71">
        <v>403</v>
      </c>
      <c r="X27" s="71">
        <v>5886</v>
      </c>
      <c r="Y27" s="71">
        <v>7836</v>
      </c>
      <c r="Z27" s="178"/>
      <c r="AA27" s="179"/>
      <c r="AB27" s="179"/>
      <c r="AC27" s="179"/>
      <c r="AD27" s="179"/>
      <c r="AE27" s="180"/>
      <c r="AH27" s="64" ph="1">
        <v>13</v>
      </c>
      <c r="AI27" s="64" t="s" ph="1">
        <v>350</v>
      </c>
      <c r="AZ27" s="64" t="s" ph="1">
        <v>216</v>
      </c>
      <c r="BA27" s="64" ph="1">
        <v>0</v>
      </c>
      <c r="BD27" s="64" t="s" ph="1">
        <v>295</v>
      </c>
      <c r="BE27" s="64" ph="1">
        <v>7100</v>
      </c>
    </row>
    <row r="28" spans="1:57" ph="1">
      <c r="A28" s="72" ph="1"/>
      <c r="B28" s="184" ph="1"/>
      <c r="C28" s="159" t="s" ph="1">
        <v>178</v>
      </c>
      <c r="D28" s="91" ph="1">
        <f>D27*268.68*LOOKUP(D29,密度!$A$2:$A$50,密度!$Q$2:$Q$50)+IF(D27&lt;=0,0,1566*LOOKUP(D29,密度!$A$2:$A$50,密度!$Q$2:$Q$50))</f>
        <v>13941.642494735999</v>
      </c>
      <c r="E28" s="91" ph="1">
        <f>E27*268.68*LOOKUP(E29,密度!$A$2:$A$50,密度!$C$2:$C$50)+IF(E27&lt;=0,0,1566*LOOKUP(E29,密度!$A$2:$A$50,密度!$C$2:$C$50))</f>
        <v>3449.688099</v>
      </c>
      <c r="F28" s="91" ph="1">
        <f>F27*11.702*LOOKUP(F29,密度!$A$2:$A$50,密度!$Q$2:$Q$50)</f>
        <v>29746.08004696</v>
      </c>
      <c r="G28" s="91" ph="1">
        <f>G27*18.322*LOOKUP(G29,密度!$A$2:$A$50,密度!$B$2:$B$50)</f>
        <v>48326.748469999999</v>
      </c>
      <c r="H28" s="91" ph="1">
        <f>H27*18.322*LOOKUP(H29,密度!$A$2:$A$50,密度!$B$2:$B$50)</f>
        <v>47430.650597399996</v>
      </c>
      <c r="I28" s="91" ph="1">
        <f>I27*18.322*LOOKUP(I29,密度!$A$2:$A$50,密度!$Q$2:$Q$50)</f>
        <v>46735.103871039995</v>
      </c>
      <c r="J28" s="91" ph="1">
        <f>J27*18.322*LOOKUP(J29,密度!$A$2:$A$50,密度!$Q$2:$Q$50)</f>
        <v>3125.8577895999997</v>
      </c>
      <c r="K28" s="91" ph="1">
        <f>K27*18.322*LOOKUP(K29,密度!$A$2:$A$50,密度!$Q$2:$Q$50)</f>
        <v>3779.3907042000001</v>
      </c>
      <c r="L28" s="91" ph="1">
        <f>L27*18.322*LOOKUP(L29,密度!$A$2:$A$50,密度!$Q$2:$Q$50)</f>
        <v>5087.4468374999997</v>
      </c>
      <c r="M28" s="91" ph="1">
        <f>M27*18.322*LOOKUP(M29,密度!$A$2:$A$50,密度!$Q$2:$Q$50)</f>
        <v>5482.46237836</v>
      </c>
      <c r="N28" s="91" ph="1">
        <f>N27*18.322*LOOKUP(N29,密度!$A$2:$A$50,密度!$Q$2:$Q$50)</f>
        <v>5401.5949333999997</v>
      </c>
      <c r="O28" s="91" ph="1">
        <f>O27*18.322*LOOKUP(O29,密度!$A$2:$A$50,密度!$C$2:$C$50)</f>
        <v>6797.0515872000005</v>
      </c>
      <c r="P28" s="91" ph="1">
        <f>P27*11.702*LOOKUP(P29,密度!$A$2:$A$50,密度!$B$2:$B$50)</f>
        <v>10173.063488</v>
      </c>
      <c r="Q28" s="92" ph="1">
        <f>Q27*18.322*LOOKUP(Q29,密度!$A$2:$A$50,密度!$B$2:$B$50)</f>
        <v>53811.338398999993</v>
      </c>
      <c r="R28" s="91" ph="1">
        <f>R27*35.891*LOOKUP(R29,密度!$A$2:$A$50,密度!$C$2:$C$50)</f>
        <v>258909.98255870002</v>
      </c>
      <c r="S28" s="91" ph="1">
        <f>S27*35.891*LOOKUP(S29,密度!$A$2:$A$50,密度!$B$2:$B$50)</f>
        <v>8181.2278315000003</v>
      </c>
      <c r="T28" s="91" ph="1">
        <f>T27*35.891*LOOKUP(T29,密度!$A$2:$A$50,密度!$Q$2:$Q$50)</f>
        <v>12153.137648400001</v>
      </c>
      <c r="U28" s="91" ph="1">
        <f>U27*35.891</f>
        <v>190832.44699999999</v>
      </c>
      <c r="V28" s="91" ph="1">
        <f>V27*47.051*LOOKUP(V29,密度!$A$2:$A$50,密度!$B$2:$B$50)</f>
        <v>32242.563488400003</v>
      </c>
      <c r="W28" s="91" ph="1">
        <f>W27*47.051*LOOKUP(W29,密度!$A$2:$A$50,密度!$B$2:$B$50)</f>
        <v>14782.426718799999</v>
      </c>
      <c r="X28" s="91" ph="1">
        <f>X27*47.051*LOOKUP(X29,密度!$A$2:$A$61,密度!$I$2:$I$61)</f>
        <v>288656.84046779998</v>
      </c>
      <c r="Y28" s="91" ph="1">
        <f>Y27*47.051*LOOKUP(Y29,密度!$A$2:$A$50,密度!$L$2:$L$50)</f>
        <v>343251.91311600001</v>
      </c>
      <c r="Z28" s="178"/>
      <c r="AA28" s="179"/>
      <c r="AB28" s="179"/>
      <c r="AC28" s="179"/>
      <c r="AD28" s="179"/>
      <c r="AE28" s="180"/>
      <c r="AH28" s="64" ph="1">
        <v>14</v>
      </c>
      <c r="AI28" s="64" t="s" ph="1">
        <v>351</v>
      </c>
      <c r="AZ28" s="64" t="s" ph="1">
        <v>216</v>
      </c>
      <c r="BA28" s="64" ph="1">
        <v>0</v>
      </c>
    </row>
    <row r="29" spans="1:57" ph="1">
      <c r="A29" s="72" ph="1"/>
      <c r="B29" s="184" ph="1"/>
      <c r="C29" s="159" t="s" ph="1">
        <v>179</v>
      </c>
      <c r="D29" s="74">
        <v>25</v>
      </c>
      <c r="E29" s="74">
        <v>25</v>
      </c>
      <c r="F29" s="74">
        <v>27</v>
      </c>
      <c r="G29" s="74">
        <v>32</v>
      </c>
      <c r="H29" s="74">
        <v>30</v>
      </c>
      <c r="I29" s="74">
        <v>30</v>
      </c>
      <c r="J29" s="74">
        <v>39</v>
      </c>
      <c r="K29" s="74">
        <v>32</v>
      </c>
      <c r="L29" s="74">
        <v>33</v>
      </c>
      <c r="M29" s="74">
        <v>38</v>
      </c>
      <c r="N29" s="74">
        <v>32</v>
      </c>
      <c r="O29" s="74">
        <v>31</v>
      </c>
      <c r="P29" s="74">
        <v>29</v>
      </c>
      <c r="Q29" s="93">
        <v>32</v>
      </c>
      <c r="R29" s="74">
        <v>29</v>
      </c>
      <c r="S29" s="74">
        <v>33</v>
      </c>
      <c r="T29" s="74">
        <v>34</v>
      </c>
      <c r="U29" s="74">
        <v>30</v>
      </c>
      <c r="V29" s="74">
        <v>25</v>
      </c>
      <c r="W29" s="74">
        <v>25</v>
      </c>
      <c r="X29" s="74">
        <v>25</v>
      </c>
      <c r="Y29" s="74">
        <v>31</v>
      </c>
      <c r="Z29" s="181"/>
      <c r="AA29" s="182"/>
      <c r="AB29" s="182"/>
      <c r="AC29" s="182"/>
      <c r="AD29" s="182"/>
      <c r="AE29" s="183"/>
      <c r="AH29" s="64" ph="1">
        <v>15</v>
      </c>
      <c r="AI29" s="64" t="s" ph="1">
        <v>352</v>
      </c>
      <c r="AZ29" s="64" t="s" ph="1">
        <v>216</v>
      </c>
      <c r="BA29" s="64" ph="1">
        <v>0</v>
      </c>
      <c r="BD29" s="64" t="s" ph="1">
        <v>353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354</v>
      </c>
      <c r="AZ30" s="64" t="s" ph="1">
        <v>216</v>
      </c>
      <c r="BA30" s="64" ph="1">
        <v>0</v>
      </c>
    </row>
    <row r="31" spans="1:57" ht="28.2" ph="1">
      <c r="A31" s="64"/>
      <c r="B31" s="197" t="s" ph="1">
        <v>35</v>
      </c>
      <c r="C31" s="198" ph="1"/>
      <c r="D31" s="201" t="s" ph="1">
        <v>9</v>
      </c>
      <c r="E31" s="190" ph="1"/>
      <c r="F31" s="191" ph="1"/>
      <c r="G31" s="201" t="s" ph="1">
        <v>18</v>
      </c>
      <c r="H31" s="190" ph="1"/>
      <c r="I31" s="191" ph="1"/>
      <c r="J31" s="189" t="s" ph="1">
        <v>1</v>
      </c>
      <c r="K31" s="190" ph="1"/>
      <c r="L31" s="191" ph="1"/>
      <c r="M31" s="189" t="s" ph="1">
        <v>7</v>
      </c>
      <c r="N31" s="190" ph="1"/>
      <c r="O31" s="191" ph="1"/>
      <c r="P31" s="189" t="s" ph="1">
        <v>41</v>
      </c>
      <c r="Q31" s="190"/>
      <c r="R31" s="191"/>
      <c r="S31" s="189" t="s" ph="1">
        <v>2</v>
      </c>
      <c r="T31" s="190"/>
      <c r="U31" s="191"/>
      <c r="V31" s="189" t="s" ph="1">
        <v>71</v>
      </c>
      <c r="W31" s="190" ph="1"/>
      <c r="X31" s="191" ph="1"/>
      <c r="Y31" s="189" t="s" ph="1">
        <v>3</v>
      </c>
      <c r="Z31" s="190" ph="1"/>
      <c r="AA31" s="191" ph="1"/>
      <c r="AB31" s="212" t="s">
        <v>42</v>
      </c>
      <c r="AC31" s="213"/>
      <c r="AD31" s="213"/>
      <c r="AE31" s="214"/>
      <c r="AH31" s="64" ph="1">
        <v>17</v>
      </c>
      <c r="AI31" s="64" t="s" ph="1">
        <v>355</v>
      </c>
      <c r="AZ31" s="64" t="s" ph="1">
        <v>216</v>
      </c>
      <c r="BA31" s="64" ph="1">
        <v>0</v>
      </c>
      <c r="BD31" s="64" t="s" ph="1">
        <v>356</v>
      </c>
      <c r="BE31" s="64" ph="1">
        <v>9310</v>
      </c>
    </row>
    <row r="32" spans="1:57" ph="1">
      <c r="A32" s="64"/>
      <c r="B32" s="199" ph="1"/>
      <c r="C32" s="200" ph="1"/>
      <c r="D32" s="96" t="s" ph="1">
        <v>4</v>
      </c>
      <c r="E32" s="159" t="s" ph="1">
        <v>5</v>
      </c>
      <c r="F32" s="158" t="s" ph="1">
        <v>43</v>
      </c>
      <c r="G32" s="97" t="s" ph="1">
        <v>4</v>
      </c>
      <c r="H32" s="159" t="s" ph="1">
        <v>5</v>
      </c>
      <c r="I32" s="158" t="s" ph="1">
        <v>43</v>
      </c>
      <c r="J32" s="97" t="s" ph="1">
        <v>4</v>
      </c>
      <c r="K32" s="159" t="s" ph="1">
        <v>5</v>
      </c>
      <c r="L32" s="158" t="s" ph="1">
        <v>43</v>
      </c>
      <c r="M32" s="97" t="s" ph="1">
        <v>4</v>
      </c>
      <c r="N32" s="159" t="s" ph="1">
        <v>5</v>
      </c>
      <c r="O32" s="158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59" t="s" ph="1">
        <v>5</v>
      </c>
      <c r="U32" s="99" t="s" ph="1">
        <v>43</v>
      </c>
      <c r="V32" s="97" t="s" ph="1">
        <v>4</v>
      </c>
      <c r="W32" s="159" t="s" ph="1">
        <v>5</v>
      </c>
      <c r="X32" s="99" t="s" ph="1">
        <v>43</v>
      </c>
      <c r="Y32" s="100" t="s" ph="1">
        <v>4</v>
      </c>
      <c r="Z32" s="159" t="s" ph="1">
        <v>5</v>
      </c>
      <c r="AA32" s="158" t="s" ph="1">
        <v>43</v>
      </c>
      <c r="AB32" s="97" t="s" ph="1">
        <v>85</v>
      </c>
      <c r="AC32" s="159" t="s" ph="1">
        <v>84</v>
      </c>
      <c r="AD32" s="215" t="s" ph="1">
        <v>83</v>
      </c>
      <c r="AE32" s="216"/>
      <c r="AH32" s="64" ph="1">
        <v>18</v>
      </c>
      <c r="AI32" s="64" t="s" ph="1">
        <v>357</v>
      </c>
      <c r="AZ32" s="64" t="s" ph="1">
        <v>216</v>
      </c>
      <c r="BA32" s="64" ph="1">
        <v>0</v>
      </c>
    </row>
    <row r="33" spans="1:57" ph="1">
      <c r="A33" s="64"/>
      <c r="B33" s="202" t="s" ph="1">
        <v>181</v>
      </c>
      <c r="C33" s="203" ph="1"/>
      <c r="D33" s="206" ph="1">
        <f>AA10+AB10+Z19</f>
        <v>61165.902359040003</v>
      </c>
      <c r="E33" s="206" ph="1">
        <f>M10+I10</f>
        <v>200196.37289919998</v>
      </c>
      <c r="F33" s="208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1522252632456786910111213141516171819202123456789101112131415161718192022232424356789101112131415161718192021222345678910111213141516171819202345678910111213149101516171819222123234567891012131415161711181920212224252345678910111213117[[#This Row],[F25]]</f>
        <v>3880</v>
      </c>
      <c r="G33" s="210" ph="1">
        <f>N19</f>
        <v>21531.412315199999</v>
      </c>
      <c r="H33" s="206" ph="1">
        <f>M19</f>
        <v>39076.055929488</v>
      </c>
      <c r="I33" s="219" ph="1">
        <v>0</v>
      </c>
      <c r="J33" s="217" ph="1">
        <f>F10+O28</f>
        <v>220905.72674039999</v>
      </c>
      <c r="K33" s="206" ph="1">
        <f>O10+K10+E28+R28</f>
        <v>330290.65317450004</v>
      </c>
      <c r="L33" s="221" ph="1">
        <f>K19</f>
        <v>22810.477185200001</v>
      </c>
      <c r="M33" s="217" ph="1">
        <f>G10+H10+W28+S28+V28+E10+R19+P28+Q28</f>
        <v>598290.34819218004</v>
      </c>
      <c r="N33" s="206" ph="1">
        <f>L10+P10++G28+H28+AD19+AE19</f>
        <v>232576.68714940001</v>
      </c>
      <c r="O33" s="219" ph="1">
        <f>G19</f>
        <v>28627.601599220001</v>
      </c>
      <c r="P33" s="217" ph="1">
        <f>L19</f>
        <v>31787.377863696001</v>
      </c>
      <c r="Q33" s="206" ph="1">
        <f>J10+N10</f>
        <v>189036.29404682002</v>
      </c>
      <c r="R33" s="219" ph="1">
        <f>BE23</f>
        <v>890</v>
      </c>
      <c r="S33" s="217" ph="1">
        <f>X28</f>
        <v>288656.84046779998</v>
      </c>
      <c r="T33" s="206" ph="1">
        <f>X19</f>
        <v>17886.2659824</v>
      </c>
      <c r="U33" s="227" ph="1">
        <f>BE21</f>
        <v>730</v>
      </c>
      <c r="V33" s="238" ph="1">
        <f ca="1">P19+Q19+S19+M28+N28+J28+D10+AC10+D19+E19+H19+J19+O19+V19+W19+K28+L28</f>
        <v>539546.93966505409</v>
      </c>
      <c r="W33" s="238" ph="1">
        <f>D28+F28+T28+I28</f>
        <v>102575.96406113599</v>
      </c>
      <c r="X33" s="219" ph="1">
        <f>BE29+BE31</f>
        <v>10200</v>
      </c>
      <c r="Y33" s="240" ph="1">
        <f>+Q10+R10+S10+T10+U10+V10+W10+X10+Y10</f>
        <v>215203.25132460002</v>
      </c>
      <c r="Z33" s="225" ph="1">
        <f>T19+U19+Y28+Z10</f>
        <v>448110.7878168</v>
      </c>
      <c r="AA33" s="227" ph="1">
        <f>BE19</f>
        <v>1440</v>
      </c>
      <c r="AB33" s="229" ph="1">
        <f>I19</f>
        <v>49638.653663919999</v>
      </c>
      <c r="AC33" s="231" ph="1">
        <f>AD10+AB19</f>
        <v>81881.8233358</v>
      </c>
      <c r="AD33" s="233" ph="1">
        <v>0</v>
      </c>
      <c r="AE33" s="234"/>
      <c r="AH33" s="64" ph="1">
        <v>19</v>
      </c>
      <c r="AI33" s="64" t="s" ph="1">
        <v>358</v>
      </c>
      <c r="AJ33" s="64" t="s" ph="1">
        <v>592</v>
      </c>
      <c r="AK33" s="64" t="s" ph="1">
        <v>589</v>
      </c>
      <c r="AL33" s="64" ph="1">
        <v>730</v>
      </c>
      <c r="AM33" s="64" t="s" ph="1">
        <v>339</v>
      </c>
      <c r="AZ33" s="64" t="s" ph="1">
        <v>216</v>
      </c>
      <c r="BA33" s="64" ph="1">
        <v>730</v>
      </c>
      <c r="BD33" s="64" t="s" ph="1">
        <v>290</v>
      </c>
      <c r="BE33" s="64" ph="1">
        <v>3880</v>
      </c>
    </row>
    <row r="34" spans="1:57" ph="1">
      <c r="A34" s="64"/>
      <c r="B34" s="204" ph="1"/>
      <c r="C34" s="205" ph="1"/>
      <c r="D34" s="207" ph="1"/>
      <c r="E34" s="207" ph="1"/>
      <c r="F34" s="209" ph="1"/>
      <c r="G34" s="211" ph="1"/>
      <c r="H34" s="207" ph="1"/>
      <c r="I34" s="220" ph="1"/>
      <c r="J34" s="218" ph="1"/>
      <c r="K34" s="207" ph="1"/>
      <c r="L34" s="222" ph="1"/>
      <c r="M34" s="218" ph="1"/>
      <c r="N34" s="207" ph="1"/>
      <c r="O34" s="220" ph="1"/>
      <c r="P34" s="218" ph="1"/>
      <c r="Q34" s="207" ph="1"/>
      <c r="R34" s="220" ph="1"/>
      <c r="S34" s="218" ph="1"/>
      <c r="T34" s="207"/>
      <c r="U34" s="228"/>
      <c r="V34" s="239" ph="1"/>
      <c r="W34" s="239" ph="1"/>
      <c r="X34" s="220" ph="1"/>
      <c r="Y34" s="241" ph="1"/>
      <c r="Z34" s="226" ph="1"/>
      <c r="AA34" s="228" ph="1"/>
      <c r="AB34" s="230"/>
      <c r="AC34" s="232"/>
      <c r="AD34" s="235"/>
      <c r="AE34" s="236"/>
      <c r="AH34" s="64" ph="1">
        <v>20</v>
      </c>
      <c r="AI34" s="64" t="s" ph="1">
        <v>359</v>
      </c>
      <c r="AJ34" s="64" t="s" ph="1">
        <v>593</v>
      </c>
      <c r="AK34" s="64" t="s" ph="1">
        <v>589</v>
      </c>
      <c r="AL34" s="64" ph="1">
        <v>720</v>
      </c>
      <c r="AM34" s="64" t="s" ph="1">
        <v>339</v>
      </c>
      <c r="AZ34" s="64" t="s" ph="1">
        <v>216</v>
      </c>
      <c r="BA34" s="64" ph="1">
        <v>720</v>
      </c>
    </row>
    <row r="35" spans="1:57" ph="1">
      <c r="A35" s="64"/>
      <c r="AC35" s="237" t="s" ph="1">
        <v>631</v>
      </c>
      <c r="AD35" s="237"/>
      <c r="AE35" s="237"/>
      <c r="AH35" s="64" ph="1">
        <v>21</v>
      </c>
      <c r="AI35" s="64" t="s" ph="1">
        <v>360</v>
      </c>
      <c r="AZ35" s="64" t="s" ph="1">
        <v>216</v>
      </c>
      <c r="BA35" s="64" ph="1">
        <v>0</v>
      </c>
      <c r="BD35" s="64" t="s" ph="1">
        <v>361</v>
      </c>
      <c r="BE35" s="64" ph="1">
        <v>2030</v>
      </c>
    </row>
    <row r="36" spans="1:57" ht="28.2" ph="1">
      <c r="A36" s="64"/>
      <c r="B36" s="103" t="s" ph="1">
        <v>182</v>
      </c>
      <c r="I36" s="223" t="s" ph="1">
        <v>183</v>
      </c>
      <c r="J36" s="223" ph="1"/>
      <c r="K36" s="101" ph="1"/>
      <c r="P36" s="101" ph="1"/>
      <c r="R36" s="223" t="s" ph="1">
        <v>184</v>
      </c>
      <c r="S36" s="223" ph="1"/>
      <c r="Y36" s="102" ph="1"/>
      <c r="Z36" s="157" t="s" ph="1">
        <v>185</v>
      </c>
      <c r="AA36" s="157" ph="1"/>
      <c r="AB36" s="224" t="s" ph="1">
        <v>640</v>
      </c>
      <c r="AC36" s="224" ph="1"/>
      <c r="AD36" s="224" ph="1"/>
      <c r="AE36" s="224" ph="1"/>
      <c r="BA36" s="64" ph="1">
        <v>2270</v>
      </c>
    </row>
    <row r="37" spans="1:57" s="157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57" t="s" ph="1">
        <v>342</v>
      </c>
      <c r="AI37" s="157" t="s" ph="1">
        <v>209</v>
      </c>
      <c r="AJ37" s="157" t="s" ph="1">
        <v>210</v>
      </c>
      <c r="AK37" s="157" t="s" ph="1">
        <v>211</v>
      </c>
      <c r="AM37" s="157" t="s" ph="1">
        <v>210</v>
      </c>
      <c r="AN37" s="157" t="s" ph="1">
        <v>211</v>
      </c>
      <c r="AO37" s="157" t="s" ph="1">
        <v>212</v>
      </c>
      <c r="AP37" s="157" t="s" ph="1">
        <v>210</v>
      </c>
      <c r="AQ37" s="157" t="s" ph="1">
        <v>211</v>
      </c>
      <c r="AR37" s="157" t="s" ph="1">
        <v>212</v>
      </c>
      <c r="AS37" s="157" t="s" ph="1">
        <v>210</v>
      </c>
      <c r="AT37" s="157" t="s" ph="1">
        <v>211</v>
      </c>
      <c r="AU37" s="157" t="s" ph="1">
        <v>212</v>
      </c>
      <c r="AV37" s="157" t="s" ph="1">
        <v>210</v>
      </c>
      <c r="AW37" s="157" t="s" ph="1">
        <v>211</v>
      </c>
      <c r="AX37" s="157" t="s" ph="1">
        <v>212</v>
      </c>
      <c r="AY37" s="157" t="s" ph="1">
        <v>211</v>
      </c>
      <c r="AZ37" s="157" t="s" ph="1">
        <v>213</v>
      </c>
      <c r="BD37" s="157" t="s" ph="1">
        <v>305</v>
      </c>
      <c r="BE37" s="157" ph="1">
        <v>0</v>
      </c>
    </row>
    <row r="38" spans="1:57" ph="1">
      <c r="AE38" s="64" ph="1"/>
      <c r="AH38" s="64" ph="1">
        <v>1</v>
      </c>
      <c r="AI38" s="64" t="s" ph="1">
        <v>362</v>
      </c>
      <c r="AY38" s="64" t="s" ph="1">
        <v>216</v>
      </c>
      <c r="AZ38" s="64" t="s" ph="1">
        <v>367</v>
      </c>
    </row>
    <row r="39" spans="1:57" ph="1">
      <c r="AH39" s="64" ph="1">
        <v>2</v>
      </c>
      <c r="AI39" s="64" t="s" ph="1">
        <v>364</v>
      </c>
      <c r="AJ39" s="64" t="s" ph="1">
        <v>336</v>
      </c>
      <c r="AK39" s="64" t="s" ph="1">
        <v>365</v>
      </c>
      <c r="AM39" s="64" t="s" ph="1">
        <v>570</v>
      </c>
      <c r="AN39" s="64" t="s" ph="1">
        <v>228</v>
      </c>
      <c r="AO39" s="64" t="s" ph="1">
        <v>363</v>
      </c>
      <c r="AY39" s="64" t="s" ph="1">
        <v>216</v>
      </c>
      <c r="AZ39" s="64" t="s" ph="1">
        <v>499</v>
      </c>
    </row>
    <row r="40" spans="1:57" ph="1">
      <c r="AH40" s="64" ph="1">
        <v>3</v>
      </c>
      <c r="AI40" s="64" t="s" ph="1">
        <v>366</v>
      </c>
      <c r="AJ40" s="64" t="s" ph="1">
        <v>570</v>
      </c>
      <c r="AK40" s="64" t="s" ph="1">
        <v>571</v>
      </c>
      <c r="AY40" s="64" t="s" ph="1">
        <v>216</v>
      </c>
      <c r="AZ40" s="64" t="s" ph="1">
        <v>571</v>
      </c>
    </row>
    <row r="41" spans="1:57" ph="1">
      <c r="AH41" s="64" ph="1">
        <v>4</v>
      </c>
      <c r="AI41" s="64" t="s" ph="1">
        <v>368</v>
      </c>
      <c r="AJ41" s="64" t="s" ph="1">
        <v>572</v>
      </c>
      <c r="AK41" s="64" t="s" ph="1">
        <v>573</v>
      </c>
      <c r="AM41" s="64" t="s" ph="1">
        <v>574</v>
      </c>
      <c r="AY41" s="64" t="s" ph="1">
        <v>216</v>
      </c>
      <c r="AZ41" s="64" t="s" ph="1">
        <v>573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369</v>
      </c>
      <c r="AY42" s="64" t="s" ph="1">
        <v>216</v>
      </c>
      <c r="AZ42" s="64" t="s" ph="1">
        <v>367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370</v>
      </c>
      <c r="AY43" s="64" t="s" ph="1">
        <v>216</v>
      </c>
      <c r="AZ43" s="64" t="s" ph="1">
        <v>367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371</v>
      </c>
      <c r="AV44" s="64" t="s" ph="1">
        <v>217</v>
      </c>
      <c r="AY44" s="64" t="s" ph="1">
        <v>216</v>
      </c>
      <c r="AZ44" s="64" t="s" ph="1">
        <v>367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372</v>
      </c>
      <c r="AV45" s="64" t="s" ph="1">
        <v>217</v>
      </c>
      <c r="AY45" s="64" t="s" ph="1">
        <v>216</v>
      </c>
      <c r="AZ45" s="64" t="s" ph="1">
        <v>367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373</v>
      </c>
      <c r="AV46" s="64" t="s" ph="1">
        <v>217</v>
      </c>
      <c r="AY46" s="64" t="s" ph="1">
        <v>216</v>
      </c>
      <c r="AZ46" s="64" t="s" ph="1">
        <v>367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374</v>
      </c>
      <c r="AV47" s="64" t="s" ph="1">
        <v>217</v>
      </c>
      <c r="AY47" s="64" t="s" ph="1">
        <v>216</v>
      </c>
      <c r="AZ47" s="64" t="s" ph="1">
        <v>367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575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232</v>
      </c>
      <c r="AI49" s="64" t="s" ph="1">
        <v>209</v>
      </c>
      <c r="AJ49" s="64" t="s" ph="1">
        <v>210</v>
      </c>
      <c r="AK49" s="64" t="s" ph="1">
        <v>211</v>
      </c>
      <c r="AM49" s="64" t="s" ph="1">
        <v>210</v>
      </c>
      <c r="AN49" s="64" t="s" ph="1">
        <v>211</v>
      </c>
      <c r="AO49" s="64" t="s" ph="1">
        <v>212</v>
      </c>
      <c r="AP49" s="64" t="s" ph="1">
        <v>210</v>
      </c>
      <c r="AQ49" s="64" t="s" ph="1">
        <v>211</v>
      </c>
      <c r="AR49" s="64" t="s" ph="1">
        <v>212</v>
      </c>
      <c r="AS49" s="64" t="s" ph="1">
        <v>210</v>
      </c>
      <c r="AT49" s="64" t="s" ph="1">
        <v>211</v>
      </c>
      <c r="AU49" s="64" t="s" ph="1">
        <v>212</v>
      </c>
      <c r="AV49" s="64" t="s" ph="1">
        <v>210</v>
      </c>
      <c r="AW49" s="64" t="s" ph="1">
        <v>211</v>
      </c>
      <c r="AX49" s="64" t="s" ph="1">
        <v>212</v>
      </c>
      <c r="AY49" s="64" t="s" ph="1">
        <v>211</v>
      </c>
      <c r="AZ49" s="64" t="s" ph="1">
        <v>213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375</v>
      </c>
      <c r="AY50" s="64" t="s" ph="1">
        <v>216</v>
      </c>
      <c r="AZ50" s="64" t="s" ph="1">
        <v>367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376</v>
      </c>
      <c r="AY51" s="64" t="s" ph="1">
        <v>216</v>
      </c>
      <c r="AZ51" s="64" t="s" ph="1">
        <v>367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377</v>
      </c>
      <c r="AJ52" s="64" t="s" ph="1">
        <v>334</v>
      </c>
      <c r="AK52" s="64" t="s" ph="1">
        <v>228</v>
      </c>
      <c r="AM52" s="64" t="s" ph="1">
        <v>336</v>
      </c>
      <c r="AN52" s="64" t="s" ph="1">
        <v>300</v>
      </c>
      <c r="AO52" s="64" t="s" ph="1">
        <v>233</v>
      </c>
      <c r="AP52" s="64" t="s" ph="1">
        <v>570</v>
      </c>
      <c r="AQ52" s="64" t="s" ph="1">
        <v>282</v>
      </c>
      <c r="AR52" s="64" t="s" ph="1">
        <v>233</v>
      </c>
      <c r="AY52" s="64" t="s" ph="1">
        <v>216</v>
      </c>
      <c r="AZ52" s="64" t="s" ph="1">
        <v>576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378</v>
      </c>
      <c r="AY53" s="64" t="s" ph="1">
        <v>216</v>
      </c>
      <c r="AZ53" s="64" t="s" ph="1">
        <v>367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379</v>
      </c>
      <c r="AJ54" s="64" t="s" ph="1">
        <v>334</v>
      </c>
      <c r="AK54" s="64" t="s" ph="1">
        <v>219</v>
      </c>
      <c r="AM54" s="64" t="s" ph="1">
        <v>336</v>
      </c>
      <c r="AN54" s="64" t="s" ph="1">
        <v>224</v>
      </c>
      <c r="AO54" s="64" t="s" ph="1">
        <v>233</v>
      </c>
      <c r="AP54" s="64" t="s" ph="1">
        <v>570</v>
      </c>
      <c r="AQ54" s="64" t="s" ph="1">
        <v>240</v>
      </c>
      <c r="AR54" s="64" t="s" ph="1">
        <v>233</v>
      </c>
      <c r="AY54" s="64" t="s" ph="1">
        <v>216</v>
      </c>
      <c r="AZ54" s="64" t="s" ph="1">
        <v>234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380</v>
      </c>
      <c r="AY55" s="64" t="s" ph="1">
        <v>216</v>
      </c>
      <c r="AZ55" s="64" t="s" ph="1">
        <v>367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381</v>
      </c>
      <c r="AY56" s="64" t="s" ph="1">
        <v>216</v>
      </c>
      <c r="AZ56" s="64" t="s" ph="1">
        <v>367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382</v>
      </c>
      <c r="AY57" s="64" t="s" ph="1">
        <v>216</v>
      </c>
      <c r="AZ57" s="64" t="s" ph="1">
        <v>367</v>
      </c>
    </row>
    <row r="58" spans="16:52" ph="1">
      <c r="P58" s="64"/>
      <c r="AN58" s="64" t="s" ph="1">
        <v>217</v>
      </c>
      <c r="AZ58" s="64" t="s" ph="1">
        <v>577</v>
      </c>
    </row>
    <row r="59" spans="16:52" ph="1">
      <c r="V59" s="64"/>
      <c r="AG59" s="64" t="s" ph="1">
        <v>235</v>
      </c>
      <c r="AI59" s="64" t="s" ph="1">
        <v>209</v>
      </c>
      <c r="AJ59" s="64" t="s" ph="1">
        <v>210</v>
      </c>
      <c r="AK59" s="64" t="s" ph="1">
        <v>211</v>
      </c>
      <c r="AM59" s="64" t="s" ph="1">
        <v>210</v>
      </c>
      <c r="AN59" s="64" t="s" ph="1">
        <v>211</v>
      </c>
      <c r="AO59" s="64" t="s" ph="1">
        <v>212</v>
      </c>
      <c r="AP59" s="64" t="s" ph="1">
        <v>210</v>
      </c>
      <c r="AQ59" s="64" t="s" ph="1">
        <v>211</v>
      </c>
      <c r="AR59" s="64" t="s" ph="1">
        <v>212</v>
      </c>
      <c r="AS59" s="64" t="s" ph="1">
        <v>210</v>
      </c>
      <c r="AT59" s="64" t="s" ph="1">
        <v>211</v>
      </c>
      <c r="AU59" s="64" t="s" ph="1">
        <v>212</v>
      </c>
      <c r="AV59" s="64" t="s" ph="1">
        <v>210</v>
      </c>
      <c r="AW59" s="64" t="s" ph="1">
        <v>211</v>
      </c>
      <c r="AX59" s="64" t="s" ph="1">
        <v>212</v>
      </c>
      <c r="AY59" s="64" t="s" ph="1">
        <v>211</v>
      </c>
      <c r="AZ59" s="64" t="s" ph="1">
        <v>213</v>
      </c>
    </row>
    <row r="60" spans="16:52" ph="1">
      <c r="R60" s="64"/>
      <c r="S60" s="64"/>
      <c r="T60" s="64"/>
      <c r="AH60" s="64" ph="1">
        <v>1</v>
      </c>
      <c r="AI60" s="64" t="s" ph="1">
        <v>383</v>
      </c>
      <c r="AY60" s="64" t="s" ph="1">
        <v>216</v>
      </c>
      <c r="AZ60" s="64" t="s" ph="1">
        <v>367</v>
      </c>
    </row>
    <row r="61" spans="16:52" ph="1">
      <c r="AH61" s="64" ph="1">
        <v>2</v>
      </c>
      <c r="AI61" s="64" t="s" ph="1">
        <v>384</v>
      </c>
      <c r="AS61" s="64" t="s" ph="1">
        <v>217</v>
      </c>
      <c r="AY61" s="64" t="s" ph="1">
        <v>216</v>
      </c>
      <c r="AZ61" s="64" t="s" ph="1">
        <v>367</v>
      </c>
    </row>
    <row r="62" spans="16:52" ph="1">
      <c r="AZ62" s="64" t="s" ph="1">
        <v>385</v>
      </c>
    </row>
    <row r="63" spans="16:52" ph="1">
      <c r="AG63" s="64" t="s" ph="1">
        <v>238</v>
      </c>
      <c r="AI63" s="64" t="s" ph="1">
        <v>209</v>
      </c>
      <c r="AJ63" s="64" t="s" ph="1">
        <v>210</v>
      </c>
      <c r="AK63" s="64" t="s" ph="1">
        <v>211</v>
      </c>
      <c r="AM63" s="64" t="s" ph="1">
        <v>210</v>
      </c>
      <c r="AN63" s="64" t="s" ph="1">
        <v>211</v>
      </c>
      <c r="AO63" s="64" t="s" ph="1">
        <v>212</v>
      </c>
      <c r="AP63" s="64" t="s" ph="1">
        <v>210</v>
      </c>
      <c r="AQ63" s="64" t="s" ph="1">
        <v>211</v>
      </c>
      <c r="AR63" s="64" t="s" ph="1">
        <v>212</v>
      </c>
      <c r="AS63" s="64" t="s" ph="1">
        <v>210</v>
      </c>
      <c r="AT63" s="64" t="s" ph="1">
        <v>211</v>
      </c>
      <c r="AU63" s="64" t="s" ph="1">
        <v>212</v>
      </c>
      <c r="AV63" s="64" t="s" ph="1">
        <v>210</v>
      </c>
      <c r="AW63" s="64" t="s" ph="1">
        <v>211</v>
      </c>
      <c r="AX63" s="64" t="s" ph="1">
        <v>212</v>
      </c>
      <c r="AY63" s="64" t="s" ph="1">
        <v>211</v>
      </c>
      <c r="AZ63" s="64" t="s" ph="1">
        <v>213</v>
      </c>
    </row>
    <row r="64" spans="16:52" ph="1">
      <c r="AH64" s="64" ph="1">
        <v>1</v>
      </c>
      <c r="AI64" s="64" t="s" ph="1">
        <v>386</v>
      </c>
      <c r="AJ64" s="64" t="s" ph="1">
        <v>387</v>
      </c>
      <c r="AK64" s="64" t="s" ph="1">
        <v>388</v>
      </c>
      <c r="AY64" s="64" t="s" ph="1">
        <v>216</v>
      </c>
      <c r="AZ64" s="64" t="s" ph="1">
        <v>388</v>
      </c>
    </row>
    <row r="65" spans="33:52" ph="1">
      <c r="AH65" s="64" ph="1">
        <v>2</v>
      </c>
      <c r="AI65" s="64" t="s" ph="1">
        <v>389</v>
      </c>
      <c r="AY65" s="64" t="s" ph="1">
        <v>216</v>
      </c>
      <c r="AZ65" s="64" t="s" ph="1">
        <v>367</v>
      </c>
    </row>
    <row r="66" spans="33:52" ph="1">
      <c r="AH66" s="64" ph="1">
        <v>3</v>
      </c>
      <c r="AI66" s="64" t="s" ph="1">
        <v>390</v>
      </c>
      <c r="AY66" s="64" t="s" ph="1">
        <v>216</v>
      </c>
      <c r="AZ66" s="64" t="s" ph="1">
        <v>367</v>
      </c>
    </row>
    <row r="67" spans="33:52" ph="1">
      <c r="AH67" s="64" ph="1">
        <v>4</v>
      </c>
      <c r="AI67" s="64" t="s" ph="1">
        <v>391</v>
      </c>
      <c r="AY67" s="64" t="s" ph="1">
        <v>216</v>
      </c>
      <c r="AZ67" s="64" t="s" ph="1">
        <v>367</v>
      </c>
    </row>
    <row r="68" spans="33:52" ph="1">
      <c r="AH68" s="64" ph="1">
        <v>5</v>
      </c>
      <c r="AI68" s="64" t="s" ph="1">
        <v>392</v>
      </c>
      <c r="AY68" s="64" t="s" ph="1">
        <v>216</v>
      </c>
      <c r="AZ68" s="64" t="s" ph="1">
        <v>367</v>
      </c>
    </row>
    <row r="69" spans="33:52" ph="1">
      <c r="AH69" s="64" ph="1">
        <v>6</v>
      </c>
      <c r="AI69" s="64" t="s" ph="1">
        <v>393</v>
      </c>
      <c r="AY69" s="64" t="s" ph="1">
        <v>216</v>
      </c>
      <c r="AZ69" s="64" t="s" ph="1">
        <v>367</v>
      </c>
    </row>
    <row r="70" spans="33:52" ph="1">
      <c r="AI70" s="64" t="s" ph="1">
        <v>394</v>
      </c>
      <c r="AY70" s="64" t="s" ph="1">
        <v>216</v>
      </c>
      <c r="AZ70" s="64" t="s" ph="1">
        <v>367</v>
      </c>
    </row>
    <row r="71" spans="33:52" ph="1">
      <c r="AH71" s="64" ph="1">
        <v>7</v>
      </c>
      <c r="AI71" s="64" t="s" ph="1">
        <v>395</v>
      </c>
      <c r="AJ71" s="64" t="s" ph="1">
        <v>334</v>
      </c>
      <c r="AK71" s="64" t="s" ph="1">
        <v>228</v>
      </c>
      <c r="AM71" s="64" t="s" ph="1">
        <v>336</v>
      </c>
      <c r="AN71" s="64" t="s" ph="1">
        <v>228</v>
      </c>
      <c r="AO71" s="64" t="s" ph="1">
        <v>396</v>
      </c>
      <c r="AP71" s="64" t="s" ph="1">
        <v>570</v>
      </c>
      <c r="AQ71" s="64" t="s" ph="1">
        <v>219</v>
      </c>
      <c r="AR71" s="64" t="s" ph="1">
        <v>396</v>
      </c>
      <c r="AY71" s="64" t="s" ph="1">
        <v>216</v>
      </c>
      <c r="AZ71" s="64" t="s" ph="1">
        <v>578</v>
      </c>
    </row>
    <row r="72" spans="33:52" ph="1">
      <c r="AZ72" s="64" t="s" ph="1">
        <v>579</v>
      </c>
    </row>
    <row r="73" spans="33:52" ph="1">
      <c r="AG73" s="64" t="s" ph="1">
        <v>241</v>
      </c>
      <c r="AI73" s="64" t="s" ph="1">
        <v>209</v>
      </c>
      <c r="AJ73" s="64" t="s" ph="1">
        <v>210</v>
      </c>
      <c r="AK73" s="64" t="s" ph="1">
        <v>211</v>
      </c>
      <c r="AM73" s="64" t="s" ph="1">
        <v>210</v>
      </c>
      <c r="AN73" s="64" t="s" ph="1">
        <v>211</v>
      </c>
      <c r="AO73" s="64" t="s" ph="1">
        <v>212</v>
      </c>
      <c r="AP73" s="64" t="s" ph="1">
        <v>210</v>
      </c>
      <c r="AQ73" s="64" t="s" ph="1">
        <v>211</v>
      </c>
      <c r="AR73" s="64" t="s" ph="1">
        <v>212</v>
      </c>
      <c r="AS73" s="64" t="s" ph="1">
        <v>210</v>
      </c>
      <c r="AT73" s="64" t="s" ph="1">
        <v>211</v>
      </c>
      <c r="AU73" s="64" t="s" ph="1">
        <v>212</v>
      </c>
      <c r="AV73" s="64" t="s" ph="1">
        <v>210</v>
      </c>
      <c r="AW73" s="64" t="s" ph="1">
        <v>211</v>
      </c>
      <c r="AX73" s="64" t="s" ph="1">
        <v>212</v>
      </c>
      <c r="AY73" s="64" t="s" ph="1">
        <v>211</v>
      </c>
      <c r="AZ73" s="64" t="s" ph="1">
        <v>213</v>
      </c>
    </row>
    <row r="74" spans="33:52" ph="1">
      <c r="AH74" s="64" ph="1">
        <v>1</v>
      </c>
      <c r="AI74" s="64" t="s" ph="1">
        <v>397</v>
      </c>
      <c r="AJ74" s="64" t="s" ph="1">
        <v>242</v>
      </c>
      <c r="AK74" s="64" t="s" ph="1">
        <v>224</v>
      </c>
      <c r="AM74" s="64" t="s" ph="1">
        <v>244</v>
      </c>
      <c r="AN74" s="64" t="s" ph="1">
        <v>254</v>
      </c>
      <c r="AO74" s="64" t="s" ph="1">
        <v>243</v>
      </c>
      <c r="AP74" s="64" t="s" ph="1">
        <v>245</v>
      </c>
      <c r="AQ74" s="64" t="s" ph="1">
        <v>222</v>
      </c>
      <c r="AR74" s="64" t="s" ph="1">
        <v>243</v>
      </c>
      <c r="AS74" s="64" t="s" ph="1">
        <v>215</v>
      </c>
      <c r="AT74" s="64" t="s" ph="1">
        <v>217</v>
      </c>
      <c r="AV74" s="64" t="s" ph="1">
        <v>398</v>
      </c>
      <c r="AW74" s="64" t="s" ph="1">
        <v>399</v>
      </c>
      <c r="AX74" s="64" t="s" ph="1">
        <v>400</v>
      </c>
      <c r="AY74" s="64" t="s" ph="1">
        <v>216</v>
      </c>
      <c r="AZ74" s="64" t="s" ph="1">
        <v>401</v>
      </c>
    </row>
    <row r="75" spans="33:52" ph="1">
      <c r="AJ75" s="64" t="s" ph="1">
        <v>247</v>
      </c>
      <c r="AK75" s="64" t="s" ph="1">
        <v>300</v>
      </c>
      <c r="AM75" s="64" t="s" ph="1">
        <v>245</v>
      </c>
      <c r="AN75" s="64" t="s" ph="1">
        <v>225</v>
      </c>
      <c r="AO75" s="64" t="s" ph="1">
        <v>243</v>
      </c>
      <c r="AS75" s="64" t="s" ph="1">
        <v>215</v>
      </c>
      <c r="AT75" s="64" t="s" ph="1">
        <v>246</v>
      </c>
    </row>
    <row r="76" spans="33:52" ph="1">
      <c r="AJ76" s="64" t="s" ph="1">
        <v>247</v>
      </c>
      <c r="AK76" s="64" t="s" ph="1">
        <v>240</v>
      </c>
      <c r="AM76" s="64" t="s" ph="1">
        <v>245</v>
      </c>
      <c r="AN76" s="64" t="s" ph="1">
        <v>228</v>
      </c>
      <c r="AO76" s="64" t="s" ph="1">
        <v>243</v>
      </c>
      <c r="AS76" s="64" t="s" ph="1">
        <v>215</v>
      </c>
      <c r="AT76" s="64" t="s" ph="1">
        <v>246</v>
      </c>
    </row>
    <row r="77" spans="33:52" ph="1">
      <c r="AJ77" s="64" t="s" ph="1">
        <v>283</v>
      </c>
      <c r="AK77" s="64" t="s" ph="1">
        <v>240</v>
      </c>
      <c r="AM77" s="64" t="s" ph="1">
        <v>284</v>
      </c>
      <c r="AN77" s="64" t="s" ph="1">
        <v>223</v>
      </c>
      <c r="AO77" s="64" t="s" ph="1">
        <v>243</v>
      </c>
      <c r="AS77" s="64" t="s" ph="1">
        <v>215</v>
      </c>
      <c r="AT77" s="64" t="s" ph="1">
        <v>285</v>
      </c>
    </row>
    <row r="78" spans="33:52" ph="1">
      <c r="AH78" s="64" ph="1">
        <v>2</v>
      </c>
      <c r="AI78" s="64" t="s" ph="1">
        <v>249</v>
      </c>
      <c r="AJ78" s="64" t="s" ph="1">
        <v>250</v>
      </c>
      <c r="AK78" s="64" t="s" ph="1">
        <v>219</v>
      </c>
      <c r="AM78" s="64" t="s" ph="1">
        <v>251</v>
      </c>
      <c r="AN78" s="64" t="s" ph="1">
        <v>254</v>
      </c>
      <c r="AO78" s="64" t="s" ph="1">
        <v>243</v>
      </c>
      <c r="AP78" s="64" t="s" ph="1">
        <v>252</v>
      </c>
      <c r="AQ78" s="64" t="s" ph="1">
        <v>298</v>
      </c>
      <c r="AR78" s="64" t="s" ph="1">
        <v>243</v>
      </c>
      <c r="AS78" s="64" t="s" ph="1">
        <v>253</v>
      </c>
      <c r="AT78" s="64" t="s" ph="1">
        <v>254</v>
      </c>
      <c r="AU78" s="64" t="s" ph="1">
        <v>243</v>
      </c>
      <c r="AV78" s="64" t="s" ph="1">
        <v>255</v>
      </c>
      <c r="AW78" s="64" t="s" ph="1">
        <v>243</v>
      </c>
      <c r="AY78" s="64" t="s" ph="1">
        <v>216</v>
      </c>
      <c r="AZ78" s="64" t="s" ph="1">
        <v>402</v>
      </c>
    </row>
    <row r="79" spans="33:52" ph="1">
      <c r="AJ79" s="64" t="s" ph="1">
        <v>245</v>
      </c>
      <c r="AK79" s="64" t="s" ph="1">
        <v>256</v>
      </c>
      <c r="AM79" s="64" t="s" ph="1">
        <v>257</v>
      </c>
      <c r="AN79" s="64" t="s" ph="1">
        <v>225</v>
      </c>
      <c r="AO79" s="64" t="s" ph="1">
        <v>243</v>
      </c>
      <c r="AP79" s="64" t="s" ph="1">
        <v>258</v>
      </c>
      <c r="AQ79" s="64" t="s" ph="1">
        <v>223</v>
      </c>
      <c r="AR79" s="64" t="s" ph="1">
        <v>259</v>
      </c>
      <c r="AS79" s="64" t="s" ph="1">
        <v>215</v>
      </c>
      <c r="AT79" s="64" t="s" ph="1">
        <v>260</v>
      </c>
      <c r="AV79" s="64" t="s" ph="1">
        <v>403</v>
      </c>
      <c r="AW79" s="64" t="s" ph="1">
        <v>302</v>
      </c>
      <c r="AX79" s="64" t="s" ph="1">
        <v>400</v>
      </c>
    </row>
    <row r="80" spans="33:52" ph="1">
      <c r="AH80" s="64" ph="1">
        <v>3</v>
      </c>
      <c r="AI80" s="64" t="s" ph="1">
        <v>261</v>
      </c>
      <c r="AJ80" s="64" t="s" ph="1">
        <v>262</v>
      </c>
      <c r="AK80" s="64" t="s" ph="1">
        <v>263</v>
      </c>
      <c r="AM80" s="64" t="s" ph="1">
        <v>264</v>
      </c>
      <c r="AN80" s="64" t="s" ph="1">
        <v>254</v>
      </c>
      <c r="AO80" s="64" t="s" ph="1">
        <v>243</v>
      </c>
      <c r="AP80" s="64" t="s" ph="1">
        <v>265</v>
      </c>
      <c r="AQ80" s="64" t="s" ph="1">
        <v>228</v>
      </c>
      <c r="AR80" s="64" t="s" ph="1">
        <v>243</v>
      </c>
      <c r="AS80" s="64" t="s" ph="1">
        <v>266</v>
      </c>
      <c r="AT80" s="64" t="s" ph="1">
        <v>227</v>
      </c>
      <c r="AU80" s="64" t="s" ph="1">
        <v>243</v>
      </c>
      <c r="AV80" s="64" t="s" ph="1">
        <v>267</v>
      </c>
      <c r="AW80" s="64" t="s" ph="1">
        <v>243</v>
      </c>
      <c r="AY80" s="64" t="s" ph="1">
        <v>216</v>
      </c>
      <c r="AZ80" s="64" t="s" ph="1">
        <v>404</v>
      </c>
    </row>
    <row r="81" spans="34:52" ph="1">
      <c r="AJ81" s="64" t="s" ph="1">
        <v>268</v>
      </c>
      <c r="AK81" s="64" t="s" ph="1">
        <v>222</v>
      </c>
      <c r="AM81" s="64" t="s" ph="1">
        <v>269</v>
      </c>
      <c r="AN81" s="64" t="s" ph="1">
        <v>225</v>
      </c>
      <c r="AO81" s="64" t="s" ph="1">
        <v>243</v>
      </c>
      <c r="AP81" s="64" t="s" ph="1">
        <v>270</v>
      </c>
      <c r="AQ81" s="64" t="s" ph="1">
        <v>254</v>
      </c>
      <c r="AR81" s="64" t="s" ph="1">
        <v>243</v>
      </c>
      <c r="AS81" s="64" t="s" ph="1">
        <v>271</v>
      </c>
      <c r="AT81" s="64" t="s" ph="1">
        <v>272</v>
      </c>
      <c r="AU81" s="64" t="s" ph="1">
        <v>243</v>
      </c>
      <c r="AV81" s="64" t="s" ph="1">
        <v>273</v>
      </c>
    </row>
    <row r="82" spans="34:52" ph="1">
      <c r="AJ82" s="64" t="s" ph="1">
        <v>274</v>
      </c>
      <c r="AK82" s="64" t="s" ph="1">
        <v>222</v>
      </c>
      <c r="AM82" s="64" t="s" ph="1">
        <v>275</v>
      </c>
      <c r="AN82" s="64" t="s" ph="1">
        <v>272</v>
      </c>
      <c r="AO82" s="64" t="s" ph="1">
        <v>276</v>
      </c>
      <c r="AP82" s="64" t="s" ph="1">
        <v>277</v>
      </c>
      <c r="AQ82" s="64" t="s" ph="1">
        <v>254</v>
      </c>
      <c r="AR82" s="64" t="s" ph="1">
        <v>243</v>
      </c>
      <c r="AS82" s="64" t="s" ph="1">
        <v>278</v>
      </c>
      <c r="AT82" s="64" t="s" ph="1">
        <v>229</v>
      </c>
      <c r="AU82" s="64" t="s" ph="1">
        <v>243</v>
      </c>
      <c r="AV82" s="64" t="s" ph="1">
        <v>403</v>
      </c>
      <c r="AW82" s="64" t="s" ph="1">
        <v>303</v>
      </c>
      <c r="AX82" s="64" t="s" ph="1">
        <v>400</v>
      </c>
    </row>
    <row r="83" spans="34:52" ph="1">
      <c r="AJ83" s="64" t="s" ph="1">
        <v>279</v>
      </c>
      <c r="AK83" s="64" t="s" ph="1">
        <v>296</v>
      </c>
      <c r="AM83" s="64" t="s" ph="1">
        <v>280</v>
      </c>
      <c r="AN83" s="64" t="s" ph="1">
        <v>228</v>
      </c>
      <c r="AO83" s="64" t="s" ph="1">
        <v>259</v>
      </c>
      <c r="AP83" s="64" t="s" ph="1">
        <v>281</v>
      </c>
      <c r="AQ83" s="64" t="s" ph="1">
        <v>282</v>
      </c>
      <c r="AR83" s="64" t="s" ph="1">
        <v>259</v>
      </c>
      <c r="AS83" s="64" t="s" ph="1">
        <v>405</v>
      </c>
      <c r="AT83" s="64" t="s" ph="1">
        <v>254</v>
      </c>
      <c r="AU83" s="64" t="s" ph="1">
        <v>259</v>
      </c>
      <c r="AV83" s="64" t="s" ph="1">
        <v>406</v>
      </c>
      <c r="AW83" s="64" t="s" ph="1">
        <v>303</v>
      </c>
      <c r="AX83" s="64" t="s" ph="1">
        <v>407</v>
      </c>
    </row>
    <row r="84" spans="34:52" ph="1">
      <c r="AH84" s="64" ph="1">
        <v>4</v>
      </c>
      <c r="AI84" s="64" t="s" ph="1">
        <v>286</v>
      </c>
      <c r="AJ84" s="64" t="s" ph="1">
        <v>226</v>
      </c>
      <c r="AK84" s="64" t="s" ph="1">
        <v>229</v>
      </c>
      <c r="AM84" s="64" t="s" ph="1">
        <v>230</v>
      </c>
      <c r="AN84" s="64" t="s" ph="1">
        <v>223</v>
      </c>
      <c r="AO84" s="64" t="s" ph="1">
        <v>259</v>
      </c>
      <c r="AP84" s="64" t="s" ph="1">
        <v>288</v>
      </c>
      <c r="AQ84" s="64" t="s" ph="1">
        <v>222</v>
      </c>
      <c r="AR84" s="64" t="s" ph="1">
        <v>259</v>
      </c>
      <c r="AS84" s="64" t="s" ph="1">
        <v>288</v>
      </c>
      <c r="AT84" s="64" t="s" ph="1">
        <v>224</v>
      </c>
      <c r="AU84" s="64" t="s" ph="1">
        <v>259</v>
      </c>
      <c r="AY84" s="64" t="s" ph="1">
        <v>216</v>
      </c>
      <c r="AZ84" s="64" t="s" ph="1">
        <v>408</v>
      </c>
    </row>
    <row r="85" spans="34:52" ph="1">
      <c r="AJ85" s="64" t="s" ph="1">
        <v>218</v>
      </c>
      <c r="AK85" s="64" t="s" ph="1">
        <v>222</v>
      </c>
      <c r="AM85" s="64" t="s" ph="1">
        <v>409</v>
      </c>
      <c r="AN85" s="64" t="s" ph="1">
        <v>229</v>
      </c>
      <c r="AO85" s="64" t="s" ph="1">
        <v>259</v>
      </c>
      <c r="AP85" s="64" t="s" ph="1">
        <v>410</v>
      </c>
      <c r="AQ85" s="64" t="s" ph="1">
        <v>225</v>
      </c>
      <c r="AR85" s="64" t="s" ph="1">
        <v>259</v>
      </c>
      <c r="AS85" s="64" t="s" ph="1">
        <v>411</v>
      </c>
      <c r="AT85" s="64" t="s" ph="1">
        <v>225</v>
      </c>
      <c r="AU85" s="64" t="s" ph="1">
        <v>259</v>
      </c>
    </row>
    <row r="86" spans="34:52" ph="1">
      <c r="AJ86" s="64" t="s" ph="1">
        <v>412</v>
      </c>
      <c r="AK86" s="64" t="s" ph="1">
        <v>231</v>
      </c>
      <c r="AM86" s="64" t="s" ph="1">
        <v>413</v>
      </c>
      <c r="AN86" s="64" t="s" ph="1">
        <v>272</v>
      </c>
      <c r="AO86" s="64" t="s" ph="1">
        <v>259</v>
      </c>
      <c r="AP86" s="64" t="s" ph="1">
        <v>414</v>
      </c>
      <c r="AQ86" s="64" t="s" ph="1">
        <v>219</v>
      </c>
      <c r="AR86" s="64" t="s" ph="1">
        <v>259</v>
      </c>
      <c r="AS86" s="64" t="s" ph="1">
        <v>415</v>
      </c>
      <c r="AT86" s="64" t="s" ph="1">
        <v>237</v>
      </c>
      <c r="AU86" s="64" t="s" ph="1">
        <v>259</v>
      </c>
    </row>
    <row r="87" spans="34:52" ph="1">
      <c r="AJ87" s="64" t="s" ph="1">
        <v>416</v>
      </c>
      <c r="AK87" s="64" t="s" ph="1">
        <v>272</v>
      </c>
      <c r="AM87" s="64" t="s" ph="1">
        <v>403</v>
      </c>
      <c r="AN87" s="64" t="s" ph="1">
        <v>417</v>
      </c>
      <c r="AO87" s="64" t="s" ph="1">
        <v>400</v>
      </c>
    </row>
    <row r="88" spans="34:52" ph="1">
      <c r="AH88" s="64" ph="1">
        <v>5</v>
      </c>
      <c r="AI88" s="64" t="s" ph="1">
        <v>289</v>
      </c>
      <c r="AJ88" s="64" t="s" ph="1">
        <v>418</v>
      </c>
      <c r="AK88" s="64" t="s" ph="1">
        <v>272</v>
      </c>
      <c r="AM88" s="64" t="s" ph="1">
        <v>419</v>
      </c>
      <c r="AN88" s="64" t="s" ph="1">
        <v>272</v>
      </c>
      <c r="AO88" s="64" t="s" ph="1">
        <v>259</v>
      </c>
      <c r="AP88" s="64" t="s" ph="1">
        <v>420</v>
      </c>
      <c r="AQ88" s="64" t="s" ph="1">
        <v>222</v>
      </c>
      <c r="AR88" s="64" t="s" ph="1">
        <v>259</v>
      </c>
      <c r="AS88" s="64" t="s" ph="1">
        <v>421</v>
      </c>
      <c r="AT88" s="64" t="s" ph="1">
        <v>272</v>
      </c>
      <c r="AU88" s="64" t="s" ph="1">
        <v>259</v>
      </c>
      <c r="AV88" s="64" t="s" ph="1">
        <v>422</v>
      </c>
      <c r="AW88" s="64" t="s" ph="1">
        <v>227</v>
      </c>
      <c r="AX88" s="64" t="s" ph="1">
        <v>259</v>
      </c>
      <c r="AY88" s="64" t="s" ph="1">
        <v>216</v>
      </c>
      <c r="AZ88" s="64" t="s" ph="1">
        <v>423</v>
      </c>
    </row>
    <row r="89" spans="34:52" ph="1">
      <c r="AJ89" s="64" t="s" ph="1">
        <v>424</v>
      </c>
      <c r="AK89" s="64" t="s" ph="1">
        <v>225</v>
      </c>
      <c r="AM89" s="64" t="s" ph="1">
        <v>425</v>
      </c>
      <c r="AN89" s="64" t="s" ph="1">
        <v>228</v>
      </c>
      <c r="AO89" s="64" t="s" ph="1">
        <v>259</v>
      </c>
      <c r="AP89" s="64" t="s" ph="1">
        <v>426</v>
      </c>
      <c r="AQ89" s="64" t="s" ph="1">
        <v>237</v>
      </c>
      <c r="AR89" s="64" t="s" ph="1">
        <v>259</v>
      </c>
      <c r="AS89" s="64" t="s" ph="1">
        <v>427</v>
      </c>
      <c r="AT89" s="64" t="s" ph="1">
        <v>272</v>
      </c>
      <c r="AU89" s="64" t="s" ph="1">
        <v>259</v>
      </c>
      <c r="AV89" s="64" t="s" ph="1">
        <v>428</v>
      </c>
      <c r="AW89" s="64" t="s" ph="1">
        <v>254</v>
      </c>
      <c r="AX89" s="64" t="s" ph="1">
        <v>287</v>
      </c>
    </row>
    <row r="90" spans="34:52" ph="1">
      <c r="AJ90" s="64" t="s" ph="1">
        <v>429</v>
      </c>
      <c r="AK90" s="64" t="s" ph="1">
        <v>228</v>
      </c>
      <c r="AM90" s="64" t="s" ph="1">
        <v>430</v>
      </c>
      <c r="AN90" s="64" t="s" ph="1">
        <v>225</v>
      </c>
      <c r="AO90" s="64" t="s" ph="1">
        <v>259</v>
      </c>
      <c r="AP90" s="64" t="s" ph="1">
        <v>431</v>
      </c>
      <c r="AQ90" s="64" t="s" ph="1">
        <v>294</v>
      </c>
      <c r="AR90" s="64" t="s" ph="1">
        <v>259</v>
      </c>
      <c r="AS90" s="64" t="s" ph="1">
        <v>432</v>
      </c>
      <c r="AT90" s="64" t="s" ph="1">
        <v>282</v>
      </c>
      <c r="AU90" s="64" t="s" ph="1">
        <v>259</v>
      </c>
      <c r="AV90" s="64" t="s" ph="1">
        <v>433</v>
      </c>
      <c r="AW90" s="64" t="s" ph="1">
        <v>219</v>
      </c>
      <c r="AX90" s="64" t="s" ph="1">
        <v>259</v>
      </c>
    </row>
    <row r="91" spans="34:52" ph="1">
      <c r="AJ91" s="64" t="s" ph="1">
        <v>434</v>
      </c>
      <c r="AK91" s="64" t="s" ph="1">
        <v>272</v>
      </c>
      <c r="AM91" s="64" t="s" ph="1">
        <v>435</v>
      </c>
      <c r="AN91" s="64" t="s" ph="1">
        <v>239</v>
      </c>
      <c r="AO91" s="64" t="s" ph="1">
        <v>259</v>
      </c>
      <c r="AP91" s="64" t="s" ph="1">
        <v>436</v>
      </c>
      <c r="AQ91" s="64" t="s" ph="1">
        <v>219</v>
      </c>
      <c r="AS91" s="64" t="s" ph="1">
        <v>403</v>
      </c>
      <c r="AT91" s="64" t="s" ph="1">
        <v>399</v>
      </c>
      <c r="AU91" s="64" t="s" ph="1">
        <v>400</v>
      </c>
    </row>
    <row r="92" spans="34:52" ph="1">
      <c r="AH92" s="64" ph="1">
        <v>6</v>
      </c>
      <c r="AI92" s="64" t="s" ph="1">
        <v>437</v>
      </c>
      <c r="AJ92" s="64" t="s" ph="1">
        <v>438</v>
      </c>
      <c r="AK92" s="64" t="s" ph="1">
        <v>367</v>
      </c>
      <c r="AM92" s="64" t="s" ph="1">
        <v>439</v>
      </c>
      <c r="AN92" s="64" t="s" ph="1">
        <v>227</v>
      </c>
      <c r="AO92" s="64" t="s" ph="1">
        <v>259</v>
      </c>
      <c r="AP92" s="64" t="s" ph="1">
        <v>440</v>
      </c>
      <c r="AQ92" s="64" t="s" ph="1">
        <v>299</v>
      </c>
      <c r="AR92" s="64" t="s" ph="1">
        <v>259</v>
      </c>
      <c r="AS92" s="64" t="s" ph="1">
        <v>441</v>
      </c>
      <c r="AT92" s="64" t="s" ph="1">
        <v>272</v>
      </c>
      <c r="AU92" s="64" t="s" ph="1">
        <v>259</v>
      </c>
      <c r="AV92" s="64" t="s" ph="1">
        <v>442</v>
      </c>
      <c r="AW92" s="64" t="s" ph="1">
        <v>228</v>
      </c>
      <c r="AX92" s="64" t="s" ph="1">
        <v>259</v>
      </c>
      <c r="AY92" s="64" t="s" ph="1">
        <v>216</v>
      </c>
      <c r="AZ92" s="64" t="s" ph="1">
        <v>423</v>
      </c>
    </row>
    <row r="93" spans="34:52" ph="1">
      <c r="AJ93" s="64" t="s" ph="1">
        <v>443</v>
      </c>
      <c r="AK93" s="64" t="s" ph="1">
        <v>222</v>
      </c>
      <c r="AM93" s="64" t="s" ph="1">
        <v>444</v>
      </c>
      <c r="AN93" s="64" t="s" ph="1">
        <v>227</v>
      </c>
      <c r="AO93" s="64" t="s" ph="1">
        <v>259</v>
      </c>
      <c r="AP93" s="64" t="s" ph="1">
        <v>445</v>
      </c>
      <c r="AQ93" s="64" t="s" ph="1">
        <v>231</v>
      </c>
      <c r="AR93" s="64" t="s" ph="1">
        <v>259</v>
      </c>
      <c r="AS93" s="64" t="s" ph="1">
        <v>446</v>
      </c>
      <c r="AT93" s="64" t="s" ph="1">
        <v>237</v>
      </c>
      <c r="AU93" s="64" t="s" ph="1">
        <v>259</v>
      </c>
      <c r="AV93" s="64" t="s" ph="1">
        <v>447</v>
      </c>
      <c r="AW93" s="64" t="s" ph="1">
        <v>231</v>
      </c>
      <c r="AX93" s="64" t="s" ph="1">
        <v>259</v>
      </c>
    </row>
    <row r="94" spans="34:52" ph="1">
      <c r="AJ94" s="64" t="s" ph="1">
        <v>448</v>
      </c>
      <c r="AK94" s="64" t="s" ph="1">
        <v>294</v>
      </c>
      <c r="AM94" s="64" t="s" ph="1">
        <v>449</v>
      </c>
      <c r="AN94" s="64" t="s" ph="1">
        <v>231</v>
      </c>
      <c r="AO94" s="64" t="s" ph="1">
        <v>259</v>
      </c>
      <c r="AP94" s="64" t="s" ph="1">
        <v>450</v>
      </c>
      <c r="AQ94" s="64" t="s" ph="1">
        <v>239</v>
      </c>
      <c r="AR94" s="64" t="s" ph="1">
        <v>259</v>
      </c>
      <c r="AS94" s="64" t="s" ph="1">
        <v>451</v>
      </c>
      <c r="AT94" s="64" t="s" ph="1">
        <v>225</v>
      </c>
      <c r="AU94" s="64" t="s" ph="1">
        <v>259</v>
      </c>
      <c r="AV94" s="64" t="s" ph="1">
        <v>452</v>
      </c>
      <c r="AW94" s="64" t="s" ph="1">
        <v>225</v>
      </c>
      <c r="AX94" s="64" t="s" ph="1">
        <v>259</v>
      </c>
    </row>
    <row r="95" spans="34:52" ph="1">
      <c r="AJ95" s="64" t="s" ph="1">
        <v>453</v>
      </c>
      <c r="AK95" s="64" t="s" ph="1">
        <v>299</v>
      </c>
    </row>
    <row r="96" spans="34:52" ph="1">
      <c r="AH96" s="64" ph="1">
        <v>7</v>
      </c>
      <c r="AI96" s="64" t="s" ph="1">
        <v>454</v>
      </c>
      <c r="AJ96" s="64" t="s" ph="1">
        <v>453</v>
      </c>
      <c r="AK96" s="64" t="s" ph="1">
        <v>254</v>
      </c>
      <c r="AM96" s="64" t="s" ph="1">
        <v>455</v>
      </c>
      <c r="AN96" s="64" t="s" ph="1">
        <v>228</v>
      </c>
      <c r="AO96" s="64" t="s" ph="1">
        <v>259</v>
      </c>
      <c r="AP96" s="64" t="s" ph="1">
        <v>456</v>
      </c>
      <c r="AQ96" s="64" t="s" ph="1">
        <v>272</v>
      </c>
      <c r="AR96" s="64" t="s" ph="1">
        <v>287</v>
      </c>
      <c r="AS96" s="64" t="s" ph="1">
        <v>457</v>
      </c>
      <c r="AT96" s="64" t="s" ph="1">
        <v>231</v>
      </c>
      <c r="AU96" s="64" t="s" ph="1">
        <v>287</v>
      </c>
      <c r="AV96" s="64" t="s" ph="1">
        <v>458</v>
      </c>
      <c r="AW96" s="64" t="s" ph="1">
        <v>227</v>
      </c>
      <c r="AX96" s="64" t="s" ph="1">
        <v>287</v>
      </c>
      <c r="AY96" s="64" t="s" ph="1">
        <v>216</v>
      </c>
      <c r="AZ96" s="64" t="s" ph="1">
        <v>459</v>
      </c>
    </row>
    <row r="97" spans="33:52" ph="1">
      <c r="AJ97" s="64" t="s" ph="1">
        <v>460</v>
      </c>
      <c r="AK97" s="64" t="s" ph="1">
        <v>282</v>
      </c>
      <c r="AM97" s="64" t="s" ph="1">
        <v>461</v>
      </c>
      <c r="AN97" s="64" t="s" ph="1">
        <v>225</v>
      </c>
      <c r="AO97" s="64" t="s" ph="1">
        <v>259</v>
      </c>
      <c r="AP97" s="64" t="s" ph="1">
        <v>462</v>
      </c>
      <c r="AQ97" s="64" t="s" ph="1">
        <v>219</v>
      </c>
      <c r="AR97" s="64" t="s" ph="1">
        <v>287</v>
      </c>
      <c r="AS97" s="64" t="s" ph="1">
        <v>463</v>
      </c>
      <c r="AT97" s="64" t="s" ph="1">
        <v>222</v>
      </c>
      <c r="AU97" s="64" t="s" ph="1">
        <v>287</v>
      </c>
      <c r="AV97" s="64" t="s" ph="1">
        <v>464</v>
      </c>
      <c r="AW97" s="64" t="s" ph="1">
        <v>228</v>
      </c>
      <c r="AX97" s="64" t="s" ph="1">
        <v>287</v>
      </c>
    </row>
    <row r="98" spans="33:52" ph="1">
      <c r="AJ98" s="64" t="s" ph="1">
        <v>465</v>
      </c>
      <c r="AK98" s="64" t="s" ph="1">
        <v>231</v>
      </c>
      <c r="AM98" s="64" t="s" ph="1">
        <v>466</v>
      </c>
      <c r="AN98" s="64" t="s" ph="1">
        <v>239</v>
      </c>
      <c r="AO98" s="64" t="s" ph="1">
        <v>259</v>
      </c>
      <c r="AP98" s="64" t="s" ph="1">
        <v>467</v>
      </c>
      <c r="AQ98" s="64" t="s" ph="1">
        <v>219</v>
      </c>
      <c r="AR98" s="64" t="s" ph="1">
        <v>287</v>
      </c>
      <c r="AS98" s="64" t="s" ph="1">
        <v>468</v>
      </c>
      <c r="AT98" s="64" t="s" ph="1">
        <v>299</v>
      </c>
      <c r="AU98" s="64" t="s" ph="1">
        <v>287</v>
      </c>
      <c r="AV98" s="64" t="s" ph="1">
        <v>469</v>
      </c>
      <c r="AW98" s="64" t="s" ph="1">
        <v>222</v>
      </c>
      <c r="AX98" s="64" t="s" ph="1">
        <v>287</v>
      </c>
    </row>
    <row r="99" spans="33:52" ph="1">
      <c r="AH99" s="64" ph="1">
        <v>8</v>
      </c>
      <c r="AI99" s="64" t="s" ph="1">
        <v>470</v>
      </c>
      <c r="AJ99" s="64" t="s" ph="1">
        <v>471</v>
      </c>
      <c r="AK99" s="64" t="s" ph="1">
        <v>367</v>
      </c>
      <c r="AM99" s="64" t="s" ph="1">
        <v>472</v>
      </c>
      <c r="AN99" s="64" t="s" ph="1">
        <v>254</v>
      </c>
      <c r="AO99" s="64" t="s" ph="1">
        <v>259</v>
      </c>
      <c r="AP99" s="64" t="s" ph="1">
        <v>473</v>
      </c>
      <c r="AQ99" s="64" t="s" ph="1">
        <v>224</v>
      </c>
      <c r="AR99" s="64" t="s" ph="1">
        <v>287</v>
      </c>
      <c r="AS99" s="64" t="s" ph="1">
        <v>474</v>
      </c>
      <c r="AT99" s="64" t="s" ph="1">
        <v>239</v>
      </c>
      <c r="AU99" s="64" t="s" ph="1">
        <v>287</v>
      </c>
      <c r="AV99" s="64" t="s" ph="1">
        <v>475</v>
      </c>
      <c r="AW99" s="64" t="s" ph="1">
        <v>224</v>
      </c>
      <c r="AX99" s="64" t="s" ph="1">
        <v>287</v>
      </c>
      <c r="AY99" s="64" t="s" ph="1">
        <v>216</v>
      </c>
      <c r="AZ99" s="64" t="s" ph="1">
        <v>476</v>
      </c>
    </row>
    <row r="100" spans="33:52" ph="1">
      <c r="AJ100" s="64" t="s" ph="1">
        <v>477</v>
      </c>
      <c r="AK100" s="64" t="s" ph="1">
        <v>222</v>
      </c>
      <c r="AM100" s="64" t="s" ph="1">
        <v>478</v>
      </c>
      <c r="AN100" s="64" t="s" ph="1">
        <v>294</v>
      </c>
      <c r="AO100" s="64" t="s" ph="1">
        <v>259</v>
      </c>
      <c r="AP100" s="64" t="s" ph="1">
        <v>479</v>
      </c>
      <c r="AQ100" s="64" t="s" ph="1">
        <v>300</v>
      </c>
      <c r="AR100" s="64" t="s" ph="1">
        <v>287</v>
      </c>
      <c r="AS100" s="64" t="s" ph="1">
        <v>480</v>
      </c>
      <c r="AT100" s="64" t="s" ph="1">
        <v>367</v>
      </c>
      <c r="AU100" s="64" t="s" ph="1">
        <v>259</v>
      </c>
      <c r="AV100" s="64" t="s" ph="1">
        <v>481</v>
      </c>
      <c r="AW100" s="64" t="s" ph="1">
        <v>367</v>
      </c>
      <c r="AX100" s="64" t="s" ph="1">
        <v>259</v>
      </c>
    </row>
    <row r="101" spans="33:52" ph="1">
      <c r="AJ101" s="64" t="s" ph="1">
        <v>482</v>
      </c>
      <c r="AK101" s="64" t="s" ph="1">
        <v>367</v>
      </c>
      <c r="AM101" s="64" t="s" ph="1">
        <v>483</v>
      </c>
      <c r="AN101" s="64" t="s" ph="1">
        <v>225</v>
      </c>
      <c r="AO101" s="64" t="s" ph="1">
        <v>259</v>
      </c>
      <c r="AP101" s="64" t="s" ph="1">
        <v>484</v>
      </c>
      <c r="AQ101" s="64" t="s" ph="1">
        <v>237</v>
      </c>
      <c r="AR101" s="64" t="s" ph="1">
        <v>287</v>
      </c>
      <c r="AS101" s="64" t="s" ph="1">
        <v>485</v>
      </c>
      <c r="AT101" s="64" t="s" ph="1">
        <v>294</v>
      </c>
      <c r="AU101" s="64" t="s" ph="1">
        <v>287</v>
      </c>
      <c r="AV101" s="64" t="s" ph="1">
        <v>486</v>
      </c>
      <c r="AW101" s="64" t="s" ph="1">
        <v>225</v>
      </c>
      <c r="AX101" s="64" t="s" ph="1">
        <v>259</v>
      </c>
    </row>
    <row r="102" spans="33:52" ph="1">
      <c r="AJ102" s="64" t="s" ph="1">
        <v>487</v>
      </c>
      <c r="AK102" s="64" t="s" ph="1">
        <v>222</v>
      </c>
      <c r="AM102" s="64" t="s" ph="1">
        <v>488</v>
      </c>
      <c r="AN102" s="64" t="s" ph="1">
        <v>231</v>
      </c>
      <c r="AO102" s="64" t="s" ph="1">
        <v>259</v>
      </c>
      <c r="AP102" s="64" t="s" ph="1">
        <v>489</v>
      </c>
      <c r="AQ102" s="64" t="s" ph="1">
        <v>237</v>
      </c>
      <c r="AR102" s="64" t="s" ph="1">
        <v>259</v>
      </c>
      <c r="AS102" s="64" t="s" ph="1">
        <v>490</v>
      </c>
      <c r="AT102" s="64" t="s" ph="1">
        <v>254</v>
      </c>
      <c r="AU102" s="64" t="s" ph="1">
        <v>259</v>
      </c>
      <c r="AV102" s="64" t="s" ph="1">
        <v>491</v>
      </c>
      <c r="AW102" s="64" t="s" ph="1">
        <v>272</v>
      </c>
      <c r="AX102" s="64" t="s" ph="1">
        <v>259</v>
      </c>
    </row>
    <row r="103" spans="33:52" ph="1">
      <c r="AH103" s="64" ph="1">
        <v>9</v>
      </c>
      <c r="AI103" s="64" t="s" ph="1">
        <v>492</v>
      </c>
      <c r="AJ103" s="64" t="s" ph="1">
        <v>493</v>
      </c>
      <c r="AK103" s="64" t="s" ph="1">
        <v>367</v>
      </c>
      <c r="AM103" s="64" t="s" ph="1">
        <v>494</v>
      </c>
      <c r="AN103" s="64" t="s" ph="1">
        <v>282</v>
      </c>
      <c r="AO103" s="64" t="s" ph="1">
        <v>259</v>
      </c>
      <c r="AP103" s="64" t="s" ph="1">
        <v>336</v>
      </c>
      <c r="AQ103" s="64" t="s" ph="1">
        <v>225</v>
      </c>
      <c r="AR103" s="64" t="s" ph="1">
        <v>259</v>
      </c>
      <c r="AS103" s="64" t="s" ph="1">
        <v>570</v>
      </c>
      <c r="AT103" s="64" t="s" ph="1">
        <v>367</v>
      </c>
      <c r="AU103" s="64" t="s" ph="1">
        <v>259</v>
      </c>
      <c r="AY103" s="64" t="s" ph="1">
        <v>216</v>
      </c>
      <c r="AZ103" s="64" t="s" ph="1">
        <v>224</v>
      </c>
    </row>
    <row r="104" spans="33:52" ph="1">
      <c r="AZ104" s="64" t="s" ph="1">
        <v>495</v>
      </c>
    </row>
    <row r="105" spans="33:52" ph="1">
      <c r="AG105" s="64" t="s" ph="1">
        <v>295</v>
      </c>
      <c r="AI105" s="64" t="s" ph="1">
        <v>209</v>
      </c>
      <c r="AJ105" s="64" t="s" ph="1">
        <v>210</v>
      </c>
      <c r="AK105" s="64" t="s" ph="1">
        <v>211</v>
      </c>
      <c r="AM105" s="64" t="s" ph="1">
        <v>210</v>
      </c>
      <c r="AN105" s="64" t="s" ph="1">
        <v>211</v>
      </c>
      <c r="AO105" s="64" t="s" ph="1">
        <v>212</v>
      </c>
      <c r="AP105" s="64" t="s" ph="1">
        <v>210</v>
      </c>
      <c r="AQ105" s="64" t="s" ph="1">
        <v>211</v>
      </c>
      <c r="AR105" s="64" t="s" ph="1">
        <v>212</v>
      </c>
      <c r="AS105" s="64" t="s" ph="1">
        <v>210</v>
      </c>
      <c r="AT105" s="64" t="s" ph="1">
        <v>211</v>
      </c>
      <c r="AU105" s="64" t="s" ph="1">
        <v>212</v>
      </c>
      <c r="AV105" s="64" t="s" ph="1">
        <v>210</v>
      </c>
      <c r="AW105" s="64" t="s" ph="1">
        <v>211</v>
      </c>
      <c r="AX105" s="64" t="s" ph="1">
        <v>212</v>
      </c>
      <c r="AZ105" s="64" t="s" ph="1">
        <v>213</v>
      </c>
    </row>
    <row r="106" spans="33:52" ph="1">
      <c r="AH106" s="64" ph="1">
        <v>1</v>
      </c>
      <c r="AI106" s="64" t="s" ph="1">
        <v>496</v>
      </c>
      <c r="AJ106" s="64" t="s" ph="1">
        <v>570</v>
      </c>
      <c r="AK106" s="64" t="s" ph="1">
        <v>231</v>
      </c>
      <c r="AZ106" s="64" t="s" ph="1">
        <v>231</v>
      </c>
    </row>
    <row r="107" spans="33:52" ph="1">
      <c r="AH107" s="64" ph="1">
        <v>2</v>
      </c>
      <c r="AI107" s="64" t="s" ph="1">
        <v>497</v>
      </c>
      <c r="AJ107" s="64" t="s" ph="1">
        <v>498</v>
      </c>
      <c r="AK107" s="64" t="s" ph="1">
        <v>228</v>
      </c>
      <c r="AM107" s="64" t="s" ph="1">
        <v>334</v>
      </c>
      <c r="AN107" s="64" t="s" ph="1">
        <v>499</v>
      </c>
      <c r="AO107" s="64" t="s" ph="1">
        <v>500</v>
      </c>
      <c r="AP107" s="64" t="s" ph="1">
        <v>336</v>
      </c>
      <c r="AQ107" s="64" t="s" ph="1">
        <v>304</v>
      </c>
      <c r="AR107" s="64" t="s" ph="1">
        <v>500</v>
      </c>
      <c r="AS107" s="64" t="s" ph="1">
        <v>570</v>
      </c>
      <c r="AT107" s="64" t="s" ph="1">
        <v>499</v>
      </c>
      <c r="AU107" s="64" t="s" ph="1">
        <v>500</v>
      </c>
      <c r="AY107" s="64" t="s" ph="1">
        <v>216</v>
      </c>
      <c r="AZ107" s="64" t="s" ph="1">
        <v>580</v>
      </c>
    </row>
    <row r="108" spans="33:52" ph="1">
      <c r="AH108" s="64" ph="1">
        <v>3</v>
      </c>
      <c r="AI108" s="64" t="s" ph="1">
        <v>501</v>
      </c>
      <c r="AY108" s="64" t="s" ph="1">
        <v>216</v>
      </c>
      <c r="AZ108" s="64" t="s" ph="1">
        <v>367</v>
      </c>
    </row>
    <row r="109" spans="33:52" ph="1">
      <c r="AH109" s="64" ph="1">
        <v>4</v>
      </c>
      <c r="AI109" s="64" t="s" ph="1">
        <v>502</v>
      </c>
      <c r="AY109" s="64" t="s" ph="1">
        <v>216</v>
      </c>
      <c r="AZ109" s="64" t="s" ph="1">
        <v>367</v>
      </c>
    </row>
    <row r="110" spans="33:52" ph="1">
      <c r="AH110" s="64" ph="1">
        <v>5</v>
      </c>
      <c r="AI110" s="64" t="s" ph="1">
        <v>503</v>
      </c>
      <c r="AY110" s="64" t="s" ph="1">
        <v>216</v>
      </c>
      <c r="AZ110" s="64" t="s" ph="1">
        <v>367</v>
      </c>
    </row>
    <row r="111" spans="33:52" ph="1">
      <c r="AH111" s="64" ph="1">
        <v>6</v>
      </c>
      <c r="AI111" s="64" t="s" ph="1">
        <v>581</v>
      </c>
      <c r="AJ111" s="64" t="s" ph="1">
        <v>486</v>
      </c>
      <c r="AK111" s="64" t="s" ph="1">
        <v>225</v>
      </c>
      <c r="AM111" s="64" t="s" ph="1">
        <v>487</v>
      </c>
      <c r="AN111" s="64" t="s" ph="1">
        <v>219</v>
      </c>
      <c r="AO111" s="64" t="s" ph="1">
        <v>500</v>
      </c>
      <c r="AP111" s="64" t="s" ph="1">
        <v>488</v>
      </c>
      <c r="AQ111" s="64" t="s" ph="1">
        <v>228</v>
      </c>
      <c r="AR111" s="64" t="s" ph="1">
        <v>500</v>
      </c>
      <c r="AS111" s="64" t="s" ph="1">
        <v>489</v>
      </c>
      <c r="AT111" s="64" t="s" ph="1">
        <v>237</v>
      </c>
      <c r="AU111" s="64" t="s" ph="1">
        <v>500</v>
      </c>
      <c r="AV111" s="64" t="s" ph="1">
        <v>490</v>
      </c>
      <c r="AW111" s="64" t="s" ph="1">
        <v>227</v>
      </c>
      <c r="AX111" s="64" t="s" ph="1">
        <v>500</v>
      </c>
      <c r="AY111" s="64" t="s" ph="1">
        <v>216</v>
      </c>
      <c r="AZ111" s="64" t="s" ph="1">
        <v>504</v>
      </c>
    </row>
    <row r="112" spans="33:52" ph="1">
      <c r="AJ112" s="64" t="s" ph="1">
        <v>491</v>
      </c>
      <c r="AK112" s="64" t="s" ph="1">
        <v>272</v>
      </c>
      <c r="AM112" s="64" t="s" ph="1">
        <v>493</v>
      </c>
      <c r="AN112" s="64" t="s" ph="1">
        <v>296</v>
      </c>
      <c r="AO112" s="64" t="s" ph="1">
        <v>500</v>
      </c>
      <c r="AP112" s="64" t="s" ph="1">
        <v>494</v>
      </c>
      <c r="AQ112" s="64" t="s" ph="1">
        <v>505</v>
      </c>
      <c r="AR112" s="64" t="s" ph="1">
        <v>500</v>
      </c>
      <c r="AS112" s="64" t="s" ph="1">
        <v>506</v>
      </c>
      <c r="AT112" s="64" t="s" ph="1">
        <v>248</v>
      </c>
      <c r="AU112" s="64" t="s" ph="1">
        <v>500</v>
      </c>
      <c r="AV112" s="64" t="s" ph="1">
        <v>507</v>
      </c>
      <c r="AW112" s="64" t="s" ph="1">
        <v>294</v>
      </c>
      <c r="AX112" s="64" t="s" ph="1">
        <v>500</v>
      </c>
    </row>
    <row r="113" spans="33:52" ph="1">
      <c r="AH113" s="64" ph="1">
        <v>7</v>
      </c>
      <c r="AI113" s="64" t="s" ph="1">
        <v>508</v>
      </c>
      <c r="AJ113" s="64" t="s" ph="1">
        <v>589</v>
      </c>
      <c r="AK113" s="64" t="s" ph="1">
        <v>594</v>
      </c>
      <c r="AY113" s="64" t="s" ph="1">
        <v>216</v>
      </c>
      <c r="AZ113" s="64" t="s" ph="1">
        <v>594</v>
      </c>
    </row>
    <row r="114" spans="33:52" ph="1">
      <c r="AH114" s="64" ph="1">
        <v>8</v>
      </c>
      <c r="AI114" s="64" t="s" ph="1">
        <v>509</v>
      </c>
      <c r="AJ114" s="64" t="s" ph="1">
        <v>589</v>
      </c>
      <c r="AK114" s="64" t="s" ph="1">
        <v>595</v>
      </c>
      <c r="AY114" s="64" t="s" ph="1">
        <v>216</v>
      </c>
      <c r="AZ114" s="64" t="s" ph="1">
        <v>595</v>
      </c>
    </row>
    <row r="115" spans="33:52" ph="1">
      <c r="AH115" s="64" ph="1">
        <v>9</v>
      </c>
      <c r="AI115" s="64" t="s" ph="1">
        <v>510</v>
      </c>
      <c r="AJ115" s="64" t="s" ph="1">
        <v>589</v>
      </c>
      <c r="AK115" s="64" t="s" ph="1">
        <v>595</v>
      </c>
      <c r="AY115" s="64" t="s" ph="1">
        <v>216</v>
      </c>
      <c r="AZ115" s="64" t="s" ph="1">
        <v>595</v>
      </c>
    </row>
    <row r="116" spans="33:52" ph="1">
      <c r="AH116" s="64" ph="1">
        <v>10</v>
      </c>
      <c r="AI116" s="64" t="s" ph="1">
        <v>511</v>
      </c>
      <c r="AJ116" s="64" t="s" ph="1">
        <v>589</v>
      </c>
      <c r="AK116" s="64" t="s" ph="1">
        <v>595</v>
      </c>
      <c r="AY116" s="64" t="s" ph="1">
        <v>216</v>
      </c>
      <c r="AZ116" s="64" t="s" ph="1">
        <v>595</v>
      </c>
    </row>
    <row r="117" spans="33:52" ph="1">
      <c r="AH117" s="64" ph="1">
        <v>11</v>
      </c>
      <c r="AI117" s="64" t="s" ph="1">
        <v>512</v>
      </c>
      <c r="AJ117" s="64" t="s" ph="1">
        <v>589</v>
      </c>
      <c r="AK117" s="64" t="s" ph="1">
        <v>595</v>
      </c>
      <c r="AY117" s="64" t="s" ph="1">
        <v>216</v>
      </c>
      <c r="AZ117" s="64" t="s" ph="1">
        <v>595</v>
      </c>
    </row>
    <row r="118" spans="33:52" ph="1">
      <c r="AZ118" s="64" t="s" ph="1">
        <v>596</v>
      </c>
    </row>
    <row r="119" spans="33:52" ph="1">
      <c r="AI119" s="64" t="s" ph="1">
        <v>209</v>
      </c>
      <c r="AJ119" s="64" t="s" ph="1">
        <v>210</v>
      </c>
      <c r="AK119" s="64" t="s" ph="1">
        <v>211</v>
      </c>
      <c r="AM119" s="64" t="s" ph="1">
        <v>210</v>
      </c>
      <c r="AN119" s="64" t="s" ph="1">
        <v>211</v>
      </c>
      <c r="AO119" s="64" t="s" ph="1">
        <v>212</v>
      </c>
      <c r="AP119" s="64" t="s" ph="1">
        <v>210</v>
      </c>
      <c r="AQ119" s="64" t="s" ph="1">
        <v>211</v>
      </c>
      <c r="AR119" s="64" t="s" ph="1">
        <v>212</v>
      </c>
      <c r="AS119" s="64" t="s" ph="1">
        <v>210</v>
      </c>
      <c r="AT119" s="64" t="s" ph="1">
        <v>211</v>
      </c>
      <c r="AU119" s="64" t="s" ph="1">
        <v>212</v>
      </c>
      <c r="AV119" s="64" t="s" ph="1">
        <v>210</v>
      </c>
      <c r="AW119" s="64" t="s" ph="1">
        <v>211</v>
      </c>
      <c r="AX119" s="64" t="s" ph="1">
        <v>212</v>
      </c>
      <c r="AY119" s="64" t="s" ph="1">
        <v>211</v>
      </c>
      <c r="AZ119" s="64" t="s" ph="1">
        <v>213</v>
      </c>
    </row>
    <row r="120" spans="33:52" ph="1">
      <c r="AG120" s="64" t="s" ph="1">
        <v>353</v>
      </c>
      <c r="AH120" s="64" ph="1">
        <v>1</v>
      </c>
      <c r="AI120" s="64" t="s" ph="1">
        <v>513</v>
      </c>
      <c r="AJ120" s="64" t="s" ph="1">
        <v>587</v>
      </c>
      <c r="AK120" s="64" t="s" ph="1">
        <v>367</v>
      </c>
      <c r="AY120" s="64" t="s" ph="1">
        <v>216</v>
      </c>
      <c r="AZ120" s="64" t="s" ph="1">
        <v>367</v>
      </c>
    </row>
    <row r="121" spans="33:52" ph="1">
      <c r="AH121" s="64" ph="1">
        <v>2</v>
      </c>
      <c r="AI121" s="64" t="s" ph="1">
        <v>514</v>
      </c>
      <c r="AY121" s="64" t="s" ph="1">
        <v>216</v>
      </c>
      <c r="AZ121" s="64" t="s" ph="1">
        <v>367</v>
      </c>
    </row>
    <row r="122" spans="33:52" ph="1">
      <c r="AH122" s="64" ph="1">
        <v>3</v>
      </c>
      <c r="AI122" s="64" t="s" ph="1">
        <v>515</v>
      </c>
      <c r="AJ122" s="64" t="s" ph="1">
        <v>570</v>
      </c>
      <c r="AK122" s="64" t="s" ph="1">
        <v>582</v>
      </c>
      <c r="AM122" s="64" t="s" ph="1">
        <v>597</v>
      </c>
      <c r="AN122" s="64" t="s" ph="1">
        <v>590</v>
      </c>
      <c r="AO122" s="64" t="s" ph="1">
        <v>91</v>
      </c>
      <c r="AY122" s="64" t="s" ph="1">
        <v>216</v>
      </c>
      <c r="AZ122" s="64" t="s" ph="1">
        <v>579</v>
      </c>
    </row>
    <row r="123" spans="33:52" ph="1">
      <c r="AY123" s="64" t="s" ph="1">
        <v>216</v>
      </c>
      <c r="AZ123" s="64" t="s" ph="1">
        <v>579</v>
      </c>
    </row>
    <row r="124" spans="33:52" ph="1">
      <c r="AG124" s="64" t="s" ph="1">
        <v>356</v>
      </c>
      <c r="AH124" s="64" ph="1">
        <v>4</v>
      </c>
      <c r="AI124" s="64" t="s" ph="1">
        <v>516</v>
      </c>
      <c r="AJ124" s="64" t="s" ph="1">
        <v>517</v>
      </c>
      <c r="AK124" s="64" t="s" ph="1">
        <v>518</v>
      </c>
      <c r="AY124" s="64" t="s" ph="1">
        <v>216</v>
      </c>
      <c r="AZ124" s="64" t="s" ph="1">
        <v>518</v>
      </c>
    </row>
    <row r="125" spans="33:52" ph="1">
      <c r="AH125" s="64" ph="1">
        <v>5</v>
      </c>
      <c r="AI125" s="64" t="s" ph="1">
        <v>519</v>
      </c>
      <c r="AJ125" s="64" t="s" ph="1">
        <v>517</v>
      </c>
      <c r="AK125" s="64" t="s" ph="1">
        <v>518</v>
      </c>
      <c r="AY125" s="64" t="s" ph="1">
        <v>216</v>
      </c>
      <c r="AZ125" s="64" t="s" ph="1">
        <v>518</v>
      </c>
    </row>
    <row r="126" spans="33:52" ph="1">
      <c r="AH126" s="64" ph="1">
        <v>6</v>
      </c>
      <c r="AI126" s="64" t="s" ph="1">
        <v>520</v>
      </c>
      <c r="AJ126" s="64" t="s" ph="1">
        <v>589</v>
      </c>
      <c r="AK126" s="64" t="s" ph="1">
        <v>598</v>
      </c>
      <c r="AY126" s="64" t="s" ph="1">
        <v>216</v>
      </c>
      <c r="AZ126" s="64" t="s" ph="1">
        <v>598</v>
      </c>
    </row>
    <row r="127" spans="33:52" ph="1">
      <c r="AH127" s="64" ph="1">
        <v>7</v>
      </c>
      <c r="AI127" s="64" t="s" ph="1">
        <v>521</v>
      </c>
      <c r="AJ127" s="64" t="s" ph="1">
        <v>589</v>
      </c>
      <c r="AK127" s="64" t="s" ph="1">
        <v>599</v>
      </c>
      <c r="AY127" s="64" t="s" ph="1">
        <v>216</v>
      </c>
      <c r="AZ127" s="64" t="s" ph="1">
        <v>599</v>
      </c>
    </row>
    <row r="128" spans="33:52" ph="1">
      <c r="AH128" s="64" ph="1">
        <v>8</v>
      </c>
      <c r="AI128" s="64" t="s" ph="1">
        <v>522</v>
      </c>
      <c r="AY128" s="64" t="s" ph="1">
        <v>216</v>
      </c>
      <c r="AZ128" s="64" t="s" ph="1">
        <v>367</v>
      </c>
    </row>
    <row r="129" spans="33:52" ph="1">
      <c r="AH129" s="64" ph="1">
        <v>9</v>
      </c>
      <c r="AI129" s="64" t="s" ph="1">
        <v>523</v>
      </c>
      <c r="AY129" s="64" t="s" ph="1">
        <v>216</v>
      </c>
      <c r="AZ129" s="64" t="s" ph="1">
        <v>367</v>
      </c>
    </row>
    <row r="130" spans="33:52" ph="1">
      <c r="AH130" s="64" ph="1">
        <v>10</v>
      </c>
      <c r="AI130" s="64" t="s" ph="1">
        <v>524</v>
      </c>
      <c r="AY130" s="64" t="s" ph="1">
        <v>216</v>
      </c>
      <c r="AZ130" s="64" t="s" ph="1">
        <v>367</v>
      </c>
    </row>
    <row r="131" spans="33:52" ph="1">
      <c r="AH131" s="64" ph="1">
        <v>11</v>
      </c>
      <c r="AI131" s="64" t="s" ph="1">
        <v>525</v>
      </c>
      <c r="AJ131" s="64" t="s" ph="1">
        <v>583</v>
      </c>
      <c r="AK131" s="64" t="s" ph="1">
        <v>579</v>
      </c>
      <c r="AY131" s="64" t="s" ph="1">
        <v>216</v>
      </c>
      <c r="AZ131" s="64" t="s" ph="1">
        <v>579</v>
      </c>
    </row>
    <row r="132" spans="33:52" ph="1">
      <c r="AH132" s="64" ph="1">
        <v>12</v>
      </c>
      <c r="AI132" s="64" t="s" ph="1">
        <v>526</v>
      </c>
      <c r="AJ132" s="64" t="s" ph="1">
        <v>583</v>
      </c>
      <c r="AK132" s="64" t="s" ph="1">
        <v>518</v>
      </c>
      <c r="AY132" s="64" t="s" ph="1">
        <v>216</v>
      </c>
      <c r="AZ132" s="64" t="s" ph="1">
        <v>518</v>
      </c>
    </row>
    <row r="133" spans="33:52" ph="1">
      <c r="AH133" s="64" ph="1">
        <v>13</v>
      </c>
      <c r="AI133" s="64" t="s" ph="1">
        <v>527</v>
      </c>
      <c r="AJ133" s="64" t="s" ph="1">
        <v>583</v>
      </c>
      <c r="AK133" s="64" t="s" ph="1">
        <v>584</v>
      </c>
      <c r="AY133" s="64" t="s" ph="1">
        <v>216</v>
      </c>
      <c r="AZ133" s="64" t="s" ph="1">
        <v>584</v>
      </c>
    </row>
    <row r="134" spans="33:52" ph="1">
      <c r="AH134" s="64" ph="1">
        <v>14</v>
      </c>
      <c r="AI134" s="64" t="s" ph="1">
        <v>528</v>
      </c>
      <c r="AJ134" s="64" t="s" ph="1">
        <v>583</v>
      </c>
      <c r="AK134" s="64" t="s" ph="1">
        <v>585</v>
      </c>
      <c r="AY134" s="64" t="s" ph="1">
        <v>216</v>
      </c>
      <c r="AZ134" s="64" t="s" ph="1">
        <v>585</v>
      </c>
    </row>
    <row r="135" spans="33:52" ph="1">
      <c r="AH135" s="64" ph="1">
        <v>15</v>
      </c>
      <c r="AI135" s="64" t="s" ph="1">
        <v>529</v>
      </c>
      <c r="AJ135" s="64" t="s" ph="1">
        <v>583</v>
      </c>
      <c r="AK135" s="64" t="s" ph="1">
        <v>586</v>
      </c>
      <c r="AY135" s="64" t="s" ph="1">
        <v>216</v>
      </c>
      <c r="AZ135" s="64" t="s" ph="1">
        <v>586</v>
      </c>
    </row>
    <row r="136" spans="33:52" ph="1">
      <c r="AZ136" s="64" t="s" ph="1">
        <v>600</v>
      </c>
    </row>
    <row r="137" spans="33:52" ph="1">
      <c r="AG137" s="64" t="s" ph="1">
        <v>290</v>
      </c>
      <c r="AI137" s="64" t="s" ph="1">
        <v>209</v>
      </c>
      <c r="AJ137" s="64" t="s" ph="1">
        <v>210</v>
      </c>
      <c r="AK137" s="64" t="s" ph="1">
        <v>211</v>
      </c>
      <c r="AM137" s="64" t="s" ph="1">
        <v>210</v>
      </c>
      <c r="AN137" s="64" t="s" ph="1">
        <v>211</v>
      </c>
      <c r="AO137" s="64" t="s" ph="1">
        <v>212</v>
      </c>
      <c r="AP137" s="64" t="s" ph="1">
        <v>210</v>
      </c>
      <c r="AQ137" s="64" t="s" ph="1">
        <v>211</v>
      </c>
      <c r="AR137" s="64" t="s" ph="1">
        <v>212</v>
      </c>
      <c r="AS137" s="64" t="s" ph="1">
        <v>210</v>
      </c>
      <c r="AT137" s="64" t="s" ph="1">
        <v>211</v>
      </c>
      <c r="AU137" s="64" t="s" ph="1">
        <v>212</v>
      </c>
      <c r="AV137" s="64" t="s" ph="1">
        <v>210</v>
      </c>
      <c r="AW137" s="64" t="s" ph="1">
        <v>211</v>
      </c>
      <c r="AX137" s="64" t="s" ph="1">
        <v>212</v>
      </c>
      <c r="AY137" s="64" t="s" ph="1">
        <v>211</v>
      </c>
      <c r="AZ137" s="64" t="s" ph="1">
        <v>213</v>
      </c>
    </row>
    <row r="138" spans="33:52" ph="1">
      <c r="AH138" s="64" ph="1">
        <v>1</v>
      </c>
      <c r="AI138" s="64" t="s" ph="1">
        <v>530</v>
      </c>
      <c r="AJ138" s="64" t="s" ph="1">
        <v>531</v>
      </c>
      <c r="AK138" s="64" t="s" ph="1">
        <v>532</v>
      </c>
      <c r="AY138" s="64" t="s" ph="1">
        <v>216</v>
      </c>
      <c r="AZ138" s="64" t="s" ph="1">
        <v>532</v>
      </c>
    </row>
    <row r="139" spans="33:52" ph="1">
      <c r="AH139" s="64" ph="1">
        <v>2</v>
      </c>
      <c r="AI139" s="64" t="s" ph="1">
        <v>533</v>
      </c>
      <c r="AJ139" s="64" t="s" ph="1">
        <v>589</v>
      </c>
      <c r="AK139" s="64" t="s" ph="1">
        <v>601</v>
      </c>
      <c r="AY139" s="64" t="s" ph="1">
        <v>216</v>
      </c>
      <c r="AZ139" s="64" t="s" ph="1">
        <v>601</v>
      </c>
    </row>
    <row r="140" spans="33:52" ph="1">
      <c r="AH140" s="64" ph="1">
        <v>3</v>
      </c>
      <c r="AI140" s="64" t="s" ph="1">
        <v>534</v>
      </c>
      <c r="AJ140" s="64" t="s" ph="1">
        <v>487</v>
      </c>
      <c r="AK140" s="64" t="s" ph="1">
        <v>299</v>
      </c>
      <c r="AM140" s="64" t="s" ph="1">
        <v>488</v>
      </c>
      <c r="AN140" s="64" t="s" ph="1">
        <v>219</v>
      </c>
      <c r="AO140" s="64" t="s" ph="1">
        <v>535</v>
      </c>
      <c r="AP140" s="64" t="s" ph="1">
        <v>489</v>
      </c>
      <c r="AQ140" s="64" t="s" ph="1">
        <v>236</v>
      </c>
      <c r="AR140" s="64" t="s" ph="1">
        <v>535</v>
      </c>
      <c r="AS140" s="64" t="s" ph="1">
        <v>490</v>
      </c>
      <c r="AT140" s="64" t="s" ph="1">
        <v>229</v>
      </c>
      <c r="AU140" s="64" t="s" ph="1">
        <v>535</v>
      </c>
      <c r="AV140" s="64" t="s" ph="1">
        <v>491</v>
      </c>
      <c r="AW140" s="64" t="s" ph="1">
        <v>222</v>
      </c>
      <c r="AX140" s="64" t="s" ph="1">
        <v>535</v>
      </c>
      <c r="AY140" s="64" t="s" ph="1">
        <v>216</v>
      </c>
      <c r="AZ140" s="64" t="s" ph="1">
        <v>291</v>
      </c>
    </row>
    <row r="141" spans="33:52" ph="1">
      <c r="AJ141" s="64" t="s" ph="1">
        <v>493</v>
      </c>
      <c r="AK141" s="64" t="s" ph="1">
        <v>222</v>
      </c>
      <c r="AM141" s="64" t="s" ph="1">
        <v>494</v>
      </c>
      <c r="AN141" s="64" t="s" ph="1">
        <v>225</v>
      </c>
      <c r="AO141" s="64" t="s" ph="1">
        <v>535</v>
      </c>
      <c r="AP141" s="64" t="s" ph="1">
        <v>506</v>
      </c>
      <c r="AQ141" s="64" t="s" ph="1">
        <v>294</v>
      </c>
      <c r="AR141" s="64" t="s" ph="1">
        <v>535</v>
      </c>
      <c r="AS141" s="64" t="s" ph="1">
        <v>498</v>
      </c>
      <c r="AT141" s="64" t="s" ph="1">
        <v>222</v>
      </c>
      <c r="AU141" s="64" t="s" ph="1">
        <v>535</v>
      </c>
      <c r="AV141" s="64" t="s" ph="1">
        <v>334</v>
      </c>
      <c r="AW141" s="64" t="s" ph="1">
        <v>228</v>
      </c>
      <c r="AX141" s="64" t="s" ph="1">
        <v>535</v>
      </c>
    </row>
    <row r="142" spans="33:52" ph="1">
      <c r="AJ142" s="64" t="s" ph="1">
        <v>536</v>
      </c>
      <c r="AK142" s="64" t="s" ph="1">
        <v>239</v>
      </c>
    </row>
    <row r="143" spans="33:52" ph="1">
      <c r="AH143" s="64" ph="1">
        <v>4</v>
      </c>
      <c r="AI143" s="64" t="s" ph="1">
        <v>537</v>
      </c>
      <c r="AJ143" s="64" t="s" ph="1">
        <v>517</v>
      </c>
      <c r="AK143" s="64" t="s" ph="1">
        <v>538</v>
      </c>
      <c r="AY143" s="64" t="s" ph="1">
        <v>216</v>
      </c>
      <c r="AZ143" s="64" t="s" ph="1">
        <v>538</v>
      </c>
    </row>
    <row r="144" spans="33:52" ph="1">
      <c r="AH144" s="64" ph="1">
        <v>5</v>
      </c>
      <c r="AI144" s="64" t="s" ph="1">
        <v>539</v>
      </c>
      <c r="AY144" s="64" t="s" ph="1">
        <v>216</v>
      </c>
      <c r="AZ144" s="64" t="s" ph="1">
        <v>367</v>
      </c>
    </row>
    <row r="145" spans="33:52" ph="1">
      <c r="AH145" s="64" ph="1">
        <v>6</v>
      </c>
      <c r="AI145" s="64" t="s" ph="1">
        <v>540</v>
      </c>
      <c r="AY145" s="64" t="s" ph="1">
        <v>216</v>
      </c>
      <c r="AZ145" s="64" t="s" ph="1">
        <v>367</v>
      </c>
    </row>
    <row r="146" spans="33:52" ph="1">
      <c r="AH146" s="64" ph="1">
        <v>7</v>
      </c>
      <c r="AI146" s="64" t="s" ph="1">
        <v>541</v>
      </c>
      <c r="AY146" s="64" t="s" ph="1">
        <v>216</v>
      </c>
      <c r="AZ146" s="64" t="s" ph="1">
        <v>367</v>
      </c>
    </row>
    <row r="147" spans="33:52" ph="1">
      <c r="AH147" s="64" ph="1">
        <v>8</v>
      </c>
      <c r="AI147" s="64" t="s" ph="1">
        <v>542</v>
      </c>
      <c r="AY147" s="64" t="s" ph="1">
        <v>216</v>
      </c>
      <c r="AZ147" s="64" t="s" ph="1">
        <v>367</v>
      </c>
    </row>
    <row r="148" spans="33:52" ph="1">
      <c r="AH148" s="64" ph="1">
        <v>9</v>
      </c>
      <c r="AI148" s="64" t="s" ph="1">
        <v>543</v>
      </c>
      <c r="AY148" s="64" t="s" ph="1">
        <v>216</v>
      </c>
      <c r="AZ148" s="64" t="s" ph="1">
        <v>367</v>
      </c>
    </row>
    <row r="149" spans="33:52" ph="1">
      <c r="AH149" s="64" ph="1">
        <v>10</v>
      </c>
      <c r="AI149" s="64" t="s" ph="1">
        <v>544</v>
      </c>
      <c r="AY149" s="64" t="s" ph="1">
        <v>216</v>
      </c>
      <c r="AZ149" s="64" t="s" ph="1">
        <v>367</v>
      </c>
    </row>
    <row r="150" spans="33:52" ph="1">
      <c r="AH150" s="64" ph="1">
        <v>11</v>
      </c>
      <c r="AI150" s="64" t="s" ph="1">
        <v>545</v>
      </c>
      <c r="AY150" s="64" t="s" ph="1">
        <v>216</v>
      </c>
      <c r="AZ150" s="64" t="s" ph="1">
        <v>367</v>
      </c>
    </row>
    <row r="151" spans="33:52" ph="1">
      <c r="AH151" s="64" ph="1">
        <v>12</v>
      </c>
      <c r="AI151" s="64" t="s" ph="1">
        <v>546</v>
      </c>
      <c r="AY151" s="64" t="s" ph="1">
        <v>216</v>
      </c>
      <c r="AZ151" s="64" t="s" ph="1">
        <v>367</v>
      </c>
    </row>
    <row r="152" spans="33:52" ph="1">
      <c r="AH152" s="64" ph="1">
        <v>13</v>
      </c>
      <c r="AI152" s="64" t="s" ph="1">
        <v>547</v>
      </c>
      <c r="AY152" s="64" t="s" ph="1">
        <v>216</v>
      </c>
      <c r="AZ152" s="64" t="s" ph="1">
        <v>367</v>
      </c>
    </row>
    <row r="153" spans="33:52" ph="1">
      <c r="AH153" s="64" ph="1">
        <v>14</v>
      </c>
      <c r="AI153" s="64" t="s" ph="1">
        <v>548</v>
      </c>
      <c r="AY153" s="64" t="s" ph="1">
        <v>216</v>
      </c>
      <c r="AZ153" s="64" t="s" ph="1">
        <v>367</v>
      </c>
    </row>
    <row r="154" spans="33:52" ph="1">
      <c r="AH154" s="64" ph="1">
        <v>15</v>
      </c>
      <c r="AI154" s="64" t="s" ph="1">
        <v>549</v>
      </c>
      <c r="AY154" s="64" t="s" ph="1">
        <v>216</v>
      </c>
      <c r="AZ154" s="64" t="s" ph="1">
        <v>367</v>
      </c>
    </row>
    <row r="155" spans="33:52" ph="1">
      <c r="AH155" s="64" ph="1">
        <v>16</v>
      </c>
      <c r="AI155" s="64" t="s" ph="1">
        <v>550</v>
      </c>
      <c r="AJ155" s="64" t="s" ph="1">
        <v>336</v>
      </c>
      <c r="AK155" s="64" t="s" ph="1">
        <v>231</v>
      </c>
      <c r="AM155" s="64" t="s" ph="1">
        <v>570</v>
      </c>
      <c r="AN155" s="64" t="s" ph="1">
        <v>282</v>
      </c>
      <c r="AO155" s="64" t="s" ph="1">
        <v>535</v>
      </c>
      <c r="AY155" s="64" t="s" ph="1">
        <v>216</v>
      </c>
      <c r="AZ155" s="64" t="s" ph="1">
        <v>223</v>
      </c>
    </row>
    <row r="156" spans="33:52" ph="1">
      <c r="AZ156" s="64" t="s" ph="1">
        <v>602</v>
      </c>
    </row>
    <row r="157" spans="33:52" ph="1">
      <c r="AG157" s="64" t="s" ph="1">
        <v>551</v>
      </c>
      <c r="AI157" s="64" t="s" ph="1">
        <v>209</v>
      </c>
      <c r="AJ157" s="64" t="s" ph="1">
        <v>210</v>
      </c>
      <c r="AK157" s="64" t="s" ph="1">
        <v>211</v>
      </c>
      <c r="AM157" s="64" t="s" ph="1">
        <v>210</v>
      </c>
      <c r="AN157" s="64" t="s" ph="1">
        <v>211</v>
      </c>
      <c r="AO157" s="64" t="s" ph="1">
        <v>212</v>
      </c>
      <c r="AP157" s="64" t="s" ph="1">
        <v>210</v>
      </c>
      <c r="AQ157" s="64" t="s" ph="1">
        <v>211</v>
      </c>
      <c r="AR157" s="64" t="s" ph="1">
        <v>212</v>
      </c>
      <c r="AS157" s="64" t="s" ph="1">
        <v>210</v>
      </c>
      <c r="AT157" s="64" t="s" ph="1">
        <v>211</v>
      </c>
      <c r="AU157" s="64" t="s" ph="1">
        <v>212</v>
      </c>
      <c r="AV157" s="64" t="s" ph="1">
        <v>210</v>
      </c>
      <c r="AW157" s="64" t="s" ph="1">
        <v>211</v>
      </c>
      <c r="AX157" s="64" t="s" ph="1">
        <v>212</v>
      </c>
      <c r="AY157" s="64" t="s" ph="1">
        <v>211</v>
      </c>
      <c r="AZ157" s="64" t="s" ph="1">
        <v>213</v>
      </c>
    </row>
    <row r="158" spans="33:52" ph="1">
      <c r="AH158" s="64" ph="1">
        <v>1</v>
      </c>
      <c r="AI158" s="64" t="s" ph="1">
        <v>552</v>
      </c>
      <c r="AY158" s="64" t="s" ph="1">
        <v>216</v>
      </c>
      <c r="AZ158" s="64" t="s" ph="1">
        <v>367</v>
      </c>
    </row>
    <row r="159" spans="33:52" ph="1">
      <c r="AH159" s="64" ph="1">
        <v>2</v>
      </c>
      <c r="AI159" s="64" t="s" ph="1">
        <v>553</v>
      </c>
      <c r="AY159" s="64" t="s" ph="1">
        <v>216</v>
      </c>
      <c r="AZ159" s="64" t="s" ph="1">
        <v>367</v>
      </c>
    </row>
    <row r="160" spans="33:52" ph="1">
      <c r="AZ160" s="64" t="s" ph="1">
        <v>385</v>
      </c>
    </row>
    <row r="161" spans="33:52" ph="1">
      <c r="AG161" s="64" t="s" ph="1">
        <v>361</v>
      </c>
      <c r="AI161" s="64" t="s" ph="1">
        <v>209</v>
      </c>
      <c r="AJ161" s="64" t="s" ph="1">
        <v>210</v>
      </c>
      <c r="AK161" s="64" t="s" ph="1">
        <v>211</v>
      </c>
      <c r="AM161" s="64" t="s" ph="1">
        <v>210</v>
      </c>
      <c r="AN161" s="64" t="s" ph="1">
        <v>211</v>
      </c>
      <c r="AO161" s="64" t="s" ph="1">
        <v>212</v>
      </c>
      <c r="AP161" s="64" t="s" ph="1">
        <v>210</v>
      </c>
      <c r="AQ161" s="64" t="s" ph="1">
        <v>211</v>
      </c>
      <c r="AR161" s="64" t="s" ph="1">
        <v>212</v>
      </c>
      <c r="AS161" s="64" t="s" ph="1">
        <v>210</v>
      </c>
      <c r="AT161" s="64" t="s" ph="1">
        <v>211</v>
      </c>
      <c r="AU161" s="64" t="s" ph="1">
        <v>212</v>
      </c>
      <c r="AV161" s="64" t="s" ph="1">
        <v>210</v>
      </c>
      <c r="AW161" s="64" t="s" ph="1">
        <v>211</v>
      </c>
      <c r="AX161" s="64" t="s" ph="1">
        <v>212</v>
      </c>
      <c r="AY161" s="64" t="s" ph="1">
        <v>211</v>
      </c>
      <c r="AZ161" s="64" t="s" ph="1">
        <v>213</v>
      </c>
    </row>
    <row r="162" spans="33:52" ph="1">
      <c r="AH162" s="64" ph="1">
        <v>1</v>
      </c>
      <c r="AI162" s="64" t="s" ph="1">
        <v>554</v>
      </c>
      <c r="AJ162" s="64" t="s" ph="1">
        <v>555</v>
      </c>
      <c r="AK162" s="64" t="s" ph="1">
        <v>499</v>
      </c>
      <c r="AM162" s="64" t="s" ph="1">
        <v>556</v>
      </c>
      <c r="AN162" s="64" t="s" ph="1">
        <v>220</v>
      </c>
      <c r="AO162" s="64" t="s" ph="1">
        <v>557</v>
      </c>
      <c r="AY162" s="64" t="s" ph="1">
        <v>216</v>
      </c>
      <c r="AZ162" s="64" t="s" ph="1">
        <v>292</v>
      </c>
    </row>
    <row r="163" spans="33:52" ph="1">
      <c r="AH163" s="64" ph="1">
        <v>2</v>
      </c>
      <c r="AI163" s="64" t="s" ph="1">
        <v>558</v>
      </c>
      <c r="AJ163" s="64" t="s" ph="1">
        <v>555</v>
      </c>
      <c r="AK163" s="64" t="s" ph="1">
        <v>388</v>
      </c>
      <c r="AY163" s="64" t="s" ph="1">
        <v>216</v>
      </c>
      <c r="AZ163" s="64" t="s" ph="1">
        <v>388</v>
      </c>
    </row>
    <row r="164" spans="33:52" ph="1">
      <c r="AH164" s="64" ph="1">
        <v>3</v>
      </c>
      <c r="AI164" s="64" t="s" ph="1">
        <v>559</v>
      </c>
      <c r="AJ164" s="64" t="s" ph="1">
        <v>555</v>
      </c>
      <c r="AK164" s="64" t="s" ph="1">
        <v>292</v>
      </c>
      <c r="AY164" s="64" t="s" ph="1">
        <v>216</v>
      </c>
      <c r="AZ164" s="64" t="s" ph="1">
        <v>292</v>
      </c>
    </row>
    <row r="165" spans="33:52" ph="1">
      <c r="AH165" s="64" ph="1">
        <v>4</v>
      </c>
      <c r="AI165" s="64" t="s" ph="1">
        <v>560</v>
      </c>
      <c r="AY165" s="64" t="s" ph="1">
        <v>216</v>
      </c>
      <c r="AZ165" s="64" t="s" ph="1">
        <v>367</v>
      </c>
    </row>
    <row r="166" spans="33:52" ph="1">
      <c r="AH166" s="64" ph="1">
        <v>5</v>
      </c>
      <c r="AI166" s="64" t="s" ph="1">
        <v>561</v>
      </c>
      <c r="AY166" s="64" t="s" ph="1">
        <v>216</v>
      </c>
      <c r="AZ166" s="64" t="s" ph="1">
        <v>367</v>
      </c>
    </row>
    <row r="167" spans="33:52" ph="1">
      <c r="AZ167" s="64" t="s" ph="1">
        <v>562</v>
      </c>
    </row>
    <row r="168" spans="33:52" ph="1">
      <c r="AG168" s="64" t="s" ph="1">
        <v>305</v>
      </c>
      <c r="AI168" s="64" t="s" ph="1">
        <v>209</v>
      </c>
      <c r="AJ168" s="64" t="s" ph="1">
        <v>210</v>
      </c>
      <c r="AK168" s="64" t="s" ph="1">
        <v>211</v>
      </c>
      <c r="AM168" s="64" t="s" ph="1">
        <v>210</v>
      </c>
      <c r="AN168" s="64" t="s" ph="1">
        <v>211</v>
      </c>
      <c r="AO168" s="64" t="s" ph="1">
        <v>212</v>
      </c>
      <c r="AP168" s="64" t="s" ph="1">
        <v>210</v>
      </c>
      <c r="AQ168" s="64" t="s" ph="1">
        <v>211</v>
      </c>
      <c r="AR168" s="64" t="s" ph="1">
        <v>212</v>
      </c>
      <c r="AS168" s="64" t="s" ph="1">
        <v>210</v>
      </c>
      <c r="AT168" s="64" t="s" ph="1">
        <v>211</v>
      </c>
      <c r="AU168" s="64" t="s" ph="1">
        <v>212</v>
      </c>
      <c r="AV168" s="64" t="s" ph="1">
        <v>210</v>
      </c>
      <c r="AW168" s="64" t="s" ph="1">
        <v>211</v>
      </c>
      <c r="AX168" s="64" t="s" ph="1">
        <v>212</v>
      </c>
      <c r="AY168" s="64" t="s" ph="1">
        <v>211</v>
      </c>
      <c r="AZ168" s="64" t="s" ph="1">
        <v>213</v>
      </c>
    </row>
    <row r="169" spans="33:52" ph="1">
      <c r="AH169" s="64" ph="1">
        <v>1</v>
      </c>
      <c r="AI169" s="64" t="s" ph="1">
        <v>563</v>
      </c>
      <c r="AY169" s="64" t="s" ph="1">
        <v>216</v>
      </c>
      <c r="AZ169" s="64" t="s" ph="1">
        <v>367</v>
      </c>
    </row>
    <row r="170" spans="33:52" ph="1">
      <c r="AH170" s="64" ph="1">
        <v>2</v>
      </c>
      <c r="AI170" s="64" t="s" ph="1">
        <v>564</v>
      </c>
      <c r="AY170" s="64" t="s" ph="1">
        <v>216</v>
      </c>
      <c r="AZ170" s="64" t="s" ph="1">
        <v>367</v>
      </c>
    </row>
    <row r="171" spans="33:52" ph="1">
      <c r="AH171" s="64" ph="1">
        <v>3</v>
      </c>
      <c r="AI171" s="64" t="s" ph="1">
        <v>565</v>
      </c>
      <c r="AY171" s="64" t="s" ph="1">
        <v>216</v>
      </c>
      <c r="AZ171" s="64" t="s" ph="1">
        <v>367</v>
      </c>
    </row>
    <row r="172" spans="33:52" ph="1">
      <c r="AH172" s="64" ph="1">
        <v>4</v>
      </c>
      <c r="AI172" s="64" t="s" ph="1">
        <v>566</v>
      </c>
      <c r="AY172" s="64" t="s" ph="1">
        <v>216</v>
      </c>
      <c r="AZ172" s="64" t="s" ph="1">
        <v>367</v>
      </c>
    </row>
    <row r="173" spans="33:52" ph="1">
      <c r="AH173" s="64" ph="1">
        <v>5</v>
      </c>
      <c r="AI173" s="64" t="s" ph="1">
        <v>567</v>
      </c>
      <c r="AY173" s="64" t="s" ph="1">
        <v>216</v>
      </c>
      <c r="AZ173" s="64" t="s" ph="1">
        <v>367</v>
      </c>
    </row>
    <row r="174" spans="33:52" ph="1">
      <c r="AZ174" s="64" t="s" ph="1">
        <v>385</v>
      </c>
    </row>
    <row r="175" spans="33:52" ph="1">
      <c r="AJ175" s="64" t="s" ph="1">
        <v>306</v>
      </c>
    </row>
    <row r="176" spans="33:52" ph="1">
      <c r="AJ176" s="64" t="s" ph="1">
        <v>307</v>
      </c>
      <c r="AK176" s="64" t="s" ph="1">
        <v>308</v>
      </c>
      <c r="AM176" s="64" t="s" ph="1">
        <v>309</v>
      </c>
      <c r="AO176" s="64" t="s" ph="1">
        <v>310</v>
      </c>
      <c r="AP176" s="64" t="s" ph="1">
        <v>311</v>
      </c>
      <c r="AQ176" s="64" t="s" ph="1">
        <v>301</v>
      </c>
      <c r="AR176" s="64" t="s" ph="1">
        <v>221</v>
      </c>
    </row>
    <row r="177" spans="36:56" ph="1">
      <c r="AJ177" s="64" t="s" ph="1">
        <v>603</v>
      </c>
      <c r="AK177" s="64" t="s" ph="1">
        <v>312</v>
      </c>
      <c r="AO177" s="64" t="s" ph="1">
        <v>312</v>
      </c>
      <c r="AP177" s="64" t="s" ph="1">
        <v>312</v>
      </c>
      <c r="AQ177" s="64" t="s" ph="1">
        <v>313</v>
      </c>
      <c r="AR177" s="64" t="s" ph="1">
        <v>314</v>
      </c>
    </row>
    <row r="179" spans="36:56" ph="1">
      <c r="AJ179" s="64" t="s" ph="1">
        <v>315</v>
      </c>
      <c r="AK179" s="64" t="s" ph="1">
        <v>316</v>
      </c>
      <c r="AM179" s="64" t="s" ph="1">
        <v>317</v>
      </c>
      <c r="AN179" s="64" t="s" ph="1">
        <v>293</v>
      </c>
      <c r="AO179" s="64" t="s" ph="1">
        <v>318</v>
      </c>
      <c r="AP179" s="64" t="s" ph="1">
        <v>297</v>
      </c>
      <c r="AQ179" s="64" t="s" ph="1">
        <v>319</v>
      </c>
      <c r="AR179" s="64" t="s" ph="1">
        <v>320</v>
      </c>
    </row>
    <row r="180" spans="36:56" ph="1">
      <c r="AJ180" s="64" t="s" ph="1">
        <v>312</v>
      </c>
      <c r="AK180" s="64" t="s" ph="1">
        <v>312</v>
      </c>
      <c r="AL180" s="64" ph="1">
        <v>116</v>
      </c>
      <c r="AM180" s="64" t="s" ph="1">
        <v>312</v>
      </c>
      <c r="AN180" s="64" t="s" ph="1">
        <v>321</v>
      </c>
      <c r="AO180" s="64" t="s" ph="1">
        <v>312</v>
      </c>
      <c r="AP180" s="64" t="s" ph="1">
        <v>322</v>
      </c>
      <c r="AQ180" s="64" t="s" ph="1">
        <v>323</v>
      </c>
      <c r="AR180" s="64" t="s" ph="1">
        <v>324</v>
      </c>
    </row>
    <row r="189" spans="36:56" ph="1">
      <c r="BD189" s="64" t="s" ph="1">
        <v>568</v>
      </c>
    </row>
    <row r="223" spans="18:18" ph="1">
      <c r="R223" s="135" ph="1">
        <v>45496</v>
      </c>
    </row>
  </sheetData>
  <mergeCells count="58"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S31:U31"/>
    <mergeCell ref="V31:X31"/>
    <mergeCell ref="Y31:AA31"/>
    <mergeCell ref="AB31:AE31"/>
    <mergeCell ref="AD32:AE32"/>
    <mergeCell ref="B33:C34"/>
    <mergeCell ref="D33:D34"/>
    <mergeCell ref="E33:E34"/>
    <mergeCell ref="F33:F34"/>
    <mergeCell ref="G33:G34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</mergeCells>
  <phoneticPr fontId="2" type="noConversion"/>
  <conditionalFormatting sqref="D4:D11">
    <cfRule type="expression" dxfId="785" priority="101">
      <formula>ABS(D$7-D$10)&gt;=1000</formula>
    </cfRule>
  </conditionalFormatting>
  <conditionalFormatting sqref="E4 E6:E11">
    <cfRule type="expression" dxfId="784" priority="100">
      <formula>ABS(E$7-E$10)&gt;=1000</formula>
    </cfRule>
  </conditionalFormatting>
  <conditionalFormatting sqref="F4:F11">
    <cfRule type="expression" dxfId="783" priority="99">
      <formula>ABS(F$7-F$10)&gt;=1000</formula>
    </cfRule>
  </conditionalFormatting>
  <conditionalFormatting sqref="G4:G11">
    <cfRule type="expression" dxfId="782" priority="98">
      <formula>ABS(G$7-G$10)&gt;=1000</formula>
    </cfRule>
  </conditionalFormatting>
  <conditionalFormatting sqref="H4:H11">
    <cfRule type="expression" dxfId="781" priority="97">
      <formula>ABS(H$7-H$10)&gt;=1000</formula>
    </cfRule>
  </conditionalFormatting>
  <conditionalFormatting sqref="I4:I11">
    <cfRule type="expression" dxfId="780" priority="96">
      <formula>ABS(I$7-I$10)&gt;=1000</formula>
    </cfRule>
  </conditionalFormatting>
  <conditionalFormatting sqref="J4:J11">
    <cfRule type="expression" dxfId="779" priority="95">
      <formula>ABS(J$7-J$10)&gt;=1000</formula>
    </cfRule>
  </conditionalFormatting>
  <conditionalFormatting sqref="K4:K11">
    <cfRule type="expression" dxfId="778" priority="94">
      <formula>ABS(K$7-K$10)&gt;=1000</formula>
    </cfRule>
  </conditionalFormatting>
  <conditionalFormatting sqref="L4:L11">
    <cfRule type="expression" dxfId="777" priority="93">
      <formula>ABS(L$7-L$10)&gt;=1000</formula>
    </cfRule>
  </conditionalFormatting>
  <conditionalFormatting sqref="M4 M6:M11">
    <cfRule type="expression" dxfId="776" priority="92">
      <formula>ABS(M$7-M$10)&gt;=1000</formula>
    </cfRule>
  </conditionalFormatting>
  <conditionalFormatting sqref="N4 N6:N11">
    <cfRule type="expression" dxfId="775" priority="91">
      <formula>ABS(N$7-N$10)&gt;=1000</formula>
    </cfRule>
  </conditionalFormatting>
  <conditionalFormatting sqref="O4 O6:O11">
    <cfRule type="expression" dxfId="774" priority="90">
      <formula>ABS(O$7-O$10)&gt;=1000</formula>
    </cfRule>
  </conditionalFormatting>
  <conditionalFormatting sqref="P4 P6:P11">
    <cfRule type="expression" dxfId="773" priority="89">
      <formula>ABS(P$7-P$10)&gt;=1000</formula>
    </cfRule>
  </conditionalFormatting>
  <conditionalFormatting sqref="Q4:Q11">
    <cfRule type="expression" dxfId="772" priority="88">
      <formula>ABS(Q$7-Q$10)&gt;=1000</formula>
    </cfRule>
  </conditionalFormatting>
  <conditionalFormatting sqref="R4:R11">
    <cfRule type="expression" dxfId="771" priority="87">
      <formula>ABS(R$7-R$10)&gt;=1000</formula>
    </cfRule>
  </conditionalFormatting>
  <conditionalFormatting sqref="S4:S11">
    <cfRule type="expression" dxfId="770" priority="86">
      <formula>ABS(S$7-S$10)&gt;=1000</formula>
    </cfRule>
  </conditionalFormatting>
  <conditionalFormatting sqref="T4:T9 T11">
    <cfRule type="expression" dxfId="769" priority="85">
      <formula>ABS(T$7-T$10)&gt;=1000</formula>
    </cfRule>
  </conditionalFormatting>
  <conditionalFormatting sqref="U4:U9 U11">
    <cfRule type="expression" dxfId="768" priority="84">
      <formula>ABS(U$7-U$10)&gt;=1000</formula>
    </cfRule>
  </conditionalFormatting>
  <conditionalFormatting sqref="V4:V9 V11">
    <cfRule type="expression" dxfId="767" priority="83">
      <formula>ABS(V$7-V$10)&gt;=1000</formula>
    </cfRule>
  </conditionalFormatting>
  <conditionalFormatting sqref="W4:W9 W11">
    <cfRule type="expression" dxfId="766" priority="82">
      <formula>ABS(W$7-W$10)&gt;=1000</formula>
    </cfRule>
  </conditionalFormatting>
  <conditionalFormatting sqref="X4:X9 X11">
    <cfRule type="expression" dxfId="765" priority="81">
      <formula>ABS(X$7-X$10)&gt;=1000</formula>
    </cfRule>
  </conditionalFormatting>
  <conditionalFormatting sqref="Y4:Y9 Y11">
    <cfRule type="expression" dxfId="764" priority="80">
      <formula>ABS(Y$7-Y$10)&gt;=1000</formula>
    </cfRule>
  </conditionalFormatting>
  <conditionalFormatting sqref="Z4:Z11">
    <cfRule type="expression" dxfId="763" priority="79">
      <formula>ABS(Z$7-Z$10)&gt;=1000</formula>
    </cfRule>
  </conditionalFormatting>
  <conditionalFormatting sqref="AA4:AA11">
    <cfRule type="expression" dxfId="762" priority="78">
      <formula>ABS(AA$7-AA$10)&gt;=1000</formula>
    </cfRule>
  </conditionalFormatting>
  <conditionalFormatting sqref="AB4:AB11">
    <cfRule type="expression" dxfId="761" priority="77">
      <formula>ABS(AB$7-AB$10)&gt;=1000</formula>
    </cfRule>
  </conditionalFormatting>
  <conditionalFormatting sqref="AC4 AC6:AC11">
    <cfRule type="expression" dxfId="760" priority="76">
      <formula>ABS(AC$7-AC$10)&gt;=1000</formula>
    </cfRule>
  </conditionalFormatting>
  <conditionalFormatting sqref="AD4 AD6:AD11">
    <cfRule type="expression" dxfId="759" priority="75">
      <formula>ABS(AD$7-AD$10)&gt;=1000</formula>
    </cfRule>
  </conditionalFormatting>
  <conditionalFormatting sqref="AE4 AE6:AE11">
    <cfRule type="expression" dxfId="758" priority="74">
      <formula>ABS(AE$7-AE$10)&gt;=1000</formula>
    </cfRule>
  </conditionalFormatting>
  <conditionalFormatting sqref="D13:D20">
    <cfRule type="expression" dxfId="757" priority="73">
      <formula>ABS(D$16-D$19)&gt;=1000</formula>
    </cfRule>
  </conditionalFormatting>
  <conditionalFormatting sqref="E13:E20">
    <cfRule type="expression" dxfId="756" priority="72">
      <formula>ABS(E$16-E$19)&gt;=1000</formula>
    </cfRule>
  </conditionalFormatting>
  <conditionalFormatting sqref="F13 F15:F20">
    <cfRule type="expression" dxfId="755" priority="71">
      <formula>ABS(F$16-F$19)&gt;=1000</formula>
    </cfRule>
  </conditionalFormatting>
  <conditionalFormatting sqref="G13:G20">
    <cfRule type="expression" dxfId="754" priority="70">
      <formula>ABS(G$16-G$19)&gt;=1000</formula>
    </cfRule>
  </conditionalFormatting>
  <conditionalFormatting sqref="H13 H15:H20">
    <cfRule type="expression" dxfId="753" priority="69">
      <formula>ABS(H$16-H$19)&gt;=1000</formula>
    </cfRule>
  </conditionalFormatting>
  <conditionalFormatting sqref="I13:I20">
    <cfRule type="expression" dxfId="752" priority="68">
      <formula>ABS(I$16-I$19)&gt;=1000</formula>
    </cfRule>
  </conditionalFormatting>
  <conditionalFormatting sqref="J13:J20">
    <cfRule type="expression" dxfId="751" priority="67">
      <formula>ABS(J$16-J$19)&gt;=1000</formula>
    </cfRule>
  </conditionalFormatting>
  <conditionalFormatting sqref="L13:L20">
    <cfRule type="expression" dxfId="750" priority="66">
      <formula>ABS(L$16-L$19)&gt;=1000</formula>
    </cfRule>
  </conditionalFormatting>
  <conditionalFormatting sqref="M13 M15 M17:M18 M20">
    <cfRule type="expression" dxfId="749" priority="65">
      <formula>ABS(M$16-M$19)&gt;=1000</formula>
    </cfRule>
  </conditionalFormatting>
  <conditionalFormatting sqref="N13:N20">
    <cfRule type="expression" dxfId="748" priority="64">
      <formula>ABS(N$16-N$19)&gt;=1000</formula>
    </cfRule>
  </conditionalFormatting>
  <conditionalFormatting sqref="O13:O20">
    <cfRule type="expression" dxfId="747" priority="63">
      <formula>ABS(O$16-O$19)&gt;=1000</formula>
    </cfRule>
  </conditionalFormatting>
  <conditionalFormatting sqref="P13:P20">
    <cfRule type="expression" dxfId="746" priority="62">
      <formula>ABS(P$16-P$19)&gt;=1000</formula>
    </cfRule>
  </conditionalFormatting>
  <conditionalFormatting sqref="Q13 Q15:Q20">
    <cfRule type="expression" dxfId="745" priority="61">
      <formula>ABS(Q$16-Q$19)&gt;=1000</formula>
    </cfRule>
  </conditionalFormatting>
  <conditionalFormatting sqref="R13:R20">
    <cfRule type="expression" dxfId="744" priority="60">
      <formula>ABS(R$16-R$19)&gt;=1000</formula>
    </cfRule>
  </conditionalFormatting>
  <conditionalFormatting sqref="S13:S20">
    <cfRule type="expression" dxfId="743" priority="59">
      <formula>ABS(S$16-S$19)&gt;=1000</formula>
    </cfRule>
  </conditionalFormatting>
  <conditionalFormatting sqref="T13:T15 T17:T20">
    <cfRule type="expression" dxfId="742" priority="58">
      <formula>ABS(T$16-T$19)&gt;=1000</formula>
    </cfRule>
  </conditionalFormatting>
  <conditionalFormatting sqref="U13:U20">
    <cfRule type="expression" dxfId="741" priority="57">
      <formula>ABS(U$16-U$19)&gt;=1000</formula>
    </cfRule>
  </conditionalFormatting>
  <conditionalFormatting sqref="V13:V20">
    <cfRule type="expression" dxfId="740" priority="56">
      <formula>ABS(V$16-V$19)&gt;=1000</formula>
    </cfRule>
  </conditionalFormatting>
  <conditionalFormatting sqref="W13 W20 W15:W18">
    <cfRule type="expression" dxfId="739" priority="55">
      <formula>ABS(W$16-W$19)&gt;=1000</formula>
    </cfRule>
  </conditionalFormatting>
  <conditionalFormatting sqref="X13 X15:X20 Y19">
    <cfRule type="expression" dxfId="738" priority="54">
      <formula>ABS(X$16-X$19)&gt;=1000</formula>
    </cfRule>
  </conditionalFormatting>
  <conditionalFormatting sqref="Y13 Y15:Y18 Y20">
    <cfRule type="expression" dxfId="737" priority="53">
      <formula>ABS(Y$16-Y$19)&gt;=1000</formula>
    </cfRule>
  </conditionalFormatting>
  <conditionalFormatting sqref="Z13:Z20">
    <cfRule type="expression" dxfId="736" priority="52">
      <formula>ABS(Z$16-Z$19)&gt;=1000</formula>
    </cfRule>
  </conditionalFormatting>
  <conditionalFormatting sqref="AA13:AA20">
    <cfRule type="expression" dxfId="735" priority="51">
      <formula>ABS(AA$16-AA$19)&gt;=1000</formula>
    </cfRule>
  </conditionalFormatting>
  <conditionalFormatting sqref="AB13 AB15:AB20">
    <cfRule type="expression" dxfId="734" priority="50">
      <formula>ABS(AB$16-AB$19)&gt;=1000</formula>
    </cfRule>
  </conditionalFormatting>
  <conditionalFormatting sqref="AC13 AC15:AC20">
    <cfRule type="expression" dxfId="733" priority="49">
      <formula>ABS(AC$16-AC$19)&gt;=1000</formula>
    </cfRule>
  </conditionalFormatting>
  <conditionalFormatting sqref="AD13:AD20">
    <cfRule type="expression" dxfId="732" priority="48">
      <formula>ABS(AD$16-AD$19)&gt;=1000</formula>
    </cfRule>
  </conditionalFormatting>
  <conditionalFormatting sqref="AE13:AE20">
    <cfRule type="expression" dxfId="731" priority="47">
      <formula>ABS(AE$16-AE$19)&gt;=1000</formula>
    </cfRule>
  </conditionalFormatting>
  <conditionalFormatting sqref="D22:D29">
    <cfRule type="expression" dxfId="730" priority="46">
      <formula>ABS(D$25-D$28)&gt;=1000</formula>
    </cfRule>
  </conditionalFormatting>
  <conditionalFormatting sqref="E22:E29">
    <cfRule type="expression" dxfId="729" priority="45">
      <formula>ABS(E$25-E$28)&gt;=1000</formula>
    </cfRule>
  </conditionalFormatting>
  <conditionalFormatting sqref="F22:F29">
    <cfRule type="expression" dxfId="728" priority="44">
      <formula>ABS(F$25-F$28)&gt;=1000</formula>
    </cfRule>
  </conditionalFormatting>
  <conditionalFormatting sqref="G22:G29">
    <cfRule type="expression" dxfId="727" priority="43">
      <formula>ABS(G$25-G$28)&gt;=1000</formula>
    </cfRule>
  </conditionalFormatting>
  <conditionalFormatting sqref="H22:H29">
    <cfRule type="expression" dxfId="726" priority="42">
      <formula>ABS(H$25-H$28)&gt;=1000</formula>
    </cfRule>
  </conditionalFormatting>
  <conditionalFormatting sqref="I22 I24:I29">
    <cfRule type="expression" dxfId="725" priority="41">
      <formula>ABS(I$25-I$28)&gt;=1000</formula>
    </cfRule>
  </conditionalFormatting>
  <conditionalFormatting sqref="J22:J29 K22">
    <cfRule type="expression" dxfId="724" priority="40">
      <formula>ABS(J$25-J$28)&gt;=1000</formula>
    </cfRule>
  </conditionalFormatting>
  <conditionalFormatting sqref="K23:K29 L25 L28">
    <cfRule type="expression" dxfId="723" priority="39">
      <formula>ABS(K$25-K$28)&gt;=1000</formula>
    </cfRule>
  </conditionalFormatting>
  <conditionalFormatting sqref="L22 L26:L27 L29 L24">
    <cfRule type="expression" dxfId="722" priority="38">
      <formula>ABS(L$25-L$28)&gt;=1000</formula>
    </cfRule>
  </conditionalFormatting>
  <conditionalFormatting sqref="M22:M29">
    <cfRule type="expression" dxfId="721" priority="37">
      <formula>ABS(M$25-M$28)&gt;=1000</formula>
    </cfRule>
  </conditionalFormatting>
  <conditionalFormatting sqref="N22:N29">
    <cfRule type="expression" dxfId="720" priority="36">
      <formula>ABS(N$25-N$28)&gt;=1000</formula>
    </cfRule>
  </conditionalFormatting>
  <conditionalFormatting sqref="O22:O29">
    <cfRule type="expression" dxfId="719" priority="35">
      <formula>ABS(O$25-O$28)&gt;=1000</formula>
    </cfRule>
  </conditionalFormatting>
  <conditionalFormatting sqref="P22:P29">
    <cfRule type="expression" dxfId="718" priority="34">
      <formula>ABS(P$25-P$28)&gt;=1000</formula>
    </cfRule>
  </conditionalFormatting>
  <conditionalFormatting sqref="Q22:Q29">
    <cfRule type="expression" dxfId="717" priority="33">
      <formula>ABS(Q$25-Q$28)&gt;=1000</formula>
    </cfRule>
  </conditionalFormatting>
  <conditionalFormatting sqref="R22:R29">
    <cfRule type="expression" dxfId="716" priority="32">
      <formula>ABS(R$25-R$28)&gt;=1000</formula>
    </cfRule>
  </conditionalFormatting>
  <conditionalFormatting sqref="S22:S29">
    <cfRule type="expression" dxfId="715" priority="31">
      <formula>ABS(S$25-S$28)&gt;=1000</formula>
    </cfRule>
  </conditionalFormatting>
  <conditionalFormatting sqref="T22:T29">
    <cfRule type="expression" dxfId="714" priority="30">
      <formula>ABS(T$25-T$28)&gt;=1000</formula>
    </cfRule>
  </conditionalFormatting>
  <conditionalFormatting sqref="U22:U29">
    <cfRule type="expression" dxfId="713" priority="29">
      <formula>ABS(U$25-U$28)&gt;=1000</formula>
    </cfRule>
  </conditionalFormatting>
  <conditionalFormatting sqref="V22:V29">
    <cfRule type="expression" dxfId="712" priority="28">
      <formula>ABS(V$25-V$28)&gt;=1000</formula>
    </cfRule>
  </conditionalFormatting>
  <conditionalFormatting sqref="W22:W29">
    <cfRule type="expression" dxfId="711" priority="27">
      <formula>ABS(W$25-W$28)&gt;=1000</formula>
    </cfRule>
  </conditionalFormatting>
  <conditionalFormatting sqref="X22:X29">
    <cfRule type="expression" dxfId="710" priority="26">
      <formula>ABS(X$25-X$28)&gt;=1000</formula>
    </cfRule>
  </conditionalFormatting>
  <conditionalFormatting sqref="Y22:Y29">
    <cfRule type="expression" dxfId="709" priority="25">
      <formula>ABS(Y$25-Y$28)&gt;=1000</formula>
    </cfRule>
  </conditionalFormatting>
  <conditionalFormatting sqref="I23">
    <cfRule type="expression" dxfId="708" priority="24">
      <formula>ABS(I$25-I$28)&gt;=1000</formula>
    </cfRule>
  </conditionalFormatting>
  <conditionalFormatting sqref="Q14">
    <cfRule type="expression" dxfId="707" priority="23">
      <formula>ABS(Q$16-Q$19)&gt;=1000</formula>
    </cfRule>
  </conditionalFormatting>
  <conditionalFormatting sqref="W14">
    <cfRule type="expression" dxfId="706" priority="22">
      <formula>ABS(W$16-W$19)&gt;=1000</formula>
    </cfRule>
  </conditionalFormatting>
  <conditionalFormatting sqref="X14">
    <cfRule type="expression" dxfId="705" priority="21">
      <formula>ABS(X$16-X$19)&gt;=1000</formula>
    </cfRule>
  </conditionalFormatting>
  <conditionalFormatting sqref="T10:Y10">
    <cfRule type="expression" dxfId="704" priority="20">
      <formula>ABS(T$7-T$10)&gt;=1000</formula>
    </cfRule>
  </conditionalFormatting>
  <conditionalFormatting sqref="W19">
    <cfRule type="expression" dxfId="703" priority="19">
      <formula>ABS(W$16-W$19)&gt;=1000</formula>
    </cfRule>
  </conditionalFormatting>
  <conditionalFormatting sqref="AC5">
    <cfRule type="expression" dxfId="702" priority="18">
      <formula>ABS(AC$7-AC$10)&gt;=1000</formula>
    </cfRule>
  </conditionalFormatting>
  <conditionalFormatting sqref="M14">
    <cfRule type="expression" dxfId="701" priority="17">
      <formula>ABS(M$16-M$19)&gt;=1000</formula>
    </cfRule>
  </conditionalFormatting>
  <conditionalFormatting sqref="M16">
    <cfRule type="expression" dxfId="700" priority="16">
      <formula>ABS(M$16-M$19)&gt;=1000</formula>
    </cfRule>
  </conditionalFormatting>
  <conditionalFormatting sqref="M19">
    <cfRule type="expression" dxfId="699" priority="15">
      <formula>ABS(M$16-M$19)&gt;=1000</formula>
    </cfRule>
  </conditionalFormatting>
  <conditionalFormatting sqref="K13:K20">
    <cfRule type="expression" dxfId="698" priority="14">
      <formula>ABS(K$16-K$19)&gt;=1000</formula>
    </cfRule>
  </conditionalFormatting>
  <conditionalFormatting sqref="E5">
    <cfRule type="expression" dxfId="697" priority="13">
      <formula>ABS(E$7-E$10)&gt;=1000</formula>
    </cfRule>
  </conditionalFormatting>
  <conditionalFormatting sqref="AB14:AC14">
    <cfRule type="expression" dxfId="696" priority="12">
      <formula>ABS(AB$16-AB$19)&gt;=1000</formula>
    </cfRule>
  </conditionalFormatting>
  <conditionalFormatting sqref="M5">
    <cfRule type="expression" dxfId="695" priority="11">
      <formula>ABS(M$7-M$10)&gt;=1000</formula>
    </cfRule>
  </conditionalFormatting>
  <conditionalFormatting sqref="N5">
    <cfRule type="expression" dxfId="694" priority="10">
      <formula>ABS(N$7-N$10)&gt;=1000</formula>
    </cfRule>
  </conditionalFormatting>
  <conditionalFormatting sqref="O5">
    <cfRule type="expression" dxfId="693" priority="9">
      <formula>ABS(O$7-O$10)&gt;=1000</formula>
    </cfRule>
  </conditionalFormatting>
  <conditionalFormatting sqref="P5">
    <cfRule type="expression" dxfId="692" priority="8">
      <formula>ABS(P$7-P$10)&gt;=1000</formula>
    </cfRule>
  </conditionalFormatting>
  <conditionalFormatting sqref="L23">
    <cfRule type="expression" dxfId="691" priority="7">
      <formula>ABS(L$25-L$28)&gt;=1000</formula>
    </cfRule>
  </conditionalFormatting>
  <conditionalFormatting sqref="Y14">
    <cfRule type="expression" dxfId="690" priority="6">
      <formula>ABS(Y$16-Y$19)&gt;=1000</formula>
    </cfRule>
  </conditionalFormatting>
  <conditionalFormatting sqref="F14">
    <cfRule type="expression" dxfId="689" priority="5">
      <formula>ABS(F$16-F$19)&gt;=1000</formula>
    </cfRule>
  </conditionalFormatting>
  <conditionalFormatting sqref="H14">
    <cfRule type="expression" dxfId="688" priority="4">
      <formula>ABS(H$16-H$19)&gt;=1000</formula>
    </cfRule>
  </conditionalFormatting>
  <conditionalFormatting sqref="AD5">
    <cfRule type="expression" dxfId="687" priority="3">
      <formula>ABS(AD$7-AD$10)&gt;=1000</formula>
    </cfRule>
  </conditionalFormatting>
  <conditionalFormatting sqref="AE5">
    <cfRule type="expression" dxfId="686" priority="2">
      <formula>ABS(AE$7-AE$10)&gt;=1000</formula>
    </cfRule>
  </conditionalFormatting>
  <conditionalFormatting sqref="T16">
    <cfRule type="expression" dxfId="685" priority="1">
      <formula>ABS(T$16-T$19)&gt;=1000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86657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916">
    <pageSetUpPr fitToPage="1"/>
  </sheetPr>
  <dimension ref="A1:CU223"/>
  <sheetViews>
    <sheetView view="pageBreakPreview" topLeftCell="A2" zoomScale="70" zoomScaleNormal="100" zoomScaleSheetLayoutView="70" workbookViewId="0">
      <selection activeCell="Z23" sqref="Z23:AE29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185" t="s" ph="1">
        <v>161</v>
      </c>
      <c r="C1" s="185" ph="1"/>
      <c r="D1" s="185" ph="1"/>
      <c r="E1" s="185" ph="1"/>
      <c r="F1" s="185" ph="1"/>
      <c r="G1" s="185" ph="1"/>
      <c r="H1" s="185" ph="1"/>
      <c r="I1" s="185" ph="1"/>
      <c r="J1" s="185" ph="1"/>
      <c r="K1" s="185" ph="1"/>
      <c r="L1" s="185" ph="1"/>
      <c r="M1" s="185" ph="1"/>
      <c r="N1" s="185" ph="1"/>
      <c r="O1" s="185" ph="1"/>
      <c r="P1" s="185" ph="1"/>
      <c r="Q1" s="185" ph="1"/>
      <c r="R1" s="185" ph="1"/>
      <c r="S1" s="185" ph="1"/>
      <c r="T1" s="185" ph="1"/>
      <c r="U1" s="185" ph="1"/>
      <c r="V1" s="185" ph="1"/>
      <c r="W1" s="185" ph="1"/>
      <c r="X1" s="185" ph="1"/>
      <c r="Y1" s="185" ph="1"/>
      <c r="Z1" s="185" ph="1"/>
      <c r="AA1" s="185" ph="1"/>
      <c r="AB1" s="185" ph="1"/>
      <c r="AC1" s="185" ph="1"/>
      <c r="AD1" s="185" ph="1"/>
      <c r="AE1" s="185" ph="1"/>
    </row>
    <row r="2" spans="1:99" s="66" customFormat="1" ht="24" customHeight="1" ph="1">
      <c r="B2" s="186" t="s" ph="1">
        <v>82</v>
      </c>
      <c r="C2" s="186" ph="1"/>
      <c r="D2" s="186" ph="1"/>
      <c r="E2" s="186" ph="1"/>
      <c r="F2" s="186" ph="1"/>
      <c r="G2" s="186" ph="1"/>
      <c r="H2" s="186" ph="1"/>
      <c r="I2" s="186" ph="1"/>
      <c r="J2" s="186" ph="1"/>
      <c r="K2" s="186" ph="1"/>
      <c r="L2" s="186" ph="1"/>
      <c r="M2" s="186" ph="1"/>
      <c r="N2" s="186" ph="1"/>
      <c r="O2" s="186" ph="1"/>
      <c r="P2" s="186" ph="1"/>
      <c r="Q2" s="186" ph="1"/>
      <c r="R2" s="186" ph="1"/>
      <c r="S2" s="186" ph="1"/>
      <c r="T2" s="186" ph="1"/>
      <c r="U2" s="186" ph="1"/>
      <c r="V2" s="186" ph="1"/>
      <c r="W2" s="186" ph="1"/>
      <c r="X2" s="186" ph="1"/>
      <c r="Y2" s="186" ph="1"/>
      <c r="Z2" s="186" ph="1"/>
      <c r="AA2" s="186" ph="1"/>
      <c r="AB2" s="186" ph="1"/>
      <c r="AC2" s="186" ph="1"/>
      <c r="AD2" s="186" ph="1"/>
      <c r="AE2" s="186" ph="1"/>
    </row>
    <row r="3" spans="1:99" ht="21" customHeight="1" ph="1">
      <c r="B3" s="187" ph="1">
        <v>46197</v>
      </c>
      <c r="C3" s="187"/>
      <c r="D3" s="187"/>
      <c r="E3" s="187"/>
      <c r="F3" s="187"/>
      <c r="G3" s="187"/>
      <c r="H3" s="187"/>
      <c r="I3" s="187"/>
      <c r="J3" s="187"/>
      <c r="K3" s="187"/>
      <c r="L3" s="187"/>
      <c r="M3" s="187"/>
      <c r="N3" s="187"/>
      <c r="O3" s="187"/>
      <c r="P3" s="187"/>
      <c r="Q3" s="187"/>
      <c r="R3" s="187"/>
      <c r="S3" s="187"/>
      <c r="T3" s="187"/>
      <c r="U3" s="187"/>
      <c r="V3" s="187"/>
      <c r="W3" s="187"/>
      <c r="X3" s="187"/>
      <c r="Y3" s="187"/>
      <c r="Z3" s="187"/>
      <c r="AA3" s="187"/>
      <c r="AB3" s="187"/>
      <c r="AC3" s="187"/>
      <c r="AD3" s="187"/>
      <c r="AE3" s="187"/>
    </row>
    <row r="4" spans="1:99" s="69" customFormat="1" ph="1">
      <c r="A4" s="65" ph="1"/>
      <c r="B4" s="188" t="s" ph="1">
        <v>37</v>
      </c>
      <c r="C4" s="67" t="s" ph="1">
        <v>176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110</v>
      </c>
      <c r="J4" s="68" t="s" ph="1">
        <v>48</v>
      </c>
      <c r="K4" s="68" t="s" ph="1">
        <v>111</v>
      </c>
      <c r="L4" s="68" t="s" ph="1">
        <v>112</v>
      </c>
      <c r="M4" s="68" t="s" ph="1">
        <v>49</v>
      </c>
      <c r="N4" s="68" t="s" ph="1">
        <v>50</v>
      </c>
      <c r="O4" s="68" t="s" ph="1">
        <v>113</v>
      </c>
      <c r="P4" s="68" t="s" ph="1">
        <v>114</v>
      </c>
      <c r="Q4" s="68" t="s" ph="1">
        <v>115</v>
      </c>
      <c r="R4" s="68" t="s" ph="1">
        <v>116</v>
      </c>
      <c r="S4" s="68" t="s" ph="1">
        <v>117</v>
      </c>
      <c r="T4" s="68" t="s" ph="1">
        <v>118</v>
      </c>
      <c r="U4" s="68" t="s" ph="1">
        <v>119</v>
      </c>
      <c r="V4" s="68" t="s" ph="1">
        <v>120</v>
      </c>
      <c r="W4" s="68" t="s" ph="1">
        <v>121</v>
      </c>
      <c r="X4" s="68" t="s" ph="1">
        <v>122</v>
      </c>
      <c r="Y4" s="68" t="s" ph="1">
        <v>123</v>
      </c>
      <c r="Z4" s="68" t="s" ph="1">
        <v>51</v>
      </c>
      <c r="AA4" s="68" t="s" ph="1">
        <v>124</v>
      </c>
      <c r="AB4" s="68" t="s" ph="1">
        <v>125</v>
      </c>
      <c r="AC4" s="68" t="s" ph="1">
        <v>126</v>
      </c>
      <c r="AD4" s="68" t="s" ph="1">
        <v>40</v>
      </c>
      <c r="AE4" s="68" t="s" ph="1">
        <v>127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188" ph="1"/>
      <c r="C5" s="67" t="s" ph="1">
        <v>36</v>
      </c>
      <c r="D5" s="70" t="s" ph="1">
        <v>160</v>
      </c>
      <c r="E5" s="142" t="s" ph="1">
        <v>7</v>
      </c>
      <c r="F5" s="142" t="s" ph="1">
        <v>1</v>
      </c>
      <c r="G5" s="142" t="s" ph="1">
        <v>7</v>
      </c>
      <c r="H5" s="142" t="s" ph="1">
        <v>7</v>
      </c>
      <c r="I5" s="141" t="s" ph="1">
        <v>608</v>
      </c>
      <c r="J5" s="141" t="s" ph="1">
        <v>609</v>
      </c>
      <c r="K5" s="141" t="s" ph="1">
        <v>611</v>
      </c>
      <c r="L5" s="141" t="s" ph="1">
        <v>613</v>
      </c>
      <c r="M5" s="141" t="s" ph="1">
        <v>608</v>
      </c>
      <c r="N5" s="70" t="s" ph="1">
        <v>609</v>
      </c>
      <c r="O5" s="70" t="s" ph="1">
        <v>611</v>
      </c>
      <c r="P5" s="70" t="s" ph="1">
        <v>613</v>
      </c>
      <c r="Q5" s="70" t="s" ph="1">
        <v>607</v>
      </c>
      <c r="R5" s="70" t="s" ph="1">
        <v>607</v>
      </c>
      <c r="S5" s="70" t="s" ph="1">
        <v>607</v>
      </c>
      <c r="T5" s="70" t="s" ph="1">
        <v>607</v>
      </c>
      <c r="U5" s="70" t="s" ph="1">
        <v>607</v>
      </c>
      <c r="V5" s="70" t="s" ph="1">
        <v>607</v>
      </c>
      <c r="W5" s="70" t="s" ph="1">
        <v>607</v>
      </c>
      <c r="X5" s="70" t="s" ph="1">
        <v>607</v>
      </c>
      <c r="Y5" s="70" t="s" ph="1">
        <v>607</v>
      </c>
      <c r="Z5" s="70" t="s" ph="1">
        <v>614</v>
      </c>
      <c r="AA5" s="70" t="s" ph="1">
        <v>54</v>
      </c>
      <c r="AB5" s="70" t="s" ph="1">
        <v>54</v>
      </c>
      <c r="AC5" s="70" t="s" ph="1">
        <v>615</v>
      </c>
      <c r="AD5" s="71" t="s">
        <v>72</v>
      </c>
      <c r="AE5" s="71" t="s">
        <v>635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184" ph="1">
        <v>0.33333333333333331</v>
      </c>
      <c r="C6" s="159" t="s" ph="1">
        <v>177</v>
      </c>
      <c r="D6" s="71">
        <v>349</v>
      </c>
      <c r="E6" s="71">
        <v>7877</v>
      </c>
      <c r="F6" s="71">
        <v>5844</v>
      </c>
      <c r="G6" s="71">
        <v>3188</v>
      </c>
      <c r="H6" s="71">
        <v>0</v>
      </c>
      <c r="I6" s="71">
        <v>38.659999999999997</v>
      </c>
      <c r="J6" s="71">
        <v>77.010000000000005</v>
      </c>
      <c r="K6" s="71">
        <v>62.63</v>
      </c>
      <c r="L6" s="71">
        <v>7.27</v>
      </c>
      <c r="M6" s="71">
        <v>5616</v>
      </c>
      <c r="N6" s="71">
        <v>6674</v>
      </c>
      <c r="O6" s="71">
        <v>5955</v>
      </c>
      <c r="P6" s="71">
        <v>2694</v>
      </c>
      <c r="Q6" s="71">
        <v>7183</v>
      </c>
      <c r="R6" s="71">
        <v>5992</v>
      </c>
      <c r="S6" s="71">
        <v>2485</v>
      </c>
      <c r="T6" s="71">
        <v>0</v>
      </c>
      <c r="U6" s="71">
        <v>0</v>
      </c>
      <c r="V6" s="71">
        <v>0</v>
      </c>
      <c r="W6" s="71">
        <v>1081</v>
      </c>
      <c r="X6" s="71">
        <v>5834</v>
      </c>
      <c r="Y6" s="71">
        <v>5693</v>
      </c>
      <c r="Z6" s="71">
        <v>1753</v>
      </c>
      <c r="AA6" s="71">
        <v>0</v>
      </c>
      <c r="AB6" s="71">
        <v>2364</v>
      </c>
      <c r="AC6" s="71">
        <v>6528</v>
      </c>
      <c r="AD6" s="71">
        <v>3887</v>
      </c>
      <c r="AE6" s="71">
        <v>4831</v>
      </c>
    </row>
    <row r="7" spans="1:99" s="72" customFormat="1" ht="22.2" ph="1">
      <c r="B7" s="184" ph="1"/>
      <c r="C7" s="68" t="s" ph="1">
        <v>178</v>
      </c>
      <c r="D7" s="73" ph="1">
        <f>D6*33.183*LOOKUP(D8,密度!$A$2:$A$50,密度!$Q$2:$Q$50)</f>
        <v>10924.579267110001</v>
      </c>
      <c r="E7" s="73" ph="1">
        <f>E6*51.53*LOOKUP(E8,密度!$A$2:$A$50,密度!$B$2:$B$50)</f>
        <v>316075.73944699997</v>
      </c>
      <c r="F7" s="73" ph="1">
        <f>F6*33.183*LOOKUP(F8,密度!$A$2:$A$50,密度!$C$2:$C$50)</f>
        <v>214593.4787832</v>
      </c>
      <c r="G7" s="73" ph="1">
        <f xml:space="preserve"> (G6+2)*51.53*LOOKUP(G8,密度!$A$2:$A$50,密度!$B$2:$B$50)</f>
        <v>127592.29934000001</v>
      </c>
      <c r="H7" s="73" ph="1">
        <f>(H6)*51.53*LOOKUP(H8,密度!$A$2:$A$50,密度!$B$2:$B$50)</f>
        <v>0</v>
      </c>
      <c r="I7" s="73" ph="1">
        <f>I6*290.8*1.0267</f>
        <v>11542.498157599999</v>
      </c>
      <c r="J7" s="73" ph="1">
        <f>J6*290.8*0.7892</f>
        <v>17673.745713600001</v>
      </c>
      <c r="K7" s="73" ph="1">
        <f>K6*290.8*1.1126</f>
        <v>20263.565730400001</v>
      </c>
      <c r="L7" s="73" ph="1">
        <f>L6*290.8*0.777</f>
        <v>1642.668132</v>
      </c>
      <c r="M7" s="73" ph="1">
        <f>M6*33.183*LOOKUP(M8,密度!$A$2:$A$50,密度!$D$2:$D$50)</f>
        <v>190455.55401600001</v>
      </c>
      <c r="N7" s="73" ph="1">
        <f>N6*33.183*LOOKUP(N8,密度!$A$2:$A$50,密度!$E$2:$E$50)</f>
        <v>171955.21189589999</v>
      </c>
      <c r="O7" s="73" ph="1">
        <f>O6*20.428*LOOKUP(O8,密度!$A$2:$A$50,密度!$C$2:$C$50)</f>
        <v>134178.56022000001</v>
      </c>
      <c r="P7" s="73" ph="1">
        <f>P6*51.53*LOOKUP(P8,密度!$A$2:$A$50,密度!$B$2:$B$50)</f>
        <v>107864.55414000001</v>
      </c>
      <c r="Q7" s="73" ph="1">
        <f>Q6*1.5*1.5*3.1416*LOOKUP(W8,密度!$A$2:$A$50,密度!$L$2:$L$50)</f>
        <v>47321.138541600005</v>
      </c>
      <c r="R7" s="73" ph="1">
        <f>R6*1.5*1.5*3.1416*LOOKUP(R8,密度!$A$2:$A$50,密度!$L$2:$L$50)</f>
        <v>39263.132462400004</v>
      </c>
      <c r="S7" s="73" ph="1">
        <f>S6*1.5*1.5*3.1416*LOOKUP(S8,密度!$A$2:$A$50,密度!$L$2:$L$50)</f>
        <v>16458.846327000003</v>
      </c>
      <c r="T7" s="73" ph="1">
        <f>T6*1.5*1.5*3.1416*LOOKUP(T8,密度!$A$2:$A$50,密度!$L$2:$L$50)</f>
        <v>0</v>
      </c>
      <c r="U7" s="73" ph="1">
        <f>U6*1.5*1.5*3.1416*LOOKUP(U8,密度!$A$2:$A$50,密度!$L$2:$L$50)</f>
        <v>0</v>
      </c>
      <c r="V7" s="73" ph="1">
        <f>V6*1.5*1.5*3.1416*LOOKUP(V8,密度!$A$2:$A$50,密度!$L$2:$L$50)</f>
        <v>0</v>
      </c>
      <c r="W7" s="73" ph="1">
        <f>W6*1.5*1.5*3.1416*LOOKUP(W8,密度!$A$2:$A$50,密度!$L$2:$L$50)</f>
        <v>7121.5579512000004</v>
      </c>
      <c r="X7" s="73" ph="1">
        <f>X6*1.5*1.5*3.1416*LOOKUP(X8,密度!$A$2:$A$50,密度!$L$2:$L$50)</f>
        <v>38846.396080799997</v>
      </c>
      <c r="Y7" s="73" ph="1">
        <f>Y6*1.5*1.5*3.1416*LOOKUP(Y8,密度!$A$2:$A$50,密度!$L$2:$L$50)</f>
        <v>37505.115093599998</v>
      </c>
      <c r="Z7" s="73" ph="1">
        <f>Z6*33.183*LOOKUP(Z8,密度!$A$2:$A$50,密度!$L$2:$L$50)</f>
        <v>54330.592266</v>
      </c>
      <c r="AA7" s="73" ph="1">
        <f>AA6*33.183*LOOKUP(AA8,密度!$A$2:$A$50,密度!$D$2:$D$50)</f>
        <v>0</v>
      </c>
      <c r="AB7" s="73" ph="1">
        <f>AB6*20.428*LOOKUP(AB8,密度!$A$2:$A$50,密度!$D$2:$D$50)</f>
        <v>49397.674036799996</v>
      </c>
      <c r="AC7" s="73" ph="1">
        <f>AC6*51.53*LOOKUP(AC8,密度!$A$2:$A$50,密度!$Q$2:$Q$50)</f>
        <v>317324.74110720004</v>
      </c>
      <c r="AD7" s="73" ph="1">
        <f>AD6*20.428*LOOKUP(AD8,密度!$A$2:$A$50,密度!$V$2:$V$50)</f>
        <v>76036.921833600005</v>
      </c>
      <c r="AE7" s="73" ph="1">
        <f>AE6*20.428</f>
        <v>98687.668000000005</v>
      </c>
    </row>
    <row r="8" spans="1:99" ph="1">
      <c r="B8" s="184" ph="1"/>
      <c r="C8" s="68" t="s" ph="1">
        <v>179</v>
      </c>
      <c r="D8" s="74">
        <v>30</v>
      </c>
      <c r="E8" s="74">
        <v>26</v>
      </c>
      <c r="F8" s="74">
        <v>28</v>
      </c>
      <c r="G8" s="74">
        <v>29</v>
      </c>
      <c r="H8" s="74">
        <v>26</v>
      </c>
      <c r="I8" s="74">
        <v>25</v>
      </c>
      <c r="J8" s="74">
        <v>25</v>
      </c>
      <c r="K8" s="74">
        <v>25</v>
      </c>
      <c r="L8" s="74">
        <v>25</v>
      </c>
      <c r="M8" s="74">
        <v>30</v>
      </c>
      <c r="N8" s="74">
        <v>31</v>
      </c>
      <c r="O8" s="74">
        <v>32</v>
      </c>
      <c r="P8" s="74">
        <v>28</v>
      </c>
      <c r="Q8" s="74">
        <v>32</v>
      </c>
      <c r="R8" s="74">
        <v>35</v>
      </c>
      <c r="S8" s="74">
        <v>25</v>
      </c>
      <c r="T8" s="74">
        <v>24</v>
      </c>
      <c r="U8" s="74">
        <v>30</v>
      </c>
      <c r="V8" s="74">
        <v>28</v>
      </c>
      <c r="W8" s="74">
        <v>30</v>
      </c>
      <c r="X8" s="74">
        <v>20</v>
      </c>
      <c r="Y8" s="74">
        <v>30</v>
      </c>
      <c r="Z8" s="74">
        <v>28</v>
      </c>
      <c r="AA8" s="74">
        <v>30</v>
      </c>
      <c r="AB8" s="74">
        <v>29</v>
      </c>
      <c r="AC8" s="74">
        <v>30</v>
      </c>
      <c r="AD8" s="74">
        <v>27</v>
      </c>
      <c r="AE8" s="74">
        <v>28</v>
      </c>
    </row>
    <row r="9" spans="1:99" ht="26.4" ph="1">
      <c r="B9" s="184" ph="1">
        <v>0.66666666666666663</v>
      </c>
      <c r="C9" s="159" t="s" ph="1">
        <v>180</v>
      </c>
      <c r="D9" s="71">
        <v>331</v>
      </c>
      <c r="E9" s="71">
        <v>7693</v>
      </c>
      <c r="F9" s="71">
        <v>5846</v>
      </c>
      <c r="G9" s="71">
        <v>2926</v>
      </c>
      <c r="H9" s="71">
        <v>827</v>
      </c>
      <c r="I9" s="71">
        <v>38.64</v>
      </c>
      <c r="J9" s="71">
        <v>77.150000000000006</v>
      </c>
      <c r="K9" s="71">
        <v>63.11</v>
      </c>
      <c r="L9" s="71">
        <v>9.9499999999999993</v>
      </c>
      <c r="M9" s="71">
        <v>5618</v>
      </c>
      <c r="N9" s="71">
        <v>6679</v>
      </c>
      <c r="O9" s="71">
        <v>406</v>
      </c>
      <c r="P9" s="71">
        <v>2565</v>
      </c>
      <c r="Q9" s="71">
        <v>7192</v>
      </c>
      <c r="R9" s="71">
        <v>5997</v>
      </c>
      <c r="S9" s="71">
        <v>5179</v>
      </c>
      <c r="T9" s="71">
        <v>2767</v>
      </c>
      <c r="U9" s="71">
        <v>2353</v>
      </c>
      <c r="V9" s="71">
        <v>0</v>
      </c>
      <c r="W9" s="71">
        <v>0</v>
      </c>
      <c r="X9" s="71">
        <v>2540</v>
      </c>
      <c r="Y9" s="71">
        <v>5698</v>
      </c>
      <c r="Z9" s="71">
        <v>2709</v>
      </c>
      <c r="AA9" s="71">
        <v>0</v>
      </c>
      <c r="AB9" s="71">
        <v>2208</v>
      </c>
      <c r="AC9" s="71">
        <v>7607</v>
      </c>
      <c r="AD9" s="71">
        <v>3887</v>
      </c>
      <c r="AE9" s="71">
        <v>4816</v>
      </c>
    </row>
    <row r="10" spans="1:99" s="72" customFormat="1" ht="22.2" ph="1">
      <c r="B10" s="184" ph="1"/>
      <c r="C10" s="159" t="s" ph="1">
        <v>178</v>
      </c>
      <c r="D10" s="73" ph="1">
        <f>D9*33.183*LOOKUP(D11,密度!$A$2:$A$50,密度!$Q$2:$Q$50)</f>
        <v>10345.427408699999</v>
      </c>
      <c r="E10" s="73" ph="1">
        <f>E9*51.53*LOOKUP(E11,密度!$A$2:$A$50,密度!$B$2:$B$50)</f>
        <v>307344.65083700005</v>
      </c>
      <c r="F10" s="73" ph="1">
        <f>F9*33.183*LOOKUP(F11,密度!$A$2:$A$50,密度!$C$2:$C$50)</f>
        <v>214181.9498538</v>
      </c>
      <c r="G10" s="73" ph="1">
        <f xml:space="preserve"> (G9+2)*51.53*LOOKUP(G11,密度!$A$2:$A$50,密度!$B$2:$B$50)</f>
        <v>116705.55623999999</v>
      </c>
      <c r="H10" s="73" ph="1">
        <f>(H9)*51.53*LOOKUP(H11,密度!$A$2:$A$50,密度!$B$2:$B$50)</f>
        <v>32890.496257999999</v>
      </c>
      <c r="I10" s="73" ph="1">
        <f>I9*290.8*1.0267</f>
        <v>11536.526870400001</v>
      </c>
      <c r="J10" s="73" ph="1">
        <f>J9*290.8*0.7892</f>
        <v>17705.875624</v>
      </c>
      <c r="K10" s="73" ph="1">
        <f>K9*290.8*1.1126</f>
        <v>20418.866888799999</v>
      </c>
      <c r="L10" s="73" ph="1">
        <f>L9*290.8*0.777</f>
        <v>2248.2184200000002</v>
      </c>
      <c r="M10" s="73" ph="1">
        <f>M9*33.183*LOOKUP(M11,密度!$A$2:$A$50,密度!$D$2:$D$50)</f>
        <v>189050.6455254</v>
      </c>
      <c r="N10" s="73" ph="1">
        <f>N9*33.183*LOOKUP(N11,密度!$A$2:$A$50,密度!$E$2:$E$50)</f>
        <v>171332.71341642001</v>
      </c>
      <c r="O10" s="73" ph="1">
        <f>O9*20.428*LOOKUP(O11,密度!$A$2:$A$50,密度!$C$2:$C$50)</f>
        <v>9078.358452800001</v>
      </c>
      <c r="P10" s="73" ph="1">
        <f>P9*51.53*LOOKUP(P11,密度!$A$2:$A$50,密度!$B$2:$B$50)</f>
        <v>102012.24051000002</v>
      </c>
      <c r="Q10" s="73" ph="1">
        <f>Q9*1.5*1.5*3.1416*LOOKUP(W11,密度!$A$2:$A$50,密度!$L$2:$L$50)</f>
        <v>46922.893617600006</v>
      </c>
      <c r="R10" s="73" ph="1">
        <f>R9*1.5*1.5*3.1416*LOOKUP(R11,密度!$A$2:$A$50,密度!$L$2:$L$50)</f>
        <v>39168.724240800002</v>
      </c>
      <c r="S10" s="73" ph="1">
        <f>S9*1.5*1.5*3.1416*LOOKUP(S11,密度!$A$2:$A$50,密度!$L$2:$L$50)</f>
        <v>34192.1329596</v>
      </c>
      <c r="T10" s="73" ph="1">
        <f>T9*1.5*1.5*3.1416*LOOKUP(T11,密度!$A$2:$A$50,密度!$L$2:$L$50)</f>
        <v>18346.1695956</v>
      </c>
      <c r="U10" s="73" ph="1">
        <f>U9*1.5*1.5*3.1416*LOOKUP(U11,密度!$A$2:$A$50,密度!$L$2:$L$50)</f>
        <v>15534.6763572</v>
      </c>
      <c r="V10" s="73" ph="1">
        <f>V9*1.5*1.5*3.1416*LOOKUP(V11,密度!$A$2:$A$50,密度!$L$2:$L$50)</f>
        <v>0</v>
      </c>
      <c r="W10" s="73" ph="1">
        <f>W9*1.5*1.5*3.1416*LOOKUP(W11,密度!$A$2:$A$50,密度!$L$2:$L$50)</f>
        <v>0</v>
      </c>
      <c r="X10" s="73" ph="1">
        <f>X9*1.5*1.5*3.1416*LOOKUP(X11,密度!$A$2:$A$50,密度!$L$2:$L$50)</f>
        <v>16876.98936</v>
      </c>
      <c r="Y10" s="73" ph="1">
        <f>Y9*1.5*1.5*3.1416*LOOKUP(Y11,密度!$A$2:$A$50,密度!$L$2:$L$50)</f>
        <v>37538.054769599999</v>
      </c>
      <c r="Z10" s="73" ph="1">
        <f>Z9*33.183*LOOKUP(Z11,密度!$A$2:$A$50,密度!$L$2:$L$50)</f>
        <v>83150.790975000011</v>
      </c>
      <c r="AA10" s="73" ph="1">
        <f>AA9*33.183*LOOKUP(AA11,密度!$A$2:$A$50,密度!$D$2:$D$50)</f>
        <v>0</v>
      </c>
      <c r="AB10" s="73" ph="1">
        <f>AB9*20.428*LOOKUP(AB11,密度!$A$2:$A$50,密度!$D$2:$D$50)</f>
        <v>46223.628595200003</v>
      </c>
      <c r="AC10" s="73" ph="1">
        <f>AC9*51.53*LOOKUP(AC11,密度!$A$2:$A$50,密度!$Q$2:$Q$50)</f>
        <v>368445.86807740002</v>
      </c>
      <c r="AD10" s="73" ph="1">
        <f>AD9*20.428*LOOKUP(AD11,密度!$A$2:$A$50,密度!$V$2:$V$50)</f>
        <v>76036.921833600005</v>
      </c>
      <c r="AE10" s="73" ph="1">
        <f>AE9*20.428</f>
        <v>98381.248000000007</v>
      </c>
    </row>
    <row r="11" spans="1:99" ph="1">
      <c r="A11" s="64" t="s" ph="1">
        <v>162</v>
      </c>
      <c r="B11" s="184" ph="1"/>
      <c r="C11" s="159" t="s" ph="1">
        <v>179</v>
      </c>
      <c r="D11" s="74">
        <v>32</v>
      </c>
      <c r="E11" s="74">
        <v>30</v>
      </c>
      <c r="F11" s="74">
        <v>31</v>
      </c>
      <c r="G11" s="74">
        <v>32</v>
      </c>
      <c r="H11" s="74">
        <v>34</v>
      </c>
      <c r="I11" s="74">
        <v>25</v>
      </c>
      <c r="J11" s="74">
        <v>25</v>
      </c>
      <c r="K11" s="74">
        <v>25</v>
      </c>
      <c r="L11" s="74">
        <v>25</v>
      </c>
      <c r="M11" s="74">
        <v>39</v>
      </c>
      <c r="N11" s="74">
        <v>34</v>
      </c>
      <c r="O11" s="74">
        <v>40</v>
      </c>
      <c r="P11" s="74">
        <v>34</v>
      </c>
      <c r="Q11" s="74">
        <v>34</v>
      </c>
      <c r="R11" s="74">
        <v>38</v>
      </c>
      <c r="S11" s="74">
        <v>28</v>
      </c>
      <c r="T11" s="74">
        <v>24</v>
      </c>
      <c r="U11" s="74">
        <v>28</v>
      </c>
      <c r="V11" s="74">
        <v>28</v>
      </c>
      <c r="W11" s="74">
        <v>39</v>
      </c>
      <c r="X11" s="74">
        <v>22</v>
      </c>
      <c r="Y11" s="74">
        <v>30</v>
      </c>
      <c r="Z11" s="74">
        <v>37</v>
      </c>
      <c r="AA11" s="74">
        <v>45</v>
      </c>
      <c r="AB11" s="74">
        <v>27</v>
      </c>
      <c r="AC11" s="74">
        <v>35</v>
      </c>
      <c r="AD11" s="74">
        <v>31</v>
      </c>
      <c r="AE11" s="74">
        <v>31</v>
      </c>
    </row>
    <row r="12" spans="1:99" ht="9.9" customHeight="1" ph="1"/>
    <row r="13" spans="1:99" s="72" customFormat="1" ht="29.25" customHeight="1" ph="1">
      <c r="B13" s="192" t="s" ph="1">
        <v>37</v>
      </c>
      <c r="C13" s="159" t="s" ph="1">
        <v>176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128</v>
      </c>
      <c r="I13" s="76" t="s" ph="1">
        <v>59</v>
      </c>
      <c r="J13" s="76" t="s" ph="1">
        <v>129</v>
      </c>
      <c r="K13" s="76" t="s" ph="1">
        <v>55</v>
      </c>
      <c r="L13" s="76" t="s" ph="1">
        <v>60</v>
      </c>
      <c r="M13" s="76" t="s" ph="1">
        <v>61</v>
      </c>
      <c r="N13" s="76" t="s" ph="1">
        <v>130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131</v>
      </c>
      <c r="W13" s="76" t="s" ph="1">
        <v>132</v>
      </c>
      <c r="X13" s="76" t="s" ph="1">
        <v>133</v>
      </c>
      <c r="Y13" s="105" t="s" ph="1">
        <v>68</v>
      </c>
      <c r="Z13" s="76" t="s" ph="1">
        <v>74</v>
      </c>
      <c r="AA13" s="76" t="s" ph="1">
        <v>134</v>
      </c>
      <c r="AB13" s="76" t="s" ph="1">
        <v>135</v>
      </c>
      <c r="AC13" s="76" t="s" ph="1">
        <v>136</v>
      </c>
      <c r="AD13" s="76" t="s" ph="1">
        <v>137</v>
      </c>
      <c r="AE13" s="76" t="s" ph="1">
        <v>138</v>
      </c>
      <c r="AG13" s="72" t="s" ph="1">
        <v>325</v>
      </c>
      <c r="AH13" s="72" t="s" ph="1">
        <v>188</v>
      </c>
      <c r="AI13" s="72" t="s" ph="1">
        <v>189</v>
      </c>
      <c r="AJ13" s="72" t="s" ph="1">
        <v>190</v>
      </c>
      <c r="AK13" s="72" t="s" ph="1">
        <v>191</v>
      </c>
      <c r="AL13" s="72" t="s" ph="1">
        <v>192</v>
      </c>
      <c r="AM13" s="72" t="s" ph="1">
        <v>193</v>
      </c>
      <c r="AN13" s="72" t="s" ph="1">
        <v>194</v>
      </c>
      <c r="AO13" s="72" t="s" ph="1">
        <v>195</v>
      </c>
      <c r="AP13" s="72" t="s" ph="1">
        <v>196</v>
      </c>
      <c r="AQ13" s="72" t="s" ph="1">
        <v>197</v>
      </c>
      <c r="AR13" s="72" t="s" ph="1">
        <v>198</v>
      </c>
      <c r="AS13" s="72" t="s" ph="1">
        <v>199</v>
      </c>
      <c r="AT13" s="72" t="s" ph="1">
        <v>200</v>
      </c>
      <c r="AU13" s="72" t="s" ph="1">
        <v>201</v>
      </c>
      <c r="AV13" s="72" t="s" ph="1">
        <v>202</v>
      </c>
      <c r="AW13" s="72" t="s" ph="1">
        <v>203</v>
      </c>
      <c r="AX13" s="72" t="s" ph="1">
        <v>204</v>
      </c>
      <c r="AY13" s="72" t="s" ph="1">
        <v>326</v>
      </c>
      <c r="AZ13" s="72" t="s" ph="1">
        <v>205</v>
      </c>
      <c r="BA13" s="72" t="s" ph="1">
        <v>206</v>
      </c>
      <c r="BB13" s="72" t="s" ph="1">
        <v>591</v>
      </c>
      <c r="BC13" s="72" t="s" ph="1">
        <v>207</v>
      </c>
      <c r="BD13" s="72" t="s" ph="1">
        <v>327</v>
      </c>
      <c r="BE13" s="72" t="s" ph="1">
        <v>328</v>
      </c>
      <c r="BF13" s="72" t="s" ph="1">
        <v>329</v>
      </c>
      <c r="BG13" s="72" t="s" ph="1">
        <v>330</v>
      </c>
      <c r="BH13" s="72" t="s" ph="1">
        <v>331</v>
      </c>
    </row>
    <row r="14" spans="1:99" s="72" customFormat="1" ht="24" ph="1">
      <c r="B14" s="193" ph="1"/>
      <c r="C14" s="67" t="s" ph="1">
        <v>36</v>
      </c>
      <c r="D14" s="77" t="s" ph="1">
        <v>616</v>
      </c>
      <c r="E14" s="77" t="s" ph="1">
        <v>616</v>
      </c>
      <c r="F14" s="144" t="s" ph="1">
        <v>636</v>
      </c>
      <c r="G14" s="77" t="s" ph="1">
        <v>617</v>
      </c>
      <c r="H14" s="77" t="s" ph="1">
        <v>637</v>
      </c>
      <c r="I14" s="138" t="s" ph="1">
        <v>618</v>
      </c>
      <c r="J14" s="77" t="s" ph="1">
        <v>619</v>
      </c>
      <c r="K14" s="77" t="s" ph="1">
        <v>186</v>
      </c>
      <c r="L14" s="77" t="s" ph="1">
        <v>41</v>
      </c>
      <c r="M14" s="104" t="s" ph="1">
        <v>620</v>
      </c>
      <c r="N14" s="104" t="s" ph="1">
        <v>621</v>
      </c>
      <c r="O14" s="104" t="s" ph="1">
        <v>641</v>
      </c>
      <c r="P14" s="77" t="s" ph="1">
        <v>622</v>
      </c>
      <c r="Q14" s="77" t="s" ph="1">
        <v>622</v>
      </c>
      <c r="R14" s="88" t="s" ph="1">
        <v>7</v>
      </c>
      <c r="S14" s="77" t="s" ph="1">
        <v>622</v>
      </c>
      <c r="T14" s="77" t="s" ph="1">
        <v>624</v>
      </c>
      <c r="U14" s="77" t="s" ph="1">
        <v>605</v>
      </c>
      <c r="V14" s="77" t="s" ph="1">
        <v>633</v>
      </c>
      <c r="W14" s="77" t="s" ph="1">
        <v>622</v>
      </c>
      <c r="X14" s="77" t="s" ph="1">
        <v>625</v>
      </c>
      <c r="Y14" s="143" t="s" ph="1">
        <v>0</v>
      </c>
      <c r="Z14" s="77" t="s" ph="1">
        <v>54</v>
      </c>
      <c r="AA14" s="77" t="s" ph="1">
        <v>613</v>
      </c>
      <c r="AB14" s="77" t="s" ph="1">
        <v>632</v>
      </c>
      <c r="AC14" s="77" t="s" ph="1">
        <v>632</v>
      </c>
      <c r="AD14" s="77" t="s" ph="1">
        <v>612</v>
      </c>
      <c r="AE14" s="77" t="s" ph="1">
        <v>612</v>
      </c>
      <c r="AG14" s="72" t="s" ph="1">
        <v>208</v>
      </c>
      <c r="AI14" s="72" t="s" ph="1">
        <v>209</v>
      </c>
      <c r="AJ14" s="72" t="s" ph="1">
        <v>332</v>
      </c>
      <c r="AK14" s="72" t="s" ph="1">
        <v>210</v>
      </c>
      <c r="AM14" s="72" t="s" ph="1">
        <v>212</v>
      </c>
      <c r="AN14" s="72" t="s" ph="1">
        <v>210</v>
      </c>
      <c r="AO14" s="72" t="s" ph="1">
        <v>211</v>
      </c>
      <c r="AP14" s="72" t="s" ph="1">
        <v>212</v>
      </c>
      <c r="AQ14" s="72" t="s" ph="1">
        <v>210</v>
      </c>
      <c r="AR14" s="72" t="s" ph="1">
        <v>211</v>
      </c>
      <c r="AS14" s="72" t="s" ph="1">
        <v>212</v>
      </c>
      <c r="AT14" s="72" t="s" ph="1">
        <v>210</v>
      </c>
      <c r="AU14" s="72" t="s" ph="1">
        <v>211</v>
      </c>
      <c r="AV14" s="72" t="s" ph="1">
        <v>212</v>
      </c>
      <c r="AW14" s="72" t="s" ph="1">
        <v>210</v>
      </c>
      <c r="AX14" s="72" t="s" ph="1">
        <v>211</v>
      </c>
      <c r="AY14" s="72" t="s" ph="1">
        <v>212</v>
      </c>
      <c r="AZ14" s="72" t="s" ph="1">
        <v>211</v>
      </c>
    </row>
    <row r="15" spans="1:99" ph="1">
      <c r="B15" s="194" ph="1">
        <v>0.33333333333333331</v>
      </c>
      <c r="C15" s="159" t="s" ph="1">
        <v>177</v>
      </c>
      <c r="D15" s="78">
        <v>2192</v>
      </c>
      <c r="E15" s="78">
        <v>53</v>
      </c>
      <c r="F15" s="78">
        <v>455</v>
      </c>
      <c r="G15" s="78">
        <v>4289</v>
      </c>
      <c r="H15" s="78">
        <v>2034</v>
      </c>
      <c r="I15" s="78">
        <v>5400</v>
      </c>
      <c r="J15" s="78">
        <v>2331</v>
      </c>
      <c r="K15" s="78">
        <v>2281</v>
      </c>
      <c r="L15" s="78">
        <v>4509</v>
      </c>
      <c r="M15" s="78">
        <v>6520</v>
      </c>
      <c r="N15" s="78">
        <v>1131</v>
      </c>
      <c r="O15" s="78">
        <v>2745</v>
      </c>
      <c r="P15" s="78">
        <v>6995</v>
      </c>
      <c r="Q15" s="78">
        <v>5356</v>
      </c>
      <c r="R15" s="78">
        <v>1950</v>
      </c>
      <c r="S15" s="78">
        <v>428</v>
      </c>
      <c r="T15" s="78">
        <v>5933</v>
      </c>
      <c r="U15" s="78">
        <v>2681</v>
      </c>
      <c r="V15" s="78">
        <v>-817</v>
      </c>
      <c r="W15" s="71">
        <v>-768</v>
      </c>
      <c r="X15" s="78">
        <v>1293</v>
      </c>
      <c r="Y15" s="106">
        <v>-2368</v>
      </c>
      <c r="Z15" s="78">
        <v>1271</v>
      </c>
      <c r="AA15" s="78">
        <v>2559</v>
      </c>
      <c r="AB15" s="78" ph="1">
        <v>691</v>
      </c>
      <c r="AC15" s="78" ph="1">
        <v>501</v>
      </c>
      <c r="AD15" s="78">
        <v>5.58</v>
      </c>
      <c r="AE15" s="78">
        <v>53.75</v>
      </c>
      <c r="AG15" s="64" t="s" ph="1">
        <v>214</v>
      </c>
      <c r="AH15" s="64" ph="1">
        <v>1</v>
      </c>
      <c r="AI15" s="64" t="s" ph="1">
        <v>333</v>
      </c>
      <c r="AK15" s="64" t="s" ph="1">
        <v>587</v>
      </c>
      <c r="AM15" s="64" t="s" ph="1">
        <v>335</v>
      </c>
      <c r="AZ15" s="64" t="s" ph="1">
        <v>216</v>
      </c>
      <c r="BA15" s="64" ph="1">
        <v>0</v>
      </c>
    </row>
    <row r="16" spans="1:99" s="72" customFormat="1" ht="22.2" ph="1">
      <c r="B16" s="195" ph="1"/>
      <c r="C16" s="159" t="s" ph="1">
        <v>178</v>
      </c>
      <c r="D16" s="73" ph="1">
        <f>D15*7.0686*LOOKUP(D17,密度!$A$2:$A$50,密度!$L$2:$L$50)</f>
        <v>14409.765216</v>
      </c>
      <c r="E16" s="73" ph="1">
        <f>E15*7.0686*LOOKUP(E17,密度!$A$2:$A$50,密度!$L$2:$L$50)</f>
        <v>348.41129400000005</v>
      </c>
      <c r="F16" s="73" ph="1">
        <f>F15*9.0746*LOOKUP(F17,密度!$A$2:$A$50,密度!$L$2:$L$50)</f>
        <v>3839.9169900000006</v>
      </c>
      <c r="G16" s="73" ph="1">
        <f>G15*9.0746*LOOKUP(G17,密度!$A$2:$A$50,密度!$B$2:$B$50)</f>
        <v>30210.44868628</v>
      </c>
      <c r="H16" s="73" ph="1">
        <f>H15*9.0746*LOOKUP(H17,密度!$A$2:$A$50,密度!$L$2:$L$50)</f>
        <v>17294.899006800002</v>
      </c>
      <c r="I16" s="73" ph="1">
        <f>I15*9.0746*LOOKUP(I17,密度!$A$2:$A$50,密度!$U$2:$U$50)</f>
        <v>49982.896800000002</v>
      </c>
      <c r="J16" s="73" ph="1">
        <f>J15*9.0746*LOOKUP(J17,密度!$A$2:$A$50,密度!$L$2:$L$50)</f>
        <v>19714.495903200001</v>
      </c>
      <c r="K16" s="73" ph="1">
        <f>K15*9.0746*LOOKUP(K17,密度!$A$2:$A$50,密度!$C$2:$C$50)</f>
        <v>22874.644589259999</v>
      </c>
      <c r="L16" s="73" ph="1">
        <f>L15*9.0746*LOOKUP(L17,密度!$A$2:$A$50,密度!$E$2:$E$50)</f>
        <v>31817.348000640002</v>
      </c>
      <c r="M16" s="73" ph="1">
        <f>M15*9.0746*LOOKUP(M17,密度!$A$2:$A$50,密度!$M$2:$M$50)</f>
        <v>51407.90301704</v>
      </c>
      <c r="N16" s="73" ph="1">
        <f>N15*9.0746*LOOKUP(N17,密度!$A$2:$A$50,密度!$M$2:$M$50)</f>
        <v>8981.4773622600005</v>
      </c>
      <c r="O16" s="73" ph="1">
        <f>O15*9.0746*LOOKUP(O17,密度!$A$2:$A$50,密度!$G$2:$G$50)</f>
        <v>23781.364101900002</v>
      </c>
      <c r="P16" s="73" ph="1">
        <f ca="1">P15*9.0746*LOOKUP(P17,密度!$A$2:$A$51,密度!$Q$2:$Q$50)</f>
        <v>59788.823351300001</v>
      </c>
      <c r="Q16" s="73" ph="1">
        <f>Q15*9.0746*LOOKUP(Q17,密度!$A$2:$A$50,密度!$Q$2:$Q$50)</f>
        <v>45779.690903440001</v>
      </c>
      <c r="R16" s="73" ph="1">
        <f>MAX(R15*9.0746*LOOKUP(R17,密度!$A$2:$A$50,密度!$B$2:$B$50),0)</f>
        <v>13719.297891</v>
      </c>
      <c r="S16" s="73" ph="1">
        <f>S15*9.0746*LOOKUP(S17,密度!$A$2:$A$50,密度!$Q$2:$Q$50)</f>
        <v>3666.1569121840002</v>
      </c>
      <c r="T16" s="73" ph="1">
        <f>T15*9.0746*LOOKUP(T17,密度!$A$2:$A$50,密度!$O$2:$O$50)</f>
        <v>49855.471266800007</v>
      </c>
      <c r="U16" s="73" ph="1">
        <f>U15*9.0746*LOOKUP(U17,密度!$A$2:$A$50,密度!$H$2:$H$50)</f>
        <v>22188.050371199999</v>
      </c>
      <c r="V16" s="73" ph="1">
        <f>MAX(5600*LOOKUP(V17,密度!$A$2:$A$50,密度!$Q$2:$Q$50)+V15*9.0476*LOOKUP(V17,密度!$A$2:$A$50,密度!$Q$2:$Q$50),0)</f>
        <v>0</v>
      </c>
      <c r="W16" s="73" ph="1">
        <f>MAX(5600*LOOKUP(W17,密度!$A$2:$A$50,密度!$Q$2:$Q$50)+W15*9.0476*LOOKUP(W17,密度!$A$2:$A$50,密度!$Q$2:$Q$50),0)</f>
        <v>0</v>
      </c>
      <c r="X16" s="73" ph="1">
        <f>MAX(5600*LOOKUP(X17,密度!$A$2:$A$50,密度!$I$2:$I$50)+X15*9.0476*LOOKUP(X17,密度!$A$2:$A$50,密度!$I$2:$I$50),0)</f>
        <v>17973.190125199995</v>
      </c>
      <c r="Y16" s="107" ph="1">
        <v>0</v>
      </c>
      <c r="Z16" s="73" ph="1">
        <f>Z15*9.0746*LOOKUP(Z17,密度!$A$2:$A$50,密度!$D$2:$D$50)</f>
        <v>11787.560565199999</v>
      </c>
      <c r="AA16" s="73" ph="1">
        <f>AA15*9.0746*LOOKUP(AA17,密度!$A$2:$A$50,密度!$B$2:$B$50)</f>
        <v>18043.4173878</v>
      </c>
      <c r="AB16" s="73" ph="1">
        <f>AB15*9.0746*LOOKUP(AB17,密度!$A$2:$A$50,密度!$L$2:$L$50)</f>
        <v>5850.4218438000007</v>
      </c>
      <c r="AC16" s="73" ph="1">
        <f>AC15*9.0746*LOOKUP(AC17,密度!$A$2:$A$50,密度!$L$2:$L$50)</f>
        <v>4246.3138764000005</v>
      </c>
      <c r="AD16" s="73" ph="1">
        <f>AD15*268.68*LOOKUP(AD17,密度!$A$2:$A$50,密度!B2:B50)+IF(AD15&lt;=0,0,1566*LOOKUP(AD17,密度!$A$2:$A$50,密度!B2:B50))</f>
        <v>2389.6567382399999</v>
      </c>
      <c r="AE16" s="73" ph="1">
        <f>AE15*268.68*LOOKUP(AE17,密度!$A$2:$A$50,密度!B2:B50)+IF(AE15&lt;=0,0,1566*LOOKUP(AE17,密度!$A$2:$A$50,密度!B2:B50))</f>
        <v>12479.485980000001</v>
      </c>
      <c r="AH16" s="72" ph="1">
        <v>2</v>
      </c>
      <c r="AI16" s="72" t="s" ph="1">
        <v>337</v>
      </c>
      <c r="AZ16" s="72" t="s" ph="1">
        <v>216</v>
      </c>
      <c r="BA16" s="72" ph="1">
        <v>0</v>
      </c>
    </row>
    <row r="17" spans="1:57" ph="1">
      <c r="A17" s="64" t="s" ph="1">
        <v>73</v>
      </c>
      <c r="B17" s="196" ph="1"/>
      <c r="C17" s="79" t="s" ph="1">
        <v>179</v>
      </c>
      <c r="D17" s="74">
        <v>32</v>
      </c>
      <c r="E17" s="74">
        <v>32</v>
      </c>
      <c r="F17" s="74">
        <v>32</v>
      </c>
      <c r="G17" s="74">
        <v>29</v>
      </c>
      <c r="H17" s="74">
        <v>25</v>
      </c>
      <c r="I17" s="74">
        <v>30</v>
      </c>
      <c r="J17" s="74">
        <v>30</v>
      </c>
      <c r="K17" s="74">
        <v>30</v>
      </c>
      <c r="L17" s="74">
        <v>30</v>
      </c>
      <c r="M17" s="74">
        <v>31</v>
      </c>
      <c r="N17" s="74">
        <v>25</v>
      </c>
      <c r="O17" s="74">
        <v>30</v>
      </c>
      <c r="P17" s="74">
        <v>32</v>
      </c>
      <c r="Q17" s="74">
        <v>32</v>
      </c>
      <c r="R17" s="74">
        <v>30</v>
      </c>
      <c r="S17" s="74">
        <v>29</v>
      </c>
      <c r="T17" s="74">
        <v>28</v>
      </c>
      <c r="U17" s="74">
        <v>28</v>
      </c>
      <c r="V17" s="74">
        <v>30</v>
      </c>
      <c r="W17" s="74">
        <v>30</v>
      </c>
      <c r="X17" s="74">
        <v>28</v>
      </c>
      <c r="Y17" s="108">
        <v>28</v>
      </c>
      <c r="Z17" s="74">
        <v>30</v>
      </c>
      <c r="AA17" s="74">
        <v>28</v>
      </c>
      <c r="AB17" s="74">
        <v>29</v>
      </c>
      <c r="AC17" s="74">
        <v>28</v>
      </c>
      <c r="AD17" s="74">
        <v>25</v>
      </c>
      <c r="AE17" s="74">
        <v>25</v>
      </c>
      <c r="AH17" s="64" ph="1">
        <v>3</v>
      </c>
      <c r="AI17" s="64" t="s" ph="1">
        <v>338</v>
      </c>
      <c r="AK17" s="64" t="s" ph="1">
        <v>570</v>
      </c>
      <c r="AL17" s="64" ph="1">
        <v>80</v>
      </c>
      <c r="AM17" s="64" t="s" ph="1">
        <v>335</v>
      </c>
      <c r="AZ17" s="64" t="s" ph="1">
        <v>216</v>
      </c>
      <c r="BA17" s="64" ph="1">
        <v>80</v>
      </c>
      <c r="BD17" s="64" t="s" ph="1">
        <v>214</v>
      </c>
      <c r="BE17" s="64" ph="1">
        <v>2270</v>
      </c>
    </row>
    <row r="18" spans="1:57" ht="26.4" ph="1">
      <c r="B18" s="194" ph="1">
        <v>0.66666666666666663</v>
      </c>
      <c r="C18" s="79" t="s" ph="1">
        <v>180</v>
      </c>
      <c r="D18" s="71">
        <v>311</v>
      </c>
      <c r="E18" s="71">
        <v>54</v>
      </c>
      <c r="F18" s="71">
        <v>740</v>
      </c>
      <c r="G18" s="71">
        <v>4388</v>
      </c>
      <c r="H18" s="71">
        <v>2035</v>
      </c>
      <c r="I18" s="71">
        <v>5403</v>
      </c>
      <c r="J18" s="71">
        <v>901</v>
      </c>
      <c r="K18" s="71">
        <v>2281</v>
      </c>
      <c r="L18" s="71">
        <v>4518</v>
      </c>
      <c r="M18" s="71">
        <v>3555</v>
      </c>
      <c r="N18" s="71">
        <v>1131</v>
      </c>
      <c r="O18" s="71">
        <v>2841</v>
      </c>
      <c r="P18" s="71">
        <v>6996</v>
      </c>
      <c r="Q18" s="71">
        <v>3558</v>
      </c>
      <c r="R18" s="71">
        <v>1953</v>
      </c>
      <c r="S18" s="71">
        <v>1607</v>
      </c>
      <c r="T18" s="71">
        <v>5940</v>
      </c>
      <c r="U18" s="71">
        <v>2678</v>
      </c>
      <c r="V18" s="71">
        <v>-817</v>
      </c>
      <c r="W18" s="71">
        <v>-766</v>
      </c>
      <c r="X18" s="71">
        <v>1291</v>
      </c>
      <c r="Y18" s="109">
        <v>-9908</v>
      </c>
      <c r="Z18" s="71">
        <v>1270</v>
      </c>
      <c r="AA18" s="71">
        <v>2561</v>
      </c>
      <c r="AB18" s="71">
        <v>689</v>
      </c>
      <c r="AC18" s="71">
        <v>499</v>
      </c>
      <c r="AD18" s="71">
        <v>23.47</v>
      </c>
      <c r="AE18" s="71">
        <v>84.46</v>
      </c>
      <c r="AH18" s="64" ph="1">
        <v>4</v>
      </c>
      <c r="AI18" s="64" t="s" ph="1">
        <v>340</v>
      </c>
      <c r="AJ18" s="64" t="s" ph="1">
        <v>588</v>
      </c>
      <c r="AK18" s="64" t="s" ph="1">
        <v>587</v>
      </c>
      <c r="AL18" s="64" ph="1">
        <v>740</v>
      </c>
      <c r="AM18" s="64" t="s" ph="1">
        <v>339</v>
      </c>
      <c r="AZ18" s="64" t="s" ph="1">
        <v>216</v>
      </c>
      <c r="BA18" s="64" ph="1">
        <v>740</v>
      </c>
    </row>
    <row r="19" spans="1:57" s="72" customFormat="1" ht="22.2" ph="1">
      <c r="B19" s="195" ph="1"/>
      <c r="C19" s="159" t="s" ph="1">
        <v>178</v>
      </c>
      <c r="D19" s="73" ph="1">
        <f>D18*7.0686*LOOKUP(D20,密度!$A$2:$A$50,密度!$L$2:$L$50)</f>
        <v>2042.2528434000003</v>
      </c>
      <c r="E19" s="73" ph="1">
        <f>E18*7.0686*LOOKUP(E20,密度!$A$2:$A$50,密度!$L$2:$L$50)</f>
        <v>354.60338760000002</v>
      </c>
      <c r="F19" s="73" ph="1">
        <f>F18*9.0746*LOOKUP(F20,密度!$A$2:$A$50,密度!$L$2:$L$50)</f>
        <v>6198.1332920000004</v>
      </c>
      <c r="G19" s="73" ph="1">
        <f>G18*9.0746*LOOKUP(G20,密度!$A$2:$A$50,密度!$B$2:$B$50)</f>
        <v>30836.100613119997</v>
      </c>
      <c r="H19" s="73" ph="1">
        <f>H18*9.0746*LOOKUP(H20,密度!$A$2:$A$50,密度!$L$2:$L$50)</f>
        <v>17248.001474000001</v>
      </c>
      <c r="I19" s="73" ph="1">
        <f>I18*9.0746*LOOKUP(I20,密度!$A$2:$A$50,密度!$U$2:$U$50)</f>
        <v>49726.290705960004</v>
      </c>
      <c r="J19" s="73" ph="1">
        <f>J18*9.0746*LOOKUP(J20,密度!$A$2:$A$50,密度!$L$2:$L$50)</f>
        <v>7538.4698612000002</v>
      </c>
      <c r="K19" s="73" ph="1">
        <f>K18*9.0746*LOOKUP(K20,密度!$A$2:$A$50,密度!$C$2:$C$50)</f>
        <v>22831.176347799999</v>
      </c>
      <c r="L19" s="73" ph="1">
        <f>L18*9.0746*LOOKUP(L20,密度!$A$2:$A$50,密度!$E$2:$E$50)</f>
        <v>31833.706782060002</v>
      </c>
      <c r="M19" s="73" ph="1">
        <f>M18*9.0746*LOOKUP(M20,密度!$A$2:$A$50,密度!$M$2:$M$50)</f>
        <v>27894.429728010004</v>
      </c>
      <c r="N19" s="73" ph="1">
        <f>N18*9.0746*LOOKUP(N20,密度!$A$2:$A$50,密度!$M$2:$M$50)</f>
        <v>8874.4303860420005</v>
      </c>
      <c r="O19" s="73" ph="1">
        <f>O18*9.0746*LOOKUP(O20,密度!$A$2:$A$50,密度!$G$2:$G$50)</f>
        <v>24532.367743602001</v>
      </c>
      <c r="P19" s="73" ph="1">
        <f ca="1">P18*9.0746*LOOKUP(P20,密度!$A$2:$A$51,密度!$Q$2:$Q$50)</f>
        <v>59714.204185944007</v>
      </c>
      <c r="Q19" s="73" ph="1">
        <f>Q18*9.0746*LOOKUP(Q20,密度!$A$2:$A$50,密度!$Q$2:$Q$50)</f>
        <v>30390.540475500002</v>
      </c>
      <c r="R19" s="73" ph="1">
        <f>MAX(R18*9.0746*LOOKUP(R20,密度!$A$2:$A$50,密度!$B$2:$B$50),0)</f>
        <v>13708.503654300001</v>
      </c>
      <c r="S19" s="73" ph="1">
        <f>S18*9.0746*LOOKUP(S20,密度!$A$2:$A$50,密度!$Q$2:$Q$50)</f>
        <v>13661.535702604</v>
      </c>
      <c r="T19" s="73" ph="1">
        <f>T18*9.0746*LOOKUP(T20,密度!$A$2:$A$50,密度!$O$2:$O$50)</f>
        <v>49741.802827200001</v>
      </c>
      <c r="U19" s="73" ph="1">
        <f>U18*9.0746*LOOKUP(U20,密度!$A$2:$A$50,密度!$H$2:$H$50)</f>
        <v>22091.532018140002</v>
      </c>
      <c r="V19" s="73" ph="1">
        <f>MAX(5600*LOOKUP(V20,密度!$A$2:$A$50,密度!$Q$2:$Q$50)+V18*9.0476*LOOKUP(V20,密度!$A$2:$A$50,密度!$Q$2:$Q$50),0)</f>
        <v>0</v>
      </c>
      <c r="W19" s="73" ph="1">
        <f>MAX(5600*LOOKUP(W20,密度!$A$2:$A$50,密度!$Q$2:$Q$50)+W18*9.0476*LOOKUP(W20,密度!$A$2:$A$50,密度!$Q$2:$Q$50),0)</f>
        <v>0</v>
      </c>
      <c r="X19" s="73" ph="1">
        <f>MAX(5600*LOOKUP(X20,密度!$A$2:$A$50,密度!$I$2:$I$50)+X18*9.0476*LOOKUP(X20,密度!$A$2:$A$50,密度!$I$2:$I$50),0)</f>
        <v>17895.635676960002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11697.61313</v>
      </c>
      <c r="AA19" s="73" ph="1">
        <f>AA18*9.0746*LOOKUP(AA20,密度!$A$2:$A$50,密度!$B$2:$B$50)</f>
        <v>17997.095184640002</v>
      </c>
      <c r="AB19" s="73" ph="1">
        <f>AB18*9.0746*LOOKUP(AB20,密度!$A$2:$A$50,密度!$L$2:$L$50)</f>
        <v>5777.2170456000003</v>
      </c>
      <c r="AC19" s="73" ph="1">
        <f>AC18*9.0746*LOOKUP(AC20,密度!$A$2:$A$50,密度!$L$2:$L$50)</f>
        <v>4179.5520442000006</v>
      </c>
      <c r="AD19" s="73" ph="1">
        <f>AD18*268.68*LOOKUP(AD20,密度!$A$2:$A$50,密度!B5:B53)+IF(AD18&lt;=0,0,1566*LOOKUP(AD20,密度!$A$2:$A$50,密度!B5:B53))</f>
        <v>6116.4815292000003</v>
      </c>
      <c r="AE19" s="73" ph="1">
        <f>AE18*268.68*LOOKUP(AE20,密度!$A$2:$A$50,密度!B5:B53)+IF(AE18&lt;=0,0,1566*LOOKUP(AE20,密度!$A$2:$A$50,密度!B5:B53))</f>
        <v>18849.019845599996</v>
      </c>
      <c r="AH19" s="72" ph="1">
        <v>5</v>
      </c>
      <c r="AI19" s="72" t="s" ph="1">
        <v>341</v>
      </c>
      <c r="AZ19" s="72" t="s" ph="1">
        <v>216</v>
      </c>
      <c r="BA19" s="72" ph="1">
        <v>0</v>
      </c>
      <c r="BD19" s="72" t="s" ph="1">
        <v>342</v>
      </c>
      <c r="BE19" s="72" ph="1">
        <v>1440</v>
      </c>
    </row>
    <row r="20" spans="1:57" ph="1">
      <c r="A20" s="72" ph="1"/>
      <c r="B20" s="195" ph="1"/>
      <c r="C20" s="80" t="s" ph="1">
        <v>179</v>
      </c>
      <c r="D20" s="81">
        <v>33</v>
      </c>
      <c r="E20" s="81">
        <v>33</v>
      </c>
      <c r="F20" s="81">
        <v>39</v>
      </c>
      <c r="G20" s="81">
        <v>31</v>
      </c>
      <c r="H20" s="81">
        <v>28</v>
      </c>
      <c r="I20" s="81">
        <v>36</v>
      </c>
      <c r="J20" s="81">
        <v>40</v>
      </c>
      <c r="K20" s="81">
        <v>32</v>
      </c>
      <c r="L20" s="81">
        <v>31</v>
      </c>
      <c r="M20" s="81">
        <v>35</v>
      </c>
      <c r="N20" s="81">
        <v>35</v>
      </c>
      <c r="O20" s="81">
        <v>33</v>
      </c>
      <c r="P20" s="81">
        <v>34</v>
      </c>
      <c r="Q20" s="81">
        <v>33</v>
      </c>
      <c r="R20" s="81">
        <v>32</v>
      </c>
      <c r="S20" s="81">
        <v>41</v>
      </c>
      <c r="T20" s="81">
        <v>31</v>
      </c>
      <c r="U20" s="81">
        <v>31</v>
      </c>
      <c r="V20" s="81">
        <v>35</v>
      </c>
      <c r="W20" s="81">
        <v>35</v>
      </c>
      <c r="X20" s="81">
        <v>31</v>
      </c>
      <c r="Y20" s="110">
        <v>31</v>
      </c>
      <c r="Z20" s="81">
        <v>38</v>
      </c>
      <c r="AA20" s="81">
        <v>31</v>
      </c>
      <c r="AB20" s="81">
        <v>38</v>
      </c>
      <c r="AC20" s="81">
        <v>39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343</v>
      </c>
      <c r="AZ20" s="64" t="s" ph="1">
        <v>216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344</v>
      </c>
      <c r="AZ21" s="64" t="s" ph="1">
        <v>216</v>
      </c>
      <c r="BA21" s="64" ph="1">
        <v>0</v>
      </c>
      <c r="BD21" s="64" t="s" ph="1">
        <v>232</v>
      </c>
      <c r="BE21" s="64" ph="1">
        <v>730</v>
      </c>
    </row>
    <row r="22" spans="1:57" ph="1">
      <c r="A22" s="72" ph="1"/>
      <c r="B22" s="193" t="s" ph="1">
        <v>37</v>
      </c>
      <c r="C22" s="85" t="s" ph="1">
        <v>176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172" t="s" ph="1">
        <v>69</v>
      </c>
      <c r="AA22" s="173"/>
      <c r="AB22" s="173"/>
      <c r="AC22" s="173"/>
      <c r="AD22" s="173"/>
      <c r="AE22" s="174"/>
      <c r="AH22" s="64" ph="1">
        <v>8</v>
      </c>
      <c r="AI22" s="64" t="s" ph="1">
        <v>345</v>
      </c>
      <c r="AZ22" s="64" t="s" ph="1">
        <v>216</v>
      </c>
      <c r="BA22" s="64" ph="1">
        <v>0</v>
      </c>
    </row>
    <row r="23" spans="1:57" ph="1">
      <c r="A23" s="72" ph="1"/>
      <c r="B23" s="188" ph="1"/>
      <c r="C23" s="67" t="s" ph="1">
        <v>36</v>
      </c>
      <c r="D23" s="88" t="s" ph="1">
        <v>109</v>
      </c>
      <c r="E23" s="88" t="s" ph="1">
        <v>107</v>
      </c>
      <c r="F23" s="88" t="s" ph="1">
        <v>109</v>
      </c>
      <c r="G23" s="88" t="s" ph="1">
        <v>626</v>
      </c>
      <c r="H23" s="88" t="s" ph="1">
        <v>626</v>
      </c>
      <c r="I23" s="88" t="s" ph="1">
        <v>627</v>
      </c>
      <c r="J23" s="88" t="s" ph="1">
        <v>628</v>
      </c>
      <c r="K23" s="88" t="s" ph="1">
        <v>628</v>
      </c>
      <c r="L23" s="88" t="s" ph="1">
        <v>628</v>
      </c>
      <c r="M23" s="88" t="s" ph="1">
        <v>623</v>
      </c>
      <c r="N23" s="88" t="s" ph="1">
        <v>623</v>
      </c>
      <c r="O23" s="88" t="s" ph="1">
        <v>318</v>
      </c>
      <c r="P23" s="88" t="s" ph="1">
        <v>629</v>
      </c>
      <c r="Q23" s="89" t="s" ph="1">
        <v>629</v>
      </c>
      <c r="R23" s="88" t="s" ph="1">
        <v>610</v>
      </c>
      <c r="S23" s="88" t="s" ph="1">
        <v>629</v>
      </c>
      <c r="T23" s="88" t="s" ph="1">
        <v>604</v>
      </c>
      <c r="U23" s="104" t="s" ph="1">
        <v>606</v>
      </c>
      <c r="V23" s="88" t="s" ph="1">
        <v>629</v>
      </c>
      <c r="W23" s="88" t="s" ph="1">
        <v>629</v>
      </c>
      <c r="X23" s="88" t="s" ph="1">
        <v>187</v>
      </c>
      <c r="Y23" s="88" t="s" ph="1">
        <v>630</v>
      </c>
      <c r="Z23" s="175" t="s" ph="1">
        <v>643</v>
      </c>
      <c r="AA23" s="176"/>
      <c r="AB23" s="176"/>
      <c r="AC23" s="176"/>
      <c r="AD23" s="176"/>
      <c r="AE23" s="177"/>
      <c r="AH23" s="64" ph="1">
        <v>9</v>
      </c>
      <c r="AI23" s="64" t="s" ph="1">
        <v>346</v>
      </c>
      <c r="AZ23" s="64" t="s" ph="1">
        <v>216</v>
      </c>
      <c r="BA23" s="64" ph="1">
        <v>0</v>
      </c>
      <c r="BD23" s="64" t="s" ph="1">
        <v>238</v>
      </c>
      <c r="BE23" s="64" ph="1">
        <v>890</v>
      </c>
    </row>
    <row r="24" spans="1:57" ph="1">
      <c r="A24" s="72" ph="1"/>
      <c r="B24" s="184" ph="1">
        <v>0.33333333333333331</v>
      </c>
      <c r="C24" s="159" t="s" ph="1">
        <v>177</v>
      </c>
      <c r="D24" s="71">
        <v>5.0599999999999996</v>
      </c>
      <c r="E24" s="71">
        <v>5.79</v>
      </c>
      <c r="F24" s="71">
        <v>2311</v>
      </c>
      <c r="G24" s="71">
        <v>3863</v>
      </c>
      <c r="H24" s="71">
        <v>3825</v>
      </c>
      <c r="I24" s="71">
        <v>2705</v>
      </c>
      <c r="J24" s="71">
        <v>188</v>
      </c>
      <c r="K24" s="71">
        <v>223</v>
      </c>
      <c r="L24" s="71">
        <v>301</v>
      </c>
      <c r="M24" s="71">
        <v>324</v>
      </c>
      <c r="N24" s="71">
        <v>318</v>
      </c>
      <c r="O24" s="71">
        <v>340</v>
      </c>
      <c r="P24" s="71">
        <v>1122</v>
      </c>
      <c r="Q24" s="90">
        <v>3889</v>
      </c>
      <c r="R24" s="71">
        <v>6526</v>
      </c>
      <c r="S24" s="71">
        <v>298</v>
      </c>
      <c r="T24" s="71">
        <v>362</v>
      </c>
      <c r="U24" s="71">
        <v>5487</v>
      </c>
      <c r="V24" s="71">
        <v>883</v>
      </c>
      <c r="W24" s="71">
        <v>404</v>
      </c>
      <c r="X24" s="71">
        <v>5886</v>
      </c>
      <c r="Y24" s="71">
        <v>7825</v>
      </c>
      <c r="Z24" s="178"/>
      <c r="AA24" s="179"/>
      <c r="AB24" s="179"/>
      <c r="AC24" s="179"/>
      <c r="AD24" s="179"/>
      <c r="AE24" s="180"/>
      <c r="AH24" s="64" ph="1">
        <v>10</v>
      </c>
      <c r="AI24" s="64" t="s" ph="1">
        <v>347</v>
      </c>
      <c r="AZ24" s="64" t="s" ph="1">
        <v>216</v>
      </c>
      <c r="BA24" s="64" ph="1">
        <v>0</v>
      </c>
    </row>
    <row r="25" spans="1:57" ph="1">
      <c r="A25" s="72" ph="1"/>
      <c r="B25" s="184" ph="1"/>
      <c r="C25" s="68" t="s" ph="1">
        <v>178</v>
      </c>
      <c r="D25" s="91" ph="1">
        <f>D24*268.68*LOOKUP(D26,密度!$A$2:$A$50,密度!$Q$2:$Q$50)+IF(D24&lt;=0,0,1566*LOOKUP(D26,密度!$A$2:$A$50,密度!$Q$2:$Q$50))</f>
        <v>2769.7075621920003</v>
      </c>
      <c r="E25" s="91" ph="1">
        <f>E24*268.68*LOOKUP(E26,密度!$A$2:$A$50,密度!$C$2:$C$50)+IF(E24&lt;=0,0,1566*LOOKUP(E26,密度!$A$2:$A$50,密度!$C$2:$C$50))</f>
        <v>3461.6056690800001</v>
      </c>
      <c r="F25" s="91" ph="1">
        <f>F24*11.702*LOOKUP(F26,密度!$A$2:$A$50,密度!$Q$2:$Q$50)</f>
        <v>25583.793911660003</v>
      </c>
      <c r="G25" s="91" ph="1">
        <f>G24*18.322*LOOKUP(G26,密度!$A$2:$A$50,密度!$B$2:$B$50)</f>
        <v>54810.394918399994</v>
      </c>
      <c r="H25" s="91" ph="1">
        <f>H24*18.322*LOOKUP(H26,密度!$A$2:$A$50,密度!$B$2:$B$50)</f>
        <v>54334.303244999996</v>
      </c>
      <c r="I25" s="91" ph="1">
        <f>I24*18.322*LOOKUP(I26,密度!$A$2:$A$50,密度!$Q$2:$Q$50)</f>
        <v>46816.321266199993</v>
      </c>
      <c r="J25" s="91" ph="1">
        <f>J24*18.322*LOOKUP(J26,密度!$A$2:$A$50,密度!$Q$2:$Q$50)</f>
        <v>3256.18877152</v>
      </c>
      <c r="K25" s="91" ph="1">
        <f>K24*18.322*LOOKUP(K26,密度!$A$2:$A$50,密度!$Q$2:$Q$50)</f>
        <v>3862.3941279200003</v>
      </c>
      <c r="L25" s="91" ph="1">
        <f>L24*18.322*LOOKUP(L26,密度!$A$2:$A$50,密度!$Q$2:$Q$50)</f>
        <v>5213.3660650399997</v>
      </c>
      <c r="M25" s="91" ph="1">
        <f>M24*18.322*LOOKUP(M26,密度!$A$2:$A$50,密度!$Q$2:$Q$50)</f>
        <v>5620.1591707199996</v>
      </c>
      <c r="N25" s="91" ph="1">
        <f>N24*18.322*LOOKUP(N26,密度!$A$2:$A$50,密度!$Q$2:$Q$50)</f>
        <v>5537.29023048</v>
      </c>
      <c r="O25" s="91" ph="1">
        <f>O24*18.322*LOOKUP(O26,密度!$A$2:$A$50,密度!$C$2:$C$50)</f>
        <v>6907.8703719999994</v>
      </c>
      <c r="P25" s="91" ph="1">
        <f>P24*11.702*LOOKUP(P26,密度!$A$2:$A$50,密度!$B$2:$B$50)</f>
        <v>10213.550067600001</v>
      </c>
      <c r="Q25" s="92" ph="1">
        <f>Q24*18.322*LOOKUP(Q26,密度!$A$2:$A$50,密度!$B$2:$B$50)</f>
        <v>55364.558466000002</v>
      </c>
      <c r="R25" s="91" ph="1">
        <f>R24*35.891*LOOKUP(R26,密度!$A$2:$A$50,密度!$C$2:$C$50)</f>
        <v>259193.0153956</v>
      </c>
      <c r="S25" s="91" ph="1">
        <f>S24*35.891*LOOKUP(S26,密度!$A$2:$A$50,密度!$B$2:$B$50)</f>
        <v>8328.5998665999996</v>
      </c>
      <c r="T25" s="91" ph="1">
        <f>T24*35.891*LOOKUP(T26,密度!$A$2:$A$50,密度!$Q$2:$Q$50)</f>
        <v>12282.10980344</v>
      </c>
      <c r="U25" s="91" ph="1">
        <f>U24*35.891</f>
        <v>196933.91699999999</v>
      </c>
      <c r="V25" s="91" ph="1">
        <f>V24*47.051*LOOKUP(V26,密度!$A$2:$A$50,密度!$B$2:$B$50)</f>
        <v>32389.2873268</v>
      </c>
      <c r="W25" s="91" ph="1">
        <f>W24*47.051*LOOKUP(W26,密度!$A$2:$A$50,密度!$B$2:$B$50)</f>
        <v>14819.107678399998</v>
      </c>
      <c r="X25" s="91" ph="1">
        <f>X24*47.051*LOOKUP(X26,密度!$A$2:$A$61,密度!$I$2:$I$61)</f>
        <v>288047.56765859999</v>
      </c>
      <c r="Y25" s="91" ph="1">
        <f>Y24*47.051*LOOKUP(Y26,密度!$A$2:$A$50,密度!$L$2:$L$50)</f>
        <v>343138.23790000001</v>
      </c>
      <c r="Z25" s="178"/>
      <c r="AA25" s="179"/>
      <c r="AB25" s="179"/>
      <c r="AC25" s="179"/>
      <c r="AD25" s="179"/>
      <c r="AE25" s="180"/>
      <c r="AH25" s="64" ph="1">
        <v>11</v>
      </c>
      <c r="AI25" s="64" t="s" ph="1">
        <v>348</v>
      </c>
      <c r="AZ25" s="64" t="s" ph="1">
        <v>216</v>
      </c>
      <c r="BA25" s="64" ph="1">
        <v>0</v>
      </c>
      <c r="BD25" s="64" t="s" ph="1">
        <v>241</v>
      </c>
      <c r="BE25" s="64" ph="1">
        <v>8920</v>
      </c>
    </row>
    <row r="26" spans="1:57" ph="1">
      <c r="A26" s="72" ph="1"/>
      <c r="B26" s="184" ph="1"/>
      <c r="C26" s="68" t="s" ph="1">
        <v>179</v>
      </c>
      <c r="D26" s="74">
        <v>25</v>
      </c>
      <c r="E26" s="74">
        <v>25</v>
      </c>
      <c r="F26" s="74">
        <v>26</v>
      </c>
      <c r="G26" s="74">
        <v>31</v>
      </c>
      <c r="H26" s="74">
        <v>30</v>
      </c>
      <c r="I26" s="74">
        <v>28</v>
      </c>
      <c r="J26" s="74">
        <v>27</v>
      </c>
      <c r="K26" s="74">
        <v>27</v>
      </c>
      <c r="L26" s="74">
        <v>27</v>
      </c>
      <c r="M26" s="74">
        <v>25</v>
      </c>
      <c r="N26" s="74">
        <v>20</v>
      </c>
      <c r="O26" s="74">
        <v>25</v>
      </c>
      <c r="P26" s="74">
        <v>27</v>
      </c>
      <c r="Q26" s="93">
        <v>28</v>
      </c>
      <c r="R26" s="74">
        <v>28</v>
      </c>
      <c r="S26" s="74">
        <v>26</v>
      </c>
      <c r="T26" s="74">
        <v>27</v>
      </c>
      <c r="U26" s="74">
        <v>27</v>
      </c>
      <c r="V26" s="74">
        <v>25</v>
      </c>
      <c r="W26" s="74">
        <v>25</v>
      </c>
      <c r="X26" s="74">
        <v>27</v>
      </c>
      <c r="Y26" s="74">
        <v>30</v>
      </c>
      <c r="Z26" s="178"/>
      <c r="AA26" s="179"/>
      <c r="AB26" s="179"/>
      <c r="AC26" s="179"/>
      <c r="AD26" s="179"/>
      <c r="AE26" s="180"/>
      <c r="AH26" s="64" ph="1">
        <v>12</v>
      </c>
      <c r="AI26" s="64" t="s" ph="1">
        <v>349</v>
      </c>
      <c r="AZ26" s="64" t="s" ph="1">
        <v>216</v>
      </c>
      <c r="BA26" s="64" ph="1">
        <v>0</v>
      </c>
    </row>
    <row r="27" spans="1:57" ht="26.4" ph="1">
      <c r="A27" s="72" ph="1"/>
      <c r="B27" s="184" ph="1">
        <v>0.66666666666666663</v>
      </c>
      <c r="C27" s="159" t="s" ph="1">
        <v>180</v>
      </c>
      <c r="D27" s="71">
        <v>4.6100000000000003</v>
      </c>
      <c r="E27" s="71">
        <v>5.76</v>
      </c>
      <c r="F27" s="71">
        <v>2323</v>
      </c>
      <c r="G27" s="71">
        <v>3542</v>
      </c>
      <c r="H27" s="71">
        <v>3403</v>
      </c>
      <c r="I27" s="71">
        <v>1815</v>
      </c>
      <c r="J27" s="71">
        <v>182</v>
      </c>
      <c r="K27" s="71">
        <v>218</v>
      </c>
      <c r="L27" s="71">
        <v>295</v>
      </c>
      <c r="M27" s="71">
        <v>318</v>
      </c>
      <c r="N27" s="71">
        <v>313</v>
      </c>
      <c r="O27" s="71">
        <v>336</v>
      </c>
      <c r="P27" s="71">
        <v>1121</v>
      </c>
      <c r="Q27" s="90">
        <v>4122</v>
      </c>
      <c r="R27" s="71">
        <v>6522</v>
      </c>
      <c r="S27" s="71">
        <v>294</v>
      </c>
      <c r="T27" s="71">
        <v>362</v>
      </c>
      <c r="U27" s="71">
        <v>5537</v>
      </c>
      <c r="V27" s="71">
        <v>879</v>
      </c>
      <c r="W27" s="71">
        <v>402</v>
      </c>
      <c r="X27" s="71">
        <v>5291</v>
      </c>
      <c r="Y27" s="71">
        <v>5947</v>
      </c>
      <c r="Z27" s="178"/>
      <c r="AA27" s="179"/>
      <c r="AB27" s="179"/>
      <c r="AC27" s="179"/>
      <c r="AD27" s="179"/>
      <c r="AE27" s="180"/>
      <c r="AH27" s="64" ph="1">
        <v>13</v>
      </c>
      <c r="AI27" s="64" t="s" ph="1">
        <v>350</v>
      </c>
      <c r="AZ27" s="64" t="s" ph="1">
        <v>216</v>
      </c>
      <c r="BA27" s="64" ph="1">
        <v>0</v>
      </c>
      <c r="BD27" s="64" t="s" ph="1">
        <v>295</v>
      </c>
      <c r="BE27" s="64" ph="1">
        <v>7100</v>
      </c>
    </row>
    <row r="28" spans="1:57" ph="1">
      <c r="A28" s="72" ph="1"/>
      <c r="B28" s="184" ph="1"/>
      <c r="C28" s="159" t="s" ph="1">
        <v>178</v>
      </c>
      <c r="D28" s="91" ph="1">
        <f>D27*268.68*LOOKUP(D29,密度!$A$2:$A$50,密度!$Q$2:$Q$50)+IF(D27&lt;=0,0,1566*LOOKUP(D29,密度!$A$2:$A$50,密度!$Q$2:$Q$50))</f>
        <v>2655.2410157519998</v>
      </c>
      <c r="E28" s="91" ph="1">
        <f>E27*268.68*LOOKUP(E29,密度!$A$2:$A$50,密度!$C$2:$C$50)+IF(E27&lt;=0,0,1566*LOOKUP(E29,密度!$A$2:$A$50,密度!$C$2:$C$50))</f>
        <v>3452.6674915200001</v>
      </c>
      <c r="F28" s="91" ph="1">
        <f>F27*11.702*LOOKUP(F29,密度!$A$2:$A$50,密度!$Q$2:$Q$50)</f>
        <v>25678.310146519998</v>
      </c>
      <c r="G28" s="91" ph="1">
        <f>G27*18.322*LOOKUP(G29,密度!$A$2:$A$50,密度!$B$2:$B$50)</f>
        <v>50197.461313999993</v>
      </c>
      <c r="H28" s="91" ph="1">
        <f>H27*18.322*LOOKUP(H29,密度!$A$2:$A$50,密度!$B$2:$B$50)</f>
        <v>48339.773579799999</v>
      </c>
      <c r="I28" s="91" ph="1">
        <f>I27*18.322*LOOKUP(I29,密度!$A$2:$A$50,密度!$Q$2:$Q$50)</f>
        <v>31369.901451900001</v>
      </c>
      <c r="J28" s="91" ph="1">
        <f>J27*18.322*LOOKUP(J29,密度!$A$2:$A$50,密度!$Q$2:$Q$50)</f>
        <v>3125.8577895999997</v>
      </c>
      <c r="K28" s="91" ph="1">
        <f>K27*18.322*LOOKUP(K29,密度!$A$2:$A$50,密度!$Q$2:$Q$50)</f>
        <v>3759.5369850000002</v>
      </c>
      <c r="L28" s="91" ph="1">
        <f>L27*18.322*LOOKUP(L29,密度!$A$2:$A$50,密度!$Q$2:$Q$50)</f>
        <v>5080.3663005999997</v>
      </c>
      <c r="M28" s="91" ph="1">
        <f>M27*18.322*LOOKUP(M29,密度!$A$2:$A$50,密度!$Q$2:$Q$50)</f>
        <v>5465.2759759199998</v>
      </c>
      <c r="N28" s="91" ph="1">
        <f>N27*18.322*LOOKUP(N29,密度!$A$2:$A$50,密度!$Q$2:$Q$50)</f>
        <v>5394.0823637399999</v>
      </c>
      <c r="O28" s="91" ph="1">
        <f>O27*18.322*LOOKUP(O29,密度!$A$2:$A$50,密度!$C$2:$C$50)</f>
        <v>6790.2797760000003</v>
      </c>
      <c r="P28" s="91" ph="1">
        <f>P27*11.702*LOOKUP(P29,密度!$A$2:$A$50,密度!$B$2:$B$50)</f>
        <v>10182.1465804</v>
      </c>
      <c r="Q28" s="92" ph="1">
        <f>Q27*18.322*LOOKUP(Q29,密度!$A$2:$A$50,密度!$B$2:$B$50)</f>
        <v>58417.260173999995</v>
      </c>
      <c r="R28" s="91" ph="1">
        <f>R27*35.891*LOOKUP(R29,密度!$A$2:$A$50,密度!$C$2:$C$50)</f>
        <v>258683.02582019998</v>
      </c>
      <c r="S28" s="91" ph="1">
        <f>S27*35.891*LOOKUP(S29,密度!$A$2:$A$50,密度!$B$2:$B$50)</f>
        <v>8161.9364189999997</v>
      </c>
      <c r="T28" s="91" ph="1">
        <f>T27*35.891*LOOKUP(T29,密度!$A$2:$A$50,密度!$Q$2:$Q$50)</f>
        <v>12203.8947006</v>
      </c>
      <c r="U28" s="91" ph="1">
        <f>U27*35.891</f>
        <v>198728.467</v>
      </c>
      <c r="V28" s="91" ph="1">
        <f>V27*47.051*LOOKUP(V29,密度!$A$2:$A$50,密度!$B$2:$B$50)</f>
        <v>32205.341442300003</v>
      </c>
      <c r="W28" s="91" ph="1">
        <f>W27*47.051*LOOKUP(W29,密度!$A$2:$A$50,密度!$B$2:$B$50)</f>
        <v>14745.745759199999</v>
      </c>
      <c r="X28" s="91" ph="1">
        <f>X27*47.051*LOOKUP(X29,密度!$A$2:$A$61,密度!$I$2:$I$61)</f>
        <v>259203.45084919999</v>
      </c>
      <c r="Y28" s="91" ph="1">
        <f>Y27*47.051*LOOKUP(Y29,密度!$A$2:$A$50,密度!$L$2:$L$50)</f>
        <v>260505.24850700004</v>
      </c>
      <c r="Z28" s="178"/>
      <c r="AA28" s="179"/>
      <c r="AB28" s="179"/>
      <c r="AC28" s="179"/>
      <c r="AD28" s="179"/>
      <c r="AE28" s="180"/>
      <c r="AH28" s="64" ph="1">
        <v>14</v>
      </c>
      <c r="AI28" s="64" t="s" ph="1">
        <v>351</v>
      </c>
      <c r="AZ28" s="64" t="s" ph="1">
        <v>216</v>
      </c>
      <c r="BA28" s="64" ph="1">
        <v>0</v>
      </c>
    </row>
    <row r="29" spans="1:57" ph="1">
      <c r="A29" s="72" ph="1"/>
      <c r="B29" s="184" ph="1"/>
      <c r="C29" s="159" t="s" ph="1">
        <v>179</v>
      </c>
      <c r="D29" s="74">
        <v>25</v>
      </c>
      <c r="E29" s="74">
        <v>25</v>
      </c>
      <c r="F29" s="74">
        <v>28</v>
      </c>
      <c r="G29" s="74">
        <v>32</v>
      </c>
      <c r="H29" s="74">
        <v>30</v>
      </c>
      <c r="I29" s="74">
        <v>30</v>
      </c>
      <c r="J29" s="74">
        <v>39</v>
      </c>
      <c r="K29" s="74">
        <v>33</v>
      </c>
      <c r="L29" s="74">
        <v>35</v>
      </c>
      <c r="M29" s="74">
        <v>38</v>
      </c>
      <c r="N29" s="74">
        <v>34</v>
      </c>
      <c r="O29" s="74">
        <v>32</v>
      </c>
      <c r="P29" s="74">
        <v>29</v>
      </c>
      <c r="Q29" s="93">
        <v>32</v>
      </c>
      <c r="R29" s="74">
        <v>30</v>
      </c>
      <c r="S29" s="74">
        <v>32</v>
      </c>
      <c r="T29" s="74">
        <v>36</v>
      </c>
      <c r="U29" s="74">
        <v>39</v>
      </c>
      <c r="V29" s="74">
        <v>26</v>
      </c>
      <c r="W29" s="74">
        <v>25</v>
      </c>
      <c r="X29" s="74">
        <v>26</v>
      </c>
      <c r="Y29" s="74">
        <v>31</v>
      </c>
      <c r="Z29" s="181"/>
      <c r="AA29" s="182"/>
      <c r="AB29" s="182"/>
      <c r="AC29" s="182"/>
      <c r="AD29" s="182"/>
      <c r="AE29" s="183"/>
      <c r="AH29" s="64" ph="1">
        <v>15</v>
      </c>
      <c r="AI29" s="64" t="s" ph="1">
        <v>352</v>
      </c>
      <c r="AZ29" s="64" t="s" ph="1">
        <v>216</v>
      </c>
      <c r="BA29" s="64" ph="1">
        <v>0</v>
      </c>
      <c r="BD29" s="64" t="s" ph="1">
        <v>353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354</v>
      </c>
      <c r="AZ30" s="64" t="s" ph="1">
        <v>216</v>
      </c>
      <c r="BA30" s="64" ph="1">
        <v>0</v>
      </c>
    </row>
    <row r="31" spans="1:57" ht="28.2" ph="1">
      <c r="A31" s="64"/>
      <c r="B31" s="197" t="s" ph="1">
        <v>35</v>
      </c>
      <c r="C31" s="198" ph="1"/>
      <c r="D31" s="201" t="s" ph="1">
        <v>9</v>
      </c>
      <c r="E31" s="190" ph="1"/>
      <c r="F31" s="191" ph="1"/>
      <c r="G31" s="201" t="s" ph="1">
        <v>18</v>
      </c>
      <c r="H31" s="190" ph="1"/>
      <c r="I31" s="191" ph="1"/>
      <c r="J31" s="189" t="s" ph="1">
        <v>1</v>
      </c>
      <c r="K31" s="190" ph="1"/>
      <c r="L31" s="191" ph="1"/>
      <c r="M31" s="189" t="s" ph="1">
        <v>7</v>
      </c>
      <c r="N31" s="190" ph="1"/>
      <c r="O31" s="191" ph="1"/>
      <c r="P31" s="189" t="s" ph="1">
        <v>41</v>
      </c>
      <c r="Q31" s="190"/>
      <c r="R31" s="191"/>
      <c r="S31" s="189" t="s" ph="1">
        <v>2</v>
      </c>
      <c r="T31" s="190"/>
      <c r="U31" s="191"/>
      <c r="V31" s="189" t="s" ph="1">
        <v>71</v>
      </c>
      <c r="W31" s="190" ph="1"/>
      <c r="X31" s="191" ph="1"/>
      <c r="Y31" s="189" t="s" ph="1">
        <v>3</v>
      </c>
      <c r="Z31" s="190" ph="1"/>
      <c r="AA31" s="191" ph="1"/>
      <c r="AB31" s="212" t="s">
        <v>42</v>
      </c>
      <c r="AC31" s="213"/>
      <c r="AD31" s="213"/>
      <c r="AE31" s="214"/>
      <c r="AH31" s="64" ph="1">
        <v>17</v>
      </c>
      <c r="AI31" s="64" t="s" ph="1">
        <v>355</v>
      </c>
      <c r="AZ31" s="64" t="s" ph="1">
        <v>216</v>
      </c>
      <c r="BA31" s="64" ph="1">
        <v>0</v>
      </c>
      <c r="BD31" s="64" t="s" ph="1">
        <v>356</v>
      </c>
      <c r="BE31" s="64" ph="1">
        <v>9310</v>
      </c>
    </row>
    <row r="32" spans="1:57" ph="1">
      <c r="A32" s="64"/>
      <c r="B32" s="199" ph="1"/>
      <c r="C32" s="200" ph="1"/>
      <c r="D32" s="96" t="s" ph="1">
        <v>4</v>
      </c>
      <c r="E32" s="159" t="s" ph="1">
        <v>5</v>
      </c>
      <c r="F32" s="158" t="s" ph="1">
        <v>43</v>
      </c>
      <c r="G32" s="97" t="s" ph="1">
        <v>4</v>
      </c>
      <c r="H32" s="159" t="s" ph="1">
        <v>5</v>
      </c>
      <c r="I32" s="158" t="s" ph="1">
        <v>43</v>
      </c>
      <c r="J32" s="97" t="s" ph="1">
        <v>4</v>
      </c>
      <c r="K32" s="159" t="s" ph="1">
        <v>5</v>
      </c>
      <c r="L32" s="158" t="s" ph="1">
        <v>43</v>
      </c>
      <c r="M32" s="97" t="s" ph="1">
        <v>4</v>
      </c>
      <c r="N32" s="159" t="s" ph="1">
        <v>5</v>
      </c>
      <c r="O32" s="158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59" t="s" ph="1">
        <v>5</v>
      </c>
      <c r="U32" s="99" t="s" ph="1">
        <v>43</v>
      </c>
      <c r="V32" s="97" t="s" ph="1">
        <v>4</v>
      </c>
      <c r="W32" s="159" t="s" ph="1">
        <v>5</v>
      </c>
      <c r="X32" s="99" t="s" ph="1">
        <v>43</v>
      </c>
      <c r="Y32" s="100" t="s" ph="1">
        <v>4</v>
      </c>
      <c r="Z32" s="159" t="s" ph="1">
        <v>5</v>
      </c>
      <c r="AA32" s="158" t="s" ph="1">
        <v>43</v>
      </c>
      <c r="AB32" s="97" t="s" ph="1">
        <v>85</v>
      </c>
      <c r="AC32" s="159" t="s" ph="1">
        <v>84</v>
      </c>
      <c r="AD32" s="215" t="s" ph="1">
        <v>83</v>
      </c>
      <c r="AE32" s="216"/>
      <c r="AH32" s="64" ph="1">
        <v>18</v>
      </c>
      <c r="AI32" s="64" t="s" ph="1">
        <v>357</v>
      </c>
      <c r="AZ32" s="64" t="s" ph="1">
        <v>216</v>
      </c>
      <c r="BA32" s="64" ph="1">
        <v>0</v>
      </c>
    </row>
    <row r="33" spans="1:57" ph="1">
      <c r="A33" s="64"/>
      <c r="B33" s="202" t="s" ph="1">
        <v>181</v>
      </c>
      <c r="C33" s="203" ph="1"/>
      <c r="D33" s="206" ph="1">
        <f>AA10+AB10+Z19</f>
        <v>57921.241725200001</v>
      </c>
      <c r="E33" s="206" ph="1">
        <f>M10+I10</f>
        <v>200587.17239580001</v>
      </c>
      <c r="F33" s="208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1522252632456786910111213141516171819202123456789101112131415161718192022232424356789101112131415161718192021222345678910111213141516171819202345678910111213149101516171819222123234567891012131415161711181920212224252345678910111213118[[#This Row],[F25]]</f>
        <v>3880</v>
      </c>
      <c r="G33" s="210" ph="1">
        <f>N19</f>
        <v>8874.4303860420005</v>
      </c>
      <c r="H33" s="206" ph="1">
        <f>M19</f>
        <v>27894.429728010004</v>
      </c>
      <c r="I33" s="219" ph="1">
        <v>0</v>
      </c>
      <c r="J33" s="217" ph="1">
        <f>F10+O28</f>
        <v>220972.22962980001</v>
      </c>
      <c r="K33" s="206" ph="1">
        <f>O10+K10+E28+R28</f>
        <v>291632.91865332</v>
      </c>
      <c r="L33" s="221" ph="1">
        <f>K19</f>
        <v>22831.176347799999</v>
      </c>
      <c r="M33" s="217" ph="1">
        <f>G10+H10+W28+S28+V28+E10+R19+P28+Q28</f>
        <v>594361.63736420008</v>
      </c>
      <c r="N33" s="206" ph="1">
        <f>L10+P10++G28+H28+AD19+AE19</f>
        <v>227763.19519860003</v>
      </c>
      <c r="O33" s="219" ph="1">
        <f>G19</f>
        <v>30836.100613119997</v>
      </c>
      <c r="P33" s="217" ph="1">
        <f>L19</f>
        <v>31833.706782060002</v>
      </c>
      <c r="Q33" s="206" ph="1">
        <f>J10+N10</f>
        <v>189038.58904042002</v>
      </c>
      <c r="R33" s="219" ph="1">
        <f>BE23</f>
        <v>890</v>
      </c>
      <c r="S33" s="217" ph="1">
        <f>X28</f>
        <v>259203.45084919999</v>
      </c>
      <c r="T33" s="206" ph="1">
        <f>X19</f>
        <v>17895.635676960002</v>
      </c>
      <c r="U33" s="227" ph="1">
        <f>BE21</f>
        <v>730</v>
      </c>
      <c r="V33" s="238" ph="1">
        <f ca="1">P19+Q19+S19+M28+N28+J28+D10+AC10+D19+E19+H19+J19+O19+V19+W19+K28+L28</f>
        <v>557098.39057480998</v>
      </c>
      <c r="W33" s="238" ph="1">
        <f>D28+F28+T28+I28</f>
        <v>71907.347314771992</v>
      </c>
      <c r="X33" s="219" ph="1">
        <f>BE29+BE31</f>
        <v>10200</v>
      </c>
      <c r="Y33" s="240" ph="1">
        <f>+Q10+R10+S10+T10+U10+V10+W10+X10+Y10</f>
        <v>208579.6409004</v>
      </c>
      <c r="Z33" s="225" ph="1">
        <f>T19+U19+Y28+Z10</f>
        <v>415489.37432734005</v>
      </c>
      <c r="AA33" s="227" ph="1">
        <f>BE19</f>
        <v>1440</v>
      </c>
      <c r="AB33" s="229" ph="1">
        <f>I19</f>
        <v>49726.290705960004</v>
      </c>
      <c r="AC33" s="231" ph="1">
        <f>AD10+AB19</f>
        <v>81814.138879200007</v>
      </c>
      <c r="AD33" s="233" ph="1">
        <v>0</v>
      </c>
      <c r="AE33" s="234"/>
      <c r="AH33" s="64" ph="1">
        <v>19</v>
      </c>
      <c r="AI33" s="64" t="s" ph="1">
        <v>358</v>
      </c>
      <c r="AJ33" s="64" t="s" ph="1">
        <v>592</v>
      </c>
      <c r="AK33" s="64" t="s" ph="1">
        <v>589</v>
      </c>
      <c r="AL33" s="64" ph="1">
        <v>730</v>
      </c>
      <c r="AM33" s="64" t="s" ph="1">
        <v>339</v>
      </c>
      <c r="AZ33" s="64" t="s" ph="1">
        <v>216</v>
      </c>
      <c r="BA33" s="64" ph="1">
        <v>730</v>
      </c>
      <c r="BD33" s="64" t="s" ph="1">
        <v>290</v>
      </c>
      <c r="BE33" s="64" ph="1">
        <v>3880</v>
      </c>
    </row>
    <row r="34" spans="1:57" ph="1">
      <c r="A34" s="64"/>
      <c r="B34" s="204" ph="1"/>
      <c r="C34" s="205" ph="1"/>
      <c r="D34" s="207" ph="1"/>
      <c r="E34" s="207" ph="1"/>
      <c r="F34" s="209" ph="1"/>
      <c r="G34" s="211" ph="1"/>
      <c r="H34" s="207" ph="1"/>
      <c r="I34" s="220" ph="1"/>
      <c r="J34" s="218" ph="1"/>
      <c r="K34" s="207" ph="1"/>
      <c r="L34" s="222" ph="1"/>
      <c r="M34" s="218" ph="1"/>
      <c r="N34" s="207" ph="1"/>
      <c r="O34" s="220" ph="1"/>
      <c r="P34" s="218" ph="1"/>
      <c r="Q34" s="207" ph="1"/>
      <c r="R34" s="220" ph="1"/>
      <c r="S34" s="218" ph="1"/>
      <c r="T34" s="207"/>
      <c r="U34" s="228"/>
      <c r="V34" s="239" ph="1"/>
      <c r="W34" s="239" ph="1"/>
      <c r="X34" s="220" ph="1"/>
      <c r="Y34" s="241" ph="1"/>
      <c r="Z34" s="226" ph="1"/>
      <c r="AA34" s="228" ph="1"/>
      <c r="AB34" s="230"/>
      <c r="AC34" s="232"/>
      <c r="AD34" s="235"/>
      <c r="AE34" s="236"/>
      <c r="AH34" s="64" ph="1">
        <v>20</v>
      </c>
      <c r="AI34" s="64" t="s" ph="1">
        <v>359</v>
      </c>
      <c r="AJ34" s="64" t="s" ph="1">
        <v>593</v>
      </c>
      <c r="AK34" s="64" t="s" ph="1">
        <v>589</v>
      </c>
      <c r="AL34" s="64" ph="1">
        <v>720</v>
      </c>
      <c r="AM34" s="64" t="s" ph="1">
        <v>339</v>
      </c>
      <c r="AZ34" s="64" t="s" ph="1">
        <v>216</v>
      </c>
      <c r="BA34" s="64" ph="1">
        <v>720</v>
      </c>
    </row>
    <row r="35" spans="1:57" ph="1">
      <c r="A35" s="64"/>
      <c r="AC35" s="237" t="s" ph="1">
        <v>631</v>
      </c>
      <c r="AD35" s="237"/>
      <c r="AE35" s="237"/>
      <c r="AH35" s="64" ph="1">
        <v>21</v>
      </c>
      <c r="AI35" s="64" t="s" ph="1">
        <v>360</v>
      </c>
      <c r="AZ35" s="64" t="s" ph="1">
        <v>216</v>
      </c>
      <c r="BA35" s="64" ph="1">
        <v>0</v>
      </c>
      <c r="BD35" s="64" t="s" ph="1">
        <v>361</v>
      </c>
      <c r="BE35" s="64" ph="1">
        <v>2030</v>
      </c>
    </row>
    <row r="36" spans="1:57" ht="28.2" ph="1">
      <c r="A36" s="64"/>
      <c r="B36" s="103" t="s" ph="1">
        <v>182</v>
      </c>
      <c r="I36" s="223" t="s" ph="1">
        <v>183</v>
      </c>
      <c r="J36" s="223" ph="1"/>
      <c r="K36" s="101" ph="1"/>
      <c r="P36" s="101" ph="1"/>
      <c r="R36" s="223" t="s" ph="1">
        <v>184</v>
      </c>
      <c r="S36" s="223" ph="1"/>
      <c r="Y36" s="102" ph="1"/>
      <c r="Z36" s="157" t="s" ph="1">
        <v>185</v>
      </c>
      <c r="AA36" s="157" ph="1"/>
      <c r="AB36" s="224" t="s" ph="1">
        <v>640</v>
      </c>
      <c r="AC36" s="224" ph="1"/>
      <c r="AD36" s="224" ph="1"/>
      <c r="AE36" s="224" ph="1"/>
      <c r="BA36" s="64" ph="1">
        <v>2270</v>
      </c>
    </row>
    <row r="37" spans="1:57" s="157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57" t="s" ph="1">
        <v>342</v>
      </c>
      <c r="AI37" s="157" t="s" ph="1">
        <v>209</v>
      </c>
      <c r="AJ37" s="157" t="s" ph="1">
        <v>210</v>
      </c>
      <c r="AK37" s="157" t="s" ph="1">
        <v>211</v>
      </c>
      <c r="AM37" s="157" t="s" ph="1">
        <v>210</v>
      </c>
      <c r="AN37" s="157" t="s" ph="1">
        <v>211</v>
      </c>
      <c r="AO37" s="157" t="s" ph="1">
        <v>212</v>
      </c>
      <c r="AP37" s="157" t="s" ph="1">
        <v>210</v>
      </c>
      <c r="AQ37" s="157" t="s" ph="1">
        <v>211</v>
      </c>
      <c r="AR37" s="157" t="s" ph="1">
        <v>212</v>
      </c>
      <c r="AS37" s="157" t="s" ph="1">
        <v>210</v>
      </c>
      <c r="AT37" s="157" t="s" ph="1">
        <v>211</v>
      </c>
      <c r="AU37" s="157" t="s" ph="1">
        <v>212</v>
      </c>
      <c r="AV37" s="157" t="s" ph="1">
        <v>210</v>
      </c>
      <c r="AW37" s="157" t="s" ph="1">
        <v>211</v>
      </c>
      <c r="AX37" s="157" t="s" ph="1">
        <v>212</v>
      </c>
      <c r="AY37" s="157" t="s" ph="1">
        <v>211</v>
      </c>
      <c r="AZ37" s="157" t="s" ph="1">
        <v>213</v>
      </c>
      <c r="BD37" s="157" t="s" ph="1">
        <v>305</v>
      </c>
      <c r="BE37" s="157" ph="1">
        <v>0</v>
      </c>
    </row>
    <row r="38" spans="1:57" ph="1">
      <c r="AE38" s="64" ph="1"/>
      <c r="AH38" s="64" ph="1">
        <v>1</v>
      </c>
      <c r="AI38" s="64" t="s" ph="1">
        <v>362</v>
      </c>
      <c r="AY38" s="64" t="s" ph="1">
        <v>216</v>
      </c>
      <c r="AZ38" s="64" t="s" ph="1">
        <v>367</v>
      </c>
    </row>
    <row r="39" spans="1:57" ph="1">
      <c r="AH39" s="64" ph="1">
        <v>2</v>
      </c>
      <c r="AI39" s="64" t="s" ph="1">
        <v>364</v>
      </c>
      <c r="AJ39" s="64" t="s" ph="1">
        <v>336</v>
      </c>
      <c r="AK39" s="64" t="s" ph="1">
        <v>365</v>
      </c>
      <c r="AM39" s="64" t="s" ph="1">
        <v>570</v>
      </c>
      <c r="AN39" s="64" t="s" ph="1">
        <v>228</v>
      </c>
      <c r="AO39" s="64" t="s" ph="1">
        <v>363</v>
      </c>
      <c r="AY39" s="64" t="s" ph="1">
        <v>216</v>
      </c>
      <c r="AZ39" s="64" t="s" ph="1">
        <v>499</v>
      </c>
    </row>
    <row r="40" spans="1:57" ph="1">
      <c r="AH40" s="64" ph="1">
        <v>3</v>
      </c>
      <c r="AI40" s="64" t="s" ph="1">
        <v>366</v>
      </c>
      <c r="AJ40" s="64" t="s" ph="1">
        <v>570</v>
      </c>
      <c r="AK40" s="64" t="s" ph="1">
        <v>571</v>
      </c>
      <c r="AY40" s="64" t="s" ph="1">
        <v>216</v>
      </c>
      <c r="AZ40" s="64" t="s" ph="1">
        <v>571</v>
      </c>
    </row>
    <row r="41" spans="1:57" ph="1">
      <c r="AH41" s="64" ph="1">
        <v>4</v>
      </c>
      <c r="AI41" s="64" t="s" ph="1">
        <v>368</v>
      </c>
      <c r="AJ41" s="64" t="s" ph="1">
        <v>572</v>
      </c>
      <c r="AK41" s="64" t="s" ph="1">
        <v>573</v>
      </c>
      <c r="AM41" s="64" t="s" ph="1">
        <v>574</v>
      </c>
      <c r="AY41" s="64" t="s" ph="1">
        <v>216</v>
      </c>
      <c r="AZ41" s="64" t="s" ph="1">
        <v>573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369</v>
      </c>
      <c r="AY42" s="64" t="s" ph="1">
        <v>216</v>
      </c>
      <c r="AZ42" s="64" t="s" ph="1">
        <v>367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370</v>
      </c>
      <c r="AY43" s="64" t="s" ph="1">
        <v>216</v>
      </c>
      <c r="AZ43" s="64" t="s" ph="1">
        <v>367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371</v>
      </c>
      <c r="AV44" s="64" t="s" ph="1">
        <v>217</v>
      </c>
      <c r="AY44" s="64" t="s" ph="1">
        <v>216</v>
      </c>
      <c r="AZ44" s="64" t="s" ph="1">
        <v>367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372</v>
      </c>
      <c r="AV45" s="64" t="s" ph="1">
        <v>217</v>
      </c>
      <c r="AY45" s="64" t="s" ph="1">
        <v>216</v>
      </c>
      <c r="AZ45" s="64" t="s" ph="1">
        <v>367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373</v>
      </c>
      <c r="AV46" s="64" t="s" ph="1">
        <v>217</v>
      </c>
      <c r="AY46" s="64" t="s" ph="1">
        <v>216</v>
      </c>
      <c r="AZ46" s="64" t="s" ph="1">
        <v>367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374</v>
      </c>
      <c r="AV47" s="64" t="s" ph="1">
        <v>217</v>
      </c>
      <c r="AY47" s="64" t="s" ph="1">
        <v>216</v>
      </c>
      <c r="AZ47" s="64" t="s" ph="1">
        <v>367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575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232</v>
      </c>
      <c r="AI49" s="64" t="s" ph="1">
        <v>209</v>
      </c>
      <c r="AJ49" s="64" t="s" ph="1">
        <v>210</v>
      </c>
      <c r="AK49" s="64" t="s" ph="1">
        <v>211</v>
      </c>
      <c r="AM49" s="64" t="s" ph="1">
        <v>210</v>
      </c>
      <c r="AN49" s="64" t="s" ph="1">
        <v>211</v>
      </c>
      <c r="AO49" s="64" t="s" ph="1">
        <v>212</v>
      </c>
      <c r="AP49" s="64" t="s" ph="1">
        <v>210</v>
      </c>
      <c r="AQ49" s="64" t="s" ph="1">
        <v>211</v>
      </c>
      <c r="AR49" s="64" t="s" ph="1">
        <v>212</v>
      </c>
      <c r="AS49" s="64" t="s" ph="1">
        <v>210</v>
      </c>
      <c r="AT49" s="64" t="s" ph="1">
        <v>211</v>
      </c>
      <c r="AU49" s="64" t="s" ph="1">
        <v>212</v>
      </c>
      <c r="AV49" s="64" t="s" ph="1">
        <v>210</v>
      </c>
      <c r="AW49" s="64" t="s" ph="1">
        <v>211</v>
      </c>
      <c r="AX49" s="64" t="s" ph="1">
        <v>212</v>
      </c>
      <c r="AY49" s="64" t="s" ph="1">
        <v>211</v>
      </c>
      <c r="AZ49" s="64" t="s" ph="1">
        <v>213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375</v>
      </c>
      <c r="AY50" s="64" t="s" ph="1">
        <v>216</v>
      </c>
      <c r="AZ50" s="64" t="s" ph="1">
        <v>367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376</v>
      </c>
      <c r="AY51" s="64" t="s" ph="1">
        <v>216</v>
      </c>
      <c r="AZ51" s="64" t="s" ph="1">
        <v>367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377</v>
      </c>
      <c r="AJ52" s="64" t="s" ph="1">
        <v>334</v>
      </c>
      <c r="AK52" s="64" t="s" ph="1">
        <v>228</v>
      </c>
      <c r="AM52" s="64" t="s" ph="1">
        <v>336</v>
      </c>
      <c r="AN52" s="64" t="s" ph="1">
        <v>300</v>
      </c>
      <c r="AO52" s="64" t="s" ph="1">
        <v>233</v>
      </c>
      <c r="AP52" s="64" t="s" ph="1">
        <v>570</v>
      </c>
      <c r="AQ52" s="64" t="s" ph="1">
        <v>282</v>
      </c>
      <c r="AR52" s="64" t="s" ph="1">
        <v>233</v>
      </c>
      <c r="AY52" s="64" t="s" ph="1">
        <v>216</v>
      </c>
      <c r="AZ52" s="64" t="s" ph="1">
        <v>576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378</v>
      </c>
      <c r="AY53" s="64" t="s" ph="1">
        <v>216</v>
      </c>
      <c r="AZ53" s="64" t="s" ph="1">
        <v>367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379</v>
      </c>
      <c r="AJ54" s="64" t="s" ph="1">
        <v>334</v>
      </c>
      <c r="AK54" s="64" t="s" ph="1">
        <v>219</v>
      </c>
      <c r="AM54" s="64" t="s" ph="1">
        <v>336</v>
      </c>
      <c r="AN54" s="64" t="s" ph="1">
        <v>224</v>
      </c>
      <c r="AO54" s="64" t="s" ph="1">
        <v>233</v>
      </c>
      <c r="AP54" s="64" t="s" ph="1">
        <v>570</v>
      </c>
      <c r="AQ54" s="64" t="s" ph="1">
        <v>240</v>
      </c>
      <c r="AR54" s="64" t="s" ph="1">
        <v>233</v>
      </c>
      <c r="AY54" s="64" t="s" ph="1">
        <v>216</v>
      </c>
      <c r="AZ54" s="64" t="s" ph="1">
        <v>234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380</v>
      </c>
      <c r="AY55" s="64" t="s" ph="1">
        <v>216</v>
      </c>
      <c r="AZ55" s="64" t="s" ph="1">
        <v>367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381</v>
      </c>
      <c r="AY56" s="64" t="s" ph="1">
        <v>216</v>
      </c>
      <c r="AZ56" s="64" t="s" ph="1">
        <v>367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382</v>
      </c>
      <c r="AY57" s="64" t="s" ph="1">
        <v>216</v>
      </c>
      <c r="AZ57" s="64" t="s" ph="1">
        <v>367</v>
      </c>
    </row>
    <row r="58" spans="16:52" ph="1">
      <c r="P58" s="64"/>
      <c r="AN58" s="64" t="s" ph="1">
        <v>217</v>
      </c>
      <c r="AZ58" s="64" t="s" ph="1">
        <v>577</v>
      </c>
    </row>
    <row r="59" spans="16:52" ph="1">
      <c r="V59" s="64"/>
      <c r="AG59" s="64" t="s" ph="1">
        <v>235</v>
      </c>
      <c r="AI59" s="64" t="s" ph="1">
        <v>209</v>
      </c>
      <c r="AJ59" s="64" t="s" ph="1">
        <v>210</v>
      </c>
      <c r="AK59" s="64" t="s" ph="1">
        <v>211</v>
      </c>
      <c r="AM59" s="64" t="s" ph="1">
        <v>210</v>
      </c>
      <c r="AN59" s="64" t="s" ph="1">
        <v>211</v>
      </c>
      <c r="AO59" s="64" t="s" ph="1">
        <v>212</v>
      </c>
      <c r="AP59" s="64" t="s" ph="1">
        <v>210</v>
      </c>
      <c r="AQ59" s="64" t="s" ph="1">
        <v>211</v>
      </c>
      <c r="AR59" s="64" t="s" ph="1">
        <v>212</v>
      </c>
      <c r="AS59" s="64" t="s" ph="1">
        <v>210</v>
      </c>
      <c r="AT59" s="64" t="s" ph="1">
        <v>211</v>
      </c>
      <c r="AU59" s="64" t="s" ph="1">
        <v>212</v>
      </c>
      <c r="AV59" s="64" t="s" ph="1">
        <v>210</v>
      </c>
      <c r="AW59" s="64" t="s" ph="1">
        <v>211</v>
      </c>
      <c r="AX59" s="64" t="s" ph="1">
        <v>212</v>
      </c>
      <c r="AY59" s="64" t="s" ph="1">
        <v>211</v>
      </c>
      <c r="AZ59" s="64" t="s" ph="1">
        <v>213</v>
      </c>
    </row>
    <row r="60" spans="16:52" ph="1">
      <c r="R60" s="64"/>
      <c r="S60" s="64"/>
      <c r="T60" s="64"/>
      <c r="AH60" s="64" ph="1">
        <v>1</v>
      </c>
      <c r="AI60" s="64" t="s" ph="1">
        <v>383</v>
      </c>
      <c r="AY60" s="64" t="s" ph="1">
        <v>216</v>
      </c>
      <c r="AZ60" s="64" t="s" ph="1">
        <v>367</v>
      </c>
    </row>
    <row r="61" spans="16:52" ph="1">
      <c r="AH61" s="64" ph="1">
        <v>2</v>
      </c>
      <c r="AI61" s="64" t="s" ph="1">
        <v>384</v>
      </c>
      <c r="AS61" s="64" t="s" ph="1">
        <v>217</v>
      </c>
      <c r="AY61" s="64" t="s" ph="1">
        <v>216</v>
      </c>
      <c r="AZ61" s="64" t="s" ph="1">
        <v>367</v>
      </c>
    </row>
    <row r="62" spans="16:52" ph="1">
      <c r="AZ62" s="64" t="s" ph="1">
        <v>385</v>
      </c>
    </row>
    <row r="63" spans="16:52" ph="1">
      <c r="AG63" s="64" t="s" ph="1">
        <v>238</v>
      </c>
      <c r="AI63" s="64" t="s" ph="1">
        <v>209</v>
      </c>
      <c r="AJ63" s="64" t="s" ph="1">
        <v>210</v>
      </c>
      <c r="AK63" s="64" t="s" ph="1">
        <v>211</v>
      </c>
      <c r="AM63" s="64" t="s" ph="1">
        <v>210</v>
      </c>
      <c r="AN63" s="64" t="s" ph="1">
        <v>211</v>
      </c>
      <c r="AO63" s="64" t="s" ph="1">
        <v>212</v>
      </c>
      <c r="AP63" s="64" t="s" ph="1">
        <v>210</v>
      </c>
      <c r="AQ63" s="64" t="s" ph="1">
        <v>211</v>
      </c>
      <c r="AR63" s="64" t="s" ph="1">
        <v>212</v>
      </c>
      <c r="AS63" s="64" t="s" ph="1">
        <v>210</v>
      </c>
      <c r="AT63" s="64" t="s" ph="1">
        <v>211</v>
      </c>
      <c r="AU63" s="64" t="s" ph="1">
        <v>212</v>
      </c>
      <c r="AV63" s="64" t="s" ph="1">
        <v>210</v>
      </c>
      <c r="AW63" s="64" t="s" ph="1">
        <v>211</v>
      </c>
      <c r="AX63" s="64" t="s" ph="1">
        <v>212</v>
      </c>
      <c r="AY63" s="64" t="s" ph="1">
        <v>211</v>
      </c>
      <c r="AZ63" s="64" t="s" ph="1">
        <v>213</v>
      </c>
    </row>
    <row r="64" spans="16:52" ph="1">
      <c r="AH64" s="64" ph="1">
        <v>1</v>
      </c>
      <c r="AI64" s="64" t="s" ph="1">
        <v>386</v>
      </c>
      <c r="AJ64" s="64" t="s" ph="1">
        <v>387</v>
      </c>
      <c r="AK64" s="64" t="s" ph="1">
        <v>388</v>
      </c>
      <c r="AY64" s="64" t="s" ph="1">
        <v>216</v>
      </c>
      <c r="AZ64" s="64" t="s" ph="1">
        <v>388</v>
      </c>
    </row>
    <row r="65" spans="33:52" ph="1">
      <c r="AH65" s="64" ph="1">
        <v>2</v>
      </c>
      <c r="AI65" s="64" t="s" ph="1">
        <v>389</v>
      </c>
      <c r="AY65" s="64" t="s" ph="1">
        <v>216</v>
      </c>
      <c r="AZ65" s="64" t="s" ph="1">
        <v>367</v>
      </c>
    </row>
    <row r="66" spans="33:52" ph="1">
      <c r="AH66" s="64" ph="1">
        <v>3</v>
      </c>
      <c r="AI66" s="64" t="s" ph="1">
        <v>390</v>
      </c>
      <c r="AY66" s="64" t="s" ph="1">
        <v>216</v>
      </c>
      <c r="AZ66" s="64" t="s" ph="1">
        <v>367</v>
      </c>
    </row>
    <row r="67" spans="33:52" ph="1">
      <c r="AH67" s="64" ph="1">
        <v>4</v>
      </c>
      <c r="AI67" s="64" t="s" ph="1">
        <v>391</v>
      </c>
      <c r="AY67" s="64" t="s" ph="1">
        <v>216</v>
      </c>
      <c r="AZ67" s="64" t="s" ph="1">
        <v>367</v>
      </c>
    </row>
    <row r="68" spans="33:52" ph="1">
      <c r="AH68" s="64" ph="1">
        <v>5</v>
      </c>
      <c r="AI68" s="64" t="s" ph="1">
        <v>392</v>
      </c>
      <c r="AY68" s="64" t="s" ph="1">
        <v>216</v>
      </c>
      <c r="AZ68" s="64" t="s" ph="1">
        <v>367</v>
      </c>
    </row>
    <row r="69" spans="33:52" ph="1">
      <c r="AH69" s="64" ph="1">
        <v>6</v>
      </c>
      <c r="AI69" s="64" t="s" ph="1">
        <v>393</v>
      </c>
      <c r="AY69" s="64" t="s" ph="1">
        <v>216</v>
      </c>
      <c r="AZ69" s="64" t="s" ph="1">
        <v>367</v>
      </c>
    </row>
    <row r="70" spans="33:52" ph="1">
      <c r="AI70" s="64" t="s" ph="1">
        <v>394</v>
      </c>
      <c r="AY70" s="64" t="s" ph="1">
        <v>216</v>
      </c>
      <c r="AZ70" s="64" t="s" ph="1">
        <v>367</v>
      </c>
    </row>
    <row r="71" spans="33:52" ph="1">
      <c r="AH71" s="64" ph="1">
        <v>7</v>
      </c>
      <c r="AI71" s="64" t="s" ph="1">
        <v>395</v>
      </c>
      <c r="AJ71" s="64" t="s" ph="1">
        <v>334</v>
      </c>
      <c r="AK71" s="64" t="s" ph="1">
        <v>228</v>
      </c>
      <c r="AM71" s="64" t="s" ph="1">
        <v>336</v>
      </c>
      <c r="AN71" s="64" t="s" ph="1">
        <v>228</v>
      </c>
      <c r="AO71" s="64" t="s" ph="1">
        <v>396</v>
      </c>
      <c r="AP71" s="64" t="s" ph="1">
        <v>570</v>
      </c>
      <c r="AQ71" s="64" t="s" ph="1">
        <v>219</v>
      </c>
      <c r="AR71" s="64" t="s" ph="1">
        <v>396</v>
      </c>
      <c r="AY71" s="64" t="s" ph="1">
        <v>216</v>
      </c>
      <c r="AZ71" s="64" t="s" ph="1">
        <v>578</v>
      </c>
    </row>
    <row r="72" spans="33:52" ph="1">
      <c r="AZ72" s="64" t="s" ph="1">
        <v>579</v>
      </c>
    </row>
    <row r="73" spans="33:52" ph="1">
      <c r="AG73" s="64" t="s" ph="1">
        <v>241</v>
      </c>
      <c r="AI73" s="64" t="s" ph="1">
        <v>209</v>
      </c>
      <c r="AJ73" s="64" t="s" ph="1">
        <v>210</v>
      </c>
      <c r="AK73" s="64" t="s" ph="1">
        <v>211</v>
      </c>
      <c r="AM73" s="64" t="s" ph="1">
        <v>210</v>
      </c>
      <c r="AN73" s="64" t="s" ph="1">
        <v>211</v>
      </c>
      <c r="AO73" s="64" t="s" ph="1">
        <v>212</v>
      </c>
      <c r="AP73" s="64" t="s" ph="1">
        <v>210</v>
      </c>
      <c r="AQ73" s="64" t="s" ph="1">
        <v>211</v>
      </c>
      <c r="AR73" s="64" t="s" ph="1">
        <v>212</v>
      </c>
      <c r="AS73" s="64" t="s" ph="1">
        <v>210</v>
      </c>
      <c r="AT73" s="64" t="s" ph="1">
        <v>211</v>
      </c>
      <c r="AU73" s="64" t="s" ph="1">
        <v>212</v>
      </c>
      <c r="AV73" s="64" t="s" ph="1">
        <v>210</v>
      </c>
      <c r="AW73" s="64" t="s" ph="1">
        <v>211</v>
      </c>
      <c r="AX73" s="64" t="s" ph="1">
        <v>212</v>
      </c>
      <c r="AY73" s="64" t="s" ph="1">
        <v>211</v>
      </c>
      <c r="AZ73" s="64" t="s" ph="1">
        <v>213</v>
      </c>
    </row>
    <row r="74" spans="33:52" ph="1">
      <c r="AH74" s="64" ph="1">
        <v>1</v>
      </c>
      <c r="AI74" s="64" t="s" ph="1">
        <v>397</v>
      </c>
      <c r="AJ74" s="64" t="s" ph="1">
        <v>242</v>
      </c>
      <c r="AK74" s="64" t="s" ph="1">
        <v>224</v>
      </c>
      <c r="AM74" s="64" t="s" ph="1">
        <v>244</v>
      </c>
      <c r="AN74" s="64" t="s" ph="1">
        <v>254</v>
      </c>
      <c r="AO74" s="64" t="s" ph="1">
        <v>243</v>
      </c>
      <c r="AP74" s="64" t="s" ph="1">
        <v>245</v>
      </c>
      <c r="AQ74" s="64" t="s" ph="1">
        <v>222</v>
      </c>
      <c r="AR74" s="64" t="s" ph="1">
        <v>243</v>
      </c>
      <c r="AS74" s="64" t="s" ph="1">
        <v>215</v>
      </c>
      <c r="AT74" s="64" t="s" ph="1">
        <v>217</v>
      </c>
      <c r="AV74" s="64" t="s" ph="1">
        <v>398</v>
      </c>
      <c r="AW74" s="64" t="s" ph="1">
        <v>399</v>
      </c>
      <c r="AX74" s="64" t="s" ph="1">
        <v>400</v>
      </c>
      <c r="AY74" s="64" t="s" ph="1">
        <v>216</v>
      </c>
      <c r="AZ74" s="64" t="s" ph="1">
        <v>401</v>
      </c>
    </row>
    <row r="75" spans="33:52" ph="1">
      <c r="AJ75" s="64" t="s" ph="1">
        <v>247</v>
      </c>
      <c r="AK75" s="64" t="s" ph="1">
        <v>300</v>
      </c>
      <c r="AM75" s="64" t="s" ph="1">
        <v>245</v>
      </c>
      <c r="AN75" s="64" t="s" ph="1">
        <v>225</v>
      </c>
      <c r="AO75" s="64" t="s" ph="1">
        <v>243</v>
      </c>
      <c r="AS75" s="64" t="s" ph="1">
        <v>215</v>
      </c>
      <c r="AT75" s="64" t="s" ph="1">
        <v>246</v>
      </c>
    </row>
    <row r="76" spans="33:52" ph="1">
      <c r="AJ76" s="64" t="s" ph="1">
        <v>247</v>
      </c>
      <c r="AK76" s="64" t="s" ph="1">
        <v>240</v>
      </c>
      <c r="AM76" s="64" t="s" ph="1">
        <v>245</v>
      </c>
      <c r="AN76" s="64" t="s" ph="1">
        <v>228</v>
      </c>
      <c r="AO76" s="64" t="s" ph="1">
        <v>243</v>
      </c>
      <c r="AS76" s="64" t="s" ph="1">
        <v>215</v>
      </c>
      <c r="AT76" s="64" t="s" ph="1">
        <v>246</v>
      </c>
    </row>
    <row r="77" spans="33:52" ph="1">
      <c r="AJ77" s="64" t="s" ph="1">
        <v>283</v>
      </c>
      <c r="AK77" s="64" t="s" ph="1">
        <v>240</v>
      </c>
      <c r="AM77" s="64" t="s" ph="1">
        <v>284</v>
      </c>
      <c r="AN77" s="64" t="s" ph="1">
        <v>223</v>
      </c>
      <c r="AO77" s="64" t="s" ph="1">
        <v>243</v>
      </c>
      <c r="AS77" s="64" t="s" ph="1">
        <v>215</v>
      </c>
      <c r="AT77" s="64" t="s" ph="1">
        <v>285</v>
      </c>
    </row>
    <row r="78" spans="33:52" ph="1">
      <c r="AH78" s="64" ph="1">
        <v>2</v>
      </c>
      <c r="AI78" s="64" t="s" ph="1">
        <v>249</v>
      </c>
      <c r="AJ78" s="64" t="s" ph="1">
        <v>250</v>
      </c>
      <c r="AK78" s="64" t="s" ph="1">
        <v>219</v>
      </c>
      <c r="AM78" s="64" t="s" ph="1">
        <v>251</v>
      </c>
      <c r="AN78" s="64" t="s" ph="1">
        <v>254</v>
      </c>
      <c r="AO78" s="64" t="s" ph="1">
        <v>243</v>
      </c>
      <c r="AP78" s="64" t="s" ph="1">
        <v>252</v>
      </c>
      <c r="AQ78" s="64" t="s" ph="1">
        <v>298</v>
      </c>
      <c r="AR78" s="64" t="s" ph="1">
        <v>243</v>
      </c>
      <c r="AS78" s="64" t="s" ph="1">
        <v>253</v>
      </c>
      <c r="AT78" s="64" t="s" ph="1">
        <v>254</v>
      </c>
      <c r="AU78" s="64" t="s" ph="1">
        <v>243</v>
      </c>
      <c r="AV78" s="64" t="s" ph="1">
        <v>255</v>
      </c>
      <c r="AW78" s="64" t="s" ph="1">
        <v>243</v>
      </c>
      <c r="AY78" s="64" t="s" ph="1">
        <v>216</v>
      </c>
      <c r="AZ78" s="64" t="s" ph="1">
        <v>402</v>
      </c>
    </row>
    <row r="79" spans="33:52" ph="1">
      <c r="AJ79" s="64" t="s" ph="1">
        <v>245</v>
      </c>
      <c r="AK79" s="64" t="s" ph="1">
        <v>256</v>
      </c>
      <c r="AM79" s="64" t="s" ph="1">
        <v>257</v>
      </c>
      <c r="AN79" s="64" t="s" ph="1">
        <v>225</v>
      </c>
      <c r="AO79" s="64" t="s" ph="1">
        <v>243</v>
      </c>
      <c r="AP79" s="64" t="s" ph="1">
        <v>258</v>
      </c>
      <c r="AQ79" s="64" t="s" ph="1">
        <v>223</v>
      </c>
      <c r="AR79" s="64" t="s" ph="1">
        <v>259</v>
      </c>
      <c r="AS79" s="64" t="s" ph="1">
        <v>215</v>
      </c>
      <c r="AT79" s="64" t="s" ph="1">
        <v>260</v>
      </c>
      <c r="AV79" s="64" t="s" ph="1">
        <v>403</v>
      </c>
      <c r="AW79" s="64" t="s" ph="1">
        <v>302</v>
      </c>
      <c r="AX79" s="64" t="s" ph="1">
        <v>400</v>
      </c>
    </row>
    <row r="80" spans="33:52" ph="1">
      <c r="AH80" s="64" ph="1">
        <v>3</v>
      </c>
      <c r="AI80" s="64" t="s" ph="1">
        <v>261</v>
      </c>
      <c r="AJ80" s="64" t="s" ph="1">
        <v>262</v>
      </c>
      <c r="AK80" s="64" t="s" ph="1">
        <v>263</v>
      </c>
      <c r="AM80" s="64" t="s" ph="1">
        <v>264</v>
      </c>
      <c r="AN80" s="64" t="s" ph="1">
        <v>254</v>
      </c>
      <c r="AO80" s="64" t="s" ph="1">
        <v>243</v>
      </c>
      <c r="AP80" s="64" t="s" ph="1">
        <v>265</v>
      </c>
      <c r="AQ80" s="64" t="s" ph="1">
        <v>228</v>
      </c>
      <c r="AR80" s="64" t="s" ph="1">
        <v>243</v>
      </c>
      <c r="AS80" s="64" t="s" ph="1">
        <v>266</v>
      </c>
      <c r="AT80" s="64" t="s" ph="1">
        <v>227</v>
      </c>
      <c r="AU80" s="64" t="s" ph="1">
        <v>243</v>
      </c>
      <c r="AV80" s="64" t="s" ph="1">
        <v>267</v>
      </c>
      <c r="AW80" s="64" t="s" ph="1">
        <v>243</v>
      </c>
      <c r="AY80" s="64" t="s" ph="1">
        <v>216</v>
      </c>
      <c r="AZ80" s="64" t="s" ph="1">
        <v>404</v>
      </c>
    </row>
    <row r="81" spans="34:52" ph="1">
      <c r="AJ81" s="64" t="s" ph="1">
        <v>268</v>
      </c>
      <c r="AK81" s="64" t="s" ph="1">
        <v>222</v>
      </c>
      <c r="AM81" s="64" t="s" ph="1">
        <v>269</v>
      </c>
      <c r="AN81" s="64" t="s" ph="1">
        <v>225</v>
      </c>
      <c r="AO81" s="64" t="s" ph="1">
        <v>243</v>
      </c>
      <c r="AP81" s="64" t="s" ph="1">
        <v>270</v>
      </c>
      <c r="AQ81" s="64" t="s" ph="1">
        <v>254</v>
      </c>
      <c r="AR81" s="64" t="s" ph="1">
        <v>243</v>
      </c>
      <c r="AS81" s="64" t="s" ph="1">
        <v>271</v>
      </c>
      <c r="AT81" s="64" t="s" ph="1">
        <v>272</v>
      </c>
      <c r="AU81" s="64" t="s" ph="1">
        <v>243</v>
      </c>
      <c r="AV81" s="64" t="s" ph="1">
        <v>273</v>
      </c>
    </row>
    <row r="82" spans="34:52" ph="1">
      <c r="AJ82" s="64" t="s" ph="1">
        <v>274</v>
      </c>
      <c r="AK82" s="64" t="s" ph="1">
        <v>222</v>
      </c>
      <c r="AM82" s="64" t="s" ph="1">
        <v>275</v>
      </c>
      <c r="AN82" s="64" t="s" ph="1">
        <v>272</v>
      </c>
      <c r="AO82" s="64" t="s" ph="1">
        <v>276</v>
      </c>
      <c r="AP82" s="64" t="s" ph="1">
        <v>277</v>
      </c>
      <c r="AQ82" s="64" t="s" ph="1">
        <v>254</v>
      </c>
      <c r="AR82" s="64" t="s" ph="1">
        <v>243</v>
      </c>
      <c r="AS82" s="64" t="s" ph="1">
        <v>278</v>
      </c>
      <c r="AT82" s="64" t="s" ph="1">
        <v>229</v>
      </c>
      <c r="AU82" s="64" t="s" ph="1">
        <v>243</v>
      </c>
      <c r="AV82" s="64" t="s" ph="1">
        <v>403</v>
      </c>
      <c r="AW82" s="64" t="s" ph="1">
        <v>303</v>
      </c>
      <c r="AX82" s="64" t="s" ph="1">
        <v>400</v>
      </c>
    </row>
    <row r="83" spans="34:52" ph="1">
      <c r="AJ83" s="64" t="s" ph="1">
        <v>279</v>
      </c>
      <c r="AK83" s="64" t="s" ph="1">
        <v>296</v>
      </c>
      <c r="AM83" s="64" t="s" ph="1">
        <v>280</v>
      </c>
      <c r="AN83" s="64" t="s" ph="1">
        <v>228</v>
      </c>
      <c r="AO83" s="64" t="s" ph="1">
        <v>259</v>
      </c>
      <c r="AP83" s="64" t="s" ph="1">
        <v>281</v>
      </c>
      <c r="AQ83" s="64" t="s" ph="1">
        <v>282</v>
      </c>
      <c r="AR83" s="64" t="s" ph="1">
        <v>259</v>
      </c>
      <c r="AS83" s="64" t="s" ph="1">
        <v>405</v>
      </c>
      <c r="AT83" s="64" t="s" ph="1">
        <v>254</v>
      </c>
      <c r="AU83" s="64" t="s" ph="1">
        <v>259</v>
      </c>
      <c r="AV83" s="64" t="s" ph="1">
        <v>406</v>
      </c>
      <c r="AW83" s="64" t="s" ph="1">
        <v>303</v>
      </c>
      <c r="AX83" s="64" t="s" ph="1">
        <v>407</v>
      </c>
    </row>
    <row r="84" spans="34:52" ph="1">
      <c r="AH84" s="64" ph="1">
        <v>4</v>
      </c>
      <c r="AI84" s="64" t="s" ph="1">
        <v>286</v>
      </c>
      <c r="AJ84" s="64" t="s" ph="1">
        <v>226</v>
      </c>
      <c r="AK84" s="64" t="s" ph="1">
        <v>229</v>
      </c>
      <c r="AM84" s="64" t="s" ph="1">
        <v>230</v>
      </c>
      <c r="AN84" s="64" t="s" ph="1">
        <v>223</v>
      </c>
      <c r="AO84" s="64" t="s" ph="1">
        <v>259</v>
      </c>
      <c r="AP84" s="64" t="s" ph="1">
        <v>288</v>
      </c>
      <c r="AQ84" s="64" t="s" ph="1">
        <v>222</v>
      </c>
      <c r="AR84" s="64" t="s" ph="1">
        <v>259</v>
      </c>
      <c r="AS84" s="64" t="s" ph="1">
        <v>288</v>
      </c>
      <c r="AT84" s="64" t="s" ph="1">
        <v>224</v>
      </c>
      <c r="AU84" s="64" t="s" ph="1">
        <v>259</v>
      </c>
      <c r="AY84" s="64" t="s" ph="1">
        <v>216</v>
      </c>
      <c r="AZ84" s="64" t="s" ph="1">
        <v>408</v>
      </c>
    </row>
    <row r="85" spans="34:52" ph="1">
      <c r="AJ85" s="64" t="s" ph="1">
        <v>218</v>
      </c>
      <c r="AK85" s="64" t="s" ph="1">
        <v>222</v>
      </c>
      <c r="AM85" s="64" t="s" ph="1">
        <v>409</v>
      </c>
      <c r="AN85" s="64" t="s" ph="1">
        <v>229</v>
      </c>
      <c r="AO85" s="64" t="s" ph="1">
        <v>259</v>
      </c>
      <c r="AP85" s="64" t="s" ph="1">
        <v>410</v>
      </c>
      <c r="AQ85" s="64" t="s" ph="1">
        <v>225</v>
      </c>
      <c r="AR85" s="64" t="s" ph="1">
        <v>259</v>
      </c>
      <c r="AS85" s="64" t="s" ph="1">
        <v>411</v>
      </c>
      <c r="AT85" s="64" t="s" ph="1">
        <v>225</v>
      </c>
      <c r="AU85" s="64" t="s" ph="1">
        <v>259</v>
      </c>
    </row>
    <row r="86" spans="34:52" ph="1">
      <c r="AJ86" s="64" t="s" ph="1">
        <v>412</v>
      </c>
      <c r="AK86" s="64" t="s" ph="1">
        <v>231</v>
      </c>
      <c r="AM86" s="64" t="s" ph="1">
        <v>413</v>
      </c>
      <c r="AN86" s="64" t="s" ph="1">
        <v>272</v>
      </c>
      <c r="AO86" s="64" t="s" ph="1">
        <v>259</v>
      </c>
      <c r="AP86" s="64" t="s" ph="1">
        <v>414</v>
      </c>
      <c r="AQ86" s="64" t="s" ph="1">
        <v>219</v>
      </c>
      <c r="AR86" s="64" t="s" ph="1">
        <v>259</v>
      </c>
      <c r="AS86" s="64" t="s" ph="1">
        <v>415</v>
      </c>
      <c r="AT86" s="64" t="s" ph="1">
        <v>237</v>
      </c>
      <c r="AU86" s="64" t="s" ph="1">
        <v>259</v>
      </c>
    </row>
    <row r="87" spans="34:52" ph="1">
      <c r="AJ87" s="64" t="s" ph="1">
        <v>416</v>
      </c>
      <c r="AK87" s="64" t="s" ph="1">
        <v>272</v>
      </c>
      <c r="AM87" s="64" t="s" ph="1">
        <v>403</v>
      </c>
      <c r="AN87" s="64" t="s" ph="1">
        <v>417</v>
      </c>
      <c r="AO87" s="64" t="s" ph="1">
        <v>400</v>
      </c>
    </row>
    <row r="88" spans="34:52" ph="1">
      <c r="AH88" s="64" ph="1">
        <v>5</v>
      </c>
      <c r="AI88" s="64" t="s" ph="1">
        <v>289</v>
      </c>
      <c r="AJ88" s="64" t="s" ph="1">
        <v>418</v>
      </c>
      <c r="AK88" s="64" t="s" ph="1">
        <v>272</v>
      </c>
      <c r="AM88" s="64" t="s" ph="1">
        <v>419</v>
      </c>
      <c r="AN88" s="64" t="s" ph="1">
        <v>272</v>
      </c>
      <c r="AO88" s="64" t="s" ph="1">
        <v>259</v>
      </c>
      <c r="AP88" s="64" t="s" ph="1">
        <v>420</v>
      </c>
      <c r="AQ88" s="64" t="s" ph="1">
        <v>222</v>
      </c>
      <c r="AR88" s="64" t="s" ph="1">
        <v>259</v>
      </c>
      <c r="AS88" s="64" t="s" ph="1">
        <v>421</v>
      </c>
      <c r="AT88" s="64" t="s" ph="1">
        <v>272</v>
      </c>
      <c r="AU88" s="64" t="s" ph="1">
        <v>259</v>
      </c>
      <c r="AV88" s="64" t="s" ph="1">
        <v>422</v>
      </c>
      <c r="AW88" s="64" t="s" ph="1">
        <v>227</v>
      </c>
      <c r="AX88" s="64" t="s" ph="1">
        <v>259</v>
      </c>
      <c r="AY88" s="64" t="s" ph="1">
        <v>216</v>
      </c>
      <c r="AZ88" s="64" t="s" ph="1">
        <v>423</v>
      </c>
    </row>
    <row r="89" spans="34:52" ph="1">
      <c r="AJ89" s="64" t="s" ph="1">
        <v>424</v>
      </c>
      <c r="AK89" s="64" t="s" ph="1">
        <v>225</v>
      </c>
      <c r="AM89" s="64" t="s" ph="1">
        <v>425</v>
      </c>
      <c r="AN89" s="64" t="s" ph="1">
        <v>228</v>
      </c>
      <c r="AO89" s="64" t="s" ph="1">
        <v>259</v>
      </c>
      <c r="AP89" s="64" t="s" ph="1">
        <v>426</v>
      </c>
      <c r="AQ89" s="64" t="s" ph="1">
        <v>237</v>
      </c>
      <c r="AR89" s="64" t="s" ph="1">
        <v>259</v>
      </c>
      <c r="AS89" s="64" t="s" ph="1">
        <v>427</v>
      </c>
      <c r="AT89" s="64" t="s" ph="1">
        <v>272</v>
      </c>
      <c r="AU89" s="64" t="s" ph="1">
        <v>259</v>
      </c>
      <c r="AV89" s="64" t="s" ph="1">
        <v>428</v>
      </c>
      <c r="AW89" s="64" t="s" ph="1">
        <v>254</v>
      </c>
      <c r="AX89" s="64" t="s" ph="1">
        <v>287</v>
      </c>
    </row>
    <row r="90" spans="34:52" ph="1">
      <c r="AJ90" s="64" t="s" ph="1">
        <v>429</v>
      </c>
      <c r="AK90" s="64" t="s" ph="1">
        <v>228</v>
      </c>
      <c r="AM90" s="64" t="s" ph="1">
        <v>430</v>
      </c>
      <c r="AN90" s="64" t="s" ph="1">
        <v>225</v>
      </c>
      <c r="AO90" s="64" t="s" ph="1">
        <v>259</v>
      </c>
      <c r="AP90" s="64" t="s" ph="1">
        <v>431</v>
      </c>
      <c r="AQ90" s="64" t="s" ph="1">
        <v>294</v>
      </c>
      <c r="AR90" s="64" t="s" ph="1">
        <v>259</v>
      </c>
      <c r="AS90" s="64" t="s" ph="1">
        <v>432</v>
      </c>
      <c r="AT90" s="64" t="s" ph="1">
        <v>282</v>
      </c>
      <c r="AU90" s="64" t="s" ph="1">
        <v>259</v>
      </c>
      <c r="AV90" s="64" t="s" ph="1">
        <v>433</v>
      </c>
      <c r="AW90" s="64" t="s" ph="1">
        <v>219</v>
      </c>
      <c r="AX90" s="64" t="s" ph="1">
        <v>259</v>
      </c>
    </row>
    <row r="91" spans="34:52" ph="1">
      <c r="AJ91" s="64" t="s" ph="1">
        <v>434</v>
      </c>
      <c r="AK91" s="64" t="s" ph="1">
        <v>272</v>
      </c>
      <c r="AM91" s="64" t="s" ph="1">
        <v>435</v>
      </c>
      <c r="AN91" s="64" t="s" ph="1">
        <v>239</v>
      </c>
      <c r="AO91" s="64" t="s" ph="1">
        <v>259</v>
      </c>
      <c r="AP91" s="64" t="s" ph="1">
        <v>436</v>
      </c>
      <c r="AQ91" s="64" t="s" ph="1">
        <v>219</v>
      </c>
      <c r="AS91" s="64" t="s" ph="1">
        <v>403</v>
      </c>
      <c r="AT91" s="64" t="s" ph="1">
        <v>399</v>
      </c>
      <c r="AU91" s="64" t="s" ph="1">
        <v>400</v>
      </c>
    </row>
    <row r="92" spans="34:52" ph="1">
      <c r="AH92" s="64" ph="1">
        <v>6</v>
      </c>
      <c r="AI92" s="64" t="s" ph="1">
        <v>437</v>
      </c>
      <c r="AJ92" s="64" t="s" ph="1">
        <v>438</v>
      </c>
      <c r="AK92" s="64" t="s" ph="1">
        <v>367</v>
      </c>
      <c r="AM92" s="64" t="s" ph="1">
        <v>439</v>
      </c>
      <c r="AN92" s="64" t="s" ph="1">
        <v>227</v>
      </c>
      <c r="AO92" s="64" t="s" ph="1">
        <v>259</v>
      </c>
      <c r="AP92" s="64" t="s" ph="1">
        <v>440</v>
      </c>
      <c r="AQ92" s="64" t="s" ph="1">
        <v>299</v>
      </c>
      <c r="AR92" s="64" t="s" ph="1">
        <v>259</v>
      </c>
      <c r="AS92" s="64" t="s" ph="1">
        <v>441</v>
      </c>
      <c r="AT92" s="64" t="s" ph="1">
        <v>272</v>
      </c>
      <c r="AU92" s="64" t="s" ph="1">
        <v>259</v>
      </c>
      <c r="AV92" s="64" t="s" ph="1">
        <v>442</v>
      </c>
      <c r="AW92" s="64" t="s" ph="1">
        <v>228</v>
      </c>
      <c r="AX92" s="64" t="s" ph="1">
        <v>259</v>
      </c>
      <c r="AY92" s="64" t="s" ph="1">
        <v>216</v>
      </c>
      <c r="AZ92" s="64" t="s" ph="1">
        <v>423</v>
      </c>
    </row>
    <row r="93" spans="34:52" ph="1">
      <c r="AJ93" s="64" t="s" ph="1">
        <v>443</v>
      </c>
      <c r="AK93" s="64" t="s" ph="1">
        <v>222</v>
      </c>
      <c r="AM93" s="64" t="s" ph="1">
        <v>444</v>
      </c>
      <c r="AN93" s="64" t="s" ph="1">
        <v>227</v>
      </c>
      <c r="AO93" s="64" t="s" ph="1">
        <v>259</v>
      </c>
      <c r="AP93" s="64" t="s" ph="1">
        <v>445</v>
      </c>
      <c r="AQ93" s="64" t="s" ph="1">
        <v>231</v>
      </c>
      <c r="AR93" s="64" t="s" ph="1">
        <v>259</v>
      </c>
      <c r="AS93" s="64" t="s" ph="1">
        <v>446</v>
      </c>
      <c r="AT93" s="64" t="s" ph="1">
        <v>237</v>
      </c>
      <c r="AU93" s="64" t="s" ph="1">
        <v>259</v>
      </c>
      <c r="AV93" s="64" t="s" ph="1">
        <v>447</v>
      </c>
      <c r="AW93" s="64" t="s" ph="1">
        <v>231</v>
      </c>
      <c r="AX93" s="64" t="s" ph="1">
        <v>259</v>
      </c>
    </row>
    <row r="94" spans="34:52" ph="1">
      <c r="AJ94" s="64" t="s" ph="1">
        <v>448</v>
      </c>
      <c r="AK94" s="64" t="s" ph="1">
        <v>294</v>
      </c>
      <c r="AM94" s="64" t="s" ph="1">
        <v>449</v>
      </c>
      <c r="AN94" s="64" t="s" ph="1">
        <v>231</v>
      </c>
      <c r="AO94" s="64" t="s" ph="1">
        <v>259</v>
      </c>
      <c r="AP94" s="64" t="s" ph="1">
        <v>450</v>
      </c>
      <c r="AQ94" s="64" t="s" ph="1">
        <v>239</v>
      </c>
      <c r="AR94" s="64" t="s" ph="1">
        <v>259</v>
      </c>
      <c r="AS94" s="64" t="s" ph="1">
        <v>451</v>
      </c>
      <c r="AT94" s="64" t="s" ph="1">
        <v>225</v>
      </c>
      <c r="AU94" s="64" t="s" ph="1">
        <v>259</v>
      </c>
      <c r="AV94" s="64" t="s" ph="1">
        <v>452</v>
      </c>
      <c r="AW94" s="64" t="s" ph="1">
        <v>225</v>
      </c>
      <c r="AX94" s="64" t="s" ph="1">
        <v>259</v>
      </c>
    </row>
    <row r="95" spans="34:52" ph="1">
      <c r="AJ95" s="64" t="s" ph="1">
        <v>453</v>
      </c>
      <c r="AK95" s="64" t="s" ph="1">
        <v>299</v>
      </c>
    </row>
    <row r="96" spans="34:52" ph="1">
      <c r="AH96" s="64" ph="1">
        <v>7</v>
      </c>
      <c r="AI96" s="64" t="s" ph="1">
        <v>454</v>
      </c>
      <c r="AJ96" s="64" t="s" ph="1">
        <v>453</v>
      </c>
      <c r="AK96" s="64" t="s" ph="1">
        <v>254</v>
      </c>
      <c r="AM96" s="64" t="s" ph="1">
        <v>455</v>
      </c>
      <c r="AN96" s="64" t="s" ph="1">
        <v>228</v>
      </c>
      <c r="AO96" s="64" t="s" ph="1">
        <v>259</v>
      </c>
      <c r="AP96" s="64" t="s" ph="1">
        <v>456</v>
      </c>
      <c r="AQ96" s="64" t="s" ph="1">
        <v>272</v>
      </c>
      <c r="AR96" s="64" t="s" ph="1">
        <v>287</v>
      </c>
      <c r="AS96" s="64" t="s" ph="1">
        <v>457</v>
      </c>
      <c r="AT96" s="64" t="s" ph="1">
        <v>231</v>
      </c>
      <c r="AU96" s="64" t="s" ph="1">
        <v>287</v>
      </c>
      <c r="AV96" s="64" t="s" ph="1">
        <v>458</v>
      </c>
      <c r="AW96" s="64" t="s" ph="1">
        <v>227</v>
      </c>
      <c r="AX96" s="64" t="s" ph="1">
        <v>287</v>
      </c>
      <c r="AY96" s="64" t="s" ph="1">
        <v>216</v>
      </c>
      <c r="AZ96" s="64" t="s" ph="1">
        <v>459</v>
      </c>
    </row>
    <row r="97" spans="33:52" ph="1">
      <c r="AJ97" s="64" t="s" ph="1">
        <v>460</v>
      </c>
      <c r="AK97" s="64" t="s" ph="1">
        <v>282</v>
      </c>
      <c r="AM97" s="64" t="s" ph="1">
        <v>461</v>
      </c>
      <c r="AN97" s="64" t="s" ph="1">
        <v>225</v>
      </c>
      <c r="AO97" s="64" t="s" ph="1">
        <v>259</v>
      </c>
      <c r="AP97" s="64" t="s" ph="1">
        <v>462</v>
      </c>
      <c r="AQ97" s="64" t="s" ph="1">
        <v>219</v>
      </c>
      <c r="AR97" s="64" t="s" ph="1">
        <v>287</v>
      </c>
      <c r="AS97" s="64" t="s" ph="1">
        <v>463</v>
      </c>
      <c r="AT97" s="64" t="s" ph="1">
        <v>222</v>
      </c>
      <c r="AU97" s="64" t="s" ph="1">
        <v>287</v>
      </c>
      <c r="AV97" s="64" t="s" ph="1">
        <v>464</v>
      </c>
      <c r="AW97" s="64" t="s" ph="1">
        <v>228</v>
      </c>
      <c r="AX97" s="64" t="s" ph="1">
        <v>287</v>
      </c>
    </row>
    <row r="98" spans="33:52" ph="1">
      <c r="AJ98" s="64" t="s" ph="1">
        <v>465</v>
      </c>
      <c r="AK98" s="64" t="s" ph="1">
        <v>231</v>
      </c>
      <c r="AM98" s="64" t="s" ph="1">
        <v>466</v>
      </c>
      <c r="AN98" s="64" t="s" ph="1">
        <v>239</v>
      </c>
      <c r="AO98" s="64" t="s" ph="1">
        <v>259</v>
      </c>
      <c r="AP98" s="64" t="s" ph="1">
        <v>467</v>
      </c>
      <c r="AQ98" s="64" t="s" ph="1">
        <v>219</v>
      </c>
      <c r="AR98" s="64" t="s" ph="1">
        <v>287</v>
      </c>
      <c r="AS98" s="64" t="s" ph="1">
        <v>468</v>
      </c>
      <c r="AT98" s="64" t="s" ph="1">
        <v>299</v>
      </c>
      <c r="AU98" s="64" t="s" ph="1">
        <v>287</v>
      </c>
      <c r="AV98" s="64" t="s" ph="1">
        <v>469</v>
      </c>
      <c r="AW98" s="64" t="s" ph="1">
        <v>222</v>
      </c>
      <c r="AX98" s="64" t="s" ph="1">
        <v>287</v>
      </c>
    </row>
    <row r="99" spans="33:52" ph="1">
      <c r="AH99" s="64" ph="1">
        <v>8</v>
      </c>
      <c r="AI99" s="64" t="s" ph="1">
        <v>470</v>
      </c>
      <c r="AJ99" s="64" t="s" ph="1">
        <v>471</v>
      </c>
      <c r="AK99" s="64" t="s" ph="1">
        <v>367</v>
      </c>
      <c r="AM99" s="64" t="s" ph="1">
        <v>472</v>
      </c>
      <c r="AN99" s="64" t="s" ph="1">
        <v>254</v>
      </c>
      <c r="AO99" s="64" t="s" ph="1">
        <v>259</v>
      </c>
      <c r="AP99" s="64" t="s" ph="1">
        <v>473</v>
      </c>
      <c r="AQ99" s="64" t="s" ph="1">
        <v>224</v>
      </c>
      <c r="AR99" s="64" t="s" ph="1">
        <v>287</v>
      </c>
      <c r="AS99" s="64" t="s" ph="1">
        <v>474</v>
      </c>
      <c r="AT99" s="64" t="s" ph="1">
        <v>239</v>
      </c>
      <c r="AU99" s="64" t="s" ph="1">
        <v>287</v>
      </c>
      <c r="AV99" s="64" t="s" ph="1">
        <v>475</v>
      </c>
      <c r="AW99" s="64" t="s" ph="1">
        <v>224</v>
      </c>
      <c r="AX99" s="64" t="s" ph="1">
        <v>287</v>
      </c>
      <c r="AY99" s="64" t="s" ph="1">
        <v>216</v>
      </c>
      <c r="AZ99" s="64" t="s" ph="1">
        <v>476</v>
      </c>
    </row>
    <row r="100" spans="33:52" ph="1">
      <c r="AJ100" s="64" t="s" ph="1">
        <v>477</v>
      </c>
      <c r="AK100" s="64" t="s" ph="1">
        <v>222</v>
      </c>
      <c r="AM100" s="64" t="s" ph="1">
        <v>478</v>
      </c>
      <c r="AN100" s="64" t="s" ph="1">
        <v>294</v>
      </c>
      <c r="AO100" s="64" t="s" ph="1">
        <v>259</v>
      </c>
      <c r="AP100" s="64" t="s" ph="1">
        <v>479</v>
      </c>
      <c r="AQ100" s="64" t="s" ph="1">
        <v>300</v>
      </c>
      <c r="AR100" s="64" t="s" ph="1">
        <v>287</v>
      </c>
      <c r="AS100" s="64" t="s" ph="1">
        <v>480</v>
      </c>
      <c r="AT100" s="64" t="s" ph="1">
        <v>367</v>
      </c>
      <c r="AU100" s="64" t="s" ph="1">
        <v>259</v>
      </c>
      <c r="AV100" s="64" t="s" ph="1">
        <v>481</v>
      </c>
      <c r="AW100" s="64" t="s" ph="1">
        <v>367</v>
      </c>
      <c r="AX100" s="64" t="s" ph="1">
        <v>259</v>
      </c>
    </row>
    <row r="101" spans="33:52" ph="1">
      <c r="AJ101" s="64" t="s" ph="1">
        <v>482</v>
      </c>
      <c r="AK101" s="64" t="s" ph="1">
        <v>367</v>
      </c>
      <c r="AM101" s="64" t="s" ph="1">
        <v>483</v>
      </c>
      <c r="AN101" s="64" t="s" ph="1">
        <v>225</v>
      </c>
      <c r="AO101" s="64" t="s" ph="1">
        <v>259</v>
      </c>
      <c r="AP101" s="64" t="s" ph="1">
        <v>484</v>
      </c>
      <c r="AQ101" s="64" t="s" ph="1">
        <v>237</v>
      </c>
      <c r="AR101" s="64" t="s" ph="1">
        <v>287</v>
      </c>
      <c r="AS101" s="64" t="s" ph="1">
        <v>485</v>
      </c>
      <c r="AT101" s="64" t="s" ph="1">
        <v>294</v>
      </c>
      <c r="AU101" s="64" t="s" ph="1">
        <v>287</v>
      </c>
      <c r="AV101" s="64" t="s" ph="1">
        <v>486</v>
      </c>
      <c r="AW101" s="64" t="s" ph="1">
        <v>225</v>
      </c>
      <c r="AX101" s="64" t="s" ph="1">
        <v>259</v>
      </c>
    </row>
    <row r="102" spans="33:52" ph="1">
      <c r="AJ102" s="64" t="s" ph="1">
        <v>487</v>
      </c>
      <c r="AK102" s="64" t="s" ph="1">
        <v>222</v>
      </c>
      <c r="AM102" s="64" t="s" ph="1">
        <v>488</v>
      </c>
      <c r="AN102" s="64" t="s" ph="1">
        <v>231</v>
      </c>
      <c r="AO102" s="64" t="s" ph="1">
        <v>259</v>
      </c>
      <c r="AP102" s="64" t="s" ph="1">
        <v>489</v>
      </c>
      <c r="AQ102" s="64" t="s" ph="1">
        <v>237</v>
      </c>
      <c r="AR102" s="64" t="s" ph="1">
        <v>259</v>
      </c>
      <c r="AS102" s="64" t="s" ph="1">
        <v>490</v>
      </c>
      <c r="AT102" s="64" t="s" ph="1">
        <v>254</v>
      </c>
      <c r="AU102" s="64" t="s" ph="1">
        <v>259</v>
      </c>
      <c r="AV102" s="64" t="s" ph="1">
        <v>491</v>
      </c>
      <c r="AW102" s="64" t="s" ph="1">
        <v>272</v>
      </c>
      <c r="AX102" s="64" t="s" ph="1">
        <v>259</v>
      </c>
    </row>
    <row r="103" spans="33:52" ph="1">
      <c r="AH103" s="64" ph="1">
        <v>9</v>
      </c>
      <c r="AI103" s="64" t="s" ph="1">
        <v>492</v>
      </c>
      <c r="AJ103" s="64" t="s" ph="1">
        <v>493</v>
      </c>
      <c r="AK103" s="64" t="s" ph="1">
        <v>367</v>
      </c>
      <c r="AM103" s="64" t="s" ph="1">
        <v>494</v>
      </c>
      <c r="AN103" s="64" t="s" ph="1">
        <v>282</v>
      </c>
      <c r="AO103" s="64" t="s" ph="1">
        <v>259</v>
      </c>
      <c r="AP103" s="64" t="s" ph="1">
        <v>336</v>
      </c>
      <c r="AQ103" s="64" t="s" ph="1">
        <v>225</v>
      </c>
      <c r="AR103" s="64" t="s" ph="1">
        <v>259</v>
      </c>
      <c r="AS103" s="64" t="s" ph="1">
        <v>570</v>
      </c>
      <c r="AT103" s="64" t="s" ph="1">
        <v>367</v>
      </c>
      <c r="AU103" s="64" t="s" ph="1">
        <v>259</v>
      </c>
      <c r="AY103" s="64" t="s" ph="1">
        <v>216</v>
      </c>
      <c r="AZ103" s="64" t="s" ph="1">
        <v>224</v>
      </c>
    </row>
    <row r="104" spans="33:52" ph="1">
      <c r="AZ104" s="64" t="s" ph="1">
        <v>495</v>
      </c>
    </row>
    <row r="105" spans="33:52" ph="1">
      <c r="AG105" s="64" t="s" ph="1">
        <v>295</v>
      </c>
      <c r="AI105" s="64" t="s" ph="1">
        <v>209</v>
      </c>
      <c r="AJ105" s="64" t="s" ph="1">
        <v>210</v>
      </c>
      <c r="AK105" s="64" t="s" ph="1">
        <v>211</v>
      </c>
      <c r="AM105" s="64" t="s" ph="1">
        <v>210</v>
      </c>
      <c r="AN105" s="64" t="s" ph="1">
        <v>211</v>
      </c>
      <c r="AO105" s="64" t="s" ph="1">
        <v>212</v>
      </c>
      <c r="AP105" s="64" t="s" ph="1">
        <v>210</v>
      </c>
      <c r="AQ105" s="64" t="s" ph="1">
        <v>211</v>
      </c>
      <c r="AR105" s="64" t="s" ph="1">
        <v>212</v>
      </c>
      <c r="AS105" s="64" t="s" ph="1">
        <v>210</v>
      </c>
      <c r="AT105" s="64" t="s" ph="1">
        <v>211</v>
      </c>
      <c r="AU105" s="64" t="s" ph="1">
        <v>212</v>
      </c>
      <c r="AV105" s="64" t="s" ph="1">
        <v>210</v>
      </c>
      <c r="AW105" s="64" t="s" ph="1">
        <v>211</v>
      </c>
      <c r="AX105" s="64" t="s" ph="1">
        <v>212</v>
      </c>
      <c r="AZ105" s="64" t="s" ph="1">
        <v>213</v>
      </c>
    </row>
    <row r="106" spans="33:52" ph="1">
      <c r="AH106" s="64" ph="1">
        <v>1</v>
      </c>
      <c r="AI106" s="64" t="s" ph="1">
        <v>496</v>
      </c>
      <c r="AJ106" s="64" t="s" ph="1">
        <v>570</v>
      </c>
      <c r="AK106" s="64" t="s" ph="1">
        <v>231</v>
      </c>
      <c r="AZ106" s="64" t="s" ph="1">
        <v>231</v>
      </c>
    </row>
    <row r="107" spans="33:52" ph="1">
      <c r="AH107" s="64" ph="1">
        <v>2</v>
      </c>
      <c r="AI107" s="64" t="s" ph="1">
        <v>497</v>
      </c>
      <c r="AJ107" s="64" t="s" ph="1">
        <v>498</v>
      </c>
      <c r="AK107" s="64" t="s" ph="1">
        <v>228</v>
      </c>
      <c r="AM107" s="64" t="s" ph="1">
        <v>334</v>
      </c>
      <c r="AN107" s="64" t="s" ph="1">
        <v>499</v>
      </c>
      <c r="AO107" s="64" t="s" ph="1">
        <v>500</v>
      </c>
      <c r="AP107" s="64" t="s" ph="1">
        <v>336</v>
      </c>
      <c r="AQ107" s="64" t="s" ph="1">
        <v>304</v>
      </c>
      <c r="AR107" s="64" t="s" ph="1">
        <v>500</v>
      </c>
      <c r="AS107" s="64" t="s" ph="1">
        <v>570</v>
      </c>
      <c r="AT107" s="64" t="s" ph="1">
        <v>499</v>
      </c>
      <c r="AU107" s="64" t="s" ph="1">
        <v>500</v>
      </c>
      <c r="AY107" s="64" t="s" ph="1">
        <v>216</v>
      </c>
      <c r="AZ107" s="64" t="s" ph="1">
        <v>580</v>
      </c>
    </row>
    <row r="108" spans="33:52" ph="1">
      <c r="AH108" s="64" ph="1">
        <v>3</v>
      </c>
      <c r="AI108" s="64" t="s" ph="1">
        <v>501</v>
      </c>
      <c r="AY108" s="64" t="s" ph="1">
        <v>216</v>
      </c>
      <c r="AZ108" s="64" t="s" ph="1">
        <v>367</v>
      </c>
    </row>
    <row r="109" spans="33:52" ph="1">
      <c r="AH109" s="64" ph="1">
        <v>4</v>
      </c>
      <c r="AI109" s="64" t="s" ph="1">
        <v>502</v>
      </c>
      <c r="AY109" s="64" t="s" ph="1">
        <v>216</v>
      </c>
      <c r="AZ109" s="64" t="s" ph="1">
        <v>367</v>
      </c>
    </row>
    <row r="110" spans="33:52" ph="1">
      <c r="AH110" s="64" ph="1">
        <v>5</v>
      </c>
      <c r="AI110" s="64" t="s" ph="1">
        <v>503</v>
      </c>
      <c r="AY110" s="64" t="s" ph="1">
        <v>216</v>
      </c>
      <c r="AZ110" s="64" t="s" ph="1">
        <v>367</v>
      </c>
    </row>
    <row r="111" spans="33:52" ph="1">
      <c r="AH111" s="64" ph="1">
        <v>6</v>
      </c>
      <c r="AI111" s="64" t="s" ph="1">
        <v>581</v>
      </c>
      <c r="AJ111" s="64" t="s" ph="1">
        <v>486</v>
      </c>
      <c r="AK111" s="64" t="s" ph="1">
        <v>225</v>
      </c>
      <c r="AM111" s="64" t="s" ph="1">
        <v>487</v>
      </c>
      <c r="AN111" s="64" t="s" ph="1">
        <v>219</v>
      </c>
      <c r="AO111" s="64" t="s" ph="1">
        <v>500</v>
      </c>
      <c r="AP111" s="64" t="s" ph="1">
        <v>488</v>
      </c>
      <c r="AQ111" s="64" t="s" ph="1">
        <v>228</v>
      </c>
      <c r="AR111" s="64" t="s" ph="1">
        <v>500</v>
      </c>
      <c r="AS111" s="64" t="s" ph="1">
        <v>489</v>
      </c>
      <c r="AT111" s="64" t="s" ph="1">
        <v>237</v>
      </c>
      <c r="AU111" s="64" t="s" ph="1">
        <v>500</v>
      </c>
      <c r="AV111" s="64" t="s" ph="1">
        <v>490</v>
      </c>
      <c r="AW111" s="64" t="s" ph="1">
        <v>227</v>
      </c>
      <c r="AX111" s="64" t="s" ph="1">
        <v>500</v>
      </c>
      <c r="AY111" s="64" t="s" ph="1">
        <v>216</v>
      </c>
      <c r="AZ111" s="64" t="s" ph="1">
        <v>504</v>
      </c>
    </row>
    <row r="112" spans="33:52" ph="1">
      <c r="AJ112" s="64" t="s" ph="1">
        <v>491</v>
      </c>
      <c r="AK112" s="64" t="s" ph="1">
        <v>272</v>
      </c>
      <c r="AM112" s="64" t="s" ph="1">
        <v>493</v>
      </c>
      <c r="AN112" s="64" t="s" ph="1">
        <v>296</v>
      </c>
      <c r="AO112" s="64" t="s" ph="1">
        <v>500</v>
      </c>
      <c r="AP112" s="64" t="s" ph="1">
        <v>494</v>
      </c>
      <c r="AQ112" s="64" t="s" ph="1">
        <v>505</v>
      </c>
      <c r="AR112" s="64" t="s" ph="1">
        <v>500</v>
      </c>
      <c r="AS112" s="64" t="s" ph="1">
        <v>506</v>
      </c>
      <c r="AT112" s="64" t="s" ph="1">
        <v>248</v>
      </c>
      <c r="AU112" s="64" t="s" ph="1">
        <v>500</v>
      </c>
      <c r="AV112" s="64" t="s" ph="1">
        <v>507</v>
      </c>
      <c r="AW112" s="64" t="s" ph="1">
        <v>294</v>
      </c>
      <c r="AX112" s="64" t="s" ph="1">
        <v>500</v>
      </c>
    </row>
    <row r="113" spans="33:52" ph="1">
      <c r="AH113" s="64" ph="1">
        <v>7</v>
      </c>
      <c r="AI113" s="64" t="s" ph="1">
        <v>508</v>
      </c>
      <c r="AJ113" s="64" t="s" ph="1">
        <v>589</v>
      </c>
      <c r="AK113" s="64" t="s" ph="1">
        <v>594</v>
      </c>
      <c r="AY113" s="64" t="s" ph="1">
        <v>216</v>
      </c>
      <c r="AZ113" s="64" t="s" ph="1">
        <v>594</v>
      </c>
    </row>
    <row r="114" spans="33:52" ph="1">
      <c r="AH114" s="64" ph="1">
        <v>8</v>
      </c>
      <c r="AI114" s="64" t="s" ph="1">
        <v>509</v>
      </c>
      <c r="AJ114" s="64" t="s" ph="1">
        <v>589</v>
      </c>
      <c r="AK114" s="64" t="s" ph="1">
        <v>595</v>
      </c>
      <c r="AY114" s="64" t="s" ph="1">
        <v>216</v>
      </c>
      <c r="AZ114" s="64" t="s" ph="1">
        <v>595</v>
      </c>
    </row>
    <row r="115" spans="33:52" ph="1">
      <c r="AH115" s="64" ph="1">
        <v>9</v>
      </c>
      <c r="AI115" s="64" t="s" ph="1">
        <v>510</v>
      </c>
      <c r="AJ115" s="64" t="s" ph="1">
        <v>589</v>
      </c>
      <c r="AK115" s="64" t="s" ph="1">
        <v>595</v>
      </c>
      <c r="AY115" s="64" t="s" ph="1">
        <v>216</v>
      </c>
      <c r="AZ115" s="64" t="s" ph="1">
        <v>595</v>
      </c>
    </row>
    <row r="116" spans="33:52" ph="1">
      <c r="AH116" s="64" ph="1">
        <v>10</v>
      </c>
      <c r="AI116" s="64" t="s" ph="1">
        <v>511</v>
      </c>
      <c r="AJ116" s="64" t="s" ph="1">
        <v>589</v>
      </c>
      <c r="AK116" s="64" t="s" ph="1">
        <v>595</v>
      </c>
      <c r="AY116" s="64" t="s" ph="1">
        <v>216</v>
      </c>
      <c r="AZ116" s="64" t="s" ph="1">
        <v>595</v>
      </c>
    </row>
    <row r="117" spans="33:52" ph="1">
      <c r="AH117" s="64" ph="1">
        <v>11</v>
      </c>
      <c r="AI117" s="64" t="s" ph="1">
        <v>512</v>
      </c>
      <c r="AJ117" s="64" t="s" ph="1">
        <v>589</v>
      </c>
      <c r="AK117" s="64" t="s" ph="1">
        <v>595</v>
      </c>
      <c r="AY117" s="64" t="s" ph="1">
        <v>216</v>
      </c>
      <c r="AZ117" s="64" t="s" ph="1">
        <v>595</v>
      </c>
    </row>
    <row r="118" spans="33:52" ph="1">
      <c r="AZ118" s="64" t="s" ph="1">
        <v>596</v>
      </c>
    </row>
    <row r="119" spans="33:52" ph="1">
      <c r="AI119" s="64" t="s" ph="1">
        <v>209</v>
      </c>
      <c r="AJ119" s="64" t="s" ph="1">
        <v>210</v>
      </c>
      <c r="AK119" s="64" t="s" ph="1">
        <v>211</v>
      </c>
      <c r="AM119" s="64" t="s" ph="1">
        <v>210</v>
      </c>
      <c r="AN119" s="64" t="s" ph="1">
        <v>211</v>
      </c>
      <c r="AO119" s="64" t="s" ph="1">
        <v>212</v>
      </c>
      <c r="AP119" s="64" t="s" ph="1">
        <v>210</v>
      </c>
      <c r="AQ119" s="64" t="s" ph="1">
        <v>211</v>
      </c>
      <c r="AR119" s="64" t="s" ph="1">
        <v>212</v>
      </c>
      <c r="AS119" s="64" t="s" ph="1">
        <v>210</v>
      </c>
      <c r="AT119" s="64" t="s" ph="1">
        <v>211</v>
      </c>
      <c r="AU119" s="64" t="s" ph="1">
        <v>212</v>
      </c>
      <c r="AV119" s="64" t="s" ph="1">
        <v>210</v>
      </c>
      <c r="AW119" s="64" t="s" ph="1">
        <v>211</v>
      </c>
      <c r="AX119" s="64" t="s" ph="1">
        <v>212</v>
      </c>
      <c r="AY119" s="64" t="s" ph="1">
        <v>211</v>
      </c>
      <c r="AZ119" s="64" t="s" ph="1">
        <v>213</v>
      </c>
    </row>
    <row r="120" spans="33:52" ph="1">
      <c r="AG120" s="64" t="s" ph="1">
        <v>353</v>
      </c>
      <c r="AH120" s="64" ph="1">
        <v>1</v>
      </c>
      <c r="AI120" s="64" t="s" ph="1">
        <v>513</v>
      </c>
      <c r="AJ120" s="64" t="s" ph="1">
        <v>587</v>
      </c>
      <c r="AK120" s="64" t="s" ph="1">
        <v>367</v>
      </c>
      <c r="AY120" s="64" t="s" ph="1">
        <v>216</v>
      </c>
      <c r="AZ120" s="64" t="s" ph="1">
        <v>367</v>
      </c>
    </row>
    <row r="121" spans="33:52" ph="1">
      <c r="AH121" s="64" ph="1">
        <v>2</v>
      </c>
      <c r="AI121" s="64" t="s" ph="1">
        <v>514</v>
      </c>
      <c r="AY121" s="64" t="s" ph="1">
        <v>216</v>
      </c>
      <c r="AZ121" s="64" t="s" ph="1">
        <v>367</v>
      </c>
    </row>
    <row r="122" spans="33:52" ph="1">
      <c r="AH122" s="64" ph="1">
        <v>3</v>
      </c>
      <c r="AI122" s="64" t="s" ph="1">
        <v>515</v>
      </c>
      <c r="AJ122" s="64" t="s" ph="1">
        <v>570</v>
      </c>
      <c r="AK122" s="64" t="s" ph="1">
        <v>582</v>
      </c>
      <c r="AM122" s="64" t="s" ph="1">
        <v>597</v>
      </c>
      <c r="AN122" s="64" t="s" ph="1">
        <v>590</v>
      </c>
      <c r="AO122" s="64" t="s" ph="1">
        <v>91</v>
      </c>
      <c r="AY122" s="64" t="s" ph="1">
        <v>216</v>
      </c>
      <c r="AZ122" s="64" t="s" ph="1">
        <v>579</v>
      </c>
    </row>
    <row r="123" spans="33:52" ph="1">
      <c r="AY123" s="64" t="s" ph="1">
        <v>216</v>
      </c>
      <c r="AZ123" s="64" t="s" ph="1">
        <v>579</v>
      </c>
    </row>
    <row r="124" spans="33:52" ph="1">
      <c r="AG124" s="64" t="s" ph="1">
        <v>356</v>
      </c>
      <c r="AH124" s="64" ph="1">
        <v>4</v>
      </c>
      <c r="AI124" s="64" t="s" ph="1">
        <v>516</v>
      </c>
      <c r="AJ124" s="64" t="s" ph="1">
        <v>517</v>
      </c>
      <c r="AK124" s="64" t="s" ph="1">
        <v>518</v>
      </c>
      <c r="AY124" s="64" t="s" ph="1">
        <v>216</v>
      </c>
      <c r="AZ124" s="64" t="s" ph="1">
        <v>518</v>
      </c>
    </row>
    <row r="125" spans="33:52" ph="1">
      <c r="AH125" s="64" ph="1">
        <v>5</v>
      </c>
      <c r="AI125" s="64" t="s" ph="1">
        <v>519</v>
      </c>
      <c r="AJ125" s="64" t="s" ph="1">
        <v>517</v>
      </c>
      <c r="AK125" s="64" t="s" ph="1">
        <v>518</v>
      </c>
      <c r="AY125" s="64" t="s" ph="1">
        <v>216</v>
      </c>
      <c r="AZ125" s="64" t="s" ph="1">
        <v>518</v>
      </c>
    </row>
    <row r="126" spans="33:52" ph="1">
      <c r="AH126" s="64" ph="1">
        <v>6</v>
      </c>
      <c r="AI126" s="64" t="s" ph="1">
        <v>520</v>
      </c>
      <c r="AJ126" s="64" t="s" ph="1">
        <v>589</v>
      </c>
      <c r="AK126" s="64" t="s" ph="1">
        <v>598</v>
      </c>
      <c r="AY126" s="64" t="s" ph="1">
        <v>216</v>
      </c>
      <c r="AZ126" s="64" t="s" ph="1">
        <v>598</v>
      </c>
    </row>
    <row r="127" spans="33:52" ph="1">
      <c r="AH127" s="64" ph="1">
        <v>7</v>
      </c>
      <c r="AI127" s="64" t="s" ph="1">
        <v>521</v>
      </c>
      <c r="AJ127" s="64" t="s" ph="1">
        <v>589</v>
      </c>
      <c r="AK127" s="64" t="s" ph="1">
        <v>599</v>
      </c>
      <c r="AY127" s="64" t="s" ph="1">
        <v>216</v>
      </c>
      <c r="AZ127" s="64" t="s" ph="1">
        <v>599</v>
      </c>
    </row>
    <row r="128" spans="33:52" ph="1">
      <c r="AH128" s="64" ph="1">
        <v>8</v>
      </c>
      <c r="AI128" s="64" t="s" ph="1">
        <v>522</v>
      </c>
      <c r="AY128" s="64" t="s" ph="1">
        <v>216</v>
      </c>
      <c r="AZ128" s="64" t="s" ph="1">
        <v>367</v>
      </c>
    </row>
    <row r="129" spans="33:52" ph="1">
      <c r="AH129" s="64" ph="1">
        <v>9</v>
      </c>
      <c r="AI129" s="64" t="s" ph="1">
        <v>523</v>
      </c>
      <c r="AY129" s="64" t="s" ph="1">
        <v>216</v>
      </c>
      <c r="AZ129" s="64" t="s" ph="1">
        <v>367</v>
      </c>
    </row>
    <row r="130" spans="33:52" ph="1">
      <c r="AH130" s="64" ph="1">
        <v>10</v>
      </c>
      <c r="AI130" s="64" t="s" ph="1">
        <v>524</v>
      </c>
      <c r="AY130" s="64" t="s" ph="1">
        <v>216</v>
      </c>
      <c r="AZ130" s="64" t="s" ph="1">
        <v>367</v>
      </c>
    </row>
    <row r="131" spans="33:52" ph="1">
      <c r="AH131" s="64" ph="1">
        <v>11</v>
      </c>
      <c r="AI131" s="64" t="s" ph="1">
        <v>525</v>
      </c>
      <c r="AJ131" s="64" t="s" ph="1">
        <v>583</v>
      </c>
      <c r="AK131" s="64" t="s" ph="1">
        <v>579</v>
      </c>
      <c r="AY131" s="64" t="s" ph="1">
        <v>216</v>
      </c>
      <c r="AZ131" s="64" t="s" ph="1">
        <v>579</v>
      </c>
    </row>
    <row r="132" spans="33:52" ph="1">
      <c r="AH132" s="64" ph="1">
        <v>12</v>
      </c>
      <c r="AI132" s="64" t="s" ph="1">
        <v>526</v>
      </c>
      <c r="AJ132" s="64" t="s" ph="1">
        <v>583</v>
      </c>
      <c r="AK132" s="64" t="s" ph="1">
        <v>518</v>
      </c>
      <c r="AY132" s="64" t="s" ph="1">
        <v>216</v>
      </c>
      <c r="AZ132" s="64" t="s" ph="1">
        <v>518</v>
      </c>
    </row>
    <row r="133" spans="33:52" ph="1">
      <c r="AH133" s="64" ph="1">
        <v>13</v>
      </c>
      <c r="AI133" s="64" t="s" ph="1">
        <v>527</v>
      </c>
      <c r="AJ133" s="64" t="s" ph="1">
        <v>583</v>
      </c>
      <c r="AK133" s="64" t="s" ph="1">
        <v>584</v>
      </c>
      <c r="AY133" s="64" t="s" ph="1">
        <v>216</v>
      </c>
      <c r="AZ133" s="64" t="s" ph="1">
        <v>584</v>
      </c>
    </row>
    <row r="134" spans="33:52" ph="1">
      <c r="AH134" s="64" ph="1">
        <v>14</v>
      </c>
      <c r="AI134" s="64" t="s" ph="1">
        <v>528</v>
      </c>
      <c r="AJ134" s="64" t="s" ph="1">
        <v>583</v>
      </c>
      <c r="AK134" s="64" t="s" ph="1">
        <v>585</v>
      </c>
      <c r="AY134" s="64" t="s" ph="1">
        <v>216</v>
      </c>
      <c r="AZ134" s="64" t="s" ph="1">
        <v>585</v>
      </c>
    </row>
    <row r="135" spans="33:52" ph="1">
      <c r="AH135" s="64" ph="1">
        <v>15</v>
      </c>
      <c r="AI135" s="64" t="s" ph="1">
        <v>529</v>
      </c>
      <c r="AJ135" s="64" t="s" ph="1">
        <v>583</v>
      </c>
      <c r="AK135" s="64" t="s" ph="1">
        <v>586</v>
      </c>
      <c r="AY135" s="64" t="s" ph="1">
        <v>216</v>
      </c>
      <c r="AZ135" s="64" t="s" ph="1">
        <v>586</v>
      </c>
    </row>
    <row r="136" spans="33:52" ph="1">
      <c r="AZ136" s="64" t="s" ph="1">
        <v>600</v>
      </c>
    </row>
    <row r="137" spans="33:52" ph="1">
      <c r="AG137" s="64" t="s" ph="1">
        <v>290</v>
      </c>
      <c r="AI137" s="64" t="s" ph="1">
        <v>209</v>
      </c>
      <c r="AJ137" s="64" t="s" ph="1">
        <v>210</v>
      </c>
      <c r="AK137" s="64" t="s" ph="1">
        <v>211</v>
      </c>
      <c r="AM137" s="64" t="s" ph="1">
        <v>210</v>
      </c>
      <c r="AN137" s="64" t="s" ph="1">
        <v>211</v>
      </c>
      <c r="AO137" s="64" t="s" ph="1">
        <v>212</v>
      </c>
      <c r="AP137" s="64" t="s" ph="1">
        <v>210</v>
      </c>
      <c r="AQ137" s="64" t="s" ph="1">
        <v>211</v>
      </c>
      <c r="AR137" s="64" t="s" ph="1">
        <v>212</v>
      </c>
      <c r="AS137" s="64" t="s" ph="1">
        <v>210</v>
      </c>
      <c r="AT137" s="64" t="s" ph="1">
        <v>211</v>
      </c>
      <c r="AU137" s="64" t="s" ph="1">
        <v>212</v>
      </c>
      <c r="AV137" s="64" t="s" ph="1">
        <v>210</v>
      </c>
      <c r="AW137" s="64" t="s" ph="1">
        <v>211</v>
      </c>
      <c r="AX137" s="64" t="s" ph="1">
        <v>212</v>
      </c>
      <c r="AY137" s="64" t="s" ph="1">
        <v>211</v>
      </c>
      <c r="AZ137" s="64" t="s" ph="1">
        <v>213</v>
      </c>
    </row>
    <row r="138" spans="33:52" ph="1">
      <c r="AH138" s="64" ph="1">
        <v>1</v>
      </c>
      <c r="AI138" s="64" t="s" ph="1">
        <v>530</v>
      </c>
      <c r="AJ138" s="64" t="s" ph="1">
        <v>531</v>
      </c>
      <c r="AK138" s="64" t="s" ph="1">
        <v>532</v>
      </c>
      <c r="AY138" s="64" t="s" ph="1">
        <v>216</v>
      </c>
      <c r="AZ138" s="64" t="s" ph="1">
        <v>532</v>
      </c>
    </row>
    <row r="139" spans="33:52" ph="1">
      <c r="AH139" s="64" ph="1">
        <v>2</v>
      </c>
      <c r="AI139" s="64" t="s" ph="1">
        <v>533</v>
      </c>
      <c r="AJ139" s="64" t="s" ph="1">
        <v>589</v>
      </c>
      <c r="AK139" s="64" t="s" ph="1">
        <v>601</v>
      </c>
      <c r="AY139" s="64" t="s" ph="1">
        <v>216</v>
      </c>
      <c r="AZ139" s="64" t="s" ph="1">
        <v>601</v>
      </c>
    </row>
    <row r="140" spans="33:52" ph="1">
      <c r="AH140" s="64" ph="1">
        <v>3</v>
      </c>
      <c r="AI140" s="64" t="s" ph="1">
        <v>534</v>
      </c>
      <c r="AJ140" s="64" t="s" ph="1">
        <v>487</v>
      </c>
      <c r="AK140" s="64" t="s" ph="1">
        <v>299</v>
      </c>
      <c r="AM140" s="64" t="s" ph="1">
        <v>488</v>
      </c>
      <c r="AN140" s="64" t="s" ph="1">
        <v>219</v>
      </c>
      <c r="AO140" s="64" t="s" ph="1">
        <v>535</v>
      </c>
      <c r="AP140" s="64" t="s" ph="1">
        <v>489</v>
      </c>
      <c r="AQ140" s="64" t="s" ph="1">
        <v>236</v>
      </c>
      <c r="AR140" s="64" t="s" ph="1">
        <v>535</v>
      </c>
      <c r="AS140" s="64" t="s" ph="1">
        <v>490</v>
      </c>
      <c r="AT140" s="64" t="s" ph="1">
        <v>229</v>
      </c>
      <c r="AU140" s="64" t="s" ph="1">
        <v>535</v>
      </c>
      <c r="AV140" s="64" t="s" ph="1">
        <v>491</v>
      </c>
      <c r="AW140" s="64" t="s" ph="1">
        <v>222</v>
      </c>
      <c r="AX140" s="64" t="s" ph="1">
        <v>535</v>
      </c>
      <c r="AY140" s="64" t="s" ph="1">
        <v>216</v>
      </c>
      <c r="AZ140" s="64" t="s" ph="1">
        <v>291</v>
      </c>
    </row>
    <row r="141" spans="33:52" ph="1">
      <c r="AJ141" s="64" t="s" ph="1">
        <v>493</v>
      </c>
      <c r="AK141" s="64" t="s" ph="1">
        <v>222</v>
      </c>
      <c r="AM141" s="64" t="s" ph="1">
        <v>494</v>
      </c>
      <c r="AN141" s="64" t="s" ph="1">
        <v>225</v>
      </c>
      <c r="AO141" s="64" t="s" ph="1">
        <v>535</v>
      </c>
      <c r="AP141" s="64" t="s" ph="1">
        <v>506</v>
      </c>
      <c r="AQ141" s="64" t="s" ph="1">
        <v>294</v>
      </c>
      <c r="AR141" s="64" t="s" ph="1">
        <v>535</v>
      </c>
      <c r="AS141" s="64" t="s" ph="1">
        <v>498</v>
      </c>
      <c r="AT141" s="64" t="s" ph="1">
        <v>222</v>
      </c>
      <c r="AU141" s="64" t="s" ph="1">
        <v>535</v>
      </c>
      <c r="AV141" s="64" t="s" ph="1">
        <v>334</v>
      </c>
      <c r="AW141" s="64" t="s" ph="1">
        <v>228</v>
      </c>
      <c r="AX141" s="64" t="s" ph="1">
        <v>535</v>
      </c>
    </row>
    <row r="142" spans="33:52" ph="1">
      <c r="AJ142" s="64" t="s" ph="1">
        <v>536</v>
      </c>
      <c r="AK142" s="64" t="s" ph="1">
        <v>239</v>
      </c>
    </row>
    <row r="143" spans="33:52" ph="1">
      <c r="AH143" s="64" ph="1">
        <v>4</v>
      </c>
      <c r="AI143" s="64" t="s" ph="1">
        <v>537</v>
      </c>
      <c r="AJ143" s="64" t="s" ph="1">
        <v>517</v>
      </c>
      <c r="AK143" s="64" t="s" ph="1">
        <v>538</v>
      </c>
      <c r="AY143" s="64" t="s" ph="1">
        <v>216</v>
      </c>
      <c r="AZ143" s="64" t="s" ph="1">
        <v>538</v>
      </c>
    </row>
    <row r="144" spans="33:52" ph="1">
      <c r="AH144" s="64" ph="1">
        <v>5</v>
      </c>
      <c r="AI144" s="64" t="s" ph="1">
        <v>539</v>
      </c>
      <c r="AY144" s="64" t="s" ph="1">
        <v>216</v>
      </c>
      <c r="AZ144" s="64" t="s" ph="1">
        <v>367</v>
      </c>
    </row>
    <row r="145" spans="33:52" ph="1">
      <c r="AH145" s="64" ph="1">
        <v>6</v>
      </c>
      <c r="AI145" s="64" t="s" ph="1">
        <v>540</v>
      </c>
      <c r="AY145" s="64" t="s" ph="1">
        <v>216</v>
      </c>
      <c r="AZ145" s="64" t="s" ph="1">
        <v>367</v>
      </c>
    </row>
    <row r="146" spans="33:52" ph="1">
      <c r="AH146" s="64" ph="1">
        <v>7</v>
      </c>
      <c r="AI146" s="64" t="s" ph="1">
        <v>541</v>
      </c>
      <c r="AY146" s="64" t="s" ph="1">
        <v>216</v>
      </c>
      <c r="AZ146" s="64" t="s" ph="1">
        <v>367</v>
      </c>
    </row>
    <row r="147" spans="33:52" ph="1">
      <c r="AH147" s="64" ph="1">
        <v>8</v>
      </c>
      <c r="AI147" s="64" t="s" ph="1">
        <v>542</v>
      </c>
      <c r="AY147" s="64" t="s" ph="1">
        <v>216</v>
      </c>
      <c r="AZ147" s="64" t="s" ph="1">
        <v>367</v>
      </c>
    </row>
    <row r="148" spans="33:52" ph="1">
      <c r="AH148" s="64" ph="1">
        <v>9</v>
      </c>
      <c r="AI148" s="64" t="s" ph="1">
        <v>543</v>
      </c>
      <c r="AY148" s="64" t="s" ph="1">
        <v>216</v>
      </c>
      <c r="AZ148" s="64" t="s" ph="1">
        <v>367</v>
      </c>
    </row>
    <row r="149" spans="33:52" ph="1">
      <c r="AH149" s="64" ph="1">
        <v>10</v>
      </c>
      <c r="AI149" s="64" t="s" ph="1">
        <v>544</v>
      </c>
      <c r="AY149" s="64" t="s" ph="1">
        <v>216</v>
      </c>
      <c r="AZ149" s="64" t="s" ph="1">
        <v>367</v>
      </c>
    </row>
    <row r="150" spans="33:52" ph="1">
      <c r="AH150" s="64" ph="1">
        <v>11</v>
      </c>
      <c r="AI150" s="64" t="s" ph="1">
        <v>545</v>
      </c>
      <c r="AY150" s="64" t="s" ph="1">
        <v>216</v>
      </c>
      <c r="AZ150" s="64" t="s" ph="1">
        <v>367</v>
      </c>
    </row>
    <row r="151" spans="33:52" ph="1">
      <c r="AH151" s="64" ph="1">
        <v>12</v>
      </c>
      <c r="AI151" s="64" t="s" ph="1">
        <v>546</v>
      </c>
      <c r="AY151" s="64" t="s" ph="1">
        <v>216</v>
      </c>
      <c r="AZ151" s="64" t="s" ph="1">
        <v>367</v>
      </c>
    </row>
    <row r="152" spans="33:52" ph="1">
      <c r="AH152" s="64" ph="1">
        <v>13</v>
      </c>
      <c r="AI152" s="64" t="s" ph="1">
        <v>547</v>
      </c>
      <c r="AY152" s="64" t="s" ph="1">
        <v>216</v>
      </c>
      <c r="AZ152" s="64" t="s" ph="1">
        <v>367</v>
      </c>
    </row>
    <row r="153" spans="33:52" ph="1">
      <c r="AH153" s="64" ph="1">
        <v>14</v>
      </c>
      <c r="AI153" s="64" t="s" ph="1">
        <v>548</v>
      </c>
      <c r="AY153" s="64" t="s" ph="1">
        <v>216</v>
      </c>
      <c r="AZ153" s="64" t="s" ph="1">
        <v>367</v>
      </c>
    </row>
    <row r="154" spans="33:52" ph="1">
      <c r="AH154" s="64" ph="1">
        <v>15</v>
      </c>
      <c r="AI154" s="64" t="s" ph="1">
        <v>549</v>
      </c>
      <c r="AY154" s="64" t="s" ph="1">
        <v>216</v>
      </c>
      <c r="AZ154" s="64" t="s" ph="1">
        <v>367</v>
      </c>
    </row>
    <row r="155" spans="33:52" ph="1">
      <c r="AH155" s="64" ph="1">
        <v>16</v>
      </c>
      <c r="AI155" s="64" t="s" ph="1">
        <v>550</v>
      </c>
      <c r="AJ155" s="64" t="s" ph="1">
        <v>336</v>
      </c>
      <c r="AK155" s="64" t="s" ph="1">
        <v>231</v>
      </c>
      <c r="AM155" s="64" t="s" ph="1">
        <v>570</v>
      </c>
      <c r="AN155" s="64" t="s" ph="1">
        <v>282</v>
      </c>
      <c r="AO155" s="64" t="s" ph="1">
        <v>535</v>
      </c>
      <c r="AY155" s="64" t="s" ph="1">
        <v>216</v>
      </c>
      <c r="AZ155" s="64" t="s" ph="1">
        <v>223</v>
      </c>
    </row>
    <row r="156" spans="33:52" ph="1">
      <c r="AZ156" s="64" t="s" ph="1">
        <v>602</v>
      </c>
    </row>
    <row r="157" spans="33:52" ph="1">
      <c r="AG157" s="64" t="s" ph="1">
        <v>551</v>
      </c>
      <c r="AI157" s="64" t="s" ph="1">
        <v>209</v>
      </c>
      <c r="AJ157" s="64" t="s" ph="1">
        <v>210</v>
      </c>
      <c r="AK157" s="64" t="s" ph="1">
        <v>211</v>
      </c>
      <c r="AM157" s="64" t="s" ph="1">
        <v>210</v>
      </c>
      <c r="AN157" s="64" t="s" ph="1">
        <v>211</v>
      </c>
      <c r="AO157" s="64" t="s" ph="1">
        <v>212</v>
      </c>
      <c r="AP157" s="64" t="s" ph="1">
        <v>210</v>
      </c>
      <c r="AQ157" s="64" t="s" ph="1">
        <v>211</v>
      </c>
      <c r="AR157" s="64" t="s" ph="1">
        <v>212</v>
      </c>
      <c r="AS157" s="64" t="s" ph="1">
        <v>210</v>
      </c>
      <c r="AT157" s="64" t="s" ph="1">
        <v>211</v>
      </c>
      <c r="AU157" s="64" t="s" ph="1">
        <v>212</v>
      </c>
      <c r="AV157" s="64" t="s" ph="1">
        <v>210</v>
      </c>
      <c r="AW157" s="64" t="s" ph="1">
        <v>211</v>
      </c>
      <c r="AX157" s="64" t="s" ph="1">
        <v>212</v>
      </c>
      <c r="AY157" s="64" t="s" ph="1">
        <v>211</v>
      </c>
      <c r="AZ157" s="64" t="s" ph="1">
        <v>213</v>
      </c>
    </row>
    <row r="158" spans="33:52" ph="1">
      <c r="AH158" s="64" ph="1">
        <v>1</v>
      </c>
      <c r="AI158" s="64" t="s" ph="1">
        <v>552</v>
      </c>
      <c r="AY158" s="64" t="s" ph="1">
        <v>216</v>
      </c>
      <c r="AZ158" s="64" t="s" ph="1">
        <v>367</v>
      </c>
    </row>
    <row r="159" spans="33:52" ph="1">
      <c r="AH159" s="64" ph="1">
        <v>2</v>
      </c>
      <c r="AI159" s="64" t="s" ph="1">
        <v>553</v>
      </c>
      <c r="AY159" s="64" t="s" ph="1">
        <v>216</v>
      </c>
      <c r="AZ159" s="64" t="s" ph="1">
        <v>367</v>
      </c>
    </row>
    <row r="160" spans="33:52" ph="1">
      <c r="AZ160" s="64" t="s" ph="1">
        <v>385</v>
      </c>
    </row>
    <row r="161" spans="33:52" ph="1">
      <c r="AG161" s="64" t="s" ph="1">
        <v>361</v>
      </c>
      <c r="AI161" s="64" t="s" ph="1">
        <v>209</v>
      </c>
      <c r="AJ161" s="64" t="s" ph="1">
        <v>210</v>
      </c>
      <c r="AK161" s="64" t="s" ph="1">
        <v>211</v>
      </c>
      <c r="AM161" s="64" t="s" ph="1">
        <v>210</v>
      </c>
      <c r="AN161" s="64" t="s" ph="1">
        <v>211</v>
      </c>
      <c r="AO161" s="64" t="s" ph="1">
        <v>212</v>
      </c>
      <c r="AP161" s="64" t="s" ph="1">
        <v>210</v>
      </c>
      <c r="AQ161" s="64" t="s" ph="1">
        <v>211</v>
      </c>
      <c r="AR161" s="64" t="s" ph="1">
        <v>212</v>
      </c>
      <c r="AS161" s="64" t="s" ph="1">
        <v>210</v>
      </c>
      <c r="AT161" s="64" t="s" ph="1">
        <v>211</v>
      </c>
      <c r="AU161" s="64" t="s" ph="1">
        <v>212</v>
      </c>
      <c r="AV161" s="64" t="s" ph="1">
        <v>210</v>
      </c>
      <c r="AW161" s="64" t="s" ph="1">
        <v>211</v>
      </c>
      <c r="AX161" s="64" t="s" ph="1">
        <v>212</v>
      </c>
      <c r="AY161" s="64" t="s" ph="1">
        <v>211</v>
      </c>
      <c r="AZ161" s="64" t="s" ph="1">
        <v>213</v>
      </c>
    </row>
    <row r="162" spans="33:52" ph="1">
      <c r="AH162" s="64" ph="1">
        <v>1</v>
      </c>
      <c r="AI162" s="64" t="s" ph="1">
        <v>554</v>
      </c>
      <c r="AJ162" s="64" t="s" ph="1">
        <v>555</v>
      </c>
      <c r="AK162" s="64" t="s" ph="1">
        <v>499</v>
      </c>
      <c r="AM162" s="64" t="s" ph="1">
        <v>556</v>
      </c>
      <c r="AN162" s="64" t="s" ph="1">
        <v>220</v>
      </c>
      <c r="AO162" s="64" t="s" ph="1">
        <v>557</v>
      </c>
      <c r="AY162" s="64" t="s" ph="1">
        <v>216</v>
      </c>
      <c r="AZ162" s="64" t="s" ph="1">
        <v>292</v>
      </c>
    </row>
    <row r="163" spans="33:52" ph="1">
      <c r="AH163" s="64" ph="1">
        <v>2</v>
      </c>
      <c r="AI163" s="64" t="s" ph="1">
        <v>558</v>
      </c>
      <c r="AJ163" s="64" t="s" ph="1">
        <v>555</v>
      </c>
      <c r="AK163" s="64" t="s" ph="1">
        <v>388</v>
      </c>
      <c r="AY163" s="64" t="s" ph="1">
        <v>216</v>
      </c>
      <c r="AZ163" s="64" t="s" ph="1">
        <v>388</v>
      </c>
    </row>
    <row r="164" spans="33:52" ph="1">
      <c r="AH164" s="64" ph="1">
        <v>3</v>
      </c>
      <c r="AI164" s="64" t="s" ph="1">
        <v>559</v>
      </c>
      <c r="AJ164" s="64" t="s" ph="1">
        <v>555</v>
      </c>
      <c r="AK164" s="64" t="s" ph="1">
        <v>292</v>
      </c>
      <c r="AY164" s="64" t="s" ph="1">
        <v>216</v>
      </c>
      <c r="AZ164" s="64" t="s" ph="1">
        <v>292</v>
      </c>
    </row>
    <row r="165" spans="33:52" ph="1">
      <c r="AH165" s="64" ph="1">
        <v>4</v>
      </c>
      <c r="AI165" s="64" t="s" ph="1">
        <v>560</v>
      </c>
      <c r="AY165" s="64" t="s" ph="1">
        <v>216</v>
      </c>
      <c r="AZ165" s="64" t="s" ph="1">
        <v>367</v>
      </c>
    </row>
    <row r="166" spans="33:52" ph="1">
      <c r="AH166" s="64" ph="1">
        <v>5</v>
      </c>
      <c r="AI166" s="64" t="s" ph="1">
        <v>561</v>
      </c>
      <c r="AY166" s="64" t="s" ph="1">
        <v>216</v>
      </c>
      <c r="AZ166" s="64" t="s" ph="1">
        <v>367</v>
      </c>
    </row>
    <row r="167" spans="33:52" ph="1">
      <c r="AZ167" s="64" t="s" ph="1">
        <v>562</v>
      </c>
    </row>
    <row r="168" spans="33:52" ph="1">
      <c r="AG168" s="64" t="s" ph="1">
        <v>305</v>
      </c>
      <c r="AI168" s="64" t="s" ph="1">
        <v>209</v>
      </c>
      <c r="AJ168" s="64" t="s" ph="1">
        <v>210</v>
      </c>
      <c r="AK168" s="64" t="s" ph="1">
        <v>211</v>
      </c>
      <c r="AM168" s="64" t="s" ph="1">
        <v>210</v>
      </c>
      <c r="AN168" s="64" t="s" ph="1">
        <v>211</v>
      </c>
      <c r="AO168" s="64" t="s" ph="1">
        <v>212</v>
      </c>
      <c r="AP168" s="64" t="s" ph="1">
        <v>210</v>
      </c>
      <c r="AQ168" s="64" t="s" ph="1">
        <v>211</v>
      </c>
      <c r="AR168" s="64" t="s" ph="1">
        <v>212</v>
      </c>
      <c r="AS168" s="64" t="s" ph="1">
        <v>210</v>
      </c>
      <c r="AT168" s="64" t="s" ph="1">
        <v>211</v>
      </c>
      <c r="AU168" s="64" t="s" ph="1">
        <v>212</v>
      </c>
      <c r="AV168" s="64" t="s" ph="1">
        <v>210</v>
      </c>
      <c r="AW168" s="64" t="s" ph="1">
        <v>211</v>
      </c>
      <c r="AX168" s="64" t="s" ph="1">
        <v>212</v>
      </c>
      <c r="AY168" s="64" t="s" ph="1">
        <v>211</v>
      </c>
      <c r="AZ168" s="64" t="s" ph="1">
        <v>213</v>
      </c>
    </row>
    <row r="169" spans="33:52" ph="1">
      <c r="AH169" s="64" ph="1">
        <v>1</v>
      </c>
      <c r="AI169" s="64" t="s" ph="1">
        <v>563</v>
      </c>
      <c r="AY169" s="64" t="s" ph="1">
        <v>216</v>
      </c>
      <c r="AZ169" s="64" t="s" ph="1">
        <v>367</v>
      </c>
    </row>
    <row r="170" spans="33:52" ph="1">
      <c r="AH170" s="64" ph="1">
        <v>2</v>
      </c>
      <c r="AI170" s="64" t="s" ph="1">
        <v>564</v>
      </c>
      <c r="AY170" s="64" t="s" ph="1">
        <v>216</v>
      </c>
      <c r="AZ170" s="64" t="s" ph="1">
        <v>367</v>
      </c>
    </row>
    <row r="171" spans="33:52" ph="1">
      <c r="AH171" s="64" ph="1">
        <v>3</v>
      </c>
      <c r="AI171" s="64" t="s" ph="1">
        <v>565</v>
      </c>
      <c r="AY171" s="64" t="s" ph="1">
        <v>216</v>
      </c>
      <c r="AZ171" s="64" t="s" ph="1">
        <v>367</v>
      </c>
    </row>
    <row r="172" spans="33:52" ph="1">
      <c r="AH172" s="64" ph="1">
        <v>4</v>
      </c>
      <c r="AI172" s="64" t="s" ph="1">
        <v>566</v>
      </c>
      <c r="AY172" s="64" t="s" ph="1">
        <v>216</v>
      </c>
      <c r="AZ172" s="64" t="s" ph="1">
        <v>367</v>
      </c>
    </row>
    <row r="173" spans="33:52" ph="1">
      <c r="AH173" s="64" ph="1">
        <v>5</v>
      </c>
      <c r="AI173" s="64" t="s" ph="1">
        <v>567</v>
      </c>
      <c r="AY173" s="64" t="s" ph="1">
        <v>216</v>
      </c>
      <c r="AZ173" s="64" t="s" ph="1">
        <v>367</v>
      </c>
    </row>
    <row r="174" spans="33:52" ph="1">
      <c r="AZ174" s="64" t="s" ph="1">
        <v>385</v>
      </c>
    </row>
    <row r="175" spans="33:52" ph="1">
      <c r="AJ175" s="64" t="s" ph="1">
        <v>306</v>
      </c>
    </row>
    <row r="176" spans="33:52" ph="1">
      <c r="AJ176" s="64" t="s" ph="1">
        <v>307</v>
      </c>
      <c r="AK176" s="64" t="s" ph="1">
        <v>308</v>
      </c>
      <c r="AM176" s="64" t="s" ph="1">
        <v>309</v>
      </c>
      <c r="AO176" s="64" t="s" ph="1">
        <v>310</v>
      </c>
      <c r="AP176" s="64" t="s" ph="1">
        <v>311</v>
      </c>
      <c r="AQ176" s="64" t="s" ph="1">
        <v>301</v>
      </c>
      <c r="AR176" s="64" t="s" ph="1">
        <v>221</v>
      </c>
    </row>
    <row r="177" spans="36:56" ph="1">
      <c r="AJ177" s="64" t="s" ph="1">
        <v>603</v>
      </c>
      <c r="AK177" s="64" t="s" ph="1">
        <v>312</v>
      </c>
      <c r="AO177" s="64" t="s" ph="1">
        <v>312</v>
      </c>
      <c r="AP177" s="64" t="s" ph="1">
        <v>312</v>
      </c>
      <c r="AQ177" s="64" t="s" ph="1">
        <v>313</v>
      </c>
      <c r="AR177" s="64" t="s" ph="1">
        <v>314</v>
      </c>
    </row>
    <row r="179" spans="36:56" ph="1">
      <c r="AJ179" s="64" t="s" ph="1">
        <v>315</v>
      </c>
      <c r="AK179" s="64" t="s" ph="1">
        <v>316</v>
      </c>
      <c r="AM179" s="64" t="s" ph="1">
        <v>317</v>
      </c>
      <c r="AN179" s="64" t="s" ph="1">
        <v>293</v>
      </c>
      <c r="AO179" s="64" t="s" ph="1">
        <v>318</v>
      </c>
      <c r="AP179" s="64" t="s" ph="1">
        <v>297</v>
      </c>
      <c r="AQ179" s="64" t="s" ph="1">
        <v>319</v>
      </c>
      <c r="AR179" s="64" t="s" ph="1">
        <v>320</v>
      </c>
    </row>
    <row r="180" spans="36:56" ph="1">
      <c r="AJ180" s="64" t="s" ph="1">
        <v>312</v>
      </c>
      <c r="AK180" s="64" t="s" ph="1">
        <v>312</v>
      </c>
      <c r="AL180" s="64" ph="1">
        <v>116</v>
      </c>
      <c r="AM180" s="64" t="s" ph="1">
        <v>312</v>
      </c>
      <c r="AN180" s="64" t="s" ph="1">
        <v>321</v>
      </c>
      <c r="AO180" s="64" t="s" ph="1">
        <v>312</v>
      </c>
      <c r="AP180" s="64" t="s" ph="1">
        <v>322</v>
      </c>
      <c r="AQ180" s="64" t="s" ph="1">
        <v>323</v>
      </c>
      <c r="AR180" s="64" t="s" ph="1">
        <v>324</v>
      </c>
    </row>
    <row r="189" spans="36:56" ph="1">
      <c r="BD189" s="64" t="s" ph="1">
        <v>568</v>
      </c>
    </row>
    <row r="223" spans="18:18" ph="1">
      <c r="R223" s="135" ph="1">
        <v>45496</v>
      </c>
    </row>
  </sheetData>
  <mergeCells count="58"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S31:U31"/>
    <mergeCell ref="V31:X31"/>
    <mergeCell ref="Y31:AA31"/>
    <mergeCell ref="AB31:AE31"/>
    <mergeCell ref="AD32:AE32"/>
    <mergeCell ref="B33:C34"/>
    <mergeCell ref="D33:D34"/>
    <mergeCell ref="E33:E34"/>
    <mergeCell ref="F33:F34"/>
    <mergeCell ref="G33:G34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</mergeCells>
  <phoneticPr fontId="2" type="noConversion"/>
  <conditionalFormatting sqref="D4:D11">
    <cfRule type="expression" dxfId="654" priority="101">
      <formula>ABS(D$7-D$10)&gt;=1000</formula>
    </cfRule>
  </conditionalFormatting>
  <conditionalFormatting sqref="E4 E6:E11">
    <cfRule type="expression" dxfId="653" priority="100">
      <formula>ABS(E$7-E$10)&gt;=1000</formula>
    </cfRule>
  </conditionalFormatting>
  <conditionalFormatting sqref="F4:F11">
    <cfRule type="expression" dxfId="652" priority="99">
      <formula>ABS(F$7-F$10)&gt;=1000</formula>
    </cfRule>
  </conditionalFormatting>
  <conditionalFormatting sqref="G4:G11">
    <cfRule type="expression" dxfId="651" priority="98">
      <formula>ABS(G$7-G$10)&gt;=1000</formula>
    </cfRule>
  </conditionalFormatting>
  <conditionalFormatting sqref="H4:H11">
    <cfRule type="expression" dxfId="650" priority="97">
      <formula>ABS(H$7-H$10)&gt;=1000</formula>
    </cfRule>
  </conditionalFormatting>
  <conditionalFormatting sqref="I4:I11">
    <cfRule type="expression" dxfId="649" priority="96">
      <formula>ABS(I$7-I$10)&gt;=1000</formula>
    </cfRule>
  </conditionalFormatting>
  <conditionalFormatting sqref="J4:J11">
    <cfRule type="expression" dxfId="648" priority="95">
      <formula>ABS(J$7-J$10)&gt;=1000</formula>
    </cfRule>
  </conditionalFormatting>
  <conditionalFormatting sqref="K4:K11">
    <cfRule type="expression" dxfId="647" priority="94">
      <formula>ABS(K$7-K$10)&gt;=1000</formula>
    </cfRule>
  </conditionalFormatting>
  <conditionalFormatting sqref="L4:L11">
    <cfRule type="expression" dxfId="646" priority="93">
      <formula>ABS(L$7-L$10)&gt;=1000</formula>
    </cfRule>
  </conditionalFormatting>
  <conditionalFormatting sqref="M4 M6:M11">
    <cfRule type="expression" dxfId="645" priority="92">
      <formula>ABS(M$7-M$10)&gt;=1000</formula>
    </cfRule>
  </conditionalFormatting>
  <conditionalFormatting sqref="N4 N6:N11">
    <cfRule type="expression" dxfId="644" priority="91">
      <formula>ABS(N$7-N$10)&gt;=1000</formula>
    </cfRule>
  </conditionalFormatting>
  <conditionalFormatting sqref="O4 O6:O11">
    <cfRule type="expression" dxfId="643" priority="90">
      <formula>ABS(O$7-O$10)&gt;=1000</formula>
    </cfRule>
  </conditionalFormatting>
  <conditionalFormatting sqref="P4 P6:P11">
    <cfRule type="expression" dxfId="642" priority="89">
      <formula>ABS(P$7-P$10)&gt;=1000</formula>
    </cfRule>
  </conditionalFormatting>
  <conditionalFormatting sqref="Q4:Q11">
    <cfRule type="expression" dxfId="641" priority="88">
      <formula>ABS(Q$7-Q$10)&gt;=1000</formula>
    </cfRule>
  </conditionalFormatting>
  <conditionalFormatting sqref="R4:R11">
    <cfRule type="expression" dxfId="640" priority="87">
      <formula>ABS(R$7-R$10)&gt;=1000</formula>
    </cfRule>
  </conditionalFormatting>
  <conditionalFormatting sqref="S4:S11">
    <cfRule type="expression" dxfId="639" priority="86">
      <formula>ABS(S$7-S$10)&gt;=1000</formula>
    </cfRule>
  </conditionalFormatting>
  <conditionalFormatting sqref="T4:T9 T11">
    <cfRule type="expression" dxfId="638" priority="85">
      <formula>ABS(T$7-T$10)&gt;=1000</formula>
    </cfRule>
  </conditionalFormatting>
  <conditionalFormatting sqref="U4:U9 U11">
    <cfRule type="expression" dxfId="637" priority="84">
      <formula>ABS(U$7-U$10)&gt;=1000</formula>
    </cfRule>
  </conditionalFormatting>
  <conditionalFormatting sqref="V4:V9 V11">
    <cfRule type="expression" dxfId="636" priority="83">
      <formula>ABS(V$7-V$10)&gt;=1000</formula>
    </cfRule>
  </conditionalFormatting>
  <conditionalFormatting sqref="W4:W9 W11">
    <cfRule type="expression" dxfId="635" priority="82">
      <formula>ABS(W$7-W$10)&gt;=1000</formula>
    </cfRule>
  </conditionalFormatting>
  <conditionalFormatting sqref="X4:X9 X11">
    <cfRule type="expression" dxfId="634" priority="81">
      <formula>ABS(X$7-X$10)&gt;=1000</formula>
    </cfRule>
  </conditionalFormatting>
  <conditionalFormatting sqref="Y4:Y9 Y11">
    <cfRule type="expression" dxfId="633" priority="80">
      <formula>ABS(Y$7-Y$10)&gt;=1000</formula>
    </cfRule>
  </conditionalFormatting>
  <conditionalFormatting sqref="Z4:Z11">
    <cfRule type="expression" dxfId="632" priority="79">
      <formula>ABS(Z$7-Z$10)&gt;=1000</formula>
    </cfRule>
  </conditionalFormatting>
  <conditionalFormatting sqref="AA4:AA11">
    <cfRule type="expression" dxfId="631" priority="78">
      <formula>ABS(AA$7-AA$10)&gt;=1000</formula>
    </cfRule>
  </conditionalFormatting>
  <conditionalFormatting sqref="AB4:AB11">
    <cfRule type="expression" dxfId="630" priority="77">
      <formula>ABS(AB$7-AB$10)&gt;=1000</formula>
    </cfRule>
  </conditionalFormatting>
  <conditionalFormatting sqref="AC4 AC6:AC11">
    <cfRule type="expression" dxfId="629" priority="76">
      <formula>ABS(AC$7-AC$10)&gt;=1000</formula>
    </cfRule>
  </conditionalFormatting>
  <conditionalFormatting sqref="AD4 AD6:AD11">
    <cfRule type="expression" dxfId="628" priority="75">
      <formula>ABS(AD$7-AD$10)&gt;=1000</formula>
    </cfRule>
  </conditionalFormatting>
  <conditionalFormatting sqref="AE4 AE6:AE11">
    <cfRule type="expression" dxfId="627" priority="74">
      <formula>ABS(AE$7-AE$10)&gt;=1000</formula>
    </cfRule>
  </conditionalFormatting>
  <conditionalFormatting sqref="D13:D20">
    <cfRule type="expression" dxfId="626" priority="73">
      <formula>ABS(D$16-D$19)&gt;=1000</formula>
    </cfRule>
  </conditionalFormatting>
  <conditionalFormatting sqref="E13:E20">
    <cfRule type="expression" dxfId="625" priority="72">
      <formula>ABS(E$16-E$19)&gt;=1000</formula>
    </cfRule>
  </conditionalFormatting>
  <conditionalFormatting sqref="F13 F15:F20">
    <cfRule type="expression" dxfId="624" priority="71">
      <formula>ABS(F$16-F$19)&gt;=1000</formula>
    </cfRule>
  </conditionalFormatting>
  <conditionalFormatting sqref="G13:G20">
    <cfRule type="expression" dxfId="623" priority="70">
      <formula>ABS(G$16-G$19)&gt;=1000</formula>
    </cfRule>
  </conditionalFormatting>
  <conditionalFormatting sqref="H13 H15:H20">
    <cfRule type="expression" dxfId="622" priority="69">
      <formula>ABS(H$16-H$19)&gt;=1000</formula>
    </cfRule>
  </conditionalFormatting>
  <conditionalFormatting sqref="I13:I20">
    <cfRule type="expression" dxfId="621" priority="68">
      <formula>ABS(I$16-I$19)&gt;=1000</formula>
    </cfRule>
  </conditionalFormatting>
  <conditionalFormatting sqref="J13:J20">
    <cfRule type="expression" dxfId="620" priority="67">
      <formula>ABS(J$16-J$19)&gt;=1000</formula>
    </cfRule>
  </conditionalFormatting>
  <conditionalFormatting sqref="L13:L20">
    <cfRule type="expression" dxfId="619" priority="66">
      <formula>ABS(L$16-L$19)&gt;=1000</formula>
    </cfRule>
  </conditionalFormatting>
  <conditionalFormatting sqref="M13 M15 M17:M18 M20">
    <cfRule type="expression" dxfId="618" priority="65">
      <formula>ABS(M$16-M$19)&gt;=1000</formula>
    </cfRule>
  </conditionalFormatting>
  <conditionalFormatting sqref="N13:N20">
    <cfRule type="expression" dxfId="617" priority="64">
      <formula>ABS(N$16-N$19)&gt;=1000</formula>
    </cfRule>
  </conditionalFormatting>
  <conditionalFormatting sqref="O13:O20">
    <cfRule type="expression" dxfId="616" priority="63">
      <formula>ABS(O$16-O$19)&gt;=1000</formula>
    </cfRule>
  </conditionalFormatting>
  <conditionalFormatting sqref="P13:P20">
    <cfRule type="expression" dxfId="615" priority="62">
      <formula>ABS(P$16-P$19)&gt;=1000</formula>
    </cfRule>
  </conditionalFormatting>
  <conditionalFormatting sqref="Q13 Q15:Q20">
    <cfRule type="expression" dxfId="614" priority="61">
      <formula>ABS(Q$16-Q$19)&gt;=1000</formula>
    </cfRule>
  </conditionalFormatting>
  <conditionalFormatting sqref="R13:R20">
    <cfRule type="expression" dxfId="613" priority="60">
      <formula>ABS(R$16-R$19)&gt;=1000</formula>
    </cfRule>
  </conditionalFormatting>
  <conditionalFormatting sqref="S13:S20">
    <cfRule type="expression" dxfId="612" priority="59">
      <formula>ABS(S$16-S$19)&gt;=1000</formula>
    </cfRule>
  </conditionalFormatting>
  <conditionalFormatting sqref="T13:T15 T17:T20">
    <cfRule type="expression" dxfId="611" priority="58">
      <formula>ABS(T$16-T$19)&gt;=1000</formula>
    </cfRule>
  </conditionalFormatting>
  <conditionalFormatting sqref="U13:U20">
    <cfRule type="expression" dxfId="610" priority="57">
      <formula>ABS(U$16-U$19)&gt;=1000</formula>
    </cfRule>
  </conditionalFormatting>
  <conditionalFormatting sqref="V13:V20">
    <cfRule type="expression" dxfId="609" priority="56">
      <formula>ABS(V$16-V$19)&gt;=1000</formula>
    </cfRule>
  </conditionalFormatting>
  <conditionalFormatting sqref="W13 W20 W15:W18">
    <cfRule type="expression" dxfId="608" priority="55">
      <formula>ABS(W$16-W$19)&gt;=1000</formula>
    </cfRule>
  </conditionalFormatting>
  <conditionalFormatting sqref="X13 X15:X20 Y19">
    <cfRule type="expression" dxfId="607" priority="54">
      <formula>ABS(X$16-X$19)&gt;=1000</formula>
    </cfRule>
  </conditionalFormatting>
  <conditionalFormatting sqref="Y13 Y15:Y18 Y20">
    <cfRule type="expression" dxfId="606" priority="53">
      <formula>ABS(Y$16-Y$19)&gt;=1000</formula>
    </cfRule>
  </conditionalFormatting>
  <conditionalFormatting sqref="Z13:Z20">
    <cfRule type="expression" dxfId="605" priority="52">
      <formula>ABS(Z$16-Z$19)&gt;=1000</formula>
    </cfRule>
  </conditionalFormatting>
  <conditionalFormatting sqref="AA13:AA20">
    <cfRule type="expression" dxfId="604" priority="51">
      <formula>ABS(AA$16-AA$19)&gt;=1000</formula>
    </cfRule>
  </conditionalFormatting>
  <conditionalFormatting sqref="AB13 AB15:AB20">
    <cfRule type="expression" dxfId="603" priority="50">
      <formula>ABS(AB$16-AB$19)&gt;=1000</formula>
    </cfRule>
  </conditionalFormatting>
  <conditionalFormatting sqref="AC13 AC15:AC20">
    <cfRule type="expression" dxfId="602" priority="49">
      <formula>ABS(AC$16-AC$19)&gt;=1000</formula>
    </cfRule>
  </conditionalFormatting>
  <conditionalFormatting sqref="AD13:AD20">
    <cfRule type="expression" dxfId="601" priority="48">
      <formula>ABS(AD$16-AD$19)&gt;=1000</formula>
    </cfRule>
  </conditionalFormatting>
  <conditionalFormatting sqref="AE13:AE20">
    <cfRule type="expression" dxfId="600" priority="47">
      <formula>ABS(AE$16-AE$19)&gt;=1000</formula>
    </cfRule>
  </conditionalFormatting>
  <conditionalFormatting sqref="D22:D29">
    <cfRule type="expression" dxfId="599" priority="46">
      <formula>ABS(D$25-D$28)&gt;=1000</formula>
    </cfRule>
  </conditionalFormatting>
  <conditionalFormatting sqref="E22:E29">
    <cfRule type="expression" dxfId="598" priority="45">
      <formula>ABS(E$25-E$28)&gt;=1000</formula>
    </cfRule>
  </conditionalFormatting>
  <conditionalFormatting sqref="F22:F29">
    <cfRule type="expression" dxfId="597" priority="44">
      <formula>ABS(F$25-F$28)&gt;=1000</formula>
    </cfRule>
  </conditionalFormatting>
  <conditionalFormatting sqref="G22:G29">
    <cfRule type="expression" dxfId="596" priority="43">
      <formula>ABS(G$25-G$28)&gt;=1000</formula>
    </cfRule>
  </conditionalFormatting>
  <conditionalFormatting sqref="H22:H29">
    <cfRule type="expression" dxfId="595" priority="42">
      <formula>ABS(H$25-H$28)&gt;=1000</formula>
    </cfRule>
  </conditionalFormatting>
  <conditionalFormatting sqref="I22 I24:I29">
    <cfRule type="expression" dxfId="594" priority="41">
      <formula>ABS(I$25-I$28)&gt;=1000</formula>
    </cfRule>
  </conditionalFormatting>
  <conditionalFormatting sqref="J22:J29 K22">
    <cfRule type="expression" dxfId="593" priority="40">
      <formula>ABS(J$25-J$28)&gt;=1000</formula>
    </cfRule>
  </conditionalFormatting>
  <conditionalFormatting sqref="K23:K29 L25 L28">
    <cfRule type="expression" dxfId="592" priority="39">
      <formula>ABS(K$25-K$28)&gt;=1000</formula>
    </cfRule>
  </conditionalFormatting>
  <conditionalFormatting sqref="L22 L26:L27 L29 L24">
    <cfRule type="expression" dxfId="591" priority="38">
      <formula>ABS(L$25-L$28)&gt;=1000</formula>
    </cfRule>
  </conditionalFormatting>
  <conditionalFormatting sqref="M22:M29">
    <cfRule type="expression" dxfId="590" priority="37">
      <formula>ABS(M$25-M$28)&gt;=1000</formula>
    </cfRule>
  </conditionalFormatting>
  <conditionalFormatting sqref="N22:N29">
    <cfRule type="expression" dxfId="589" priority="36">
      <formula>ABS(N$25-N$28)&gt;=1000</formula>
    </cfRule>
  </conditionalFormatting>
  <conditionalFormatting sqref="O22:O29">
    <cfRule type="expression" dxfId="588" priority="35">
      <formula>ABS(O$25-O$28)&gt;=1000</formula>
    </cfRule>
  </conditionalFormatting>
  <conditionalFormatting sqref="P22:P29">
    <cfRule type="expression" dxfId="587" priority="34">
      <formula>ABS(P$25-P$28)&gt;=1000</formula>
    </cfRule>
  </conditionalFormatting>
  <conditionalFormatting sqref="Q22:Q29">
    <cfRule type="expression" dxfId="586" priority="33">
      <formula>ABS(Q$25-Q$28)&gt;=1000</formula>
    </cfRule>
  </conditionalFormatting>
  <conditionalFormatting sqref="R22:R29">
    <cfRule type="expression" dxfId="585" priority="32">
      <formula>ABS(R$25-R$28)&gt;=1000</formula>
    </cfRule>
  </conditionalFormatting>
  <conditionalFormatting sqref="S22:S29">
    <cfRule type="expression" dxfId="584" priority="31">
      <formula>ABS(S$25-S$28)&gt;=1000</formula>
    </cfRule>
  </conditionalFormatting>
  <conditionalFormatting sqref="T22:T29">
    <cfRule type="expression" dxfId="583" priority="30">
      <formula>ABS(T$25-T$28)&gt;=1000</formula>
    </cfRule>
  </conditionalFormatting>
  <conditionalFormatting sqref="U22:U29">
    <cfRule type="expression" dxfId="582" priority="29">
      <formula>ABS(U$25-U$28)&gt;=1000</formula>
    </cfRule>
  </conditionalFormatting>
  <conditionalFormatting sqref="V22:V29">
    <cfRule type="expression" dxfId="581" priority="28">
      <formula>ABS(V$25-V$28)&gt;=1000</formula>
    </cfRule>
  </conditionalFormatting>
  <conditionalFormatting sqref="W22:W29">
    <cfRule type="expression" dxfId="580" priority="27">
      <formula>ABS(W$25-W$28)&gt;=1000</formula>
    </cfRule>
  </conditionalFormatting>
  <conditionalFormatting sqref="X22:X29">
    <cfRule type="expression" dxfId="579" priority="26">
      <formula>ABS(X$25-X$28)&gt;=1000</formula>
    </cfRule>
  </conditionalFormatting>
  <conditionalFormatting sqref="Y22:Y29">
    <cfRule type="expression" dxfId="578" priority="25">
      <formula>ABS(Y$25-Y$28)&gt;=1000</formula>
    </cfRule>
  </conditionalFormatting>
  <conditionalFormatting sqref="I23">
    <cfRule type="expression" dxfId="577" priority="24">
      <formula>ABS(I$25-I$28)&gt;=1000</formula>
    </cfRule>
  </conditionalFormatting>
  <conditionalFormatting sqref="Q14">
    <cfRule type="expression" dxfId="576" priority="23">
      <formula>ABS(Q$16-Q$19)&gt;=1000</formula>
    </cfRule>
  </conditionalFormatting>
  <conditionalFormatting sqref="W14">
    <cfRule type="expression" dxfId="575" priority="22">
      <formula>ABS(W$16-W$19)&gt;=1000</formula>
    </cfRule>
  </conditionalFormatting>
  <conditionalFormatting sqref="X14">
    <cfRule type="expression" dxfId="574" priority="21">
      <formula>ABS(X$16-X$19)&gt;=1000</formula>
    </cfRule>
  </conditionalFormatting>
  <conditionalFormatting sqref="T10:Y10">
    <cfRule type="expression" dxfId="573" priority="20">
      <formula>ABS(T$7-T$10)&gt;=1000</formula>
    </cfRule>
  </conditionalFormatting>
  <conditionalFormatting sqref="W19">
    <cfRule type="expression" dxfId="572" priority="19">
      <formula>ABS(W$16-W$19)&gt;=1000</formula>
    </cfRule>
  </conditionalFormatting>
  <conditionalFormatting sqref="AC5">
    <cfRule type="expression" dxfId="571" priority="18">
      <formula>ABS(AC$7-AC$10)&gt;=1000</formula>
    </cfRule>
  </conditionalFormatting>
  <conditionalFormatting sqref="M14">
    <cfRule type="expression" dxfId="570" priority="17">
      <formula>ABS(M$16-M$19)&gt;=1000</formula>
    </cfRule>
  </conditionalFormatting>
  <conditionalFormatting sqref="M16">
    <cfRule type="expression" dxfId="569" priority="16">
      <formula>ABS(M$16-M$19)&gt;=1000</formula>
    </cfRule>
  </conditionalFormatting>
  <conditionalFormatting sqref="M19">
    <cfRule type="expression" dxfId="568" priority="15">
      <formula>ABS(M$16-M$19)&gt;=1000</formula>
    </cfRule>
  </conditionalFormatting>
  <conditionalFormatting sqref="K13:K20">
    <cfRule type="expression" dxfId="567" priority="14">
      <formula>ABS(K$16-K$19)&gt;=1000</formula>
    </cfRule>
  </conditionalFormatting>
  <conditionalFormatting sqref="E5">
    <cfRule type="expression" dxfId="566" priority="13">
      <formula>ABS(E$7-E$10)&gt;=1000</formula>
    </cfRule>
  </conditionalFormatting>
  <conditionalFormatting sqref="AB14:AC14">
    <cfRule type="expression" dxfId="565" priority="12">
      <formula>ABS(AB$16-AB$19)&gt;=1000</formula>
    </cfRule>
  </conditionalFormatting>
  <conditionalFormatting sqref="M5">
    <cfRule type="expression" dxfId="564" priority="11">
      <formula>ABS(M$7-M$10)&gt;=1000</formula>
    </cfRule>
  </conditionalFormatting>
  <conditionalFormatting sqref="N5">
    <cfRule type="expression" dxfId="563" priority="10">
      <formula>ABS(N$7-N$10)&gt;=1000</formula>
    </cfRule>
  </conditionalFormatting>
  <conditionalFormatting sqref="O5">
    <cfRule type="expression" dxfId="562" priority="9">
      <formula>ABS(O$7-O$10)&gt;=1000</formula>
    </cfRule>
  </conditionalFormatting>
  <conditionalFormatting sqref="P5">
    <cfRule type="expression" dxfId="561" priority="8">
      <formula>ABS(P$7-P$10)&gt;=1000</formula>
    </cfRule>
  </conditionalFormatting>
  <conditionalFormatting sqref="L23">
    <cfRule type="expression" dxfId="560" priority="7">
      <formula>ABS(L$25-L$28)&gt;=1000</formula>
    </cfRule>
  </conditionalFormatting>
  <conditionalFormatting sqref="Y14">
    <cfRule type="expression" dxfId="559" priority="6">
      <formula>ABS(Y$16-Y$19)&gt;=1000</formula>
    </cfRule>
  </conditionalFormatting>
  <conditionalFormatting sqref="F14">
    <cfRule type="expression" dxfId="558" priority="5">
      <formula>ABS(F$16-F$19)&gt;=1000</formula>
    </cfRule>
  </conditionalFormatting>
  <conditionalFormatting sqref="H14">
    <cfRule type="expression" dxfId="557" priority="4">
      <formula>ABS(H$16-H$19)&gt;=1000</formula>
    </cfRule>
  </conditionalFormatting>
  <conditionalFormatting sqref="AD5">
    <cfRule type="expression" dxfId="556" priority="3">
      <formula>ABS(AD$7-AD$10)&gt;=1000</formula>
    </cfRule>
  </conditionalFormatting>
  <conditionalFormatting sqref="AE5">
    <cfRule type="expression" dxfId="555" priority="2">
      <formula>ABS(AE$7-AE$10)&gt;=1000</formula>
    </cfRule>
  </conditionalFormatting>
  <conditionalFormatting sqref="T16">
    <cfRule type="expression" dxfId="554" priority="1">
      <formula>ABS(T$16-T$19)&gt;=1000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87681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917">
    <pageSetUpPr fitToPage="1"/>
  </sheetPr>
  <dimension ref="A1:CU223"/>
  <sheetViews>
    <sheetView view="pageBreakPreview" zoomScale="70" zoomScaleNormal="100" zoomScaleSheetLayoutView="70" workbookViewId="0">
      <selection activeCell="O6" sqref="O6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185" t="s" ph="1">
        <v>161</v>
      </c>
      <c r="C1" s="185" ph="1"/>
      <c r="D1" s="185" ph="1"/>
      <c r="E1" s="185" ph="1"/>
      <c r="F1" s="185" ph="1"/>
      <c r="G1" s="185" ph="1"/>
      <c r="H1" s="185" ph="1"/>
      <c r="I1" s="185" ph="1"/>
      <c r="J1" s="185" ph="1"/>
      <c r="K1" s="185" ph="1"/>
      <c r="L1" s="185" ph="1"/>
      <c r="M1" s="185" ph="1"/>
      <c r="N1" s="185" ph="1"/>
      <c r="O1" s="185" ph="1"/>
      <c r="P1" s="185" ph="1"/>
      <c r="Q1" s="185" ph="1"/>
      <c r="R1" s="185" ph="1"/>
      <c r="S1" s="185" ph="1"/>
      <c r="T1" s="185" ph="1"/>
      <c r="U1" s="185" ph="1"/>
      <c r="V1" s="185" ph="1"/>
      <c r="W1" s="185" ph="1"/>
      <c r="X1" s="185" ph="1"/>
      <c r="Y1" s="185" ph="1"/>
      <c r="Z1" s="185" ph="1"/>
      <c r="AA1" s="185" ph="1"/>
      <c r="AB1" s="185" ph="1"/>
      <c r="AC1" s="185" ph="1"/>
      <c r="AD1" s="185" ph="1"/>
      <c r="AE1" s="185" ph="1"/>
    </row>
    <row r="2" spans="1:99" s="66" customFormat="1" ht="24" customHeight="1" ph="1">
      <c r="B2" s="186" t="s" ph="1">
        <v>82</v>
      </c>
      <c r="C2" s="186" ph="1"/>
      <c r="D2" s="186" ph="1"/>
      <c r="E2" s="186" ph="1"/>
      <c r="F2" s="186" ph="1"/>
      <c r="G2" s="186" ph="1"/>
      <c r="H2" s="186" ph="1"/>
      <c r="I2" s="186" ph="1"/>
      <c r="J2" s="186" ph="1"/>
      <c r="K2" s="186" ph="1"/>
      <c r="L2" s="186" ph="1"/>
      <c r="M2" s="186" ph="1"/>
      <c r="N2" s="186" ph="1"/>
      <c r="O2" s="186" ph="1"/>
      <c r="P2" s="186" ph="1"/>
      <c r="Q2" s="186" ph="1"/>
      <c r="R2" s="186" ph="1"/>
      <c r="S2" s="186" ph="1"/>
      <c r="T2" s="186" ph="1"/>
      <c r="U2" s="186" ph="1"/>
      <c r="V2" s="186" ph="1"/>
      <c r="W2" s="186" ph="1"/>
      <c r="X2" s="186" ph="1"/>
      <c r="Y2" s="186" ph="1"/>
      <c r="Z2" s="186" ph="1"/>
      <c r="AA2" s="186" ph="1"/>
      <c r="AB2" s="186" ph="1"/>
      <c r="AC2" s="186" ph="1"/>
      <c r="AD2" s="186" ph="1"/>
      <c r="AE2" s="186" ph="1"/>
    </row>
    <row r="3" spans="1:99" ht="21" customHeight="1" ph="1">
      <c r="B3" s="187" ph="1">
        <v>46198</v>
      </c>
      <c r="C3" s="187"/>
      <c r="D3" s="187"/>
      <c r="E3" s="187"/>
      <c r="F3" s="187"/>
      <c r="G3" s="187"/>
      <c r="H3" s="187"/>
      <c r="I3" s="187"/>
      <c r="J3" s="187"/>
      <c r="K3" s="187"/>
      <c r="L3" s="187"/>
      <c r="M3" s="187"/>
      <c r="N3" s="187"/>
      <c r="O3" s="187"/>
      <c r="P3" s="187"/>
      <c r="Q3" s="187"/>
      <c r="R3" s="187"/>
      <c r="S3" s="187"/>
      <c r="T3" s="187"/>
      <c r="U3" s="187"/>
      <c r="V3" s="187"/>
      <c r="W3" s="187"/>
      <c r="X3" s="187"/>
      <c r="Y3" s="187"/>
      <c r="Z3" s="187"/>
      <c r="AA3" s="187"/>
      <c r="AB3" s="187"/>
      <c r="AC3" s="187"/>
      <c r="AD3" s="187"/>
      <c r="AE3" s="187"/>
    </row>
    <row r="4" spans="1:99" s="69" customFormat="1" ph="1">
      <c r="A4" s="65" ph="1"/>
      <c r="B4" s="188" t="s" ph="1">
        <v>37</v>
      </c>
      <c r="C4" s="67" t="s" ph="1">
        <v>176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110</v>
      </c>
      <c r="J4" s="68" t="s" ph="1">
        <v>48</v>
      </c>
      <c r="K4" s="68" t="s" ph="1">
        <v>111</v>
      </c>
      <c r="L4" s="68" t="s" ph="1">
        <v>112</v>
      </c>
      <c r="M4" s="68" t="s" ph="1">
        <v>49</v>
      </c>
      <c r="N4" s="68" t="s" ph="1">
        <v>50</v>
      </c>
      <c r="O4" s="68" t="s" ph="1">
        <v>113</v>
      </c>
      <c r="P4" s="68" t="s" ph="1">
        <v>114</v>
      </c>
      <c r="Q4" s="68" t="s" ph="1">
        <v>115</v>
      </c>
      <c r="R4" s="68" t="s" ph="1">
        <v>116</v>
      </c>
      <c r="S4" s="68" t="s" ph="1">
        <v>117</v>
      </c>
      <c r="T4" s="68" t="s" ph="1">
        <v>118</v>
      </c>
      <c r="U4" s="68" t="s" ph="1">
        <v>119</v>
      </c>
      <c r="V4" s="68" t="s" ph="1">
        <v>120</v>
      </c>
      <c r="W4" s="68" t="s" ph="1">
        <v>121</v>
      </c>
      <c r="X4" s="68" t="s" ph="1">
        <v>122</v>
      </c>
      <c r="Y4" s="68" t="s" ph="1">
        <v>123</v>
      </c>
      <c r="Z4" s="68" t="s" ph="1">
        <v>51</v>
      </c>
      <c r="AA4" s="68" t="s" ph="1">
        <v>124</v>
      </c>
      <c r="AB4" s="68" t="s" ph="1">
        <v>125</v>
      </c>
      <c r="AC4" s="68" t="s" ph="1">
        <v>126</v>
      </c>
      <c r="AD4" s="68" t="s" ph="1">
        <v>40</v>
      </c>
      <c r="AE4" s="68" t="s" ph="1">
        <v>127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188" ph="1"/>
      <c r="C5" s="67" t="s" ph="1">
        <v>36</v>
      </c>
      <c r="D5" s="70" t="s" ph="1">
        <v>160</v>
      </c>
      <c r="E5" s="142" t="s" ph="1">
        <v>7</v>
      </c>
      <c r="F5" s="142" t="s" ph="1">
        <v>1</v>
      </c>
      <c r="G5" s="142" t="s" ph="1">
        <v>7</v>
      </c>
      <c r="H5" s="142" t="s" ph="1">
        <v>7</v>
      </c>
      <c r="I5" s="141" t="s" ph="1">
        <v>608</v>
      </c>
      <c r="J5" s="141" t="s" ph="1">
        <v>609</v>
      </c>
      <c r="K5" s="141" t="s" ph="1">
        <v>611</v>
      </c>
      <c r="L5" s="141" t="s" ph="1">
        <v>613</v>
      </c>
      <c r="M5" s="141" t="s" ph="1">
        <v>608</v>
      </c>
      <c r="N5" s="70" t="s" ph="1">
        <v>609</v>
      </c>
      <c r="O5" s="70" t="s" ph="1">
        <v>611</v>
      </c>
      <c r="P5" s="70" t="s" ph="1">
        <v>613</v>
      </c>
      <c r="Q5" s="70" t="s" ph="1">
        <v>607</v>
      </c>
      <c r="R5" s="70" t="s" ph="1">
        <v>607</v>
      </c>
      <c r="S5" s="70" t="s" ph="1">
        <v>607</v>
      </c>
      <c r="T5" s="70" t="s" ph="1">
        <v>607</v>
      </c>
      <c r="U5" s="70" t="s" ph="1">
        <v>607</v>
      </c>
      <c r="V5" s="70" t="s" ph="1">
        <v>607</v>
      </c>
      <c r="W5" s="70" t="s" ph="1">
        <v>607</v>
      </c>
      <c r="X5" s="70" t="s" ph="1">
        <v>607</v>
      </c>
      <c r="Y5" s="70" t="s" ph="1">
        <v>607</v>
      </c>
      <c r="Z5" s="70" t="s" ph="1">
        <v>614</v>
      </c>
      <c r="AA5" s="70" t="s" ph="1">
        <v>54</v>
      </c>
      <c r="AB5" s="70" t="s" ph="1">
        <v>54</v>
      </c>
      <c r="AC5" s="70" t="s" ph="1">
        <v>615</v>
      </c>
      <c r="AD5" s="71" t="s">
        <v>72</v>
      </c>
      <c r="AE5" s="71" t="s">
        <v>635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184" ph="1">
        <v>0.33333333333333331</v>
      </c>
      <c r="C6" s="159" t="s" ph="1">
        <v>177</v>
      </c>
      <c r="D6" s="71">
        <v>333</v>
      </c>
      <c r="E6" s="71">
        <v>7550</v>
      </c>
      <c r="F6" s="71">
        <v>5844</v>
      </c>
      <c r="G6" s="71">
        <v>2318</v>
      </c>
      <c r="H6" s="71">
        <v>2646</v>
      </c>
      <c r="I6" s="71">
        <v>38.69</v>
      </c>
      <c r="J6" s="71">
        <v>77.02</v>
      </c>
      <c r="K6" s="71">
        <v>62.56</v>
      </c>
      <c r="L6" s="71">
        <v>6.82</v>
      </c>
      <c r="M6" s="71">
        <v>5618</v>
      </c>
      <c r="N6" s="71">
        <v>6454</v>
      </c>
      <c r="O6" s="71">
        <v>407</v>
      </c>
      <c r="P6" s="71">
        <v>2540</v>
      </c>
      <c r="Q6" s="71">
        <v>7191</v>
      </c>
      <c r="R6" s="71">
        <v>5996</v>
      </c>
      <c r="S6" s="71">
        <v>5180</v>
      </c>
      <c r="T6" s="71">
        <v>3052</v>
      </c>
      <c r="U6" s="71">
        <v>2358</v>
      </c>
      <c r="V6" s="71">
        <v>70</v>
      </c>
      <c r="W6" s="71">
        <v>0</v>
      </c>
      <c r="X6" s="71">
        <v>0</v>
      </c>
      <c r="Y6" s="71">
        <v>3397</v>
      </c>
      <c r="Z6" s="71">
        <v>3721</v>
      </c>
      <c r="AA6" s="71">
        <v>0</v>
      </c>
      <c r="AB6" s="71">
        <v>2207</v>
      </c>
      <c r="AC6" s="71">
        <v>7211</v>
      </c>
      <c r="AD6" s="71">
        <v>3886</v>
      </c>
      <c r="AE6" s="71">
        <v>4800</v>
      </c>
    </row>
    <row r="7" spans="1:99" s="72" customFormat="1" ht="22.2" ph="1">
      <c r="B7" s="184" ph="1"/>
      <c r="C7" s="68" t="s" ph="1">
        <v>178</v>
      </c>
      <c r="D7" s="73" ph="1">
        <f>D6*33.183*LOOKUP(D8,密度!$A$2:$A$50,密度!$Q$2:$Q$50)</f>
        <v>10445.72833548</v>
      </c>
      <c r="E7" s="73" ph="1">
        <f>E6*51.53*LOOKUP(E8,密度!$A$2:$A$50,密度!$B$2:$B$50)</f>
        <v>302643.16185000003</v>
      </c>
      <c r="F7" s="73" ph="1">
        <f>F6*33.183*LOOKUP(F8,密度!$A$2:$A$50,密度!$C$2:$C$50)</f>
        <v>214593.4787832</v>
      </c>
      <c r="G7" s="73" ph="1">
        <f xml:space="preserve"> (G6+2)*51.53*LOOKUP(G8,密度!$A$2:$A$50,密度!$B$2:$B$50)</f>
        <v>92794.399520000006</v>
      </c>
      <c r="H7" s="73" ph="1">
        <f>(H6)*51.53*LOOKUP(H8,密度!$A$2:$A$50,密度!$B$2:$B$50)</f>
        <v>106419.91059</v>
      </c>
      <c r="I7" s="73" ph="1">
        <f>I6*290.8*1.0267</f>
        <v>11551.455088399998</v>
      </c>
      <c r="J7" s="73" ph="1">
        <f>J6*290.8*0.7892</f>
        <v>17676.040707200002</v>
      </c>
      <c r="K7" s="73" ph="1">
        <f>K6*290.8*1.1126</f>
        <v>20240.9176448</v>
      </c>
      <c r="L7" s="73" ph="1">
        <f>L6*290.8*0.777</f>
        <v>1540.989912</v>
      </c>
      <c r="M7" s="73" ph="1">
        <f>M6*33.183*LOOKUP(M8,密度!$A$2:$A$50,密度!$D$2:$D$50)</f>
        <v>190523.38006800003</v>
      </c>
      <c r="N7" s="73" ph="1">
        <f>N6*33.183*LOOKUP(N8,密度!$A$2:$A$50,密度!$E$2:$E$50)</f>
        <v>166286.92501889999</v>
      </c>
      <c r="O7" s="73" ph="1">
        <f>O6*20.428*LOOKUP(O8,密度!$A$2:$A$50,密度!$C$2:$C$50)</f>
        <v>9188.0179995999988</v>
      </c>
      <c r="P7" s="73" ph="1">
        <f>P6*51.53*LOOKUP(P8,密度!$A$2:$A$50,密度!$B$2:$B$50)</f>
        <v>101698.57739999999</v>
      </c>
      <c r="Q7" s="73" ph="1">
        <f>Q6*1.5*1.5*3.1416*LOOKUP(W8,密度!$A$2:$A$50,密度!$L$2:$L$50)</f>
        <v>47475.502628400005</v>
      </c>
      <c r="R7" s="73" ph="1">
        <f>R6*1.5*1.5*3.1416*LOOKUP(R8,密度!$A$2:$A$50,密度!$L$2:$L$50)</f>
        <v>39289.342831199996</v>
      </c>
      <c r="S7" s="73" ph="1">
        <f>S6*1.5*1.5*3.1416*LOOKUP(S8,密度!$A$2:$A$50,密度!$L$2:$L$50)</f>
        <v>34308.581076000002</v>
      </c>
      <c r="T7" s="73" ph="1">
        <f>T6*1.5*1.5*3.1416*LOOKUP(T8,密度!$A$2:$A$50,密度!$L$2:$L$50)</f>
        <v>20235.818433599998</v>
      </c>
      <c r="U7" s="73" ph="1">
        <f>U6*1.5*1.5*3.1416*LOOKUP(U8,密度!$A$2:$A$50,密度!$L$2:$L$50)</f>
        <v>15451.012407600001</v>
      </c>
      <c r="V7" s="73" ph="1">
        <f>V6*1.5*1.5*3.1416*LOOKUP(V8,密度!$A$2:$A$50,密度!$L$2:$L$50)</f>
        <v>462.14506799999998</v>
      </c>
      <c r="W7" s="73" ph="1">
        <f>W6*1.5*1.5*3.1416*LOOKUP(W8,密度!$A$2:$A$50,密度!$L$2:$L$50)</f>
        <v>0</v>
      </c>
      <c r="X7" s="73" ph="1">
        <f>X6*1.5*1.5*3.1416*LOOKUP(X8,密度!$A$2:$A$50,密度!$L$2:$L$50)</f>
        <v>0</v>
      </c>
      <c r="Y7" s="73" ph="1">
        <f>Y6*1.5*1.5*3.1416*LOOKUP(Y8,密度!$A$2:$A$50,密度!$L$2:$L$50)</f>
        <v>22379.215874400001</v>
      </c>
      <c r="Z7" s="73" ph="1">
        <f>Z6*33.183*LOOKUP(Z8,密度!$A$2:$A$50,密度!$L$2:$L$50)</f>
        <v>115201.188819</v>
      </c>
      <c r="AA7" s="73" ph="1">
        <f>AA6*33.183*LOOKUP(AA8,密度!$A$2:$A$50,密度!$D$2:$D$50)</f>
        <v>0</v>
      </c>
      <c r="AB7" s="73" ph="1">
        <f>AB6*20.428*LOOKUP(AB8,密度!$A$2:$A$50,密度!$D$2:$D$50)</f>
        <v>46328.930849600009</v>
      </c>
      <c r="AC7" s="73" ph="1">
        <f>AC6*51.53*LOOKUP(AC8,密度!$A$2:$A$50,密度!$Q$2:$Q$50)</f>
        <v>350748.18072190002</v>
      </c>
      <c r="AD7" s="73" ph="1">
        <f>AD6*20.428*LOOKUP(AD8,密度!$A$2:$A$50,密度!$V$2:$V$50)</f>
        <v>76017.3599808</v>
      </c>
      <c r="AE7" s="73" ph="1">
        <f>AE6*20.428</f>
        <v>98054.400000000009</v>
      </c>
    </row>
    <row r="8" spans="1:99" ph="1">
      <c r="B8" s="184" ph="1"/>
      <c r="C8" s="68" t="s" ph="1">
        <v>179</v>
      </c>
      <c r="D8" s="74">
        <v>27</v>
      </c>
      <c r="E8" s="74">
        <v>27</v>
      </c>
      <c r="F8" s="74">
        <v>28</v>
      </c>
      <c r="G8" s="74">
        <v>29</v>
      </c>
      <c r="H8" s="74">
        <v>24</v>
      </c>
      <c r="I8" s="74">
        <v>25</v>
      </c>
      <c r="J8" s="74">
        <v>25</v>
      </c>
      <c r="K8" s="74">
        <v>25</v>
      </c>
      <c r="L8" s="74">
        <v>25</v>
      </c>
      <c r="M8" s="74">
        <v>30</v>
      </c>
      <c r="N8" s="74">
        <v>31</v>
      </c>
      <c r="O8" s="74">
        <v>30</v>
      </c>
      <c r="P8" s="74">
        <v>28</v>
      </c>
      <c r="Q8" s="74">
        <v>32</v>
      </c>
      <c r="R8" s="74">
        <v>35</v>
      </c>
      <c r="S8" s="74">
        <v>25</v>
      </c>
      <c r="T8" s="74">
        <v>24</v>
      </c>
      <c r="U8" s="74">
        <v>35</v>
      </c>
      <c r="V8" s="74">
        <v>28</v>
      </c>
      <c r="W8" s="74">
        <v>28</v>
      </c>
      <c r="X8" s="74">
        <v>19</v>
      </c>
      <c r="Y8" s="74">
        <v>30</v>
      </c>
      <c r="Z8" s="74">
        <v>29</v>
      </c>
      <c r="AA8" s="74">
        <v>28</v>
      </c>
      <c r="AB8" s="74">
        <v>24</v>
      </c>
      <c r="AC8" s="74">
        <v>29</v>
      </c>
      <c r="AD8" s="74">
        <v>28</v>
      </c>
      <c r="AE8" s="74">
        <v>29</v>
      </c>
    </row>
    <row r="9" spans="1:99" ht="26.4" ph="1">
      <c r="B9" s="184" ph="1">
        <v>0.66666666666666663</v>
      </c>
      <c r="C9" s="159" t="s" ph="1">
        <v>180</v>
      </c>
      <c r="D9" s="71">
        <v>339</v>
      </c>
      <c r="E9" s="71">
        <v>7552</v>
      </c>
      <c r="F9" s="71">
        <v>5846</v>
      </c>
      <c r="G9" s="71">
        <v>2029</v>
      </c>
      <c r="H9" s="71">
        <v>3522</v>
      </c>
      <c r="I9" s="71">
        <v>38.74</v>
      </c>
      <c r="J9" s="71">
        <v>77.06</v>
      </c>
      <c r="K9" s="71">
        <v>6.66</v>
      </c>
      <c r="L9" s="71">
        <v>74.5</v>
      </c>
      <c r="M9" s="71">
        <v>5619</v>
      </c>
      <c r="N9" s="71">
        <v>6455</v>
      </c>
      <c r="O9" s="71">
        <v>5954</v>
      </c>
      <c r="P9" s="71">
        <v>1955</v>
      </c>
      <c r="Q9" s="71">
        <v>7184</v>
      </c>
      <c r="R9" s="71">
        <v>5998</v>
      </c>
      <c r="S9" s="71">
        <v>5183</v>
      </c>
      <c r="T9" s="71">
        <v>6123</v>
      </c>
      <c r="U9" s="71">
        <v>5230</v>
      </c>
      <c r="V9" s="71">
        <v>2872</v>
      </c>
      <c r="W9" s="71">
        <v>0</v>
      </c>
      <c r="X9" s="71">
        <v>0</v>
      </c>
      <c r="Y9" s="71">
        <v>0</v>
      </c>
      <c r="Z9" s="71">
        <v>4497</v>
      </c>
      <c r="AA9" s="71">
        <v>0</v>
      </c>
      <c r="AB9" s="71">
        <v>2209</v>
      </c>
      <c r="AC9" s="71">
        <v>7183</v>
      </c>
      <c r="AD9" s="71">
        <v>3889</v>
      </c>
      <c r="AE9" s="71">
        <v>4788</v>
      </c>
    </row>
    <row r="10" spans="1:99" s="72" customFormat="1" ht="22.2" ph="1">
      <c r="B10" s="184" ph="1"/>
      <c r="C10" s="159" t="s" ph="1">
        <v>178</v>
      </c>
      <c r="D10" s="73" ph="1">
        <f>D9*33.183*LOOKUP(D11,密度!$A$2:$A$50,密度!$Q$2:$Q$50)</f>
        <v>10633.939656840001</v>
      </c>
      <c r="E10" s="73" ph="1">
        <f>E9*51.53*LOOKUP(E11,密度!$A$2:$A$50,密度!$B$2:$B$50)</f>
        <v>303384.89497600001</v>
      </c>
      <c r="F10" s="73" ph="1">
        <f>F9*33.183*LOOKUP(F11,密度!$A$2:$A$50,密度!$C$2:$C$50)</f>
        <v>215113.0913802</v>
      </c>
      <c r="G10" s="73" ph="1">
        <f xml:space="preserve"> (G9+2)*51.53*LOOKUP(G11,密度!$A$2:$A$50,密度!$B$2:$B$50)</f>
        <v>81318.823110000012</v>
      </c>
      <c r="H10" s="73" ph="1">
        <f>(H9)*51.53*LOOKUP(H11,密度!$A$2:$A$50,密度!$B$2:$B$50)</f>
        <v>141488.55933600001</v>
      </c>
      <c r="I10" s="73" ph="1">
        <f>I9*290.8*1.0267</f>
        <v>11566.383306399999</v>
      </c>
      <c r="J10" s="73" ph="1">
        <f>J9*290.8*0.7892</f>
        <v>17685.220681600003</v>
      </c>
      <c r="K10" s="73" ph="1">
        <f>K9*290.8*1.1126</f>
        <v>2154.8035728</v>
      </c>
      <c r="L10" s="73" ph="1">
        <f>L9*290.8*0.777</f>
        <v>16833.394200000002</v>
      </c>
      <c r="M10" s="73" ph="1">
        <f>M9*33.183*LOOKUP(M11,密度!$A$2:$A$50,密度!$D$2:$D$50)</f>
        <v>191265.82314660001</v>
      </c>
      <c r="N10" s="73" ph="1">
        <f>N9*33.183*LOOKUP(N11,密度!$A$2:$A$50,密度!$E$2:$E$50)</f>
        <v>166559.01566399998</v>
      </c>
      <c r="O10" s="73" ph="1">
        <f>O9*20.428*LOOKUP(O11,密度!$A$2:$A$50,密度!$C$2:$C$50)</f>
        <v>134593.8900592</v>
      </c>
      <c r="P10" s="73" ph="1">
        <f>P9*51.53*LOOKUP(P11,密度!$A$2:$A$50,密度!$B$2:$B$50)</f>
        <v>78447.133505000005</v>
      </c>
      <c r="Q10" s="73" ph="1">
        <f>Q9*1.5*1.5*3.1416*LOOKUP(W11,密度!$A$2:$A$50,密度!$L$2:$L$50)</f>
        <v>47530.849766400002</v>
      </c>
      <c r="R10" s="73" ph="1">
        <f>R9*1.5*1.5*3.1416*LOOKUP(R11,密度!$A$2:$A$50,密度!$L$2:$L$50)</f>
        <v>39302.448015600006</v>
      </c>
      <c r="S10" s="73" ph="1">
        <f>S9*1.5*1.5*3.1416*LOOKUP(S11,密度!$A$2:$A$50,密度!$L$2:$L$50)</f>
        <v>34328.450910600004</v>
      </c>
      <c r="T10" s="73" ph="1">
        <f>T9*1.5*1.5*3.1416*LOOKUP(T11,密度!$A$2:$A$50,密度!$L$2:$L$50)</f>
        <v>40684.175531999994</v>
      </c>
      <c r="U10" s="73" ph="1">
        <f>U9*1.5*1.5*3.1416*LOOKUP(U11,密度!$A$2:$A$50,密度!$L$2:$L$50)</f>
        <v>34602.776208000003</v>
      </c>
      <c r="V10" s="73" ph="1">
        <f>V9*1.5*1.5*3.1416*LOOKUP(V11,密度!$A$2:$A$50,密度!$L$2:$L$50)</f>
        <v>18961.151932799999</v>
      </c>
      <c r="W10" s="73" ph="1">
        <f>W9*1.5*1.5*3.1416*LOOKUP(W11,密度!$A$2:$A$50,密度!$L$2:$L$50)</f>
        <v>0</v>
      </c>
      <c r="X10" s="73" ph="1">
        <f>X9*1.5*1.5*3.1416*LOOKUP(X11,密度!$A$2:$A$50,密度!$L$2:$L$50)</f>
        <v>0</v>
      </c>
      <c r="Y10" s="73" ph="1">
        <f>Y9*1.5*1.5*3.1416*LOOKUP(Y11,密度!$A$2:$A$50,密度!$L$2:$L$50)</f>
        <v>0</v>
      </c>
      <c r="Z10" s="73" ph="1">
        <f>Z9*33.183*LOOKUP(Z11,密度!$A$2:$A$50,密度!$L$2:$L$50)</f>
        <v>139822.842087</v>
      </c>
      <c r="AA10" s="73" ph="1">
        <f>AA9*33.183*LOOKUP(AA11,密度!$A$2:$A$50,密度!$D$2:$D$50)</f>
        <v>0</v>
      </c>
      <c r="AB10" s="73" ph="1">
        <f>AB9*20.428*LOOKUP(AB11,密度!$A$2:$A$50,密度!$D$2:$D$50)</f>
        <v>46416.0399272</v>
      </c>
      <c r="AC10" s="73" ph="1">
        <f>AC9*51.53*LOOKUP(AC11,密度!$A$2:$A$50,密度!$Q$2:$Q$50)</f>
        <v>349164.15676669998</v>
      </c>
      <c r="AD10" s="73" ph="1">
        <f>AD9*20.428*LOOKUP(AD11,密度!$A$2:$A$50,密度!$V$2:$V$50)</f>
        <v>76076.0455392</v>
      </c>
      <c r="AE10" s="73" ph="1">
        <f>AE9*20.428</f>
        <v>97809.26400000001</v>
      </c>
    </row>
    <row r="11" spans="1:99" ph="1">
      <c r="A11" s="64" t="s" ph="1">
        <v>162</v>
      </c>
      <c r="B11" s="184" ph="1"/>
      <c r="C11" s="159" t="s" ph="1">
        <v>179</v>
      </c>
      <c r="D11" s="74">
        <v>27</v>
      </c>
      <c r="E11" s="74">
        <v>25</v>
      </c>
      <c r="F11" s="74">
        <v>25</v>
      </c>
      <c r="G11" s="74">
        <v>28</v>
      </c>
      <c r="H11" s="74">
        <v>25</v>
      </c>
      <c r="I11" s="74">
        <v>25</v>
      </c>
      <c r="J11" s="74">
        <v>25</v>
      </c>
      <c r="K11" s="74">
        <v>25</v>
      </c>
      <c r="L11" s="74">
        <v>25</v>
      </c>
      <c r="M11" s="74">
        <v>26</v>
      </c>
      <c r="N11" s="74">
        <v>30</v>
      </c>
      <c r="O11" s="74">
        <v>28</v>
      </c>
      <c r="P11" s="74">
        <v>26</v>
      </c>
      <c r="Q11" s="74">
        <v>32</v>
      </c>
      <c r="R11" s="74">
        <v>35</v>
      </c>
      <c r="S11" s="74">
        <v>25</v>
      </c>
      <c r="T11" s="74">
        <v>22</v>
      </c>
      <c r="U11" s="74">
        <v>26</v>
      </c>
      <c r="V11" s="74">
        <v>28</v>
      </c>
      <c r="W11" s="74">
        <v>26</v>
      </c>
      <c r="X11" s="74">
        <v>18</v>
      </c>
      <c r="Y11" s="74">
        <v>25</v>
      </c>
      <c r="Z11" s="74">
        <v>25</v>
      </c>
      <c r="AA11" s="74">
        <v>25</v>
      </c>
      <c r="AB11" s="74">
        <v>23</v>
      </c>
      <c r="AC11" s="74">
        <v>30</v>
      </c>
      <c r="AD11" s="74">
        <v>26</v>
      </c>
      <c r="AE11" s="74">
        <v>31</v>
      </c>
    </row>
    <row r="12" spans="1:99" ht="9.9" customHeight="1" ph="1"/>
    <row r="13" spans="1:99" s="72" customFormat="1" ht="29.25" customHeight="1" ph="1">
      <c r="B13" s="192" t="s" ph="1">
        <v>37</v>
      </c>
      <c r="C13" s="159" t="s" ph="1">
        <v>176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128</v>
      </c>
      <c r="I13" s="76" t="s" ph="1">
        <v>59</v>
      </c>
      <c r="J13" s="76" t="s" ph="1">
        <v>129</v>
      </c>
      <c r="K13" s="76" t="s" ph="1">
        <v>55</v>
      </c>
      <c r="L13" s="76" t="s" ph="1">
        <v>60</v>
      </c>
      <c r="M13" s="76" t="s" ph="1">
        <v>61</v>
      </c>
      <c r="N13" s="76" t="s" ph="1">
        <v>130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131</v>
      </c>
      <c r="W13" s="76" t="s" ph="1">
        <v>132</v>
      </c>
      <c r="X13" s="76" t="s" ph="1">
        <v>133</v>
      </c>
      <c r="Y13" s="105" t="s" ph="1">
        <v>68</v>
      </c>
      <c r="Z13" s="76" t="s" ph="1">
        <v>74</v>
      </c>
      <c r="AA13" s="76" t="s" ph="1">
        <v>134</v>
      </c>
      <c r="AB13" s="76" t="s" ph="1">
        <v>135</v>
      </c>
      <c r="AC13" s="76" t="s" ph="1">
        <v>136</v>
      </c>
      <c r="AD13" s="76" t="s" ph="1">
        <v>137</v>
      </c>
      <c r="AE13" s="76" t="s" ph="1">
        <v>138</v>
      </c>
      <c r="AG13" s="72" t="s" ph="1">
        <v>325</v>
      </c>
      <c r="AH13" s="72" t="s" ph="1">
        <v>188</v>
      </c>
      <c r="AI13" s="72" t="s" ph="1">
        <v>189</v>
      </c>
      <c r="AJ13" s="72" t="s" ph="1">
        <v>190</v>
      </c>
      <c r="AK13" s="72" t="s" ph="1">
        <v>191</v>
      </c>
      <c r="AL13" s="72" t="s" ph="1">
        <v>192</v>
      </c>
      <c r="AM13" s="72" t="s" ph="1">
        <v>193</v>
      </c>
      <c r="AN13" s="72" t="s" ph="1">
        <v>194</v>
      </c>
      <c r="AO13" s="72" t="s" ph="1">
        <v>195</v>
      </c>
      <c r="AP13" s="72" t="s" ph="1">
        <v>196</v>
      </c>
      <c r="AQ13" s="72" t="s" ph="1">
        <v>197</v>
      </c>
      <c r="AR13" s="72" t="s" ph="1">
        <v>198</v>
      </c>
      <c r="AS13" s="72" t="s" ph="1">
        <v>199</v>
      </c>
      <c r="AT13" s="72" t="s" ph="1">
        <v>200</v>
      </c>
      <c r="AU13" s="72" t="s" ph="1">
        <v>201</v>
      </c>
      <c r="AV13" s="72" t="s" ph="1">
        <v>202</v>
      </c>
      <c r="AW13" s="72" t="s" ph="1">
        <v>203</v>
      </c>
      <c r="AX13" s="72" t="s" ph="1">
        <v>204</v>
      </c>
      <c r="AY13" s="72" t="s" ph="1">
        <v>326</v>
      </c>
      <c r="AZ13" s="72" t="s" ph="1">
        <v>205</v>
      </c>
      <c r="BA13" s="72" t="s" ph="1">
        <v>206</v>
      </c>
      <c r="BB13" s="72" t="s" ph="1">
        <v>591</v>
      </c>
      <c r="BC13" s="72" t="s" ph="1">
        <v>207</v>
      </c>
      <c r="BD13" s="72" t="s" ph="1">
        <v>327</v>
      </c>
      <c r="BE13" s="72" t="s" ph="1">
        <v>328</v>
      </c>
      <c r="BF13" s="72" t="s" ph="1">
        <v>329</v>
      </c>
      <c r="BG13" s="72" t="s" ph="1">
        <v>330</v>
      </c>
      <c r="BH13" s="72" t="s" ph="1">
        <v>331</v>
      </c>
    </row>
    <row r="14" spans="1:99" s="72" customFormat="1" ht="24" ph="1">
      <c r="B14" s="193" ph="1"/>
      <c r="C14" s="67" t="s" ph="1">
        <v>36</v>
      </c>
      <c r="D14" s="77" t="s" ph="1">
        <v>616</v>
      </c>
      <c r="E14" s="77" t="s" ph="1">
        <v>616</v>
      </c>
      <c r="F14" s="144" t="s" ph="1">
        <v>636</v>
      </c>
      <c r="G14" s="77" t="s" ph="1">
        <v>617</v>
      </c>
      <c r="H14" s="77" t="s" ph="1">
        <v>637</v>
      </c>
      <c r="I14" s="138" t="s" ph="1">
        <v>618</v>
      </c>
      <c r="J14" s="77" t="s" ph="1">
        <v>619</v>
      </c>
      <c r="K14" s="77" t="s" ph="1">
        <v>186</v>
      </c>
      <c r="L14" s="77" t="s" ph="1">
        <v>41</v>
      </c>
      <c r="M14" s="104" t="s" ph="1">
        <v>620</v>
      </c>
      <c r="N14" s="104" t="s" ph="1">
        <v>621</v>
      </c>
      <c r="O14" s="104" t="s" ph="1">
        <v>641</v>
      </c>
      <c r="P14" s="77" t="s" ph="1">
        <v>622</v>
      </c>
      <c r="Q14" s="77" t="s" ph="1">
        <v>622</v>
      </c>
      <c r="R14" s="88" t="s" ph="1">
        <v>7</v>
      </c>
      <c r="S14" s="77" t="s" ph="1">
        <v>622</v>
      </c>
      <c r="T14" s="77" t="s" ph="1">
        <v>624</v>
      </c>
      <c r="U14" s="77" t="s" ph="1">
        <v>605</v>
      </c>
      <c r="V14" s="77" t="s" ph="1">
        <v>633</v>
      </c>
      <c r="W14" s="77" t="s" ph="1">
        <v>622</v>
      </c>
      <c r="X14" s="77" t="s" ph="1">
        <v>625</v>
      </c>
      <c r="Y14" s="143" t="s" ph="1">
        <v>0</v>
      </c>
      <c r="Z14" s="77" t="s" ph="1">
        <v>54</v>
      </c>
      <c r="AA14" s="77" t="s" ph="1">
        <v>613</v>
      </c>
      <c r="AB14" s="77" t="s" ph="1">
        <v>632</v>
      </c>
      <c r="AC14" s="77" t="s" ph="1">
        <v>632</v>
      </c>
      <c r="AD14" s="77" t="s" ph="1">
        <v>612</v>
      </c>
      <c r="AE14" s="77" t="s" ph="1">
        <v>612</v>
      </c>
      <c r="AG14" s="72" t="s" ph="1">
        <v>208</v>
      </c>
      <c r="AI14" s="72" t="s" ph="1">
        <v>209</v>
      </c>
      <c r="AJ14" s="72" t="s" ph="1">
        <v>332</v>
      </c>
      <c r="AK14" s="72" t="s" ph="1">
        <v>210</v>
      </c>
      <c r="AM14" s="72" t="s" ph="1">
        <v>212</v>
      </c>
      <c r="AN14" s="72" t="s" ph="1">
        <v>210</v>
      </c>
      <c r="AO14" s="72" t="s" ph="1">
        <v>211</v>
      </c>
      <c r="AP14" s="72" t="s" ph="1">
        <v>212</v>
      </c>
      <c r="AQ14" s="72" t="s" ph="1">
        <v>210</v>
      </c>
      <c r="AR14" s="72" t="s" ph="1">
        <v>211</v>
      </c>
      <c r="AS14" s="72" t="s" ph="1">
        <v>212</v>
      </c>
      <c r="AT14" s="72" t="s" ph="1">
        <v>210</v>
      </c>
      <c r="AU14" s="72" t="s" ph="1">
        <v>211</v>
      </c>
      <c r="AV14" s="72" t="s" ph="1">
        <v>212</v>
      </c>
      <c r="AW14" s="72" t="s" ph="1">
        <v>210</v>
      </c>
      <c r="AX14" s="72" t="s" ph="1">
        <v>211</v>
      </c>
      <c r="AY14" s="72" t="s" ph="1">
        <v>212</v>
      </c>
      <c r="AZ14" s="72" t="s" ph="1">
        <v>211</v>
      </c>
    </row>
    <row r="15" spans="1:99" ph="1">
      <c r="B15" s="194" ph="1">
        <v>0.33333333333333331</v>
      </c>
      <c r="C15" s="159" t="s" ph="1">
        <v>177</v>
      </c>
      <c r="D15" s="78">
        <v>0</v>
      </c>
      <c r="E15" s="78">
        <v>55</v>
      </c>
      <c r="F15" s="78">
        <v>1119</v>
      </c>
      <c r="G15" s="78">
        <v>4599</v>
      </c>
      <c r="H15" s="78">
        <v>2035</v>
      </c>
      <c r="I15" s="78">
        <v>5401</v>
      </c>
      <c r="J15" s="78">
        <v>0</v>
      </c>
      <c r="K15" s="78">
        <v>2282</v>
      </c>
      <c r="L15" s="78">
        <v>4511</v>
      </c>
      <c r="M15" s="78">
        <v>3550</v>
      </c>
      <c r="N15" s="78">
        <v>1131</v>
      </c>
      <c r="O15" s="78">
        <v>3179</v>
      </c>
      <c r="P15" s="78">
        <v>6982</v>
      </c>
      <c r="Q15" s="78">
        <v>3557</v>
      </c>
      <c r="R15" s="78">
        <v>1952</v>
      </c>
      <c r="S15" s="78">
        <v>4021</v>
      </c>
      <c r="T15" s="78">
        <v>5937</v>
      </c>
      <c r="U15" s="78">
        <v>2678</v>
      </c>
      <c r="V15" s="78">
        <v>-817</v>
      </c>
      <c r="W15" s="71">
        <v>-766</v>
      </c>
      <c r="X15" s="78">
        <v>1292</v>
      </c>
      <c r="Y15" s="106">
        <v>-9907</v>
      </c>
      <c r="Z15" s="78">
        <v>1272</v>
      </c>
      <c r="AA15" s="78">
        <v>2559</v>
      </c>
      <c r="AB15" s="78" ph="1">
        <v>693</v>
      </c>
      <c r="AC15" s="78" ph="1">
        <v>502</v>
      </c>
      <c r="AD15" s="78">
        <v>5.93</v>
      </c>
      <c r="AE15" s="78">
        <v>53.08</v>
      </c>
      <c r="AG15" s="64" t="s" ph="1">
        <v>214</v>
      </c>
      <c r="AH15" s="64" ph="1">
        <v>1</v>
      </c>
      <c r="AI15" s="64" t="s" ph="1">
        <v>333</v>
      </c>
      <c r="AK15" s="64" t="s" ph="1">
        <v>587</v>
      </c>
      <c r="AM15" s="64" t="s" ph="1">
        <v>335</v>
      </c>
      <c r="AZ15" s="64" t="s" ph="1">
        <v>216</v>
      </c>
      <c r="BA15" s="64" ph="1">
        <v>0</v>
      </c>
    </row>
    <row r="16" spans="1:99" s="72" customFormat="1" ht="22.2" ph="1">
      <c r="B16" s="195" ph="1"/>
      <c r="C16" s="159" t="s" ph="1">
        <v>178</v>
      </c>
      <c r="D16" s="73" ph="1">
        <f>D15*7.0686*LOOKUP(D17,密度!$A$2:$A$50,密度!$L$2:$L$50)</f>
        <v>0</v>
      </c>
      <c r="E16" s="73" ph="1">
        <f>E15*7.0686*LOOKUP(E17,密度!$A$2:$A$50,密度!$L$2:$L$50)</f>
        <v>361.94766300000003</v>
      </c>
      <c r="F16" s="73" ph="1">
        <f>F15*9.0746*LOOKUP(F17,密度!$A$2:$A$50,密度!$L$2:$L$50)</f>
        <v>9463.9729368000008</v>
      </c>
      <c r="G16" s="73" ph="1">
        <f>G15*9.0746*LOOKUP(G17,密度!$A$2:$A$50,密度!$B$2:$B$50)</f>
        <v>32393.997087480002</v>
      </c>
      <c r="H16" s="73" ph="1">
        <f>H15*9.0746*LOOKUP(H17,密度!$A$2:$A$50,密度!$L$2:$L$50)</f>
        <v>17303.401907000003</v>
      </c>
      <c r="I16" s="73" ph="1">
        <f>I15*9.0746*LOOKUP(I17,密度!$A$2:$A$50,密度!$U$2:$U$50)</f>
        <v>50090.176721200005</v>
      </c>
      <c r="J16" s="73" ph="1">
        <f>J15*9.0746*LOOKUP(J17,密度!$A$2:$A$50,密度!$L$2:$L$50)</f>
        <v>0</v>
      </c>
      <c r="K16" s="73" ph="1">
        <f>K15*9.0746*LOOKUP(K17,密度!$A$2:$A$50,密度!$C$2:$C$50)</f>
        <v>22901.239519480001</v>
      </c>
      <c r="L16" s="73" ph="1">
        <f>L15*9.0746*LOOKUP(L17,密度!$A$2:$A$50,密度!$E$2:$E$50)</f>
        <v>31831.460818560001</v>
      </c>
      <c r="M16" s="73" ph="1">
        <f>M15*9.0746*LOOKUP(M17,密度!$A$2:$A$50,密度!$M$2:$M$50)</f>
        <v>27990.499342100004</v>
      </c>
      <c r="N16" s="73" ph="1">
        <f>N15*9.0746*LOOKUP(N17,密度!$A$2:$A$50,密度!$M$2:$M$50)</f>
        <v>8981.4773622600005</v>
      </c>
      <c r="O16" s="73" ph="1">
        <f>O15*9.0746*LOOKUP(O17,密度!$A$2:$A$50,密度!$G$2:$G$50)</f>
        <v>27575.949835059997</v>
      </c>
      <c r="P16" s="73" ph="1">
        <f ca="1">P15*9.0746*LOOKUP(P17,密度!$A$2:$A$51,密度!$Q$2:$Q$50)</f>
        <v>59720.791619575997</v>
      </c>
      <c r="Q16" s="73" ph="1">
        <f>Q15*9.0746*LOOKUP(Q17,密度!$A$2:$A$50,密度!$Q$2:$Q$50)</f>
        <v>30424.929216675999</v>
      </c>
      <c r="R16" s="73" ph="1">
        <f>MAX(R15*9.0746*LOOKUP(R17,密度!$A$2:$A$50,密度!$B$2:$B$50),0)</f>
        <v>13733.368965760001</v>
      </c>
      <c r="S16" s="73" ph="1">
        <f>S15*9.0746*LOOKUP(S17,密度!$A$2:$A$50,密度!$Q$2:$Q$50)</f>
        <v>34297.439266004003</v>
      </c>
      <c r="T16" s="73" ph="1">
        <f>T15*9.0746*LOOKUP(T17,密度!$A$2:$A$50,密度!$O$2:$O$50)</f>
        <v>49889.083585200009</v>
      </c>
      <c r="U16" s="73" ph="1">
        <f>U15*9.0746*LOOKUP(U17,密度!$A$2:$A$50,密度!$H$2:$H$50)</f>
        <v>22163.222265600001</v>
      </c>
      <c r="V16" s="73" ph="1">
        <f>MAX(5600*LOOKUP(V17,密度!$A$2:$A$50,密度!$Q$2:$Q$50)+V15*9.0476*LOOKUP(V17,密度!$A$2:$A$50,密度!$Q$2:$Q$50),0)</f>
        <v>0</v>
      </c>
      <c r="W16" s="73" ph="1">
        <f>MAX(5600*LOOKUP(W17,密度!$A$2:$A$50,密度!$Q$2:$Q$50)+W15*9.0476*LOOKUP(W17,密度!$A$2:$A$50,密度!$Q$2:$Q$50),0)</f>
        <v>0</v>
      </c>
      <c r="X16" s="73" ph="1">
        <f>MAX(5600*LOOKUP(X17,密度!$A$2:$A$50,密度!$I$2:$I$50)+X15*9.0476*LOOKUP(X17,密度!$A$2:$A$50,密度!$I$2:$I$50),0)</f>
        <v>17943.042269760001</v>
      </c>
      <c r="Y16" s="107" ph="1">
        <v>0</v>
      </c>
      <c r="Z16" s="73" ph="1">
        <f>Z15*9.0746*LOOKUP(Z17,密度!$A$2:$A$50,密度!$D$2:$D$50)</f>
        <v>11796.8348064</v>
      </c>
      <c r="AA16" s="73" ph="1">
        <f>AA15*9.0746*LOOKUP(AA17,密度!$A$2:$A$50,密度!$B$2:$B$50)</f>
        <v>18024.839866679999</v>
      </c>
      <c r="AB16" s="73" ph="1">
        <f>AB15*9.0746*LOOKUP(AB17,密度!$A$2:$A$50,密度!$L$2:$L$50)</f>
        <v>5873.6437452</v>
      </c>
      <c r="AC16" s="73" ph="1">
        <f>AC15*9.0746*LOOKUP(AC17,密度!$A$2:$A$50,密度!$L$2:$L$50)</f>
        <v>4263.9004512000001</v>
      </c>
      <c r="AD16" s="73" ph="1">
        <f>AD15*268.68*LOOKUP(AD17,密度!$A$2:$A$50,密度!B2:B50)+IF(AD15&lt;=0,0,1566*LOOKUP(AD17,密度!$A$2:$A$50,密度!B2:B50))</f>
        <v>2462.9687630399999</v>
      </c>
      <c r="AE16" s="73" ph="1">
        <f>AE15*268.68*LOOKUP(AE17,密度!$A$2:$A$50,密度!B2:B50)+IF(AE15&lt;=0,0,1566*LOOKUP(AE17,密度!$A$2:$A$50,密度!B2:B50))</f>
        <v>12339.14581824</v>
      </c>
      <c r="AH16" s="72" ph="1">
        <v>2</v>
      </c>
      <c r="AI16" s="72" t="s" ph="1">
        <v>337</v>
      </c>
      <c r="AZ16" s="72" t="s" ph="1">
        <v>216</v>
      </c>
      <c r="BA16" s="72" ph="1">
        <v>0</v>
      </c>
    </row>
    <row r="17" spans="1:57" ph="1">
      <c r="A17" s="64" t="s" ph="1">
        <v>73</v>
      </c>
      <c r="B17" s="196" ph="1"/>
      <c r="C17" s="79" t="s" ph="1">
        <v>179</v>
      </c>
      <c r="D17" s="74">
        <v>31</v>
      </c>
      <c r="E17" s="74">
        <v>31</v>
      </c>
      <c r="F17" s="74">
        <v>30</v>
      </c>
      <c r="G17" s="74">
        <v>29</v>
      </c>
      <c r="H17" s="74">
        <v>25</v>
      </c>
      <c r="I17" s="74">
        <v>28</v>
      </c>
      <c r="J17" s="74">
        <v>28</v>
      </c>
      <c r="K17" s="74">
        <v>29</v>
      </c>
      <c r="L17" s="74">
        <v>30</v>
      </c>
      <c r="M17" s="74">
        <v>31</v>
      </c>
      <c r="N17" s="74">
        <v>25</v>
      </c>
      <c r="O17" s="74">
        <v>29</v>
      </c>
      <c r="P17" s="74">
        <v>31</v>
      </c>
      <c r="Q17" s="74">
        <v>31</v>
      </c>
      <c r="R17" s="74">
        <v>30</v>
      </c>
      <c r="S17" s="74">
        <v>35</v>
      </c>
      <c r="T17" s="74">
        <v>28</v>
      </c>
      <c r="U17" s="74">
        <v>28</v>
      </c>
      <c r="V17" s="74">
        <v>29</v>
      </c>
      <c r="W17" s="74">
        <v>30</v>
      </c>
      <c r="X17" s="74">
        <v>29</v>
      </c>
      <c r="Y17" s="108">
        <v>29</v>
      </c>
      <c r="Z17" s="74">
        <v>30</v>
      </c>
      <c r="AA17" s="74">
        <v>29</v>
      </c>
      <c r="AB17" s="74">
        <v>28</v>
      </c>
      <c r="AC17" s="74">
        <v>26</v>
      </c>
      <c r="AD17" s="74">
        <v>25</v>
      </c>
      <c r="AE17" s="74">
        <v>25</v>
      </c>
      <c r="AH17" s="64" ph="1">
        <v>3</v>
      </c>
      <c r="AI17" s="64" t="s" ph="1">
        <v>338</v>
      </c>
      <c r="AK17" s="64" t="s" ph="1">
        <v>570</v>
      </c>
      <c r="AL17" s="64" ph="1">
        <v>80</v>
      </c>
      <c r="AM17" s="64" t="s" ph="1">
        <v>335</v>
      </c>
      <c r="AZ17" s="64" t="s" ph="1">
        <v>216</v>
      </c>
      <c r="BA17" s="64" ph="1">
        <v>80</v>
      </c>
      <c r="BD17" s="64" t="s" ph="1">
        <v>214</v>
      </c>
      <c r="BE17" s="64" ph="1">
        <v>2270</v>
      </c>
    </row>
    <row r="18" spans="1:57" ht="26.4" ph="1">
      <c r="B18" s="194" ph="1">
        <v>0.66666666666666663</v>
      </c>
      <c r="C18" s="79" t="s" ph="1">
        <v>180</v>
      </c>
      <c r="D18" s="71">
        <v>1223</v>
      </c>
      <c r="E18" s="71">
        <v>56</v>
      </c>
      <c r="F18" s="71">
        <v>1263</v>
      </c>
      <c r="G18" s="71">
        <v>2876</v>
      </c>
      <c r="H18" s="71">
        <v>2035</v>
      </c>
      <c r="I18" s="71">
        <v>5403</v>
      </c>
      <c r="J18" s="71">
        <v>129</v>
      </c>
      <c r="K18" s="71">
        <v>3364</v>
      </c>
      <c r="L18" s="71">
        <v>2596</v>
      </c>
      <c r="M18" s="71">
        <v>1528</v>
      </c>
      <c r="N18" s="71">
        <v>1878</v>
      </c>
      <c r="O18" s="71">
        <v>3454</v>
      </c>
      <c r="P18" s="71">
        <v>6980</v>
      </c>
      <c r="Q18" s="71">
        <v>3557</v>
      </c>
      <c r="R18" s="71">
        <v>1955</v>
      </c>
      <c r="S18" s="71">
        <v>5199</v>
      </c>
      <c r="T18" s="71">
        <v>4985</v>
      </c>
      <c r="U18" s="71">
        <v>2679</v>
      </c>
      <c r="V18" s="71">
        <v>-817</v>
      </c>
      <c r="W18" s="71">
        <v>-776</v>
      </c>
      <c r="X18" s="71">
        <v>1289</v>
      </c>
      <c r="Y18" s="109">
        <v>-9909</v>
      </c>
      <c r="Z18" s="71">
        <v>1272</v>
      </c>
      <c r="AA18" s="71">
        <v>2556</v>
      </c>
      <c r="AB18" s="71">
        <v>694</v>
      </c>
      <c r="AC18" s="71">
        <v>504</v>
      </c>
      <c r="AD18" s="71">
        <v>26.47</v>
      </c>
      <c r="AE18" s="71">
        <v>84.56</v>
      </c>
      <c r="AH18" s="64" ph="1">
        <v>4</v>
      </c>
      <c r="AI18" s="64" t="s" ph="1">
        <v>340</v>
      </c>
      <c r="AJ18" s="64" t="s" ph="1">
        <v>588</v>
      </c>
      <c r="AK18" s="64" t="s" ph="1">
        <v>587</v>
      </c>
      <c r="AL18" s="64" ph="1">
        <v>740</v>
      </c>
      <c r="AM18" s="64" t="s" ph="1">
        <v>339</v>
      </c>
      <c r="AZ18" s="64" t="s" ph="1">
        <v>216</v>
      </c>
      <c r="BA18" s="64" ph="1">
        <v>740</v>
      </c>
    </row>
    <row r="19" spans="1:57" s="72" customFormat="1" ht="22.2" ph="1">
      <c r="B19" s="195" ph="1"/>
      <c r="C19" s="159" t="s" ph="1">
        <v>178</v>
      </c>
      <c r="D19" s="73" ph="1">
        <f>D18*7.0686*LOOKUP(D20,密度!$A$2:$A$50,密度!$L$2:$L$50)</f>
        <v>8057.0447496000006</v>
      </c>
      <c r="E19" s="73" ph="1">
        <f>E18*7.0686*LOOKUP(E20,密度!$A$2:$A$50,密度!$L$2:$L$50)</f>
        <v>368.9243712</v>
      </c>
      <c r="F19" s="73" ph="1">
        <f>F18*9.0746*LOOKUP(F20,密度!$A$2:$A$50,密度!$L$2:$L$50)</f>
        <v>10704.779293200001</v>
      </c>
      <c r="G19" s="73" ph="1">
        <f>G18*9.0746*LOOKUP(G20,密度!$A$2:$A$50,密度!$B$2:$B$50)</f>
        <v>20257.694199520003</v>
      </c>
      <c r="H19" s="73" ph="1">
        <f>H18*9.0746*LOOKUP(H20,密度!$A$2:$A$50,密度!$L$2:$L$50)</f>
        <v>17321.868718000002</v>
      </c>
      <c r="I19" s="73" ph="1">
        <f>I18*9.0746*LOOKUP(I20,密度!$A$2:$A$50,密度!$U$2:$U$50)</f>
        <v>50010.665076000005</v>
      </c>
      <c r="J19" s="73" ph="1">
        <f>J18*9.0746*LOOKUP(J20,密度!$A$2:$A$50,密度!$L$2:$L$50)</f>
        <v>1091.0210088000001</v>
      </c>
      <c r="K19" s="73" ph="1">
        <f>K18*9.0746*LOOKUP(K20,密度!$A$2:$A$50,密度!$C$2:$C$50)</f>
        <v>33781.127739040006</v>
      </c>
      <c r="L19" s="73" ph="1">
        <f>L18*9.0746*LOOKUP(L20,密度!$A$2:$A$50,密度!$E$2:$E$50)</f>
        <v>18318.437660159998</v>
      </c>
      <c r="M19" s="73" ph="1">
        <f>M18*9.0746*LOOKUP(M20,密度!$A$2:$A$50,密度!$M$2:$M$50)</f>
        <v>12062.02365712</v>
      </c>
      <c r="N19" s="73" ph="1">
        <f>N18*9.0746*LOOKUP(N20,密度!$A$2:$A$50,密度!$M$2:$M$50)</f>
        <v>14913.54065988</v>
      </c>
      <c r="O19" s="73" ph="1">
        <f>O18*9.0746*LOOKUP(O20,密度!$A$2:$A$50,密度!$G$2:$G$50)</f>
        <v>29792.156814200003</v>
      </c>
      <c r="P19" s="73" ph="1">
        <f ca="1">P18*9.0746*LOOKUP(P20,密度!$A$2:$A$51,密度!$Q$2:$Q$50)</f>
        <v>59751.19007764</v>
      </c>
      <c r="Q19" s="73" ph="1">
        <f>Q18*9.0746*LOOKUP(Q20,密度!$A$2:$A$50,密度!$Q$2:$Q$50)</f>
        <v>30449.137980826003</v>
      </c>
      <c r="R19" s="73" ph="1">
        <f>MAX(R18*9.0746*LOOKUP(R20,密度!$A$2:$A$50,密度!$B$2:$B$50),0)</f>
        <v>13754.475577900001</v>
      </c>
      <c r="S19" s="73" ph="1">
        <f>S18*9.0746*LOOKUP(S20,密度!$A$2:$A$50,密度!$Q$2:$Q$50)</f>
        <v>44375.950194785997</v>
      </c>
      <c r="T19" s="73" ph="1">
        <f>T18*9.0746*LOOKUP(T20,密度!$A$2:$A$50,密度!$O$2:$O$50)</f>
        <v>41889.351806000006</v>
      </c>
      <c r="U19" s="73" ph="1">
        <f>U18*9.0746*LOOKUP(U20,密度!$A$2:$A$50,密度!$H$2:$H$50)</f>
        <v>22171.498300800002</v>
      </c>
      <c r="V19" s="73" ph="1">
        <f>MAX(5600*LOOKUP(V20,密度!$A$2:$A$50,密度!$Q$2:$Q$50)+V18*9.0476*LOOKUP(V20,密度!$A$2:$A$50,密度!$Q$2:$Q$50),0)</f>
        <v>0</v>
      </c>
      <c r="W19" s="73" ph="1">
        <f>MAX(5600*LOOKUP(W20,密度!$A$2:$A$50,密度!$Q$2:$Q$50)+W18*9.0476*LOOKUP(W20,密度!$A$2:$A$50,密度!$Q$2:$Q$50),0)</f>
        <v>0</v>
      </c>
      <c r="X19" s="73" ph="1">
        <f>MAX(5600*LOOKUP(X20,密度!$A$2:$A$50,密度!$I$2:$I$50)+X18*9.0476*LOOKUP(X20,密度!$A$2:$A$50,密度!$I$2:$I$50),0)</f>
        <v>17895.884879879999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11796.8348064</v>
      </c>
      <c r="AA19" s="73" ph="1">
        <f>AA18*9.0746*LOOKUP(AA20,密度!$A$2:$A$50,密度!$B$2:$B$50)</f>
        <v>18022.264495200001</v>
      </c>
      <c r="AB19" s="73" ph="1">
        <f>AB18*9.0746*LOOKUP(AB20,密度!$A$2:$A$50,密度!$L$2:$L$50)</f>
        <v>5894.7149663999999</v>
      </c>
      <c r="AC19" s="73" ph="1">
        <f>AC18*9.0746*LOOKUP(AC20,密度!$A$2:$A$50,密度!$L$2:$L$50)</f>
        <v>4285.4617008000005</v>
      </c>
      <c r="AD19" s="73" ph="1">
        <f>AD18*268.68*LOOKUP(AD20,密度!$A$2:$A$50,密度!B5:B53)+IF(AD18&lt;=0,0,1566*LOOKUP(AD20,密度!$A$2:$A$50,密度!B5:B53))</f>
        <v>6742.7746092000007</v>
      </c>
      <c r="AE19" s="73" ph="1">
        <f>AE18*268.68*LOOKUP(AE20,密度!$A$2:$A$50,密度!B5:B53)+IF(AE18&lt;=0,0,1566*LOOKUP(AE20,密度!$A$2:$A$50,密度!B5:B53))</f>
        <v>18869.896281599998</v>
      </c>
      <c r="AH19" s="72" ph="1">
        <v>5</v>
      </c>
      <c r="AI19" s="72" t="s" ph="1">
        <v>341</v>
      </c>
      <c r="AZ19" s="72" t="s" ph="1">
        <v>216</v>
      </c>
      <c r="BA19" s="72" ph="1">
        <v>0</v>
      </c>
      <c r="BD19" s="72" t="s" ph="1">
        <v>342</v>
      </c>
      <c r="BE19" s="72" ph="1">
        <v>1440</v>
      </c>
    </row>
    <row r="20" spans="1:57" ph="1">
      <c r="A20" s="72" ph="1"/>
      <c r="B20" s="195" ph="1"/>
      <c r="C20" s="80" t="s" ph="1">
        <v>179</v>
      </c>
      <c r="D20" s="81">
        <v>30</v>
      </c>
      <c r="E20" s="81">
        <v>30</v>
      </c>
      <c r="F20" s="81">
        <v>28</v>
      </c>
      <c r="G20" s="81">
        <v>29</v>
      </c>
      <c r="H20" s="81">
        <v>24</v>
      </c>
      <c r="I20" s="81">
        <v>30</v>
      </c>
      <c r="J20" s="81">
        <v>30</v>
      </c>
      <c r="K20" s="81">
        <v>28</v>
      </c>
      <c r="L20" s="81">
        <v>30</v>
      </c>
      <c r="M20" s="81">
        <v>30</v>
      </c>
      <c r="N20" s="81">
        <v>25</v>
      </c>
      <c r="O20" s="81">
        <v>34</v>
      </c>
      <c r="P20" s="81">
        <v>30</v>
      </c>
      <c r="Q20" s="81">
        <v>30</v>
      </c>
      <c r="R20" s="81">
        <v>30</v>
      </c>
      <c r="S20" s="81">
        <v>34</v>
      </c>
      <c r="T20" s="81">
        <v>28</v>
      </c>
      <c r="U20" s="81">
        <v>28</v>
      </c>
      <c r="V20" s="81">
        <v>27</v>
      </c>
      <c r="W20" s="81">
        <v>27</v>
      </c>
      <c r="X20" s="81">
        <v>30</v>
      </c>
      <c r="Y20" s="110">
        <v>30</v>
      </c>
      <c r="Z20" s="81">
        <v>30</v>
      </c>
      <c r="AA20" s="81">
        <v>28</v>
      </c>
      <c r="AB20" s="81">
        <v>26</v>
      </c>
      <c r="AC20" s="81">
        <v>25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343</v>
      </c>
      <c r="AZ20" s="64" t="s" ph="1">
        <v>216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344</v>
      </c>
      <c r="AZ21" s="64" t="s" ph="1">
        <v>216</v>
      </c>
      <c r="BA21" s="64" ph="1">
        <v>0</v>
      </c>
      <c r="BD21" s="64" t="s" ph="1">
        <v>232</v>
      </c>
      <c r="BE21" s="64" ph="1">
        <v>730</v>
      </c>
    </row>
    <row r="22" spans="1:57" ph="1">
      <c r="A22" s="72" ph="1"/>
      <c r="B22" s="193" t="s" ph="1">
        <v>37</v>
      </c>
      <c r="C22" s="85" t="s" ph="1">
        <v>176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172" t="s" ph="1">
        <v>69</v>
      </c>
      <c r="AA22" s="173"/>
      <c r="AB22" s="173"/>
      <c r="AC22" s="173"/>
      <c r="AD22" s="173"/>
      <c r="AE22" s="174"/>
      <c r="AH22" s="64" ph="1">
        <v>8</v>
      </c>
      <c r="AI22" s="64" t="s" ph="1">
        <v>345</v>
      </c>
      <c r="AZ22" s="64" t="s" ph="1">
        <v>216</v>
      </c>
      <c r="BA22" s="64" ph="1">
        <v>0</v>
      </c>
    </row>
    <row r="23" spans="1:57" ph="1">
      <c r="A23" s="72" ph="1"/>
      <c r="B23" s="188" ph="1"/>
      <c r="C23" s="67" t="s" ph="1">
        <v>36</v>
      </c>
      <c r="D23" s="88" t="s" ph="1">
        <v>109</v>
      </c>
      <c r="E23" s="88" t="s" ph="1">
        <v>107</v>
      </c>
      <c r="F23" s="88" t="s" ph="1">
        <v>109</v>
      </c>
      <c r="G23" s="88" t="s" ph="1">
        <v>626</v>
      </c>
      <c r="H23" s="88" t="s" ph="1">
        <v>626</v>
      </c>
      <c r="I23" s="88" t="s" ph="1">
        <v>627</v>
      </c>
      <c r="J23" s="88" t="s" ph="1">
        <v>628</v>
      </c>
      <c r="K23" s="88" t="s" ph="1">
        <v>628</v>
      </c>
      <c r="L23" s="88" t="s" ph="1">
        <v>628</v>
      </c>
      <c r="M23" s="88" t="s" ph="1">
        <v>623</v>
      </c>
      <c r="N23" s="88" t="s" ph="1">
        <v>623</v>
      </c>
      <c r="O23" s="88" t="s" ph="1">
        <v>318</v>
      </c>
      <c r="P23" s="88" t="s" ph="1">
        <v>629</v>
      </c>
      <c r="Q23" s="89" t="s" ph="1">
        <v>629</v>
      </c>
      <c r="R23" s="88" t="s" ph="1">
        <v>610</v>
      </c>
      <c r="S23" s="88" t="s" ph="1">
        <v>629</v>
      </c>
      <c r="T23" s="88" t="s" ph="1">
        <v>604</v>
      </c>
      <c r="U23" s="104" t="s" ph="1">
        <v>606</v>
      </c>
      <c r="V23" s="88" t="s" ph="1">
        <v>629</v>
      </c>
      <c r="W23" s="88" t="s" ph="1">
        <v>629</v>
      </c>
      <c r="X23" s="88" t="s" ph="1">
        <v>187</v>
      </c>
      <c r="Y23" s="88" t="s" ph="1">
        <v>630</v>
      </c>
      <c r="Z23" s="175" t="s" ph="1">
        <v>643</v>
      </c>
      <c r="AA23" s="176"/>
      <c r="AB23" s="176"/>
      <c r="AC23" s="176"/>
      <c r="AD23" s="176"/>
      <c r="AE23" s="177"/>
      <c r="AH23" s="64" ph="1">
        <v>9</v>
      </c>
      <c r="AI23" s="64" t="s" ph="1">
        <v>346</v>
      </c>
      <c r="AZ23" s="64" t="s" ph="1">
        <v>216</v>
      </c>
      <c r="BA23" s="64" ph="1">
        <v>0</v>
      </c>
      <c r="BD23" s="64" t="s" ph="1">
        <v>238</v>
      </c>
      <c r="BE23" s="64" ph="1">
        <v>890</v>
      </c>
    </row>
    <row r="24" spans="1:57" ph="1">
      <c r="A24" s="72" ph="1"/>
      <c r="B24" s="184" ph="1">
        <v>0.33333333333333331</v>
      </c>
      <c r="C24" s="159" t="s" ph="1">
        <v>177</v>
      </c>
      <c r="D24" s="71">
        <v>3.67</v>
      </c>
      <c r="E24" s="71">
        <v>5.8</v>
      </c>
      <c r="F24" s="71">
        <v>2348</v>
      </c>
      <c r="G24" s="71">
        <v>3901</v>
      </c>
      <c r="H24" s="71">
        <v>3854</v>
      </c>
      <c r="I24" s="71">
        <v>946</v>
      </c>
      <c r="J24" s="71">
        <v>184</v>
      </c>
      <c r="K24" s="71">
        <v>223</v>
      </c>
      <c r="L24" s="71">
        <v>301</v>
      </c>
      <c r="M24" s="71">
        <v>324</v>
      </c>
      <c r="N24" s="71">
        <v>318</v>
      </c>
      <c r="O24" s="71">
        <v>340</v>
      </c>
      <c r="P24" s="71">
        <v>1123</v>
      </c>
      <c r="Q24" s="90">
        <v>4270</v>
      </c>
      <c r="R24" s="71">
        <v>6528</v>
      </c>
      <c r="S24" s="71">
        <v>299</v>
      </c>
      <c r="T24" s="71">
        <v>365</v>
      </c>
      <c r="U24" s="71">
        <v>5656</v>
      </c>
      <c r="V24" s="71">
        <v>884</v>
      </c>
      <c r="W24" s="71">
        <v>406</v>
      </c>
      <c r="X24" s="71">
        <v>5291</v>
      </c>
      <c r="Y24" s="71">
        <v>5671</v>
      </c>
      <c r="Z24" s="178"/>
      <c r="AA24" s="179"/>
      <c r="AB24" s="179"/>
      <c r="AC24" s="179"/>
      <c r="AD24" s="179"/>
      <c r="AE24" s="180"/>
      <c r="AH24" s="64" ph="1">
        <v>10</v>
      </c>
      <c r="AI24" s="64" t="s" ph="1">
        <v>347</v>
      </c>
      <c r="AZ24" s="64" t="s" ph="1">
        <v>216</v>
      </c>
      <c r="BA24" s="64" ph="1">
        <v>0</v>
      </c>
    </row>
    <row r="25" spans="1:57" ph="1">
      <c r="A25" s="72" ph="1"/>
      <c r="B25" s="184" ph="1"/>
      <c r="C25" s="68" t="s" ph="1">
        <v>178</v>
      </c>
      <c r="D25" s="91" ph="1">
        <f>D24*268.68*LOOKUP(D26,密度!$A$2:$A$50,密度!$Q$2:$Q$50)+IF(D24&lt;=0,0,1566*LOOKUP(D26,密度!$A$2:$A$50,密度!$Q$2:$Q$50))</f>
        <v>2416.1331187440001</v>
      </c>
      <c r="E25" s="91" ph="1">
        <f>E24*268.68*LOOKUP(E26,密度!$A$2:$A$50,密度!$C$2:$C$50)+IF(E24&lt;=0,0,1566*LOOKUP(E26,密度!$A$2:$A$50,密度!$C$2:$C$50))</f>
        <v>3464.5850615999998</v>
      </c>
      <c r="F25" s="91" ph="1">
        <f>F24*11.702*LOOKUP(F26,密度!$A$2:$A$50,密度!$Q$2:$Q$50)</f>
        <v>25993.40030488</v>
      </c>
      <c r="G25" s="91" ph="1">
        <f>G24*18.322*LOOKUP(G26,密度!$A$2:$A$50,密度!$B$2:$B$50)</f>
        <v>55413.8867866</v>
      </c>
      <c r="H25" s="91" ph="1">
        <f>H24*18.322*LOOKUP(H26,密度!$A$2:$A$50,密度!$B$2:$B$50)</f>
        <v>54746.249596399997</v>
      </c>
      <c r="I25" s="91" ph="1">
        <f>I24*18.322*LOOKUP(I26,密度!$A$2:$A$50,密度!$Q$2:$Q$50)</f>
        <v>16384.86477584</v>
      </c>
      <c r="J25" s="91" ph="1">
        <f>J24*18.322*LOOKUP(J26,密度!$A$2:$A$50,密度!$Q$2:$Q$50)</f>
        <v>3186.9081593600004</v>
      </c>
      <c r="K25" s="91" ph="1">
        <f>K24*18.322*LOOKUP(K26,密度!$A$2:$A$50,密度!$Q$2:$Q$50)</f>
        <v>3865.2950501800001</v>
      </c>
      <c r="L25" s="91" ph="1">
        <f>L24*18.322*LOOKUP(L26,密度!$A$2:$A$50,密度!$Q$2:$Q$50)</f>
        <v>5217.2816596599996</v>
      </c>
      <c r="M25" s="91" ph="1">
        <f>M24*18.322*LOOKUP(M26,密度!$A$2:$A$50,密度!$Q$2:$Q$50)</f>
        <v>5624.4926901600002</v>
      </c>
      <c r="N25" s="91" ph="1">
        <f>N24*18.322*LOOKUP(N26,密度!$A$2:$A$50,密度!$Q$2:$Q$50)</f>
        <v>5537.29023048</v>
      </c>
      <c r="O25" s="91" ph="1">
        <f>O24*18.322*LOOKUP(O26,密度!$A$2:$A$50,密度!$C$2:$C$50)</f>
        <v>6907.8703719999994</v>
      </c>
      <c r="P25" s="91" ph="1">
        <f>P24*11.702*LOOKUP(P26,密度!$A$2:$A$50,密度!$B$2:$B$50)</f>
        <v>10233.166130199999</v>
      </c>
      <c r="Q25" s="92" ph="1">
        <f>Q24*18.322*LOOKUP(Q26,密度!$A$2:$A$50,密度!$B$2:$B$50)</f>
        <v>60858.959826000006</v>
      </c>
      <c r="R25" s="91" ph="1">
        <f>R24*35.891*LOOKUP(R26,密度!$A$2:$A$50,密度!$C$2:$C$50)</f>
        <v>259272.44935679997</v>
      </c>
      <c r="S25" s="91" ph="1">
        <f>S24*35.891*LOOKUP(S26,密度!$A$2:$A$50,密度!$B$2:$B$50)</f>
        <v>8347.9630610999993</v>
      </c>
      <c r="T25" s="91" ph="1">
        <f>T24*35.891*LOOKUP(T26,密度!$A$2:$A$50,密度!$Q$2:$Q$50)</f>
        <v>12383.895243800001</v>
      </c>
      <c r="U25" s="91" ph="1">
        <f>U24*35.891</f>
        <v>202999.49599999998</v>
      </c>
      <c r="V25" s="91" ph="1">
        <f>V24*47.051*LOOKUP(V26,密度!$A$2:$A$50,密度!$B$2:$B$50)</f>
        <v>32425.968286399999</v>
      </c>
      <c r="W25" s="91" ph="1">
        <f>W24*47.051*LOOKUP(W26,密度!$A$2:$A$50,密度!$B$2:$B$50)</f>
        <v>14892.4695976</v>
      </c>
      <c r="X25" s="91" ph="1">
        <f>X24*47.051*LOOKUP(X26,密度!$A$2:$A$61,密度!$I$2:$I$61)</f>
        <v>258929.60932410002</v>
      </c>
      <c r="Y25" s="91" ph="1">
        <f>Y24*47.051*LOOKUP(Y26,密度!$A$2:$A$50,密度!$L$2:$L$50)</f>
        <v>248682.03797200002</v>
      </c>
      <c r="Z25" s="178"/>
      <c r="AA25" s="179"/>
      <c r="AB25" s="179"/>
      <c r="AC25" s="179"/>
      <c r="AD25" s="179"/>
      <c r="AE25" s="180"/>
      <c r="AH25" s="64" ph="1">
        <v>11</v>
      </c>
      <c r="AI25" s="64" t="s" ph="1">
        <v>348</v>
      </c>
      <c r="AZ25" s="64" t="s" ph="1">
        <v>216</v>
      </c>
      <c r="BA25" s="64" ph="1">
        <v>0</v>
      </c>
      <c r="BD25" s="64" t="s" ph="1">
        <v>241</v>
      </c>
      <c r="BE25" s="64" ph="1">
        <v>8920</v>
      </c>
    </row>
    <row r="26" spans="1:57" ph="1">
      <c r="A26" s="72" ph="1"/>
      <c r="B26" s="184" ph="1"/>
      <c r="C26" s="68" t="s" ph="1">
        <v>179</v>
      </c>
      <c r="D26" s="74">
        <v>25</v>
      </c>
      <c r="E26" s="74">
        <v>25</v>
      </c>
      <c r="F26" s="74">
        <v>26</v>
      </c>
      <c r="G26" s="74">
        <v>30</v>
      </c>
      <c r="H26" s="74">
        <v>30</v>
      </c>
      <c r="I26" s="74">
        <v>27</v>
      </c>
      <c r="J26" s="74">
        <v>27</v>
      </c>
      <c r="K26" s="74">
        <v>26</v>
      </c>
      <c r="L26" s="74">
        <v>26</v>
      </c>
      <c r="M26" s="74">
        <v>24</v>
      </c>
      <c r="N26" s="74">
        <v>20</v>
      </c>
      <c r="O26" s="74">
        <v>25</v>
      </c>
      <c r="P26" s="74">
        <v>26</v>
      </c>
      <c r="Q26" s="93">
        <v>27</v>
      </c>
      <c r="R26" s="74">
        <v>28</v>
      </c>
      <c r="S26" s="74">
        <v>27</v>
      </c>
      <c r="T26" s="74">
        <v>27</v>
      </c>
      <c r="U26" s="74">
        <v>27</v>
      </c>
      <c r="V26" s="74">
        <v>25</v>
      </c>
      <c r="W26" s="74">
        <v>25</v>
      </c>
      <c r="X26" s="74">
        <v>27</v>
      </c>
      <c r="Y26" s="74">
        <v>30</v>
      </c>
      <c r="Z26" s="178"/>
      <c r="AA26" s="179"/>
      <c r="AB26" s="179"/>
      <c r="AC26" s="179"/>
      <c r="AD26" s="179"/>
      <c r="AE26" s="180"/>
      <c r="AH26" s="64" ph="1">
        <v>12</v>
      </c>
      <c r="AI26" s="64" t="s" ph="1">
        <v>349</v>
      </c>
      <c r="AZ26" s="64" t="s" ph="1">
        <v>216</v>
      </c>
      <c r="BA26" s="64" ph="1">
        <v>0</v>
      </c>
    </row>
    <row r="27" spans="1:57" ht="26.4" ph="1">
      <c r="A27" s="72" ph="1"/>
      <c r="B27" s="184" ph="1">
        <v>0.66666666666666663</v>
      </c>
      <c r="C27" s="159" t="s" ph="1">
        <v>180</v>
      </c>
      <c r="D27" s="71">
        <v>3.34</v>
      </c>
      <c r="E27" s="71">
        <v>5.82</v>
      </c>
      <c r="F27" s="71">
        <v>0</v>
      </c>
      <c r="G27" s="71">
        <v>3334</v>
      </c>
      <c r="H27" s="71">
        <v>3441</v>
      </c>
      <c r="I27" s="71">
        <v>947</v>
      </c>
      <c r="J27" s="71">
        <v>190</v>
      </c>
      <c r="K27" s="71">
        <v>224</v>
      </c>
      <c r="L27" s="71">
        <v>303</v>
      </c>
      <c r="M27" s="71">
        <v>328</v>
      </c>
      <c r="N27" s="71">
        <v>319</v>
      </c>
      <c r="O27" s="71">
        <v>342</v>
      </c>
      <c r="P27" s="71">
        <v>1123</v>
      </c>
      <c r="Q27" s="90">
        <v>4517</v>
      </c>
      <c r="R27" s="71">
        <v>6530</v>
      </c>
      <c r="S27" s="71">
        <v>300</v>
      </c>
      <c r="T27" s="71">
        <v>366</v>
      </c>
      <c r="U27" s="71">
        <v>5713</v>
      </c>
      <c r="V27" s="71">
        <v>885</v>
      </c>
      <c r="W27" s="71">
        <v>407</v>
      </c>
      <c r="X27" s="71">
        <v>5289</v>
      </c>
      <c r="Y27" s="71">
        <v>4006</v>
      </c>
      <c r="Z27" s="178"/>
      <c r="AA27" s="179"/>
      <c r="AB27" s="179"/>
      <c r="AC27" s="179"/>
      <c r="AD27" s="179"/>
      <c r="AE27" s="180"/>
      <c r="AH27" s="64" ph="1">
        <v>13</v>
      </c>
      <c r="AI27" s="64" t="s" ph="1">
        <v>350</v>
      </c>
      <c r="AZ27" s="64" t="s" ph="1">
        <v>216</v>
      </c>
      <c r="BA27" s="64" ph="1">
        <v>0</v>
      </c>
      <c r="BD27" s="64" t="s" ph="1">
        <v>295</v>
      </c>
      <c r="BE27" s="64" ph="1">
        <v>7100</v>
      </c>
    </row>
    <row r="28" spans="1:57" ph="1">
      <c r="A28" s="72" ph="1"/>
      <c r="B28" s="184" ph="1"/>
      <c r="C28" s="159" t="s" ph="1">
        <v>178</v>
      </c>
      <c r="D28" s="91" ph="1">
        <f>D27*268.68*LOOKUP(D29,密度!$A$2:$A$50,密度!$Q$2:$Q$50)+IF(D27&lt;=0,0,1566*LOOKUP(D29,密度!$A$2:$A$50,密度!$Q$2:$Q$50))</f>
        <v>2332.1909846879998</v>
      </c>
      <c r="E28" s="91" ph="1">
        <f>E27*268.68*LOOKUP(E29,密度!$A$2:$A$50,密度!$C$2:$C$50)+IF(E27&lt;=0,0,1566*LOOKUP(E29,密度!$A$2:$A$50,密度!$C$2:$C$50))</f>
        <v>3470.5438466400001</v>
      </c>
      <c r="F28" s="91" ph="1">
        <f>F27*11.702*LOOKUP(F29,密度!$A$2:$A$50,密度!$Q$2:$Q$50)</f>
        <v>0</v>
      </c>
      <c r="G28" s="91" ph="1">
        <f>G27*18.322*LOOKUP(G29,密度!$A$2:$A$50,密度!$B$2:$B$50)</f>
        <v>47304.648371199997</v>
      </c>
      <c r="H28" s="91" ph="1">
        <f>H27*18.322*LOOKUP(H29,密度!$A$2:$A$50,密度!$B$2:$B$50)</f>
        <v>48936.3067524</v>
      </c>
      <c r="I28" s="91" ph="1">
        <f>I27*18.322*LOOKUP(I29,密度!$A$2:$A$50,密度!$Q$2:$Q$50)</f>
        <v>16378.067130619998</v>
      </c>
      <c r="J28" s="91" ph="1">
        <f>J27*18.322*LOOKUP(J29,密度!$A$2:$A$50,密度!$Q$2:$Q$50)</f>
        <v>3283.9015294000001</v>
      </c>
      <c r="K28" s="91" ph="1">
        <f>K27*18.322*LOOKUP(K29,密度!$A$2:$A$50,密度!$Q$2:$Q$50)</f>
        <v>3863.0104799999999</v>
      </c>
      <c r="L28" s="91" ph="1">
        <f>L27*18.322*LOOKUP(L29,密度!$A$2:$A$50,密度!$Q$2:$Q$50)</f>
        <v>5221.7474639399998</v>
      </c>
      <c r="M28" s="91" ph="1">
        <f>M27*18.322*LOOKUP(M29,密度!$A$2:$A$50,密度!$Q$2:$Q$50)</f>
        <v>5648.6784630399998</v>
      </c>
      <c r="N28" s="91" ph="1">
        <f>N27*18.322*LOOKUP(N29,密度!$A$2:$A$50,密度!$Q$2:$Q$50)</f>
        <v>5501.3408175000004</v>
      </c>
      <c r="O28" s="91" ph="1">
        <f>O27*18.322*LOOKUP(O29,密度!$A$2:$A$50,密度!$C$2:$C$50)</f>
        <v>6918.4275084000001</v>
      </c>
      <c r="P28" s="91" ph="1">
        <f>P27*11.702*LOOKUP(P29,密度!$A$2:$A$50,密度!$B$2:$B$50)</f>
        <v>10188.485553799999</v>
      </c>
      <c r="Q28" s="92" ph="1">
        <f>Q27*18.322*LOOKUP(Q29,密度!$A$2:$A$50,密度!$B$2:$B$50)</f>
        <v>64164.1954922</v>
      </c>
      <c r="R28" s="91" ph="1">
        <f>R27*35.891*LOOKUP(R29,密度!$A$2:$A$50,密度!$C$2:$C$50)</f>
        <v>259000.33097299997</v>
      </c>
      <c r="S28" s="91" ph="1">
        <f>S27*35.891*LOOKUP(S29,密度!$A$2:$A$50,密度!$B$2:$B$50)</f>
        <v>8338.1971199999989</v>
      </c>
      <c r="T28" s="91" ph="1">
        <f>T27*35.891*LOOKUP(T29,密度!$A$2:$A$50,密度!$Q$2:$Q$50)</f>
        <v>12347.15147364</v>
      </c>
      <c r="U28" s="91" ph="1">
        <f>U27*35.891</f>
        <v>205045.283</v>
      </c>
      <c r="V28" s="91" ph="1">
        <f>V27*47.051*LOOKUP(V29,密度!$A$2:$A$50,密度!$B$2:$B$50)</f>
        <v>32425.173124500001</v>
      </c>
      <c r="W28" s="91" ph="1">
        <f>W27*47.051*LOOKUP(W29,密度!$A$2:$A$50,密度!$B$2:$B$50)</f>
        <v>14911.915775900001</v>
      </c>
      <c r="X28" s="91" ph="1">
        <f>X27*47.051*LOOKUP(X29,密度!$A$2:$A$61,密度!$I$2:$I$61)</f>
        <v>259105.47184679998</v>
      </c>
      <c r="Y28" s="91" ph="1">
        <f>Y27*47.051*LOOKUP(Y29,密度!$A$2:$A$50,密度!$L$2:$L$50)</f>
        <v>175480.75088600002</v>
      </c>
      <c r="Z28" s="178"/>
      <c r="AA28" s="179"/>
      <c r="AB28" s="179"/>
      <c r="AC28" s="179"/>
      <c r="AD28" s="179"/>
      <c r="AE28" s="180"/>
      <c r="AH28" s="64" ph="1">
        <v>14</v>
      </c>
      <c r="AI28" s="64" t="s" ph="1">
        <v>351</v>
      </c>
      <c r="AZ28" s="64" t="s" ph="1">
        <v>216</v>
      </c>
      <c r="BA28" s="64" ph="1">
        <v>0</v>
      </c>
    </row>
    <row r="29" spans="1:57" ph="1">
      <c r="A29" s="72" ph="1"/>
      <c r="B29" s="184" ph="1"/>
      <c r="C29" s="159" t="s" ph="1">
        <v>179</v>
      </c>
      <c r="D29" s="74">
        <v>25</v>
      </c>
      <c r="E29" s="74">
        <v>25</v>
      </c>
      <c r="F29" s="74">
        <v>27</v>
      </c>
      <c r="G29" s="74">
        <v>31</v>
      </c>
      <c r="H29" s="74">
        <v>29</v>
      </c>
      <c r="I29" s="74">
        <v>29</v>
      </c>
      <c r="J29" s="74">
        <v>30</v>
      </c>
      <c r="K29" s="74">
        <v>33</v>
      </c>
      <c r="L29" s="74">
        <v>34</v>
      </c>
      <c r="M29" s="74">
        <v>35</v>
      </c>
      <c r="N29" s="74">
        <v>33</v>
      </c>
      <c r="O29" s="74">
        <v>31</v>
      </c>
      <c r="P29" s="74">
        <v>30</v>
      </c>
      <c r="Q29" s="93">
        <v>30</v>
      </c>
      <c r="R29" s="74">
        <v>30</v>
      </c>
      <c r="S29" s="74">
        <v>31</v>
      </c>
      <c r="T29" s="74">
        <v>35</v>
      </c>
      <c r="U29" s="74">
        <v>38</v>
      </c>
      <c r="V29" s="74">
        <v>26</v>
      </c>
      <c r="W29" s="74">
        <v>26</v>
      </c>
      <c r="X29" s="74">
        <v>26</v>
      </c>
      <c r="Y29" s="74">
        <v>31</v>
      </c>
      <c r="Z29" s="181"/>
      <c r="AA29" s="182"/>
      <c r="AB29" s="182"/>
      <c r="AC29" s="182"/>
      <c r="AD29" s="182"/>
      <c r="AE29" s="183"/>
      <c r="AH29" s="64" ph="1">
        <v>15</v>
      </c>
      <c r="AI29" s="64" t="s" ph="1">
        <v>352</v>
      </c>
      <c r="AZ29" s="64" t="s" ph="1">
        <v>216</v>
      </c>
      <c r="BA29" s="64" ph="1">
        <v>0</v>
      </c>
      <c r="BD29" s="64" t="s" ph="1">
        <v>353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354</v>
      </c>
      <c r="AZ30" s="64" t="s" ph="1">
        <v>216</v>
      </c>
      <c r="BA30" s="64" ph="1">
        <v>0</v>
      </c>
    </row>
    <row r="31" spans="1:57" ht="28.2" ph="1">
      <c r="A31" s="64"/>
      <c r="B31" s="197" t="s" ph="1">
        <v>35</v>
      </c>
      <c r="C31" s="198" ph="1"/>
      <c r="D31" s="201" t="s" ph="1">
        <v>9</v>
      </c>
      <c r="E31" s="190" ph="1"/>
      <c r="F31" s="191" ph="1"/>
      <c r="G31" s="201" t="s" ph="1">
        <v>18</v>
      </c>
      <c r="H31" s="190" ph="1"/>
      <c r="I31" s="191" ph="1"/>
      <c r="J31" s="189" t="s" ph="1">
        <v>1</v>
      </c>
      <c r="K31" s="190" ph="1"/>
      <c r="L31" s="191" ph="1"/>
      <c r="M31" s="189" t="s" ph="1">
        <v>7</v>
      </c>
      <c r="N31" s="190" ph="1"/>
      <c r="O31" s="191" ph="1"/>
      <c r="P31" s="189" t="s" ph="1">
        <v>41</v>
      </c>
      <c r="Q31" s="190"/>
      <c r="R31" s="191"/>
      <c r="S31" s="189" t="s" ph="1">
        <v>2</v>
      </c>
      <c r="T31" s="190"/>
      <c r="U31" s="191"/>
      <c r="V31" s="189" t="s" ph="1">
        <v>71</v>
      </c>
      <c r="W31" s="190" ph="1"/>
      <c r="X31" s="191" ph="1"/>
      <c r="Y31" s="189" t="s" ph="1">
        <v>3</v>
      </c>
      <c r="Z31" s="190" ph="1"/>
      <c r="AA31" s="191" ph="1"/>
      <c r="AB31" s="212" t="s">
        <v>42</v>
      </c>
      <c r="AC31" s="213"/>
      <c r="AD31" s="213"/>
      <c r="AE31" s="214"/>
      <c r="AH31" s="64" ph="1">
        <v>17</v>
      </c>
      <c r="AI31" s="64" t="s" ph="1">
        <v>355</v>
      </c>
      <c r="AZ31" s="64" t="s" ph="1">
        <v>216</v>
      </c>
      <c r="BA31" s="64" ph="1">
        <v>0</v>
      </c>
      <c r="BD31" s="64" t="s" ph="1">
        <v>356</v>
      </c>
      <c r="BE31" s="64" ph="1">
        <v>9310</v>
      </c>
    </row>
    <row r="32" spans="1:57" ph="1">
      <c r="A32" s="64"/>
      <c r="B32" s="199" ph="1"/>
      <c r="C32" s="200" ph="1"/>
      <c r="D32" s="96" t="s" ph="1">
        <v>4</v>
      </c>
      <c r="E32" s="159" t="s" ph="1">
        <v>5</v>
      </c>
      <c r="F32" s="158" t="s" ph="1">
        <v>43</v>
      </c>
      <c r="G32" s="97" t="s" ph="1">
        <v>4</v>
      </c>
      <c r="H32" s="159" t="s" ph="1">
        <v>5</v>
      </c>
      <c r="I32" s="158" t="s" ph="1">
        <v>43</v>
      </c>
      <c r="J32" s="97" t="s" ph="1">
        <v>4</v>
      </c>
      <c r="K32" s="159" t="s" ph="1">
        <v>5</v>
      </c>
      <c r="L32" s="158" t="s" ph="1">
        <v>43</v>
      </c>
      <c r="M32" s="97" t="s" ph="1">
        <v>4</v>
      </c>
      <c r="N32" s="159" t="s" ph="1">
        <v>5</v>
      </c>
      <c r="O32" s="158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59" t="s" ph="1">
        <v>5</v>
      </c>
      <c r="U32" s="99" t="s" ph="1">
        <v>43</v>
      </c>
      <c r="V32" s="97" t="s" ph="1">
        <v>4</v>
      </c>
      <c r="W32" s="159" t="s" ph="1">
        <v>5</v>
      </c>
      <c r="X32" s="99" t="s" ph="1">
        <v>43</v>
      </c>
      <c r="Y32" s="100" t="s" ph="1">
        <v>4</v>
      </c>
      <c r="Z32" s="159" t="s" ph="1">
        <v>5</v>
      </c>
      <c r="AA32" s="158" t="s" ph="1">
        <v>43</v>
      </c>
      <c r="AB32" s="97" t="s" ph="1">
        <v>85</v>
      </c>
      <c r="AC32" s="159" t="s" ph="1">
        <v>84</v>
      </c>
      <c r="AD32" s="215" t="s" ph="1">
        <v>83</v>
      </c>
      <c r="AE32" s="216"/>
      <c r="AH32" s="64" ph="1">
        <v>18</v>
      </c>
      <c r="AI32" s="64" t="s" ph="1">
        <v>357</v>
      </c>
      <c r="AZ32" s="64" t="s" ph="1">
        <v>216</v>
      </c>
      <c r="BA32" s="64" ph="1">
        <v>0</v>
      </c>
    </row>
    <row r="33" spans="1:57" ph="1">
      <c r="A33" s="64"/>
      <c r="B33" s="202" t="s" ph="1">
        <v>181</v>
      </c>
      <c r="C33" s="203" ph="1"/>
      <c r="D33" s="206" ph="1">
        <f>AA10+AB10+Z19</f>
        <v>58212.874733600001</v>
      </c>
      <c r="E33" s="206" ph="1">
        <f>M10+I10</f>
        <v>202832.20645300002</v>
      </c>
      <c r="F33" s="208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1522252632456786910111213141516171819202123456789101112131415161718192022232424356789101112131415161718192021222345678910111213141516171819202345678910111213149101516171819222123234567891012131415161711181920212224252345678910111213119[[#This Row],[F25]]</f>
        <v>3880</v>
      </c>
      <c r="G33" s="210" ph="1">
        <f>N19</f>
        <v>14913.54065988</v>
      </c>
      <c r="H33" s="206" ph="1">
        <f>M19</f>
        <v>12062.02365712</v>
      </c>
      <c r="I33" s="219" ph="1">
        <v>0</v>
      </c>
      <c r="J33" s="217" ph="1">
        <f>F10+O28</f>
        <v>222031.5188886</v>
      </c>
      <c r="K33" s="206" ph="1">
        <f>O10+K10+E28+R28</f>
        <v>399219.56845163996</v>
      </c>
      <c r="L33" s="221" ph="1">
        <f>K19</f>
        <v>33781.127739040006</v>
      </c>
      <c r="M33" s="217" ph="1">
        <f>G10+H10+W28+S28+V28+E10+R19+P28+Q28</f>
        <v>669974.72006629989</v>
      </c>
      <c r="N33" s="206" ph="1">
        <f>L10+P10++G28+H28+AD19+AE19</f>
        <v>217134.1537194</v>
      </c>
      <c r="O33" s="219" ph="1">
        <f>G19</f>
        <v>20257.694199520003</v>
      </c>
      <c r="P33" s="217" ph="1">
        <f>L19</f>
        <v>18318.437660159998</v>
      </c>
      <c r="Q33" s="206" ph="1">
        <f>J10+N10</f>
        <v>184244.23634559999</v>
      </c>
      <c r="R33" s="219" ph="1">
        <f>BE23</f>
        <v>890</v>
      </c>
      <c r="S33" s="217" ph="1">
        <f>X28</f>
        <v>259105.47184679998</v>
      </c>
      <c r="T33" s="206" ph="1">
        <f>X19</f>
        <v>17895.884879879999</v>
      </c>
      <c r="U33" s="227" ph="1">
        <f>BE21</f>
        <v>730</v>
      </c>
      <c r="V33" s="238" ph="1">
        <f ca="1">P19+Q19+S19+M28+N28+J28+D10+AC10+D19+E19+H19+J19+O19+V19+W19+K28+L28</f>
        <v>574524.06909247185</v>
      </c>
      <c r="W33" s="238" ph="1">
        <f>D28+F28+T28+I28</f>
        <v>31057.409588947998</v>
      </c>
      <c r="X33" s="219" ph="1">
        <f>BE29+BE31</f>
        <v>10200</v>
      </c>
      <c r="Y33" s="240" ph="1">
        <f>+Q10+R10+S10+T10+U10+V10+W10+X10+Y10</f>
        <v>215409.8523654</v>
      </c>
      <c r="Z33" s="225" ph="1">
        <f>T19+U19+Y28+Z10</f>
        <v>379364.4430798</v>
      </c>
      <c r="AA33" s="227" ph="1">
        <f>BE19</f>
        <v>1440</v>
      </c>
      <c r="AB33" s="229" ph="1">
        <f>I19</f>
        <v>50010.665076000005</v>
      </c>
      <c r="AC33" s="231" ph="1">
        <f>AD10+AB19</f>
        <v>81970.760505600003</v>
      </c>
      <c r="AD33" s="233" ph="1">
        <v>0</v>
      </c>
      <c r="AE33" s="234"/>
      <c r="AH33" s="64" ph="1">
        <v>19</v>
      </c>
      <c r="AI33" s="64" t="s" ph="1">
        <v>358</v>
      </c>
      <c r="AJ33" s="64" t="s" ph="1">
        <v>592</v>
      </c>
      <c r="AK33" s="64" t="s" ph="1">
        <v>589</v>
      </c>
      <c r="AL33" s="64" ph="1">
        <v>730</v>
      </c>
      <c r="AM33" s="64" t="s" ph="1">
        <v>339</v>
      </c>
      <c r="AZ33" s="64" t="s" ph="1">
        <v>216</v>
      </c>
      <c r="BA33" s="64" ph="1">
        <v>730</v>
      </c>
      <c r="BD33" s="64" t="s" ph="1">
        <v>290</v>
      </c>
      <c r="BE33" s="64" ph="1">
        <v>3880</v>
      </c>
    </row>
    <row r="34" spans="1:57" ph="1">
      <c r="A34" s="64"/>
      <c r="B34" s="204" ph="1"/>
      <c r="C34" s="205" ph="1"/>
      <c r="D34" s="207" ph="1"/>
      <c r="E34" s="207" ph="1"/>
      <c r="F34" s="209" ph="1"/>
      <c r="G34" s="211" ph="1"/>
      <c r="H34" s="207" ph="1"/>
      <c r="I34" s="220" ph="1"/>
      <c r="J34" s="218" ph="1"/>
      <c r="K34" s="207" ph="1"/>
      <c r="L34" s="222" ph="1"/>
      <c r="M34" s="218" ph="1"/>
      <c r="N34" s="207" ph="1"/>
      <c r="O34" s="220" ph="1"/>
      <c r="P34" s="218" ph="1"/>
      <c r="Q34" s="207" ph="1"/>
      <c r="R34" s="220" ph="1"/>
      <c r="S34" s="218" ph="1"/>
      <c r="T34" s="207"/>
      <c r="U34" s="228"/>
      <c r="V34" s="239" ph="1"/>
      <c r="W34" s="239" ph="1"/>
      <c r="X34" s="220" ph="1"/>
      <c r="Y34" s="241" ph="1"/>
      <c r="Z34" s="226" ph="1"/>
      <c r="AA34" s="228" ph="1"/>
      <c r="AB34" s="230"/>
      <c r="AC34" s="232"/>
      <c r="AD34" s="235"/>
      <c r="AE34" s="236"/>
      <c r="AH34" s="64" ph="1">
        <v>20</v>
      </c>
      <c r="AI34" s="64" t="s" ph="1">
        <v>359</v>
      </c>
      <c r="AJ34" s="64" t="s" ph="1">
        <v>593</v>
      </c>
      <c r="AK34" s="64" t="s" ph="1">
        <v>589</v>
      </c>
      <c r="AL34" s="64" ph="1">
        <v>720</v>
      </c>
      <c r="AM34" s="64" t="s" ph="1">
        <v>339</v>
      </c>
      <c r="AZ34" s="64" t="s" ph="1">
        <v>216</v>
      </c>
      <c r="BA34" s="64" ph="1">
        <v>720</v>
      </c>
    </row>
    <row r="35" spans="1:57" ph="1">
      <c r="A35" s="64"/>
      <c r="AC35" s="237" t="s" ph="1">
        <v>631</v>
      </c>
      <c r="AD35" s="237"/>
      <c r="AE35" s="237"/>
      <c r="AH35" s="64" ph="1">
        <v>21</v>
      </c>
      <c r="AI35" s="64" t="s" ph="1">
        <v>360</v>
      </c>
      <c r="AZ35" s="64" t="s" ph="1">
        <v>216</v>
      </c>
      <c r="BA35" s="64" ph="1">
        <v>0</v>
      </c>
      <c r="BD35" s="64" t="s" ph="1">
        <v>361</v>
      </c>
      <c r="BE35" s="64" ph="1">
        <v>2030</v>
      </c>
    </row>
    <row r="36" spans="1:57" ht="28.2" ph="1">
      <c r="A36" s="64"/>
      <c r="B36" s="103" t="s" ph="1">
        <v>182</v>
      </c>
      <c r="I36" s="223" t="s" ph="1">
        <v>183</v>
      </c>
      <c r="J36" s="223" ph="1"/>
      <c r="K36" s="101" ph="1"/>
      <c r="P36" s="101" ph="1"/>
      <c r="R36" s="223" t="s" ph="1">
        <v>184</v>
      </c>
      <c r="S36" s="223" ph="1"/>
      <c r="Y36" s="102" ph="1"/>
      <c r="Z36" s="157" t="s" ph="1">
        <v>185</v>
      </c>
      <c r="AA36" s="157" ph="1"/>
      <c r="AB36" s="224" t="s" ph="1">
        <v>640</v>
      </c>
      <c r="AC36" s="224" ph="1"/>
      <c r="AD36" s="224" ph="1"/>
      <c r="AE36" s="224" ph="1"/>
      <c r="BA36" s="64" ph="1">
        <v>2270</v>
      </c>
    </row>
    <row r="37" spans="1:57" s="157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57" t="s" ph="1">
        <v>342</v>
      </c>
      <c r="AI37" s="157" t="s" ph="1">
        <v>209</v>
      </c>
      <c r="AJ37" s="157" t="s" ph="1">
        <v>210</v>
      </c>
      <c r="AK37" s="157" t="s" ph="1">
        <v>211</v>
      </c>
      <c r="AM37" s="157" t="s" ph="1">
        <v>210</v>
      </c>
      <c r="AN37" s="157" t="s" ph="1">
        <v>211</v>
      </c>
      <c r="AO37" s="157" t="s" ph="1">
        <v>212</v>
      </c>
      <c r="AP37" s="157" t="s" ph="1">
        <v>210</v>
      </c>
      <c r="AQ37" s="157" t="s" ph="1">
        <v>211</v>
      </c>
      <c r="AR37" s="157" t="s" ph="1">
        <v>212</v>
      </c>
      <c r="AS37" s="157" t="s" ph="1">
        <v>210</v>
      </c>
      <c r="AT37" s="157" t="s" ph="1">
        <v>211</v>
      </c>
      <c r="AU37" s="157" t="s" ph="1">
        <v>212</v>
      </c>
      <c r="AV37" s="157" t="s" ph="1">
        <v>210</v>
      </c>
      <c r="AW37" s="157" t="s" ph="1">
        <v>211</v>
      </c>
      <c r="AX37" s="157" t="s" ph="1">
        <v>212</v>
      </c>
      <c r="AY37" s="157" t="s" ph="1">
        <v>211</v>
      </c>
      <c r="AZ37" s="157" t="s" ph="1">
        <v>213</v>
      </c>
      <c r="BD37" s="157" t="s" ph="1">
        <v>305</v>
      </c>
      <c r="BE37" s="157" ph="1">
        <v>0</v>
      </c>
    </row>
    <row r="38" spans="1:57" ph="1">
      <c r="AE38" s="64" ph="1"/>
      <c r="AH38" s="64" ph="1">
        <v>1</v>
      </c>
      <c r="AI38" s="64" t="s" ph="1">
        <v>362</v>
      </c>
      <c r="AY38" s="64" t="s" ph="1">
        <v>216</v>
      </c>
      <c r="AZ38" s="64" t="s" ph="1">
        <v>367</v>
      </c>
    </row>
    <row r="39" spans="1:57" ph="1">
      <c r="AH39" s="64" ph="1">
        <v>2</v>
      </c>
      <c r="AI39" s="64" t="s" ph="1">
        <v>364</v>
      </c>
      <c r="AJ39" s="64" t="s" ph="1">
        <v>336</v>
      </c>
      <c r="AK39" s="64" t="s" ph="1">
        <v>365</v>
      </c>
      <c r="AM39" s="64" t="s" ph="1">
        <v>570</v>
      </c>
      <c r="AN39" s="64" t="s" ph="1">
        <v>228</v>
      </c>
      <c r="AO39" s="64" t="s" ph="1">
        <v>363</v>
      </c>
      <c r="AY39" s="64" t="s" ph="1">
        <v>216</v>
      </c>
      <c r="AZ39" s="64" t="s" ph="1">
        <v>499</v>
      </c>
    </row>
    <row r="40" spans="1:57" ph="1">
      <c r="AH40" s="64" ph="1">
        <v>3</v>
      </c>
      <c r="AI40" s="64" t="s" ph="1">
        <v>366</v>
      </c>
      <c r="AJ40" s="64" t="s" ph="1">
        <v>570</v>
      </c>
      <c r="AK40" s="64" t="s" ph="1">
        <v>571</v>
      </c>
      <c r="AY40" s="64" t="s" ph="1">
        <v>216</v>
      </c>
      <c r="AZ40" s="64" t="s" ph="1">
        <v>571</v>
      </c>
    </row>
    <row r="41" spans="1:57" ph="1">
      <c r="AH41" s="64" ph="1">
        <v>4</v>
      </c>
      <c r="AI41" s="64" t="s" ph="1">
        <v>368</v>
      </c>
      <c r="AJ41" s="64" t="s" ph="1">
        <v>572</v>
      </c>
      <c r="AK41" s="64" t="s" ph="1">
        <v>573</v>
      </c>
      <c r="AM41" s="64" t="s" ph="1">
        <v>574</v>
      </c>
      <c r="AY41" s="64" t="s" ph="1">
        <v>216</v>
      </c>
      <c r="AZ41" s="64" t="s" ph="1">
        <v>573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369</v>
      </c>
      <c r="AY42" s="64" t="s" ph="1">
        <v>216</v>
      </c>
      <c r="AZ42" s="64" t="s" ph="1">
        <v>367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370</v>
      </c>
      <c r="AY43" s="64" t="s" ph="1">
        <v>216</v>
      </c>
      <c r="AZ43" s="64" t="s" ph="1">
        <v>367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371</v>
      </c>
      <c r="AV44" s="64" t="s" ph="1">
        <v>217</v>
      </c>
      <c r="AY44" s="64" t="s" ph="1">
        <v>216</v>
      </c>
      <c r="AZ44" s="64" t="s" ph="1">
        <v>367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372</v>
      </c>
      <c r="AV45" s="64" t="s" ph="1">
        <v>217</v>
      </c>
      <c r="AY45" s="64" t="s" ph="1">
        <v>216</v>
      </c>
      <c r="AZ45" s="64" t="s" ph="1">
        <v>367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373</v>
      </c>
      <c r="AV46" s="64" t="s" ph="1">
        <v>217</v>
      </c>
      <c r="AY46" s="64" t="s" ph="1">
        <v>216</v>
      </c>
      <c r="AZ46" s="64" t="s" ph="1">
        <v>367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374</v>
      </c>
      <c r="AV47" s="64" t="s" ph="1">
        <v>217</v>
      </c>
      <c r="AY47" s="64" t="s" ph="1">
        <v>216</v>
      </c>
      <c r="AZ47" s="64" t="s" ph="1">
        <v>367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575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232</v>
      </c>
      <c r="AI49" s="64" t="s" ph="1">
        <v>209</v>
      </c>
      <c r="AJ49" s="64" t="s" ph="1">
        <v>210</v>
      </c>
      <c r="AK49" s="64" t="s" ph="1">
        <v>211</v>
      </c>
      <c r="AM49" s="64" t="s" ph="1">
        <v>210</v>
      </c>
      <c r="AN49" s="64" t="s" ph="1">
        <v>211</v>
      </c>
      <c r="AO49" s="64" t="s" ph="1">
        <v>212</v>
      </c>
      <c r="AP49" s="64" t="s" ph="1">
        <v>210</v>
      </c>
      <c r="AQ49" s="64" t="s" ph="1">
        <v>211</v>
      </c>
      <c r="AR49" s="64" t="s" ph="1">
        <v>212</v>
      </c>
      <c r="AS49" s="64" t="s" ph="1">
        <v>210</v>
      </c>
      <c r="AT49" s="64" t="s" ph="1">
        <v>211</v>
      </c>
      <c r="AU49" s="64" t="s" ph="1">
        <v>212</v>
      </c>
      <c r="AV49" s="64" t="s" ph="1">
        <v>210</v>
      </c>
      <c r="AW49" s="64" t="s" ph="1">
        <v>211</v>
      </c>
      <c r="AX49" s="64" t="s" ph="1">
        <v>212</v>
      </c>
      <c r="AY49" s="64" t="s" ph="1">
        <v>211</v>
      </c>
      <c r="AZ49" s="64" t="s" ph="1">
        <v>213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375</v>
      </c>
      <c r="AY50" s="64" t="s" ph="1">
        <v>216</v>
      </c>
      <c r="AZ50" s="64" t="s" ph="1">
        <v>367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376</v>
      </c>
      <c r="AY51" s="64" t="s" ph="1">
        <v>216</v>
      </c>
      <c r="AZ51" s="64" t="s" ph="1">
        <v>367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377</v>
      </c>
      <c r="AJ52" s="64" t="s" ph="1">
        <v>334</v>
      </c>
      <c r="AK52" s="64" t="s" ph="1">
        <v>228</v>
      </c>
      <c r="AM52" s="64" t="s" ph="1">
        <v>336</v>
      </c>
      <c r="AN52" s="64" t="s" ph="1">
        <v>300</v>
      </c>
      <c r="AO52" s="64" t="s" ph="1">
        <v>233</v>
      </c>
      <c r="AP52" s="64" t="s" ph="1">
        <v>570</v>
      </c>
      <c r="AQ52" s="64" t="s" ph="1">
        <v>282</v>
      </c>
      <c r="AR52" s="64" t="s" ph="1">
        <v>233</v>
      </c>
      <c r="AY52" s="64" t="s" ph="1">
        <v>216</v>
      </c>
      <c r="AZ52" s="64" t="s" ph="1">
        <v>576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378</v>
      </c>
      <c r="AY53" s="64" t="s" ph="1">
        <v>216</v>
      </c>
      <c r="AZ53" s="64" t="s" ph="1">
        <v>367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379</v>
      </c>
      <c r="AJ54" s="64" t="s" ph="1">
        <v>334</v>
      </c>
      <c r="AK54" s="64" t="s" ph="1">
        <v>219</v>
      </c>
      <c r="AM54" s="64" t="s" ph="1">
        <v>336</v>
      </c>
      <c r="AN54" s="64" t="s" ph="1">
        <v>224</v>
      </c>
      <c r="AO54" s="64" t="s" ph="1">
        <v>233</v>
      </c>
      <c r="AP54" s="64" t="s" ph="1">
        <v>570</v>
      </c>
      <c r="AQ54" s="64" t="s" ph="1">
        <v>240</v>
      </c>
      <c r="AR54" s="64" t="s" ph="1">
        <v>233</v>
      </c>
      <c r="AY54" s="64" t="s" ph="1">
        <v>216</v>
      </c>
      <c r="AZ54" s="64" t="s" ph="1">
        <v>234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380</v>
      </c>
      <c r="AY55" s="64" t="s" ph="1">
        <v>216</v>
      </c>
      <c r="AZ55" s="64" t="s" ph="1">
        <v>367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381</v>
      </c>
      <c r="AY56" s="64" t="s" ph="1">
        <v>216</v>
      </c>
      <c r="AZ56" s="64" t="s" ph="1">
        <v>367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382</v>
      </c>
      <c r="AY57" s="64" t="s" ph="1">
        <v>216</v>
      </c>
      <c r="AZ57" s="64" t="s" ph="1">
        <v>367</v>
      </c>
    </row>
    <row r="58" spans="16:52" ph="1">
      <c r="P58" s="64"/>
      <c r="AN58" s="64" t="s" ph="1">
        <v>217</v>
      </c>
      <c r="AZ58" s="64" t="s" ph="1">
        <v>577</v>
      </c>
    </row>
    <row r="59" spans="16:52" ph="1">
      <c r="V59" s="64"/>
      <c r="AG59" s="64" t="s" ph="1">
        <v>235</v>
      </c>
      <c r="AI59" s="64" t="s" ph="1">
        <v>209</v>
      </c>
      <c r="AJ59" s="64" t="s" ph="1">
        <v>210</v>
      </c>
      <c r="AK59" s="64" t="s" ph="1">
        <v>211</v>
      </c>
      <c r="AM59" s="64" t="s" ph="1">
        <v>210</v>
      </c>
      <c r="AN59" s="64" t="s" ph="1">
        <v>211</v>
      </c>
      <c r="AO59" s="64" t="s" ph="1">
        <v>212</v>
      </c>
      <c r="AP59" s="64" t="s" ph="1">
        <v>210</v>
      </c>
      <c r="AQ59" s="64" t="s" ph="1">
        <v>211</v>
      </c>
      <c r="AR59" s="64" t="s" ph="1">
        <v>212</v>
      </c>
      <c r="AS59" s="64" t="s" ph="1">
        <v>210</v>
      </c>
      <c r="AT59" s="64" t="s" ph="1">
        <v>211</v>
      </c>
      <c r="AU59" s="64" t="s" ph="1">
        <v>212</v>
      </c>
      <c r="AV59" s="64" t="s" ph="1">
        <v>210</v>
      </c>
      <c r="AW59" s="64" t="s" ph="1">
        <v>211</v>
      </c>
      <c r="AX59" s="64" t="s" ph="1">
        <v>212</v>
      </c>
      <c r="AY59" s="64" t="s" ph="1">
        <v>211</v>
      </c>
      <c r="AZ59" s="64" t="s" ph="1">
        <v>213</v>
      </c>
    </row>
    <row r="60" spans="16:52" ph="1">
      <c r="R60" s="64"/>
      <c r="S60" s="64"/>
      <c r="T60" s="64"/>
      <c r="AH60" s="64" ph="1">
        <v>1</v>
      </c>
      <c r="AI60" s="64" t="s" ph="1">
        <v>383</v>
      </c>
      <c r="AY60" s="64" t="s" ph="1">
        <v>216</v>
      </c>
      <c r="AZ60" s="64" t="s" ph="1">
        <v>367</v>
      </c>
    </row>
    <row r="61" spans="16:52" ph="1">
      <c r="AH61" s="64" ph="1">
        <v>2</v>
      </c>
      <c r="AI61" s="64" t="s" ph="1">
        <v>384</v>
      </c>
      <c r="AS61" s="64" t="s" ph="1">
        <v>217</v>
      </c>
      <c r="AY61" s="64" t="s" ph="1">
        <v>216</v>
      </c>
      <c r="AZ61" s="64" t="s" ph="1">
        <v>367</v>
      </c>
    </row>
    <row r="62" spans="16:52" ph="1">
      <c r="AZ62" s="64" t="s" ph="1">
        <v>385</v>
      </c>
    </row>
    <row r="63" spans="16:52" ph="1">
      <c r="AG63" s="64" t="s" ph="1">
        <v>238</v>
      </c>
      <c r="AI63" s="64" t="s" ph="1">
        <v>209</v>
      </c>
      <c r="AJ63" s="64" t="s" ph="1">
        <v>210</v>
      </c>
      <c r="AK63" s="64" t="s" ph="1">
        <v>211</v>
      </c>
      <c r="AM63" s="64" t="s" ph="1">
        <v>210</v>
      </c>
      <c r="AN63" s="64" t="s" ph="1">
        <v>211</v>
      </c>
      <c r="AO63" s="64" t="s" ph="1">
        <v>212</v>
      </c>
      <c r="AP63" s="64" t="s" ph="1">
        <v>210</v>
      </c>
      <c r="AQ63" s="64" t="s" ph="1">
        <v>211</v>
      </c>
      <c r="AR63" s="64" t="s" ph="1">
        <v>212</v>
      </c>
      <c r="AS63" s="64" t="s" ph="1">
        <v>210</v>
      </c>
      <c r="AT63" s="64" t="s" ph="1">
        <v>211</v>
      </c>
      <c r="AU63" s="64" t="s" ph="1">
        <v>212</v>
      </c>
      <c r="AV63" s="64" t="s" ph="1">
        <v>210</v>
      </c>
      <c r="AW63" s="64" t="s" ph="1">
        <v>211</v>
      </c>
      <c r="AX63" s="64" t="s" ph="1">
        <v>212</v>
      </c>
      <c r="AY63" s="64" t="s" ph="1">
        <v>211</v>
      </c>
      <c r="AZ63" s="64" t="s" ph="1">
        <v>213</v>
      </c>
    </row>
    <row r="64" spans="16:52" ph="1">
      <c r="AH64" s="64" ph="1">
        <v>1</v>
      </c>
      <c r="AI64" s="64" t="s" ph="1">
        <v>386</v>
      </c>
      <c r="AJ64" s="64" t="s" ph="1">
        <v>387</v>
      </c>
      <c r="AK64" s="64" t="s" ph="1">
        <v>388</v>
      </c>
      <c r="AY64" s="64" t="s" ph="1">
        <v>216</v>
      </c>
      <c r="AZ64" s="64" t="s" ph="1">
        <v>388</v>
      </c>
    </row>
    <row r="65" spans="33:52" ph="1">
      <c r="AH65" s="64" ph="1">
        <v>2</v>
      </c>
      <c r="AI65" s="64" t="s" ph="1">
        <v>389</v>
      </c>
      <c r="AY65" s="64" t="s" ph="1">
        <v>216</v>
      </c>
      <c r="AZ65" s="64" t="s" ph="1">
        <v>367</v>
      </c>
    </row>
    <row r="66" spans="33:52" ph="1">
      <c r="AH66" s="64" ph="1">
        <v>3</v>
      </c>
      <c r="AI66" s="64" t="s" ph="1">
        <v>390</v>
      </c>
      <c r="AY66" s="64" t="s" ph="1">
        <v>216</v>
      </c>
      <c r="AZ66" s="64" t="s" ph="1">
        <v>367</v>
      </c>
    </row>
    <row r="67" spans="33:52" ph="1">
      <c r="AH67" s="64" ph="1">
        <v>4</v>
      </c>
      <c r="AI67" s="64" t="s" ph="1">
        <v>391</v>
      </c>
      <c r="AY67" s="64" t="s" ph="1">
        <v>216</v>
      </c>
      <c r="AZ67" s="64" t="s" ph="1">
        <v>367</v>
      </c>
    </row>
    <row r="68" spans="33:52" ph="1">
      <c r="AH68" s="64" ph="1">
        <v>5</v>
      </c>
      <c r="AI68" s="64" t="s" ph="1">
        <v>392</v>
      </c>
      <c r="AY68" s="64" t="s" ph="1">
        <v>216</v>
      </c>
      <c r="AZ68" s="64" t="s" ph="1">
        <v>367</v>
      </c>
    </row>
    <row r="69" spans="33:52" ph="1">
      <c r="AH69" s="64" ph="1">
        <v>6</v>
      </c>
      <c r="AI69" s="64" t="s" ph="1">
        <v>393</v>
      </c>
      <c r="AY69" s="64" t="s" ph="1">
        <v>216</v>
      </c>
      <c r="AZ69" s="64" t="s" ph="1">
        <v>367</v>
      </c>
    </row>
    <row r="70" spans="33:52" ph="1">
      <c r="AI70" s="64" t="s" ph="1">
        <v>394</v>
      </c>
      <c r="AY70" s="64" t="s" ph="1">
        <v>216</v>
      </c>
      <c r="AZ70" s="64" t="s" ph="1">
        <v>367</v>
      </c>
    </row>
    <row r="71" spans="33:52" ph="1">
      <c r="AH71" s="64" ph="1">
        <v>7</v>
      </c>
      <c r="AI71" s="64" t="s" ph="1">
        <v>395</v>
      </c>
      <c r="AJ71" s="64" t="s" ph="1">
        <v>334</v>
      </c>
      <c r="AK71" s="64" t="s" ph="1">
        <v>228</v>
      </c>
      <c r="AM71" s="64" t="s" ph="1">
        <v>336</v>
      </c>
      <c r="AN71" s="64" t="s" ph="1">
        <v>228</v>
      </c>
      <c r="AO71" s="64" t="s" ph="1">
        <v>396</v>
      </c>
      <c r="AP71" s="64" t="s" ph="1">
        <v>570</v>
      </c>
      <c r="AQ71" s="64" t="s" ph="1">
        <v>219</v>
      </c>
      <c r="AR71" s="64" t="s" ph="1">
        <v>396</v>
      </c>
      <c r="AY71" s="64" t="s" ph="1">
        <v>216</v>
      </c>
      <c r="AZ71" s="64" t="s" ph="1">
        <v>578</v>
      </c>
    </row>
    <row r="72" spans="33:52" ph="1">
      <c r="AZ72" s="64" t="s" ph="1">
        <v>579</v>
      </c>
    </row>
    <row r="73" spans="33:52" ph="1">
      <c r="AG73" s="64" t="s" ph="1">
        <v>241</v>
      </c>
      <c r="AI73" s="64" t="s" ph="1">
        <v>209</v>
      </c>
      <c r="AJ73" s="64" t="s" ph="1">
        <v>210</v>
      </c>
      <c r="AK73" s="64" t="s" ph="1">
        <v>211</v>
      </c>
      <c r="AM73" s="64" t="s" ph="1">
        <v>210</v>
      </c>
      <c r="AN73" s="64" t="s" ph="1">
        <v>211</v>
      </c>
      <c r="AO73" s="64" t="s" ph="1">
        <v>212</v>
      </c>
      <c r="AP73" s="64" t="s" ph="1">
        <v>210</v>
      </c>
      <c r="AQ73" s="64" t="s" ph="1">
        <v>211</v>
      </c>
      <c r="AR73" s="64" t="s" ph="1">
        <v>212</v>
      </c>
      <c r="AS73" s="64" t="s" ph="1">
        <v>210</v>
      </c>
      <c r="AT73" s="64" t="s" ph="1">
        <v>211</v>
      </c>
      <c r="AU73" s="64" t="s" ph="1">
        <v>212</v>
      </c>
      <c r="AV73" s="64" t="s" ph="1">
        <v>210</v>
      </c>
      <c r="AW73" s="64" t="s" ph="1">
        <v>211</v>
      </c>
      <c r="AX73" s="64" t="s" ph="1">
        <v>212</v>
      </c>
      <c r="AY73" s="64" t="s" ph="1">
        <v>211</v>
      </c>
      <c r="AZ73" s="64" t="s" ph="1">
        <v>213</v>
      </c>
    </row>
    <row r="74" spans="33:52" ph="1">
      <c r="AH74" s="64" ph="1">
        <v>1</v>
      </c>
      <c r="AI74" s="64" t="s" ph="1">
        <v>397</v>
      </c>
      <c r="AJ74" s="64" t="s" ph="1">
        <v>242</v>
      </c>
      <c r="AK74" s="64" t="s" ph="1">
        <v>224</v>
      </c>
      <c r="AM74" s="64" t="s" ph="1">
        <v>244</v>
      </c>
      <c r="AN74" s="64" t="s" ph="1">
        <v>254</v>
      </c>
      <c r="AO74" s="64" t="s" ph="1">
        <v>243</v>
      </c>
      <c r="AP74" s="64" t="s" ph="1">
        <v>245</v>
      </c>
      <c r="AQ74" s="64" t="s" ph="1">
        <v>222</v>
      </c>
      <c r="AR74" s="64" t="s" ph="1">
        <v>243</v>
      </c>
      <c r="AS74" s="64" t="s" ph="1">
        <v>215</v>
      </c>
      <c r="AT74" s="64" t="s" ph="1">
        <v>217</v>
      </c>
      <c r="AV74" s="64" t="s" ph="1">
        <v>398</v>
      </c>
      <c r="AW74" s="64" t="s" ph="1">
        <v>399</v>
      </c>
      <c r="AX74" s="64" t="s" ph="1">
        <v>400</v>
      </c>
      <c r="AY74" s="64" t="s" ph="1">
        <v>216</v>
      </c>
      <c r="AZ74" s="64" t="s" ph="1">
        <v>401</v>
      </c>
    </row>
    <row r="75" spans="33:52" ph="1">
      <c r="AJ75" s="64" t="s" ph="1">
        <v>247</v>
      </c>
      <c r="AK75" s="64" t="s" ph="1">
        <v>300</v>
      </c>
      <c r="AM75" s="64" t="s" ph="1">
        <v>245</v>
      </c>
      <c r="AN75" s="64" t="s" ph="1">
        <v>225</v>
      </c>
      <c r="AO75" s="64" t="s" ph="1">
        <v>243</v>
      </c>
      <c r="AS75" s="64" t="s" ph="1">
        <v>215</v>
      </c>
      <c r="AT75" s="64" t="s" ph="1">
        <v>246</v>
      </c>
    </row>
    <row r="76" spans="33:52" ph="1">
      <c r="AJ76" s="64" t="s" ph="1">
        <v>247</v>
      </c>
      <c r="AK76" s="64" t="s" ph="1">
        <v>240</v>
      </c>
      <c r="AM76" s="64" t="s" ph="1">
        <v>245</v>
      </c>
      <c r="AN76" s="64" t="s" ph="1">
        <v>228</v>
      </c>
      <c r="AO76" s="64" t="s" ph="1">
        <v>243</v>
      </c>
      <c r="AS76" s="64" t="s" ph="1">
        <v>215</v>
      </c>
      <c r="AT76" s="64" t="s" ph="1">
        <v>246</v>
      </c>
    </row>
    <row r="77" spans="33:52" ph="1">
      <c r="AJ77" s="64" t="s" ph="1">
        <v>283</v>
      </c>
      <c r="AK77" s="64" t="s" ph="1">
        <v>240</v>
      </c>
      <c r="AM77" s="64" t="s" ph="1">
        <v>284</v>
      </c>
      <c r="AN77" s="64" t="s" ph="1">
        <v>223</v>
      </c>
      <c r="AO77" s="64" t="s" ph="1">
        <v>243</v>
      </c>
      <c r="AS77" s="64" t="s" ph="1">
        <v>215</v>
      </c>
      <c r="AT77" s="64" t="s" ph="1">
        <v>285</v>
      </c>
    </row>
    <row r="78" spans="33:52" ph="1">
      <c r="AH78" s="64" ph="1">
        <v>2</v>
      </c>
      <c r="AI78" s="64" t="s" ph="1">
        <v>249</v>
      </c>
      <c r="AJ78" s="64" t="s" ph="1">
        <v>250</v>
      </c>
      <c r="AK78" s="64" t="s" ph="1">
        <v>219</v>
      </c>
      <c r="AM78" s="64" t="s" ph="1">
        <v>251</v>
      </c>
      <c r="AN78" s="64" t="s" ph="1">
        <v>254</v>
      </c>
      <c r="AO78" s="64" t="s" ph="1">
        <v>243</v>
      </c>
      <c r="AP78" s="64" t="s" ph="1">
        <v>252</v>
      </c>
      <c r="AQ78" s="64" t="s" ph="1">
        <v>298</v>
      </c>
      <c r="AR78" s="64" t="s" ph="1">
        <v>243</v>
      </c>
      <c r="AS78" s="64" t="s" ph="1">
        <v>253</v>
      </c>
      <c r="AT78" s="64" t="s" ph="1">
        <v>254</v>
      </c>
      <c r="AU78" s="64" t="s" ph="1">
        <v>243</v>
      </c>
      <c r="AV78" s="64" t="s" ph="1">
        <v>255</v>
      </c>
      <c r="AW78" s="64" t="s" ph="1">
        <v>243</v>
      </c>
      <c r="AY78" s="64" t="s" ph="1">
        <v>216</v>
      </c>
      <c r="AZ78" s="64" t="s" ph="1">
        <v>402</v>
      </c>
    </row>
    <row r="79" spans="33:52" ph="1">
      <c r="AJ79" s="64" t="s" ph="1">
        <v>245</v>
      </c>
      <c r="AK79" s="64" t="s" ph="1">
        <v>256</v>
      </c>
      <c r="AM79" s="64" t="s" ph="1">
        <v>257</v>
      </c>
      <c r="AN79" s="64" t="s" ph="1">
        <v>225</v>
      </c>
      <c r="AO79" s="64" t="s" ph="1">
        <v>243</v>
      </c>
      <c r="AP79" s="64" t="s" ph="1">
        <v>258</v>
      </c>
      <c r="AQ79" s="64" t="s" ph="1">
        <v>223</v>
      </c>
      <c r="AR79" s="64" t="s" ph="1">
        <v>259</v>
      </c>
      <c r="AS79" s="64" t="s" ph="1">
        <v>215</v>
      </c>
      <c r="AT79" s="64" t="s" ph="1">
        <v>260</v>
      </c>
      <c r="AV79" s="64" t="s" ph="1">
        <v>403</v>
      </c>
      <c r="AW79" s="64" t="s" ph="1">
        <v>302</v>
      </c>
      <c r="AX79" s="64" t="s" ph="1">
        <v>400</v>
      </c>
    </row>
    <row r="80" spans="33:52" ph="1">
      <c r="AH80" s="64" ph="1">
        <v>3</v>
      </c>
      <c r="AI80" s="64" t="s" ph="1">
        <v>261</v>
      </c>
      <c r="AJ80" s="64" t="s" ph="1">
        <v>262</v>
      </c>
      <c r="AK80" s="64" t="s" ph="1">
        <v>263</v>
      </c>
      <c r="AM80" s="64" t="s" ph="1">
        <v>264</v>
      </c>
      <c r="AN80" s="64" t="s" ph="1">
        <v>254</v>
      </c>
      <c r="AO80" s="64" t="s" ph="1">
        <v>243</v>
      </c>
      <c r="AP80" s="64" t="s" ph="1">
        <v>265</v>
      </c>
      <c r="AQ80" s="64" t="s" ph="1">
        <v>228</v>
      </c>
      <c r="AR80" s="64" t="s" ph="1">
        <v>243</v>
      </c>
      <c r="AS80" s="64" t="s" ph="1">
        <v>266</v>
      </c>
      <c r="AT80" s="64" t="s" ph="1">
        <v>227</v>
      </c>
      <c r="AU80" s="64" t="s" ph="1">
        <v>243</v>
      </c>
      <c r="AV80" s="64" t="s" ph="1">
        <v>267</v>
      </c>
      <c r="AW80" s="64" t="s" ph="1">
        <v>243</v>
      </c>
      <c r="AY80" s="64" t="s" ph="1">
        <v>216</v>
      </c>
      <c r="AZ80" s="64" t="s" ph="1">
        <v>404</v>
      </c>
    </row>
    <row r="81" spans="34:52" ph="1">
      <c r="AJ81" s="64" t="s" ph="1">
        <v>268</v>
      </c>
      <c r="AK81" s="64" t="s" ph="1">
        <v>222</v>
      </c>
      <c r="AM81" s="64" t="s" ph="1">
        <v>269</v>
      </c>
      <c r="AN81" s="64" t="s" ph="1">
        <v>225</v>
      </c>
      <c r="AO81" s="64" t="s" ph="1">
        <v>243</v>
      </c>
      <c r="AP81" s="64" t="s" ph="1">
        <v>270</v>
      </c>
      <c r="AQ81" s="64" t="s" ph="1">
        <v>254</v>
      </c>
      <c r="AR81" s="64" t="s" ph="1">
        <v>243</v>
      </c>
      <c r="AS81" s="64" t="s" ph="1">
        <v>271</v>
      </c>
      <c r="AT81" s="64" t="s" ph="1">
        <v>272</v>
      </c>
      <c r="AU81" s="64" t="s" ph="1">
        <v>243</v>
      </c>
      <c r="AV81" s="64" t="s" ph="1">
        <v>273</v>
      </c>
    </row>
    <row r="82" spans="34:52" ph="1">
      <c r="AJ82" s="64" t="s" ph="1">
        <v>274</v>
      </c>
      <c r="AK82" s="64" t="s" ph="1">
        <v>222</v>
      </c>
      <c r="AM82" s="64" t="s" ph="1">
        <v>275</v>
      </c>
      <c r="AN82" s="64" t="s" ph="1">
        <v>272</v>
      </c>
      <c r="AO82" s="64" t="s" ph="1">
        <v>276</v>
      </c>
      <c r="AP82" s="64" t="s" ph="1">
        <v>277</v>
      </c>
      <c r="AQ82" s="64" t="s" ph="1">
        <v>254</v>
      </c>
      <c r="AR82" s="64" t="s" ph="1">
        <v>243</v>
      </c>
      <c r="AS82" s="64" t="s" ph="1">
        <v>278</v>
      </c>
      <c r="AT82" s="64" t="s" ph="1">
        <v>229</v>
      </c>
      <c r="AU82" s="64" t="s" ph="1">
        <v>243</v>
      </c>
      <c r="AV82" s="64" t="s" ph="1">
        <v>403</v>
      </c>
      <c r="AW82" s="64" t="s" ph="1">
        <v>303</v>
      </c>
      <c r="AX82" s="64" t="s" ph="1">
        <v>400</v>
      </c>
    </row>
    <row r="83" spans="34:52" ph="1">
      <c r="AJ83" s="64" t="s" ph="1">
        <v>279</v>
      </c>
      <c r="AK83" s="64" t="s" ph="1">
        <v>296</v>
      </c>
      <c r="AM83" s="64" t="s" ph="1">
        <v>280</v>
      </c>
      <c r="AN83" s="64" t="s" ph="1">
        <v>228</v>
      </c>
      <c r="AO83" s="64" t="s" ph="1">
        <v>259</v>
      </c>
      <c r="AP83" s="64" t="s" ph="1">
        <v>281</v>
      </c>
      <c r="AQ83" s="64" t="s" ph="1">
        <v>282</v>
      </c>
      <c r="AR83" s="64" t="s" ph="1">
        <v>259</v>
      </c>
      <c r="AS83" s="64" t="s" ph="1">
        <v>405</v>
      </c>
      <c r="AT83" s="64" t="s" ph="1">
        <v>254</v>
      </c>
      <c r="AU83" s="64" t="s" ph="1">
        <v>259</v>
      </c>
      <c r="AV83" s="64" t="s" ph="1">
        <v>406</v>
      </c>
      <c r="AW83" s="64" t="s" ph="1">
        <v>303</v>
      </c>
      <c r="AX83" s="64" t="s" ph="1">
        <v>407</v>
      </c>
    </row>
    <row r="84" spans="34:52" ph="1">
      <c r="AH84" s="64" ph="1">
        <v>4</v>
      </c>
      <c r="AI84" s="64" t="s" ph="1">
        <v>286</v>
      </c>
      <c r="AJ84" s="64" t="s" ph="1">
        <v>226</v>
      </c>
      <c r="AK84" s="64" t="s" ph="1">
        <v>229</v>
      </c>
      <c r="AM84" s="64" t="s" ph="1">
        <v>230</v>
      </c>
      <c r="AN84" s="64" t="s" ph="1">
        <v>223</v>
      </c>
      <c r="AO84" s="64" t="s" ph="1">
        <v>259</v>
      </c>
      <c r="AP84" s="64" t="s" ph="1">
        <v>288</v>
      </c>
      <c r="AQ84" s="64" t="s" ph="1">
        <v>222</v>
      </c>
      <c r="AR84" s="64" t="s" ph="1">
        <v>259</v>
      </c>
      <c r="AS84" s="64" t="s" ph="1">
        <v>288</v>
      </c>
      <c r="AT84" s="64" t="s" ph="1">
        <v>224</v>
      </c>
      <c r="AU84" s="64" t="s" ph="1">
        <v>259</v>
      </c>
      <c r="AY84" s="64" t="s" ph="1">
        <v>216</v>
      </c>
      <c r="AZ84" s="64" t="s" ph="1">
        <v>408</v>
      </c>
    </row>
    <row r="85" spans="34:52" ph="1">
      <c r="AJ85" s="64" t="s" ph="1">
        <v>218</v>
      </c>
      <c r="AK85" s="64" t="s" ph="1">
        <v>222</v>
      </c>
      <c r="AM85" s="64" t="s" ph="1">
        <v>409</v>
      </c>
      <c r="AN85" s="64" t="s" ph="1">
        <v>229</v>
      </c>
      <c r="AO85" s="64" t="s" ph="1">
        <v>259</v>
      </c>
      <c r="AP85" s="64" t="s" ph="1">
        <v>410</v>
      </c>
      <c r="AQ85" s="64" t="s" ph="1">
        <v>225</v>
      </c>
      <c r="AR85" s="64" t="s" ph="1">
        <v>259</v>
      </c>
      <c r="AS85" s="64" t="s" ph="1">
        <v>411</v>
      </c>
      <c r="AT85" s="64" t="s" ph="1">
        <v>225</v>
      </c>
      <c r="AU85" s="64" t="s" ph="1">
        <v>259</v>
      </c>
    </row>
    <row r="86" spans="34:52" ph="1">
      <c r="AJ86" s="64" t="s" ph="1">
        <v>412</v>
      </c>
      <c r="AK86" s="64" t="s" ph="1">
        <v>231</v>
      </c>
      <c r="AM86" s="64" t="s" ph="1">
        <v>413</v>
      </c>
      <c r="AN86" s="64" t="s" ph="1">
        <v>272</v>
      </c>
      <c r="AO86" s="64" t="s" ph="1">
        <v>259</v>
      </c>
      <c r="AP86" s="64" t="s" ph="1">
        <v>414</v>
      </c>
      <c r="AQ86" s="64" t="s" ph="1">
        <v>219</v>
      </c>
      <c r="AR86" s="64" t="s" ph="1">
        <v>259</v>
      </c>
      <c r="AS86" s="64" t="s" ph="1">
        <v>415</v>
      </c>
      <c r="AT86" s="64" t="s" ph="1">
        <v>237</v>
      </c>
      <c r="AU86" s="64" t="s" ph="1">
        <v>259</v>
      </c>
    </row>
    <row r="87" spans="34:52" ph="1">
      <c r="AJ87" s="64" t="s" ph="1">
        <v>416</v>
      </c>
      <c r="AK87" s="64" t="s" ph="1">
        <v>272</v>
      </c>
      <c r="AM87" s="64" t="s" ph="1">
        <v>403</v>
      </c>
      <c r="AN87" s="64" t="s" ph="1">
        <v>417</v>
      </c>
      <c r="AO87" s="64" t="s" ph="1">
        <v>400</v>
      </c>
    </row>
    <row r="88" spans="34:52" ph="1">
      <c r="AH88" s="64" ph="1">
        <v>5</v>
      </c>
      <c r="AI88" s="64" t="s" ph="1">
        <v>289</v>
      </c>
      <c r="AJ88" s="64" t="s" ph="1">
        <v>418</v>
      </c>
      <c r="AK88" s="64" t="s" ph="1">
        <v>272</v>
      </c>
      <c r="AM88" s="64" t="s" ph="1">
        <v>419</v>
      </c>
      <c r="AN88" s="64" t="s" ph="1">
        <v>272</v>
      </c>
      <c r="AO88" s="64" t="s" ph="1">
        <v>259</v>
      </c>
      <c r="AP88" s="64" t="s" ph="1">
        <v>420</v>
      </c>
      <c r="AQ88" s="64" t="s" ph="1">
        <v>222</v>
      </c>
      <c r="AR88" s="64" t="s" ph="1">
        <v>259</v>
      </c>
      <c r="AS88" s="64" t="s" ph="1">
        <v>421</v>
      </c>
      <c r="AT88" s="64" t="s" ph="1">
        <v>272</v>
      </c>
      <c r="AU88" s="64" t="s" ph="1">
        <v>259</v>
      </c>
      <c r="AV88" s="64" t="s" ph="1">
        <v>422</v>
      </c>
      <c r="AW88" s="64" t="s" ph="1">
        <v>227</v>
      </c>
      <c r="AX88" s="64" t="s" ph="1">
        <v>259</v>
      </c>
      <c r="AY88" s="64" t="s" ph="1">
        <v>216</v>
      </c>
      <c r="AZ88" s="64" t="s" ph="1">
        <v>423</v>
      </c>
    </row>
    <row r="89" spans="34:52" ph="1">
      <c r="AJ89" s="64" t="s" ph="1">
        <v>424</v>
      </c>
      <c r="AK89" s="64" t="s" ph="1">
        <v>225</v>
      </c>
      <c r="AM89" s="64" t="s" ph="1">
        <v>425</v>
      </c>
      <c r="AN89" s="64" t="s" ph="1">
        <v>228</v>
      </c>
      <c r="AO89" s="64" t="s" ph="1">
        <v>259</v>
      </c>
      <c r="AP89" s="64" t="s" ph="1">
        <v>426</v>
      </c>
      <c r="AQ89" s="64" t="s" ph="1">
        <v>237</v>
      </c>
      <c r="AR89" s="64" t="s" ph="1">
        <v>259</v>
      </c>
      <c r="AS89" s="64" t="s" ph="1">
        <v>427</v>
      </c>
      <c r="AT89" s="64" t="s" ph="1">
        <v>272</v>
      </c>
      <c r="AU89" s="64" t="s" ph="1">
        <v>259</v>
      </c>
      <c r="AV89" s="64" t="s" ph="1">
        <v>428</v>
      </c>
      <c r="AW89" s="64" t="s" ph="1">
        <v>254</v>
      </c>
      <c r="AX89" s="64" t="s" ph="1">
        <v>287</v>
      </c>
    </row>
    <row r="90" spans="34:52" ph="1">
      <c r="AJ90" s="64" t="s" ph="1">
        <v>429</v>
      </c>
      <c r="AK90" s="64" t="s" ph="1">
        <v>228</v>
      </c>
      <c r="AM90" s="64" t="s" ph="1">
        <v>430</v>
      </c>
      <c r="AN90" s="64" t="s" ph="1">
        <v>225</v>
      </c>
      <c r="AO90" s="64" t="s" ph="1">
        <v>259</v>
      </c>
      <c r="AP90" s="64" t="s" ph="1">
        <v>431</v>
      </c>
      <c r="AQ90" s="64" t="s" ph="1">
        <v>294</v>
      </c>
      <c r="AR90" s="64" t="s" ph="1">
        <v>259</v>
      </c>
      <c r="AS90" s="64" t="s" ph="1">
        <v>432</v>
      </c>
      <c r="AT90" s="64" t="s" ph="1">
        <v>282</v>
      </c>
      <c r="AU90" s="64" t="s" ph="1">
        <v>259</v>
      </c>
      <c r="AV90" s="64" t="s" ph="1">
        <v>433</v>
      </c>
      <c r="AW90" s="64" t="s" ph="1">
        <v>219</v>
      </c>
      <c r="AX90" s="64" t="s" ph="1">
        <v>259</v>
      </c>
    </row>
    <row r="91" spans="34:52" ph="1">
      <c r="AJ91" s="64" t="s" ph="1">
        <v>434</v>
      </c>
      <c r="AK91" s="64" t="s" ph="1">
        <v>272</v>
      </c>
      <c r="AM91" s="64" t="s" ph="1">
        <v>435</v>
      </c>
      <c r="AN91" s="64" t="s" ph="1">
        <v>239</v>
      </c>
      <c r="AO91" s="64" t="s" ph="1">
        <v>259</v>
      </c>
      <c r="AP91" s="64" t="s" ph="1">
        <v>436</v>
      </c>
      <c r="AQ91" s="64" t="s" ph="1">
        <v>219</v>
      </c>
      <c r="AS91" s="64" t="s" ph="1">
        <v>403</v>
      </c>
      <c r="AT91" s="64" t="s" ph="1">
        <v>399</v>
      </c>
      <c r="AU91" s="64" t="s" ph="1">
        <v>400</v>
      </c>
    </row>
    <row r="92" spans="34:52" ph="1">
      <c r="AH92" s="64" ph="1">
        <v>6</v>
      </c>
      <c r="AI92" s="64" t="s" ph="1">
        <v>437</v>
      </c>
      <c r="AJ92" s="64" t="s" ph="1">
        <v>438</v>
      </c>
      <c r="AK92" s="64" t="s" ph="1">
        <v>367</v>
      </c>
      <c r="AM92" s="64" t="s" ph="1">
        <v>439</v>
      </c>
      <c r="AN92" s="64" t="s" ph="1">
        <v>227</v>
      </c>
      <c r="AO92" s="64" t="s" ph="1">
        <v>259</v>
      </c>
      <c r="AP92" s="64" t="s" ph="1">
        <v>440</v>
      </c>
      <c r="AQ92" s="64" t="s" ph="1">
        <v>299</v>
      </c>
      <c r="AR92" s="64" t="s" ph="1">
        <v>259</v>
      </c>
      <c r="AS92" s="64" t="s" ph="1">
        <v>441</v>
      </c>
      <c r="AT92" s="64" t="s" ph="1">
        <v>272</v>
      </c>
      <c r="AU92" s="64" t="s" ph="1">
        <v>259</v>
      </c>
      <c r="AV92" s="64" t="s" ph="1">
        <v>442</v>
      </c>
      <c r="AW92" s="64" t="s" ph="1">
        <v>228</v>
      </c>
      <c r="AX92" s="64" t="s" ph="1">
        <v>259</v>
      </c>
      <c r="AY92" s="64" t="s" ph="1">
        <v>216</v>
      </c>
      <c r="AZ92" s="64" t="s" ph="1">
        <v>423</v>
      </c>
    </row>
    <row r="93" spans="34:52" ph="1">
      <c r="AJ93" s="64" t="s" ph="1">
        <v>443</v>
      </c>
      <c r="AK93" s="64" t="s" ph="1">
        <v>222</v>
      </c>
      <c r="AM93" s="64" t="s" ph="1">
        <v>444</v>
      </c>
      <c r="AN93" s="64" t="s" ph="1">
        <v>227</v>
      </c>
      <c r="AO93" s="64" t="s" ph="1">
        <v>259</v>
      </c>
      <c r="AP93" s="64" t="s" ph="1">
        <v>445</v>
      </c>
      <c r="AQ93" s="64" t="s" ph="1">
        <v>231</v>
      </c>
      <c r="AR93" s="64" t="s" ph="1">
        <v>259</v>
      </c>
      <c r="AS93" s="64" t="s" ph="1">
        <v>446</v>
      </c>
      <c r="AT93" s="64" t="s" ph="1">
        <v>237</v>
      </c>
      <c r="AU93" s="64" t="s" ph="1">
        <v>259</v>
      </c>
      <c r="AV93" s="64" t="s" ph="1">
        <v>447</v>
      </c>
      <c r="AW93" s="64" t="s" ph="1">
        <v>231</v>
      </c>
      <c r="AX93" s="64" t="s" ph="1">
        <v>259</v>
      </c>
    </row>
    <row r="94" spans="34:52" ph="1">
      <c r="AJ94" s="64" t="s" ph="1">
        <v>448</v>
      </c>
      <c r="AK94" s="64" t="s" ph="1">
        <v>294</v>
      </c>
      <c r="AM94" s="64" t="s" ph="1">
        <v>449</v>
      </c>
      <c r="AN94" s="64" t="s" ph="1">
        <v>231</v>
      </c>
      <c r="AO94" s="64" t="s" ph="1">
        <v>259</v>
      </c>
      <c r="AP94" s="64" t="s" ph="1">
        <v>450</v>
      </c>
      <c r="AQ94" s="64" t="s" ph="1">
        <v>239</v>
      </c>
      <c r="AR94" s="64" t="s" ph="1">
        <v>259</v>
      </c>
      <c r="AS94" s="64" t="s" ph="1">
        <v>451</v>
      </c>
      <c r="AT94" s="64" t="s" ph="1">
        <v>225</v>
      </c>
      <c r="AU94" s="64" t="s" ph="1">
        <v>259</v>
      </c>
      <c r="AV94" s="64" t="s" ph="1">
        <v>452</v>
      </c>
      <c r="AW94" s="64" t="s" ph="1">
        <v>225</v>
      </c>
      <c r="AX94" s="64" t="s" ph="1">
        <v>259</v>
      </c>
    </row>
    <row r="95" spans="34:52" ph="1">
      <c r="AJ95" s="64" t="s" ph="1">
        <v>453</v>
      </c>
      <c r="AK95" s="64" t="s" ph="1">
        <v>299</v>
      </c>
    </row>
    <row r="96" spans="34:52" ph="1">
      <c r="AH96" s="64" ph="1">
        <v>7</v>
      </c>
      <c r="AI96" s="64" t="s" ph="1">
        <v>454</v>
      </c>
      <c r="AJ96" s="64" t="s" ph="1">
        <v>453</v>
      </c>
      <c r="AK96" s="64" t="s" ph="1">
        <v>254</v>
      </c>
      <c r="AM96" s="64" t="s" ph="1">
        <v>455</v>
      </c>
      <c r="AN96" s="64" t="s" ph="1">
        <v>228</v>
      </c>
      <c r="AO96" s="64" t="s" ph="1">
        <v>259</v>
      </c>
      <c r="AP96" s="64" t="s" ph="1">
        <v>456</v>
      </c>
      <c r="AQ96" s="64" t="s" ph="1">
        <v>272</v>
      </c>
      <c r="AR96" s="64" t="s" ph="1">
        <v>287</v>
      </c>
      <c r="AS96" s="64" t="s" ph="1">
        <v>457</v>
      </c>
      <c r="AT96" s="64" t="s" ph="1">
        <v>231</v>
      </c>
      <c r="AU96" s="64" t="s" ph="1">
        <v>287</v>
      </c>
      <c r="AV96" s="64" t="s" ph="1">
        <v>458</v>
      </c>
      <c r="AW96" s="64" t="s" ph="1">
        <v>227</v>
      </c>
      <c r="AX96" s="64" t="s" ph="1">
        <v>287</v>
      </c>
      <c r="AY96" s="64" t="s" ph="1">
        <v>216</v>
      </c>
      <c r="AZ96" s="64" t="s" ph="1">
        <v>459</v>
      </c>
    </row>
    <row r="97" spans="33:52" ph="1">
      <c r="AJ97" s="64" t="s" ph="1">
        <v>460</v>
      </c>
      <c r="AK97" s="64" t="s" ph="1">
        <v>282</v>
      </c>
      <c r="AM97" s="64" t="s" ph="1">
        <v>461</v>
      </c>
      <c r="AN97" s="64" t="s" ph="1">
        <v>225</v>
      </c>
      <c r="AO97" s="64" t="s" ph="1">
        <v>259</v>
      </c>
      <c r="AP97" s="64" t="s" ph="1">
        <v>462</v>
      </c>
      <c r="AQ97" s="64" t="s" ph="1">
        <v>219</v>
      </c>
      <c r="AR97" s="64" t="s" ph="1">
        <v>287</v>
      </c>
      <c r="AS97" s="64" t="s" ph="1">
        <v>463</v>
      </c>
      <c r="AT97" s="64" t="s" ph="1">
        <v>222</v>
      </c>
      <c r="AU97" s="64" t="s" ph="1">
        <v>287</v>
      </c>
      <c r="AV97" s="64" t="s" ph="1">
        <v>464</v>
      </c>
      <c r="AW97" s="64" t="s" ph="1">
        <v>228</v>
      </c>
      <c r="AX97" s="64" t="s" ph="1">
        <v>287</v>
      </c>
    </row>
    <row r="98" spans="33:52" ph="1">
      <c r="AJ98" s="64" t="s" ph="1">
        <v>465</v>
      </c>
      <c r="AK98" s="64" t="s" ph="1">
        <v>231</v>
      </c>
      <c r="AM98" s="64" t="s" ph="1">
        <v>466</v>
      </c>
      <c r="AN98" s="64" t="s" ph="1">
        <v>239</v>
      </c>
      <c r="AO98" s="64" t="s" ph="1">
        <v>259</v>
      </c>
      <c r="AP98" s="64" t="s" ph="1">
        <v>467</v>
      </c>
      <c r="AQ98" s="64" t="s" ph="1">
        <v>219</v>
      </c>
      <c r="AR98" s="64" t="s" ph="1">
        <v>287</v>
      </c>
      <c r="AS98" s="64" t="s" ph="1">
        <v>468</v>
      </c>
      <c r="AT98" s="64" t="s" ph="1">
        <v>299</v>
      </c>
      <c r="AU98" s="64" t="s" ph="1">
        <v>287</v>
      </c>
      <c r="AV98" s="64" t="s" ph="1">
        <v>469</v>
      </c>
      <c r="AW98" s="64" t="s" ph="1">
        <v>222</v>
      </c>
      <c r="AX98" s="64" t="s" ph="1">
        <v>287</v>
      </c>
    </row>
    <row r="99" spans="33:52" ph="1">
      <c r="AH99" s="64" ph="1">
        <v>8</v>
      </c>
      <c r="AI99" s="64" t="s" ph="1">
        <v>470</v>
      </c>
      <c r="AJ99" s="64" t="s" ph="1">
        <v>471</v>
      </c>
      <c r="AK99" s="64" t="s" ph="1">
        <v>367</v>
      </c>
      <c r="AM99" s="64" t="s" ph="1">
        <v>472</v>
      </c>
      <c r="AN99" s="64" t="s" ph="1">
        <v>254</v>
      </c>
      <c r="AO99" s="64" t="s" ph="1">
        <v>259</v>
      </c>
      <c r="AP99" s="64" t="s" ph="1">
        <v>473</v>
      </c>
      <c r="AQ99" s="64" t="s" ph="1">
        <v>224</v>
      </c>
      <c r="AR99" s="64" t="s" ph="1">
        <v>287</v>
      </c>
      <c r="AS99" s="64" t="s" ph="1">
        <v>474</v>
      </c>
      <c r="AT99" s="64" t="s" ph="1">
        <v>239</v>
      </c>
      <c r="AU99" s="64" t="s" ph="1">
        <v>287</v>
      </c>
      <c r="AV99" s="64" t="s" ph="1">
        <v>475</v>
      </c>
      <c r="AW99" s="64" t="s" ph="1">
        <v>224</v>
      </c>
      <c r="AX99" s="64" t="s" ph="1">
        <v>287</v>
      </c>
      <c r="AY99" s="64" t="s" ph="1">
        <v>216</v>
      </c>
      <c r="AZ99" s="64" t="s" ph="1">
        <v>476</v>
      </c>
    </row>
    <row r="100" spans="33:52" ph="1">
      <c r="AJ100" s="64" t="s" ph="1">
        <v>477</v>
      </c>
      <c r="AK100" s="64" t="s" ph="1">
        <v>222</v>
      </c>
      <c r="AM100" s="64" t="s" ph="1">
        <v>478</v>
      </c>
      <c r="AN100" s="64" t="s" ph="1">
        <v>294</v>
      </c>
      <c r="AO100" s="64" t="s" ph="1">
        <v>259</v>
      </c>
      <c r="AP100" s="64" t="s" ph="1">
        <v>479</v>
      </c>
      <c r="AQ100" s="64" t="s" ph="1">
        <v>300</v>
      </c>
      <c r="AR100" s="64" t="s" ph="1">
        <v>287</v>
      </c>
      <c r="AS100" s="64" t="s" ph="1">
        <v>480</v>
      </c>
      <c r="AT100" s="64" t="s" ph="1">
        <v>367</v>
      </c>
      <c r="AU100" s="64" t="s" ph="1">
        <v>259</v>
      </c>
      <c r="AV100" s="64" t="s" ph="1">
        <v>481</v>
      </c>
      <c r="AW100" s="64" t="s" ph="1">
        <v>367</v>
      </c>
      <c r="AX100" s="64" t="s" ph="1">
        <v>259</v>
      </c>
    </row>
    <row r="101" spans="33:52" ph="1">
      <c r="AJ101" s="64" t="s" ph="1">
        <v>482</v>
      </c>
      <c r="AK101" s="64" t="s" ph="1">
        <v>367</v>
      </c>
      <c r="AM101" s="64" t="s" ph="1">
        <v>483</v>
      </c>
      <c r="AN101" s="64" t="s" ph="1">
        <v>225</v>
      </c>
      <c r="AO101" s="64" t="s" ph="1">
        <v>259</v>
      </c>
      <c r="AP101" s="64" t="s" ph="1">
        <v>484</v>
      </c>
      <c r="AQ101" s="64" t="s" ph="1">
        <v>237</v>
      </c>
      <c r="AR101" s="64" t="s" ph="1">
        <v>287</v>
      </c>
      <c r="AS101" s="64" t="s" ph="1">
        <v>485</v>
      </c>
      <c r="AT101" s="64" t="s" ph="1">
        <v>294</v>
      </c>
      <c r="AU101" s="64" t="s" ph="1">
        <v>287</v>
      </c>
      <c r="AV101" s="64" t="s" ph="1">
        <v>486</v>
      </c>
      <c r="AW101" s="64" t="s" ph="1">
        <v>225</v>
      </c>
      <c r="AX101" s="64" t="s" ph="1">
        <v>259</v>
      </c>
    </row>
    <row r="102" spans="33:52" ph="1">
      <c r="AJ102" s="64" t="s" ph="1">
        <v>487</v>
      </c>
      <c r="AK102" s="64" t="s" ph="1">
        <v>222</v>
      </c>
      <c r="AM102" s="64" t="s" ph="1">
        <v>488</v>
      </c>
      <c r="AN102" s="64" t="s" ph="1">
        <v>231</v>
      </c>
      <c r="AO102" s="64" t="s" ph="1">
        <v>259</v>
      </c>
      <c r="AP102" s="64" t="s" ph="1">
        <v>489</v>
      </c>
      <c r="AQ102" s="64" t="s" ph="1">
        <v>237</v>
      </c>
      <c r="AR102" s="64" t="s" ph="1">
        <v>259</v>
      </c>
      <c r="AS102" s="64" t="s" ph="1">
        <v>490</v>
      </c>
      <c r="AT102" s="64" t="s" ph="1">
        <v>254</v>
      </c>
      <c r="AU102" s="64" t="s" ph="1">
        <v>259</v>
      </c>
      <c r="AV102" s="64" t="s" ph="1">
        <v>491</v>
      </c>
      <c r="AW102" s="64" t="s" ph="1">
        <v>272</v>
      </c>
      <c r="AX102" s="64" t="s" ph="1">
        <v>259</v>
      </c>
    </row>
    <row r="103" spans="33:52" ph="1">
      <c r="AH103" s="64" ph="1">
        <v>9</v>
      </c>
      <c r="AI103" s="64" t="s" ph="1">
        <v>492</v>
      </c>
      <c r="AJ103" s="64" t="s" ph="1">
        <v>493</v>
      </c>
      <c r="AK103" s="64" t="s" ph="1">
        <v>367</v>
      </c>
      <c r="AM103" s="64" t="s" ph="1">
        <v>494</v>
      </c>
      <c r="AN103" s="64" t="s" ph="1">
        <v>282</v>
      </c>
      <c r="AO103" s="64" t="s" ph="1">
        <v>259</v>
      </c>
      <c r="AP103" s="64" t="s" ph="1">
        <v>336</v>
      </c>
      <c r="AQ103" s="64" t="s" ph="1">
        <v>225</v>
      </c>
      <c r="AR103" s="64" t="s" ph="1">
        <v>259</v>
      </c>
      <c r="AS103" s="64" t="s" ph="1">
        <v>570</v>
      </c>
      <c r="AT103" s="64" t="s" ph="1">
        <v>367</v>
      </c>
      <c r="AU103" s="64" t="s" ph="1">
        <v>259</v>
      </c>
      <c r="AY103" s="64" t="s" ph="1">
        <v>216</v>
      </c>
      <c r="AZ103" s="64" t="s" ph="1">
        <v>224</v>
      </c>
    </row>
    <row r="104" spans="33:52" ph="1">
      <c r="AZ104" s="64" t="s" ph="1">
        <v>495</v>
      </c>
    </row>
    <row r="105" spans="33:52" ph="1">
      <c r="AG105" s="64" t="s" ph="1">
        <v>295</v>
      </c>
      <c r="AI105" s="64" t="s" ph="1">
        <v>209</v>
      </c>
      <c r="AJ105" s="64" t="s" ph="1">
        <v>210</v>
      </c>
      <c r="AK105" s="64" t="s" ph="1">
        <v>211</v>
      </c>
      <c r="AM105" s="64" t="s" ph="1">
        <v>210</v>
      </c>
      <c r="AN105" s="64" t="s" ph="1">
        <v>211</v>
      </c>
      <c r="AO105" s="64" t="s" ph="1">
        <v>212</v>
      </c>
      <c r="AP105" s="64" t="s" ph="1">
        <v>210</v>
      </c>
      <c r="AQ105" s="64" t="s" ph="1">
        <v>211</v>
      </c>
      <c r="AR105" s="64" t="s" ph="1">
        <v>212</v>
      </c>
      <c r="AS105" s="64" t="s" ph="1">
        <v>210</v>
      </c>
      <c r="AT105" s="64" t="s" ph="1">
        <v>211</v>
      </c>
      <c r="AU105" s="64" t="s" ph="1">
        <v>212</v>
      </c>
      <c r="AV105" s="64" t="s" ph="1">
        <v>210</v>
      </c>
      <c r="AW105" s="64" t="s" ph="1">
        <v>211</v>
      </c>
      <c r="AX105" s="64" t="s" ph="1">
        <v>212</v>
      </c>
      <c r="AZ105" s="64" t="s" ph="1">
        <v>213</v>
      </c>
    </row>
    <row r="106" spans="33:52" ph="1">
      <c r="AH106" s="64" ph="1">
        <v>1</v>
      </c>
      <c r="AI106" s="64" t="s" ph="1">
        <v>496</v>
      </c>
      <c r="AJ106" s="64" t="s" ph="1">
        <v>570</v>
      </c>
      <c r="AK106" s="64" t="s" ph="1">
        <v>231</v>
      </c>
      <c r="AZ106" s="64" t="s" ph="1">
        <v>231</v>
      </c>
    </row>
    <row r="107" spans="33:52" ph="1">
      <c r="AH107" s="64" ph="1">
        <v>2</v>
      </c>
      <c r="AI107" s="64" t="s" ph="1">
        <v>497</v>
      </c>
      <c r="AJ107" s="64" t="s" ph="1">
        <v>498</v>
      </c>
      <c r="AK107" s="64" t="s" ph="1">
        <v>228</v>
      </c>
      <c r="AM107" s="64" t="s" ph="1">
        <v>334</v>
      </c>
      <c r="AN107" s="64" t="s" ph="1">
        <v>499</v>
      </c>
      <c r="AO107" s="64" t="s" ph="1">
        <v>500</v>
      </c>
      <c r="AP107" s="64" t="s" ph="1">
        <v>336</v>
      </c>
      <c r="AQ107" s="64" t="s" ph="1">
        <v>304</v>
      </c>
      <c r="AR107" s="64" t="s" ph="1">
        <v>500</v>
      </c>
      <c r="AS107" s="64" t="s" ph="1">
        <v>570</v>
      </c>
      <c r="AT107" s="64" t="s" ph="1">
        <v>499</v>
      </c>
      <c r="AU107" s="64" t="s" ph="1">
        <v>500</v>
      </c>
      <c r="AY107" s="64" t="s" ph="1">
        <v>216</v>
      </c>
      <c r="AZ107" s="64" t="s" ph="1">
        <v>580</v>
      </c>
    </row>
    <row r="108" spans="33:52" ph="1">
      <c r="AH108" s="64" ph="1">
        <v>3</v>
      </c>
      <c r="AI108" s="64" t="s" ph="1">
        <v>501</v>
      </c>
      <c r="AY108" s="64" t="s" ph="1">
        <v>216</v>
      </c>
      <c r="AZ108" s="64" t="s" ph="1">
        <v>367</v>
      </c>
    </row>
    <row r="109" spans="33:52" ph="1">
      <c r="AH109" s="64" ph="1">
        <v>4</v>
      </c>
      <c r="AI109" s="64" t="s" ph="1">
        <v>502</v>
      </c>
      <c r="AY109" s="64" t="s" ph="1">
        <v>216</v>
      </c>
      <c r="AZ109" s="64" t="s" ph="1">
        <v>367</v>
      </c>
    </row>
    <row r="110" spans="33:52" ph="1">
      <c r="AH110" s="64" ph="1">
        <v>5</v>
      </c>
      <c r="AI110" s="64" t="s" ph="1">
        <v>503</v>
      </c>
      <c r="AY110" s="64" t="s" ph="1">
        <v>216</v>
      </c>
      <c r="AZ110" s="64" t="s" ph="1">
        <v>367</v>
      </c>
    </row>
    <row r="111" spans="33:52" ph="1">
      <c r="AH111" s="64" ph="1">
        <v>6</v>
      </c>
      <c r="AI111" s="64" t="s" ph="1">
        <v>581</v>
      </c>
      <c r="AJ111" s="64" t="s" ph="1">
        <v>486</v>
      </c>
      <c r="AK111" s="64" t="s" ph="1">
        <v>225</v>
      </c>
      <c r="AM111" s="64" t="s" ph="1">
        <v>487</v>
      </c>
      <c r="AN111" s="64" t="s" ph="1">
        <v>219</v>
      </c>
      <c r="AO111" s="64" t="s" ph="1">
        <v>500</v>
      </c>
      <c r="AP111" s="64" t="s" ph="1">
        <v>488</v>
      </c>
      <c r="AQ111" s="64" t="s" ph="1">
        <v>228</v>
      </c>
      <c r="AR111" s="64" t="s" ph="1">
        <v>500</v>
      </c>
      <c r="AS111" s="64" t="s" ph="1">
        <v>489</v>
      </c>
      <c r="AT111" s="64" t="s" ph="1">
        <v>237</v>
      </c>
      <c r="AU111" s="64" t="s" ph="1">
        <v>500</v>
      </c>
      <c r="AV111" s="64" t="s" ph="1">
        <v>490</v>
      </c>
      <c r="AW111" s="64" t="s" ph="1">
        <v>227</v>
      </c>
      <c r="AX111" s="64" t="s" ph="1">
        <v>500</v>
      </c>
      <c r="AY111" s="64" t="s" ph="1">
        <v>216</v>
      </c>
      <c r="AZ111" s="64" t="s" ph="1">
        <v>504</v>
      </c>
    </row>
    <row r="112" spans="33:52" ph="1">
      <c r="AJ112" s="64" t="s" ph="1">
        <v>491</v>
      </c>
      <c r="AK112" s="64" t="s" ph="1">
        <v>272</v>
      </c>
      <c r="AM112" s="64" t="s" ph="1">
        <v>493</v>
      </c>
      <c r="AN112" s="64" t="s" ph="1">
        <v>296</v>
      </c>
      <c r="AO112" s="64" t="s" ph="1">
        <v>500</v>
      </c>
      <c r="AP112" s="64" t="s" ph="1">
        <v>494</v>
      </c>
      <c r="AQ112" s="64" t="s" ph="1">
        <v>505</v>
      </c>
      <c r="AR112" s="64" t="s" ph="1">
        <v>500</v>
      </c>
      <c r="AS112" s="64" t="s" ph="1">
        <v>506</v>
      </c>
      <c r="AT112" s="64" t="s" ph="1">
        <v>248</v>
      </c>
      <c r="AU112" s="64" t="s" ph="1">
        <v>500</v>
      </c>
      <c r="AV112" s="64" t="s" ph="1">
        <v>507</v>
      </c>
      <c r="AW112" s="64" t="s" ph="1">
        <v>294</v>
      </c>
      <c r="AX112" s="64" t="s" ph="1">
        <v>500</v>
      </c>
    </row>
    <row r="113" spans="33:52" ph="1">
      <c r="AH113" s="64" ph="1">
        <v>7</v>
      </c>
      <c r="AI113" s="64" t="s" ph="1">
        <v>508</v>
      </c>
      <c r="AJ113" s="64" t="s" ph="1">
        <v>589</v>
      </c>
      <c r="AK113" s="64" t="s" ph="1">
        <v>594</v>
      </c>
      <c r="AY113" s="64" t="s" ph="1">
        <v>216</v>
      </c>
      <c r="AZ113" s="64" t="s" ph="1">
        <v>594</v>
      </c>
    </row>
    <row r="114" spans="33:52" ph="1">
      <c r="AH114" s="64" ph="1">
        <v>8</v>
      </c>
      <c r="AI114" s="64" t="s" ph="1">
        <v>509</v>
      </c>
      <c r="AJ114" s="64" t="s" ph="1">
        <v>589</v>
      </c>
      <c r="AK114" s="64" t="s" ph="1">
        <v>595</v>
      </c>
      <c r="AY114" s="64" t="s" ph="1">
        <v>216</v>
      </c>
      <c r="AZ114" s="64" t="s" ph="1">
        <v>595</v>
      </c>
    </row>
    <row r="115" spans="33:52" ph="1">
      <c r="AH115" s="64" ph="1">
        <v>9</v>
      </c>
      <c r="AI115" s="64" t="s" ph="1">
        <v>510</v>
      </c>
      <c r="AJ115" s="64" t="s" ph="1">
        <v>589</v>
      </c>
      <c r="AK115" s="64" t="s" ph="1">
        <v>595</v>
      </c>
      <c r="AY115" s="64" t="s" ph="1">
        <v>216</v>
      </c>
      <c r="AZ115" s="64" t="s" ph="1">
        <v>595</v>
      </c>
    </row>
    <row r="116" spans="33:52" ph="1">
      <c r="AH116" s="64" ph="1">
        <v>10</v>
      </c>
      <c r="AI116" s="64" t="s" ph="1">
        <v>511</v>
      </c>
      <c r="AJ116" s="64" t="s" ph="1">
        <v>589</v>
      </c>
      <c r="AK116" s="64" t="s" ph="1">
        <v>595</v>
      </c>
      <c r="AY116" s="64" t="s" ph="1">
        <v>216</v>
      </c>
      <c r="AZ116" s="64" t="s" ph="1">
        <v>595</v>
      </c>
    </row>
    <row r="117" spans="33:52" ph="1">
      <c r="AH117" s="64" ph="1">
        <v>11</v>
      </c>
      <c r="AI117" s="64" t="s" ph="1">
        <v>512</v>
      </c>
      <c r="AJ117" s="64" t="s" ph="1">
        <v>589</v>
      </c>
      <c r="AK117" s="64" t="s" ph="1">
        <v>595</v>
      </c>
      <c r="AY117" s="64" t="s" ph="1">
        <v>216</v>
      </c>
      <c r="AZ117" s="64" t="s" ph="1">
        <v>595</v>
      </c>
    </row>
    <row r="118" spans="33:52" ph="1">
      <c r="AZ118" s="64" t="s" ph="1">
        <v>596</v>
      </c>
    </row>
    <row r="119" spans="33:52" ph="1">
      <c r="AI119" s="64" t="s" ph="1">
        <v>209</v>
      </c>
      <c r="AJ119" s="64" t="s" ph="1">
        <v>210</v>
      </c>
      <c r="AK119" s="64" t="s" ph="1">
        <v>211</v>
      </c>
      <c r="AM119" s="64" t="s" ph="1">
        <v>210</v>
      </c>
      <c r="AN119" s="64" t="s" ph="1">
        <v>211</v>
      </c>
      <c r="AO119" s="64" t="s" ph="1">
        <v>212</v>
      </c>
      <c r="AP119" s="64" t="s" ph="1">
        <v>210</v>
      </c>
      <c r="AQ119" s="64" t="s" ph="1">
        <v>211</v>
      </c>
      <c r="AR119" s="64" t="s" ph="1">
        <v>212</v>
      </c>
      <c r="AS119" s="64" t="s" ph="1">
        <v>210</v>
      </c>
      <c r="AT119" s="64" t="s" ph="1">
        <v>211</v>
      </c>
      <c r="AU119" s="64" t="s" ph="1">
        <v>212</v>
      </c>
      <c r="AV119" s="64" t="s" ph="1">
        <v>210</v>
      </c>
      <c r="AW119" s="64" t="s" ph="1">
        <v>211</v>
      </c>
      <c r="AX119" s="64" t="s" ph="1">
        <v>212</v>
      </c>
      <c r="AY119" s="64" t="s" ph="1">
        <v>211</v>
      </c>
      <c r="AZ119" s="64" t="s" ph="1">
        <v>213</v>
      </c>
    </row>
    <row r="120" spans="33:52" ph="1">
      <c r="AG120" s="64" t="s" ph="1">
        <v>353</v>
      </c>
      <c r="AH120" s="64" ph="1">
        <v>1</v>
      </c>
      <c r="AI120" s="64" t="s" ph="1">
        <v>513</v>
      </c>
      <c r="AJ120" s="64" t="s" ph="1">
        <v>587</v>
      </c>
      <c r="AK120" s="64" t="s" ph="1">
        <v>367</v>
      </c>
      <c r="AY120" s="64" t="s" ph="1">
        <v>216</v>
      </c>
      <c r="AZ120" s="64" t="s" ph="1">
        <v>367</v>
      </c>
    </row>
    <row r="121" spans="33:52" ph="1">
      <c r="AH121" s="64" ph="1">
        <v>2</v>
      </c>
      <c r="AI121" s="64" t="s" ph="1">
        <v>514</v>
      </c>
      <c r="AY121" s="64" t="s" ph="1">
        <v>216</v>
      </c>
      <c r="AZ121" s="64" t="s" ph="1">
        <v>367</v>
      </c>
    </row>
    <row r="122" spans="33:52" ph="1">
      <c r="AH122" s="64" ph="1">
        <v>3</v>
      </c>
      <c r="AI122" s="64" t="s" ph="1">
        <v>515</v>
      </c>
      <c r="AJ122" s="64" t="s" ph="1">
        <v>570</v>
      </c>
      <c r="AK122" s="64" t="s" ph="1">
        <v>582</v>
      </c>
      <c r="AM122" s="64" t="s" ph="1">
        <v>597</v>
      </c>
      <c r="AN122" s="64" t="s" ph="1">
        <v>590</v>
      </c>
      <c r="AO122" s="64" t="s" ph="1">
        <v>91</v>
      </c>
      <c r="AY122" s="64" t="s" ph="1">
        <v>216</v>
      </c>
      <c r="AZ122" s="64" t="s" ph="1">
        <v>579</v>
      </c>
    </row>
    <row r="123" spans="33:52" ph="1">
      <c r="AY123" s="64" t="s" ph="1">
        <v>216</v>
      </c>
      <c r="AZ123" s="64" t="s" ph="1">
        <v>579</v>
      </c>
    </row>
    <row r="124" spans="33:52" ph="1">
      <c r="AG124" s="64" t="s" ph="1">
        <v>356</v>
      </c>
      <c r="AH124" s="64" ph="1">
        <v>4</v>
      </c>
      <c r="AI124" s="64" t="s" ph="1">
        <v>516</v>
      </c>
      <c r="AJ124" s="64" t="s" ph="1">
        <v>517</v>
      </c>
      <c r="AK124" s="64" t="s" ph="1">
        <v>518</v>
      </c>
      <c r="AY124" s="64" t="s" ph="1">
        <v>216</v>
      </c>
      <c r="AZ124" s="64" t="s" ph="1">
        <v>518</v>
      </c>
    </row>
    <row r="125" spans="33:52" ph="1">
      <c r="AH125" s="64" ph="1">
        <v>5</v>
      </c>
      <c r="AI125" s="64" t="s" ph="1">
        <v>519</v>
      </c>
      <c r="AJ125" s="64" t="s" ph="1">
        <v>517</v>
      </c>
      <c r="AK125" s="64" t="s" ph="1">
        <v>518</v>
      </c>
      <c r="AY125" s="64" t="s" ph="1">
        <v>216</v>
      </c>
      <c r="AZ125" s="64" t="s" ph="1">
        <v>518</v>
      </c>
    </row>
    <row r="126" spans="33:52" ph="1">
      <c r="AH126" s="64" ph="1">
        <v>6</v>
      </c>
      <c r="AI126" s="64" t="s" ph="1">
        <v>520</v>
      </c>
      <c r="AJ126" s="64" t="s" ph="1">
        <v>589</v>
      </c>
      <c r="AK126" s="64" t="s" ph="1">
        <v>598</v>
      </c>
      <c r="AY126" s="64" t="s" ph="1">
        <v>216</v>
      </c>
      <c r="AZ126" s="64" t="s" ph="1">
        <v>598</v>
      </c>
    </row>
    <row r="127" spans="33:52" ph="1">
      <c r="AH127" s="64" ph="1">
        <v>7</v>
      </c>
      <c r="AI127" s="64" t="s" ph="1">
        <v>521</v>
      </c>
      <c r="AJ127" s="64" t="s" ph="1">
        <v>589</v>
      </c>
      <c r="AK127" s="64" t="s" ph="1">
        <v>599</v>
      </c>
      <c r="AY127" s="64" t="s" ph="1">
        <v>216</v>
      </c>
      <c r="AZ127" s="64" t="s" ph="1">
        <v>599</v>
      </c>
    </row>
    <row r="128" spans="33:52" ph="1">
      <c r="AH128" s="64" ph="1">
        <v>8</v>
      </c>
      <c r="AI128" s="64" t="s" ph="1">
        <v>522</v>
      </c>
      <c r="AY128" s="64" t="s" ph="1">
        <v>216</v>
      </c>
      <c r="AZ128" s="64" t="s" ph="1">
        <v>367</v>
      </c>
    </row>
    <row r="129" spans="33:52" ph="1">
      <c r="AH129" s="64" ph="1">
        <v>9</v>
      </c>
      <c r="AI129" s="64" t="s" ph="1">
        <v>523</v>
      </c>
      <c r="AY129" s="64" t="s" ph="1">
        <v>216</v>
      </c>
      <c r="AZ129" s="64" t="s" ph="1">
        <v>367</v>
      </c>
    </row>
    <row r="130" spans="33:52" ph="1">
      <c r="AH130" s="64" ph="1">
        <v>10</v>
      </c>
      <c r="AI130" s="64" t="s" ph="1">
        <v>524</v>
      </c>
      <c r="AY130" s="64" t="s" ph="1">
        <v>216</v>
      </c>
      <c r="AZ130" s="64" t="s" ph="1">
        <v>367</v>
      </c>
    </row>
    <row r="131" spans="33:52" ph="1">
      <c r="AH131" s="64" ph="1">
        <v>11</v>
      </c>
      <c r="AI131" s="64" t="s" ph="1">
        <v>525</v>
      </c>
      <c r="AJ131" s="64" t="s" ph="1">
        <v>583</v>
      </c>
      <c r="AK131" s="64" t="s" ph="1">
        <v>579</v>
      </c>
      <c r="AY131" s="64" t="s" ph="1">
        <v>216</v>
      </c>
      <c r="AZ131" s="64" t="s" ph="1">
        <v>579</v>
      </c>
    </row>
    <row r="132" spans="33:52" ph="1">
      <c r="AH132" s="64" ph="1">
        <v>12</v>
      </c>
      <c r="AI132" s="64" t="s" ph="1">
        <v>526</v>
      </c>
      <c r="AJ132" s="64" t="s" ph="1">
        <v>583</v>
      </c>
      <c r="AK132" s="64" t="s" ph="1">
        <v>518</v>
      </c>
      <c r="AY132" s="64" t="s" ph="1">
        <v>216</v>
      </c>
      <c r="AZ132" s="64" t="s" ph="1">
        <v>518</v>
      </c>
    </row>
    <row r="133" spans="33:52" ph="1">
      <c r="AH133" s="64" ph="1">
        <v>13</v>
      </c>
      <c r="AI133" s="64" t="s" ph="1">
        <v>527</v>
      </c>
      <c r="AJ133" s="64" t="s" ph="1">
        <v>583</v>
      </c>
      <c r="AK133" s="64" t="s" ph="1">
        <v>584</v>
      </c>
      <c r="AY133" s="64" t="s" ph="1">
        <v>216</v>
      </c>
      <c r="AZ133" s="64" t="s" ph="1">
        <v>584</v>
      </c>
    </row>
    <row r="134" spans="33:52" ph="1">
      <c r="AH134" s="64" ph="1">
        <v>14</v>
      </c>
      <c r="AI134" s="64" t="s" ph="1">
        <v>528</v>
      </c>
      <c r="AJ134" s="64" t="s" ph="1">
        <v>583</v>
      </c>
      <c r="AK134" s="64" t="s" ph="1">
        <v>585</v>
      </c>
      <c r="AY134" s="64" t="s" ph="1">
        <v>216</v>
      </c>
      <c r="AZ134" s="64" t="s" ph="1">
        <v>585</v>
      </c>
    </row>
    <row r="135" spans="33:52" ph="1">
      <c r="AH135" s="64" ph="1">
        <v>15</v>
      </c>
      <c r="AI135" s="64" t="s" ph="1">
        <v>529</v>
      </c>
      <c r="AJ135" s="64" t="s" ph="1">
        <v>583</v>
      </c>
      <c r="AK135" s="64" t="s" ph="1">
        <v>586</v>
      </c>
      <c r="AY135" s="64" t="s" ph="1">
        <v>216</v>
      </c>
      <c r="AZ135" s="64" t="s" ph="1">
        <v>586</v>
      </c>
    </row>
    <row r="136" spans="33:52" ph="1">
      <c r="AZ136" s="64" t="s" ph="1">
        <v>600</v>
      </c>
    </row>
    <row r="137" spans="33:52" ph="1">
      <c r="AG137" s="64" t="s" ph="1">
        <v>290</v>
      </c>
      <c r="AI137" s="64" t="s" ph="1">
        <v>209</v>
      </c>
      <c r="AJ137" s="64" t="s" ph="1">
        <v>210</v>
      </c>
      <c r="AK137" s="64" t="s" ph="1">
        <v>211</v>
      </c>
      <c r="AM137" s="64" t="s" ph="1">
        <v>210</v>
      </c>
      <c r="AN137" s="64" t="s" ph="1">
        <v>211</v>
      </c>
      <c r="AO137" s="64" t="s" ph="1">
        <v>212</v>
      </c>
      <c r="AP137" s="64" t="s" ph="1">
        <v>210</v>
      </c>
      <c r="AQ137" s="64" t="s" ph="1">
        <v>211</v>
      </c>
      <c r="AR137" s="64" t="s" ph="1">
        <v>212</v>
      </c>
      <c r="AS137" s="64" t="s" ph="1">
        <v>210</v>
      </c>
      <c r="AT137" s="64" t="s" ph="1">
        <v>211</v>
      </c>
      <c r="AU137" s="64" t="s" ph="1">
        <v>212</v>
      </c>
      <c r="AV137" s="64" t="s" ph="1">
        <v>210</v>
      </c>
      <c r="AW137" s="64" t="s" ph="1">
        <v>211</v>
      </c>
      <c r="AX137" s="64" t="s" ph="1">
        <v>212</v>
      </c>
      <c r="AY137" s="64" t="s" ph="1">
        <v>211</v>
      </c>
      <c r="AZ137" s="64" t="s" ph="1">
        <v>213</v>
      </c>
    </row>
    <row r="138" spans="33:52" ph="1">
      <c r="AH138" s="64" ph="1">
        <v>1</v>
      </c>
      <c r="AI138" s="64" t="s" ph="1">
        <v>530</v>
      </c>
      <c r="AJ138" s="64" t="s" ph="1">
        <v>531</v>
      </c>
      <c r="AK138" s="64" t="s" ph="1">
        <v>532</v>
      </c>
      <c r="AY138" s="64" t="s" ph="1">
        <v>216</v>
      </c>
      <c r="AZ138" s="64" t="s" ph="1">
        <v>532</v>
      </c>
    </row>
    <row r="139" spans="33:52" ph="1">
      <c r="AH139" s="64" ph="1">
        <v>2</v>
      </c>
      <c r="AI139" s="64" t="s" ph="1">
        <v>533</v>
      </c>
      <c r="AJ139" s="64" t="s" ph="1">
        <v>589</v>
      </c>
      <c r="AK139" s="64" t="s" ph="1">
        <v>601</v>
      </c>
      <c r="AY139" s="64" t="s" ph="1">
        <v>216</v>
      </c>
      <c r="AZ139" s="64" t="s" ph="1">
        <v>601</v>
      </c>
    </row>
    <row r="140" spans="33:52" ph="1">
      <c r="AH140" s="64" ph="1">
        <v>3</v>
      </c>
      <c r="AI140" s="64" t="s" ph="1">
        <v>534</v>
      </c>
      <c r="AJ140" s="64" t="s" ph="1">
        <v>487</v>
      </c>
      <c r="AK140" s="64" t="s" ph="1">
        <v>299</v>
      </c>
      <c r="AM140" s="64" t="s" ph="1">
        <v>488</v>
      </c>
      <c r="AN140" s="64" t="s" ph="1">
        <v>219</v>
      </c>
      <c r="AO140" s="64" t="s" ph="1">
        <v>535</v>
      </c>
      <c r="AP140" s="64" t="s" ph="1">
        <v>489</v>
      </c>
      <c r="AQ140" s="64" t="s" ph="1">
        <v>236</v>
      </c>
      <c r="AR140" s="64" t="s" ph="1">
        <v>535</v>
      </c>
      <c r="AS140" s="64" t="s" ph="1">
        <v>490</v>
      </c>
      <c r="AT140" s="64" t="s" ph="1">
        <v>229</v>
      </c>
      <c r="AU140" s="64" t="s" ph="1">
        <v>535</v>
      </c>
      <c r="AV140" s="64" t="s" ph="1">
        <v>491</v>
      </c>
      <c r="AW140" s="64" t="s" ph="1">
        <v>222</v>
      </c>
      <c r="AX140" s="64" t="s" ph="1">
        <v>535</v>
      </c>
      <c r="AY140" s="64" t="s" ph="1">
        <v>216</v>
      </c>
      <c r="AZ140" s="64" t="s" ph="1">
        <v>291</v>
      </c>
    </row>
    <row r="141" spans="33:52" ph="1">
      <c r="AJ141" s="64" t="s" ph="1">
        <v>493</v>
      </c>
      <c r="AK141" s="64" t="s" ph="1">
        <v>222</v>
      </c>
      <c r="AM141" s="64" t="s" ph="1">
        <v>494</v>
      </c>
      <c r="AN141" s="64" t="s" ph="1">
        <v>225</v>
      </c>
      <c r="AO141" s="64" t="s" ph="1">
        <v>535</v>
      </c>
      <c r="AP141" s="64" t="s" ph="1">
        <v>506</v>
      </c>
      <c r="AQ141" s="64" t="s" ph="1">
        <v>294</v>
      </c>
      <c r="AR141" s="64" t="s" ph="1">
        <v>535</v>
      </c>
      <c r="AS141" s="64" t="s" ph="1">
        <v>498</v>
      </c>
      <c r="AT141" s="64" t="s" ph="1">
        <v>222</v>
      </c>
      <c r="AU141" s="64" t="s" ph="1">
        <v>535</v>
      </c>
      <c r="AV141" s="64" t="s" ph="1">
        <v>334</v>
      </c>
      <c r="AW141" s="64" t="s" ph="1">
        <v>228</v>
      </c>
      <c r="AX141" s="64" t="s" ph="1">
        <v>535</v>
      </c>
    </row>
    <row r="142" spans="33:52" ph="1">
      <c r="AJ142" s="64" t="s" ph="1">
        <v>536</v>
      </c>
      <c r="AK142" s="64" t="s" ph="1">
        <v>239</v>
      </c>
    </row>
    <row r="143" spans="33:52" ph="1">
      <c r="AH143" s="64" ph="1">
        <v>4</v>
      </c>
      <c r="AI143" s="64" t="s" ph="1">
        <v>537</v>
      </c>
      <c r="AJ143" s="64" t="s" ph="1">
        <v>517</v>
      </c>
      <c r="AK143" s="64" t="s" ph="1">
        <v>538</v>
      </c>
      <c r="AY143" s="64" t="s" ph="1">
        <v>216</v>
      </c>
      <c r="AZ143" s="64" t="s" ph="1">
        <v>538</v>
      </c>
    </row>
    <row r="144" spans="33:52" ph="1">
      <c r="AH144" s="64" ph="1">
        <v>5</v>
      </c>
      <c r="AI144" s="64" t="s" ph="1">
        <v>539</v>
      </c>
      <c r="AY144" s="64" t="s" ph="1">
        <v>216</v>
      </c>
      <c r="AZ144" s="64" t="s" ph="1">
        <v>367</v>
      </c>
    </row>
    <row r="145" spans="33:52" ph="1">
      <c r="AH145" s="64" ph="1">
        <v>6</v>
      </c>
      <c r="AI145" s="64" t="s" ph="1">
        <v>540</v>
      </c>
      <c r="AY145" s="64" t="s" ph="1">
        <v>216</v>
      </c>
      <c r="AZ145" s="64" t="s" ph="1">
        <v>367</v>
      </c>
    </row>
    <row r="146" spans="33:52" ph="1">
      <c r="AH146" s="64" ph="1">
        <v>7</v>
      </c>
      <c r="AI146" s="64" t="s" ph="1">
        <v>541</v>
      </c>
      <c r="AY146" s="64" t="s" ph="1">
        <v>216</v>
      </c>
      <c r="AZ146" s="64" t="s" ph="1">
        <v>367</v>
      </c>
    </row>
    <row r="147" spans="33:52" ph="1">
      <c r="AH147" s="64" ph="1">
        <v>8</v>
      </c>
      <c r="AI147" s="64" t="s" ph="1">
        <v>542</v>
      </c>
      <c r="AY147" s="64" t="s" ph="1">
        <v>216</v>
      </c>
      <c r="AZ147" s="64" t="s" ph="1">
        <v>367</v>
      </c>
    </row>
    <row r="148" spans="33:52" ph="1">
      <c r="AH148" s="64" ph="1">
        <v>9</v>
      </c>
      <c r="AI148" s="64" t="s" ph="1">
        <v>543</v>
      </c>
      <c r="AY148" s="64" t="s" ph="1">
        <v>216</v>
      </c>
      <c r="AZ148" s="64" t="s" ph="1">
        <v>367</v>
      </c>
    </row>
    <row r="149" spans="33:52" ph="1">
      <c r="AH149" s="64" ph="1">
        <v>10</v>
      </c>
      <c r="AI149" s="64" t="s" ph="1">
        <v>544</v>
      </c>
      <c r="AY149" s="64" t="s" ph="1">
        <v>216</v>
      </c>
      <c r="AZ149" s="64" t="s" ph="1">
        <v>367</v>
      </c>
    </row>
    <row r="150" spans="33:52" ph="1">
      <c r="AH150" s="64" ph="1">
        <v>11</v>
      </c>
      <c r="AI150" s="64" t="s" ph="1">
        <v>545</v>
      </c>
      <c r="AY150" s="64" t="s" ph="1">
        <v>216</v>
      </c>
      <c r="AZ150" s="64" t="s" ph="1">
        <v>367</v>
      </c>
    </row>
    <row r="151" spans="33:52" ph="1">
      <c r="AH151" s="64" ph="1">
        <v>12</v>
      </c>
      <c r="AI151" s="64" t="s" ph="1">
        <v>546</v>
      </c>
      <c r="AY151" s="64" t="s" ph="1">
        <v>216</v>
      </c>
      <c r="AZ151" s="64" t="s" ph="1">
        <v>367</v>
      </c>
    </row>
    <row r="152" spans="33:52" ph="1">
      <c r="AH152" s="64" ph="1">
        <v>13</v>
      </c>
      <c r="AI152" s="64" t="s" ph="1">
        <v>547</v>
      </c>
      <c r="AY152" s="64" t="s" ph="1">
        <v>216</v>
      </c>
      <c r="AZ152" s="64" t="s" ph="1">
        <v>367</v>
      </c>
    </row>
    <row r="153" spans="33:52" ph="1">
      <c r="AH153" s="64" ph="1">
        <v>14</v>
      </c>
      <c r="AI153" s="64" t="s" ph="1">
        <v>548</v>
      </c>
      <c r="AY153" s="64" t="s" ph="1">
        <v>216</v>
      </c>
      <c r="AZ153" s="64" t="s" ph="1">
        <v>367</v>
      </c>
    </row>
    <row r="154" spans="33:52" ph="1">
      <c r="AH154" s="64" ph="1">
        <v>15</v>
      </c>
      <c r="AI154" s="64" t="s" ph="1">
        <v>549</v>
      </c>
      <c r="AY154" s="64" t="s" ph="1">
        <v>216</v>
      </c>
      <c r="AZ154" s="64" t="s" ph="1">
        <v>367</v>
      </c>
    </row>
    <row r="155" spans="33:52" ph="1">
      <c r="AH155" s="64" ph="1">
        <v>16</v>
      </c>
      <c r="AI155" s="64" t="s" ph="1">
        <v>550</v>
      </c>
      <c r="AJ155" s="64" t="s" ph="1">
        <v>336</v>
      </c>
      <c r="AK155" s="64" t="s" ph="1">
        <v>231</v>
      </c>
      <c r="AM155" s="64" t="s" ph="1">
        <v>570</v>
      </c>
      <c r="AN155" s="64" t="s" ph="1">
        <v>282</v>
      </c>
      <c r="AO155" s="64" t="s" ph="1">
        <v>535</v>
      </c>
      <c r="AY155" s="64" t="s" ph="1">
        <v>216</v>
      </c>
      <c r="AZ155" s="64" t="s" ph="1">
        <v>223</v>
      </c>
    </row>
    <row r="156" spans="33:52" ph="1">
      <c r="AZ156" s="64" t="s" ph="1">
        <v>602</v>
      </c>
    </row>
    <row r="157" spans="33:52" ph="1">
      <c r="AG157" s="64" t="s" ph="1">
        <v>551</v>
      </c>
      <c r="AI157" s="64" t="s" ph="1">
        <v>209</v>
      </c>
      <c r="AJ157" s="64" t="s" ph="1">
        <v>210</v>
      </c>
      <c r="AK157" s="64" t="s" ph="1">
        <v>211</v>
      </c>
      <c r="AM157" s="64" t="s" ph="1">
        <v>210</v>
      </c>
      <c r="AN157" s="64" t="s" ph="1">
        <v>211</v>
      </c>
      <c r="AO157" s="64" t="s" ph="1">
        <v>212</v>
      </c>
      <c r="AP157" s="64" t="s" ph="1">
        <v>210</v>
      </c>
      <c r="AQ157" s="64" t="s" ph="1">
        <v>211</v>
      </c>
      <c r="AR157" s="64" t="s" ph="1">
        <v>212</v>
      </c>
      <c r="AS157" s="64" t="s" ph="1">
        <v>210</v>
      </c>
      <c r="AT157" s="64" t="s" ph="1">
        <v>211</v>
      </c>
      <c r="AU157" s="64" t="s" ph="1">
        <v>212</v>
      </c>
      <c r="AV157" s="64" t="s" ph="1">
        <v>210</v>
      </c>
      <c r="AW157" s="64" t="s" ph="1">
        <v>211</v>
      </c>
      <c r="AX157" s="64" t="s" ph="1">
        <v>212</v>
      </c>
      <c r="AY157" s="64" t="s" ph="1">
        <v>211</v>
      </c>
      <c r="AZ157" s="64" t="s" ph="1">
        <v>213</v>
      </c>
    </row>
    <row r="158" spans="33:52" ph="1">
      <c r="AH158" s="64" ph="1">
        <v>1</v>
      </c>
      <c r="AI158" s="64" t="s" ph="1">
        <v>552</v>
      </c>
      <c r="AY158" s="64" t="s" ph="1">
        <v>216</v>
      </c>
      <c r="AZ158" s="64" t="s" ph="1">
        <v>367</v>
      </c>
    </row>
    <row r="159" spans="33:52" ph="1">
      <c r="AH159" s="64" ph="1">
        <v>2</v>
      </c>
      <c r="AI159" s="64" t="s" ph="1">
        <v>553</v>
      </c>
      <c r="AY159" s="64" t="s" ph="1">
        <v>216</v>
      </c>
      <c r="AZ159" s="64" t="s" ph="1">
        <v>367</v>
      </c>
    </row>
    <row r="160" spans="33:52" ph="1">
      <c r="AZ160" s="64" t="s" ph="1">
        <v>385</v>
      </c>
    </row>
    <row r="161" spans="33:52" ph="1">
      <c r="AG161" s="64" t="s" ph="1">
        <v>361</v>
      </c>
      <c r="AI161" s="64" t="s" ph="1">
        <v>209</v>
      </c>
      <c r="AJ161" s="64" t="s" ph="1">
        <v>210</v>
      </c>
      <c r="AK161" s="64" t="s" ph="1">
        <v>211</v>
      </c>
      <c r="AM161" s="64" t="s" ph="1">
        <v>210</v>
      </c>
      <c r="AN161" s="64" t="s" ph="1">
        <v>211</v>
      </c>
      <c r="AO161" s="64" t="s" ph="1">
        <v>212</v>
      </c>
      <c r="AP161" s="64" t="s" ph="1">
        <v>210</v>
      </c>
      <c r="AQ161" s="64" t="s" ph="1">
        <v>211</v>
      </c>
      <c r="AR161" s="64" t="s" ph="1">
        <v>212</v>
      </c>
      <c r="AS161" s="64" t="s" ph="1">
        <v>210</v>
      </c>
      <c r="AT161" s="64" t="s" ph="1">
        <v>211</v>
      </c>
      <c r="AU161" s="64" t="s" ph="1">
        <v>212</v>
      </c>
      <c r="AV161" s="64" t="s" ph="1">
        <v>210</v>
      </c>
      <c r="AW161" s="64" t="s" ph="1">
        <v>211</v>
      </c>
      <c r="AX161" s="64" t="s" ph="1">
        <v>212</v>
      </c>
      <c r="AY161" s="64" t="s" ph="1">
        <v>211</v>
      </c>
      <c r="AZ161" s="64" t="s" ph="1">
        <v>213</v>
      </c>
    </row>
    <row r="162" spans="33:52" ph="1">
      <c r="AH162" s="64" ph="1">
        <v>1</v>
      </c>
      <c r="AI162" s="64" t="s" ph="1">
        <v>554</v>
      </c>
      <c r="AJ162" s="64" t="s" ph="1">
        <v>555</v>
      </c>
      <c r="AK162" s="64" t="s" ph="1">
        <v>499</v>
      </c>
      <c r="AM162" s="64" t="s" ph="1">
        <v>556</v>
      </c>
      <c r="AN162" s="64" t="s" ph="1">
        <v>220</v>
      </c>
      <c r="AO162" s="64" t="s" ph="1">
        <v>557</v>
      </c>
      <c r="AY162" s="64" t="s" ph="1">
        <v>216</v>
      </c>
      <c r="AZ162" s="64" t="s" ph="1">
        <v>292</v>
      </c>
    </row>
    <row r="163" spans="33:52" ph="1">
      <c r="AH163" s="64" ph="1">
        <v>2</v>
      </c>
      <c r="AI163" s="64" t="s" ph="1">
        <v>558</v>
      </c>
      <c r="AJ163" s="64" t="s" ph="1">
        <v>555</v>
      </c>
      <c r="AK163" s="64" t="s" ph="1">
        <v>388</v>
      </c>
      <c r="AY163" s="64" t="s" ph="1">
        <v>216</v>
      </c>
      <c r="AZ163" s="64" t="s" ph="1">
        <v>388</v>
      </c>
    </row>
    <row r="164" spans="33:52" ph="1">
      <c r="AH164" s="64" ph="1">
        <v>3</v>
      </c>
      <c r="AI164" s="64" t="s" ph="1">
        <v>559</v>
      </c>
      <c r="AJ164" s="64" t="s" ph="1">
        <v>555</v>
      </c>
      <c r="AK164" s="64" t="s" ph="1">
        <v>292</v>
      </c>
      <c r="AY164" s="64" t="s" ph="1">
        <v>216</v>
      </c>
      <c r="AZ164" s="64" t="s" ph="1">
        <v>292</v>
      </c>
    </row>
    <row r="165" spans="33:52" ph="1">
      <c r="AH165" s="64" ph="1">
        <v>4</v>
      </c>
      <c r="AI165" s="64" t="s" ph="1">
        <v>560</v>
      </c>
      <c r="AY165" s="64" t="s" ph="1">
        <v>216</v>
      </c>
      <c r="AZ165" s="64" t="s" ph="1">
        <v>367</v>
      </c>
    </row>
    <row r="166" spans="33:52" ph="1">
      <c r="AH166" s="64" ph="1">
        <v>5</v>
      </c>
      <c r="AI166" s="64" t="s" ph="1">
        <v>561</v>
      </c>
      <c r="AY166" s="64" t="s" ph="1">
        <v>216</v>
      </c>
      <c r="AZ166" s="64" t="s" ph="1">
        <v>367</v>
      </c>
    </row>
    <row r="167" spans="33:52" ph="1">
      <c r="AZ167" s="64" t="s" ph="1">
        <v>562</v>
      </c>
    </row>
    <row r="168" spans="33:52" ph="1">
      <c r="AG168" s="64" t="s" ph="1">
        <v>305</v>
      </c>
      <c r="AI168" s="64" t="s" ph="1">
        <v>209</v>
      </c>
      <c r="AJ168" s="64" t="s" ph="1">
        <v>210</v>
      </c>
      <c r="AK168" s="64" t="s" ph="1">
        <v>211</v>
      </c>
      <c r="AM168" s="64" t="s" ph="1">
        <v>210</v>
      </c>
      <c r="AN168" s="64" t="s" ph="1">
        <v>211</v>
      </c>
      <c r="AO168" s="64" t="s" ph="1">
        <v>212</v>
      </c>
      <c r="AP168" s="64" t="s" ph="1">
        <v>210</v>
      </c>
      <c r="AQ168" s="64" t="s" ph="1">
        <v>211</v>
      </c>
      <c r="AR168" s="64" t="s" ph="1">
        <v>212</v>
      </c>
      <c r="AS168" s="64" t="s" ph="1">
        <v>210</v>
      </c>
      <c r="AT168" s="64" t="s" ph="1">
        <v>211</v>
      </c>
      <c r="AU168" s="64" t="s" ph="1">
        <v>212</v>
      </c>
      <c r="AV168" s="64" t="s" ph="1">
        <v>210</v>
      </c>
      <c r="AW168" s="64" t="s" ph="1">
        <v>211</v>
      </c>
      <c r="AX168" s="64" t="s" ph="1">
        <v>212</v>
      </c>
      <c r="AY168" s="64" t="s" ph="1">
        <v>211</v>
      </c>
      <c r="AZ168" s="64" t="s" ph="1">
        <v>213</v>
      </c>
    </row>
    <row r="169" spans="33:52" ph="1">
      <c r="AH169" s="64" ph="1">
        <v>1</v>
      </c>
      <c r="AI169" s="64" t="s" ph="1">
        <v>563</v>
      </c>
      <c r="AY169" s="64" t="s" ph="1">
        <v>216</v>
      </c>
      <c r="AZ169" s="64" t="s" ph="1">
        <v>367</v>
      </c>
    </row>
    <row r="170" spans="33:52" ph="1">
      <c r="AH170" s="64" ph="1">
        <v>2</v>
      </c>
      <c r="AI170" s="64" t="s" ph="1">
        <v>564</v>
      </c>
      <c r="AY170" s="64" t="s" ph="1">
        <v>216</v>
      </c>
      <c r="AZ170" s="64" t="s" ph="1">
        <v>367</v>
      </c>
    </row>
    <row r="171" spans="33:52" ph="1">
      <c r="AH171" s="64" ph="1">
        <v>3</v>
      </c>
      <c r="AI171" s="64" t="s" ph="1">
        <v>565</v>
      </c>
      <c r="AY171" s="64" t="s" ph="1">
        <v>216</v>
      </c>
      <c r="AZ171" s="64" t="s" ph="1">
        <v>367</v>
      </c>
    </row>
    <row r="172" spans="33:52" ph="1">
      <c r="AH172" s="64" ph="1">
        <v>4</v>
      </c>
      <c r="AI172" s="64" t="s" ph="1">
        <v>566</v>
      </c>
      <c r="AY172" s="64" t="s" ph="1">
        <v>216</v>
      </c>
      <c r="AZ172" s="64" t="s" ph="1">
        <v>367</v>
      </c>
    </row>
    <row r="173" spans="33:52" ph="1">
      <c r="AH173" s="64" ph="1">
        <v>5</v>
      </c>
      <c r="AI173" s="64" t="s" ph="1">
        <v>567</v>
      </c>
      <c r="AY173" s="64" t="s" ph="1">
        <v>216</v>
      </c>
      <c r="AZ173" s="64" t="s" ph="1">
        <v>367</v>
      </c>
    </row>
    <row r="174" spans="33:52" ph="1">
      <c r="AZ174" s="64" t="s" ph="1">
        <v>385</v>
      </c>
    </row>
    <row r="175" spans="33:52" ph="1">
      <c r="AJ175" s="64" t="s" ph="1">
        <v>306</v>
      </c>
    </row>
    <row r="176" spans="33:52" ph="1">
      <c r="AJ176" s="64" t="s" ph="1">
        <v>307</v>
      </c>
      <c r="AK176" s="64" t="s" ph="1">
        <v>308</v>
      </c>
      <c r="AM176" s="64" t="s" ph="1">
        <v>309</v>
      </c>
      <c r="AO176" s="64" t="s" ph="1">
        <v>310</v>
      </c>
      <c r="AP176" s="64" t="s" ph="1">
        <v>311</v>
      </c>
      <c r="AQ176" s="64" t="s" ph="1">
        <v>301</v>
      </c>
      <c r="AR176" s="64" t="s" ph="1">
        <v>221</v>
      </c>
    </row>
    <row r="177" spans="36:56" ph="1">
      <c r="AJ177" s="64" t="s" ph="1">
        <v>603</v>
      </c>
      <c r="AK177" s="64" t="s" ph="1">
        <v>312</v>
      </c>
      <c r="AO177" s="64" t="s" ph="1">
        <v>312</v>
      </c>
      <c r="AP177" s="64" t="s" ph="1">
        <v>312</v>
      </c>
      <c r="AQ177" s="64" t="s" ph="1">
        <v>313</v>
      </c>
      <c r="AR177" s="64" t="s" ph="1">
        <v>314</v>
      </c>
    </row>
    <row r="179" spans="36:56" ph="1">
      <c r="AJ179" s="64" t="s" ph="1">
        <v>315</v>
      </c>
      <c r="AK179" s="64" t="s" ph="1">
        <v>316</v>
      </c>
      <c r="AM179" s="64" t="s" ph="1">
        <v>317</v>
      </c>
      <c r="AN179" s="64" t="s" ph="1">
        <v>293</v>
      </c>
      <c r="AO179" s="64" t="s" ph="1">
        <v>318</v>
      </c>
      <c r="AP179" s="64" t="s" ph="1">
        <v>297</v>
      </c>
      <c r="AQ179" s="64" t="s" ph="1">
        <v>319</v>
      </c>
      <c r="AR179" s="64" t="s" ph="1">
        <v>320</v>
      </c>
    </row>
    <row r="180" spans="36:56" ph="1">
      <c r="AJ180" s="64" t="s" ph="1">
        <v>312</v>
      </c>
      <c r="AK180" s="64" t="s" ph="1">
        <v>312</v>
      </c>
      <c r="AL180" s="64" ph="1">
        <v>116</v>
      </c>
      <c r="AM180" s="64" t="s" ph="1">
        <v>312</v>
      </c>
      <c r="AN180" s="64" t="s" ph="1">
        <v>321</v>
      </c>
      <c r="AO180" s="64" t="s" ph="1">
        <v>312</v>
      </c>
      <c r="AP180" s="64" t="s" ph="1">
        <v>322</v>
      </c>
      <c r="AQ180" s="64" t="s" ph="1">
        <v>323</v>
      </c>
      <c r="AR180" s="64" t="s" ph="1">
        <v>324</v>
      </c>
    </row>
    <row r="189" spans="36:56" ph="1">
      <c r="BD189" s="64" t="s" ph="1">
        <v>568</v>
      </c>
    </row>
    <row r="223" spans="18:18" ph="1">
      <c r="R223" s="135" ph="1">
        <v>45496</v>
      </c>
    </row>
  </sheetData>
  <mergeCells count="58"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S31:U31"/>
    <mergeCell ref="V31:X31"/>
    <mergeCell ref="Y31:AA31"/>
    <mergeCell ref="AB31:AE31"/>
    <mergeCell ref="AD32:AE32"/>
    <mergeCell ref="B33:C34"/>
    <mergeCell ref="D33:D34"/>
    <mergeCell ref="E33:E34"/>
    <mergeCell ref="F33:F34"/>
    <mergeCell ref="G33:G34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</mergeCells>
  <phoneticPr fontId="2" type="noConversion"/>
  <conditionalFormatting sqref="D4:D11">
    <cfRule type="expression" dxfId="523" priority="101">
      <formula>ABS(D$7-D$10)&gt;=1000</formula>
    </cfRule>
  </conditionalFormatting>
  <conditionalFormatting sqref="E4 E6:E11">
    <cfRule type="expression" dxfId="522" priority="100">
      <formula>ABS(E$7-E$10)&gt;=1000</formula>
    </cfRule>
  </conditionalFormatting>
  <conditionalFormatting sqref="F4:F11">
    <cfRule type="expression" dxfId="521" priority="99">
      <formula>ABS(F$7-F$10)&gt;=1000</formula>
    </cfRule>
  </conditionalFormatting>
  <conditionalFormatting sqref="G4:G11">
    <cfRule type="expression" dxfId="520" priority="98">
      <formula>ABS(G$7-G$10)&gt;=1000</formula>
    </cfRule>
  </conditionalFormatting>
  <conditionalFormatting sqref="H4:H11">
    <cfRule type="expression" dxfId="519" priority="97">
      <formula>ABS(H$7-H$10)&gt;=1000</formula>
    </cfRule>
  </conditionalFormatting>
  <conditionalFormatting sqref="I4:I11">
    <cfRule type="expression" dxfId="518" priority="96">
      <formula>ABS(I$7-I$10)&gt;=1000</formula>
    </cfRule>
  </conditionalFormatting>
  <conditionalFormatting sqref="J4:J11">
    <cfRule type="expression" dxfId="517" priority="95">
      <formula>ABS(J$7-J$10)&gt;=1000</formula>
    </cfRule>
  </conditionalFormatting>
  <conditionalFormatting sqref="K4:K11">
    <cfRule type="expression" dxfId="516" priority="94">
      <formula>ABS(K$7-K$10)&gt;=1000</formula>
    </cfRule>
  </conditionalFormatting>
  <conditionalFormatting sqref="L4:L11">
    <cfRule type="expression" dxfId="515" priority="93">
      <formula>ABS(L$7-L$10)&gt;=1000</formula>
    </cfRule>
  </conditionalFormatting>
  <conditionalFormatting sqref="M4 M6:M11">
    <cfRule type="expression" dxfId="514" priority="92">
      <formula>ABS(M$7-M$10)&gt;=1000</formula>
    </cfRule>
  </conditionalFormatting>
  <conditionalFormatting sqref="N4 N6:N11">
    <cfRule type="expression" dxfId="513" priority="91">
      <formula>ABS(N$7-N$10)&gt;=1000</formula>
    </cfRule>
  </conditionalFormatting>
  <conditionalFormatting sqref="O4 O6:O11">
    <cfRule type="expression" dxfId="512" priority="90">
      <formula>ABS(O$7-O$10)&gt;=1000</formula>
    </cfRule>
  </conditionalFormatting>
  <conditionalFormatting sqref="P4 P6:P11">
    <cfRule type="expression" dxfId="511" priority="89">
      <formula>ABS(P$7-P$10)&gt;=1000</formula>
    </cfRule>
  </conditionalFormatting>
  <conditionalFormatting sqref="Q4:Q11">
    <cfRule type="expression" dxfId="510" priority="88">
      <formula>ABS(Q$7-Q$10)&gt;=1000</formula>
    </cfRule>
  </conditionalFormatting>
  <conditionalFormatting sqref="R4:R11">
    <cfRule type="expression" dxfId="509" priority="87">
      <formula>ABS(R$7-R$10)&gt;=1000</formula>
    </cfRule>
  </conditionalFormatting>
  <conditionalFormatting sqref="S4:S11">
    <cfRule type="expression" dxfId="508" priority="86">
      <formula>ABS(S$7-S$10)&gt;=1000</formula>
    </cfRule>
  </conditionalFormatting>
  <conditionalFormatting sqref="T4:T9 T11">
    <cfRule type="expression" dxfId="507" priority="85">
      <formula>ABS(T$7-T$10)&gt;=1000</formula>
    </cfRule>
  </conditionalFormatting>
  <conditionalFormatting sqref="U4:U9 U11">
    <cfRule type="expression" dxfId="506" priority="84">
      <formula>ABS(U$7-U$10)&gt;=1000</formula>
    </cfRule>
  </conditionalFormatting>
  <conditionalFormatting sqref="V4:V9 V11">
    <cfRule type="expression" dxfId="505" priority="83">
      <formula>ABS(V$7-V$10)&gt;=1000</formula>
    </cfRule>
  </conditionalFormatting>
  <conditionalFormatting sqref="W4:W9 W11">
    <cfRule type="expression" dxfId="504" priority="82">
      <formula>ABS(W$7-W$10)&gt;=1000</formula>
    </cfRule>
  </conditionalFormatting>
  <conditionalFormatting sqref="X4:X9 X11">
    <cfRule type="expression" dxfId="503" priority="81">
      <formula>ABS(X$7-X$10)&gt;=1000</formula>
    </cfRule>
  </conditionalFormatting>
  <conditionalFormatting sqref="Y4:Y9 Y11">
    <cfRule type="expression" dxfId="502" priority="80">
      <formula>ABS(Y$7-Y$10)&gt;=1000</formula>
    </cfRule>
  </conditionalFormatting>
  <conditionalFormatting sqref="Z4:Z11">
    <cfRule type="expression" dxfId="501" priority="79">
      <formula>ABS(Z$7-Z$10)&gt;=1000</formula>
    </cfRule>
  </conditionalFormatting>
  <conditionalFormatting sqref="AA4:AA11">
    <cfRule type="expression" dxfId="500" priority="78">
      <formula>ABS(AA$7-AA$10)&gt;=1000</formula>
    </cfRule>
  </conditionalFormatting>
  <conditionalFormatting sqref="AB4:AB11">
    <cfRule type="expression" dxfId="499" priority="77">
      <formula>ABS(AB$7-AB$10)&gt;=1000</formula>
    </cfRule>
  </conditionalFormatting>
  <conditionalFormatting sqref="AC4 AC6:AC11">
    <cfRule type="expression" dxfId="498" priority="76">
      <formula>ABS(AC$7-AC$10)&gt;=1000</formula>
    </cfRule>
  </conditionalFormatting>
  <conditionalFormatting sqref="AD4 AD6:AD11">
    <cfRule type="expression" dxfId="497" priority="75">
      <formula>ABS(AD$7-AD$10)&gt;=1000</formula>
    </cfRule>
  </conditionalFormatting>
  <conditionalFormatting sqref="AE4 AE6:AE11">
    <cfRule type="expression" dxfId="496" priority="74">
      <formula>ABS(AE$7-AE$10)&gt;=1000</formula>
    </cfRule>
  </conditionalFormatting>
  <conditionalFormatting sqref="D13:D20">
    <cfRule type="expression" dxfId="495" priority="73">
      <formula>ABS(D$16-D$19)&gt;=1000</formula>
    </cfRule>
  </conditionalFormatting>
  <conditionalFormatting sqref="E13:E20">
    <cfRule type="expression" dxfId="494" priority="72">
      <formula>ABS(E$16-E$19)&gt;=1000</formula>
    </cfRule>
  </conditionalFormatting>
  <conditionalFormatting sqref="F13 F15:F20">
    <cfRule type="expression" dxfId="493" priority="71">
      <formula>ABS(F$16-F$19)&gt;=1000</formula>
    </cfRule>
  </conditionalFormatting>
  <conditionalFormatting sqref="G13:G20">
    <cfRule type="expression" dxfId="492" priority="70">
      <formula>ABS(G$16-G$19)&gt;=1000</formula>
    </cfRule>
  </conditionalFormatting>
  <conditionalFormatting sqref="H13 H15:H20">
    <cfRule type="expression" dxfId="491" priority="69">
      <formula>ABS(H$16-H$19)&gt;=1000</formula>
    </cfRule>
  </conditionalFormatting>
  <conditionalFormatting sqref="I13:I20">
    <cfRule type="expression" dxfId="490" priority="68">
      <formula>ABS(I$16-I$19)&gt;=1000</formula>
    </cfRule>
  </conditionalFormatting>
  <conditionalFormatting sqref="J13:J20">
    <cfRule type="expression" dxfId="489" priority="67">
      <formula>ABS(J$16-J$19)&gt;=1000</formula>
    </cfRule>
  </conditionalFormatting>
  <conditionalFormatting sqref="L13:L20">
    <cfRule type="expression" dxfId="488" priority="66">
      <formula>ABS(L$16-L$19)&gt;=1000</formula>
    </cfRule>
  </conditionalFormatting>
  <conditionalFormatting sqref="M13 M15 M17:M18 M20">
    <cfRule type="expression" dxfId="487" priority="65">
      <formula>ABS(M$16-M$19)&gt;=1000</formula>
    </cfRule>
  </conditionalFormatting>
  <conditionalFormatting sqref="N13:N20">
    <cfRule type="expression" dxfId="486" priority="64">
      <formula>ABS(N$16-N$19)&gt;=1000</formula>
    </cfRule>
  </conditionalFormatting>
  <conditionalFormatting sqref="O13:O20">
    <cfRule type="expression" dxfId="485" priority="63">
      <formula>ABS(O$16-O$19)&gt;=1000</formula>
    </cfRule>
  </conditionalFormatting>
  <conditionalFormatting sqref="P13:P20">
    <cfRule type="expression" dxfId="484" priority="62">
      <formula>ABS(P$16-P$19)&gt;=1000</formula>
    </cfRule>
  </conditionalFormatting>
  <conditionalFormatting sqref="Q13 Q15:Q20">
    <cfRule type="expression" dxfId="483" priority="61">
      <formula>ABS(Q$16-Q$19)&gt;=1000</formula>
    </cfRule>
  </conditionalFormatting>
  <conditionalFormatting sqref="R13:R20">
    <cfRule type="expression" dxfId="482" priority="60">
      <formula>ABS(R$16-R$19)&gt;=1000</formula>
    </cfRule>
  </conditionalFormatting>
  <conditionalFormatting sqref="S13:S20">
    <cfRule type="expression" dxfId="481" priority="59">
      <formula>ABS(S$16-S$19)&gt;=1000</formula>
    </cfRule>
  </conditionalFormatting>
  <conditionalFormatting sqref="T13:T15 T17:T20">
    <cfRule type="expression" dxfId="480" priority="58">
      <formula>ABS(T$16-T$19)&gt;=1000</formula>
    </cfRule>
  </conditionalFormatting>
  <conditionalFormatting sqref="U13:U20">
    <cfRule type="expression" dxfId="479" priority="57">
      <formula>ABS(U$16-U$19)&gt;=1000</formula>
    </cfRule>
  </conditionalFormatting>
  <conditionalFormatting sqref="V13:V20">
    <cfRule type="expression" dxfId="478" priority="56">
      <formula>ABS(V$16-V$19)&gt;=1000</formula>
    </cfRule>
  </conditionalFormatting>
  <conditionalFormatting sqref="W13 W20 W15:W18">
    <cfRule type="expression" dxfId="477" priority="55">
      <formula>ABS(W$16-W$19)&gt;=1000</formula>
    </cfRule>
  </conditionalFormatting>
  <conditionalFormatting sqref="X13 X15:X20 Y19">
    <cfRule type="expression" dxfId="476" priority="54">
      <formula>ABS(X$16-X$19)&gt;=1000</formula>
    </cfRule>
  </conditionalFormatting>
  <conditionalFormatting sqref="Y13 Y15:Y18 Y20">
    <cfRule type="expression" dxfId="475" priority="53">
      <formula>ABS(Y$16-Y$19)&gt;=1000</formula>
    </cfRule>
  </conditionalFormatting>
  <conditionalFormatting sqref="Z13:Z20">
    <cfRule type="expression" dxfId="474" priority="52">
      <formula>ABS(Z$16-Z$19)&gt;=1000</formula>
    </cfRule>
  </conditionalFormatting>
  <conditionalFormatting sqref="AA13:AA20">
    <cfRule type="expression" dxfId="473" priority="51">
      <formula>ABS(AA$16-AA$19)&gt;=1000</formula>
    </cfRule>
  </conditionalFormatting>
  <conditionalFormatting sqref="AB13 AB15:AB20">
    <cfRule type="expression" dxfId="472" priority="50">
      <formula>ABS(AB$16-AB$19)&gt;=1000</formula>
    </cfRule>
  </conditionalFormatting>
  <conditionalFormatting sqref="AC13 AC15:AC20">
    <cfRule type="expression" dxfId="471" priority="49">
      <formula>ABS(AC$16-AC$19)&gt;=1000</formula>
    </cfRule>
  </conditionalFormatting>
  <conditionalFormatting sqref="AD13:AD20">
    <cfRule type="expression" dxfId="470" priority="48">
      <formula>ABS(AD$16-AD$19)&gt;=1000</formula>
    </cfRule>
  </conditionalFormatting>
  <conditionalFormatting sqref="AE13:AE20">
    <cfRule type="expression" dxfId="469" priority="47">
      <formula>ABS(AE$16-AE$19)&gt;=1000</formula>
    </cfRule>
  </conditionalFormatting>
  <conditionalFormatting sqref="D22:D29">
    <cfRule type="expression" dxfId="468" priority="46">
      <formula>ABS(D$25-D$28)&gt;=1000</formula>
    </cfRule>
  </conditionalFormatting>
  <conditionalFormatting sqref="E22:E29">
    <cfRule type="expression" dxfId="467" priority="45">
      <formula>ABS(E$25-E$28)&gt;=1000</formula>
    </cfRule>
  </conditionalFormatting>
  <conditionalFormatting sqref="F22:F29">
    <cfRule type="expression" dxfId="466" priority="44">
      <formula>ABS(F$25-F$28)&gt;=1000</formula>
    </cfRule>
  </conditionalFormatting>
  <conditionalFormatting sqref="G22:G29">
    <cfRule type="expression" dxfId="465" priority="43">
      <formula>ABS(G$25-G$28)&gt;=1000</formula>
    </cfRule>
  </conditionalFormatting>
  <conditionalFormatting sqref="H22:H29">
    <cfRule type="expression" dxfId="464" priority="42">
      <formula>ABS(H$25-H$28)&gt;=1000</formula>
    </cfRule>
  </conditionalFormatting>
  <conditionalFormatting sqref="I22 I24:I29">
    <cfRule type="expression" dxfId="463" priority="41">
      <formula>ABS(I$25-I$28)&gt;=1000</formula>
    </cfRule>
  </conditionalFormatting>
  <conditionalFormatting sqref="J22:J29 K22">
    <cfRule type="expression" dxfId="462" priority="40">
      <formula>ABS(J$25-J$28)&gt;=1000</formula>
    </cfRule>
  </conditionalFormatting>
  <conditionalFormatting sqref="K23:K29 L25 L28">
    <cfRule type="expression" dxfId="461" priority="39">
      <formula>ABS(K$25-K$28)&gt;=1000</formula>
    </cfRule>
  </conditionalFormatting>
  <conditionalFormatting sqref="L22 L26:L27 L29 L24">
    <cfRule type="expression" dxfId="460" priority="38">
      <formula>ABS(L$25-L$28)&gt;=1000</formula>
    </cfRule>
  </conditionalFormatting>
  <conditionalFormatting sqref="M22:M29">
    <cfRule type="expression" dxfId="459" priority="37">
      <formula>ABS(M$25-M$28)&gt;=1000</formula>
    </cfRule>
  </conditionalFormatting>
  <conditionalFormatting sqref="N22:N29">
    <cfRule type="expression" dxfId="458" priority="36">
      <formula>ABS(N$25-N$28)&gt;=1000</formula>
    </cfRule>
  </conditionalFormatting>
  <conditionalFormatting sqref="O22:O29">
    <cfRule type="expression" dxfId="457" priority="35">
      <formula>ABS(O$25-O$28)&gt;=1000</formula>
    </cfRule>
  </conditionalFormatting>
  <conditionalFormatting sqref="P22:P29">
    <cfRule type="expression" dxfId="456" priority="34">
      <formula>ABS(P$25-P$28)&gt;=1000</formula>
    </cfRule>
  </conditionalFormatting>
  <conditionalFormatting sqref="Q22:Q29">
    <cfRule type="expression" dxfId="455" priority="33">
      <formula>ABS(Q$25-Q$28)&gt;=1000</formula>
    </cfRule>
  </conditionalFormatting>
  <conditionalFormatting sqref="R22:R29">
    <cfRule type="expression" dxfId="454" priority="32">
      <formula>ABS(R$25-R$28)&gt;=1000</formula>
    </cfRule>
  </conditionalFormatting>
  <conditionalFormatting sqref="S22:S29">
    <cfRule type="expression" dxfId="453" priority="31">
      <formula>ABS(S$25-S$28)&gt;=1000</formula>
    </cfRule>
  </conditionalFormatting>
  <conditionalFormatting sqref="T22:T29">
    <cfRule type="expression" dxfId="452" priority="30">
      <formula>ABS(T$25-T$28)&gt;=1000</formula>
    </cfRule>
  </conditionalFormatting>
  <conditionalFormatting sqref="U22:U29">
    <cfRule type="expression" dxfId="451" priority="29">
      <formula>ABS(U$25-U$28)&gt;=1000</formula>
    </cfRule>
  </conditionalFormatting>
  <conditionalFormatting sqref="V22:V29">
    <cfRule type="expression" dxfId="450" priority="28">
      <formula>ABS(V$25-V$28)&gt;=1000</formula>
    </cfRule>
  </conditionalFormatting>
  <conditionalFormatting sqref="W22:W29">
    <cfRule type="expression" dxfId="449" priority="27">
      <formula>ABS(W$25-W$28)&gt;=1000</formula>
    </cfRule>
  </conditionalFormatting>
  <conditionalFormatting sqref="X22:X29">
    <cfRule type="expression" dxfId="448" priority="26">
      <formula>ABS(X$25-X$28)&gt;=1000</formula>
    </cfRule>
  </conditionalFormatting>
  <conditionalFormatting sqref="Y22:Y29">
    <cfRule type="expression" dxfId="447" priority="25">
      <formula>ABS(Y$25-Y$28)&gt;=1000</formula>
    </cfRule>
  </conditionalFormatting>
  <conditionalFormatting sqref="I23">
    <cfRule type="expression" dxfId="446" priority="24">
      <formula>ABS(I$25-I$28)&gt;=1000</formula>
    </cfRule>
  </conditionalFormatting>
  <conditionalFormatting sqref="Q14">
    <cfRule type="expression" dxfId="445" priority="23">
      <formula>ABS(Q$16-Q$19)&gt;=1000</formula>
    </cfRule>
  </conditionalFormatting>
  <conditionalFormatting sqref="W14">
    <cfRule type="expression" dxfId="444" priority="22">
      <formula>ABS(W$16-W$19)&gt;=1000</formula>
    </cfRule>
  </conditionalFormatting>
  <conditionalFormatting sqref="X14">
    <cfRule type="expression" dxfId="443" priority="21">
      <formula>ABS(X$16-X$19)&gt;=1000</formula>
    </cfRule>
  </conditionalFormatting>
  <conditionalFormatting sqref="T10:Y10">
    <cfRule type="expression" dxfId="442" priority="20">
      <formula>ABS(T$7-T$10)&gt;=1000</formula>
    </cfRule>
  </conditionalFormatting>
  <conditionalFormatting sqref="W19">
    <cfRule type="expression" dxfId="441" priority="19">
      <formula>ABS(W$16-W$19)&gt;=1000</formula>
    </cfRule>
  </conditionalFormatting>
  <conditionalFormatting sqref="AC5">
    <cfRule type="expression" dxfId="440" priority="18">
      <formula>ABS(AC$7-AC$10)&gt;=1000</formula>
    </cfRule>
  </conditionalFormatting>
  <conditionalFormatting sqref="M14">
    <cfRule type="expression" dxfId="439" priority="17">
      <formula>ABS(M$16-M$19)&gt;=1000</formula>
    </cfRule>
  </conditionalFormatting>
  <conditionalFormatting sqref="M16">
    <cfRule type="expression" dxfId="438" priority="16">
      <formula>ABS(M$16-M$19)&gt;=1000</formula>
    </cfRule>
  </conditionalFormatting>
  <conditionalFormatting sqref="M19">
    <cfRule type="expression" dxfId="437" priority="15">
      <formula>ABS(M$16-M$19)&gt;=1000</formula>
    </cfRule>
  </conditionalFormatting>
  <conditionalFormatting sqref="K13:K20">
    <cfRule type="expression" dxfId="436" priority="14">
      <formula>ABS(K$16-K$19)&gt;=1000</formula>
    </cfRule>
  </conditionalFormatting>
  <conditionalFormatting sqref="E5">
    <cfRule type="expression" dxfId="435" priority="13">
      <formula>ABS(E$7-E$10)&gt;=1000</formula>
    </cfRule>
  </conditionalFormatting>
  <conditionalFormatting sqref="AB14:AC14">
    <cfRule type="expression" dxfId="434" priority="12">
      <formula>ABS(AB$16-AB$19)&gt;=1000</formula>
    </cfRule>
  </conditionalFormatting>
  <conditionalFormatting sqref="M5">
    <cfRule type="expression" dxfId="433" priority="11">
      <formula>ABS(M$7-M$10)&gt;=1000</formula>
    </cfRule>
  </conditionalFormatting>
  <conditionalFormatting sqref="N5">
    <cfRule type="expression" dxfId="432" priority="10">
      <formula>ABS(N$7-N$10)&gt;=1000</formula>
    </cfRule>
  </conditionalFormatting>
  <conditionalFormatting sqref="O5">
    <cfRule type="expression" dxfId="431" priority="9">
      <formula>ABS(O$7-O$10)&gt;=1000</formula>
    </cfRule>
  </conditionalFormatting>
  <conditionalFormatting sqref="P5">
    <cfRule type="expression" dxfId="430" priority="8">
      <formula>ABS(P$7-P$10)&gt;=1000</formula>
    </cfRule>
  </conditionalFormatting>
  <conditionalFormatting sqref="L23">
    <cfRule type="expression" dxfId="429" priority="7">
      <formula>ABS(L$25-L$28)&gt;=1000</formula>
    </cfRule>
  </conditionalFormatting>
  <conditionalFormatting sqref="Y14">
    <cfRule type="expression" dxfId="428" priority="6">
      <formula>ABS(Y$16-Y$19)&gt;=1000</formula>
    </cfRule>
  </conditionalFormatting>
  <conditionalFormatting sqref="F14">
    <cfRule type="expression" dxfId="427" priority="5">
      <formula>ABS(F$16-F$19)&gt;=1000</formula>
    </cfRule>
  </conditionalFormatting>
  <conditionalFormatting sqref="H14">
    <cfRule type="expression" dxfId="426" priority="4">
      <formula>ABS(H$16-H$19)&gt;=1000</formula>
    </cfRule>
  </conditionalFormatting>
  <conditionalFormatting sqref="AD5">
    <cfRule type="expression" dxfId="425" priority="3">
      <formula>ABS(AD$7-AD$10)&gt;=1000</formula>
    </cfRule>
  </conditionalFormatting>
  <conditionalFormatting sqref="AE5">
    <cfRule type="expression" dxfId="424" priority="2">
      <formula>ABS(AE$7-AE$10)&gt;=1000</formula>
    </cfRule>
  </conditionalFormatting>
  <conditionalFormatting sqref="T16">
    <cfRule type="expression" dxfId="423" priority="1">
      <formula>ABS(T$16-T$19)&gt;=1000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88705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918">
    <pageSetUpPr fitToPage="1"/>
  </sheetPr>
  <dimension ref="A1:CU223"/>
  <sheetViews>
    <sheetView view="pageBreakPreview" zoomScale="70" zoomScaleNormal="100" zoomScaleSheetLayoutView="70" workbookViewId="0">
      <selection activeCell="AF28" sqref="AF28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185" t="s" ph="1">
        <v>161</v>
      </c>
      <c r="C1" s="185" ph="1"/>
      <c r="D1" s="185" ph="1"/>
      <c r="E1" s="185" ph="1"/>
      <c r="F1" s="185" ph="1"/>
      <c r="G1" s="185" ph="1"/>
      <c r="H1" s="185" ph="1"/>
      <c r="I1" s="185" ph="1"/>
      <c r="J1" s="185" ph="1"/>
      <c r="K1" s="185" ph="1"/>
      <c r="L1" s="185" ph="1"/>
      <c r="M1" s="185" ph="1"/>
      <c r="N1" s="185" ph="1"/>
      <c r="O1" s="185" ph="1"/>
      <c r="P1" s="185" ph="1"/>
      <c r="Q1" s="185" ph="1"/>
      <c r="R1" s="185" ph="1"/>
      <c r="S1" s="185" ph="1"/>
      <c r="T1" s="185" ph="1"/>
      <c r="U1" s="185" ph="1"/>
      <c r="V1" s="185" ph="1"/>
      <c r="W1" s="185" ph="1"/>
      <c r="X1" s="185" ph="1"/>
      <c r="Y1" s="185" ph="1"/>
      <c r="Z1" s="185" ph="1"/>
      <c r="AA1" s="185" ph="1"/>
      <c r="AB1" s="185" ph="1"/>
      <c r="AC1" s="185" ph="1"/>
      <c r="AD1" s="185" ph="1"/>
      <c r="AE1" s="185" ph="1"/>
    </row>
    <row r="2" spans="1:99" s="66" customFormat="1" ht="24" customHeight="1" ph="1">
      <c r="B2" s="186" t="s" ph="1">
        <v>82</v>
      </c>
      <c r="C2" s="186" ph="1"/>
      <c r="D2" s="186" ph="1"/>
      <c r="E2" s="186" ph="1"/>
      <c r="F2" s="186" ph="1"/>
      <c r="G2" s="186" ph="1"/>
      <c r="H2" s="186" ph="1"/>
      <c r="I2" s="186" ph="1"/>
      <c r="J2" s="186" ph="1"/>
      <c r="K2" s="186" ph="1"/>
      <c r="L2" s="186" ph="1"/>
      <c r="M2" s="186" ph="1"/>
      <c r="N2" s="186" ph="1"/>
      <c r="O2" s="186" ph="1"/>
      <c r="P2" s="186" ph="1"/>
      <c r="Q2" s="186" ph="1"/>
      <c r="R2" s="186" ph="1"/>
      <c r="S2" s="186" ph="1"/>
      <c r="T2" s="186" ph="1"/>
      <c r="U2" s="186" ph="1"/>
      <c r="V2" s="186" ph="1"/>
      <c r="W2" s="186" ph="1"/>
      <c r="X2" s="186" ph="1"/>
      <c r="Y2" s="186" ph="1"/>
      <c r="Z2" s="186" ph="1"/>
      <c r="AA2" s="186" ph="1"/>
      <c r="AB2" s="186" ph="1"/>
      <c r="AC2" s="186" ph="1"/>
      <c r="AD2" s="186" ph="1"/>
      <c r="AE2" s="186" ph="1"/>
    </row>
    <row r="3" spans="1:99" ht="21" customHeight="1" ph="1">
      <c r="B3" s="187" ph="1">
        <v>46199</v>
      </c>
      <c r="C3" s="187"/>
      <c r="D3" s="187"/>
      <c r="E3" s="187"/>
      <c r="F3" s="187"/>
      <c r="G3" s="187"/>
      <c r="H3" s="187"/>
      <c r="I3" s="187"/>
      <c r="J3" s="187"/>
      <c r="K3" s="187"/>
      <c r="L3" s="187"/>
      <c r="M3" s="187"/>
      <c r="N3" s="187"/>
      <c r="O3" s="187"/>
      <c r="P3" s="187"/>
      <c r="Q3" s="187"/>
      <c r="R3" s="187"/>
      <c r="S3" s="187"/>
      <c r="T3" s="187"/>
      <c r="U3" s="187"/>
      <c r="V3" s="187"/>
      <c r="W3" s="187"/>
      <c r="X3" s="187"/>
      <c r="Y3" s="187"/>
      <c r="Z3" s="187"/>
      <c r="AA3" s="187"/>
      <c r="AB3" s="187"/>
      <c r="AC3" s="187"/>
      <c r="AD3" s="187"/>
      <c r="AE3" s="187"/>
    </row>
    <row r="4" spans="1:99" s="69" customFormat="1" ph="1">
      <c r="A4" s="65" ph="1"/>
      <c r="B4" s="188" t="s" ph="1">
        <v>37</v>
      </c>
      <c r="C4" s="67" t="s" ph="1">
        <v>176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110</v>
      </c>
      <c r="J4" s="68" t="s" ph="1">
        <v>48</v>
      </c>
      <c r="K4" s="68" t="s" ph="1">
        <v>111</v>
      </c>
      <c r="L4" s="68" t="s" ph="1">
        <v>112</v>
      </c>
      <c r="M4" s="68" t="s" ph="1">
        <v>49</v>
      </c>
      <c r="N4" s="68" t="s" ph="1">
        <v>50</v>
      </c>
      <c r="O4" s="68" t="s" ph="1">
        <v>113</v>
      </c>
      <c r="P4" s="68" t="s" ph="1">
        <v>114</v>
      </c>
      <c r="Q4" s="68" t="s" ph="1">
        <v>115</v>
      </c>
      <c r="R4" s="68" t="s" ph="1">
        <v>116</v>
      </c>
      <c r="S4" s="68" t="s" ph="1">
        <v>117</v>
      </c>
      <c r="T4" s="68" t="s" ph="1">
        <v>118</v>
      </c>
      <c r="U4" s="68" t="s" ph="1">
        <v>119</v>
      </c>
      <c r="V4" s="68" t="s" ph="1">
        <v>120</v>
      </c>
      <c r="W4" s="68" t="s" ph="1">
        <v>121</v>
      </c>
      <c r="X4" s="68" t="s" ph="1">
        <v>122</v>
      </c>
      <c r="Y4" s="68" t="s" ph="1">
        <v>123</v>
      </c>
      <c r="Z4" s="68" t="s" ph="1">
        <v>51</v>
      </c>
      <c r="AA4" s="68" t="s" ph="1">
        <v>124</v>
      </c>
      <c r="AB4" s="68" t="s" ph="1">
        <v>125</v>
      </c>
      <c r="AC4" s="68" t="s" ph="1">
        <v>126</v>
      </c>
      <c r="AD4" s="68" t="s" ph="1">
        <v>40</v>
      </c>
      <c r="AE4" s="68" t="s" ph="1">
        <v>127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188" ph="1"/>
      <c r="C5" s="67" t="s" ph="1">
        <v>36</v>
      </c>
      <c r="D5" s="70" t="s" ph="1">
        <v>160</v>
      </c>
      <c r="E5" s="142" t="s" ph="1">
        <v>7</v>
      </c>
      <c r="F5" s="142" t="s" ph="1">
        <v>1</v>
      </c>
      <c r="G5" s="142" t="s" ph="1">
        <v>7</v>
      </c>
      <c r="H5" s="142" t="s" ph="1">
        <v>7</v>
      </c>
      <c r="I5" s="141" t="s" ph="1">
        <v>608</v>
      </c>
      <c r="J5" s="141" t="s" ph="1">
        <v>609</v>
      </c>
      <c r="K5" s="141" t="s" ph="1">
        <v>611</v>
      </c>
      <c r="L5" s="141" t="s" ph="1">
        <v>613</v>
      </c>
      <c r="M5" s="141" t="s" ph="1">
        <v>608</v>
      </c>
      <c r="N5" s="70" t="s" ph="1">
        <v>609</v>
      </c>
      <c r="O5" s="70" t="s" ph="1">
        <v>611</v>
      </c>
      <c r="P5" s="70" t="s" ph="1">
        <v>613</v>
      </c>
      <c r="Q5" s="70" t="s" ph="1">
        <v>607</v>
      </c>
      <c r="R5" s="70" t="s" ph="1">
        <v>607</v>
      </c>
      <c r="S5" s="70" t="s" ph="1">
        <v>607</v>
      </c>
      <c r="T5" s="70" t="s" ph="1">
        <v>607</v>
      </c>
      <c r="U5" s="70" t="s" ph="1">
        <v>607</v>
      </c>
      <c r="V5" s="70" t="s" ph="1">
        <v>607</v>
      </c>
      <c r="W5" s="70" t="s" ph="1">
        <v>607</v>
      </c>
      <c r="X5" s="70" t="s" ph="1">
        <v>607</v>
      </c>
      <c r="Y5" s="70" t="s" ph="1">
        <v>607</v>
      </c>
      <c r="Z5" s="70" t="s" ph="1">
        <v>614</v>
      </c>
      <c r="AA5" s="70" t="s" ph="1">
        <v>54</v>
      </c>
      <c r="AB5" s="70" t="s" ph="1">
        <v>54</v>
      </c>
      <c r="AC5" s="70" t="s" ph="1">
        <v>615</v>
      </c>
      <c r="AD5" s="71" t="s">
        <v>72</v>
      </c>
      <c r="AE5" s="71" t="s">
        <v>635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184" ph="1">
        <v>0.33333333333333331</v>
      </c>
      <c r="C6" s="159" t="s" ph="1">
        <v>177</v>
      </c>
      <c r="D6" s="71">
        <v>333</v>
      </c>
      <c r="E6" s="71">
        <v>7545</v>
      </c>
      <c r="F6" s="71">
        <v>5842</v>
      </c>
      <c r="G6" s="71">
        <v>1434</v>
      </c>
      <c r="H6" s="71">
        <v>4396</v>
      </c>
      <c r="I6" s="71">
        <v>38.630000000000003</v>
      </c>
      <c r="J6" s="71">
        <v>76.739999999999995</v>
      </c>
      <c r="K6" s="71">
        <v>6.66</v>
      </c>
      <c r="L6" s="71">
        <v>6.52</v>
      </c>
      <c r="M6" s="71">
        <v>5613</v>
      </c>
      <c r="N6" s="71">
        <v>6441</v>
      </c>
      <c r="O6" s="71">
        <v>221</v>
      </c>
      <c r="P6" s="71">
        <v>2392</v>
      </c>
      <c r="Q6" s="71">
        <v>2279</v>
      </c>
      <c r="R6" s="71">
        <v>5988</v>
      </c>
      <c r="S6" s="71">
        <v>5175</v>
      </c>
      <c r="T6" s="71">
        <v>6119</v>
      </c>
      <c r="U6" s="71">
        <v>5227</v>
      </c>
      <c r="V6" s="71">
        <v>2922</v>
      </c>
      <c r="W6" s="71">
        <v>0</v>
      </c>
      <c r="X6" s="71">
        <v>0</v>
      </c>
      <c r="Y6" s="71">
        <v>0</v>
      </c>
      <c r="Z6" s="71">
        <v>5216</v>
      </c>
      <c r="AA6" s="71">
        <v>0</v>
      </c>
      <c r="AB6" s="71">
        <v>2205</v>
      </c>
      <c r="AC6" s="71">
        <v>6607</v>
      </c>
      <c r="AD6" s="71">
        <v>3885</v>
      </c>
      <c r="AE6" s="71">
        <v>4774</v>
      </c>
    </row>
    <row r="7" spans="1:99" s="72" customFormat="1" ht="22.2" ph="1">
      <c r="B7" s="184" ph="1"/>
      <c r="C7" s="68" t="s" ph="1">
        <v>178</v>
      </c>
      <c r="D7" s="73" ph="1">
        <f>D6*33.183*LOOKUP(D8,密度!$A$2:$A$50,密度!$Q$2:$Q$50)</f>
        <v>10445.72833548</v>
      </c>
      <c r="E7" s="73" ph="1">
        <f>E6*51.53*LOOKUP(E8,密度!$A$2:$A$50,密度!$B$2:$B$50)</f>
        <v>303103.68546000001</v>
      </c>
      <c r="F7" s="73" ph="1">
        <f>F6*33.183*LOOKUP(F8,密度!$A$2:$A$50,密度!$C$2:$C$50)</f>
        <v>214810.82079660002</v>
      </c>
      <c r="G7" s="73" ph="1">
        <f xml:space="preserve"> (G6+2)*51.53*LOOKUP(G8,密度!$A$2:$A$50,密度!$B$2:$B$50)</f>
        <v>57495.731160000003</v>
      </c>
      <c r="H7" s="73" ph="1">
        <f>(H6)*51.53*LOOKUP(H8,密度!$A$2:$A$50,密度!$B$2:$B$50)</f>
        <v>177007.322632</v>
      </c>
      <c r="I7" s="73" ph="1">
        <f>I6*290.8*1.0267</f>
        <v>11533.5412268</v>
      </c>
      <c r="J7" s="73" ph="1">
        <f>J6*290.8*0.7892</f>
        <v>17611.7808864</v>
      </c>
      <c r="K7" s="73" ph="1">
        <f>K6*290.8*1.1126</f>
        <v>2154.8035728</v>
      </c>
      <c r="L7" s="73" ph="1">
        <f>L6*290.8*0.777</f>
        <v>1473.204432</v>
      </c>
      <c r="M7" s="73" ph="1">
        <f>M6*33.183*LOOKUP(M8,密度!$A$2:$A$50,密度!$D$2:$D$50)</f>
        <v>190875.33223919998</v>
      </c>
      <c r="N7" s="73" ph="1">
        <f>N6*33.183*LOOKUP(N8,密度!$A$2:$A$50,密度!$E$2:$E$50)</f>
        <v>166197.7722528</v>
      </c>
      <c r="O7" s="73" ph="1">
        <f>O6*20.428*LOOKUP(O8,密度!$A$2:$A$50,密度!$C$2:$C$50)</f>
        <v>4995.8430808000003</v>
      </c>
      <c r="P7" s="73" ph="1">
        <f>P6*51.53*LOOKUP(P8,密度!$A$2:$A$50,密度!$B$2:$B$50)</f>
        <v>96093.308896000002</v>
      </c>
      <c r="Q7" s="73" ph="1">
        <f>Q6*1.5*1.5*3.1416*LOOKUP(W8,密度!$A$2:$A$50,密度!$L$2:$L$50)</f>
        <v>15094.4510178</v>
      </c>
      <c r="R7" s="73" ph="1">
        <f>R6*1.5*1.5*3.1416*LOOKUP(R8,密度!$A$2:$A$50,密度!$L$2:$L$50)</f>
        <v>39363.902424</v>
      </c>
      <c r="S7" s="73" ph="1">
        <f>S6*1.5*1.5*3.1416*LOOKUP(S8,密度!$A$2:$A$50,密度!$L$2:$L$50)</f>
        <v>34275.464684999999</v>
      </c>
      <c r="T7" s="73" ph="1">
        <f>T6*1.5*1.5*3.1416*LOOKUP(T8,密度!$A$2:$A$50,密度!$L$2:$L$50)</f>
        <v>40657.597595999992</v>
      </c>
      <c r="U7" s="73" ph="1">
        <f>U6*1.5*1.5*3.1416*LOOKUP(U8,密度!$A$2:$A$50,密度!$L$2:$L$50)</f>
        <v>34509.032434800007</v>
      </c>
      <c r="V7" s="73" ph="1">
        <f>V6*1.5*1.5*3.1416*LOOKUP(V8,密度!$A$2:$A$50,密度!$L$2:$L$50)</f>
        <v>19270.601103600002</v>
      </c>
      <c r="W7" s="73" ph="1">
        <f>W6*1.5*1.5*3.1416*LOOKUP(W8,密度!$A$2:$A$50,密度!$L$2:$L$50)</f>
        <v>0</v>
      </c>
      <c r="X7" s="73" ph="1">
        <f>X6*1.5*1.5*3.1416*LOOKUP(X8,密度!$A$2:$A$50,密度!$L$2:$L$50)</f>
        <v>0</v>
      </c>
      <c r="Y7" s="73" ph="1">
        <f>Y6*1.5*1.5*3.1416*LOOKUP(Y8,密度!$A$2:$A$50,密度!$L$2:$L$50)</f>
        <v>0</v>
      </c>
      <c r="Z7" s="73" ph="1">
        <f>Z6*33.183*LOOKUP(Z8,密度!$A$2:$A$50,密度!$L$2:$L$50)</f>
        <v>162178.328736</v>
      </c>
      <c r="AA7" s="73" ph="1">
        <f>AA6*33.183*LOOKUP(AA8,密度!$A$2:$A$50,密度!$D$2:$D$50)</f>
        <v>0</v>
      </c>
      <c r="AB7" s="73" ph="1">
        <f>AB6*20.428*LOOKUP(AB8,密度!$A$2:$A$50,密度!$D$2:$D$50)</f>
        <v>46372.530330000009</v>
      </c>
      <c r="AC7" s="73" ph="1">
        <f>AC6*51.53*LOOKUP(AC8,密度!$A$2:$A$50,密度!$Q$2:$Q$50)</f>
        <v>322325.8791054</v>
      </c>
      <c r="AD7" s="73" ph="1">
        <f>AD6*20.428*LOOKUP(AD8,密度!$A$2:$A$50,密度!$V$2:$V$50)</f>
        <v>76251.759023999999</v>
      </c>
      <c r="AE7" s="73" ph="1">
        <f>AE6*20.428</f>
        <v>97523.271999999997</v>
      </c>
    </row>
    <row r="8" spans="1:99" ph="1">
      <c r="B8" s="184" ph="1"/>
      <c r="C8" s="68" t="s" ph="1">
        <v>179</v>
      </c>
      <c r="D8" s="74">
        <v>27</v>
      </c>
      <c r="E8" s="74">
        <v>25</v>
      </c>
      <c r="F8" s="74">
        <v>26</v>
      </c>
      <c r="G8" s="74">
        <v>28</v>
      </c>
      <c r="H8" s="74">
        <v>23</v>
      </c>
      <c r="I8" s="74">
        <v>25</v>
      </c>
      <c r="J8" s="74">
        <v>25</v>
      </c>
      <c r="K8" s="74">
        <v>25</v>
      </c>
      <c r="L8" s="74">
        <v>25</v>
      </c>
      <c r="M8" s="74">
        <v>27</v>
      </c>
      <c r="N8" s="74">
        <v>30</v>
      </c>
      <c r="O8" s="74">
        <v>28</v>
      </c>
      <c r="P8" s="74">
        <v>25</v>
      </c>
      <c r="Q8" s="74">
        <v>31</v>
      </c>
      <c r="R8" s="74">
        <v>32</v>
      </c>
      <c r="S8" s="74">
        <v>25</v>
      </c>
      <c r="T8" s="74">
        <v>22</v>
      </c>
      <c r="U8" s="74">
        <v>28</v>
      </c>
      <c r="V8" s="74">
        <v>29</v>
      </c>
      <c r="W8" s="74">
        <v>25</v>
      </c>
      <c r="X8" s="74">
        <v>15</v>
      </c>
      <c r="Y8" s="74">
        <v>25</v>
      </c>
      <c r="Z8" s="74">
        <v>25</v>
      </c>
      <c r="AA8" s="74">
        <v>25</v>
      </c>
      <c r="AB8" s="74">
        <v>22</v>
      </c>
      <c r="AC8" s="74">
        <v>25</v>
      </c>
      <c r="AD8" s="74">
        <v>25</v>
      </c>
      <c r="AE8" s="74">
        <v>28</v>
      </c>
    </row>
    <row r="9" spans="1:99" ht="26.4" ph="1">
      <c r="B9" s="184" ph="1">
        <v>0.66666666666666663</v>
      </c>
      <c r="C9" s="159" t="s" ph="1">
        <v>180</v>
      </c>
      <c r="D9" s="71">
        <v>332</v>
      </c>
      <c r="E9" s="71">
        <v>7542</v>
      </c>
      <c r="F9" s="71">
        <v>5842</v>
      </c>
      <c r="G9" s="71">
        <v>1150</v>
      </c>
      <c r="H9" s="71">
        <v>6950</v>
      </c>
      <c r="I9" s="71">
        <v>38.6</v>
      </c>
      <c r="J9" s="71">
        <v>76.73</v>
      </c>
      <c r="K9" s="71">
        <v>6.78</v>
      </c>
      <c r="L9" s="71">
        <v>37.15</v>
      </c>
      <c r="M9" s="71">
        <v>5612</v>
      </c>
      <c r="N9" s="71">
        <v>6439</v>
      </c>
      <c r="O9" s="71">
        <v>221</v>
      </c>
      <c r="P9" s="71">
        <v>2599</v>
      </c>
      <c r="Q9" s="71">
        <v>597</v>
      </c>
      <c r="R9" s="71">
        <v>5986</v>
      </c>
      <c r="S9" s="71">
        <v>5174</v>
      </c>
      <c r="T9" s="71">
        <v>6118</v>
      </c>
      <c r="U9" s="71">
        <v>7098</v>
      </c>
      <c r="V9" s="71">
        <v>6525</v>
      </c>
      <c r="W9" s="71">
        <v>3282</v>
      </c>
      <c r="X9" s="71">
        <v>0</v>
      </c>
      <c r="Y9" s="71">
        <v>0</v>
      </c>
      <c r="Z9" s="71">
        <v>5610</v>
      </c>
      <c r="AA9" s="71">
        <v>0</v>
      </c>
      <c r="AB9" s="71">
        <v>2204</v>
      </c>
      <c r="AC9" s="71">
        <v>6600</v>
      </c>
      <c r="AD9" s="71">
        <v>3884</v>
      </c>
      <c r="AE9" s="71">
        <v>4779</v>
      </c>
    </row>
    <row r="10" spans="1:99" s="72" customFormat="1" ht="22.2" ph="1">
      <c r="B10" s="184" ph="1"/>
      <c r="C10" s="159" t="s" ph="1">
        <v>178</v>
      </c>
      <c r="D10" s="73" ph="1">
        <f>D9*33.183*LOOKUP(D11,密度!$A$2:$A$50,密度!$Q$2:$Q$50)</f>
        <v>10399.04649108</v>
      </c>
      <c r="E10" s="73" ph="1">
        <f>E9*51.53*LOOKUP(E11,密度!$A$2:$A$50,密度!$B$2:$B$50)</f>
        <v>301972.70501999999</v>
      </c>
      <c r="F10" s="73" ph="1">
        <f>F9*33.183*LOOKUP(F11,密度!$A$2:$A$50,密度!$C$2:$C$50)</f>
        <v>214675.1222364</v>
      </c>
      <c r="G10" s="73" ph="1">
        <f xml:space="preserve"> (G9+2)*51.53*LOOKUP(G11,密度!$A$2:$A$50,密度!$B$2:$B$50)</f>
        <v>46077.219072</v>
      </c>
      <c r="H10" s="73" ph="1">
        <f>(H9)*51.53*LOOKUP(H11,密度!$A$2:$A$50,密度!$B$2:$B$50)</f>
        <v>279200.87659999996</v>
      </c>
      <c r="I10" s="73" ph="1">
        <f>I9*290.8*1.0267</f>
        <v>11524.584296000001</v>
      </c>
      <c r="J10" s="73" ph="1">
        <f>J9*290.8*0.7892</f>
        <v>17609.485892800003</v>
      </c>
      <c r="K10" s="73" ph="1">
        <f>K9*290.8*1.1126</f>
        <v>2193.6288624000003</v>
      </c>
      <c r="L10" s="73" ph="1">
        <f>L9*290.8*0.777</f>
        <v>8394.1019400000005</v>
      </c>
      <c r="M10" s="73" ph="1">
        <f>M9*33.183*LOOKUP(M11,密度!$A$2:$A$50,密度!$D$2:$D$50)</f>
        <v>190152.30121559996</v>
      </c>
      <c r="N10" s="73" ph="1">
        <f>N9*33.183*LOOKUP(N11,密度!$A$2:$A$50,密度!$E$2:$E$50)</f>
        <v>166146.16605119998</v>
      </c>
      <c r="O10" s="73" ph="1">
        <f>O9*20.428*LOOKUP(O11,密度!$A$2:$A$50,密度!$C$2:$C$50)</f>
        <v>4984.5566108000003</v>
      </c>
      <c r="P10" s="73" ph="1">
        <f>P9*51.53*LOOKUP(P11,密度!$A$2:$A$50,密度!$B$2:$B$50)</f>
        <v>104060.86719</v>
      </c>
      <c r="Q10" s="73" ph="1">
        <f>Q9*1.5*1.5*3.1416*LOOKUP(W11,密度!$A$2:$A$50,密度!$L$2:$L$50)</f>
        <v>3954.0970854000002</v>
      </c>
      <c r="R10" s="73" ph="1">
        <f>R9*1.5*1.5*3.1416*LOOKUP(R11,密度!$A$2:$A$50,密度!$L$2:$L$50)</f>
        <v>39223.816909200003</v>
      </c>
      <c r="S10" s="73" ph="1">
        <f>S9*1.5*1.5*3.1416*LOOKUP(S11,密度!$A$2:$A$50,密度!$L$2:$L$50)</f>
        <v>34268.841406799998</v>
      </c>
      <c r="T10" s="73" ph="1">
        <f>T9*1.5*1.5*3.1416*LOOKUP(T11,密度!$A$2:$A$50,密度!$L$2:$L$50)</f>
        <v>40607.707417199992</v>
      </c>
      <c r="U10" s="73" ph="1">
        <f>U9*1.5*1.5*3.1416*LOOKUP(U11,密度!$A$2:$A$50,密度!$L$2:$L$50)</f>
        <v>46961.855740800005</v>
      </c>
      <c r="V10" s="73" ph="1">
        <f>V9*1.5*1.5*3.1416*LOOKUP(V11,密度!$A$2:$A$50,密度!$L$2:$L$50)</f>
        <v>43078.522409999998</v>
      </c>
      <c r="W10" s="73" ph="1">
        <f>W9*1.5*1.5*3.1416*LOOKUP(W11,密度!$A$2:$A$50,密度!$L$2:$L$50)</f>
        <v>21737.599052400001</v>
      </c>
      <c r="X10" s="73" ph="1">
        <f>X9*1.5*1.5*3.1416*LOOKUP(X11,密度!$A$2:$A$50,密度!$L$2:$L$50)</f>
        <v>0</v>
      </c>
      <c r="Y10" s="73" ph="1">
        <f>Y9*1.5*1.5*3.1416*LOOKUP(Y11,密度!$A$2:$A$50,密度!$L$2:$L$50)</f>
        <v>0</v>
      </c>
      <c r="Z10" s="73" ph="1">
        <f>Z9*33.183*LOOKUP(Z11,密度!$A$2:$A$50,密度!$L$2:$L$50)</f>
        <v>174056.44905000002</v>
      </c>
      <c r="AA10" s="73" ph="1">
        <f>AA9*33.183*LOOKUP(AA11,密度!$A$2:$A$50,密度!$D$2:$D$50)</f>
        <v>0</v>
      </c>
      <c r="AB10" s="73" ph="1">
        <f>AB9*20.428*LOOKUP(AB11,密度!$A$2:$A$50,密度!$D$2:$D$50)</f>
        <v>46351.499704000009</v>
      </c>
      <c r="AC10" s="73" ph="1">
        <f>AC9*51.53*LOOKUP(AC11,密度!$A$2:$A$50,密度!$Q$2:$Q$50)</f>
        <v>320824.64633999998</v>
      </c>
      <c r="AD10" s="73" ph="1">
        <f>AD9*20.428*LOOKUP(AD11,密度!$A$2:$A$50,密度!$V$2:$V$50)</f>
        <v>75978.236275200004</v>
      </c>
      <c r="AE10" s="73" ph="1">
        <f>AE9*20.428</f>
        <v>97625.412000000011</v>
      </c>
    </row>
    <row r="11" spans="1:99" ph="1">
      <c r="A11" s="64" t="s" ph="1">
        <v>162</v>
      </c>
      <c r="B11" s="184" ph="1"/>
      <c r="C11" s="159" t="s" ph="1">
        <v>179</v>
      </c>
      <c r="D11" s="74">
        <v>29</v>
      </c>
      <c r="E11" s="74">
        <v>28</v>
      </c>
      <c r="F11" s="74">
        <v>27</v>
      </c>
      <c r="G11" s="74">
        <v>29</v>
      </c>
      <c r="H11" s="74">
        <v>25</v>
      </c>
      <c r="I11" s="74">
        <v>25</v>
      </c>
      <c r="J11" s="74">
        <v>25</v>
      </c>
      <c r="K11" s="74">
        <v>25</v>
      </c>
      <c r="L11" s="74">
        <v>25</v>
      </c>
      <c r="M11" s="74">
        <v>31</v>
      </c>
      <c r="N11" s="74">
        <v>30</v>
      </c>
      <c r="O11" s="74">
        <v>31</v>
      </c>
      <c r="P11" s="74">
        <v>28</v>
      </c>
      <c r="Q11" s="74">
        <v>32</v>
      </c>
      <c r="R11" s="74">
        <v>35</v>
      </c>
      <c r="S11" s="74">
        <v>25</v>
      </c>
      <c r="T11" s="74">
        <v>23</v>
      </c>
      <c r="U11" s="74">
        <v>26</v>
      </c>
      <c r="V11" s="74">
        <v>28</v>
      </c>
      <c r="W11" s="74">
        <v>25</v>
      </c>
      <c r="X11" s="74">
        <v>20</v>
      </c>
      <c r="Y11" s="74">
        <v>30</v>
      </c>
      <c r="Z11" s="74">
        <v>27</v>
      </c>
      <c r="AA11" s="74">
        <v>30</v>
      </c>
      <c r="AB11" s="74">
        <v>22</v>
      </c>
      <c r="AC11" s="74">
        <v>30</v>
      </c>
      <c r="AD11" s="74">
        <v>28</v>
      </c>
      <c r="AE11" s="74">
        <v>31</v>
      </c>
    </row>
    <row r="12" spans="1:99" ht="9.9" customHeight="1" ph="1"/>
    <row r="13" spans="1:99" s="72" customFormat="1" ht="29.25" customHeight="1" ph="1">
      <c r="B13" s="192" t="s" ph="1">
        <v>37</v>
      </c>
      <c r="C13" s="159" t="s" ph="1">
        <v>176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128</v>
      </c>
      <c r="I13" s="76" t="s" ph="1">
        <v>59</v>
      </c>
      <c r="J13" s="76" t="s" ph="1">
        <v>129</v>
      </c>
      <c r="K13" s="76" t="s" ph="1">
        <v>55</v>
      </c>
      <c r="L13" s="76" t="s" ph="1">
        <v>60</v>
      </c>
      <c r="M13" s="76" t="s" ph="1">
        <v>61</v>
      </c>
      <c r="N13" s="76" t="s" ph="1">
        <v>130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131</v>
      </c>
      <c r="W13" s="76" t="s" ph="1">
        <v>132</v>
      </c>
      <c r="X13" s="76" t="s" ph="1">
        <v>133</v>
      </c>
      <c r="Y13" s="105" t="s" ph="1">
        <v>68</v>
      </c>
      <c r="Z13" s="76" t="s" ph="1">
        <v>74</v>
      </c>
      <c r="AA13" s="76" t="s" ph="1">
        <v>134</v>
      </c>
      <c r="AB13" s="76" t="s" ph="1">
        <v>135</v>
      </c>
      <c r="AC13" s="76" t="s" ph="1">
        <v>136</v>
      </c>
      <c r="AD13" s="76" t="s" ph="1">
        <v>137</v>
      </c>
      <c r="AE13" s="76" t="s" ph="1">
        <v>138</v>
      </c>
      <c r="AG13" s="72" t="s" ph="1">
        <v>325</v>
      </c>
      <c r="AH13" s="72" t="s" ph="1">
        <v>188</v>
      </c>
      <c r="AI13" s="72" t="s" ph="1">
        <v>189</v>
      </c>
      <c r="AJ13" s="72" t="s" ph="1">
        <v>190</v>
      </c>
      <c r="AK13" s="72" t="s" ph="1">
        <v>191</v>
      </c>
      <c r="AL13" s="72" t="s" ph="1">
        <v>192</v>
      </c>
      <c r="AM13" s="72" t="s" ph="1">
        <v>193</v>
      </c>
      <c r="AN13" s="72" t="s" ph="1">
        <v>194</v>
      </c>
      <c r="AO13" s="72" t="s" ph="1">
        <v>195</v>
      </c>
      <c r="AP13" s="72" t="s" ph="1">
        <v>196</v>
      </c>
      <c r="AQ13" s="72" t="s" ph="1">
        <v>197</v>
      </c>
      <c r="AR13" s="72" t="s" ph="1">
        <v>198</v>
      </c>
      <c r="AS13" s="72" t="s" ph="1">
        <v>199</v>
      </c>
      <c r="AT13" s="72" t="s" ph="1">
        <v>200</v>
      </c>
      <c r="AU13" s="72" t="s" ph="1">
        <v>201</v>
      </c>
      <c r="AV13" s="72" t="s" ph="1">
        <v>202</v>
      </c>
      <c r="AW13" s="72" t="s" ph="1">
        <v>203</v>
      </c>
      <c r="AX13" s="72" t="s" ph="1">
        <v>204</v>
      </c>
      <c r="AY13" s="72" t="s" ph="1">
        <v>326</v>
      </c>
      <c r="AZ13" s="72" t="s" ph="1">
        <v>205</v>
      </c>
      <c r="BA13" s="72" t="s" ph="1">
        <v>206</v>
      </c>
      <c r="BB13" s="72" t="s" ph="1">
        <v>591</v>
      </c>
      <c r="BC13" s="72" t="s" ph="1">
        <v>207</v>
      </c>
      <c r="BD13" s="72" t="s" ph="1">
        <v>327</v>
      </c>
      <c r="BE13" s="72" t="s" ph="1">
        <v>328</v>
      </c>
      <c r="BF13" s="72" t="s" ph="1">
        <v>329</v>
      </c>
      <c r="BG13" s="72" t="s" ph="1">
        <v>330</v>
      </c>
      <c r="BH13" s="72" t="s" ph="1">
        <v>331</v>
      </c>
    </row>
    <row r="14" spans="1:99" s="72" customFormat="1" ht="24" ph="1">
      <c r="B14" s="193" ph="1"/>
      <c r="C14" s="67" t="s" ph="1">
        <v>36</v>
      </c>
      <c r="D14" s="77" t="s" ph="1">
        <v>616</v>
      </c>
      <c r="E14" s="77" t="s" ph="1">
        <v>616</v>
      </c>
      <c r="F14" s="144" t="s" ph="1">
        <v>636</v>
      </c>
      <c r="G14" s="77" t="s" ph="1">
        <v>617</v>
      </c>
      <c r="H14" s="77" t="s" ph="1">
        <v>637</v>
      </c>
      <c r="I14" s="138" t="s" ph="1">
        <v>618</v>
      </c>
      <c r="J14" s="77" t="s" ph="1">
        <v>619</v>
      </c>
      <c r="K14" s="77" t="s" ph="1">
        <v>186</v>
      </c>
      <c r="L14" s="77" t="s" ph="1">
        <v>41</v>
      </c>
      <c r="M14" s="104" t="s" ph="1">
        <v>620</v>
      </c>
      <c r="N14" s="104" t="s" ph="1">
        <v>621</v>
      </c>
      <c r="O14" s="104" t="s" ph="1">
        <v>641</v>
      </c>
      <c r="P14" s="77" t="s" ph="1">
        <v>622</v>
      </c>
      <c r="Q14" s="77" t="s" ph="1">
        <v>622</v>
      </c>
      <c r="R14" s="88" t="s" ph="1">
        <v>7</v>
      </c>
      <c r="S14" s="77" t="s" ph="1">
        <v>622</v>
      </c>
      <c r="T14" s="77" t="s" ph="1">
        <v>624</v>
      </c>
      <c r="U14" s="77" t="s" ph="1">
        <v>605</v>
      </c>
      <c r="V14" s="77" t="s" ph="1">
        <v>633</v>
      </c>
      <c r="W14" s="77" t="s" ph="1">
        <v>622</v>
      </c>
      <c r="X14" s="77" t="s" ph="1">
        <v>625</v>
      </c>
      <c r="Y14" s="143" t="s" ph="1">
        <v>0</v>
      </c>
      <c r="Z14" s="77" t="s" ph="1">
        <v>54</v>
      </c>
      <c r="AA14" s="77" t="s" ph="1">
        <v>613</v>
      </c>
      <c r="AB14" s="77" t="s" ph="1">
        <v>632</v>
      </c>
      <c r="AC14" s="77" t="s" ph="1">
        <v>632</v>
      </c>
      <c r="AD14" s="77" t="s" ph="1">
        <v>612</v>
      </c>
      <c r="AE14" s="77" t="s" ph="1">
        <v>612</v>
      </c>
      <c r="AG14" s="72" t="s" ph="1">
        <v>208</v>
      </c>
      <c r="AI14" s="72" t="s" ph="1">
        <v>209</v>
      </c>
      <c r="AJ14" s="72" t="s" ph="1">
        <v>332</v>
      </c>
      <c r="AK14" s="72" t="s" ph="1">
        <v>210</v>
      </c>
      <c r="AM14" s="72" t="s" ph="1">
        <v>212</v>
      </c>
      <c r="AN14" s="72" t="s" ph="1">
        <v>210</v>
      </c>
      <c r="AO14" s="72" t="s" ph="1">
        <v>211</v>
      </c>
      <c r="AP14" s="72" t="s" ph="1">
        <v>212</v>
      </c>
      <c r="AQ14" s="72" t="s" ph="1">
        <v>210</v>
      </c>
      <c r="AR14" s="72" t="s" ph="1">
        <v>211</v>
      </c>
      <c r="AS14" s="72" t="s" ph="1">
        <v>212</v>
      </c>
      <c r="AT14" s="72" t="s" ph="1">
        <v>210</v>
      </c>
      <c r="AU14" s="72" t="s" ph="1">
        <v>211</v>
      </c>
      <c r="AV14" s="72" t="s" ph="1">
        <v>212</v>
      </c>
      <c r="AW14" s="72" t="s" ph="1">
        <v>210</v>
      </c>
      <c r="AX14" s="72" t="s" ph="1">
        <v>211</v>
      </c>
      <c r="AY14" s="72" t="s" ph="1">
        <v>212</v>
      </c>
      <c r="AZ14" s="72" t="s" ph="1">
        <v>211</v>
      </c>
    </row>
    <row r="15" spans="1:99" ph="1">
      <c r="B15" s="194" ph="1">
        <v>0.33333333333333331</v>
      </c>
      <c r="C15" s="159" t="s" ph="1">
        <v>177</v>
      </c>
      <c r="D15" s="78">
        <v>655</v>
      </c>
      <c r="E15" s="78">
        <v>55</v>
      </c>
      <c r="F15" s="78">
        <v>1545</v>
      </c>
      <c r="G15" s="78">
        <v>3414</v>
      </c>
      <c r="H15" s="78">
        <v>2031</v>
      </c>
      <c r="I15" s="78">
        <v>5394</v>
      </c>
      <c r="J15" s="78">
        <v>169</v>
      </c>
      <c r="K15" s="78">
        <v>3361</v>
      </c>
      <c r="L15" s="78">
        <v>2578</v>
      </c>
      <c r="M15" s="78">
        <v>4296</v>
      </c>
      <c r="N15" s="78">
        <v>677</v>
      </c>
      <c r="O15" s="78">
        <v>3948</v>
      </c>
      <c r="P15" s="78">
        <v>6960</v>
      </c>
      <c r="Q15" s="78">
        <v>4300</v>
      </c>
      <c r="R15" s="78">
        <v>1950</v>
      </c>
      <c r="S15" s="78">
        <v>6988</v>
      </c>
      <c r="T15" s="78">
        <v>4976</v>
      </c>
      <c r="U15" s="78">
        <v>2675</v>
      </c>
      <c r="V15" s="78">
        <v>-817</v>
      </c>
      <c r="W15" s="71">
        <v>-778</v>
      </c>
      <c r="X15" s="78">
        <v>1288</v>
      </c>
      <c r="Y15" s="106">
        <v>-9906</v>
      </c>
      <c r="Z15" s="78">
        <v>1270</v>
      </c>
      <c r="AA15" s="78">
        <v>2548</v>
      </c>
      <c r="AB15" s="78" ph="1">
        <v>692</v>
      </c>
      <c r="AC15" s="78" ph="1">
        <v>503</v>
      </c>
      <c r="AD15" s="78">
        <v>8.3800000000000008</v>
      </c>
      <c r="AE15" s="78">
        <v>53.75</v>
      </c>
      <c r="AG15" s="64" t="s" ph="1">
        <v>214</v>
      </c>
      <c r="AH15" s="64" ph="1">
        <v>1</v>
      </c>
      <c r="AI15" s="64" t="s" ph="1">
        <v>333</v>
      </c>
      <c r="AK15" s="64" t="s" ph="1">
        <v>587</v>
      </c>
      <c r="AM15" s="64" t="s" ph="1">
        <v>335</v>
      </c>
      <c r="AZ15" s="64" t="s" ph="1">
        <v>216</v>
      </c>
      <c r="BA15" s="64" ph="1">
        <v>0</v>
      </c>
    </row>
    <row r="16" spans="1:99" s="72" customFormat="1" ht="22.2" ph="1">
      <c r="B16" s="195" ph="1"/>
      <c r="C16" s="159" t="s" ph="1">
        <v>178</v>
      </c>
      <c r="D16" s="73" ph="1">
        <f>D15*7.0686*LOOKUP(D17,密度!$A$2:$A$50,密度!$L$2:$L$50)</f>
        <v>4315.0975560000006</v>
      </c>
      <c r="E16" s="73" ph="1">
        <f>E15*7.0686*LOOKUP(E17,密度!$A$2:$A$50,密度!$L$2:$L$50)</f>
        <v>362.33643600000005</v>
      </c>
      <c r="F16" s="73" ph="1">
        <f>F15*9.0746*LOOKUP(F17,密度!$A$2:$A$50,密度!$L$2:$L$50)</f>
        <v>13094.920038</v>
      </c>
      <c r="G16" s="73" ph="1">
        <f>G15*9.0746*LOOKUP(G17,密度!$A$2:$A$50,密度!$B$2:$B$50)</f>
        <v>24124.658942279999</v>
      </c>
      <c r="H16" s="73" ph="1">
        <f>H15*9.0746*LOOKUP(H17,密度!$A$2:$A$50,密度!$L$2:$L$50)</f>
        <v>17324.681844000002</v>
      </c>
      <c r="I16" s="73" ph="1">
        <f>I15*9.0746*LOOKUP(I17,密度!$A$2:$A$50,密度!$U$2:$U$50)</f>
        <v>50025.257032800007</v>
      </c>
      <c r="J16" s="73" ph="1">
        <f>J15*9.0746*LOOKUP(J17,密度!$A$2:$A$50,密度!$L$2:$L$50)</f>
        <v>1432.3893116000002</v>
      </c>
      <c r="K16" s="73" ph="1">
        <f>K15*9.0746*LOOKUP(K17,密度!$A$2:$A$50,密度!$C$2:$C$50)</f>
        <v>33751.001881960001</v>
      </c>
      <c r="L16" s="73" ph="1">
        <f>L15*9.0746*LOOKUP(L17,密度!$A$2:$A$50,密度!$E$2:$E$50)</f>
        <v>18242.889800240002</v>
      </c>
      <c r="M16" s="73" ph="1">
        <f>M15*9.0746*LOOKUP(M17,密度!$A$2:$A$50,密度!$M$2:$M$50)</f>
        <v>33994.467955200002</v>
      </c>
      <c r="N16" s="73" ph="1">
        <f>N15*9.0746*LOOKUP(N17,密度!$A$2:$A$50,密度!$M$2:$M$50)</f>
        <v>5381.0953287800003</v>
      </c>
      <c r="O16" s="73" ph="1">
        <f>O15*9.0746*LOOKUP(O17,密度!$A$2:$A$50,密度!$G$2:$G$50)</f>
        <v>34285.980405599999</v>
      </c>
      <c r="P16" s="73" ph="1">
        <f ca="1">P15*9.0746*LOOKUP(P17,密度!$A$2:$A$51,密度!$Q$2:$Q$50)</f>
        <v>59661.458617919998</v>
      </c>
      <c r="Q16" s="73" ph="1">
        <f>Q15*9.0746*LOOKUP(Q17,密度!$A$2:$A$50,密度!$Q$2:$Q$50)</f>
        <v>36809.472397400001</v>
      </c>
      <c r="R16" s="73" ph="1">
        <f>MAX(R15*9.0746*LOOKUP(R17,密度!$A$2:$A$50,密度!$B$2:$B$50),0)</f>
        <v>13735.223814000001</v>
      </c>
      <c r="S16" s="73" ph="1">
        <f>S15*9.0746*LOOKUP(S17,密度!$A$2:$A$50,密度!$Q$2:$Q$50)</f>
        <v>59772.112838383997</v>
      </c>
      <c r="T16" s="73" ph="1">
        <f>T15*9.0746*LOOKUP(T17,密度!$A$2:$A$50,密度!$O$2:$O$50)</f>
        <v>41813.7240896</v>
      </c>
      <c r="U16" s="73" ph="1">
        <f>U15*9.0746*LOOKUP(U17,密度!$A$2:$A$50,密度!$H$2:$H$50)</f>
        <v>22160.241259500002</v>
      </c>
      <c r="V16" s="73" ph="1">
        <f>MAX(5600*LOOKUP(V17,密度!$A$2:$A$50,密度!$Q$2:$Q$50)+V15*9.0476*LOOKUP(V17,密度!$A$2:$A$50,密度!$Q$2:$Q$50),0)</f>
        <v>0</v>
      </c>
      <c r="W16" s="73" ph="1">
        <f>MAX(5600*LOOKUP(W17,密度!$A$2:$A$50,密度!$Q$2:$Q$50)+W15*9.0476*LOOKUP(W17,密度!$A$2:$A$50,密度!$Q$2:$Q$50),0)</f>
        <v>0</v>
      </c>
      <c r="X16" s="73" ph="1">
        <f>MAX(5600*LOOKUP(X17,密度!$A$2:$A$50,密度!$I$2:$I$50)+X15*9.0476*LOOKUP(X17,密度!$A$2:$A$50,密度!$I$2:$I$50),0)</f>
        <v>17926.187843199998</v>
      </c>
      <c r="Y16" s="107" ph="1">
        <v>0</v>
      </c>
      <c r="Z16" s="73" ph="1">
        <f>Z15*9.0746*LOOKUP(Z17,密度!$A$2:$A$50,密度!$D$2:$D$50)</f>
        <v>11822.080343600001</v>
      </c>
      <c r="AA16" s="73" ph="1">
        <f>AA15*9.0746*LOOKUP(AA17,密度!$A$2:$A$50,密度!$B$2:$B$50)</f>
        <v>17986.666654320001</v>
      </c>
      <c r="AB16" s="73" ph="1">
        <f>AB15*9.0746*LOOKUP(AB17,密度!$A$2:$A$50,密度!$L$2:$L$50)</f>
        <v>5877.7273152000007</v>
      </c>
      <c r="AC16" s="73" ph="1">
        <f>AC15*9.0746*LOOKUP(AC17,密度!$A$2:$A$50,密度!$L$2:$L$50)</f>
        <v>4276.9588006000004</v>
      </c>
      <c r="AD16" s="73" ph="1">
        <f>AD15*268.68*LOOKUP(AD17,密度!$A$2:$A$50,密度!B2:B50)+IF(AD15&lt;=0,0,1566*LOOKUP(AD17,密度!$A$2:$A$50,密度!B2:B50))</f>
        <v>2976.15293664</v>
      </c>
      <c r="AE16" s="73" ph="1">
        <f>AE15*268.68*LOOKUP(AE17,密度!$A$2:$A$50,密度!B2:B50)+IF(AE15&lt;=0,0,1566*LOOKUP(AE17,密度!$A$2:$A$50,密度!B2:B50))</f>
        <v>12479.485980000001</v>
      </c>
      <c r="AH16" s="72" ph="1">
        <v>2</v>
      </c>
      <c r="AI16" s="72" t="s" ph="1">
        <v>337</v>
      </c>
      <c r="AZ16" s="72" t="s" ph="1">
        <v>216</v>
      </c>
      <c r="BA16" s="72" ph="1">
        <v>0</v>
      </c>
    </row>
    <row r="17" spans="1:57" ph="1">
      <c r="A17" s="64" t="s" ph="1">
        <v>73</v>
      </c>
      <c r="B17" s="196" ph="1"/>
      <c r="C17" s="79" t="s" ph="1">
        <v>179</v>
      </c>
      <c r="D17" s="74">
        <v>30</v>
      </c>
      <c r="E17" s="74">
        <v>30</v>
      </c>
      <c r="F17" s="74">
        <v>28</v>
      </c>
      <c r="G17" s="74">
        <v>26</v>
      </c>
      <c r="H17" s="74">
        <v>22</v>
      </c>
      <c r="I17" s="74">
        <v>28</v>
      </c>
      <c r="J17" s="74">
        <v>28</v>
      </c>
      <c r="K17" s="74">
        <v>28</v>
      </c>
      <c r="L17" s="74">
        <v>28</v>
      </c>
      <c r="M17" s="74">
        <v>28</v>
      </c>
      <c r="N17" s="74">
        <v>24</v>
      </c>
      <c r="O17" s="74">
        <v>28</v>
      </c>
      <c r="P17" s="74">
        <v>28</v>
      </c>
      <c r="Q17" s="74">
        <v>30</v>
      </c>
      <c r="R17" s="74">
        <v>29</v>
      </c>
      <c r="S17" s="74">
        <v>31</v>
      </c>
      <c r="T17" s="74">
        <v>27</v>
      </c>
      <c r="U17" s="74">
        <v>27</v>
      </c>
      <c r="V17" s="74">
        <v>26</v>
      </c>
      <c r="W17" s="74">
        <v>26</v>
      </c>
      <c r="X17" s="74">
        <v>28</v>
      </c>
      <c r="Y17" s="108">
        <v>28</v>
      </c>
      <c r="Z17" s="74">
        <v>26</v>
      </c>
      <c r="AA17" s="74">
        <v>27</v>
      </c>
      <c r="AB17" s="74">
        <v>26</v>
      </c>
      <c r="AC17" s="74">
        <v>25</v>
      </c>
      <c r="AD17" s="74">
        <v>25</v>
      </c>
      <c r="AE17" s="74">
        <v>25</v>
      </c>
      <c r="AH17" s="64" ph="1">
        <v>3</v>
      </c>
      <c r="AI17" s="64" t="s" ph="1">
        <v>338</v>
      </c>
      <c r="AK17" s="64" t="s" ph="1">
        <v>570</v>
      </c>
      <c r="AL17" s="64" ph="1">
        <v>80</v>
      </c>
      <c r="AM17" s="64" t="s" ph="1">
        <v>335</v>
      </c>
      <c r="AZ17" s="64" t="s" ph="1">
        <v>216</v>
      </c>
      <c r="BA17" s="64" ph="1">
        <v>80</v>
      </c>
      <c r="BD17" s="64" t="s" ph="1">
        <v>214</v>
      </c>
      <c r="BE17" s="64" ph="1">
        <v>2270</v>
      </c>
    </row>
    <row r="18" spans="1:57" ht="26.4" ph="1">
      <c r="B18" s="194" ph="1">
        <v>0.66666666666666663</v>
      </c>
      <c r="C18" s="79" t="s" ph="1">
        <v>180</v>
      </c>
      <c r="D18" s="71">
        <v>304</v>
      </c>
      <c r="E18" s="71">
        <v>55</v>
      </c>
      <c r="F18" s="71">
        <v>1706</v>
      </c>
      <c r="G18" s="71">
        <v>3524</v>
      </c>
      <c r="H18" s="71">
        <v>2030</v>
      </c>
      <c r="I18" s="71">
        <v>5392</v>
      </c>
      <c r="J18" s="71">
        <v>230</v>
      </c>
      <c r="K18" s="71">
        <v>3360</v>
      </c>
      <c r="L18" s="71">
        <v>5844</v>
      </c>
      <c r="M18" s="71">
        <v>4297</v>
      </c>
      <c r="N18" s="71">
        <v>676</v>
      </c>
      <c r="O18" s="71">
        <v>4215</v>
      </c>
      <c r="P18" s="71">
        <v>6956</v>
      </c>
      <c r="Q18" s="71">
        <v>5525</v>
      </c>
      <c r="R18" s="71">
        <v>1947</v>
      </c>
      <c r="S18" s="71">
        <v>6975</v>
      </c>
      <c r="T18" s="71">
        <v>4451</v>
      </c>
      <c r="U18" s="71">
        <v>2673</v>
      </c>
      <c r="V18" s="71">
        <v>-817</v>
      </c>
      <c r="W18" s="71">
        <v>-772</v>
      </c>
      <c r="X18" s="71">
        <v>1287</v>
      </c>
      <c r="Y18" s="109">
        <v>-9908</v>
      </c>
      <c r="Z18" s="71">
        <v>1268</v>
      </c>
      <c r="AA18" s="71">
        <v>2547</v>
      </c>
      <c r="AB18" s="71">
        <v>303</v>
      </c>
      <c r="AC18" s="71">
        <v>915</v>
      </c>
      <c r="AD18" s="71">
        <v>28.32</v>
      </c>
      <c r="AE18" s="71">
        <v>84.72</v>
      </c>
      <c r="AH18" s="64" ph="1">
        <v>4</v>
      </c>
      <c r="AI18" s="64" t="s" ph="1">
        <v>340</v>
      </c>
      <c r="AJ18" s="64" t="s" ph="1">
        <v>588</v>
      </c>
      <c r="AK18" s="64" t="s" ph="1">
        <v>587</v>
      </c>
      <c r="AL18" s="64" ph="1">
        <v>740</v>
      </c>
      <c r="AM18" s="64" t="s" ph="1">
        <v>339</v>
      </c>
      <c r="AZ18" s="64" t="s" ph="1">
        <v>216</v>
      </c>
      <c r="BA18" s="64" ph="1">
        <v>740</v>
      </c>
    </row>
    <row r="19" spans="1:57" s="72" customFormat="1" ht="22.2" ph="1">
      <c r="B19" s="195" ph="1"/>
      <c r="C19" s="159" t="s" ph="1">
        <v>178</v>
      </c>
      <c r="D19" s="73" ph="1">
        <f>D18*7.0686*LOOKUP(D20,密度!$A$2:$A$50,密度!$L$2:$L$50)</f>
        <v>2002.7323008000003</v>
      </c>
      <c r="E19" s="73" ph="1">
        <f>E18*7.0686*LOOKUP(E20,密度!$A$2:$A$50,密度!$L$2:$L$50)</f>
        <v>362.33643600000005</v>
      </c>
      <c r="F19" s="73" ph="1">
        <f>F18*9.0746*LOOKUP(F20,密度!$A$2:$A$50,密度!$L$2:$L$50)</f>
        <v>14413.060135600002</v>
      </c>
      <c r="G19" s="73" ph="1">
        <f>G18*9.0746*LOOKUP(G20,密度!$A$2:$A$50,密度!$B$2:$B$50)</f>
        <v>24847.597840800001</v>
      </c>
      <c r="H19" s="73" ph="1">
        <f>H18*9.0746*LOOKUP(H20,密度!$A$2:$A$50,密度!$L$2:$L$50)</f>
        <v>17279.308843999999</v>
      </c>
      <c r="I19" s="73" ph="1">
        <f>I18*9.0746*LOOKUP(I20,密度!$A$2:$A$50,密度!$U$2:$U$50)</f>
        <v>49908.848064000005</v>
      </c>
      <c r="J19" s="73" ph="1">
        <f>J18*9.0746*LOOKUP(J20,密度!$A$2:$A$50,密度!$L$2:$L$50)</f>
        <v>1945.231256</v>
      </c>
      <c r="K19" s="73" ph="1">
        <f>K18*9.0746*LOOKUP(K20,密度!$A$2:$A$50,密度!$C$2:$C$50)</f>
        <v>33695.223945599995</v>
      </c>
      <c r="L19" s="73" ph="1">
        <f>L18*9.0746*LOOKUP(L20,密度!$A$2:$A$50,密度!$E$2:$E$50)</f>
        <v>41354.324279520006</v>
      </c>
      <c r="M19" s="73" ph="1">
        <f>M18*9.0746*LOOKUP(M20,密度!$A$2:$A$50,密度!$M$2:$M$50)</f>
        <v>33920.49453838</v>
      </c>
      <c r="N19" s="73" ph="1">
        <f>N18*9.0746*LOOKUP(N20,密度!$A$2:$A$50,密度!$M$2:$M$50)</f>
        <v>5355.9704837600002</v>
      </c>
      <c r="O19" s="73" ph="1">
        <f>O18*9.0746*LOOKUP(O20,密度!$A$2:$A$50,密度!$G$2:$G$50)</f>
        <v>36516.739413299998</v>
      </c>
      <c r="P19" s="73" ph="1">
        <f ca="1">P18*9.0746*LOOKUP(P20,密度!$A$2:$A$51,密度!$Q$2:$Q$50)</f>
        <v>59627.170423312004</v>
      </c>
      <c r="Q19" s="73" ph="1">
        <f>Q18*9.0746*LOOKUP(Q20,密度!$A$2:$A$50,密度!$Q$2:$Q$50)</f>
        <v>47295.891859449999</v>
      </c>
      <c r="R19" s="73" ph="1">
        <f>MAX(R18*9.0746*LOOKUP(R20,密度!$A$2:$A$50,密度!$B$2:$B$50),0)</f>
        <v>13728.227297400001</v>
      </c>
      <c r="S19" s="73" ph="1">
        <f>S18*9.0746*LOOKUP(S20,密度!$A$2:$A$50,密度!$Q$2:$Q$50)</f>
        <v>59660.916864299994</v>
      </c>
      <c r="T19" s="73" ph="1">
        <f>T18*9.0746*LOOKUP(T20,密度!$A$2:$A$50,密度!$O$2:$O$50)</f>
        <v>37402.1072996</v>
      </c>
      <c r="U19" s="73" ph="1">
        <f>U18*9.0746*LOOKUP(U20,密度!$A$2:$A$50,密度!$H$2:$H$50)</f>
        <v>22121.842089600003</v>
      </c>
      <c r="V19" s="73" ph="1">
        <f>MAX(5600*LOOKUP(V20,密度!$A$2:$A$50,密度!$Q$2:$Q$50)+V18*9.0476*LOOKUP(V20,密度!$A$2:$A$50,密度!$Q$2:$Q$50),0)</f>
        <v>0</v>
      </c>
      <c r="W19" s="73" ph="1">
        <f>MAX(5600*LOOKUP(W20,密度!$A$2:$A$50,密度!$Q$2:$Q$50)+W18*9.0476*LOOKUP(W20,密度!$A$2:$A$50,密度!$Q$2:$Q$50),0)</f>
        <v>0</v>
      </c>
      <c r="X19" s="73" ph="1">
        <f>MAX(5600*LOOKUP(X20,密度!$A$2:$A$50,密度!$I$2:$I$50)+X18*9.0476*LOOKUP(X20,密度!$A$2:$A$50,密度!$I$2:$I$50),0)</f>
        <v>17877.125586039998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11759.737841600001</v>
      </c>
      <c r="AA19" s="73" ph="1">
        <f>AA18*9.0746*LOOKUP(AA20,密度!$A$2:$A$50,密度!$B$2:$B$50)</f>
        <v>17958.8058174</v>
      </c>
      <c r="AB19" s="73" ph="1">
        <f>AB18*9.0746*LOOKUP(AB20,密度!$A$2:$A$50,密度!$L$2:$L$50)</f>
        <v>2562.6307416</v>
      </c>
      <c r="AC19" s="73" ph="1">
        <f>AC18*9.0746*LOOKUP(AC20,密度!$A$2:$A$50,密度!$L$2:$L$50)</f>
        <v>7738.6373880000001</v>
      </c>
      <c r="AD19" s="73" ph="1">
        <f>AD18*268.68*LOOKUP(AD20,密度!$A$2:$A$50,密度!B5:B53)+IF(AD18&lt;=0,0,1566*LOOKUP(AD20,密度!$A$2:$A$50,密度!B5:B53))</f>
        <v>7128.9886752000002</v>
      </c>
      <c r="AE19" s="73" ph="1">
        <f>AE18*268.68*LOOKUP(AE20,密度!$A$2:$A$50,密度!B5:B53)+IF(AE18&lt;=0,0,1566*LOOKUP(AE20,密度!$A$2:$A$50,密度!B5:B53))</f>
        <v>18903.2985792</v>
      </c>
      <c r="AH19" s="72" ph="1">
        <v>5</v>
      </c>
      <c r="AI19" s="72" t="s" ph="1">
        <v>341</v>
      </c>
      <c r="AZ19" s="72" t="s" ph="1">
        <v>216</v>
      </c>
      <c r="BA19" s="72" ph="1">
        <v>0</v>
      </c>
      <c r="BD19" s="72" t="s" ph="1">
        <v>342</v>
      </c>
      <c r="BE19" s="72" ph="1">
        <v>1440</v>
      </c>
    </row>
    <row r="20" spans="1:57" ph="1">
      <c r="A20" s="72" ph="1"/>
      <c r="B20" s="195" ph="1"/>
      <c r="C20" s="80" t="s" ph="1">
        <v>179</v>
      </c>
      <c r="D20" s="81">
        <v>30</v>
      </c>
      <c r="E20" s="81">
        <v>30</v>
      </c>
      <c r="F20" s="81">
        <v>31</v>
      </c>
      <c r="G20" s="81">
        <v>28</v>
      </c>
      <c r="H20" s="81">
        <v>24</v>
      </c>
      <c r="I20" s="81">
        <v>30</v>
      </c>
      <c r="J20" s="81">
        <v>30</v>
      </c>
      <c r="K20" s="81">
        <v>30</v>
      </c>
      <c r="L20" s="81">
        <v>28</v>
      </c>
      <c r="M20" s="81">
        <v>30</v>
      </c>
      <c r="N20" s="81">
        <v>27</v>
      </c>
      <c r="O20" s="81">
        <v>30</v>
      </c>
      <c r="P20" s="81">
        <v>28</v>
      </c>
      <c r="Q20" s="81">
        <v>30</v>
      </c>
      <c r="R20" s="81">
        <v>28</v>
      </c>
      <c r="S20" s="81">
        <v>31</v>
      </c>
      <c r="T20" s="81">
        <v>29</v>
      </c>
      <c r="U20" s="81">
        <v>28</v>
      </c>
      <c r="V20" s="81">
        <v>30</v>
      </c>
      <c r="W20" s="81">
        <v>30</v>
      </c>
      <c r="X20" s="81">
        <v>30</v>
      </c>
      <c r="Y20" s="110">
        <v>30</v>
      </c>
      <c r="Z20" s="81">
        <v>30</v>
      </c>
      <c r="AA20" s="81">
        <v>28</v>
      </c>
      <c r="AB20" s="81">
        <v>30</v>
      </c>
      <c r="AC20" s="81">
        <v>30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343</v>
      </c>
      <c r="AZ20" s="64" t="s" ph="1">
        <v>216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344</v>
      </c>
      <c r="AZ21" s="64" t="s" ph="1">
        <v>216</v>
      </c>
      <c r="BA21" s="64" ph="1">
        <v>0</v>
      </c>
      <c r="BD21" s="64" t="s" ph="1">
        <v>232</v>
      </c>
      <c r="BE21" s="64" ph="1">
        <v>730</v>
      </c>
    </row>
    <row r="22" spans="1:57" ph="1">
      <c r="A22" s="72" ph="1"/>
      <c r="B22" s="193" t="s" ph="1">
        <v>37</v>
      </c>
      <c r="C22" s="85" t="s" ph="1">
        <v>176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172" t="s" ph="1">
        <v>69</v>
      </c>
      <c r="AA22" s="173"/>
      <c r="AB22" s="173"/>
      <c r="AC22" s="173"/>
      <c r="AD22" s="173"/>
      <c r="AE22" s="174"/>
      <c r="AH22" s="64" ph="1">
        <v>8</v>
      </c>
      <c r="AI22" s="64" t="s" ph="1">
        <v>345</v>
      </c>
      <c r="AZ22" s="64" t="s" ph="1">
        <v>216</v>
      </c>
      <c r="BA22" s="64" ph="1">
        <v>0</v>
      </c>
    </row>
    <row r="23" spans="1:57" ph="1">
      <c r="A23" s="72" ph="1"/>
      <c r="B23" s="188" ph="1"/>
      <c r="C23" s="67" t="s" ph="1">
        <v>36</v>
      </c>
      <c r="D23" s="88" t="s" ph="1">
        <v>109</v>
      </c>
      <c r="E23" s="88" t="s" ph="1">
        <v>107</v>
      </c>
      <c r="F23" s="88" t="s" ph="1">
        <v>109</v>
      </c>
      <c r="G23" s="88" t="s" ph="1">
        <v>626</v>
      </c>
      <c r="H23" s="88" t="s" ph="1">
        <v>626</v>
      </c>
      <c r="I23" s="88" t="s" ph="1">
        <v>627</v>
      </c>
      <c r="J23" s="88" t="s" ph="1">
        <v>628</v>
      </c>
      <c r="K23" s="88" t="s" ph="1">
        <v>628</v>
      </c>
      <c r="L23" s="88" t="s" ph="1">
        <v>628</v>
      </c>
      <c r="M23" s="88" t="s" ph="1">
        <v>623</v>
      </c>
      <c r="N23" s="88" t="s" ph="1">
        <v>623</v>
      </c>
      <c r="O23" s="88" t="s" ph="1">
        <v>318</v>
      </c>
      <c r="P23" s="88" t="s" ph="1">
        <v>629</v>
      </c>
      <c r="Q23" s="89" t="s" ph="1">
        <v>629</v>
      </c>
      <c r="R23" s="88" t="s" ph="1">
        <v>610</v>
      </c>
      <c r="S23" s="88" t="s" ph="1">
        <v>629</v>
      </c>
      <c r="T23" s="88" t="s" ph="1">
        <v>604</v>
      </c>
      <c r="U23" s="104" t="s" ph="1">
        <v>606</v>
      </c>
      <c r="V23" s="88" t="s" ph="1">
        <v>629</v>
      </c>
      <c r="W23" s="88" t="s" ph="1">
        <v>629</v>
      </c>
      <c r="X23" s="88" t="s" ph="1">
        <v>187</v>
      </c>
      <c r="Y23" s="88" t="s" ph="1">
        <v>630</v>
      </c>
      <c r="Z23" s="175" t="s" ph="1">
        <v>644</v>
      </c>
      <c r="AA23" s="176"/>
      <c r="AB23" s="176"/>
      <c r="AC23" s="176"/>
      <c r="AD23" s="176"/>
      <c r="AE23" s="177"/>
      <c r="AH23" s="64" ph="1">
        <v>9</v>
      </c>
      <c r="AI23" s="64" t="s" ph="1">
        <v>346</v>
      </c>
      <c r="AZ23" s="64" t="s" ph="1">
        <v>216</v>
      </c>
      <c r="BA23" s="64" ph="1">
        <v>0</v>
      </c>
      <c r="BD23" s="64" t="s" ph="1">
        <v>238</v>
      </c>
      <c r="BE23" s="64" ph="1">
        <v>890</v>
      </c>
    </row>
    <row r="24" spans="1:57" ph="1">
      <c r="A24" s="72" ph="1"/>
      <c r="B24" s="184" ph="1">
        <v>0.33333333333333331</v>
      </c>
      <c r="C24" s="159" t="s" ph="1">
        <v>177</v>
      </c>
      <c r="D24" s="71">
        <v>3.03</v>
      </c>
      <c r="E24" s="71">
        <v>5.78</v>
      </c>
      <c r="F24" s="71">
        <v>0</v>
      </c>
      <c r="G24" s="71">
        <v>3916</v>
      </c>
      <c r="H24" s="71">
        <v>3858</v>
      </c>
      <c r="I24" s="71">
        <v>944</v>
      </c>
      <c r="J24" s="71">
        <v>188</v>
      </c>
      <c r="K24" s="71">
        <v>223</v>
      </c>
      <c r="L24" s="71">
        <v>302</v>
      </c>
      <c r="M24" s="71">
        <v>324</v>
      </c>
      <c r="N24" s="71">
        <v>318</v>
      </c>
      <c r="O24" s="71">
        <v>341</v>
      </c>
      <c r="P24" s="71">
        <v>1121</v>
      </c>
      <c r="Q24" s="90">
        <v>4606</v>
      </c>
      <c r="R24" s="71">
        <v>6526</v>
      </c>
      <c r="S24" s="71">
        <v>300</v>
      </c>
      <c r="T24" s="71">
        <v>365</v>
      </c>
      <c r="U24" s="71">
        <v>5850</v>
      </c>
      <c r="V24" s="71">
        <v>883</v>
      </c>
      <c r="W24" s="71">
        <v>408</v>
      </c>
      <c r="X24" s="71">
        <v>5290</v>
      </c>
      <c r="Y24" s="71">
        <v>3509</v>
      </c>
      <c r="Z24" s="178"/>
      <c r="AA24" s="179"/>
      <c r="AB24" s="179"/>
      <c r="AC24" s="179"/>
      <c r="AD24" s="179"/>
      <c r="AE24" s="180"/>
      <c r="AH24" s="64" ph="1">
        <v>10</v>
      </c>
      <c r="AI24" s="64" t="s" ph="1">
        <v>347</v>
      </c>
      <c r="AZ24" s="64" t="s" ph="1">
        <v>216</v>
      </c>
      <c r="BA24" s="64" ph="1">
        <v>0</v>
      </c>
    </row>
    <row r="25" spans="1:57" ph="1">
      <c r="A25" s="72" ph="1"/>
      <c r="B25" s="184" ph="1"/>
      <c r="C25" s="68" t="s" ph="1">
        <v>178</v>
      </c>
      <c r="D25" s="91" ph="1">
        <f>D24*268.68*LOOKUP(D26,密度!$A$2:$A$50,密度!$Q$2:$Q$50)+IF(D24&lt;=0,0,1566*LOOKUP(D26,密度!$A$2:$A$50,密度!$Q$2:$Q$50))</f>
        <v>2253.336252696</v>
      </c>
      <c r="E25" s="91" ph="1">
        <f>E24*268.68*LOOKUP(E26,密度!$A$2:$A$50,密度!$C$2:$C$50)+IF(E24&lt;=0,0,1566*LOOKUP(E26,密度!$A$2:$A$50,密度!$C$2:$C$50))</f>
        <v>3458.6262765600004</v>
      </c>
      <c r="F25" s="91" ph="1">
        <f>F24*11.702*LOOKUP(F26,密度!$A$2:$A$50,密度!$Q$2:$Q$50)</f>
        <v>0</v>
      </c>
      <c r="G25" s="91" ph="1">
        <f>G24*18.322*LOOKUP(G26,密度!$A$2:$A$50,密度!$B$2:$B$50)</f>
        <v>55691.53654239999</v>
      </c>
      <c r="H25" s="91" ph="1">
        <f>H24*18.322*LOOKUP(H26,密度!$A$2:$A$50,密度!$B$2:$B$50)</f>
        <v>54866.6874312</v>
      </c>
      <c r="I25" s="91" ph="1">
        <f>I24*18.322*LOOKUP(I26,密度!$A$2:$A$50,密度!$Q$2:$Q$50)</f>
        <v>16350.224469760002</v>
      </c>
      <c r="J25" s="91" ph="1">
        <f>J24*18.322*LOOKUP(J26,密度!$A$2:$A$50,密度!$Q$2:$Q$50)</f>
        <v>3258.63439208</v>
      </c>
      <c r="K25" s="91" ph="1">
        <f>K24*18.322*LOOKUP(K26,密度!$A$2:$A$50,密度!$Q$2:$Q$50)</f>
        <v>3865.2950501800001</v>
      </c>
      <c r="L25" s="91" ph="1">
        <f>L24*18.322*LOOKUP(L26,密度!$A$2:$A$50,密度!$Q$2:$Q$50)</f>
        <v>5234.6148213199995</v>
      </c>
      <c r="M25" s="91" ph="1">
        <f>M24*18.322*LOOKUP(M26,密度!$A$2:$A$50,密度!$Q$2:$Q$50)</f>
        <v>5620.1591707199996</v>
      </c>
      <c r="N25" s="91" ph="1">
        <f>N24*18.322*LOOKUP(N26,密度!$A$2:$A$50,密度!$Q$2:$Q$50)</f>
        <v>5533.27001724</v>
      </c>
      <c r="O25" s="91" ph="1">
        <f>O24*18.322*LOOKUP(O26,密度!$A$2:$A$50,密度!$C$2:$C$50)</f>
        <v>6928.1876377999997</v>
      </c>
      <c r="P25" s="91" ph="1">
        <f>P24*11.702*LOOKUP(P26,密度!$A$2:$A$50,密度!$B$2:$B$50)</f>
        <v>10226.747583199998</v>
      </c>
      <c r="Q25" s="92" ph="1">
        <f>Q24*18.322*LOOKUP(Q26,密度!$A$2:$A$50,密度!$B$2:$B$50)</f>
        <v>65571.909564000001</v>
      </c>
      <c r="R25" s="91" ph="1">
        <f>R24*35.891*LOOKUP(R26,密度!$A$2:$A$50,密度!$C$2:$C$50)</f>
        <v>259193.0153956</v>
      </c>
      <c r="S25" s="91" ph="1">
        <f>S24*35.891*LOOKUP(S26,密度!$A$2:$A$50,密度!$B$2:$B$50)</f>
        <v>8375.8826699999991</v>
      </c>
      <c r="T25" s="91" ph="1">
        <f>T24*35.891*LOOKUP(T26,密度!$A$2:$A$50,密度!$Q$2:$Q$50)</f>
        <v>12383.895243800001</v>
      </c>
      <c r="U25" s="91" ph="1">
        <f>U24*35.891</f>
        <v>209962.34999999998</v>
      </c>
      <c r="V25" s="91" ph="1">
        <f>V24*47.051*LOOKUP(V26,密度!$A$2:$A$50,密度!$B$2:$B$50)</f>
        <v>32389.2873268</v>
      </c>
      <c r="W25" s="91" ph="1">
        <f>W24*47.051*LOOKUP(W26,密度!$A$2:$A$50,密度!$B$2:$B$50)</f>
        <v>14965.831516800001</v>
      </c>
      <c r="X25" s="91" ph="1">
        <f>X24*47.051*LOOKUP(X26,密度!$A$2:$A$61,密度!$I$2:$I$61)</f>
        <v>259154.46134799998</v>
      </c>
      <c r="Y25" s="91" ph="1">
        <f>Y24*47.051*LOOKUP(Y26,密度!$A$2:$A$50,密度!$L$2:$L$50)</f>
        <v>154040.12774700002</v>
      </c>
      <c r="Z25" s="178"/>
      <c r="AA25" s="179"/>
      <c r="AB25" s="179"/>
      <c r="AC25" s="179"/>
      <c r="AD25" s="179"/>
      <c r="AE25" s="180"/>
      <c r="AH25" s="64" ph="1">
        <v>11</v>
      </c>
      <c r="AI25" s="64" t="s" ph="1">
        <v>348</v>
      </c>
      <c r="AZ25" s="64" t="s" ph="1">
        <v>216</v>
      </c>
      <c r="BA25" s="64" ph="1">
        <v>0</v>
      </c>
      <c r="BD25" s="64" t="s" ph="1">
        <v>241</v>
      </c>
      <c r="BE25" s="64" ph="1">
        <v>8920</v>
      </c>
    </row>
    <row r="26" spans="1:57" ph="1">
      <c r="A26" s="72" ph="1"/>
      <c r="B26" s="184" ph="1"/>
      <c r="C26" s="68" t="s" ph="1">
        <v>179</v>
      </c>
      <c r="D26" s="74">
        <v>25</v>
      </c>
      <c r="E26" s="74">
        <v>25</v>
      </c>
      <c r="F26" s="74">
        <v>25</v>
      </c>
      <c r="G26" s="74">
        <v>29</v>
      </c>
      <c r="H26" s="74">
        <v>29</v>
      </c>
      <c r="I26" s="74">
        <v>27</v>
      </c>
      <c r="J26" s="74">
        <v>26</v>
      </c>
      <c r="K26" s="74">
        <v>26</v>
      </c>
      <c r="L26" s="74">
        <v>26</v>
      </c>
      <c r="M26" s="74">
        <v>25</v>
      </c>
      <c r="N26" s="74">
        <v>21</v>
      </c>
      <c r="O26" s="74">
        <v>25</v>
      </c>
      <c r="P26" s="74">
        <v>25</v>
      </c>
      <c r="Q26" s="93">
        <v>28</v>
      </c>
      <c r="R26" s="74">
        <v>28</v>
      </c>
      <c r="S26" s="74">
        <v>27</v>
      </c>
      <c r="T26" s="74">
        <v>27</v>
      </c>
      <c r="U26" s="74">
        <v>27</v>
      </c>
      <c r="V26" s="74">
        <v>25</v>
      </c>
      <c r="W26" s="74">
        <v>25</v>
      </c>
      <c r="X26" s="74">
        <v>26</v>
      </c>
      <c r="Y26" s="74">
        <v>29</v>
      </c>
      <c r="Z26" s="178"/>
      <c r="AA26" s="179"/>
      <c r="AB26" s="179"/>
      <c r="AC26" s="179"/>
      <c r="AD26" s="179"/>
      <c r="AE26" s="180"/>
      <c r="AH26" s="64" ph="1">
        <v>12</v>
      </c>
      <c r="AI26" s="64" t="s" ph="1">
        <v>349</v>
      </c>
      <c r="AZ26" s="64" t="s" ph="1">
        <v>216</v>
      </c>
      <c r="BA26" s="64" ph="1">
        <v>0</v>
      </c>
    </row>
    <row r="27" spans="1:57" ht="26.4" ph="1">
      <c r="A27" s="72" ph="1"/>
      <c r="B27" s="184" ph="1">
        <v>0.66666666666666663</v>
      </c>
      <c r="C27" s="159" t="s" ph="1">
        <v>180</v>
      </c>
      <c r="D27" s="71">
        <v>2.93</v>
      </c>
      <c r="E27" s="71">
        <v>5.75</v>
      </c>
      <c r="F27" s="71">
        <v>0</v>
      </c>
      <c r="G27" s="71">
        <v>2800</v>
      </c>
      <c r="H27" s="71">
        <v>3403</v>
      </c>
      <c r="I27" s="71">
        <v>54</v>
      </c>
      <c r="J27" s="71">
        <v>184</v>
      </c>
      <c r="K27" s="71">
        <v>220</v>
      </c>
      <c r="L27" s="71">
        <v>298</v>
      </c>
      <c r="M27" s="71">
        <v>320</v>
      </c>
      <c r="N27" s="71">
        <v>315</v>
      </c>
      <c r="O27" s="71">
        <v>337</v>
      </c>
      <c r="P27" s="71">
        <v>1119</v>
      </c>
      <c r="Q27" s="90">
        <v>445</v>
      </c>
      <c r="R27" s="71">
        <v>6005</v>
      </c>
      <c r="S27" s="71">
        <v>2518</v>
      </c>
      <c r="T27" s="71">
        <v>364</v>
      </c>
      <c r="U27" s="71">
        <v>5937</v>
      </c>
      <c r="V27" s="71">
        <v>879</v>
      </c>
      <c r="W27" s="71">
        <v>403</v>
      </c>
      <c r="X27" s="71">
        <v>5163</v>
      </c>
      <c r="Y27" s="71">
        <v>2426</v>
      </c>
      <c r="Z27" s="178"/>
      <c r="AA27" s="179"/>
      <c r="AB27" s="179"/>
      <c r="AC27" s="179"/>
      <c r="AD27" s="179"/>
      <c r="AE27" s="180"/>
      <c r="AH27" s="64" ph="1">
        <v>13</v>
      </c>
      <c r="AI27" s="64" t="s" ph="1">
        <v>350</v>
      </c>
      <c r="AZ27" s="64" t="s" ph="1">
        <v>216</v>
      </c>
      <c r="BA27" s="64" ph="1">
        <v>0</v>
      </c>
      <c r="BD27" s="64" t="s" ph="1">
        <v>295</v>
      </c>
      <c r="BE27" s="64" ph="1">
        <v>7100</v>
      </c>
    </row>
    <row r="28" spans="1:57" ph="1">
      <c r="A28" s="72" ph="1"/>
      <c r="B28" s="184" ph="1"/>
      <c r="C28" s="159" t="s" ph="1">
        <v>178</v>
      </c>
      <c r="D28" s="91" ph="1">
        <f>D27*268.68*LOOKUP(D29,密度!$A$2:$A$50,密度!$Q$2:$Q$50)+IF(D27&lt;=0,0,1566*LOOKUP(D29,密度!$A$2:$A$50,密度!$Q$2:$Q$50))</f>
        <v>2227.8992423760001</v>
      </c>
      <c r="E28" s="91" ph="1">
        <f>E27*268.68*LOOKUP(E29,密度!$A$2:$A$50,密度!$C$2:$C$50)+IF(E27&lt;=0,0,1566*LOOKUP(E29,密度!$A$2:$A$50,密度!$C$2:$C$50))</f>
        <v>3449.688099</v>
      </c>
      <c r="F28" s="91" ph="1">
        <f>F27*11.702*LOOKUP(F29,密度!$A$2:$A$50,密度!$Q$2:$Q$50)</f>
        <v>0</v>
      </c>
      <c r="G28" s="91" ph="1">
        <f>G27*18.322*LOOKUP(G29,密度!$A$2:$A$50,密度!$B$2:$B$50)</f>
        <v>39774.13048</v>
      </c>
      <c r="H28" s="91" ph="1">
        <f>H27*18.322*LOOKUP(H29,密度!$A$2:$A$50,密度!$B$2:$B$50)</f>
        <v>48445.768182</v>
      </c>
      <c r="I28" s="91" ph="1">
        <f>I27*18.322*LOOKUP(I29,密度!$A$2:$A$50,密度!$Q$2:$Q$50)</f>
        <v>934.59569255999997</v>
      </c>
      <c r="J28" s="91" ph="1">
        <f>J27*18.322*LOOKUP(J29,密度!$A$2:$A$50,密度!$Q$2:$Q$50)</f>
        <v>3180.1993758399999</v>
      </c>
      <c r="K28" s="91" ph="1">
        <f>K27*18.322*LOOKUP(K29,密度!$A$2:$A$50,密度!$Q$2:$Q$50)</f>
        <v>3799.3891671999995</v>
      </c>
      <c r="L28" s="91" ph="1">
        <f>L27*18.322*LOOKUP(L29,密度!$A$2:$A$50,密度!$Q$2:$Q$50)</f>
        <v>5139.1835850000007</v>
      </c>
      <c r="M28" s="91" ph="1">
        <f>M27*18.322*LOOKUP(M29,密度!$A$2:$A$50,密度!$Q$2:$Q$50)</f>
        <v>5518.5864000000001</v>
      </c>
      <c r="N28" s="91" ph="1">
        <f>N27*18.322*LOOKUP(N29,密度!$A$2:$A$50,密度!$Q$2:$Q$50)</f>
        <v>5440.0344893999991</v>
      </c>
      <c r="O28" s="91" ph="1">
        <f>O27*18.322*LOOKUP(O29,密度!$A$2:$A$50,密度!$C$2:$C$50)</f>
        <v>6817.2809074000006</v>
      </c>
      <c r="P28" s="91" ph="1">
        <f>P27*11.702*LOOKUP(P29,密度!$A$2:$A$50,密度!$B$2:$B$50)</f>
        <v>10152.195311400001</v>
      </c>
      <c r="Q28" s="92" ph="1">
        <f>Q27*18.322*LOOKUP(Q29,密度!$A$2:$A$50,密度!$B$2:$B$50)</f>
        <v>6321.2457370000002</v>
      </c>
      <c r="R28" s="91" ph="1">
        <f>R27*35.891*LOOKUP(R29,密度!$A$2:$A$50,密度!$C$2:$C$50)</f>
        <v>237961.65486549999</v>
      </c>
      <c r="S28" s="91" ph="1">
        <f>S27*35.891*LOOKUP(S29,密度!$A$2:$A$50,密度!$B$2:$B$50)</f>
        <v>69985.267827200005</v>
      </c>
      <c r="T28" s="91" ph="1">
        <f>T27*35.891*LOOKUP(T29,密度!$A$2:$A$50,密度!$Q$2:$Q$50)</f>
        <v>12288.172511159999</v>
      </c>
      <c r="U28" s="91" ph="1">
        <f>U27*35.891</f>
        <v>213084.867</v>
      </c>
      <c r="V28" s="91" ph="1">
        <f>V27*47.051*LOOKUP(V29,密度!$A$2:$A$50,密度!$B$2:$B$50)</f>
        <v>32242.563488400003</v>
      </c>
      <c r="W28" s="91" ph="1">
        <f>W27*47.051*LOOKUP(W29,密度!$A$2:$A$50,密度!$B$2:$B$50)</f>
        <v>14782.426718799999</v>
      </c>
      <c r="X28" s="91" ph="1">
        <f>X27*47.051*LOOKUP(X29,密度!$A$2:$A$61,密度!$I$2:$I$61)</f>
        <v>252932.79469559999</v>
      </c>
      <c r="Y28" s="91" ph="1">
        <f>Y27*47.051*LOOKUP(Y29,密度!$A$2:$A$50,密度!$L$2:$L$50)</f>
        <v>106383.81663200002</v>
      </c>
      <c r="Z28" s="178"/>
      <c r="AA28" s="179"/>
      <c r="AB28" s="179"/>
      <c r="AC28" s="179"/>
      <c r="AD28" s="179"/>
      <c r="AE28" s="180"/>
      <c r="AH28" s="64" ph="1">
        <v>14</v>
      </c>
      <c r="AI28" s="64" t="s" ph="1">
        <v>351</v>
      </c>
      <c r="AZ28" s="64" t="s" ph="1">
        <v>216</v>
      </c>
      <c r="BA28" s="64" ph="1">
        <v>0</v>
      </c>
    </row>
    <row r="29" spans="1:57" ph="1">
      <c r="A29" s="72" ph="1"/>
      <c r="B29" s="184" ph="1"/>
      <c r="C29" s="159" t="s" ph="1">
        <v>179</v>
      </c>
      <c r="D29" s="74">
        <v>25</v>
      </c>
      <c r="E29" s="74">
        <v>25</v>
      </c>
      <c r="F29" s="74">
        <v>27</v>
      </c>
      <c r="G29" s="74">
        <v>30</v>
      </c>
      <c r="H29" s="74">
        <v>28</v>
      </c>
      <c r="I29" s="74">
        <v>28</v>
      </c>
      <c r="J29" s="74">
        <v>30</v>
      </c>
      <c r="K29" s="74">
        <v>31</v>
      </c>
      <c r="L29" s="74">
        <v>33</v>
      </c>
      <c r="M29" s="74">
        <v>33</v>
      </c>
      <c r="N29" s="74">
        <v>31</v>
      </c>
      <c r="O29" s="74">
        <v>31</v>
      </c>
      <c r="P29" s="74">
        <v>30</v>
      </c>
      <c r="Q29" s="93">
        <v>30</v>
      </c>
      <c r="R29" s="74">
        <v>31</v>
      </c>
      <c r="S29" s="74">
        <v>31</v>
      </c>
      <c r="T29" s="74">
        <v>34</v>
      </c>
      <c r="U29" s="74">
        <v>33</v>
      </c>
      <c r="V29" s="74">
        <v>25</v>
      </c>
      <c r="W29" s="74">
        <v>25</v>
      </c>
      <c r="X29" s="74">
        <v>26</v>
      </c>
      <c r="Y29" s="74">
        <v>30</v>
      </c>
      <c r="Z29" s="181"/>
      <c r="AA29" s="182"/>
      <c r="AB29" s="182"/>
      <c r="AC29" s="182"/>
      <c r="AD29" s="182"/>
      <c r="AE29" s="183"/>
      <c r="AH29" s="64" ph="1">
        <v>15</v>
      </c>
      <c r="AI29" s="64" t="s" ph="1">
        <v>352</v>
      </c>
      <c r="AZ29" s="64" t="s" ph="1">
        <v>216</v>
      </c>
      <c r="BA29" s="64" ph="1">
        <v>0</v>
      </c>
      <c r="BD29" s="64" t="s" ph="1">
        <v>353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354</v>
      </c>
      <c r="AZ30" s="64" t="s" ph="1">
        <v>216</v>
      </c>
      <c r="BA30" s="64" ph="1">
        <v>0</v>
      </c>
    </row>
    <row r="31" spans="1:57" ht="28.2" ph="1">
      <c r="A31" s="64"/>
      <c r="B31" s="197" t="s" ph="1">
        <v>35</v>
      </c>
      <c r="C31" s="198" ph="1"/>
      <c r="D31" s="201" t="s" ph="1">
        <v>9</v>
      </c>
      <c r="E31" s="190" ph="1"/>
      <c r="F31" s="191" ph="1"/>
      <c r="G31" s="201" t="s" ph="1">
        <v>18</v>
      </c>
      <c r="H31" s="190" ph="1"/>
      <c r="I31" s="191" ph="1"/>
      <c r="J31" s="189" t="s" ph="1">
        <v>1</v>
      </c>
      <c r="K31" s="190" ph="1"/>
      <c r="L31" s="191" ph="1"/>
      <c r="M31" s="189" t="s" ph="1">
        <v>7</v>
      </c>
      <c r="N31" s="190" ph="1"/>
      <c r="O31" s="191" ph="1"/>
      <c r="P31" s="189" t="s" ph="1">
        <v>41</v>
      </c>
      <c r="Q31" s="190"/>
      <c r="R31" s="191"/>
      <c r="S31" s="189" t="s" ph="1">
        <v>2</v>
      </c>
      <c r="T31" s="190"/>
      <c r="U31" s="191"/>
      <c r="V31" s="189" t="s" ph="1">
        <v>71</v>
      </c>
      <c r="W31" s="190" ph="1"/>
      <c r="X31" s="191" ph="1"/>
      <c r="Y31" s="189" t="s" ph="1">
        <v>3</v>
      </c>
      <c r="Z31" s="190" ph="1"/>
      <c r="AA31" s="191" ph="1"/>
      <c r="AB31" s="212" t="s">
        <v>42</v>
      </c>
      <c r="AC31" s="213"/>
      <c r="AD31" s="213"/>
      <c r="AE31" s="214"/>
      <c r="AH31" s="64" ph="1">
        <v>17</v>
      </c>
      <c r="AI31" s="64" t="s" ph="1">
        <v>355</v>
      </c>
      <c r="AZ31" s="64" t="s" ph="1">
        <v>216</v>
      </c>
      <c r="BA31" s="64" ph="1">
        <v>0</v>
      </c>
      <c r="BD31" s="64" t="s" ph="1">
        <v>356</v>
      </c>
      <c r="BE31" s="64" ph="1">
        <v>9310</v>
      </c>
    </row>
    <row r="32" spans="1:57" ph="1">
      <c r="A32" s="64"/>
      <c r="B32" s="199" ph="1"/>
      <c r="C32" s="200" ph="1"/>
      <c r="D32" s="96" t="s" ph="1">
        <v>4</v>
      </c>
      <c r="E32" s="159" t="s" ph="1">
        <v>5</v>
      </c>
      <c r="F32" s="158" t="s" ph="1">
        <v>43</v>
      </c>
      <c r="G32" s="97" t="s" ph="1">
        <v>4</v>
      </c>
      <c r="H32" s="159" t="s" ph="1">
        <v>5</v>
      </c>
      <c r="I32" s="158" t="s" ph="1">
        <v>43</v>
      </c>
      <c r="J32" s="97" t="s" ph="1">
        <v>4</v>
      </c>
      <c r="K32" s="159" t="s" ph="1">
        <v>5</v>
      </c>
      <c r="L32" s="158" t="s" ph="1">
        <v>43</v>
      </c>
      <c r="M32" s="97" t="s" ph="1">
        <v>4</v>
      </c>
      <c r="N32" s="159" t="s" ph="1">
        <v>5</v>
      </c>
      <c r="O32" s="158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59" t="s" ph="1">
        <v>5</v>
      </c>
      <c r="U32" s="99" t="s" ph="1">
        <v>43</v>
      </c>
      <c r="V32" s="97" t="s" ph="1">
        <v>4</v>
      </c>
      <c r="W32" s="159" t="s" ph="1">
        <v>5</v>
      </c>
      <c r="X32" s="99" t="s" ph="1">
        <v>43</v>
      </c>
      <c r="Y32" s="100" t="s" ph="1">
        <v>4</v>
      </c>
      <c r="Z32" s="159" t="s" ph="1">
        <v>5</v>
      </c>
      <c r="AA32" s="158" t="s" ph="1">
        <v>43</v>
      </c>
      <c r="AB32" s="97" t="s" ph="1">
        <v>85</v>
      </c>
      <c r="AC32" s="159" t="s" ph="1">
        <v>84</v>
      </c>
      <c r="AD32" s="215" t="s" ph="1">
        <v>83</v>
      </c>
      <c r="AE32" s="216"/>
      <c r="AH32" s="64" ph="1">
        <v>18</v>
      </c>
      <c r="AI32" s="64" t="s" ph="1">
        <v>357</v>
      </c>
      <c r="AZ32" s="64" t="s" ph="1">
        <v>216</v>
      </c>
      <c r="BA32" s="64" ph="1">
        <v>0</v>
      </c>
    </row>
    <row r="33" spans="1:57" ph="1">
      <c r="A33" s="64"/>
      <c r="B33" s="202" t="s" ph="1">
        <v>181</v>
      </c>
      <c r="C33" s="203" ph="1"/>
      <c r="D33" s="206" ph="1">
        <f>AA10+AB10+Z19</f>
        <v>58111.237545600008</v>
      </c>
      <c r="E33" s="206" ph="1">
        <f>M10+I10</f>
        <v>201676.88551159995</v>
      </c>
      <c r="F33" s="208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1522252632456786910111213141516171819202123456789101112131415161718192022232424356789101112131415161718192021222345678910111213141516171819202345678910111213149101516171819222123234567891012131415161711181920212224252345678910111213120[[#This Row],[F25]]</f>
        <v>3880</v>
      </c>
      <c r="G33" s="210" ph="1">
        <f>N19</f>
        <v>5355.9704837600002</v>
      </c>
      <c r="H33" s="206" ph="1">
        <f>M19</f>
        <v>33920.49453838</v>
      </c>
      <c r="I33" s="219" ph="1">
        <v>0</v>
      </c>
      <c r="J33" s="217" ph="1">
        <f>F10+O28</f>
        <v>221492.40314380001</v>
      </c>
      <c r="K33" s="206" ph="1">
        <f>O10+K10+E28+R28</f>
        <v>248589.52843770001</v>
      </c>
      <c r="L33" s="221" ph="1">
        <f>K19</f>
        <v>33695.223945599995</v>
      </c>
      <c r="M33" s="217" ph="1">
        <f>G10+H10+W28+S28+V28+E10+R19+P28+Q28</f>
        <v>774462.72707219992</v>
      </c>
      <c r="N33" s="206" ph="1">
        <f>L10+P10++G28+H28+AD19+AE19</f>
        <v>226707.1550464</v>
      </c>
      <c r="O33" s="219" ph="1">
        <f>G19</f>
        <v>24847.597840800001</v>
      </c>
      <c r="P33" s="217" ph="1">
        <f>L19</f>
        <v>41354.324279520006</v>
      </c>
      <c r="Q33" s="206" ph="1">
        <f>J10+N10</f>
        <v>183755.65194399998</v>
      </c>
      <c r="R33" s="219" ph="1">
        <f>BE23</f>
        <v>890</v>
      </c>
      <c r="S33" s="217" ph="1">
        <f>X28</f>
        <v>252932.79469559999</v>
      </c>
      <c r="T33" s="206" ph="1">
        <f>X19</f>
        <v>17877.125586039998</v>
      </c>
      <c r="U33" s="227" ph="1">
        <f>BE21</f>
        <v>730</v>
      </c>
      <c r="V33" s="238" ph="1">
        <f ca="1">P19+Q19+S19+M28+N28+J28+D10+AC10+D19+E19+H19+J19+O19+V19+W19+K28+L28</f>
        <v>578991.41324568179</v>
      </c>
      <c r="W33" s="238" ph="1">
        <f>D28+F28+T28+I28</f>
        <v>15450.667446095998</v>
      </c>
      <c r="X33" s="219" ph="1">
        <f>BE29+BE31</f>
        <v>10200</v>
      </c>
      <c r="Y33" s="240" ph="1">
        <f>+Q10+R10+S10+T10+U10+V10+W10+X10+Y10</f>
        <v>229832.44002180002</v>
      </c>
      <c r="Z33" s="225" ph="1">
        <f>T19+U19+Y28+Z10</f>
        <v>339964.21507120004</v>
      </c>
      <c r="AA33" s="227" ph="1">
        <f>BE19</f>
        <v>1440</v>
      </c>
      <c r="AB33" s="229" ph="1">
        <f>I19</f>
        <v>49908.848064000005</v>
      </c>
      <c r="AC33" s="231" ph="1">
        <f>AD10+AB19</f>
        <v>78540.86701680001</v>
      </c>
      <c r="AD33" s="233" ph="1">
        <v>0</v>
      </c>
      <c r="AE33" s="234"/>
      <c r="AH33" s="64" ph="1">
        <v>19</v>
      </c>
      <c r="AI33" s="64" t="s" ph="1">
        <v>358</v>
      </c>
      <c r="AJ33" s="64" t="s" ph="1">
        <v>592</v>
      </c>
      <c r="AK33" s="64" t="s" ph="1">
        <v>589</v>
      </c>
      <c r="AL33" s="64" ph="1">
        <v>730</v>
      </c>
      <c r="AM33" s="64" t="s" ph="1">
        <v>339</v>
      </c>
      <c r="AZ33" s="64" t="s" ph="1">
        <v>216</v>
      </c>
      <c r="BA33" s="64" ph="1">
        <v>730</v>
      </c>
      <c r="BD33" s="64" t="s" ph="1">
        <v>290</v>
      </c>
      <c r="BE33" s="64" ph="1">
        <v>3880</v>
      </c>
    </row>
    <row r="34" spans="1:57" ph="1">
      <c r="A34" s="64"/>
      <c r="B34" s="204" ph="1"/>
      <c r="C34" s="205" ph="1"/>
      <c r="D34" s="207" ph="1"/>
      <c r="E34" s="207" ph="1"/>
      <c r="F34" s="209" ph="1"/>
      <c r="G34" s="211" ph="1"/>
      <c r="H34" s="207" ph="1"/>
      <c r="I34" s="220" ph="1"/>
      <c r="J34" s="218" ph="1"/>
      <c r="K34" s="207" ph="1"/>
      <c r="L34" s="222" ph="1"/>
      <c r="M34" s="218" ph="1"/>
      <c r="N34" s="207" ph="1"/>
      <c r="O34" s="220" ph="1"/>
      <c r="P34" s="218" ph="1"/>
      <c r="Q34" s="207" ph="1"/>
      <c r="R34" s="220" ph="1"/>
      <c r="S34" s="218" ph="1"/>
      <c r="T34" s="207"/>
      <c r="U34" s="228"/>
      <c r="V34" s="239" ph="1"/>
      <c r="W34" s="239" ph="1"/>
      <c r="X34" s="220" ph="1"/>
      <c r="Y34" s="241" ph="1"/>
      <c r="Z34" s="226" ph="1"/>
      <c r="AA34" s="228" ph="1"/>
      <c r="AB34" s="230"/>
      <c r="AC34" s="232"/>
      <c r="AD34" s="235"/>
      <c r="AE34" s="236"/>
      <c r="AH34" s="64" ph="1">
        <v>20</v>
      </c>
      <c r="AI34" s="64" t="s" ph="1">
        <v>359</v>
      </c>
      <c r="AJ34" s="64" t="s" ph="1">
        <v>593</v>
      </c>
      <c r="AK34" s="64" t="s" ph="1">
        <v>589</v>
      </c>
      <c r="AL34" s="64" ph="1">
        <v>720</v>
      </c>
      <c r="AM34" s="64" t="s" ph="1">
        <v>339</v>
      </c>
      <c r="AZ34" s="64" t="s" ph="1">
        <v>216</v>
      </c>
      <c r="BA34" s="64" ph="1">
        <v>720</v>
      </c>
    </row>
    <row r="35" spans="1:57" ph="1">
      <c r="A35" s="64"/>
      <c r="AC35" s="237" t="s" ph="1">
        <v>631</v>
      </c>
      <c r="AD35" s="237"/>
      <c r="AE35" s="237"/>
      <c r="AH35" s="64" ph="1">
        <v>21</v>
      </c>
      <c r="AI35" s="64" t="s" ph="1">
        <v>360</v>
      </c>
      <c r="AZ35" s="64" t="s" ph="1">
        <v>216</v>
      </c>
      <c r="BA35" s="64" ph="1">
        <v>0</v>
      </c>
      <c r="BD35" s="64" t="s" ph="1">
        <v>361</v>
      </c>
      <c r="BE35" s="64" ph="1">
        <v>2030</v>
      </c>
    </row>
    <row r="36" spans="1:57" ht="28.2" ph="1">
      <c r="A36" s="64"/>
      <c r="B36" s="103" t="s" ph="1">
        <v>182</v>
      </c>
      <c r="I36" s="223" t="s" ph="1">
        <v>183</v>
      </c>
      <c r="J36" s="223" ph="1"/>
      <c r="K36" s="101" ph="1"/>
      <c r="P36" s="101" ph="1"/>
      <c r="R36" s="223" t="s" ph="1">
        <v>184</v>
      </c>
      <c r="S36" s="223" ph="1"/>
      <c r="Y36" s="102" ph="1"/>
      <c r="Z36" s="157" t="s" ph="1">
        <v>185</v>
      </c>
      <c r="AA36" s="157" ph="1"/>
      <c r="AB36" s="224" t="s" ph="1">
        <v>640</v>
      </c>
      <c r="AC36" s="224" ph="1"/>
      <c r="AD36" s="224" ph="1"/>
      <c r="AE36" s="224" ph="1"/>
      <c r="BA36" s="64" ph="1">
        <v>2270</v>
      </c>
    </row>
    <row r="37" spans="1:57" s="157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57" t="s" ph="1">
        <v>342</v>
      </c>
      <c r="AI37" s="157" t="s" ph="1">
        <v>209</v>
      </c>
      <c r="AJ37" s="157" t="s" ph="1">
        <v>210</v>
      </c>
      <c r="AK37" s="157" t="s" ph="1">
        <v>211</v>
      </c>
      <c r="AM37" s="157" t="s" ph="1">
        <v>210</v>
      </c>
      <c r="AN37" s="157" t="s" ph="1">
        <v>211</v>
      </c>
      <c r="AO37" s="157" t="s" ph="1">
        <v>212</v>
      </c>
      <c r="AP37" s="157" t="s" ph="1">
        <v>210</v>
      </c>
      <c r="AQ37" s="157" t="s" ph="1">
        <v>211</v>
      </c>
      <c r="AR37" s="157" t="s" ph="1">
        <v>212</v>
      </c>
      <c r="AS37" s="157" t="s" ph="1">
        <v>210</v>
      </c>
      <c r="AT37" s="157" t="s" ph="1">
        <v>211</v>
      </c>
      <c r="AU37" s="157" t="s" ph="1">
        <v>212</v>
      </c>
      <c r="AV37" s="157" t="s" ph="1">
        <v>210</v>
      </c>
      <c r="AW37" s="157" t="s" ph="1">
        <v>211</v>
      </c>
      <c r="AX37" s="157" t="s" ph="1">
        <v>212</v>
      </c>
      <c r="AY37" s="157" t="s" ph="1">
        <v>211</v>
      </c>
      <c r="AZ37" s="157" t="s" ph="1">
        <v>213</v>
      </c>
      <c r="BD37" s="157" t="s" ph="1">
        <v>305</v>
      </c>
      <c r="BE37" s="157" ph="1">
        <v>0</v>
      </c>
    </row>
    <row r="38" spans="1:57" ph="1">
      <c r="AE38" s="64" ph="1"/>
      <c r="AH38" s="64" ph="1">
        <v>1</v>
      </c>
      <c r="AI38" s="64" t="s" ph="1">
        <v>362</v>
      </c>
      <c r="AY38" s="64" t="s" ph="1">
        <v>216</v>
      </c>
      <c r="AZ38" s="64" t="s" ph="1">
        <v>367</v>
      </c>
    </row>
    <row r="39" spans="1:57" ph="1">
      <c r="AH39" s="64" ph="1">
        <v>2</v>
      </c>
      <c r="AI39" s="64" t="s" ph="1">
        <v>364</v>
      </c>
      <c r="AJ39" s="64" t="s" ph="1">
        <v>336</v>
      </c>
      <c r="AK39" s="64" t="s" ph="1">
        <v>365</v>
      </c>
      <c r="AM39" s="64" t="s" ph="1">
        <v>570</v>
      </c>
      <c r="AN39" s="64" t="s" ph="1">
        <v>228</v>
      </c>
      <c r="AO39" s="64" t="s" ph="1">
        <v>363</v>
      </c>
      <c r="AY39" s="64" t="s" ph="1">
        <v>216</v>
      </c>
      <c r="AZ39" s="64" t="s" ph="1">
        <v>499</v>
      </c>
    </row>
    <row r="40" spans="1:57" ph="1">
      <c r="AH40" s="64" ph="1">
        <v>3</v>
      </c>
      <c r="AI40" s="64" t="s" ph="1">
        <v>366</v>
      </c>
      <c r="AJ40" s="64" t="s" ph="1">
        <v>570</v>
      </c>
      <c r="AK40" s="64" t="s" ph="1">
        <v>571</v>
      </c>
      <c r="AY40" s="64" t="s" ph="1">
        <v>216</v>
      </c>
      <c r="AZ40" s="64" t="s" ph="1">
        <v>571</v>
      </c>
    </row>
    <row r="41" spans="1:57" ph="1">
      <c r="AH41" s="64" ph="1">
        <v>4</v>
      </c>
      <c r="AI41" s="64" t="s" ph="1">
        <v>368</v>
      </c>
      <c r="AJ41" s="64" t="s" ph="1">
        <v>572</v>
      </c>
      <c r="AK41" s="64" t="s" ph="1">
        <v>573</v>
      </c>
      <c r="AM41" s="64" t="s" ph="1">
        <v>574</v>
      </c>
      <c r="AY41" s="64" t="s" ph="1">
        <v>216</v>
      </c>
      <c r="AZ41" s="64" t="s" ph="1">
        <v>573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369</v>
      </c>
      <c r="AY42" s="64" t="s" ph="1">
        <v>216</v>
      </c>
      <c r="AZ42" s="64" t="s" ph="1">
        <v>367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370</v>
      </c>
      <c r="AY43" s="64" t="s" ph="1">
        <v>216</v>
      </c>
      <c r="AZ43" s="64" t="s" ph="1">
        <v>367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371</v>
      </c>
      <c r="AV44" s="64" t="s" ph="1">
        <v>217</v>
      </c>
      <c r="AY44" s="64" t="s" ph="1">
        <v>216</v>
      </c>
      <c r="AZ44" s="64" t="s" ph="1">
        <v>367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372</v>
      </c>
      <c r="AV45" s="64" t="s" ph="1">
        <v>217</v>
      </c>
      <c r="AY45" s="64" t="s" ph="1">
        <v>216</v>
      </c>
      <c r="AZ45" s="64" t="s" ph="1">
        <v>367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373</v>
      </c>
      <c r="AV46" s="64" t="s" ph="1">
        <v>217</v>
      </c>
      <c r="AY46" s="64" t="s" ph="1">
        <v>216</v>
      </c>
      <c r="AZ46" s="64" t="s" ph="1">
        <v>367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374</v>
      </c>
      <c r="AV47" s="64" t="s" ph="1">
        <v>217</v>
      </c>
      <c r="AY47" s="64" t="s" ph="1">
        <v>216</v>
      </c>
      <c r="AZ47" s="64" t="s" ph="1">
        <v>367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575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232</v>
      </c>
      <c r="AI49" s="64" t="s" ph="1">
        <v>209</v>
      </c>
      <c r="AJ49" s="64" t="s" ph="1">
        <v>210</v>
      </c>
      <c r="AK49" s="64" t="s" ph="1">
        <v>211</v>
      </c>
      <c r="AM49" s="64" t="s" ph="1">
        <v>210</v>
      </c>
      <c r="AN49" s="64" t="s" ph="1">
        <v>211</v>
      </c>
      <c r="AO49" s="64" t="s" ph="1">
        <v>212</v>
      </c>
      <c r="AP49" s="64" t="s" ph="1">
        <v>210</v>
      </c>
      <c r="AQ49" s="64" t="s" ph="1">
        <v>211</v>
      </c>
      <c r="AR49" s="64" t="s" ph="1">
        <v>212</v>
      </c>
      <c r="AS49" s="64" t="s" ph="1">
        <v>210</v>
      </c>
      <c r="AT49" s="64" t="s" ph="1">
        <v>211</v>
      </c>
      <c r="AU49" s="64" t="s" ph="1">
        <v>212</v>
      </c>
      <c r="AV49" s="64" t="s" ph="1">
        <v>210</v>
      </c>
      <c r="AW49" s="64" t="s" ph="1">
        <v>211</v>
      </c>
      <c r="AX49" s="64" t="s" ph="1">
        <v>212</v>
      </c>
      <c r="AY49" s="64" t="s" ph="1">
        <v>211</v>
      </c>
      <c r="AZ49" s="64" t="s" ph="1">
        <v>213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375</v>
      </c>
      <c r="AY50" s="64" t="s" ph="1">
        <v>216</v>
      </c>
      <c r="AZ50" s="64" t="s" ph="1">
        <v>367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376</v>
      </c>
      <c r="AY51" s="64" t="s" ph="1">
        <v>216</v>
      </c>
      <c r="AZ51" s="64" t="s" ph="1">
        <v>367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377</v>
      </c>
      <c r="AJ52" s="64" t="s" ph="1">
        <v>334</v>
      </c>
      <c r="AK52" s="64" t="s" ph="1">
        <v>228</v>
      </c>
      <c r="AM52" s="64" t="s" ph="1">
        <v>336</v>
      </c>
      <c r="AN52" s="64" t="s" ph="1">
        <v>300</v>
      </c>
      <c r="AO52" s="64" t="s" ph="1">
        <v>233</v>
      </c>
      <c r="AP52" s="64" t="s" ph="1">
        <v>570</v>
      </c>
      <c r="AQ52" s="64" t="s" ph="1">
        <v>282</v>
      </c>
      <c r="AR52" s="64" t="s" ph="1">
        <v>233</v>
      </c>
      <c r="AY52" s="64" t="s" ph="1">
        <v>216</v>
      </c>
      <c r="AZ52" s="64" t="s" ph="1">
        <v>576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378</v>
      </c>
      <c r="AY53" s="64" t="s" ph="1">
        <v>216</v>
      </c>
      <c r="AZ53" s="64" t="s" ph="1">
        <v>367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379</v>
      </c>
      <c r="AJ54" s="64" t="s" ph="1">
        <v>334</v>
      </c>
      <c r="AK54" s="64" t="s" ph="1">
        <v>219</v>
      </c>
      <c r="AM54" s="64" t="s" ph="1">
        <v>336</v>
      </c>
      <c r="AN54" s="64" t="s" ph="1">
        <v>224</v>
      </c>
      <c r="AO54" s="64" t="s" ph="1">
        <v>233</v>
      </c>
      <c r="AP54" s="64" t="s" ph="1">
        <v>570</v>
      </c>
      <c r="AQ54" s="64" t="s" ph="1">
        <v>240</v>
      </c>
      <c r="AR54" s="64" t="s" ph="1">
        <v>233</v>
      </c>
      <c r="AY54" s="64" t="s" ph="1">
        <v>216</v>
      </c>
      <c r="AZ54" s="64" t="s" ph="1">
        <v>234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380</v>
      </c>
      <c r="AY55" s="64" t="s" ph="1">
        <v>216</v>
      </c>
      <c r="AZ55" s="64" t="s" ph="1">
        <v>367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381</v>
      </c>
      <c r="AY56" s="64" t="s" ph="1">
        <v>216</v>
      </c>
      <c r="AZ56" s="64" t="s" ph="1">
        <v>367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382</v>
      </c>
      <c r="AY57" s="64" t="s" ph="1">
        <v>216</v>
      </c>
      <c r="AZ57" s="64" t="s" ph="1">
        <v>367</v>
      </c>
    </row>
    <row r="58" spans="16:52" ph="1">
      <c r="P58" s="64"/>
      <c r="AN58" s="64" t="s" ph="1">
        <v>217</v>
      </c>
      <c r="AZ58" s="64" t="s" ph="1">
        <v>577</v>
      </c>
    </row>
    <row r="59" spans="16:52" ph="1">
      <c r="V59" s="64"/>
      <c r="AG59" s="64" t="s" ph="1">
        <v>235</v>
      </c>
      <c r="AI59" s="64" t="s" ph="1">
        <v>209</v>
      </c>
      <c r="AJ59" s="64" t="s" ph="1">
        <v>210</v>
      </c>
      <c r="AK59" s="64" t="s" ph="1">
        <v>211</v>
      </c>
      <c r="AM59" s="64" t="s" ph="1">
        <v>210</v>
      </c>
      <c r="AN59" s="64" t="s" ph="1">
        <v>211</v>
      </c>
      <c r="AO59" s="64" t="s" ph="1">
        <v>212</v>
      </c>
      <c r="AP59" s="64" t="s" ph="1">
        <v>210</v>
      </c>
      <c r="AQ59" s="64" t="s" ph="1">
        <v>211</v>
      </c>
      <c r="AR59" s="64" t="s" ph="1">
        <v>212</v>
      </c>
      <c r="AS59" s="64" t="s" ph="1">
        <v>210</v>
      </c>
      <c r="AT59" s="64" t="s" ph="1">
        <v>211</v>
      </c>
      <c r="AU59" s="64" t="s" ph="1">
        <v>212</v>
      </c>
      <c r="AV59" s="64" t="s" ph="1">
        <v>210</v>
      </c>
      <c r="AW59" s="64" t="s" ph="1">
        <v>211</v>
      </c>
      <c r="AX59" s="64" t="s" ph="1">
        <v>212</v>
      </c>
      <c r="AY59" s="64" t="s" ph="1">
        <v>211</v>
      </c>
      <c r="AZ59" s="64" t="s" ph="1">
        <v>213</v>
      </c>
    </row>
    <row r="60" spans="16:52" ph="1">
      <c r="R60" s="64"/>
      <c r="S60" s="64"/>
      <c r="T60" s="64"/>
      <c r="AH60" s="64" ph="1">
        <v>1</v>
      </c>
      <c r="AI60" s="64" t="s" ph="1">
        <v>383</v>
      </c>
      <c r="AY60" s="64" t="s" ph="1">
        <v>216</v>
      </c>
      <c r="AZ60" s="64" t="s" ph="1">
        <v>367</v>
      </c>
    </row>
    <row r="61" spans="16:52" ph="1">
      <c r="AH61" s="64" ph="1">
        <v>2</v>
      </c>
      <c r="AI61" s="64" t="s" ph="1">
        <v>384</v>
      </c>
      <c r="AS61" s="64" t="s" ph="1">
        <v>217</v>
      </c>
      <c r="AY61" s="64" t="s" ph="1">
        <v>216</v>
      </c>
      <c r="AZ61" s="64" t="s" ph="1">
        <v>367</v>
      </c>
    </row>
    <row r="62" spans="16:52" ph="1">
      <c r="AZ62" s="64" t="s" ph="1">
        <v>385</v>
      </c>
    </row>
    <row r="63" spans="16:52" ph="1">
      <c r="AG63" s="64" t="s" ph="1">
        <v>238</v>
      </c>
      <c r="AI63" s="64" t="s" ph="1">
        <v>209</v>
      </c>
      <c r="AJ63" s="64" t="s" ph="1">
        <v>210</v>
      </c>
      <c r="AK63" s="64" t="s" ph="1">
        <v>211</v>
      </c>
      <c r="AM63" s="64" t="s" ph="1">
        <v>210</v>
      </c>
      <c r="AN63" s="64" t="s" ph="1">
        <v>211</v>
      </c>
      <c r="AO63" s="64" t="s" ph="1">
        <v>212</v>
      </c>
      <c r="AP63" s="64" t="s" ph="1">
        <v>210</v>
      </c>
      <c r="AQ63" s="64" t="s" ph="1">
        <v>211</v>
      </c>
      <c r="AR63" s="64" t="s" ph="1">
        <v>212</v>
      </c>
      <c r="AS63" s="64" t="s" ph="1">
        <v>210</v>
      </c>
      <c r="AT63" s="64" t="s" ph="1">
        <v>211</v>
      </c>
      <c r="AU63" s="64" t="s" ph="1">
        <v>212</v>
      </c>
      <c r="AV63" s="64" t="s" ph="1">
        <v>210</v>
      </c>
      <c r="AW63" s="64" t="s" ph="1">
        <v>211</v>
      </c>
      <c r="AX63" s="64" t="s" ph="1">
        <v>212</v>
      </c>
      <c r="AY63" s="64" t="s" ph="1">
        <v>211</v>
      </c>
      <c r="AZ63" s="64" t="s" ph="1">
        <v>213</v>
      </c>
    </row>
    <row r="64" spans="16:52" ph="1">
      <c r="AH64" s="64" ph="1">
        <v>1</v>
      </c>
      <c r="AI64" s="64" t="s" ph="1">
        <v>386</v>
      </c>
      <c r="AJ64" s="64" t="s" ph="1">
        <v>387</v>
      </c>
      <c r="AK64" s="64" t="s" ph="1">
        <v>388</v>
      </c>
      <c r="AY64" s="64" t="s" ph="1">
        <v>216</v>
      </c>
      <c r="AZ64" s="64" t="s" ph="1">
        <v>388</v>
      </c>
    </row>
    <row r="65" spans="33:52" ph="1">
      <c r="AH65" s="64" ph="1">
        <v>2</v>
      </c>
      <c r="AI65" s="64" t="s" ph="1">
        <v>389</v>
      </c>
      <c r="AY65" s="64" t="s" ph="1">
        <v>216</v>
      </c>
      <c r="AZ65" s="64" t="s" ph="1">
        <v>367</v>
      </c>
    </row>
    <row r="66" spans="33:52" ph="1">
      <c r="AH66" s="64" ph="1">
        <v>3</v>
      </c>
      <c r="AI66" s="64" t="s" ph="1">
        <v>390</v>
      </c>
      <c r="AY66" s="64" t="s" ph="1">
        <v>216</v>
      </c>
      <c r="AZ66" s="64" t="s" ph="1">
        <v>367</v>
      </c>
    </row>
    <row r="67" spans="33:52" ph="1">
      <c r="AH67" s="64" ph="1">
        <v>4</v>
      </c>
      <c r="AI67" s="64" t="s" ph="1">
        <v>391</v>
      </c>
      <c r="AY67" s="64" t="s" ph="1">
        <v>216</v>
      </c>
      <c r="AZ67" s="64" t="s" ph="1">
        <v>367</v>
      </c>
    </row>
    <row r="68" spans="33:52" ph="1">
      <c r="AH68" s="64" ph="1">
        <v>5</v>
      </c>
      <c r="AI68" s="64" t="s" ph="1">
        <v>392</v>
      </c>
      <c r="AY68" s="64" t="s" ph="1">
        <v>216</v>
      </c>
      <c r="AZ68" s="64" t="s" ph="1">
        <v>367</v>
      </c>
    </row>
    <row r="69" spans="33:52" ph="1">
      <c r="AH69" s="64" ph="1">
        <v>6</v>
      </c>
      <c r="AI69" s="64" t="s" ph="1">
        <v>393</v>
      </c>
      <c r="AY69" s="64" t="s" ph="1">
        <v>216</v>
      </c>
      <c r="AZ69" s="64" t="s" ph="1">
        <v>367</v>
      </c>
    </row>
    <row r="70" spans="33:52" ph="1">
      <c r="AI70" s="64" t="s" ph="1">
        <v>394</v>
      </c>
      <c r="AY70" s="64" t="s" ph="1">
        <v>216</v>
      </c>
      <c r="AZ70" s="64" t="s" ph="1">
        <v>367</v>
      </c>
    </row>
    <row r="71" spans="33:52" ph="1">
      <c r="AH71" s="64" ph="1">
        <v>7</v>
      </c>
      <c r="AI71" s="64" t="s" ph="1">
        <v>395</v>
      </c>
      <c r="AJ71" s="64" t="s" ph="1">
        <v>334</v>
      </c>
      <c r="AK71" s="64" t="s" ph="1">
        <v>228</v>
      </c>
      <c r="AM71" s="64" t="s" ph="1">
        <v>336</v>
      </c>
      <c r="AN71" s="64" t="s" ph="1">
        <v>228</v>
      </c>
      <c r="AO71" s="64" t="s" ph="1">
        <v>396</v>
      </c>
      <c r="AP71" s="64" t="s" ph="1">
        <v>570</v>
      </c>
      <c r="AQ71" s="64" t="s" ph="1">
        <v>219</v>
      </c>
      <c r="AR71" s="64" t="s" ph="1">
        <v>396</v>
      </c>
      <c r="AY71" s="64" t="s" ph="1">
        <v>216</v>
      </c>
      <c r="AZ71" s="64" t="s" ph="1">
        <v>578</v>
      </c>
    </row>
    <row r="72" spans="33:52" ph="1">
      <c r="AZ72" s="64" t="s" ph="1">
        <v>579</v>
      </c>
    </row>
    <row r="73" spans="33:52" ph="1">
      <c r="AG73" s="64" t="s" ph="1">
        <v>241</v>
      </c>
      <c r="AI73" s="64" t="s" ph="1">
        <v>209</v>
      </c>
      <c r="AJ73" s="64" t="s" ph="1">
        <v>210</v>
      </c>
      <c r="AK73" s="64" t="s" ph="1">
        <v>211</v>
      </c>
      <c r="AM73" s="64" t="s" ph="1">
        <v>210</v>
      </c>
      <c r="AN73" s="64" t="s" ph="1">
        <v>211</v>
      </c>
      <c r="AO73" s="64" t="s" ph="1">
        <v>212</v>
      </c>
      <c r="AP73" s="64" t="s" ph="1">
        <v>210</v>
      </c>
      <c r="AQ73" s="64" t="s" ph="1">
        <v>211</v>
      </c>
      <c r="AR73" s="64" t="s" ph="1">
        <v>212</v>
      </c>
      <c r="AS73" s="64" t="s" ph="1">
        <v>210</v>
      </c>
      <c r="AT73" s="64" t="s" ph="1">
        <v>211</v>
      </c>
      <c r="AU73" s="64" t="s" ph="1">
        <v>212</v>
      </c>
      <c r="AV73" s="64" t="s" ph="1">
        <v>210</v>
      </c>
      <c r="AW73" s="64" t="s" ph="1">
        <v>211</v>
      </c>
      <c r="AX73" s="64" t="s" ph="1">
        <v>212</v>
      </c>
      <c r="AY73" s="64" t="s" ph="1">
        <v>211</v>
      </c>
      <c r="AZ73" s="64" t="s" ph="1">
        <v>213</v>
      </c>
    </row>
    <row r="74" spans="33:52" ph="1">
      <c r="AH74" s="64" ph="1">
        <v>1</v>
      </c>
      <c r="AI74" s="64" t="s" ph="1">
        <v>397</v>
      </c>
      <c r="AJ74" s="64" t="s" ph="1">
        <v>242</v>
      </c>
      <c r="AK74" s="64" t="s" ph="1">
        <v>224</v>
      </c>
      <c r="AM74" s="64" t="s" ph="1">
        <v>244</v>
      </c>
      <c r="AN74" s="64" t="s" ph="1">
        <v>254</v>
      </c>
      <c r="AO74" s="64" t="s" ph="1">
        <v>243</v>
      </c>
      <c r="AP74" s="64" t="s" ph="1">
        <v>245</v>
      </c>
      <c r="AQ74" s="64" t="s" ph="1">
        <v>222</v>
      </c>
      <c r="AR74" s="64" t="s" ph="1">
        <v>243</v>
      </c>
      <c r="AS74" s="64" t="s" ph="1">
        <v>215</v>
      </c>
      <c r="AT74" s="64" t="s" ph="1">
        <v>217</v>
      </c>
      <c r="AV74" s="64" t="s" ph="1">
        <v>398</v>
      </c>
      <c r="AW74" s="64" t="s" ph="1">
        <v>399</v>
      </c>
      <c r="AX74" s="64" t="s" ph="1">
        <v>400</v>
      </c>
      <c r="AY74" s="64" t="s" ph="1">
        <v>216</v>
      </c>
      <c r="AZ74" s="64" t="s" ph="1">
        <v>401</v>
      </c>
    </row>
    <row r="75" spans="33:52" ph="1">
      <c r="AJ75" s="64" t="s" ph="1">
        <v>247</v>
      </c>
      <c r="AK75" s="64" t="s" ph="1">
        <v>300</v>
      </c>
      <c r="AM75" s="64" t="s" ph="1">
        <v>245</v>
      </c>
      <c r="AN75" s="64" t="s" ph="1">
        <v>225</v>
      </c>
      <c r="AO75" s="64" t="s" ph="1">
        <v>243</v>
      </c>
      <c r="AS75" s="64" t="s" ph="1">
        <v>215</v>
      </c>
      <c r="AT75" s="64" t="s" ph="1">
        <v>246</v>
      </c>
    </row>
    <row r="76" spans="33:52" ph="1">
      <c r="AJ76" s="64" t="s" ph="1">
        <v>247</v>
      </c>
      <c r="AK76" s="64" t="s" ph="1">
        <v>240</v>
      </c>
      <c r="AM76" s="64" t="s" ph="1">
        <v>245</v>
      </c>
      <c r="AN76" s="64" t="s" ph="1">
        <v>228</v>
      </c>
      <c r="AO76" s="64" t="s" ph="1">
        <v>243</v>
      </c>
      <c r="AS76" s="64" t="s" ph="1">
        <v>215</v>
      </c>
      <c r="AT76" s="64" t="s" ph="1">
        <v>246</v>
      </c>
    </row>
    <row r="77" spans="33:52" ph="1">
      <c r="AJ77" s="64" t="s" ph="1">
        <v>283</v>
      </c>
      <c r="AK77" s="64" t="s" ph="1">
        <v>240</v>
      </c>
      <c r="AM77" s="64" t="s" ph="1">
        <v>284</v>
      </c>
      <c r="AN77" s="64" t="s" ph="1">
        <v>223</v>
      </c>
      <c r="AO77" s="64" t="s" ph="1">
        <v>243</v>
      </c>
      <c r="AS77" s="64" t="s" ph="1">
        <v>215</v>
      </c>
      <c r="AT77" s="64" t="s" ph="1">
        <v>285</v>
      </c>
    </row>
    <row r="78" spans="33:52" ph="1">
      <c r="AH78" s="64" ph="1">
        <v>2</v>
      </c>
      <c r="AI78" s="64" t="s" ph="1">
        <v>249</v>
      </c>
      <c r="AJ78" s="64" t="s" ph="1">
        <v>250</v>
      </c>
      <c r="AK78" s="64" t="s" ph="1">
        <v>219</v>
      </c>
      <c r="AM78" s="64" t="s" ph="1">
        <v>251</v>
      </c>
      <c r="AN78" s="64" t="s" ph="1">
        <v>254</v>
      </c>
      <c r="AO78" s="64" t="s" ph="1">
        <v>243</v>
      </c>
      <c r="AP78" s="64" t="s" ph="1">
        <v>252</v>
      </c>
      <c r="AQ78" s="64" t="s" ph="1">
        <v>298</v>
      </c>
      <c r="AR78" s="64" t="s" ph="1">
        <v>243</v>
      </c>
      <c r="AS78" s="64" t="s" ph="1">
        <v>253</v>
      </c>
      <c r="AT78" s="64" t="s" ph="1">
        <v>254</v>
      </c>
      <c r="AU78" s="64" t="s" ph="1">
        <v>243</v>
      </c>
      <c r="AV78" s="64" t="s" ph="1">
        <v>255</v>
      </c>
      <c r="AW78" s="64" t="s" ph="1">
        <v>243</v>
      </c>
      <c r="AY78" s="64" t="s" ph="1">
        <v>216</v>
      </c>
      <c r="AZ78" s="64" t="s" ph="1">
        <v>402</v>
      </c>
    </row>
    <row r="79" spans="33:52" ph="1">
      <c r="AJ79" s="64" t="s" ph="1">
        <v>245</v>
      </c>
      <c r="AK79" s="64" t="s" ph="1">
        <v>256</v>
      </c>
      <c r="AM79" s="64" t="s" ph="1">
        <v>257</v>
      </c>
      <c r="AN79" s="64" t="s" ph="1">
        <v>225</v>
      </c>
      <c r="AO79" s="64" t="s" ph="1">
        <v>243</v>
      </c>
      <c r="AP79" s="64" t="s" ph="1">
        <v>258</v>
      </c>
      <c r="AQ79" s="64" t="s" ph="1">
        <v>223</v>
      </c>
      <c r="AR79" s="64" t="s" ph="1">
        <v>259</v>
      </c>
      <c r="AS79" s="64" t="s" ph="1">
        <v>215</v>
      </c>
      <c r="AT79" s="64" t="s" ph="1">
        <v>260</v>
      </c>
      <c r="AV79" s="64" t="s" ph="1">
        <v>403</v>
      </c>
      <c r="AW79" s="64" t="s" ph="1">
        <v>302</v>
      </c>
      <c r="AX79" s="64" t="s" ph="1">
        <v>400</v>
      </c>
    </row>
    <row r="80" spans="33:52" ph="1">
      <c r="AH80" s="64" ph="1">
        <v>3</v>
      </c>
      <c r="AI80" s="64" t="s" ph="1">
        <v>261</v>
      </c>
      <c r="AJ80" s="64" t="s" ph="1">
        <v>262</v>
      </c>
      <c r="AK80" s="64" t="s" ph="1">
        <v>263</v>
      </c>
      <c r="AM80" s="64" t="s" ph="1">
        <v>264</v>
      </c>
      <c r="AN80" s="64" t="s" ph="1">
        <v>254</v>
      </c>
      <c r="AO80" s="64" t="s" ph="1">
        <v>243</v>
      </c>
      <c r="AP80" s="64" t="s" ph="1">
        <v>265</v>
      </c>
      <c r="AQ80" s="64" t="s" ph="1">
        <v>228</v>
      </c>
      <c r="AR80" s="64" t="s" ph="1">
        <v>243</v>
      </c>
      <c r="AS80" s="64" t="s" ph="1">
        <v>266</v>
      </c>
      <c r="AT80" s="64" t="s" ph="1">
        <v>227</v>
      </c>
      <c r="AU80" s="64" t="s" ph="1">
        <v>243</v>
      </c>
      <c r="AV80" s="64" t="s" ph="1">
        <v>267</v>
      </c>
      <c r="AW80" s="64" t="s" ph="1">
        <v>243</v>
      </c>
      <c r="AY80" s="64" t="s" ph="1">
        <v>216</v>
      </c>
      <c r="AZ80" s="64" t="s" ph="1">
        <v>404</v>
      </c>
    </row>
    <row r="81" spans="34:52" ph="1">
      <c r="AJ81" s="64" t="s" ph="1">
        <v>268</v>
      </c>
      <c r="AK81" s="64" t="s" ph="1">
        <v>222</v>
      </c>
      <c r="AM81" s="64" t="s" ph="1">
        <v>269</v>
      </c>
      <c r="AN81" s="64" t="s" ph="1">
        <v>225</v>
      </c>
      <c r="AO81" s="64" t="s" ph="1">
        <v>243</v>
      </c>
      <c r="AP81" s="64" t="s" ph="1">
        <v>270</v>
      </c>
      <c r="AQ81" s="64" t="s" ph="1">
        <v>254</v>
      </c>
      <c r="AR81" s="64" t="s" ph="1">
        <v>243</v>
      </c>
      <c r="AS81" s="64" t="s" ph="1">
        <v>271</v>
      </c>
      <c r="AT81" s="64" t="s" ph="1">
        <v>272</v>
      </c>
      <c r="AU81" s="64" t="s" ph="1">
        <v>243</v>
      </c>
      <c r="AV81" s="64" t="s" ph="1">
        <v>273</v>
      </c>
    </row>
    <row r="82" spans="34:52" ph="1">
      <c r="AJ82" s="64" t="s" ph="1">
        <v>274</v>
      </c>
      <c r="AK82" s="64" t="s" ph="1">
        <v>222</v>
      </c>
      <c r="AM82" s="64" t="s" ph="1">
        <v>275</v>
      </c>
      <c r="AN82" s="64" t="s" ph="1">
        <v>272</v>
      </c>
      <c r="AO82" s="64" t="s" ph="1">
        <v>276</v>
      </c>
      <c r="AP82" s="64" t="s" ph="1">
        <v>277</v>
      </c>
      <c r="AQ82" s="64" t="s" ph="1">
        <v>254</v>
      </c>
      <c r="AR82" s="64" t="s" ph="1">
        <v>243</v>
      </c>
      <c r="AS82" s="64" t="s" ph="1">
        <v>278</v>
      </c>
      <c r="AT82" s="64" t="s" ph="1">
        <v>229</v>
      </c>
      <c r="AU82" s="64" t="s" ph="1">
        <v>243</v>
      </c>
      <c r="AV82" s="64" t="s" ph="1">
        <v>403</v>
      </c>
      <c r="AW82" s="64" t="s" ph="1">
        <v>303</v>
      </c>
      <c r="AX82" s="64" t="s" ph="1">
        <v>400</v>
      </c>
    </row>
    <row r="83" spans="34:52" ph="1">
      <c r="AJ83" s="64" t="s" ph="1">
        <v>279</v>
      </c>
      <c r="AK83" s="64" t="s" ph="1">
        <v>296</v>
      </c>
      <c r="AM83" s="64" t="s" ph="1">
        <v>280</v>
      </c>
      <c r="AN83" s="64" t="s" ph="1">
        <v>228</v>
      </c>
      <c r="AO83" s="64" t="s" ph="1">
        <v>259</v>
      </c>
      <c r="AP83" s="64" t="s" ph="1">
        <v>281</v>
      </c>
      <c r="AQ83" s="64" t="s" ph="1">
        <v>282</v>
      </c>
      <c r="AR83" s="64" t="s" ph="1">
        <v>259</v>
      </c>
      <c r="AS83" s="64" t="s" ph="1">
        <v>405</v>
      </c>
      <c r="AT83" s="64" t="s" ph="1">
        <v>254</v>
      </c>
      <c r="AU83" s="64" t="s" ph="1">
        <v>259</v>
      </c>
      <c r="AV83" s="64" t="s" ph="1">
        <v>406</v>
      </c>
      <c r="AW83" s="64" t="s" ph="1">
        <v>303</v>
      </c>
      <c r="AX83" s="64" t="s" ph="1">
        <v>407</v>
      </c>
    </row>
    <row r="84" spans="34:52" ph="1">
      <c r="AH84" s="64" ph="1">
        <v>4</v>
      </c>
      <c r="AI84" s="64" t="s" ph="1">
        <v>286</v>
      </c>
      <c r="AJ84" s="64" t="s" ph="1">
        <v>226</v>
      </c>
      <c r="AK84" s="64" t="s" ph="1">
        <v>229</v>
      </c>
      <c r="AM84" s="64" t="s" ph="1">
        <v>230</v>
      </c>
      <c r="AN84" s="64" t="s" ph="1">
        <v>223</v>
      </c>
      <c r="AO84" s="64" t="s" ph="1">
        <v>259</v>
      </c>
      <c r="AP84" s="64" t="s" ph="1">
        <v>288</v>
      </c>
      <c r="AQ84" s="64" t="s" ph="1">
        <v>222</v>
      </c>
      <c r="AR84" s="64" t="s" ph="1">
        <v>259</v>
      </c>
      <c r="AS84" s="64" t="s" ph="1">
        <v>288</v>
      </c>
      <c r="AT84" s="64" t="s" ph="1">
        <v>224</v>
      </c>
      <c r="AU84" s="64" t="s" ph="1">
        <v>259</v>
      </c>
      <c r="AY84" s="64" t="s" ph="1">
        <v>216</v>
      </c>
      <c r="AZ84" s="64" t="s" ph="1">
        <v>408</v>
      </c>
    </row>
    <row r="85" spans="34:52" ph="1">
      <c r="AJ85" s="64" t="s" ph="1">
        <v>218</v>
      </c>
      <c r="AK85" s="64" t="s" ph="1">
        <v>222</v>
      </c>
      <c r="AM85" s="64" t="s" ph="1">
        <v>409</v>
      </c>
      <c r="AN85" s="64" t="s" ph="1">
        <v>229</v>
      </c>
      <c r="AO85" s="64" t="s" ph="1">
        <v>259</v>
      </c>
      <c r="AP85" s="64" t="s" ph="1">
        <v>410</v>
      </c>
      <c r="AQ85" s="64" t="s" ph="1">
        <v>225</v>
      </c>
      <c r="AR85" s="64" t="s" ph="1">
        <v>259</v>
      </c>
      <c r="AS85" s="64" t="s" ph="1">
        <v>411</v>
      </c>
      <c r="AT85" s="64" t="s" ph="1">
        <v>225</v>
      </c>
      <c r="AU85" s="64" t="s" ph="1">
        <v>259</v>
      </c>
    </row>
    <row r="86" spans="34:52" ph="1">
      <c r="AJ86" s="64" t="s" ph="1">
        <v>412</v>
      </c>
      <c r="AK86" s="64" t="s" ph="1">
        <v>231</v>
      </c>
      <c r="AM86" s="64" t="s" ph="1">
        <v>413</v>
      </c>
      <c r="AN86" s="64" t="s" ph="1">
        <v>272</v>
      </c>
      <c r="AO86" s="64" t="s" ph="1">
        <v>259</v>
      </c>
      <c r="AP86" s="64" t="s" ph="1">
        <v>414</v>
      </c>
      <c r="AQ86" s="64" t="s" ph="1">
        <v>219</v>
      </c>
      <c r="AR86" s="64" t="s" ph="1">
        <v>259</v>
      </c>
      <c r="AS86" s="64" t="s" ph="1">
        <v>415</v>
      </c>
      <c r="AT86" s="64" t="s" ph="1">
        <v>237</v>
      </c>
      <c r="AU86" s="64" t="s" ph="1">
        <v>259</v>
      </c>
    </row>
    <row r="87" spans="34:52" ph="1">
      <c r="AJ87" s="64" t="s" ph="1">
        <v>416</v>
      </c>
      <c r="AK87" s="64" t="s" ph="1">
        <v>272</v>
      </c>
      <c r="AM87" s="64" t="s" ph="1">
        <v>403</v>
      </c>
      <c r="AN87" s="64" t="s" ph="1">
        <v>417</v>
      </c>
      <c r="AO87" s="64" t="s" ph="1">
        <v>400</v>
      </c>
    </row>
    <row r="88" spans="34:52" ph="1">
      <c r="AH88" s="64" ph="1">
        <v>5</v>
      </c>
      <c r="AI88" s="64" t="s" ph="1">
        <v>289</v>
      </c>
      <c r="AJ88" s="64" t="s" ph="1">
        <v>418</v>
      </c>
      <c r="AK88" s="64" t="s" ph="1">
        <v>272</v>
      </c>
      <c r="AM88" s="64" t="s" ph="1">
        <v>419</v>
      </c>
      <c r="AN88" s="64" t="s" ph="1">
        <v>272</v>
      </c>
      <c r="AO88" s="64" t="s" ph="1">
        <v>259</v>
      </c>
      <c r="AP88" s="64" t="s" ph="1">
        <v>420</v>
      </c>
      <c r="AQ88" s="64" t="s" ph="1">
        <v>222</v>
      </c>
      <c r="AR88" s="64" t="s" ph="1">
        <v>259</v>
      </c>
      <c r="AS88" s="64" t="s" ph="1">
        <v>421</v>
      </c>
      <c r="AT88" s="64" t="s" ph="1">
        <v>272</v>
      </c>
      <c r="AU88" s="64" t="s" ph="1">
        <v>259</v>
      </c>
      <c r="AV88" s="64" t="s" ph="1">
        <v>422</v>
      </c>
      <c r="AW88" s="64" t="s" ph="1">
        <v>227</v>
      </c>
      <c r="AX88" s="64" t="s" ph="1">
        <v>259</v>
      </c>
      <c r="AY88" s="64" t="s" ph="1">
        <v>216</v>
      </c>
      <c r="AZ88" s="64" t="s" ph="1">
        <v>423</v>
      </c>
    </row>
    <row r="89" spans="34:52" ph="1">
      <c r="AJ89" s="64" t="s" ph="1">
        <v>424</v>
      </c>
      <c r="AK89" s="64" t="s" ph="1">
        <v>225</v>
      </c>
      <c r="AM89" s="64" t="s" ph="1">
        <v>425</v>
      </c>
      <c r="AN89" s="64" t="s" ph="1">
        <v>228</v>
      </c>
      <c r="AO89" s="64" t="s" ph="1">
        <v>259</v>
      </c>
      <c r="AP89" s="64" t="s" ph="1">
        <v>426</v>
      </c>
      <c r="AQ89" s="64" t="s" ph="1">
        <v>237</v>
      </c>
      <c r="AR89" s="64" t="s" ph="1">
        <v>259</v>
      </c>
      <c r="AS89" s="64" t="s" ph="1">
        <v>427</v>
      </c>
      <c r="AT89" s="64" t="s" ph="1">
        <v>272</v>
      </c>
      <c r="AU89" s="64" t="s" ph="1">
        <v>259</v>
      </c>
      <c r="AV89" s="64" t="s" ph="1">
        <v>428</v>
      </c>
      <c r="AW89" s="64" t="s" ph="1">
        <v>254</v>
      </c>
      <c r="AX89" s="64" t="s" ph="1">
        <v>287</v>
      </c>
    </row>
    <row r="90" spans="34:52" ph="1">
      <c r="AJ90" s="64" t="s" ph="1">
        <v>429</v>
      </c>
      <c r="AK90" s="64" t="s" ph="1">
        <v>228</v>
      </c>
      <c r="AM90" s="64" t="s" ph="1">
        <v>430</v>
      </c>
      <c r="AN90" s="64" t="s" ph="1">
        <v>225</v>
      </c>
      <c r="AO90" s="64" t="s" ph="1">
        <v>259</v>
      </c>
      <c r="AP90" s="64" t="s" ph="1">
        <v>431</v>
      </c>
      <c r="AQ90" s="64" t="s" ph="1">
        <v>294</v>
      </c>
      <c r="AR90" s="64" t="s" ph="1">
        <v>259</v>
      </c>
      <c r="AS90" s="64" t="s" ph="1">
        <v>432</v>
      </c>
      <c r="AT90" s="64" t="s" ph="1">
        <v>282</v>
      </c>
      <c r="AU90" s="64" t="s" ph="1">
        <v>259</v>
      </c>
      <c r="AV90" s="64" t="s" ph="1">
        <v>433</v>
      </c>
      <c r="AW90" s="64" t="s" ph="1">
        <v>219</v>
      </c>
      <c r="AX90" s="64" t="s" ph="1">
        <v>259</v>
      </c>
    </row>
    <row r="91" spans="34:52" ph="1">
      <c r="AJ91" s="64" t="s" ph="1">
        <v>434</v>
      </c>
      <c r="AK91" s="64" t="s" ph="1">
        <v>272</v>
      </c>
      <c r="AM91" s="64" t="s" ph="1">
        <v>435</v>
      </c>
      <c r="AN91" s="64" t="s" ph="1">
        <v>239</v>
      </c>
      <c r="AO91" s="64" t="s" ph="1">
        <v>259</v>
      </c>
      <c r="AP91" s="64" t="s" ph="1">
        <v>436</v>
      </c>
      <c r="AQ91" s="64" t="s" ph="1">
        <v>219</v>
      </c>
      <c r="AS91" s="64" t="s" ph="1">
        <v>403</v>
      </c>
      <c r="AT91" s="64" t="s" ph="1">
        <v>399</v>
      </c>
      <c r="AU91" s="64" t="s" ph="1">
        <v>400</v>
      </c>
    </row>
    <row r="92" spans="34:52" ph="1">
      <c r="AH92" s="64" ph="1">
        <v>6</v>
      </c>
      <c r="AI92" s="64" t="s" ph="1">
        <v>437</v>
      </c>
      <c r="AJ92" s="64" t="s" ph="1">
        <v>438</v>
      </c>
      <c r="AK92" s="64" t="s" ph="1">
        <v>367</v>
      </c>
      <c r="AM92" s="64" t="s" ph="1">
        <v>439</v>
      </c>
      <c r="AN92" s="64" t="s" ph="1">
        <v>227</v>
      </c>
      <c r="AO92" s="64" t="s" ph="1">
        <v>259</v>
      </c>
      <c r="AP92" s="64" t="s" ph="1">
        <v>440</v>
      </c>
      <c r="AQ92" s="64" t="s" ph="1">
        <v>299</v>
      </c>
      <c r="AR92" s="64" t="s" ph="1">
        <v>259</v>
      </c>
      <c r="AS92" s="64" t="s" ph="1">
        <v>441</v>
      </c>
      <c r="AT92" s="64" t="s" ph="1">
        <v>272</v>
      </c>
      <c r="AU92" s="64" t="s" ph="1">
        <v>259</v>
      </c>
      <c r="AV92" s="64" t="s" ph="1">
        <v>442</v>
      </c>
      <c r="AW92" s="64" t="s" ph="1">
        <v>228</v>
      </c>
      <c r="AX92" s="64" t="s" ph="1">
        <v>259</v>
      </c>
      <c r="AY92" s="64" t="s" ph="1">
        <v>216</v>
      </c>
      <c r="AZ92" s="64" t="s" ph="1">
        <v>423</v>
      </c>
    </row>
    <row r="93" spans="34:52" ph="1">
      <c r="AJ93" s="64" t="s" ph="1">
        <v>443</v>
      </c>
      <c r="AK93" s="64" t="s" ph="1">
        <v>222</v>
      </c>
      <c r="AM93" s="64" t="s" ph="1">
        <v>444</v>
      </c>
      <c r="AN93" s="64" t="s" ph="1">
        <v>227</v>
      </c>
      <c r="AO93" s="64" t="s" ph="1">
        <v>259</v>
      </c>
      <c r="AP93" s="64" t="s" ph="1">
        <v>445</v>
      </c>
      <c r="AQ93" s="64" t="s" ph="1">
        <v>231</v>
      </c>
      <c r="AR93" s="64" t="s" ph="1">
        <v>259</v>
      </c>
      <c r="AS93" s="64" t="s" ph="1">
        <v>446</v>
      </c>
      <c r="AT93" s="64" t="s" ph="1">
        <v>237</v>
      </c>
      <c r="AU93" s="64" t="s" ph="1">
        <v>259</v>
      </c>
      <c r="AV93" s="64" t="s" ph="1">
        <v>447</v>
      </c>
      <c r="AW93" s="64" t="s" ph="1">
        <v>231</v>
      </c>
      <c r="AX93" s="64" t="s" ph="1">
        <v>259</v>
      </c>
    </row>
    <row r="94" spans="34:52" ph="1">
      <c r="AJ94" s="64" t="s" ph="1">
        <v>448</v>
      </c>
      <c r="AK94" s="64" t="s" ph="1">
        <v>294</v>
      </c>
      <c r="AM94" s="64" t="s" ph="1">
        <v>449</v>
      </c>
      <c r="AN94" s="64" t="s" ph="1">
        <v>231</v>
      </c>
      <c r="AO94" s="64" t="s" ph="1">
        <v>259</v>
      </c>
      <c r="AP94" s="64" t="s" ph="1">
        <v>450</v>
      </c>
      <c r="AQ94" s="64" t="s" ph="1">
        <v>239</v>
      </c>
      <c r="AR94" s="64" t="s" ph="1">
        <v>259</v>
      </c>
      <c r="AS94" s="64" t="s" ph="1">
        <v>451</v>
      </c>
      <c r="AT94" s="64" t="s" ph="1">
        <v>225</v>
      </c>
      <c r="AU94" s="64" t="s" ph="1">
        <v>259</v>
      </c>
      <c r="AV94" s="64" t="s" ph="1">
        <v>452</v>
      </c>
      <c r="AW94" s="64" t="s" ph="1">
        <v>225</v>
      </c>
      <c r="AX94" s="64" t="s" ph="1">
        <v>259</v>
      </c>
    </row>
    <row r="95" spans="34:52" ph="1">
      <c r="AJ95" s="64" t="s" ph="1">
        <v>453</v>
      </c>
      <c r="AK95" s="64" t="s" ph="1">
        <v>299</v>
      </c>
    </row>
    <row r="96" spans="34:52" ph="1">
      <c r="AH96" s="64" ph="1">
        <v>7</v>
      </c>
      <c r="AI96" s="64" t="s" ph="1">
        <v>454</v>
      </c>
      <c r="AJ96" s="64" t="s" ph="1">
        <v>453</v>
      </c>
      <c r="AK96" s="64" t="s" ph="1">
        <v>254</v>
      </c>
      <c r="AM96" s="64" t="s" ph="1">
        <v>455</v>
      </c>
      <c r="AN96" s="64" t="s" ph="1">
        <v>228</v>
      </c>
      <c r="AO96" s="64" t="s" ph="1">
        <v>259</v>
      </c>
      <c r="AP96" s="64" t="s" ph="1">
        <v>456</v>
      </c>
      <c r="AQ96" s="64" t="s" ph="1">
        <v>272</v>
      </c>
      <c r="AR96" s="64" t="s" ph="1">
        <v>287</v>
      </c>
      <c r="AS96" s="64" t="s" ph="1">
        <v>457</v>
      </c>
      <c r="AT96" s="64" t="s" ph="1">
        <v>231</v>
      </c>
      <c r="AU96" s="64" t="s" ph="1">
        <v>287</v>
      </c>
      <c r="AV96" s="64" t="s" ph="1">
        <v>458</v>
      </c>
      <c r="AW96" s="64" t="s" ph="1">
        <v>227</v>
      </c>
      <c r="AX96" s="64" t="s" ph="1">
        <v>287</v>
      </c>
      <c r="AY96" s="64" t="s" ph="1">
        <v>216</v>
      </c>
      <c r="AZ96" s="64" t="s" ph="1">
        <v>459</v>
      </c>
    </row>
    <row r="97" spans="33:52" ph="1">
      <c r="AJ97" s="64" t="s" ph="1">
        <v>460</v>
      </c>
      <c r="AK97" s="64" t="s" ph="1">
        <v>282</v>
      </c>
      <c r="AM97" s="64" t="s" ph="1">
        <v>461</v>
      </c>
      <c r="AN97" s="64" t="s" ph="1">
        <v>225</v>
      </c>
      <c r="AO97" s="64" t="s" ph="1">
        <v>259</v>
      </c>
      <c r="AP97" s="64" t="s" ph="1">
        <v>462</v>
      </c>
      <c r="AQ97" s="64" t="s" ph="1">
        <v>219</v>
      </c>
      <c r="AR97" s="64" t="s" ph="1">
        <v>287</v>
      </c>
      <c r="AS97" s="64" t="s" ph="1">
        <v>463</v>
      </c>
      <c r="AT97" s="64" t="s" ph="1">
        <v>222</v>
      </c>
      <c r="AU97" s="64" t="s" ph="1">
        <v>287</v>
      </c>
      <c r="AV97" s="64" t="s" ph="1">
        <v>464</v>
      </c>
      <c r="AW97" s="64" t="s" ph="1">
        <v>228</v>
      </c>
      <c r="AX97" s="64" t="s" ph="1">
        <v>287</v>
      </c>
    </row>
    <row r="98" spans="33:52" ph="1">
      <c r="AJ98" s="64" t="s" ph="1">
        <v>465</v>
      </c>
      <c r="AK98" s="64" t="s" ph="1">
        <v>231</v>
      </c>
      <c r="AM98" s="64" t="s" ph="1">
        <v>466</v>
      </c>
      <c r="AN98" s="64" t="s" ph="1">
        <v>239</v>
      </c>
      <c r="AO98" s="64" t="s" ph="1">
        <v>259</v>
      </c>
      <c r="AP98" s="64" t="s" ph="1">
        <v>467</v>
      </c>
      <c r="AQ98" s="64" t="s" ph="1">
        <v>219</v>
      </c>
      <c r="AR98" s="64" t="s" ph="1">
        <v>287</v>
      </c>
      <c r="AS98" s="64" t="s" ph="1">
        <v>468</v>
      </c>
      <c r="AT98" s="64" t="s" ph="1">
        <v>299</v>
      </c>
      <c r="AU98" s="64" t="s" ph="1">
        <v>287</v>
      </c>
      <c r="AV98" s="64" t="s" ph="1">
        <v>469</v>
      </c>
      <c r="AW98" s="64" t="s" ph="1">
        <v>222</v>
      </c>
      <c r="AX98" s="64" t="s" ph="1">
        <v>287</v>
      </c>
    </row>
    <row r="99" spans="33:52" ph="1">
      <c r="AH99" s="64" ph="1">
        <v>8</v>
      </c>
      <c r="AI99" s="64" t="s" ph="1">
        <v>470</v>
      </c>
      <c r="AJ99" s="64" t="s" ph="1">
        <v>471</v>
      </c>
      <c r="AK99" s="64" t="s" ph="1">
        <v>367</v>
      </c>
      <c r="AM99" s="64" t="s" ph="1">
        <v>472</v>
      </c>
      <c r="AN99" s="64" t="s" ph="1">
        <v>254</v>
      </c>
      <c r="AO99" s="64" t="s" ph="1">
        <v>259</v>
      </c>
      <c r="AP99" s="64" t="s" ph="1">
        <v>473</v>
      </c>
      <c r="AQ99" s="64" t="s" ph="1">
        <v>224</v>
      </c>
      <c r="AR99" s="64" t="s" ph="1">
        <v>287</v>
      </c>
      <c r="AS99" s="64" t="s" ph="1">
        <v>474</v>
      </c>
      <c r="AT99" s="64" t="s" ph="1">
        <v>239</v>
      </c>
      <c r="AU99" s="64" t="s" ph="1">
        <v>287</v>
      </c>
      <c r="AV99" s="64" t="s" ph="1">
        <v>475</v>
      </c>
      <c r="AW99" s="64" t="s" ph="1">
        <v>224</v>
      </c>
      <c r="AX99" s="64" t="s" ph="1">
        <v>287</v>
      </c>
      <c r="AY99" s="64" t="s" ph="1">
        <v>216</v>
      </c>
      <c r="AZ99" s="64" t="s" ph="1">
        <v>476</v>
      </c>
    </row>
    <row r="100" spans="33:52" ph="1">
      <c r="AJ100" s="64" t="s" ph="1">
        <v>477</v>
      </c>
      <c r="AK100" s="64" t="s" ph="1">
        <v>222</v>
      </c>
      <c r="AM100" s="64" t="s" ph="1">
        <v>478</v>
      </c>
      <c r="AN100" s="64" t="s" ph="1">
        <v>294</v>
      </c>
      <c r="AO100" s="64" t="s" ph="1">
        <v>259</v>
      </c>
      <c r="AP100" s="64" t="s" ph="1">
        <v>479</v>
      </c>
      <c r="AQ100" s="64" t="s" ph="1">
        <v>300</v>
      </c>
      <c r="AR100" s="64" t="s" ph="1">
        <v>287</v>
      </c>
      <c r="AS100" s="64" t="s" ph="1">
        <v>480</v>
      </c>
      <c r="AT100" s="64" t="s" ph="1">
        <v>367</v>
      </c>
      <c r="AU100" s="64" t="s" ph="1">
        <v>259</v>
      </c>
      <c r="AV100" s="64" t="s" ph="1">
        <v>481</v>
      </c>
      <c r="AW100" s="64" t="s" ph="1">
        <v>367</v>
      </c>
      <c r="AX100" s="64" t="s" ph="1">
        <v>259</v>
      </c>
    </row>
    <row r="101" spans="33:52" ph="1">
      <c r="AJ101" s="64" t="s" ph="1">
        <v>482</v>
      </c>
      <c r="AK101" s="64" t="s" ph="1">
        <v>367</v>
      </c>
      <c r="AM101" s="64" t="s" ph="1">
        <v>483</v>
      </c>
      <c r="AN101" s="64" t="s" ph="1">
        <v>225</v>
      </c>
      <c r="AO101" s="64" t="s" ph="1">
        <v>259</v>
      </c>
      <c r="AP101" s="64" t="s" ph="1">
        <v>484</v>
      </c>
      <c r="AQ101" s="64" t="s" ph="1">
        <v>237</v>
      </c>
      <c r="AR101" s="64" t="s" ph="1">
        <v>287</v>
      </c>
      <c r="AS101" s="64" t="s" ph="1">
        <v>485</v>
      </c>
      <c r="AT101" s="64" t="s" ph="1">
        <v>294</v>
      </c>
      <c r="AU101" s="64" t="s" ph="1">
        <v>287</v>
      </c>
      <c r="AV101" s="64" t="s" ph="1">
        <v>486</v>
      </c>
      <c r="AW101" s="64" t="s" ph="1">
        <v>225</v>
      </c>
      <c r="AX101" s="64" t="s" ph="1">
        <v>259</v>
      </c>
    </row>
    <row r="102" spans="33:52" ph="1">
      <c r="AJ102" s="64" t="s" ph="1">
        <v>487</v>
      </c>
      <c r="AK102" s="64" t="s" ph="1">
        <v>222</v>
      </c>
      <c r="AM102" s="64" t="s" ph="1">
        <v>488</v>
      </c>
      <c r="AN102" s="64" t="s" ph="1">
        <v>231</v>
      </c>
      <c r="AO102" s="64" t="s" ph="1">
        <v>259</v>
      </c>
      <c r="AP102" s="64" t="s" ph="1">
        <v>489</v>
      </c>
      <c r="AQ102" s="64" t="s" ph="1">
        <v>237</v>
      </c>
      <c r="AR102" s="64" t="s" ph="1">
        <v>259</v>
      </c>
      <c r="AS102" s="64" t="s" ph="1">
        <v>490</v>
      </c>
      <c r="AT102" s="64" t="s" ph="1">
        <v>254</v>
      </c>
      <c r="AU102" s="64" t="s" ph="1">
        <v>259</v>
      </c>
      <c r="AV102" s="64" t="s" ph="1">
        <v>491</v>
      </c>
      <c r="AW102" s="64" t="s" ph="1">
        <v>272</v>
      </c>
      <c r="AX102" s="64" t="s" ph="1">
        <v>259</v>
      </c>
    </row>
    <row r="103" spans="33:52" ph="1">
      <c r="AH103" s="64" ph="1">
        <v>9</v>
      </c>
      <c r="AI103" s="64" t="s" ph="1">
        <v>492</v>
      </c>
      <c r="AJ103" s="64" t="s" ph="1">
        <v>493</v>
      </c>
      <c r="AK103" s="64" t="s" ph="1">
        <v>367</v>
      </c>
      <c r="AM103" s="64" t="s" ph="1">
        <v>494</v>
      </c>
      <c r="AN103" s="64" t="s" ph="1">
        <v>282</v>
      </c>
      <c r="AO103" s="64" t="s" ph="1">
        <v>259</v>
      </c>
      <c r="AP103" s="64" t="s" ph="1">
        <v>336</v>
      </c>
      <c r="AQ103" s="64" t="s" ph="1">
        <v>225</v>
      </c>
      <c r="AR103" s="64" t="s" ph="1">
        <v>259</v>
      </c>
      <c r="AS103" s="64" t="s" ph="1">
        <v>570</v>
      </c>
      <c r="AT103" s="64" t="s" ph="1">
        <v>367</v>
      </c>
      <c r="AU103" s="64" t="s" ph="1">
        <v>259</v>
      </c>
      <c r="AY103" s="64" t="s" ph="1">
        <v>216</v>
      </c>
      <c r="AZ103" s="64" t="s" ph="1">
        <v>224</v>
      </c>
    </row>
    <row r="104" spans="33:52" ph="1">
      <c r="AZ104" s="64" t="s" ph="1">
        <v>495</v>
      </c>
    </row>
    <row r="105" spans="33:52" ph="1">
      <c r="AG105" s="64" t="s" ph="1">
        <v>295</v>
      </c>
      <c r="AI105" s="64" t="s" ph="1">
        <v>209</v>
      </c>
      <c r="AJ105" s="64" t="s" ph="1">
        <v>210</v>
      </c>
      <c r="AK105" s="64" t="s" ph="1">
        <v>211</v>
      </c>
      <c r="AM105" s="64" t="s" ph="1">
        <v>210</v>
      </c>
      <c r="AN105" s="64" t="s" ph="1">
        <v>211</v>
      </c>
      <c r="AO105" s="64" t="s" ph="1">
        <v>212</v>
      </c>
      <c r="AP105" s="64" t="s" ph="1">
        <v>210</v>
      </c>
      <c r="AQ105" s="64" t="s" ph="1">
        <v>211</v>
      </c>
      <c r="AR105" s="64" t="s" ph="1">
        <v>212</v>
      </c>
      <c r="AS105" s="64" t="s" ph="1">
        <v>210</v>
      </c>
      <c r="AT105" s="64" t="s" ph="1">
        <v>211</v>
      </c>
      <c r="AU105" s="64" t="s" ph="1">
        <v>212</v>
      </c>
      <c r="AV105" s="64" t="s" ph="1">
        <v>210</v>
      </c>
      <c r="AW105" s="64" t="s" ph="1">
        <v>211</v>
      </c>
      <c r="AX105" s="64" t="s" ph="1">
        <v>212</v>
      </c>
      <c r="AZ105" s="64" t="s" ph="1">
        <v>213</v>
      </c>
    </row>
    <row r="106" spans="33:52" ph="1">
      <c r="AH106" s="64" ph="1">
        <v>1</v>
      </c>
      <c r="AI106" s="64" t="s" ph="1">
        <v>496</v>
      </c>
      <c r="AJ106" s="64" t="s" ph="1">
        <v>570</v>
      </c>
      <c r="AK106" s="64" t="s" ph="1">
        <v>231</v>
      </c>
      <c r="AZ106" s="64" t="s" ph="1">
        <v>231</v>
      </c>
    </row>
    <row r="107" spans="33:52" ph="1">
      <c r="AH107" s="64" ph="1">
        <v>2</v>
      </c>
      <c r="AI107" s="64" t="s" ph="1">
        <v>497</v>
      </c>
      <c r="AJ107" s="64" t="s" ph="1">
        <v>498</v>
      </c>
      <c r="AK107" s="64" t="s" ph="1">
        <v>228</v>
      </c>
      <c r="AM107" s="64" t="s" ph="1">
        <v>334</v>
      </c>
      <c r="AN107" s="64" t="s" ph="1">
        <v>499</v>
      </c>
      <c r="AO107" s="64" t="s" ph="1">
        <v>500</v>
      </c>
      <c r="AP107" s="64" t="s" ph="1">
        <v>336</v>
      </c>
      <c r="AQ107" s="64" t="s" ph="1">
        <v>304</v>
      </c>
      <c r="AR107" s="64" t="s" ph="1">
        <v>500</v>
      </c>
      <c r="AS107" s="64" t="s" ph="1">
        <v>570</v>
      </c>
      <c r="AT107" s="64" t="s" ph="1">
        <v>499</v>
      </c>
      <c r="AU107" s="64" t="s" ph="1">
        <v>500</v>
      </c>
      <c r="AY107" s="64" t="s" ph="1">
        <v>216</v>
      </c>
      <c r="AZ107" s="64" t="s" ph="1">
        <v>580</v>
      </c>
    </row>
    <row r="108" spans="33:52" ph="1">
      <c r="AH108" s="64" ph="1">
        <v>3</v>
      </c>
      <c r="AI108" s="64" t="s" ph="1">
        <v>501</v>
      </c>
      <c r="AY108" s="64" t="s" ph="1">
        <v>216</v>
      </c>
      <c r="AZ108" s="64" t="s" ph="1">
        <v>367</v>
      </c>
    </row>
    <row r="109" spans="33:52" ph="1">
      <c r="AH109" s="64" ph="1">
        <v>4</v>
      </c>
      <c r="AI109" s="64" t="s" ph="1">
        <v>502</v>
      </c>
      <c r="AY109" s="64" t="s" ph="1">
        <v>216</v>
      </c>
      <c r="AZ109" s="64" t="s" ph="1">
        <v>367</v>
      </c>
    </row>
    <row r="110" spans="33:52" ph="1">
      <c r="AH110" s="64" ph="1">
        <v>5</v>
      </c>
      <c r="AI110" s="64" t="s" ph="1">
        <v>503</v>
      </c>
      <c r="AY110" s="64" t="s" ph="1">
        <v>216</v>
      </c>
      <c r="AZ110" s="64" t="s" ph="1">
        <v>367</v>
      </c>
    </row>
    <row r="111" spans="33:52" ph="1">
      <c r="AH111" s="64" ph="1">
        <v>6</v>
      </c>
      <c r="AI111" s="64" t="s" ph="1">
        <v>581</v>
      </c>
      <c r="AJ111" s="64" t="s" ph="1">
        <v>486</v>
      </c>
      <c r="AK111" s="64" t="s" ph="1">
        <v>225</v>
      </c>
      <c r="AM111" s="64" t="s" ph="1">
        <v>487</v>
      </c>
      <c r="AN111" s="64" t="s" ph="1">
        <v>219</v>
      </c>
      <c r="AO111" s="64" t="s" ph="1">
        <v>500</v>
      </c>
      <c r="AP111" s="64" t="s" ph="1">
        <v>488</v>
      </c>
      <c r="AQ111" s="64" t="s" ph="1">
        <v>228</v>
      </c>
      <c r="AR111" s="64" t="s" ph="1">
        <v>500</v>
      </c>
      <c r="AS111" s="64" t="s" ph="1">
        <v>489</v>
      </c>
      <c r="AT111" s="64" t="s" ph="1">
        <v>237</v>
      </c>
      <c r="AU111" s="64" t="s" ph="1">
        <v>500</v>
      </c>
      <c r="AV111" s="64" t="s" ph="1">
        <v>490</v>
      </c>
      <c r="AW111" s="64" t="s" ph="1">
        <v>227</v>
      </c>
      <c r="AX111" s="64" t="s" ph="1">
        <v>500</v>
      </c>
      <c r="AY111" s="64" t="s" ph="1">
        <v>216</v>
      </c>
      <c r="AZ111" s="64" t="s" ph="1">
        <v>504</v>
      </c>
    </row>
    <row r="112" spans="33:52" ph="1">
      <c r="AJ112" s="64" t="s" ph="1">
        <v>491</v>
      </c>
      <c r="AK112" s="64" t="s" ph="1">
        <v>272</v>
      </c>
      <c r="AM112" s="64" t="s" ph="1">
        <v>493</v>
      </c>
      <c r="AN112" s="64" t="s" ph="1">
        <v>296</v>
      </c>
      <c r="AO112" s="64" t="s" ph="1">
        <v>500</v>
      </c>
      <c r="AP112" s="64" t="s" ph="1">
        <v>494</v>
      </c>
      <c r="AQ112" s="64" t="s" ph="1">
        <v>505</v>
      </c>
      <c r="AR112" s="64" t="s" ph="1">
        <v>500</v>
      </c>
      <c r="AS112" s="64" t="s" ph="1">
        <v>506</v>
      </c>
      <c r="AT112" s="64" t="s" ph="1">
        <v>248</v>
      </c>
      <c r="AU112" s="64" t="s" ph="1">
        <v>500</v>
      </c>
      <c r="AV112" s="64" t="s" ph="1">
        <v>507</v>
      </c>
      <c r="AW112" s="64" t="s" ph="1">
        <v>294</v>
      </c>
      <c r="AX112" s="64" t="s" ph="1">
        <v>500</v>
      </c>
    </row>
    <row r="113" spans="33:52" ph="1">
      <c r="AH113" s="64" ph="1">
        <v>7</v>
      </c>
      <c r="AI113" s="64" t="s" ph="1">
        <v>508</v>
      </c>
      <c r="AJ113" s="64" t="s" ph="1">
        <v>589</v>
      </c>
      <c r="AK113" s="64" t="s" ph="1">
        <v>594</v>
      </c>
      <c r="AY113" s="64" t="s" ph="1">
        <v>216</v>
      </c>
      <c r="AZ113" s="64" t="s" ph="1">
        <v>594</v>
      </c>
    </row>
    <row r="114" spans="33:52" ph="1">
      <c r="AH114" s="64" ph="1">
        <v>8</v>
      </c>
      <c r="AI114" s="64" t="s" ph="1">
        <v>509</v>
      </c>
      <c r="AJ114" s="64" t="s" ph="1">
        <v>589</v>
      </c>
      <c r="AK114" s="64" t="s" ph="1">
        <v>595</v>
      </c>
      <c r="AY114" s="64" t="s" ph="1">
        <v>216</v>
      </c>
      <c r="AZ114" s="64" t="s" ph="1">
        <v>595</v>
      </c>
    </row>
    <row r="115" spans="33:52" ph="1">
      <c r="AH115" s="64" ph="1">
        <v>9</v>
      </c>
      <c r="AI115" s="64" t="s" ph="1">
        <v>510</v>
      </c>
      <c r="AJ115" s="64" t="s" ph="1">
        <v>589</v>
      </c>
      <c r="AK115" s="64" t="s" ph="1">
        <v>595</v>
      </c>
      <c r="AY115" s="64" t="s" ph="1">
        <v>216</v>
      </c>
      <c r="AZ115" s="64" t="s" ph="1">
        <v>595</v>
      </c>
    </row>
    <row r="116" spans="33:52" ph="1">
      <c r="AH116" s="64" ph="1">
        <v>10</v>
      </c>
      <c r="AI116" s="64" t="s" ph="1">
        <v>511</v>
      </c>
      <c r="AJ116" s="64" t="s" ph="1">
        <v>589</v>
      </c>
      <c r="AK116" s="64" t="s" ph="1">
        <v>595</v>
      </c>
      <c r="AY116" s="64" t="s" ph="1">
        <v>216</v>
      </c>
      <c r="AZ116" s="64" t="s" ph="1">
        <v>595</v>
      </c>
    </row>
    <row r="117" spans="33:52" ph="1">
      <c r="AH117" s="64" ph="1">
        <v>11</v>
      </c>
      <c r="AI117" s="64" t="s" ph="1">
        <v>512</v>
      </c>
      <c r="AJ117" s="64" t="s" ph="1">
        <v>589</v>
      </c>
      <c r="AK117" s="64" t="s" ph="1">
        <v>595</v>
      </c>
      <c r="AY117" s="64" t="s" ph="1">
        <v>216</v>
      </c>
      <c r="AZ117" s="64" t="s" ph="1">
        <v>595</v>
      </c>
    </row>
    <row r="118" spans="33:52" ph="1">
      <c r="AZ118" s="64" t="s" ph="1">
        <v>596</v>
      </c>
    </row>
    <row r="119" spans="33:52" ph="1">
      <c r="AI119" s="64" t="s" ph="1">
        <v>209</v>
      </c>
      <c r="AJ119" s="64" t="s" ph="1">
        <v>210</v>
      </c>
      <c r="AK119" s="64" t="s" ph="1">
        <v>211</v>
      </c>
      <c r="AM119" s="64" t="s" ph="1">
        <v>210</v>
      </c>
      <c r="AN119" s="64" t="s" ph="1">
        <v>211</v>
      </c>
      <c r="AO119" s="64" t="s" ph="1">
        <v>212</v>
      </c>
      <c r="AP119" s="64" t="s" ph="1">
        <v>210</v>
      </c>
      <c r="AQ119" s="64" t="s" ph="1">
        <v>211</v>
      </c>
      <c r="AR119" s="64" t="s" ph="1">
        <v>212</v>
      </c>
      <c r="AS119" s="64" t="s" ph="1">
        <v>210</v>
      </c>
      <c r="AT119" s="64" t="s" ph="1">
        <v>211</v>
      </c>
      <c r="AU119" s="64" t="s" ph="1">
        <v>212</v>
      </c>
      <c r="AV119" s="64" t="s" ph="1">
        <v>210</v>
      </c>
      <c r="AW119" s="64" t="s" ph="1">
        <v>211</v>
      </c>
      <c r="AX119" s="64" t="s" ph="1">
        <v>212</v>
      </c>
      <c r="AY119" s="64" t="s" ph="1">
        <v>211</v>
      </c>
      <c r="AZ119" s="64" t="s" ph="1">
        <v>213</v>
      </c>
    </row>
    <row r="120" spans="33:52" ph="1">
      <c r="AG120" s="64" t="s" ph="1">
        <v>353</v>
      </c>
      <c r="AH120" s="64" ph="1">
        <v>1</v>
      </c>
      <c r="AI120" s="64" t="s" ph="1">
        <v>513</v>
      </c>
      <c r="AJ120" s="64" t="s" ph="1">
        <v>587</v>
      </c>
      <c r="AK120" s="64" t="s" ph="1">
        <v>367</v>
      </c>
      <c r="AY120" s="64" t="s" ph="1">
        <v>216</v>
      </c>
      <c r="AZ120" s="64" t="s" ph="1">
        <v>367</v>
      </c>
    </row>
    <row r="121" spans="33:52" ph="1">
      <c r="AH121" s="64" ph="1">
        <v>2</v>
      </c>
      <c r="AI121" s="64" t="s" ph="1">
        <v>514</v>
      </c>
      <c r="AY121" s="64" t="s" ph="1">
        <v>216</v>
      </c>
      <c r="AZ121" s="64" t="s" ph="1">
        <v>367</v>
      </c>
    </row>
    <row r="122" spans="33:52" ph="1">
      <c r="AH122" s="64" ph="1">
        <v>3</v>
      </c>
      <c r="AI122" s="64" t="s" ph="1">
        <v>515</v>
      </c>
      <c r="AJ122" s="64" t="s" ph="1">
        <v>570</v>
      </c>
      <c r="AK122" s="64" t="s" ph="1">
        <v>582</v>
      </c>
      <c r="AM122" s="64" t="s" ph="1">
        <v>597</v>
      </c>
      <c r="AN122" s="64" t="s" ph="1">
        <v>590</v>
      </c>
      <c r="AO122" s="64" t="s" ph="1">
        <v>91</v>
      </c>
      <c r="AY122" s="64" t="s" ph="1">
        <v>216</v>
      </c>
      <c r="AZ122" s="64" t="s" ph="1">
        <v>579</v>
      </c>
    </row>
    <row r="123" spans="33:52" ph="1">
      <c r="AY123" s="64" t="s" ph="1">
        <v>216</v>
      </c>
      <c r="AZ123" s="64" t="s" ph="1">
        <v>579</v>
      </c>
    </row>
    <row r="124" spans="33:52" ph="1">
      <c r="AG124" s="64" t="s" ph="1">
        <v>356</v>
      </c>
      <c r="AH124" s="64" ph="1">
        <v>4</v>
      </c>
      <c r="AI124" s="64" t="s" ph="1">
        <v>516</v>
      </c>
      <c r="AJ124" s="64" t="s" ph="1">
        <v>517</v>
      </c>
      <c r="AK124" s="64" t="s" ph="1">
        <v>518</v>
      </c>
      <c r="AY124" s="64" t="s" ph="1">
        <v>216</v>
      </c>
      <c r="AZ124" s="64" t="s" ph="1">
        <v>518</v>
      </c>
    </row>
    <row r="125" spans="33:52" ph="1">
      <c r="AH125" s="64" ph="1">
        <v>5</v>
      </c>
      <c r="AI125" s="64" t="s" ph="1">
        <v>519</v>
      </c>
      <c r="AJ125" s="64" t="s" ph="1">
        <v>517</v>
      </c>
      <c r="AK125" s="64" t="s" ph="1">
        <v>518</v>
      </c>
      <c r="AY125" s="64" t="s" ph="1">
        <v>216</v>
      </c>
      <c r="AZ125" s="64" t="s" ph="1">
        <v>518</v>
      </c>
    </row>
    <row r="126" spans="33:52" ph="1">
      <c r="AH126" s="64" ph="1">
        <v>6</v>
      </c>
      <c r="AI126" s="64" t="s" ph="1">
        <v>520</v>
      </c>
      <c r="AJ126" s="64" t="s" ph="1">
        <v>589</v>
      </c>
      <c r="AK126" s="64" t="s" ph="1">
        <v>598</v>
      </c>
      <c r="AY126" s="64" t="s" ph="1">
        <v>216</v>
      </c>
      <c r="AZ126" s="64" t="s" ph="1">
        <v>598</v>
      </c>
    </row>
    <row r="127" spans="33:52" ph="1">
      <c r="AH127" s="64" ph="1">
        <v>7</v>
      </c>
      <c r="AI127" s="64" t="s" ph="1">
        <v>521</v>
      </c>
      <c r="AJ127" s="64" t="s" ph="1">
        <v>589</v>
      </c>
      <c r="AK127" s="64" t="s" ph="1">
        <v>599</v>
      </c>
      <c r="AY127" s="64" t="s" ph="1">
        <v>216</v>
      </c>
      <c r="AZ127" s="64" t="s" ph="1">
        <v>599</v>
      </c>
    </row>
    <row r="128" spans="33:52" ph="1">
      <c r="AH128" s="64" ph="1">
        <v>8</v>
      </c>
      <c r="AI128" s="64" t="s" ph="1">
        <v>522</v>
      </c>
      <c r="AY128" s="64" t="s" ph="1">
        <v>216</v>
      </c>
      <c r="AZ128" s="64" t="s" ph="1">
        <v>367</v>
      </c>
    </row>
    <row r="129" spans="33:52" ph="1">
      <c r="AH129" s="64" ph="1">
        <v>9</v>
      </c>
      <c r="AI129" s="64" t="s" ph="1">
        <v>523</v>
      </c>
      <c r="AY129" s="64" t="s" ph="1">
        <v>216</v>
      </c>
      <c r="AZ129" s="64" t="s" ph="1">
        <v>367</v>
      </c>
    </row>
    <row r="130" spans="33:52" ph="1">
      <c r="AH130" s="64" ph="1">
        <v>10</v>
      </c>
      <c r="AI130" s="64" t="s" ph="1">
        <v>524</v>
      </c>
      <c r="AY130" s="64" t="s" ph="1">
        <v>216</v>
      </c>
      <c r="AZ130" s="64" t="s" ph="1">
        <v>367</v>
      </c>
    </row>
    <row r="131" spans="33:52" ph="1">
      <c r="AH131" s="64" ph="1">
        <v>11</v>
      </c>
      <c r="AI131" s="64" t="s" ph="1">
        <v>525</v>
      </c>
      <c r="AJ131" s="64" t="s" ph="1">
        <v>583</v>
      </c>
      <c r="AK131" s="64" t="s" ph="1">
        <v>579</v>
      </c>
      <c r="AY131" s="64" t="s" ph="1">
        <v>216</v>
      </c>
      <c r="AZ131" s="64" t="s" ph="1">
        <v>579</v>
      </c>
    </row>
    <row r="132" spans="33:52" ph="1">
      <c r="AH132" s="64" ph="1">
        <v>12</v>
      </c>
      <c r="AI132" s="64" t="s" ph="1">
        <v>526</v>
      </c>
      <c r="AJ132" s="64" t="s" ph="1">
        <v>583</v>
      </c>
      <c r="AK132" s="64" t="s" ph="1">
        <v>518</v>
      </c>
      <c r="AY132" s="64" t="s" ph="1">
        <v>216</v>
      </c>
      <c r="AZ132" s="64" t="s" ph="1">
        <v>518</v>
      </c>
    </row>
    <row r="133" spans="33:52" ph="1">
      <c r="AH133" s="64" ph="1">
        <v>13</v>
      </c>
      <c r="AI133" s="64" t="s" ph="1">
        <v>527</v>
      </c>
      <c r="AJ133" s="64" t="s" ph="1">
        <v>583</v>
      </c>
      <c r="AK133" s="64" t="s" ph="1">
        <v>584</v>
      </c>
      <c r="AY133" s="64" t="s" ph="1">
        <v>216</v>
      </c>
      <c r="AZ133" s="64" t="s" ph="1">
        <v>584</v>
      </c>
    </row>
    <row r="134" spans="33:52" ph="1">
      <c r="AH134" s="64" ph="1">
        <v>14</v>
      </c>
      <c r="AI134" s="64" t="s" ph="1">
        <v>528</v>
      </c>
      <c r="AJ134" s="64" t="s" ph="1">
        <v>583</v>
      </c>
      <c r="AK134" s="64" t="s" ph="1">
        <v>585</v>
      </c>
      <c r="AY134" s="64" t="s" ph="1">
        <v>216</v>
      </c>
      <c r="AZ134" s="64" t="s" ph="1">
        <v>585</v>
      </c>
    </row>
    <row r="135" spans="33:52" ph="1">
      <c r="AH135" s="64" ph="1">
        <v>15</v>
      </c>
      <c r="AI135" s="64" t="s" ph="1">
        <v>529</v>
      </c>
      <c r="AJ135" s="64" t="s" ph="1">
        <v>583</v>
      </c>
      <c r="AK135" s="64" t="s" ph="1">
        <v>586</v>
      </c>
      <c r="AY135" s="64" t="s" ph="1">
        <v>216</v>
      </c>
      <c r="AZ135" s="64" t="s" ph="1">
        <v>586</v>
      </c>
    </row>
    <row r="136" spans="33:52" ph="1">
      <c r="AZ136" s="64" t="s" ph="1">
        <v>600</v>
      </c>
    </row>
    <row r="137" spans="33:52" ph="1">
      <c r="AG137" s="64" t="s" ph="1">
        <v>290</v>
      </c>
      <c r="AI137" s="64" t="s" ph="1">
        <v>209</v>
      </c>
      <c r="AJ137" s="64" t="s" ph="1">
        <v>210</v>
      </c>
      <c r="AK137" s="64" t="s" ph="1">
        <v>211</v>
      </c>
      <c r="AM137" s="64" t="s" ph="1">
        <v>210</v>
      </c>
      <c r="AN137" s="64" t="s" ph="1">
        <v>211</v>
      </c>
      <c r="AO137" s="64" t="s" ph="1">
        <v>212</v>
      </c>
      <c r="AP137" s="64" t="s" ph="1">
        <v>210</v>
      </c>
      <c r="AQ137" s="64" t="s" ph="1">
        <v>211</v>
      </c>
      <c r="AR137" s="64" t="s" ph="1">
        <v>212</v>
      </c>
      <c r="AS137" s="64" t="s" ph="1">
        <v>210</v>
      </c>
      <c r="AT137" s="64" t="s" ph="1">
        <v>211</v>
      </c>
      <c r="AU137" s="64" t="s" ph="1">
        <v>212</v>
      </c>
      <c r="AV137" s="64" t="s" ph="1">
        <v>210</v>
      </c>
      <c r="AW137" s="64" t="s" ph="1">
        <v>211</v>
      </c>
      <c r="AX137" s="64" t="s" ph="1">
        <v>212</v>
      </c>
      <c r="AY137" s="64" t="s" ph="1">
        <v>211</v>
      </c>
      <c r="AZ137" s="64" t="s" ph="1">
        <v>213</v>
      </c>
    </row>
    <row r="138" spans="33:52" ph="1">
      <c r="AH138" s="64" ph="1">
        <v>1</v>
      </c>
      <c r="AI138" s="64" t="s" ph="1">
        <v>530</v>
      </c>
      <c r="AJ138" s="64" t="s" ph="1">
        <v>531</v>
      </c>
      <c r="AK138" s="64" t="s" ph="1">
        <v>532</v>
      </c>
      <c r="AY138" s="64" t="s" ph="1">
        <v>216</v>
      </c>
      <c r="AZ138" s="64" t="s" ph="1">
        <v>532</v>
      </c>
    </row>
    <row r="139" spans="33:52" ph="1">
      <c r="AH139" s="64" ph="1">
        <v>2</v>
      </c>
      <c r="AI139" s="64" t="s" ph="1">
        <v>533</v>
      </c>
      <c r="AJ139" s="64" t="s" ph="1">
        <v>589</v>
      </c>
      <c r="AK139" s="64" t="s" ph="1">
        <v>601</v>
      </c>
      <c r="AY139" s="64" t="s" ph="1">
        <v>216</v>
      </c>
      <c r="AZ139" s="64" t="s" ph="1">
        <v>601</v>
      </c>
    </row>
    <row r="140" spans="33:52" ph="1">
      <c r="AH140" s="64" ph="1">
        <v>3</v>
      </c>
      <c r="AI140" s="64" t="s" ph="1">
        <v>534</v>
      </c>
      <c r="AJ140" s="64" t="s" ph="1">
        <v>487</v>
      </c>
      <c r="AK140" s="64" t="s" ph="1">
        <v>299</v>
      </c>
      <c r="AM140" s="64" t="s" ph="1">
        <v>488</v>
      </c>
      <c r="AN140" s="64" t="s" ph="1">
        <v>219</v>
      </c>
      <c r="AO140" s="64" t="s" ph="1">
        <v>535</v>
      </c>
      <c r="AP140" s="64" t="s" ph="1">
        <v>489</v>
      </c>
      <c r="AQ140" s="64" t="s" ph="1">
        <v>236</v>
      </c>
      <c r="AR140" s="64" t="s" ph="1">
        <v>535</v>
      </c>
      <c r="AS140" s="64" t="s" ph="1">
        <v>490</v>
      </c>
      <c r="AT140" s="64" t="s" ph="1">
        <v>229</v>
      </c>
      <c r="AU140" s="64" t="s" ph="1">
        <v>535</v>
      </c>
      <c r="AV140" s="64" t="s" ph="1">
        <v>491</v>
      </c>
      <c r="AW140" s="64" t="s" ph="1">
        <v>222</v>
      </c>
      <c r="AX140" s="64" t="s" ph="1">
        <v>535</v>
      </c>
      <c r="AY140" s="64" t="s" ph="1">
        <v>216</v>
      </c>
      <c r="AZ140" s="64" t="s" ph="1">
        <v>291</v>
      </c>
    </row>
    <row r="141" spans="33:52" ph="1">
      <c r="AJ141" s="64" t="s" ph="1">
        <v>493</v>
      </c>
      <c r="AK141" s="64" t="s" ph="1">
        <v>222</v>
      </c>
      <c r="AM141" s="64" t="s" ph="1">
        <v>494</v>
      </c>
      <c r="AN141" s="64" t="s" ph="1">
        <v>225</v>
      </c>
      <c r="AO141" s="64" t="s" ph="1">
        <v>535</v>
      </c>
      <c r="AP141" s="64" t="s" ph="1">
        <v>506</v>
      </c>
      <c r="AQ141" s="64" t="s" ph="1">
        <v>294</v>
      </c>
      <c r="AR141" s="64" t="s" ph="1">
        <v>535</v>
      </c>
      <c r="AS141" s="64" t="s" ph="1">
        <v>498</v>
      </c>
      <c r="AT141" s="64" t="s" ph="1">
        <v>222</v>
      </c>
      <c r="AU141" s="64" t="s" ph="1">
        <v>535</v>
      </c>
      <c r="AV141" s="64" t="s" ph="1">
        <v>334</v>
      </c>
      <c r="AW141" s="64" t="s" ph="1">
        <v>228</v>
      </c>
      <c r="AX141" s="64" t="s" ph="1">
        <v>535</v>
      </c>
    </row>
    <row r="142" spans="33:52" ph="1">
      <c r="AJ142" s="64" t="s" ph="1">
        <v>536</v>
      </c>
      <c r="AK142" s="64" t="s" ph="1">
        <v>239</v>
      </c>
    </row>
    <row r="143" spans="33:52" ph="1">
      <c r="AH143" s="64" ph="1">
        <v>4</v>
      </c>
      <c r="AI143" s="64" t="s" ph="1">
        <v>537</v>
      </c>
      <c r="AJ143" s="64" t="s" ph="1">
        <v>517</v>
      </c>
      <c r="AK143" s="64" t="s" ph="1">
        <v>538</v>
      </c>
      <c r="AY143" s="64" t="s" ph="1">
        <v>216</v>
      </c>
      <c r="AZ143" s="64" t="s" ph="1">
        <v>538</v>
      </c>
    </row>
    <row r="144" spans="33:52" ph="1">
      <c r="AH144" s="64" ph="1">
        <v>5</v>
      </c>
      <c r="AI144" s="64" t="s" ph="1">
        <v>539</v>
      </c>
      <c r="AY144" s="64" t="s" ph="1">
        <v>216</v>
      </c>
      <c r="AZ144" s="64" t="s" ph="1">
        <v>367</v>
      </c>
    </row>
    <row r="145" spans="33:52" ph="1">
      <c r="AH145" s="64" ph="1">
        <v>6</v>
      </c>
      <c r="AI145" s="64" t="s" ph="1">
        <v>540</v>
      </c>
      <c r="AY145" s="64" t="s" ph="1">
        <v>216</v>
      </c>
      <c r="AZ145" s="64" t="s" ph="1">
        <v>367</v>
      </c>
    </row>
    <row r="146" spans="33:52" ph="1">
      <c r="AH146" s="64" ph="1">
        <v>7</v>
      </c>
      <c r="AI146" s="64" t="s" ph="1">
        <v>541</v>
      </c>
      <c r="AY146" s="64" t="s" ph="1">
        <v>216</v>
      </c>
      <c r="AZ146" s="64" t="s" ph="1">
        <v>367</v>
      </c>
    </row>
    <row r="147" spans="33:52" ph="1">
      <c r="AH147" s="64" ph="1">
        <v>8</v>
      </c>
      <c r="AI147" s="64" t="s" ph="1">
        <v>542</v>
      </c>
      <c r="AY147" s="64" t="s" ph="1">
        <v>216</v>
      </c>
      <c r="AZ147" s="64" t="s" ph="1">
        <v>367</v>
      </c>
    </row>
    <row r="148" spans="33:52" ph="1">
      <c r="AH148" s="64" ph="1">
        <v>9</v>
      </c>
      <c r="AI148" s="64" t="s" ph="1">
        <v>543</v>
      </c>
      <c r="AY148" s="64" t="s" ph="1">
        <v>216</v>
      </c>
      <c r="AZ148" s="64" t="s" ph="1">
        <v>367</v>
      </c>
    </row>
    <row r="149" spans="33:52" ph="1">
      <c r="AH149" s="64" ph="1">
        <v>10</v>
      </c>
      <c r="AI149" s="64" t="s" ph="1">
        <v>544</v>
      </c>
      <c r="AY149" s="64" t="s" ph="1">
        <v>216</v>
      </c>
      <c r="AZ149" s="64" t="s" ph="1">
        <v>367</v>
      </c>
    </row>
    <row r="150" spans="33:52" ph="1">
      <c r="AH150" s="64" ph="1">
        <v>11</v>
      </c>
      <c r="AI150" s="64" t="s" ph="1">
        <v>545</v>
      </c>
      <c r="AY150" s="64" t="s" ph="1">
        <v>216</v>
      </c>
      <c r="AZ150" s="64" t="s" ph="1">
        <v>367</v>
      </c>
    </row>
    <row r="151" spans="33:52" ph="1">
      <c r="AH151" s="64" ph="1">
        <v>12</v>
      </c>
      <c r="AI151" s="64" t="s" ph="1">
        <v>546</v>
      </c>
      <c r="AY151" s="64" t="s" ph="1">
        <v>216</v>
      </c>
      <c r="AZ151" s="64" t="s" ph="1">
        <v>367</v>
      </c>
    </row>
    <row r="152" spans="33:52" ph="1">
      <c r="AH152" s="64" ph="1">
        <v>13</v>
      </c>
      <c r="AI152" s="64" t="s" ph="1">
        <v>547</v>
      </c>
      <c r="AY152" s="64" t="s" ph="1">
        <v>216</v>
      </c>
      <c r="AZ152" s="64" t="s" ph="1">
        <v>367</v>
      </c>
    </row>
    <row r="153" spans="33:52" ph="1">
      <c r="AH153" s="64" ph="1">
        <v>14</v>
      </c>
      <c r="AI153" s="64" t="s" ph="1">
        <v>548</v>
      </c>
      <c r="AY153" s="64" t="s" ph="1">
        <v>216</v>
      </c>
      <c r="AZ153" s="64" t="s" ph="1">
        <v>367</v>
      </c>
    </row>
    <row r="154" spans="33:52" ph="1">
      <c r="AH154" s="64" ph="1">
        <v>15</v>
      </c>
      <c r="AI154" s="64" t="s" ph="1">
        <v>549</v>
      </c>
      <c r="AY154" s="64" t="s" ph="1">
        <v>216</v>
      </c>
      <c r="AZ154" s="64" t="s" ph="1">
        <v>367</v>
      </c>
    </row>
    <row r="155" spans="33:52" ph="1">
      <c r="AH155" s="64" ph="1">
        <v>16</v>
      </c>
      <c r="AI155" s="64" t="s" ph="1">
        <v>550</v>
      </c>
      <c r="AJ155" s="64" t="s" ph="1">
        <v>336</v>
      </c>
      <c r="AK155" s="64" t="s" ph="1">
        <v>231</v>
      </c>
      <c r="AM155" s="64" t="s" ph="1">
        <v>570</v>
      </c>
      <c r="AN155" s="64" t="s" ph="1">
        <v>282</v>
      </c>
      <c r="AO155" s="64" t="s" ph="1">
        <v>535</v>
      </c>
      <c r="AY155" s="64" t="s" ph="1">
        <v>216</v>
      </c>
      <c r="AZ155" s="64" t="s" ph="1">
        <v>223</v>
      </c>
    </row>
    <row r="156" spans="33:52" ph="1">
      <c r="AZ156" s="64" t="s" ph="1">
        <v>602</v>
      </c>
    </row>
    <row r="157" spans="33:52" ph="1">
      <c r="AG157" s="64" t="s" ph="1">
        <v>551</v>
      </c>
      <c r="AI157" s="64" t="s" ph="1">
        <v>209</v>
      </c>
      <c r="AJ157" s="64" t="s" ph="1">
        <v>210</v>
      </c>
      <c r="AK157" s="64" t="s" ph="1">
        <v>211</v>
      </c>
      <c r="AM157" s="64" t="s" ph="1">
        <v>210</v>
      </c>
      <c r="AN157" s="64" t="s" ph="1">
        <v>211</v>
      </c>
      <c r="AO157" s="64" t="s" ph="1">
        <v>212</v>
      </c>
      <c r="AP157" s="64" t="s" ph="1">
        <v>210</v>
      </c>
      <c r="AQ157" s="64" t="s" ph="1">
        <v>211</v>
      </c>
      <c r="AR157" s="64" t="s" ph="1">
        <v>212</v>
      </c>
      <c r="AS157" s="64" t="s" ph="1">
        <v>210</v>
      </c>
      <c r="AT157" s="64" t="s" ph="1">
        <v>211</v>
      </c>
      <c r="AU157" s="64" t="s" ph="1">
        <v>212</v>
      </c>
      <c r="AV157" s="64" t="s" ph="1">
        <v>210</v>
      </c>
      <c r="AW157" s="64" t="s" ph="1">
        <v>211</v>
      </c>
      <c r="AX157" s="64" t="s" ph="1">
        <v>212</v>
      </c>
      <c r="AY157" s="64" t="s" ph="1">
        <v>211</v>
      </c>
      <c r="AZ157" s="64" t="s" ph="1">
        <v>213</v>
      </c>
    </row>
    <row r="158" spans="33:52" ph="1">
      <c r="AH158" s="64" ph="1">
        <v>1</v>
      </c>
      <c r="AI158" s="64" t="s" ph="1">
        <v>552</v>
      </c>
      <c r="AY158" s="64" t="s" ph="1">
        <v>216</v>
      </c>
      <c r="AZ158" s="64" t="s" ph="1">
        <v>367</v>
      </c>
    </row>
    <row r="159" spans="33:52" ph="1">
      <c r="AH159" s="64" ph="1">
        <v>2</v>
      </c>
      <c r="AI159" s="64" t="s" ph="1">
        <v>553</v>
      </c>
      <c r="AY159" s="64" t="s" ph="1">
        <v>216</v>
      </c>
      <c r="AZ159" s="64" t="s" ph="1">
        <v>367</v>
      </c>
    </row>
    <row r="160" spans="33:52" ph="1">
      <c r="AZ160" s="64" t="s" ph="1">
        <v>385</v>
      </c>
    </row>
    <row r="161" spans="33:52" ph="1">
      <c r="AG161" s="64" t="s" ph="1">
        <v>361</v>
      </c>
      <c r="AI161" s="64" t="s" ph="1">
        <v>209</v>
      </c>
      <c r="AJ161" s="64" t="s" ph="1">
        <v>210</v>
      </c>
      <c r="AK161" s="64" t="s" ph="1">
        <v>211</v>
      </c>
      <c r="AM161" s="64" t="s" ph="1">
        <v>210</v>
      </c>
      <c r="AN161" s="64" t="s" ph="1">
        <v>211</v>
      </c>
      <c r="AO161" s="64" t="s" ph="1">
        <v>212</v>
      </c>
      <c r="AP161" s="64" t="s" ph="1">
        <v>210</v>
      </c>
      <c r="AQ161" s="64" t="s" ph="1">
        <v>211</v>
      </c>
      <c r="AR161" s="64" t="s" ph="1">
        <v>212</v>
      </c>
      <c r="AS161" s="64" t="s" ph="1">
        <v>210</v>
      </c>
      <c r="AT161" s="64" t="s" ph="1">
        <v>211</v>
      </c>
      <c r="AU161" s="64" t="s" ph="1">
        <v>212</v>
      </c>
      <c r="AV161" s="64" t="s" ph="1">
        <v>210</v>
      </c>
      <c r="AW161" s="64" t="s" ph="1">
        <v>211</v>
      </c>
      <c r="AX161" s="64" t="s" ph="1">
        <v>212</v>
      </c>
      <c r="AY161" s="64" t="s" ph="1">
        <v>211</v>
      </c>
      <c r="AZ161" s="64" t="s" ph="1">
        <v>213</v>
      </c>
    </row>
    <row r="162" spans="33:52" ph="1">
      <c r="AH162" s="64" ph="1">
        <v>1</v>
      </c>
      <c r="AI162" s="64" t="s" ph="1">
        <v>554</v>
      </c>
      <c r="AJ162" s="64" t="s" ph="1">
        <v>555</v>
      </c>
      <c r="AK162" s="64" t="s" ph="1">
        <v>499</v>
      </c>
      <c r="AM162" s="64" t="s" ph="1">
        <v>556</v>
      </c>
      <c r="AN162" s="64" t="s" ph="1">
        <v>220</v>
      </c>
      <c r="AO162" s="64" t="s" ph="1">
        <v>557</v>
      </c>
      <c r="AY162" s="64" t="s" ph="1">
        <v>216</v>
      </c>
      <c r="AZ162" s="64" t="s" ph="1">
        <v>292</v>
      </c>
    </row>
    <row r="163" spans="33:52" ph="1">
      <c r="AH163" s="64" ph="1">
        <v>2</v>
      </c>
      <c r="AI163" s="64" t="s" ph="1">
        <v>558</v>
      </c>
      <c r="AJ163" s="64" t="s" ph="1">
        <v>555</v>
      </c>
      <c r="AK163" s="64" t="s" ph="1">
        <v>388</v>
      </c>
      <c r="AY163" s="64" t="s" ph="1">
        <v>216</v>
      </c>
      <c r="AZ163" s="64" t="s" ph="1">
        <v>388</v>
      </c>
    </row>
    <row r="164" spans="33:52" ph="1">
      <c r="AH164" s="64" ph="1">
        <v>3</v>
      </c>
      <c r="AI164" s="64" t="s" ph="1">
        <v>559</v>
      </c>
      <c r="AJ164" s="64" t="s" ph="1">
        <v>555</v>
      </c>
      <c r="AK164" s="64" t="s" ph="1">
        <v>292</v>
      </c>
      <c r="AY164" s="64" t="s" ph="1">
        <v>216</v>
      </c>
      <c r="AZ164" s="64" t="s" ph="1">
        <v>292</v>
      </c>
    </row>
    <row r="165" spans="33:52" ph="1">
      <c r="AH165" s="64" ph="1">
        <v>4</v>
      </c>
      <c r="AI165" s="64" t="s" ph="1">
        <v>560</v>
      </c>
      <c r="AY165" s="64" t="s" ph="1">
        <v>216</v>
      </c>
      <c r="AZ165" s="64" t="s" ph="1">
        <v>367</v>
      </c>
    </row>
    <row r="166" spans="33:52" ph="1">
      <c r="AH166" s="64" ph="1">
        <v>5</v>
      </c>
      <c r="AI166" s="64" t="s" ph="1">
        <v>561</v>
      </c>
      <c r="AY166" s="64" t="s" ph="1">
        <v>216</v>
      </c>
      <c r="AZ166" s="64" t="s" ph="1">
        <v>367</v>
      </c>
    </row>
    <row r="167" spans="33:52" ph="1">
      <c r="AZ167" s="64" t="s" ph="1">
        <v>562</v>
      </c>
    </row>
    <row r="168" spans="33:52" ph="1">
      <c r="AG168" s="64" t="s" ph="1">
        <v>305</v>
      </c>
      <c r="AI168" s="64" t="s" ph="1">
        <v>209</v>
      </c>
      <c r="AJ168" s="64" t="s" ph="1">
        <v>210</v>
      </c>
      <c r="AK168" s="64" t="s" ph="1">
        <v>211</v>
      </c>
      <c r="AM168" s="64" t="s" ph="1">
        <v>210</v>
      </c>
      <c r="AN168" s="64" t="s" ph="1">
        <v>211</v>
      </c>
      <c r="AO168" s="64" t="s" ph="1">
        <v>212</v>
      </c>
      <c r="AP168" s="64" t="s" ph="1">
        <v>210</v>
      </c>
      <c r="AQ168" s="64" t="s" ph="1">
        <v>211</v>
      </c>
      <c r="AR168" s="64" t="s" ph="1">
        <v>212</v>
      </c>
      <c r="AS168" s="64" t="s" ph="1">
        <v>210</v>
      </c>
      <c r="AT168" s="64" t="s" ph="1">
        <v>211</v>
      </c>
      <c r="AU168" s="64" t="s" ph="1">
        <v>212</v>
      </c>
      <c r="AV168" s="64" t="s" ph="1">
        <v>210</v>
      </c>
      <c r="AW168" s="64" t="s" ph="1">
        <v>211</v>
      </c>
      <c r="AX168" s="64" t="s" ph="1">
        <v>212</v>
      </c>
      <c r="AY168" s="64" t="s" ph="1">
        <v>211</v>
      </c>
      <c r="AZ168" s="64" t="s" ph="1">
        <v>213</v>
      </c>
    </row>
    <row r="169" spans="33:52" ph="1">
      <c r="AH169" s="64" ph="1">
        <v>1</v>
      </c>
      <c r="AI169" s="64" t="s" ph="1">
        <v>563</v>
      </c>
      <c r="AY169" s="64" t="s" ph="1">
        <v>216</v>
      </c>
      <c r="AZ169" s="64" t="s" ph="1">
        <v>367</v>
      </c>
    </row>
    <row r="170" spans="33:52" ph="1">
      <c r="AH170" s="64" ph="1">
        <v>2</v>
      </c>
      <c r="AI170" s="64" t="s" ph="1">
        <v>564</v>
      </c>
      <c r="AY170" s="64" t="s" ph="1">
        <v>216</v>
      </c>
      <c r="AZ170" s="64" t="s" ph="1">
        <v>367</v>
      </c>
    </row>
    <row r="171" spans="33:52" ph="1">
      <c r="AH171" s="64" ph="1">
        <v>3</v>
      </c>
      <c r="AI171" s="64" t="s" ph="1">
        <v>565</v>
      </c>
      <c r="AY171" s="64" t="s" ph="1">
        <v>216</v>
      </c>
      <c r="AZ171" s="64" t="s" ph="1">
        <v>367</v>
      </c>
    </row>
    <row r="172" spans="33:52" ph="1">
      <c r="AH172" s="64" ph="1">
        <v>4</v>
      </c>
      <c r="AI172" s="64" t="s" ph="1">
        <v>566</v>
      </c>
      <c r="AY172" s="64" t="s" ph="1">
        <v>216</v>
      </c>
      <c r="AZ172" s="64" t="s" ph="1">
        <v>367</v>
      </c>
    </row>
    <row r="173" spans="33:52" ph="1">
      <c r="AH173" s="64" ph="1">
        <v>5</v>
      </c>
      <c r="AI173" s="64" t="s" ph="1">
        <v>567</v>
      </c>
      <c r="AY173" s="64" t="s" ph="1">
        <v>216</v>
      </c>
      <c r="AZ173" s="64" t="s" ph="1">
        <v>367</v>
      </c>
    </row>
    <row r="174" spans="33:52" ph="1">
      <c r="AZ174" s="64" t="s" ph="1">
        <v>385</v>
      </c>
    </row>
    <row r="175" spans="33:52" ph="1">
      <c r="AJ175" s="64" t="s" ph="1">
        <v>306</v>
      </c>
    </row>
    <row r="176" spans="33:52" ph="1">
      <c r="AJ176" s="64" t="s" ph="1">
        <v>307</v>
      </c>
      <c r="AK176" s="64" t="s" ph="1">
        <v>308</v>
      </c>
      <c r="AM176" s="64" t="s" ph="1">
        <v>309</v>
      </c>
      <c r="AO176" s="64" t="s" ph="1">
        <v>310</v>
      </c>
      <c r="AP176" s="64" t="s" ph="1">
        <v>311</v>
      </c>
      <c r="AQ176" s="64" t="s" ph="1">
        <v>301</v>
      </c>
      <c r="AR176" s="64" t="s" ph="1">
        <v>221</v>
      </c>
    </row>
    <row r="177" spans="36:56" ph="1">
      <c r="AJ177" s="64" t="s" ph="1">
        <v>603</v>
      </c>
      <c r="AK177" s="64" t="s" ph="1">
        <v>312</v>
      </c>
      <c r="AO177" s="64" t="s" ph="1">
        <v>312</v>
      </c>
      <c r="AP177" s="64" t="s" ph="1">
        <v>312</v>
      </c>
      <c r="AQ177" s="64" t="s" ph="1">
        <v>313</v>
      </c>
      <c r="AR177" s="64" t="s" ph="1">
        <v>314</v>
      </c>
    </row>
    <row r="179" spans="36:56" ph="1">
      <c r="AJ179" s="64" t="s" ph="1">
        <v>315</v>
      </c>
      <c r="AK179" s="64" t="s" ph="1">
        <v>316</v>
      </c>
      <c r="AM179" s="64" t="s" ph="1">
        <v>317</v>
      </c>
      <c r="AN179" s="64" t="s" ph="1">
        <v>293</v>
      </c>
      <c r="AO179" s="64" t="s" ph="1">
        <v>318</v>
      </c>
      <c r="AP179" s="64" t="s" ph="1">
        <v>297</v>
      </c>
      <c r="AQ179" s="64" t="s" ph="1">
        <v>319</v>
      </c>
      <c r="AR179" s="64" t="s" ph="1">
        <v>320</v>
      </c>
    </row>
    <row r="180" spans="36:56" ph="1">
      <c r="AJ180" s="64" t="s" ph="1">
        <v>312</v>
      </c>
      <c r="AK180" s="64" t="s" ph="1">
        <v>312</v>
      </c>
      <c r="AL180" s="64" ph="1">
        <v>116</v>
      </c>
      <c r="AM180" s="64" t="s" ph="1">
        <v>312</v>
      </c>
      <c r="AN180" s="64" t="s" ph="1">
        <v>321</v>
      </c>
      <c r="AO180" s="64" t="s" ph="1">
        <v>312</v>
      </c>
      <c r="AP180" s="64" t="s" ph="1">
        <v>322</v>
      </c>
      <c r="AQ180" s="64" t="s" ph="1">
        <v>323</v>
      </c>
      <c r="AR180" s="64" t="s" ph="1">
        <v>324</v>
      </c>
    </row>
    <row r="189" spans="36:56" ph="1">
      <c r="BD189" s="64" t="s" ph="1">
        <v>568</v>
      </c>
    </row>
    <row r="223" spans="18:18" ph="1">
      <c r="R223" s="135" ph="1">
        <v>45496</v>
      </c>
    </row>
  </sheetData>
  <mergeCells count="58"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S31:U31"/>
    <mergeCell ref="V31:X31"/>
    <mergeCell ref="Y31:AA31"/>
    <mergeCell ref="AB31:AE31"/>
    <mergeCell ref="AD32:AE32"/>
    <mergeCell ref="B33:C34"/>
    <mergeCell ref="D33:D34"/>
    <mergeCell ref="E33:E34"/>
    <mergeCell ref="F33:F34"/>
    <mergeCell ref="G33:G34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</mergeCells>
  <phoneticPr fontId="2" type="noConversion"/>
  <conditionalFormatting sqref="D4:D11">
    <cfRule type="expression" dxfId="392" priority="101">
      <formula>ABS(D$7-D$10)&gt;=1000</formula>
    </cfRule>
  </conditionalFormatting>
  <conditionalFormatting sqref="E4 E6:E11">
    <cfRule type="expression" dxfId="391" priority="100">
      <formula>ABS(E$7-E$10)&gt;=1000</formula>
    </cfRule>
  </conditionalFormatting>
  <conditionalFormatting sqref="F4:F11">
    <cfRule type="expression" dxfId="390" priority="99">
      <formula>ABS(F$7-F$10)&gt;=1000</formula>
    </cfRule>
  </conditionalFormatting>
  <conditionalFormatting sqref="G4:G11">
    <cfRule type="expression" dxfId="389" priority="98">
      <formula>ABS(G$7-G$10)&gt;=1000</formula>
    </cfRule>
  </conditionalFormatting>
  <conditionalFormatting sqref="H4:H11">
    <cfRule type="expression" dxfId="388" priority="97">
      <formula>ABS(H$7-H$10)&gt;=1000</formula>
    </cfRule>
  </conditionalFormatting>
  <conditionalFormatting sqref="I4:I11">
    <cfRule type="expression" dxfId="387" priority="96">
      <formula>ABS(I$7-I$10)&gt;=1000</formula>
    </cfRule>
  </conditionalFormatting>
  <conditionalFormatting sqref="J4:J11">
    <cfRule type="expression" dxfId="386" priority="95">
      <formula>ABS(J$7-J$10)&gt;=1000</formula>
    </cfRule>
  </conditionalFormatting>
  <conditionalFormatting sqref="K4:K11">
    <cfRule type="expression" dxfId="385" priority="94">
      <formula>ABS(K$7-K$10)&gt;=1000</formula>
    </cfRule>
  </conditionalFormatting>
  <conditionalFormatting sqref="L4:L11">
    <cfRule type="expression" dxfId="384" priority="93">
      <formula>ABS(L$7-L$10)&gt;=1000</formula>
    </cfRule>
  </conditionalFormatting>
  <conditionalFormatting sqref="M4 M6:M11">
    <cfRule type="expression" dxfId="383" priority="92">
      <formula>ABS(M$7-M$10)&gt;=1000</formula>
    </cfRule>
  </conditionalFormatting>
  <conditionalFormatting sqref="N4 N6:N11">
    <cfRule type="expression" dxfId="382" priority="91">
      <formula>ABS(N$7-N$10)&gt;=1000</formula>
    </cfRule>
  </conditionalFormatting>
  <conditionalFormatting sqref="O4 O6:O11">
    <cfRule type="expression" dxfId="381" priority="90">
      <formula>ABS(O$7-O$10)&gt;=1000</formula>
    </cfRule>
  </conditionalFormatting>
  <conditionalFormatting sqref="P4 P6:P11">
    <cfRule type="expression" dxfId="380" priority="89">
      <formula>ABS(P$7-P$10)&gt;=1000</formula>
    </cfRule>
  </conditionalFormatting>
  <conditionalFormatting sqref="Q4:Q11">
    <cfRule type="expression" dxfId="379" priority="88">
      <formula>ABS(Q$7-Q$10)&gt;=1000</formula>
    </cfRule>
  </conditionalFormatting>
  <conditionalFormatting sqref="R4:R11">
    <cfRule type="expression" dxfId="378" priority="87">
      <formula>ABS(R$7-R$10)&gt;=1000</formula>
    </cfRule>
  </conditionalFormatting>
  <conditionalFormatting sqref="S4:S11">
    <cfRule type="expression" dxfId="377" priority="86">
      <formula>ABS(S$7-S$10)&gt;=1000</formula>
    </cfRule>
  </conditionalFormatting>
  <conditionalFormatting sqref="T4:T9 T11">
    <cfRule type="expression" dxfId="376" priority="85">
      <formula>ABS(T$7-T$10)&gt;=1000</formula>
    </cfRule>
  </conditionalFormatting>
  <conditionalFormatting sqref="U4:U9 U11">
    <cfRule type="expression" dxfId="375" priority="84">
      <formula>ABS(U$7-U$10)&gt;=1000</formula>
    </cfRule>
  </conditionalFormatting>
  <conditionalFormatting sqref="V4:V9 V11">
    <cfRule type="expression" dxfId="374" priority="83">
      <formula>ABS(V$7-V$10)&gt;=1000</formula>
    </cfRule>
  </conditionalFormatting>
  <conditionalFormatting sqref="W4:W9 W11">
    <cfRule type="expression" dxfId="373" priority="82">
      <formula>ABS(W$7-W$10)&gt;=1000</formula>
    </cfRule>
  </conditionalFormatting>
  <conditionalFormatting sqref="X4:X9 X11">
    <cfRule type="expression" dxfId="372" priority="81">
      <formula>ABS(X$7-X$10)&gt;=1000</formula>
    </cfRule>
  </conditionalFormatting>
  <conditionalFormatting sqref="Y4:Y9 Y11">
    <cfRule type="expression" dxfId="371" priority="80">
      <formula>ABS(Y$7-Y$10)&gt;=1000</formula>
    </cfRule>
  </conditionalFormatting>
  <conditionalFormatting sqref="Z4:Z11">
    <cfRule type="expression" dxfId="370" priority="79">
      <formula>ABS(Z$7-Z$10)&gt;=1000</formula>
    </cfRule>
  </conditionalFormatting>
  <conditionalFormatting sqref="AA4:AA11">
    <cfRule type="expression" dxfId="369" priority="78">
      <formula>ABS(AA$7-AA$10)&gt;=1000</formula>
    </cfRule>
  </conditionalFormatting>
  <conditionalFormatting sqref="AB4:AB11">
    <cfRule type="expression" dxfId="368" priority="77">
      <formula>ABS(AB$7-AB$10)&gt;=1000</formula>
    </cfRule>
  </conditionalFormatting>
  <conditionalFormatting sqref="AC4 AC6:AC11">
    <cfRule type="expression" dxfId="367" priority="76">
      <formula>ABS(AC$7-AC$10)&gt;=1000</formula>
    </cfRule>
  </conditionalFormatting>
  <conditionalFormatting sqref="AD4 AD6:AD11">
    <cfRule type="expression" dxfId="366" priority="75">
      <formula>ABS(AD$7-AD$10)&gt;=1000</formula>
    </cfRule>
  </conditionalFormatting>
  <conditionalFormatting sqref="AE4 AE6:AE11">
    <cfRule type="expression" dxfId="365" priority="74">
      <formula>ABS(AE$7-AE$10)&gt;=1000</formula>
    </cfRule>
  </conditionalFormatting>
  <conditionalFormatting sqref="D13:D20">
    <cfRule type="expression" dxfId="364" priority="73">
      <formula>ABS(D$16-D$19)&gt;=1000</formula>
    </cfRule>
  </conditionalFormatting>
  <conditionalFormatting sqref="E13:E20">
    <cfRule type="expression" dxfId="363" priority="72">
      <formula>ABS(E$16-E$19)&gt;=1000</formula>
    </cfRule>
  </conditionalFormatting>
  <conditionalFormatting sqref="F13 F15:F20">
    <cfRule type="expression" dxfId="362" priority="71">
      <formula>ABS(F$16-F$19)&gt;=1000</formula>
    </cfRule>
  </conditionalFormatting>
  <conditionalFormatting sqref="G13:G20">
    <cfRule type="expression" dxfId="361" priority="70">
      <formula>ABS(G$16-G$19)&gt;=1000</formula>
    </cfRule>
  </conditionalFormatting>
  <conditionalFormatting sqref="H13 H15:H20">
    <cfRule type="expression" dxfId="360" priority="69">
      <formula>ABS(H$16-H$19)&gt;=1000</formula>
    </cfRule>
  </conditionalFormatting>
  <conditionalFormatting sqref="I13:I20">
    <cfRule type="expression" dxfId="359" priority="68">
      <formula>ABS(I$16-I$19)&gt;=1000</formula>
    </cfRule>
  </conditionalFormatting>
  <conditionalFormatting sqref="J13:J20">
    <cfRule type="expression" dxfId="358" priority="67">
      <formula>ABS(J$16-J$19)&gt;=1000</formula>
    </cfRule>
  </conditionalFormatting>
  <conditionalFormatting sqref="L13:L20">
    <cfRule type="expression" dxfId="357" priority="66">
      <formula>ABS(L$16-L$19)&gt;=1000</formula>
    </cfRule>
  </conditionalFormatting>
  <conditionalFormatting sqref="M13 M15 M17:M18 M20">
    <cfRule type="expression" dxfId="356" priority="65">
      <formula>ABS(M$16-M$19)&gt;=1000</formula>
    </cfRule>
  </conditionalFormatting>
  <conditionalFormatting sqref="N13:N20">
    <cfRule type="expression" dxfId="355" priority="64">
      <formula>ABS(N$16-N$19)&gt;=1000</formula>
    </cfRule>
  </conditionalFormatting>
  <conditionalFormatting sqref="O13:O20">
    <cfRule type="expression" dxfId="354" priority="63">
      <formula>ABS(O$16-O$19)&gt;=1000</formula>
    </cfRule>
  </conditionalFormatting>
  <conditionalFormatting sqref="P13:P20">
    <cfRule type="expression" dxfId="353" priority="62">
      <formula>ABS(P$16-P$19)&gt;=1000</formula>
    </cfRule>
  </conditionalFormatting>
  <conditionalFormatting sqref="Q13 Q15:Q20">
    <cfRule type="expression" dxfId="352" priority="61">
      <formula>ABS(Q$16-Q$19)&gt;=1000</formula>
    </cfRule>
  </conditionalFormatting>
  <conditionalFormatting sqref="R13:R20">
    <cfRule type="expression" dxfId="351" priority="60">
      <formula>ABS(R$16-R$19)&gt;=1000</formula>
    </cfRule>
  </conditionalFormatting>
  <conditionalFormatting sqref="S13:S20">
    <cfRule type="expression" dxfId="350" priority="59">
      <formula>ABS(S$16-S$19)&gt;=1000</formula>
    </cfRule>
  </conditionalFormatting>
  <conditionalFormatting sqref="T13:T15 T17:T20">
    <cfRule type="expression" dxfId="349" priority="58">
      <formula>ABS(T$16-T$19)&gt;=1000</formula>
    </cfRule>
  </conditionalFormatting>
  <conditionalFormatting sqref="U13:U20">
    <cfRule type="expression" dxfId="348" priority="57">
      <formula>ABS(U$16-U$19)&gt;=1000</formula>
    </cfRule>
  </conditionalFormatting>
  <conditionalFormatting sqref="V13:V20">
    <cfRule type="expression" dxfId="347" priority="56">
      <formula>ABS(V$16-V$19)&gt;=1000</formula>
    </cfRule>
  </conditionalFormatting>
  <conditionalFormatting sqref="W13 W20 W15:W18">
    <cfRule type="expression" dxfId="346" priority="55">
      <formula>ABS(W$16-W$19)&gt;=1000</formula>
    </cfRule>
  </conditionalFormatting>
  <conditionalFormatting sqref="X13 X15:X20 Y19">
    <cfRule type="expression" dxfId="345" priority="54">
      <formula>ABS(X$16-X$19)&gt;=1000</formula>
    </cfRule>
  </conditionalFormatting>
  <conditionalFormatting sqref="Y13 Y15:Y18 Y20">
    <cfRule type="expression" dxfId="344" priority="53">
      <formula>ABS(Y$16-Y$19)&gt;=1000</formula>
    </cfRule>
  </conditionalFormatting>
  <conditionalFormatting sqref="Z13:Z20">
    <cfRule type="expression" dxfId="343" priority="52">
      <formula>ABS(Z$16-Z$19)&gt;=1000</formula>
    </cfRule>
  </conditionalFormatting>
  <conditionalFormatting sqref="AA13:AA20">
    <cfRule type="expression" dxfId="342" priority="51">
      <formula>ABS(AA$16-AA$19)&gt;=1000</formula>
    </cfRule>
  </conditionalFormatting>
  <conditionalFormatting sqref="AB13 AB15:AB20">
    <cfRule type="expression" dxfId="341" priority="50">
      <formula>ABS(AB$16-AB$19)&gt;=1000</formula>
    </cfRule>
  </conditionalFormatting>
  <conditionalFormatting sqref="AC13 AC15:AC20">
    <cfRule type="expression" dxfId="340" priority="49">
      <formula>ABS(AC$16-AC$19)&gt;=1000</formula>
    </cfRule>
  </conditionalFormatting>
  <conditionalFormatting sqref="AD13:AD20">
    <cfRule type="expression" dxfId="339" priority="48">
      <formula>ABS(AD$16-AD$19)&gt;=1000</formula>
    </cfRule>
  </conditionalFormatting>
  <conditionalFormatting sqref="AE13:AE20">
    <cfRule type="expression" dxfId="338" priority="47">
      <formula>ABS(AE$16-AE$19)&gt;=1000</formula>
    </cfRule>
  </conditionalFormatting>
  <conditionalFormatting sqref="D22:D29">
    <cfRule type="expression" dxfId="337" priority="46">
      <formula>ABS(D$25-D$28)&gt;=1000</formula>
    </cfRule>
  </conditionalFormatting>
  <conditionalFormatting sqref="E22:E29">
    <cfRule type="expression" dxfId="336" priority="45">
      <formula>ABS(E$25-E$28)&gt;=1000</formula>
    </cfRule>
  </conditionalFormatting>
  <conditionalFormatting sqref="F22:F29">
    <cfRule type="expression" dxfId="335" priority="44">
      <formula>ABS(F$25-F$28)&gt;=1000</formula>
    </cfRule>
  </conditionalFormatting>
  <conditionalFormatting sqref="G22:G29">
    <cfRule type="expression" dxfId="334" priority="43">
      <formula>ABS(G$25-G$28)&gt;=1000</formula>
    </cfRule>
  </conditionalFormatting>
  <conditionalFormatting sqref="H22:H29">
    <cfRule type="expression" dxfId="333" priority="42">
      <formula>ABS(H$25-H$28)&gt;=1000</formula>
    </cfRule>
  </conditionalFormatting>
  <conditionalFormatting sqref="I22 I24:I29">
    <cfRule type="expression" dxfId="332" priority="41">
      <formula>ABS(I$25-I$28)&gt;=1000</formula>
    </cfRule>
  </conditionalFormatting>
  <conditionalFormatting sqref="J22:J29 K22">
    <cfRule type="expression" dxfId="331" priority="40">
      <formula>ABS(J$25-J$28)&gt;=1000</formula>
    </cfRule>
  </conditionalFormatting>
  <conditionalFormatting sqref="K23:K29 L25 L28">
    <cfRule type="expression" dxfId="330" priority="39">
      <formula>ABS(K$25-K$28)&gt;=1000</formula>
    </cfRule>
  </conditionalFormatting>
  <conditionalFormatting sqref="L22 L26:L27 L29 L24">
    <cfRule type="expression" dxfId="329" priority="38">
      <formula>ABS(L$25-L$28)&gt;=1000</formula>
    </cfRule>
  </conditionalFormatting>
  <conditionalFormatting sqref="M22:M29">
    <cfRule type="expression" dxfId="328" priority="37">
      <formula>ABS(M$25-M$28)&gt;=1000</formula>
    </cfRule>
  </conditionalFormatting>
  <conditionalFormatting sqref="N22:N29">
    <cfRule type="expression" dxfId="327" priority="36">
      <formula>ABS(N$25-N$28)&gt;=1000</formula>
    </cfRule>
  </conditionalFormatting>
  <conditionalFormatting sqref="O22:O29">
    <cfRule type="expression" dxfId="326" priority="35">
      <formula>ABS(O$25-O$28)&gt;=1000</formula>
    </cfRule>
  </conditionalFormatting>
  <conditionalFormatting sqref="P22:P29">
    <cfRule type="expression" dxfId="325" priority="34">
      <formula>ABS(P$25-P$28)&gt;=1000</formula>
    </cfRule>
  </conditionalFormatting>
  <conditionalFormatting sqref="Q22:Q29">
    <cfRule type="expression" dxfId="324" priority="33">
      <formula>ABS(Q$25-Q$28)&gt;=1000</formula>
    </cfRule>
  </conditionalFormatting>
  <conditionalFormatting sqref="R22:R29">
    <cfRule type="expression" dxfId="323" priority="32">
      <formula>ABS(R$25-R$28)&gt;=1000</formula>
    </cfRule>
  </conditionalFormatting>
  <conditionalFormatting sqref="S22:S29">
    <cfRule type="expression" dxfId="322" priority="31">
      <formula>ABS(S$25-S$28)&gt;=1000</formula>
    </cfRule>
  </conditionalFormatting>
  <conditionalFormatting sqref="T22:T29">
    <cfRule type="expression" dxfId="321" priority="30">
      <formula>ABS(T$25-T$28)&gt;=1000</formula>
    </cfRule>
  </conditionalFormatting>
  <conditionalFormatting sqref="U22:U29">
    <cfRule type="expression" dxfId="320" priority="29">
      <formula>ABS(U$25-U$28)&gt;=1000</formula>
    </cfRule>
  </conditionalFormatting>
  <conditionalFormatting sqref="V22:V29">
    <cfRule type="expression" dxfId="319" priority="28">
      <formula>ABS(V$25-V$28)&gt;=1000</formula>
    </cfRule>
  </conditionalFormatting>
  <conditionalFormatting sqref="W22:W29">
    <cfRule type="expression" dxfId="318" priority="27">
      <formula>ABS(W$25-W$28)&gt;=1000</formula>
    </cfRule>
  </conditionalFormatting>
  <conditionalFormatting sqref="X22:X29">
    <cfRule type="expression" dxfId="317" priority="26">
      <formula>ABS(X$25-X$28)&gt;=1000</formula>
    </cfRule>
  </conditionalFormatting>
  <conditionalFormatting sqref="Y22:Y29">
    <cfRule type="expression" dxfId="316" priority="25">
      <formula>ABS(Y$25-Y$28)&gt;=1000</formula>
    </cfRule>
  </conditionalFormatting>
  <conditionalFormatting sqref="I23">
    <cfRule type="expression" dxfId="315" priority="24">
      <formula>ABS(I$25-I$28)&gt;=1000</formula>
    </cfRule>
  </conditionalFormatting>
  <conditionalFormatting sqref="Q14">
    <cfRule type="expression" dxfId="314" priority="23">
      <formula>ABS(Q$16-Q$19)&gt;=1000</formula>
    </cfRule>
  </conditionalFormatting>
  <conditionalFormatting sqref="W14">
    <cfRule type="expression" dxfId="313" priority="22">
      <formula>ABS(W$16-W$19)&gt;=1000</formula>
    </cfRule>
  </conditionalFormatting>
  <conditionalFormatting sqref="X14">
    <cfRule type="expression" dxfId="312" priority="21">
      <formula>ABS(X$16-X$19)&gt;=1000</formula>
    </cfRule>
  </conditionalFormatting>
  <conditionalFormatting sqref="T10:Y10">
    <cfRule type="expression" dxfId="311" priority="20">
      <formula>ABS(T$7-T$10)&gt;=1000</formula>
    </cfRule>
  </conditionalFormatting>
  <conditionalFormatting sqref="W19">
    <cfRule type="expression" dxfId="310" priority="19">
      <formula>ABS(W$16-W$19)&gt;=1000</formula>
    </cfRule>
  </conditionalFormatting>
  <conditionalFormatting sqref="AC5">
    <cfRule type="expression" dxfId="309" priority="18">
      <formula>ABS(AC$7-AC$10)&gt;=1000</formula>
    </cfRule>
  </conditionalFormatting>
  <conditionalFormatting sqref="M14">
    <cfRule type="expression" dxfId="308" priority="17">
      <formula>ABS(M$16-M$19)&gt;=1000</formula>
    </cfRule>
  </conditionalFormatting>
  <conditionalFormatting sqref="M16">
    <cfRule type="expression" dxfId="307" priority="16">
      <formula>ABS(M$16-M$19)&gt;=1000</formula>
    </cfRule>
  </conditionalFormatting>
  <conditionalFormatting sqref="M19">
    <cfRule type="expression" dxfId="306" priority="15">
      <formula>ABS(M$16-M$19)&gt;=1000</formula>
    </cfRule>
  </conditionalFormatting>
  <conditionalFormatting sqref="K13:K20">
    <cfRule type="expression" dxfId="305" priority="14">
      <formula>ABS(K$16-K$19)&gt;=1000</formula>
    </cfRule>
  </conditionalFormatting>
  <conditionalFormatting sqref="E5">
    <cfRule type="expression" dxfId="304" priority="13">
      <formula>ABS(E$7-E$10)&gt;=1000</formula>
    </cfRule>
  </conditionalFormatting>
  <conditionalFormatting sqref="AB14:AC14">
    <cfRule type="expression" dxfId="303" priority="12">
      <formula>ABS(AB$16-AB$19)&gt;=1000</formula>
    </cfRule>
  </conditionalFormatting>
  <conditionalFormatting sqref="M5">
    <cfRule type="expression" dxfId="302" priority="11">
      <formula>ABS(M$7-M$10)&gt;=1000</formula>
    </cfRule>
  </conditionalFormatting>
  <conditionalFormatting sqref="N5">
    <cfRule type="expression" dxfId="301" priority="10">
      <formula>ABS(N$7-N$10)&gt;=1000</formula>
    </cfRule>
  </conditionalFormatting>
  <conditionalFormatting sqref="O5">
    <cfRule type="expression" dxfId="300" priority="9">
      <formula>ABS(O$7-O$10)&gt;=1000</formula>
    </cfRule>
  </conditionalFormatting>
  <conditionalFormatting sqref="P5">
    <cfRule type="expression" dxfId="299" priority="8">
      <formula>ABS(P$7-P$10)&gt;=1000</formula>
    </cfRule>
  </conditionalFormatting>
  <conditionalFormatting sqref="L23">
    <cfRule type="expression" dxfId="298" priority="7">
      <formula>ABS(L$25-L$28)&gt;=1000</formula>
    </cfRule>
  </conditionalFormatting>
  <conditionalFormatting sqref="Y14">
    <cfRule type="expression" dxfId="297" priority="6">
      <formula>ABS(Y$16-Y$19)&gt;=1000</formula>
    </cfRule>
  </conditionalFormatting>
  <conditionalFormatting sqref="F14">
    <cfRule type="expression" dxfId="296" priority="5">
      <formula>ABS(F$16-F$19)&gt;=1000</formula>
    </cfRule>
  </conditionalFormatting>
  <conditionalFormatting sqref="H14">
    <cfRule type="expression" dxfId="295" priority="4">
      <formula>ABS(H$16-H$19)&gt;=1000</formula>
    </cfRule>
  </conditionalFormatting>
  <conditionalFormatting sqref="AD5">
    <cfRule type="expression" dxfId="294" priority="3">
      <formula>ABS(AD$7-AD$10)&gt;=1000</formula>
    </cfRule>
  </conditionalFormatting>
  <conditionalFormatting sqref="AE5">
    <cfRule type="expression" dxfId="293" priority="2">
      <formula>ABS(AE$7-AE$10)&gt;=1000</formula>
    </cfRule>
  </conditionalFormatting>
  <conditionalFormatting sqref="T16">
    <cfRule type="expression" dxfId="292" priority="1">
      <formula>ABS(T$16-T$19)&gt;=1000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89729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919">
    <pageSetUpPr fitToPage="1"/>
  </sheetPr>
  <dimension ref="A1:CU223"/>
  <sheetViews>
    <sheetView view="pageBreakPreview" zoomScale="70" zoomScaleNormal="100" zoomScaleSheetLayoutView="70" workbookViewId="0">
      <selection activeCell="AH8" sqref="AH8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185" t="s" ph="1">
        <v>161</v>
      </c>
      <c r="C1" s="185" ph="1"/>
      <c r="D1" s="185" ph="1"/>
      <c r="E1" s="185" ph="1"/>
      <c r="F1" s="185" ph="1"/>
      <c r="G1" s="185" ph="1"/>
      <c r="H1" s="185" ph="1"/>
      <c r="I1" s="185" ph="1"/>
      <c r="J1" s="185" ph="1"/>
      <c r="K1" s="185" ph="1"/>
      <c r="L1" s="185" ph="1"/>
      <c r="M1" s="185" ph="1"/>
      <c r="N1" s="185" ph="1"/>
      <c r="O1" s="185" ph="1"/>
      <c r="P1" s="185" ph="1"/>
      <c r="Q1" s="185" ph="1"/>
      <c r="R1" s="185" ph="1"/>
      <c r="S1" s="185" ph="1"/>
      <c r="T1" s="185" ph="1"/>
      <c r="U1" s="185" ph="1"/>
      <c r="V1" s="185" ph="1"/>
      <c r="W1" s="185" ph="1"/>
      <c r="X1" s="185" ph="1"/>
      <c r="Y1" s="185" ph="1"/>
      <c r="Z1" s="185" ph="1"/>
      <c r="AA1" s="185" ph="1"/>
      <c r="AB1" s="185" ph="1"/>
      <c r="AC1" s="185" ph="1"/>
      <c r="AD1" s="185" ph="1"/>
      <c r="AE1" s="185" ph="1"/>
    </row>
    <row r="2" spans="1:99" s="66" customFormat="1" ht="24" customHeight="1" ph="1">
      <c r="B2" s="186" t="s" ph="1">
        <v>82</v>
      </c>
      <c r="C2" s="186" ph="1"/>
      <c r="D2" s="186" ph="1"/>
      <c r="E2" s="186" ph="1"/>
      <c r="F2" s="186" ph="1"/>
      <c r="G2" s="186" ph="1"/>
      <c r="H2" s="186" ph="1"/>
      <c r="I2" s="186" ph="1"/>
      <c r="J2" s="186" ph="1"/>
      <c r="K2" s="186" ph="1"/>
      <c r="L2" s="186" ph="1"/>
      <c r="M2" s="186" ph="1"/>
      <c r="N2" s="186" ph="1"/>
      <c r="O2" s="186" ph="1"/>
      <c r="P2" s="186" ph="1"/>
      <c r="Q2" s="186" ph="1"/>
      <c r="R2" s="186" ph="1"/>
      <c r="S2" s="186" ph="1"/>
      <c r="T2" s="186" ph="1"/>
      <c r="U2" s="186" ph="1"/>
      <c r="V2" s="186" ph="1"/>
      <c r="W2" s="186" ph="1"/>
      <c r="X2" s="186" ph="1"/>
      <c r="Y2" s="186" ph="1"/>
      <c r="Z2" s="186" ph="1"/>
      <c r="AA2" s="186" ph="1"/>
      <c r="AB2" s="186" ph="1"/>
      <c r="AC2" s="186" ph="1"/>
      <c r="AD2" s="186" ph="1"/>
      <c r="AE2" s="186" ph="1"/>
    </row>
    <row r="3" spans="1:99" ht="21" customHeight="1" ph="1">
      <c r="B3" s="187" ph="1">
        <v>46202</v>
      </c>
      <c r="C3" s="187"/>
      <c r="D3" s="187"/>
      <c r="E3" s="187"/>
      <c r="F3" s="187"/>
      <c r="G3" s="187"/>
      <c r="H3" s="187"/>
      <c r="I3" s="187"/>
      <c r="J3" s="187"/>
      <c r="K3" s="187"/>
      <c r="L3" s="187"/>
      <c r="M3" s="187"/>
      <c r="N3" s="187"/>
      <c r="O3" s="187"/>
      <c r="P3" s="187"/>
      <c r="Q3" s="187"/>
      <c r="R3" s="187"/>
      <c r="S3" s="187"/>
      <c r="T3" s="187"/>
      <c r="U3" s="187"/>
      <c r="V3" s="187"/>
      <c r="W3" s="187"/>
      <c r="X3" s="187"/>
      <c r="Y3" s="187"/>
      <c r="Z3" s="187"/>
      <c r="AA3" s="187"/>
      <c r="AB3" s="187"/>
      <c r="AC3" s="187"/>
      <c r="AD3" s="187"/>
      <c r="AE3" s="187"/>
    </row>
    <row r="4" spans="1:99" s="69" customFormat="1" ph="1">
      <c r="A4" s="65" ph="1"/>
      <c r="B4" s="188" t="s" ph="1">
        <v>37</v>
      </c>
      <c r="C4" s="67" t="s" ph="1">
        <v>176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110</v>
      </c>
      <c r="J4" s="68" t="s" ph="1">
        <v>48</v>
      </c>
      <c r="K4" s="68" t="s" ph="1">
        <v>111</v>
      </c>
      <c r="L4" s="68" t="s" ph="1">
        <v>112</v>
      </c>
      <c r="M4" s="68" t="s" ph="1">
        <v>49</v>
      </c>
      <c r="N4" s="68" t="s" ph="1">
        <v>50</v>
      </c>
      <c r="O4" s="68" t="s" ph="1">
        <v>113</v>
      </c>
      <c r="P4" s="68" t="s" ph="1">
        <v>114</v>
      </c>
      <c r="Q4" s="68" t="s" ph="1">
        <v>115</v>
      </c>
      <c r="R4" s="68" t="s" ph="1">
        <v>116</v>
      </c>
      <c r="S4" s="68" t="s" ph="1">
        <v>117</v>
      </c>
      <c r="T4" s="68" t="s" ph="1">
        <v>118</v>
      </c>
      <c r="U4" s="68" t="s" ph="1">
        <v>119</v>
      </c>
      <c r="V4" s="68" t="s" ph="1">
        <v>120</v>
      </c>
      <c r="W4" s="68" t="s" ph="1">
        <v>121</v>
      </c>
      <c r="X4" s="68" t="s" ph="1">
        <v>122</v>
      </c>
      <c r="Y4" s="68" t="s" ph="1">
        <v>123</v>
      </c>
      <c r="Z4" s="68" t="s" ph="1">
        <v>51</v>
      </c>
      <c r="AA4" s="68" t="s" ph="1">
        <v>124</v>
      </c>
      <c r="AB4" s="68" t="s" ph="1">
        <v>125</v>
      </c>
      <c r="AC4" s="68" t="s" ph="1">
        <v>126</v>
      </c>
      <c r="AD4" s="68" t="s" ph="1">
        <v>40</v>
      </c>
      <c r="AE4" s="68" t="s" ph="1">
        <v>127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188" ph="1"/>
      <c r="C5" s="67" t="s" ph="1">
        <v>36</v>
      </c>
      <c r="D5" s="70" t="s" ph="1">
        <v>160</v>
      </c>
      <c r="E5" s="142" t="s" ph="1">
        <v>7</v>
      </c>
      <c r="F5" s="142" t="s" ph="1">
        <v>1</v>
      </c>
      <c r="G5" s="142" t="s" ph="1">
        <v>7</v>
      </c>
      <c r="H5" s="142" t="s" ph="1">
        <v>7</v>
      </c>
      <c r="I5" s="141" t="s" ph="1">
        <v>608</v>
      </c>
      <c r="J5" s="141" t="s" ph="1">
        <v>609</v>
      </c>
      <c r="K5" s="141" t="s" ph="1">
        <v>611</v>
      </c>
      <c r="L5" s="141" t="s" ph="1">
        <v>613</v>
      </c>
      <c r="M5" s="141" t="s" ph="1">
        <v>608</v>
      </c>
      <c r="N5" s="70" t="s" ph="1">
        <v>609</v>
      </c>
      <c r="O5" s="70" t="s" ph="1">
        <v>611</v>
      </c>
      <c r="P5" s="70" t="s" ph="1">
        <v>613</v>
      </c>
      <c r="Q5" s="70" t="s" ph="1">
        <v>607</v>
      </c>
      <c r="R5" s="70" t="s" ph="1">
        <v>607</v>
      </c>
      <c r="S5" s="70" t="s" ph="1">
        <v>607</v>
      </c>
      <c r="T5" s="70" t="s" ph="1">
        <v>607</v>
      </c>
      <c r="U5" s="70" t="s" ph="1">
        <v>607</v>
      </c>
      <c r="V5" s="70" t="s" ph="1">
        <v>607</v>
      </c>
      <c r="W5" s="70" t="s" ph="1">
        <v>607</v>
      </c>
      <c r="X5" s="70" t="s" ph="1">
        <v>607</v>
      </c>
      <c r="Y5" s="70" t="s" ph="1">
        <v>607</v>
      </c>
      <c r="Z5" s="70" t="s" ph="1">
        <v>614</v>
      </c>
      <c r="AA5" s="70" t="s" ph="1">
        <v>54</v>
      </c>
      <c r="AB5" s="70" t="s" ph="1">
        <v>54</v>
      </c>
      <c r="AC5" s="70" t="s" ph="1">
        <v>615</v>
      </c>
      <c r="AD5" s="71" t="s">
        <v>72</v>
      </c>
      <c r="AE5" s="71" t="s">
        <v>635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184" ph="1">
        <v>0.33333333333333331</v>
      </c>
      <c r="C6" s="159" t="s" ph="1">
        <v>177</v>
      </c>
      <c r="D6" s="71">
        <v>2594</v>
      </c>
      <c r="E6" s="71">
        <v>7532</v>
      </c>
      <c r="F6" s="71">
        <v>5838</v>
      </c>
      <c r="G6" s="71">
        <v>0</v>
      </c>
      <c r="H6" s="71">
        <v>6727</v>
      </c>
      <c r="I6" s="71">
        <v>38.630000000000003</v>
      </c>
      <c r="J6" s="71">
        <v>76.78</v>
      </c>
      <c r="K6" s="71">
        <v>6.67</v>
      </c>
      <c r="L6" s="71">
        <v>6.51</v>
      </c>
      <c r="M6" s="71">
        <v>5605</v>
      </c>
      <c r="N6" s="71">
        <v>6423</v>
      </c>
      <c r="O6" s="71">
        <v>221</v>
      </c>
      <c r="P6" s="71">
        <v>3057</v>
      </c>
      <c r="Q6" s="71">
        <v>5925</v>
      </c>
      <c r="R6" s="71">
        <v>0</v>
      </c>
      <c r="S6" s="71">
        <v>0</v>
      </c>
      <c r="T6" s="71">
        <v>3256</v>
      </c>
      <c r="U6" s="71">
        <v>7103</v>
      </c>
      <c r="V6" s="71">
        <v>6534</v>
      </c>
      <c r="W6" s="71">
        <v>7044</v>
      </c>
      <c r="X6" s="71">
        <v>7161</v>
      </c>
      <c r="Y6" s="71">
        <v>4311</v>
      </c>
      <c r="Z6" s="71">
        <v>6780</v>
      </c>
      <c r="AA6" s="71">
        <v>0</v>
      </c>
      <c r="AB6" s="71">
        <v>2201</v>
      </c>
      <c r="AC6" s="71">
        <v>4153</v>
      </c>
      <c r="AD6" s="71">
        <v>4388</v>
      </c>
      <c r="AE6" s="71">
        <v>4787</v>
      </c>
    </row>
    <row r="7" spans="1:99" s="72" customFormat="1" ht="22.2" ph="1">
      <c r="B7" s="184" ph="1"/>
      <c r="C7" s="68" t="s" ph="1">
        <v>178</v>
      </c>
      <c r="D7" s="73" ph="1">
        <f>D6*33.183*LOOKUP(D8,密度!$A$2:$A$50,密度!$Q$2:$Q$50)</f>
        <v>81431.142393060014</v>
      </c>
      <c r="E7" s="73" ph="1">
        <f>E6*51.53*LOOKUP(E8,密度!$A$2:$A$50,密度!$B$2:$B$50)</f>
        <v>302581.43921600003</v>
      </c>
      <c r="F7" s="73" ph="1">
        <f>F6*33.183*LOOKUP(F8,密度!$A$2:$A$50,密度!$C$2:$C$50)</f>
        <v>214663.7404674</v>
      </c>
      <c r="G7" s="73" ph="1">
        <f xml:space="preserve"> (G6+2)*51.53*LOOKUP(G8,密度!$A$2:$A$50,密度!$B$2:$B$50)</f>
        <v>80.07762000000001</v>
      </c>
      <c r="H7" s="73" ph="1">
        <f>(H6)*51.53*LOOKUP(H8,密度!$A$2:$A$50,密度!$B$2:$B$50)</f>
        <v>270554.32295499998</v>
      </c>
      <c r="I7" s="73" ph="1">
        <f>I6*290.8*1.0267</f>
        <v>11533.5412268</v>
      </c>
      <c r="J7" s="73" ph="1">
        <f>J6*290.8*0.7892</f>
        <v>17620.960860800002</v>
      </c>
      <c r="K7" s="73" ph="1">
        <f>K6*290.8*1.1126</f>
        <v>2158.0390136000001</v>
      </c>
      <c r="L7" s="73" ph="1">
        <f>L6*290.8*0.777</f>
        <v>1470.9449159999999</v>
      </c>
      <c r="M7" s="73" ph="1">
        <f>M6*33.183*LOOKUP(M8,密度!$A$2:$A$50,密度!$D$2:$D$50)</f>
        <v>191979.61602300001</v>
      </c>
      <c r="N7" s="73" ph="1">
        <f>N6*33.183*LOOKUP(N8,密度!$A$2:$A$50,密度!$E$2:$E$50)</f>
        <v>166202.2121382</v>
      </c>
      <c r="O7" s="73" ph="1">
        <f>O6*20.428*LOOKUP(O8,密度!$A$2:$A$50,密度!$C$2:$C$50)</f>
        <v>4992.6828691999999</v>
      </c>
      <c r="P7" s="73" ph="1">
        <f>P6*51.53*LOOKUP(P8,密度!$A$2:$A$50,密度!$B$2:$B$50)</f>
        <v>122808.21291599999</v>
      </c>
      <c r="Q7" s="73" ph="1">
        <f>Q6*1.5*1.5*3.1416*LOOKUP(W8,密度!$A$2:$A$50,密度!$L$2:$L$50)</f>
        <v>39201.041880000004</v>
      </c>
      <c r="R7" s="73" ph="1">
        <f>R6*1.5*1.5*3.1416*LOOKUP(R8,密度!$A$2:$A$50,密度!$L$2:$L$50)</f>
        <v>0</v>
      </c>
      <c r="S7" s="73" ph="1">
        <f>S6*1.5*1.5*3.1416*LOOKUP(S8,密度!$A$2:$A$50,密度!$L$2:$L$50)</f>
        <v>0</v>
      </c>
      <c r="T7" s="73" ph="1">
        <f>T6*1.5*1.5*3.1416*LOOKUP(T8,密度!$A$2:$A$50,密度!$L$2:$L$50)</f>
        <v>21611.4245424</v>
      </c>
      <c r="U7" s="73" ph="1">
        <f>U6*1.5*1.5*3.1416*LOOKUP(U8,密度!$A$2:$A$50,密度!$L$2:$L$50)</f>
        <v>47045.145054600005</v>
      </c>
      <c r="V7" s="73" ph="1">
        <f>V6*1.5*1.5*3.1416*LOOKUP(V8,密度!$A$2:$A$50,密度!$L$2:$L$50)</f>
        <v>43137.941061600002</v>
      </c>
      <c r="W7" s="73" ph="1">
        <f>W6*1.5*1.5*3.1416*LOOKUP(W8,密度!$A$2:$A$50,密度!$L$2:$L$50)</f>
        <v>46604.580422400002</v>
      </c>
      <c r="X7" s="73" ph="1">
        <f>X6*1.5*1.5*3.1416*LOOKUP(X8,密度!$A$2:$A$50,密度!$L$2:$L$50)</f>
        <v>47935.477636199998</v>
      </c>
      <c r="Y7" s="73" ph="1">
        <f>Y6*1.5*1.5*3.1416*LOOKUP(Y8,密度!$A$2:$A$50,密度!$L$2:$L$50)</f>
        <v>28552.952320200002</v>
      </c>
      <c r="Z7" s="73" ph="1">
        <f>Z6*33.183*LOOKUP(Z8,密度!$A$2:$A$50,密度!$L$2:$L$50)</f>
        <v>211031.93411999999</v>
      </c>
      <c r="AA7" s="73" ph="1">
        <f>AA6*33.183*LOOKUP(AA8,密度!$A$2:$A$50,密度!$D$2:$D$50)</f>
        <v>0</v>
      </c>
      <c r="AB7" s="73" ph="1">
        <f>AB6*20.428*LOOKUP(AB8,密度!$A$2:$A$50,密度!$D$2:$D$50)</f>
        <v>46333.369853999997</v>
      </c>
      <c r="AC7" s="73" ph="1">
        <f>AC6*51.53*LOOKUP(AC8,密度!$A$2:$A$50,密度!$Q$2:$Q$50)</f>
        <v>202152.5434958</v>
      </c>
      <c r="AD7" s="73" ph="1">
        <f>AD6*20.428*LOOKUP(AD8,密度!$A$2:$A$50,密度!$V$2:$V$50)</f>
        <v>85837.410086399992</v>
      </c>
      <c r="AE7" s="73" ph="1">
        <f>AE6*20.428</f>
        <v>97788.83600000001</v>
      </c>
    </row>
    <row r="8" spans="1:99" ph="1">
      <c r="B8" s="184" ph="1"/>
      <c r="C8" s="68" t="s" ph="1">
        <v>179</v>
      </c>
      <c r="D8" s="74">
        <v>26</v>
      </c>
      <c r="E8" s="74">
        <v>25</v>
      </c>
      <c r="F8" s="74">
        <v>26</v>
      </c>
      <c r="G8" s="74">
        <v>28</v>
      </c>
      <c r="H8" s="74">
        <v>24</v>
      </c>
      <c r="I8" s="74">
        <v>25</v>
      </c>
      <c r="J8" s="74">
        <v>25</v>
      </c>
      <c r="K8" s="74">
        <v>25</v>
      </c>
      <c r="L8" s="74">
        <v>25</v>
      </c>
      <c r="M8" s="74">
        <v>19</v>
      </c>
      <c r="N8" s="74">
        <v>28</v>
      </c>
      <c r="O8" s="74">
        <v>29</v>
      </c>
      <c r="P8" s="74">
        <v>25</v>
      </c>
      <c r="Q8" s="74">
        <v>30</v>
      </c>
      <c r="R8" s="74">
        <v>35</v>
      </c>
      <c r="S8" s="74">
        <v>24</v>
      </c>
      <c r="T8" s="74">
        <v>23</v>
      </c>
      <c r="U8" s="74">
        <v>25</v>
      </c>
      <c r="V8" s="74">
        <v>28</v>
      </c>
      <c r="W8" s="74">
        <v>26</v>
      </c>
      <c r="X8" s="74">
        <v>15</v>
      </c>
      <c r="Y8" s="74">
        <v>25</v>
      </c>
      <c r="Z8" s="74">
        <v>24</v>
      </c>
      <c r="AA8" s="74">
        <v>27</v>
      </c>
      <c r="AB8" s="74">
        <v>21</v>
      </c>
      <c r="AC8" s="74">
        <v>28</v>
      </c>
      <c r="AD8" s="74">
        <v>28</v>
      </c>
      <c r="AE8" s="74">
        <v>28</v>
      </c>
    </row>
    <row r="9" spans="1:99" ht="26.4" ph="1">
      <c r="B9" s="184" ph="1">
        <v>0.66666666666666663</v>
      </c>
      <c r="C9" s="159" t="s" ph="1">
        <v>180</v>
      </c>
      <c r="D9" s="71">
        <v>2949</v>
      </c>
      <c r="E9" s="71">
        <v>7532</v>
      </c>
      <c r="F9" s="71">
        <v>5840</v>
      </c>
      <c r="G9" s="71">
        <v>1336</v>
      </c>
      <c r="H9" s="71">
        <v>6455</v>
      </c>
      <c r="I9" s="71">
        <v>38.630000000000003</v>
      </c>
      <c r="J9" s="71">
        <v>76.95</v>
      </c>
      <c r="K9" s="71">
        <v>6.77</v>
      </c>
      <c r="L9" s="71">
        <v>27.3</v>
      </c>
      <c r="M9" s="71">
        <v>5603</v>
      </c>
      <c r="N9" s="71">
        <v>6344</v>
      </c>
      <c r="O9" s="71">
        <v>221</v>
      </c>
      <c r="P9" s="71">
        <v>2997</v>
      </c>
      <c r="Q9" s="71">
        <v>7304</v>
      </c>
      <c r="R9" s="71">
        <v>4623</v>
      </c>
      <c r="S9" s="71">
        <v>0</v>
      </c>
      <c r="T9" s="71">
        <v>0</v>
      </c>
      <c r="U9" s="71">
        <v>6214</v>
      </c>
      <c r="V9" s="71">
        <v>6543</v>
      </c>
      <c r="W9" s="71">
        <v>7054</v>
      </c>
      <c r="X9" s="71">
        <v>7169</v>
      </c>
      <c r="Y9" s="71">
        <v>6955</v>
      </c>
      <c r="Z9" s="71">
        <v>3730</v>
      </c>
      <c r="AA9" s="71">
        <v>0</v>
      </c>
      <c r="AB9" s="71">
        <v>2041</v>
      </c>
      <c r="AC9" s="71">
        <v>3866</v>
      </c>
      <c r="AD9" s="71">
        <v>4975</v>
      </c>
      <c r="AE9" s="71">
        <v>4793</v>
      </c>
    </row>
    <row r="10" spans="1:99" s="72" customFormat="1" ht="22.2" ph="1">
      <c r="B10" s="184" ph="1"/>
      <c r="C10" s="159" t="s" ph="1">
        <v>178</v>
      </c>
      <c r="D10" s="73" ph="1">
        <f>D9*33.183*LOOKUP(D11,密度!$A$2:$A$50,密度!$Q$2:$Q$50)</f>
        <v>92107.587813750011</v>
      </c>
      <c r="E10" s="73" ph="1">
        <f>E9*51.53*LOOKUP(E11,密度!$A$2:$A$50,密度!$B$2:$B$50)</f>
        <v>301261.817752</v>
      </c>
      <c r="F10" s="73" ph="1">
        <f>F9*33.183*LOOKUP(F11,密度!$A$2:$A$50,密度!$C$2:$C$50)</f>
        <v>214310.94544800001</v>
      </c>
      <c r="G10" s="73" ph="1">
        <f xml:space="preserve"> (G9+2)*51.53*LOOKUP(G11,密度!$A$2:$A$50,密度!$B$2:$B$50)</f>
        <v>53454.717641999996</v>
      </c>
      <c r="H10" s="73" ph="1">
        <f>(H9)*51.53*LOOKUP(H11,密度!$A$2:$A$50,密度!$B$2:$B$50)</f>
        <v>258450.51855000004</v>
      </c>
      <c r="I10" s="73" ph="1">
        <f>I9*290.8*1.0267</f>
        <v>11533.5412268</v>
      </c>
      <c r="J10" s="73" ph="1">
        <f>J9*290.8*0.7892</f>
        <v>17659.975752000002</v>
      </c>
      <c r="K10" s="73" ph="1">
        <f>K9*290.8*1.1126</f>
        <v>2190.3934215999998</v>
      </c>
      <c r="L10" s="73" ph="1">
        <f>L9*290.8*0.777</f>
        <v>6168.4786800000002</v>
      </c>
      <c r="M10" s="73" ph="1">
        <f>M9*33.183*LOOKUP(M11,密度!$A$2:$A$50,密度!$D$2:$D$50)</f>
        <v>189363.94945649998</v>
      </c>
      <c r="N10" s="73" ph="1">
        <f>N9*33.183*LOOKUP(N11,密度!$A$2:$A$50,密度!$E$2:$E$50)</f>
        <v>163694.87147519999</v>
      </c>
      <c r="O10" s="73" ph="1">
        <f>O9*20.428*LOOKUP(O11,密度!$A$2:$A$50,密度!$C$2:$C$50)</f>
        <v>4941.6680248000002</v>
      </c>
      <c r="P10" s="73" ph="1">
        <f>P9*51.53*LOOKUP(P11,密度!$A$2:$A$50,密度!$B$2:$B$50)</f>
        <v>119733.773373</v>
      </c>
      <c r="Q10" s="73" ph="1">
        <f>Q9*1.5*1.5*3.1416*LOOKUP(W11,密度!$A$2:$A$50,密度!$L$2:$L$50)</f>
        <v>48221.536809600002</v>
      </c>
      <c r="R10" s="73" ph="1">
        <f>R9*1.5*1.5*3.1416*LOOKUP(R11,密度!$A$2:$A$50,密度!$L$2:$L$50)</f>
        <v>30292.633740600002</v>
      </c>
      <c r="S10" s="73" ph="1">
        <f>S9*1.5*1.5*3.1416*LOOKUP(S11,密度!$A$2:$A$50,密度!$L$2:$L$50)</f>
        <v>0</v>
      </c>
      <c r="T10" s="73" ph="1">
        <f>T9*1.5*1.5*3.1416*LOOKUP(T11,密度!$A$2:$A$50,密度!$L$2:$L$50)</f>
        <v>0</v>
      </c>
      <c r="U10" s="73" ph="1">
        <f>U9*1.5*1.5*3.1416*LOOKUP(U11,密度!$A$2:$A$50,密度!$L$2:$L$50)</f>
        <v>41025.277893599996</v>
      </c>
      <c r="V10" s="73" ph="1">
        <f>V9*1.5*1.5*3.1416*LOOKUP(V11,密度!$A$2:$A$50,密度!$L$2:$L$50)</f>
        <v>43197.3597132</v>
      </c>
      <c r="W10" s="73" ph="1">
        <f>W9*1.5*1.5*3.1416*LOOKUP(W11,密度!$A$2:$A$50,密度!$L$2:$L$50)</f>
        <v>46571.018709600001</v>
      </c>
      <c r="X10" s="73" ph="1">
        <f>X9*1.5*1.5*3.1416*LOOKUP(X11,密度!$A$2:$A$50,密度!$L$2:$L$50)</f>
        <v>47837.004969599999</v>
      </c>
      <c r="Y10" s="73" ph="1">
        <f>Y9*1.5*1.5*3.1416*LOOKUP(Y11,密度!$A$2:$A$50,密度!$L$2:$L$50)</f>
        <v>45966.575655000001</v>
      </c>
      <c r="Z10" s="73" ph="1">
        <f>Z9*33.183*LOOKUP(Z11,密度!$A$2:$A$50,密度!$L$2:$L$50)</f>
        <v>115356.05388000001</v>
      </c>
      <c r="AA10" s="73" ph="1">
        <f>AA9*33.183*LOOKUP(AA11,密度!$A$2:$A$50,密度!$D$2:$D$50)</f>
        <v>0</v>
      </c>
      <c r="AB10" s="73" ph="1">
        <f>AB9*20.428*LOOKUP(AB11,密度!$A$2:$A$50,密度!$D$2:$D$50)</f>
        <v>42806.765731599997</v>
      </c>
      <c r="AC10" s="73" ph="1">
        <f>AC9*51.53*LOOKUP(AC11,密度!$A$2:$A$50,密度!$Q$2:$Q$50)</f>
        <v>187925.4670834</v>
      </c>
      <c r="AD10" s="73" ph="1">
        <f>AD9*20.428*LOOKUP(AD11,密度!$A$2:$A$50,密度!$V$2:$V$50)</f>
        <v>97320.217680000002</v>
      </c>
      <c r="AE10" s="73" ph="1">
        <f>AE9*20.428</f>
        <v>97911.40400000001</v>
      </c>
    </row>
    <row r="11" spans="1:99" ph="1">
      <c r="A11" s="64" t="s" ph="1">
        <v>162</v>
      </c>
      <c r="B11" s="184" ph="1"/>
      <c r="C11" s="159" t="s" ph="1">
        <v>179</v>
      </c>
      <c r="D11" s="74">
        <v>33</v>
      </c>
      <c r="E11" s="74">
        <v>29</v>
      </c>
      <c r="F11" s="74">
        <v>29</v>
      </c>
      <c r="G11" s="74">
        <v>30</v>
      </c>
      <c r="H11" s="74">
        <v>28</v>
      </c>
      <c r="I11" s="74">
        <v>25</v>
      </c>
      <c r="J11" s="74">
        <v>25</v>
      </c>
      <c r="K11" s="74">
        <v>25</v>
      </c>
      <c r="L11" s="74">
        <v>25</v>
      </c>
      <c r="M11" s="74">
        <v>34</v>
      </c>
      <c r="N11" s="74">
        <v>30</v>
      </c>
      <c r="O11" s="74">
        <v>40</v>
      </c>
      <c r="P11" s="74">
        <v>30</v>
      </c>
      <c r="Q11" s="74">
        <v>32</v>
      </c>
      <c r="R11" s="74">
        <v>35</v>
      </c>
      <c r="S11" s="74">
        <v>30</v>
      </c>
      <c r="T11" s="74">
        <v>38</v>
      </c>
      <c r="U11" s="74">
        <v>28</v>
      </c>
      <c r="V11" s="74">
        <v>28</v>
      </c>
      <c r="W11" s="74">
        <v>28</v>
      </c>
      <c r="X11" s="74">
        <v>18</v>
      </c>
      <c r="Y11" s="74">
        <v>27</v>
      </c>
      <c r="Z11" s="74">
        <v>30</v>
      </c>
      <c r="AA11" s="74">
        <v>43</v>
      </c>
      <c r="AB11" s="74">
        <v>25</v>
      </c>
      <c r="AC11" s="74">
        <v>30</v>
      </c>
      <c r="AD11" s="74">
        <v>36</v>
      </c>
      <c r="AE11" s="74">
        <v>30</v>
      </c>
    </row>
    <row r="12" spans="1:99" ht="9.9" customHeight="1" ph="1"/>
    <row r="13" spans="1:99" s="72" customFormat="1" ht="29.25" customHeight="1" ph="1">
      <c r="B13" s="192" t="s" ph="1">
        <v>37</v>
      </c>
      <c r="C13" s="159" t="s" ph="1">
        <v>176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128</v>
      </c>
      <c r="I13" s="76" t="s" ph="1">
        <v>59</v>
      </c>
      <c r="J13" s="76" t="s" ph="1">
        <v>129</v>
      </c>
      <c r="K13" s="76" t="s" ph="1">
        <v>55</v>
      </c>
      <c r="L13" s="76" t="s" ph="1">
        <v>60</v>
      </c>
      <c r="M13" s="76" t="s" ph="1">
        <v>61</v>
      </c>
      <c r="N13" s="76" t="s" ph="1">
        <v>130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131</v>
      </c>
      <c r="W13" s="76" t="s" ph="1">
        <v>132</v>
      </c>
      <c r="X13" s="76" t="s" ph="1">
        <v>133</v>
      </c>
      <c r="Y13" s="105" t="s" ph="1">
        <v>68</v>
      </c>
      <c r="Z13" s="76" t="s" ph="1">
        <v>74</v>
      </c>
      <c r="AA13" s="76" t="s" ph="1">
        <v>134</v>
      </c>
      <c r="AB13" s="76" t="s" ph="1">
        <v>135</v>
      </c>
      <c r="AC13" s="76" t="s" ph="1">
        <v>136</v>
      </c>
      <c r="AD13" s="76" t="s" ph="1">
        <v>137</v>
      </c>
      <c r="AE13" s="76" t="s" ph="1">
        <v>138</v>
      </c>
      <c r="AG13" s="72" t="s" ph="1">
        <v>325</v>
      </c>
      <c r="AH13" s="72" t="s" ph="1">
        <v>188</v>
      </c>
      <c r="AI13" s="72" t="s" ph="1">
        <v>189</v>
      </c>
      <c r="AJ13" s="72" t="s" ph="1">
        <v>190</v>
      </c>
      <c r="AK13" s="72" t="s" ph="1">
        <v>191</v>
      </c>
      <c r="AL13" s="72" t="s" ph="1">
        <v>192</v>
      </c>
      <c r="AM13" s="72" t="s" ph="1">
        <v>193</v>
      </c>
      <c r="AN13" s="72" t="s" ph="1">
        <v>194</v>
      </c>
      <c r="AO13" s="72" t="s" ph="1">
        <v>195</v>
      </c>
      <c r="AP13" s="72" t="s" ph="1">
        <v>196</v>
      </c>
      <c r="AQ13" s="72" t="s" ph="1">
        <v>197</v>
      </c>
      <c r="AR13" s="72" t="s" ph="1">
        <v>198</v>
      </c>
      <c r="AS13" s="72" t="s" ph="1">
        <v>199</v>
      </c>
      <c r="AT13" s="72" t="s" ph="1">
        <v>200</v>
      </c>
      <c r="AU13" s="72" t="s" ph="1">
        <v>201</v>
      </c>
      <c r="AV13" s="72" t="s" ph="1">
        <v>202</v>
      </c>
      <c r="AW13" s="72" t="s" ph="1">
        <v>203</v>
      </c>
      <c r="AX13" s="72" t="s" ph="1">
        <v>204</v>
      </c>
      <c r="AY13" s="72" t="s" ph="1">
        <v>326</v>
      </c>
      <c r="AZ13" s="72" t="s" ph="1">
        <v>205</v>
      </c>
      <c r="BA13" s="72" t="s" ph="1">
        <v>206</v>
      </c>
      <c r="BB13" s="72" t="s" ph="1">
        <v>591</v>
      </c>
      <c r="BC13" s="72" t="s" ph="1">
        <v>207</v>
      </c>
      <c r="BD13" s="72" t="s" ph="1">
        <v>327</v>
      </c>
      <c r="BE13" s="72" t="s" ph="1">
        <v>328</v>
      </c>
      <c r="BF13" s="72" t="s" ph="1">
        <v>329</v>
      </c>
      <c r="BG13" s="72" t="s" ph="1">
        <v>330</v>
      </c>
      <c r="BH13" s="72" t="s" ph="1">
        <v>331</v>
      </c>
    </row>
    <row r="14" spans="1:99" s="72" customFormat="1" ht="24" ph="1">
      <c r="B14" s="193" ph="1"/>
      <c r="C14" s="67" t="s" ph="1">
        <v>36</v>
      </c>
      <c r="D14" s="77" t="s" ph="1">
        <v>616</v>
      </c>
      <c r="E14" s="77" t="s" ph="1">
        <v>616</v>
      </c>
      <c r="F14" s="144" t="s" ph="1">
        <v>636</v>
      </c>
      <c r="G14" s="77" t="s" ph="1">
        <v>617</v>
      </c>
      <c r="H14" s="77" t="s" ph="1">
        <v>637</v>
      </c>
      <c r="I14" s="138" t="s" ph="1">
        <v>618</v>
      </c>
      <c r="J14" s="77" t="s" ph="1">
        <v>619</v>
      </c>
      <c r="K14" s="77" t="s" ph="1">
        <v>186</v>
      </c>
      <c r="L14" s="77" t="s" ph="1">
        <v>41</v>
      </c>
      <c r="M14" s="104" t="s" ph="1">
        <v>620</v>
      </c>
      <c r="N14" s="104" t="s" ph="1">
        <v>621</v>
      </c>
      <c r="O14" s="104" t="s" ph="1">
        <v>641</v>
      </c>
      <c r="P14" s="77" t="s" ph="1">
        <v>622</v>
      </c>
      <c r="Q14" s="77" t="s" ph="1">
        <v>622</v>
      </c>
      <c r="R14" s="88" t="s" ph="1">
        <v>7</v>
      </c>
      <c r="S14" s="77" t="s" ph="1">
        <v>622</v>
      </c>
      <c r="T14" s="77" t="s" ph="1">
        <v>624</v>
      </c>
      <c r="U14" s="77" t="s" ph="1">
        <v>605</v>
      </c>
      <c r="V14" s="77" t="s" ph="1">
        <v>633</v>
      </c>
      <c r="W14" s="77" t="s" ph="1">
        <v>622</v>
      </c>
      <c r="X14" s="77" t="s" ph="1">
        <v>625</v>
      </c>
      <c r="Y14" s="143" t="s" ph="1">
        <v>0</v>
      </c>
      <c r="Z14" s="77" t="s" ph="1">
        <v>54</v>
      </c>
      <c r="AA14" s="77" t="s" ph="1">
        <v>613</v>
      </c>
      <c r="AB14" s="77" t="s" ph="1">
        <v>632</v>
      </c>
      <c r="AC14" s="77" t="s" ph="1">
        <v>632</v>
      </c>
      <c r="AD14" s="77" t="s" ph="1">
        <v>612</v>
      </c>
      <c r="AE14" s="77" t="s" ph="1">
        <v>612</v>
      </c>
      <c r="AG14" s="72" t="s" ph="1">
        <v>208</v>
      </c>
      <c r="AI14" s="72" t="s" ph="1">
        <v>209</v>
      </c>
      <c r="AJ14" s="72" t="s" ph="1">
        <v>332</v>
      </c>
      <c r="AK14" s="72" t="s" ph="1">
        <v>210</v>
      </c>
      <c r="AM14" s="72" t="s" ph="1">
        <v>212</v>
      </c>
      <c r="AN14" s="72" t="s" ph="1">
        <v>210</v>
      </c>
      <c r="AO14" s="72" t="s" ph="1">
        <v>211</v>
      </c>
      <c r="AP14" s="72" t="s" ph="1">
        <v>212</v>
      </c>
      <c r="AQ14" s="72" t="s" ph="1">
        <v>210</v>
      </c>
      <c r="AR14" s="72" t="s" ph="1">
        <v>211</v>
      </c>
      <c r="AS14" s="72" t="s" ph="1">
        <v>212</v>
      </c>
      <c r="AT14" s="72" t="s" ph="1">
        <v>210</v>
      </c>
      <c r="AU14" s="72" t="s" ph="1">
        <v>211</v>
      </c>
      <c r="AV14" s="72" t="s" ph="1">
        <v>212</v>
      </c>
      <c r="AW14" s="72" t="s" ph="1">
        <v>210</v>
      </c>
      <c r="AX14" s="72" t="s" ph="1">
        <v>211</v>
      </c>
      <c r="AY14" s="72" t="s" ph="1">
        <v>212</v>
      </c>
      <c r="AZ14" s="72" t="s" ph="1">
        <v>211</v>
      </c>
    </row>
    <row r="15" spans="1:99" ph="1">
      <c r="B15" s="194" ph="1">
        <v>0.33333333333333331</v>
      </c>
      <c r="C15" s="159" t="s" ph="1">
        <v>177</v>
      </c>
      <c r="D15" s="78">
        <v>3888</v>
      </c>
      <c r="E15" s="78">
        <v>56</v>
      </c>
      <c r="F15" s="78">
        <v>2817</v>
      </c>
      <c r="G15" s="78">
        <v>4436</v>
      </c>
      <c r="H15" s="78">
        <v>2028</v>
      </c>
      <c r="I15" s="78">
        <v>4081</v>
      </c>
      <c r="J15" s="78">
        <v>725</v>
      </c>
      <c r="K15" s="78">
        <v>3358</v>
      </c>
      <c r="L15" s="78">
        <v>5837</v>
      </c>
      <c r="M15" s="78">
        <v>4298</v>
      </c>
      <c r="N15" s="78">
        <v>3476</v>
      </c>
      <c r="O15" s="78">
        <v>6220</v>
      </c>
      <c r="P15" s="78">
        <v>6059</v>
      </c>
      <c r="Q15" s="78">
        <v>4559</v>
      </c>
      <c r="R15" s="78">
        <v>1946</v>
      </c>
      <c r="S15" s="78">
        <v>3051</v>
      </c>
      <c r="T15" s="78">
        <v>4446</v>
      </c>
      <c r="U15" s="78">
        <v>2670</v>
      </c>
      <c r="V15" s="78">
        <v>3944</v>
      </c>
      <c r="W15" s="71">
        <v>-784</v>
      </c>
      <c r="X15" s="78">
        <v>1285</v>
      </c>
      <c r="Y15" s="106">
        <v>-2368</v>
      </c>
      <c r="Z15" s="78">
        <v>1268</v>
      </c>
      <c r="AA15" s="78">
        <v>2543</v>
      </c>
      <c r="AB15" s="78" ph="1">
        <v>0</v>
      </c>
      <c r="AC15" s="78" ph="1">
        <v>0</v>
      </c>
      <c r="AD15" s="78">
        <v>8.11</v>
      </c>
      <c r="AE15" s="78">
        <v>57.84</v>
      </c>
      <c r="AG15" s="64" t="s" ph="1">
        <v>214</v>
      </c>
      <c r="AH15" s="64" ph="1">
        <v>1</v>
      </c>
      <c r="AI15" s="64" t="s" ph="1">
        <v>333</v>
      </c>
      <c r="AK15" s="64" t="s" ph="1">
        <v>587</v>
      </c>
      <c r="AM15" s="64" t="s" ph="1">
        <v>335</v>
      </c>
      <c r="AZ15" s="64" t="s" ph="1">
        <v>216</v>
      </c>
      <c r="BA15" s="64" ph="1">
        <v>0</v>
      </c>
    </row>
    <row r="16" spans="1:99" s="72" customFormat="1" ht="22.2" ph="1">
      <c r="B16" s="195" ph="1"/>
      <c r="C16" s="159" t="s" ph="1">
        <v>178</v>
      </c>
      <c r="D16" s="73" ph="1">
        <f>D15*7.0686*LOOKUP(D17,密度!$A$2:$A$50,密度!$L$2:$L$50)</f>
        <v>25668.8574912</v>
      </c>
      <c r="E16" s="73" ph="1">
        <f>E15*7.0686*LOOKUP(E17,密度!$A$2:$A$50,密度!$L$2:$L$50)</f>
        <v>369.71605440000002</v>
      </c>
      <c r="F16" s="73" ph="1">
        <f>F15*9.0746*LOOKUP(F17,密度!$A$2:$A$50,密度!$L$2:$L$50)</f>
        <v>23824.8541224</v>
      </c>
      <c r="G16" s="73" ph="1">
        <f>G15*9.0746*LOOKUP(G17,密度!$A$2:$A$50,密度!$B$2:$B$50)</f>
        <v>31382.73999776</v>
      </c>
      <c r="H16" s="73" ph="1">
        <f>H15*9.0746*LOOKUP(H17,密度!$A$2:$A$50,密度!$L$2:$L$50)</f>
        <v>17299.091472</v>
      </c>
      <c r="I16" s="73" ph="1">
        <f>I15*9.0746*LOOKUP(I17,密度!$A$2:$A$50,密度!$U$2:$U$50)</f>
        <v>37885.211779799996</v>
      </c>
      <c r="J16" s="73" ph="1">
        <f>J15*9.0746*LOOKUP(J17,密度!$A$2:$A$50,密度!$L$2:$L$50)</f>
        <v>6144.8653899999999</v>
      </c>
      <c r="K16" s="73" ph="1">
        <f>K15*9.0746*LOOKUP(K17,密度!$A$2:$A$50,密度!$C$2:$C$50)</f>
        <v>33745.25403032</v>
      </c>
      <c r="L16" s="73" ph="1">
        <f>L15*9.0746*LOOKUP(L17,密度!$A$2:$A$50,密度!$E$2:$E$50)</f>
        <v>41304.789667960009</v>
      </c>
      <c r="M16" s="73" ph="1">
        <f>M15*9.0746*LOOKUP(M17,密度!$A$2:$A$50,密度!$M$2:$M$50)</f>
        <v>33971.291426800002</v>
      </c>
      <c r="N16" s="73" ph="1">
        <f>N15*9.0746*LOOKUP(N17,密度!$A$2:$A$50,密度!$M$2:$M$50)</f>
        <v>27603.550230960001</v>
      </c>
      <c r="O16" s="73" ph="1">
        <f>O15*9.0746*LOOKUP(O17,密度!$A$2:$A$50,密度!$G$2:$G$50)</f>
        <v>54016.919483999998</v>
      </c>
      <c r="P16" s="73" ph="1">
        <f ca="1">P15*9.0746*LOOKUP(P17,密度!$A$2:$A$51,密度!$Q$2:$Q$50)</f>
        <v>52054.606745436002</v>
      </c>
      <c r="Q16" s="73" ph="1">
        <f>Q15*9.0746*LOOKUP(Q17,密度!$A$2:$A$50,密度!$Q$2:$Q$50)</f>
        <v>39079.969804467997</v>
      </c>
      <c r="R16" s="73" ph="1">
        <f>MAX(R15*9.0746*LOOKUP(R17,密度!$A$2:$A$50,密度!$B$2:$B$50),0)</f>
        <v>13707.04899592</v>
      </c>
      <c r="S16" s="73" ph="1">
        <f>S15*9.0746*LOOKUP(S17,密度!$A$2:$A$50,密度!$Q$2:$Q$50)</f>
        <v>26134.216680078003</v>
      </c>
      <c r="T16" s="73" ph="1">
        <f>T15*9.0746*LOOKUP(T17,密度!$A$2:$A$50,密度!$O$2:$O$50)</f>
        <v>37360.091901600004</v>
      </c>
      <c r="U16" s="73" ph="1">
        <f>U15*9.0746*LOOKUP(U17,密度!$A$2:$A$50,密度!$H$2:$H$50)</f>
        <v>22162.432775400001</v>
      </c>
      <c r="V16" s="73" ph="1">
        <f>MAX(5600*LOOKUP(V17,密度!$A$2:$A$50,密度!$Q$2:$Q$50)+V15*9.0476*LOOKUP(V17,密度!$A$2:$A$50,密度!$Q$2:$Q$50),0)</f>
        <v>38944.185171551995</v>
      </c>
      <c r="W16" s="73" ph="1">
        <f>MAX(5600*LOOKUP(W17,密度!$A$2:$A$50,密度!$Q$2:$Q$50)+W15*9.0476*LOOKUP(W17,密度!$A$2:$A$50,密度!$Q$2:$Q$50),0)</f>
        <v>0</v>
      </c>
      <c r="X16" s="73" ph="1">
        <f>MAX(5600*LOOKUP(X17,密度!$A$2:$A$50,密度!$I$2:$I$50)+X15*9.0476*LOOKUP(X17,密度!$A$2:$A$50,密度!$I$2:$I$50),0)</f>
        <v>17897.986473999998</v>
      </c>
      <c r="Y16" s="107" ph="1">
        <v>0</v>
      </c>
      <c r="Z16" s="73" ph="1">
        <f>Z15*9.0746*LOOKUP(Z17,密度!$A$2:$A$50,密度!$D$2:$D$50)</f>
        <v>11781.60036792</v>
      </c>
      <c r="AA16" s="73" ph="1">
        <f>AA15*9.0746*LOOKUP(AA17,密度!$A$2:$A$50,密度!$B$2:$B$50)</f>
        <v>17969.832363859998</v>
      </c>
      <c r="AB16" s="73" ph="1">
        <f>AB15*9.0746*LOOKUP(AB17,密度!$A$2:$A$50,密度!$L$2:$L$50)</f>
        <v>0</v>
      </c>
      <c r="AC16" s="73" ph="1">
        <f>AC15*9.0746*LOOKUP(AC17,密度!$A$2:$A$50,密度!$L$2:$L$50)</f>
        <v>0</v>
      </c>
      <c r="AD16" s="73" ph="1">
        <f>AD15*268.68*LOOKUP(AD17,密度!$A$2:$A$50,密度!B2:B50)+IF(AD15&lt;=0,0,1566*LOOKUP(AD17,密度!$A$2:$A$50,密度!B2:B50))</f>
        <v>2919.5979460799999</v>
      </c>
      <c r="AE16" s="73" ph="1">
        <f>AE15*268.68*LOOKUP(AE17,密度!$A$2:$A$50,密度!B2:B50)+IF(AE15&lt;=0,0,1566*LOOKUP(AE17,密度!$A$2:$A$50,密度!B2:B50))</f>
        <v>13336.18935552</v>
      </c>
      <c r="AH16" s="72" ph="1">
        <v>2</v>
      </c>
      <c r="AI16" s="72" t="s" ph="1">
        <v>337</v>
      </c>
      <c r="AZ16" s="72" t="s" ph="1">
        <v>216</v>
      </c>
      <c r="BA16" s="72" ph="1">
        <v>0</v>
      </c>
    </row>
    <row r="17" spans="1:57" ph="1">
      <c r="A17" s="64" t="s" ph="1">
        <v>73</v>
      </c>
      <c r="B17" s="196" ph="1"/>
      <c r="C17" s="79" t="s" ph="1">
        <v>179</v>
      </c>
      <c r="D17" s="74">
        <v>28</v>
      </c>
      <c r="E17" s="74">
        <v>28</v>
      </c>
      <c r="F17" s="74">
        <v>30</v>
      </c>
      <c r="G17" s="74">
        <v>25</v>
      </c>
      <c r="H17" s="74">
        <v>22</v>
      </c>
      <c r="I17" s="74">
        <v>27</v>
      </c>
      <c r="J17" s="74">
        <v>28</v>
      </c>
      <c r="K17" s="74">
        <v>27</v>
      </c>
      <c r="L17" s="74">
        <v>28</v>
      </c>
      <c r="M17" s="74">
        <v>29</v>
      </c>
      <c r="N17" s="74">
        <v>25</v>
      </c>
      <c r="O17" s="74">
        <v>28</v>
      </c>
      <c r="P17" s="74">
        <v>25</v>
      </c>
      <c r="Q17" s="74">
        <v>28</v>
      </c>
      <c r="R17" s="74">
        <v>29</v>
      </c>
      <c r="S17" s="74">
        <v>29</v>
      </c>
      <c r="T17" s="74">
        <v>26</v>
      </c>
      <c r="U17" s="74">
        <v>25</v>
      </c>
      <c r="V17" s="74">
        <v>30</v>
      </c>
      <c r="W17" s="74">
        <v>28</v>
      </c>
      <c r="X17" s="74">
        <v>28</v>
      </c>
      <c r="Y17" s="108">
        <v>28</v>
      </c>
      <c r="Z17" s="74">
        <v>28</v>
      </c>
      <c r="AA17" s="74">
        <v>26</v>
      </c>
      <c r="AB17" s="74">
        <v>26</v>
      </c>
      <c r="AC17" s="74">
        <v>26</v>
      </c>
      <c r="AD17" s="74">
        <v>25</v>
      </c>
      <c r="AE17" s="74">
        <v>25</v>
      </c>
      <c r="AH17" s="64" ph="1">
        <v>3</v>
      </c>
      <c r="AI17" s="64" t="s" ph="1">
        <v>338</v>
      </c>
      <c r="AK17" s="64" t="s" ph="1">
        <v>570</v>
      </c>
      <c r="AL17" s="64" ph="1">
        <v>80</v>
      </c>
      <c r="AM17" s="64" t="s" ph="1">
        <v>335</v>
      </c>
      <c r="AZ17" s="64" t="s" ph="1">
        <v>216</v>
      </c>
      <c r="BA17" s="64" ph="1">
        <v>80</v>
      </c>
      <c r="BD17" s="64" t="s" ph="1">
        <v>214</v>
      </c>
      <c r="BE17" s="64" ph="1">
        <v>2270</v>
      </c>
    </row>
    <row r="18" spans="1:57" ht="26.4" ph="1">
      <c r="B18" s="194" ph="1">
        <v>0.66666666666666663</v>
      </c>
      <c r="C18" s="79" t="s" ph="1">
        <v>180</v>
      </c>
      <c r="D18" s="71">
        <v>5189</v>
      </c>
      <c r="E18" s="71">
        <v>1482</v>
      </c>
      <c r="F18" s="71">
        <v>3125</v>
      </c>
      <c r="G18" s="71">
        <v>1186</v>
      </c>
      <c r="H18" s="71">
        <v>2030</v>
      </c>
      <c r="I18" s="71">
        <v>2877</v>
      </c>
      <c r="J18" s="71">
        <v>810</v>
      </c>
      <c r="K18" s="71">
        <v>3359</v>
      </c>
      <c r="L18" s="71">
        <v>5851</v>
      </c>
      <c r="M18" s="71">
        <v>2394</v>
      </c>
      <c r="N18" s="71">
        <v>4039</v>
      </c>
      <c r="O18" s="71">
        <v>6471</v>
      </c>
      <c r="P18" s="71">
        <v>5690</v>
      </c>
      <c r="Q18" s="71">
        <v>2921</v>
      </c>
      <c r="R18" s="71">
        <v>1947</v>
      </c>
      <c r="S18" s="71">
        <v>1146</v>
      </c>
      <c r="T18" s="71">
        <v>4450</v>
      </c>
      <c r="U18" s="71">
        <v>2672</v>
      </c>
      <c r="V18" s="71">
        <v>3154</v>
      </c>
      <c r="W18" s="71">
        <v>1383</v>
      </c>
      <c r="X18" s="71">
        <v>1284</v>
      </c>
      <c r="Y18" s="109">
        <v>-9908</v>
      </c>
      <c r="Z18" s="71">
        <v>1268</v>
      </c>
      <c r="AA18" s="71">
        <v>2545</v>
      </c>
      <c r="AB18" s="71">
        <v>19</v>
      </c>
      <c r="AC18" s="71">
        <v>0</v>
      </c>
      <c r="AD18" s="71">
        <v>31.63</v>
      </c>
      <c r="AE18" s="71">
        <v>84.66</v>
      </c>
      <c r="AH18" s="64" ph="1">
        <v>4</v>
      </c>
      <c r="AI18" s="64" t="s" ph="1">
        <v>340</v>
      </c>
      <c r="AJ18" s="64" t="s" ph="1">
        <v>588</v>
      </c>
      <c r="AK18" s="64" t="s" ph="1">
        <v>587</v>
      </c>
      <c r="AL18" s="64" ph="1">
        <v>740</v>
      </c>
      <c r="AM18" s="64" t="s" ph="1">
        <v>339</v>
      </c>
      <c r="AZ18" s="64" t="s" ph="1">
        <v>216</v>
      </c>
      <c r="BA18" s="64" ph="1">
        <v>740</v>
      </c>
    </row>
    <row r="19" spans="1:57" s="72" customFormat="1" ht="22.2" ph="1">
      <c r="B19" s="195" ph="1"/>
      <c r="C19" s="159" t="s" ph="1">
        <v>178</v>
      </c>
      <c r="D19" s="73" ph="1">
        <f>D18*7.0686*LOOKUP(D20,密度!$A$2:$A$50,密度!$L$2:$L$50)</f>
        <v>34184.795752800004</v>
      </c>
      <c r="E19" s="73" ph="1">
        <f>E18*7.0686*LOOKUP(E20,密度!$A$2:$A$50,密度!$L$2:$L$50)</f>
        <v>9763.3199664000003</v>
      </c>
      <c r="F19" s="73" ph="1">
        <f>F18*9.0746*LOOKUP(F20,密度!$A$2:$A$50,密度!$L$2:$L$50)</f>
        <v>26373.056250000001</v>
      </c>
      <c r="G19" s="73" ph="1">
        <f>G18*9.0746*LOOKUP(G20,密度!$A$2:$A$50,密度!$B$2:$B$50)</f>
        <v>8334.4611046399987</v>
      </c>
      <c r="H19" s="73" ph="1">
        <f>H18*9.0746*LOOKUP(H20,密度!$A$2:$A$50,密度!$L$2:$L$50)</f>
        <v>17260.887406000002</v>
      </c>
      <c r="I19" s="73" ph="1">
        <f>I18*9.0746*LOOKUP(I20,密度!$A$2:$A$50,密度!$U$2:$U$50)</f>
        <v>26603.669059799999</v>
      </c>
      <c r="J19" s="73" ph="1">
        <f>J18*9.0746*LOOKUP(J20,密度!$A$2:$A$50,密度!$L$2:$L$50)</f>
        <v>6835.8961800000006</v>
      </c>
      <c r="K19" s="73" ph="1">
        <f>K18*9.0746*LOOKUP(K20,密度!$A$2:$A$50,密度!$C$2:$C$50)</f>
        <v>33685.195605139997</v>
      </c>
      <c r="L19" s="73" ph="1">
        <f>L18*9.0746*LOOKUP(L20,密度!$A$2:$A$50,密度!$E$2:$E$50)</f>
        <v>41287.048824960002</v>
      </c>
      <c r="M19" s="73" ph="1">
        <f>M18*9.0746*LOOKUP(M20,密度!$A$2:$A$50,密度!$M$2:$M$50)</f>
        <v>18807.414132528003</v>
      </c>
      <c r="N19" s="73" ph="1">
        <f>N18*9.0746*LOOKUP(N20,密度!$A$2:$A$50,密度!$M$2:$M$50)</f>
        <v>31960.813796799997</v>
      </c>
      <c r="O19" s="73" ph="1">
        <f>O18*9.0746*LOOKUP(O20,密度!$A$2:$A$50,密度!$G$2:$G$50)</f>
        <v>55940.675154624005</v>
      </c>
      <c r="P19" s="73" ph="1">
        <f ca="1">P18*9.0746*LOOKUP(P20,密度!$A$2:$A$51,密度!$Q$2:$Q$50)</f>
        <v>48739.329042820005</v>
      </c>
      <c r="Q19" s="73" ph="1">
        <f>Q18*9.0746*LOOKUP(Q20,密度!$A$2:$A$50,密度!$Q$2:$Q$50)</f>
        <v>25004.760202978003</v>
      </c>
      <c r="R19" s="73" ph="1">
        <f>MAX(R18*9.0746*LOOKUP(R20,密度!$A$2:$A$50,密度!$B$2:$B$50),0)</f>
        <v>13698.19127886</v>
      </c>
      <c r="S19" s="73" ph="1">
        <f>S18*9.0746*LOOKUP(S20,密度!$A$2:$A$50,密度!$Q$2:$Q$50)</f>
        <v>9795.2811380399999</v>
      </c>
      <c r="T19" s="73" ph="1">
        <f>T18*9.0746*LOOKUP(T20,密度!$A$2:$A$50,密度!$O$2:$O$50)</f>
        <v>37232.176340000005</v>
      </c>
      <c r="U19" s="73" ph="1">
        <f>U18*9.0746*LOOKUP(U20,密度!$A$2:$A$50,密度!$H$2:$H$50)</f>
        <v>22065.071392000002</v>
      </c>
      <c r="V19" s="73" ph="1">
        <f>MAX(5600*LOOKUP(V20,密度!$A$2:$A$50,密度!$Q$2:$Q$50)+V18*9.0476*LOOKUP(V20,密度!$A$2:$A$50,密度!$Q$2:$Q$50),0)</f>
        <v>32085.914408175999</v>
      </c>
      <c r="W19" s="73" ph="1">
        <f>MAX(5600*LOOKUP(W20,密度!$A$2:$A$50,密度!$Q$2:$Q$50)+W18*9.0476*LOOKUP(W20,密度!$A$2:$A$50,密度!$Q$2:$Q$50),0)</f>
        <v>17024.974182152</v>
      </c>
      <c r="X19" s="73" ph="1">
        <f>MAX(5600*LOOKUP(X20,密度!$A$2:$A$50,密度!$I$2:$I$50)+X18*9.0476*LOOKUP(X20,密度!$A$2:$A$50,密度!$I$2:$I$50),0)</f>
        <v>17848.986645279998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11739.02597456</v>
      </c>
      <c r="AA19" s="73" ph="1">
        <f>AA18*9.0746*LOOKUP(AA20,密度!$A$2:$A$50,密度!$B$2:$B$50)</f>
        <v>17944.703889</v>
      </c>
      <c r="AB19" s="73" ph="1">
        <f>AB18*9.0746*LOOKUP(AB20,密度!$A$2:$A$50,密度!$L$2:$L$50)</f>
        <v>160.17576460000001</v>
      </c>
      <c r="AC19" s="73" ph="1">
        <f>AC18*9.0746*LOOKUP(AC20,密度!$A$2:$A$50,密度!$L$2:$L$50)</f>
        <v>0</v>
      </c>
      <c r="AD19" s="73" ph="1">
        <f>AD18*268.68*LOOKUP(AD20,密度!$A$2:$A$50,密度!B5:B53)+IF(AD18&lt;=0,0,1566*LOOKUP(AD20,密度!$A$2:$A$50,密度!B5:B53))</f>
        <v>7819.9987068000009</v>
      </c>
      <c r="AE19" s="73" ph="1">
        <f>AE18*268.68*LOOKUP(AE20,密度!$A$2:$A$50,密度!B5:B53)+IF(AE18&lt;=0,0,1566*LOOKUP(AE20,密度!$A$2:$A$50,密度!B5:B53))</f>
        <v>18890.772717599997</v>
      </c>
      <c r="AH19" s="72" ph="1">
        <v>5</v>
      </c>
      <c r="AI19" s="72" t="s" ph="1">
        <v>341</v>
      </c>
      <c r="AZ19" s="72" t="s" ph="1">
        <v>216</v>
      </c>
      <c r="BA19" s="72" ph="1">
        <v>0</v>
      </c>
      <c r="BD19" s="72" t="s" ph="1">
        <v>342</v>
      </c>
      <c r="BE19" s="72" ph="1">
        <v>1440</v>
      </c>
    </row>
    <row r="20" spans="1:57" ph="1">
      <c r="A20" s="72" ph="1"/>
      <c r="B20" s="195" ph="1"/>
      <c r="C20" s="80" t="s" ph="1">
        <v>179</v>
      </c>
      <c r="D20" s="81">
        <v>30</v>
      </c>
      <c r="E20" s="81">
        <v>30</v>
      </c>
      <c r="F20" s="81">
        <v>32</v>
      </c>
      <c r="G20" s="81">
        <v>31</v>
      </c>
      <c r="H20" s="81">
        <v>25</v>
      </c>
      <c r="I20" s="81">
        <v>31</v>
      </c>
      <c r="J20" s="81">
        <v>32</v>
      </c>
      <c r="K20" s="81">
        <v>30</v>
      </c>
      <c r="L20" s="81">
        <v>30</v>
      </c>
      <c r="M20" s="81">
        <v>34</v>
      </c>
      <c r="N20" s="81">
        <v>28</v>
      </c>
      <c r="O20" s="81">
        <v>32</v>
      </c>
      <c r="P20" s="81">
        <v>29</v>
      </c>
      <c r="Q20" s="81">
        <v>30</v>
      </c>
      <c r="R20" s="81">
        <v>30</v>
      </c>
      <c r="S20" s="81">
        <v>32</v>
      </c>
      <c r="T20" s="81">
        <v>30</v>
      </c>
      <c r="U20" s="81">
        <v>30</v>
      </c>
      <c r="V20" s="81">
        <v>35</v>
      </c>
      <c r="W20" s="81">
        <v>35</v>
      </c>
      <c r="X20" s="81">
        <v>30</v>
      </c>
      <c r="Y20" s="110">
        <v>30</v>
      </c>
      <c r="Z20" s="81">
        <v>32</v>
      </c>
      <c r="AA20" s="81">
        <v>28</v>
      </c>
      <c r="AB20" s="81">
        <v>33</v>
      </c>
      <c r="AC20" s="81">
        <v>32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343</v>
      </c>
      <c r="AZ20" s="64" t="s" ph="1">
        <v>216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344</v>
      </c>
      <c r="AZ21" s="64" t="s" ph="1">
        <v>216</v>
      </c>
      <c r="BA21" s="64" ph="1">
        <v>0</v>
      </c>
      <c r="BD21" s="64" t="s" ph="1">
        <v>232</v>
      </c>
      <c r="BE21" s="64" ph="1">
        <v>730</v>
      </c>
    </row>
    <row r="22" spans="1:57" ph="1">
      <c r="A22" s="72" ph="1"/>
      <c r="B22" s="193" t="s" ph="1">
        <v>37</v>
      </c>
      <c r="C22" s="85" t="s" ph="1">
        <v>176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172" t="s" ph="1">
        <v>69</v>
      </c>
      <c r="AA22" s="173"/>
      <c r="AB22" s="173"/>
      <c r="AC22" s="173"/>
      <c r="AD22" s="173"/>
      <c r="AE22" s="174"/>
      <c r="AH22" s="64" ph="1">
        <v>8</v>
      </c>
      <c r="AI22" s="64" t="s" ph="1">
        <v>345</v>
      </c>
      <c r="AZ22" s="64" t="s" ph="1">
        <v>216</v>
      </c>
      <c r="BA22" s="64" ph="1">
        <v>0</v>
      </c>
    </row>
    <row r="23" spans="1:57" ph="1">
      <c r="A23" s="72" ph="1"/>
      <c r="B23" s="188" ph="1"/>
      <c r="C23" s="67" t="s" ph="1">
        <v>36</v>
      </c>
      <c r="D23" s="88" t="s" ph="1">
        <v>109</v>
      </c>
      <c r="E23" s="88" t="s" ph="1">
        <v>107</v>
      </c>
      <c r="F23" s="88" t="s" ph="1">
        <v>109</v>
      </c>
      <c r="G23" s="88" t="s" ph="1">
        <v>626</v>
      </c>
      <c r="H23" s="88" t="s" ph="1">
        <v>626</v>
      </c>
      <c r="I23" s="88" t="s" ph="1">
        <v>627</v>
      </c>
      <c r="J23" s="88" t="s" ph="1">
        <v>628</v>
      </c>
      <c r="K23" s="88" t="s" ph="1">
        <v>628</v>
      </c>
      <c r="L23" s="88" t="s" ph="1">
        <v>628</v>
      </c>
      <c r="M23" s="88" t="s" ph="1">
        <v>623</v>
      </c>
      <c r="N23" s="88" t="s" ph="1">
        <v>623</v>
      </c>
      <c r="O23" s="88" t="s" ph="1">
        <v>318</v>
      </c>
      <c r="P23" s="88" t="s" ph="1">
        <v>629</v>
      </c>
      <c r="Q23" s="89" t="s" ph="1">
        <v>629</v>
      </c>
      <c r="R23" s="88" t="s" ph="1">
        <v>610</v>
      </c>
      <c r="S23" s="88" t="s" ph="1">
        <v>629</v>
      </c>
      <c r="T23" s="88" t="s" ph="1">
        <v>604</v>
      </c>
      <c r="U23" s="104" t="s" ph="1">
        <v>606</v>
      </c>
      <c r="V23" s="88" t="s" ph="1">
        <v>629</v>
      </c>
      <c r="W23" s="88" t="s" ph="1">
        <v>629</v>
      </c>
      <c r="X23" s="88" t="s" ph="1">
        <v>187</v>
      </c>
      <c r="Y23" s="88" t="s" ph="1">
        <v>630</v>
      </c>
      <c r="Z23" s="175" t="s" ph="1">
        <v>644</v>
      </c>
      <c r="AA23" s="176"/>
      <c r="AB23" s="176"/>
      <c r="AC23" s="176"/>
      <c r="AD23" s="176"/>
      <c r="AE23" s="177"/>
      <c r="AH23" s="64" ph="1">
        <v>9</v>
      </c>
      <c r="AI23" s="64" t="s" ph="1">
        <v>346</v>
      </c>
      <c r="AZ23" s="64" t="s" ph="1">
        <v>216</v>
      </c>
      <c r="BA23" s="64" ph="1">
        <v>0</v>
      </c>
      <c r="BD23" s="64" t="s" ph="1">
        <v>238</v>
      </c>
      <c r="BE23" s="64" ph="1">
        <v>890</v>
      </c>
    </row>
    <row r="24" spans="1:57" ph="1">
      <c r="A24" s="72" ph="1"/>
      <c r="B24" s="184" ph="1">
        <v>0.33333333333333331</v>
      </c>
      <c r="C24" s="159" t="s" ph="1">
        <v>177</v>
      </c>
      <c r="D24" s="71">
        <v>2.91</v>
      </c>
      <c r="E24" s="71">
        <v>5.78</v>
      </c>
      <c r="F24" s="71">
        <v>6</v>
      </c>
      <c r="G24" s="71">
        <v>2989</v>
      </c>
      <c r="H24" s="71">
        <v>3922</v>
      </c>
      <c r="I24" s="71">
        <v>1746</v>
      </c>
      <c r="J24" s="71">
        <v>188</v>
      </c>
      <c r="K24" s="71">
        <v>223</v>
      </c>
      <c r="L24" s="71">
        <v>301</v>
      </c>
      <c r="M24" s="71">
        <v>323</v>
      </c>
      <c r="N24" s="71">
        <v>1473</v>
      </c>
      <c r="O24" s="71">
        <v>340</v>
      </c>
      <c r="P24" s="71">
        <v>1120</v>
      </c>
      <c r="Q24" s="90">
        <v>1141</v>
      </c>
      <c r="R24" s="71">
        <v>6003</v>
      </c>
      <c r="S24" s="71">
        <v>2519</v>
      </c>
      <c r="T24" s="71">
        <v>366</v>
      </c>
      <c r="U24" s="71">
        <v>6385</v>
      </c>
      <c r="V24" s="71">
        <v>882</v>
      </c>
      <c r="W24" s="71">
        <v>406</v>
      </c>
      <c r="X24" s="71">
        <v>5162</v>
      </c>
      <c r="Y24" s="71">
        <v>3684</v>
      </c>
      <c r="Z24" s="178"/>
      <c r="AA24" s="179"/>
      <c r="AB24" s="179"/>
      <c r="AC24" s="179"/>
      <c r="AD24" s="179"/>
      <c r="AE24" s="180"/>
      <c r="AH24" s="64" ph="1">
        <v>10</v>
      </c>
      <c r="AI24" s="64" t="s" ph="1">
        <v>347</v>
      </c>
      <c r="AZ24" s="64" t="s" ph="1">
        <v>216</v>
      </c>
      <c r="BA24" s="64" ph="1">
        <v>0</v>
      </c>
    </row>
    <row r="25" spans="1:57" ph="1">
      <c r="A25" s="72" ph="1"/>
      <c r="B25" s="184" ph="1"/>
      <c r="C25" s="68" t="s" ph="1">
        <v>178</v>
      </c>
      <c r="D25" s="91" ph="1">
        <f>D24*268.68*LOOKUP(D26,密度!$A$2:$A$50,密度!$Q$2:$Q$50)+IF(D24&lt;=0,0,1566*LOOKUP(D26,密度!$A$2:$A$50,密度!$Q$2:$Q$50))</f>
        <v>2222.8118403120002</v>
      </c>
      <c r="E25" s="91" ph="1">
        <f>E24*268.68*LOOKUP(E26,密度!$A$2:$A$50,密度!$C$2:$C$50)+IF(E24&lt;=0,0,1566*LOOKUP(E26,密度!$A$2:$A$50,密度!$C$2:$C$50))</f>
        <v>3458.6262765600004</v>
      </c>
      <c r="F25" s="91" ph="1">
        <f>F24*11.702*LOOKUP(F26,密度!$A$2:$A$50,密度!$Q$2:$Q$50)</f>
        <v>66.472508880000007</v>
      </c>
      <c r="G25" s="91" ph="1">
        <f>G24*18.322*LOOKUP(G26,密度!$A$2:$A$50,密度!$B$2:$B$50)</f>
        <v>42551.983866000002</v>
      </c>
      <c r="H25" s="91" ph="1">
        <f>H24*18.322*LOOKUP(H26,密度!$A$2:$A$50,密度!$B$2:$B$50)</f>
        <v>55834.352867999994</v>
      </c>
      <c r="I25" s="91" ph="1">
        <f>I24*18.322*LOOKUP(I26,密度!$A$2:$A$50,密度!$Q$2:$Q$50)</f>
        <v>30196.520813160001</v>
      </c>
      <c r="J25" s="91" ph="1">
        <f>J24*18.322*LOOKUP(J26,密度!$A$2:$A$50,密度!$Q$2:$Q$50)</f>
        <v>3256.18877152</v>
      </c>
      <c r="K25" s="91" ph="1">
        <f>K24*18.322*LOOKUP(K26,密度!$A$2:$A$50,密度!$Q$2:$Q$50)</f>
        <v>3868.1959724400003</v>
      </c>
      <c r="L25" s="91" ph="1">
        <f>L24*18.322*LOOKUP(L26,密度!$A$2:$A$50,密度!$Q$2:$Q$50)</f>
        <v>5221.1972542799995</v>
      </c>
      <c r="M25" s="91" ph="1">
        <f>M24*18.322*LOOKUP(M26,密度!$A$2:$A$50,密度!$Q$2:$Q$50)</f>
        <v>5598.6112161799992</v>
      </c>
      <c r="N25" s="91" ph="1">
        <f>N24*18.322*LOOKUP(N26,密度!$A$2:$A$50,密度!$Q$2:$Q$50)</f>
        <v>25570.610285820003</v>
      </c>
      <c r="O25" s="91" ph="1">
        <f>O24*18.322*LOOKUP(O26,密度!$A$2:$A$50,密度!$C$2:$C$50)</f>
        <v>6907.8703719999994</v>
      </c>
      <c r="P25" s="91" ph="1">
        <f>P24*11.702*LOOKUP(P26,密度!$A$2:$A$50,密度!$B$2:$B$50)</f>
        <v>10205.829087999999</v>
      </c>
      <c r="Q25" s="92" ph="1">
        <f>Q24*18.322*LOOKUP(Q26,密度!$A$2:$A$50,密度!$B$2:$B$50)</f>
        <v>16243.497353999999</v>
      </c>
      <c r="R25" s="91" ph="1">
        <f>R24*35.891*LOOKUP(R26,密度!$A$2:$A$50,密度!$C$2:$C$50)</f>
        <v>238421.03454179998</v>
      </c>
      <c r="S25" s="91" ph="1">
        <f>S24*35.891*LOOKUP(S26,密度!$A$2:$A$50,密度!$B$2:$B$50)</f>
        <v>70483.190848399987</v>
      </c>
      <c r="T25" s="91" ph="1">
        <f>T24*35.891*LOOKUP(T26,密度!$A$2:$A$50,密度!$Q$2:$Q$50)</f>
        <v>12355.689942540001</v>
      </c>
      <c r="U25" s="91" ph="1">
        <f>U24*35.891</f>
        <v>229164.03499999997</v>
      </c>
      <c r="V25" s="91" ph="1">
        <f>V24*47.051*LOOKUP(V26,密度!$A$2:$A$50,密度!$B$2:$B$50)</f>
        <v>32389.955451000002</v>
      </c>
      <c r="W25" s="91" ph="1">
        <f>W24*47.051*LOOKUP(W26,密度!$A$2:$A$50,密度!$B$2:$B$50)</f>
        <v>14909.662033000001</v>
      </c>
      <c r="X25" s="91" ph="1">
        <f>X24*47.051*LOOKUP(X26,密度!$A$2:$A$61,密度!$I$2:$I$61)</f>
        <v>252616.64020620001</v>
      </c>
      <c r="Y25" s="91" ph="1">
        <f>Y24*47.051*LOOKUP(Y26,密度!$A$2:$A$50,密度!$L$2:$L$50)</f>
        <v>161722.37977200001</v>
      </c>
      <c r="Z25" s="178"/>
      <c r="AA25" s="179"/>
      <c r="AB25" s="179"/>
      <c r="AC25" s="179"/>
      <c r="AD25" s="179"/>
      <c r="AE25" s="180"/>
      <c r="AH25" s="64" ph="1">
        <v>11</v>
      </c>
      <c r="AI25" s="64" t="s" ph="1">
        <v>348</v>
      </c>
      <c r="AZ25" s="64" t="s" ph="1">
        <v>216</v>
      </c>
      <c r="BA25" s="64" ph="1">
        <v>0</v>
      </c>
      <c r="BD25" s="64" t="s" ph="1">
        <v>241</v>
      </c>
      <c r="BE25" s="64" ph="1">
        <v>8920</v>
      </c>
    </row>
    <row r="26" spans="1:57" ph="1">
      <c r="A26" s="72" ph="1"/>
      <c r="B26" s="184" ph="1"/>
      <c r="C26" s="68" t="s" ph="1">
        <v>179</v>
      </c>
      <c r="D26" s="74">
        <v>25</v>
      </c>
      <c r="E26" s="74">
        <v>25</v>
      </c>
      <c r="F26" s="74">
        <v>25</v>
      </c>
      <c r="G26" s="74">
        <v>28</v>
      </c>
      <c r="H26" s="74">
        <v>28</v>
      </c>
      <c r="I26" s="74">
        <v>29</v>
      </c>
      <c r="J26" s="74">
        <v>27</v>
      </c>
      <c r="K26" s="74">
        <v>25</v>
      </c>
      <c r="L26" s="74">
        <v>25</v>
      </c>
      <c r="M26" s="74">
        <v>26</v>
      </c>
      <c r="N26" s="74">
        <v>24</v>
      </c>
      <c r="O26" s="74">
        <v>25</v>
      </c>
      <c r="P26" s="74">
        <v>26</v>
      </c>
      <c r="Q26" s="93">
        <v>28</v>
      </c>
      <c r="R26" s="74">
        <v>28</v>
      </c>
      <c r="S26" s="74">
        <v>25</v>
      </c>
      <c r="T26" s="74">
        <v>34</v>
      </c>
      <c r="U26" s="74">
        <v>28</v>
      </c>
      <c r="V26" s="74">
        <v>24</v>
      </c>
      <c r="W26" s="74">
        <v>24</v>
      </c>
      <c r="X26" s="74">
        <v>27</v>
      </c>
      <c r="Y26" s="74">
        <v>29</v>
      </c>
      <c r="Z26" s="178"/>
      <c r="AA26" s="179"/>
      <c r="AB26" s="179"/>
      <c r="AC26" s="179"/>
      <c r="AD26" s="179"/>
      <c r="AE26" s="180"/>
      <c r="AH26" s="64" ph="1">
        <v>12</v>
      </c>
      <c r="AI26" s="64" t="s" ph="1">
        <v>349</v>
      </c>
      <c r="AZ26" s="64" t="s" ph="1">
        <v>216</v>
      </c>
      <c r="BA26" s="64" ph="1">
        <v>0</v>
      </c>
    </row>
    <row r="27" spans="1:57" ht="26.4" ph="1">
      <c r="A27" s="72" ph="1"/>
      <c r="B27" s="184" ph="1">
        <v>0.66666666666666663</v>
      </c>
      <c r="C27" s="159" t="s" ph="1">
        <v>180</v>
      </c>
      <c r="D27" s="71">
        <v>2.9</v>
      </c>
      <c r="E27" s="71">
        <v>5.77</v>
      </c>
      <c r="F27" s="71">
        <v>3</v>
      </c>
      <c r="G27" s="71">
        <v>2547</v>
      </c>
      <c r="H27" s="71">
        <v>3466</v>
      </c>
      <c r="I27" s="71">
        <v>1401</v>
      </c>
      <c r="J27" s="71">
        <v>474</v>
      </c>
      <c r="K27" s="71">
        <v>218</v>
      </c>
      <c r="L27" s="71">
        <v>295</v>
      </c>
      <c r="M27" s="71">
        <v>319</v>
      </c>
      <c r="N27" s="71">
        <v>2631</v>
      </c>
      <c r="O27" s="71">
        <v>334</v>
      </c>
      <c r="P27" s="71">
        <v>1118</v>
      </c>
      <c r="Q27" s="90">
        <v>1407</v>
      </c>
      <c r="R27" s="71">
        <v>5999</v>
      </c>
      <c r="S27" s="71">
        <v>2516</v>
      </c>
      <c r="T27" s="71">
        <v>363</v>
      </c>
      <c r="U27" s="71">
        <v>6288</v>
      </c>
      <c r="V27" s="71">
        <v>877</v>
      </c>
      <c r="W27" s="71">
        <v>403</v>
      </c>
      <c r="X27" s="71">
        <v>4913</v>
      </c>
      <c r="Y27" s="71">
        <v>4312</v>
      </c>
      <c r="Z27" s="178"/>
      <c r="AA27" s="179"/>
      <c r="AB27" s="179"/>
      <c r="AC27" s="179"/>
      <c r="AD27" s="179"/>
      <c r="AE27" s="180"/>
      <c r="AH27" s="64" ph="1">
        <v>13</v>
      </c>
      <c r="AI27" s="64" t="s" ph="1">
        <v>350</v>
      </c>
      <c r="AZ27" s="64" t="s" ph="1">
        <v>216</v>
      </c>
      <c r="BA27" s="64" ph="1">
        <v>0</v>
      </c>
      <c r="BD27" s="64" t="s" ph="1">
        <v>295</v>
      </c>
      <c r="BE27" s="64" ph="1">
        <v>7100</v>
      </c>
    </row>
    <row r="28" spans="1:57" ph="1">
      <c r="A28" s="72" ph="1"/>
      <c r="B28" s="184" ph="1"/>
      <c r="C28" s="159" t="s" ph="1">
        <v>178</v>
      </c>
      <c r="D28" s="91" ph="1">
        <f>D27*268.68*LOOKUP(D29,密度!$A$2:$A$50,密度!$Q$2:$Q$50)+IF(D27&lt;=0,0,1566*LOOKUP(D29,密度!$A$2:$A$50,密度!$Q$2:$Q$50))</f>
        <v>2220.26813928</v>
      </c>
      <c r="E28" s="91" ph="1">
        <f>E27*268.68*LOOKUP(E29,密度!$A$2:$A$50,密度!$C$2:$C$50)+IF(E27&lt;=0,0,1566*LOOKUP(E29,密度!$A$2:$A$50,密度!$C$2:$C$50))</f>
        <v>3455.6468840399998</v>
      </c>
      <c r="F28" s="91" ph="1">
        <f>F27*11.702*LOOKUP(F29,密度!$A$2:$A$50,密度!$Q$2:$Q$50)</f>
        <v>33.116542979999998</v>
      </c>
      <c r="G28" s="91" ph="1">
        <f>G27*18.322*LOOKUP(G29,密度!$A$2:$A$50,密度!$B$2:$B$50)</f>
        <v>36180.253690199999</v>
      </c>
      <c r="H28" s="91" ph="1">
        <f>H27*18.322*LOOKUP(H29,密度!$A$2:$A$50,密度!$B$2:$B$50)</f>
        <v>49234.691515599996</v>
      </c>
      <c r="I28" s="91" ph="1">
        <f>I27*18.322*LOOKUP(I29,密度!$A$2:$A$50,密度!$Q$2:$Q$50)</f>
        <v>24214.452856259999</v>
      </c>
      <c r="J28" s="91" ph="1">
        <f>J27*18.322*LOOKUP(J29,密度!$A$2:$A$50,密度!$Q$2:$Q$50)</f>
        <v>8209.7525409599984</v>
      </c>
      <c r="K28" s="91" ph="1">
        <f>K27*18.322*LOOKUP(K29,密度!$A$2:$A$50,密度!$Q$2:$Q$50)</f>
        <v>3767.8449126800001</v>
      </c>
      <c r="L28" s="91" ph="1">
        <f>L27*18.322*LOOKUP(L29,密度!$A$2:$A$50,密度!$Q$2:$Q$50)</f>
        <v>5083.8795441000002</v>
      </c>
      <c r="M28" s="91" ph="1">
        <f>M27*18.322*LOOKUP(M29,密度!$A$2:$A$50,密度!$Q$2:$Q$50)</f>
        <v>5489.9436174000002</v>
      </c>
      <c r="N28" s="91" ph="1">
        <f>N27*18.322*LOOKUP(N29,密度!$A$2:$A$50,密度!$Q$2:$Q$50)</f>
        <v>45603.548327460005</v>
      </c>
      <c r="O28" s="91" ph="1">
        <f>O27*18.322*LOOKUP(O29,密度!$A$2:$A$50,密度!$C$2:$C$50)</f>
        <v>6749.8614439999992</v>
      </c>
      <c r="P28" s="91" ph="1">
        <f>P27*11.702*LOOKUP(P29,密度!$A$2:$A$50,密度!$B$2:$B$50)</f>
        <v>10165.363572</v>
      </c>
      <c r="Q28" s="92" ph="1">
        <f>Q27*18.322*LOOKUP(Q29,密度!$A$2:$A$50,密度!$B$2:$B$50)</f>
        <v>19986.5005662</v>
      </c>
      <c r="R28" s="91" ph="1">
        <f>R27*35.891*LOOKUP(R29,密度!$A$2:$A$50,密度!$C$2:$C$50)</f>
        <v>237939.20145589998</v>
      </c>
      <c r="S28" s="91" ph="1">
        <f>S27*35.891*LOOKUP(S29,密度!$A$2:$A$50,密度!$B$2:$B$50)</f>
        <v>70164.464412000001</v>
      </c>
      <c r="T28" s="91" ph="1">
        <f>T27*35.891*LOOKUP(T29,密度!$A$2:$A$50,密度!$Q$2:$Q$50)</f>
        <v>12220.930722659999</v>
      </c>
      <c r="U28" s="91" ph="1">
        <f>U27*35.891</f>
        <v>225682.60799999998</v>
      </c>
      <c r="V28" s="91" ph="1">
        <f>V27*47.051*LOOKUP(V29,密度!$A$2:$A$50,密度!$B$2:$B$50)</f>
        <v>32169.201569199999</v>
      </c>
      <c r="W28" s="91" ph="1">
        <f>W27*47.051*LOOKUP(W29,密度!$A$2:$A$50,密度!$B$2:$B$50)</f>
        <v>14782.426718799999</v>
      </c>
      <c r="X28" s="91" ph="1">
        <f>X27*47.051*LOOKUP(X29,密度!$A$2:$A$61,密度!$I$2:$I$61)</f>
        <v>240685.41939560001</v>
      </c>
      <c r="Y28" s="91" ph="1">
        <f>Y27*47.051*LOOKUP(Y29,密度!$A$2:$A$50,密度!$L$2:$L$50)</f>
        <v>188884.92207200002</v>
      </c>
      <c r="Z28" s="178"/>
      <c r="AA28" s="179"/>
      <c r="AB28" s="179"/>
      <c r="AC28" s="179"/>
      <c r="AD28" s="179"/>
      <c r="AE28" s="180"/>
      <c r="AH28" s="64" ph="1">
        <v>14</v>
      </c>
      <c r="AI28" s="64" t="s" ph="1">
        <v>351</v>
      </c>
      <c r="AZ28" s="64" t="s" ph="1">
        <v>216</v>
      </c>
      <c r="BA28" s="64" ph="1">
        <v>0</v>
      </c>
    </row>
    <row r="29" spans="1:57" ph="1">
      <c r="A29" s="72" ph="1"/>
      <c r="B29" s="184" ph="1"/>
      <c r="C29" s="159" t="s" ph="1">
        <v>179</v>
      </c>
      <c r="D29" s="74">
        <v>25</v>
      </c>
      <c r="E29" s="74">
        <v>25</v>
      </c>
      <c r="F29" s="74">
        <v>30</v>
      </c>
      <c r="G29" s="74">
        <v>30</v>
      </c>
      <c r="H29" s="74">
        <v>30</v>
      </c>
      <c r="I29" s="74">
        <v>30</v>
      </c>
      <c r="J29" s="74">
        <v>27</v>
      </c>
      <c r="K29" s="74">
        <v>30</v>
      </c>
      <c r="L29" s="74">
        <v>34</v>
      </c>
      <c r="M29" s="74">
        <v>36</v>
      </c>
      <c r="N29" s="74">
        <v>26</v>
      </c>
      <c r="O29" s="74">
        <v>32</v>
      </c>
      <c r="P29" s="74">
        <v>28</v>
      </c>
      <c r="Q29" s="93">
        <v>30</v>
      </c>
      <c r="R29" s="74">
        <v>30</v>
      </c>
      <c r="S29" s="74">
        <v>28</v>
      </c>
      <c r="T29" s="74">
        <v>38</v>
      </c>
      <c r="U29" s="74">
        <v>30</v>
      </c>
      <c r="V29" s="74">
        <v>25</v>
      </c>
      <c r="W29" s="74">
        <v>25</v>
      </c>
      <c r="X29" s="74">
        <v>26</v>
      </c>
      <c r="Y29" s="74">
        <v>31</v>
      </c>
      <c r="Z29" s="181"/>
      <c r="AA29" s="182"/>
      <c r="AB29" s="182"/>
      <c r="AC29" s="182"/>
      <c r="AD29" s="182"/>
      <c r="AE29" s="183"/>
      <c r="AH29" s="64" ph="1">
        <v>15</v>
      </c>
      <c r="AI29" s="64" t="s" ph="1">
        <v>352</v>
      </c>
      <c r="AZ29" s="64" t="s" ph="1">
        <v>216</v>
      </c>
      <c r="BA29" s="64" ph="1">
        <v>0</v>
      </c>
      <c r="BD29" s="64" t="s" ph="1">
        <v>353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354</v>
      </c>
      <c r="AZ30" s="64" t="s" ph="1">
        <v>216</v>
      </c>
      <c r="BA30" s="64" ph="1">
        <v>0</v>
      </c>
    </row>
    <row r="31" spans="1:57" ht="28.2" ph="1">
      <c r="A31" s="64"/>
      <c r="B31" s="197" t="s" ph="1">
        <v>35</v>
      </c>
      <c r="C31" s="198" ph="1"/>
      <c r="D31" s="201" t="s" ph="1">
        <v>9</v>
      </c>
      <c r="E31" s="190" ph="1"/>
      <c r="F31" s="191" ph="1"/>
      <c r="G31" s="201" t="s" ph="1">
        <v>18</v>
      </c>
      <c r="H31" s="190" ph="1"/>
      <c r="I31" s="191" ph="1"/>
      <c r="J31" s="189" t="s" ph="1">
        <v>1</v>
      </c>
      <c r="K31" s="190" ph="1"/>
      <c r="L31" s="191" ph="1"/>
      <c r="M31" s="189" t="s" ph="1">
        <v>7</v>
      </c>
      <c r="N31" s="190" ph="1"/>
      <c r="O31" s="191" ph="1"/>
      <c r="P31" s="189" t="s" ph="1">
        <v>41</v>
      </c>
      <c r="Q31" s="190"/>
      <c r="R31" s="191"/>
      <c r="S31" s="189" t="s" ph="1">
        <v>2</v>
      </c>
      <c r="T31" s="190"/>
      <c r="U31" s="191"/>
      <c r="V31" s="189" t="s" ph="1">
        <v>71</v>
      </c>
      <c r="W31" s="190" ph="1"/>
      <c r="X31" s="191" ph="1"/>
      <c r="Y31" s="189" t="s" ph="1">
        <v>3</v>
      </c>
      <c r="Z31" s="190" ph="1"/>
      <c r="AA31" s="191" ph="1"/>
      <c r="AB31" s="212" t="s">
        <v>42</v>
      </c>
      <c r="AC31" s="213"/>
      <c r="AD31" s="213"/>
      <c r="AE31" s="214"/>
      <c r="AH31" s="64" ph="1">
        <v>17</v>
      </c>
      <c r="AI31" s="64" t="s" ph="1">
        <v>355</v>
      </c>
      <c r="AZ31" s="64" t="s" ph="1">
        <v>216</v>
      </c>
      <c r="BA31" s="64" ph="1">
        <v>0</v>
      </c>
      <c r="BD31" s="64" t="s" ph="1">
        <v>356</v>
      </c>
      <c r="BE31" s="64" ph="1">
        <v>9310</v>
      </c>
    </row>
    <row r="32" spans="1:57" ph="1">
      <c r="A32" s="64"/>
      <c r="B32" s="199" ph="1"/>
      <c r="C32" s="200" ph="1"/>
      <c r="D32" s="96" t="s" ph="1">
        <v>4</v>
      </c>
      <c r="E32" s="159" t="s" ph="1">
        <v>5</v>
      </c>
      <c r="F32" s="158" t="s" ph="1">
        <v>43</v>
      </c>
      <c r="G32" s="97" t="s" ph="1">
        <v>4</v>
      </c>
      <c r="H32" s="159" t="s" ph="1">
        <v>5</v>
      </c>
      <c r="I32" s="158" t="s" ph="1">
        <v>43</v>
      </c>
      <c r="J32" s="97" t="s" ph="1">
        <v>4</v>
      </c>
      <c r="K32" s="159" t="s" ph="1">
        <v>5</v>
      </c>
      <c r="L32" s="158" t="s" ph="1">
        <v>43</v>
      </c>
      <c r="M32" s="97" t="s" ph="1">
        <v>4</v>
      </c>
      <c r="N32" s="159" t="s" ph="1">
        <v>5</v>
      </c>
      <c r="O32" s="158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59" t="s" ph="1">
        <v>5</v>
      </c>
      <c r="U32" s="99" t="s" ph="1">
        <v>43</v>
      </c>
      <c r="V32" s="97" t="s" ph="1">
        <v>4</v>
      </c>
      <c r="W32" s="159" t="s" ph="1">
        <v>5</v>
      </c>
      <c r="X32" s="99" t="s" ph="1">
        <v>43</v>
      </c>
      <c r="Y32" s="100" t="s" ph="1">
        <v>4</v>
      </c>
      <c r="Z32" s="159" t="s" ph="1">
        <v>5</v>
      </c>
      <c r="AA32" s="158" t="s" ph="1">
        <v>43</v>
      </c>
      <c r="AB32" s="97" t="s" ph="1">
        <v>85</v>
      </c>
      <c r="AC32" s="159" t="s" ph="1">
        <v>84</v>
      </c>
      <c r="AD32" s="215" t="s" ph="1">
        <v>83</v>
      </c>
      <c r="AE32" s="216"/>
      <c r="AH32" s="64" ph="1">
        <v>18</v>
      </c>
      <c r="AI32" s="64" t="s" ph="1">
        <v>357</v>
      </c>
      <c r="AZ32" s="64" t="s" ph="1">
        <v>216</v>
      </c>
      <c r="BA32" s="64" ph="1">
        <v>0</v>
      </c>
    </row>
    <row r="33" spans="1:57" ph="1">
      <c r="A33" s="64"/>
      <c r="B33" s="202" t="s" ph="1">
        <v>181</v>
      </c>
      <c r="C33" s="203" ph="1"/>
      <c r="D33" s="206" ph="1">
        <f>AA10+AB10+Z19</f>
        <v>54545.791706159995</v>
      </c>
      <c r="E33" s="206" ph="1">
        <f>M10+I10</f>
        <v>200897.49068329998</v>
      </c>
      <c r="F33" s="208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1522252632456786910111213141516171819202123456789101112131415161718192022232424356789101112131415161718192021222345678910111213141516171819202345678910111213149101516171819222123234567891012131415161711181920212224252345678910111213121[[#This Row],[F25]]</f>
        <v>3880</v>
      </c>
      <c r="G33" s="210" ph="1">
        <f>N19</f>
        <v>31960.813796799997</v>
      </c>
      <c r="H33" s="206" ph="1">
        <f>M19</f>
        <v>18807.414132528003</v>
      </c>
      <c r="I33" s="219" ph="1">
        <v>0</v>
      </c>
      <c r="J33" s="217" ph="1">
        <f>F10+O28</f>
        <v>221060.80689200002</v>
      </c>
      <c r="K33" s="206" ph="1">
        <f>O10+K10+E28+R28</f>
        <v>248526.90978633997</v>
      </c>
      <c r="L33" s="221" ph="1">
        <f>K19</f>
        <v>33685.195605139997</v>
      </c>
      <c r="M33" s="217" ph="1">
        <f>G10+H10+W28+S28+V28+E10+R19+P28+Q28</f>
        <v>774133.20206105988</v>
      </c>
      <c r="N33" s="206" ph="1">
        <f>L10+P10++G28+H28+AD19+AE19</f>
        <v>238027.96868319999</v>
      </c>
      <c r="O33" s="219" ph="1">
        <f>G19</f>
        <v>8334.4611046399987</v>
      </c>
      <c r="P33" s="217" ph="1">
        <f>L19</f>
        <v>41287.048824960002</v>
      </c>
      <c r="Q33" s="206" ph="1">
        <f>J10+N10</f>
        <v>181354.84722719999</v>
      </c>
      <c r="R33" s="219" ph="1">
        <f>BE23</f>
        <v>890</v>
      </c>
      <c r="S33" s="217" ph="1">
        <f>X28</f>
        <v>240685.41939560001</v>
      </c>
      <c r="T33" s="206" ph="1">
        <f>X19</f>
        <v>17848.986645279998</v>
      </c>
      <c r="U33" s="227" ph="1">
        <f>BE21</f>
        <v>730</v>
      </c>
      <c r="V33" s="238" ph="1">
        <f ca="1">P19+Q19+S19+M28+N28+J28+D10+AC10+D19+E19+H19+J19+O19+V19+W19+K28+L28</f>
        <v>604823.85727374</v>
      </c>
      <c r="W33" s="238" ph="1">
        <f>D28+F28+T28+I28</f>
        <v>38688.768261179997</v>
      </c>
      <c r="X33" s="219" ph="1">
        <f>BE29+BE31</f>
        <v>10200</v>
      </c>
      <c r="Y33" s="240" ph="1">
        <f>+Q10+R10+S10+T10+U10+V10+W10+X10+Y10</f>
        <v>303111.40749120002</v>
      </c>
      <c r="Z33" s="225" ph="1">
        <f>T19+U19+Y28+Z10</f>
        <v>363538.22368400003</v>
      </c>
      <c r="AA33" s="227" ph="1">
        <f>BE19</f>
        <v>1440</v>
      </c>
      <c r="AB33" s="229" ph="1">
        <f>I19</f>
        <v>26603.669059799999</v>
      </c>
      <c r="AC33" s="231" ph="1">
        <f>AD10+AB19</f>
        <v>97480.393444600006</v>
      </c>
      <c r="AD33" s="233" ph="1">
        <v>0</v>
      </c>
      <c r="AE33" s="234"/>
      <c r="AH33" s="64" ph="1">
        <v>19</v>
      </c>
      <c r="AI33" s="64" t="s" ph="1">
        <v>358</v>
      </c>
      <c r="AJ33" s="64" t="s" ph="1">
        <v>592</v>
      </c>
      <c r="AK33" s="64" t="s" ph="1">
        <v>589</v>
      </c>
      <c r="AL33" s="64" ph="1">
        <v>730</v>
      </c>
      <c r="AM33" s="64" t="s" ph="1">
        <v>339</v>
      </c>
      <c r="AZ33" s="64" t="s" ph="1">
        <v>216</v>
      </c>
      <c r="BA33" s="64" ph="1">
        <v>730</v>
      </c>
      <c r="BD33" s="64" t="s" ph="1">
        <v>290</v>
      </c>
      <c r="BE33" s="64" ph="1">
        <v>3880</v>
      </c>
    </row>
    <row r="34" spans="1:57" ph="1">
      <c r="A34" s="64"/>
      <c r="B34" s="204" ph="1"/>
      <c r="C34" s="205" ph="1"/>
      <c r="D34" s="207" ph="1"/>
      <c r="E34" s="207" ph="1"/>
      <c r="F34" s="209" ph="1"/>
      <c r="G34" s="211" ph="1"/>
      <c r="H34" s="207" ph="1"/>
      <c r="I34" s="220" ph="1"/>
      <c r="J34" s="218" ph="1"/>
      <c r="K34" s="207" ph="1"/>
      <c r="L34" s="222" ph="1"/>
      <c r="M34" s="218" ph="1"/>
      <c r="N34" s="207" ph="1"/>
      <c r="O34" s="220" ph="1"/>
      <c r="P34" s="218" ph="1"/>
      <c r="Q34" s="207" ph="1"/>
      <c r="R34" s="220" ph="1"/>
      <c r="S34" s="218" ph="1"/>
      <c r="T34" s="207"/>
      <c r="U34" s="228"/>
      <c r="V34" s="239" ph="1"/>
      <c r="W34" s="239" ph="1"/>
      <c r="X34" s="220" ph="1"/>
      <c r="Y34" s="241" ph="1"/>
      <c r="Z34" s="226" ph="1"/>
      <c r="AA34" s="228" ph="1"/>
      <c r="AB34" s="230"/>
      <c r="AC34" s="232"/>
      <c r="AD34" s="235"/>
      <c r="AE34" s="236"/>
      <c r="AH34" s="64" ph="1">
        <v>20</v>
      </c>
      <c r="AI34" s="64" t="s" ph="1">
        <v>359</v>
      </c>
      <c r="AJ34" s="64" t="s" ph="1">
        <v>593</v>
      </c>
      <c r="AK34" s="64" t="s" ph="1">
        <v>589</v>
      </c>
      <c r="AL34" s="64" ph="1">
        <v>720</v>
      </c>
      <c r="AM34" s="64" t="s" ph="1">
        <v>339</v>
      </c>
      <c r="AZ34" s="64" t="s" ph="1">
        <v>216</v>
      </c>
      <c r="BA34" s="64" ph="1">
        <v>720</v>
      </c>
    </row>
    <row r="35" spans="1:57" ph="1">
      <c r="A35" s="64"/>
      <c r="AC35" s="237" t="s" ph="1">
        <v>631</v>
      </c>
      <c r="AD35" s="237"/>
      <c r="AE35" s="237"/>
      <c r="AH35" s="64" ph="1">
        <v>21</v>
      </c>
      <c r="AI35" s="64" t="s" ph="1">
        <v>360</v>
      </c>
      <c r="AZ35" s="64" t="s" ph="1">
        <v>216</v>
      </c>
      <c r="BA35" s="64" ph="1">
        <v>0</v>
      </c>
      <c r="BD35" s="64" t="s" ph="1">
        <v>361</v>
      </c>
      <c r="BE35" s="64" ph="1">
        <v>2030</v>
      </c>
    </row>
    <row r="36" spans="1:57" ht="28.2" ph="1">
      <c r="A36" s="64"/>
      <c r="B36" s="103" t="s" ph="1">
        <v>182</v>
      </c>
      <c r="I36" s="223" t="s" ph="1">
        <v>183</v>
      </c>
      <c r="J36" s="223" ph="1"/>
      <c r="K36" s="101" ph="1"/>
      <c r="P36" s="101" ph="1"/>
      <c r="R36" s="223" t="s" ph="1">
        <v>184</v>
      </c>
      <c r="S36" s="223" ph="1"/>
      <c r="Y36" s="102" ph="1"/>
      <c r="Z36" s="157" t="s" ph="1">
        <v>185</v>
      </c>
      <c r="AA36" s="157" ph="1"/>
      <c r="AB36" s="224" t="s" ph="1">
        <v>640</v>
      </c>
      <c r="AC36" s="224" ph="1"/>
      <c r="AD36" s="224" ph="1"/>
      <c r="AE36" s="224" ph="1"/>
      <c r="BA36" s="64" ph="1">
        <v>2270</v>
      </c>
    </row>
    <row r="37" spans="1:57" s="157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57" t="s" ph="1">
        <v>342</v>
      </c>
      <c r="AI37" s="157" t="s" ph="1">
        <v>209</v>
      </c>
      <c r="AJ37" s="157" t="s" ph="1">
        <v>210</v>
      </c>
      <c r="AK37" s="157" t="s" ph="1">
        <v>211</v>
      </c>
      <c r="AM37" s="157" t="s" ph="1">
        <v>210</v>
      </c>
      <c r="AN37" s="157" t="s" ph="1">
        <v>211</v>
      </c>
      <c r="AO37" s="157" t="s" ph="1">
        <v>212</v>
      </c>
      <c r="AP37" s="157" t="s" ph="1">
        <v>210</v>
      </c>
      <c r="AQ37" s="157" t="s" ph="1">
        <v>211</v>
      </c>
      <c r="AR37" s="157" t="s" ph="1">
        <v>212</v>
      </c>
      <c r="AS37" s="157" t="s" ph="1">
        <v>210</v>
      </c>
      <c r="AT37" s="157" t="s" ph="1">
        <v>211</v>
      </c>
      <c r="AU37" s="157" t="s" ph="1">
        <v>212</v>
      </c>
      <c r="AV37" s="157" t="s" ph="1">
        <v>210</v>
      </c>
      <c r="AW37" s="157" t="s" ph="1">
        <v>211</v>
      </c>
      <c r="AX37" s="157" t="s" ph="1">
        <v>212</v>
      </c>
      <c r="AY37" s="157" t="s" ph="1">
        <v>211</v>
      </c>
      <c r="AZ37" s="157" t="s" ph="1">
        <v>213</v>
      </c>
      <c r="BD37" s="157" t="s" ph="1">
        <v>305</v>
      </c>
      <c r="BE37" s="157" ph="1">
        <v>0</v>
      </c>
    </row>
    <row r="38" spans="1:57" ph="1">
      <c r="AE38" s="64" ph="1"/>
      <c r="AH38" s="64" ph="1">
        <v>1</v>
      </c>
      <c r="AI38" s="64" t="s" ph="1">
        <v>362</v>
      </c>
      <c r="AY38" s="64" t="s" ph="1">
        <v>216</v>
      </c>
      <c r="AZ38" s="64" t="s" ph="1">
        <v>367</v>
      </c>
    </row>
    <row r="39" spans="1:57" ph="1">
      <c r="AH39" s="64" ph="1">
        <v>2</v>
      </c>
      <c r="AI39" s="64" t="s" ph="1">
        <v>364</v>
      </c>
      <c r="AJ39" s="64" t="s" ph="1">
        <v>336</v>
      </c>
      <c r="AK39" s="64" t="s" ph="1">
        <v>365</v>
      </c>
      <c r="AM39" s="64" t="s" ph="1">
        <v>570</v>
      </c>
      <c r="AN39" s="64" t="s" ph="1">
        <v>228</v>
      </c>
      <c r="AO39" s="64" t="s" ph="1">
        <v>363</v>
      </c>
      <c r="AY39" s="64" t="s" ph="1">
        <v>216</v>
      </c>
      <c r="AZ39" s="64" t="s" ph="1">
        <v>499</v>
      </c>
    </row>
    <row r="40" spans="1:57" ph="1">
      <c r="AH40" s="64" ph="1">
        <v>3</v>
      </c>
      <c r="AI40" s="64" t="s" ph="1">
        <v>366</v>
      </c>
      <c r="AJ40" s="64" t="s" ph="1">
        <v>570</v>
      </c>
      <c r="AK40" s="64" t="s" ph="1">
        <v>571</v>
      </c>
      <c r="AY40" s="64" t="s" ph="1">
        <v>216</v>
      </c>
      <c r="AZ40" s="64" t="s" ph="1">
        <v>571</v>
      </c>
    </row>
    <row r="41" spans="1:57" ph="1">
      <c r="AH41" s="64" ph="1">
        <v>4</v>
      </c>
      <c r="AI41" s="64" t="s" ph="1">
        <v>368</v>
      </c>
      <c r="AJ41" s="64" t="s" ph="1">
        <v>572</v>
      </c>
      <c r="AK41" s="64" t="s" ph="1">
        <v>573</v>
      </c>
      <c r="AM41" s="64" t="s" ph="1">
        <v>574</v>
      </c>
      <c r="AY41" s="64" t="s" ph="1">
        <v>216</v>
      </c>
      <c r="AZ41" s="64" t="s" ph="1">
        <v>573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369</v>
      </c>
      <c r="AY42" s="64" t="s" ph="1">
        <v>216</v>
      </c>
      <c r="AZ42" s="64" t="s" ph="1">
        <v>367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370</v>
      </c>
      <c r="AY43" s="64" t="s" ph="1">
        <v>216</v>
      </c>
      <c r="AZ43" s="64" t="s" ph="1">
        <v>367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371</v>
      </c>
      <c r="AV44" s="64" t="s" ph="1">
        <v>217</v>
      </c>
      <c r="AY44" s="64" t="s" ph="1">
        <v>216</v>
      </c>
      <c r="AZ44" s="64" t="s" ph="1">
        <v>367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372</v>
      </c>
      <c r="AV45" s="64" t="s" ph="1">
        <v>217</v>
      </c>
      <c r="AY45" s="64" t="s" ph="1">
        <v>216</v>
      </c>
      <c r="AZ45" s="64" t="s" ph="1">
        <v>367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373</v>
      </c>
      <c r="AV46" s="64" t="s" ph="1">
        <v>217</v>
      </c>
      <c r="AY46" s="64" t="s" ph="1">
        <v>216</v>
      </c>
      <c r="AZ46" s="64" t="s" ph="1">
        <v>367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374</v>
      </c>
      <c r="AV47" s="64" t="s" ph="1">
        <v>217</v>
      </c>
      <c r="AY47" s="64" t="s" ph="1">
        <v>216</v>
      </c>
      <c r="AZ47" s="64" t="s" ph="1">
        <v>367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575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232</v>
      </c>
      <c r="AI49" s="64" t="s" ph="1">
        <v>209</v>
      </c>
      <c r="AJ49" s="64" t="s" ph="1">
        <v>210</v>
      </c>
      <c r="AK49" s="64" t="s" ph="1">
        <v>211</v>
      </c>
      <c r="AM49" s="64" t="s" ph="1">
        <v>210</v>
      </c>
      <c r="AN49" s="64" t="s" ph="1">
        <v>211</v>
      </c>
      <c r="AO49" s="64" t="s" ph="1">
        <v>212</v>
      </c>
      <c r="AP49" s="64" t="s" ph="1">
        <v>210</v>
      </c>
      <c r="AQ49" s="64" t="s" ph="1">
        <v>211</v>
      </c>
      <c r="AR49" s="64" t="s" ph="1">
        <v>212</v>
      </c>
      <c r="AS49" s="64" t="s" ph="1">
        <v>210</v>
      </c>
      <c r="AT49" s="64" t="s" ph="1">
        <v>211</v>
      </c>
      <c r="AU49" s="64" t="s" ph="1">
        <v>212</v>
      </c>
      <c r="AV49" s="64" t="s" ph="1">
        <v>210</v>
      </c>
      <c r="AW49" s="64" t="s" ph="1">
        <v>211</v>
      </c>
      <c r="AX49" s="64" t="s" ph="1">
        <v>212</v>
      </c>
      <c r="AY49" s="64" t="s" ph="1">
        <v>211</v>
      </c>
      <c r="AZ49" s="64" t="s" ph="1">
        <v>213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375</v>
      </c>
      <c r="AY50" s="64" t="s" ph="1">
        <v>216</v>
      </c>
      <c r="AZ50" s="64" t="s" ph="1">
        <v>367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376</v>
      </c>
      <c r="AY51" s="64" t="s" ph="1">
        <v>216</v>
      </c>
      <c r="AZ51" s="64" t="s" ph="1">
        <v>367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377</v>
      </c>
      <c r="AJ52" s="64" t="s" ph="1">
        <v>334</v>
      </c>
      <c r="AK52" s="64" t="s" ph="1">
        <v>228</v>
      </c>
      <c r="AM52" s="64" t="s" ph="1">
        <v>336</v>
      </c>
      <c r="AN52" s="64" t="s" ph="1">
        <v>300</v>
      </c>
      <c r="AO52" s="64" t="s" ph="1">
        <v>233</v>
      </c>
      <c r="AP52" s="64" t="s" ph="1">
        <v>570</v>
      </c>
      <c r="AQ52" s="64" t="s" ph="1">
        <v>282</v>
      </c>
      <c r="AR52" s="64" t="s" ph="1">
        <v>233</v>
      </c>
      <c r="AY52" s="64" t="s" ph="1">
        <v>216</v>
      </c>
      <c r="AZ52" s="64" t="s" ph="1">
        <v>576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378</v>
      </c>
      <c r="AY53" s="64" t="s" ph="1">
        <v>216</v>
      </c>
      <c r="AZ53" s="64" t="s" ph="1">
        <v>367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379</v>
      </c>
      <c r="AJ54" s="64" t="s" ph="1">
        <v>334</v>
      </c>
      <c r="AK54" s="64" t="s" ph="1">
        <v>219</v>
      </c>
      <c r="AM54" s="64" t="s" ph="1">
        <v>336</v>
      </c>
      <c r="AN54" s="64" t="s" ph="1">
        <v>224</v>
      </c>
      <c r="AO54" s="64" t="s" ph="1">
        <v>233</v>
      </c>
      <c r="AP54" s="64" t="s" ph="1">
        <v>570</v>
      </c>
      <c r="AQ54" s="64" t="s" ph="1">
        <v>240</v>
      </c>
      <c r="AR54" s="64" t="s" ph="1">
        <v>233</v>
      </c>
      <c r="AY54" s="64" t="s" ph="1">
        <v>216</v>
      </c>
      <c r="AZ54" s="64" t="s" ph="1">
        <v>234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380</v>
      </c>
      <c r="AY55" s="64" t="s" ph="1">
        <v>216</v>
      </c>
      <c r="AZ55" s="64" t="s" ph="1">
        <v>367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381</v>
      </c>
      <c r="AY56" s="64" t="s" ph="1">
        <v>216</v>
      </c>
      <c r="AZ56" s="64" t="s" ph="1">
        <v>367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382</v>
      </c>
      <c r="AY57" s="64" t="s" ph="1">
        <v>216</v>
      </c>
      <c r="AZ57" s="64" t="s" ph="1">
        <v>367</v>
      </c>
    </row>
    <row r="58" spans="16:52" ph="1">
      <c r="P58" s="64"/>
      <c r="AN58" s="64" t="s" ph="1">
        <v>217</v>
      </c>
      <c r="AZ58" s="64" t="s" ph="1">
        <v>577</v>
      </c>
    </row>
    <row r="59" spans="16:52" ph="1">
      <c r="V59" s="64"/>
      <c r="AG59" s="64" t="s" ph="1">
        <v>235</v>
      </c>
      <c r="AI59" s="64" t="s" ph="1">
        <v>209</v>
      </c>
      <c r="AJ59" s="64" t="s" ph="1">
        <v>210</v>
      </c>
      <c r="AK59" s="64" t="s" ph="1">
        <v>211</v>
      </c>
      <c r="AM59" s="64" t="s" ph="1">
        <v>210</v>
      </c>
      <c r="AN59" s="64" t="s" ph="1">
        <v>211</v>
      </c>
      <c r="AO59" s="64" t="s" ph="1">
        <v>212</v>
      </c>
      <c r="AP59" s="64" t="s" ph="1">
        <v>210</v>
      </c>
      <c r="AQ59" s="64" t="s" ph="1">
        <v>211</v>
      </c>
      <c r="AR59" s="64" t="s" ph="1">
        <v>212</v>
      </c>
      <c r="AS59" s="64" t="s" ph="1">
        <v>210</v>
      </c>
      <c r="AT59" s="64" t="s" ph="1">
        <v>211</v>
      </c>
      <c r="AU59" s="64" t="s" ph="1">
        <v>212</v>
      </c>
      <c r="AV59" s="64" t="s" ph="1">
        <v>210</v>
      </c>
      <c r="AW59" s="64" t="s" ph="1">
        <v>211</v>
      </c>
      <c r="AX59" s="64" t="s" ph="1">
        <v>212</v>
      </c>
      <c r="AY59" s="64" t="s" ph="1">
        <v>211</v>
      </c>
      <c r="AZ59" s="64" t="s" ph="1">
        <v>213</v>
      </c>
    </row>
    <row r="60" spans="16:52" ph="1">
      <c r="R60" s="64"/>
      <c r="S60" s="64"/>
      <c r="T60" s="64"/>
      <c r="AH60" s="64" ph="1">
        <v>1</v>
      </c>
      <c r="AI60" s="64" t="s" ph="1">
        <v>383</v>
      </c>
      <c r="AY60" s="64" t="s" ph="1">
        <v>216</v>
      </c>
      <c r="AZ60" s="64" t="s" ph="1">
        <v>367</v>
      </c>
    </row>
    <row r="61" spans="16:52" ph="1">
      <c r="AH61" s="64" ph="1">
        <v>2</v>
      </c>
      <c r="AI61" s="64" t="s" ph="1">
        <v>384</v>
      </c>
      <c r="AS61" s="64" t="s" ph="1">
        <v>217</v>
      </c>
      <c r="AY61" s="64" t="s" ph="1">
        <v>216</v>
      </c>
      <c r="AZ61" s="64" t="s" ph="1">
        <v>367</v>
      </c>
    </row>
    <row r="62" spans="16:52" ph="1">
      <c r="AZ62" s="64" t="s" ph="1">
        <v>385</v>
      </c>
    </row>
    <row r="63" spans="16:52" ph="1">
      <c r="AG63" s="64" t="s" ph="1">
        <v>238</v>
      </c>
      <c r="AI63" s="64" t="s" ph="1">
        <v>209</v>
      </c>
      <c r="AJ63" s="64" t="s" ph="1">
        <v>210</v>
      </c>
      <c r="AK63" s="64" t="s" ph="1">
        <v>211</v>
      </c>
      <c r="AM63" s="64" t="s" ph="1">
        <v>210</v>
      </c>
      <c r="AN63" s="64" t="s" ph="1">
        <v>211</v>
      </c>
      <c r="AO63" s="64" t="s" ph="1">
        <v>212</v>
      </c>
      <c r="AP63" s="64" t="s" ph="1">
        <v>210</v>
      </c>
      <c r="AQ63" s="64" t="s" ph="1">
        <v>211</v>
      </c>
      <c r="AR63" s="64" t="s" ph="1">
        <v>212</v>
      </c>
      <c r="AS63" s="64" t="s" ph="1">
        <v>210</v>
      </c>
      <c r="AT63" s="64" t="s" ph="1">
        <v>211</v>
      </c>
      <c r="AU63" s="64" t="s" ph="1">
        <v>212</v>
      </c>
      <c r="AV63" s="64" t="s" ph="1">
        <v>210</v>
      </c>
      <c r="AW63" s="64" t="s" ph="1">
        <v>211</v>
      </c>
      <c r="AX63" s="64" t="s" ph="1">
        <v>212</v>
      </c>
      <c r="AY63" s="64" t="s" ph="1">
        <v>211</v>
      </c>
      <c r="AZ63" s="64" t="s" ph="1">
        <v>213</v>
      </c>
    </row>
    <row r="64" spans="16:52" ph="1">
      <c r="AH64" s="64" ph="1">
        <v>1</v>
      </c>
      <c r="AI64" s="64" t="s" ph="1">
        <v>386</v>
      </c>
      <c r="AJ64" s="64" t="s" ph="1">
        <v>387</v>
      </c>
      <c r="AK64" s="64" t="s" ph="1">
        <v>388</v>
      </c>
      <c r="AY64" s="64" t="s" ph="1">
        <v>216</v>
      </c>
      <c r="AZ64" s="64" t="s" ph="1">
        <v>388</v>
      </c>
    </row>
    <row r="65" spans="33:52" ph="1">
      <c r="AH65" s="64" ph="1">
        <v>2</v>
      </c>
      <c r="AI65" s="64" t="s" ph="1">
        <v>389</v>
      </c>
      <c r="AY65" s="64" t="s" ph="1">
        <v>216</v>
      </c>
      <c r="AZ65" s="64" t="s" ph="1">
        <v>367</v>
      </c>
    </row>
    <row r="66" spans="33:52" ph="1">
      <c r="AH66" s="64" ph="1">
        <v>3</v>
      </c>
      <c r="AI66" s="64" t="s" ph="1">
        <v>390</v>
      </c>
      <c r="AY66" s="64" t="s" ph="1">
        <v>216</v>
      </c>
      <c r="AZ66" s="64" t="s" ph="1">
        <v>367</v>
      </c>
    </row>
    <row r="67" spans="33:52" ph="1">
      <c r="AH67" s="64" ph="1">
        <v>4</v>
      </c>
      <c r="AI67" s="64" t="s" ph="1">
        <v>391</v>
      </c>
      <c r="AY67" s="64" t="s" ph="1">
        <v>216</v>
      </c>
      <c r="AZ67" s="64" t="s" ph="1">
        <v>367</v>
      </c>
    </row>
    <row r="68" spans="33:52" ph="1">
      <c r="AH68" s="64" ph="1">
        <v>5</v>
      </c>
      <c r="AI68" s="64" t="s" ph="1">
        <v>392</v>
      </c>
      <c r="AY68" s="64" t="s" ph="1">
        <v>216</v>
      </c>
      <c r="AZ68" s="64" t="s" ph="1">
        <v>367</v>
      </c>
    </row>
    <row r="69" spans="33:52" ph="1">
      <c r="AH69" s="64" ph="1">
        <v>6</v>
      </c>
      <c r="AI69" s="64" t="s" ph="1">
        <v>393</v>
      </c>
      <c r="AY69" s="64" t="s" ph="1">
        <v>216</v>
      </c>
      <c r="AZ69" s="64" t="s" ph="1">
        <v>367</v>
      </c>
    </row>
    <row r="70" spans="33:52" ph="1">
      <c r="AI70" s="64" t="s" ph="1">
        <v>394</v>
      </c>
      <c r="AY70" s="64" t="s" ph="1">
        <v>216</v>
      </c>
      <c r="AZ70" s="64" t="s" ph="1">
        <v>367</v>
      </c>
    </row>
    <row r="71" spans="33:52" ph="1">
      <c r="AH71" s="64" ph="1">
        <v>7</v>
      </c>
      <c r="AI71" s="64" t="s" ph="1">
        <v>395</v>
      </c>
      <c r="AJ71" s="64" t="s" ph="1">
        <v>334</v>
      </c>
      <c r="AK71" s="64" t="s" ph="1">
        <v>228</v>
      </c>
      <c r="AM71" s="64" t="s" ph="1">
        <v>336</v>
      </c>
      <c r="AN71" s="64" t="s" ph="1">
        <v>228</v>
      </c>
      <c r="AO71" s="64" t="s" ph="1">
        <v>396</v>
      </c>
      <c r="AP71" s="64" t="s" ph="1">
        <v>570</v>
      </c>
      <c r="AQ71" s="64" t="s" ph="1">
        <v>219</v>
      </c>
      <c r="AR71" s="64" t="s" ph="1">
        <v>396</v>
      </c>
      <c r="AY71" s="64" t="s" ph="1">
        <v>216</v>
      </c>
      <c r="AZ71" s="64" t="s" ph="1">
        <v>578</v>
      </c>
    </row>
    <row r="72" spans="33:52" ph="1">
      <c r="AZ72" s="64" t="s" ph="1">
        <v>579</v>
      </c>
    </row>
    <row r="73" spans="33:52" ph="1">
      <c r="AG73" s="64" t="s" ph="1">
        <v>241</v>
      </c>
      <c r="AI73" s="64" t="s" ph="1">
        <v>209</v>
      </c>
      <c r="AJ73" s="64" t="s" ph="1">
        <v>210</v>
      </c>
      <c r="AK73" s="64" t="s" ph="1">
        <v>211</v>
      </c>
      <c r="AM73" s="64" t="s" ph="1">
        <v>210</v>
      </c>
      <c r="AN73" s="64" t="s" ph="1">
        <v>211</v>
      </c>
      <c r="AO73" s="64" t="s" ph="1">
        <v>212</v>
      </c>
      <c r="AP73" s="64" t="s" ph="1">
        <v>210</v>
      </c>
      <c r="AQ73" s="64" t="s" ph="1">
        <v>211</v>
      </c>
      <c r="AR73" s="64" t="s" ph="1">
        <v>212</v>
      </c>
      <c r="AS73" s="64" t="s" ph="1">
        <v>210</v>
      </c>
      <c r="AT73" s="64" t="s" ph="1">
        <v>211</v>
      </c>
      <c r="AU73" s="64" t="s" ph="1">
        <v>212</v>
      </c>
      <c r="AV73" s="64" t="s" ph="1">
        <v>210</v>
      </c>
      <c r="AW73" s="64" t="s" ph="1">
        <v>211</v>
      </c>
      <c r="AX73" s="64" t="s" ph="1">
        <v>212</v>
      </c>
      <c r="AY73" s="64" t="s" ph="1">
        <v>211</v>
      </c>
      <c r="AZ73" s="64" t="s" ph="1">
        <v>213</v>
      </c>
    </row>
    <row r="74" spans="33:52" ph="1">
      <c r="AH74" s="64" ph="1">
        <v>1</v>
      </c>
      <c r="AI74" s="64" t="s" ph="1">
        <v>397</v>
      </c>
      <c r="AJ74" s="64" t="s" ph="1">
        <v>242</v>
      </c>
      <c r="AK74" s="64" t="s" ph="1">
        <v>224</v>
      </c>
      <c r="AM74" s="64" t="s" ph="1">
        <v>244</v>
      </c>
      <c r="AN74" s="64" t="s" ph="1">
        <v>254</v>
      </c>
      <c r="AO74" s="64" t="s" ph="1">
        <v>243</v>
      </c>
      <c r="AP74" s="64" t="s" ph="1">
        <v>245</v>
      </c>
      <c r="AQ74" s="64" t="s" ph="1">
        <v>222</v>
      </c>
      <c r="AR74" s="64" t="s" ph="1">
        <v>243</v>
      </c>
      <c r="AS74" s="64" t="s" ph="1">
        <v>215</v>
      </c>
      <c r="AT74" s="64" t="s" ph="1">
        <v>217</v>
      </c>
      <c r="AV74" s="64" t="s" ph="1">
        <v>398</v>
      </c>
      <c r="AW74" s="64" t="s" ph="1">
        <v>399</v>
      </c>
      <c r="AX74" s="64" t="s" ph="1">
        <v>400</v>
      </c>
      <c r="AY74" s="64" t="s" ph="1">
        <v>216</v>
      </c>
      <c r="AZ74" s="64" t="s" ph="1">
        <v>401</v>
      </c>
    </row>
    <row r="75" spans="33:52" ph="1">
      <c r="AJ75" s="64" t="s" ph="1">
        <v>247</v>
      </c>
      <c r="AK75" s="64" t="s" ph="1">
        <v>300</v>
      </c>
      <c r="AM75" s="64" t="s" ph="1">
        <v>245</v>
      </c>
      <c r="AN75" s="64" t="s" ph="1">
        <v>225</v>
      </c>
      <c r="AO75" s="64" t="s" ph="1">
        <v>243</v>
      </c>
      <c r="AS75" s="64" t="s" ph="1">
        <v>215</v>
      </c>
      <c r="AT75" s="64" t="s" ph="1">
        <v>246</v>
      </c>
    </row>
    <row r="76" spans="33:52" ph="1">
      <c r="AJ76" s="64" t="s" ph="1">
        <v>247</v>
      </c>
      <c r="AK76" s="64" t="s" ph="1">
        <v>240</v>
      </c>
      <c r="AM76" s="64" t="s" ph="1">
        <v>245</v>
      </c>
      <c r="AN76" s="64" t="s" ph="1">
        <v>228</v>
      </c>
      <c r="AO76" s="64" t="s" ph="1">
        <v>243</v>
      </c>
      <c r="AS76" s="64" t="s" ph="1">
        <v>215</v>
      </c>
      <c r="AT76" s="64" t="s" ph="1">
        <v>246</v>
      </c>
    </row>
    <row r="77" spans="33:52" ph="1">
      <c r="AJ77" s="64" t="s" ph="1">
        <v>283</v>
      </c>
      <c r="AK77" s="64" t="s" ph="1">
        <v>240</v>
      </c>
      <c r="AM77" s="64" t="s" ph="1">
        <v>284</v>
      </c>
      <c r="AN77" s="64" t="s" ph="1">
        <v>223</v>
      </c>
      <c r="AO77" s="64" t="s" ph="1">
        <v>243</v>
      </c>
      <c r="AS77" s="64" t="s" ph="1">
        <v>215</v>
      </c>
      <c r="AT77" s="64" t="s" ph="1">
        <v>285</v>
      </c>
    </row>
    <row r="78" spans="33:52" ph="1">
      <c r="AH78" s="64" ph="1">
        <v>2</v>
      </c>
      <c r="AI78" s="64" t="s" ph="1">
        <v>249</v>
      </c>
      <c r="AJ78" s="64" t="s" ph="1">
        <v>250</v>
      </c>
      <c r="AK78" s="64" t="s" ph="1">
        <v>219</v>
      </c>
      <c r="AM78" s="64" t="s" ph="1">
        <v>251</v>
      </c>
      <c r="AN78" s="64" t="s" ph="1">
        <v>254</v>
      </c>
      <c r="AO78" s="64" t="s" ph="1">
        <v>243</v>
      </c>
      <c r="AP78" s="64" t="s" ph="1">
        <v>252</v>
      </c>
      <c r="AQ78" s="64" t="s" ph="1">
        <v>298</v>
      </c>
      <c r="AR78" s="64" t="s" ph="1">
        <v>243</v>
      </c>
      <c r="AS78" s="64" t="s" ph="1">
        <v>253</v>
      </c>
      <c r="AT78" s="64" t="s" ph="1">
        <v>254</v>
      </c>
      <c r="AU78" s="64" t="s" ph="1">
        <v>243</v>
      </c>
      <c r="AV78" s="64" t="s" ph="1">
        <v>255</v>
      </c>
      <c r="AW78" s="64" t="s" ph="1">
        <v>243</v>
      </c>
      <c r="AY78" s="64" t="s" ph="1">
        <v>216</v>
      </c>
      <c r="AZ78" s="64" t="s" ph="1">
        <v>402</v>
      </c>
    </row>
    <row r="79" spans="33:52" ph="1">
      <c r="AJ79" s="64" t="s" ph="1">
        <v>245</v>
      </c>
      <c r="AK79" s="64" t="s" ph="1">
        <v>256</v>
      </c>
      <c r="AM79" s="64" t="s" ph="1">
        <v>257</v>
      </c>
      <c r="AN79" s="64" t="s" ph="1">
        <v>225</v>
      </c>
      <c r="AO79" s="64" t="s" ph="1">
        <v>243</v>
      </c>
      <c r="AP79" s="64" t="s" ph="1">
        <v>258</v>
      </c>
      <c r="AQ79" s="64" t="s" ph="1">
        <v>223</v>
      </c>
      <c r="AR79" s="64" t="s" ph="1">
        <v>259</v>
      </c>
      <c r="AS79" s="64" t="s" ph="1">
        <v>215</v>
      </c>
      <c r="AT79" s="64" t="s" ph="1">
        <v>260</v>
      </c>
      <c r="AV79" s="64" t="s" ph="1">
        <v>403</v>
      </c>
      <c r="AW79" s="64" t="s" ph="1">
        <v>302</v>
      </c>
      <c r="AX79" s="64" t="s" ph="1">
        <v>400</v>
      </c>
    </row>
    <row r="80" spans="33:52" ph="1">
      <c r="AH80" s="64" ph="1">
        <v>3</v>
      </c>
      <c r="AI80" s="64" t="s" ph="1">
        <v>261</v>
      </c>
      <c r="AJ80" s="64" t="s" ph="1">
        <v>262</v>
      </c>
      <c r="AK80" s="64" t="s" ph="1">
        <v>263</v>
      </c>
      <c r="AM80" s="64" t="s" ph="1">
        <v>264</v>
      </c>
      <c r="AN80" s="64" t="s" ph="1">
        <v>254</v>
      </c>
      <c r="AO80" s="64" t="s" ph="1">
        <v>243</v>
      </c>
      <c r="AP80" s="64" t="s" ph="1">
        <v>265</v>
      </c>
      <c r="AQ80" s="64" t="s" ph="1">
        <v>228</v>
      </c>
      <c r="AR80" s="64" t="s" ph="1">
        <v>243</v>
      </c>
      <c r="AS80" s="64" t="s" ph="1">
        <v>266</v>
      </c>
      <c r="AT80" s="64" t="s" ph="1">
        <v>227</v>
      </c>
      <c r="AU80" s="64" t="s" ph="1">
        <v>243</v>
      </c>
      <c r="AV80" s="64" t="s" ph="1">
        <v>267</v>
      </c>
      <c r="AW80" s="64" t="s" ph="1">
        <v>243</v>
      </c>
      <c r="AY80" s="64" t="s" ph="1">
        <v>216</v>
      </c>
      <c r="AZ80" s="64" t="s" ph="1">
        <v>404</v>
      </c>
    </row>
    <row r="81" spans="34:52" ph="1">
      <c r="AJ81" s="64" t="s" ph="1">
        <v>268</v>
      </c>
      <c r="AK81" s="64" t="s" ph="1">
        <v>222</v>
      </c>
      <c r="AM81" s="64" t="s" ph="1">
        <v>269</v>
      </c>
      <c r="AN81" s="64" t="s" ph="1">
        <v>225</v>
      </c>
      <c r="AO81" s="64" t="s" ph="1">
        <v>243</v>
      </c>
      <c r="AP81" s="64" t="s" ph="1">
        <v>270</v>
      </c>
      <c r="AQ81" s="64" t="s" ph="1">
        <v>254</v>
      </c>
      <c r="AR81" s="64" t="s" ph="1">
        <v>243</v>
      </c>
      <c r="AS81" s="64" t="s" ph="1">
        <v>271</v>
      </c>
      <c r="AT81" s="64" t="s" ph="1">
        <v>272</v>
      </c>
      <c r="AU81" s="64" t="s" ph="1">
        <v>243</v>
      </c>
      <c r="AV81" s="64" t="s" ph="1">
        <v>273</v>
      </c>
    </row>
    <row r="82" spans="34:52" ph="1">
      <c r="AJ82" s="64" t="s" ph="1">
        <v>274</v>
      </c>
      <c r="AK82" s="64" t="s" ph="1">
        <v>222</v>
      </c>
      <c r="AM82" s="64" t="s" ph="1">
        <v>275</v>
      </c>
      <c r="AN82" s="64" t="s" ph="1">
        <v>272</v>
      </c>
      <c r="AO82" s="64" t="s" ph="1">
        <v>276</v>
      </c>
      <c r="AP82" s="64" t="s" ph="1">
        <v>277</v>
      </c>
      <c r="AQ82" s="64" t="s" ph="1">
        <v>254</v>
      </c>
      <c r="AR82" s="64" t="s" ph="1">
        <v>243</v>
      </c>
      <c r="AS82" s="64" t="s" ph="1">
        <v>278</v>
      </c>
      <c r="AT82" s="64" t="s" ph="1">
        <v>229</v>
      </c>
      <c r="AU82" s="64" t="s" ph="1">
        <v>243</v>
      </c>
      <c r="AV82" s="64" t="s" ph="1">
        <v>403</v>
      </c>
      <c r="AW82" s="64" t="s" ph="1">
        <v>303</v>
      </c>
      <c r="AX82" s="64" t="s" ph="1">
        <v>400</v>
      </c>
    </row>
    <row r="83" spans="34:52" ph="1">
      <c r="AJ83" s="64" t="s" ph="1">
        <v>279</v>
      </c>
      <c r="AK83" s="64" t="s" ph="1">
        <v>296</v>
      </c>
      <c r="AM83" s="64" t="s" ph="1">
        <v>280</v>
      </c>
      <c r="AN83" s="64" t="s" ph="1">
        <v>228</v>
      </c>
      <c r="AO83" s="64" t="s" ph="1">
        <v>259</v>
      </c>
      <c r="AP83" s="64" t="s" ph="1">
        <v>281</v>
      </c>
      <c r="AQ83" s="64" t="s" ph="1">
        <v>282</v>
      </c>
      <c r="AR83" s="64" t="s" ph="1">
        <v>259</v>
      </c>
      <c r="AS83" s="64" t="s" ph="1">
        <v>405</v>
      </c>
      <c r="AT83" s="64" t="s" ph="1">
        <v>254</v>
      </c>
      <c r="AU83" s="64" t="s" ph="1">
        <v>259</v>
      </c>
      <c r="AV83" s="64" t="s" ph="1">
        <v>406</v>
      </c>
      <c r="AW83" s="64" t="s" ph="1">
        <v>303</v>
      </c>
      <c r="AX83" s="64" t="s" ph="1">
        <v>407</v>
      </c>
    </row>
    <row r="84" spans="34:52" ph="1">
      <c r="AH84" s="64" ph="1">
        <v>4</v>
      </c>
      <c r="AI84" s="64" t="s" ph="1">
        <v>286</v>
      </c>
      <c r="AJ84" s="64" t="s" ph="1">
        <v>226</v>
      </c>
      <c r="AK84" s="64" t="s" ph="1">
        <v>229</v>
      </c>
      <c r="AM84" s="64" t="s" ph="1">
        <v>230</v>
      </c>
      <c r="AN84" s="64" t="s" ph="1">
        <v>223</v>
      </c>
      <c r="AO84" s="64" t="s" ph="1">
        <v>259</v>
      </c>
      <c r="AP84" s="64" t="s" ph="1">
        <v>288</v>
      </c>
      <c r="AQ84" s="64" t="s" ph="1">
        <v>222</v>
      </c>
      <c r="AR84" s="64" t="s" ph="1">
        <v>259</v>
      </c>
      <c r="AS84" s="64" t="s" ph="1">
        <v>288</v>
      </c>
      <c r="AT84" s="64" t="s" ph="1">
        <v>224</v>
      </c>
      <c r="AU84" s="64" t="s" ph="1">
        <v>259</v>
      </c>
      <c r="AY84" s="64" t="s" ph="1">
        <v>216</v>
      </c>
      <c r="AZ84" s="64" t="s" ph="1">
        <v>408</v>
      </c>
    </row>
    <row r="85" spans="34:52" ph="1">
      <c r="AJ85" s="64" t="s" ph="1">
        <v>218</v>
      </c>
      <c r="AK85" s="64" t="s" ph="1">
        <v>222</v>
      </c>
      <c r="AM85" s="64" t="s" ph="1">
        <v>409</v>
      </c>
      <c r="AN85" s="64" t="s" ph="1">
        <v>229</v>
      </c>
      <c r="AO85" s="64" t="s" ph="1">
        <v>259</v>
      </c>
      <c r="AP85" s="64" t="s" ph="1">
        <v>410</v>
      </c>
      <c r="AQ85" s="64" t="s" ph="1">
        <v>225</v>
      </c>
      <c r="AR85" s="64" t="s" ph="1">
        <v>259</v>
      </c>
      <c r="AS85" s="64" t="s" ph="1">
        <v>411</v>
      </c>
      <c r="AT85" s="64" t="s" ph="1">
        <v>225</v>
      </c>
      <c r="AU85" s="64" t="s" ph="1">
        <v>259</v>
      </c>
    </row>
    <row r="86" spans="34:52" ph="1">
      <c r="AJ86" s="64" t="s" ph="1">
        <v>412</v>
      </c>
      <c r="AK86" s="64" t="s" ph="1">
        <v>231</v>
      </c>
      <c r="AM86" s="64" t="s" ph="1">
        <v>413</v>
      </c>
      <c r="AN86" s="64" t="s" ph="1">
        <v>272</v>
      </c>
      <c r="AO86" s="64" t="s" ph="1">
        <v>259</v>
      </c>
      <c r="AP86" s="64" t="s" ph="1">
        <v>414</v>
      </c>
      <c r="AQ86" s="64" t="s" ph="1">
        <v>219</v>
      </c>
      <c r="AR86" s="64" t="s" ph="1">
        <v>259</v>
      </c>
      <c r="AS86" s="64" t="s" ph="1">
        <v>415</v>
      </c>
      <c r="AT86" s="64" t="s" ph="1">
        <v>237</v>
      </c>
      <c r="AU86" s="64" t="s" ph="1">
        <v>259</v>
      </c>
    </row>
    <row r="87" spans="34:52" ph="1">
      <c r="AJ87" s="64" t="s" ph="1">
        <v>416</v>
      </c>
      <c r="AK87" s="64" t="s" ph="1">
        <v>272</v>
      </c>
      <c r="AM87" s="64" t="s" ph="1">
        <v>403</v>
      </c>
      <c r="AN87" s="64" t="s" ph="1">
        <v>417</v>
      </c>
      <c r="AO87" s="64" t="s" ph="1">
        <v>400</v>
      </c>
    </row>
    <row r="88" spans="34:52" ph="1">
      <c r="AH88" s="64" ph="1">
        <v>5</v>
      </c>
      <c r="AI88" s="64" t="s" ph="1">
        <v>289</v>
      </c>
      <c r="AJ88" s="64" t="s" ph="1">
        <v>418</v>
      </c>
      <c r="AK88" s="64" t="s" ph="1">
        <v>272</v>
      </c>
      <c r="AM88" s="64" t="s" ph="1">
        <v>419</v>
      </c>
      <c r="AN88" s="64" t="s" ph="1">
        <v>272</v>
      </c>
      <c r="AO88" s="64" t="s" ph="1">
        <v>259</v>
      </c>
      <c r="AP88" s="64" t="s" ph="1">
        <v>420</v>
      </c>
      <c r="AQ88" s="64" t="s" ph="1">
        <v>222</v>
      </c>
      <c r="AR88" s="64" t="s" ph="1">
        <v>259</v>
      </c>
      <c r="AS88" s="64" t="s" ph="1">
        <v>421</v>
      </c>
      <c r="AT88" s="64" t="s" ph="1">
        <v>272</v>
      </c>
      <c r="AU88" s="64" t="s" ph="1">
        <v>259</v>
      </c>
      <c r="AV88" s="64" t="s" ph="1">
        <v>422</v>
      </c>
      <c r="AW88" s="64" t="s" ph="1">
        <v>227</v>
      </c>
      <c r="AX88" s="64" t="s" ph="1">
        <v>259</v>
      </c>
      <c r="AY88" s="64" t="s" ph="1">
        <v>216</v>
      </c>
      <c r="AZ88" s="64" t="s" ph="1">
        <v>423</v>
      </c>
    </row>
    <row r="89" spans="34:52" ph="1">
      <c r="AJ89" s="64" t="s" ph="1">
        <v>424</v>
      </c>
      <c r="AK89" s="64" t="s" ph="1">
        <v>225</v>
      </c>
      <c r="AM89" s="64" t="s" ph="1">
        <v>425</v>
      </c>
      <c r="AN89" s="64" t="s" ph="1">
        <v>228</v>
      </c>
      <c r="AO89" s="64" t="s" ph="1">
        <v>259</v>
      </c>
      <c r="AP89" s="64" t="s" ph="1">
        <v>426</v>
      </c>
      <c r="AQ89" s="64" t="s" ph="1">
        <v>237</v>
      </c>
      <c r="AR89" s="64" t="s" ph="1">
        <v>259</v>
      </c>
      <c r="AS89" s="64" t="s" ph="1">
        <v>427</v>
      </c>
      <c r="AT89" s="64" t="s" ph="1">
        <v>272</v>
      </c>
      <c r="AU89" s="64" t="s" ph="1">
        <v>259</v>
      </c>
      <c r="AV89" s="64" t="s" ph="1">
        <v>428</v>
      </c>
      <c r="AW89" s="64" t="s" ph="1">
        <v>254</v>
      </c>
      <c r="AX89" s="64" t="s" ph="1">
        <v>287</v>
      </c>
    </row>
    <row r="90" spans="34:52" ph="1">
      <c r="AJ90" s="64" t="s" ph="1">
        <v>429</v>
      </c>
      <c r="AK90" s="64" t="s" ph="1">
        <v>228</v>
      </c>
      <c r="AM90" s="64" t="s" ph="1">
        <v>430</v>
      </c>
      <c r="AN90" s="64" t="s" ph="1">
        <v>225</v>
      </c>
      <c r="AO90" s="64" t="s" ph="1">
        <v>259</v>
      </c>
      <c r="AP90" s="64" t="s" ph="1">
        <v>431</v>
      </c>
      <c r="AQ90" s="64" t="s" ph="1">
        <v>294</v>
      </c>
      <c r="AR90" s="64" t="s" ph="1">
        <v>259</v>
      </c>
      <c r="AS90" s="64" t="s" ph="1">
        <v>432</v>
      </c>
      <c r="AT90" s="64" t="s" ph="1">
        <v>282</v>
      </c>
      <c r="AU90" s="64" t="s" ph="1">
        <v>259</v>
      </c>
      <c r="AV90" s="64" t="s" ph="1">
        <v>433</v>
      </c>
      <c r="AW90" s="64" t="s" ph="1">
        <v>219</v>
      </c>
      <c r="AX90" s="64" t="s" ph="1">
        <v>259</v>
      </c>
    </row>
    <row r="91" spans="34:52" ph="1">
      <c r="AJ91" s="64" t="s" ph="1">
        <v>434</v>
      </c>
      <c r="AK91" s="64" t="s" ph="1">
        <v>272</v>
      </c>
      <c r="AM91" s="64" t="s" ph="1">
        <v>435</v>
      </c>
      <c r="AN91" s="64" t="s" ph="1">
        <v>239</v>
      </c>
      <c r="AO91" s="64" t="s" ph="1">
        <v>259</v>
      </c>
      <c r="AP91" s="64" t="s" ph="1">
        <v>436</v>
      </c>
      <c r="AQ91" s="64" t="s" ph="1">
        <v>219</v>
      </c>
      <c r="AS91" s="64" t="s" ph="1">
        <v>403</v>
      </c>
      <c r="AT91" s="64" t="s" ph="1">
        <v>399</v>
      </c>
      <c r="AU91" s="64" t="s" ph="1">
        <v>400</v>
      </c>
    </row>
    <row r="92" spans="34:52" ph="1">
      <c r="AH92" s="64" ph="1">
        <v>6</v>
      </c>
      <c r="AI92" s="64" t="s" ph="1">
        <v>437</v>
      </c>
      <c r="AJ92" s="64" t="s" ph="1">
        <v>438</v>
      </c>
      <c r="AK92" s="64" t="s" ph="1">
        <v>367</v>
      </c>
      <c r="AM92" s="64" t="s" ph="1">
        <v>439</v>
      </c>
      <c r="AN92" s="64" t="s" ph="1">
        <v>227</v>
      </c>
      <c r="AO92" s="64" t="s" ph="1">
        <v>259</v>
      </c>
      <c r="AP92" s="64" t="s" ph="1">
        <v>440</v>
      </c>
      <c r="AQ92" s="64" t="s" ph="1">
        <v>299</v>
      </c>
      <c r="AR92" s="64" t="s" ph="1">
        <v>259</v>
      </c>
      <c r="AS92" s="64" t="s" ph="1">
        <v>441</v>
      </c>
      <c r="AT92" s="64" t="s" ph="1">
        <v>272</v>
      </c>
      <c r="AU92" s="64" t="s" ph="1">
        <v>259</v>
      </c>
      <c r="AV92" s="64" t="s" ph="1">
        <v>442</v>
      </c>
      <c r="AW92" s="64" t="s" ph="1">
        <v>228</v>
      </c>
      <c r="AX92" s="64" t="s" ph="1">
        <v>259</v>
      </c>
      <c r="AY92" s="64" t="s" ph="1">
        <v>216</v>
      </c>
      <c r="AZ92" s="64" t="s" ph="1">
        <v>423</v>
      </c>
    </row>
    <row r="93" spans="34:52" ph="1">
      <c r="AJ93" s="64" t="s" ph="1">
        <v>443</v>
      </c>
      <c r="AK93" s="64" t="s" ph="1">
        <v>222</v>
      </c>
      <c r="AM93" s="64" t="s" ph="1">
        <v>444</v>
      </c>
      <c r="AN93" s="64" t="s" ph="1">
        <v>227</v>
      </c>
      <c r="AO93" s="64" t="s" ph="1">
        <v>259</v>
      </c>
      <c r="AP93" s="64" t="s" ph="1">
        <v>445</v>
      </c>
      <c r="AQ93" s="64" t="s" ph="1">
        <v>231</v>
      </c>
      <c r="AR93" s="64" t="s" ph="1">
        <v>259</v>
      </c>
      <c r="AS93" s="64" t="s" ph="1">
        <v>446</v>
      </c>
      <c r="AT93" s="64" t="s" ph="1">
        <v>237</v>
      </c>
      <c r="AU93" s="64" t="s" ph="1">
        <v>259</v>
      </c>
      <c r="AV93" s="64" t="s" ph="1">
        <v>447</v>
      </c>
      <c r="AW93" s="64" t="s" ph="1">
        <v>231</v>
      </c>
      <c r="AX93" s="64" t="s" ph="1">
        <v>259</v>
      </c>
    </row>
    <row r="94" spans="34:52" ph="1">
      <c r="AJ94" s="64" t="s" ph="1">
        <v>448</v>
      </c>
      <c r="AK94" s="64" t="s" ph="1">
        <v>294</v>
      </c>
      <c r="AM94" s="64" t="s" ph="1">
        <v>449</v>
      </c>
      <c r="AN94" s="64" t="s" ph="1">
        <v>231</v>
      </c>
      <c r="AO94" s="64" t="s" ph="1">
        <v>259</v>
      </c>
      <c r="AP94" s="64" t="s" ph="1">
        <v>450</v>
      </c>
      <c r="AQ94" s="64" t="s" ph="1">
        <v>239</v>
      </c>
      <c r="AR94" s="64" t="s" ph="1">
        <v>259</v>
      </c>
      <c r="AS94" s="64" t="s" ph="1">
        <v>451</v>
      </c>
      <c r="AT94" s="64" t="s" ph="1">
        <v>225</v>
      </c>
      <c r="AU94" s="64" t="s" ph="1">
        <v>259</v>
      </c>
      <c r="AV94" s="64" t="s" ph="1">
        <v>452</v>
      </c>
      <c r="AW94" s="64" t="s" ph="1">
        <v>225</v>
      </c>
      <c r="AX94" s="64" t="s" ph="1">
        <v>259</v>
      </c>
    </row>
    <row r="95" spans="34:52" ph="1">
      <c r="AJ95" s="64" t="s" ph="1">
        <v>453</v>
      </c>
      <c r="AK95" s="64" t="s" ph="1">
        <v>299</v>
      </c>
    </row>
    <row r="96" spans="34:52" ph="1">
      <c r="AH96" s="64" ph="1">
        <v>7</v>
      </c>
      <c r="AI96" s="64" t="s" ph="1">
        <v>454</v>
      </c>
      <c r="AJ96" s="64" t="s" ph="1">
        <v>453</v>
      </c>
      <c r="AK96" s="64" t="s" ph="1">
        <v>254</v>
      </c>
      <c r="AM96" s="64" t="s" ph="1">
        <v>455</v>
      </c>
      <c r="AN96" s="64" t="s" ph="1">
        <v>228</v>
      </c>
      <c r="AO96" s="64" t="s" ph="1">
        <v>259</v>
      </c>
      <c r="AP96" s="64" t="s" ph="1">
        <v>456</v>
      </c>
      <c r="AQ96" s="64" t="s" ph="1">
        <v>272</v>
      </c>
      <c r="AR96" s="64" t="s" ph="1">
        <v>287</v>
      </c>
      <c r="AS96" s="64" t="s" ph="1">
        <v>457</v>
      </c>
      <c r="AT96" s="64" t="s" ph="1">
        <v>231</v>
      </c>
      <c r="AU96" s="64" t="s" ph="1">
        <v>287</v>
      </c>
      <c r="AV96" s="64" t="s" ph="1">
        <v>458</v>
      </c>
      <c r="AW96" s="64" t="s" ph="1">
        <v>227</v>
      </c>
      <c r="AX96" s="64" t="s" ph="1">
        <v>287</v>
      </c>
      <c r="AY96" s="64" t="s" ph="1">
        <v>216</v>
      </c>
      <c r="AZ96" s="64" t="s" ph="1">
        <v>459</v>
      </c>
    </row>
    <row r="97" spans="33:52" ph="1">
      <c r="AJ97" s="64" t="s" ph="1">
        <v>460</v>
      </c>
      <c r="AK97" s="64" t="s" ph="1">
        <v>282</v>
      </c>
      <c r="AM97" s="64" t="s" ph="1">
        <v>461</v>
      </c>
      <c r="AN97" s="64" t="s" ph="1">
        <v>225</v>
      </c>
      <c r="AO97" s="64" t="s" ph="1">
        <v>259</v>
      </c>
      <c r="AP97" s="64" t="s" ph="1">
        <v>462</v>
      </c>
      <c r="AQ97" s="64" t="s" ph="1">
        <v>219</v>
      </c>
      <c r="AR97" s="64" t="s" ph="1">
        <v>287</v>
      </c>
      <c r="AS97" s="64" t="s" ph="1">
        <v>463</v>
      </c>
      <c r="AT97" s="64" t="s" ph="1">
        <v>222</v>
      </c>
      <c r="AU97" s="64" t="s" ph="1">
        <v>287</v>
      </c>
      <c r="AV97" s="64" t="s" ph="1">
        <v>464</v>
      </c>
      <c r="AW97" s="64" t="s" ph="1">
        <v>228</v>
      </c>
      <c r="AX97" s="64" t="s" ph="1">
        <v>287</v>
      </c>
    </row>
    <row r="98" spans="33:52" ph="1">
      <c r="AJ98" s="64" t="s" ph="1">
        <v>465</v>
      </c>
      <c r="AK98" s="64" t="s" ph="1">
        <v>231</v>
      </c>
      <c r="AM98" s="64" t="s" ph="1">
        <v>466</v>
      </c>
      <c r="AN98" s="64" t="s" ph="1">
        <v>239</v>
      </c>
      <c r="AO98" s="64" t="s" ph="1">
        <v>259</v>
      </c>
      <c r="AP98" s="64" t="s" ph="1">
        <v>467</v>
      </c>
      <c r="AQ98" s="64" t="s" ph="1">
        <v>219</v>
      </c>
      <c r="AR98" s="64" t="s" ph="1">
        <v>287</v>
      </c>
      <c r="AS98" s="64" t="s" ph="1">
        <v>468</v>
      </c>
      <c r="AT98" s="64" t="s" ph="1">
        <v>299</v>
      </c>
      <c r="AU98" s="64" t="s" ph="1">
        <v>287</v>
      </c>
      <c r="AV98" s="64" t="s" ph="1">
        <v>469</v>
      </c>
      <c r="AW98" s="64" t="s" ph="1">
        <v>222</v>
      </c>
      <c r="AX98" s="64" t="s" ph="1">
        <v>287</v>
      </c>
    </row>
    <row r="99" spans="33:52" ph="1">
      <c r="AH99" s="64" ph="1">
        <v>8</v>
      </c>
      <c r="AI99" s="64" t="s" ph="1">
        <v>470</v>
      </c>
      <c r="AJ99" s="64" t="s" ph="1">
        <v>471</v>
      </c>
      <c r="AK99" s="64" t="s" ph="1">
        <v>367</v>
      </c>
      <c r="AM99" s="64" t="s" ph="1">
        <v>472</v>
      </c>
      <c r="AN99" s="64" t="s" ph="1">
        <v>254</v>
      </c>
      <c r="AO99" s="64" t="s" ph="1">
        <v>259</v>
      </c>
      <c r="AP99" s="64" t="s" ph="1">
        <v>473</v>
      </c>
      <c r="AQ99" s="64" t="s" ph="1">
        <v>224</v>
      </c>
      <c r="AR99" s="64" t="s" ph="1">
        <v>287</v>
      </c>
      <c r="AS99" s="64" t="s" ph="1">
        <v>474</v>
      </c>
      <c r="AT99" s="64" t="s" ph="1">
        <v>239</v>
      </c>
      <c r="AU99" s="64" t="s" ph="1">
        <v>287</v>
      </c>
      <c r="AV99" s="64" t="s" ph="1">
        <v>475</v>
      </c>
      <c r="AW99" s="64" t="s" ph="1">
        <v>224</v>
      </c>
      <c r="AX99" s="64" t="s" ph="1">
        <v>287</v>
      </c>
      <c r="AY99" s="64" t="s" ph="1">
        <v>216</v>
      </c>
      <c r="AZ99" s="64" t="s" ph="1">
        <v>476</v>
      </c>
    </row>
    <row r="100" spans="33:52" ph="1">
      <c r="AJ100" s="64" t="s" ph="1">
        <v>477</v>
      </c>
      <c r="AK100" s="64" t="s" ph="1">
        <v>222</v>
      </c>
      <c r="AM100" s="64" t="s" ph="1">
        <v>478</v>
      </c>
      <c r="AN100" s="64" t="s" ph="1">
        <v>294</v>
      </c>
      <c r="AO100" s="64" t="s" ph="1">
        <v>259</v>
      </c>
      <c r="AP100" s="64" t="s" ph="1">
        <v>479</v>
      </c>
      <c r="AQ100" s="64" t="s" ph="1">
        <v>300</v>
      </c>
      <c r="AR100" s="64" t="s" ph="1">
        <v>287</v>
      </c>
      <c r="AS100" s="64" t="s" ph="1">
        <v>480</v>
      </c>
      <c r="AT100" s="64" t="s" ph="1">
        <v>367</v>
      </c>
      <c r="AU100" s="64" t="s" ph="1">
        <v>259</v>
      </c>
      <c r="AV100" s="64" t="s" ph="1">
        <v>481</v>
      </c>
      <c r="AW100" s="64" t="s" ph="1">
        <v>367</v>
      </c>
      <c r="AX100" s="64" t="s" ph="1">
        <v>259</v>
      </c>
    </row>
    <row r="101" spans="33:52" ph="1">
      <c r="AJ101" s="64" t="s" ph="1">
        <v>482</v>
      </c>
      <c r="AK101" s="64" t="s" ph="1">
        <v>367</v>
      </c>
      <c r="AM101" s="64" t="s" ph="1">
        <v>483</v>
      </c>
      <c r="AN101" s="64" t="s" ph="1">
        <v>225</v>
      </c>
      <c r="AO101" s="64" t="s" ph="1">
        <v>259</v>
      </c>
      <c r="AP101" s="64" t="s" ph="1">
        <v>484</v>
      </c>
      <c r="AQ101" s="64" t="s" ph="1">
        <v>237</v>
      </c>
      <c r="AR101" s="64" t="s" ph="1">
        <v>287</v>
      </c>
      <c r="AS101" s="64" t="s" ph="1">
        <v>485</v>
      </c>
      <c r="AT101" s="64" t="s" ph="1">
        <v>294</v>
      </c>
      <c r="AU101" s="64" t="s" ph="1">
        <v>287</v>
      </c>
      <c r="AV101" s="64" t="s" ph="1">
        <v>486</v>
      </c>
      <c r="AW101" s="64" t="s" ph="1">
        <v>225</v>
      </c>
      <c r="AX101" s="64" t="s" ph="1">
        <v>259</v>
      </c>
    </row>
    <row r="102" spans="33:52" ph="1">
      <c r="AJ102" s="64" t="s" ph="1">
        <v>487</v>
      </c>
      <c r="AK102" s="64" t="s" ph="1">
        <v>222</v>
      </c>
      <c r="AM102" s="64" t="s" ph="1">
        <v>488</v>
      </c>
      <c r="AN102" s="64" t="s" ph="1">
        <v>231</v>
      </c>
      <c r="AO102" s="64" t="s" ph="1">
        <v>259</v>
      </c>
      <c r="AP102" s="64" t="s" ph="1">
        <v>489</v>
      </c>
      <c r="AQ102" s="64" t="s" ph="1">
        <v>237</v>
      </c>
      <c r="AR102" s="64" t="s" ph="1">
        <v>259</v>
      </c>
      <c r="AS102" s="64" t="s" ph="1">
        <v>490</v>
      </c>
      <c r="AT102" s="64" t="s" ph="1">
        <v>254</v>
      </c>
      <c r="AU102" s="64" t="s" ph="1">
        <v>259</v>
      </c>
      <c r="AV102" s="64" t="s" ph="1">
        <v>491</v>
      </c>
      <c r="AW102" s="64" t="s" ph="1">
        <v>272</v>
      </c>
      <c r="AX102" s="64" t="s" ph="1">
        <v>259</v>
      </c>
    </row>
    <row r="103" spans="33:52" ph="1">
      <c r="AH103" s="64" ph="1">
        <v>9</v>
      </c>
      <c r="AI103" s="64" t="s" ph="1">
        <v>492</v>
      </c>
      <c r="AJ103" s="64" t="s" ph="1">
        <v>493</v>
      </c>
      <c r="AK103" s="64" t="s" ph="1">
        <v>367</v>
      </c>
      <c r="AM103" s="64" t="s" ph="1">
        <v>494</v>
      </c>
      <c r="AN103" s="64" t="s" ph="1">
        <v>282</v>
      </c>
      <c r="AO103" s="64" t="s" ph="1">
        <v>259</v>
      </c>
      <c r="AP103" s="64" t="s" ph="1">
        <v>336</v>
      </c>
      <c r="AQ103" s="64" t="s" ph="1">
        <v>225</v>
      </c>
      <c r="AR103" s="64" t="s" ph="1">
        <v>259</v>
      </c>
      <c r="AS103" s="64" t="s" ph="1">
        <v>570</v>
      </c>
      <c r="AT103" s="64" t="s" ph="1">
        <v>367</v>
      </c>
      <c r="AU103" s="64" t="s" ph="1">
        <v>259</v>
      </c>
      <c r="AY103" s="64" t="s" ph="1">
        <v>216</v>
      </c>
      <c r="AZ103" s="64" t="s" ph="1">
        <v>224</v>
      </c>
    </row>
    <row r="104" spans="33:52" ph="1">
      <c r="AZ104" s="64" t="s" ph="1">
        <v>495</v>
      </c>
    </row>
    <row r="105" spans="33:52" ph="1">
      <c r="AG105" s="64" t="s" ph="1">
        <v>295</v>
      </c>
      <c r="AI105" s="64" t="s" ph="1">
        <v>209</v>
      </c>
      <c r="AJ105" s="64" t="s" ph="1">
        <v>210</v>
      </c>
      <c r="AK105" s="64" t="s" ph="1">
        <v>211</v>
      </c>
      <c r="AM105" s="64" t="s" ph="1">
        <v>210</v>
      </c>
      <c r="AN105" s="64" t="s" ph="1">
        <v>211</v>
      </c>
      <c r="AO105" s="64" t="s" ph="1">
        <v>212</v>
      </c>
      <c r="AP105" s="64" t="s" ph="1">
        <v>210</v>
      </c>
      <c r="AQ105" s="64" t="s" ph="1">
        <v>211</v>
      </c>
      <c r="AR105" s="64" t="s" ph="1">
        <v>212</v>
      </c>
      <c r="AS105" s="64" t="s" ph="1">
        <v>210</v>
      </c>
      <c r="AT105" s="64" t="s" ph="1">
        <v>211</v>
      </c>
      <c r="AU105" s="64" t="s" ph="1">
        <v>212</v>
      </c>
      <c r="AV105" s="64" t="s" ph="1">
        <v>210</v>
      </c>
      <c r="AW105" s="64" t="s" ph="1">
        <v>211</v>
      </c>
      <c r="AX105" s="64" t="s" ph="1">
        <v>212</v>
      </c>
      <c r="AZ105" s="64" t="s" ph="1">
        <v>213</v>
      </c>
    </row>
    <row r="106" spans="33:52" ph="1">
      <c r="AH106" s="64" ph="1">
        <v>1</v>
      </c>
      <c r="AI106" s="64" t="s" ph="1">
        <v>496</v>
      </c>
      <c r="AJ106" s="64" t="s" ph="1">
        <v>570</v>
      </c>
      <c r="AK106" s="64" t="s" ph="1">
        <v>231</v>
      </c>
      <c r="AZ106" s="64" t="s" ph="1">
        <v>231</v>
      </c>
    </row>
    <row r="107" spans="33:52" ph="1">
      <c r="AH107" s="64" ph="1">
        <v>2</v>
      </c>
      <c r="AI107" s="64" t="s" ph="1">
        <v>497</v>
      </c>
      <c r="AJ107" s="64" t="s" ph="1">
        <v>498</v>
      </c>
      <c r="AK107" s="64" t="s" ph="1">
        <v>228</v>
      </c>
      <c r="AM107" s="64" t="s" ph="1">
        <v>334</v>
      </c>
      <c r="AN107" s="64" t="s" ph="1">
        <v>499</v>
      </c>
      <c r="AO107" s="64" t="s" ph="1">
        <v>500</v>
      </c>
      <c r="AP107" s="64" t="s" ph="1">
        <v>336</v>
      </c>
      <c r="AQ107" s="64" t="s" ph="1">
        <v>304</v>
      </c>
      <c r="AR107" s="64" t="s" ph="1">
        <v>500</v>
      </c>
      <c r="AS107" s="64" t="s" ph="1">
        <v>570</v>
      </c>
      <c r="AT107" s="64" t="s" ph="1">
        <v>499</v>
      </c>
      <c r="AU107" s="64" t="s" ph="1">
        <v>500</v>
      </c>
      <c r="AY107" s="64" t="s" ph="1">
        <v>216</v>
      </c>
      <c r="AZ107" s="64" t="s" ph="1">
        <v>580</v>
      </c>
    </row>
    <row r="108" spans="33:52" ph="1">
      <c r="AH108" s="64" ph="1">
        <v>3</v>
      </c>
      <c r="AI108" s="64" t="s" ph="1">
        <v>501</v>
      </c>
      <c r="AY108" s="64" t="s" ph="1">
        <v>216</v>
      </c>
      <c r="AZ108" s="64" t="s" ph="1">
        <v>367</v>
      </c>
    </row>
    <row r="109" spans="33:52" ph="1">
      <c r="AH109" s="64" ph="1">
        <v>4</v>
      </c>
      <c r="AI109" s="64" t="s" ph="1">
        <v>502</v>
      </c>
      <c r="AY109" s="64" t="s" ph="1">
        <v>216</v>
      </c>
      <c r="AZ109" s="64" t="s" ph="1">
        <v>367</v>
      </c>
    </row>
    <row r="110" spans="33:52" ph="1">
      <c r="AH110" s="64" ph="1">
        <v>5</v>
      </c>
      <c r="AI110" s="64" t="s" ph="1">
        <v>503</v>
      </c>
      <c r="AY110" s="64" t="s" ph="1">
        <v>216</v>
      </c>
      <c r="AZ110" s="64" t="s" ph="1">
        <v>367</v>
      </c>
    </row>
    <row r="111" spans="33:52" ph="1">
      <c r="AH111" s="64" ph="1">
        <v>6</v>
      </c>
      <c r="AI111" s="64" t="s" ph="1">
        <v>581</v>
      </c>
      <c r="AJ111" s="64" t="s" ph="1">
        <v>486</v>
      </c>
      <c r="AK111" s="64" t="s" ph="1">
        <v>225</v>
      </c>
      <c r="AM111" s="64" t="s" ph="1">
        <v>487</v>
      </c>
      <c r="AN111" s="64" t="s" ph="1">
        <v>219</v>
      </c>
      <c r="AO111" s="64" t="s" ph="1">
        <v>500</v>
      </c>
      <c r="AP111" s="64" t="s" ph="1">
        <v>488</v>
      </c>
      <c r="AQ111" s="64" t="s" ph="1">
        <v>228</v>
      </c>
      <c r="AR111" s="64" t="s" ph="1">
        <v>500</v>
      </c>
      <c r="AS111" s="64" t="s" ph="1">
        <v>489</v>
      </c>
      <c r="AT111" s="64" t="s" ph="1">
        <v>237</v>
      </c>
      <c r="AU111" s="64" t="s" ph="1">
        <v>500</v>
      </c>
      <c r="AV111" s="64" t="s" ph="1">
        <v>490</v>
      </c>
      <c r="AW111" s="64" t="s" ph="1">
        <v>227</v>
      </c>
      <c r="AX111" s="64" t="s" ph="1">
        <v>500</v>
      </c>
      <c r="AY111" s="64" t="s" ph="1">
        <v>216</v>
      </c>
      <c r="AZ111" s="64" t="s" ph="1">
        <v>504</v>
      </c>
    </row>
    <row r="112" spans="33:52" ph="1">
      <c r="AJ112" s="64" t="s" ph="1">
        <v>491</v>
      </c>
      <c r="AK112" s="64" t="s" ph="1">
        <v>272</v>
      </c>
      <c r="AM112" s="64" t="s" ph="1">
        <v>493</v>
      </c>
      <c r="AN112" s="64" t="s" ph="1">
        <v>296</v>
      </c>
      <c r="AO112" s="64" t="s" ph="1">
        <v>500</v>
      </c>
      <c r="AP112" s="64" t="s" ph="1">
        <v>494</v>
      </c>
      <c r="AQ112" s="64" t="s" ph="1">
        <v>505</v>
      </c>
      <c r="AR112" s="64" t="s" ph="1">
        <v>500</v>
      </c>
      <c r="AS112" s="64" t="s" ph="1">
        <v>506</v>
      </c>
      <c r="AT112" s="64" t="s" ph="1">
        <v>248</v>
      </c>
      <c r="AU112" s="64" t="s" ph="1">
        <v>500</v>
      </c>
      <c r="AV112" s="64" t="s" ph="1">
        <v>507</v>
      </c>
      <c r="AW112" s="64" t="s" ph="1">
        <v>294</v>
      </c>
      <c r="AX112" s="64" t="s" ph="1">
        <v>500</v>
      </c>
    </row>
    <row r="113" spans="33:52" ph="1">
      <c r="AH113" s="64" ph="1">
        <v>7</v>
      </c>
      <c r="AI113" s="64" t="s" ph="1">
        <v>508</v>
      </c>
      <c r="AJ113" s="64" t="s" ph="1">
        <v>589</v>
      </c>
      <c r="AK113" s="64" t="s" ph="1">
        <v>594</v>
      </c>
      <c r="AY113" s="64" t="s" ph="1">
        <v>216</v>
      </c>
      <c r="AZ113" s="64" t="s" ph="1">
        <v>594</v>
      </c>
    </row>
    <row r="114" spans="33:52" ph="1">
      <c r="AH114" s="64" ph="1">
        <v>8</v>
      </c>
      <c r="AI114" s="64" t="s" ph="1">
        <v>509</v>
      </c>
      <c r="AJ114" s="64" t="s" ph="1">
        <v>589</v>
      </c>
      <c r="AK114" s="64" t="s" ph="1">
        <v>595</v>
      </c>
      <c r="AY114" s="64" t="s" ph="1">
        <v>216</v>
      </c>
      <c r="AZ114" s="64" t="s" ph="1">
        <v>595</v>
      </c>
    </row>
    <row r="115" spans="33:52" ph="1">
      <c r="AH115" s="64" ph="1">
        <v>9</v>
      </c>
      <c r="AI115" s="64" t="s" ph="1">
        <v>510</v>
      </c>
      <c r="AJ115" s="64" t="s" ph="1">
        <v>589</v>
      </c>
      <c r="AK115" s="64" t="s" ph="1">
        <v>595</v>
      </c>
      <c r="AY115" s="64" t="s" ph="1">
        <v>216</v>
      </c>
      <c r="AZ115" s="64" t="s" ph="1">
        <v>595</v>
      </c>
    </row>
    <row r="116" spans="33:52" ph="1">
      <c r="AH116" s="64" ph="1">
        <v>10</v>
      </c>
      <c r="AI116" s="64" t="s" ph="1">
        <v>511</v>
      </c>
      <c r="AJ116" s="64" t="s" ph="1">
        <v>589</v>
      </c>
      <c r="AK116" s="64" t="s" ph="1">
        <v>595</v>
      </c>
      <c r="AY116" s="64" t="s" ph="1">
        <v>216</v>
      </c>
      <c r="AZ116" s="64" t="s" ph="1">
        <v>595</v>
      </c>
    </row>
    <row r="117" spans="33:52" ph="1">
      <c r="AH117" s="64" ph="1">
        <v>11</v>
      </c>
      <c r="AI117" s="64" t="s" ph="1">
        <v>512</v>
      </c>
      <c r="AJ117" s="64" t="s" ph="1">
        <v>589</v>
      </c>
      <c r="AK117" s="64" t="s" ph="1">
        <v>595</v>
      </c>
      <c r="AY117" s="64" t="s" ph="1">
        <v>216</v>
      </c>
      <c r="AZ117" s="64" t="s" ph="1">
        <v>595</v>
      </c>
    </row>
    <row r="118" spans="33:52" ph="1">
      <c r="AZ118" s="64" t="s" ph="1">
        <v>596</v>
      </c>
    </row>
    <row r="119" spans="33:52" ph="1">
      <c r="AI119" s="64" t="s" ph="1">
        <v>209</v>
      </c>
      <c r="AJ119" s="64" t="s" ph="1">
        <v>210</v>
      </c>
      <c r="AK119" s="64" t="s" ph="1">
        <v>211</v>
      </c>
      <c r="AM119" s="64" t="s" ph="1">
        <v>210</v>
      </c>
      <c r="AN119" s="64" t="s" ph="1">
        <v>211</v>
      </c>
      <c r="AO119" s="64" t="s" ph="1">
        <v>212</v>
      </c>
      <c r="AP119" s="64" t="s" ph="1">
        <v>210</v>
      </c>
      <c r="AQ119" s="64" t="s" ph="1">
        <v>211</v>
      </c>
      <c r="AR119" s="64" t="s" ph="1">
        <v>212</v>
      </c>
      <c r="AS119" s="64" t="s" ph="1">
        <v>210</v>
      </c>
      <c r="AT119" s="64" t="s" ph="1">
        <v>211</v>
      </c>
      <c r="AU119" s="64" t="s" ph="1">
        <v>212</v>
      </c>
      <c r="AV119" s="64" t="s" ph="1">
        <v>210</v>
      </c>
      <c r="AW119" s="64" t="s" ph="1">
        <v>211</v>
      </c>
      <c r="AX119" s="64" t="s" ph="1">
        <v>212</v>
      </c>
      <c r="AY119" s="64" t="s" ph="1">
        <v>211</v>
      </c>
      <c r="AZ119" s="64" t="s" ph="1">
        <v>213</v>
      </c>
    </row>
    <row r="120" spans="33:52" ph="1">
      <c r="AG120" s="64" t="s" ph="1">
        <v>353</v>
      </c>
      <c r="AH120" s="64" ph="1">
        <v>1</v>
      </c>
      <c r="AI120" s="64" t="s" ph="1">
        <v>513</v>
      </c>
      <c r="AJ120" s="64" t="s" ph="1">
        <v>587</v>
      </c>
      <c r="AK120" s="64" t="s" ph="1">
        <v>367</v>
      </c>
      <c r="AY120" s="64" t="s" ph="1">
        <v>216</v>
      </c>
      <c r="AZ120" s="64" t="s" ph="1">
        <v>367</v>
      </c>
    </row>
    <row r="121" spans="33:52" ph="1">
      <c r="AH121" s="64" ph="1">
        <v>2</v>
      </c>
      <c r="AI121" s="64" t="s" ph="1">
        <v>514</v>
      </c>
      <c r="AY121" s="64" t="s" ph="1">
        <v>216</v>
      </c>
      <c r="AZ121" s="64" t="s" ph="1">
        <v>367</v>
      </c>
    </row>
    <row r="122" spans="33:52" ph="1">
      <c r="AH122" s="64" ph="1">
        <v>3</v>
      </c>
      <c r="AI122" s="64" t="s" ph="1">
        <v>515</v>
      </c>
      <c r="AJ122" s="64" t="s" ph="1">
        <v>570</v>
      </c>
      <c r="AK122" s="64" t="s" ph="1">
        <v>582</v>
      </c>
      <c r="AM122" s="64" t="s" ph="1">
        <v>597</v>
      </c>
      <c r="AN122" s="64" t="s" ph="1">
        <v>590</v>
      </c>
      <c r="AO122" s="64" t="s" ph="1">
        <v>91</v>
      </c>
      <c r="AY122" s="64" t="s" ph="1">
        <v>216</v>
      </c>
      <c r="AZ122" s="64" t="s" ph="1">
        <v>579</v>
      </c>
    </row>
    <row r="123" spans="33:52" ph="1">
      <c r="AY123" s="64" t="s" ph="1">
        <v>216</v>
      </c>
      <c r="AZ123" s="64" t="s" ph="1">
        <v>579</v>
      </c>
    </row>
    <row r="124" spans="33:52" ph="1">
      <c r="AG124" s="64" t="s" ph="1">
        <v>356</v>
      </c>
      <c r="AH124" s="64" ph="1">
        <v>4</v>
      </c>
      <c r="AI124" s="64" t="s" ph="1">
        <v>516</v>
      </c>
      <c r="AJ124" s="64" t="s" ph="1">
        <v>517</v>
      </c>
      <c r="AK124" s="64" t="s" ph="1">
        <v>518</v>
      </c>
      <c r="AY124" s="64" t="s" ph="1">
        <v>216</v>
      </c>
      <c r="AZ124" s="64" t="s" ph="1">
        <v>518</v>
      </c>
    </row>
    <row r="125" spans="33:52" ph="1">
      <c r="AH125" s="64" ph="1">
        <v>5</v>
      </c>
      <c r="AI125" s="64" t="s" ph="1">
        <v>519</v>
      </c>
      <c r="AJ125" s="64" t="s" ph="1">
        <v>517</v>
      </c>
      <c r="AK125" s="64" t="s" ph="1">
        <v>518</v>
      </c>
      <c r="AY125" s="64" t="s" ph="1">
        <v>216</v>
      </c>
      <c r="AZ125" s="64" t="s" ph="1">
        <v>518</v>
      </c>
    </row>
    <row r="126" spans="33:52" ph="1">
      <c r="AH126" s="64" ph="1">
        <v>6</v>
      </c>
      <c r="AI126" s="64" t="s" ph="1">
        <v>520</v>
      </c>
      <c r="AJ126" s="64" t="s" ph="1">
        <v>589</v>
      </c>
      <c r="AK126" s="64" t="s" ph="1">
        <v>598</v>
      </c>
      <c r="AY126" s="64" t="s" ph="1">
        <v>216</v>
      </c>
      <c r="AZ126" s="64" t="s" ph="1">
        <v>598</v>
      </c>
    </row>
    <row r="127" spans="33:52" ph="1">
      <c r="AH127" s="64" ph="1">
        <v>7</v>
      </c>
      <c r="AI127" s="64" t="s" ph="1">
        <v>521</v>
      </c>
      <c r="AJ127" s="64" t="s" ph="1">
        <v>589</v>
      </c>
      <c r="AK127" s="64" t="s" ph="1">
        <v>599</v>
      </c>
      <c r="AY127" s="64" t="s" ph="1">
        <v>216</v>
      </c>
      <c r="AZ127" s="64" t="s" ph="1">
        <v>599</v>
      </c>
    </row>
    <row r="128" spans="33:52" ph="1">
      <c r="AH128" s="64" ph="1">
        <v>8</v>
      </c>
      <c r="AI128" s="64" t="s" ph="1">
        <v>522</v>
      </c>
      <c r="AY128" s="64" t="s" ph="1">
        <v>216</v>
      </c>
      <c r="AZ128" s="64" t="s" ph="1">
        <v>367</v>
      </c>
    </row>
    <row r="129" spans="33:52" ph="1">
      <c r="AH129" s="64" ph="1">
        <v>9</v>
      </c>
      <c r="AI129" s="64" t="s" ph="1">
        <v>523</v>
      </c>
      <c r="AY129" s="64" t="s" ph="1">
        <v>216</v>
      </c>
      <c r="AZ129" s="64" t="s" ph="1">
        <v>367</v>
      </c>
    </row>
    <row r="130" spans="33:52" ph="1">
      <c r="AH130" s="64" ph="1">
        <v>10</v>
      </c>
      <c r="AI130" s="64" t="s" ph="1">
        <v>524</v>
      </c>
      <c r="AY130" s="64" t="s" ph="1">
        <v>216</v>
      </c>
      <c r="AZ130" s="64" t="s" ph="1">
        <v>367</v>
      </c>
    </row>
    <row r="131" spans="33:52" ph="1">
      <c r="AH131" s="64" ph="1">
        <v>11</v>
      </c>
      <c r="AI131" s="64" t="s" ph="1">
        <v>525</v>
      </c>
      <c r="AJ131" s="64" t="s" ph="1">
        <v>583</v>
      </c>
      <c r="AK131" s="64" t="s" ph="1">
        <v>579</v>
      </c>
      <c r="AY131" s="64" t="s" ph="1">
        <v>216</v>
      </c>
      <c r="AZ131" s="64" t="s" ph="1">
        <v>579</v>
      </c>
    </row>
    <row r="132" spans="33:52" ph="1">
      <c r="AH132" s="64" ph="1">
        <v>12</v>
      </c>
      <c r="AI132" s="64" t="s" ph="1">
        <v>526</v>
      </c>
      <c r="AJ132" s="64" t="s" ph="1">
        <v>583</v>
      </c>
      <c r="AK132" s="64" t="s" ph="1">
        <v>518</v>
      </c>
      <c r="AY132" s="64" t="s" ph="1">
        <v>216</v>
      </c>
      <c r="AZ132" s="64" t="s" ph="1">
        <v>518</v>
      </c>
    </row>
    <row r="133" spans="33:52" ph="1">
      <c r="AH133" s="64" ph="1">
        <v>13</v>
      </c>
      <c r="AI133" s="64" t="s" ph="1">
        <v>527</v>
      </c>
      <c r="AJ133" s="64" t="s" ph="1">
        <v>583</v>
      </c>
      <c r="AK133" s="64" t="s" ph="1">
        <v>584</v>
      </c>
      <c r="AY133" s="64" t="s" ph="1">
        <v>216</v>
      </c>
      <c r="AZ133" s="64" t="s" ph="1">
        <v>584</v>
      </c>
    </row>
    <row r="134" spans="33:52" ph="1">
      <c r="AH134" s="64" ph="1">
        <v>14</v>
      </c>
      <c r="AI134" s="64" t="s" ph="1">
        <v>528</v>
      </c>
      <c r="AJ134" s="64" t="s" ph="1">
        <v>583</v>
      </c>
      <c r="AK134" s="64" t="s" ph="1">
        <v>585</v>
      </c>
      <c r="AY134" s="64" t="s" ph="1">
        <v>216</v>
      </c>
      <c r="AZ134" s="64" t="s" ph="1">
        <v>585</v>
      </c>
    </row>
    <row r="135" spans="33:52" ph="1">
      <c r="AH135" s="64" ph="1">
        <v>15</v>
      </c>
      <c r="AI135" s="64" t="s" ph="1">
        <v>529</v>
      </c>
      <c r="AJ135" s="64" t="s" ph="1">
        <v>583</v>
      </c>
      <c r="AK135" s="64" t="s" ph="1">
        <v>586</v>
      </c>
      <c r="AY135" s="64" t="s" ph="1">
        <v>216</v>
      </c>
      <c r="AZ135" s="64" t="s" ph="1">
        <v>586</v>
      </c>
    </row>
    <row r="136" spans="33:52" ph="1">
      <c r="AZ136" s="64" t="s" ph="1">
        <v>600</v>
      </c>
    </row>
    <row r="137" spans="33:52" ph="1">
      <c r="AG137" s="64" t="s" ph="1">
        <v>290</v>
      </c>
      <c r="AI137" s="64" t="s" ph="1">
        <v>209</v>
      </c>
      <c r="AJ137" s="64" t="s" ph="1">
        <v>210</v>
      </c>
      <c r="AK137" s="64" t="s" ph="1">
        <v>211</v>
      </c>
      <c r="AM137" s="64" t="s" ph="1">
        <v>210</v>
      </c>
      <c r="AN137" s="64" t="s" ph="1">
        <v>211</v>
      </c>
      <c r="AO137" s="64" t="s" ph="1">
        <v>212</v>
      </c>
      <c r="AP137" s="64" t="s" ph="1">
        <v>210</v>
      </c>
      <c r="AQ137" s="64" t="s" ph="1">
        <v>211</v>
      </c>
      <c r="AR137" s="64" t="s" ph="1">
        <v>212</v>
      </c>
      <c r="AS137" s="64" t="s" ph="1">
        <v>210</v>
      </c>
      <c r="AT137" s="64" t="s" ph="1">
        <v>211</v>
      </c>
      <c r="AU137" s="64" t="s" ph="1">
        <v>212</v>
      </c>
      <c r="AV137" s="64" t="s" ph="1">
        <v>210</v>
      </c>
      <c r="AW137" s="64" t="s" ph="1">
        <v>211</v>
      </c>
      <c r="AX137" s="64" t="s" ph="1">
        <v>212</v>
      </c>
      <c r="AY137" s="64" t="s" ph="1">
        <v>211</v>
      </c>
      <c r="AZ137" s="64" t="s" ph="1">
        <v>213</v>
      </c>
    </row>
    <row r="138" spans="33:52" ph="1">
      <c r="AH138" s="64" ph="1">
        <v>1</v>
      </c>
      <c r="AI138" s="64" t="s" ph="1">
        <v>530</v>
      </c>
      <c r="AJ138" s="64" t="s" ph="1">
        <v>531</v>
      </c>
      <c r="AK138" s="64" t="s" ph="1">
        <v>532</v>
      </c>
      <c r="AY138" s="64" t="s" ph="1">
        <v>216</v>
      </c>
      <c r="AZ138" s="64" t="s" ph="1">
        <v>532</v>
      </c>
    </row>
    <row r="139" spans="33:52" ph="1">
      <c r="AH139" s="64" ph="1">
        <v>2</v>
      </c>
      <c r="AI139" s="64" t="s" ph="1">
        <v>533</v>
      </c>
      <c r="AJ139" s="64" t="s" ph="1">
        <v>589</v>
      </c>
      <c r="AK139" s="64" t="s" ph="1">
        <v>601</v>
      </c>
      <c r="AY139" s="64" t="s" ph="1">
        <v>216</v>
      </c>
      <c r="AZ139" s="64" t="s" ph="1">
        <v>601</v>
      </c>
    </row>
    <row r="140" spans="33:52" ph="1">
      <c r="AH140" s="64" ph="1">
        <v>3</v>
      </c>
      <c r="AI140" s="64" t="s" ph="1">
        <v>534</v>
      </c>
      <c r="AJ140" s="64" t="s" ph="1">
        <v>487</v>
      </c>
      <c r="AK140" s="64" t="s" ph="1">
        <v>299</v>
      </c>
      <c r="AM140" s="64" t="s" ph="1">
        <v>488</v>
      </c>
      <c r="AN140" s="64" t="s" ph="1">
        <v>219</v>
      </c>
      <c r="AO140" s="64" t="s" ph="1">
        <v>535</v>
      </c>
      <c r="AP140" s="64" t="s" ph="1">
        <v>489</v>
      </c>
      <c r="AQ140" s="64" t="s" ph="1">
        <v>236</v>
      </c>
      <c r="AR140" s="64" t="s" ph="1">
        <v>535</v>
      </c>
      <c r="AS140" s="64" t="s" ph="1">
        <v>490</v>
      </c>
      <c r="AT140" s="64" t="s" ph="1">
        <v>229</v>
      </c>
      <c r="AU140" s="64" t="s" ph="1">
        <v>535</v>
      </c>
      <c r="AV140" s="64" t="s" ph="1">
        <v>491</v>
      </c>
      <c r="AW140" s="64" t="s" ph="1">
        <v>222</v>
      </c>
      <c r="AX140" s="64" t="s" ph="1">
        <v>535</v>
      </c>
      <c r="AY140" s="64" t="s" ph="1">
        <v>216</v>
      </c>
      <c r="AZ140" s="64" t="s" ph="1">
        <v>291</v>
      </c>
    </row>
    <row r="141" spans="33:52" ph="1">
      <c r="AJ141" s="64" t="s" ph="1">
        <v>493</v>
      </c>
      <c r="AK141" s="64" t="s" ph="1">
        <v>222</v>
      </c>
      <c r="AM141" s="64" t="s" ph="1">
        <v>494</v>
      </c>
      <c r="AN141" s="64" t="s" ph="1">
        <v>225</v>
      </c>
      <c r="AO141" s="64" t="s" ph="1">
        <v>535</v>
      </c>
      <c r="AP141" s="64" t="s" ph="1">
        <v>506</v>
      </c>
      <c r="AQ141" s="64" t="s" ph="1">
        <v>294</v>
      </c>
      <c r="AR141" s="64" t="s" ph="1">
        <v>535</v>
      </c>
      <c r="AS141" s="64" t="s" ph="1">
        <v>498</v>
      </c>
      <c r="AT141" s="64" t="s" ph="1">
        <v>222</v>
      </c>
      <c r="AU141" s="64" t="s" ph="1">
        <v>535</v>
      </c>
      <c r="AV141" s="64" t="s" ph="1">
        <v>334</v>
      </c>
      <c r="AW141" s="64" t="s" ph="1">
        <v>228</v>
      </c>
      <c r="AX141" s="64" t="s" ph="1">
        <v>535</v>
      </c>
    </row>
    <row r="142" spans="33:52" ph="1">
      <c r="AJ142" s="64" t="s" ph="1">
        <v>536</v>
      </c>
      <c r="AK142" s="64" t="s" ph="1">
        <v>239</v>
      </c>
    </row>
    <row r="143" spans="33:52" ph="1">
      <c r="AH143" s="64" ph="1">
        <v>4</v>
      </c>
      <c r="AI143" s="64" t="s" ph="1">
        <v>537</v>
      </c>
      <c r="AJ143" s="64" t="s" ph="1">
        <v>517</v>
      </c>
      <c r="AK143" s="64" t="s" ph="1">
        <v>538</v>
      </c>
      <c r="AY143" s="64" t="s" ph="1">
        <v>216</v>
      </c>
      <c r="AZ143" s="64" t="s" ph="1">
        <v>538</v>
      </c>
    </row>
    <row r="144" spans="33:52" ph="1">
      <c r="AH144" s="64" ph="1">
        <v>5</v>
      </c>
      <c r="AI144" s="64" t="s" ph="1">
        <v>539</v>
      </c>
      <c r="AY144" s="64" t="s" ph="1">
        <v>216</v>
      </c>
      <c r="AZ144" s="64" t="s" ph="1">
        <v>367</v>
      </c>
    </row>
    <row r="145" spans="33:52" ph="1">
      <c r="AH145" s="64" ph="1">
        <v>6</v>
      </c>
      <c r="AI145" s="64" t="s" ph="1">
        <v>540</v>
      </c>
      <c r="AY145" s="64" t="s" ph="1">
        <v>216</v>
      </c>
      <c r="AZ145" s="64" t="s" ph="1">
        <v>367</v>
      </c>
    </row>
    <row r="146" spans="33:52" ph="1">
      <c r="AH146" s="64" ph="1">
        <v>7</v>
      </c>
      <c r="AI146" s="64" t="s" ph="1">
        <v>541</v>
      </c>
      <c r="AY146" s="64" t="s" ph="1">
        <v>216</v>
      </c>
      <c r="AZ146" s="64" t="s" ph="1">
        <v>367</v>
      </c>
    </row>
    <row r="147" spans="33:52" ph="1">
      <c r="AH147" s="64" ph="1">
        <v>8</v>
      </c>
      <c r="AI147" s="64" t="s" ph="1">
        <v>542</v>
      </c>
      <c r="AY147" s="64" t="s" ph="1">
        <v>216</v>
      </c>
      <c r="AZ147" s="64" t="s" ph="1">
        <v>367</v>
      </c>
    </row>
    <row r="148" spans="33:52" ph="1">
      <c r="AH148" s="64" ph="1">
        <v>9</v>
      </c>
      <c r="AI148" s="64" t="s" ph="1">
        <v>543</v>
      </c>
      <c r="AY148" s="64" t="s" ph="1">
        <v>216</v>
      </c>
      <c r="AZ148" s="64" t="s" ph="1">
        <v>367</v>
      </c>
    </row>
    <row r="149" spans="33:52" ph="1">
      <c r="AH149" s="64" ph="1">
        <v>10</v>
      </c>
      <c r="AI149" s="64" t="s" ph="1">
        <v>544</v>
      </c>
      <c r="AY149" s="64" t="s" ph="1">
        <v>216</v>
      </c>
      <c r="AZ149" s="64" t="s" ph="1">
        <v>367</v>
      </c>
    </row>
    <row r="150" spans="33:52" ph="1">
      <c r="AH150" s="64" ph="1">
        <v>11</v>
      </c>
      <c r="AI150" s="64" t="s" ph="1">
        <v>545</v>
      </c>
      <c r="AY150" s="64" t="s" ph="1">
        <v>216</v>
      </c>
      <c r="AZ150" s="64" t="s" ph="1">
        <v>367</v>
      </c>
    </row>
    <row r="151" spans="33:52" ph="1">
      <c r="AH151" s="64" ph="1">
        <v>12</v>
      </c>
      <c r="AI151" s="64" t="s" ph="1">
        <v>546</v>
      </c>
      <c r="AY151" s="64" t="s" ph="1">
        <v>216</v>
      </c>
      <c r="AZ151" s="64" t="s" ph="1">
        <v>367</v>
      </c>
    </row>
    <row r="152" spans="33:52" ph="1">
      <c r="AH152" s="64" ph="1">
        <v>13</v>
      </c>
      <c r="AI152" s="64" t="s" ph="1">
        <v>547</v>
      </c>
      <c r="AY152" s="64" t="s" ph="1">
        <v>216</v>
      </c>
      <c r="AZ152" s="64" t="s" ph="1">
        <v>367</v>
      </c>
    </row>
    <row r="153" spans="33:52" ph="1">
      <c r="AH153" s="64" ph="1">
        <v>14</v>
      </c>
      <c r="AI153" s="64" t="s" ph="1">
        <v>548</v>
      </c>
      <c r="AY153" s="64" t="s" ph="1">
        <v>216</v>
      </c>
      <c r="AZ153" s="64" t="s" ph="1">
        <v>367</v>
      </c>
    </row>
    <row r="154" spans="33:52" ph="1">
      <c r="AH154" s="64" ph="1">
        <v>15</v>
      </c>
      <c r="AI154" s="64" t="s" ph="1">
        <v>549</v>
      </c>
      <c r="AY154" s="64" t="s" ph="1">
        <v>216</v>
      </c>
      <c r="AZ154" s="64" t="s" ph="1">
        <v>367</v>
      </c>
    </row>
    <row r="155" spans="33:52" ph="1">
      <c r="AH155" s="64" ph="1">
        <v>16</v>
      </c>
      <c r="AI155" s="64" t="s" ph="1">
        <v>550</v>
      </c>
      <c r="AJ155" s="64" t="s" ph="1">
        <v>336</v>
      </c>
      <c r="AK155" s="64" t="s" ph="1">
        <v>231</v>
      </c>
      <c r="AM155" s="64" t="s" ph="1">
        <v>570</v>
      </c>
      <c r="AN155" s="64" t="s" ph="1">
        <v>282</v>
      </c>
      <c r="AO155" s="64" t="s" ph="1">
        <v>535</v>
      </c>
      <c r="AY155" s="64" t="s" ph="1">
        <v>216</v>
      </c>
      <c r="AZ155" s="64" t="s" ph="1">
        <v>223</v>
      </c>
    </row>
    <row r="156" spans="33:52" ph="1">
      <c r="AZ156" s="64" t="s" ph="1">
        <v>602</v>
      </c>
    </row>
    <row r="157" spans="33:52" ph="1">
      <c r="AG157" s="64" t="s" ph="1">
        <v>551</v>
      </c>
      <c r="AI157" s="64" t="s" ph="1">
        <v>209</v>
      </c>
      <c r="AJ157" s="64" t="s" ph="1">
        <v>210</v>
      </c>
      <c r="AK157" s="64" t="s" ph="1">
        <v>211</v>
      </c>
      <c r="AM157" s="64" t="s" ph="1">
        <v>210</v>
      </c>
      <c r="AN157" s="64" t="s" ph="1">
        <v>211</v>
      </c>
      <c r="AO157" s="64" t="s" ph="1">
        <v>212</v>
      </c>
      <c r="AP157" s="64" t="s" ph="1">
        <v>210</v>
      </c>
      <c r="AQ157" s="64" t="s" ph="1">
        <v>211</v>
      </c>
      <c r="AR157" s="64" t="s" ph="1">
        <v>212</v>
      </c>
      <c r="AS157" s="64" t="s" ph="1">
        <v>210</v>
      </c>
      <c r="AT157" s="64" t="s" ph="1">
        <v>211</v>
      </c>
      <c r="AU157" s="64" t="s" ph="1">
        <v>212</v>
      </c>
      <c r="AV157" s="64" t="s" ph="1">
        <v>210</v>
      </c>
      <c r="AW157" s="64" t="s" ph="1">
        <v>211</v>
      </c>
      <c r="AX157" s="64" t="s" ph="1">
        <v>212</v>
      </c>
      <c r="AY157" s="64" t="s" ph="1">
        <v>211</v>
      </c>
      <c r="AZ157" s="64" t="s" ph="1">
        <v>213</v>
      </c>
    </row>
    <row r="158" spans="33:52" ph="1">
      <c r="AH158" s="64" ph="1">
        <v>1</v>
      </c>
      <c r="AI158" s="64" t="s" ph="1">
        <v>552</v>
      </c>
      <c r="AY158" s="64" t="s" ph="1">
        <v>216</v>
      </c>
      <c r="AZ158" s="64" t="s" ph="1">
        <v>367</v>
      </c>
    </row>
    <row r="159" spans="33:52" ph="1">
      <c r="AH159" s="64" ph="1">
        <v>2</v>
      </c>
      <c r="AI159" s="64" t="s" ph="1">
        <v>553</v>
      </c>
      <c r="AY159" s="64" t="s" ph="1">
        <v>216</v>
      </c>
      <c r="AZ159" s="64" t="s" ph="1">
        <v>367</v>
      </c>
    </row>
    <row r="160" spans="33:52" ph="1">
      <c r="AZ160" s="64" t="s" ph="1">
        <v>385</v>
      </c>
    </row>
    <row r="161" spans="33:52" ph="1">
      <c r="AG161" s="64" t="s" ph="1">
        <v>361</v>
      </c>
      <c r="AI161" s="64" t="s" ph="1">
        <v>209</v>
      </c>
      <c r="AJ161" s="64" t="s" ph="1">
        <v>210</v>
      </c>
      <c r="AK161" s="64" t="s" ph="1">
        <v>211</v>
      </c>
      <c r="AM161" s="64" t="s" ph="1">
        <v>210</v>
      </c>
      <c r="AN161" s="64" t="s" ph="1">
        <v>211</v>
      </c>
      <c r="AO161" s="64" t="s" ph="1">
        <v>212</v>
      </c>
      <c r="AP161" s="64" t="s" ph="1">
        <v>210</v>
      </c>
      <c r="AQ161" s="64" t="s" ph="1">
        <v>211</v>
      </c>
      <c r="AR161" s="64" t="s" ph="1">
        <v>212</v>
      </c>
      <c r="AS161" s="64" t="s" ph="1">
        <v>210</v>
      </c>
      <c r="AT161" s="64" t="s" ph="1">
        <v>211</v>
      </c>
      <c r="AU161" s="64" t="s" ph="1">
        <v>212</v>
      </c>
      <c r="AV161" s="64" t="s" ph="1">
        <v>210</v>
      </c>
      <c r="AW161" s="64" t="s" ph="1">
        <v>211</v>
      </c>
      <c r="AX161" s="64" t="s" ph="1">
        <v>212</v>
      </c>
      <c r="AY161" s="64" t="s" ph="1">
        <v>211</v>
      </c>
      <c r="AZ161" s="64" t="s" ph="1">
        <v>213</v>
      </c>
    </row>
    <row r="162" spans="33:52" ph="1">
      <c r="AH162" s="64" ph="1">
        <v>1</v>
      </c>
      <c r="AI162" s="64" t="s" ph="1">
        <v>554</v>
      </c>
      <c r="AJ162" s="64" t="s" ph="1">
        <v>555</v>
      </c>
      <c r="AK162" s="64" t="s" ph="1">
        <v>499</v>
      </c>
      <c r="AM162" s="64" t="s" ph="1">
        <v>556</v>
      </c>
      <c r="AN162" s="64" t="s" ph="1">
        <v>220</v>
      </c>
      <c r="AO162" s="64" t="s" ph="1">
        <v>557</v>
      </c>
      <c r="AY162" s="64" t="s" ph="1">
        <v>216</v>
      </c>
      <c r="AZ162" s="64" t="s" ph="1">
        <v>292</v>
      </c>
    </row>
    <row r="163" spans="33:52" ph="1">
      <c r="AH163" s="64" ph="1">
        <v>2</v>
      </c>
      <c r="AI163" s="64" t="s" ph="1">
        <v>558</v>
      </c>
      <c r="AJ163" s="64" t="s" ph="1">
        <v>555</v>
      </c>
      <c r="AK163" s="64" t="s" ph="1">
        <v>388</v>
      </c>
      <c r="AY163" s="64" t="s" ph="1">
        <v>216</v>
      </c>
      <c r="AZ163" s="64" t="s" ph="1">
        <v>388</v>
      </c>
    </row>
    <row r="164" spans="33:52" ph="1">
      <c r="AH164" s="64" ph="1">
        <v>3</v>
      </c>
      <c r="AI164" s="64" t="s" ph="1">
        <v>559</v>
      </c>
      <c r="AJ164" s="64" t="s" ph="1">
        <v>555</v>
      </c>
      <c r="AK164" s="64" t="s" ph="1">
        <v>292</v>
      </c>
      <c r="AY164" s="64" t="s" ph="1">
        <v>216</v>
      </c>
      <c r="AZ164" s="64" t="s" ph="1">
        <v>292</v>
      </c>
    </row>
    <row r="165" spans="33:52" ph="1">
      <c r="AH165" s="64" ph="1">
        <v>4</v>
      </c>
      <c r="AI165" s="64" t="s" ph="1">
        <v>560</v>
      </c>
      <c r="AY165" s="64" t="s" ph="1">
        <v>216</v>
      </c>
      <c r="AZ165" s="64" t="s" ph="1">
        <v>367</v>
      </c>
    </row>
    <row r="166" spans="33:52" ph="1">
      <c r="AH166" s="64" ph="1">
        <v>5</v>
      </c>
      <c r="AI166" s="64" t="s" ph="1">
        <v>561</v>
      </c>
      <c r="AY166" s="64" t="s" ph="1">
        <v>216</v>
      </c>
      <c r="AZ166" s="64" t="s" ph="1">
        <v>367</v>
      </c>
    </row>
    <row r="167" spans="33:52" ph="1">
      <c r="AZ167" s="64" t="s" ph="1">
        <v>562</v>
      </c>
    </row>
    <row r="168" spans="33:52" ph="1">
      <c r="AG168" s="64" t="s" ph="1">
        <v>305</v>
      </c>
      <c r="AI168" s="64" t="s" ph="1">
        <v>209</v>
      </c>
      <c r="AJ168" s="64" t="s" ph="1">
        <v>210</v>
      </c>
      <c r="AK168" s="64" t="s" ph="1">
        <v>211</v>
      </c>
      <c r="AM168" s="64" t="s" ph="1">
        <v>210</v>
      </c>
      <c r="AN168" s="64" t="s" ph="1">
        <v>211</v>
      </c>
      <c r="AO168" s="64" t="s" ph="1">
        <v>212</v>
      </c>
      <c r="AP168" s="64" t="s" ph="1">
        <v>210</v>
      </c>
      <c r="AQ168" s="64" t="s" ph="1">
        <v>211</v>
      </c>
      <c r="AR168" s="64" t="s" ph="1">
        <v>212</v>
      </c>
      <c r="AS168" s="64" t="s" ph="1">
        <v>210</v>
      </c>
      <c r="AT168" s="64" t="s" ph="1">
        <v>211</v>
      </c>
      <c r="AU168" s="64" t="s" ph="1">
        <v>212</v>
      </c>
      <c r="AV168" s="64" t="s" ph="1">
        <v>210</v>
      </c>
      <c r="AW168" s="64" t="s" ph="1">
        <v>211</v>
      </c>
      <c r="AX168" s="64" t="s" ph="1">
        <v>212</v>
      </c>
      <c r="AY168" s="64" t="s" ph="1">
        <v>211</v>
      </c>
      <c r="AZ168" s="64" t="s" ph="1">
        <v>213</v>
      </c>
    </row>
    <row r="169" spans="33:52" ph="1">
      <c r="AH169" s="64" ph="1">
        <v>1</v>
      </c>
      <c r="AI169" s="64" t="s" ph="1">
        <v>563</v>
      </c>
      <c r="AY169" s="64" t="s" ph="1">
        <v>216</v>
      </c>
      <c r="AZ169" s="64" t="s" ph="1">
        <v>367</v>
      </c>
    </row>
    <row r="170" spans="33:52" ph="1">
      <c r="AH170" s="64" ph="1">
        <v>2</v>
      </c>
      <c r="AI170" s="64" t="s" ph="1">
        <v>564</v>
      </c>
      <c r="AY170" s="64" t="s" ph="1">
        <v>216</v>
      </c>
      <c r="AZ170" s="64" t="s" ph="1">
        <v>367</v>
      </c>
    </row>
    <row r="171" spans="33:52" ph="1">
      <c r="AH171" s="64" ph="1">
        <v>3</v>
      </c>
      <c r="AI171" s="64" t="s" ph="1">
        <v>565</v>
      </c>
      <c r="AY171" s="64" t="s" ph="1">
        <v>216</v>
      </c>
      <c r="AZ171" s="64" t="s" ph="1">
        <v>367</v>
      </c>
    </row>
    <row r="172" spans="33:52" ph="1">
      <c r="AH172" s="64" ph="1">
        <v>4</v>
      </c>
      <c r="AI172" s="64" t="s" ph="1">
        <v>566</v>
      </c>
      <c r="AY172" s="64" t="s" ph="1">
        <v>216</v>
      </c>
      <c r="AZ172" s="64" t="s" ph="1">
        <v>367</v>
      </c>
    </row>
    <row r="173" spans="33:52" ph="1">
      <c r="AH173" s="64" ph="1">
        <v>5</v>
      </c>
      <c r="AI173" s="64" t="s" ph="1">
        <v>567</v>
      </c>
      <c r="AY173" s="64" t="s" ph="1">
        <v>216</v>
      </c>
      <c r="AZ173" s="64" t="s" ph="1">
        <v>367</v>
      </c>
    </row>
    <row r="174" spans="33:52" ph="1">
      <c r="AZ174" s="64" t="s" ph="1">
        <v>385</v>
      </c>
    </row>
    <row r="175" spans="33:52" ph="1">
      <c r="AJ175" s="64" t="s" ph="1">
        <v>306</v>
      </c>
    </row>
    <row r="176" spans="33:52" ph="1">
      <c r="AJ176" s="64" t="s" ph="1">
        <v>307</v>
      </c>
      <c r="AK176" s="64" t="s" ph="1">
        <v>308</v>
      </c>
      <c r="AM176" s="64" t="s" ph="1">
        <v>309</v>
      </c>
      <c r="AO176" s="64" t="s" ph="1">
        <v>310</v>
      </c>
      <c r="AP176" s="64" t="s" ph="1">
        <v>311</v>
      </c>
      <c r="AQ176" s="64" t="s" ph="1">
        <v>301</v>
      </c>
      <c r="AR176" s="64" t="s" ph="1">
        <v>221</v>
      </c>
    </row>
    <row r="177" spans="36:56" ph="1">
      <c r="AJ177" s="64" t="s" ph="1">
        <v>603</v>
      </c>
      <c r="AK177" s="64" t="s" ph="1">
        <v>312</v>
      </c>
      <c r="AO177" s="64" t="s" ph="1">
        <v>312</v>
      </c>
      <c r="AP177" s="64" t="s" ph="1">
        <v>312</v>
      </c>
      <c r="AQ177" s="64" t="s" ph="1">
        <v>313</v>
      </c>
      <c r="AR177" s="64" t="s" ph="1">
        <v>314</v>
      </c>
    </row>
    <row r="179" spans="36:56" ph="1">
      <c r="AJ179" s="64" t="s" ph="1">
        <v>315</v>
      </c>
      <c r="AK179" s="64" t="s" ph="1">
        <v>316</v>
      </c>
      <c r="AM179" s="64" t="s" ph="1">
        <v>317</v>
      </c>
      <c r="AN179" s="64" t="s" ph="1">
        <v>293</v>
      </c>
      <c r="AO179" s="64" t="s" ph="1">
        <v>318</v>
      </c>
      <c r="AP179" s="64" t="s" ph="1">
        <v>297</v>
      </c>
      <c r="AQ179" s="64" t="s" ph="1">
        <v>319</v>
      </c>
      <c r="AR179" s="64" t="s" ph="1">
        <v>320</v>
      </c>
    </row>
    <row r="180" spans="36:56" ph="1">
      <c r="AJ180" s="64" t="s" ph="1">
        <v>312</v>
      </c>
      <c r="AK180" s="64" t="s" ph="1">
        <v>312</v>
      </c>
      <c r="AL180" s="64" ph="1">
        <v>116</v>
      </c>
      <c r="AM180" s="64" t="s" ph="1">
        <v>312</v>
      </c>
      <c r="AN180" s="64" t="s" ph="1">
        <v>321</v>
      </c>
      <c r="AO180" s="64" t="s" ph="1">
        <v>312</v>
      </c>
      <c r="AP180" s="64" t="s" ph="1">
        <v>322</v>
      </c>
      <c r="AQ180" s="64" t="s" ph="1">
        <v>323</v>
      </c>
      <c r="AR180" s="64" t="s" ph="1">
        <v>324</v>
      </c>
    </row>
    <row r="189" spans="36:56" ph="1">
      <c r="BD189" s="64" t="s" ph="1">
        <v>568</v>
      </c>
    </row>
    <row r="223" spans="18:18" ph="1">
      <c r="R223" s="135" ph="1">
        <v>45496</v>
      </c>
    </row>
  </sheetData>
  <mergeCells count="58"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S31:U31"/>
    <mergeCell ref="V31:X31"/>
    <mergeCell ref="Y31:AA31"/>
    <mergeCell ref="AB31:AE31"/>
    <mergeCell ref="AD32:AE32"/>
    <mergeCell ref="B33:C34"/>
    <mergeCell ref="D33:D34"/>
    <mergeCell ref="E33:E34"/>
    <mergeCell ref="F33:F34"/>
    <mergeCell ref="G33:G34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</mergeCells>
  <phoneticPr fontId="2" type="noConversion"/>
  <conditionalFormatting sqref="D4:D11">
    <cfRule type="expression" dxfId="261" priority="101">
      <formula>ABS(D$7-D$10)&gt;=1000</formula>
    </cfRule>
  </conditionalFormatting>
  <conditionalFormatting sqref="E4 E6:E11">
    <cfRule type="expression" dxfId="260" priority="100">
      <formula>ABS(E$7-E$10)&gt;=1000</formula>
    </cfRule>
  </conditionalFormatting>
  <conditionalFormatting sqref="F4:F11">
    <cfRule type="expression" dxfId="259" priority="99">
      <formula>ABS(F$7-F$10)&gt;=1000</formula>
    </cfRule>
  </conditionalFormatting>
  <conditionalFormatting sqref="G4:G11">
    <cfRule type="expression" dxfId="258" priority="98">
      <formula>ABS(G$7-G$10)&gt;=1000</formula>
    </cfRule>
  </conditionalFormatting>
  <conditionalFormatting sqref="H4:H11">
    <cfRule type="expression" dxfId="257" priority="97">
      <formula>ABS(H$7-H$10)&gt;=1000</formula>
    </cfRule>
  </conditionalFormatting>
  <conditionalFormatting sqref="I4:I11">
    <cfRule type="expression" dxfId="256" priority="96">
      <formula>ABS(I$7-I$10)&gt;=1000</formula>
    </cfRule>
  </conditionalFormatting>
  <conditionalFormatting sqref="J4:J11">
    <cfRule type="expression" dxfId="255" priority="95">
      <formula>ABS(J$7-J$10)&gt;=1000</formula>
    </cfRule>
  </conditionalFormatting>
  <conditionalFormatting sqref="K4:K11">
    <cfRule type="expression" dxfId="254" priority="94">
      <formula>ABS(K$7-K$10)&gt;=1000</formula>
    </cfRule>
  </conditionalFormatting>
  <conditionalFormatting sqref="L4:L11">
    <cfRule type="expression" dxfId="253" priority="93">
      <formula>ABS(L$7-L$10)&gt;=1000</formula>
    </cfRule>
  </conditionalFormatting>
  <conditionalFormatting sqref="M4 M6:M11">
    <cfRule type="expression" dxfId="252" priority="92">
      <formula>ABS(M$7-M$10)&gt;=1000</formula>
    </cfRule>
  </conditionalFormatting>
  <conditionalFormatting sqref="N4 N6:N11">
    <cfRule type="expression" dxfId="251" priority="91">
      <formula>ABS(N$7-N$10)&gt;=1000</formula>
    </cfRule>
  </conditionalFormatting>
  <conditionalFormatting sqref="O4 O6:O11">
    <cfRule type="expression" dxfId="250" priority="90">
      <formula>ABS(O$7-O$10)&gt;=1000</formula>
    </cfRule>
  </conditionalFormatting>
  <conditionalFormatting sqref="P4 P6:P11">
    <cfRule type="expression" dxfId="249" priority="89">
      <formula>ABS(P$7-P$10)&gt;=1000</formula>
    </cfRule>
  </conditionalFormatting>
  <conditionalFormatting sqref="Q4:Q11">
    <cfRule type="expression" dxfId="248" priority="88">
      <formula>ABS(Q$7-Q$10)&gt;=1000</formula>
    </cfRule>
  </conditionalFormatting>
  <conditionalFormatting sqref="R4:R11">
    <cfRule type="expression" dxfId="247" priority="87">
      <formula>ABS(R$7-R$10)&gt;=1000</formula>
    </cfRule>
  </conditionalFormatting>
  <conditionalFormatting sqref="S4:S11">
    <cfRule type="expression" dxfId="246" priority="86">
      <formula>ABS(S$7-S$10)&gt;=1000</formula>
    </cfRule>
  </conditionalFormatting>
  <conditionalFormatting sqref="T4:T9 T11">
    <cfRule type="expression" dxfId="245" priority="85">
      <formula>ABS(T$7-T$10)&gt;=1000</formula>
    </cfRule>
  </conditionalFormatting>
  <conditionalFormatting sqref="U4:U9 U11">
    <cfRule type="expression" dxfId="244" priority="84">
      <formula>ABS(U$7-U$10)&gt;=1000</formula>
    </cfRule>
  </conditionalFormatting>
  <conditionalFormatting sqref="V4:V9 V11">
    <cfRule type="expression" dxfId="243" priority="83">
      <formula>ABS(V$7-V$10)&gt;=1000</formula>
    </cfRule>
  </conditionalFormatting>
  <conditionalFormatting sqref="W4:W9 W11">
    <cfRule type="expression" dxfId="242" priority="82">
      <formula>ABS(W$7-W$10)&gt;=1000</formula>
    </cfRule>
  </conditionalFormatting>
  <conditionalFormatting sqref="X4:X9 X11">
    <cfRule type="expression" dxfId="241" priority="81">
      <formula>ABS(X$7-X$10)&gt;=1000</formula>
    </cfRule>
  </conditionalFormatting>
  <conditionalFormatting sqref="Y4:Y9 Y11">
    <cfRule type="expression" dxfId="240" priority="80">
      <formula>ABS(Y$7-Y$10)&gt;=1000</formula>
    </cfRule>
  </conditionalFormatting>
  <conditionalFormatting sqref="Z4:Z11">
    <cfRule type="expression" dxfId="239" priority="79">
      <formula>ABS(Z$7-Z$10)&gt;=1000</formula>
    </cfRule>
  </conditionalFormatting>
  <conditionalFormatting sqref="AA4:AA11">
    <cfRule type="expression" dxfId="238" priority="78">
      <formula>ABS(AA$7-AA$10)&gt;=1000</formula>
    </cfRule>
  </conditionalFormatting>
  <conditionalFormatting sqref="AB4:AB11">
    <cfRule type="expression" dxfId="237" priority="77">
      <formula>ABS(AB$7-AB$10)&gt;=1000</formula>
    </cfRule>
  </conditionalFormatting>
  <conditionalFormatting sqref="AC4 AC6:AC11">
    <cfRule type="expression" dxfId="236" priority="76">
      <formula>ABS(AC$7-AC$10)&gt;=1000</formula>
    </cfRule>
  </conditionalFormatting>
  <conditionalFormatting sqref="AD4 AD6:AD11">
    <cfRule type="expression" dxfId="235" priority="75">
      <formula>ABS(AD$7-AD$10)&gt;=1000</formula>
    </cfRule>
  </conditionalFormatting>
  <conditionalFormatting sqref="AE4 AE6:AE11">
    <cfRule type="expression" dxfId="234" priority="74">
      <formula>ABS(AE$7-AE$10)&gt;=1000</formula>
    </cfRule>
  </conditionalFormatting>
  <conditionalFormatting sqref="D13:D20">
    <cfRule type="expression" dxfId="233" priority="73">
      <formula>ABS(D$16-D$19)&gt;=1000</formula>
    </cfRule>
  </conditionalFormatting>
  <conditionalFormatting sqref="E13:E20">
    <cfRule type="expression" dxfId="232" priority="72">
      <formula>ABS(E$16-E$19)&gt;=1000</formula>
    </cfRule>
  </conditionalFormatting>
  <conditionalFormatting sqref="F13 F15:F20">
    <cfRule type="expression" dxfId="231" priority="71">
      <formula>ABS(F$16-F$19)&gt;=1000</formula>
    </cfRule>
  </conditionalFormatting>
  <conditionalFormatting sqref="G13:G20">
    <cfRule type="expression" dxfId="230" priority="70">
      <formula>ABS(G$16-G$19)&gt;=1000</formula>
    </cfRule>
  </conditionalFormatting>
  <conditionalFormatting sqref="H13 H15:H20">
    <cfRule type="expression" dxfId="229" priority="69">
      <formula>ABS(H$16-H$19)&gt;=1000</formula>
    </cfRule>
  </conditionalFormatting>
  <conditionalFormatting sqref="I13:I20">
    <cfRule type="expression" dxfId="228" priority="68">
      <formula>ABS(I$16-I$19)&gt;=1000</formula>
    </cfRule>
  </conditionalFormatting>
  <conditionalFormatting sqref="J13:J20">
    <cfRule type="expression" dxfId="227" priority="67">
      <formula>ABS(J$16-J$19)&gt;=1000</formula>
    </cfRule>
  </conditionalFormatting>
  <conditionalFormatting sqref="L13:L20">
    <cfRule type="expression" dxfId="226" priority="66">
      <formula>ABS(L$16-L$19)&gt;=1000</formula>
    </cfRule>
  </conditionalFormatting>
  <conditionalFormatting sqref="M13 M15 M17:M18 M20">
    <cfRule type="expression" dxfId="225" priority="65">
      <formula>ABS(M$16-M$19)&gt;=1000</formula>
    </cfRule>
  </conditionalFormatting>
  <conditionalFormatting sqref="N13:N20">
    <cfRule type="expression" dxfId="224" priority="64">
      <formula>ABS(N$16-N$19)&gt;=1000</formula>
    </cfRule>
  </conditionalFormatting>
  <conditionalFormatting sqref="O13:O20">
    <cfRule type="expression" dxfId="223" priority="63">
      <formula>ABS(O$16-O$19)&gt;=1000</formula>
    </cfRule>
  </conditionalFormatting>
  <conditionalFormatting sqref="P13:P20">
    <cfRule type="expression" dxfId="222" priority="62">
      <formula>ABS(P$16-P$19)&gt;=1000</formula>
    </cfRule>
  </conditionalFormatting>
  <conditionalFormatting sqref="Q13 Q15:Q20">
    <cfRule type="expression" dxfId="221" priority="61">
      <formula>ABS(Q$16-Q$19)&gt;=1000</formula>
    </cfRule>
  </conditionalFormatting>
  <conditionalFormatting sqref="R13:R20">
    <cfRule type="expression" dxfId="220" priority="60">
      <formula>ABS(R$16-R$19)&gt;=1000</formula>
    </cfRule>
  </conditionalFormatting>
  <conditionalFormatting sqref="S13:S20">
    <cfRule type="expression" dxfId="219" priority="59">
      <formula>ABS(S$16-S$19)&gt;=1000</formula>
    </cfRule>
  </conditionalFormatting>
  <conditionalFormatting sqref="T13:T15 T17:T20">
    <cfRule type="expression" dxfId="218" priority="58">
      <formula>ABS(T$16-T$19)&gt;=1000</formula>
    </cfRule>
  </conditionalFormatting>
  <conditionalFormatting sqref="U13:U20">
    <cfRule type="expression" dxfId="217" priority="57">
      <formula>ABS(U$16-U$19)&gt;=1000</formula>
    </cfRule>
  </conditionalFormatting>
  <conditionalFormatting sqref="V13:V20">
    <cfRule type="expression" dxfId="216" priority="56">
      <formula>ABS(V$16-V$19)&gt;=1000</formula>
    </cfRule>
  </conditionalFormatting>
  <conditionalFormatting sqref="W13 W20 W15:W18">
    <cfRule type="expression" dxfId="215" priority="55">
      <formula>ABS(W$16-W$19)&gt;=1000</formula>
    </cfRule>
  </conditionalFormatting>
  <conditionalFormatting sqref="X13 X15:X20 Y19">
    <cfRule type="expression" dxfId="214" priority="54">
      <formula>ABS(X$16-X$19)&gt;=1000</formula>
    </cfRule>
  </conditionalFormatting>
  <conditionalFormatting sqref="Y13 Y15:Y18 Y20">
    <cfRule type="expression" dxfId="213" priority="53">
      <formula>ABS(Y$16-Y$19)&gt;=1000</formula>
    </cfRule>
  </conditionalFormatting>
  <conditionalFormatting sqref="Z13:Z20">
    <cfRule type="expression" dxfId="212" priority="52">
      <formula>ABS(Z$16-Z$19)&gt;=1000</formula>
    </cfRule>
  </conditionalFormatting>
  <conditionalFormatting sqref="AA13:AA20">
    <cfRule type="expression" dxfId="211" priority="51">
      <formula>ABS(AA$16-AA$19)&gt;=1000</formula>
    </cfRule>
  </conditionalFormatting>
  <conditionalFormatting sqref="AB13 AB15:AB20">
    <cfRule type="expression" dxfId="210" priority="50">
      <formula>ABS(AB$16-AB$19)&gt;=1000</formula>
    </cfRule>
  </conditionalFormatting>
  <conditionalFormatting sqref="AC13 AC15:AC20">
    <cfRule type="expression" dxfId="209" priority="49">
      <formula>ABS(AC$16-AC$19)&gt;=1000</formula>
    </cfRule>
  </conditionalFormatting>
  <conditionalFormatting sqref="AD13:AD20">
    <cfRule type="expression" dxfId="208" priority="48">
      <formula>ABS(AD$16-AD$19)&gt;=1000</formula>
    </cfRule>
  </conditionalFormatting>
  <conditionalFormatting sqref="AE13:AE20">
    <cfRule type="expression" dxfId="207" priority="47">
      <formula>ABS(AE$16-AE$19)&gt;=1000</formula>
    </cfRule>
  </conditionalFormatting>
  <conditionalFormatting sqref="D22:D29">
    <cfRule type="expression" dxfId="206" priority="46">
      <formula>ABS(D$25-D$28)&gt;=1000</formula>
    </cfRule>
  </conditionalFormatting>
  <conditionalFormatting sqref="E22:E29">
    <cfRule type="expression" dxfId="205" priority="45">
      <formula>ABS(E$25-E$28)&gt;=1000</formula>
    </cfRule>
  </conditionalFormatting>
  <conditionalFormatting sqref="F22:F29">
    <cfRule type="expression" dxfId="204" priority="44">
      <formula>ABS(F$25-F$28)&gt;=1000</formula>
    </cfRule>
  </conditionalFormatting>
  <conditionalFormatting sqref="G22:G29">
    <cfRule type="expression" dxfId="203" priority="43">
      <formula>ABS(G$25-G$28)&gt;=1000</formula>
    </cfRule>
  </conditionalFormatting>
  <conditionalFormatting sqref="H22:H29">
    <cfRule type="expression" dxfId="202" priority="42">
      <formula>ABS(H$25-H$28)&gt;=1000</formula>
    </cfRule>
  </conditionalFormatting>
  <conditionalFormatting sqref="I22 I24:I29">
    <cfRule type="expression" dxfId="201" priority="41">
      <formula>ABS(I$25-I$28)&gt;=1000</formula>
    </cfRule>
  </conditionalFormatting>
  <conditionalFormatting sqref="J22:J29 K22">
    <cfRule type="expression" dxfId="200" priority="40">
      <formula>ABS(J$25-J$28)&gt;=1000</formula>
    </cfRule>
  </conditionalFormatting>
  <conditionalFormatting sqref="K23:K29 L25 L28">
    <cfRule type="expression" dxfId="199" priority="39">
      <formula>ABS(K$25-K$28)&gt;=1000</formula>
    </cfRule>
  </conditionalFormatting>
  <conditionalFormatting sqref="L22 L26:L27 L29 L24">
    <cfRule type="expression" dxfId="198" priority="38">
      <formula>ABS(L$25-L$28)&gt;=1000</formula>
    </cfRule>
  </conditionalFormatting>
  <conditionalFormatting sqref="M22:M29">
    <cfRule type="expression" dxfId="197" priority="37">
      <formula>ABS(M$25-M$28)&gt;=1000</formula>
    </cfRule>
  </conditionalFormatting>
  <conditionalFormatting sqref="N22:N29">
    <cfRule type="expression" dxfId="196" priority="36">
      <formula>ABS(N$25-N$28)&gt;=1000</formula>
    </cfRule>
  </conditionalFormatting>
  <conditionalFormatting sqref="O22:O29">
    <cfRule type="expression" dxfId="195" priority="35">
      <formula>ABS(O$25-O$28)&gt;=1000</formula>
    </cfRule>
  </conditionalFormatting>
  <conditionalFormatting sqref="P22:P29">
    <cfRule type="expression" dxfId="194" priority="34">
      <formula>ABS(P$25-P$28)&gt;=1000</formula>
    </cfRule>
  </conditionalFormatting>
  <conditionalFormatting sqref="Q22:Q29">
    <cfRule type="expression" dxfId="193" priority="33">
      <formula>ABS(Q$25-Q$28)&gt;=1000</formula>
    </cfRule>
  </conditionalFormatting>
  <conditionalFormatting sqref="R22:R29">
    <cfRule type="expression" dxfId="192" priority="32">
      <formula>ABS(R$25-R$28)&gt;=1000</formula>
    </cfRule>
  </conditionalFormatting>
  <conditionalFormatting sqref="S22:S29">
    <cfRule type="expression" dxfId="191" priority="31">
      <formula>ABS(S$25-S$28)&gt;=1000</formula>
    </cfRule>
  </conditionalFormatting>
  <conditionalFormatting sqref="T22:T29">
    <cfRule type="expression" dxfId="190" priority="30">
      <formula>ABS(T$25-T$28)&gt;=1000</formula>
    </cfRule>
  </conditionalFormatting>
  <conditionalFormatting sqref="U22:U29">
    <cfRule type="expression" dxfId="189" priority="29">
      <formula>ABS(U$25-U$28)&gt;=1000</formula>
    </cfRule>
  </conditionalFormatting>
  <conditionalFormatting sqref="V22:V29">
    <cfRule type="expression" dxfId="188" priority="28">
      <formula>ABS(V$25-V$28)&gt;=1000</formula>
    </cfRule>
  </conditionalFormatting>
  <conditionalFormatting sqref="W22:W29">
    <cfRule type="expression" dxfId="187" priority="27">
      <formula>ABS(W$25-W$28)&gt;=1000</formula>
    </cfRule>
  </conditionalFormatting>
  <conditionalFormatting sqref="X22:X29">
    <cfRule type="expression" dxfId="186" priority="26">
      <formula>ABS(X$25-X$28)&gt;=1000</formula>
    </cfRule>
  </conditionalFormatting>
  <conditionalFormatting sqref="Y22:Y29">
    <cfRule type="expression" dxfId="185" priority="25">
      <formula>ABS(Y$25-Y$28)&gt;=1000</formula>
    </cfRule>
  </conditionalFormatting>
  <conditionalFormatting sqref="I23">
    <cfRule type="expression" dxfId="184" priority="24">
      <formula>ABS(I$25-I$28)&gt;=1000</formula>
    </cfRule>
  </conditionalFormatting>
  <conditionalFormatting sqref="Q14">
    <cfRule type="expression" dxfId="183" priority="23">
      <formula>ABS(Q$16-Q$19)&gt;=1000</formula>
    </cfRule>
  </conditionalFormatting>
  <conditionalFormatting sqref="W14">
    <cfRule type="expression" dxfId="182" priority="22">
      <formula>ABS(W$16-W$19)&gt;=1000</formula>
    </cfRule>
  </conditionalFormatting>
  <conditionalFormatting sqref="X14">
    <cfRule type="expression" dxfId="181" priority="21">
      <formula>ABS(X$16-X$19)&gt;=1000</formula>
    </cfRule>
  </conditionalFormatting>
  <conditionalFormatting sqref="T10:Y10">
    <cfRule type="expression" dxfId="180" priority="20">
      <formula>ABS(T$7-T$10)&gt;=1000</formula>
    </cfRule>
  </conditionalFormatting>
  <conditionalFormatting sqref="W19">
    <cfRule type="expression" dxfId="179" priority="19">
      <formula>ABS(W$16-W$19)&gt;=1000</formula>
    </cfRule>
  </conditionalFormatting>
  <conditionalFormatting sqref="AC5">
    <cfRule type="expression" dxfId="178" priority="18">
      <formula>ABS(AC$7-AC$10)&gt;=1000</formula>
    </cfRule>
  </conditionalFormatting>
  <conditionalFormatting sqref="M14">
    <cfRule type="expression" dxfId="177" priority="17">
      <formula>ABS(M$16-M$19)&gt;=1000</formula>
    </cfRule>
  </conditionalFormatting>
  <conditionalFormatting sqref="M16">
    <cfRule type="expression" dxfId="176" priority="16">
      <formula>ABS(M$16-M$19)&gt;=1000</formula>
    </cfRule>
  </conditionalFormatting>
  <conditionalFormatting sqref="M19">
    <cfRule type="expression" dxfId="175" priority="15">
      <formula>ABS(M$16-M$19)&gt;=1000</formula>
    </cfRule>
  </conditionalFormatting>
  <conditionalFormatting sqref="K13:K20">
    <cfRule type="expression" dxfId="174" priority="14">
      <formula>ABS(K$16-K$19)&gt;=1000</formula>
    </cfRule>
  </conditionalFormatting>
  <conditionalFormatting sqref="E5">
    <cfRule type="expression" dxfId="173" priority="13">
      <formula>ABS(E$7-E$10)&gt;=1000</formula>
    </cfRule>
  </conditionalFormatting>
  <conditionalFormatting sqref="AB14:AC14">
    <cfRule type="expression" dxfId="172" priority="12">
      <formula>ABS(AB$16-AB$19)&gt;=1000</formula>
    </cfRule>
  </conditionalFormatting>
  <conditionalFormatting sqref="M5">
    <cfRule type="expression" dxfId="171" priority="11">
      <formula>ABS(M$7-M$10)&gt;=1000</formula>
    </cfRule>
  </conditionalFormatting>
  <conditionalFormatting sqref="N5">
    <cfRule type="expression" dxfId="170" priority="10">
      <formula>ABS(N$7-N$10)&gt;=1000</formula>
    </cfRule>
  </conditionalFormatting>
  <conditionalFormatting sqref="O5">
    <cfRule type="expression" dxfId="169" priority="9">
      <formula>ABS(O$7-O$10)&gt;=1000</formula>
    </cfRule>
  </conditionalFormatting>
  <conditionalFormatting sqref="P5">
    <cfRule type="expression" dxfId="168" priority="8">
      <formula>ABS(P$7-P$10)&gt;=1000</formula>
    </cfRule>
  </conditionalFormatting>
  <conditionalFormatting sqref="L23">
    <cfRule type="expression" dxfId="167" priority="7">
      <formula>ABS(L$25-L$28)&gt;=1000</formula>
    </cfRule>
  </conditionalFormatting>
  <conditionalFormatting sqref="Y14">
    <cfRule type="expression" dxfId="166" priority="6">
      <formula>ABS(Y$16-Y$19)&gt;=1000</formula>
    </cfRule>
  </conditionalFormatting>
  <conditionalFormatting sqref="F14">
    <cfRule type="expression" dxfId="165" priority="5">
      <formula>ABS(F$16-F$19)&gt;=1000</formula>
    </cfRule>
  </conditionalFormatting>
  <conditionalFormatting sqref="H14">
    <cfRule type="expression" dxfId="164" priority="4">
      <formula>ABS(H$16-H$19)&gt;=1000</formula>
    </cfRule>
  </conditionalFormatting>
  <conditionalFormatting sqref="AD5">
    <cfRule type="expression" dxfId="163" priority="3">
      <formula>ABS(AD$7-AD$10)&gt;=1000</formula>
    </cfRule>
  </conditionalFormatting>
  <conditionalFormatting sqref="AE5">
    <cfRule type="expression" dxfId="162" priority="2">
      <formula>ABS(AE$7-AE$10)&gt;=1000</formula>
    </cfRule>
  </conditionalFormatting>
  <conditionalFormatting sqref="T16">
    <cfRule type="expression" dxfId="161" priority="1">
      <formula>ABS(T$16-T$19)&gt;=1000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90753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920">
    <pageSetUpPr fitToPage="1"/>
  </sheetPr>
  <dimension ref="A1:CU223"/>
  <sheetViews>
    <sheetView tabSelected="1" view="pageBreakPreview" zoomScale="70" zoomScaleNormal="100" zoomScaleSheetLayoutView="70" workbookViewId="0">
      <selection activeCell="AF28" sqref="AF28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185" t="s" ph="1">
        <v>161</v>
      </c>
      <c r="C1" s="185" ph="1"/>
      <c r="D1" s="185" ph="1"/>
      <c r="E1" s="185" ph="1"/>
      <c r="F1" s="185" ph="1"/>
      <c r="G1" s="185" ph="1"/>
      <c r="H1" s="185" ph="1"/>
      <c r="I1" s="185" ph="1"/>
      <c r="J1" s="185" ph="1"/>
      <c r="K1" s="185" ph="1"/>
      <c r="L1" s="185" ph="1"/>
      <c r="M1" s="185" ph="1"/>
      <c r="N1" s="185" ph="1"/>
      <c r="O1" s="185" ph="1"/>
      <c r="P1" s="185" ph="1"/>
      <c r="Q1" s="185" ph="1"/>
      <c r="R1" s="185" ph="1"/>
      <c r="S1" s="185" ph="1"/>
      <c r="T1" s="185" ph="1"/>
      <c r="U1" s="185" ph="1"/>
      <c r="V1" s="185" ph="1"/>
      <c r="W1" s="185" ph="1"/>
      <c r="X1" s="185" ph="1"/>
      <c r="Y1" s="185" ph="1"/>
      <c r="Z1" s="185" ph="1"/>
      <c r="AA1" s="185" ph="1"/>
      <c r="AB1" s="185" ph="1"/>
      <c r="AC1" s="185" ph="1"/>
      <c r="AD1" s="185" ph="1"/>
      <c r="AE1" s="185" ph="1"/>
    </row>
    <row r="2" spans="1:99" s="66" customFormat="1" ht="24" customHeight="1" ph="1">
      <c r="B2" s="186" t="s" ph="1">
        <v>82</v>
      </c>
      <c r="C2" s="186" ph="1"/>
      <c r="D2" s="186" ph="1"/>
      <c r="E2" s="186" ph="1"/>
      <c r="F2" s="186" ph="1"/>
      <c r="G2" s="186" ph="1"/>
      <c r="H2" s="186" ph="1"/>
      <c r="I2" s="186" ph="1"/>
      <c r="J2" s="186" ph="1"/>
      <c r="K2" s="186" ph="1"/>
      <c r="L2" s="186" ph="1"/>
      <c r="M2" s="186" ph="1"/>
      <c r="N2" s="186" ph="1"/>
      <c r="O2" s="186" ph="1"/>
      <c r="P2" s="186" ph="1"/>
      <c r="Q2" s="186" ph="1"/>
      <c r="R2" s="186" ph="1"/>
      <c r="S2" s="186" ph="1"/>
      <c r="T2" s="186" ph="1"/>
      <c r="U2" s="186" ph="1"/>
      <c r="V2" s="186" ph="1"/>
      <c r="W2" s="186" ph="1"/>
      <c r="X2" s="186" ph="1"/>
      <c r="Y2" s="186" ph="1"/>
      <c r="Z2" s="186" ph="1"/>
      <c r="AA2" s="186" ph="1"/>
      <c r="AB2" s="186" ph="1"/>
      <c r="AC2" s="186" ph="1"/>
      <c r="AD2" s="186" ph="1"/>
      <c r="AE2" s="186" ph="1"/>
    </row>
    <row r="3" spans="1:99" ht="21" customHeight="1" ph="1">
      <c r="B3" s="187" ph="1">
        <v>46203</v>
      </c>
      <c r="C3" s="187"/>
      <c r="D3" s="187"/>
      <c r="E3" s="187"/>
      <c r="F3" s="187"/>
      <c r="G3" s="187"/>
      <c r="H3" s="187"/>
      <c r="I3" s="187"/>
      <c r="J3" s="187"/>
      <c r="K3" s="187"/>
      <c r="L3" s="187"/>
      <c r="M3" s="187"/>
      <c r="N3" s="187"/>
      <c r="O3" s="187"/>
      <c r="P3" s="187"/>
      <c r="Q3" s="187"/>
      <c r="R3" s="187"/>
      <c r="S3" s="187"/>
      <c r="T3" s="187"/>
      <c r="U3" s="187"/>
      <c r="V3" s="187"/>
      <c r="W3" s="187"/>
      <c r="X3" s="187"/>
      <c r="Y3" s="187"/>
      <c r="Z3" s="187"/>
      <c r="AA3" s="187"/>
      <c r="AB3" s="187"/>
      <c r="AC3" s="187"/>
      <c r="AD3" s="187"/>
      <c r="AE3" s="187"/>
    </row>
    <row r="4" spans="1:99" s="69" customFormat="1" ph="1">
      <c r="A4" s="65" ph="1"/>
      <c r="B4" s="188" t="s" ph="1">
        <v>37</v>
      </c>
      <c r="C4" s="67" t="s" ph="1">
        <v>176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110</v>
      </c>
      <c r="J4" s="68" t="s" ph="1">
        <v>48</v>
      </c>
      <c r="K4" s="68" t="s" ph="1">
        <v>111</v>
      </c>
      <c r="L4" s="68" t="s" ph="1">
        <v>112</v>
      </c>
      <c r="M4" s="68" t="s" ph="1">
        <v>49</v>
      </c>
      <c r="N4" s="68" t="s" ph="1">
        <v>50</v>
      </c>
      <c r="O4" s="68" t="s" ph="1">
        <v>113</v>
      </c>
      <c r="P4" s="68" t="s" ph="1">
        <v>114</v>
      </c>
      <c r="Q4" s="68" t="s" ph="1">
        <v>115</v>
      </c>
      <c r="R4" s="68" t="s" ph="1">
        <v>116</v>
      </c>
      <c r="S4" s="68" t="s" ph="1">
        <v>117</v>
      </c>
      <c r="T4" s="68" t="s" ph="1">
        <v>118</v>
      </c>
      <c r="U4" s="68" t="s" ph="1">
        <v>119</v>
      </c>
      <c r="V4" s="68" t="s" ph="1">
        <v>120</v>
      </c>
      <c r="W4" s="68" t="s" ph="1">
        <v>121</v>
      </c>
      <c r="X4" s="68" t="s" ph="1">
        <v>122</v>
      </c>
      <c r="Y4" s="68" t="s" ph="1">
        <v>123</v>
      </c>
      <c r="Z4" s="68" t="s" ph="1">
        <v>51</v>
      </c>
      <c r="AA4" s="68" t="s" ph="1">
        <v>124</v>
      </c>
      <c r="AB4" s="68" t="s" ph="1">
        <v>125</v>
      </c>
      <c r="AC4" s="68" t="s" ph="1">
        <v>126</v>
      </c>
      <c r="AD4" s="68" t="s" ph="1">
        <v>40</v>
      </c>
      <c r="AE4" s="68" t="s" ph="1">
        <v>127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188" ph="1"/>
      <c r="C5" s="67" t="s" ph="1">
        <v>36</v>
      </c>
      <c r="D5" s="70" t="s" ph="1">
        <v>160</v>
      </c>
      <c r="E5" s="142" t="s" ph="1">
        <v>7</v>
      </c>
      <c r="F5" s="142" t="s" ph="1">
        <v>1</v>
      </c>
      <c r="G5" s="142" t="s" ph="1">
        <v>7</v>
      </c>
      <c r="H5" s="142" t="s" ph="1">
        <v>7</v>
      </c>
      <c r="I5" s="141" t="s" ph="1">
        <v>608</v>
      </c>
      <c r="J5" s="141" t="s" ph="1">
        <v>609</v>
      </c>
      <c r="K5" s="141" t="s" ph="1">
        <v>611</v>
      </c>
      <c r="L5" s="141" t="s" ph="1">
        <v>613</v>
      </c>
      <c r="M5" s="141" t="s" ph="1">
        <v>608</v>
      </c>
      <c r="N5" s="70" t="s" ph="1">
        <v>609</v>
      </c>
      <c r="O5" s="70" t="s" ph="1">
        <v>611</v>
      </c>
      <c r="P5" s="70" t="s" ph="1">
        <v>613</v>
      </c>
      <c r="Q5" s="70" t="s" ph="1">
        <v>607</v>
      </c>
      <c r="R5" s="70" t="s" ph="1">
        <v>607</v>
      </c>
      <c r="S5" s="70" t="s" ph="1">
        <v>607</v>
      </c>
      <c r="T5" s="70" t="s" ph="1">
        <v>607</v>
      </c>
      <c r="U5" s="70" t="s" ph="1">
        <v>607</v>
      </c>
      <c r="V5" s="70" t="s" ph="1">
        <v>607</v>
      </c>
      <c r="W5" s="70" t="s" ph="1">
        <v>607</v>
      </c>
      <c r="X5" s="70" t="s" ph="1">
        <v>607</v>
      </c>
      <c r="Y5" s="70" t="s" ph="1">
        <v>607</v>
      </c>
      <c r="Z5" s="70" t="s" ph="1">
        <v>614</v>
      </c>
      <c r="AA5" s="70" t="s" ph="1">
        <v>54</v>
      </c>
      <c r="AB5" s="70" t="s" ph="1">
        <v>54</v>
      </c>
      <c r="AC5" s="70" t="s" ph="1">
        <v>615</v>
      </c>
      <c r="AD5" s="71" t="s">
        <v>72</v>
      </c>
      <c r="AE5" s="71" t="s">
        <v>635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184" ph="1">
        <v>0.33333333333333331</v>
      </c>
      <c r="C6" s="162" t="s" ph="1">
        <v>177</v>
      </c>
      <c r="D6" s="71">
        <v>3693</v>
      </c>
      <c r="E6" s="71">
        <v>7534</v>
      </c>
      <c r="F6" s="71">
        <v>5838</v>
      </c>
      <c r="G6" s="71">
        <v>1749</v>
      </c>
      <c r="H6" s="71">
        <v>5857</v>
      </c>
      <c r="I6" s="71">
        <v>38.630000000000003</v>
      </c>
      <c r="J6" s="71">
        <v>76.87</v>
      </c>
      <c r="K6" s="71">
        <v>6.71</v>
      </c>
      <c r="L6" s="71">
        <v>6.95</v>
      </c>
      <c r="M6" s="71">
        <v>5018</v>
      </c>
      <c r="N6" s="71">
        <v>6117</v>
      </c>
      <c r="O6" s="71">
        <v>221</v>
      </c>
      <c r="P6" s="71">
        <v>3233</v>
      </c>
      <c r="Q6" s="71">
        <v>7306</v>
      </c>
      <c r="R6" s="71">
        <v>4623</v>
      </c>
      <c r="S6" s="71">
        <v>55</v>
      </c>
      <c r="T6" s="71">
        <v>0</v>
      </c>
      <c r="U6" s="71">
        <v>0</v>
      </c>
      <c r="V6" s="71">
        <v>6541</v>
      </c>
      <c r="W6" s="71">
        <v>7053</v>
      </c>
      <c r="X6" s="71">
        <v>7170</v>
      </c>
      <c r="Y6" s="71">
        <v>6956</v>
      </c>
      <c r="Z6" s="71">
        <v>3726</v>
      </c>
      <c r="AA6" s="71">
        <v>0</v>
      </c>
      <c r="AB6" s="71">
        <v>2041</v>
      </c>
      <c r="AC6" s="71">
        <v>3243</v>
      </c>
      <c r="AD6" s="71">
        <v>5007</v>
      </c>
      <c r="AE6" s="71">
        <v>4800</v>
      </c>
    </row>
    <row r="7" spans="1:99" s="72" customFormat="1" ht="22.2" ph="1">
      <c r="B7" s="184" ph="1"/>
      <c r="C7" s="68" t="s" ph="1">
        <v>178</v>
      </c>
      <c r="D7" s="73" ph="1">
        <f>D6*33.183*LOOKUP(D8,密度!$A$2:$A$50,密度!$Q$2:$Q$50)</f>
        <v>115844.06829708001</v>
      </c>
      <c r="E7" s="73" ph="1">
        <f>E6*51.53*LOOKUP(E8,密度!$A$2:$A$50,密度!$B$2:$B$50)</f>
        <v>301652.39454000001</v>
      </c>
      <c r="F7" s="73" ph="1">
        <f>F6*33.183*LOOKUP(F8,密度!$A$2:$A$50,密度!$C$2:$C$50)</f>
        <v>214663.7404674</v>
      </c>
      <c r="G7" s="73" ph="1">
        <f xml:space="preserve"> (G6+2)*51.53*LOOKUP(G8,密度!$A$2:$A$50,密度!$B$2:$B$50)</f>
        <v>70107.956309999994</v>
      </c>
      <c r="H7" s="73" ph="1">
        <f>(H6)*51.53*LOOKUP(H8,密度!$A$2:$A$50,密度!$B$2:$B$50)</f>
        <v>235292.01931599999</v>
      </c>
      <c r="I7" s="73" ph="1">
        <f>I6*290.8*1.0267</f>
        <v>11533.5412268</v>
      </c>
      <c r="J7" s="73" ph="1">
        <f>J6*290.8*0.7892</f>
        <v>17641.615803200002</v>
      </c>
      <c r="K7" s="73" ph="1">
        <f>K6*290.8*1.1126</f>
        <v>2170.9807768000001</v>
      </c>
      <c r="L7" s="73" ph="1">
        <f>L6*290.8*0.777</f>
        <v>1570.3636200000001</v>
      </c>
      <c r="M7" s="73" ph="1">
        <f>M6*33.183*LOOKUP(M8,密度!$A$2:$A$50,密度!$D$2:$D$50)</f>
        <v>170491.93782660001</v>
      </c>
      <c r="N7" s="73" ph="1">
        <f>N6*33.183*LOOKUP(N8,密度!$A$2:$A$50,密度!$E$2:$E$50)</f>
        <v>158060.84604569999</v>
      </c>
      <c r="O7" s="73" ph="1">
        <f>O6*20.428*LOOKUP(O8,密度!$A$2:$A$50,密度!$C$2:$C$50)</f>
        <v>4992.6828691999999</v>
      </c>
      <c r="P7" s="73" ph="1">
        <f>P6*51.53*LOOKUP(P8,密度!$A$2:$A$50,密度!$B$2:$B$50)</f>
        <v>129878.62360399999</v>
      </c>
      <c r="Q7" s="73" ph="1">
        <f>Q6*1.5*1.5*3.1416*LOOKUP(W8,密度!$A$2:$A$50,密度!$L$2:$L$50)</f>
        <v>48286.384146000004</v>
      </c>
      <c r="R7" s="73" ph="1">
        <f>R6*1.5*1.5*3.1416*LOOKUP(R8,密度!$A$2:$A$50,密度!$L$2:$L$50)</f>
        <v>30259.955602800001</v>
      </c>
      <c r="S7" s="73" ph="1">
        <f>S6*1.5*1.5*3.1416*LOOKUP(S8,密度!$A$2:$A$50,密度!$L$2:$L$50)</f>
        <v>364.28030100000001</v>
      </c>
      <c r="T7" s="73" ph="1">
        <f>T6*1.5*1.5*3.1416*LOOKUP(T8,密度!$A$2:$A$50,密度!$L$2:$L$50)</f>
        <v>0</v>
      </c>
      <c r="U7" s="73" ph="1">
        <f>U6*1.5*1.5*3.1416*LOOKUP(U8,密度!$A$2:$A$50,密度!$L$2:$L$50)</f>
        <v>0</v>
      </c>
      <c r="V7" s="73" ph="1">
        <f>V6*1.5*1.5*3.1416*LOOKUP(V8,密度!$A$2:$A$50,密度!$L$2:$L$50)</f>
        <v>43184.155568400005</v>
      </c>
      <c r="W7" s="73" ph="1">
        <f>W6*1.5*1.5*3.1416*LOOKUP(W8,密度!$A$2:$A$50,密度!$L$2:$L$50)</f>
        <v>46614.271473000001</v>
      </c>
      <c r="X7" s="73" ph="1">
        <f>X6*1.5*1.5*3.1416*LOOKUP(X8,密度!$A$2:$A$50,密度!$L$2:$L$50)</f>
        <v>47843.677727999995</v>
      </c>
      <c r="Y7" s="73" ph="1">
        <f>Y6*1.5*1.5*3.1416*LOOKUP(Y8,密度!$A$2:$A$50,密度!$L$2:$L$50)</f>
        <v>45973.184796000001</v>
      </c>
      <c r="Z7" s="73" ph="1">
        <f>Z6*33.183*LOOKUP(Z8,密度!$A$2:$A$50,密度!$L$2:$L$50)</f>
        <v>115850.546946</v>
      </c>
      <c r="AA7" s="73" ph="1">
        <f>AA6*33.183*LOOKUP(AA8,密度!$A$2:$A$50,密度!$D$2:$D$50)</f>
        <v>0</v>
      </c>
      <c r="AB7" s="73" ph="1">
        <f>AB6*20.428*LOOKUP(AB8,密度!$A$2:$A$50,密度!$D$2:$D$50)</f>
        <v>42885.983472799999</v>
      </c>
      <c r="AC7" s="73" ph="1">
        <f>AC6*51.53*LOOKUP(AC8,密度!$A$2:$A$50,密度!$Q$2:$Q$50)</f>
        <v>158211.41606460002</v>
      </c>
      <c r="AD7" s="73" ph="1">
        <f>AD6*20.428*LOOKUP(AD8,密度!$A$2:$A$50,密度!$V$2:$V$50)</f>
        <v>97946.196969600001</v>
      </c>
      <c r="AE7" s="73" ph="1">
        <f>AE6*20.428</f>
        <v>98054.400000000009</v>
      </c>
    </row>
    <row r="8" spans="1:99" ph="1">
      <c r="B8" s="184" ph="1"/>
      <c r="C8" s="68" t="s" ph="1">
        <v>179</v>
      </c>
      <c r="D8" s="74">
        <v>27</v>
      </c>
      <c r="E8" s="74">
        <v>28</v>
      </c>
      <c r="F8" s="74">
        <v>26</v>
      </c>
      <c r="G8" s="74">
        <v>28</v>
      </c>
      <c r="H8" s="74">
        <v>25</v>
      </c>
      <c r="I8" s="74">
        <v>25</v>
      </c>
      <c r="J8" s="74">
        <v>25</v>
      </c>
      <c r="K8" s="74">
        <v>25</v>
      </c>
      <c r="L8" s="74">
        <v>25</v>
      </c>
      <c r="M8" s="74">
        <v>28</v>
      </c>
      <c r="N8" s="74">
        <v>29</v>
      </c>
      <c r="O8" s="74">
        <v>29</v>
      </c>
      <c r="P8" s="74">
        <v>25</v>
      </c>
      <c r="Q8" s="74">
        <v>31</v>
      </c>
      <c r="R8" s="74">
        <v>36</v>
      </c>
      <c r="S8" s="74">
        <v>25</v>
      </c>
      <c r="T8" s="74">
        <v>22</v>
      </c>
      <c r="U8" s="74">
        <v>28</v>
      </c>
      <c r="V8" s="74">
        <v>28</v>
      </c>
      <c r="W8" s="74">
        <v>27</v>
      </c>
      <c r="X8" s="74">
        <v>18</v>
      </c>
      <c r="Y8" s="74">
        <v>27</v>
      </c>
      <c r="Z8" s="74">
        <v>25</v>
      </c>
      <c r="AA8" s="74">
        <v>27</v>
      </c>
      <c r="AB8" s="74">
        <v>23</v>
      </c>
      <c r="AC8" s="74">
        <v>25</v>
      </c>
      <c r="AD8" s="74">
        <v>30</v>
      </c>
      <c r="AE8" s="74">
        <v>27</v>
      </c>
    </row>
    <row r="9" spans="1:99" ht="26.4" ph="1">
      <c r="B9" s="184" ph="1">
        <v>0.66666666666666663</v>
      </c>
      <c r="C9" s="162" t="s" ph="1">
        <v>180</v>
      </c>
      <c r="D9" s="71">
        <v>4058</v>
      </c>
      <c r="E9" s="71">
        <v>7534</v>
      </c>
      <c r="F9" s="71">
        <v>5842</v>
      </c>
      <c r="G9" s="71">
        <v>3072</v>
      </c>
      <c r="H9" s="71">
        <v>5570</v>
      </c>
      <c r="I9" s="71">
        <v>38.65</v>
      </c>
      <c r="J9" s="71">
        <v>77.02</v>
      </c>
      <c r="K9" s="71">
        <v>6.78</v>
      </c>
      <c r="L9" s="71">
        <v>90.07</v>
      </c>
      <c r="M9" s="71">
        <v>5020</v>
      </c>
      <c r="N9" s="71">
        <v>6124</v>
      </c>
      <c r="O9" s="71">
        <v>220</v>
      </c>
      <c r="P9" s="71">
        <v>2872</v>
      </c>
      <c r="Q9" s="71">
        <v>7316</v>
      </c>
      <c r="R9" s="71">
        <v>7238</v>
      </c>
      <c r="S9" s="71">
        <v>5318</v>
      </c>
      <c r="T9" s="71">
        <v>3351</v>
      </c>
      <c r="U9" s="71">
        <v>0</v>
      </c>
      <c r="V9" s="71">
        <v>1608</v>
      </c>
      <c r="W9" s="71">
        <v>7062</v>
      </c>
      <c r="X9" s="71">
        <v>7178</v>
      </c>
      <c r="Y9" s="71">
        <v>6968</v>
      </c>
      <c r="Z9" s="71">
        <v>673</v>
      </c>
      <c r="AA9" s="71">
        <v>0</v>
      </c>
      <c r="AB9" s="71">
        <v>1913</v>
      </c>
      <c r="AC9" s="71">
        <v>2947</v>
      </c>
      <c r="AD9" s="71">
        <v>5478</v>
      </c>
      <c r="AE9" s="71">
        <v>4795</v>
      </c>
    </row>
    <row r="10" spans="1:99" s="72" customFormat="1" ht="22.2" ph="1">
      <c r="B10" s="184" ph="1"/>
      <c r="C10" s="162" t="s" ph="1">
        <v>178</v>
      </c>
      <c r="D10" s="73" ph="1">
        <f>D9*33.183*LOOKUP(D11,密度!$A$2:$A$50,密度!$Q$2:$Q$50)</f>
        <v>127025.62368462</v>
      </c>
      <c r="E10" s="73" ph="1">
        <f>E9*51.53*LOOKUP(E11,密度!$A$2:$A$50,密度!$B$2:$B$50)</f>
        <v>301652.39454000001</v>
      </c>
      <c r="F10" s="73" ph="1">
        <f>F9*33.183*LOOKUP(F11,密度!$A$2:$A$50,密度!$C$2:$C$50)</f>
        <v>214229.2555386</v>
      </c>
      <c r="G10" s="73" ph="1">
        <f xml:space="preserve"> (G9+2)*51.53*LOOKUP(G11,密度!$A$2:$A$50,密度!$B$2:$B$50)</f>
        <v>122810.016466</v>
      </c>
      <c r="H10" s="73" ph="1">
        <f>(H9)*51.53*LOOKUP(H11,密度!$A$2:$A$50,密度!$B$2:$B$50)</f>
        <v>223016.17170000004</v>
      </c>
      <c r="I10" s="73" ph="1">
        <f>I9*290.8*1.0267</f>
        <v>11539.512514</v>
      </c>
      <c r="J10" s="73" ph="1">
        <f>J9*290.8*0.7892</f>
        <v>17676.040707200002</v>
      </c>
      <c r="K10" s="73" ph="1">
        <f>K9*290.8*1.1126</f>
        <v>2193.6288624000003</v>
      </c>
      <c r="L10" s="73" ph="1">
        <f>L9*290.8*0.777</f>
        <v>20351.460611999999</v>
      </c>
      <c r="M10" s="73" ph="1">
        <f>M9*33.183*LOOKUP(M11,密度!$A$2:$A$50,密度!$D$2:$D$50)</f>
        <v>168777.49831200001</v>
      </c>
      <c r="N10" s="73" ph="1">
        <f>N9*33.183*LOOKUP(N11,密度!$A$2:$A$50,密度!$E$2:$E$50)</f>
        <v>157554.86436144001</v>
      </c>
      <c r="O10" s="73" ph="1">
        <f>O9*20.428*LOOKUP(O11,密度!$A$2:$A$50,密度!$C$2:$C$50)</f>
        <v>4909.8698000000004</v>
      </c>
      <c r="P10" s="73" ph="1">
        <f>P9*51.53*LOOKUP(P11,密度!$A$2:$A$50,密度!$B$2:$B$50)</f>
        <v>114739.872248</v>
      </c>
      <c r="Q10" s="73" ph="1">
        <f>Q9*1.5*1.5*3.1416*LOOKUP(W11,密度!$A$2:$A$50,密度!$L$2:$L$50)</f>
        <v>48249.047800799999</v>
      </c>
      <c r="R10" s="73" ph="1">
        <f>R9*1.5*1.5*3.1416*LOOKUP(R11,密度!$A$2:$A$50,密度!$L$2:$L$50)</f>
        <v>47427.662343600001</v>
      </c>
      <c r="S10" s="73" ph="1">
        <f>S9*1.5*1.5*3.1416*LOOKUP(S11,密度!$A$2:$A$50,密度!$L$2:$L$50)</f>
        <v>35222.593467600003</v>
      </c>
      <c r="T10" s="73" ph="1">
        <f>T9*1.5*1.5*3.1416*LOOKUP(T11,密度!$A$2:$A$50,密度!$L$2:$L$50)</f>
        <v>22265.665883999998</v>
      </c>
      <c r="U10" s="73" ph="1">
        <f>U9*1.5*1.5*3.1416*LOOKUP(U11,密度!$A$2:$A$50,密度!$L$2:$L$50)</f>
        <v>0</v>
      </c>
      <c r="V10" s="73" ph="1">
        <f>V9*1.5*1.5*3.1416*LOOKUP(V11,密度!$A$2:$A$50,密度!$L$2:$L$50)</f>
        <v>10616.132419200001</v>
      </c>
      <c r="W10" s="73" ph="1">
        <f>W9*1.5*1.5*3.1416*LOOKUP(W11,密度!$A$2:$A$50,密度!$L$2:$L$50)</f>
        <v>46573.916835600001</v>
      </c>
      <c r="X10" s="73" ph="1">
        <f>X9*1.5*1.5*3.1416*LOOKUP(X11,密度!$A$2:$A$50,密度!$L$2:$L$50)</f>
        <v>47795.582973599994</v>
      </c>
      <c r="Y10" s="73" ph="1">
        <f>Y9*1.5*1.5*3.1416*LOOKUP(Y11,密度!$A$2:$A$50,密度!$L$2:$L$50)</f>
        <v>45953.986478400002</v>
      </c>
      <c r="Z10" s="73" ph="1">
        <f>Z9*33.183*LOOKUP(Z11,密度!$A$2:$A$50,密度!$L$2:$L$50)</f>
        <v>20701.911393000002</v>
      </c>
      <c r="AA10" s="73" ph="1">
        <f>AA9*33.183*LOOKUP(AA11,密度!$A$2:$A$50,密度!$D$2:$D$50)</f>
        <v>0</v>
      </c>
      <c r="AB10" s="73" ph="1">
        <f>AB9*20.428*LOOKUP(AB11,密度!$A$2:$A$50,密度!$D$2:$D$50)</f>
        <v>40086.996111200002</v>
      </c>
      <c r="AC10" s="73" ph="1">
        <f>AC9*51.53*LOOKUP(AC11,密度!$A$2:$A$50,密度!$Q$2:$Q$50)</f>
        <v>143139.17138779999</v>
      </c>
      <c r="AD10" s="73" ph="1">
        <f>AD9*20.428*LOOKUP(AD11,密度!$A$2:$A$50,密度!$V$2:$V$50)</f>
        <v>107159.8296384</v>
      </c>
      <c r="AE10" s="73" ph="1">
        <f>AE9*20.428</f>
        <v>97952.260000000009</v>
      </c>
    </row>
    <row r="11" spans="1:99" ph="1">
      <c r="A11" s="64" t="s" ph="1">
        <v>162</v>
      </c>
      <c r="B11" s="184" ph="1"/>
      <c r="C11" s="162" t="s" ph="1">
        <v>179</v>
      </c>
      <c r="D11" s="74">
        <v>30</v>
      </c>
      <c r="E11" s="74">
        <v>28</v>
      </c>
      <c r="F11" s="74">
        <v>30</v>
      </c>
      <c r="G11" s="74">
        <v>30</v>
      </c>
      <c r="H11" s="74">
        <v>28</v>
      </c>
      <c r="I11" s="74">
        <v>25</v>
      </c>
      <c r="J11" s="74">
        <v>25</v>
      </c>
      <c r="K11" s="74">
        <v>25</v>
      </c>
      <c r="L11" s="74">
        <v>25</v>
      </c>
      <c r="M11" s="74">
        <v>40</v>
      </c>
      <c r="N11" s="74">
        <v>32</v>
      </c>
      <c r="O11" s="74">
        <v>42</v>
      </c>
      <c r="P11" s="74">
        <v>30</v>
      </c>
      <c r="Q11" s="74">
        <v>34</v>
      </c>
      <c r="R11" s="74">
        <v>35</v>
      </c>
      <c r="S11" s="74">
        <v>25</v>
      </c>
      <c r="T11" s="74">
        <v>22</v>
      </c>
      <c r="U11" s="74">
        <v>34</v>
      </c>
      <c r="V11" s="74">
        <v>28</v>
      </c>
      <c r="W11" s="74">
        <v>29</v>
      </c>
      <c r="X11" s="74">
        <v>20</v>
      </c>
      <c r="Y11" s="74">
        <v>29</v>
      </c>
      <c r="Z11" s="74">
        <v>35</v>
      </c>
      <c r="AA11" s="74">
        <v>47</v>
      </c>
      <c r="AB11" s="74">
        <v>26</v>
      </c>
      <c r="AC11" s="74">
        <v>31</v>
      </c>
      <c r="AD11" s="74">
        <v>37</v>
      </c>
      <c r="AE11" s="74">
        <v>30</v>
      </c>
    </row>
    <row r="12" spans="1:99" ht="9.9" customHeight="1" ph="1"/>
    <row r="13" spans="1:99" s="72" customFormat="1" ht="29.25" customHeight="1" ph="1">
      <c r="B13" s="192" t="s" ph="1">
        <v>37</v>
      </c>
      <c r="C13" s="162" t="s" ph="1">
        <v>176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128</v>
      </c>
      <c r="I13" s="76" t="s" ph="1">
        <v>59</v>
      </c>
      <c r="J13" s="76" t="s" ph="1">
        <v>129</v>
      </c>
      <c r="K13" s="76" t="s" ph="1">
        <v>55</v>
      </c>
      <c r="L13" s="76" t="s" ph="1">
        <v>60</v>
      </c>
      <c r="M13" s="76" t="s" ph="1">
        <v>61</v>
      </c>
      <c r="N13" s="76" t="s" ph="1">
        <v>130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131</v>
      </c>
      <c r="W13" s="76" t="s" ph="1">
        <v>132</v>
      </c>
      <c r="X13" s="76" t="s" ph="1">
        <v>133</v>
      </c>
      <c r="Y13" s="105" t="s" ph="1">
        <v>68</v>
      </c>
      <c r="Z13" s="76" t="s" ph="1">
        <v>74</v>
      </c>
      <c r="AA13" s="76" t="s" ph="1">
        <v>134</v>
      </c>
      <c r="AB13" s="76" t="s" ph="1">
        <v>135</v>
      </c>
      <c r="AC13" s="76" t="s" ph="1">
        <v>136</v>
      </c>
      <c r="AD13" s="76" t="s" ph="1">
        <v>137</v>
      </c>
      <c r="AE13" s="76" t="s" ph="1">
        <v>138</v>
      </c>
      <c r="AG13" s="72" t="s" ph="1">
        <v>325</v>
      </c>
      <c r="AH13" s="72" t="s" ph="1">
        <v>188</v>
      </c>
      <c r="AI13" s="72" t="s" ph="1">
        <v>189</v>
      </c>
      <c r="AJ13" s="72" t="s" ph="1">
        <v>190</v>
      </c>
      <c r="AK13" s="72" t="s" ph="1">
        <v>191</v>
      </c>
      <c r="AL13" s="72" t="s" ph="1">
        <v>192</v>
      </c>
      <c r="AM13" s="72" t="s" ph="1">
        <v>193</v>
      </c>
      <c r="AN13" s="72" t="s" ph="1">
        <v>194</v>
      </c>
      <c r="AO13" s="72" t="s" ph="1">
        <v>195</v>
      </c>
      <c r="AP13" s="72" t="s" ph="1">
        <v>196</v>
      </c>
      <c r="AQ13" s="72" t="s" ph="1">
        <v>197</v>
      </c>
      <c r="AR13" s="72" t="s" ph="1">
        <v>198</v>
      </c>
      <c r="AS13" s="72" t="s" ph="1">
        <v>199</v>
      </c>
      <c r="AT13" s="72" t="s" ph="1">
        <v>200</v>
      </c>
      <c r="AU13" s="72" t="s" ph="1">
        <v>201</v>
      </c>
      <c r="AV13" s="72" t="s" ph="1">
        <v>202</v>
      </c>
      <c r="AW13" s="72" t="s" ph="1">
        <v>203</v>
      </c>
      <c r="AX13" s="72" t="s" ph="1">
        <v>204</v>
      </c>
      <c r="AY13" s="72" t="s" ph="1">
        <v>326</v>
      </c>
      <c r="AZ13" s="72" t="s" ph="1">
        <v>205</v>
      </c>
      <c r="BA13" s="72" t="s" ph="1">
        <v>206</v>
      </c>
      <c r="BB13" s="72" t="s" ph="1">
        <v>591</v>
      </c>
      <c r="BC13" s="72" t="s" ph="1">
        <v>207</v>
      </c>
      <c r="BD13" s="72" t="s" ph="1">
        <v>327</v>
      </c>
      <c r="BE13" s="72" t="s" ph="1">
        <v>328</v>
      </c>
      <c r="BF13" s="72" t="s" ph="1">
        <v>329</v>
      </c>
      <c r="BG13" s="72" t="s" ph="1">
        <v>330</v>
      </c>
      <c r="BH13" s="72" t="s" ph="1">
        <v>331</v>
      </c>
    </row>
    <row r="14" spans="1:99" s="72" customFormat="1" ht="24" ph="1">
      <c r="B14" s="193" ph="1"/>
      <c r="C14" s="67" t="s" ph="1">
        <v>36</v>
      </c>
      <c r="D14" s="77" t="s" ph="1">
        <v>616</v>
      </c>
      <c r="E14" s="77" t="s" ph="1">
        <v>616</v>
      </c>
      <c r="F14" s="144" t="s" ph="1">
        <v>636</v>
      </c>
      <c r="G14" s="77" t="s" ph="1">
        <v>617</v>
      </c>
      <c r="H14" s="77" t="s" ph="1">
        <v>637</v>
      </c>
      <c r="I14" s="138" t="s" ph="1">
        <v>618</v>
      </c>
      <c r="J14" s="77" t="s" ph="1">
        <v>619</v>
      </c>
      <c r="K14" s="77" t="s" ph="1">
        <v>186</v>
      </c>
      <c r="L14" s="77" t="s" ph="1">
        <v>41</v>
      </c>
      <c r="M14" s="104" t="s" ph="1">
        <v>620</v>
      </c>
      <c r="N14" s="104" t="s" ph="1">
        <v>621</v>
      </c>
      <c r="O14" s="104" t="s" ph="1">
        <v>641</v>
      </c>
      <c r="P14" s="77" t="s" ph="1">
        <v>622</v>
      </c>
      <c r="Q14" s="77" t="s" ph="1">
        <v>622</v>
      </c>
      <c r="R14" s="88" t="s" ph="1">
        <v>7</v>
      </c>
      <c r="S14" s="77" t="s" ph="1">
        <v>622</v>
      </c>
      <c r="T14" s="77" t="s" ph="1">
        <v>624</v>
      </c>
      <c r="U14" s="77" t="s" ph="1">
        <v>605</v>
      </c>
      <c r="V14" s="77" t="s" ph="1">
        <v>633</v>
      </c>
      <c r="W14" s="77" t="s" ph="1">
        <v>622</v>
      </c>
      <c r="X14" s="77" t="s" ph="1">
        <v>625</v>
      </c>
      <c r="Y14" s="143" t="s" ph="1">
        <v>0</v>
      </c>
      <c r="Z14" s="77" t="s" ph="1">
        <v>54</v>
      </c>
      <c r="AA14" s="77" t="s" ph="1">
        <v>613</v>
      </c>
      <c r="AB14" s="77" t="s" ph="1">
        <v>632</v>
      </c>
      <c r="AC14" s="77" t="s" ph="1">
        <v>632</v>
      </c>
      <c r="AD14" s="77" t="s" ph="1">
        <v>612</v>
      </c>
      <c r="AE14" s="77" t="s" ph="1">
        <v>612</v>
      </c>
      <c r="AG14" s="72" t="s" ph="1">
        <v>208</v>
      </c>
      <c r="AI14" s="72" t="s" ph="1">
        <v>209</v>
      </c>
      <c r="AJ14" s="72" t="s" ph="1">
        <v>332</v>
      </c>
      <c r="AK14" s="72" t="s" ph="1">
        <v>210</v>
      </c>
      <c r="AM14" s="72" t="s" ph="1">
        <v>212</v>
      </c>
      <c r="AN14" s="72" t="s" ph="1">
        <v>210</v>
      </c>
      <c r="AO14" s="72" t="s" ph="1">
        <v>211</v>
      </c>
      <c r="AP14" s="72" t="s" ph="1">
        <v>212</v>
      </c>
      <c r="AQ14" s="72" t="s" ph="1">
        <v>210</v>
      </c>
      <c r="AR14" s="72" t="s" ph="1">
        <v>211</v>
      </c>
      <c r="AS14" s="72" t="s" ph="1">
        <v>212</v>
      </c>
      <c r="AT14" s="72" t="s" ph="1">
        <v>210</v>
      </c>
      <c r="AU14" s="72" t="s" ph="1">
        <v>211</v>
      </c>
      <c r="AV14" s="72" t="s" ph="1">
        <v>212</v>
      </c>
      <c r="AW14" s="72" t="s" ph="1">
        <v>210</v>
      </c>
      <c r="AX14" s="72" t="s" ph="1">
        <v>211</v>
      </c>
      <c r="AY14" s="72" t="s" ph="1">
        <v>212</v>
      </c>
      <c r="AZ14" s="72" t="s" ph="1">
        <v>211</v>
      </c>
    </row>
    <row r="15" spans="1:99" ph="1">
      <c r="B15" s="194" ph="1">
        <v>0.33333333333333331</v>
      </c>
      <c r="C15" s="162" t="s" ph="1">
        <v>177</v>
      </c>
      <c r="D15" s="78">
        <v>5186</v>
      </c>
      <c r="E15" s="78">
        <v>1482</v>
      </c>
      <c r="F15" s="78">
        <v>3401</v>
      </c>
      <c r="G15" s="78">
        <v>1424</v>
      </c>
      <c r="H15" s="78">
        <v>2029</v>
      </c>
      <c r="I15" s="78">
        <v>2632</v>
      </c>
      <c r="J15" s="78">
        <v>906</v>
      </c>
      <c r="K15" s="78">
        <v>3359</v>
      </c>
      <c r="L15" s="78">
        <v>5843</v>
      </c>
      <c r="M15" s="78">
        <v>6017</v>
      </c>
      <c r="N15" s="78">
        <v>376</v>
      </c>
      <c r="O15" s="78">
        <v>7013</v>
      </c>
      <c r="P15" s="78">
        <v>5688</v>
      </c>
      <c r="Q15" s="78">
        <v>559</v>
      </c>
      <c r="R15" s="78">
        <v>1947</v>
      </c>
      <c r="S15" s="78">
        <v>0</v>
      </c>
      <c r="T15" s="78">
        <v>4449</v>
      </c>
      <c r="U15" s="78">
        <v>2672</v>
      </c>
      <c r="V15" s="78">
        <v>641</v>
      </c>
      <c r="W15" s="71">
        <v>4904</v>
      </c>
      <c r="X15" s="78">
        <v>1285</v>
      </c>
      <c r="Y15" s="106">
        <v>-2366</v>
      </c>
      <c r="Z15" s="78">
        <v>1269</v>
      </c>
      <c r="AA15" s="78">
        <v>2542</v>
      </c>
      <c r="AB15" s="78" ph="1">
        <v>0</v>
      </c>
      <c r="AC15" s="78" ph="1">
        <v>0</v>
      </c>
      <c r="AD15" s="78">
        <v>5.72</v>
      </c>
      <c r="AE15" s="78">
        <v>60.98</v>
      </c>
      <c r="AG15" s="64" t="s" ph="1">
        <v>214</v>
      </c>
      <c r="AH15" s="64" ph="1">
        <v>1</v>
      </c>
      <c r="AI15" s="64" t="s" ph="1">
        <v>333</v>
      </c>
      <c r="AK15" s="64" t="s" ph="1">
        <v>587</v>
      </c>
      <c r="AM15" s="64" t="s" ph="1">
        <v>335</v>
      </c>
      <c r="AZ15" s="64" t="s" ph="1">
        <v>216</v>
      </c>
      <c r="BA15" s="64" ph="1">
        <v>0</v>
      </c>
    </row>
    <row r="16" spans="1:99" s="72" customFormat="1" ht="22.2" ph="1">
      <c r="B16" s="195" ph="1"/>
      <c r="C16" s="162" t="s" ph="1">
        <v>178</v>
      </c>
      <c r="D16" s="73" ph="1">
        <f>D15*7.0686*LOOKUP(D17,密度!$A$2:$A$50,密度!$L$2:$L$50)</f>
        <v>34348.320745199999</v>
      </c>
      <c r="E16" s="73" ph="1">
        <f>E15*7.0686*LOOKUP(E17,密度!$A$2:$A$50,密度!$L$2:$L$50)</f>
        <v>9815.6982924000004</v>
      </c>
      <c r="F16" s="73" ph="1">
        <f>F15*9.0746*LOOKUP(F17,密度!$A$2:$A$50,密度!$L$2:$L$50)</f>
        <v>28733.1872926</v>
      </c>
      <c r="G16" s="73" ph="1">
        <f>G15*9.0746*LOOKUP(G17,密度!$A$2:$A$50,密度!$B$2:$B$50)</f>
        <v>10062.54081248</v>
      </c>
      <c r="H16" s="73" ph="1">
        <f>H15*9.0746*LOOKUP(H17,密度!$A$2:$A$50,密度!$L$2:$L$50)</f>
        <v>17270.796869199999</v>
      </c>
      <c r="I16" s="73" ph="1">
        <f>I15*9.0746*LOOKUP(I17,密度!$A$2:$A$50,密度!$U$2:$U$50)</f>
        <v>24409.802838399999</v>
      </c>
      <c r="J16" s="73" ph="1">
        <f>J15*9.0746*LOOKUP(J17,密度!$A$2:$A$50,密度!$L$2:$L$50)</f>
        <v>7678.9628184000012</v>
      </c>
      <c r="K16" s="73" ph="1">
        <f>K15*9.0746*LOOKUP(K17,密度!$A$2:$A$50,密度!$C$2:$C$50)</f>
        <v>33755.303242359994</v>
      </c>
      <c r="L16" s="73" ph="1">
        <f>L15*9.0746*LOOKUP(L17,密度!$A$2:$A$50,密度!$E$2:$E$50)</f>
        <v>41347.247906440003</v>
      </c>
      <c r="M16" s="73" ph="1">
        <f>M15*9.0746*LOOKUP(M17,密度!$A$2:$A$50,密度!$M$2:$M$50)</f>
        <v>47558.227202200003</v>
      </c>
      <c r="N16" s="73" ph="1">
        <f>N15*9.0746*LOOKUP(N17,密度!$A$2:$A$50,密度!$M$2:$M$50)</f>
        <v>2985.8846049600002</v>
      </c>
      <c r="O16" s="73" ph="1">
        <f>O15*9.0746*LOOKUP(O17,密度!$A$2:$A$50,密度!$G$2:$G$50)</f>
        <v>60903.642498599998</v>
      </c>
      <c r="P16" s="73" ph="1">
        <f ca="1">P15*9.0746*LOOKUP(P17,密度!$A$2:$A$51,密度!$Q$2:$Q$50)</f>
        <v>48757.812732576</v>
      </c>
      <c r="Q16" s="73" ph="1">
        <f>Q15*9.0746*LOOKUP(Q17,密度!$A$2:$A$50,密度!$Q$2:$Q$50)</f>
        <v>4802.5293234359997</v>
      </c>
      <c r="R16" s="73" ph="1">
        <f>MAX(R15*9.0746*LOOKUP(R17,密度!$A$2:$A$50,密度!$B$2:$B$50),0)</f>
        <v>13714.092700440002</v>
      </c>
      <c r="S16" s="73" ph="1">
        <f>S15*9.0746*LOOKUP(S17,密度!$A$2:$A$50,密度!$Q$2:$Q$50)</f>
        <v>0</v>
      </c>
      <c r="T16" s="73" ph="1">
        <f>T15*9.0746*LOOKUP(T17,密度!$A$2:$A$50,密度!$O$2:$O$50)</f>
        <v>37385.301140400006</v>
      </c>
      <c r="U16" s="73" ph="1">
        <f>U15*9.0746*LOOKUP(U17,密度!$A$2:$A$50,密度!$H$2:$H$50)</f>
        <v>22135.38865248</v>
      </c>
      <c r="V16" s="73" ph="1">
        <f>MAX(5600*LOOKUP(V17,密度!$A$2:$A$50,密度!$Q$2:$Q$50)+V15*9.0476*LOOKUP(V17,密度!$A$2:$A$50,密度!$Q$2:$Q$50),0)</f>
        <v>10744.951643927998</v>
      </c>
      <c r="W16" s="73" ph="1">
        <f>MAX(5600*LOOKUP(W17,密度!$A$2:$A$50,密度!$Q$2:$Q$50)+W15*9.0476*LOOKUP(W17,密度!$A$2:$A$50,密度!$Q$2:$Q$50),0)</f>
        <v>47137.662779232</v>
      </c>
      <c r="X16" s="73" ph="1">
        <f>MAX(5600*LOOKUP(X17,密度!$A$2:$A$50,密度!$I$2:$I$50)+X15*9.0476*LOOKUP(X17,密度!$A$2:$A$50,密度!$I$2:$I$50),0)</f>
        <v>17877.315074800001</v>
      </c>
      <c r="Y16" s="107" ph="1">
        <v>0</v>
      </c>
      <c r="Z16" s="73" ph="1">
        <f>Z15*9.0746*LOOKUP(Z17,密度!$A$2:$A$50,密度!$D$2:$D$50)</f>
        <v>11790.89185086</v>
      </c>
      <c r="AA16" s="73" ph="1">
        <f>AA15*9.0746*LOOKUP(AA17,密度!$A$2:$A$50,密度!$B$2:$B$50)</f>
        <v>17962.765972839999</v>
      </c>
      <c r="AB16" s="73" ph="1">
        <f>AB15*9.0746*LOOKUP(AB17,密度!$A$2:$A$50,密度!$L$2:$L$50)</f>
        <v>0</v>
      </c>
      <c r="AC16" s="73" ph="1">
        <f>AC15*9.0746*LOOKUP(AC17,密度!$A$2:$A$50,密度!$L$2:$L$50)</f>
        <v>0</v>
      </c>
      <c r="AD16" s="73" ph="1">
        <f>AD15*268.68*LOOKUP(AD17,密度!$A$2:$A$50,密度!B2:B50)+IF(AD15&lt;=0,0,1566*LOOKUP(AD17,密度!$A$2:$A$50,密度!B2:B50))</f>
        <v>2418.9815481599999</v>
      </c>
      <c r="AE16" s="73" ph="1">
        <f>AE15*268.68*LOOKUP(AE17,密度!$A$2:$A$50,密度!B2:B50)+IF(AE15&lt;=0,0,1566*LOOKUP(AE17,密度!$A$2:$A$50,密度!B2:B50))</f>
        <v>13993.90294944</v>
      </c>
      <c r="AH16" s="72" ph="1">
        <v>2</v>
      </c>
      <c r="AI16" s="72" t="s" ph="1">
        <v>337</v>
      </c>
      <c r="AZ16" s="72" t="s" ph="1">
        <v>216</v>
      </c>
      <c r="BA16" s="72" ph="1">
        <v>0</v>
      </c>
    </row>
    <row r="17" spans="1:57" ph="1">
      <c r="A17" s="64" t="s" ph="1">
        <v>73</v>
      </c>
      <c r="B17" s="196" ph="1"/>
      <c r="C17" s="79" t="s" ph="1">
        <v>179</v>
      </c>
      <c r="D17" s="74">
        <v>25</v>
      </c>
      <c r="E17" s="74">
        <v>25</v>
      </c>
      <c r="F17" s="74">
        <v>31</v>
      </c>
      <c r="G17" s="74">
        <v>26</v>
      </c>
      <c r="H17" s="74">
        <v>24</v>
      </c>
      <c r="I17" s="74">
        <v>28</v>
      </c>
      <c r="J17" s="74">
        <v>28</v>
      </c>
      <c r="K17" s="74">
        <v>27</v>
      </c>
      <c r="L17" s="74">
        <v>28</v>
      </c>
      <c r="M17" s="74">
        <v>29</v>
      </c>
      <c r="N17" s="74">
        <v>25</v>
      </c>
      <c r="O17" s="74">
        <v>28</v>
      </c>
      <c r="P17" s="74">
        <v>28</v>
      </c>
      <c r="Q17" s="74">
        <v>25</v>
      </c>
      <c r="R17" s="74">
        <v>29</v>
      </c>
      <c r="S17" s="74">
        <v>27</v>
      </c>
      <c r="T17" s="74">
        <v>27</v>
      </c>
      <c r="U17" s="74">
        <v>27</v>
      </c>
      <c r="V17" s="74">
        <v>31</v>
      </c>
      <c r="W17" s="74">
        <v>30</v>
      </c>
      <c r="X17" s="74">
        <v>29</v>
      </c>
      <c r="Y17" s="108">
        <v>29</v>
      </c>
      <c r="Z17" s="74">
        <v>28</v>
      </c>
      <c r="AA17" s="74">
        <v>26</v>
      </c>
      <c r="AB17" s="74">
        <v>26</v>
      </c>
      <c r="AC17" s="74">
        <v>25</v>
      </c>
      <c r="AD17" s="74">
        <v>25</v>
      </c>
      <c r="AE17" s="74">
        <v>25</v>
      </c>
      <c r="AH17" s="64" ph="1">
        <v>3</v>
      </c>
      <c r="AI17" s="64" t="s" ph="1">
        <v>338</v>
      </c>
      <c r="AK17" s="64" t="s" ph="1">
        <v>570</v>
      </c>
      <c r="AL17" s="64" ph="1">
        <v>80</v>
      </c>
      <c r="AM17" s="64" t="s" ph="1">
        <v>335</v>
      </c>
      <c r="AZ17" s="64" t="s" ph="1">
        <v>216</v>
      </c>
      <c r="BA17" s="64" ph="1">
        <v>80</v>
      </c>
      <c r="BD17" s="64" t="s" ph="1">
        <v>214</v>
      </c>
      <c r="BE17" s="64" ph="1">
        <v>2270</v>
      </c>
    </row>
    <row r="18" spans="1:57" ht="26.4" ph="1">
      <c r="B18" s="194" ph="1">
        <v>0.66666666666666663</v>
      </c>
      <c r="C18" s="79" t="s" ph="1">
        <v>180</v>
      </c>
      <c r="D18" s="71">
        <v>5197</v>
      </c>
      <c r="E18" s="71">
        <v>1484</v>
      </c>
      <c r="F18" s="71">
        <v>3650</v>
      </c>
      <c r="G18" s="71">
        <v>1545</v>
      </c>
      <c r="H18" s="71">
        <v>2032</v>
      </c>
      <c r="I18" s="71">
        <v>2632</v>
      </c>
      <c r="J18" s="71">
        <v>978</v>
      </c>
      <c r="K18" s="71">
        <v>3361</v>
      </c>
      <c r="L18" s="71">
        <v>5860</v>
      </c>
      <c r="M18" s="71">
        <v>6030</v>
      </c>
      <c r="N18" s="71">
        <v>377</v>
      </c>
      <c r="O18" s="71">
        <v>4542</v>
      </c>
      <c r="P18" s="71">
        <v>5695</v>
      </c>
      <c r="Q18" s="71">
        <v>556</v>
      </c>
      <c r="R18" s="71">
        <v>1948</v>
      </c>
      <c r="S18" s="71">
        <v>0</v>
      </c>
      <c r="T18" s="71">
        <v>4453</v>
      </c>
      <c r="U18" s="71">
        <v>2674</v>
      </c>
      <c r="V18" s="71">
        <v>-656</v>
      </c>
      <c r="W18" s="71">
        <v>4903</v>
      </c>
      <c r="X18" s="71">
        <v>1284</v>
      </c>
      <c r="Y18" s="109">
        <v>-9909</v>
      </c>
      <c r="Z18" s="71">
        <v>1268</v>
      </c>
      <c r="AA18" s="71">
        <v>2546</v>
      </c>
      <c r="AB18" s="71">
        <v>20</v>
      </c>
      <c r="AC18" s="71">
        <v>0</v>
      </c>
      <c r="AD18" s="71">
        <v>33.840000000000003</v>
      </c>
      <c r="AE18" s="71">
        <v>84.54</v>
      </c>
      <c r="AH18" s="64" ph="1">
        <v>4</v>
      </c>
      <c r="AI18" s="64" t="s" ph="1">
        <v>340</v>
      </c>
      <c r="AJ18" s="64" t="s" ph="1">
        <v>588</v>
      </c>
      <c r="AK18" s="64" t="s" ph="1">
        <v>587</v>
      </c>
      <c r="AL18" s="64" ph="1">
        <v>740</v>
      </c>
      <c r="AM18" s="64" t="s" ph="1">
        <v>339</v>
      </c>
      <c r="AZ18" s="64" t="s" ph="1">
        <v>216</v>
      </c>
      <c r="BA18" s="64" ph="1">
        <v>740</v>
      </c>
    </row>
    <row r="19" spans="1:57" s="72" customFormat="1" ht="22.2" ph="1">
      <c r="B19" s="195" ph="1"/>
      <c r="C19" s="162" t="s" ph="1">
        <v>178</v>
      </c>
      <c r="D19" s="73" ph="1">
        <f>D18*7.0686*LOOKUP(D20,密度!$A$2:$A$50,密度!$L$2:$L$50)</f>
        <v>34017.086149199997</v>
      </c>
      <c r="E19" s="73" ph="1">
        <f>E18*7.0686*LOOKUP(E20,密度!$A$2:$A$50,密度!$L$2:$L$50)</f>
        <v>9713.5570224000003</v>
      </c>
      <c r="F19" s="73" ph="1">
        <f>F18*9.0746*LOOKUP(F20,密度!$A$2:$A$50,密度!$L$2:$L$50)</f>
        <v>30803.729700000004</v>
      </c>
      <c r="G19" s="73" ph="1">
        <f>G18*9.0746*LOOKUP(G20,密度!$A$2:$A$50,密度!$B$2:$B$50)</f>
        <v>10882.5234834</v>
      </c>
      <c r="H19" s="73" ph="1">
        <f>H18*9.0746*LOOKUP(H20,密度!$A$2:$A$50,密度!$L$2:$L$50)</f>
        <v>17259.453619200001</v>
      </c>
      <c r="I19" s="73" ph="1">
        <f>I18*9.0746*LOOKUP(I20,密度!$A$2:$A$50,密度!$U$2:$U$50)</f>
        <v>24362.034144000001</v>
      </c>
      <c r="J19" s="73" ph="1">
        <f>J18*9.0746*LOOKUP(J20,密度!$A$2:$A$50,密度!$L$2:$L$50)</f>
        <v>8253.7116839999999</v>
      </c>
      <c r="K19" s="73" ph="1">
        <f>K18*9.0746*LOOKUP(K20,密度!$A$2:$A$50,密度!$C$2:$C$50)</f>
        <v>33674.75255546</v>
      </c>
      <c r="L19" s="73" ph="1">
        <f>L18*9.0746*LOOKUP(L20,密度!$A$2:$A$50,密度!$E$2:$E$50)</f>
        <v>41350.556505599998</v>
      </c>
      <c r="M19" s="73" ph="1">
        <f>M18*9.0746*LOOKUP(M20,密度!$A$2:$A$50,密度!$M$2:$M$50)</f>
        <v>47372.058153360005</v>
      </c>
      <c r="N19" s="73" ph="1">
        <f>N18*9.0746*LOOKUP(N20,密度!$A$2:$A$50,密度!$M$2:$M$50)</f>
        <v>2961.7356424240002</v>
      </c>
      <c r="O19" s="73" ph="1">
        <f>O18*9.0746*LOOKUP(O20,密度!$A$2:$A$50,密度!$G$2:$G$50)</f>
        <v>39220.701968124005</v>
      </c>
      <c r="P19" s="73" ph="1">
        <f ca="1">P18*9.0746*LOOKUP(P20,密度!$A$2:$A$51,密度!$Q$2:$Q$50)</f>
        <v>48751.150070510004</v>
      </c>
      <c r="Q19" s="73" ph="1">
        <f>Q18*9.0746*LOOKUP(Q20,密度!$A$2:$A$50,密度!$Q$2:$Q$50)</f>
        <v>4739.2171096800002</v>
      </c>
      <c r="R19" s="73" ph="1">
        <f>MAX(R18*9.0746*LOOKUP(R20,密度!$A$2:$A$50,密度!$B$2:$B$50),0)</f>
        <v>13705.226816240001</v>
      </c>
      <c r="S19" s="73" ph="1">
        <f>S18*9.0746*LOOKUP(S20,密度!$A$2:$A$50,密度!$Q$2:$Q$50)</f>
        <v>0</v>
      </c>
      <c r="T19" s="73" ph="1">
        <f>T18*9.0746*LOOKUP(T20,密度!$A$2:$A$50,密度!$O$2:$O$50)</f>
        <v>37257.276683600001</v>
      </c>
      <c r="U19" s="73" ph="1">
        <f>U18*9.0746*LOOKUP(U20,密度!$A$2:$A$50,密度!$H$2:$H$50)</f>
        <v>22081.587164</v>
      </c>
      <c r="V19" s="73" ph="1">
        <f>MAX(5600*LOOKUP(V20,密度!$A$2:$A$50,密度!$Q$2:$Q$50)+V18*9.0476*LOOKUP(V20,密度!$A$2:$A$50,密度!$Q$2:$Q$50),0)</f>
        <v>0</v>
      </c>
      <c r="W19" s="73" ph="1">
        <f>MAX(5600*LOOKUP(W20,密度!$A$2:$A$50,密度!$Q$2:$Q$50)+W18*9.0476*LOOKUP(W20,密度!$A$2:$A$50,密度!$Q$2:$Q$50),0)</f>
        <v>46959.762209031993</v>
      </c>
      <c r="X19" s="73" ph="1">
        <f>MAX(5600*LOOKUP(X20,密度!$A$2:$A$50,密度!$I$2:$I$50)+X18*9.0476*LOOKUP(X20,密度!$A$2:$A$50,密度!$I$2:$I$50),0)</f>
        <v>17830.047815040001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11739.02597456</v>
      </c>
      <c r="AA19" s="73" ph="1">
        <f>AA18*9.0746*LOOKUP(AA20,密度!$A$2:$A$50,密度!$B$2:$B$50)</f>
        <v>17951.7548532</v>
      </c>
      <c r="AB19" s="73" ph="1">
        <f>AB18*9.0746*LOOKUP(AB20,密度!$A$2:$A$50,密度!$L$2:$L$50)</f>
        <v>168.60606800000002</v>
      </c>
      <c r="AC19" s="73" ph="1">
        <f>AC18*9.0746*LOOKUP(AC20,密度!$A$2:$A$50,密度!$L$2:$L$50)</f>
        <v>0</v>
      </c>
      <c r="AD19" s="73" ph="1">
        <f>AD18*268.68*LOOKUP(AD20,密度!$A$2:$A$50,密度!B5:B53)+IF(AD18&lt;=0,0,1566*LOOKUP(AD20,密度!$A$2:$A$50,密度!B5:B53))</f>
        <v>8281.367942400002</v>
      </c>
      <c r="AE19" s="73" ph="1">
        <f>AE18*268.68*LOOKUP(AE20,密度!$A$2:$A$50,密度!B5:B53)+IF(AE18&lt;=0,0,1566*LOOKUP(AE20,密度!$A$2:$A$50,密度!B5:B53))</f>
        <v>18865.720994399999</v>
      </c>
      <c r="AH19" s="72" ph="1">
        <v>5</v>
      </c>
      <c r="AI19" s="72" t="s" ph="1">
        <v>341</v>
      </c>
      <c r="AZ19" s="72" t="s" ph="1">
        <v>216</v>
      </c>
      <c r="BA19" s="72" ph="1">
        <v>0</v>
      </c>
      <c r="BD19" s="72" t="s" ph="1">
        <v>342</v>
      </c>
      <c r="BE19" s="72" ph="1">
        <v>1440</v>
      </c>
    </row>
    <row r="20" spans="1:57" ph="1">
      <c r="A20" s="72" ph="1"/>
      <c r="B20" s="195" ph="1"/>
      <c r="C20" s="80" t="s" ph="1">
        <v>179</v>
      </c>
      <c r="D20" s="81">
        <v>36</v>
      </c>
      <c r="E20" s="81">
        <v>36</v>
      </c>
      <c r="F20" s="81">
        <v>32</v>
      </c>
      <c r="G20" s="81">
        <v>29</v>
      </c>
      <c r="H20" s="81">
        <v>26</v>
      </c>
      <c r="I20" s="81">
        <v>30</v>
      </c>
      <c r="J20" s="81">
        <v>32</v>
      </c>
      <c r="K20" s="81">
        <v>31</v>
      </c>
      <c r="L20" s="81">
        <v>30</v>
      </c>
      <c r="M20" s="81">
        <v>34</v>
      </c>
      <c r="N20" s="81">
        <v>34</v>
      </c>
      <c r="O20" s="81">
        <v>33</v>
      </c>
      <c r="P20" s="81">
        <v>30</v>
      </c>
      <c r="Q20" s="81">
        <v>36</v>
      </c>
      <c r="R20" s="81">
        <v>30</v>
      </c>
      <c r="S20" s="81">
        <v>34</v>
      </c>
      <c r="T20" s="81">
        <v>30</v>
      </c>
      <c r="U20" s="81">
        <v>30</v>
      </c>
      <c r="V20" s="81">
        <v>38</v>
      </c>
      <c r="W20" s="81">
        <v>35</v>
      </c>
      <c r="X20" s="81">
        <v>31</v>
      </c>
      <c r="Y20" s="110">
        <v>31</v>
      </c>
      <c r="Z20" s="81">
        <v>32</v>
      </c>
      <c r="AA20" s="81">
        <v>28</v>
      </c>
      <c r="AB20" s="81">
        <v>33</v>
      </c>
      <c r="AC20" s="81">
        <v>33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343</v>
      </c>
      <c r="AZ20" s="64" t="s" ph="1">
        <v>216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344</v>
      </c>
      <c r="AZ21" s="64" t="s" ph="1">
        <v>216</v>
      </c>
      <c r="BA21" s="64" ph="1">
        <v>0</v>
      </c>
      <c r="BD21" s="64" t="s" ph="1">
        <v>232</v>
      </c>
      <c r="BE21" s="64" ph="1">
        <v>730</v>
      </c>
    </row>
    <row r="22" spans="1:57" ph="1">
      <c r="A22" s="72" ph="1"/>
      <c r="B22" s="193" t="s" ph="1">
        <v>37</v>
      </c>
      <c r="C22" s="85" t="s" ph="1">
        <v>176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172" t="s" ph="1">
        <v>69</v>
      </c>
      <c r="AA22" s="173"/>
      <c r="AB22" s="173"/>
      <c r="AC22" s="173"/>
      <c r="AD22" s="173"/>
      <c r="AE22" s="174"/>
      <c r="AH22" s="64" ph="1">
        <v>8</v>
      </c>
      <c r="AI22" s="64" t="s" ph="1">
        <v>345</v>
      </c>
      <c r="AZ22" s="64" t="s" ph="1">
        <v>216</v>
      </c>
      <c r="BA22" s="64" ph="1">
        <v>0</v>
      </c>
    </row>
    <row r="23" spans="1:57" ph="1">
      <c r="A23" s="72" ph="1"/>
      <c r="B23" s="188" ph="1"/>
      <c r="C23" s="67" t="s" ph="1">
        <v>36</v>
      </c>
      <c r="D23" s="88" t="s" ph="1">
        <v>109</v>
      </c>
      <c r="E23" s="88" t="s" ph="1">
        <v>107</v>
      </c>
      <c r="F23" s="88" t="s" ph="1">
        <v>109</v>
      </c>
      <c r="G23" s="88" t="s" ph="1">
        <v>626</v>
      </c>
      <c r="H23" s="88" t="s" ph="1">
        <v>626</v>
      </c>
      <c r="I23" s="88" t="s" ph="1">
        <v>627</v>
      </c>
      <c r="J23" s="88" t="s" ph="1">
        <v>628</v>
      </c>
      <c r="K23" s="88" t="s" ph="1">
        <v>628</v>
      </c>
      <c r="L23" s="88" t="s" ph="1">
        <v>628</v>
      </c>
      <c r="M23" s="88" t="s" ph="1">
        <v>623</v>
      </c>
      <c r="N23" s="88" t="s" ph="1">
        <v>623</v>
      </c>
      <c r="O23" s="88" t="s" ph="1">
        <v>318</v>
      </c>
      <c r="P23" s="88" t="s" ph="1">
        <v>629</v>
      </c>
      <c r="Q23" s="89" t="s" ph="1">
        <v>629</v>
      </c>
      <c r="R23" s="88" t="s" ph="1">
        <v>610</v>
      </c>
      <c r="S23" s="88" t="s" ph="1">
        <v>629</v>
      </c>
      <c r="T23" s="88" t="s" ph="1">
        <v>604</v>
      </c>
      <c r="U23" s="104" t="s" ph="1">
        <v>606</v>
      </c>
      <c r="V23" s="88" t="s" ph="1">
        <v>629</v>
      </c>
      <c r="W23" s="88" t="s" ph="1">
        <v>629</v>
      </c>
      <c r="X23" s="88" t="s" ph="1">
        <v>187</v>
      </c>
      <c r="Y23" s="88" t="s" ph="1">
        <v>630</v>
      </c>
      <c r="Z23" s="175" t="s" ph="1">
        <v>643</v>
      </c>
      <c r="AA23" s="176"/>
      <c r="AB23" s="176"/>
      <c r="AC23" s="176"/>
      <c r="AD23" s="176"/>
      <c r="AE23" s="177"/>
      <c r="AH23" s="64" ph="1">
        <v>9</v>
      </c>
      <c r="AI23" s="64" t="s" ph="1">
        <v>346</v>
      </c>
      <c r="AZ23" s="64" t="s" ph="1">
        <v>216</v>
      </c>
      <c r="BA23" s="64" ph="1">
        <v>0</v>
      </c>
      <c r="BD23" s="64" t="s" ph="1">
        <v>238</v>
      </c>
      <c r="BE23" s="64" ph="1">
        <v>890</v>
      </c>
    </row>
    <row r="24" spans="1:57" ph="1">
      <c r="A24" s="72" ph="1"/>
      <c r="B24" s="184" ph="1">
        <v>0.33333333333333331</v>
      </c>
      <c r="C24" s="162" t="s" ph="1">
        <v>177</v>
      </c>
      <c r="D24" s="71">
        <v>2.97</v>
      </c>
      <c r="E24" s="71">
        <v>5.79</v>
      </c>
      <c r="F24" s="71">
        <v>7</v>
      </c>
      <c r="G24" s="71">
        <v>3030</v>
      </c>
      <c r="H24" s="71">
        <v>3918</v>
      </c>
      <c r="I24" s="71">
        <v>2581</v>
      </c>
      <c r="J24" s="71">
        <v>1305</v>
      </c>
      <c r="K24" s="71">
        <v>224</v>
      </c>
      <c r="L24" s="71">
        <v>302</v>
      </c>
      <c r="M24" s="71">
        <v>324</v>
      </c>
      <c r="N24" s="71">
        <v>2636</v>
      </c>
      <c r="O24" s="71">
        <v>341</v>
      </c>
      <c r="P24" s="71">
        <v>1122</v>
      </c>
      <c r="Q24" s="90">
        <v>1470</v>
      </c>
      <c r="R24" s="71">
        <v>6003</v>
      </c>
      <c r="S24" s="71">
        <v>2521</v>
      </c>
      <c r="T24" s="71">
        <v>367</v>
      </c>
      <c r="U24" s="71">
        <v>6408</v>
      </c>
      <c r="V24" s="71">
        <v>883</v>
      </c>
      <c r="W24" s="71">
        <v>408</v>
      </c>
      <c r="X24" s="71">
        <v>4914</v>
      </c>
      <c r="Y24" s="71">
        <v>5245</v>
      </c>
      <c r="Z24" s="178"/>
      <c r="AA24" s="179"/>
      <c r="AB24" s="179"/>
      <c r="AC24" s="179"/>
      <c r="AD24" s="179"/>
      <c r="AE24" s="180"/>
      <c r="AH24" s="64" ph="1">
        <v>10</v>
      </c>
      <c r="AI24" s="64" t="s" ph="1">
        <v>347</v>
      </c>
      <c r="AZ24" s="64" t="s" ph="1">
        <v>216</v>
      </c>
      <c r="BA24" s="64" ph="1">
        <v>0</v>
      </c>
    </row>
    <row r="25" spans="1:57" ph="1">
      <c r="A25" s="72" ph="1"/>
      <c r="B25" s="184" ph="1"/>
      <c r="C25" s="68" t="s" ph="1">
        <v>178</v>
      </c>
      <c r="D25" s="91" ph="1">
        <f>D24*268.68*LOOKUP(D26,密度!$A$2:$A$50,密度!$Q$2:$Q$50)+IF(D24&lt;=0,0,1566*LOOKUP(D26,密度!$A$2:$A$50,密度!$Q$2:$Q$50))</f>
        <v>2238.0740465039999</v>
      </c>
      <c r="E25" s="91" ph="1">
        <f>E24*268.68*LOOKUP(E26,密度!$A$2:$A$50,密度!$C$2:$C$50)+IF(E24&lt;=0,0,1566*LOOKUP(E26,密度!$A$2:$A$50,密度!$C$2:$C$50))</f>
        <v>3461.6056690800001</v>
      </c>
      <c r="F25" s="91" ph="1">
        <f>F24*11.702*LOOKUP(F26,密度!$A$2:$A$50,密度!$Q$2:$Q$50)</f>
        <v>77.321082020000006</v>
      </c>
      <c r="G25" s="91" ph="1">
        <f>G24*18.322*LOOKUP(G26,密度!$A$2:$A$50,密度!$B$2:$B$50)</f>
        <v>43135.667819999995</v>
      </c>
      <c r="H25" s="91" ph="1">
        <f>H24*18.322*LOOKUP(H26,密度!$A$2:$A$50,密度!$B$2:$B$50)</f>
        <v>55777.408091999998</v>
      </c>
      <c r="I25" s="91" ph="1">
        <f>I24*18.322*LOOKUP(I26,密度!$A$2:$A$50,密度!$Q$2:$Q$50)</f>
        <v>44670.212638839999</v>
      </c>
      <c r="J25" s="91" ph="1">
        <f>J24*18.322*LOOKUP(J26,密度!$A$2:$A$50,密度!$Q$2:$Q$50)</f>
        <v>22602.7997172</v>
      </c>
      <c r="K25" s="91" ph="1">
        <f>K24*18.322*LOOKUP(K26,密度!$A$2:$A$50,密度!$Q$2:$Q$50)</f>
        <v>3885.5421427199999</v>
      </c>
      <c r="L25" s="91" ph="1">
        <f>L24*18.322*LOOKUP(L26,密度!$A$2:$A$50,密度!$Q$2:$Q$50)</f>
        <v>5234.6148213199995</v>
      </c>
      <c r="M25" s="91" ph="1">
        <f>M24*18.322*LOOKUP(M26,密度!$A$2:$A$50,密度!$Q$2:$Q$50)</f>
        <v>5620.1591707199996</v>
      </c>
      <c r="N25" s="91" ph="1">
        <f>N24*18.322*LOOKUP(N26,密度!$A$2:$A$50,密度!$Q$2:$Q$50)</f>
        <v>45759.761516240003</v>
      </c>
      <c r="O25" s="91" ph="1">
        <f>O24*18.322*LOOKUP(O26,密度!$A$2:$A$50,密度!$C$2:$C$50)</f>
        <v>6923.1893962000004</v>
      </c>
      <c r="P25" s="91" ph="1">
        <f>P24*11.702*LOOKUP(P26,密度!$A$2:$A$50,密度!$B$2:$B$50)</f>
        <v>10224.0537828</v>
      </c>
      <c r="Q25" s="92" ph="1">
        <f>Q24*18.322*LOOKUP(Q26,密度!$A$2:$A$50,密度!$B$2:$B$50)</f>
        <v>20927.205180000001</v>
      </c>
      <c r="R25" s="91" ph="1">
        <f>R24*35.891*LOOKUP(R26,密度!$A$2:$A$50,密度!$C$2:$C$50)</f>
        <v>238421.03454179998</v>
      </c>
      <c r="S25" s="91" ph="1">
        <f>S24*35.891*LOOKUP(S26,密度!$A$2:$A$50,密度!$B$2:$B$50)</f>
        <v>70539.152095599988</v>
      </c>
      <c r="T25" s="91" ph="1">
        <f>T24*35.891*LOOKUP(T26,密度!$A$2:$A$50,密度!$Q$2:$Q$50)</f>
        <v>12398.142176249999</v>
      </c>
      <c r="U25" s="91" ph="1">
        <f>U24*35.891</f>
        <v>229989.52799999999</v>
      </c>
      <c r="V25" s="91" ph="1">
        <f>V24*47.051*LOOKUP(V26,密度!$A$2:$A$50,密度!$B$2:$B$50)</f>
        <v>32389.2873268</v>
      </c>
      <c r="W25" s="91" ph="1">
        <f>W24*47.051*LOOKUP(W26,密度!$A$2:$A$50,密度!$B$2:$B$50)</f>
        <v>14983.108644</v>
      </c>
      <c r="X25" s="91" ph="1">
        <f>X24*47.051*LOOKUP(X26,密度!$A$2:$A$61,密度!$I$2:$I$61)</f>
        <v>240734.40889679999</v>
      </c>
      <c r="Y25" s="91" ph="1">
        <f>Y24*47.051*LOOKUP(Y26,密度!$A$2:$A$50,密度!$L$2:$L$50)</f>
        <v>229754.50284500004</v>
      </c>
      <c r="Z25" s="178"/>
      <c r="AA25" s="179"/>
      <c r="AB25" s="179"/>
      <c r="AC25" s="179"/>
      <c r="AD25" s="179"/>
      <c r="AE25" s="180"/>
      <c r="AH25" s="64" ph="1">
        <v>11</v>
      </c>
      <c r="AI25" s="64" t="s" ph="1">
        <v>348</v>
      </c>
      <c r="AZ25" s="64" t="s" ph="1">
        <v>216</v>
      </c>
      <c r="BA25" s="64" ph="1">
        <v>0</v>
      </c>
      <c r="BD25" s="64" t="s" ph="1">
        <v>241</v>
      </c>
      <c r="BE25" s="64" ph="1">
        <v>8920</v>
      </c>
    </row>
    <row r="26" spans="1:57" ph="1">
      <c r="A26" s="72" ph="1"/>
      <c r="B26" s="184" ph="1"/>
      <c r="C26" s="68" t="s" ph="1">
        <v>179</v>
      </c>
      <c r="D26" s="74">
        <v>25</v>
      </c>
      <c r="E26" s="74">
        <v>25</v>
      </c>
      <c r="F26" s="74">
        <v>29</v>
      </c>
      <c r="G26" s="74">
        <v>28</v>
      </c>
      <c r="H26" s="74">
        <v>28</v>
      </c>
      <c r="I26" s="74">
        <v>28</v>
      </c>
      <c r="J26" s="74">
        <v>27</v>
      </c>
      <c r="K26" s="74">
        <v>25</v>
      </c>
      <c r="L26" s="74">
        <v>26</v>
      </c>
      <c r="M26" s="74">
        <v>25</v>
      </c>
      <c r="N26" s="74">
        <v>24</v>
      </c>
      <c r="O26" s="74">
        <v>26</v>
      </c>
      <c r="P26" s="74">
        <v>26</v>
      </c>
      <c r="Q26" s="93">
        <v>28</v>
      </c>
      <c r="R26" s="74">
        <v>28</v>
      </c>
      <c r="S26" s="74">
        <v>25</v>
      </c>
      <c r="T26" s="74">
        <v>33</v>
      </c>
      <c r="U26" s="74">
        <v>28</v>
      </c>
      <c r="V26" s="74">
        <v>25</v>
      </c>
      <c r="W26" s="74">
        <v>24</v>
      </c>
      <c r="X26" s="74">
        <v>26</v>
      </c>
      <c r="Y26" s="74">
        <v>31</v>
      </c>
      <c r="Z26" s="178"/>
      <c r="AA26" s="179"/>
      <c r="AB26" s="179"/>
      <c r="AC26" s="179"/>
      <c r="AD26" s="179"/>
      <c r="AE26" s="180"/>
      <c r="AH26" s="64" ph="1">
        <v>12</v>
      </c>
      <c r="AI26" s="64" t="s" ph="1">
        <v>349</v>
      </c>
      <c r="AZ26" s="64" t="s" ph="1">
        <v>216</v>
      </c>
      <c r="BA26" s="64" ph="1">
        <v>0</v>
      </c>
    </row>
    <row r="27" spans="1:57" ht="26.4" ph="1">
      <c r="A27" s="72" ph="1"/>
      <c r="B27" s="184" ph="1">
        <v>0.66666666666666663</v>
      </c>
      <c r="C27" s="162" t="s" ph="1">
        <v>180</v>
      </c>
      <c r="D27" s="71">
        <v>2.98</v>
      </c>
      <c r="E27" s="71">
        <v>5.77</v>
      </c>
      <c r="F27" s="71">
        <v>3</v>
      </c>
      <c r="G27" s="71">
        <v>2607</v>
      </c>
      <c r="H27" s="71">
        <v>3167</v>
      </c>
      <c r="I27" s="71">
        <v>1408</v>
      </c>
      <c r="J27" s="71">
        <v>1303</v>
      </c>
      <c r="K27" s="71">
        <v>218</v>
      </c>
      <c r="L27" s="71">
        <v>294</v>
      </c>
      <c r="M27" s="71">
        <v>2646</v>
      </c>
      <c r="N27" s="71">
        <v>3798</v>
      </c>
      <c r="O27" s="71">
        <v>334</v>
      </c>
      <c r="P27" s="71">
        <v>1119</v>
      </c>
      <c r="Q27" s="90">
        <v>1750</v>
      </c>
      <c r="R27" s="71">
        <v>5083</v>
      </c>
      <c r="S27" s="71">
        <v>2518</v>
      </c>
      <c r="T27" s="71">
        <v>365</v>
      </c>
      <c r="U27" s="71">
        <v>6493</v>
      </c>
      <c r="V27" s="71">
        <v>878</v>
      </c>
      <c r="W27" s="71">
        <v>404</v>
      </c>
      <c r="X27" s="71">
        <v>4913</v>
      </c>
      <c r="Y27" s="71">
        <v>6005</v>
      </c>
      <c r="Z27" s="178"/>
      <c r="AA27" s="179"/>
      <c r="AB27" s="179"/>
      <c r="AC27" s="179"/>
      <c r="AD27" s="179"/>
      <c r="AE27" s="180"/>
      <c r="AH27" s="64" ph="1">
        <v>13</v>
      </c>
      <c r="AI27" s="64" t="s" ph="1">
        <v>350</v>
      </c>
      <c r="AZ27" s="64" t="s" ph="1">
        <v>216</v>
      </c>
      <c r="BA27" s="64" ph="1">
        <v>0</v>
      </c>
      <c r="BD27" s="64" t="s" ph="1">
        <v>295</v>
      </c>
      <c r="BE27" s="64" ph="1">
        <v>7100</v>
      </c>
    </row>
    <row r="28" spans="1:57" ph="1">
      <c r="A28" s="72" ph="1"/>
      <c r="B28" s="184" ph="1"/>
      <c r="C28" s="162" t="s" ph="1">
        <v>178</v>
      </c>
      <c r="D28" s="91" ph="1">
        <f>D27*268.68*LOOKUP(D29,密度!$A$2:$A$50,密度!$Q$2:$Q$50)+IF(D27&lt;=0,0,1566*LOOKUP(D29,密度!$A$2:$A$50,密度!$Q$2:$Q$50))</f>
        <v>2240.617747536</v>
      </c>
      <c r="E28" s="91" ph="1">
        <f>E27*268.68*LOOKUP(E29,密度!$A$2:$A$50,密度!$C$2:$C$50)+IF(E27&lt;=0,0,1566*LOOKUP(E29,密度!$A$2:$A$50,密度!$C$2:$C$50))</f>
        <v>3455.6468840399998</v>
      </c>
      <c r="F28" s="91" ph="1">
        <f>F27*11.702*LOOKUP(F29,密度!$A$2:$A$50,密度!$Q$2:$Q$50)</f>
        <v>33.090213480000003</v>
      </c>
      <c r="G28" s="91" ph="1">
        <f>G27*18.322*LOOKUP(G29,密度!$A$2:$A$50,密度!$B$2:$B$50)</f>
        <v>36989.567577599999</v>
      </c>
      <c r="H28" s="91" ph="1">
        <f>H27*18.322*LOOKUP(H29,密度!$A$2:$A$50,密度!$B$2:$B$50)</f>
        <v>44987.3825822</v>
      </c>
      <c r="I28" s="91" ph="1">
        <f>I27*18.322*LOOKUP(I29,密度!$A$2:$A$50,密度!$Q$2:$Q$50)</f>
        <v>24335.438702079999</v>
      </c>
      <c r="J28" s="91" ph="1">
        <f>J27*18.322*LOOKUP(J29,密度!$A$2:$A$50,密度!$Q$2:$Q$50)</f>
        <v>22551.447914919998</v>
      </c>
      <c r="K28" s="91" ph="1">
        <f>K27*18.322*LOOKUP(K29,密度!$A$2:$A$50,密度!$Q$2:$Q$50)</f>
        <v>3764.8492656799999</v>
      </c>
      <c r="L28" s="91" ph="1">
        <f>L27*18.322*LOOKUP(L29,密度!$A$2:$A$50,密度!$Q$2:$Q$50)</f>
        <v>5066.6460541199995</v>
      </c>
      <c r="M28" s="91" ph="1">
        <f>M27*18.322*LOOKUP(M29,密度!$A$2:$A$50,密度!$Q$2:$Q$50)</f>
        <v>45568.302479279999</v>
      </c>
      <c r="N28" s="91" ph="1">
        <f>N27*18.322*LOOKUP(N29,密度!$A$2:$A$50,密度!$Q$2:$Q$50)</f>
        <v>65781.941245919996</v>
      </c>
      <c r="O28" s="91" ph="1">
        <f>O27*18.322*LOOKUP(O29,密度!$A$2:$A$50,密度!$C$2:$C$50)</f>
        <v>6756.5929468000004</v>
      </c>
      <c r="P28" s="91" ph="1">
        <f>P27*11.702*LOOKUP(P29,密度!$A$2:$A$50,密度!$B$2:$B$50)</f>
        <v>10163.9803956</v>
      </c>
      <c r="Q28" s="92" ph="1">
        <f>Q27*18.322*LOOKUP(Q29,密度!$A$2:$A$50,密度!$B$2:$B$50)</f>
        <v>24858.831549999999</v>
      </c>
      <c r="R28" s="91" ph="1">
        <f>R27*35.891*LOOKUP(R29,密度!$A$2:$A$50,密度!$C$2:$C$50)</f>
        <v>201607.76146029998</v>
      </c>
      <c r="S28" s="91" ph="1">
        <f>S27*35.891*LOOKUP(S29,密度!$A$2:$A$50,密度!$B$2:$B$50)</f>
        <v>70220.239025999996</v>
      </c>
      <c r="T28" s="91" ph="1">
        <f>T27*35.891*LOOKUP(T29,密度!$A$2:$A$50,密度!$Q$2:$Q$50)</f>
        <v>12296.516809749999</v>
      </c>
      <c r="U28" s="91" ph="1">
        <f>U27*35.891</f>
        <v>233040.26299999998</v>
      </c>
      <c r="V28" s="91" ph="1">
        <f>V27*47.051*LOOKUP(V29,密度!$A$2:$A$50,密度!$B$2:$B$50)</f>
        <v>32168.702828599995</v>
      </c>
      <c r="W28" s="91" ph="1">
        <f>W27*47.051*LOOKUP(W29,密度!$A$2:$A$50,密度!$B$2:$B$50)</f>
        <v>14801.999934799998</v>
      </c>
      <c r="X28" s="91" ph="1">
        <f>X27*47.051*LOOKUP(X29,密度!$A$2:$A$61,密度!$I$2:$I$61)</f>
        <v>240685.41939560001</v>
      </c>
      <c r="Y28" s="91" ph="1">
        <f>Y27*47.051*LOOKUP(Y29,密度!$A$2:$A$50,密度!$L$2:$L$50)</f>
        <v>262198.28464000003</v>
      </c>
      <c r="Z28" s="178"/>
      <c r="AA28" s="179"/>
      <c r="AB28" s="179"/>
      <c r="AC28" s="179"/>
      <c r="AD28" s="179"/>
      <c r="AE28" s="180"/>
      <c r="AH28" s="64" ph="1">
        <v>14</v>
      </c>
      <c r="AI28" s="64" t="s" ph="1">
        <v>351</v>
      </c>
      <c r="AZ28" s="64" t="s" ph="1">
        <v>216</v>
      </c>
      <c r="BA28" s="64" ph="1">
        <v>0</v>
      </c>
    </row>
    <row r="29" spans="1:57" ph="1">
      <c r="A29" s="72" ph="1"/>
      <c r="B29" s="184" ph="1"/>
      <c r="C29" s="162" t="s" ph="1">
        <v>179</v>
      </c>
      <c r="D29" s="74">
        <v>25</v>
      </c>
      <c r="E29" s="74">
        <v>25</v>
      </c>
      <c r="F29" s="74">
        <v>31</v>
      </c>
      <c r="G29" s="74">
        <v>31</v>
      </c>
      <c r="H29" s="74">
        <v>30</v>
      </c>
      <c r="I29" s="74">
        <v>30</v>
      </c>
      <c r="J29" s="74">
        <v>28</v>
      </c>
      <c r="K29" s="74">
        <v>31</v>
      </c>
      <c r="L29" s="74">
        <v>34</v>
      </c>
      <c r="M29" s="74">
        <v>35</v>
      </c>
      <c r="N29" s="74">
        <v>27</v>
      </c>
      <c r="O29" s="74">
        <v>31</v>
      </c>
      <c r="P29" s="74">
        <v>29</v>
      </c>
      <c r="Q29" s="93">
        <v>30</v>
      </c>
      <c r="R29" s="74">
        <v>30</v>
      </c>
      <c r="S29" s="74">
        <v>28</v>
      </c>
      <c r="T29" s="74">
        <v>37</v>
      </c>
      <c r="U29" s="74">
        <v>30</v>
      </c>
      <c r="V29" s="74">
        <v>26</v>
      </c>
      <c r="W29" s="74">
        <v>26</v>
      </c>
      <c r="X29" s="74">
        <v>26</v>
      </c>
      <c r="Y29" s="74">
        <v>34</v>
      </c>
      <c r="Z29" s="181"/>
      <c r="AA29" s="182"/>
      <c r="AB29" s="182"/>
      <c r="AC29" s="182"/>
      <c r="AD29" s="182"/>
      <c r="AE29" s="183"/>
      <c r="AH29" s="64" ph="1">
        <v>15</v>
      </c>
      <c r="AI29" s="64" t="s" ph="1">
        <v>352</v>
      </c>
      <c r="AZ29" s="64" t="s" ph="1">
        <v>216</v>
      </c>
      <c r="BA29" s="64" ph="1">
        <v>0</v>
      </c>
      <c r="BD29" s="64" t="s" ph="1">
        <v>353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354</v>
      </c>
      <c r="AZ30" s="64" t="s" ph="1">
        <v>216</v>
      </c>
      <c r="BA30" s="64" ph="1">
        <v>0</v>
      </c>
    </row>
    <row r="31" spans="1:57" ht="28.2" ph="1">
      <c r="A31" s="64"/>
      <c r="B31" s="197" t="s" ph="1">
        <v>35</v>
      </c>
      <c r="C31" s="198" ph="1"/>
      <c r="D31" s="201" t="s" ph="1">
        <v>9</v>
      </c>
      <c r="E31" s="190" ph="1"/>
      <c r="F31" s="191" ph="1"/>
      <c r="G31" s="201" t="s" ph="1">
        <v>18</v>
      </c>
      <c r="H31" s="190" ph="1"/>
      <c r="I31" s="191" ph="1"/>
      <c r="J31" s="189" t="s" ph="1">
        <v>1</v>
      </c>
      <c r="K31" s="190" ph="1"/>
      <c r="L31" s="191" ph="1"/>
      <c r="M31" s="189" t="s" ph="1">
        <v>7</v>
      </c>
      <c r="N31" s="190" ph="1"/>
      <c r="O31" s="191" ph="1"/>
      <c r="P31" s="189" t="s" ph="1">
        <v>41</v>
      </c>
      <c r="Q31" s="190"/>
      <c r="R31" s="191"/>
      <c r="S31" s="189" t="s" ph="1">
        <v>2</v>
      </c>
      <c r="T31" s="190"/>
      <c r="U31" s="191"/>
      <c r="V31" s="189" t="s" ph="1">
        <v>71</v>
      </c>
      <c r="W31" s="190" ph="1"/>
      <c r="X31" s="191" ph="1"/>
      <c r="Y31" s="189" t="s" ph="1">
        <v>3</v>
      </c>
      <c r="Z31" s="190" ph="1"/>
      <c r="AA31" s="191" ph="1"/>
      <c r="AB31" s="212" t="s">
        <v>42</v>
      </c>
      <c r="AC31" s="213"/>
      <c r="AD31" s="213"/>
      <c r="AE31" s="214"/>
      <c r="AH31" s="64" ph="1">
        <v>17</v>
      </c>
      <c r="AI31" s="64" t="s" ph="1">
        <v>355</v>
      </c>
      <c r="AZ31" s="64" t="s" ph="1">
        <v>216</v>
      </c>
      <c r="BA31" s="64" ph="1">
        <v>0</v>
      </c>
      <c r="BD31" s="64" t="s" ph="1">
        <v>356</v>
      </c>
      <c r="BE31" s="64" ph="1">
        <v>9310</v>
      </c>
    </row>
    <row r="32" spans="1:57" ph="1">
      <c r="A32" s="64"/>
      <c r="B32" s="199" ph="1"/>
      <c r="C32" s="200" ph="1"/>
      <c r="D32" s="96" t="s" ph="1">
        <v>4</v>
      </c>
      <c r="E32" s="162" t="s" ph="1">
        <v>5</v>
      </c>
      <c r="F32" s="161" t="s" ph="1">
        <v>43</v>
      </c>
      <c r="G32" s="97" t="s" ph="1">
        <v>4</v>
      </c>
      <c r="H32" s="162" t="s" ph="1">
        <v>5</v>
      </c>
      <c r="I32" s="161" t="s" ph="1">
        <v>43</v>
      </c>
      <c r="J32" s="97" t="s" ph="1">
        <v>4</v>
      </c>
      <c r="K32" s="162" t="s" ph="1">
        <v>5</v>
      </c>
      <c r="L32" s="161" t="s" ph="1">
        <v>43</v>
      </c>
      <c r="M32" s="97" t="s" ph="1">
        <v>4</v>
      </c>
      <c r="N32" s="162" t="s" ph="1">
        <v>5</v>
      </c>
      <c r="O32" s="161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62" t="s" ph="1">
        <v>5</v>
      </c>
      <c r="U32" s="99" t="s" ph="1">
        <v>43</v>
      </c>
      <c r="V32" s="97" t="s" ph="1">
        <v>4</v>
      </c>
      <c r="W32" s="162" t="s" ph="1">
        <v>5</v>
      </c>
      <c r="X32" s="99" t="s" ph="1">
        <v>43</v>
      </c>
      <c r="Y32" s="100" t="s" ph="1">
        <v>4</v>
      </c>
      <c r="Z32" s="162" t="s" ph="1">
        <v>5</v>
      </c>
      <c r="AA32" s="161" t="s" ph="1">
        <v>43</v>
      </c>
      <c r="AB32" s="97" t="s" ph="1">
        <v>85</v>
      </c>
      <c r="AC32" s="162" t="s" ph="1">
        <v>84</v>
      </c>
      <c r="AD32" s="215" t="s" ph="1">
        <v>83</v>
      </c>
      <c r="AE32" s="216"/>
      <c r="AH32" s="64" ph="1">
        <v>18</v>
      </c>
      <c r="AI32" s="64" t="s" ph="1">
        <v>357</v>
      </c>
      <c r="AZ32" s="64" t="s" ph="1">
        <v>216</v>
      </c>
      <c r="BA32" s="64" ph="1">
        <v>0</v>
      </c>
    </row>
    <row r="33" spans="1:57" ph="1">
      <c r="A33" s="64"/>
      <c r="B33" s="202" t="s" ph="1">
        <v>181</v>
      </c>
      <c r="C33" s="203" ph="1"/>
      <c r="D33" s="206" ph="1">
        <f>AA10+AB10+Z19</f>
        <v>51826.02208576</v>
      </c>
      <c r="E33" s="206" ph="1">
        <f>M10+I10</f>
        <v>180317.01082600001</v>
      </c>
      <c r="F33" s="208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1522252632456786910111213141516171819202123456789101112131415161718192022232424356789101112131415161718192021222345678910111213141516171819202345678910111213149101516171819222123234567891012131415161711181920212224252345678910111213122[[#This Row],[F25]]</f>
        <v>3880</v>
      </c>
      <c r="G33" s="210" ph="1">
        <f>N19</f>
        <v>2961.7356424240002</v>
      </c>
      <c r="H33" s="206" ph="1">
        <f>M19</f>
        <v>47372.058153360005</v>
      </c>
      <c r="I33" s="219" ph="1">
        <v>0</v>
      </c>
      <c r="J33" s="217" ph="1">
        <f>F10+O28</f>
        <v>220985.8484854</v>
      </c>
      <c r="K33" s="206" ph="1">
        <f>O10+K10+E28+R28</f>
        <v>212166.90700673999</v>
      </c>
      <c r="L33" s="221" ph="1">
        <f>K19</f>
        <v>33674.75255546</v>
      </c>
      <c r="M33" s="217" ph="1">
        <f>G10+H10+W28+S28+V28+E10+R19+P28+Q28</f>
        <v>813397.56325723999</v>
      </c>
      <c r="N33" s="206" ph="1">
        <f>L10+P10++G28+H28+AD19+AE19</f>
        <v>244215.37195659999</v>
      </c>
      <c r="O33" s="219" ph="1">
        <f>G19</f>
        <v>10882.5234834</v>
      </c>
      <c r="P33" s="217" ph="1">
        <f>L19</f>
        <v>41350.556505599998</v>
      </c>
      <c r="Q33" s="206" ph="1">
        <f>J10+N10</f>
        <v>175230.90506864002</v>
      </c>
      <c r="R33" s="219" ph="1">
        <f>BE23</f>
        <v>890</v>
      </c>
      <c r="S33" s="217" ph="1">
        <f>X28</f>
        <v>240685.41939560001</v>
      </c>
      <c r="T33" s="206" ph="1">
        <f>X19</f>
        <v>17830.047815040001</v>
      </c>
      <c r="U33" s="227" ph="1">
        <f>BE21</f>
        <v>730</v>
      </c>
      <c r="V33" s="238" ph="1">
        <f ca="1">P19+Q19+S19+M28+N28+J28+D10+AC10+D19+E19+H19+J19+O19+V19+W19+K28+L28</f>
        <v>621812.6218644859</v>
      </c>
      <c r="W33" s="238" ph="1">
        <f>D28+F28+T28+I28</f>
        <v>38905.663472845998</v>
      </c>
      <c r="X33" s="219" ph="1">
        <f>BE29+BE31</f>
        <v>10200</v>
      </c>
      <c r="Y33" s="240" ph="1">
        <f>+Q10+R10+S10+T10+U10+V10+W10+X10+Y10</f>
        <v>304104.58820279996</v>
      </c>
      <c r="Z33" s="225" ph="1">
        <f>T19+U19+Y28+Z10</f>
        <v>342239.05988060002</v>
      </c>
      <c r="AA33" s="227" ph="1">
        <f>BE19</f>
        <v>1440</v>
      </c>
      <c r="AB33" s="229" ph="1">
        <f>I19</f>
        <v>24362.034144000001</v>
      </c>
      <c r="AC33" s="231" ph="1">
        <f>AD10+AB19</f>
        <v>107328.43570639999</v>
      </c>
      <c r="AD33" s="233" ph="1">
        <v>0</v>
      </c>
      <c r="AE33" s="234"/>
      <c r="AH33" s="64" ph="1">
        <v>19</v>
      </c>
      <c r="AI33" s="64" t="s" ph="1">
        <v>358</v>
      </c>
      <c r="AJ33" s="64" t="s" ph="1">
        <v>592</v>
      </c>
      <c r="AK33" s="64" t="s" ph="1">
        <v>589</v>
      </c>
      <c r="AL33" s="64" ph="1">
        <v>730</v>
      </c>
      <c r="AM33" s="64" t="s" ph="1">
        <v>339</v>
      </c>
      <c r="AZ33" s="64" t="s" ph="1">
        <v>216</v>
      </c>
      <c r="BA33" s="64" ph="1">
        <v>730</v>
      </c>
      <c r="BD33" s="64" t="s" ph="1">
        <v>290</v>
      </c>
      <c r="BE33" s="64" ph="1">
        <v>3880</v>
      </c>
    </row>
    <row r="34" spans="1:57" ph="1">
      <c r="A34" s="64"/>
      <c r="B34" s="204" ph="1"/>
      <c r="C34" s="205" ph="1"/>
      <c r="D34" s="207" ph="1"/>
      <c r="E34" s="207" ph="1"/>
      <c r="F34" s="209" ph="1"/>
      <c r="G34" s="211" ph="1"/>
      <c r="H34" s="207" ph="1"/>
      <c r="I34" s="220" ph="1"/>
      <c r="J34" s="218" ph="1"/>
      <c r="K34" s="207" ph="1"/>
      <c r="L34" s="222" ph="1"/>
      <c r="M34" s="218" ph="1"/>
      <c r="N34" s="207" ph="1"/>
      <c r="O34" s="220" ph="1"/>
      <c r="P34" s="218" ph="1"/>
      <c r="Q34" s="207" ph="1"/>
      <c r="R34" s="220" ph="1"/>
      <c r="S34" s="218" ph="1"/>
      <c r="T34" s="207"/>
      <c r="U34" s="228"/>
      <c r="V34" s="239" ph="1"/>
      <c r="W34" s="239" ph="1"/>
      <c r="X34" s="220" ph="1"/>
      <c r="Y34" s="241" ph="1"/>
      <c r="Z34" s="226" ph="1"/>
      <c r="AA34" s="228" ph="1"/>
      <c r="AB34" s="230"/>
      <c r="AC34" s="232"/>
      <c r="AD34" s="235"/>
      <c r="AE34" s="236"/>
      <c r="AH34" s="64" ph="1">
        <v>20</v>
      </c>
      <c r="AI34" s="64" t="s" ph="1">
        <v>359</v>
      </c>
      <c r="AJ34" s="64" t="s" ph="1">
        <v>593</v>
      </c>
      <c r="AK34" s="64" t="s" ph="1">
        <v>589</v>
      </c>
      <c r="AL34" s="64" ph="1">
        <v>720</v>
      </c>
      <c r="AM34" s="64" t="s" ph="1">
        <v>339</v>
      </c>
      <c r="AZ34" s="64" t="s" ph="1">
        <v>216</v>
      </c>
      <c r="BA34" s="64" ph="1">
        <v>720</v>
      </c>
    </row>
    <row r="35" spans="1:57" ph="1">
      <c r="A35" s="64"/>
      <c r="AC35" s="237" t="s" ph="1">
        <v>631</v>
      </c>
      <c r="AD35" s="237"/>
      <c r="AE35" s="237"/>
      <c r="AH35" s="64" ph="1">
        <v>21</v>
      </c>
      <c r="AI35" s="64" t="s" ph="1">
        <v>360</v>
      </c>
      <c r="AZ35" s="64" t="s" ph="1">
        <v>216</v>
      </c>
      <c r="BA35" s="64" ph="1">
        <v>0</v>
      </c>
      <c r="BD35" s="64" t="s" ph="1">
        <v>361</v>
      </c>
      <c r="BE35" s="64" ph="1">
        <v>2030</v>
      </c>
    </row>
    <row r="36" spans="1:57" ht="28.2" ph="1">
      <c r="A36" s="64"/>
      <c r="B36" s="103" t="s" ph="1">
        <v>182</v>
      </c>
      <c r="I36" s="223" t="s" ph="1">
        <v>183</v>
      </c>
      <c r="J36" s="223" ph="1"/>
      <c r="K36" s="101" ph="1"/>
      <c r="P36" s="101" ph="1"/>
      <c r="R36" s="223" t="s" ph="1">
        <v>184</v>
      </c>
      <c r="S36" s="223" ph="1"/>
      <c r="Y36" s="102" ph="1"/>
      <c r="Z36" s="160" t="s" ph="1">
        <v>185</v>
      </c>
      <c r="AA36" s="160" ph="1"/>
      <c r="AB36" s="224" t="s" ph="1">
        <v>640</v>
      </c>
      <c r="AC36" s="224" ph="1"/>
      <c r="AD36" s="224" ph="1"/>
      <c r="AE36" s="224" ph="1"/>
      <c r="BA36" s="64" ph="1">
        <v>2270</v>
      </c>
    </row>
    <row r="37" spans="1:57" s="160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60" t="s" ph="1">
        <v>342</v>
      </c>
      <c r="AI37" s="160" t="s" ph="1">
        <v>209</v>
      </c>
      <c r="AJ37" s="160" t="s" ph="1">
        <v>210</v>
      </c>
      <c r="AK37" s="160" t="s" ph="1">
        <v>211</v>
      </c>
      <c r="AM37" s="160" t="s" ph="1">
        <v>210</v>
      </c>
      <c r="AN37" s="160" t="s" ph="1">
        <v>211</v>
      </c>
      <c r="AO37" s="160" t="s" ph="1">
        <v>212</v>
      </c>
      <c r="AP37" s="160" t="s" ph="1">
        <v>210</v>
      </c>
      <c r="AQ37" s="160" t="s" ph="1">
        <v>211</v>
      </c>
      <c r="AR37" s="160" t="s" ph="1">
        <v>212</v>
      </c>
      <c r="AS37" s="160" t="s" ph="1">
        <v>210</v>
      </c>
      <c r="AT37" s="160" t="s" ph="1">
        <v>211</v>
      </c>
      <c r="AU37" s="160" t="s" ph="1">
        <v>212</v>
      </c>
      <c r="AV37" s="160" t="s" ph="1">
        <v>210</v>
      </c>
      <c r="AW37" s="160" t="s" ph="1">
        <v>211</v>
      </c>
      <c r="AX37" s="160" t="s" ph="1">
        <v>212</v>
      </c>
      <c r="AY37" s="160" t="s" ph="1">
        <v>211</v>
      </c>
      <c r="AZ37" s="160" t="s" ph="1">
        <v>213</v>
      </c>
      <c r="BD37" s="160" t="s" ph="1">
        <v>305</v>
      </c>
      <c r="BE37" s="160" ph="1">
        <v>0</v>
      </c>
    </row>
    <row r="38" spans="1:57" ph="1">
      <c r="AE38" s="64" ph="1"/>
      <c r="AH38" s="64" ph="1">
        <v>1</v>
      </c>
      <c r="AI38" s="64" t="s" ph="1">
        <v>362</v>
      </c>
      <c r="AY38" s="64" t="s" ph="1">
        <v>216</v>
      </c>
      <c r="AZ38" s="64" t="s" ph="1">
        <v>367</v>
      </c>
    </row>
    <row r="39" spans="1:57" ph="1">
      <c r="AH39" s="64" ph="1">
        <v>2</v>
      </c>
      <c r="AI39" s="64" t="s" ph="1">
        <v>364</v>
      </c>
      <c r="AJ39" s="64" t="s" ph="1">
        <v>336</v>
      </c>
      <c r="AK39" s="64" t="s" ph="1">
        <v>365</v>
      </c>
      <c r="AM39" s="64" t="s" ph="1">
        <v>570</v>
      </c>
      <c r="AN39" s="64" t="s" ph="1">
        <v>228</v>
      </c>
      <c r="AO39" s="64" t="s" ph="1">
        <v>363</v>
      </c>
      <c r="AY39" s="64" t="s" ph="1">
        <v>216</v>
      </c>
      <c r="AZ39" s="64" t="s" ph="1">
        <v>499</v>
      </c>
    </row>
    <row r="40" spans="1:57" ph="1">
      <c r="AH40" s="64" ph="1">
        <v>3</v>
      </c>
      <c r="AI40" s="64" t="s" ph="1">
        <v>366</v>
      </c>
      <c r="AJ40" s="64" t="s" ph="1">
        <v>570</v>
      </c>
      <c r="AK40" s="64" t="s" ph="1">
        <v>571</v>
      </c>
      <c r="AY40" s="64" t="s" ph="1">
        <v>216</v>
      </c>
      <c r="AZ40" s="64" t="s" ph="1">
        <v>571</v>
      </c>
    </row>
    <row r="41" spans="1:57" ph="1">
      <c r="AH41" s="64" ph="1">
        <v>4</v>
      </c>
      <c r="AI41" s="64" t="s" ph="1">
        <v>368</v>
      </c>
      <c r="AJ41" s="64" t="s" ph="1">
        <v>572</v>
      </c>
      <c r="AK41" s="64" t="s" ph="1">
        <v>573</v>
      </c>
      <c r="AM41" s="64" t="s" ph="1">
        <v>574</v>
      </c>
      <c r="AY41" s="64" t="s" ph="1">
        <v>216</v>
      </c>
      <c r="AZ41" s="64" t="s" ph="1">
        <v>573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369</v>
      </c>
      <c r="AY42" s="64" t="s" ph="1">
        <v>216</v>
      </c>
      <c r="AZ42" s="64" t="s" ph="1">
        <v>367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370</v>
      </c>
      <c r="AY43" s="64" t="s" ph="1">
        <v>216</v>
      </c>
      <c r="AZ43" s="64" t="s" ph="1">
        <v>367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371</v>
      </c>
      <c r="AV44" s="64" t="s" ph="1">
        <v>217</v>
      </c>
      <c r="AY44" s="64" t="s" ph="1">
        <v>216</v>
      </c>
      <c r="AZ44" s="64" t="s" ph="1">
        <v>367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372</v>
      </c>
      <c r="AV45" s="64" t="s" ph="1">
        <v>217</v>
      </c>
      <c r="AY45" s="64" t="s" ph="1">
        <v>216</v>
      </c>
      <c r="AZ45" s="64" t="s" ph="1">
        <v>367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373</v>
      </c>
      <c r="AV46" s="64" t="s" ph="1">
        <v>217</v>
      </c>
      <c r="AY46" s="64" t="s" ph="1">
        <v>216</v>
      </c>
      <c r="AZ46" s="64" t="s" ph="1">
        <v>367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374</v>
      </c>
      <c r="AV47" s="64" t="s" ph="1">
        <v>217</v>
      </c>
      <c r="AY47" s="64" t="s" ph="1">
        <v>216</v>
      </c>
      <c r="AZ47" s="64" t="s" ph="1">
        <v>367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575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232</v>
      </c>
      <c r="AI49" s="64" t="s" ph="1">
        <v>209</v>
      </c>
      <c r="AJ49" s="64" t="s" ph="1">
        <v>210</v>
      </c>
      <c r="AK49" s="64" t="s" ph="1">
        <v>211</v>
      </c>
      <c r="AM49" s="64" t="s" ph="1">
        <v>210</v>
      </c>
      <c r="AN49" s="64" t="s" ph="1">
        <v>211</v>
      </c>
      <c r="AO49" s="64" t="s" ph="1">
        <v>212</v>
      </c>
      <c r="AP49" s="64" t="s" ph="1">
        <v>210</v>
      </c>
      <c r="AQ49" s="64" t="s" ph="1">
        <v>211</v>
      </c>
      <c r="AR49" s="64" t="s" ph="1">
        <v>212</v>
      </c>
      <c r="AS49" s="64" t="s" ph="1">
        <v>210</v>
      </c>
      <c r="AT49" s="64" t="s" ph="1">
        <v>211</v>
      </c>
      <c r="AU49" s="64" t="s" ph="1">
        <v>212</v>
      </c>
      <c r="AV49" s="64" t="s" ph="1">
        <v>210</v>
      </c>
      <c r="AW49" s="64" t="s" ph="1">
        <v>211</v>
      </c>
      <c r="AX49" s="64" t="s" ph="1">
        <v>212</v>
      </c>
      <c r="AY49" s="64" t="s" ph="1">
        <v>211</v>
      </c>
      <c r="AZ49" s="64" t="s" ph="1">
        <v>213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375</v>
      </c>
      <c r="AY50" s="64" t="s" ph="1">
        <v>216</v>
      </c>
      <c r="AZ50" s="64" t="s" ph="1">
        <v>367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376</v>
      </c>
      <c r="AY51" s="64" t="s" ph="1">
        <v>216</v>
      </c>
      <c r="AZ51" s="64" t="s" ph="1">
        <v>367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377</v>
      </c>
      <c r="AJ52" s="64" t="s" ph="1">
        <v>334</v>
      </c>
      <c r="AK52" s="64" t="s" ph="1">
        <v>228</v>
      </c>
      <c r="AM52" s="64" t="s" ph="1">
        <v>336</v>
      </c>
      <c r="AN52" s="64" t="s" ph="1">
        <v>300</v>
      </c>
      <c r="AO52" s="64" t="s" ph="1">
        <v>233</v>
      </c>
      <c r="AP52" s="64" t="s" ph="1">
        <v>570</v>
      </c>
      <c r="AQ52" s="64" t="s" ph="1">
        <v>282</v>
      </c>
      <c r="AR52" s="64" t="s" ph="1">
        <v>233</v>
      </c>
      <c r="AY52" s="64" t="s" ph="1">
        <v>216</v>
      </c>
      <c r="AZ52" s="64" t="s" ph="1">
        <v>576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378</v>
      </c>
      <c r="AY53" s="64" t="s" ph="1">
        <v>216</v>
      </c>
      <c r="AZ53" s="64" t="s" ph="1">
        <v>367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379</v>
      </c>
      <c r="AJ54" s="64" t="s" ph="1">
        <v>334</v>
      </c>
      <c r="AK54" s="64" t="s" ph="1">
        <v>219</v>
      </c>
      <c r="AM54" s="64" t="s" ph="1">
        <v>336</v>
      </c>
      <c r="AN54" s="64" t="s" ph="1">
        <v>224</v>
      </c>
      <c r="AO54" s="64" t="s" ph="1">
        <v>233</v>
      </c>
      <c r="AP54" s="64" t="s" ph="1">
        <v>570</v>
      </c>
      <c r="AQ54" s="64" t="s" ph="1">
        <v>240</v>
      </c>
      <c r="AR54" s="64" t="s" ph="1">
        <v>233</v>
      </c>
      <c r="AY54" s="64" t="s" ph="1">
        <v>216</v>
      </c>
      <c r="AZ54" s="64" t="s" ph="1">
        <v>234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380</v>
      </c>
      <c r="AY55" s="64" t="s" ph="1">
        <v>216</v>
      </c>
      <c r="AZ55" s="64" t="s" ph="1">
        <v>367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381</v>
      </c>
      <c r="AY56" s="64" t="s" ph="1">
        <v>216</v>
      </c>
      <c r="AZ56" s="64" t="s" ph="1">
        <v>367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382</v>
      </c>
      <c r="AY57" s="64" t="s" ph="1">
        <v>216</v>
      </c>
      <c r="AZ57" s="64" t="s" ph="1">
        <v>367</v>
      </c>
    </row>
    <row r="58" spans="16:52" ph="1">
      <c r="P58" s="64"/>
      <c r="AN58" s="64" t="s" ph="1">
        <v>217</v>
      </c>
      <c r="AZ58" s="64" t="s" ph="1">
        <v>577</v>
      </c>
    </row>
    <row r="59" spans="16:52" ph="1">
      <c r="V59" s="64"/>
      <c r="AG59" s="64" t="s" ph="1">
        <v>235</v>
      </c>
      <c r="AI59" s="64" t="s" ph="1">
        <v>209</v>
      </c>
      <c r="AJ59" s="64" t="s" ph="1">
        <v>210</v>
      </c>
      <c r="AK59" s="64" t="s" ph="1">
        <v>211</v>
      </c>
      <c r="AM59" s="64" t="s" ph="1">
        <v>210</v>
      </c>
      <c r="AN59" s="64" t="s" ph="1">
        <v>211</v>
      </c>
      <c r="AO59" s="64" t="s" ph="1">
        <v>212</v>
      </c>
      <c r="AP59" s="64" t="s" ph="1">
        <v>210</v>
      </c>
      <c r="AQ59" s="64" t="s" ph="1">
        <v>211</v>
      </c>
      <c r="AR59" s="64" t="s" ph="1">
        <v>212</v>
      </c>
      <c r="AS59" s="64" t="s" ph="1">
        <v>210</v>
      </c>
      <c r="AT59" s="64" t="s" ph="1">
        <v>211</v>
      </c>
      <c r="AU59" s="64" t="s" ph="1">
        <v>212</v>
      </c>
      <c r="AV59" s="64" t="s" ph="1">
        <v>210</v>
      </c>
      <c r="AW59" s="64" t="s" ph="1">
        <v>211</v>
      </c>
      <c r="AX59" s="64" t="s" ph="1">
        <v>212</v>
      </c>
      <c r="AY59" s="64" t="s" ph="1">
        <v>211</v>
      </c>
      <c r="AZ59" s="64" t="s" ph="1">
        <v>213</v>
      </c>
    </row>
    <row r="60" spans="16:52" ph="1">
      <c r="R60" s="64"/>
      <c r="S60" s="64"/>
      <c r="T60" s="64"/>
      <c r="AH60" s="64" ph="1">
        <v>1</v>
      </c>
      <c r="AI60" s="64" t="s" ph="1">
        <v>383</v>
      </c>
      <c r="AY60" s="64" t="s" ph="1">
        <v>216</v>
      </c>
      <c r="AZ60" s="64" t="s" ph="1">
        <v>367</v>
      </c>
    </row>
    <row r="61" spans="16:52" ph="1">
      <c r="AH61" s="64" ph="1">
        <v>2</v>
      </c>
      <c r="AI61" s="64" t="s" ph="1">
        <v>384</v>
      </c>
      <c r="AS61" s="64" t="s" ph="1">
        <v>217</v>
      </c>
      <c r="AY61" s="64" t="s" ph="1">
        <v>216</v>
      </c>
      <c r="AZ61" s="64" t="s" ph="1">
        <v>367</v>
      </c>
    </row>
    <row r="62" spans="16:52" ph="1">
      <c r="AZ62" s="64" t="s" ph="1">
        <v>385</v>
      </c>
    </row>
    <row r="63" spans="16:52" ph="1">
      <c r="AG63" s="64" t="s" ph="1">
        <v>238</v>
      </c>
      <c r="AI63" s="64" t="s" ph="1">
        <v>209</v>
      </c>
      <c r="AJ63" s="64" t="s" ph="1">
        <v>210</v>
      </c>
      <c r="AK63" s="64" t="s" ph="1">
        <v>211</v>
      </c>
      <c r="AM63" s="64" t="s" ph="1">
        <v>210</v>
      </c>
      <c r="AN63" s="64" t="s" ph="1">
        <v>211</v>
      </c>
      <c r="AO63" s="64" t="s" ph="1">
        <v>212</v>
      </c>
      <c r="AP63" s="64" t="s" ph="1">
        <v>210</v>
      </c>
      <c r="AQ63" s="64" t="s" ph="1">
        <v>211</v>
      </c>
      <c r="AR63" s="64" t="s" ph="1">
        <v>212</v>
      </c>
      <c r="AS63" s="64" t="s" ph="1">
        <v>210</v>
      </c>
      <c r="AT63" s="64" t="s" ph="1">
        <v>211</v>
      </c>
      <c r="AU63" s="64" t="s" ph="1">
        <v>212</v>
      </c>
      <c r="AV63" s="64" t="s" ph="1">
        <v>210</v>
      </c>
      <c r="AW63" s="64" t="s" ph="1">
        <v>211</v>
      </c>
      <c r="AX63" s="64" t="s" ph="1">
        <v>212</v>
      </c>
      <c r="AY63" s="64" t="s" ph="1">
        <v>211</v>
      </c>
      <c r="AZ63" s="64" t="s" ph="1">
        <v>213</v>
      </c>
    </row>
    <row r="64" spans="16:52" ph="1">
      <c r="AH64" s="64" ph="1">
        <v>1</v>
      </c>
      <c r="AI64" s="64" t="s" ph="1">
        <v>386</v>
      </c>
      <c r="AJ64" s="64" t="s" ph="1">
        <v>387</v>
      </c>
      <c r="AK64" s="64" t="s" ph="1">
        <v>388</v>
      </c>
      <c r="AY64" s="64" t="s" ph="1">
        <v>216</v>
      </c>
      <c r="AZ64" s="64" t="s" ph="1">
        <v>388</v>
      </c>
    </row>
    <row r="65" spans="33:52" ph="1">
      <c r="AH65" s="64" ph="1">
        <v>2</v>
      </c>
      <c r="AI65" s="64" t="s" ph="1">
        <v>389</v>
      </c>
      <c r="AY65" s="64" t="s" ph="1">
        <v>216</v>
      </c>
      <c r="AZ65" s="64" t="s" ph="1">
        <v>367</v>
      </c>
    </row>
    <row r="66" spans="33:52" ph="1">
      <c r="AH66" s="64" ph="1">
        <v>3</v>
      </c>
      <c r="AI66" s="64" t="s" ph="1">
        <v>390</v>
      </c>
      <c r="AY66" s="64" t="s" ph="1">
        <v>216</v>
      </c>
      <c r="AZ66" s="64" t="s" ph="1">
        <v>367</v>
      </c>
    </row>
    <row r="67" spans="33:52" ph="1">
      <c r="AH67" s="64" ph="1">
        <v>4</v>
      </c>
      <c r="AI67" s="64" t="s" ph="1">
        <v>391</v>
      </c>
      <c r="AY67" s="64" t="s" ph="1">
        <v>216</v>
      </c>
      <c r="AZ67" s="64" t="s" ph="1">
        <v>367</v>
      </c>
    </row>
    <row r="68" spans="33:52" ph="1">
      <c r="AH68" s="64" ph="1">
        <v>5</v>
      </c>
      <c r="AI68" s="64" t="s" ph="1">
        <v>392</v>
      </c>
      <c r="AY68" s="64" t="s" ph="1">
        <v>216</v>
      </c>
      <c r="AZ68" s="64" t="s" ph="1">
        <v>367</v>
      </c>
    </row>
    <row r="69" spans="33:52" ph="1">
      <c r="AH69" s="64" ph="1">
        <v>6</v>
      </c>
      <c r="AI69" s="64" t="s" ph="1">
        <v>393</v>
      </c>
      <c r="AY69" s="64" t="s" ph="1">
        <v>216</v>
      </c>
      <c r="AZ69" s="64" t="s" ph="1">
        <v>367</v>
      </c>
    </row>
    <row r="70" spans="33:52" ph="1">
      <c r="AI70" s="64" t="s" ph="1">
        <v>394</v>
      </c>
      <c r="AY70" s="64" t="s" ph="1">
        <v>216</v>
      </c>
      <c r="AZ70" s="64" t="s" ph="1">
        <v>367</v>
      </c>
    </row>
    <row r="71" spans="33:52" ph="1">
      <c r="AH71" s="64" ph="1">
        <v>7</v>
      </c>
      <c r="AI71" s="64" t="s" ph="1">
        <v>395</v>
      </c>
      <c r="AJ71" s="64" t="s" ph="1">
        <v>334</v>
      </c>
      <c r="AK71" s="64" t="s" ph="1">
        <v>228</v>
      </c>
      <c r="AM71" s="64" t="s" ph="1">
        <v>336</v>
      </c>
      <c r="AN71" s="64" t="s" ph="1">
        <v>228</v>
      </c>
      <c r="AO71" s="64" t="s" ph="1">
        <v>396</v>
      </c>
      <c r="AP71" s="64" t="s" ph="1">
        <v>570</v>
      </c>
      <c r="AQ71" s="64" t="s" ph="1">
        <v>219</v>
      </c>
      <c r="AR71" s="64" t="s" ph="1">
        <v>396</v>
      </c>
      <c r="AY71" s="64" t="s" ph="1">
        <v>216</v>
      </c>
      <c r="AZ71" s="64" t="s" ph="1">
        <v>578</v>
      </c>
    </row>
    <row r="72" spans="33:52" ph="1">
      <c r="AZ72" s="64" t="s" ph="1">
        <v>579</v>
      </c>
    </row>
    <row r="73" spans="33:52" ph="1">
      <c r="AG73" s="64" t="s" ph="1">
        <v>241</v>
      </c>
      <c r="AI73" s="64" t="s" ph="1">
        <v>209</v>
      </c>
      <c r="AJ73" s="64" t="s" ph="1">
        <v>210</v>
      </c>
      <c r="AK73" s="64" t="s" ph="1">
        <v>211</v>
      </c>
      <c r="AM73" s="64" t="s" ph="1">
        <v>210</v>
      </c>
      <c r="AN73" s="64" t="s" ph="1">
        <v>211</v>
      </c>
      <c r="AO73" s="64" t="s" ph="1">
        <v>212</v>
      </c>
      <c r="AP73" s="64" t="s" ph="1">
        <v>210</v>
      </c>
      <c r="AQ73" s="64" t="s" ph="1">
        <v>211</v>
      </c>
      <c r="AR73" s="64" t="s" ph="1">
        <v>212</v>
      </c>
      <c r="AS73" s="64" t="s" ph="1">
        <v>210</v>
      </c>
      <c r="AT73" s="64" t="s" ph="1">
        <v>211</v>
      </c>
      <c r="AU73" s="64" t="s" ph="1">
        <v>212</v>
      </c>
      <c r="AV73" s="64" t="s" ph="1">
        <v>210</v>
      </c>
      <c r="AW73" s="64" t="s" ph="1">
        <v>211</v>
      </c>
      <c r="AX73" s="64" t="s" ph="1">
        <v>212</v>
      </c>
      <c r="AY73" s="64" t="s" ph="1">
        <v>211</v>
      </c>
      <c r="AZ73" s="64" t="s" ph="1">
        <v>213</v>
      </c>
    </row>
    <row r="74" spans="33:52" ph="1">
      <c r="AH74" s="64" ph="1">
        <v>1</v>
      </c>
      <c r="AI74" s="64" t="s" ph="1">
        <v>397</v>
      </c>
      <c r="AJ74" s="64" t="s" ph="1">
        <v>242</v>
      </c>
      <c r="AK74" s="64" t="s" ph="1">
        <v>224</v>
      </c>
      <c r="AM74" s="64" t="s" ph="1">
        <v>244</v>
      </c>
      <c r="AN74" s="64" t="s" ph="1">
        <v>254</v>
      </c>
      <c r="AO74" s="64" t="s" ph="1">
        <v>243</v>
      </c>
      <c r="AP74" s="64" t="s" ph="1">
        <v>245</v>
      </c>
      <c r="AQ74" s="64" t="s" ph="1">
        <v>222</v>
      </c>
      <c r="AR74" s="64" t="s" ph="1">
        <v>243</v>
      </c>
      <c r="AS74" s="64" t="s" ph="1">
        <v>215</v>
      </c>
      <c r="AT74" s="64" t="s" ph="1">
        <v>217</v>
      </c>
      <c r="AV74" s="64" t="s" ph="1">
        <v>398</v>
      </c>
      <c r="AW74" s="64" t="s" ph="1">
        <v>399</v>
      </c>
      <c r="AX74" s="64" t="s" ph="1">
        <v>400</v>
      </c>
      <c r="AY74" s="64" t="s" ph="1">
        <v>216</v>
      </c>
      <c r="AZ74" s="64" t="s" ph="1">
        <v>401</v>
      </c>
    </row>
    <row r="75" spans="33:52" ph="1">
      <c r="AJ75" s="64" t="s" ph="1">
        <v>247</v>
      </c>
      <c r="AK75" s="64" t="s" ph="1">
        <v>300</v>
      </c>
      <c r="AM75" s="64" t="s" ph="1">
        <v>245</v>
      </c>
      <c r="AN75" s="64" t="s" ph="1">
        <v>225</v>
      </c>
      <c r="AO75" s="64" t="s" ph="1">
        <v>243</v>
      </c>
      <c r="AS75" s="64" t="s" ph="1">
        <v>215</v>
      </c>
      <c r="AT75" s="64" t="s" ph="1">
        <v>246</v>
      </c>
    </row>
    <row r="76" spans="33:52" ph="1">
      <c r="AJ76" s="64" t="s" ph="1">
        <v>247</v>
      </c>
      <c r="AK76" s="64" t="s" ph="1">
        <v>240</v>
      </c>
      <c r="AM76" s="64" t="s" ph="1">
        <v>245</v>
      </c>
      <c r="AN76" s="64" t="s" ph="1">
        <v>228</v>
      </c>
      <c r="AO76" s="64" t="s" ph="1">
        <v>243</v>
      </c>
      <c r="AS76" s="64" t="s" ph="1">
        <v>215</v>
      </c>
      <c r="AT76" s="64" t="s" ph="1">
        <v>246</v>
      </c>
    </row>
    <row r="77" spans="33:52" ph="1">
      <c r="AJ77" s="64" t="s" ph="1">
        <v>283</v>
      </c>
      <c r="AK77" s="64" t="s" ph="1">
        <v>240</v>
      </c>
      <c r="AM77" s="64" t="s" ph="1">
        <v>284</v>
      </c>
      <c r="AN77" s="64" t="s" ph="1">
        <v>223</v>
      </c>
      <c r="AO77" s="64" t="s" ph="1">
        <v>243</v>
      </c>
      <c r="AS77" s="64" t="s" ph="1">
        <v>215</v>
      </c>
      <c r="AT77" s="64" t="s" ph="1">
        <v>285</v>
      </c>
    </row>
    <row r="78" spans="33:52" ph="1">
      <c r="AH78" s="64" ph="1">
        <v>2</v>
      </c>
      <c r="AI78" s="64" t="s" ph="1">
        <v>249</v>
      </c>
      <c r="AJ78" s="64" t="s" ph="1">
        <v>250</v>
      </c>
      <c r="AK78" s="64" t="s" ph="1">
        <v>219</v>
      </c>
      <c r="AM78" s="64" t="s" ph="1">
        <v>251</v>
      </c>
      <c r="AN78" s="64" t="s" ph="1">
        <v>254</v>
      </c>
      <c r="AO78" s="64" t="s" ph="1">
        <v>243</v>
      </c>
      <c r="AP78" s="64" t="s" ph="1">
        <v>252</v>
      </c>
      <c r="AQ78" s="64" t="s" ph="1">
        <v>298</v>
      </c>
      <c r="AR78" s="64" t="s" ph="1">
        <v>243</v>
      </c>
      <c r="AS78" s="64" t="s" ph="1">
        <v>253</v>
      </c>
      <c r="AT78" s="64" t="s" ph="1">
        <v>254</v>
      </c>
      <c r="AU78" s="64" t="s" ph="1">
        <v>243</v>
      </c>
      <c r="AV78" s="64" t="s" ph="1">
        <v>255</v>
      </c>
      <c r="AW78" s="64" t="s" ph="1">
        <v>243</v>
      </c>
      <c r="AY78" s="64" t="s" ph="1">
        <v>216</v>
      </c>
      <c r="AZ78" s="64" t="s" ph="1">
        <v>402</v>
      </c>
    </row>
    <row r="79" spans="33:52" ph="1">
      <c r="AJ79" s="64" t="s" ph="1">
        <v>245</v>
      </c>
      <c r="AK79" s="64" t="s" ph="1">
        <v>256</v>
      </c>
      <c r="AM79" s="64" t="s" ph="1">
        <v>257</v>
      </c>
      <c r="AN79" s="64" t="s" ph="1">
        <v>225</v>
      </c>
      <c r="AO79" s="64" t="s" ph="1">
        <v>243</v>
      </c>
      <c r="AP79" s="64" t="s" ph="1">
        <v>258</v>
      </c>
      <c r="AQ79" s="64" t="s" ph="1">
        <v>223</v>
      </c>
      <c r="AR79" s="64" t="s" ph="1">
        <v>259</v>
      </c>
      <c r="AS79" s="64" t="s" ph="1">
        <v>215</v>
      </c>
      <c r="AT79" s="64" t="s" ph="1">
        <v>260</v>
      </c>
      <c r="AV79" s="64" t="s" ph="1">
        <v>403</v>
      </c>
      <c r="AW79" s="64" t="s" ph="1">
        <v>302</v>
      </c>
      <c r="AX79" s="64" t="s" ph="1">
        <v>400</v>
      </c>
    </row>
    <row r="80" spans="33:52" ph="1">
      <c r="AH80" s="64" ph="1">
        <v>3</v>
      </c>
      <c r="AI80" s="64" t="s" ph="1">
        <v>261</v>
      </c>
      <c r="AJ80" s="64" t="s" ph="1">
        <v>262</v>
      </c>
      <c r="AK80" s="64" t="s" ph="1">
        <v>263</v>
      </c>
      <c r="AM80" s="64" t="s" ph="1">
        <v>264</v>
      </c>
      <c r="AN80" s="64" t="s" ph="1">
        <v>254</v>
      </c>
      <c r="AO80" s="64" t="s" ph="1">
        <v>243</v>
      </c>
      <c r="AP80" s="64" t="s" ph="1">
        <v>265</v>
      </c>
      <c r="AQ80" s="64" t="s" ph="1">
        <v>228</v>
      </c>
      <c r="AR80" s="64" t="s" ph="1">
        <v>243</v>
      </c>
      <c r="AS80" s="64" t="s" ph="1">
        <v>266</v>
      </c>
      <c r="AT80" s="64" t="s" ph="1">
        <v>227</v>
      </c>
      <c r="AU80" s="64" t="s" ph="1">
        <v>243</v>
      </c>
      <c r="AV80" s="64" t="s" ph="1">
        <v>267</v>
      </c>
      <c r="AW80" s="64" t="s" ph="1">
        <v>243</v>
      </c>
      <c r="AY80" s="64" t="s" ph="1">
        <v>216</v>
      </c>
      <c r="AZ80" s="64" t="s" ph="1">
        <v>404</v>
      </c>
    </row>
    <row r="81" spans="34:52" ph="1">
      <c r="AJ81" s="64" t="s" ph="1">
        <v>268</v>
      </c>
      <c r="AK81" s="64" t="s" ph="1">
        <v>222</v>
      </c>
      <c r="AM81" s="64" t="s" ph="1">
        <v>269</v>
      </c>
      <c r="AN81" s="64" t="s" ph="1">
        <v>225</v>
      </c>
      <c r="AO81" s="64" t="s" ph="1">
        <v>243</v>
      </c>
      <c r="AP81" s="64" t="s" ph="1">
        <v>270</v>
      </c>
      <c r="AQ81" s="64" t="s" ph="1">
        <v>254</v>
      </c>
      <c r="AR81" s="64" t="s" ph="1">
        <v>243</v>
      </c>
      <c r="AS81" s="64" t="s" ph="1">
        <v>271</v>
      </c>
      <c r="AT81" s="64" t="s" ph="1">
        <v>272</v>
      </c>
      <c r="AU81" s="64" t="s" ph="1">
        <v>243</v>
      </c>
      <c r="AV81" s="64" t="s" ph="1">
        <v>273</v>
      </c>
    </row>
    <row r="82" spans="34:52" ph="1">
      <c r="AJ82" s="64" t="s" ph="1">
        <v>274</v>
      </c>
      <c r="AK82" s="64" t="s" ph="1">
        <v>222</v>
      </c>
      <c r="AM82" s="64" t="s" ph="1">
        <v>275</v>
      </c>
      <c r="AN82" s="64" t="s" ph="1">
        <v>272</v>
      </c>
      <c r="AO82" s="64" t="s" ph="1">
        <v>276</v>
      </c>
      <c r="AP82" s="64" t="s" ph="1">
        <v>277</v>
      </c>
      <c r="AQ82" s="64" t="s" ph="1">
        <v>254</v>
      </c>
      <c r="AR82" s="64" t="s" ph="1">
        <v>243</v>
      </c>
      <c r="AS82" s="64" t="s" ph="1">
        <v>278</v>
      </c>
      <c r="AT82" s="64" t="s" ph="1">
        <v>229</v>
      </c>
      <c r="AU82" s="64" t="s" ph="1">
        <v>243</v>
      </c>
      <c r="AV82" s="64" t="s" ph="1">
        <v>403</v>
      </c>
      <c r="AW82" s="64" t="s" ph="1">
        <v>303</v>
      </c>
      <c r="AX82" s="64" t="s" ph="1">
        <v>400</v>
      </c>
    </row>
    <row r="83" spans="34:52" ph="1">
      <c r="AJ83" s="64" t="s" ph="1">
        <v>279</v>
      </c>
      <c r="AK83" s="64" t="s" ph="1">
        <v>296</v>
      </c>
      <c r="AM83" s="64" t="s" ph="1">
        <v>280</v>
      </c>
      <c r="AN83" s="64" t="s" ph="1">
        <v>228</v>
      </c>
      <c r="AO83" s="64" t="s" ph="1">
        <v>259</v>
      </c>
      <c r="AP83" s="64" t="s" ph="1">
        <v>281</v>
      </c>
      <c r="AQ83" s="64" t="s" ph="1">
        <v>282</v>
      </c>
      <c r="AR83" s="64" t="s" ph="1">
        <v>259</v>
      </c>
      <c r="AS83" s="64" t="s" ph="1">
        <v>405</v>
      </c>
      <c r="AT83" s="64" t="s" ph="1">
        <v>254</v>
      </c>
      <c r="AU83" s="64" t="s" ph="1">
        <v>259</v>
      </c>
      <c r="AV83" s="64" t="s" ph="1">
        <v>406</v>
      </c>
      <c r="AW83" s="64" t="s" ph="1">
        <v>303</v>
      </c>
      <c r="AX83" s="64" t="s" ph="1">
        <v>407</v>
      </c>
    </row>
    <row r="84" spans="34:52" ph="1">
      <c r="AH84" s="64" ph="1">
        <v>4</v>
      </c>
      <c r="AI84" s="64" t="s" ph="1">
        <v>286</v>
      </c>
      <c r="AJ84" s="64" t="s" ph="1">
        <v>226</v>
      </c>
      <c r="AK84" s="64" t="s" ph="1">
        <v>229</v>
      </c>
      <c r="AM84" s="64" t="s" ph="1">
        <v>230</v>
      </c>
      <c r="AN84" s="64" t="s" ph="1">
        <v>223</v>
      </c>
      <c r="AO84" s="64" t="s" ph="1">
        <v>259</v>
      </c>
      <c r="AP84" s="64" t="s" ph="1">
        <v>288</v>
      </c>
      <c r="AQ84" s="64" t="s" ph="1">
        <v>222</v>
      </c>
      <c r="AR84" s="64" t="s" ph="1">
        <v>259</v>
      </c>
      <c r="AS84" s="64" t="s" ph="1">
        <v>288</v>
      </c>
      <c r="AT84" s="64" t="s" ph="1">
        <v>224</v>
      </c>
      <c r="AU84" s="64" t="s" ph="1">
        <v>259</v>
      </c>
      <c r="AY84" s="64" t="s" ph="1">
        <v>216</v>
      </c>
      <c r="AZ84" s="64" t="s" ph="1">
        <v>408</v>
      </c>
    </row>
    <row r="85" spans="34:52" ph="1">
      <c r="AJ85" s="64" t="s" ph="1">
        <v>218</v>
      </c>
      <c r="AK85" s="64" t="s" ph="1">
        <v>222</v>
      </c>
      <c r="AM85" s="64" t="s" ph="1">
        <v>409</v>
      </c>
      <c r="AN85" s="64" t="s" ph="1">
        <v>229</v>
      </c>
      <c r="AO85" s="64" t="s" ph="1">
        <v>259</v>
      </c>
      <c r="AP85" s="64" t="s" ph="1">
        <v>410</v>
      </c>
      <c r="AQ85" s="64" t="s" ph="1">
        <v>225</v>
      </c>
      <c r="AR85" s="64" t="s" ph="1">
        <v>259</v>
      </c>
      <c r="AS85" s="64" t="s" ph="1">
        <v>411</v>
      </c>
      <c r="AT85" s="64" t="s" ph="1">
        <v>225</v>
      </c>
      <c r="AU85" s="64" t="s" ph="1">
        <v>259</v>
      </c>
    </row>
    <row r="86" spans="34:52" ph="1">
      <c r="AJ86" s="64" t="s" ph="1">
        <v>412</v>
      </c>
      <c r="AK86" s="64" t="s" ph="1">
        <v>231</v>
      </c>
      <c r="AM86" s="64" t="s" ph="1">
        <v>413</v>
      </c>
      <c r="AN86" s="64" t="s" ph="1">
        <v>272</v>
      </c>
      <c r="AO86" s="64" t="s" ph="1">
        <v>259</v>
      </c>
      <c r="AP86" s="64" t="s" ph="1">
        <v>414</v>
      </c>
      <c r="AQ86" s="64" t="s" ph="1">
        <v>219</v>
      </c>
      <c r="AR86" s="64" t="s" ph="1">
        <v>259</v>
      </c>
      <c r="AS86" s="64" t="s" ph="1">
        <v>415</v>
      </c>
      <c r="AT86" s="64" t="s" ph="1">
        <v>237</v>
      </c>
      <c r="AU86" s="64" t="s" ph="1">
        <v>259</v>
      </c>
    </row>
    <row r="87" spans="34:52" ph="1">
      <c r="AJ87" s="64" t="s" ph="1">
        <v>416</v>
      </c>
      <c r="AK87" s="64" t="s" ph="1">
        <v>272</v>
      </c>
      <c r="AM87" s="64" t="s" ph="1">
        <v>403</v>
      </c>
      <c r="AN87" s="64" t="s" ph="1">
        <v>417</v>
      </c>
      <c r="AO87" s="64" t="s" ph="1">
        <v>400</v>
      </c>
    </row>
    <row r="88" spans="34:52" ph="1">
      <c r="AH88" s="64" ph="1">
        <v>5</v>
      </c>
      <c r="AI88" s="64" t="s" ph="1">
        <v>289</v>
      </c>
      <c r="AJ88" s="64" t="s" ph="1">
        <v>418</v>
      </c>
      <c r="AK88" s="64" t="s" ph="1">
        <v>272</v>
      </c>
      <c r="AM88" s="64" t="s" ph="1">
        <v>419</v>
      </c>
      <c r="AN88" s="64" t="s" ph="1">
        <v>272</v>
      </c>
      <c r="AO88" s="64" t="s" ph="1">
        <v>259</v>
      </c>
      <c r="AP88" s="64" t="s" ph="1">
        <v>420</v>
      </c>
      <c r="AQ88" s="64" t="s" ph="1">
        <v>222</v>
      </c>
      <c r="AR88" s="64" t="s" ph="1">
        <v>259</v>
      </c>
      <c r="AS88" s="64" t="s" ph="1">
        <v>421</v>
      </c>
      <c r="AT88" s="64" t="s" ph="1">
        <v>272</v>
      </c>
      <c r="AU88" s="64" t="s" ph="1">
        <v>259</v>
      </c>
      <c r="AV88" s="64" t="s" ph="1">
        <v>422</v>
      </c>
      <c r="AW88" s="64" t="s" ph="1">
        <v>227</v>
      </c>
      <c r="AX88" s="64" t="s" ph="1">
        <v>259</v>
      </c>
      <c r="AY88" s="64" t="s" ph="1">
        <v>216</v>
      </c>
      <c r="AZ88" s="64" t="s" ph="1">
        <v>423</v>
      </c>
    </row>
    <row r="89" spans="34:52" ph="1">
      <c r="AJ89" s="64" t="s" ph="1">
        <v>424</v>
      </c>
      <c r="AK89" s="64" t="s" ph="1">
        <v>225</v>
      </c>
      <c r="AM89" s="64" t="s" ph="1">
        <v>425</v>
      </c>
      <c r="AN89" s="64" t="s" ph="1">
        <v>228</v>
      </c>
      <c r="AO89" s="64" t="s" ph="1">
        <v>259</v>
      </c>
      <c r="AP89" s="64" t="s" ph="1">
        <v>426</v>
      </c>
      <c r="AQ89" s="64" t="s" ph="1">
        <v>237</v>
      </c>
      <c r="AR89" s="64" t="s" ph="1">
        <v>259</v>
      </c>
      <c r="AS89" s="64" t="s" ph="1">
        <v>427</v>
      </c>
      <c r="AT89" s="64" t="s" ph="1">
        <v>272</v>
      </c>
      <c r="AU89" s="64" t="s" ph="1">
        <v>259</v>
      </c>
      <c r="AV89" s="64" t="s" ph="1">
        <v>428</v>
      </c>
      <c r="AW89" s="64" t="s" ph="1">
        <v>254</v>
      </c>
      <c r="AX89" s="64" t="s" ph="1">
        <v>287</v>
      </c>
    </row>
    <row r="90" spans="34:52" ph="1">
      <c r="AJ90" s="64" t="s" ph="1">
        <v>429</v>
      </c>
      <c r="AK90" s="64" t="s" ph="1">
        <v>228</v>
      </c>
      <c r="AM90" s="64" t="s" ph="1">
        <v>430</v>
      </c>
      <c r="AN90" s="64" t="s" ph="1">
        <v>225</v>
      </c>
      <c r="AO90" s="64" t="s" ph="1">
        <v>259</v>
      </c>
      <c r="AP90" s="64" t="s" ph="1">
        <v>431</v>
      </c>
      <c r="AQ90" s="64" t="s" ph="1">
        <v>294</v>
      </c>
      <c r="AR90" s="64" t="s" ph="1">
        <v>259</v>
      </c>
      <c r="AS90" s="64" t="s" ph="1">
        <v>432</v>
      </c>
      <c r="AT90" s="64" t="s" ph="1">
        <v>282</v>
      </c>
      <c r="AU90" s="64" t="s" ph="1">
        <v>259</v>
      </c>
      <c r="AV90" s="64" t="s" ph="1">
        <v>433</v>
      </c>
      <c r="AW90" s="64" t="s" ph="1">
        <v>219</v>
      </c>
      <c r="AX90" s="64" t="s" ph="1">
        <v>259</v>
      </c>
    </row>
    <row r="91" spans="34:52" ph="1">
      <c r="AJ91" s="64" t="s" ph="1">
        <v>434</v>
      </c>
      <c r="AK91" s="64" t="s" ph="1">
        <v>272</v>
      </c>
      <c r="AM91" s="64" t="s" ph="1">
        <v>435</v>
      </c>
      <c r="AN91" s="64" t="s" ph="1">
        <v>239</v>
      </c>
      <c r="AO91" s="64" t="s" ph="1">
        <v>259</v>
      </c>
      <c r="AP91" s="64" t="s" ph="1">
        <v>436</v>
      </c>
      <c r="AQ91" s="64" t="s" ph="1">
        <v>219</v>
      </c>
      <c r="AS91" s="64" t="s" ph="1">
        <v>403</v>
      </c>
      <c r="AT91" s="64" t="s" ph="1">
        <v>399</v>
      </c>
      <c r="AU91" s="64" t="s" ph="1">
        <v>400</v>
      </c>
    </row>
    <row r="92" spans="34:52" ph="1">
      <c r="AH92" s="64" ph="1">
        <v>6</v>
      </c>
      <c r="AI92" s="64" t="s" ph="1">
        <v>437</v>
      </c>
      <c r="AJ92" s="64" t="s" ph="1">
        <v>438</v>
      </c>
      <c r="AK92" s="64" t="s" ph="1">
        <v>367</v>
      </c>
      <c r="AM92" s="64" t="s" ph="1">
        <v>439</v>
      </c>
      <c r="AN92" s="64" t="s" ph="1">
        <v>227</v>
      </c>
      <c r="AO92" s="64" t="s" ph="1">
        <v>259</v>
      </c>
      <c r="AP92" s="64" t="s" ph="1">
        <v>440</v>
      </c>
      <c r="AQ92" s="64" t="s" ph="1">
        <v>299</v>
      </c>
      <c r="AR92" s="64" t="s" ph="1">
        <v>259</v>
      </c>
      <c r="AS92" s="64" t="s" ph="1">
        <v>441</v>
      </c>
      <c r="AT92" s="64" t="s" ph="1">
        <v>272</v>
      </c>
      <c r="AU92" s="64" t="s" ph="1">
        <v>259</v>
      </c>
      <c r="AV92" s="64" t="s" ph="1">
        <v>442</v>
      </c>
      <c r="AW92" s="64" t="s" ph="1">
        <v>228</v>
      </c>
      <c r="AX92" s="64" t="s" ph="1">
        <v>259</v>
      </c>
      <c r="AY92" s="64" t="s" ph="1">
        <v>216</v>
      </c>
      <c r="AZ92" s="64" t="s" ph="1">
        <v>423</v>
      </c>
    </row>
    <row r="93" spans="34:52" ph="1">
      <c r="AJ93" s="64" t="s" ph="1">
        <v>443</v>
      </c>
      <c r="AK93" s="64" t="s" ph="1">
        <v>222</v>
      </c>
      <c r="AM93" s="64" t="s" ph="1">
        <v>444</v>
      </c>
      <c r="AN93" s="64" t="s" ph="1">
        <v>227</v>
      </c>
      <c r="AO93" s="64" t="s" ph="1">
        <v>259</v>
      </c>
      <c r="AP93" s="64" t="s" ph="1">
        <v>445</v>
      </c>
      <c r="AQ93" s="64" t="s" ph="1">
        <v>231</v>
      </c>
      <c r="AR93" s="64" t="s" ph="1">
        <v>259</v>
      </c>
      <c r="AS93" s="64" t="s" ph="1">
        <v>446</v>
      </c>
      <c r="AT93" s="64" t="s" ph="1">
        <v>237</v>
      </c>
      <c r="AU93" s="64" t="s" ph="1">
        <v>259</v>
      </c>
      <c r="AV93" s="64" t="s" ph="1">
        <v>447</v>
      </c>
      <c r="AW93" s="64" t="s" ph="1">
        <v>231</v>
      </c>
      <c r="AX93" s="64" t="s" ph="1">
        <v>259</v>
      </c>
    </row>
    <row r="94" spans="34:52" ph="1">
      <c r="AJ94" s="64" t="s" ph="1">
        <v>448</v>
      </c>
      <c r="AK94" s="64" t="s" ph="1">
        <v>294</v>
      </c>
      <c r="AM94" s="64" t="s" ph="1">
        <v>449</v>
      </c>
      <c r="AN94" s="64" t="s" ph="1">
        <v>231</v>
      </c>
      <c r="AO94" s="64" t="s" ph="1">
        <v>259</v>
      </c>
      <c r="AP94" s="64" t="s" ph="1">
        <v>450</v>
      </c>
      <c r="AQ94" s="64" t="s" ph="1">
        <v>239</v>
      </c>
      <c r="AR94" s="64" t="s" ph="1">
        <v>259</v>
      </c>
      <c r="AS94" s="64" t="s" ph="1">
        <v>451</v>
      </c>
      <c r="AT94" s="64" t="s" ph="1">
        <v>225</v>
      </c>
      <c r="AU94" s="64" t="s" ph="1">
        <v>259</v>
      </c>
      <c r="AV94" s="64" t="s" ph="1">
        <v>452</v>
      </c>
      <c r="AW94" s="64" t="s" ph="1">
        <v>225</v>
      </c>
      <c r="AX94" s="64" t="s" ph="1">
        <v>259</v>
      </c>
    </row>
    <row r="95" spans="34:52" ph="1">
      <c r="AJ95" s="64" t="s" ph="1">
        <v>453</v>
      </c>
      <c r="AK95" s="64" t="s" ph="1">
        <v>299</v>
      </c>
    </row>
    <row r="96" spans="34:52" ph="1">
      <c r="AH96" s="64" ph="1">
        <v>7</v>
      </c>
      <c r="AI96" s="64" t="s" ph="1">
        <v>454</v>
      </c>
      <c r="AJ96" s="64" t="s" ph="1">
        <v>453</v>
      </c>
      <c r="AK96" s="64" t="s" ph="1">
        <v>254</v>
      </c>
      <c r="AM96" s="64" t="s" ph="1">
        <v>455</v>
      </c>
      <c r="AN96" s="64" t="s" ph="1">
        <v>228</v>
      </c>
      <c r="AO96" s="64" t="s" ph="1">
        <v>259</v>
      </c>
      <c r="AP96" s="64" t="s" ph="1">
        <v>456</v>
      </c>
      <c r="AQ96" s="64" t="s" ph="1">
        <v>272</v>
      </c>
      <c r="AR96" s="64" t="s" ph="1">
        <v>287</v>
      </c>
      <c r="AS96" s="64" t="s" ph="1">
        <v>457</v>
      </c>
      <c r="AT96" s="64" t="s" ph="1">
        <v>231</v>
      </c>
      <c r="AU96" s="64" t="s" ph="1">
        <v>287</v>
      </c>
      <c r="AV96" s="64" t="s" ph="1">
        <v>458</v>
      </c>
      <c r="AW96" s="64" t="s" ph="1">
        <v>227</v>
      </c>
      <c r="AX96" s="64" t="s" ph="1">
        <v>287</v>
      </c>
      <c r="AY96" s="64" t="s" ph="1">
        <v>216</v>
      </c>
      <c r="AZ96" s="64" t="s" ph="1">
        <v>459</v>
      </c>
    </row>
    <row r="97" spans="33:52" ph="1">
      <c r="AJ97" s="64" t="s" ph="1">
        <v>460</v>
      </c>
      <c r="AK97" s="64" t="s" ph="1">
        <v>282</v>
      </c>
      <c r="AM97" s="64" t="s" ph="1">
        <v>461</v>
      </c>
      <c r="AN97" s="64" t="s" ph="1">
        <v>225</v>
      </c>
      <c r="AO97" s="64" t="s" ph="1">
        <v>259</v>
      </c>
      <c r="AP97" s="64" t="s" ph="1">
        <v>462</v>
      </c>
      <c r="AQ97" s="64" t="s" ph="1">
        <v>219</v>
      </c>
      <c r="AR97" s="64" t="s" ph="1">
        <v>287</v>
      </c>
      <c r="AS97" s="64" t="s" ph="1">
        <v>463</v>
      </c>
      <c r="AT97" s="64" t="s" ph="1">
        <v>222</v>
      </c>
      <c r="AU97" s="64" t="s" ph="1">
        <v>287</v>
      </c>
      <c r="AV97" s="64" t="s" ph="1">
        <v>464</v>
      </c>
      <c r="AW97" s="64" t="s" ph="1">
        <v>228</v>
      </c>
      <c r="AX97" s="64" t="s" ph="1">
        <v>287</v>
      </c>
    </row>
    <row r="98" spans="33:52" ph="1">
      <c r="AJ98" s="64" t="s" ph="1">
        <v>465</v>
      </c>
      <c r="AK98" s="64" t="s" ph="1">
        <v>231</v>
      </c>
      <c r="AM98" s="64" t="s" ph="1">
        <v>466</v>
      </c>
      <c r="AN98" s="64" t="s" ph="1">
        <v>239</v>
      </c>
      <c r="AO98" s="64" t="s" ph="1">
        <v>259</v>
      </c>
      <c r="AP98" s="64" t="s" ph="1">
        <v>467</v>
      </c>
      <c r="AQ98" s="64" t="s" ph="1">
        <v>219</v>
      </c>
      <c r="AR98" s="64" t="s" ph="1">
        <v>287</v>
      </c>
      <c r="AS98" s="64" t="s" ph="1">
        <v>468</v>
      </c>
      <c r="AT98" s="64" t="s" ph="1">
        <v>299</v>
      </c>
      <c r="AU98" s="64" t="s" ph="1">
        <v>287</v>
      </c>
      <c r="AV98" s="64" t="s" ph="1">
        <v>469</v>
      </c>
      <c r="AW98" s="64" t="s" ph="1">
        <v>222</v>
      </c>
      <c r="AX98" s="64" t="s" ph="1">
        <v>287</v>
      </c>
    </row>
    <row r="99" spans="33:52" ph="1">
      <c r="AH99" s="64" ph="1">
        <v>8</v>
      </c>
      <c r="AI99" s="64" t="s" ph="1">
        <v>470</v>
      </c>
      <c r="AJ99" s="64" t="s" ph="1">
        <v>471</v>
      </c>
      <c r="AK99" s="64" t="s" ph="1">
        <v>367</v>
      </c>
      <c r="AM99" s="64" t="s" ph="1">
        <v>472</v>
      </c>
      <c r="AN99" s="64" t="s" ph="1">
        <v>254</v>
      </c>
      <c r="AO99" s="64" t="s" ph="1">
        <v>259</v>
      </c>
      <c r="AP99" s="64" t="s" ph="1">
        <v>473</v>
      </c>
      <c r="AQ99" s="64" t="s" ph="1">
        <v>224</v>
      </c>
      <c r="AR99" s="64" t="s" ph="1">
        <v>287</v>
      </c>
      <c r="AS99" s="64" t="s" ph="1">
        <v>474</v>
      </c>
      <c r="AT99" s="64" t="s" ph="1">
        <v>239</v>
      </c>
      <c r="AU99" s="64" t="s" ph="1">
        <v>287</v>
      </c>
      <c r="AV99" s="64" t="s" ph="1">
        <v>475</v>
      </c>
      <c r="AW99" s="64" t="s" ph="1">
        <v>224</v>
      </c>
      <c r="AX99" s="64" t="s" ph="1">
        <v>287</v>
      </c>
      <c r="AY99" s="64" t="s" ph="1">
        <v>216</v>
      </c>
      <c r="AZ99" s="64" t="s" ph="1">
        <v>476</v>
      </c>
    </row>
    <row r="100" spans="33:52" ph="1">
      <c r="AJ100" s="64" t="s" ph="1">
        <v>477</v>
      </c>
      <c r="AK100" s="64" t="s" ph="1">
        <v>222</v>
      </c>
      <c r="AM100" s="64" t="s" ph="1">
        <v>478</v>
      </c>
      <c r="AN100" s="64" t="s" ph="1">
        <v>294</v>
      </c>
      <c r="AO100" s="64" t="s" ph="1">
        <v>259</v>
      </c>
      <c r="AP100" s="64" t="s" ph="1">
        <v>479</v>
      </c>
      <c r="AQ100" s="64" t="s" ph="1">
        <v>300</v>
      </c>
      <c r="AR100" s="64" t="s" ph="1">
        <v>287</v>
      </c>
      <c r="AS100" s="64" t="s" ph="1">
        <v>480</v>
      </c>
      <c r="AT100" s="64" t="s" ph="1">
        <v>367</v>
      </c>
      <c r="AU100" s="64" t="s" ph="1">
        <v>259</v>
      </c>
      <c r="AV100" s="64" t="s" ph="1">
        <v>481</v>
      </c>
      <c r="AW100" s="64" t="s" ph="1">
        <v>367</v>
      </c>
      <c r="AX100" s="64" t="s" ph="1">
        <v>259</v>
      </c>
    </row>
    <row r="101" spans="33:52" ph="1">
      <c r="AJ101" s="64" t="s" ph="1">
        <v>482</v>
      </c>
      <c r="AK101" s="64" t="s" ph="1">
        <v>367</v>
      </c>
      <c r="AM101" s="64" t="s" ph="1">
        <v>483</v>
      </c>
      <c r="AN101" s="64" t="s" ph="1">
        <v>225</v>
      </c>
      <c r="AO101" s="64" t="s" ph="1">
        <v>259</v>
      </c>
      <c r="AP101" s="64" t="s" ph="1">
        <v>484</v>
      </c>
      <c r="AQ101" s="64" t="s" ph="1">
        <v>237</v>
      </c>
      <c r="AR101" s="64" t="s" ph="1">
        <v>287</v>
      </c>
      <c r="AS101" s="64" t="s" ph="1">
        <v>485</v>
      </c>
      <c r="AT101" s="64" t="s" ph="1">
        <v>294</v>
      </c>
      <c r="AU101" s="64" t="s" ph="1">
        <v>287</v>
      </c>
      <c r="AV101" s="64" t="s" ph="1">
        <v>486</v>
      </c>
      <c r="AW101" s="64" t="s" ph="1">
        <v>225</v>
      </c>
      <c r="AX101" s="64" t="s" ph="1">
        <v>259</v>
      </c>
    </row>
    <row r="102" spans="33:52" ph="1">
      <c r="AJ102" s="64" t="s" ph="1">
        <v>487</v>
      </c>
      <c r="AK102" s="64" t="s" ph="1">
        <v>222</v>
      </c>
      <c r="AM102" s="64" t="s" ph="1">
        <v>488</v>
      </c>
      <c r="AN102" s="64" t="s" ph="1">
        <v>231</v>
      </c>
      <c r="AO102" s="64" t="s" ph="1">
        <v>259</v>
      </c>
      <c r="AP102" s="64" t="s" ph="1">
        <v>489</v>
      </c>
      <c r="AQ102" s="64" t="s" ph="1">
        <v>237</v>
      </c>
      <c r="AR102" s="64" t="s" ph="1">
        <v>259</v>
      </c>
      <c r="AS102" s="64" t="s" ph="1">
        <v>490</v>
      </c>
      <c r="AT102" s="64" t="s" ph="1">
        <v>254</v>
      </c>
      <c r="AU102" s="64" t="s" ph="1">
        <v>259</v>
      </c>
      <c r="AV102" s="64" t="s" ph="1">
        <v>491</v>
      </c>
      <c r="AW102" s="64" t="s" ph="1">
        <v>272</v>
      </c>
      <c r="AX102" s="64" t="s" ph="1">
        <v>259</v>
      </c>
    </row>
    <row r="103" spans="33:52" ph="1">
      <c r="AH103" s="64" ph="1">
        <v>9</v>
      </c>
      <c r="AI103" s="64" t="s" ph="1">
        <v>492</v>
      </c>
      <c r="AJ103" s="64" t="s" ph="1">
        <v>493</v>
      </c>
      <c r="AK103" s="64" t="s" ph="1">
        <v>367</v>
      </c>
      <c r="AM103" s="64" t="s" ph="1">
        <v>494</v>
      </c>
      <c r="AN103" s="64" t="s" ph="1">
        <v>282</v>
      </c>
      <c r="AO103" s="64" t="s" ph="1">
        <v>259</v>
      </c>
      <c r="AP103" s="64" t="s" ph="1">
        <v>336</v>
      </c>
      <c r="AQ103" s="64" t="s" ph="1">
        <v>225</v>
      </c>
      <c r="AR103" s="64" t="s" ph="1">
        <v>259</v>
      </c>
      <c r="AS103" s="64" t="s" ph="1">
        <v>570</v>
      </c>
      <c r="AT103" s="64" t="s" ph="1">
        <v>367</v>
      </c>
      <c r="AU103" s="64" t="s" ph="1">
        <v>259</v>
      </c>
      <c r="AY103" s="64" t="s" ph="1">
        <v>216</v>
      </c>
      <c r="AZ103" s="64" t="s" ph="1">
        <v>224</v>
      </c>
    </row>
    <row r="104" spans="33:52" ph="1">
      <c r="AZ104" s="64" t="s" ph="1">
        <v>495</v>
      </c>
    </row>
    <row r="105" spans="33:52" ph="1">
      <c r="AG105" s="64" t="s" ph="1">
        <v>295</v>
      </c>
      <c r="AI105" s="64" t="s" ph="1">
        <v>209</v>
      </c>
      <c r="AJ105" s="64" t="s" ph="1">
        <v>210</v>
      </c>
      <c r="AK105" s="64" t="s" ph="1">
        <v>211</v>
      </c>
      <c r="AM105" s="64" t="s" ph="1">
        <v>210</v>
      </c>
      <c r="AN105" s="64" t="s" ph="1">
        <v>211</v>
      </c>
      <c r="AO105" s="64" t="s" ph="1">
        <v>212</v>
      </c>
      <c r="AP105" s="64" t="s" ph="1">
        <v>210</v>
      </c>
      <c r="AQ105" s="64" t="s" ph="1">
        <v>211</v>
      </c>
      <c r="AR105" s="64" t="s" ph="1">
        <v>212</v>
      </c>
      <c r="AS105" s="64" t="s" ph="1">
        <v>210</v>
      </c>
      <c r="AT105" s="64" t="s" ph="1">
        <v>211</v>
      </c>
      <c r="AU105" s="64" t="s" ph="1">
        <v>212</v>
      </c>
      <c r="AV105" s="64" t="s" ph="1">
        <v>210</v>
      </c>
      <c r="AW105" s="64" t="s" ph="1">
        <v>211</v>
      </c>
      <c r="AX105" s="64" t="s" ph="1">
        <v>212</v>
      </c>
      <c r="AZ105" s="64" t="s" ph="1">
        <v>213</v>
      </c>
    </row>
    <row r="106" spans="33:52" ph="1">
      <c r="AH106" s="64" ph="1">
        <v>1</v>
      </c>
      <c r="AI106" s="64" t="s" ph="1">
        <v>496</v>
      </c>
      <c r="AJ106" s="64" t="s" ph="1">
        <v>570</v>
      </c>
      <c r="AK106" s="64" t="s" ph="1">
        <v>231</v>
      </c>
      <c r="AZ106" s="64" t="s" ph="1">
        <v>231</v>
      </c>
    </row>
    <row r="107" spans="33:52" ph="1">
      <c r="AH107" s="64" ph="1">
        <v>2</v>
      </c>
      <c r="AI107" s="64" t="s" ph="1">
        <v>497</v>
      </c>
      <c r="AJ107" s="64" t="s" ph="1">
        <v>498</v>
      </c>
      <c r="AK107" s="64" t="s" ph="1">
        <v>228</v>
      </c>
      <c r="AM107" s="64" t="s" ph="1">
        <v>334</v>
      </c>
      <c r="AN107" s="64" t="s" ph="1">
        <v>499</v>
      </c>
      <c r="AO107" s="64" t="s" ph="1">
        <v>500</v>
      </c>
      <c r="AP107" s="64" t="s" ph="1">
        <v>336</v>
      </c>
      <c r="AQ107" s="64" t="s" ph="1">
        <v>304</v>
      </c>
      <c r="AR107" s="64" t="s" ph="1">
        <v>500</v>
      </c>
      <c r="AS107" s="64" t="s" ph="1">
        <v>570</v>
      </c>
      <c r="AT107" s="64" t="s" ph="1">
        <v>499</v>
      </c>
      <c r="AU107" s="64" t="s" ph="1">
        <v>500</v>
      </c>
      <c r="AY107" s="64" t="s" ph="1">
        <v>216</v>
      </c>
      <c r="AZ107" s="64" t="s" ph="1">
        <v>580</v>
      </c>
    </row>
    <row r="108" spans="33:52" ph="1">
      <c r="AH108" s="64" ph="1">
        <v>3</v>
      </c>
      <c r="AI108" s="64" t="s" ph="1">
        <v>501</v>
      </c>
      <c r="AY108" s="64" t="s" ph="1">
        <v>216</v>
      </c>
      <c r="AZ108" s="64" t="s" ph="1">
        <v>367</v>
      </c>
    </row>
    <row r="109" spans="33:52" ph="1">
      <c r="AH109" s="64" ph="1">
        <v>4</v>
      </c>
      <c r="AI109" s="64" t="s" ph="1">
        <v>502</v>
      </c>
      <c r="AY109" s="64" t="s" ph="1">
        <v>216</v>
      </c>
      <c r="AZ109" s="64" t="s" ph="1">
        <v>367</v>
      </c>
    </row>
    <row r="110" spans="33:52" ph="1">
      <c r="AH110" s="64" ph="1">
        <v>5</v>
      </c>
      <c r="AI110" s="64" t="s" ph="1">
        <v>503</v>
      </c>
      <c r="AY110" s="64" t="s" ph="1">
        <v>216</v>
      </c>
      <c r="AZ110" s="64" t="s" ph="1">
        <v>367</v>
      </c>
    </row>
    <row r="111" spans="33:52" ph="1">
      <c r="AH111" s="64" ph="1">
        <v>6</v>
      </c>
      <c r="AI111" s="64" t="s" ph="1">
        <v>581</v>
      </c>
      <c r="AJ111" s="64" t="s" ph="1">
        <v>486</v>
      </c>
      <c r="AK111" s="64" t="s" ph="1">
        <v>225</v>
      </c>
      <c r="AM111" s="64" t="s" ph="1">
        <v>487</v>
      </c>
      <c r="AN111" s="64" t="s" ph="1">
        <v>219</v>
      </c>
      <c r="AO111" s="64" t="s" ph="1">
        <v>500</v>
      </c>
      <c r="AP111" s="64" t="s" ph="1">
        <v>488</v>
      </c>
      <c r="AQ111" s="64" t="s" ph="1">
        <v>228</v>
      </c>
      <c r="AR111" s="64" t="s" ph="1">
        <v>500</v>
      </c>
      <c r="AS111" s="64" t="s" ph="1">
        <v>489</v>
      </c>
      <c r="AT111" s="64" t="s" ph="1">
        <v>237</v>
      </c>
      <c r="AU111" s="64" t="s" ph="1">
        <v>500</v>
      </c>
      <c r="AV111" s="64" t="s" ph="1">
        <v>490</v>
      </c>
      <c r="AW111" s="64" t="s" ph="1">
        <v>227</v>
      </c>
      <c r="AX111" s="64" t="s" ph="1">
        <v>500</v>
      </c>
      <c r="AY111" s="64" t="s" ph="1">
        <v>216</v>
      </c>
      <c r="AZ111" s="64" t="s" ph="1">
        <v>504</v>
      </c>
    </row>
    <row r="112" spans="33:52" ph="1">
      <c r="AJ112" s="64" t="s" ph="1">
        <v>491</v>
      </c>
      <c r="AK112" s="64" t="s" ph="1">
        <v>272</v>
      </c>
      <c r="AM112" s="64" t="s" ph="1">
        <v>493</v>
      </c>
      <c r="AN112" s="64" t="s" ph="1">
        <v>296</v>
      </c>
      <c r="AO112" s="64" t="s" ph="1">
        <v>500</v>
      </c>
      <c r="AP112" s="64" t="s" ph="1">
        <v>494</v>
      </c>
      <c r="AQ112" s="64" t="s" ph="1">
        <v>505</v>
      </c>
      <c r="AR112" s="64" t="s" ph="1">
        <v>500</v>
      </c>
      <c r="AS112" s="64" t="s" ph="1">
        <v>506</v>
      </c>
      <c r="AT112" s="64" t="s" ph="1">
        <v>248</v>
      </c>
      <c r="AU112" s="64" t="s" ph="1">
        <v>500</v>
      </c>
      <c r="AV112" s="64" t="s" ph="1">
        <v>507</v>
      </c>
      <c r="AW112" s="64" t="s" ph="1">
        <v>294</v>
      </c>
      <c r="AX112" s="64" t="s" ph="1">
        <v>500</v>
      </c>
    </row>
    <row r="113" spans="33:52" ph="1">
      <c r="AH113" s="64" ph="1">
        <v>7</v>
      </c>
      <c r="AI113" s="64" t="s" ph="1">
        <v>508</v>
      </c>
      <c r="AJ113" s="64" t="s" ph="1">
        <v>589</v>
      </c>
      <c r="AK113" s="64" t="s" ph="1">
        <v>594</v>
      </c>
      <c r="AY113" s="64" t="s" ph="1">
        <v>216</v>
      </c>
      <c r="AZ113" s="64" t="s" ph="1">
        <v>594</v>
      </c>
    </row>
    <row r="114" spans="33:52" ph="1">
      <c r="AH114" s="64" ph="1">
        <v>8</v>
      </c>
      <c r="AI114" s="64" t="s" ph="1">
        <v>509</v>
      </c>
      <c r="AJ114" s="64" t="s" ph="1">
        <v>589</v>
      </c>
      <c r="AK114" s="64" t="s" ph="1">
        <v>595</v>
      </c>
      <c r="AY114" s="64" t="s" ph="1">
        <v>216</v>
      </c>
      <c r="AZ114" s="64" t="s" ph="1">
        <v>595</v>
      </c>
    </row>
    <row r="115" spans="33:52" ph="1">
      <c r="AH115" s="64" ph="1">
        <v>9</v>
      </c>
      <c r="AI115" s="64" t="s" ph="1">
        <v>510</v>
      </c>
      <c r="AJ115" s="64" t="s" ph="1">
        <v>589</v>
      </c>
      <c r="AK115" s="64" t="s" ph="1">
        <v>595</v>
      </c>
      <c r="AY115" s="64" t="s" ph="1">
        <v>216</v>
      </c>
      <c r="AZ115" s="64" t="s" ph="1">
        <v>595</v>
      </c>
    </row>
    <row r="116" spans="33:52" ph="1">
      <c r="AH116" s="64" ph="1">
        <v>10</v>
      </c>
      <c r="AI116" s="64" t="s" ph="1">
        <v>511</v>
      </c>
      <c r="AJ116" s="64" t="s" ph="1">
        <v>589</v>
      </c>
      <c r="AK116" s="64" t="s" ph="1">
        <v>595</v>
      </c>
      <c r="AY116" s="64" t="s" ph="1">
        <v>216</v>
      </c>
      <c r="AZ116" s="64" t="s" ph="1">
        <v>595</v>
      </c>
    </row>
    <row r="117" spans="33:52" ph="1">
      <c r="AH117" s="64" ph="1">
        <v>11</v>
      </c>
      <c r="AI117" s="64" t="s" ph="1">
        <v>512</v>
      </c>
      <c r="AJ117" s="64" t="s" ph="1">
        <v>589</v>
      </c>
      <c r="AK117" s="64" t="s" ph="1">
        <v>595</v>
      </c>
      <c r="AY117" s="64" t="s" ph="1">
        <v>216</v>
      </c>
      <c r="AZ117" s="64" t="s" ph="1">
        <v>595</v>
      </c>
    </row>
    <row r="118" spans="33:52" ph="1">
      <c r="AZ118" s="64" t="s" ph="1">
        <v>596</v>
      </c>
    </row>
    <row r="119" spans="33:52" ph="1">
      <c r="AI119" s="64" t="s" ph="1">
        <v>209</v>
      </c>
      <c r="AJ119" s="64" t="s" ph="1">
        <v>210</v>
      </c>
      <c r="AK119" s="64" t="s" ph="1">
        <v>211</v>
      </c>
      <c r="AM119" s="64" t="s" ph="1">
        <v>210</v>
      </c>
      <c r="AN119" s="64" t="s" ph="1">
        <v>211</v>
      </c>
      <c r="AO119" s="64" t="s" ph="1">
        <v>212</v>
      </c>
      <c r="AP119" s="64" t="s" ph="1">
        <v>210</v>
      </c>
      <c r="AQ119" s="64" t="s" ph="1">
        <v>211</v>
      </c>
      <c r="AR119" s="64" t="s" ph="1">
        <v>212</v>
      </c>
      <c r="AS119" s="64" t="s" ph="1">
        <v>210</v>
      </c>
      <c r="AT119" s="64" t="s" ph="1">
        <v>211</v>
      </c>
      <c r="AU119" s="64" t="s" ph="1">
        <v>212</v>
      </c>
      <c r="AV119" s="64" t="s" ph="1">
        <v>210</v>
      </c>
      <c r="AW119" s="64" t="s" ph="1">
        <v>211</v>
      </c>
      <c r="AX119" s="64" t="s" ph="1">
        <v>212</v>
      </c>
      <c r="AY119" s="64" t="s" ph="1">
        <v>211</v>
      </c>
      <c r="AZ119" s="64" t="s" ph="1">
        <v>213</v>
      </c>
    </row>
    <row r="120" spans="33:52" ph="1">
      <c r="AG120" s="64" t="s" ph="1">
        <v>353</v>
      </c>
      <c r="AH120" s="64" ph="1">
        <v>1</v>
      </c>
      <c r="AI120" s="64" t="s" ph="1">
        <v>513</v>
      </c>
      <c r="AJ120" s="64" t="s" ph="1">
        <v>587</v>
      </c>
      <c r="AK120" s="64" t="s" ph="1">
        <v>367</v>
      </c>
      <c r="AY120" s="64" t="s" ph="1">
        <v>216</v>
      </c>
      <c r="AZ120" s="64" t="s" ph="1">
        <v>367</v>
      </c>
    </row>
    <row r="121" spans="33:52" ph="1">
      <c r="AH121" s="64" ph="1">
        <v>2</v>
      </c>
      <c r="AI121" s="64" t="s" ph="1">
        <v>514</v>
      </c>
      <c r="AY121" s="64" t="s" ph="1">
        <v>216</v>
      </c>
      <c r="AZ121" s="64" t="s" ph="1">
        <v>367</v>
      </c>
    </row>
    <row r="122" spans="33:52" ph="1">
      <c r="AH122" s="64" ph="1">
        <v>3</v>
      </c>
      <c r="AI122" s="64" t="s" ph="1">
        <v>515</v>
      </c>
      <c r="AJ122" s="64" t="s" ph="1">
        <v>570</v>
      </c>
      <c r="AK122" s="64" t="s" ph="1">
        <v>582</v>
      </c>
      <c r="AM122" s="64" t="s" ph="1">
        <v>597</v>
      </c>
      <c r="AN122" s="64" t="s" ph="1">
        <v>590</v>
      </c>
      <c r="AO122" s="64" t="s" ph="1">
        <v>91</v>
      </c>
      <c r="AY122" s="64" t="s" ph="1">
        <v>216</v>
      </c>
      <c r="AZ122" s="64" t="s" ph="1">
        <v>579</v>
      </c>
    </row>
    <row r="123" spans="33:52" ph="1">
      <c r="AY123" s="64" t="s" ph="1">
        <v>216</v>
      </c>
      <c r="AZ123" s="64" t="s" ph="1">
        <v>579</v>
      </c>
    </row>
    <row r="124" spans="33:52" ph="1">
      <c r="AG124" s="64" t="s" ph="1">
        <v>356</v>
      </c>
      <c r="AH124" s="64" ph="1">
        <v>4</v>
      </c>
      <c r="AI124" s="64" t="s" ph="1">
        <v>516</v>
      </c>
      <c r="AJ124" s="64" t="s" ph="1">
        <v>517</v>
      </c>
      <c r="AK124" s="64" t="s" ph="1">
        <v>518</v>
      </c>
      <c r="AY124" s="64" t="s" ph="1">
        <v>216</v>
      </c>
      <c r="AZ124" s="64" t="s" ph="1">
        <v>518</v>
      </c>
    </row>
    <row r="125" spans="33:52" ph="1">
      <c r="AH125" s="64" ph="1">
        <v>5</v>
      </c>
      <c r="AI125" s="64" t="s" ph="1">
        <v>519</v>
      </c>
      <c r="AJ125" s="64" t="s" ph="1">
        <v>517</v>
      </c>
      <c r="AK125" s="64" t="s" ph="1">
        <v>518</v>
      </c>
      <c r="AY125" s="64" t="s" ph="1">
        <v>216</v>
      </c>
      <c r="AZ125" s="64" t="s" ph="1">
        <v>518</v>
      </c>
    </row>
    <row r="126" spans="33:52" ph="1">
      <c r="AH126" s="64" ph="1">
        <v>6</v>
      </c>
      <c r="AI126" s="64" t="s" ph="1">
        <v>520</v>
      </c>
      <c r="AJ126" s="64" t="s" ph="1">
        <v>589</v>
      </c>
      <c r="AK126" s="64" t="s" ph="1">
        <v>598</v>
      </c>
      <c r="AY126" s="64" t="s" ph="1">
        <v>216</v>
      </c>
      <c r="AZ126" s="64" t="s" ph="1">
        <v>598</v>
      </c>
    </row>
    <row r="127" spans="33:52" ph="1">
      <c r="AH127" s="64" ph="1">
        <v>7</v>
      </c>
      <c r="AI127" s="64" t="s" ph="1">
        <v>521</v>
      </c>
      <c r="AJ127" s="64" t="s" ph="1">
        <v>589</v>
      </c>
      <c r="AK127" s="64" t="s" ph="1">
        <v>599</v>
      </c>
      <c r="AY127" s="64" t="s" ph="1">
        <v>216</v>
      </c>
      <c r="AZ127" s="64" t="s" ph="1">
        <v>599</v>
      </c>
    </row>
    <row r="128" spans="33:52" ph="1">
      <c r="AH128" s="64" ph="1">
        <v>8</v>
      </c>
      <c r="AI128" s="64" t="s" ph="1">
        <v>522</v>
      </c>
      <c r="AY128" s="64" t="s" ph="1">
        <v>216</v>
      </c>
      <c r="AZ128" s="64" t="s" ph="1">
        <v>367</v>
      </c>
    </row>
    <row r="129" spans="33:52" ph="1">
      <c r="AH129" s="64" ph="1">
        <v>9</v>
      </c>
      <c r="AI129" s="64" t="s" ph="1">
        <v>523</v>
      </c>
      <c r="AY129" s="64" t="s" ph="1">
        <v>216</v>
      </c>
      <c r="AZ129" s="64" t="s" ph="1">
        <v>367</v>
      </c>
    </row>
    <row r="130" spans="33:52" ph="1">
      <c r="AH130" s="64" ph="1">
        <v>10</v>
      </c>
      <c r="AI130" s="64" t="s" ph="1">
        <v>524</v>
      </c>
      <c r="AY130" s="64" t="s" ph="1">
        <v>216</v>
      </c>
      <c r="AZ130" s="64" t="s" ph="1">
        <v>367</v>
      </c>
    </row>
    <row r="131" spans="33:52" ph="1">
      <c r="AH131" s="64" ph="1">
        <v>11</v>
      </c>
      <c r="AI131" s="64" t="s" ph="1">
        <v>525</v>
      </c>
      <c r="AJ131" s="64" t="s" ph="1">
        <v>583</v>
      </c>
      <c r="AK131" s="64" t="s" ph="1">
        <v>579</v>
      </c>
      <c r="AY131" s="64" t="s" ph="1">
        <v>216</v>
      </c>
      <c r="AZ131" s="64" t="s" ph="1">
        <v>579</v>
      </c>
    </row>
    <row r="132" spans="33:52" ph="1">
      <c r="AH132" s="64" ph="1">
        <v>12</v>
      </c>
      <c r="AI132" s="64" t="s" ph="1">
        <v>526</v>
      </c>
      <c r="AJ132" s="64" t="s" ph="1">
        <v>583</v>
      </c>
      <c r="AK132" s="64" t="s" ph="1">
        <v>518</v>
      </c>
      <c r="AY132" s="64" t="s" ph="1">
        <v>216</v>
      </c>
      <c r="AZ132" s="64" t="s" ph="1">
        <v>518</v>
      </c>
    </row>
    <row r="133" spans="33:52" ph="1">
      <c r="AH133" s="64" ph="1">
        <v>13</v>
      </c>
      <c r="AI133" s="64" t="s" ph="1">
        <v>527</v>
      </c>
      <c r="AJ133" s="64" t="s" ph="1">
        <v>583</v>
      </c>
      <c r="AK133" s="64" t="s" ph="1">
        <v>584</v>
      </c>
      <c r="AY133" s="64" t="s" ph="1">
        <v>216</v>
      </c>
      <c r="AZ133" s="64" t="s" ph="1">
        <v>584</v>
      </c>
    </row>
    <row r="134" spans="33:52" ph="1">
      <c r="AH134" s="64" ph="1">
        <v>14</v>
      </c>
      <c r="AI134" s="64" t="s" ph="1">
        <v>528</v>
      </c>
      <c r="AJ134" s="64" t="s" ph="1">
        <v>583</v>
      </c>
      <c r="AK134" s="64" t="s" ph="1">
        <v>585</v>
      </c>
      <c r="AY134" s="64" t="s" ph="1">
        <v>216</v>
      </c>
      <c r="AZ134" s="64" t="s" ph="1">
        <v>585</v>
      </c>
    </row>
    <row r="135" spans="33:52" ph="1">
      <c r="AH135" s="64" ph="1">
        <v>15</v>
      </c>
      <c r="AI135" s="64" t="s" ph="1">
        <v>529</v>
      </c>
      <c r="AJ135" s="64" t="s" ph="1">
        <v>583</v>
      </c>
      <c r="AK135" s="64" t="s" ph="1">
        <v>586</v>
      </c>
      <c r="AY135" s="64" t="s" ph="1">
        <v>216</v>
      </c>
      <c r="AZ135" s="64" t="s" ph="1">
        <v>586</v>
      </c>
    </row>
    <row r="136" spans="33:52" ph="1">
      <c r="AZ136" s="64" t="s" ph="1">
        <v>600</v>
      </c>
    </row>
    <row r="137" spans="33:52" ph="1">
      <c r="AG137" s="64" t="s" ph="1">
        <v>290</v>
      </c>
      <c r="AI137" s="64" t="s" ph="1">
        <v>209</v>
      </c>
      <c r="AJ137" s="64" t="s" ph="1">
        <v>210</v>
      </c>
      <c r="AK137" s="64" t="s" ph="1">
        <v>211</v>
      </c>
      <c r="AM137" s="64" t="s" ph="1">
        <v>210</v>
      </c>
      <c r="AN137" s="64" t="s" ph="1">
        <v>211</v>
      </c>
      <c r="AO137" s="64" t="s" ph="1">
        <v>212</v>
      </c>
      <c r="AP137" s="64" t="s" ph="1">
        <v>210</v>
      </c>
      <c r="AQ137" s="64" t="s" ph="1">
        <v>211</v>
      </c>
      <c r="AR137" s="64" t="s" ph="1">
        <v>212</v>
      </c>
      <c r="AS137" s="64" t="s" ph="1">
        <v>210</v>
      </c>
      <c r="AT137" s="64" t="s" ph="1">
        <v>211</v>
      </c>
      <c r="AU137" s="64" t="s" ph="1">
        <v>212</v>
      </c>
      <c r="AV137" s="64" t="s" ph="1">
        <v>210</v>
      </c>
      <c r="AW137" s="64" t="s" ph="1">
        <v>211</v>
      </c>
      <c r="AX137" s="64" t="s" ph="1">
        <v>212</v>
      </c>
      <c r="AY137" s="64" t="s" ph="1">
        <v>211</v>
      </c>
      <c r="AZ137" s="64" t="s" ph="1">
        <v>213</v>
      </c>
    </row>
    <row r="138" spans="33:52" ph="1">
      <c r="AH138" s="64" ph="1">
        <v>1</v>
      </c>
      <c r="AI138" s="64" t="s" ph="1">
        <v>530</v>
      </c>
      <c r="AJ138" s="64" t="s" ph="1">
        <v>531</v>
      </c>
      <c r="AK138" s="64" t="s" ph="1">
        <v>532</v>
      </c>
      <c r="AY138" s="64" t="s" ph="1">
        <v>216</v>
      </c>
      <c r="AZ138" s="64" t="s" ph="1">
        <v>532</v>
      </c>
    </row>
    <row r="139" spans="33:52" ph="1">
      <c r="AH139" s="64" ph="1">
        <v>2</v>
      </c>
      <c r="AI139" s="64" t="s" ph="1">
        <v>533</v>
      </c>
      <c r="AJ139" s="64" t="s" ph="1">
        <v>589</v>
      </c>
      <c r="AK139" s="64" t="s" ph="1">
        <v>601</v>
      </c>
      <c r="AY139" s="64" t="s" ph="1">
        <v>216</v>
      </c>
      <c r="AZ139" s="64" t="s" ph="1">
        <v>601</v>
      </c>
    </row>
    <row r="140" spans="33:52" ph="1">
      <c r="AH140" s="64" ph="1">
        <v>3</v>
      </c>
      <c r="AI140" s="64" t="s" ph="1">
        <v>534</v>
      </c>
      <c r="AJ140" s="64" t="s" ph="1">
        <v>487</v>
      </c>
      <c r="AK140" s="64" t="s" ph="1">
        <v>299</v>
      </c>
      <c r="AM140" s="64" t="s" ph="1">
        <v>488</v>
      </c>
      <c r="AN140" s="64" t="s" ph="1">
        <v>219</v>
      </c>
      <c r="AO140" s="64" t="s" ph="1">
        <v>535</v>
      </c>
      <c r="AP140" s="64" t="s" ph="1">
        <v>489</v>
      </c>
      <c r="AQ140" s="64" t="s" ph="1">
        <v>236</v>
      </c>
      <c r="AR140" s="64" t="s" ph="1">
        <v>535</v>
      </c>
      <c r="AS140" s="64" t="s" ph="1">
        <v>490</v>
      </c>
      <c r="AT140" s="64" t="s" ph="1">
        <v>229</v>
      </c>
      <c r="AU140" s="64" t="s" ph="1">
        <v>535</v>
      </c>
      <c r="AV140" s="64" t="s" ph="1">
        <v>491</v>
      </c>
      <c r="AW140" s="64" t="s" ph="1">
        <v>222</v>
      </c>
      <c r="AX140" s="64" t="s" ph="1">
        <v>535</v>
      </c>
      <c r="AY140" s="64" t="s" ph="1">
        <v>216</v>
      </c>
      <c r="AZ140" s="64" t="s" ph="1">
        <v>291</v>
      </c>
    </row>
    <row r="141" spans="33:52" ph="1">
      <c r="AJ141" s="64" t="s" ph="1">
        <v>493</v>
      </c>
      <c r="AK141" s="64" t="s" ph="1">
        <v>222</v>
      </c>
      <c r="AM141" s="64" t="s" ph="1">
        <v>494</v>
      </c>
      <c r="AN141" s="64" t="s" ph="1">
        <v>225</v>
      </c>
      <c r="AO141" s="64" t="s" ph="1">
        <v>535</v>
      </c>
      <c r="AP141" s="64" t="s" ph="1">
        <v>506</v>
      </c>
      <c r="AQ141" s="64" t="s" ph="1">
        <v>294</v>
      </c>
      <c r="AR141" s="64" t="s" ph="1">
        <v>535</v>
      </c>
      <c r="AS141" s="64" t="s" ph="1">
        <v>498</v>
      </c>
      <c r="AT141" s="64" t="s" ph="1">
        <v>222</v>
      </c>
      <c r="AU141" s="64" t="s" ph="1">
        <v>535</v>
      </c>
      <c r="AV141" s="64" t="s" ph="1">
        <v>334</v>
      </c>
      <c r="AW141" s="64" t="s" ph="1">
        <v>228</v>
      </c>
      <c r="AX141" s="64" t="s" ph="1">
        <v>535</v>
      </c>
    </row>
    <row r="142" spans="33:52" ph="1">
      <c r="AJ142" s="64" t="s" ph="1">
        <v>536</v>
      </c>
      <c r="AK142" s="64" t="s" ph="1">
        <v>239</v>
      </c>
    </row>
    <row r="143" spans="33:52" ph="1">
      <c r="AH143" s="64" ph="1">
        <v>4</v>
      </c>
      <c r="AI143" s="64" t="s" ph="1">
        <v>537</v>
      </c>
      <c r="AJ143" s="64" t="s" ph="1">
        <v>517</v>
      </c>
      <c r="AK143" s="64" t="s" ph="1">
        <v>538</v>
      </c>
      <c r="AY143" s="64" t="s" ph="1">
        <v>216</v>
      </c>
      <c r="AZ143" s="64" t="s" ph="1">
        <v>538</v>
      </c>
    </row>
    <row r="144" spans="33:52" ph="1">
      <c r="AH144" s="64" ph="1">
        <v>5</v>
      </c>
      <c r="AI144" s="64" t="s" ph="1">
        <v>539</v>
      </c>
      <c r="AY144" s="64" t="s" ph="1">
        <v>216</v>
      </c>
      <c r="AZ144" s="64" t="s" ph="1">
        <v>367</v>
      </c>
    </row>
    <row r="145" spans="33:52" ph="1">
      <c r="AH145" s="64" ph="1">
        <v>6</v>
      </c>
      <c r="AI145" s="64" t="s" ph="1">
        <v>540</v>
      </c>
      <c r="AY145" s="64" t="s" ph="1">
        <v>216</v>
      </c>
      <c r="AZ145" s="64" t="s" ph="1">
        <v>367</v>
      </c>
    </row>
    <row r="146" spans="33:52" ph="1">
      <c r="AH146" s="64" ph="1">
        <v>7</v>
      </c>
      <c r="AI146" s="64" t="s" ph="1">
        <v>541</v>
      </c>
      <c r="AY146" s="64" t="s" ph="1">
        <v>216</v>
      </c>
      <c r="AZ146" s="64" t="s" ph="1">
        <v>367</v>
      </c>
    </row>
    <row r="147" spans="33:52" ph="1">
      <c r="AH147" s="64" ph="1">
        <v>8</v>
      </c>
      <c r="AI147" s="64" t="s" ph="1">
        <v>542</v>
      </c>
      <c r="AY147" s="64" t="s" ph="1">
        <v>216</v>
      </c>
      <c r="AZ147" s="64" t="s" ph="1">
        <v>367</v>
      </c>
    </row>
    <row r="148" spans="33:52" ph="1">
      <c r="AH148" s="64" ph="1">
        <v>9</v>
      </c>
      <c r="AI148" s="64" t="s" ph="1">
        <v>543</v>
      </c>
      <c r="AY148" s="64" t="s" ph="1">
        <v>216</v>
      </c>
      <c r="AZ148" s="64" t="s" ph="1">
        <v>367</v>
      </c>
    </row>
    <row r="149" spans="33:52" ph="1">
      <c r="AH149" s="64" ph="1">
        <v>10</v>
      </c>
      <c r="AI149" s="64" t="s" ph="1">
        <v>544</v>
      </c>
      <c r="AY149" s="64" t="s" ph="1">
        <v>216</v>
      </c>
      <c r="AZ149" s="64" t="s" ph="1">
        <v>367</v>
      </c>
    </row>
    <row r="150" spans="33:52" ph="1">
      <c r="AH150" s="64" ph="1">
        <v>11</v>
      </c>
      <c r="AI150" s="64" t="s" ph="1">
        <v>545</v>
      </c>
      <c r="AY150" s="64" t="s" ph="1">
        <v>216</v>
      </c>
      <c r="AZ150" s="64" t="s" ph="1">
        <v>367</v>
      </c>
    </row>
    <row r="151" spans="33:52" ph="1">
      <c r="AH151" s="64" ph="1">
        <v>12</v>
      </c>
      <c r="AI151" s="64" t="s" ph="1">
        <v>546</v>
      </c>
      <c r="AY151" s="64" t="s" ph="1">
        <v>216</v>
      </c>
      <c r="AZ151" s="64" t="s" ph="1">
        <v>367</v>
      </c>
    </row>
    <row r="152" spans="33:52" ph="1">
      <c r="AH152" s="64" ph="1">
        <v>13</v>
      </c>
      <c r="AI152" s="64" t="s" ph="1">
        <v>547</v>
      </c>
      <c r="AY152" s="64" t="s" ph="1">
        <v>216</v>
      </c>
      <c r="AZ152" s="64" t="s" ph="1">
        <v>367</v>
      </c>
    </row>
    <row r="153" spans="33:52" ph="1">
      <c r="AH153" s="64" ph="1">
        <v>14</v>
      </c>
      <c r="AI153" s="64" t="s" ph="1">
        <v>548</v>
      </c>
      <c r="AY153" s="64" t="s" ph="1">
        <v>216</v>
      </c>
      <c r="AZ153" s="64" t="s" ph="1">
        <v>367</v>
      </c>
    </row>
    <row r="154" spans="33:52" ph="1">
      <c r="AH154" s="64" ph="1">
        <v>15</v>
      </c>
      <c r="AI154" s="64" t="s" ph="1">
        <v>549</v>
      </c>
      <c r="AY154" s="64" t="s" ph="1">
        <v>216</v>
      </c>
      <c r="AZ154" s="64" t="s" ph="1">
        <v>367</v>
      </c>
    </row>
    <row r="155" spans="33:52" ph="1">
      <c r="AH155" s="64" ph="1">
        <v>16</v>
      </c>
      <c r="AI155" s="64" t="s" ph="1">
        <v>550</v>
      </c>
      <c r="AJ155" s="64" t="s" ph="1">
        <v>336</v>
      </c>
      <c r="AK155" s="64" t="s" ph="1">
        <v>231</v>
      </c>
      <c r="AM155" s="64" t="s" ph="1">
        <v>570</v>
      </c>
      <c r="AN155" s="64" t="s" ph="1">
        <v>282</v>
      </c>
      <c r="AO155" s="64" t="s" ph="1">
        <v>535</v>
      </c>
      <c r="AY155" s="64" t="s" ph="1">
        <v>216</v>
      </c>
      <c r="AZ155" s="64" t="s" ph="1">
        <v>223</v>
      </c>
    </row>
    <row r="156" spans="33:52" ph="1">
      <c r="AZ156" s="64" t="s" ph="1">
        <v>602</v>
      </c>
    </row>
    <row r="157" spans="33:52" ph="1">
      <c r="AG157" s="64" t="s" ph="1">
        <v>551</v>
      </c>
      <c r="AI157" s="64" t="s" ph="1">
        <v>209</v>
      </c>
      <c r="AJ157" s="64" t="s" ph="1">
        <v>210</v>
      </c>
      <c r="AK157" s="64" t="s" ph="1">
        <v>211</v>
      </c>
      <c r="AM157" s="64" t="s" ph="1">
        <v>210</v>
      </c>
      <c r="AN157" s="64" t="s" ph="1">
        <v>211</v>
      </c>
      <c r="AO157" s="64" t="s" ph="1">
        <v>212</v>
      </c>
      <c r="AP157" s="64" t="s" ph="1">
        <v>210</v>
      </c>
      <c r="AQ157" s="64" t="s" ph="1">
        <v>211</v>
      </c>
      <c r="AR157" s="64" t="s" ph="1">
        <v>212</v>
      </c>
      <c r="AS157" s="64" t="s" ph="1">
        <v>210</v>
      </c>
      <c r="AT157" s="64" t="s" ph="1">
        <v>211</v>
      </c>
      <c r="AU157" s="64" t="s" ph="1">
        <v>212</v>
      </c>
      <c r="AV157" s="64" t="s" ph="1">
        <v>210</v>
      </c>
      <c r="AW157" s="64" t="s" ph="1">
        <v>211</v>
      </c>
      <c r="AX157" s="64" t="s" ph="1">
        <v>212</v>
      </c>
      <c r="AY157" s="64" t="s" ph="1">
        <v>211</v>
      </c>
      <c r="AZ157" s="64" t="s" ph="1">
        <v>213</v>
      </c>
    </row>
    <row r="158" spans="33:52" ph="1">
      <c r="AH158" s="64" ph="1">
        <v>1</v>
      </c>
      <c r="AI158" s="64" t="s" ph="1">
        <v>552</v>
      </c>
      <c r="AY158" s="64" t="s" ph="1">
        <v>216</v>
      </c>
      <c r="AZ158" s="64" t="s" ph="1">
        <v>367</v>
      </c>
    </row>
    <row r="159" spans="33:52" ph="1">
      <c r="AH159" s="64" ph="1">
        <v>2</v>
      </c>
      <c r="AI159" s="64" t="s" ph="1">
        <v>553</v>
      </c>
      <c r="AY159" s="64" t="s" ph="1">
        <v>216</v>
      </c>
      <c r="AZ159" s="64" t="s" ph="1">
        <v>367</v>
      </c>
    </row>
    <row r="160" spans="33:52" ph="1">
      <c r="AZ160" s="64" t="s" ph="1">
        <v>385</v>
      </c>
    </row>
    <row r="161" spans="33:52" ph="1">
      <c r="AG161" s="64" t="s" ph="1">
        <v>361</v>
      </c>
      <c r="AI161" s="64" t="s" ph="1">
        <v>209</v>
      </c>
      <c r="AJ161" s="64" t="s" ph="1">
        <v>210</v>
      </c>
      <c r="AK161" s="64" t="s" ph="1">
        <v>211</v>
      </c>
      <c r="AM161" s="64" t="s" ph="1">
        <v>210</v>
      </c>
      <c r="AN161" s="64" t="s" ph="1">
        <v>211</v>
      </c>
      <c r="AO161" s="64" t="s" ph="1">
        <v>212</v>
      </c>
      <c r="AP161" s="64" t="s" ph="1">
        <v>210</v>
      </c>
      <c r="AQ161" s="64" t="s" ph="1">
        <v>211</v>
      </c>
      <c r="AR161" s="64" t="s" ph="1">
        <v>212</v>
      </c>
      <c r="AS161" s="64" t="s" ph="1">
        <v>210</v>
      </c>
      <c r="AT161" s="64" t="s" ph="1">
        <v>211</v>
      </c>
      <c r="AU161" s="64" t="s" ph="1">
        <v>212</v>
      </c>
      <c r="AV161" s="64" t="s" ph="1">
        <v>210</v>
      </c>
      <c r="AW161" s="64" t="s" ph="1">
        <v>211</v>
      </c>
      <c r="AX161" s="64" t="s" ph="1">
        <v>212</v>
      </c>
      <c r="AY161" s="64" t="s" ph="1">
        <v>211</v>
      </c>
      <c r="AZ161" s="64" t="s" ph="1">
        <v>213</v>
      </c>
    </row>
    <row r="162" spans="33:52" ph="1">
      <c r="AH162" s="64" ph="1">
        <v>1</v>
      </c>
      <c r="AI162" s="64" t="s" ph="1">
        <v>554</v>
      </c>
      <c r="AJ162" s="64" t="s" ph="1">
        <v>555</v>
      </c>
      <c r="AK162" s="64" t="s" ph="1">
        <v>499</v>
      </c>
      <c r="AM162" s="64" t="s" ph="1">
        <v>556</v>
      </c>
      <c r="AN162" s="64" t="s" ph="1">
        <v>220</v>
      </c>
      <c r="AO162" s="64" t="s" ph="1">
        <v>557</v>
      </c>
      <c r="AY162" s="64" t="s" ph="1">
        <v>216</v>
      </c>
      <c r="AZ162" s="64" t="s" ph="1">
        <v>292</v>
      </c>
    </row>
    <row r="163" spans="33:52" ph="1">
      <c r="AH163" s="64" ph="1">
        <v>2</v>
      </c>
      <c r="AI163" s="64" t="s" ph="1">
        <v>558</v>
      </c>
      <c r="AJ163" s="64" t="s" ph="1">
        <v>555</v>
      </c>
      <c r="AK163" s="64" t="s" ph="1">
        <v>388</v>
      </c>
      <c r="AY163" s="64" t="s" ph="1">
        <v>216</v>
      </c>
      <c r="AZ163" s="64" t="s" ph="1">
        <v>388</v>
      </c>
    </row>
    <row r="164" spans="33:52" ph="1">
      <c r="AH164" s="64" ph="1">
        <v>3</v>
      </c>
      <c r="AI164" s="64" t="s" ph="1">
        <v>559</v>
      </c>
      <c r="AJ164" s="64" t="s" ph="1">
        <v>555</v>
      </c>
      <c r="AK164" s="64" t="s" ph="1">
        <v>292</v>
      </c>
      <c r="AY164" s="64" t="s" ph="1">
        <v>216</v>
      </c>
      <c r="AZ164" s="64" t="s" ph="1">
        <v>292</v>
      </c>
    </row>
    <row r="165" spans="33:52" ph="1">
      <c r="AH165" s="64" ph="1">
        <v>4</v>
      </c>
      <c r="AI165" s="64" t="s" ph="1">
        <v>560</v>
      </c>
      <c r="AY165" s="64" t="s" ph="1">
        <v>216</v>
      </c>
      <c r="AZ165" s="64" t="s" ph="1">
        <v>367</v>
      </c>
    </row>
    <row r="166" spans="33:52" ph="1">
      <c r="AH166" s="64" ph="1">
        <v>5</v>
      </c>
      <c r="AI166" s="64" t="s" ph="1">
        <v>561</v>
      </c>
      <c r="AY166" s="64" t="s" ph="1">
        <v>216</v>
      </c>
      <c r="AZ166" s="64" t="s" ph="1">
        <v>367</v>
      </c>
    </row>
    <row r="167" spans="33:52" ph="1">
      <c r="AZ167" s="64" t="s" ph="1">
        <v>562</v>
      </c>
    </row>
    <row r="168" spans="33:52" ph="1">
      <c r="AG168" s="64" t="s" ph="1">
        <v>305</v>
      </c>
      <c r="AI168" s="64" t="s" ph="1">
        <v>209</v>
      </c>
      <c r="AJ168" s="64" t="s" ph="1">
        <v>210</v>
      </c>
      <c r="AK168" s="64" t="s" ph="1">
        <v>211</v>
      </c>
      <c r="AM168" s="64" t="s" ph="1">
        <v>210</v>
      </c>
      <c r="AN168" s="64" t="s" ph="1">
        <v>211</v>
      </c>
      <c r="AO168" s="64" t="s" ph="1">
        <v>212</v>
      </c>
      <c r="AP168" s="64" t="s" ph="1">
        <v>210</v>
      </c>
      <c r="AQ168" s="64" t="s" ph="1">
        <v>211</v>
      </c>
      <c r="AR168" s="64" t="s" ph="1">
        <v>212</v>
      </c>
      <c r="AS168" s="64" t="s" ph="1">
        <v>210</v>
      </c>
      <c r="AT168" s="64" t="s" ph="1">
        <v>211</v>
      </c>
      <c r="AU168" s="64" t="s" ph="1">
        <v>212</v>
      </c>
      <c r="AV168" s="64" t="s" ph="1">
        <v>210</v>
      </c>
      <c r="AW168" s="64" t="s" ph="1">
        <v>211</v>
      </c>
      <c r="AX168" s="64" t="s" ph="1">
        <v>212</v>
      </c>
      <c r="AY168" s="64" t="s" ph="1">
        <v>211</v>
      </c>
      <c r="AZ168" s="64" t="s" ph="1">
        <v>213</v>
      </c>
    </row>
    <row r="169" spans="33:52" ph="1">
      <c r="AH169" s="64" ph="1">
        <v>1</v>
      </c>
      <c r="AI169" s="64" t="s" ph="1">
        <v>563</v>
      </c>
      <c r="AY169" s="64" t="s" ph="1">
        <v>216</v>
      </c>
      <c r="AZ169" s="64" t="s" ph="1">
        <v>367</v>
      </c>
    </row>
    <row r="170" spans="33:52" ph="1">
      <c r="AH170" s="64" ph="1">
        <v>2</v>
      </c>
      <c r="AI170" s="64" t="s" ph="1">
        <v>564</v>
      </c>
      <c r="AY170" s="64" t="s" ph="1">
        <v>216</v>
      </c>
      <c r="AZ170" s="64" t="s" ph="1">
        <v>367</v>
      </c>
    </row>
    <row r="171" spans="33:52" ph="1">
      <c r="AH171" s="64" ph="1">
        <v>3</v>
      </c>
      <c r="AI171" s="64" t="s" ph="1">
        <v>565</v>
      </c>
      <c r="AY171" s="64" t="s" ph="1">
        <v>216</v>
      </c>
      <c r="AZ171" s="64" t="s" ph="1">
        <v>367</v>
      </c>
    </row>
    <row r="172" spans="33:52" ph="1">
      <c r="AH172" s="64" ph="1">
        <v>4</v>
      </c>
      <c r="AI172" s="64" t="s" ph="1">
        <v>566</v>
      </c>
      <c r="AY172" s="64" t="s" ph="1">
        <v>216</v>
      </c>
      <c r="AZ172" s="64" t="s" ph="1">
        <v>367</v>
      </c>
    </row>
    <row r="173" spans="33:52" ph="1">
      <c r="AH173" s="64" ph="1">
        <v>5</v>
      </c>
      <c r="AI173" s="64" t="s" ph="1">
        <v>567</v>
      </c>
      <c r="AY173" s="64" t="s" ph="1">
        <v>216</v>
      </c>
      <c r="AZ173" s="64" t="s" ph="1">
        <v>367</v>
      </c>
    </row>
    <row r="174" spans="33:52" ph="1">
      <c r="AZ174" s="64" t="s" ph="1">
        <v>385</v>
      </c>
    </row>
    <row r="175" spans="33:52" ph="1">
      <c r="AJ175" s="64" t="s" ph="1">
        <v>306</v>
      </c>
    </row>
    <row r="176" spans="33:52" ph="1">
      <c r="AJ176" s="64" t="s" ph="1">
        <v>307</v>
      </c>
      <c r="AK176" s="64" t="s" ph="1">
        <v>308</v>
      </c>
      <c r="AM176" s="64" t="s" ph="1">
        <v>309</v>
      </c>
      <c r="AO176" s="64" t="s" ph="1">
        <v>310</v>
      </c>
      <c r="AP176" s="64" t="s" ph="1">
        <v>311</v>
      </c>
      <c r="AQ176" s="64" t="s" ph="1">
        <v>301</v>
      </c>
      <c r="AR176" s="64" t="s" ph="1">
        <v>221</v>
      </c>
    </row>
    <row r="177" spans="36:56" ph="1">
      <c r="AJ177" s="64" t="s" ph="1">
        <v>603</v>
      </c>
      <c r="AK177" s="64" t="s" ph="1">
        <v>312</v>
      </c>
      <c r="AO177" s="64" t="s" ph="1">
        <v>312</v>
      </c>
      <c r="AP177" s="64" t="s" ph="1">
        <v>312</v>
      </c>
      <c r="AQ177" s="64" t="s" ph="1">
        <v>313</v>
      </c>
      <c r="AR177" s="64" t="s" ph="1">
        <v>314</v>
      </c>
    </row>
    <row r="179" spans="36:56" ph="1">
      <c r="AJ179" s="64" t="s" ph="1">
        <v>315</v>
      </c>
      <c r="AK179" s="64" t="s" ph="1">
        <v>316</v>
      </c>
      <c r="AM179" s="64" t="s" ph="1">
        <v>317</v>
      </c>
      <c r="AN179" s="64" t="s" ph="1">
        <v>293</v>
      </c>
      <c r="AO179" s="64" t="s" ph="1">
        <v>318</v>
      </c>
      <c r="AP179" s="64" t="s" ph="1">
        <v>297</v>
      </c>
      <c r="AQ179" s="64" t="s" ph="1">
        <v>319</v>
      </c>
      <c r="AR179" s="64" t="s" ph="1">
        <v>320</v>
      </c>
    </row>
    <row r="180" spans="36:56" ph="1">
      <c r="AJ180" s="64" t="s" ph="1">
        <v>312</v>
      </c>
      <c r="AK180" s="64" t="s" ph="1">
        <v>312</v>
      </c>
      <c r="AL180" s="64" ph="1">
        <v>116</v>
      </c>
      <c r="AM180" s="64" t="s" ph="1">
        <v>312</v>
      </c>
      <c r="AN180" s="64" t="s" ph="1">
        <v>321</v>
      </c>
      <c r="AO180" s="64" t="s" ph="1">
        <v>312</v>
      </c>
      <c r="AP180" s="64" t="s" ph="1">
        <v>322</v>
      </c>
      <c r="AQ180" s="64" t="s" ph="1">
        <v>323</v>
      </c>
      <c r="AR180" s="64" t="s" ph="1">
        <v>324</v>
      </c>
    </row>
    <row r="189" spans="36:56" ph="1">
      <c r="BD189" s="64" t="s" ph="1">
        <v>568</v>
      </c>
    </row>
    <row r="223" spans="18:18" ph="1">
      <c r="R223" s="135" ph="1">
        <v>45496</v>
      </c>
    </row>
  </sheetData>
  <mergeCells count="58"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S31:U31"/>
    <mergeCell ref="V31:X31"/>
    <mergeCell ref="Y31:AA31"/>
    <mergeCell ref="AB31:AE31"/>
    <mergeCell ref="AD32:AE32"/>
    <mergeCell ref="B33:C34"/>
    <mergeCell ref="D33:D34"/>
    <mergeCell ref="E33:E34"/>
    <mergeCell ref="F33:F34"/>
    <mergeCell ref="G33:G34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</mergeCells>
  <phoneticPr fontId="2" type="noConversion"/>
  <conditionalFormatting sqref="D4:D11">
    <cfRule type="expression" dxfId="130" priority="101">
      <formula>ABS(D$7-D$10)&gt;=1000</formula>
    </cfRule>
  </conditionalFormatting>
  <conditionalFormatting sqref="E4 E6:E11">
    <cfRule type="expression" dxfId="129" priority="100">
      <formula>ABS(E$7-E$10)&gt;=1000</formula>
    </cfRule>
  </conditionalFormatting>
  <conditionalFormatting sqref="F4:F11">
    <cfRule type="expression" dxfId="128" priority="99">
      <formula>ABS(F$7-F$10)&gt;=1000</formula>
    </cfRule>
  </conditionalFormatting>
  <conditionalFormatting sqref="G4:G11">
    <cfRule type="expression" dxfId="127" priority="98">
      <formula>ABS(G$7-G$10)&gt;=1000</formula>
    </cfRule>
  </conditionalFormatting>
  <conditionalFormatting sqref="H4:H11">
    <cfRule type="expression" dxfId="126" priority="97">
      <formula>ABS(H$7-H$10)&gt;=1000</formula>
    </cfRule>
  </conditionalFormatting>
  <conditionalFormatting sqref="I4:I11">
    <cfRule type="expression" dxfId="125" priority="96">
      <formula>ABS(I$7-I$10)&gt;=1000</formula>
    </cfRule>
  </conditionalFormatting>
  <conditionalFormatting sqref="J4:J11">
    <cfRule type="expression" dxfId="124" priority="95">
      <formula>ABS(J$7-J$10)&gt;=1000</formula>
    </cfRule>
  </conditionalFormatting>
  <conditionalFormatting sqref="K4:K11">
    <cfRule type="expression" dxfId="123" priority="94">
      <formula>ABS(K$7-K$10)&gt;=1000</formula>
    </cfRule>
  </conditionalFormatting>
  <conditionalFormatting sqref="L4:L11">
    <cfRule type="expression" dxfId="122" priority="93">
      <formula>ABS(L$7-L$10)&gt;=1000</formula>
    </cfRule>
  </conditionalFormatting>
  <conditionalFormatting sqref="M4 M6:M11">
    <cfRule type="expression" dxfId="121" priority="92">
      <formula>ABS(M$7-M$10)&gt;=1000</formula>
    </cfRule>
  </conditionalFormatting>
  <conditionalFormatting sqref="N4 N6:N11">
    <cfRule type="expression" dxfId="120" priority="91">
      <formula>ABS(N$7-N$10)&gt;=1000</formula>
    </cfRule>
  </conditionalFormatting>
  <conditionalFormatting sqref="O4 O6:O11">
    <cfRule type="expression" dxfId="119" priority="90">
      <formula>ABS(O$7-O$10)&gt;=1000</formula>
    </cfRule>
  </conditionalFormatting>
  <conditionalFormatting sqref="P4 P6:P11">
    <cfRule type="expression" dxfId="118" priority="89">
      <formula>ABS(P$7-P$10)&gt;=1000</formula>
    </cfRule>
  </conditionalFormatting>
  <conditionalFormatting sqref="Q4:Q11">
    <cfRule type="expression" dxfId="117" priority="88">
      <formula>ABS(Q$7-Q$10)&gt;=1000</formula>
    </cfRule>
  </conditionalFormatting>
  <conditionalFormatting sqref="R4:R11">
    <cfRule type="expression" dxfId="116" priority="87">
      <formula>ABS(R$7-R$10)&gt;=1000</formula>
    </cfRule>
  </conditionalFormatting>
  <conditionalFormatting sqref="S4:S11">
    <cfRule type="expression" dxfId="115" priority="86">
      <formula>ABS(S$7-S$10)&gt;=1000</formula>
    </cfRule>
  </conditionalFormatting>
  <conditionalFormatting sqref="T4:T9 T11">
    <cfRule type="expression" dxfId="114" priority="85">
      <formula>ABS(T$7-T$10)&gt;=1000</formula>
    </cfRule>
  </conditionalFormatting>
  <conditionalFormatting sqref="U4:U9 U11">
    <cfRule type="expression" dxfId="113" priority="84">
      <formula>ABS(U$7-U$10)&gt;=1000</formula>
    </cfRule>
  </conditionalFormatting>
  <conditionalFormatting sqref="V4:V9 V11">
    <cfRule type="expression" dxfId="112" priority="83">
      <formula>ABS(V$7-V$10)&gt;=1000</formula>
    </cfRule>
  </conditionalFormatting>
  <conditionalFormatting sqref="W4:W9 W11">
    <cfRule type="expression" dxfId="111" priority="82">
      <formula>ABS(W$7-W$10)&gt;=1000</formula>
    </cfRule>
  </conditionalFormatting>
  <conditionalFormatting sqref="X4:X9 X11">
    <cfRule type="expression" dxfId="110" priority="81">
      <formula>ABS(X$7-X$10)&gt;=1000</formula>
    </cfRule>
  </conditionalFormatting>
  <conditionalFormatting sqref="Y4:Y9 Y11">
    <cfRule type="expression" dxfId="109" priority="80">
      <formula>ABS(Y$7-Y$10)&gt;=1000</formula>
    </cfRule>
  </conditionalFormatting>
  <conditionalFormatting sqref="Z4:Z11">
    <cfRule type="expression" dxfId="108" priority="79">
      <formula>ABS(Z$7-Z$10)&gt;=1000</formula>
    </cfRule>
  </conditionalFormatting>
  <conditionalFormatting sqref="AA4:AA11">
    <cfRule type="expression" dxfId="107" priority="78">
      <formula>ABS(AA$7-AA$10)&gt;=1000</formula>
    </cfRule>
  </conditionalFormatting>
  <conditionalFormatting sqref="AB4:AB11">
    <cfRule type="expression" dxfId="106" priority="77">
      <formula>ABS(AB$7-AB$10)&gt;=1000</formula>
    </cfRule>
  </conditionalFormatting>
  <conditionalFormatting sqref="AC4 AC6:AC11">
    <cfRule type="expression" dxfId="105" priority="76">
      <formula>ABS(AC$7-AC$10)&gt;=1000</formula>
    </cfRule>
  </conditionalFormatting>
  <conditionalFormatting sqref="AD4 AD6:AD11">
    <cfRule type="expression" dxfId="104" priority="75">
      <formula>ABS(AD$7-AD$10)&gt;=1000</formula>
    </cfRule>
  </conditionalFormatting>
  <conditionalFormatting sqref="AE4 AE6:AE11">
    <cfRule type="expression" dxfId="103" priority="74">
      <formula>ABS(AE$7-AE$10)&gt;=1000</formula>
    </cfRule>
  </conditionalFormatting>
  <conditionalFormatting sqref="D13:D20">
    <cfRule type="expression" dxfId="102" priority="73">
      <formula>ABS(D$16-D$19)&gt;=1000</formula>
    </cfRule>
  </conditionalFormatting>
  <conditionalFormatting sqref="E13:E20">
    <cfRule type="expression" dxfId="101" priority="72">
      <formula>ABS(E$16-E$19)&gt;=1000</formula>
    </cfRule>
  </conditionalFormatting>
  <conditionalFormatting sqref="F13 F15:F20">
    <cfRule type="expression" dxfId="100" priority="71">
      <formula>ABS(F$16-F$19)&gt;=1000</formula>
    </cfRule>
  </conditionalFormatting>
  <conditionalFormatting sqref="G13:G20">
    <cfRule type="expression" dxfId="99" priority="70">
      <formula>ABS(G$16-G$19)&gt;=1000</formula>
    </cfRule>
  </conditionalFormatting>
  <conditionalFormatting sqref="H13 H15:H20">
    <cfRule type="expression" dxfId="98" priority="69">
      <formula>ABS(H$16-H$19)&gt;=1000</formula>
    </cfRule>
  </conditionalFormatting>
  <conditionalFormatting sqref="I13:I20">
    <cfRule type="expression" dxfId="97" priority="68">
      <formula>ABS(I$16-I$19)&gt;=1000</formula>
    </cfRule>
  </conditionalFormatting>
  <conditionalFormatting sqref="J13:J20">
    <cfRule type="expression" dxfId="96" priority="67">
      <formula>ABS(J$16-J$19)&gt;=1000</formula>
    </cfRule>
  </conditionalFormatting>
  <conditionalFormatting sqref="L13:L20">
    <cfRule type="expression" dxfId="95" priority="66">
      <formula>ABS(L$16-L$19)&gt;=1000</formula>
    </cfRule>
  </conditionalFormatting>
  <conditionalFormatting sqref="M13 M15 M17:M18 M20">
    <cfRule type="expression" dxfId="94" priority="65">
      <formula>ABS(M$16-M$19)&gt;=1000</formula>
    </cfRule>
  </conditionalFormatting>
  <conditionalFormatting sqref="N13:N20">
    <cfRule type="expression" dxfId="93" priority="64">
      <formula>ABS(N$16-N$19)&gt;=1000</formula>
    </cfRule>
  </conditionalFormatting>
  <conditionalFormatting sqref="O13:O20">
    <cfRule type="expression" dxfId="92" priority="63">
      <formula>ABS(O$16-O$19)&gt;=1000</formula>
    </cfRule>
  </conditionalFormatting>
  <conditionalFormatting sqref="P13:P20">
    <cfRule type="expression" dxfId="91" priority="62">
      <formula>ABS(P$16-P$19)&gt;=1000</formula>
    </cfRule>
  </conditionalFormatting>
  <conditionalFormatting sqref="Q13 Q15:Q20">
    <cfRule type="expression" dxfId="90" priority="61">
      <formula>ABS(Q$16-Q$19)&gt;=1000</formula>
    </cfRule>
  </conditionalFormatting>
  <conditionalFormatting sqref="R13:R20">
    <cfRule type="expression" dxfId="89" priority="60">
      <formula>ABS(R$16-R$19)&gt;=1000</formula>
    </cfRule>
  </conditionalFormatting>
  <conditionalFormatting sqref="S13:S20">
    <cfRule type="expression" dxfId="88" priority="59">
      <formula>ABS(S$16-S$19)&gt;=1000</formula>
    </cfRule>
  </conditionalFormatting>
  <conditionalFormatting sqref="T13:T15 T17:T20">
    <cfRule type="expression" dxfId="87" priority="58">
      <formula>ABS(T$16-T$19)&gt;=1000</formula>
    </cfRule>
  </conditionalFormatting>
  <conditionalFormatting sqref="U13:U20">
    <cfRule type="expression" dxfId="86" priority="57">
      <formula>ABS(U$16-U$19)&gt;=1000</formula>
    </cfRule>
  </conditionalFormatting>
  <conditionalFormatting sqref="V13:V20">
    <cfRule type="expression" dxfId="85" priority="56">
      <formula>ABS(V$16-V$19)&gt;=1000</formula>
    </cfRule>
  </conditionalFormatting>
  <conditionalFormatting sqref="W13 W20 W15:W18">
    <cfRule type="expression" dxfId="84" priority="55">
      <formula>ABS(W$16-W$19)&gt;=1000</formula>
    </cfRule>
  </conditionalFormatting>
  <conditionalFormatting sqref="X13 X15:X20 Y19">
    <cfRule type="expression" dxfId="83" priority="54">
      <formula>ABS(X$16-X$19)&gt;=1000</formula>
    </cfRule>
  </conditionalFormatting>
  <conditionalFormatting sqref="Y13 Y15:Y18 Y20">
    <cfRule type="expression" dxfId="82" priority="53">
      <formula>ABS(Y$16-Y$19)&gt;=1000</formula>
    </cfRule>
  </conditionalFormatting>
  <conditionalFormatting sqref="Z13:Z20">
    <cfRule type="expression" dxfId="81" priority="52">
      <formula>ABS(Z$16-Z$19)&gt;=1000</formula>
    </cfRule>
  </conditionalFormatting>
  <conditionalFormatting sqref="AA13:AA20">
    <cfRule type="expression" dxfId="80" priority="51">
      <formula>ABS(AA$16-AA$19)&gt;=1000</formula>
    </cfRule>
  </conditionalFormatting>
  <conditionalFormatting sqref="AB13 AB15:AB20">
    <cfRule type="expression" dxfId="79" priority="50">
      <formula>ABS(AB$16-AB$19)&gt;=1000</formula>
    </cfRule>
  </conditionalFormatting>
  <conditionalFormatting sqref="AC13 AC15:AC20">
    <cfRule type="expression" dxfId="78" priority="49">
      <formula>ABS(AC$16-AC$19)&gt;=1000</formula>
    </cfRule>
  </conditionalFormatting>
  <conditionalFormatting sqref="AD13:AD20">
    <cfRule type="expression" dxfId="77" priority="48">
      <formula>ABS(AD$16-AD$19)&gt;=1000</formula>
    </cfRule>
  </conditionalFormatting>
  <conditionalFormatting sqref="AE13:AE20">
    <cfRule type="expression" dxfId="76" priority="47">
      <formula>ABS(AE$16-AE$19)&gt;=1000</formula>
    </cfRule>
  </conditionalFormatting>
  <conditionalFormatting sqref="D22:D29">
    <cfRule type="expression" dxfId="75" priority="46">
      <formula>ABS(D$25-D$28)&gt;=1000</formula>
    </cfRule>
  </conditionalFormatting>
  <conditionalFormatting sqref="E22:E29">
    <cfRule type="expression" dxfId="74" priority="45">
      <formula>ABS(E$25-E$28)&gt;=1000</formula>
    </cfRule>
  </conditionalFormatting>
  <conditionalFormatting sqref="F22:F29">
    <cfRule type="expression" dxfId="73" priority="44">
      <formula>ABS(F$25-F$28)&gt;=1000</formula>
    </cfRule>
  </conditionalFormatting>
  <conditionalFormatting sqref="G22:G29">
    <cfRule type="expression" dxfId="72" priority="43">
      <formula>ABS(G$25-G$28)&gt;=1000</formula>
    </cfRule>
  </conditionalFormatting>
  <conditionalFormatting sqref="H22:H29">
    <cfRule type="expression" dxfId="71" priority="42">
      <formula>ABS(H$25-H$28)&gt;=1000</formula>
    </cfRule>
  </conditionalFormatting>
  <conditionalFormatting sqref="I22 I24:I29">
    <cfRule type="expression" dxfId="70" priority="41">
      <formula>ABS(I$25-I$28)&gt;=1000</formula>
    </cfRule>
  </conditionalFormatting>
  <conditionalFormatting sqref="J22:J29 K22">
    <cfRule type="expression" dxfId="69" priority="40">
      <formula>ABS(J$25-J$28)&gt;=1000</formula>
    </cfRule>
  </conditionalFormatting>
  <conditionalFormatting sqref="K23:K29 L25 L28">
    <cfRule type="expression" dxfId="68" priority="39">
      <formula>ABS(K$25-K$28)&gt;=1000</formula>
    </cfRule>
  </conditionalFormatting>
  <conditionalFormatting sqref="L22 L26:L27 L29 L24">
    <cfRule type="expression" dxfId="67" priority="38">
      <formula>ABS(L$25-L$28)&gt;=1000</formula>
    </cfRule>
  </conditionalFormatting>
  <conditionalFormatting sqref="M22:M29">
    <cfRule type="expression" dxfId="66" priority="37">
      <formula>ABS(M$25-M$28)&gt;=1000</formula>
    </cfRule>
  </conditionalFormatting>
  <conditionalFormatting sqref="N22:N29">
    <cfRule type="expression" dxfId="65" priority="36">
      <formula>ABS(N$25-N$28)&gt;=1000</formula>
    </cfRule>
  </conditionalFormatting>
  <conditionalFormatting sqref="O22:O29">
    <cfRule type="expression" dxfId="64" priority="35">
      <formula>ABS(O$25-O$28)&gt;=1000</formula>
    </cfRule>
  </conditionalFormatting>
  <conditionalFormatting sqref="P22:P29">
    <cfRule type="expression" dxfId="63" priority="34">
      <formula>ABS(P$25-P$28)&gt;=1000</formula>
    </cfRule>
  </conditionalFormatting>
  <conditionalFormatting sqref="Q22:Q29">
    <cfRule type="expression" dxfId="62" priority="33">
      <formula>ABS(Q$25-Q$28)&gt;=1000</formula>
    </cfRule>
  </conditionalFormatting>
  <conditionalFormatting sqref="R22:R29">
    <cfRule type="expression" dxfId="61" priority="32">
      <formula>ABS(R$25-R$28)&gt;=1000</formula>
    </cfRule>
  </conditionalFormatting>
  <conditionalFormatting sqref="S22:S29">
    <cfRule type="expression" dxfId="60" priority="31">
      <formula>ABS(S$25-S$28)&gt;=1000</formula>
    </cfRule>
  </conditionalFormatting>
  <conditionalFormatting sqref="T22:T29">
    <cfRule type="expression" dxfId="59" priority="30">
      <formula>ABS(T$25-T$28)&gt;=1000</formula>
    </cfRule>
  </conditionalFormatting>
  <conditionalFormatting sqref="U22:U29">
    <cfRule type="expression" dxfId="58" priority="29">
      <formula>ABS(U$25-U$28)&gt;=1000</formula>
    </cfRule>
  </conditionalFormatting>
  <conditionalFormatting sqref="V22:V29">
    <cfRule type="expression" dxfId="57" priority="28">
      <formula>ABS(V$25-V$28)&gt;=1000</formula>
    </cfRule>
  </conditionalFormatting>
  <conditionalFormatting sqref="W22:W29">
    <cfRule type="expression" dxfId="56" priority="27">
      <formula>ABS(W$25-W$28)&gt;=1000</formula>
    </cfRule>
  </conditionalFormatting>
  <conditionalFormatting sqref="X22:X29">
    <cfRule type="expression" dxfId="55" priority="26">
      <formula>ABS(X$25-X$28)&gt;=1000</formula>
    </cfRule>
  </conditionalFormatting>
  <conditionalFormatting sqref="Y22:Y29">
    <cfRule type="expression" dxfId="54" priority="25">
      <formula>ABS(Y$25-Y$28)&gt;=1000</formula>
    </cfRule>
  </conditionalFormatting>
  <conditionalFormatting sqref="I23">
    <cfRule type="expression" dxfId="53" priority="24">
      <formula>ABS(I$25-I$28)&gt;=1000</formula>
    </cfRule>
  </conditionalFormatting>
  <conditionalFormatting sqref="Q14">
    <cfRule type="expression" dxfId="52" priority="23">
      <formula>ABS(Q$16-Q$19)&gt;=1000</formula>
    </cfRule>
  </conditionalFormatting>
  <conditionalFormatting sqref="W14">
    <cfRule type="expression" dxfId="51" priority="22">
      <formula>ABS(W$16-W$19)&gt;=1000</formula>
    </cfRule>
  </conditionalFormatting>
  <conditionalFormatting sqref="X14">
    <cfRule type="expression" dxfId="50" priority="21">
      <formula>ABS(X$16-X$19)&gt;=1000</formula>
    </cfRule>
  </conditionalFormatting>
  <conditionalFormatting sqref="T10:Y10">
    <cfRule type="expression" dxfId="49" priority="20">
      <formula>ABS(T$7-T$10)&gt;=1000</formula>
    </cfRule>
  </conditionalFormatting>
  <conditionalFormatting sqref="W19">
    <cfRule type="expression" dxfId="48" priority="19">
      <formula>ABS(W$16-W$19)&gt;=1000</formula>
    </cfRule>
  </conditionalFormatting>
  <conditionalFormatting sqref="AC5">
    <cfRule type="expression" dxfId="47" priority="18">
      <formula>ABS(AC$7-AC$10)&gt;=1000</formula>
    </cfRule>
  </conditionalFormatting>
  <conditionalFormatting sqref="M14">
    <cfRule type="expression" dxfId="46" priority="17">
      <formula>ABS(M$16-M$19)&gt;=1000</formula>
    </cfRule>
  </conditionalFormatting>
  <conditionalFormatting sqref="M16">
    <cfRule type="expression" dxfId="45" priority="16">
      <formula>ABS(M$16-M$19)&gt;=1000</formula>
    </cfRule>
  </conditionalFormatting>
  <conditionalFormatting sqref="M19">
    <cfRule type="expression" dxfId="44" priority="15">
      <formula>ABS(M$16-M$19)&gt;=1000</formula>
    </cfRule>
  </conditionalFormatting>
  <conditionalFormatting sqref="K13:K20">
    <cfRule type="expression" dxfId="43" priority="14">
      <formula>ABS(K$16-K$19)&gt;=1000</formula>
    </cfRule>
  </conditionalFormatting>
  <conditionalFormatting sqref="E5">
    <cfRule type="expression" dxfId="42" priority="13">
      <formula>ABS(E$7-E$10)&gt;=1000</formula>
    </cfRule>
  </conditionalFormatting>
  <conditionalFormatting sqref="AB14:AC14">
    <cfRule type="expression" dxfId="41" priority="12">
      <formula>ABS(AB$16-AB$19)&gt;=1000</formula>
    </cfRule>
  </conditionalFormatting>
  <conditionalFormatting sqref="M5">
    <cfRule type="expression" dxfId="40" priority="11">
      <formula>ABS(M$7-M$10)&gt;=1000</formula>
    </cfRule>
  </conditionalFormatting>
  <conditionalFormatting sqref="N5">
    <cfRule type="expression" dxfId="39" priority="10">
      <formula>ABS(N$7-N$10)&gt;=1000</formula>
    </cfRule>
  </conditionalFormatting>
  <conditionalFormatting sqref="O5">
    <cfRule type="expression" dxfId="38" priority="9">
      <formula>ABS(O$7-O$10)&gt;=1000</formula>
    </cfRule>
  </conditionalFormatting>
  <conditionalFormatting sqref="P5">
    <cfRule type="expression" dxfId="37" priority="8">
      <formula>ABS(P$7-P$10)&gt;=1000</formula>
    </cfRule>
  </conditionalFormatting>
  <conditionalFormatting sqref="L23">
    <cfRule type="expression" dxfId="36" priority="7">
      <formula>ABS(L$25-L$28)&gt;=1000</formula>
    </cfRule>
  </conditionalFormatting>
  <conditionalFormatting sqref="Y14">
    <cfRule type="expression" dxfId="35" priority="6">
      <formula>ABS(Y$16-Y$19)&gt;=1000</formula>
    </cfRule>
  </conditionalFormatting>
  <conditionalFormatting sqref="F14">
    <cfRule type="expression" dxfId="34" priority="5">
      <formula>ABS(F$16-F$19)&gt;=1000</formula>
    </cfRule>
  </conditionalFormatting>
  <conditionalFormatting sqref="H14">
    <cfRule type="expression" dxfId="33" priority="4">
      <formula>ABS(H$16-H$19)&gt;=1000</formula>
    </cfRule>
  </conditionalFormatting>
  <conditionalFormatting sqref="AD5">
    <cfRule type="expression" dxfId="32" priority="3">
      <formula>ABS(AD$7-AD$10)&gt;=1000</formula>
    </cfRule>
  </conditionalFormatting>
  <conditionalFormatting sqref="AE5">
    <cfRule type="expression" dxfId="31" priority="2">
      <formula>ABS(AE$7-AE$10)&gt;=1000</formula>
    </cfRule>
  </conditionalFormatting>
  <conditionalFormatting sqref="T16">
    <cfRule type="expression" dxfId="30" priority="1">
      <formula>ABS(T$16-T$19)&gt;=1000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92801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24</vt:i4>
      </vt:variant>
      <vt:variant>
        <vt:lpstr>已命名的範圍</vt:lpstr>
      </vt:variant>
      <vt:variant>
        <vt:i4>24</vt:i4>
      </vt:variant>
    </vt:vector>
  </HeadingPairs>
  <TitlesOfParts>
    <vt:vector size="48" baseType="lpstr">
      <vt:lpstr>新增</vt:lpstr>
      <vt:lpstr>密度</vt:lpstr>
      <vt:lpstr>5.29</vt:lpstr>
      <vt:lpstr>6.1</vt:lpstr>
      <vt:lpstr>6.2</vt:lpstr>
      <vt:lpstr>6.3</vt:lpstr>
      <vt:lpstr>6.4</vt:lpstr>
      <vt:lpstr>6.5</vt:lpstr>
      <vt:lpstr>6.8</vt:lpstr>
      <vt:lpstr>6.9</vt:lpstr>
      <vt:lpstr>6.10</vt:lpstr>
      <vt:lpstr>6.11</vt:lpstr>
      <vt:lpstr>6.12</vt:lpstr>
      <vt:lpstr>6.15</vt:lpstr>
      <vt:lpstr>6.16</vt:lpstr>
      <vt:lpstr>6.17</vt:lpstr>
      <vt:lpstr>6.18</vt:lpstr>
      <vt:lpstr>6.22</vt:lpstr>
      <vt:lpstr>6.23</vt:lpstr>
      <vt:lpstr>6.24</vt:lpstr>
      <vt:lpstr>6.25</vt:lpstr>
      <vt:lpstr>6.26</vt:lpstr>
      <vt:lpstr>6.29</vt:lpstr>
      <vt:lpstr>6.30</vt:lpstr>
      <vt:lpstr>'5.29'!Print_Area</vt:lpstr>
      <vt:lpstr>'6.1'!Print_Area</vt:lpstr>
      <vt:lpstr>'6.10'!Print_Area</vt:lpstr>
      <vt:lpstr>'6.11'!Print_Area</vt:lpstr>
      <vt:lpstr>'6.12'!Print_Area</vt:lpstr>
      <vt:lpstr>'6.15'!Print_Area</vt:lpstr>
      <vt:lpstr>'6.16'!Print_Area</vt:lpstr>
      <vt:lpstr>'6.17'!Print_Area</vt:lpstr>
      <vt:lpstr>'6.18'!Print_Area</vt:lpstr>
      <vt:lpstr>'6.2'!Print_Area</vt:lpstr>
      <vt:lpstr>'6.22'!Print_Area</vt:lpstr>
      <vt:lpstr>'6.23'!Print_Area</vt:lpstr>
      <vt:lpstr>'6.24'!Print_Area</vt:lpstr>
      <vt:lpstr>'6.25'!Print_Area</vt:lpstr>
      <vt:lpstr>'6.26'!Print_Area</vt:lpstr>
      <vt:lpstr>'6.29'!Print_Area</vt:lpstr>
      <vt:lpstr>'6.3'!Print_Area</vt:lpstr>
      <vt:lpstr>'6.30'!Print_Area</vt:lpstr>
      <vt:lpstr>'6.4'!Print_Area</vt:lpstr>
      <vt:lpstr>'6.5'!Print_Area</vt:lpstr>
      <vt:lpstr>'6.8'!Print_Area</vt:lpstr>
      <vt:lpstr>'6.9'!Print_Area</vt:lpstr>
      <vt:lpstr>密度!Print_Area</vt:lpstr>
      <vt:lpstr>新增!Print_Area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C663</dc:creator>
  <cp:lastModifiedBy>C712-PC</cp:lastModifiedBy>
  <cp:lastPrinted>2026-06-29T07:24:37Z</cp:lastPrinted>
  <dcterms:created xsi:type="dcterms:W3CDTF">2006-09-16T00:00:00Z</dcterms:created>
  <dcterms:modified xsi:type="dcterms:W3CDTF">2026-06-30T07:33:33Z</dcterms:modified>
</cp:coreProperties>
</file>