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5.xml" ContentType="application/vnd.openxmlformats-officedocument.drawing+xml"/>
  <Override PartName="/xl/ctrlProps/ctrlProp24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9" activeTab="25"/>
  </bookViews>
  <sheets>
    <sheet name="新增" sheetId="1727" r:id="rId1"/>
    <sheet name="密度" sheetId="13" r:id="rId2"/>
    <sheet name="2.26" sheetId="2096" r:id="rId3"/>
    <sheet name="3.1" sheetId="2103" r:id="rId4"/>
    <sheet name="3.2" sheetId="2104" r:id="rId5"/>
    <sheet name="3.3" sheetId="2105" r:id="rId6"/>
    <sheet name="3.4" sheetId="2106" r:id="rId7"/>
    <sheet name="3.5" sheetId="2107" r:id="rId8"/>
    <sheet name="3.6" sheetId="2108" r:id="rId9"/>
    <sheet name="3.9" sheetId="2109" r:id="rId10"/>
    <sheet name="3.10" sheetId="2110" r:id="rId11"/>
    <sheet name="3.11" sheetId="2111" r:id="rId12"/>
    <sheet name="3.12" sheetId="2112" r:id="rId13"/>
    <sheet name="3.13" sheetId="2113" r:id="rId14"/>
    <sheet name="3.16" sheetId="2114" r:id="rId15"/>
    <sheet name="3.17" sheetId="2115" r:id="rId16"/>
    <sheet name="3.18" sheetId="2116" r:id="rId17"/>
    <sheet name="3.19" sheetId="2117" r:id="rId18"/>
    <sheet name="3.20" sheetId="2118" r:id="rId19"/>
    <sheet name="3.23" sheetId="2119" r:id="rId20"/>
    <sheet name="3.24" sheetId="2120" r:id="rId21"/>
    <sheet name="3.25" sheetId="2121" r:id="rId22"/>
    <sheet name="3.26" sheetId="2122" r:id="rId23"/>
    <sheet name="3.27" sheetId="2123" r:id="rId24"/>
    <sheet name="3.30" sheetId="2124" r:id="rId25"/>
    <sheet name="3.31" sheetId="2125" r:id="rId26"/>
  </sheets>
  <definedNames>
    <definedName name="_xlnm.Print_Area" localSheetId="2">'2.26'!$B$1:$AE$36</definedName>
    <definedName name="_xlnm.Print_Area" localSheetId="3">'3.1'!$B$1:$AE$36</definedName>
    <definedName name="_xlnm.Print_Area" localSheetId="10">'3.10'!$B$1:$AE$36</definedName>
    <definedName name="_xlnm.Print_Area" localSheetId="11">'3.11'!$B$1:$AE$36</definedName>
    <definedName name="_xlnm.Print_Area" localSheetId="12">'3.12'!$B$1:$AE$36</definedName>
    <definedName name="_xlnm.Print_Area" localSheetId="13">'3.13'!$B$1:$AE$36</definedName>
    <definedName name="_xlnm.Print_Area" localSheetId="14">'3.16'!$B$1:$AE$36</definedName>
    <definedName name="_xlnm.Print_Area" localSheetId="15">'3.17'!$B$1:$AE$36</definedName>
    <definedName name="_xlnm.Print_Area" localSheetId="16">'3.18'!$B$1:$AE$36</definedName>
    <definedName name="_xlnm.Print_Area" localSheetId="17">'3.19'!$B$1:$AE$36</definedName>
    <definedName name="_xlnm.Print_Area" localSheetId="4">'3.2'!$B$1:$AE$36</definedName>
    <definedName name="_xlnm.Print_Area" localSheetId="18">'3.20'!$B$1:$AE$36</definedName>
    <definedName name="_xlnm.Print_Area" localSheetId="19">'3.23'!$B$1:$AE$36</definedName>
    <definedName name="_xlnm.Print_Area" localSheetId="20">'3.24'!$B$1:$AE$36</definedName>
    <definedName name="_xlnm.Print_Area" localSheetId="21">'3.25'!$B$1:$AE$36</definedName>
    <definedName name="_xlnm.Print_Area" localSheetId="22">'3.26'!$B$1:$AE$36</definedName>
    <definedName name="_xlnm.Print_Area" localSheetId="23">'3.27'!$B$1:$AE$36</definedName>
    <definedName name="_xlnm.Print_Area" localSheetId="5">'3.3'!$B$1:$AE$36</definedName>
    <definedName name="_xlnm.Print_Area" localSheetId="24">'3.30'!$B$1:$AE$36</definedName>
    <definedName name="_xlnm.Print_Area" localSheetId="25">'3.31'!$B$1:$AE$36</definedName>
    <definedName name="_xlnm.Print_Area" localSheetId="6">'3.4'!$B$1:$AE$36</definedName>
    <definedName name="_xlnm.Print_Area" localSheetId="7">'3.5'!$B$1:$AE$36</definedName>
    <definedName name="_xlnm.Print_Area" localSheetId="8">'3.6'!$B$1:$AE$36</definedName>
    <definedName name="_xlnm.Print_Area" localSheetId="9">'3.9'!$B$1:$AE$36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'2.26'!$B$3:$AE$36</definedName>
    <definedName name="Z_512059F6_F0DC_4056_8FD0_37088AB81F9E_.wvu.PrintArea" localSheetId="3" hidden="1">'3.1'!$B$3:$AE$36</definedName>
    <definedName name="Z_512059F6_F0DC_4056_8FD0_37088AB81F9E_.wvu.PrintArea" localSheetId="10" hidden="1">'3.10'!$B$3:$AE$36</definedName>
    <definedName name="Z_512059F6_F0DC_4056_8FD0_37088AB81F9E_.wvu.PrintArea" localSheetId="11" hidden="1">'3.11'!$B$3:$AE$36</definedName>
    <definedName name="Z_512059F6_F0DC_4056_8FD0_37088AB81F9E_.wvu.PrintArea" localSheetId="12" hidden="1">'3.12'!$B$3:$AE$36</definedName>
    <definedName name="Z_512059F6_F0DC_4056_8FD0_37088AB81F9E_.wvu.PrintArea" localSheetId="13" hidden="1">'3.13'!$B$3:$AE$36</definedName>
    <definedName name="Z_512059F6_F0DC_4056_8FD0_37088AB81F9E_.wvu.PrintArea" localSheetId="14" hidden="1">'3.16'!$B$3:$AE$36</definedName>
    <definedName name="Z_512059F6_F0DC_4056_8FD0_37088AB81F9E_.wvu.PrintArea" localSheetId="15" hidden="1">'3.17'!$B$3:$AE$36</definedName>
    <definedName name="Z_512059F6_F0DC_4056_8FD0_37088AB81F9E_.wvu.PrintArea" localSheetId="16" hidden="1">'3.18'!$B$3:$AE$36</definedName>
    <definedName name="Z_512059F6_F0DC_4056_8FD0_37088AB81F9E_.wvu.PrintArea" localSheetId="17" hidden="1">'3.19'!$B$3:$AE$36</definedName>
    <definedName name="Z_512059F6_F0DC_4056_8FD0_37088AB81F9E_.wvu.PrintArea" localSheetId="4" hidden="1">'3.2'!$B$3:$AE$36</definedName>
    <definedName name="Z_512059F6_F0DC_4056_8FD0_37088AB81F9E_.wvu.PrintArea" localSheetId="18" hidden="1">'3.20'!$B$3:$AE$36</definedName>
    <definedName name="Z_512059F6_F0DC_4056_8FD0_37088AB81F9E_.wvu.PrintArea" localSheetId="19" hidden="1">'3.23'!$B$3:$AE$36</definedName>
    <definedName name="Z_512059F6_F0DC_4056_8FD0_37088AB81F9E_.wvu.PrintArea" localSheetId="20" hidden="1">'3.24'!$B$3:$AE$36</definedName>
    <definedName name="Z_512059F6_F0DC_4056_8FD0_37088AB81F9E_.wvu.PrintArea" localSheetId="21" hidden="1">'3.25'!$B$3:$AE$36</definedName>
    <definedName name="Z_512059F6_F0DC_4056_8FD0_37088AB81F9E_.wvu.PrintArea" localSheetId="22" hidden="1">'3.26'!$B$3:$AE$36</definedName>
    <definedName name="Z_512059F6_F0DC_4056_8FD0_37088AB81F9E_.wvu.PrintArea" localSheetId="23" hidden="1">'3.27'!$B$3:$AE$36</definedName>
    <definedName name="Z_512059F6_F0DC_4056_8FD0_37088AB81F9E_.wvu.PrintArea" localSheetId="5" hidden="1">'3.3'!$B$3:$AE$36</definedName>
    <definedName name="Z_512059F6_F0DC_4056_8FD0_37088AB81F9E_.wvu.PrintArea" localSheetId="24" hidden="1">'3.30'!$B$3:$AE$36</definedName>
    <definedName name="Z_512059F6_F0DC_4056_8FD0_37088AB81F9E_.wvu.PrintArea" localSheetId="25" hidden="1">'3.31'!$B$3:$AE$36</definedName>
    <definedName name="Z_512059F6_F0DC_4056_8FD0_37088AB81F9E_.wvu.PrintArea" localSheetId="6" hidden="1">'3.4'!$B$3:$AE$36</definedName>
    <definedName name="Z_512059F6_F0DC_4056_8FD0_37088AB81F9E_.wvu.PrintArea" localSheetId="7" hidden="1">'3.5'!$B$3:$AE$36</definedName>
    <definedName name="Z_512059F6_F0DC_4056_8FD0_37088AB81F9E_.wvu.PrintArea" localSheetId="8" hidden="1">'3.6'!$B$3:$AE$36</definedName>
    <definedName name="Z_512059F6_F0DC_4056_8FD0_37088AB81F9E_.wvu.PrintArea" localSheetId="9" hidden="1">'3.9'!$B$3:$AE$36</definedName>
    <definedName name="Z_68643476_8805_447E_8170_A582EA1D0343_.wvu.PrintArea" localSheetId="2" hidden="1">'2.26'!$B$3:$AE$36</definedName>
    <definedName name="Z_68643476_8805_447E_8170_A582EA1D0343_.wvu.PrintArea" localSheetId="3" hidden="1">'3.1'!$B$3:$AE$36</definedName>
    <definedName name="Z_68643476_8805_447E_8170_A582EA1D0343_.wvu.PrintArea" localSheetId="10" hidden="1">'3.10'!$B$3:$AE$36</definedName>
    <definedName name="Z_68643476_8805_447E_8170_A582EA1D0343_.wvu.PrintArea" localSheetId="11" hidden="1">'3.11'!$B$3:$AE$36</definedName>
    <definedName name="Z_68643476_8805_447E_8170_A582EA1D0343_.wvu.PrintArea" localSheetId="12" hidden="1">'3.12'!$B$3:$AE$36</definedName>
    <definedName name="Z_68643476_8805_447E_8170_A582EA1D0343_.wvu.PrintArea" localSheetId="13" hidden="1">'3.13'!$B$3:$AE$36</definedName>
    <definedName name="Z_68643476_8805_447E_8170_A582EA1D0343_.wvu.PrintArea" localSheetId="14" hidden="1">'3.16'!$B$3:$AE$36</definedName>
    <definedName name="Z_68643476_8805_447E_8170_A582EA1D0343_.wvu.PrintArea" localSheetId="15" hidden="1">'3.17'!$B$3:$AE$36</definedName>
    <definedName name="Z_68643476_8805_447E_8170_A582EA1D0343_.wvu.PrintArea" localSheetId="16" hidden="1">'3.18'!$B$3:$AE$36</definedName>
    <definedName name="Z_68643476_8805_447E_8170_A582EA1D0343_.wvu.PrintArea" localSheetId="17" hidden="1">'3.19'!$B$3:$AE$36</definedName>
    <definedName name="Z_68643476_8805_447E_8170_A582EA1D0343_.wvu.PrintArea" localSheetId="4" hidden="1">'3.2'!$B$3:$AE$36</definedName>
    <definedName name="Z_68643476_8805_447E_8170_A582EA1D0343_.wvu.PrintArea" localSheetId="18" hidden="1">'3.20'!$B$3:$AE$36</definedName>
    <definedName name="Z_68643476_8805_447E_8170_A582EA1D0343_.wvu.PrintArea" localSheetId="19" hidden="1">'3.23'!$B$3:$AE$36</definedName>
    <definedName name="Z_68643476_8805_447E_8170_A582EA1D0343_.wvu.PrintArea" localSheetId="20" hidden="1">'3.24'!$B$3:$AE$36</definedName>
    <definedName name="Z_68643476_8805_447E_8170_A582EA1D0343_.wvu.PrintArea" localSheetId="21" hidden="1">'3.25'!$B$3:$AE$36</definedName>
    <definedName name="Z_68643476_8805_447E_8170_A582EA1D0343_.wvu.PrintArea" localSheetId="22" hidden="1">'3.26'!$B$3:$AE$36</definedName>
    <definedName name="Z_68643476_8805_447E_8170_A582EA1D0343_.wvu.PrintArea" localSheetId="23" hidden="1">'3.27'!$B$3:$AE$36</definedName>
    <definedName name="Z_68643476_8805_447E_8170_A582EA1D0343_.wvu.PrintArea" localSheetId="5" hidden="1">'3.3'!$B$3:$AE$36</definedName>
    <definedName name="Z_68643476_8805_447E_8170_A582EA1D0343_.wvu.PrintArea" localSheetId="24" hidden="1">'3.30'!$B$3:$AE$36</definedName>
    <definedName name="Z_68643476_8805_447E_8170_A582EA1D0343_.wvu.PrintArea" localSheetId="25" hidden="1">'3.31'!$B$3:$AE$36</definedName>
    <definedName name="Z_68643476_8805_447E_8170_A582EA1D0343_.wvu.PrintArea" localSheetId="6" hidden="1">'3.4'!$B$3:$AE$36</definedName>
    <definedName name="Z_68643476_8805_447E_8170_A582EA1D0343_.wvu.PrintArea" localSheetId="7" hidden="1">'3.5'!$B$3:$AE$36</definedName>
    <definedName name="Z_68643476_8805_447E_8170_A582EA1D0343_.wvu.PrintArea" localSheetId="8" hidden="1">'3.6'!$B$3:$AE$36</definedName>
    <definedName name="Z_68643476_8805_447E_8170_A582EA1D0343_.wvu.PrintArea" localSheetId="9" hidden="1">'3.9'!$B$3:$AE$36</definedName>
    <definedName name="Z_8E5926ED_4EBD_4129_B8FF_799CC47580D7_.wvu.PrintArea" localSheetId="2" hidden="1">'2.26'!$B$3:$AE$36</definedName>
    <definedName name="Z_8E5926ED_4EBD_4129_B8FF_799CC47580D7_.wvu.PrintArea" localSheetId="3" hidden="1">'3.1'!$B$3:$AE$36</definedName>
    <definedName name="Z_8E5926ED_4EBD_4129_B8FF_799CC47580D7_.wvu.PrintArea" localSheetId="10" hidden="1">'3.10'!$B$3:$AE$36</definedName>
    <definedName name="Z_8E5926ED_4EBD_4129_B8FF_799CC47580D7_.wvu.PrintArea" localSheetId="11" hidden="1">'3.11'!$B$3:$AE$36</definedName>
    <definedName name="Z_8E5926ED_4EBD_4129_B8FF_799CC47580D7_.wvu.PrintArea" localSheetId="12" hidden="1">'3.12'!$B$3:$AE$36</definedName>
    <definedName name="Z_8E5926ED_4EBD_4129_B8FF_799CC47580D7_.wvu.PrintArea" localSheetId="13" hidden="1">'3.13'!$B$3:$AE$36</definedName>
    <definedName name="Z_8E5926ED_4EBD_4129_B8FF_799CC47580D7_.wvu.PrintArea" localSheetId="14" hidden="1">'3.16'!$B$3:$AE$36</definedName>
    <definedName name="Z_8E5926ED_4EBD_4129_B8FF_799CC47580D7_.wvu.PrintArea" localSheetId="15" hidden="1">'3.17'!$B$3:$AE$36</definedName>
    <definedName name="Z_8E5926ED_4EBD_4129_B8FF_799CC47580D7_.wvu.PrintArea" localSheetId="16" hidden="1">'3.18'!$B$3:$AE$36</definedName>
    <definedName name="Z_8E5926ED_4EBD_4129_B8FF_799CC47580D7_.wvu.PrintArea" localSheetId="17" hidden="1">'3.19'!$B$3:$AE$36</definedName>
    <definedName name="Z_8E5926ED_4EBD_4129_B8FF_799CC47580D7_.wvu.PrintArea" localSheetId="4" hidden="1">'3.2'!$B$3:$AE$36</definedName>
    <definedName name="Z_8E5926ED_4EBD_4129_B8FF_799CC47580D7_.wvu.PrintArea" localSheetId="18" hidden="1">'3.20'!$B$3:$AE$36</definedName>
    <definedName name="Z_8E5926ED_4EBD_4129_B8FF_799CC47580D7_.wvu.PrintArea" localSheetId="19" hidden="1">'3.23'!$B$3:$AE$36</definedName>
    <definedName name="Z_8E5926ED_4EBD_4129_B8FF_799CC47580D7_.wvu.PrintArea" localSheetId="20" hidden="1">'3.24'!$B$3:$AE$36</definedName>
    <definedName name="Z_8E5926ED_4EBD_4129_B8FF_799CC47580D7_.wvu.PrintArea" localSheetId="21" hidden="1">'3.25'!$B$3:$AE$36</definedName>
    <definedName name="Z_8E5926ED_4EBD_4129_B8FF_799CC47580D7_.wvu.PrintArea" localSheetId="22" hidden="1">'3.26'!$B$3:$AE$36</definedName>
    <definedName name="Z_8E5926ED_4EBD_4129_B8FF_799CC47580D7_.wvu.PrintArea" localSheetId="23" hidden="1">'3.27'!$B$3:$AE$36</definedName>
    <definedName name="Z_8E5926ED_4EBD_4129_B8FF_799CC47580D7_.wvu.PrintArea" localSheetId="5" hidden="1">'3.3'!$B$3:$AE$36</definedName>
    <definedName name="Z_8E5926ED_4EBD_4129_B8FF_799CC47580D7_.wvu.PrintArea" localSheetId="24" hidden="1">'3.30'!$B$3:$AE$36</definedName>
    <definedName name="Z_8E5926ED_4EBD_4129_B8FF_799CC47580D7_.wvu.PrintArea" localSheetId="25" hidden="1">'3.31'!$B$3:$AE$36</definedName>
    <definedName name="Z_8E5926ED_4EBD_4129_B8FF_799CC47580D7_.wvu.PrintArea" localSheetId="6" hidden="1">'3.4'!$B$3:$AE$36</definedName>
    <definedName name="Z_8E5926ED_4EBD_4129_B8FF_799CC47580D7_.wvu.PrintArea" localSheetId="7" hidden="1">'3.5'!$B$3:$AE$36</definedName>
    <definedName name="Z_8E5926ED_4EBD_4129_B8FF_799CC47580D7_.wvu.PrintArea" localSheetId="8" hidden="1">'3.6'!$B$3:$AE$36</definedName>
    <definedName name="Z_8E5926ED_4EBD_4129_B8FF_799CC47580D7_.wvu.PrintArea" localSheetId="9" hidden="1">'3.9'!$B$3:$AE$36</definedName>
    <definedName name="Z_8FA8B620_C56C_11DB_A857_00055D5FD5FF_.wvu.PrintArea" localSheetId="2" hidden="1">'2.26'!$B$3:$AE$36</definedName>
    <definedName name="Z_8FA8B620_C56C_11DB_A857_00055D5FD5FF_.wvu.PrintArea" localSheetId="3" hidden="1">'3.1'!$B$3:$AE$36</definedName>
    <definedName name="Z_8FA8B620_C56C_11DB_A857_00055D5FD5FF_.wvu.PrintArea" localSheetId="10" hidden="1">'3.10'!$B$3:$AE$36</definedName>
    <definedName name="Z_8FA8B620_C56C_11DB_A857_00055D5FD5FF_.wvu.PrintArea" localSheetId="11" hidden="1">'3.11'!$B$3:$AE$36</definedName>
    <definedName name="Z_8FA8B620_C56C_11DB_A857_00055D5FD5FF_.wvu.PrintArea" localSheetId="12" hidden="1">'3.12'!$B$3:$AE$36</definedName>
    <definedName name="Z_8FA8B620_C56C_11DB_A857_00055D5FD5FF_.wvu.PrintArea" localSheetId="13" hidden="1">'3.13'!$B$3:$AE$36</definedName>
    <definedName name="Z_8FA8B620_C56C_11DB_A857_00055D5FD5FF_.wvu.PrintArea" localSheetId="14" hidden="1">'3.16'!$B$3:$AE$36</definedName>
    <definedName name="Z_8FA8B620_C56C_11DB_A857_00055D5FD5FF_.wvu.PrintArea" localSheetId="15" hidden="1">'3.17'!$B$3:$AE$36</definedName>
    <definedName name="Z_8FA8B620_C56C_11DB_A857_00055D5FD5FF_.wvu.PrintArea" localSheetId="16" hidden="1">'3.18'!$B$3:$AE$36</definedName>
    <definedName name="Z_8FA8B620_C56C_11DB_A857_00055D5FD5FF_.wvu.PrintArea" localSheetId="17" hidden="1">'3.19'!$B$3:$AE$36</definedName>
    <definedName name="Z_8FA8B620_C56C_11DB_A857_00055D5FD5FF_.wvu.PrintArea" localSheetId="4" hidden="1">'3.2'!$B$3:$AE$36</definedName>
    <definedName name="Z_8FA8B620_C56C_11DB_A857_00055D5FD5FF_.wvu.PrintArea" localSheetId="18" hidden="1">'3.20'!$B$3:$AE$36</definedName>
    <definedName name="Z_8FA8B620_C56C_11DB_A857_00055D5FD5FF_.wvu.PrintArea" localSheetId="19" hidden="1">'3.23'!$B$3:$AE$36</definedName>
    <definedName name="Z_8FA8B620_C56C_11DB_A857_00055D5FD5FF_.wvu.PrintArea" localSheetId="20" hidden="1">'3.24'!$B$3:$AE$36</definedName>
    <definedName name="Z_8FA8B620_C56C_11DB_A857_00055D5FD5FF_.wvu.PrintArea" localSheetId="21" hidden="1">'3.25'!$B$3:$AE$36</definedName>
    <definedName name="Z_8FA8B620_C56C_11DB_A857_00055D5FD5FF_.wvu.PrintArea" localSheetId="22" hidden="1">'3.26'!$B$3:$AE$36</definedName>
    <definedName name="Z_8FA8B620_C56C_11DB_A857_00055D5FD5FF_.wvu.PrintArea" localSheetId="23" hidden="1">'3.27'!$B$3:$AE$36</definedName>
    <definedName name="Z_8FA8B620_C56C_11DB_A857_00055D5FD5FF_.wvu.PrintArea" localSheetId="5" hidden="1">'3.3'!$B$3:$AE$36</definedName>
    <definedName name="Z_8FA8B620_C56C_11DB_A857_00055D5FD5FF_.wvu.PrintArea" localSheetId="24" hidden="1">'3.30'!$B$3:$AE$36</definedName>
    <definedName name="Z_8FA8B620_C56C_11DB_A857_00055D5FD5FF_.wvu.PrintArea" localSheetId="25" hidden="1">'3.31'!$B$3:$AE$36</definedName>
    <definedName name="Z_8FA8B620_C56C_11DB_A857_00055D5FD5FF_.wvu.PrintArea" localSheetId="6" hidden="1">'3.4'!$B$3:$AE$36</definedName>
    <definedName name="Z_8FA8B620_C56C_11DB_A857_00055D5FD5FF_.wvu.PrintArea" localSheetId="7" hidden="1">'3.5'!$B$3:$AE$36</definedName>
    <definedName name="Z_8FA8B620_C56C_11DB_A857_00055D5FD5FF_.wvu.PrintArea" localSheetId="8" hidden="1">'3.6'!$B$3:$AE$36</definedName>
    <definedName name="Z_8FA8B620_C56C_11DB_A857_00055D5FD5FF_.wvu.PrintArea" localSheetId="9" hidden="1">'3.9'!$B$3:$AE$36</definedName>
    <definedName name="Z_A3DB5619_047E_4CE2_8C39_700CFD25F2CB_.wvu.PrintArea" localSheetId="2" hidden="1">'2.26'!$B$3:$AE$36</definedName>
    <definedName name="Z_A3DB5619_047E_4CE2_8C39_700CFD25F2CB_.wvu.PrintArea" localSheetId="3" hidden="1">'3.1'!$B$3:$AE$36</definedName>
    <definedName name="Z_A3DB5619_047E_4CE2_8C39_700CFD25F2CB_.wvu.PrintArea" localSheetId="10" hidden="1">'3.10'!$B$3:$AE$36</definedName>
    <definedName name="Z_A3DB5619_047E_4CE2_8C39_700CFD25F2CB_.wvu.PrintArea" localSheetId="11" hidden="1">'3.11'!$B$3:$AE$36</definedName>
    <definedName name="Z_A3DB5619_047E_4CE2_8C39_700CFD25F2CB_.wvu.PrintArea" localSheetId="12" hidden="1">'3.12'!$B$3:$AE$36</definedName>
    <definedName name="Z_A3DB5619_047E_4CE2_8C39_700CFD25F2CB_.wvu.PrintArea" localSheetId="13" hidden="1">'3.13'!$B$3:$AE$36</definedName>
    <definedName name="Z_A3DB5619_047E_4CE2_8C39_700CFD25F2CB_.wvu.PrintArea" localSheetId="14" hidden="1">'3.16'!$B$3:$AE$36</definedName>
    <definedName name="Z_A3DB5619_047E_4CE2_8C39_700CFD25F2CB_.wvu.PrintArea" localSheetId="15" hidden="1">'3.17'!$B$3:$AE$36</definedName>
    <definedName name="Z_A3DB5619_047E_4CE2_8C39_700CFD25F2CB_.wvu.PrintArea" localSheetId="16" hidden="1">'3.18'!$B$3:$AE$36</definedName>
    <definedName name="Z_A3DB5619_047E_4CE2_8C39_700CFD25F2CB_.wvu.PrintArea" localSheetId="17" hidden="1">'3.19'!$B$3:$AE$36</definedName>
    <definedName name="Z_A3DB5619_047E_4CE2_8C39_700CFD25F2CB_.wvu.PrintArea" localSheetId="4" hidden="1">'3.2'!$B$3:$AE$36</definedName>
    <definedName name="Z_A3DB5619_047E_4CE2_8C39_700CFD25F2CB_.wvu.PrintArea" localSheetId="18" hidden="1">'3.20'!$B$3:$AE$36</definedName>
    <definedName name="Z_A3DB5619_047E_4CE2_8C39_700CFD25F2CB_.wvu.PrintArea" localSheetId="19" hidden="1">'3.23'!$B$3:$AE$36</definedName>
    <definedName name="Z_A3DB5619_047E_4CE2_8C39_700CFD25F2CB_.wvu.PrintArea" localSheetId="20" hidden="1">'3.24'!$B$3:$AE$36</definedName>
    <definedName name="Z_A3DB5619_047E_4CE2_8C39_700CFD25F2CB_.wvu.PrintArea" localSheetId="21" hidden="1">'3.25'!$B$3:$AE$36</definedName>
    <definedName name="Z_A3DB5619_047E_4CE2_8C39_700CFD25F2CB_.wvu.PrintArea" localSheetId="22" hidden="1">'3.26'!$B$3:$AE$36</definedName>
    <definedName name="Z_A3DB5619_047E_4CE2_8C39_700CFD25F2CB_.wvu.PrintArea" localSheetId="23" hidden="1">'3.27'!$B$3:$AE$36</definedName>
    <definedName name="Z_A3DB5619_047E_4CE2_8C39_700CFD25F2CB_.wvu.PrintArea" localSheetId="5" hidden="1">'3.3'!$B$3:$AE$36</definedName>
    <definedName name="Z_A3DB5619_047E_4CE2_8C39_700CFD25F2CB_.wvu.PrintArea" localSheetId="24" hidden="1">'3.30'!$B$3:$AE$36</definedName>
    <definedName name="Z_A3DB5619_047E_4CE2_8C39_700CFD25F2CB_.wvu.PrintArea" localSheetId="25" hidden="1">'3.31'!$B$3:$AE$36</definedName>
    <definedName name="Z_A3DB5619_047E_4CE2_8C39_700CFD25F2CB_.wvu.PrintArea" localSheetId="6" hidden="1">'3.4'!$B$3:$AE$36</definedName>
    <definedName name="Z_A3DB5619_047E_4CE2_8C39_700CFD25F2CB_.wvu.PrintArea" localSheetId="7" hidden="1">'3.5'!$B$3:$AE$36</definedName>
    <definedName name="Z_A3DB5619_047E_4CE2_8C39_700CFD25F2CB_.wvu.PrintArea" localSheetId="8" hidden="1">'3.6'!$B$3:$AE$36</definedName>
    <definedName name="Z_A3DB5619_047E_4CE2_8C39_700CFD25F2CB_.wvu.PrintArea" localSheetId="9" hidden="1">'3.9'!$B$3:$AE$36</definedName>
    <definedName name="Z_D903F940_B812_11DB_B168_0010B575B8B2_.wvu.PrintArea" localSheetId="2" hidden="1">'2.26'!$B$3:$AE$36</definedName>
    <definedName name="Z_D903F940_B812_11DB_B168_0010B575B8B2_.wvu.PrintArea" localSheetId="3" hidden="1">'3.1'!$B$3:$AE$36</definedName>
    <definedName name="Z_D903F940_B812_11DB_B168_0010B575B8B2_.wvu.PrintArea" localSheetId="10" hidden="1">'3.10'!$B$3:$AE$36</definedName>
    <definedName name="Z_D903F940_B812_11DB_B168_0010B575B8B2_.wvu.PrintArea" localSheetId="11" hidden="1">'3.11'!$B$3:$AE$36</definedName>
    <definedName name="Z_D903F940_B812_11DB_B168_0010B575B8B2_.wvu.PrintArea" localSheetId="12" hidden="1">'3.12'!$B$3:$AE$36</definedName>
    <definedName name="Z_D903F940_B812_11DB_B168_0010B575B8B2_.wvu.PrintArea" localSheetId="13" hidden="1">'3.13'!$B$3:$AE$36</definedName>
    <definedName name="Z_D903F940_B812_11DB_B168_0010B575B8B2_.wvu.PrintArea" localSheetId="14" hidden="1">'3.16'!$B$3:$AE$36</definedName>
    <definedName name="Z_D903F940_B812_11DB_B168_0010B575B8B2_.wvu.PrintArea" localSheetId="15" hidden="1">'3.17'!$B$3:$AE$36</definedName>
    <definedName name="Z_D903F940_B812_11DB_B168_0010B575B8B2_.wvu.PrintArea" localSheetId="16" hidden="1">'3.18'!$B$3:$AE$36</definedName>
    <definedName name="Z_D903F940_B812_11DB_B168_0010B575B8B2_.wvu.PrintArea" localSheetId="17" hidden="1">'3.19'!$B$3:$AE$36</definedName>
    <definedName name="Z_D903F940_B812_11DB_B168_0010B575B8B2_.wvu.PrintArea" localSheetId="4" hidden="1">'3.2'!$B$3:$AE$36</definedName>
    <definedName name="Z_D903F940_B812_11DB_B168_0010B575B8B2_.wvu.PrintArea" localSheetId="18" hidden="1">'3.20'!$B$3:$AE$36</definedName>
    <definedName name="Z_D903F940_B812_11DB_B168_0010B575B8B2_.wvu.PrintArea" localSheetId="19" hidden="1">'3.23'!$B$3:$AE$36</definedName>
    <definedName name="Z_D903F940_B812_11DB_B168_0010B575B8B2_.wvu.PrintArea" localSheetId="20" hidden="1">'3.24'!$B$3:$AE$36</definedName>
    <definedName name="Z_D903F940_B812_11DB_B168_0010B575B8B2_.wvu.PrintArea" localSheetId="21" hidden="1">'3.25'!$B$3:$AE$36</definedName>
    <definedName name="Z_D903F940_B812_11DB_B168_0010B575B8B2_.wvu.PrintArea" localSheetId="22" hidden="1">'3.26'!$B$3:$AE$36</definedName>
    <definedName name="Z_D903F940_B812_11DB_B168_0010B575B8B2_.wvu.PrintArea" localSheetId="23" hidden="1">'3.27'!$B$3:$AE$36</definedName>
    <definedName name="Z_D903F940_B812_11DB_B168_0010B575B8B2_.wvu.PrintArea" localSheetId="5" hidden="1">'3.3'!$B$3:$AE$36</definedName>
    <definedName name="Z_D903F940_B812_11DB_B168_0010B575B8B2_.wvu.PrintArea" localSheetId="24" hidden="1">'3.30'!$B$3:$AE$36</definedName>
    <definedName name="Z_D903F940_B812_11DB_B168_0010B575B8B2_.wvu.PrintArea" localSheetId="25" hidden="1">'3.31'!$B$3:$AE$36</definedName>
    <definedName name="Z_D903F940_B812_11DB_B168_0010B575B8B2_.wvu.PrintArea" localSheetId="6" hidden="1">'3.4'!$B$3:$AE$36</definedName>
    <definedName name="Z_D903F940_B812_11DB_B168_0010B575B8B2_.wvu.PrintArea" localSheetId="7" hidden="1">'3.5'!$B$3:$AE$36</definedName>
    <definedName name="Z_D903F940_B812_11DB_B168_0010B575B8B2_.wvu.PrintArea" localSheetId="8" hidden="1">'3.6'!$B$3:$AE$36</definedName>
    <definedName name="Z_D903F940_B812_11DB_B168_0010B575B8B2_.wvu.PrintArea" localSheetId="9" hidden="1">'3.9'!$B$3:$AE$36</definedName>
    <definedName name="取樣回收每月庫存表" localSheetId="2" hidden="1">'2.26'!#REF!</definedName>
    <definedName name="取樣回收每月庫存表" localSheetId="3" hidden="1">'3.1'!#REF!</definedName>
    <definedName name="取樣回收每月庫存表" localSheetId="10" hidden="1">'3.10'!#REF!</definedName>
    <definedName name="取樣回收每月庫存表" localSheetId="11" hidden="1">'3.11'!#REF!</definedName>
    <definedName name="取樣回收每月庫存表" localSheetId="12" hidden="1">'3.12'!#REF!</definedName>
    <definedName name="取樣回收每月庫存表" localSheetId="13" hidden="1">'3.13'!#REF!</definedName>
    <definedName name="取樣回收每月庫存表" localSheetId="14" hidden="1">'3.16'!#REF!</definedName>
    <definedName name="取樣回收每月庫存表" localSheetId="15" hidden="1">'3.17'!#REF!</definedName>
    <definedName name="取樣回收每月庫存表" localSheetId="16" hidden="1">'3.18'!#REF!</definedName>
    <definedName name="取樣回收每月庫存表" localSheetId="17" hidden="1">'3.19'!#REF!</definedName>
    <definedName name="取樣回收每月庫存表" localSheetId="4" hidden="1">'3.2'!#REF!</definedName>
    <definedName name="取樣回收每月庫存表" localSheetId="18" hidden="1">'3.20'!#REF!</definedName>
    <definedName name="取樣回收每月庫存表" localSheetId="19" hidden="1">'3.23'!#REF!</definedName>
    <definedName name="取樣回收每月庫存表" localSheetId="20" hidden="1">'3.24'!#REF!</definedName>
    <definedName name="取樣回收每月庫存表" localSheetId="21" hidden="1">'3.25'!#REF!</definedName>
    <definedName name="取樣回收每月庫存表" localSheetId="22" hidden="1">'3.26'!#REF!</definedName>
    <definedName name="取樣回收每月庫存表" localSheetId="23" hidden="1">'3.27'!#REF!</definedName>
    <definedName name="取樣回收每月庫存表" localSheetId="5" hidden="1">'3.3'!#REF!</definedName>
    <definedName name="取樣回收每月庫存表" localSheetId="24" hidden="1">'3.30'!#REF!</definedName>
    <definedName name="取樣回收每月庫存表" localSheetId="25" hidden="1">'3.31'!#REF!</definedName>
    <definedName name="取樣回收每月庫存表" localSheetId="6" hidden="1">'3.4'!#REF!</definedName>
    <definedName name="取樣回收每月庫存表" localSheetId="7" hidden="1">'3.5'!#REF!</definedName>
    <definedName name="取樣回收每月庫存表" localSheetId="8" hidden="1">'3.6'!#REF!</definedName>
    <definedName name="取樣回收每月庫存表" localSheetId="9" hidden="1">'3.9'!#REF!</definedName>
    <definedName name="取樣回收每月庫存表_0620更新" localSheetId="2" hidden="1">'2.26'!$AG$13:$BH$189</definedName>
    <definedName name="取樣回收每月庫存表_0620更新" localSheetId="3" hidden="1">'3.1'!$AG$13:$BH$189</definedName>
    <definedName name="取樣回收每月庫存表_0620更新" localSheetId="10" hidden="1">'3.10'!$AG$13:$BH$189</definedName>
    <definedName name="取樣回收每月庫存表_0620更新" localSheetId="11" hidden="1">'3.11'!$AG$13:$BH$189</definedName>
    <definedName name="取樣回收每月庫存表_0620更新" localSheetId="12" hidden="1">'3.12'!$AG$13:$BH$189</definedName>
    <definedName name="取樣回收每月庫存表_0620更新" localSheetId="13" hidden="1">'3.13'!$AG$13:$BH$189</definedName>
    <definedName name="取樣回收每月庫存表_0620更新" localSheetId="14" hidden="1">'3.16'!$AG$13:$BH$189</definedName>
    <definedName name="取樣回收每月庫存表_0620更新" localSheetId="15" hidden="1">'3.17'!$AG$13:$BH$189</definedName>
    <definedName name="取樣回收每月庫存表_0620更新" localSheetId="16" hidden="1">'3.18'!$AG$13:$BH$189</definedName>
    <definedName name="取樣回收每月庫存表_0620更新" localSheetId="17" hidden="1">'3.19'!$AG$13:$BH$189</definedName>
    <definedName name="取樣回收每月庫存表_0620更新" localSheetId="4" hidden="1">'3.2'!$AG$13:$BH$189</definedName>
    <definedName name="取樣回收每月庫存表_0620更新" localSheetId="18" hidden="1">'3.20'!$AG$13:$BH$189</definedName>
    <definedName name="取樣回收每月庫存表_0620更新" localSheetId="19" hidden="1">'3.23'!$AG$13:$BH$189</definedName>
    <definedName name="取樣回收每月庫存表_0620更新" localSheetId="20" hidden="1">'3.24'!$AG$13:$BH$189</definedName>
    <definedName name="取樣回收每月庫存表_0620更新" localSheetId="21" hidden="1">'3.25'!$AG$13:$BH$189</definedName>
    <definedName name="取樣回收每月庫存表_0620更新" localSheetId="22" hidden="1">'3.26'!$AG$13:$BH$189</definedName>
    <definedName name="取樣回收每月庫存表_0620更新" localSheetId="23" hidden="1">'3.27'!$AG$13:$BH$189</definedName>
    <definedName name="取樣回收每月庫存表_0620更新" localSheetId="5" hidden="1">'3.3'!$AG$13:$BH$189</definedName>
    <definedName name="取樣回收每月庫存表_0620更新" localSheetId="24" hidden="1">'3.30'!$AG$13:$BH$189</definedName>
    <definedName name="取樣回收每月庫存表_0620更新" localSheetId="25" hidden="1">'3.31'!$AG$13:$BH$189</definedName>
    <definedName name="取樣回收每月庫存表_0620更新" localSheetId="6" hidden="1">'3.4'!$AG$13:$BH$189</definedName>
    <definedName name="取樣回收每月庫存表_0620更新" localSheetId="7" hidden="1">'3.5'!$AG$13:$BH$189</definedName>
    <definedName name="取樣回收每月庫存表_0620更新" localSheetId="8" hidden="1">'3.6'!$AG$13:$BH$189</definedName>
    <definedName name="取樣回收每月庫存表_0620更新" localSheetId="9" hidden="1">'3.9'!$AG$13:$BH$189</definedName>
    <definedName name="複本_14_取樣回收每月庫存表" localSheetId="2" hidden="1">'2.26'!#REF!</definedName>
    <definedName name="複本_14_取樣回收每月庫存表" localSheetId="3" hidden="1">'3.1'!#REF!</definedName>
    <definedName name="複本_14_取樣回收每月庫存表" localSheetId="10" hidden="1">'3.10'!#REF!</definedName>
    <definedName name="複本_14_取樣回收每月庫存表" localSheetId="11" hidden="1">'3.11'!#REF!</definedName>
    <definedName name="複本_14_取樣回收每月庫存表" localSheetId="12" hidden="1">'3.12'!#REF!</definedName>
    <definedName name="複本_14_取樣回收每月庫存表" localSheetId="13" hidden="1">'3.13'!#REF!</definedName>
    <definedName name="複本_14_取樣回收每月庫存表" localSheetId="14" hidden="1">'3.16'!#REF!</definedName>
    <definedName name="複本_14_取樣回收每月庫存表" localSheetId="15" hidden="1">'3.17'!#REF!</definedName>
    <definedName name="複本_14_取樣回收每月庫存表" localSheetId="16" hidden="1">'3.18'!#REF!</definedName>
    <definedName name="複本_14_取樣回收每月庫存表" localSheetId="17" hidden="1">'3.19'!#REF!</definedName>
    <definedName name="複本_14_取樣回收每月庫存表" localSheetId="4" hidden="1">'3.2'!#REF!</definedName>
    <definedName name="複本_14_取樣回收每月庫存表" localSheetId="18" hidden="1">'3.20'!#REF!</definedName>
    <definedName name="複本_14_取樣回收每月庫存表" localSheetId="19" hidden="1">'3.23'!#REF!</definedName>
    <definedName name="複本_14_取樣回收每月庫存表" localSheetId="20" hidden="1">'3.24'!#REF!</definedName>
    <definedName name="複本_14_取樣回收每月庫存表" localSheetId="21" hidden="1">'3.25'!#REF!</definedName>
    <definedName name="複本_14_取樣回收每月庫存表" localSheetId="22" hidden="1">'3.26'!#REF!</definedName>
    <definedName name="複本_14_取樣回收每月庫存表" localSheetId="23" hidden="1">'3.27'!#REF!</definedName>
    <definedName name="複本_14_取樣回收每月庫存表" localSheetId="5" hidden="1">'3.3'!#REF!</definedName>
    <definedName name="複本_14_取樣回收每月庫存表" localSheetId="24" hidden="1">'3.30'!#REF!</definedName>
    <definedName name="複本_14_取樣回收每月庫存表" localSheetId="25" hidden="1">'3.31'!#REF!</definedName>
    <definedName name="複本_14_取樣回收每月庫存表" localSheetId="6" hidden="1">'3.4'!#REF!</definedName>
    <definedName name="複本_14_取樣回收每月庫存表" localSheetId="7" hidden="1">'3.5'!#REF!</definedName>
    <definedName name="複本_14_取樣回收每月庫存表" localSheetId="8" hidden="1">'3.6'!#REF!</definedName>
    <definedName name="複本_14_取樣回收每月庫存表" localSheetId="9" hidden="1">'3.9'!#REF!</definedName>
  </definedNames>
  <calcPr calcId="162913"/>
</workbook>
</file>

<file path=xl/calcChain.xml><?xml version="1.0" encoding="utf-8"?>
<calcChain xmlns="http://schemas.openxmlformats.org/spreadsheetml/2006/main">
  <c r="AA33" i="2125" l="1"/>
  <c r="X33" i="2125"/>
  <c r="U33" i="2125"/>
  <c r="R33" i="2125"/>
  <c r="F33" i="2125"/>
  <c r="Y28" i="2125"/>
  <c r="X28" i="2125"/>
  <c r="S33" i="2125" s="1"/>
  <c r="W28" i="2125"/>
  <c r="V28" i="2125"/>
  <c r="U28" i="2125"/>
  <c r="T28" i="2125"/>
  <c r="S28" i="2125"/>
  <c r="R28" i="2125"/>
  <c r="Q28" i="2125"/>
  <c r="P28" i="2125"/>
  <c r="O28" i="2125"/>
  <c r="N28" i="2125"/>
  <c r="M28" i="2125"/>
  <c r="L28" i="2125"/>
  <c r="K28" i="2125"/>
  <c r="J28" i="2125"/>
  <c r="I28" i="2125"/>
  <c r="H28" i="2125"/>
  <c r="G28" i="2125"/>
  <c r="F28" i="2125"/>
  <c r="E28" i="2125"/>
  <c r="D28" i="2125"/>
  <c r="Y25" i="2125"/>
  <c r="X25" i="2125"/>
  <c r="W25" i="2125"/>
  <c r="V25" i="2125"/>
  <c r="U25" i="2125"/>
  <c r="T25" i="2125"/>
  <c r="S25" i="2125"/>
  <c r="R25" i="2125"/>
  <c r="Q25" i="2125"/>
  <c r="P25" i="2125"/>
  <c r="O25" i="2125"/>
  <c r="N25" i="2125"/>
  <c r="M25" i="2125"/>
  <c r="L25" i="2125"/>
  <c r="K25" i="2125"/>
  <c r="J25" i="2125"/>
  <c r="I25" i="2125"/>
  <c r="H25" i="2125"/>
  <c r="G25" i="2125"/>
  <c r="F25" i="2125"/>
  <c r="E25" i="2125"/>
  <c r="D25" i="2125"/>
  <c r="AE19" i="2125"/>
  <c r="AD19" i="2125"/>
  <c r="AC19" i="2125"/>
  <c r="AB19" i="2125"/>
  <c r="AA19" i="2125"/>
  <c r="Z19" i="2125"/>
  <c r="Y19" i="2125"/>
  <c r="X19" i="2125"/>
  <c r="T33" i="2125" s="1"/>
  <c r="W19" i="2125"/>
  <c r="V19" i="2125"/>
  <c r="U19" i="2125"/>
  <c r="T19" i="2125"/>
  <c r="S19" i="2125"/>
  <c r="R19" i="2125"/>
  <c r="Q19" i="2125"/>
  <c r="P19" i="2125"/>
  <c r="O19" i="2125"/>
  <c r="N19" i="2125"/>
  <c r="G33" i="2125" s="1"/>
  <c r="M19" i="2125"/>
  <c r="H33" i="2125" s="1"/>
  <c r="L19" i="2125"/>
  <c r="P33" i="2125" s="1"/>
  <c r="K19" i="2125"/>
  <c r="L33" i="2125" s="1"/>
  <c r="J19" i="2125"/>
  <c r="I19" i="2125"/>
  <c r="AB33" i="2125" s="1"/>
  <c r="H19" i="2125"/>
  <c r="G19" i="2125"/>
  <c r="O33" i="2125" s="1"/>
  <c r="F19" i="2125"/>
  <c r="E19" i="2125"/>
  <c r="D19" i="2125"/>
  <c r="AE16" i="2125"/>
  <c r="AD16" i="2125"/>
  <c r="AC16" i="2125"/>
  <c r="AB16" i="2125"/>
  <c r="AA16" i="2125"/>
  <c r="Z16" i="2125"/>
  <c r="X16" i="2125"/>
  <c r="W16" i="2125"/>
  <c r="V16" i="2125"/>
  <c r="U16" i="2125"/>
  <c r="T16" i="2125"/>
  <c r="S16" i="2125"/>
  <c r="R16" i="2125"/>
  <c r="Q16" i="2125"/>
  <c r="P16" i="2125"/>
  <c r="O16" i="2125"/>
  <c r="N16" i="2125"/>
  <c r="M16" i="2125"/>
  <c r="L16" i="2125"/>
  <c r="K16" i="2125"/>
  <c r="J16" i="2125"/>
  <c r="I16" i="2125"/>
  <c r="H16" i="2125"/>
  <c r="G16" i="2125"/>
  <c r="F16" i="2125"/>
  <c r="E16" i="2125"/>
  <c r="D16" i="2125"/>
  <c r="AE10" i="2125"/>
  <c r="AD10" i="2125"/>
  <c r="AC10" i="2125"/>
  <c r="AB10" i="2125"/>
  <c r="AA10" i="2125"/>
  <c r="Z10" i="2125"/>
  <c r="Y10" i="2125"/>
  <c r="X10" i="2125"/>
  <c r="W10" i="2125"/>
  <c r="V10" i="2125"/>
  <c r="U10" i="2125"/>
  <c r="T10" i="2125"/>
  <c r="S10" i="2125"/>
  <c r="R10" i="2125"/>
  <c r="Q10" i="2125"/>
  <c r="P10" i="2125"/>
  <c r="O10" i="2125"/>
  <c r="N10" i="2125"/>
  <c r="Q33" i="2125" s="1"/>
  <c r="M10" i="2125"/>
  <c r="L10" i="2125"/>
  <c r="K10" i="2125"/>
  <c r="J10" i="2125"/>
  <c r="I10" i="2125"/>
  <c r="H10" i="2125"/>
  <c r="G10" i="2125"/>
  <c r="F10" i="2125"/>
  <c r="J33" i="2125" s="1"/>
  <c r="E10" i="2125"/>
  <c r="D10" i="2125"/>
  <c r="AE7" i="2125"/>
  <c r="AD7" i="2125"/>
  <c r="AC7" i="2125"/>
  <c r="AB7" i="2125"/>
  <c r="AA7" i="2125"/>
  <c r="Z7" i="2125"/>
  <c r="Y7" i="2125"/>
  <c r="X7" i="2125"/>
  <c r="W7" i="2125"/>
  <c r="V7" i="2125"/>
  <c r="U7" i="2125"/>
  <c r="T7" i="2125"/>
  <c r="S7" i="2125"/>
  <c r="R7" i="2125"/>
  <c r="Q7" i="2125"/>
  <c r="P7" i="2125"/>
  <c r="O7" i="2125"/>
  <c r="N7" i="2125"/>
  <c r="M7" i="2125"/>
  <c r="L7" i="2125"/>
  <c r="K7" i="2125"/>
  <c r="J7" i="2125"/>
  <c r="I7" i="2125"/>
  <c r="H7" i="2125"/>
  <c r="G7" i="2125"/>
  <c r="F7" i="2125"/>
  <c r="E7" i="2125"/>
  <c r="D7" i="2125"/>
  <c r="W33" i="2125" l="1"/>
  <c r="N33" i="2125"/>
  <c r="AC33" i="2125"/>
  <c r="Z33" i="2125"/>
  <c r="D33" i="2125"/>
  <c r="Y33" i="2125"/>
  <c r="E33" i="2125"/>
  <c r="K33" i="2125"/>
  <c r="M33" i="2125"/>
  <c r="V33" i="2125"/>
  <c r="AA33" i="2124"/>
  <c r="X33" i="2124"/>
  <c r="U33" i="2124"/>
  <c r="R33" i="2124"/>
  <c r="F33" i="2124"/>
  <c r="E33" i="2124"/>
  <c r="Y28" i="2124"/>
  <c r="X28" i="2124"/>
  <c r="S33" i="2124" s="1"/>
  <c r="W28" i="2124"/>
  <c r="V28" i="2124"/>
  <c r="U28" i="2124"/>
  <c r="T28" i="2124"/>
  <c r="S28" i="2124"/>
  <c r="R28" i="2124"/>
  <c r="Q28" i="2124"/>
  <c r="P28" i="2124"/>
  <c r="O28" i="2124"/>
  <c r="N28" i="2124"/>
  <c r="M28" i="2124"/>
  <c r="L28" i="2124"/>
  <c r="K28" i="2124"/>
  <c r="J28" i="2124"/>
  <c r="I28" i="2124"/>
  <c r="H28" i="2124"/>
  <c r="G28" i="2124"/>
  <c r="F28" i="2124"/>
  <c r="E28" i="2124"/>
  <c r="D28" i="2124"/>
  <c r="Y25" i="2124"/>
  <c r="X25" i="2124"/>
  <c r="W25" i="2124"/>
  <c r="V25" i="2124"/>
  <c r="U25" i="2124"/>
  <c r="T25" i="2124"/>
  <c r="S25" i="2124"/>
  <c r="R25" i="2124"/>
  <c r="Q25" i="2124"/>
  <c r="P25" i="2124"/>
  <c r="O25" i="2124"/>
  <c r="N25" i="2124"/>
  <c r="M25" i="2124"/>
  <c r="L25" i="2124"/>
  <c r="K25" i="2124"/>
  <c r="J25" i="2124"/>
  <c r="I25" i="2124"/>
  <c r="H25" i="2124"/>
  <c r="G25" i="2124"/>
  <c r="F25" i="2124"/>
  <c r="E25" i="2124"/>
  <c r="D25" i="2124"/>
  <c r="AE19" i="2124"/>
  <c r="AD19" i="2124"/>
  <c r="AC19" i="2124"/>
  <c r="AB19" i="2124"/>
  <c r="AA19" i="2124"/>
  <c r="Z19" i="2124"/>
  <c r="Y19" i="2124"/>
  <c r="X19" i="2124"/>
  <c r="T33" i="2124" s="1"/>
  <c r="W19" i="2124"/>
  <c r="V19" i="2124"/>
  <c r="U19" i="2124"/>
  <c r="T19" i="2124"/>
  <c r="S19" i="2124"/>
  <c r="R19" i="2124"/>
  <c r="Q19" i="2124"/>
  <c r="P19" i="2124"/>
  <c r="O19" i="2124"/>
  <c r="N19" i="2124"/>
  <c r="G33" i="2124" s="1"/>
  <c r="M19" i="2124"/>
  <c r="H33" i="2124" s="1"/>
  <c r="L19" i="2124"/>
  <c r="P33" i="2124" s="1"/>
  <c r="K19" i="2124"/>
  <c r="L33" i="2124" s="1"/>
  <c r="J19" i="2124"/>
  <c r="I19" i="2124"/>
  <c r="AB33" i="2124" s="1"/>
  <c r="H19" i="2124"/>
  <c r="G19" i="2124"/>
  <c r="O33" i="2124" s="1"/>
  <c r="F19" i="2124"/>
  <c r="E19" i="2124"/>
  <c r="D19" i="2124"/>
  <c r="AE16" i="2124"/>
  <c r="AD16" i="2124"/>
  <c r="AC16" i="2124"/>
  <c r="AB16" i="2124"/>
  <c r="AA16" i="2124"/>
  <c r="Z16" i="2124"/>
  <c r="X16" i="2124"/>
  <c r="W16" i="2124"/>
  <c r="V16" i="2124"/>
  <c r="U16" i="2124"/>
  <c r="T16" i="2124"/>
  <c r="S16" i="2124"/>
  <c r="R16" i="2124"/>
  <c r="Q16" i="2124"/>
  <c r="P16" i="2124"/>
  <c r="O16" i="2124"/>
  <c r="N16" i="2124"/>
  <c r="M16" i="2124"/>
  <c r="L16" i="2124"/>
  <c r="K16" i="2124"/>
  <c r="J16" i="2124"/>
  <c r="I16" i="2124"/>
  <c r="H16" i="2124"/>
  <c r="G16" i="2124"/>
  <c r="F16" i="2124"/>
  <c r="E16" i="2124"/>
  <c r="D16" i="2124"/>
  <c r="AE10" i="2124"/>
  <c r="AD10" i="2124"/>
  <c r="AC10" i="2124"/>
  <c r="AB10" i="2124"/>
  <c r="AA10" i="2124"/>
  <c r="Z10" i="2124"/>
  <c r="Y10" i="2124"/>
  <c r="X10" i="2124"/>
  <c r="W10" i="2124"/>
  <c r="V10" i="2124"/>
  <c r="U10" i="2124"/>
  <c r="T10" i="2124"/>
  <c r="S10" i="2124"/>
  <c r="R10" i="2124"/>
  <c r="Q10" i="2124"/>
  <c r="P10" i="2124"/>
  <c r="O10" i="2124"/>
  <c r="N10" i="2124"/>
  <c r="Q33" i="2124" s="1"/>
  <c r="M10" i="2124"/>
  <c r="L10" i="2124"/>
  <c r="K10" i="2124"/>
  <c r="J10" i="2124"/>
  <c r="I10" i="2124"/>
  <c r="H10" i="2124"/>
  <c r="G10" i="2124"/>
  <c r="F10" i="2124"/>
  <c r="E10" i="2124"/>
  <c r="D10" i="2124"/>
  <c r="AE7" i="2124"/>
  <c r="AD7" i="2124"/>
  <c r="AC7" i="2124"/>
  <c r="AB7" i="2124"/>
  <c r="AA7" i="2124"/>
  <c r="Z7" i="2124"/>
  <c r="Y7" i="2124"/>
  <c r="X7" i="2124"/>
  <c r="W7" i="2124"/>
  <c r="V7" i="2124"/>
  <c r="U7" i="2124"/>
  <c r="T7" i="2124"/>
  <c r="S7" i="2124"/>
  <c r="R7" i="2124"/>
  <c r="Q7" i="2124"/>
  <c r="P7" i="2124"/>
  <c r="O7" i="2124"/>
  <c r="N7" i="2124"/>
  <c r="M7" i="2124"/>
  <c r="L7" i="2124"/>
  <c r="K7" i="2124"/>
  <c r="J7" i="2124"/>
  <c r="I7" i="2124"/>
  <c r="H7" i="2124"/>
  <c r="G7" i="2124"/>
  <c r="F7" i="2124"/>
  <c r="E7" i="2124"/>
  <c r="D7" i="2124"/>
  <c r="J33" i="2124" l="1"/>
  <c r="W33" i="2124"/>
  <c r="AC33" i="2124"/>
  <c r="D33" i="2124"/>
  <c r="Z33" i="2124"/>
  <c r="Y33" i="2124"/>
  <c r="N33" i="2124"/>
  <c r="K33" i="2124"/>
  <c r="M33" i="2124"/>
  <c r="V33" i="2124"/>
  <c r="AA33" i="2123"/>
  <c r="X33" i="2123"/>
  <c r="U33" i="2123"/>
  <c r="R33" i="2123"/>
  <c r="F33" i="2123"/>
  <c r="Y28" i="2123"/>
  <c r="X28" i="2123"/>
  <c r="S33" i="2123" s="1"/>
  <c r="W28" i="2123"/>
  <c r="V28" i="2123"/>
  <c r="U28" i="2123"/>
  <c r="T28" i="2123"/>
  <c r="S28" i="2123"/>
  <c r="R28" i="2123"/>
  <c r="Q28" i="2123"/>
  <c r="P28" i="2123"/>
  <c r="O28" i="2123"/>
  <c r="N28" i="2123"/>
  <c r="M28" i="2123"/>
  <c r="L28" i="2123"/>
  <c r="K28" i="2123"/>
  <c r="J28" i="2123"/>
  <c r="I28" i="2123"/>
  <c r="H28" i="2123"/>
  <c r="G28" i="2123"/>
  <c r="F28" i="2123"/>
  <c r="E28" i="2123"/>
  <c r="D28" i="2123"/>
  <c r="Y25" i="2123"/>
  <c r="X25" i="2123"/>
  <c r="W25" i="2123"/>
  <c r="V25" i="2123"/>
  <c r="U25" i="2123"/>
  <c r="T25" i="2123"/>
  <c r="S25" i="2123"/>
  <c r="R25" i="2123"/>
  <c r="Q25" i="2123"/>
  <c r="P25" i="2123"/>
  <c r="O25" i="2123"/>
  <c r="N25" i="2123"/>
  <c r="M25" i="2123"/>
  <c r="L25" i="2123"/>
  <c r="K25" i="2123"/>
  <c r="J25" i="2123"/>
  <c r="I25" i="2123"/>
  <c r="H25" i="2123"/>
  <c r="G25" i="2123"/>
  <c r="F25" i="2123"/>
  <c r="E25" i="2123"/>
  <c r="D25" i="2123"/>
  <c r="AE19" i="2123"/>
  <c r="AD19" i="2123"/>
  <c r="AC19" i="2123"/>
  <c r="AB19" i="2123"/>
  <c r="AA19" i="2123"/>
  <c r="Z19" i="2123"/>
  <c r="Y19" i="2123"/>
  <c r="X19" i="2123"/>
  <c r="T33" i="2123" s="1"/>
  <c r="W19" i="2123"/>
  <c r="V19" i="2123"/>
  <c r="U19" i="2123"/>
  <c r="T19" i="2123"/>
  <c r="S19" i="2123"/>
  <c r="R19" i="2123"/>
  <c r="Q19" i="2123"/>
  <c r="P19" i="2123"/>
  <c r="O19" i="2123"/>
  <c r="N19" i="2123"/>
  <c r="G33" i="2123" s="1"/>
  <c r="M19" i="2123"/>
  <c r="H33" i="2123" s="1"/>
  <c r="L19" i="2123"/>
  <c r="P33" i="2123" s="1"/>
  <c r="K19" i="2123"/>
  <c r="L33" i="2123" s="1"/>
  <c r="J19" i="2123"/>
  <c r="I19" i="2123"/>
  <c r="AB33" i="2123" s="1"/>
  <c r="H19" i="2123"/>
  <c r="G19" i="2123"/>
  <c r="O33" i="2123" s="1"/>
  <c r="F19" i="2123"/>
  <c r="E19" i="2123"/>
  <c r="D19" i="2123"/>
  <c r="AE16" i="2123"/>
  <c r="AD16" i="2123"/>
  <c r="AC16" i="2123"/>
  <c r="AB16" i="2123"/>
  <c r="AA16" i="2123"/>
  <c r="Z16" i="2123"/>
  <c r="X16" i="2123"/>
  <c r="W16" i="2123"/>
  <c r="V16" i="2123"/>
  <c r="U16" i="2123"/>
  <c r="T16" i="2123"/>
  <c r="S16" i="2123"/>
  <c r="R16" i="2123"/>
  <c r="Q16" i="2123"/>
  <c r="P16" i="2123"/>
  <c r="O16" i="2123"/>
  <c r="N16" i="2123"/>
  <c r="M16" i="2123"/>
  <c r="L16" i="2123"/>
  <c r="K16" i="2123"/>
  <c r="J16" i="2123"/>
  <c r="I16" i="2123"/>
  <c r="H16" i="2123"/>
  <c r="G16" i="2123"/>
  <c r="F16" i="2123"/>
  <c r="E16" i="2123"/>
  <c r="D16" i="2123"/>
  <c r="AE10" i="2123"/>
  <c r="AD10" i="2123"/>
  <c r="AC10" i="2123"/>
  <c r="AB10" i="2123"/>
  <c r="AA10" i="2123"/>
  <c r="Z10" i="2123"/>
  <c r="Y10" i="2123"/>
  <c r="X10" i="2123"/>
  <c r="W10" i="2123"/>
  <c r="V10" i="2123"/>
  <c r="U10" i="2123"/>
  <c r="T10" i="2123"/>
  <c r="S10" i="2123"/>
  <c r="R10" i="2123"/>
  <c r="Q10" i="2123"/>
  <c r="P10" i="2123"/>
  <c r="O10" i="2123"/>
  <c r="N10" i="2123"/>
  <c r="M10" i="2123"/>
  <c r="L10" i="2123"/>
  <c r="K10" i="2123"/>
  <c r="J10" i="2123"/>
  <c r="I10" i="2123"/>
  <c r="H10" i="2123"/>
  <c r="G10" i="2123"/>
  <c r="F10" i="2123"/>
  <c r="E10" i="2123"/>
  <c r="D10" i="2123"/>
  <c r="AE7" i="2123"/>
  <c r="AD7" i="2123"/>
  <c r="AC7" i="2123"/>
  <c r="AB7" i="2123"/>
  <c r="AA7" i="2123"/>
  <c r="Z7" i="2123"/>
  <c r="Y7" i="2123"/>
  <c r="X7" i="2123"/>
  <c r="W7" i="2123"/>
  <c r="V7" i="2123"/>
  <c r="U7" i="2123"/>
  <c r="T7" i="2123"/>
  <c r="S7" i="2123"/>
  <c r="R7" i="2123"/>
  <c r="Q7" i="2123"/>
  <c r="P7" i="2123"/>
  <c r="O7" i="2123"/>
  <c r="N7" i="2123"/>
  <c r="M7" i="2123"/>
  <c r="L7" i="2123"/>
  <c r="K7" i="2123"/>
  <c r="J7" i="2123"/>
  <c r="I7" i="2123"/>
  <c r="H7" i="2123"/>
  <c r="G7" i="2123"/>
  <c r="F7" i="2123"/>
  <c r="E7" i="2123"/>
  <c r="D7" i="2123"/>
  <c r="J33" i="2123" l="1"/>
  <c r="W33" i="2123"/>
  <c r="N33" i="2123"/>
  <c r="AC33" i="2123"/>
  <c r="Z33" i="2123"/>
  <c r="D33" i="2123"/>
  <c r="Y33" i="2123"/>
  <c r="Q33" i="2123"/>
  <c r="E33" i="2123"/>
  <c r="K33" i="2123"/>
  <c r="M33" i="2123"/>
  <c r="V33" i="2123"/>
  <c r="AA33" i="2122"/>
  <c r="X33" i="2122"/>
  <c r="U33" i="2122"/>
  <c r="R33" i="2122"/>
  <c r="F33" i="2122"/>
  <c r="Y28" i="2122"/>
  <c r="X28" i="2122"/>
  <c r="S33" i="2122" s="1"/>
  <c r="W28" i="2122"/>
  <c r="V28" i="2122"/>
  <c r="U28" i="2122"/>
  <c r="T28" i="2122"/>
  <c r="S28" i="2122"/>
  <c r="R28" i="2122"/>
  <c r="Q28" i="2122"/>
  <c r="P28" i="2122"/>
  <c r="O28" i="2122"/>
  <c r="N28" i="2122"/>
  <c r="M28" i="2122"/>
  <c r="L28" i="2122"/>
  <c r="K28" i="2122"/>
  <c r="J28" i="2122"/>
  <c r="I28" i="2122"/>
  <c r="H28" i="2122"/>
  <c r="G28" i="2122"/>
  <c r="F28" i="2122"/>
  <c r="E28" i="2122"/>
  <c r="D28" i="2122"/>
  <c r="Y25" i="2122"/>
  <c r="X25" i="2122"/>
  <c r="W25" i="2122"/>
  <c r="V25" i="2122"/>
  <c r="U25" i="2122"/>
  <c r="T25" i="2122"/>
  <c r="S25" i="2122"/>
  <c r="R25" i="2122"/>
  <c r="Q25" i="2122"/>
  <c r="P25" i="2122"/>
  <c r="O25" i="2122"/>
  <c r="N25" i="2122"/>
  <c r="M25" i="2122"/>
  <c r="L25" i="2122"/>
  <c r="K25" i="2122"/>
  <c r="J25" i="2122"/>
  <c r="I25" i="2122"/>
  <c r="H25" i="2122"/>
  <c r="G25" i="2122"/>
  <c r="F25" i="2122"/>
  <c r="E25" i="2122"/>
  <c r="D25" i="2122"/>
  <c r="AE19" i="2122"/>
  <c r="AD19" i="2122"/>
  <c r="AC19" i="2122"/>
  <c r="AB19" i="2122"/>
  <c r="AA19" i="2122"/>
  <c r="Z19" i="2122"/>
  <c r="Y19" i="2122"/>
  <c r="X19" i="2122"/>
  <c r="T33" i="2122" s="1"/>
  <c r="W19" i="2122"/>
  <c r="V19" i="2122"/>
  <c r="U19" i="2122"/>
  <c r="T19" i="2122"/>
  <c r="S19" i="2122"/>
  <c r="R19" i="2122"/>
  <c r="Q19" i="2122"/>
  <c r="P19" i="2122"/>
  <c r="O19" i="2122"/>
  <c r="N19" i="2122"/>
  <c r="G33" i="2122" s="1"/>
  <c r="M19" i="2122"/>
  <c r="H33" i="2122" s="1"/>
  <c r="L19" i="2122"/>
  <c r="P33" i="2122" s="1"/>
  <c r="K19" i="2122"/>
  <c r="L33" i="2122" s="1"/>
  <c r="J19" i="2122"/>
  <c r="I19" i="2122"/>
  <c r="AB33" i="2122" s="1"/>
  <c r="H19" i="2122"/>
  <c r="G19" i="2122"/>
  <c r="O33" i="2122" s="1"/>
  <c r="F19" i="2122"/>
  <c r="E19" i="2122"/>
  <c r="D19" i="2122"/>
  <c r="AE16" i="2122"/>
  <c r="AD16" i="2122"/>
  <c r="AC16" i="2122"/>
  <c r="AB16" i="2122"/>
  <c r="AA16" i="2122"/>
  <c r="Z16" i="2122"/>
  <c r="X16" i="2122"/>
  <c r="W16" i="2122"/>
  <c r="V16" i="2122"/>
  <c r="U16" i="2122"/>
  <c r="T16" i="2122"/>
  <c r="S16" i="2122"/>
  <c r="R16" i="2122"/>
  <c r="Q16" i="2122"/>
  <c r="P16" i="2122"/>
  <c r="O16" i="2122"/>
  <c r="N16" i="2122"/>
  <c r="M16" i="2122"/>
  <c r="L16" i="2122"/>
  <c r="K16" i="2122"/>
  <c r="J16" i="2122"/>
  <c r="I16" i="2122"/>
  <c r="H16" i="2122"/>
  <c r="G16" i="2122"/>
  <c r="F16" i="2122"/>
  <c r="E16" i="2122"/>
  <c r="D16" i="2122"/>
  <c r="AE10" i="2122"/>
  <c r="AD10" i="2122"/>
  <c r="AC10" i="2122"/>
  <c r="AB10" i="2122"/>
  <c r="AA10" i="2122"/>
  <c r="Z10" i="2122"/>
  <c r="Y10" i="2122"/>
  <c r="X10" i="2122"/>
  <c r="W10" i="2122"/>
  <c r="V10" i="2122"/>
  <c r="U10" i="2122"/>
  <c r="T10" i="2122"/>
  <c r="S10" i="2122"/>
  <c r="R10" i="2122"/>
  <c r="Q10" i="2122"/>
  <c r="P10" i="2122"/>
  <c r="O10" i="2122"/>
  <c r="N10" i="2122"/>
  <c r="M10" i="2122"/>
  <c r="L10" i="2122"/>
  <c r="K10" i="2122"/>
  <c r="J10" i="2122"/>
  <c r="I10" i="2122"/>
  <c r="H10" i="2122"/>
  <c r="G10" i="2122"/>
  <c r="F10" i="2122"/>
  <c r="E10" i="2122"/>
  <c r="D10" i="2122"/>
  <c r="AE7" i="2122"/>
  <c r="AD7" i="2122"/>
  <c r="AC7" i="2122"/>
  <c r="AB7" i="2122"/>
  <c r="AA7" i="2122"/>
  <c r="Z7" i="2122"/>
  <c r="Y7" i="2122"/>
  <c r="X7" i="2122"/>
  <c r="W7" i="2122"/>
  <c r="V7" i="2122"/>
  <c r="U7" i="2122"/>
  <c r="T7" i="2122"/>
  <c r="S7" i="2122"/>
  <c r="R7" i="2122"/>
  <c r="Q7" i="2122"/>
  <c r="P7" i="2122"/>
  <c r="O7" i="2122"/>
  <c r="N7" i="2122"/>
  <c r="M7" i="2122"/>
  <c r="L7" i="2122"/>
  <c r="K7" i="2122"/>
  <c r="J7" i="2122"/>
  <c r="I7" i="2122"/>
  <c r="H7" i="2122"/>
  <c r="G7" i="2122"/>
  <c r="F7" i="2122"/>
  <c r="E7" i="2122"/>
  <c r="D7" i="2122"/>
  <c r="E33" i="2122" l="1"/>
  <c r="J33" i="2122"/>
  <c r="W33" i="2122"/>
  <c r="AC33" i="2122"/>
  <c r="D33" i="2122"/>
  <c r="Z33" i="2122"/>
  <c r="Y33" i="2122"/>
  <c r="N33" i="2122"/>
  <c r="K33" i="2122"/>
  <c r="Q33" i="2122"/>
  <c r="M33" i="2122"/>
  <c r="V33" i="2122"/>
  <c r="AA33" i="2121"/>
  <c r="X33" i="2121"/>
  <c r="U33" i="2121"/>
  <c r="R33" i="2121"/>
  <c r="F33" i="2121"/>
  <c r="Y28" i="2121"/>
  <c r="X28" i="2121"/>
  <c r="S33" i="2121" s="1"/>
  <c r="W28" i="2121"/>
  <c r="V28" i="2121"/>
  <c r="U28" i="2121"/>
  <c r="T28" i="2121"/>
  <c r="S28" i="2121"/>
  <c r="R28" i="2121"/>
  <c r="Q28" i="2121"/>
  <c r="P28" i="2121"/>
  <c r="O28" i="2121"/>
  <c r="N28" i="2121"/>
  <c r="M28" i="2121"/>
  <c r="L28" i="2121"/>
  <c r="K28" i="2121"/>
  <c r="J28" i="2121"/>
  <c r="I28" i="2121"/>
  <c r="H28" i="2121"/>
  <c r="G28" i="2121"/>
  <c r="F28" i="2121"/>
  <c r="E28" i="2121"/>
  <c r="D28" i="2121"/>
  <c r="Y25" i="2121"/>
  <c r="X25" i="2121"/>
  <c r="W25" i="2121"/>
  <c r="V25" i="2121"/>
  <c r="U25" i="2121"/>
  <c r="T25" i="2121"/>
  <c r="S25" i="2121"/>
  <c r="R25" i="2121"/>
  <c r="Q25" i="2121"/>
  <c r="P25" i="2121"/>
  <c r="O25" i="2121"/>
  <c r="N25" i="2121"/>
  <c r="M25" i="2121"/>
  <c r="L25" i="2121"/>
  <c r="K25" i="2121"/>
  <c r="J25" i="2121"/>
  <c r="I25" i="2121"/>
  <c r="H25" i="2121"/>
  <c r="G25" i="2121"/>
  <c r="F25" i="2121"/>
  <c r="E25" i="2121"/>
  <c r="D25" i="2121"/>
  <c r="AE19" i="2121"/>
  <c r="AD19" i="2121"/>
  <c r="AC19" i="2121"/>
  <c r="AB19" i="2121"/>
  <c r="AA19" i="2121"/>
  <c r="Z19" i="2121"/>
  <c r="Y19" i="2121"/>
  <c r="X19" i="2121"/>
  <c r="T33" i="2121" s="1"/>
  <c r="W19" i="2121"/>
  <c r="V19" i="2121"/>
  <c r="U19" i="2121"/>
  <c r="T19" i="2121"/>
  <c r="S19" i="2121"/>
  <c r="R19" i="2121"/>
  <c r="Q19" i="2121"/>
  <c r="P19" i="2121"/>
  <c r="O19" i="2121"/>
  <c r="N19" i="2121"/>
  <c r="G33" i="2121" s="1"/>
  <c r="M19" i="2121"/>
  <c r="H33" i="2121" s="1"/>
  <c r="L19" i="2121"/>
  <c r="P33" i="2121" s="1"/>
  <c r="K19" i="2121"/>
  <c r="L33" i="2121" s="1"/>
  <c r="J19" i="2121"/>
  <c r="I19" i="2121"/>
  <c r="AB33" i="2121" s="1"/>
  <c r="H19" i="2121"/>
  <c r="G19" i="2121"/>
  <c r="O33" i="2121" s="1"/>
  <c r="F19" i="2121"/>
  <c r="E19" i="2121"/>
  <c r="D19" i="2121"/>
  <c r="AE16" i="2121"/>
  <c r="AD16" i="2121"/>
  <c r="AC16" i="2121"/>
  <c r="AB16" i="2121"/>
  <c r="AA16" i="2121"/>
  <c r="Z16" i="2121"/>
  <c r="X16" i="2121"/>
  <c r="W16" i="2121"/>
  <c r="V16" i="2121"/>
  <c r="U16" i="2121"/>
  <c r="T16" i="2121"/>
  <c r="S16" i="2121"/>
  <c r="R16" i="2121"/>
  <c r="Q16" i="2121"/>
  <c r="P16" i="2121"/>
  <c r="O16" i="2121"/>
  <c r="N16" i="2121"/>
  <c r="M16" i="2121"/>
  <c r="L16" i="2121"/>
  <c r="K16" i="2121"/>
  <c r="J16" i="2121"/>
  <c r="I16" i="2121"/>
  <c r="H16" i="2121"/>
  <c r="G16" i="2121"/>
  <c r="F16" i="2121"/>
  <c r="E16" i="2121"/>
  <c r="D16" i="2121"/>
  <c r="AE10" i="2121"/>
  <c r="AD10" i="2121"/>
  <c r="AC10" i="2121"/>
  <c r="AB10" i="2121"/>
  <c r="AA10" i="2121"/>
  <c r="Z10" i="2121"/>
  <c r="Y10" i="2121"/>
  <c r="X10" i="2121"/>
  <c r="W10" i="2121"/>
  <c r="V10" i="2121"/>
  <c r="U10" i="2121"/>
  <c r="T10" i="2121"/>
  <c r="S10" i="2121"/>
  <c r="R10" i="2121"/>
  <c r="Q10" i="2121"/>
  <c r="P10" i="2121"/>
  <c r="O10" i="2121"/>
  <c r="N10" i="2121"/>
  <c r="M10" i="2121"/>
  <c r="L10" i="2121"/>
  <c r="K10" i="2121"/>
  <c r="J10" i="2121"/>
  <c r="I10" i="2121"/>
  <c r="H10" i="2121"/>
  <c r="G10" i="2121"/>
  <c r="F10" i="2121"/>
  <c r="E10" i="2121"/>
  <c r="D10" i="2121"/>
  <c r="AE7" i="2121"/>
  <c r="AD7" i="2121"/>
  <c r="AC7" i="2121"/>
  <c r="AB7" i="2121"/>
  <c r="AA7" i="2121"/>
  <c r="Z7" i="2121"/>
  <c r="Y7" i="2121"/>
  <c r="X7" i="2121"/>
  <c r="W7" i="2121"/>
  <c r="V7" i="2121"/>
  <c r="U7" i="2121"/>
  <c r="T7" i="2121"/>
  <c r="S7" i="2121"/>
  <c r="R7" i="2121"/>
  <c r="Q7" i="2121"/>
  <c r="P7" i="2121"/>
  <c r="O7" i="2121"/>
  <c r="N7" i="2121"/>
  <c r="M7" i="2121"/>
  <c r="L7" i="2121"/>
  <c r="K7" i="2121"/>
  <c r="J7" i="2121"/>
  <c r="I7" i="2121"/>
  <c r="H7" i="2121"/>
  <c r="G7" i="2121"/>
  <c r="F7" i="2121"/>
  <c r="E7" i="2121"/>
  <c r="D7" i="2121"/>
  <c r="E33" i="2121" l="1"/>
  <c r="J33" i="2121"/>
  <c r="W33" i="2121"/>
  <c r="N33" i="2121"/>
  <c r="AC33" i="2121"/>
  <c r="Z33" i="2121"/>
  <c r="D33" i="2121"/>
  <c r="Y33" i="2121"/>
  <c r="Q33" i="2121"/>
  <c r="K33" i="2121"/>
  <c r="M33" i="2121"/>
  <c r="V33" i="2121"/>
  <c r="AA33" i="2120"/>
  <c r="X33" i="2120"/>
  <c r="U33" i="2120"/>
  <c r="R33" i="2120"/>
  <c r="F33" i="2120"/>
  <c r="Y28" i="2120"/>
  <c r="X28" i="2120"/>
  <c r="S33" i="2120" s="1"/>
  <c r="W28" i="2120"/>
  <c r="V28" i="2120"/>
  <c r="U28" i="2120"/>
  <c r="T28" i="2120"/>
  <c r="S28" i="2120"/>
  <c r="R28" i="2120"/>
  <c r="Q28" i="2120"/>
  <c r="P28" i="2120"/>
  <c r="O28" i="2120"/>
  <c r="N28" i="2120"/>
  <c r="M28" i="2120"/>
  <c r="L28" i="2120"/>
  <c r="K28" i="2120"/>
  <c r="J28" i="2120"/>
  <c r="I28" i="2120"/>
  <c r="H28" i="2120"/>
  <c r="G28" i="2120"/>
  <c r="F28" i="2120"/>
  <c r="E28" i="2120"/>
  <c r="D28" i="2120"/>
  <c r="Y25" i="2120"/>
  <c r="X25" i="2120"/>
  <c r="W25" i="2120"/>
  <c r="V25" i="2120"/>
  <c r="U25" i="2120"/>
  <c r="T25" i="2120"/>
  <c r="S25" i="2120"/>
  <c r="R25" i="2120"/>
  <c r="Q25" i="2120"/>
  <c r="P25" i="2120"/>
  <c r="O25" i="2120"/>
  <c r="N25" i="2120"/>
  <c r="M25" i="2120"/>
  <c r="L25" i="2120"/>
  <c r="K25" i="2120"/>
  <c r="J25" i="2120"/>
  <c r="I25" i="2120"/>
  <c r="H25" i="2120"/>
  <c r="G25" i="2120"/>
  <c r="F25" i="2120"/>
  <c r="E25" i="2120"/>
  <c r="D25" i="2120"/>
  <c r="AE19" i="2120"/>
  <c r="AD19" i="2120"/>
  <c r="AC19" i="2120"/>
  <c r="AB19" i="2120"/>
  <c r="AA19" i="2120"/>
  <c r="Z19" i="2120"/>
  <c r="Y19" i="2120"/>
  <c r="X19" i="2120"/>
  <c r="T33" i="2120" s="1"/>
  <c r="W19" i="2120"/>
  <c r="V19" i="2120"/>
  <c r="U19" i="2120"/>
  <c r="T19" i="2120"/>
  <c r="S19" i="2120"/>
  <c r="R19" i="2120"/>
  <c r="Q19" i="2120"/>
  <c r="P19" i="2120"/>
  <c r="O19" i="2120"/>
  <c r="N19" i="2120"/>
  <c r="G33" i="2120" s="1"/>
  <c r="M19" i="2120"/>
  <c r="H33" i="2120" s="1"/>
  <c r="L19" i="2120"/>
  <c r="P33" i="2120" s="1"/>
  <c r="K19" i="2120"/>
  <c r="L33" i="2120" s="1"/>
  <c r="J19" i="2120"/>
  <c r="I19" i="2120"/>
  <c r="AB33" i="2120" s="1"/>
  <c r="H19" i="2120"/>
  <c r="G19" i="2120"/>
  <c r="O33" i="2120" s="1"/>
  <c r="F19" i="2120"/>
  <c r="E19" i="2120"/>
  <c r="D19" i="2120"/>
  <c r="AE16" i="2120"/>
  <c r="AD16" i="2120"/>
  <c r="AC16" i="2120"/>
  <c r="AB16" i="2120"/>
  <c r="AA16" i="2120"/>
  <c r="Z16" i="2120"/>
  <c r="X16" i="2120"/>
  <c r="W16" i="2120"/>
  <c r="V16" i="2120"/>
  <c r="U16" i="2120"/>
  <c r="T16" i="2120"/>
  <c r="S16" i="2120"/>
  <c r="R16" i="2120"/>
  <c r="Q16" i="2120"/>
  <c r="P16" i="2120"/>
  <c r="O16" i="2120"/>
  <c r="N16" i="2120"/>
  <c r="M16" i="2120"/>
  <c r="L16" i="2120"/>
  <c r="K16" i="2120"/>
  <c r="J16" i="2120"/>
  <c r="I16" i="2120"/>
  <c r="H16" i="2120"/>
  <c r="G16" i="2120"/>
  <c r="F16" i="2120"/>
  <c r="E16" i="2120"/>
  <c r="D16" i="2120"/>
  <c r="AE10" i="2120"/>
  <c r="AD10" i="2120"/>
  <c r="AC10" i="2120"/>
  <c r="AB10" i="2120"/>
  <c r="AA10" i="2120"/>
  <c r="Z10" i="2120"/>
  <c r="Y10" i="2120"/>
  <c r="X10" i="2120"/>
  <c r="W10" i="2120"/>
  <c r="V10" i="2120"/>
  <c r="U10" i="2120"/>
  <c r="T10" i="2120"/>
  <c r="S10" i="2120"/>
  <c r="R10" i="2120"/>
  <c r="Q10" i="2120"/>
  <c r="P10" i="2120"/>
  <c r="O10" i="2120"/>
  <c r="N10" i="2120"/>
  <c r="Q33" i="2120" s="1"/>
  <c r="M10" i="2120"/>
  <c r="E33" i="2120" s="1"/>
  <c r="L10" i="2120"/>
  <c r="K10" i="2120"/>
  <c r="J10" i="2120"/>
  <c r="I10" i="2120"/>
  <c r="H10" i="2120"/>
  <c r="G10" i="2120"/>
  <c r="F10" i="2120"/>
  <c r="E10" i="2120"/>
  <c r="D10" i="2120"/>
  <c r="AE7" i="2120"/>
  <c r="AD7" i="2120"/>
  <c r="AC7" i="2120"/>
  <c r="AB7" i="2120"/>
  <c r="AA7" i="2120"/>
  <c r="Z7" i="2120"/>
  <c r="Y7" i="2120"/>
  <c r="X7" i="2120"/>
  <c r="W7" i="2120"/>
  <c r="V7" i="2120"/>
  <c r="U7" i="2120"/>
  <c r="T7" i="2120"/>
  <c r="S7" i="2120"/>
  <c r="R7" i="2120"/>
  <c r="Q7" i="2120"/>
  <c r="P7" i="2120"/>
  <c r="O7" i="2120"/>
  <c r="N7" i="2120"/>
  <c r="M7" i="2120"/>
  <c r="L7" i="2120"/>
  <c r="K7" i="2120"/>
  <c r="J7" i="2120"/>
  <c r="I7" i="2120"/>
  <c r="H7" i="2120"/>
  <c r="G7" i="2120"/>
  <c r="F7" i="2120"/>
  <c r="E7" i="2120"/>
  <c r="D7" i="2120"/>
  <c r="W33" i="2120" l="1"/>
  <c r="N33" i="2120"/>
  <c r="AC33" i="2120"/>
  <c r="D33" i="2120"/>
  <c r="Z33" i="2120"/>
  <c r="Y33" i="2120"/>
  <c r="K33" i="2120"/>
  <c r="J33" i="2120"/>
  <c r="M33" i="2120"/>
  <c r="V33" i="2120"/>
  <c r="AA33" i="2119"/>
  <c r="X33" i="2119"/>
  <c r="U33" i="2119"/>
  <c r="R33" i="2119"/>
  <c r="O33" i="2119"/>
  <c r="F33" i="2119"/>
  <c r="Y28" i="2119"/>
  <c r="X28" i="2119"/>
  <c r="S33" i="2119" s="1"/>
  <c r="W28" i="2119"/>
  <c r="V28" i="2119"/>
  <c r="U28" i="2119"/>
  <c r="T28" i="2119"/>
  <c r="S28" i="2119"/>
  <c r="R28" i="2119"/>
  <c r="Q28" i="2119"/>
  <c r="P28" i="2119"/>
  <c r="O28" i="2119"/>
  <c r="N28" i="2119"/>
  <c r="M28" i="2119"/>
  <c r="L28" i="2119"/>
  <c r="K28" i="2119"/>
  <c r="J28" i="2119"/>
  <c r="I28" i="2119"/>
  <c r="H28" i="2119"/>
  <c r="G28" i="2119"/>
  <c r="F28" i="2119"/>
  <c r="E28" i="2119"/>
  <c r="D28" i="2119"/>
  <c r="Y25" i="2119"/>
  <c r="X25" i="2119"/>
  <c r="W25" i="2119"/>
  <c r="V25" i="2119"/>
  <c r="U25" i="2119"/>
  <c r="T25" i="2119"/>
  <c r="S25" i="2119"/>
  <c r="R25" i="2119"/>
  <c r="Q25" i="2119"/>
  <c r="P25" i="2119"/>
  <c r="O25" i="2119"/>
  <c r="N25" i="2119"/>
  <c r="M25" i="2119"/>
  <c r="L25" i="2119"/>
  <c r="K25" i="2119"/>
  <c r="J25" i="2119"/>
  <c r="I25" i="2119"/>
  <c r="H25" i="2119"/>
  <c r="G25" i="2119"/>
  <c r="F25" i="2119"/>
  <c r="E25" i="2119"/>
  <c r="D25" i="2119"/>
  <c r="AE19" i="2119"/>
  <c r="AD19" i="2119"/>
  <c r="AC19" i="2119"/>
  <c r="AB19" i="2119"/>
  <c r="AC33" i="2119" s="1"/>
  <c r="AA19" i="2119"/>
  <c r="Z19" i="2119"/>
  <c r="Y19" i="2119"/>
  <c r="X19" i="2119"/>
  <c r="T33" i="2119" s="1"/>
  <c r="W19" i="2119"/>
  <c r="V19" i="2119"/>
  <c r="U19" i="2119"/>
  <c r="T19" i="2119"/>
  <c r="S19" i="2119"/>
  <c r="R19" i="2119"/>
  <c r="Q19" i="2119"/>
  <c r="P19" i="2119"/>
  <c r="O19" i="2119"/>
  <c r="N19" i="2119"/>
  <c r="G33" i="2119" s="1"/>
  <c r="M19" i="2119"/>
  <c r="H33" i="2119" s="1"/>
  <c r="L19" i="2119"/>
  <c r="P33" i="2119" s="1"/>
  <c r="K19" i="2119"/>
  <c r="L33" i="2119" s="1"/>
  <c r="J19" i="2119"/>
  <c r="I19" i="2119"/>
  <c r="AB33" i="2119" s="1"/>
  <c r="H19" i="2119"/>
  <c r="G19" i="2119"/>
  <c r="F19" i="2119"/>
  <c r="E19" i="2119"/>
  <c r="D19" i="2119"/>
  <c r="AE16" i="2119"/>
  <c r="AD16" i="2119"/>
  <c r="AC16" i="2119"/>
  <c r="AB16" i="2119"/>
  <c r="AA16" i="2119"/>
  <c r="Z16" i="2119"/>
  <c r="X16" i="2119"/>
  <c r="W16" i="2119"/>
  <c r="V16" i="2119"/>
  <c r="U16" i="2119"/>
  <c r="T16" i="2119"/>
  <c r="S16" i="2119"/>
  <c r="R16" i="2119"/>
  <c r="Q16" i="2119"/>
  <c r="P16" i="2119"/>
  <c r="O16" i="2119"/>
  <c r="N16" i="2119"/>
  <c r="M16" i="2119"/>
  <c r="L16" i="2119"/>
  <c r="K16" i="2119"/>
  <c r="J16" i="2119"/>
  <c r="I16" i="2119"/>
  <c r="H16" i="2119"/>
  <c r="G16" i="2119"/>
  <c r="F16" i="2119"/>
  <c r="E16" i="2119"/>
  <c r="D16" i="2119"/>
  <c r="AE10" i="2119"/>
  <c r="AD10" i="2119"/>
  <c r="AC10" i="2119"/>
  <c r="AB10" i="2119"/>
  <c r="AA10" i="2119"/>
  <c r="Z10" i="2119"/>
  <c r="Y10" i="2119"/>
  <c r="X10" i="2119"/>
  <c r="W10" i="2119"/>
  <c r="V10" i="2119"/>
  <c r="U10" i="2119"/>
  <c r="T10" i="2119"/>
  <c r="S10" i="2119"/>
  <c r="R10" i="2119"/>
  <c r="Q10" i="2119"/>
  <c r="P10" i="2119"/>
  <c r="O10" i="2119"/>
  <c r="N10" i="2119"/>
  <c r="Q33" i="2119" s="1"/>
  <c r="M10" i="2119"/>
  <c r="E33" i="2119" s="1"/>
  <c r="L10" i="2119"/>
  <c r="K10" i="2119"/>
  <c r="J10" i="2119"/>
  <c r="I10" i="2119"/>
  <c r="H10" i="2119"/>
  <c r="G10" i="2119"/>
  <c r="F10" i="2119"/>
  <c r="J33" i="2119" s="1"/>
  <c r="E10" i="2119"/>
  <c r="D10" i="2119"/>
  <c r="AE7" i="2119"/>
  <c r="AD7" i="2119"/>
  <c r="AC7" i="2119"/>
  <c r="AB7" i="2119"/>
  <c r="AA7" i="2119"/>
  <c r="Z7" i="2119"/>
  <c r="Y7" i="2119"/>
  <c r="X7" i="2119"/>
  <c r="W7" i="2119"/>
  <c r="V7" i="2119"/>
  <c r="U7" i="2119"/>
  <c r="T7" i="2119"/>
  <c r="S7" i="2119"/>
  <c r="R7" i="2119"/>
  <c r="Q7" i="2119"/>
  <c r="P7" i="2119"/>
  <c r="O7" i="2119"/>
  <c r="N7" i="2119"/>
  <c r="M7" i="2119"/>
  <c r="L7" i="2119"/>
  <c r="K7" i="2119"/>
  <c r="J7" i="2119"/>
  <c r="I7" i="2119"/>
  <c r="H7" i="2119"/>
  <c r="G7" i="2119"/>
  <c r="F7" i="2119"/>
  <c r="E7" i="2119"/>
  <c r="D7" i="2119"/>
  <c r="M33" i="2119" l="1"/>
  <c r="W33" i="2119"/>
  <c r="N33" i="2119"/>
  <c r="D33" i="2119"/>
  <c r="Z33" i="2119"/>
  <c r="Y33" i="2119"/>
  <c r="K33" i="2119"/>
  <c r="V33" i="2119"/>
  <c r="AA33" i="2118"/>
  <c r="X33" i="2118"/>
  <c r="U33" i="2118"/>
  <c r="R33" i="2118"/>
  <c r="F33" i="2118"/>
  <c r="Y28" i="2118"/>
  <c r="X28" i="2118"/>
  <c r="S33" i="2118" s="1"/>
  <c r="W28" i="2118"/>
  <c r="V28" i="2118"/>
  <c r="U28" i="2118"/>
  <c r="T28" i="2118"/>
  <c r="S28" i="2118"/>
  <c r="R28" i="2118"/>
  <c r="Q28" i="2118"/>
  <c r="P28" i="2118"/>
  <c r="O28" i="2118"/>
  <c r="N28" i="2118"/>
  <c r="M28" i="2118"/>
  <c r="L28" i="2118"/>
  <c r="K28" i="2118"/>
  <c r="J28" i="2118"/>
  <c r="I28" i="2118"/>
  <c r="H28" i="2118"/>
  <c r="G28" i="2118"/>
  <c r="F28" i="2118"/>
  <c r="E28" i="2118"/>
  <c r="D28" i="2118"/>
  <c r="Y25" i="2118"/>
  <c r="X25" i="2118"/>
  <c r="W25" i="2118"/>
  <c r="V25" i="2118"/>
  <c r="U25" i="2118"/>
  <c r="T25" i="2118"/>
  <c r="S25" i="2118"/>
  <c r="R25" i="2118"/>
  <c r="Q25" i="2118"/>
  <c r="P25" i="2118"/>
  <c r="O25" i="2118"/>
  <c r="N25" i="2118"/>
  <c r="M25" i="2118"/>
  <c r="L25" i="2118"/>
  <c r="K25" i="2118"/>
  <c r="J25" i="2118"/>
  <c r="I25" i="2118"/>
  <c r="H25" i="2118"/>
  <c r="G25" i="2118"/>
  <c r="F25" i="2118"/>
  <c r="E25" i="2118"/>
  <c r="D25" i="2118"/>
  <c r="AE19" i="2118"/>
  <c r="AD19" i="2118"/>
  <c r="AC19" i="2118"/>
  <c r="AB19" i="2118"/>
  <c r="AA19" i="2118"/>
  <c r="Z19" i="2118"/>
  <c r="Y19" i="2118"/>
  <c r="X19" i="2118"/>
  <c r="T33" i="2118" s="1"/>
  <c r="W19" i="2118"/>
  <c r="V19" i="2118"/>
  <c r="U19" i="2118"/>
  <c r="T19" i="2118"/>
  <c r="S19" i="2118"/>
  <c r="R19" i="2118"/>
  <c r="Q19" i="2118"/>
  <c r="P19" i="2118"/>
  <c r="O19" i="2118"/>
  <c r="N19" i="2118"/>
  <c r="G33" i="2118" s="1"/>
  <c r="M19" i="2118"/>
  <c r="H33" i="2118" s="1"/>
  <c r="L19" i="2118"/>
  <c r="P33" i="2118" s="1"/>
  <c r="K19" i="2118"/>
  <c r="L33" i="2118" s="1"/>
  <c r="J19" i="2118"/>
  <c r="I19" i="2118"/>
  <c r="AB33" i="2118" s="1"/>
  <c r="H19" i="2118"/>
  <c r="G19" i="2118"/>
  <c r="O33" i="2118" s="1"/>
  <c r="F19" i="2118"/>
  <c r="E19" i="2118"/>
  <c r="D19" i="2118"/>
  <c r="AE16" i="2118"/>
  <c r="AD16" i="2118"/>
  <c r="AC16" i="2118"/>
  <c r="AB16" i="2118"/>
  <c r="AA16" i="2118"/>
  <c r="Z16" i="2118"/>
  <c r="X16" i="2118"/>
  <c r="W16" i="2118"/>
  <c r="V16" i="2118"/>
  <c r="U16" i="2118"/>
  <c r="T16" i="2118"/>
  <c r="S16" i="2118"/>
  <c r="R16" i="2118"/>
  <c r="Q16" i="2118"/>
  <c r="P16" i="2118"/>
  <c r="O16" i="2118"/>
  <c r="N16" i="2118"/>
  <c r="M16" i="2118"/>
  <c r="L16" i="2118"/>
  <c r="K16" i="2118"/>
  <c r="J16" i="2118"/>
  <c r="I16" i="2118"/>
  <c r="H16" i="2118"/>
  <c r="G16" i="2118"/>
  <c r="F16" i="2118"/>
  <c r="E16" i="2118"/>
  <c r="D16" i="2118"/>
  <c r="AE10" i="2118"/>
  <c r="AD10" i="2118"/>
  <c r="AC10" i="2118"/>
  <c r="AB10" i="2118"/>
  <c r="AA10" i="2118"/>
  <c r="Z10" i="2118"/>
  <c r="Y10" i="2118"/>
  <c r="X10" i="2118"/>
  <c r="W10" i="2118"/>
  <c r="V10" i="2118"/>
  <c r="U10" i="2118"/>
  <c r="T10" i="2118"/>
  <c r="S10" i="2118"/>
  <c r="R10" i="2118"/>
  <c r="Q10" i="2118"/>
  <c r="P10" i="2118"/>
  <c r="O10" i="2118"/>
  <c r="N10" i="2118"/>
  <c r="M10" i="2118"/>
  <c r="L10" i="2118"/>
  <c r="K10" i="2118"/>
  <c r="J10" i="2118"/>
  <c r="Q33" i="2118" s="1"/>
  <c r="I10" i="2118"/>
  <c r="E33" i="2118" s="1"/>
  <c r="H10" i="2118"/>
  <c r="G10" i="2118"/>
  <c r="F10" i="2118"/>
  <c r="J33" i="2118" s="1"/>
  <c r="E10" i="2118"/>
  <c r="D10" i="2118"/>
  <c r="AE7" i="2118"/>
  <c r="AD7" i="2118"/>
  <c r="AC7" i="2118"/>
  <c r="AB7" i="2118"/>
  <c r="AA7" i="2118"/>
  <c r="Z7" i="2118"/>
  <c r="Y7" i="2118"/>
  <c r="X7" i="2118"/>
  <c r="W7" i="2118"/>
  <c r="V7" i="2118"/>
  <c r="U7" i="2118"/>
  <c r="T7" i="2118"/>
  <c r="S7" i="2118"/>
  <c r="R7" i="2118"/>
  <c r="Q7" i="2118"/>
  <c r="P7" i="2118"/>
  <c r="O7" i="2118"/>
  <c r="N7" i="2118"/>
  <c r="M7" i="2118"/>
  <c r="L7" i="2118"/>
  <c r="K7" i="2118"/>
  <c r="J7" i="2118"/>
  <c r="I7" i="2118"/>
  <c r="H7" i="2118"/>
  <c r="G7" i="2118"/>
  <c r="F7" i="2118"/>
  <c r="E7" i="2118"/>
  <c r="D7" i="2118"/>
  <c r="AA33" i="2117"/>
  <c r="X33" i="2117"/>
  <c r="U33" i="2117"/>
  <c r="R33" i="2117"/>
  <c r="F33" i="2117"/>
  <c r="Y28" i="2117"/>
  <c r="X28" i="2117"/>
  <c r="S33" i="2117" s="1"/>
  <c r="W28" i="2117"/>
  <c r="V28" i="2117"/>
  <c r="U28" i="2117"/>
  <c r="T28" i="2117"/>
  <c r="S28" i="2117"/>
  <c r="R28" i="2117"/>
  <c r="Q28" i="2117"/>
  <c r="P28" i="2117"/>
  <c r="O28" i="2117"/>
  <c r="N28" i="2117"/>
  <c r="M28" i="2117"/>
  <c r="L28" i="2117"/>
  <c r="K28" i="2117"/>
  <c r="J28" i="2117"/>
  <c r="I28" i="2117"/>
  <c r="H28" i="2117"/>
  <c r="G28" i="2117"/>
  <c r="F28" i="2117"/>
  <c r="E28" i="2117"/>
  <c r="D28" i="2117"/>
  <c r="Y25" i="2117"/>
  <c r="X25" i="2117"/>
  <c r="W25" i="2117"/>
  <c r="V25" i="2117"/>
  <c r="U25" i="2117"/>
  <c r="T25" i="2117"/>
  <c r="S25" i="2117"/>
  <c r="R25" i="2117"/>
  <c r="Q25" i="2117"/>
  <c r="P25" i="2117"/>
  <c r="O25" i="2117"/>
  <c r="N25" i="2117"/>
  <c r="M25" i="2117"/>
  <c r="L25" i="2117"/>
  <c r="K25" i="2117"/>
  <c r="J25" i="2117"/>
  <c r="I25" i="2117"/>
  <c r="H25" i="2117"/>
  <c r="G25" i="2117"/>
  <c r="F25" i="2117"/>
  <c r="E25" i="2117"/>
  <c r="D25" i="2117"/>
  <c r="AE19" i="2117"/>
  <c r="AD19" i="2117"/>
  <c r="AC19" i="2117"/>
  <c r="AB19" i="2117"/>
  <c r="AA19" i="2117"/>
  <c r="Z19" i="2117"/>
  <c r="Y19" i="2117"/>
  <c r="X19" i="2117"/>
  <c r="T33" i="2117" s="1"/>
  <c r="W19" i="2117"/>
  <c r="V19" i="2117"/>
  <c r="U19" i="2117"/>
  <c r="T19" i="2117"/>
  <c r="S19" i="2117"/>
  <c r="R19" i="2117"/>
  <c r="Q19" i="2117"/>
  <c r="P19" i="2117"/>
  <c r="O19" i="2117"/>
  <c r="N19" i="2117"/>
  <c r="G33" i="2117" s="1"/>
  <c r="M19" i="2117"/>
  <c r="H33" i="2117" s="1"/>
  <c r="L19" i="2117"/>
  <c r="P33" i="2117" s="1"/>
  <c r="K19" i="2117"/>
  <c r="L33" i="2117" s="1"/>
  <c r="J19" i="2117"/>
  <c r="I19" i="2117"/>
  <c r="AB33" i="2117" s="1"/>
  <c r="H19" i="2117"/>
  <c r="G19" i="2117"/>
  <c r="O33" i="2117" s="1"/>
  <c r="F19" i="2117"/>
  <c r="E19" i="2117"/>
  <c r="D19" i="2117"/>
  <c r="AE16" i="2117"/>
  <c r="AD16" i="2117"/>
  <c r="AC16" i="2117"/>
  <c r="AB16" i="2117"/>
  <c r="AA16" i="2117"/>
  <c r="Z16" i="2117"/>
  <c r="X16" i="2117"/>
  <c r="W16" i="2117"/>
  <c r="V16" i="2117"/>
  <c r="U16" i="2117"/>
  <c r="T16" i="2117"/>
  <c r="S16" i="2117"/>
  <c r="R16" i="2117"/>
  <c r="Q16" i="2117"/>
  <c r="P16" i="2117"/>
  <c r="O16" i="2117"/>
  <c r="N16" i="2117"/>
  <c r="M16" i="2117"/>
  <c r="L16" i="2117"/>
  <c r="K16" i="2117"/>
  <c r="J16" i="2117"/>
  <c r="I16" i="2117"/>
  <c r="H16" i="2117"/>
  <c r="G16" i="2117"/>
  <c r="F16" i="2117"/>
  <c r="E16" i="2117"/>
  <c r="D16" i="2117"/>
  <c r="AE10" i="2117"/>
  <c r="AD10" i="2117"/>
  <c r="AC10" i="2117"/>
  <c r="AB10" i="2117"/>
  <c r="AA10" i="2117"/>
  <c r="Z10" i="2117"/>
  <c r="Y10" i="2117"/>
  <c r="X10" i="2117"/>
  <c r="W10" i="2117"/>
  <c r="V10" i="2117"/>
  <c r="U10" i="2117"/>
  <c r="T10" i="2117"/>
  <c r="S10" i="2117"/>
  <c r="R10" i="2117"/>
  <c r="Q10" i="2117"/>
  <c r="P10" i="2117"/>
  <c r="O10" i="2117"/>
  <c r="N10" i="2117"/>
  <c r="M10" i="2117"/>
  <c r="E33" i="2117" s="1"/>
  <c r="L10" i="2117"/>
  <c r="K10" i="2117"/>
  <c r="J10" i="2117"/>
  <c r="Q33" i="2117" s="1"/>
  <c r="I10" i="2117"/>
  <c r="H10" i="2117"/>
  <c r="G10" i="2117"/>
  <c r="F10" i="2117"/>
  <c r="E10" i="2117"/>
  <c r="D10" i="2117"/>
  <c r="AE7" i="2117"/>
  <c r="AD7" i="2117"/>
  <c r="AC7" i="2117"/>
  <c r="AB7" i="2117"/>
  <c r="AA7" i="2117"/>
  <c r="Z7" i="2117"/>
  <c r="Y7" i="2117"/>
  <c r="X7" i="2117"/>
  <c r="W7" i="2117"/>
  <c r="V7" i="2117"/>
  <c r="U7" i="2117"/>
  <c r="T7" i="2117"/>
  <c r="S7" i="2117"/>
  <c r="R7" i="2117"/>
  <c r="Q7" i="2117"/>
  <c r="P7" i="2117"/>
  <c r="O7" i="2117"/>
  <c r="N7" i="2117"/>
  <c r="M7" i="2117"/>
  <c r="L7" i="2117"/>
  <c r="K7" i="2117"/>
  <c r="J7" i="2117"/>
  <c r="I7" i="2117"/>
  <c r="H7" i="2117"/>
  <c r="G7" i="2117"/>
  <c r="F7" i="2117"/>
  <c r="E7" i="2117"/>
  <c r="D7" i="2117"/>
  <c r="AA33" i="2116"/>
  <c r="X33" i="2116"/>
  <c r="U33" i="2116"/>
  <c r="R33" i="2116"/>
  <c r="F33" i="2116"/>
  <c r="E33" i="2116"/>
  <c r="Y28" i="2116"/>
  <c r="X28" i="2116"/>
  <c r="S33" i="2116" s="1"/>
  <c r="W28" i="2116"/>
  <c r="V28" i="2116"/>
  <c r="U28" i="2116"/>
  <c r="T28" i="2116"/>
  <c r="S28" i="2116"/>
  <c r="R28" i="2116"/>
  <c r="Q28" i="2116"/>
  <c r="P28" i="2116"/>
  <c r="O28" i="2116"/>
  <c r="N28" i="2116"/>
  <c r="M28" i="2116"/>
  <c r="L28" i="2116"/>
  <c r="K28" i="2116"/>
  <c r="J28" i="2116"/>
  <c r="I28" i="2116"/>
  <c r="H28" i="2116"/>
  <c r="G28" i="2116"/>
  <c r="F28" i="2116"/>
  <c r="E28" i="2116"/>
  <c r="D28" i="2116"/>
  <c r="Y25" i="2116"/>
  <c r="X25" i="2116"/>
  <c r="W25" i="2116"/>
  <c r="V25" i="2116"/>
  <c r="U25" i="2116"/>
  <c r="T25" i="2116"/>
  <c r="S25" i="2116"/>
  <c r="R25" i="2116"/>
  <c r="Q25" i="2116"/>
  <c r="P25" i="2116"/>
  <c r="O25" i="2116"/>
  <c r="N25" i="2116"/>
  <c r="M25" i="2116"/>
  <c r="L25" i="2116"/>
  <c r="K25" i="2116"/>
  <c r="J25" i="2116"/>
  <c r="I25" i="2116"/>
  <c r="H25" i="2116"/>
  <c r="G25" i="2116"/>
  <c r="F25" i="2116"/>
  <c r="E25" i="2116"/>
  <c r="D25" i="2116"/>
  <c r="AE19" i="2116"/>
  <c r="AD19" i="2116"/>
  <c r="AC19" i="2116"/>
  <c r="AB19" i="2116"/>
  <c r="AA19" i="2116"/>
  <c r="Z19" i="2116"/>
  <c r="Y19" i="2116"/>
  <c r="X19" i="2116"/>
  <c r="T33" i="2116" s="1"/>
  <c r="W19" i="2116"/>
  <c r="V19" i="2116"/>
  <c r="U19" i="2116"/>
  <c r="T19" i="2116"/>
  <c r="S19" i="2116"/>
  <c r="R19" i="2116"/>
  <c r="Q19" i="2116"/>
  <c r="P19" i="2116"/>
  <c r="O19" i="2116"/>
  <c r="N19" i="2116"/>
  <c r="G33" i="2116" s="1"/>
  <c r="M19" i="2116"/>
  <c r="H33" i="2116" s="1"/>
  <c r="L19" i="2116"/>
  <c r="P33" i="2116" s="1"/>
  <c r="K19" i="2116"/>
  <c r="L33" i="2116" s="1"/>
  <c r="J19" i="2116"/>
  <c r="I19" i="2116"/>
  <c r="AB33" i="2116" s="1"/>
  <c r="H19" i="2116"/>
  <c r="G19" i="2116"/>
  <c r="O33" i="2116" s="1"/>
  <c r="F19" i="2116"/>
  <c r="E19" i="2116"/>
  <c r="D19" i="2116"/>
  <c r="AE16" i="2116"/>
  <c r="AD16" i="2116"/>
  <c r="AC16" i="2116"/>
  <c r="AB16" i="2116"/>
  <c r="AA16" i="2116"/>
  <c r="Z16" i="2116"/>
  <c r="X16" i="2116"/>
  <c r="W16" i="2116"/>
  <c r="V16" i="2116"/>
  <c r="U16" i="2116"/>
  <c r="T16" i="2116"/>
  <c r="S16" i="2116"/>
  <c r="R16" i="2116"/>
  <c r="Q16" i="2116"/>
  <c r="P16" i="2116"/>
  <c r="O16" i="2116"/>
  <c r="N16" i="2116"/>
  <c r="M16" i="2116"/>
  <c r="L16" i="2116"/>
  <c r="K16" i="2116"/>
  <c r="J16" i="2116"/>
  <c r="I16" i="2116"/>
  <c r="H16" i="2116"/>
  <c r="G16" i="2116"/>
  <c r="F16" i="2116"/>
  <c r="E16" i="2116"/>
  <c r="D16" i="2116"/>
  <c r="AE10" i="2116"/>
  <c r="AD10" i="2116"/>
  <c r="AC10" i="2116"/>
  <c r="AB10" i="2116"/>
  <c r="AA10" i="2116"/>
  <c r="Z10" i="2116"/>
  <c r="Y10" i="2116"/>
  <c r="X10" i="2116"/>
  <c r="W10" i="2116"/>
  <c r="V10" i="2116"/>
  <c r="U10" i="2116"/>
  <c r="T10" i="2116"/>
  <c r="S10" i="2116"/>
  <c r="R10" i="2116"/>
  <c r="Q10" i="2116"/>
  <c r="P10" i="2116"/>
  <c r="O10" i="2116"/>
  <c r="N10" i="2116"/>
  <c r="M10" i="2116"/>
  <c r="L10" i="2116"/>
  <c r="K10" i="2116"/>
  <c r="J10" i="2116"/>
  <c r="I10" i="2116"/>
  <c r="H10" i="2116"/>
  <c r="G10" i="2116"/>
  <c r="F10" i="2116"/>
  <c r="J33" i="2116" s="1"/>
  <c r="E10" i="2116"/>
  <c r="D10" i="2116"/>
  <c r="AE7" i="2116"/>
  <c r="AD7" i="2116"/>
  <c r="AC7" i="2116"/>
  <c r="AB7" i="2116"/>
  <c r="AA7" i="2116"/>
  <c r="Z7" i="2116"/>
  <c r="Y7" i="2116"/>
  <c r="X7" i="2116"/>
  <c r="W7" i="2116"/>
  <c r="V7" i="2116"/>
  <c r="U7" i="2116"/>
  <c r="T7" i="2116"/>
  <c r="S7" i="2116"/>
  <c r="R7" i="2116"/>
  <c r="Q7" i="2116"/>
  <c r="P7" i="2116"/>
  <c r="O7" i="2116"/>
  <c r="N7" i="2116"/>
  <c r="M7" i="2116"/>
  <c r="L7" i="2116"/>
  <c r="K7" i="2116"/>
  <c r="J7" i="2116"/>
  <c r="I7" i="2116"/>
  <c r="H7" i="2116"/>
  <c r="G7" i="2116"/>
  <c r="F7" i="2116"/>
  <c r="E7" i="2116"/>
  <c r="D7" i="2116"/>
  <c r="AA33" i="2115"/>
  <c r="X33" i="2115"/>
  <c r="U33" i="2115"/>
  <c r="R33" i="2115"/>
  <c r="F33" i="2115"/>
  <c r="Y28" i="2115"/>
  <c r="X28" i="2115"/>
  <c r="S33" i="2115" s="1"/>
  <c r="W28" i="2115"/>
  <c r="V28" i="2115"/>
  <c r="U28" i="2115"/>
  <c r="T28" i="2115"/>
  <c r="S28" i="2115"/>
  <c r="R28" i="2115"/>
  <c r="Q28" i="2115"/>
  <c r="P28" i="2115"/>
  <c r="O28" i="2115"/>
  <c r="N28" i="2115"/>
  <c r="M28" i="2115"/>
  <c r="L28" i="2115"/>
  <c r="K28" i="2115"/>
  <c r="J28" i="2115"/>
  <c r="I28" i="2115"/>
  <c r="H28" i="2115"/>
  <c r="G28" i="2115"/>
  <c r="F28" i="2115"/>
  <c r="E28" i="2115"/>
  <c r="D28" i="2115"/>
  <c r="Y25" i="2115"/>
  <c r="X25" i="2115"/>
  <c r="W25" i="2115"/>
  <c r="V25" i="2115"/>
  <c r="U25" i="2115"/>
  <c r="T25" i="2115"/>
  <c r="S25" i="2115"/>
  <c r="R25" i="2115"/>
  <c r="Q25" i="2115"/>
  <c r="P25" i="2115"/>
  <c r="O25" i="2115"/>
  <c r="N25" i="2115"/>
  <c r="M25" i="2115"/>
  <c r="L25" i="2115"/>
  <c r="K25" i="2115"/>
  <c r="J25" i="2115"/>
  <c r="I25" i="2115"/>
  <c r="H25" i="2115"/>
  <c r="G25" i="2115"/>
  <c r="F25" i="2115"/>
  <c r="E25" i="2115"/>
  <c r="D25" i="2115"/>
  <c r="AE19" i="2115"/>
  <c r="AD19" i="2115"/>
  <c r="AC19" i="2115"/>
  <c r="AB19" i="2115"/>
  <c r="AA19" i="2115"/>
  <c r="Z19" i="2115"/>
  <c r="Y19" i="2115"/>
  <c r="X19" i="2115"/>
  <c r="T33" i="2115" s="1"/>
  <c r="W19" i="2115"/>
  <c r="V19" i="2115"/>
  <c r="U19" i="2115"/>
  <c r="T19" i="2115"/>
  <c r="S19" i="2115"/>
  <c r="R19" i="2115"/>
  <c r="Q19" i="2115"/>
  <c r="P19" i="2115"/>
  <c r="O19" i="2115"/>
  <c r="N19" i="2115"/>
  <c r="G33" i="2115" s="1"/>
  <c r="M19" i="2115"/>
  <c r="H33" i="2115" s="1"/>
  <c r="L19" i="2115"/>
  <c r="P33" i="2115" s="1"/>
  <c r="K19" i="2115"/>
  <c r="L33" i="2115" s="1"/>
  <c r="J19" i="2115"/>
  <c r="I19" i="2115"/>
  <c r="AB33" i="2115" s="1"/>
  <c r="H19" i="2115"/>
  <c r="G19" i="2115"/>
  <c r="O33" i="2115" s="1"/>
  <c r="F19" i="2115"/>
  <c r="E19" i="2115"/>
  <c r="D19" i="2115"/>
  <c r="AE16" i="2115"/>
  <c r="AD16" i="2115"/>
  <c r="AC16" i="2115"/>
  <c r="AB16" i="2115"/>
  <c r="AA16" i="2115"/>
  <c r="Z16" i="2115"/>
  <c r="X16" i="2115"/>
  <c r="W16" i="2115"/>
  <c r="V16" i="2115"/>
  <c r="U16" i="2115"/>
  <c r="T16" i="2115"/>
  <c r="S16" i="2115"/>
  <c r="R16" i="2115"/>
  <c r="Q16" i="2115"/>
  <c r="P16" i="2115"/>
  <c r="O16" i="2115"/>
  <c r="N16" i="2115"/>
  <c r="M16" i="2115"/>
  <c r="L16" i="2115"/>
  <c r="K16" i="2115"/>
  <c r="J16" i="2115"/>
  <c r="I16" i="2115"/>
  <c r="H16" i="2115"/>
  <c r="G16" i="2115"/>
  <c r="F16" i="2115"/>
  <c r="E16" i="2115"/>
  <c r="D16" i="2115"/>
  <c r="AE10" i="2115"/>
  <c r="AD10" i="2115"/>
  <c r="AC10" i="2115"/>
  <c r="AB10" i="2115"/>
  <c r="AA10" i="2115"/>
  <c r="Z10" i="2115"/>
  <c r="Y10" i="2115"/>
  <c r="X10" i="2115"/>
  <c r="W10" i="2115"/>
  <c r="V10" i="2115"/>
  <c r="U10" i="2115"/>
  <c r="T10" i="2115"/>
  <c r="S10" i="2115"/>
  <c r="R10" i="2115"/>
  <c r="Q10" i="2115"/>
  <c r="P10" i="2115"/>
  <c r="O10" i="2115"/>
  <c r="N10" i="2115"/>
  <c r="M10" i="2115"/>
  <c r="L10" i="2115"/>
  <c r="K10" i="2115"/>
  <c r="J10" i="2115"/>
  <c r="Q33" i="2115" s="1"/>
  <c r="I10" i="2115"/>
  <c r="E33" i="2115" s="1"/>
  <c r="H10" i="2115"/>
  <c r="G10" i="2115"/>
  <c r="F10" i="2115"/>
  <c r="E10" i="2115"/>
  <c r="D10" i="2115"/>
  <c r="AE7" i="2115"/>
  <c r="AD7" i="2115"/>
  <c r="AC7" i="2115"/>
  <c r="AB7" i="2115"/>
  <c r="AA7" i="2115"/>
  <c r="Z7" i="2115"/>
  <c r="Y7" i="2115"/>
  <c r="X7" i="2115"/>
  <c r="W7" i="2115"/>
  <c r="V7" i="2115"/>
  <c r="U7" i="2115"/>
  <c r="T7" i="2115"/>
  <c r="S7" i="2115"/>
  <c r="R7" i="2115"/>
  <c r="Q7" i="2115"/>
  <c r="P7" i="2115"/>
  <c r="O7" i="2115"/>
  <c r="N7" i="2115"/>
  <c r="M7" i="2115"/>
  <c r="L7" i="2115"/>
  <c r="K7" i="2115"/>
  <c r="J7" i="2115"/>
  <c r="I7" i="2115"/>
  <c r="H7" i="2115"/>
  <c r="G7" i="2115"/>
  <c r="F7" i="2115"/>
  <c r="E7" i="2115"/>
  <c r="D7" i="2115"/>
  <c r="W33" i="2118" l="1"/>
  <c r="N33" i="2118"/>
  <c r="AC33" i="2118"/>
  <c r="D33" i="2118"/>
  <c r="Z33" i="2118"/>
  <c r="Y33" i="2118"/>
  <c r="K33" i="2118"/>
  <c r="M33" i="2118"/>
  <c r="V33" i="2118"/>
  <c r="J33" i="2117"/>
  <c r="W33" i="2117"/>
  <c r="N33" i="2117"/>
  <c r="AC33" i="2117"/>
  <c r="D33" i="2117"/>
  <c r="Z33" i="2117"/>
  <c r="Y33" i="2117"/>
  <c r="K33" i="2117"/>
  <c r="M33" i="2117"/>
  <c r="V33" i="2117"/>
  <c r="W33" i="2116"/>
  <c r="N33" i="2116"/>
  <c r="AC33" i="2116"/>
  <c r="D33" i="2116"/>
  <c r="Z33" i="2116"/>
  <c r="Y33" i="2116"/>
  <c r="K33" i="2116"/>
  <c r="Q33" i="2116"/>
  <c r="M33" i="2116"/>
  <c r="V33" i="2116"/>
  <c r="J33" i="2115"/>
  <c r="W33" i="2115"/>
  <c r="K33" i="2115"/>
  <c r="AC33" i="2115"/>
  <c r="D33" i="2115"/>
  <c r="Z33" i="2115"/>
  <c r="Y33" i="2115"/>
  <c r="N33" i="2115"/>
  <c r="M33" i="2115"/>
  <c r="V33" i="2115"/>
  <c r="AA33" i="2114"/>
  <c r="X33" i="2114"/>
  <c r="U33" i="2114"/>
  <c r="R33" i="2114"/>
  <c r="F33" i="2114"/>
  <c r="E33" i="2114"/>
  <c r="Y28" i="2114"/>
  <c r="X28" i="2114"/>
  <c r="S33" i="2114" s="1"/>
  <c r="W28" i="2114"/>
  <c r="V28" i="2114"/>
  <c r="U28" i="2114"/>
  <c r="T28" i="2114"/>
  <c r="S28" i="2114"/>
  <c r="R28" i="2114"/>
  <c r="Q28" i="2114"/>
  <c r="P28" i="2114"/>
  <c r="O28" i="2114"/>
  <c r="N28" i="2114"/>
  <c r="M28" i="2114"/>
  <c r="L28" i="2114"/>
  <c r="K28" i="2114"/>
  <c r="J28" i="2114"/>
  <c r="I28" i="2114"/>
  <c r="H28" i="2114"/>
  <c r="G28" i="2114"/>
  <c r="F28" i="2114"/>
  <c r="E28" i="2114"/>
  <c r="D28" i="2114"/>
  <c r="Y25" i="2114"/>
  <c r="X25" i="2114"/>
  <c r="W25" i="2114"/>
  <c r="V25" i="2114"/>
  <c r="U25" i="2114"/>
  <c r="T25" i="2114"/>
  <c r="S25" i="2114"/>
  <c r="R25" i="2114"/>
  <c r="Q25" i="2114"/>
  <c r="P25" i="2114"/>
  <c r="O25" i="2114"/>
  <c r="N25" i="2114"/>
  <c r="M25" i="2114"/>
  <c r="L25" i="2114"/>
  <c r="K25" i="2114"/>
  <c r="J25" i="2114"/>
  <c r="I25" i="2114"/>
  <c r="H25" i="2114"/>
  <c r="G25" i="2114"/>
  <c r="F25" i="2114"/>
  <c r="E25" i="2114"/>
  <c r="D25" i="2114"/>
  <c r="AE19" i="2114"/>
  <c r="AD19" i="2114"/>
  <c r="AC19" i="2114"/>
  <c r="AB19" i="2114"/>
  <c r="AA19" i="2114"/>
  <c r="Z19" i="2114"/>
  <c r="Y19" i="2114"/>
  <c r="X19" i="2114"/>
  <c r="T33" i="2114" s="1"/>
  <c r="W19" i="2114"/>
  <c r="V19" i="2114"/>
  <c r="U19" i="2114"/>
  <c r="T19" i="2114"/>
  <c r="S19" i="2114"/>
  <c r="R19" i="2114"/>
  <c r="Q19" i="2114"/>
  <c r="P19" i="2114"/>
  <c r="O19" i="2114"/>
  <c r="N19" i="2114"/>
  <c r="G33" i="2114" s="1"/>
  <c r="M19" i="2114"/>
  <c r="H33" i="2114" s="1"/>
  <c r="L19" i="2114"/>
  <c r="P33" i="2114" s="1"/>
  <c r="K19" i="2114"/>
  <c r="L33" i="2114" s="1"/>
  <c r="J19" i="2114"/>
  <c r="I19" i="2114"/>
  <c r="AB33" i="2114" s="1"/>
  <c r="H19" i="2114"/>
  <c r="G19" i="2114"/>
  <c r="O33" i="2114" s="1"/>
  <c r="F19" i="2114"/>
  <c r="E19" i="2114"/>
  <c r="D19" i="2114"/>
  <c r="AE16" i="2114"/>
  <c r="AD16" i="2114"/>
  <c r="AC16" i="2114"/>
  <c r="AB16" i="2114"/>
  <c r="AA16" i="2114"/>
  <c r="Z16" i="2114"/>
  <c r="X16" i="2114"/>
  <c r="W16" i="2114"/>
  <c r="V16" i="2114"/>
  <c r="U16" i="2114"/>
  <c r="T16" i="2114"/>
  <c r="S16" i="2114"/>
  <c r="R16" i="2114"/>
  <c r="Q16" i="2114"/>
  <c r="P16" i="2114"/>
  <c r="O16" i="2114"/>
  <c r="N16" i="2114"/>
  <c r="M16" i="2114"/>
  <c r="L16" i="2114"/>
  <c r="K16" i="2114"/>
  <c r="J16" i="2114"/>
  <c r="I16" i="2114"/>
  <c r="H16" i="2114"/>
  <c r="G16" i="2114"/>
  <c r="F16" i="2114"/>
  <c r="E16" i="2114"/>
  <c r="D16" i="2114"/>
  <c r="AE10" i="2114"/>
  <c r="AD10" i="2114"/>
  <c r="AC10" i="2114"/>
  <c r="AB10" i="2114"/>
  <c r="AA10" i="2114"/>
  <c r="Z10" i="2114"/>
  <c r="Y10" i="2114"/>
  <c r="X10" i="2114"/>
  <c r="W10" i="2114"/>
  <c r="V10" i="2114"/>
  <c r="U10" i="2114"/>
  <c r="T10" i="2114"/>
  <c r="S10" i="2114"/>
  <c r="R10" i="2114"/>
  <c r="Q10" i="2114"/>
  <c r="P10" i="2114"/>
  <c r="O10" i="2114"/>
  <c r="N10" i="2114"/>
  <c r="M10" i="2114"/>
  <c r="L10" i="2114"/>
  <c r="K10" i="2114"/>
  <c r="J10" i="2114"/>
  <c r="Q33" i="2114" s="1"/>
  <c r="I10" i="2114"/>
  <c r="H10" i="2114"/>
  <c r="G10" i="2114"/>
  <c r="F10" i="2114"/>
  <c r="J33" i="2114" s="1"/>
  <c r="E10" i="2114"/>
  <c r="D10" i="2114"/>
  <c r="AE7" i="2114"/>
  <c r="AD7" i="2114"/>
  <c r="AC7" i="2114"/>
  <c r="AB7" i="2114"/>
  <c r="AA7" i="2114"/>
  <c r="Z7" i="2114"/>
  <c r="Y7" i="2114"/>
  <c r="X7" i="2114"/>
  <c r="W7" i="2114"/>
  <c r="V7" i="2114"/>
  <c r="U7" i="2114"/>
  <c r="T7" i="2114"/>
  <c r="S7" i="2114"/>
  <c r="R7" i="2114"/>
  <c r="Q7" i="2114"/>
  <c r="P7" i="2114"/>
  <c r="O7" i="2114"/>
  <c r="N7" i="2114"/>
  <c r="M7" i="2114"/>
  <c r="L7" i="2114"/>
  <c r="K7" i="2114"/>
  <c r="J7" i="2114"/>
  <c r="I7" i="2114"/>
  <c r="H7" i="2114"/>
  <c r="G7" i="2114"/>
  <c r="F7" i="2114"/>
  <c r="E7" i="2114"/>
  <c r="D7" i="2114"/>
  <c r="W33" i="2114" l="1"/>
  <c r="N33" i="2114"/>
  <c r="AC33" i="2114"/>
  <c r="D33" i="2114"/>
  <c r="Z33" i="2114"/>
  <c r="Y33" i="2114"/>
  <c r="K33" i="2114"/>
  <c r="M33" i="2114"/>
  <c r="V33" i="2114"/>
  <c r="AA33" i="2113"/>
  <c r="X33" i="2113"/>
  <c r="U33" i="2113"/>
  <c r="R33" i="2113"/>
  <c r="F33" i="2113"/>
  <c r="Y28" i="2113"/>
  <c r="X28" i="2113"/>
  <c r="S33" i="2113" s="1"/>
  <c r="W28" i="2113"/>
  <c r="V28" i="2113"/>
  <c r="U28" i="2113"/>
  <c r="T28" i="2113"/>
  <c r="S28" i="2113"/>
  <c r="R28" i="2113"/>
  <c r="Q28" i="2113"/>
  <c r="P28" i="2113"/>
  <c r="O28" i="2113"/>
  <c r="N28" i="2113"/>
  <c r="M28" i="2113"/>
  <c r="L28" i="2113"/>
  <c r="K28" i="2113"/>
  <c r="J28" i="2113"/>
  <c r="I28" i="2113"/>
  <c r="H28" i="2113"/>
  <c r="G28" i="2113"/>
  <c r="F28" i="2113"/>
  <c r="E28" i="2113"/>
  <c r="D28" i="2113"/>
  <c r="Y25" i="2113"/>
  <c r="X25" i="2113"/>
  <c r="W25" i="2113"/>
  <c r="V25" i="2113"/>
  <c r="U25" i="2113"/>
  <c r="T25" i="2113"/>
  <c r="S25" i="2113"/>
  <c r="R25" i="2113"/>
  <c r="Q25" i="2113"/>
  <c r="P25" i="2113"/>
  <c r="O25" i="2113"/>
  <c r="N25" i="2113"/>
  <c r="M25" i="2113"/>
  <c r="L25" i="2113"/>
  <c r="K25" i="2113"/>
  <c r="J25" i="2113"/>
  <c r="I25" i="2113"/>
  <c r="H25" i="2113"/>
  <c r="G25" i="2113"/>
  <c r="F25" i="2113"/>
  <c r="E25" i="2113"/>
  <c r="D25" i="2113"/>
  <c r="AE19" i="2113"/>
  <c r="AD19" i="2113"/>
  <c r="AC19" i="2113"/>
  <c r="AB19" i="2113"/>
  <c r="AA19" i="2113"/>
  <c r="Z19" i="2113"/>
  <c r="Y19" i="2113"/>
  <c r="X19" i="2113"/>
  <c r="T33" i="2113" s="1"/>
  <c r="W19" i="2113"/>
  <c r="V19" i="2113"/>
  <c r="U19" i="2113"/>
  <c r="T19" i="2113"/>
  <c r="S19" i="2113"/>
  <c r="R19" i="2113"/>
  <c r="Q19" i="2113"/>
  <c r="P19" i="2113"/>
  <c r="O19" i="2113"/>
  <c r="N19" i="2113"/>
  <c r="G33" i="2113" s="1"/>
  <c r="M19" i="2113"/>
  <c r="H33" i="2113" s="1"/>
  <c r="L19" i="2113"/>
  <c r="P33" i="2113" s="1"/>
  <c r="K19" i="2113"/>
  <c r="L33" i="2113" s="1"/>
  <c r="J19" i="2113"/>
  <c r="I19" i="2113"/>
  <c r="AB33" i="2113" s="1"/>
  <c r="H19" i="2113"/>
  <c r="G19" i="2113"/>
  <c r="O33" i="2113" s="1"/>
  <c r="F19" i="2113"/>
  <c r="E19" i="2113"/>
  <c r="D19" i="2113"/>
  <c r="AE16" i="2113"/>
  <c r="AD16" i="2113"/>
  <c r="AC16" i="2113"/>
  <c r="AB16" i="2113"/>
  <c r="AA16" i="2113"/>
  <c r="Z16" i="2113"/>
  <c r="X16" i="2113"/>
  <c r="W16" i="2113"/>
  <c r="V16" i="2113"/>
  <c r="U16" i="2113"/>
  <c r="T16" i="2113"/>
  <c r="S16" i="2113"/>
  <c r="R16" i="2113"/>
  <c r="Q16" i="2113"/>
  <c r="P16" i="2113"/>
  <c r="O16" i="2113"/>
  <c r="N16" i="2113"/>
  <c r="M16" i="2113"/>
  <c r="L16" i="2113"/>
  <c r="K16" i="2113"/>
  <c r="J16" i="2113"/>
  <c r="I16" i="2113"/>
  <c r="H16" i="2113"/>
  <c r="G16" i="2113"/>
  <c r="F16" i="2113"/>
  <c r="E16" i="2113"/>
  <c r="D16" i="2113"/>
  <c r="AE10" i="2113"/>
  <c r="AD10" i="2113"/>
  <c r="AC10" i="2113"/>
  <c r="AB10" i="2113"/>
  <c r="AA10" i="2113"/>
  <c r="Z10" i="2113"/>
  <c r="Y10" i="2113"/>
  <c r="X10" i="2113"/>
  <c r="W10" i="2113"/>
  <c r="V10" i="2113"/>
  <c r="U10" i="2113"/>
  <c r="T10" i="2113"/>
  <c r="S10" i="2113"/>
  <c r="R10" i="2113"/>
  <c r="Q10" i="2113"/>
  <c r="P10" i="2113"/>
  <c r="O10" i="2113"/>
  <c r="N10" i="2113"/>
  <c r="Q33" i="2113" s="1"/>
  <c r="M10" i="2113"/>
  <c r="E33" i="2113" s="1"/>
  <c r="L10" i="2113"/>
  <c r="K10" i="2113"/>
  <c r="J10" i="2113"/>
  <c r="I10" i="2113"/>
  <c r="H10" i="2113"/>
  <c r="G10" i="2113"/>
  <c r="F10" i="2113"/>
  <c r="E10" i="2113"/>
  <c r="D10" i="2113"/>
  <c r="AE7" i="2113"/>
  <c r="AD7" i="2113"/>
  <c r="AC7" i="2113"/>
  <c r="AB7" i="2113"/>
  <c r="AA7" i="2113"/>
  <c r="Z7" i="2113"/>
  <c r="Y7" i="2113"/>
  <c r="X7" i="2113"/>
  <c r="W7" i="2113"/>
  <c r="V7" i="2113"/>
  <c r="U7" i="2113"/>
  <c r="T7" i="2113"/>
  <c r="S7" i="2113"/>
  <c r="R7" i="2113"/>
  <c r="Q7" i="2113"/>
  <c r="P7" i="2113"/>
  <c r="O7" i="2113"/>
  <c r="N7" i="2113"/>
  <c r="M7" i="2113"/>
  <c r="L7" i="2113"/>
  <c r="K7" i="2113"/>
  <c r="J7" i="2113"/>
  <c r="I7" i="2113"/>
  <c r="H7" i="2113"/>
  <c r="G7" i="2113"/>
  <c r="F7" i="2113"/>
  <c r="E7" i="2113"/>
  <c r="D7" i="2113"/>
  <c r="J33" i="2113" l="1"/>
  <c r="W33" i="2113"/>
  <c r="N33" i="2113"/>
  <c r="AC33" i="2113"/>
  <c r="D33" i="2113"/>
  <c r="Z33" i="2113"/>
  <c r="Y33" i="2113"/>
  <c r="K33" i="2113"/>
  <c r="M33" i="2113"/>
  <c r="V33" i="2113"/>
  <c r="AA33" i="2112"/>
  <c r="X33" i="2112"/>
  <c r="U33" i="2112"/>
  <c r="R33" i="2112"/>
  <c r="O33" i="2112"/>
  <c r="F33" i="2112"/>
  <c r="E33" i="2112"/>
  <c r="Y28" i="2112"/>
  <c r="X28" i="2112"/>
  <c r="S33" i="2112" s="1"/>
  <c r="W28" i="2112"/>
  <c r="V28" i="2112"/>
  <c r="U28" i="2112"/>
  <c r="T28" i="2112"/>
  <c r="S28" i="2112"/>
  <c r="R28" i="2112"/>
  <c r="Q28" i="2112"/>
  <c r="P28" i="2112"/>
  <c r="O28" i="2112"/>
  <c r="N28" i="2112"/>
  <c r="M28" i="2112"/>
  <c r="L28" i="2112"/>
  <c r="K28" i="2112"/>
  <c r="J28" i="2112"/>
  <c r="I28" i="2112"/>
  <c r="H28" i="2112"/>
  <c r="G28" i="2112"/>
  <c r="F28" i="2112"/>
  <c r="E28" i="2112"/>
  <c r="D28" i="2112"/>
  <c r="Y25" i="2112"/>
  <c r="X25" i="2112"/>
  <c r="W25" i="2112"/>
  <c r="V25" i="2112"/>
  <c r="U25" i="2112"/>
  <c r="T25" i="2112"/>
  <c r="S25" i="2112"/>
  <c r="R25" i="2112"/>
  <c r="Q25" i="2112"/>
  <c r="P25" i="2112"/>
  <c r="O25" i="2112"/>
  <c r="N25" i="2112"/>
  <c r="M25" i="2112"/>
  <c r="L25" i="2112"/>
  <c r="K25" i="2112"/>
  <c r="J25" i="2112"/>
  <c r="I25" i="2112"/>
  <c r="H25" i="2112"/>
  <c r="G25" i="2112"/>
  <c r="F25" i="2112"/>
  <c r="E25" i="2112"/>
  <c r="D25" i="2112"/>
  <c r="AE19" i="2112"/>
  <c r="AD19" i="2112"/>
  <c r="AC19" i="2112"/>
  <c r="AB19" i="2112"/>
  <c r="AA19" i="2112"/>
  <c r="Z19" i="2112"/>
  <c r="Y19" i="2112"/>
  <c r="X19" i="2112"/>
  <c r="T33" i="2112" s="1"/>
  <c r="W19" i="2112"/>
  <c r="V19" i="2112"/>
  <c r="U19" i="2112"/>
  <c r="T19" i="2112"/>
  <c r="S19" i="2112"/>
  <c r="R19" i="2112"/>
  <c r="Q19" i="2112"/>
  <c r="P19" i="2112"/>
  <c r="O19" i="2112"/>
  <c r="N19" i="2112"/>
  <c r="G33" i="2112" s="1"/>
  <c r="M19" i="2112"/>
  <c r="H33" i="2112" s="1"/>
  <c r="L19" i="2112"/>
  <c r="P33" i="2112" s="1"/>
  <c r="K19" i="2112"/>
  <c r="L33" i="2112" s="1"/>
  <c r="J19" i="2112"/>
  <c r="I19" i="2112"/>
  <c r="AB33" i="2112" s="1"/>
  <c r="H19" i="2112"/>
  <c r="G19" i="2112"/>
  <c r="F19" i="2112"/>
  <c r="E19" i="2112"/>
  <c r="D19" i="2112"/>
  <c r="AE16" i="2112"/>
  <c r="AD16" i="2112"/>
  <c r="AC16" i="2112"/>
  <c r="AB16" i="2112"/>
  <c r="AA16" i="2112"/>
  <c r="Z16" i="2112"/>
  <c r="X16" i="2112"/>
  <c r="W16" i="2112"/>
  <c r="V16" i="2112"/>
  <c r="U16" i="2112"/>
  <c r="T16" i="2112"/>
  <c r="S16" i="2112"/>
  <c r="R16" i="2112"/>
  <c r="Q16" i="2112"/>
  <c r="P16" i="2112"/>
  <c r="O16" i="2112"/>
  <c r="N16" i="2112"/>
  <c r="M16" i="2112"/>
  <c r="L16" i="2112"/>
  <c r="K16" i="2112"/>
  <c r="J16" i="2112"/>
  <c r="I16" i="2112"/>
  <c r="H16" i="2112"/>
  <c r="G16" i="2112"/>
  <c r="F16" i="2112"/>
  <c r="E16" i="2112"/>
  <c r="D16" i="2112"/>
  <c r="AE10" i="2112"/>
  <c r="AD10" i="2112"/>
  <c r="AC10" i="2112"/>
  <c r="AB10" i="2112"/>
  <c r="AA10" i="2112"/>
  <c r="Z10" i="2112"/>
  <c r="Y10" i="2112"/>
  <c r="X10" i="2112"/>
  <c r="W10" i="2112"/>
  <c r="V10" i="2112"/>
  <c r="U10" i="2112"/>
  <c r="T10" i="2112"/>
  <c r="S10" i="2112"/>
  <c r="R10" i="2112"/>
  <c r="Q10" i="2112"/>
  <c r="P10" i="2112"/>
  <c r="O10" i="2112"/>
  <c r="N10" i="2112"/>
  <c r="M10" i="2112"/>
  <c r="L10" i="2112"/>
  <c r="K10" i="2112"/>
  <c r="J10" i="2112"/>
  <c r="I10" i="2112"/>
  <c r="H10" i="2112"/>
  <c r="G10" i="2112"/>
  <c r="F10" i="2112"/>
  <c r="J33" i="2112" s="1"/>
  <c r="E10" i="2112"/>
  <c r="D10" i="2112"/>
  <c r="AE7" i="2112"/>
  <c r="AD7" i="2112"/>
  <c r="AC7" i="2112"/>
  <c r="AB7" i="2112"/>
  <c r="AA7" i="2112"/>
  <c r="Z7" i="2112"/>
  <c r="Y7" i="2112"/>
  <c r="X7" i="2112"/>
  <c r="W7" i="2112"/>
  <c r="V7" i="2112"/>
  <c r="U7" i="2112"/>
  <c r="T7" i="2112"/>
  <c r="S7" i="2112"/>
  <c r="R7" i="2112"/>
  <c r="Q7" i="2112"/>
  <c r="P7" i="2112"/>
  <c r="O7" i="2112"/>
  <c r="N7" i="2112"/>
  <c r="M7" i="2112"/>
  <c r="L7" i="2112"/>
  <c r="K7" i="2112"/>
  <c r="J7" i="2112"/>
  <c r="I7" i="2112"/>
  <c r="H7" i="2112"/>
  <c r="G7" i="2112"/>
  <c r="F7" i="2112"/>
  <c r="E7" i="2112"/>
  <c r="D7" i="2112"/>
  <c r="Z33" i="2112" l="1"/>
  <c r="W33" i="2112"/>
  <c r="N33" i="2112"/>
  <c r="AC33" i="2112"/>
  <c r="D33" i="2112"/>
  <c r="Y33" i="2112"/>
  <c r="Q33" i="2112"/>
  <c r="K33" i="2112"/>
  <c r="M33" i="2112"/>
  <c r="V33" i="2112"/>
  <c r="AA33" i="2111"/>
  <c r="X33" i="2111"/>
  <c r="U33" i="2111"/>
  <c r="R33" i="2111"/>
  <c r="F33" i="2111"/>
  <c r="Y28" i="2111"/>
  <c r="X28" i="2111"/>
  <c r="S33" i="2111" s="1"/>
  <c r="W28" i="2111"/>
  <c r="V28" i="2111"/>
  <c r="U28" i="2111"/>
  <c r="T28" i="2111"/>
  <c r="S28" i="2111"/>
  <c r="R28" i="2111"/>
  <c r="Q28" i="2111"/>
  <c r="P28" i="2111"/>
  <c r="O28" i="2111"/>
  <c r="N28" i="2111"/>
  <c r="M28" i="2111"/>
  <c r="L28" i="2111"/>
  <c r="K28" i="2111"/>
  <c r="J28" i="2111"/>
  <c r="I28" i="2111"/>
  <c r="H28" i="2111"/>
  <c r="G28" i="2111"/>
  <c r="F28" i="2111"/>
  <c r="E28" i="2111"/>
  <c r="D28" i="2111"/>
  <c r="Y25" i="2111"/>
  <c r="X25" i="2111"/>
  <c r="W25" i="2111"/>
  <c r="V25" i="2111"/>
  <c r="U25" i="2111"/>
  <c r="T25" i="2111"/>
  <c r="S25" i="2111"/>
  <c r="R25" i="2111"/>
  <c r="Q25" i="2111"/>
  <c r="P25" i="2111"/>
  <c r="O25" i="2111"/>
  <c r="N25" i="2111"/>
  <c r="M25" i="2111"/>
  <c r="L25" i="2111"/>
  <c r="K25" i="2111"/>
  <c r="J25" i="2111"/>
  <c r="I25" i="2111"/>
  <c r="H25" i="2111"/>
  <c r="G25" i="2111"/>
  <c r="F25" i="2111"/>
  <c r="E25" i="2111"/>
  <c r="D25" i="2111"/>
  <c r="AE19" i="2111"/>
  <c r="AD19" i="2111"/>
  <c r="AC19" i="2111"/>
  <c r="AB19" i="2111"/>
  <c r="AA19" i="2111"/>
  <c r="Z19" i="2111"/>
  <c r="Y19" i="2111"/>
  <c r="X19" i="2111"/>
  <c r="T33" i="2111" s="1"/>
  <c r="W19" i="2111"/>
  <c r="V19" i="2111"/>
  <c r="U19" i="2111"/>
  <c r="T19" i="2111"/>
  <c r="S19" i="2111"/>
  <c r="R19" i="2111"/>
  <c r="Q19" i="2111"/>
  <c r="P19" i="2111"/>
  <c r="O19" i="2111"/>
  <c r="N19" i="2111"/>
  <c r="G33" i="2111" s="1"/>
  <c r="M19" i="2111"/>
  <c r="H33" i="2111" s="1"/>
  <c r="L19" i="2111"/>
  <c r="P33" i="2111" s="1"/>
  <c r="K19" i="2111"/>
  <c r="L33" i="2111" s="1"/>
  <c r="J19" i="2111"/>
  <c r="I19" i="2111"/>
  <c r="AB33" i="2111" s="1"/>
  <c r="H19" i="2111"/>
  <c r="G19" i="2111"/>
  <c r="O33" i="2111" s="1"/>
  <c r="F19" i="2111"/>
  <c r="E19" i="2111"/>
  <c r="D19" i="2111"/>
  <c r="AE16" i="2111"/>
  <c r="AD16" i="2111"/>
  <c r="AC16" i="2111"/>
  <c r="AB16" i="2111"/>
  <c r="AA16" i="2111"/>
  <c r="Z16" i="2111"/>
  <c r="X16" i="2111"/>
  <c r="W16" i="2111"/>
  <c r="V16" i="2111"/>
  <c r="U16" i="2111"/>
  <c r="T16" i="2111"/>
  <c r="S16" i="2111"/>
  <c r="R16" i="2111"/>
  <c r="Q16" i="2111"/>
  <c r="P16" i="2111"/>
  <c r="O16" i="2111"/>
  <c r="N16" i="2111"/>
  <c r="M16" i="2111"/>
  <c r="L16" i="2111"/>
  <c r="K16" i="2111"/>
  <c r="J16" i="2111"/>
  <c r="I16" i="2111"/>
  <c r="H16" i="2111"/>
  <c r="G16" i="2111"/>
  <c r="F16" i="2111"/>
  <c r="E16" i="2111"/>
  <c r="D16" i="2111"/>
  <c r="AE10" i="2111"/>
  <c r="AD10" i="2111"/>
  <c r="AC10" i="2111"/>
  <c r="AB10" i="2111"/>
  <c r="AA10" i="2111"/>
  <c r="Z10" i="2111"/>
  <c r="Y10" i="2111"/>
  <c r="X10" i="2111"/>
  <c r="W10" i="2111"/>
  <c r="V10" i="2111"/>
  <c r="U10" i="2111"/>
  <c r="T10" i="2111"/>
  <c r="S10" i="2111"/>
  <c r="R10" i="2111"/>
  <c r="Q10" i="2111"/>
  <c r="P10" i="2111"/>
  <c r="O10" i="2111"/>
  <c r="N10" i="2111"/>
  <c r="M10" i="2111"/>
  <c r="L10" i="2111"/>
  <c r="K10" i="2111"/>
  <c r="J10" i="2111"/>
  <c r="Q33" i="2111" s="1"/>
  <c r="I10" i="2111"/>
  <c r="E33" i="2111" s="1"/>
  <c r="H10" i="2111"/>
  <c r="G10" i="2111"/>
  <c r="F10" i="2111"/>
  <c r="E10" i="2111"/>
  <c r="D10" i="2111"/>
  <c r="AE7" i="2111"/>
  <c r="AD7" i="2111"/>
  <c r="AC7" i="2111"/>
  <c r="AB7" i="2111"/>
  <c r="AA7" i="2111"/>
  <c r="Z7" i="2111"/>
  <c r="Y7" i="2111"/>
  <c r="X7" i="2111"/>
  <c r="W7" i="2111"/>
  <c r="V7" i="2111"/>
  <c r="U7" i="2111"/>
  <c r="T7" i="2111"/>
  <c r="S7" i="2111"/>
  <c r="R7" i="2111"/>
  <c r="Q7" i="2111"/>
  <c r="P7" i="2111"/>
  <c r="O7" i="2111"/>
  <c r="N7" i="2111"/>
  <c r="M7" i="2111"/>
  <c r="L7" i="2111"/>
  <c r="K7" i="2111"/>
  <c r="J7" i="2111"/>
  <c r="I7" i="2111"/>
  <c r="H7" i="2111"/>
  <c r="G7" i="2111"/>
  <c r="F7" i="2111"/>
  <c r="E7" i="2111"/>
  <c r="D7" i="2111"/>
  <c r="J33" i="2111" l="1"/>
  <c r="W33" i="2111"/>
  <c r="N33" i="2111"/>
  <c r="AC33" i="2111"/>
  <c r="D33" i="2111"/>
  <c r="Z33" i="2111"/>
  <c r="Y33" i="2111"/>
  <c r="K33" i="2111"/>
  <c r="M33" i="2111"/>
  <c r="V33" i="2111"/>
  <c r="AA33" i="2110" l="1"/>
  <c r="X33" i="2110"/>
  <c r="U33" i="2110"/>
  <c r="R33" i="2110"/>
  <c r="F33" i="2110"/>
  <c r="Y28" i="2110"/>
  <c r="X28" i="2110"/>
  <c r="S33" i="2110" s="1"/>
  <c r="W28" i="2110"/>
  <c r="V28" i="2110"/>
  <c r="U28" i="2110"/>
  <c r="T28" i="2110"/>
  <c r="S28" i="2110"/>
  <c r="R28" i="2110"/>
  <c r="Q28" i="2110"/>
  <c r="P28" i="2110"/>
  <c r="O28" i="2110"/>
  <c r="N28" i="2110"/>
  <c r="M28" i="2110"/>
  <c r="L28" i="2110"/>
  <c r="K28" i="2110"/>
  <c r="J28" i="2110"/>
  <c r="I28" i="2110"/>
  <c r="H28" i="2110"/>
  <c r="G28" i="2110"/>
  <c r="F28" i="2110"/>
  <c r="E28" i="2110"/>
  <c r="D28" i="2110"/>
  <c r="Y25" i="2110"/>
  <c r="X25" i="2110"/>
  <c r="W25" i="2110"/>
  <c r="V25" i="2110"/>
  <c r="U25" i="2110"/>
  <c r="T25" i="2110"/>
  <c r="S25" i="2110"/>
  <c r="R25" i="2110"/>
  <c r="Q25" i="2110"/>
  <c r="P25" i="2110"/>
  <c r="O25" i="2110"/>
  <c r="N25" i="2110"/>
  <c r="M25" i="2110"/>
  <c r="L25" i="2110"/>
  <c r="K25" i="2110"/>
  <c r="J25" i="2110"/>
  <c r="I25" i="2110"/>
  <c r="H25" i="2110"/>
  <c r="G25" i="2110"/>
  <c r="F25" i="2110"/>
  <c r="E25" i="2110"/>
  <c r="D25" i="2110"/>
  <c r="AE19" i="2110"/>
  <c r="AD19" i="2110"/>
  <c r="AC19" i="2110"/>
  <c r="AB19" i="2110"/>
  <c r="AA19" i="2110"/>
  <c r="Z19" i="2110"/>
  <c r="Y19" i="2110"/>
  <c r="X19" i="2110"/>
  <c r="T33" i="2110" s="1"/>
  <c r="W19" i="2110"/>
  <c r="V19" i="2110"/>
  <c r="U19" i="2110"/>
  <c r="T19" i="2110"/>
  <c r="S19" i="2110"/>
  <c r="R19" i="2110"/>
  <c r="Q19" i="2110"/>
  <c r="P19" i="2110"/>
  <c r="O19" i="2110"/>
  <c r="N19" i="2110"/>
  <c r="G33" i="2110" s="1"/>
  <c r="M19" i="2110"/>
  <c r="H33" i="2110" s="1"/>
  <c r="L19" i="2110"/>
  <c r="P33" i="2110" s="1"/>
  <c r="K19" i="2110"/>
  <c r="L33" i="2110" s="1"/>
  <c r="J19" i="2110"/>
  <c r="I19" i="2110"/>
  <c r="AB33" i="2110" s="1"/>
  <c r="H19" i="2110"/>
  <c r="G19" i="2110"/>
  <c r="O33" i="2110" s="1"/>
  <c r="F19" i="2110"/>
  <c r="E19" i="2110"/>
  <c r="D19" i="2110"/>
  <c r="AE16" i="2110"/>
  <c r="AD16" i="2110"/>
  <c r="AC16" i="2110"/>
  <c r="AB16" i="2110"/>
  <c r="AA16" i="2110"/>
  <c r="Z16" i="2110"/>
  <c r="X16" i="2110"/>
  <c r="W16" i="2110"/>
  <c r="V16" i="2110"/>
  <c r="U16" i="2110"/>
  <c r="T16" i="2110"/>
  <c r="S16" i="2110"/>
  <c r="R16" i="2110"/>
  <c r="Q16" i="2110"/>
  <c r="P16" i="2110"/>
  <c r="O16" i="2110"/>
  <c r="N16" i="2110"/>
  <c r="M16" i="2110"/>
  <c r="L16" i="2110"/>
  <c r="K16" i="2110"/>
  <c r="J16" i="2110"/>
  <c r="I16" i="2110"/>
  <c r="H16" i="2110"/>
  <c r="G16" i="2110"/>
  <c r="F16" i="2110"/>
  <c r="E16" i="2110"/>
  <c r="D16" i="2110"/>
  <c r="AE10" i="2110"/>
  <c r="AD10" i="2110"/>
  <c r="AC10" i="2110"/>
  <c r="AB10" i="2110"/>
  <c r="AA10" i="2110"/>
  <c r="Z10" i="2110"/>
  <c r="Y10" i="2110"/>
  <c r="X10" i="2110"/>
  <c r="W10" i="2110"/>
  <c r="V10" i="2110"/>
  <c r="U10" i="2110"/>
  <c r="T10" i="2110"/>
  <c r="S10" i="2110"/>
  <c r="R10" i="2110"/>
  <c r="Q10" i="2110"/>
  <c r="P10" i="2110"/>
  <c r="O10" i="2110"/>
  <c r="N10" i="2110"/>
  <c r="Q33" i="2110" s="1"/>
  <c r="M10" i="2110"/>
  <c r="L10" i="2110"/>
  <c r="K10" i="2110"/>
  <c r="J10" i="2110"/>
  <c r="I10" i="2110"/>
  <c r="H10" i="2110"/>
  <c r="G10" i="2110"/>
  <c r="F10" i="2110"/>
  <c r="E10" i="2110"/>
  <c r="D10" i="2110"/>
  <c r="AE7" i="2110"/>
  <c r="AD7" i="2110"/>
  <c r="AC7" i="2110"/>
  <c r="AB7" i="2110"/>
  <c r="AA7" i="2110"/>
  <c r="Z7" i="2110"/>
  <c r="Y7" i="2110"/>
  <c r="X7" i="2110"/>
  <c r="W7" i="2110"/>
  <c r="V7" i="2110"/>
  <c r="U7" i="2110"/>
  <c r="T7" i="2110"/>
  <c r="S7" i="2110"/>
  <c r="R7" i="2110"/>
  <c r="Q7" i="2110"/>
  <c r="P7" i="2110"/>
  <c r="O7" i="2110"/>
  <c r="N7" i="2110"/>
  <c r="M7" i="2110"/>
  <c r="L7" i="2110"/>
  <c r="K7" i="2110"/>
  <c r="J7" i="2110"/>
  <c r="I7" i="2110"/>
  <c r="H7" i="2110"/>
  <c r="G7" i="2110"/>
  <c r="F7" i="2110"/>
  <c r="E7" i="2110"/>
  <c r="D7" i="2110"/>
  <c r="W33" i="2110" l="1"/>
  <c r="N33" i="2110"/>
  <c r="AC33" i="2110"/>
  <c r="D33" i="2110"/>
  <c r="Z33" i="2110"/>
  <c r="Y33" i="2110"/>
  <c r="E33" i="2110"/>
  <c r="K33" i="2110"/>
  <c r="J33" i="2110"/>
  <c r="M33" i="2110"/>
  <c r="V33" i="2110"/>
  <c r="AA33" i="2109"/>
  <c r="X33" i="2109"/>
  <c r="U33" i="2109"/>
  <c r="R33" i="2109"/>
  <c r="F33" i="2109"/>
  <c r="Y28" i="2109"/>
  <c r="X28" i="2109"/>
  <c r="S33" i="2109" s="1"/>
  <c r="W28" i="2109"/>
  <c r="V28" i="2109"/>
  <c r="U28" i="2109"/>
  <c r="T28" i="2109"/>
  <c r="S28" i="2109"/>
  <c r="R28" i="2109"/>
  <c r="Q28" i="2109"/>
  <c r="P28" i="2109"/>
  <c r="O28" i="2109"/>
  <c r="N28" i="2109"/>
  <c r="M28" i="2109"/>
  <c r="L28" i="2109"/>
  <c r="K28" i="2109"/>
  <c r="J28" i="2109"/>
  <c r="I28" i="2109"/>
  <c r="H28" i="2109"/>
  <c r="G28" i="2109"/>
  <c r="F28" i="2109"/>
  <c r="E28" i="2109"/>
  <c r="D28" i="2109"/>
  <c r="Y25" i="2109"/>
  <c r="X25" i="2109"/>
  <c r="W25" i="2109"/>
  <c r="V25" i="2109"/>
  <c r="U25" i="2109"/>
  <c r="T25" i="2109"/>
  <c r="S25" i="2109"/>
  <c r="R25" i="2109"/>
  <c r="Q25" i="2109"/>
  <c r="P25" i="2109"/>
  <c r="O25" i="2109"/>
  <c r="N25" i="2109"/>
  <c r="M25" i="2109"/>
  <c r="L25" i="2109"/>
  <c r="K25" i="2109"/>
  <c r="J25" i="2109"/>
  <c r="I25" i="2109"/>
  <c r="H25" i="2109"/>
  <c r="G25" i="2109"/>
  <c r="F25" i="2109"/>
  <c r="E25" i="2109"/>
  <c r="D25" i="2109"/>
  <c r="AE19" i="2109"/>
  <c r="AD19" i="2109"/>
  <c r="AC19" i="2109"/>
  <c r="AB19" i="2109"/>
  <c r="AA19" i="2109"/>
  <c r="Z19" i="2109"/>
  <c r="Y19" i="2109"/>
  <c r="X19" i="2109"/>
  <c r="T33" i="2109" s="1"/>
  <c r="W19" i="2109"/>
  <c r="V19" i="2109"/>
  <c r="U19" i="2109"/>
  <c r="T19" i="2109"/>
  <c r="S19" i="2109"/>
  <c r="R19" i="2109"/>
  <c r="Q19" i="2109"/>
  <c r="P19" i="2109"/>
  <c r="O19" i="2109"/>
  <c r="N19" i="2109"/>
  <c r="G33" i="2109" s="1"/>
  <c r="M19" i="2109"/>
  <c r="H33" i="2109" s="1"/>
  <c r="L19" i="2109"/>
  <c r="P33" i="2109" s="1"/>
  <c r="K19" i="2109"/>
  <c r="L33" i="2109" s="1"/>
  <c r="J19" i="2109"/>
  <c r="I19" i="2109"/>
  <c r="AB33" i="2109" s="1"/>
  <c r="H19" i="2109"/>
  <c r="G19" i="2109"/>
  <c r="O33" i="2109" s="1"/>
  <c r="F19" i="2109"/>
  <c r="E19" i="2109"/>
  <c r="D19" i="2109"/>
  <c r="AE16" i="2109"/>
  <c r="AD16" i="2109"/>
  <c r="AC16" i="2109"/>
  <c r="AB16" i="2109"/>
  <c r="AA16" i="2109"/>
  <c r="Z16" i="2109"/>
  <c r="X16" i="2109"/>
  <c r="W16" i="2109"/>
  <c r="V16" i="2109"/>
  <c r="U16" i="2109"/>
  <c r="T16" i="2109"/>
  <c r="S16" i="2109"/>
  <c r="R16" i="2109"/>
  <c r="Q16" i="2109"/>
  <c r="P16" i="2109"/>
  <c r="O16" i="2109"/>
  <c r="N16" i="2109"/>
  <c r="M16" i="2109"/>
  <c r="L16" i="2109"/>
  <c r="K16" i="2109"/>
  <c r="J16" i="2109"/>
  <c r="I16" i="2109"/>
  <c r="H16" i="2109"/>
  <c r="G16" i="2109"/>
  <c r="F16" i="2109"/>
  <c r="E16" i="2109"/>
  <c r="D16" i="2109"/>
  <c r="AE10" i="2109"/>
  <c r="AD10" i="2109"/>
  <c r="AC10" i="2109"/>
  <c r="AB10" i="2109"/>
  <c r="AA10" i="2109"/>
  <c r="Z10" i="2109"/>
  <c r="Y10" i="2109"/>
  <c r="X10" i="2109"/>
  <c r="W10" i="2109"/>
  <c r="V10" i="2109"/>
  <c r="U10" i="2109"/>
  <c r="T10" i="2109"/>
  <c r="S10" i="2109"/>
  <c r="R10" i="2109"/>
  <c r="Q10" i="2109"/>
  <c r="P10" i="2109"/>
  <c r="O10" i="2109"/>
  <c r="N10" i="2109"/>
  <c r="Q33" i="2109" s="1"/>
  <c r="M10" i="2109"/>
  <c r="E33" i="2109" s="1"/>
  <c r="L10" i="2109"/>
  <c r="K10" i="2109"/>
  <c r="J10" i="2109"/>
  <c r="I10" i="2109"/>
  <c r="H10" i="2109"/>
  <c r="G10" i="2109"/>
  <c r="F10" i="2109"/>
  <c r="E10" i="2109"/>
  <c r="D10" i="2109"/>
  <c r="AE7" i="2109"/>
  <c r="AD7" i="2109"/>
  <c r="AC7" i="2109"/>
  <c r="AB7" i="2109"/>
  <c r="AA7" i="2109"/>
  <c r="Z7" i="2109"/>
  <c r="Y7" i="2109"/>
  <c r="X7" i="2109"/>
  <c r="W7" i="2109"/>
  <c r="V7" i="2109"/>
  <c r="U7" i="2109"/>
  <c r="T7" i="2109"/>
  <c r="S7" i="2109"/>
  <c r="R7" i="2109"/>
  <c r="Q7" i="2109"/>
  <c r="P7" i="2109"/>
  <c r="O7" i="2109"/>
  <c r="N7" i="2109"/>
  <c r="M7" i="2109"/>
  <c r="L7" i="2109"/>
  <c r="K7" i="2109"/>
  <c r="J7" i="2109"/>
  <c r="I7" i="2109"/>
  <c r="H7" i="2109"/>
  <c r="G7" i="2109"/>
  <c r="F7" i="2109"/>
  <c r="E7" i="2109"/>
  <c r="D7" i="2109"/>
  <c r="J33" i="2109" l="1"/>
  <c r="W33" i="2109"/>
  <c r="N33" i="2109"/>
  <c r="AC33" i="2109"/>
  <c r="D33" i="2109"/>
  <c r="Z33" i="2109"/>
  <c r="Y33" i="2109"/>
  <c r="K33" i="2109"/>
  <c r="M33" i="2109"/>
  <c r="V33" i="2109"/>
  <c r="AA33" i="2108"/>
  <c r="X33" i="2108"/>
  <c r="U33" i="2108"/>
  <c r="R33" i="2108"/>
  <c r="O33" i="2108"/>
  <c r="F33" i="2108"/>
  <c r="Y28" i="2108"/>
  <c r="X28" i="2108"/>
  <c r="S33" i="2108" s="1"/>
  <c r="W28" i="2108"/>
  <c r="V28" i="2108"/>
  <c r="U28" i="2108"/>
  <c r="T28" i="2108"/>
  <c r="S28" i="2108"/>
  <c r="R28" i="2108"/>
  <c r="Q28" i="2108"/>
  <c r="P28" i="2108"/>
  <c r="O28" i="2108"/>
  <c r="N28" i="2108"/>
  <c r="M28" i="2108"/>
  <c r="L28" i="2108"/>
  <c r="K28" i="2108"/>
  <c r="J28" i="2108"/>
  <c r="I28" i="2108"/>
  <c r="H28" i="2108"/>
  <c r="G28" i="2108"/>
  <c r="F28" i="2108"/>
  <c r="E28" i="2108"/>
  <c r="D28" i="2108"/>
  <c r="Y25" i="2108"/>
  <c r="X25" i="2108"/>
  <c r="W25" i="2108"/>
  <c r="V25" i="2108"/>
  <c r="U25" i="2108"/>
  <c r="T25" i="2108"/>
  <c r="S25" i="2108"/>
  <c r="R25" i="2108"/>
  <c r="Q25" i="2108"/>
  <c r="P25" i="2108"/>
  <c r="O25" i="2108"/>
  <c r="N25" i="2108"/>
  <c r="M25" i="2108"/>
  <c r="L25" i="2108"/>
  <c r="K25" i="2108"/>
  <c r="J25" i="2108"/>
  <c r="I25" i="2108"/>
  <c r="H25" i="2108"/>
  <c r="G25" i="2108"/>
  <c r="F25" i="2108"/>
  <c r="E25" i="2108"/>
  <c r="D25" i="2108"/>
  <c r="AE19" i="2108"/>
  <c r="AD19" i="2108"/>
  <c r="AC19" i="2108"/>
  <c r="AB19" i="2108"/>
  <c r="AA19" i="2108"/>
  <c r="Z19" i="2108"/>
  <c r="Y19" i="2108"/>
  <c r="X19" i="2108"/>
  <c r="T33" i="2108" s="1"/>
  <c r="W19" i="2108"/>
  <c r="V19" i="2108"/>
  <c r="U19" i="2108"/>
  <c r="T19" i="2108"/>
  <c r="S19" i="2108"/>
  <c r="R19" i="2108"/>
  <c r="Q19" i="2108"/>
  <c r="P19" i="2108"/>
  <c r="O19" i="2108"/>
  <c r="N19" i="2108"/>
  <c r="G33" i="2108" s="1"/>
  <c r="M19" i="2108"/>
  <c r="H33" i="2108" s="1"/>
  <c r="L19" i="2108"/>
  <c r="P33" i="2108" s="1"/>
  <c r="K19" i="2108"/>
  <c r="L33" i="2108" s="1"/>
  <c r="J19" i="2108"/>
  <c r="I19" i="2108"/>
  <c r="AB33" i="2108" s="1"/>
  <c r="H19" i="2108"/>
  <c r="G19" i="2108"/>
  <c r="F19" i="2108"/>
  <c r="E19" i="2108"/>
  <c r="D19" i="2108"/>
  <c r="AE16" i="2108"/>
  <c r="AD16" i="2108"/>
  <c r="AC16" i="2108"/>
  <c r="AB16" i="2108"/>
  <c r="AA16" i="2108"/>
  <c r="Z16" i="2108"/>
  <c r="X16" i="2108"/>
  <c r="W16" i="2108"/>
  <c r="V16" i="2108"/>
  <c r="U16" i="2108"/>
  <c r="T16" i="2108"/>
  <c r="S16" i="2108"/>
  <c r="R16" i="2108"/>
  <c r="Q16" i="2108"/>
  <c r="P16" i="2108"/>
  <c r="O16" i="2108"/>
  <c r="N16" i="2108"/>
  <c r="M16" i="2108"/>
  <c r="L16" i="2108"/>
  <c r="K16" i="2108"/>
  <c r="J16" i="2108"/>
  <c r="I16" i="2108"/>
  <c r="H16" i="2108"/>
  <c r="G16" i="2108"/>
  <c r="F16" i="2108"/>
  <c r="E16" i="2108"/>
  <c r="D16" i="2108"/>
  <c r="AE10" i="2108"/>
  <c r="AD10" i="2108"/>
  <c r="AC10" i="2108"/>
  <c r="AB10" i="2108"/>
  <c r="AA10" i="2108"/>
  <c r="Z10" i="2108"/>
  <c r="Y10" i="2108"/>
  <c r="X10" i="2108"/>
  <c r="W10" i="2108"/>
  <c r="V10" i="2108"/>
  <c r="U10" i="2108"/>
  <c r="T10" i="2108"/>
  <c r="S10" i="2108"/>
  <c r="R10" i="2108"/>
  <c r="Q10" i="2108"/>
  <c r="P10" i="2108"/>
  <c r="O10" i="2108"/>
  <c r="N10" i="2108"/>
  <c r="Q33" i="2108" s="1"/>
  <c r="M10" i="2108"/>
  <c r="E33" i="2108" s="1"/>
  <c r="L10" i="2108"/>
  <c r="K10" i="2108"/>
  <c r="J10" i="2108"/>
  <c r="I10" i="2108"/>
  <c r="H10" i="2108"/>
  <c r="G10" i="2108"/>
  <c r="F10" i="2108"/>
  <c r="J33" i="2108" s="1"/>
  <c r="E10" i="2108"/>
  <c r="D10" i="2108"/>
  <c r="AE7" i="2108"/>
  <c r="AD7" i="2108"/>
  <c r="AC7" i="2108"/>
  <c r="AB7" i="2108"/>
  <c r="AA7" i="2108"/>
  <c r="Z7" i="2108"/>
  <c r="Y7" i="2108"/>
  <c r="X7" i="2108"/>
  <c r="W7" i="2108"/>
  <c r="V7" i="2108"/>
  <c r="U7" i="2108"/>
  <c r="T7" i="2108"/>
  <c r="S7" i="2108"/>
  <c r="R7" i="2108"/>
  <c r="Q7" i="2108"/>
  <c r="P7" i="2108"/>
  <c r="O7" i="2108"/>
  <c r="N7" i="2108"/>
  <c r="M7" i="2108"/>
  <c r="L7" i="2108"/>
  <c r="K7" i="2108"/>
  <c r="J7" i="2108"/>
  <c r="I7" i="2108"/>
  <c r="H7" i="2108"/>
  <c r="G7" i="2108"/>
  <c r="F7" i="2108"/>
  <c r="E7" i="2108"/>
  <c r="D7" i="2108"/>
  <c r="W33" i="2108" l="1"/>
  <c r="N33" i="2108"/>
  <c r="AC33" i="2108"/>
  <c r="D33" i="2108"/>
  <c r="Z33" i="2108"/>
  <c r="Y33" i="2108"/>
  <c r="K33" i="2108"/>
  <c r="M33" i="2108"/>
  <c r="V33" i="2108"/>
  <c r="AA33" i="2107"/>
  <c r="X33" i="2107"/>
  <c r="U33" i="2107"/>
  <c r="R33" i="2107"/>
  <c r="F33" i="2107"/>
  <c r="E33" i="2107"/>
  <c r="Y28" i="2107"/>
  <c r="X28" i="2107"/>
  <c r="S33" i="2107" s="1"/>
  <c r="W28" i="2107"/>
  <c r="V28" i="2107"/>
  <c r="U28" i="2107"/>
  <c r="T28" i="2107"/>
  <c r="S28" i="2107"/>
  <c r="R28" i="2107"/>
  <c r="Q28" i="2107"/>
  <c r="P28" i="2107"/>
  <c r="O28" i="2107"/>
  <c r="N28" i="2107"/>
  <c r="M28" i="2107"/>
  <c r="L28" i="2107"/>
  <c r="K28" i="2107"/>
  <c r="J28" i="2107"/>
  <c r="I28" i="2107"/>
  <c r="H28" i="2107"/>
  <c r="G28" i="2107"/>
  <c r="F28" i="2107"/>
  <c r="E28" i="2107"/>
  <c r="D28" i="2107"/>
  <c r="Y25" i="2107"/>
  <c r="X25" i="2107"/>
  <c r="W25" i="2107"/>
  <c r="V25" i="2107"/>
  <c r="U25" i="2107"/>
  <c r="T25" i="2107"/>
  <c r="S25" i="2107"/>
  <c r="R25" i="2107"/>
  <c r="Q25" i="2107"/>
  <c r="P25" i="2107"/>
  <c r="O25" i="2107"/>
  <c r="N25" i="2107"/>
  <c r="M25" i="2107"/>
  <c r="L25" i="2107"/>
  <c r="K25" i="2107"/>
  <c r="J25" i="2107"/>
  <c r="I25" i="2107"/>
  <c r="H25" i="2107"/>
  <c r="G25" i="2107"/>
  <c r="F25" i="2107"/>
  <c r="E25" i="2107"/>
  <c r="D25" i="2107"/>
  <c r="AE19" i="2107"/>
  <c r="AD19" i="2107"/>
  <c r="AC19" i="2107"/>
  <c r="AB19" i="2107"/>
  <c r="AA19" i="2107"/>
  <c r="Z19" i="2107"/>
  <c r="Y19" i="2107"/>
  <c r="X19" i="2107"/>
  <c r="T33" i="2107" s="1"/>
  <c r="W19" i="2107"/>
  <c r="V19" i="2107"/>
  <c r="U19" i="2107"/>
  <c r="T19" i="2107"/>
  <c r="S19" i="2107"/>
  <c r="R19" i="2107"/>
  <c r="Q19" i="2107"/>
  <c r="P19" i="2107"/>
  <c r="O19" i="2107"/>
  <c r="N19" i="2107"/>
  <c r="G33" i="2107" s="1"/>
  <c r="M19" i="2107"/>
  <c r="H33" i="2107" s="1"/>
  <c r="L19" i="2107"/>
  <c r="P33" i="2107" s="1"/>
  <c r="K19" i="2107"/>
  <c r="L33" i="2107" s="1"/>
  <c r="J19" i="2107"/>
  <c r="I19" i="2107"/>
  <c r="AB33" i="2107" s="1"/>
  <c r="H19" i="2107"/>
  <c r="G19" i="2107"/>
  <c r="O33" i="2107" s="1"/>
  <c r="F19" i="2107"/>
  <c r="E19" i="2107"/>
  <c r="D19" i="2107"/>
  <c r="AE16" i="2107"/>
  <c r="AD16" i="2107"/>
  <c r="AC16" i="2107"/>
  <c r="AB16" i="2107"/>
  <c r="AA16" i="2107"/>
  <c r="Z16" i="2107"/>
  <c r="X16" i="2107"/>
  <c r="W16" i="2107"/>
  <c r="V16" i="2107"/>
  <c r="U16" i="2107"/>
  <c r="T16" i="2107"/>
  <c r="S16" i="2107"/>
  <c r="R16" i="2107"/>
  <c r="Q16" i="2107"/>
  <c r="P16" i="2107"/>
  <c r="O16" i="2107"/>
  <c r="N16" i="2107"/>
  <c r="M16" i="2107"/>
  <c r="L16" i="2107"/>
  <c r="K16" i="2107"/>
  <c r="J16" i="2107"/>
  <c r="I16" i="2107"/>
  <c r="H16" i="2107"/>
  <c r="G16" i="2107"/>
  <c r="F16" i="2107"/>
  <c r="E16" i="2107"/>
  <c r="D16" i="2107"/>
  <c r="AE10" i="2107"/>
  <c r="AD10" i="2107"/>
  <c r="AC10" i="2107"/>
  <c r="AB10" i="2107"/>
  <c r="AA10" i="2107"/>
  <c r="Z10" i="2107"/>
  <c r="Y10" i="2107"/>
  <c r="X10" i="2107"/>
  <c r="W10" i="2107"/>
  <c r="V10" i="2107"/>
  <c r="U10" i="2107"/>
  <c r="T10" i="2107"/>
  <c r="S10" i="2107"/>
  <c r="R10" i="2107"/>
  <c r="Q10" i="2107"/>
  <c r="P10" i="2107"/>
  <c r="O10" i="2107"/>
  <c r="N10" i="2107"/>
  <c r="Q33" i="2107" s="1"/>
  <c r="M10" i="2107"/>
  <c r="L10" i="2107"/>
  <c r="K10" i="2107"/>
  <c r="J10" i="2107"/>
  <c r="I10" i="2107"/>
  <c r="H10" i="2107"/>
  <c r="G10" i="2107"/>
  <c r="F10" i="2107"/>
  <c r="J33" i="2107" s="1"/>
  <c r="E10" i="2107"/>
  <c r="D10" i="2107"/>
  <c r="AE7" i="2107"/>
  <c r="AD7" i="2107"/>
  <c r="AC7" i="2107"/>
  <c r="AB7" i="2107"/>
  <c r="AA7" i="2107"/>
  <c r="Z7" i="2107"/>
  <c r="Y7" i="2107"/>
  <c r="X7" i="2107"/>
  <c r="W7" i="2107"/>
  <c r="V7" i="2107"/>
  <c r="U7" i="2107"/>
  <c r="T7" i="2107"/>
  <c r="S7" i="2107"/>
  <c r="R7" i="2107"/>
  <c r="Q7" i="2107"/>
  <c r="P7" i="2107"/>
  <c r="O7" i="2107"/>
  <c r="N7" i="2107"/>
  <c r="M7" i="2107"/>
  <c r="L7" i="2107"/>
  <c r="K7" i="2107"/>
  <c r="J7" i="2107"/>
  <c r="I7" i="2107"/>
  <c r="H7" i="2107"/>
  <c r="G7" i="2107"/>
  <c r="F7" i="2107"/>
  <c r="E7" i="2107"/>
  <c r="D7" i="2107"/>
  <c r="W33" i="2107" l="1"/>
  <c r="N33" i="2107"/>
  <c r="AC33" i="2107"/>
  <c r="Z33" i="2107"/>
  <c r="D33" i="2107"/>
  <c r="Y33" i="2107"/>
  <c r="K33" i="2107"/>
  <c r="M33" i="2107"/>
  <c r="V33" i="2107"/>
  <c r="AA33" i="2106"/>
  <c r="X33" i="2106"/>
  <c r="U33" i="2106"/>
  <c r="R33" i="2106"/>
  <c r="O33" i="2106"/>
  <c r="F33" i="2106"/>
  <c r="E33" i="2106"/>
  <c r="Y28" i="2106"/>
  <c r="X28" i="2106"/>
  <c r="S33" i="2106" s="1"/>
  <c r="W28" i="2106"/>
  <c r="V28" i="2106"/>
  <c r="U28" i="2106"/>
  <c r="T28" i="2106"/>
  <c r="S28" i="2106"/>
  <c r="R28" i="2106"/>
  <c r="Q28" i="2106"/>
  <c r="P28" i="2106"/>
  <c r="O28" i="2106"/>
  <c r="N28" i="2106"/>
  <c r="M28" i="2106"/>
  <c r="L28" i="2106"/>
  <c r="K28" i="2106"/>
  <c r="J28" i="2106"/>
  <c r="I28" i="2106"/>
  <c r="H28" i="2106"/>
  <c r="G28" i="2106"/>
  <c r="F28" i="2106"/>
  <c r="E28" i="2106"/>
  <c r="D28" i="2106"/>
  <c r="Y25" i="2106"/>
  <c r="X25" i="2106"/>
  <c r="W25" i="2106"/>
  <c r="V25" i="2106"/>
  <c r="U25" i="2106"/>
  <c r="T25" i="2106"/>
  <c r="S25" i="2106"/>
  <c r="R25" i="2106"/>
  <c r="Q25" i="2106"/>
  <c r="P25" i="2106"/>
  <c r="O25" i="2106"/>
  <c r="N25" i="2106"/>
  <c r="M25" i="2106"/>
  <c r="L25" i="2106"/>
  <c r="K25" i="2106"/>
  <c r="J25" i="2106"/>
  <c r="I25" i="2106"/>
  <c r="H25" i="2106"/>
  <c r="G25" i="2106"/>
  <c r="F25" i="2106"/>
  <c r="E25" i="2106"/>
  <c r="D25" i="2106"/>
  <c r="AE19" i="2106"/>
  <c r="AD19" i="2106"/>
  <c r="AC19" i="2106"/>
  <c r="AB19" i="2106"/>
  <c r="AA19" i="2106"/>
  <c r="Z19" i="2106"/>
  <c r="Y19" i="2106"/>
  <c r="X19" i="2106"/>
  <c r="T33" i="2106" s="1"/>
  <c r="W19" i="2106"/>
  <c r="V19" i="2106"/>
  <c r="U19" i="2106"/>
  <c r="T19" i="2106"/>
  <c r="S19" i="2106"/>
  <c r="R19" i="2106"/>
  <c r="Q19" i="2106"/>
  <c r="P19" i="2106"/>
  <c r="O19" i="2106"/>
  <c r="N19" i="2106"/>
  <c r="G33" i="2106" s="1"/>
  <c r="M19" i="2106"/>
  <c r="H33" i="2106" s="1"/>
  <c r="L19" i="2106"/>
  <c r="P33" i="2106" s="1"/>
  <c r="K19" i="2106"/>
  <c r="L33" i="2106" s="1"/>
  <c r="J19" i="2106"/>
  <c r="I19" i="2106"/>
  <c r="AB33" i="2106" s="1"/>
  <c r="H19" i="2106"/>
  <c r="G19" i="2106"/>
  <c r="F19" i="2106"/>
  <c r="E19" i="2106"/>
  <c r="D19" i="2106"/>
  <c r="AE16" i="2106"/>
  <c r="AD16" i="2106"/>
  <c r="AC16" i="2106"/>
  <c r="AB16" i="2106"/>
  <c r="AA16" i="2106"/>
  <c r="Z16" i="2106"/>
  <c r="X16" i="2106"/>
  <c r="W16" i="2106"/>
  <c r="V16" i="2106"/>
  <c r="U16" i="2106"/>
  <c r="T16" i="2106"/>
  <c r="S16" i="2106"/>
  <c r="R16" i="2106"/>
  <c r="Q16" i="2106"/>
  <c r="P16" i="2106"/>
  <c r="O16" i="2106"/>
  <c r="N16" i="2106"/>
  <c r="M16" i="2106"/>
  <c r="L16" i="2106"/>
  <c r="K16" i="2106"/>
  <c r="J16" i="2106"/>
  <c r="I16" i="2106"/>
  <c r="H16" i="2106"/>
  <c r="G16" i="2106"/>
  <c r="F16" i="2106"/>
  <c r="E16" i="2106"/>
  <c r="D16" i="2106"/>
  <c r="AE10" i="2106"/>
  <c r="AD10" i="2106"/>
  <c r="AC10" i="2106"/>
  <c r="AB10" i="2106"/>
  <c r="AA10" i="2106"/>
  <c r="Z10" i="2106"/>
  <c r="Y10" i="2106"/>
  <c r="X10" i="2106"/>
  <c r="W10" i="2106"/>
  <c r="V10" i="2106"/>
  <c r="U10" i="2106"/>
  <c r="T10" i="2106"/>
  <c r="S10" i="2106"/>
  <c r="R10" i="2106"/>
  <c r="Q10" i="2106"/>
  <c r="P10" i="2106"/>
  <c r="O10" i="2106"/>
  <c r="N10" i="2106"/>
  <c r="Q33" i="2106" s="1"/>
  <c r="M10" i="2106"/>
  <c r="L10" i="2106"/>
  <c r="K10" i="2106"/>
  <c r="J10" i="2106"/>
  <c r="I10" i="2106"/>
  <c r="H10" i="2106"/>
  <c r="G10" i="2106"/>
  <c r="F10" i="2106"/>
  <c r="J33" i="2106" s="1"/>
  <c r="E10" i="2106"/>
  <c r="D10" i="2106"/>
  <c r="AE7" i="2106"/>
  <c r="AD7" i="2106"/>
  <c r="AC7" i="2106"/>
  <c r="AB7" i="2106"/>
  <c r="AA7" i="2106"/>
  <c r="Z7" i="2106"/>
  <c r="Y7" i="2106"/>
  <c r="X7" i="2106"/>
  <c r="W7" i="2106"/>
  <c r="V7" i="2106"/>
  <c r="U7" i="2106"/>
  <c r="T7" i="2106"/>
  <c r="S7" i="2106"/>
  <c r="R7" i="2106"/>
  <c r="Q7" i="2106"/>
  <c r="P7" i="2106"/>
  <c r="O7" i="2106"/>
  <c r="N7" i="2106"/>
  <c r="M7" i="2106"/>
  <c r="L7" i="2106"/>
  <c r="K7" i="2106"/>
  <c r="J7" i="2106"/>
  <c r="I7" i="2106"/>
  <c r="H7" i="2106"/>
  <c r="G7" i="2106"/>
  <c r="F7" i="2106"/>
  <c r="E7" i="2106"/>
  <c r="D7" i="2106"/>
  <c r="W33" i="2106" l="1"/>
  <c r="N33" i="2106"/>
  <c r="AC33" i="2106"/>
  <c r="Z33" i="2106"/>
  <c r="D33" i="2106"/>
  <c r="Y33" i="2106"/>
  <c r="K33" i="2106"/>
  <c r="M33" i="2106"/>
  <c r="V33" i="2106"/>
  <c r="AA33" i="2105"/>
  <c r="X33" i="2105"/>
  <c r="U33" i="2105"/>
  <c r="R33" i="2105"/>
  <c r="F33" i="2105"/>
  <c r="E33" i="2105"/>
  <c r="Y28" i="2105"/>
  <c r="X28" i="2105"/>
  <c r="S33" i="2105" s="1"/>
  <c r="W28" i="2105"/>
  <c r="V28" i="2105"/>
  <c r="U28" i="2105"/>
  <c r="T28" i="2105"/>
  <c r="S28" i="2105"/>
  <c r="R28" i="2105"/>
  <c r="Q28" i="2105"/>
  <c r="P28" i="2105"/>
  <c r="O28" i="2105"/>
  <c r="N28" i="2105"/>
  <c r="M28" i="2105"/>
  <c r="L28" i="2105"/>
  <c r="K28" i="2105"/>
  <c r="J28" i="2105"/>
  <c r="I28" i="2105"/>
  <c r="H28" i="2105"/>
  <c r="G28" i="2105"/>
  <c r="F28" i="2105"/>
  <c r="E28" i="2105"/>
  <c r="D28" i="2105"/>
  <c r="Y25" i="2105"/>
  <c r="X25" i="2105"/>
  <c r="W25" i="2105"/>
  <c r="V25" i="2105"/>
  <c r="U25" i="2105"/>
  <c r="T25" i="2105"/>
  <c r="S25" i="2105"/>
  <c r="R25" i="2105"/>
  <c r="Q25" i="2105"/>
  <c r="P25" i="2105"/>
  <c r="O25" i="2105"/>
  <c r="N25" i="2105"/>
  <c r="M25" i="2105"/>
  <c r="L25" i="2105"/>
  <c r="K25" i="2105"/>
  <c r="J25" i="2105"/>
  <c r="I25" i="2105"/>
  <c r="H25" i="2105"/>
  <c r="G25" i="2105"/>
  <c r="F25" i="2105"/>
  <c r="E25" i="2105"/>
  <c r="D25" i="2105"/>
  <c r="AE19" i="2105"/>
  <c r="AD19" i="2105"/>
  <c r="AC19" i="2105"/>
  <c r="AB19" i="2105"/>
  <c r="AA19" i="2105"/>
  <c r="Z19" i="2105"/>
  <c r="Y19" i="2105"/>
  <c r="X19" i="2105"/>
  <c r="T33" i="2105" s="1"/>
  <c r="W19" i="2105"/>
  <c r="V19" i="2105"/>
  <c r="U19" i="2105"/>
  <c r="T19" i="2105"/>
  <c r="S19" i="2105"/>
  <c r="R19" i="2105"/>
  <c r="Q19" i="2105"/>
  <c r="P19" i="2105"/>
  <c r="O19" i="2105"/>
  <c r="N19" i="2105"/>
  <c r="G33" i="2105" s="1"/>
  <c r="M19" i="2105"/>
  <c r="H33" i="2105" s="1"/>
  <c r="L19" i="2105"/>
  <c r="P33" i="2105" s="1"/>
  <c r="K19" i="2105"/>
  <c r="L33" i="2105" s="1"/>
  <c r="J19" i="2105"/>
  <c r="I19" i="2105"/>
  <c r="AB33" i="2105" s="1"/>
  <c r="H19" i="2105"/>
  <c r="G19" i="2105"/>
  <c r="O33" i="2105" s="1"/>
  <c r="F19" i="2105"/>
  <c r="E19" i="2105"/>
  <c r="D19" i="2105"/>
  <c r="AE16" i="2105"/>
  <c r="AD16" i="2105"/>
  <c r="AC16" i="2105"/>
  <c r="AB16" i="2105"/>
  <c r="AA16" i="2105"/>
  <c r="Z16" i="2105"/>
  <c r="X16" i="2105"/>
  <c r="W16" i="2105"/>
  <c r="V16" i="2105"/>
  <c r="U16" i="2105"/>
  <c r="T16" i="2105"/>
  <c r="S16" i="2105"/>
  <c r="R16" i="2105"/>
  <c r="Q16" i="2105"/>
  <c r="P16" i="2105"/>
  <c r="O16" i="2105"/>
  <c r="N16" i="2105"/>
  <c r="M16" i="2105"/>
  <c r="L16" i="2105"/>
  <c r="K16" i="2105"/>
  <c r="J16" i="2105"/>
  <c r="I16" i="2105"/>
  <c r="H16" i="2105"/>
  <c r="G16" i="2105"/>
  <c r="F16" i="2105"/>
  <c r="E16" i="2105"/>
  <c r="D16" i="2105"/>
  <c r="AE10" i="2105"/>
  <c r="AD10" i="2105"/>
  <c r="AC10" i="2105"/>
  <c r="AB10" i="2105"/>
  <c r="AA10" i="2105"/>
  <c r="Z10" i="2105"/>
  <c r="Y10" i="2105"/>
  <c r="X10" i="2105"/>
  <c r="W10" i="2105"/>
  <c r="V10" i="2105"/>
  <c r="U10" i="2105"/>
  <c r="T10" i="2105"/>
  <c r="S10" i="2105"/>
  <c r="R10" i="2105"/>
  <c r="Q10" i="2105"/>
  <c r="P10" i="2105"/>
  <c r="O10" i="2105"/>
  <c r="N10" i="2105"/>
  <c r="M10" i="2105"/>
  <c r="L10" i="2105"/>
  <c r="K10" i="2105"/>
  <c r="J10" i="2105"/>
  <c r="I10" i="2105"/>
  <c r="H10" i="2105"/>
  <c r="G10" i="2105"/>
  <c r="F10" i="2105"/>
  <c r="J33" i="2105" s="1"/>
  <c r="E10" i="2105"/>
  <c r="D10" i="2105"/>
  <c r="AE7" i="2105"/>
  <c r="AD7" i="2105"/>
  <c r="AC7" i="2105"/>
  <c r="AB7" i="2105"/>
  <c r="AA7" i="2105"/>
  <c r="Z7" i="2105"/>
  <c r="Y7" i="2105"/>
  <c r="X7" i="2105"/>
  <c r="W7" i="2105"/>
  <c r="V7" i="2105"/>
  <c r="U7" i="2105"/>
  <c r="T7" i="2105"/>
  <c r="S7" i="2105"/>
  <c r="R7" i="2105"/>
  <c r="Q7" i="2105"/>
  <c r="P7" i="2105"/>
  <c r="O7" i="2105"/>
  <c r="N7" i="2105"/>
  <c r="M7" i="2105"/>
  <c r="L7" i="2105"/>
  <c r="K7" i="2105"/>
  <c r="J7" i="2105"/>
  <c r="I7" i="2105"/>
  <c r="H7" i="2105"/>
  <c r="G7" i="2105"/>
  <c r="F7" i="2105"/>
  <c r="E7" i="2105"/>
  <c r="D7" i="2105"/>
  <c r="AA33" i="2104"/>
  <c r="X33" i="2104"/>
  <c r="U33" i="2104"/>
  <c r="R33" i="2104"/>
  <c r="F33" i="2104"/>
  <c r="Y28" i="2104"/>
  <c r="X28" i="2104"/>
  <c r="S33" i="2104" s="1"/>
  <c r="W28" i="2104"/>
  <c r="V28" i="2104"/>
  <c r="U28" i="2104"/>
  <c r="T28" i="2104"/>
  <c r="S28" i="2104"/>
  <c r="R28" i="2104"/>
  <c r="Q28" i="2104"/>
  <c r="P28" i="2104"/>
  <c r="O28" i="2104"/>
  <c r="N28" i="2104"/>
  <c r="M28" i="2104"/>
  <c r="L28" i="2104"/>
  <c r="K28" i="2104"/>
  <c r="J28" i="2104"/>
  <c r="I28" i="2104"/>
  <c r="H28" i="2104"/>
  <c r="G28" i="2104"/>
  <c r="F28" i="2104"/>
  <c r="E28" i="2104"/>
  <c r="D28" i="2104"/>
  <c r="Y25" i="2104"/>
  <c r="X25" i="2104"/>
  <c r="W25" i="2104"/>
  <c r="V25" i="2104"/>
  <c r="U25" i="2104"/>
  <c r="T25" i="2104"/>
  <c r="S25" i="2104"/>
  <c r="R25" i="2104"/>
  <c r="Q25" i="2104"/>
  <c r="P25" i="2104"/>
  <c r="O25" i="2104"/>
  <c r="N25" i="2104"/>
  <c r="M25" i="2104"/>
  <c r="L25" i="2104"/>
  <c r="K25" i="2104"/>
  <c r="J25" i="2104"/>
  <c r="I25" i="2104"/>
  <c r="H25" i="2104"/>
  <c r="G25" i="2104"/>
  <c r="F25" i="2104"/>
  <c r="E25" i="2104"/>
  <c r="D25" i="2104"/>
  <c r="AE19" i="2104"/>
  <c r="AD19" i="2104"/>
  <c r="AC19" i="2104"/>
  <c r="AB19" i="2104"/>
  <c r="AA19" i="2104"/>
  <c r="Z19" i="2104"/>
  <c r="Y19" i="2104"/>
  <c r="X19" i="2104"/>
  <c r="T33" i="2104" s="1"/>
  <c r="W19" i="2104"/>
  <c r="V19" i="2104"/>
  <c r="U19" i="2104"/>
  <c r="T19" i="2104"/>
  <c r="S19" i="2104"/>
  <c r="R19" i="2104"/>
  <c r="Q19" i="2104"/>
  <c r="P19" i="2104"/>
  <c r="O19" i="2104"/>
  <c r="N19" i="2104"/>
  <c r="G33" i="2104" s="1"/>
  <c r="M19" i="2104"/>
  <c r="H33" i="2104" s="1"/>
  <c r="L19" i="2104"/>
  <c r="P33" i="2104" s="1"/>
  <c r="K19" i="2104"/>
  <c r="L33" i="2104" s="1"/>
  <c r="J19" i="2104"/>
  <c r="I19" i="2104"/>
  <c r="AB33" i="2104" s="1"/>
  <c r="H19" i="2104"/>
  <c r="G19" i="2104"/>
  <c r="O33" i="2104" s="1"/>
  <c r="F19" i="2104"/>
  <c r="E19" i="2104"/>
  <c r="D19" i="2104"/>
  <c r="AE16" i="2104"/>
  <c r="AD16" i="2104"/>
  <c r="AC16" i="2104"/>
  <c r="AB16" i="2104"/>
  <c r="AA16" i="2104"/>
  <c r="Z16" i="2104"/>
  <c r="X16" i="2104"/>
  <c r="W16" i="2104"/>
  <c r="V16" i="2104"/>
  <c r="U16" i="2104"/>
  <c r="T16" i="2104"/>
  <c r="S16" i="2104"/>
  <c r="R16" i="2104"/>
  <c r="Q16" i="2104"/>
  <c r="P16" i="2104"/>
  <c r="O16" i="2104"/>
  <c r="N16" i="2104"/>
  <c r="M16" i="2104"/>
  <c r="L16" i="2104"/>
  <c r="K16" i="2104"/>
  <c r="J16" i="2104"/>
  <c r="I16" i="2104"/>
  <c r="H16" i="2104"/>
  <c r="G16" i="2104"/>
  <c r="F16" i="2104"/>
  <c r="E16" i="2104"/>
  <c r="D16" i="2104"/>
  <c r="AE10" i="2104"/>
  <c r="AD10" i="2104"/>
  <c r="AC10" i="2104"/>
  <c r="AB10" i="2104"/>
  <c r="AA10" i="2104"/>
  <c r="Z10" i="2104"/>
  <c r="Y10" i="2104"/>
  <c r="X10" i="2104"/>
  <c r="W10" i="2104"/>
  <c r="V10" i="2104"/>
  <c r="U10" i="2104"/>
  <c r="T10" i="2104"/>
  <c r="S10" i="2104"/>
  <c r="R10" i="2104"/>
  <c r="Q10" i="2104"/>
  <c r="P10" i="2104"/>
  <c r="O10" i="2104"/>
  <c r="N10" i="2104"/>
  <c r="M10" i="2104"/>
  <c r="L10" i="2104"/>
  <c r="K10" i="2104"/>
  <c r="J10" i="2104"/>
  <c r="I10" i="2104"/>
  <c r="H10" i="2104"/>
  <c r="G10" i="2104"/>
  <c r="F10" i="2104"/>
  <c r="E10" i="2104"/>
  <c r="D10" i="2104"/>
  <c r="AE7" i="2104"/>
  <c r="AD7" i="2104"/>
  <c r="AC7" i="2104"/>
  <c r="AB7" i="2104"/>
  <c r="AA7" i="2104"/>
  <c r="Z7" i="2104"/>
  <c r="Y7" i="2104"/>
  <c r="X7" i="2104"/>
  <c r="W7" i="2104"/>
  <c r="V7" i="2104"/>
  <c r="U7" i="2104"/>
  <c r="T7" i="2104"/>
  <c r="S7" i="2104"/>
  <c r="R7" i="2104"/>
  <c r="Q7" i="2104"/>
  <c r="P7" i="2104"/>
  <c r="O7" i="2104"/>
  <c r="N7" i="2104"/>
  <c r="M7" i="2104"/>
  <c r="L7" i="2104"/>
  <c r="K7" i="2104"/>
  <c r="J7" i="2104"/>
  <c r="I7" i="2104"/>
  <c r="H7" i="2104"/>
  <c r="G7" i="2104"/>
  <c r="F7" i="2104"/>
  <c r="E7" i="2104"/>
  <c r="D7" i="2104"/>
  <c r="AA33" i="2103"/>
  <c r="X33" i="2103"/>
  <c r="U33" i="2103"/>
  <c r="R33" i="2103"/>
  <c r="O33" i="2103"/>
  <c r="F33" i="2103"/>
  <c r="E33" i="2103"/>
  <c r="Y28" i="2103"/>
  <c r="X28" i="2103"/>
  <c r="S33" i="2103" s="1"/>
  <c r="W28" i="2103"/>
  <c r="V28" i="2103"/>
  <c r="U28" i="2103"/>
  <c r="T28" i="2103"/>
  <c r="S28" i="2103"/>
  <c r="R28" i="2103"/>
  <c r="Q28" i="2103"/>
  <c r="P28" i="2103"/>
  <c r="O28" i="2103"/>
  <c r="N28" i="2103"/>
  <c r="M28" i="2103"/>
  <c r="L28" i="2103"/>
  <c r="K28" i="2103"/>
  <c r="J28" i="2103"/>
  <c r="I28" i="2103"/>
  <c r="H28" i="2103"/>
  <c r="G28" i="2103"/>
  <c r="F28" i="2103"/>
  <c r="E28" i="2103"/>
  <c r="D28" i="2103"/>
  <c r="W33" i="2103" s="1"/>
  <c r="Y25" i="2103"/>
  <c r="X25" i="2103"/>
  <c r="W25" i="2103"/>
  <c r="V25" i="2103"/>
  <c r="U25" i="2103"/>
  <c r="T25" i="2103"/>
  <c r="S25" i="2103"/>
  <c r="R25" i="2103"/>
  <c r="Q25" i="2103"/>
  <c r="P25" i="2103"/>
  <c r="O25" i="2103"/>
  <c r="N25" i="2103"/>
  <c r="M25" i="2103"/>
  <c r="L25" i="2103"/>
  <c r="K25" i="2103"/>
  <c r="J25" i="2103"/>
  <c r="I25" i="2103"/>
  <c r="H25" i="2103"/>
  <c r="G25" i="2103"/>
  <c r="F25" i="2103"/>
  <c r="E25" i="2103"/>
  <c r="D25" i="2103"/>
  <c r="AE19" i="2103"/>
  <c r="AD19" i="2103"/>
  <c r="AC19" i="2103"/>
  <c r="AB19" i="2103"/>
  <c r="AA19" i="2103"/>
  <c r="Z19" i="2103"/>
  <c r="Y19" i="2103"/>
  <c r="X19" i="2103"/>
  <c r="T33" i="2103" s="1"/>
  <c r="W19" i="2103"/>
  <c r="V19" i="2103"/>
  <c r="U19" i="2103"/>
  <c r="T19" i="2103"/>
  <c r="Z33" i="2103" s="1"/>
  <c r="S19" i="2103"/>
  <c r="R19" i="2103"/>
  <c r="Q19" i="2103"/>
  <c r="P19" i="2103"/>
  <c r="O19" i="2103"/>
  <c r="N19" i="2103"/>
  <c r="G33" i="2103" s="1"/>
  <c r="M19" i="2103"/>
  <c r="H33" i="2103" s="1"/>
  <c r="L19" i="2103"/>
  <c r="P33" i="2103" s="1"/>
  <c r="K19" i="2103"/>
  <c r="L33" i="2103" s="1"/>
  <c r="J19" i="2103"/>
  <c r="I19" i="2103"/>
  <c r="AB33" i="2103" s="1"/>
  <c r="H19" i="2103"/>
  <c r="G19" i="2103"/>
  <c r="F19" i="2103"/>
  <c r="E19" i="2103"/>
  <c r="D19" i="2103"/>
  <c r="AE16" i="2103"/>
  <c r="AD16" i="2103"/>
  <c r="AC16" i="2103"/>
  <c r="AB16" i="2103"/>
  <c r="AA16" i="2103"/>
  <c r="Z16" i="2103"/>
  <c r="X16" i="2103"/>
  <c r="W16" i="2103"/>
  <c r="V16" i="2103"/>
  <c r="U16" i="2103"/>
  <c r="T16" i="2103"/>
  <c r="S16" i="2103"/>
  <c r="R16" i="2103"/>
  <c r="Q16" i="2103"/>
  <c r="P16" i="2103"/>
  <c r="O16" i="2103"/>
  <c r="N16" i="2103"/>
  <c r="M16" i="2103"/>
  <c r="L16" i="2103"/>
  <c r="K16" i="2103"/>
  <c r="J16" i="2103"/>
  <c r="I16" i="2103"/>
  <c r="H16" i="2103"/>
  <c r="G16" i="2103"/>
  <c r="F16" i="2103"/>
  <c r="E16" i="2103"/>
  <c r="D16" i="2103"/>
  <c r="AE10" i="2103"/>
  <c r="AD10" i="2103"/>
  <c r="AC33" i="2103" s="1"/>
  <c r="AC10" i="2103"/>
  <c r="AB10" i="2103"/>
  <c r="AA10" i="2103"/>
  <c r="D33" i="2103" s="1"/>
  <c r="Z10" i="2103"/>
  <c r="Y10" i="2103"/>
  <c r="X10" i="2103"/>
  <c r="W10" i="2103"/>
  <c r="V10" i="2103"/>
  <c r="U10" i="2103"/>
  <c r="T10" i="2103"/>
  <c r="S10" i="2103"/>
  <c r="R10" i="2103"/>
  <c r="Q10" i="2103"/>
  <c r="Y33" i="2103" s="1"/>
  <c r="P10" i="2103"/>
  <c r="O10" i="2103"/>
  <c r="K33" i="2103" s="1"/>
  <c r="N10" i="2103"/>
  <c r="Q33" i="2103" s="1"/>
  <c r="M10" i="2103"/>
  <c r="L10" i="2103"/>
  <c r="N33" i="2103" s="1"/>
  <c r="K10" i="2103"/>
  <c r="J10" i="2103"/>
  <c r="I10" i="2103"/>
  <c r="H10" i="2103"/>
  <c r="G10" i="2103"/>
  <c r="M33" i="2103" s="1"/>
  <c r="F10" i="2103"/>
  <c r="J33" i="2103" s="1"/>
  <c r="E10" i="2103"/>
  <c r="D10" i="2103"/>
  <c r="AE7" i="2103"/>
  <c r="AD7" i="2103"/>
  <c r="AC7" i="2103"/>
  <c r="AB7" i="2103"/>
  <c r="AA7" i="2103"/>
  <c r="Z7" i="2103"/>
  <c r="Y7" i="2103"/>
  <c r="X7" i="2103"/>
  <c r="W7" i="2103"/>
  <c r="V7" i="2103"/>
  <c r="U7" i="2103"/>
  <c r="T7" i="2103"/>
  <c r="S7" i="2103"/>
  <c r="R7" i="2103"/>
  <c r="Q7" i="2103"/>
  <c r="P7" i="2103"/>
  <c r="O7" i="2103"/>
  <c r="N7" i="2103"/>
  <c r="M7" i="2103"/>
  <c r="L7" i="2103"/>
  <c r="K7" i="2103"/>
  <c r="J7" i="2103"/>
  <c r="I7" i="2103"/>
  <c r="H7" i="2103"/>
  <c r="G7" i="2103"/>
  <c r="F7" i="2103"/>
  <c r="E7" i="2103"/>
  <c r="D7" i="2103"/>
  <c r="N33" i="2105" l="1"/>
  <c r="W33" i="2105"/>
  <c r="AC33" i="2105"/>
  <c r="D33" i="2105"/>
  <c r="Z33" i="2105"/>
  <c r="Y33" i="2105"/>
  <c r="Q33" i="2105"/>
  <c r="K33" i="2105"/>
  <c r="M33" i="2105"/>
  <c r="V33" i="2105"/>
  <c r="J33" i="2104"/>
  <c r="W33" i="2104"/>
  <c r="N33" i="2104"/>
  <c r="K33" i="2104"/>
  <c r="AC33" i="2104"/>
  <c r="D33" i="2104"/>
  <c r="Z33" i="2104"/>
  <c r="Y33" i="2104"/>
  <c r="Q33" i="2104"/>
  <c r="E33" i="2104"/>
  <c r="M33" i="2104"/>
  <c r="V33" i="2104"/>
  <c r="V33" i="2103"/>
  <c r="AA33" i="2096" l="1"/>
  <c r="X33" i="2096"/>
  <c r="U33" i="2096"/>
  <c r="R33" i="2096"/>
  <c r="F33" i="2096"/>
  <c r="Y28" i="2096"/>
  <c r="X28" i="2096"/>
  <c r="S33" i="2096" s="1"/>
  <c r="W28" i="2096"/>
  <c r="V28" i="2096"/>
  <c r="U28" i="2096"/>
  <c r="T28" i="2096"/>
  <c r="S28" i="2096"/>
  <c r="R28" i="2096"/>
  <c r="Q28" i="2096"/>
  <c r="P28" i="2096"/>
  <c r="O28" i="2096"/>
  <c r="N28" i="2096"/>
  <c r="M28" i="2096"/>
  <c r="L28" i="2096"/>
  <c r="K28" i="2096"/>
  <c r="J28" i="2096"/>
  <c r="I28" i="2096"/>
  <c r="H28" i="2096"/>
  <c r="G28" i="2096"/>
  <c r="F28" i="2096"/>
  <c r="E28" i="2096"/>
  <c r="D28" i="2096"/>
  <c r="Y25" i="2096"/>
  <c r="X25" i="2096"/>
  <c r="W25" i="2096"/>
  <c r="V25" i="2096"/>
  <c r="U25" i="2096"/>
  <c r="T25" i="2096"/>
  <c r="S25" i="2096"/>
  <c r="R25" i="2096"/>
  <c r="Q25" i="2096"/>
  <c r="P25" i="2096"/>
  <c r="O25" i="2096"/>
  <c r="N25" i="2096"/>
  <c r="M25" i="2096"/>
  <c r="L25" i="2096"/>
  <c r="K25" i="2096"/>
  <c r="J25" i="2096"/>
  <c r="I25" i="2096"/>
  <c r="H25" i="2096"/>
  <c r="G25" i="2096"/>
  <c r="F25" i="2096"/>
  <c r="E25" i="2096"/>
  <c r="D25" i="2096"/>
  <c r="AE19" i="2096"/>
  <c r="AD19" i="2096"/>
  <c r="AC19" i="2096"/>
  <c r="AB19" i="2096"/>
  <c r="AA19" i="2096"/>
  <c r="Z19" i="2096"/>
  <c r="Y19" i="2096"/>
  <c r="X19" i="2096"/>
  <c r="T33" i="2096" s="1"/>
  <c r="W19" i="2096"/>
  <c r="V19" i="2096"/>
  <c r="U19" i="2096"/>
  <c r="T19" i="2096"/>
  <c r="S19" i="2096"/>
  <c r="R19" i="2096"/>
  <c r="Q19" i="2096"/>
  <c r="P19" i="2096"/>
  <c r="O19" i="2096"/>
  <c r="N19" i="2096"/>
  <c r="G33" i="2096" s="1"/>
  <c r="M19" i="2096"/>
  <c r="H33" i="2096" s="1"/>
  <c r="L19" i="2096"/>
  <c r="P33" i="2096" s="1"/>
  <c r="K19" i="2096"/>
  <c r="L33" i="2096" s="1"/>
  <c r="J19" i="2096"/>
  <c r="I19" i="2096"/>
  <c r="AB33" i="2096" s="1"/>
  <c r="H19" i="2096"/>
  <c r="G19" i="2096"/>
  <c r="O33" i="2096" s="1"/>
  <c r="F19" i="2096"/>
  <c r="E19" i="2096"/>
  <c r="D19" i="2096"/>
  <c r="AE16" i="2096"/>
  <c r="AD16" i="2096"/>
  <c r="AC16" i="2096"/>
  <c r="AB16" i="2096"/>
  <c r="AA16" i="2096"/>
  <c r="Z16" i="2096"/>
  <c r="X16" i="2096"/>
  <c r="W16" i="2096"/>
  <c r="V16" i="2096"/>
  <c r="U16" i="2096"/>
  <c r="T16" i="2096"/>
  <c r="S16" i="2096"/>
  <c r="R16" i="2096"/>
  <c r="Q16" i="2096"/>
  <c r="P16" i="2096"/>
  <c r="O16" i="2096"/>
  <c r="N16" i="2096"/>
  <c r="M16" i="2096"/>
  <c r="L16" i="2096"/>
  <c r="K16" i="2096"/>
  <c r="J16" i="2096"/>
  <c r="I16" i="2096"/>
  <c r="H16" i="2096"/>
  <c r="G16" i="2096"/>
  <c r="F16" i="2096"/>
  <c r="E16" i="2096"/>
  <c r="D16" i="2096"/>
  <c r="AE10" i="2096"/>
  <c r="AD10" i="2096"/>
  <c r="AC10" i="2096"/>
  <c r="AB10" i="2096"/>
  <c r="AA10" i="2096"/>
  <c r="Z10" i="2096"/>
  <c r="Y10" i="2096"/>
  <c r="X10" i="2096"/>
  <c r="W10" i="2096"/>
  <c r="V10" i="2096"/>
  <c r="U10" i="2096"/>
  <c r="T10" i="2096"/>
  <c r="S10" i="2096"/>
  <c r="R10" i="2096"/>
  <c r="Q10" i="2096"/>
  <c r="P10" i="2096"/>
  <c r="O10" i="2096"/>
  <c r="N10" i="2096"/>
  <c r="M10" i="2096"/>
  <c r="L10" i="2096"/>
  <c r="K10" i="2096"/>
  <c r="J10" i="2096"/>
  <c r="I10" i="2096"/>
  <c r="H10" i="2096"/>
  <c r="G10" i="2096"/>
  <c r="F10" i="2096"/>
  <c r="E10" i="2096"/>
  <c r="D10" i="2096"/>
  <c r="AE7" i="2096"/>
  <c r="AD7" i="2096"/>
  <c r="AC7" i="2096"/>
  <c r="AB7" i="2096"/>
  <c r="AA7" i="2096"/>
  <c r="Z7" i="2096"/>
  <c r="Y7" i="2096"/>
  <c r="X7" i="2096"/>
  <c r="W7" i="2096"/>
  <c r="V7" i="2096"/>
  <c r="U7" i="2096"/>
  <c r="T7" i="2096"/>
  <c r="S7" i="2096"/>
  <c r="R7" i="2096"/>
  <c r="Q7" i="2096"/>
  <c r="P7" i="2096"/>
  <c r="O7" i="2096"/>
  <c r="N7" i="2096"/>
  <c r="M7" i="2096"/>
  <c r="L7" i="2096"/>
  <c r="K7" i="2096"/>
  <c r="J7" i="2096"/>
  <c r="I7" i="2096"/>
  <c r="H7" i="2096"/>
  <c r="G7" i="2096"/>
  <c r="F7" i="2096"/>
  <c r="E7" i="2096"/>
  <c r="D7" i="2096"/>
  <c r="Z33" i="2096" l="1"/>
  <c r="W33" i="2096"/>
  <c r="N33" i="2096"/>
  <c r="AC33" i="2096"/>
  <c r="D33" i="2096"/>
  <c r="Y33" i="2096"/>
  <c r="Q33" i="2096"/>
  <c r="E33" i="2096"/>
  <c r="K33" i="2096"/>
  <c r="J33" i="2096"/>
  <c r="M33" i="2096"/>
  <c r="V33" i="2096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<sst xmlns="http://schemas.openxmlformats.org/spreadsheetml/2006/main" count="33398" uniqueCount="651">
  <si>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</si>
  <si>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</si>
  <si>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</si>
  <si>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</si>
  <si>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</si>
  <si>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</si>
  <si>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</si>
  <si>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</si>
  <si>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</si>
  <si>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</si>
  <si>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</si>
  <si>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</si>
  <si>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</si>
  <si>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</si>
  <si>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</si>
  <si>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</si>
  <si>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</si>
  <si>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</si>
  <si>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</si>
  <si>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</si>
  <si>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</si>
  <si>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</si>
  <si>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</si>
  <si>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</si>
  <si>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</si>
  <si>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</si>
  <si>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</si>
  <si>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</si>
  <si>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</si>
  <si>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</si>
  <si>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</si>
  <si>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</si>
  <si>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</si>
  <si>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</si>
  <si>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</si>
  <si>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</si>
  <si>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</si>
  <si>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</si>
  <si>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</si>
  <si>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</si>
  <si>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</si>
  <si>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</si>
  <si>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</si>
  <si>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</si>
  <si>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</si>
  <si>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</si>
  <si>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</si>
  <si>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</si>
  <si>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</si>
  <si>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</si>
  <si>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</si>
  <si>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</si>
  <si>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</si>
  <si>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</si>
  <si>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</si>
  <si>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</si>
  <si>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</si>
  <si>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</si>
  <si>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</si>
  <si>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</si>
  <si>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</si>
  <si>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</si>
  <si>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</si>
  <si>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</si>
  <si>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</si>
  <si>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</si>
  <si>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</si>
  <si>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</si>
  <si>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</si>
  <si>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</si>
  <si>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</si>
  <si>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</si>
  <si>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</si>
  <si>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</si>
  <si>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</si>
  <si>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</si>
  <si>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</si>
  <si>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</si>
  <si>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</si>
  <si>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</si>
  <si>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</si>
  <si>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</si>
  <si>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</si>
  <si>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</si>
  <si>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</si>
  <si>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</si>
  <si>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</si>
  <si>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</si>
  <si>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</si>
  <si>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</si>
  <si>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</si>
  <si>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</si>
  <si>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</si>
  <si>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</si>
  <si>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</si>
  <si>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</si>
  <si>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</si>
  <si>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</si>
  <si>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</si>
  <si>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</si>
  <si>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</si>
  <si>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</si>
  <si>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</si>
  <si>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</si>
  <si>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</si>
  <si>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</si>
  <si>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</si>
  <si>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</si>
  <si>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</si>
  <si>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</si>
  <si>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</si>
  <si>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</si>
  <si>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</si>
  <si>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</si>
  <si>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</si>
  <si>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</si>
  <si>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</si>
  <si>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</si>
  <si>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</si>
  <si>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</si>
  <si>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</si>
  <si>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</si>
  <si>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</si>
  <si>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</si>
  <si>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</si>
  <si>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</si>
  <si>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</si>
  <si>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</si>
  <si>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</si>
  <si>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</si>
  <si>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</si>
  <si>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</si>
  <si>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</si>
  <si>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</si>
  <si>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</si>
  <si>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</si>
  <si>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</si>
  <si>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</si>
  <si>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</si>
  <si>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</si>
  <si>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</si>
  <si>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</si>
  <si>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</si>
  <si>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</si>
  <si>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</si>
  <si>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</si>
  <si>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</si>
  <si>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</si>
  <si>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</si>
  <si>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</si>
  <si>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</si>
  <si>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</si>
  <si>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</si>
  <si>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</si>
  <si>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</si>
  <si>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</si>
  <si>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</si>
  <si>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</si>
  <si>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</si>
  <si>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</si>
  <si>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</si>
  <si>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</si>
  <si>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</si>
  <si>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</si>
  <si>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</si>
  <si>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</si>
  <si>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</si>
  <si>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</si>
  <si>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</si>
  <si>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</si>
  <si>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</si>
  <si>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</si>
  <si>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</si>
  <si>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</si>
  <si>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</si>
  <si>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</si>
  <si>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</si>
  <si>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</si>
  <si>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</si>
  <si>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</si>
  <si>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</si>
  <si>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</si>
  <si>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</si>
  <si>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</si>
  <si>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</si>
  <si>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</si>
  <si>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</si>
  <si>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</si>
  <si>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</si>
  <si>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</si>
  <si>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</si>
  <si>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</si>
  <si>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</si>
  <si>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</si>
  <si>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</si>
  <si>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</si>
  <si>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</si>
  <si>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</si>
  <si>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</si>
  <si>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</si>
  <si>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</si>
  <si>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</si>
  <si>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</si>
  <si>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</si>
  <si>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</si>
  <si>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</si>
  <si>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</si>
  <si>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</si>
  <si>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</si>
  <si>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</si>
  <si>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</si>
  <si>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</si>
  <si>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</si>
  <si>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</si>
  <si>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</si>
  <si>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</si>
  <si>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</si>
  <si>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</si>
  <si>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</si>
  <si>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</si>
  <si>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</si>
  <si>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</si>
  <si>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</si>
  <si>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</si>
  <si>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</si>
  <si>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</si>
  <si>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</si>
  <si>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</si>
  <si>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</si>
  <si>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</si>
  <si>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</si>
  <si>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</si>
  <si>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</si>
  <si>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</si>
  <si>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</si>
  <si>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</si>
  <si>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</si>
  <si>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</si>
  <si>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</si>
  <si>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</si>
  <si>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</si>
  <si>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</si>
  <si>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</si>
  <si>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</si>
  <si>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</si>
  <si>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</si>
  <si>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</si>
  <si>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</si>
  <si>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</si>
  <si>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</si>
  <si>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</si>
  <si>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</si>
  <si>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</si>
  <si>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</si>
  <si>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</si>
  <si>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</si>
  <si>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</si>
  <si>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</si>
  <si>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</si>
  <si>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</si>
  <si>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</si>
  <si>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</si>
  <si>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</si>
  <si>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</si>
  <si>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</si>
  <si>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</si>
  <si>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</si>
  <si>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</si>
  <si>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</si>
  <si>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</si>
  <si>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</si>
  <si>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</si>
  <si>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</si>
  <si>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</si>
  <si>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</si>
  <si>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</si>
  <si>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</si>
  <si>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</si>
  <si>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</si>
  <si>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</si>
  <si>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</si>
  <si>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</si>
  <si>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</si>
  <si>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</si>
  <si>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</si>
  <si>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</si>
  <si>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</si>
  <si>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</si>
  <si>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</si>
  <si>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</si>
  <si>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</si>
  <si>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</si>
  <si>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</si>
  <si>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</si>
  <si>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</si>
  <si>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</si>
  <si>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</si>
  <si>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</si>
  <si>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</si>
  <si>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</si>
  <si>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</si>
  <si>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</si>
  <si>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</si>
  <si>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</si>
  <si>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</si>
  <si>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</si>
  <si>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</si>
  <si>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</si>
  <si>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</si>
  <si>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</si>
  <si>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</si>
  <si>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</si>
  <si>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</si>
  <si>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</si>
  <si>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</si>
  <si>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</si>
  <si>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</si>
  <si>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</si>
  <si>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</si>
  <si>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</si>
  <si>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</si>
  <si>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</si>
  <si>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</si>
  <si>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</si>
  <si>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</si>
  <si>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</si>
  <si>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</si>
  <si>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</si>
  <si>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</si>
  <si>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</si>
  <si>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</si>
  <si>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</si>
  <si>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</si>
  <si>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</si>
  <si>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</si>
  <si>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</si>
  <si>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</si>
  <si>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</si>
  <si>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</si>
  <si>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</si>
  <si>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</si>
  <si>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</si>
  <si>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</si>
  <si>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</si>
  <si>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</si>
  <si>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</si>
  <si>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</si>
  <si>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</si>
  <si>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</si>
  <si>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</si>
  <si>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</si>
  <si>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</si>
  <si>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</si>
  <si>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</si>
  <si>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</si>
  <si>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</si>
  <si>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</si>
  <si>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</si>
  <si>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</si>
  <si>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</si>
  <si>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</si>
  <si>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</si>
  <si>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</si>
  <si>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</si>
  <si>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</si>
  <si>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</si>
  <si>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</si>
  <si>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</si>
  <si>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</si>
  <si>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</si>
  <si>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</si>
  <si>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</si>
  <si>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</si>
  <si>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</si>
  <si>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</si>
  <si>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</si>
  <si>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</si>
  <si>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</si>
  <si>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</si>
  <si>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</si>
  <si>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</si>
  <si>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</si>
  <si>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</si>
  <si>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</si>
  <si>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</si>
  <si>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</si>
  <si>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</si>
  <si>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</si>
  <si>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</si>
  <si>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</si>
  <si>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</si>
  <si>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</si>
  <si>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</si>
  <si>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</si>
  <si>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</si>
  <si>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</si>
  <si>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</si>
  <si>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</si>
  <si>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</si>
  <si>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</si>
  <si>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</si>
  <si>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</si>
  <si>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</si>
  <si>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</si>
  <si>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</si>
  <si>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</si>
  <si>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</si>
  <si>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</si>
  <si>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</si>
  <si>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</si>
  <si>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</si>
  <si>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</si>
  <si>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</si>
  <si>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</si>
  <si>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</si>
  <si>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</si>
  <si>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</si>
  <si>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</si>
  <si>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</si>
  <si>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</si>
  <si>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</si>
  <si>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</si>
  <si>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</si>
  <si>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</si>
  <si>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</si>
  <si>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</si>
  <si>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</si>
  <si>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</si>
  <si>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</si>
  <si>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</si>
  <si>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</si>
  <si>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</si>
  <si>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</si>
  <si>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</si>
  <si>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</si>
  <si>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</si>
  <si>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</si>
  <si>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</si>
  <si>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</si>
  <si>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</si>
  <si>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</si>
  <si>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</si>
  <si>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</si>
  <si>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</si>
  <si>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</si>
  <si>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</si>
  <si>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</si>
  <si>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</si>
  <si>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</si>
  <si>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</si>
  <si>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</si>
  <si>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</si>
  <si>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</si>
  <si>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</si>
  <si>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</si>
  <si>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</si>
  <si>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</si>
  <si>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</si>
  <si>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</si>
  <si>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</si>
  <si>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</si>
  <si>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</si>
  <si>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</si>
  <si>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</si>
  <si>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</si>
  <si>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</si>
  <si>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</si>
  <si>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</si>
  <si>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</si>
  <si>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</si>
  <si>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</si>
  <si>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</si>
  <si>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</si>
  <si>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</si>
  <si>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</si>
  <si>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</si>
  <si>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</si>
  <si>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</si>
  <si>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</si>
  <si>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</si>
  <si>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</si>
  <si>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</si>
  <si>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</si>
  <si>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</si>
  <si>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</si>
  <si>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</si>
  <si>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</si>
  <si>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</si>
  <si>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</si>
  <si>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</si>
  <si>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</si>
  <si>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</si>
  <si>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</si>
  <si>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</si>
  <si>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</si>
  <si>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</si>
  <si>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</si>
  <si>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</si>
  <si>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</si>
  <si>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</si>
  <si>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</si>
  <si>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</si>
  <si>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</si>
  <si>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</si>
  <si>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</si>
  <si>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</si>
  <si>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</si>
  <si>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</si>
  <si>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</si>
  <si>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</si>
  <si>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</si>
  <si>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</si>
  <si>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</si>
  <si>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</si>
  <si>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</si>
  <si>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</si>
  <si>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</si>
  <si>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</si>
  <si>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</si>
  <si>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</si>
  <si>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</si>
  <si>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</si>
  <si>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</si>
  <si>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</si>
  <si>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</si>
  <si>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</si>
  <si>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</si>
  <si>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</si>
  <si>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</si>
  <si>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</si>
  <si>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</si>
  <si>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</si>
  <si>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</si>
  <si>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</si>
  <si>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</si>
  <si>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</si>
  <si>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</si>
  <si>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</si>
  <si>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</si>
  <si>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</si>
  <si>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</si>
  <si>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</si>
  <si>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</si>
  <si>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</si>
  <si>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</si>
  <si>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</si>
  <si>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</si>
  <si>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</si>
  <si>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</si>
  <si>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</si>
  <si>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</si>
  <si>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</si>
  <si>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</si>
  <si>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</si>
  <si>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</si>
  <si>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</si>
  <si>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</si>
  <si>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</si>
  <si>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</si>
  <si>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</si>
  <si>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</si>
  <si>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</si>
  <si>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</si>
  <si>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</si>
  <si>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</si>
  <si>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</si>
  <si>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</si>
  <si>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</si>
  <si>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</si>
  <si>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</si>
  <si>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</si>
  <si>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</si>
  <si>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</si>
  <si>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</si>
  <si>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</si>
  <si>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</si>
  <si>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</si>
  <si>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</si>
  <si>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</si>
  <si>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</si>
  <si>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</si>
  <si>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</si>
  <si>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</si>
  <si>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</si>
  <si>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</si>
  <si>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</si>
  <si>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</si>
  <si>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</si>
  <si>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</si>
  <si>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</si>
  <si>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</si>
  <si>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</si>
  <si>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</si>
  <si>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</si>
  <si>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</si>
  <si>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</si>
  <si>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</si>
  <si>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</si>
  <si>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</si>
  <si>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</si>
  <si>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</si>
  <si>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</si>
  <si>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</si>
  <si>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</si>
  <si>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</si>
  <si>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</si>
  <si>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</si>
  <si>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</si>
  <si>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</si>
  <si>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</si>
  <si>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</si>
  <si>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</si>
  <si>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</si>
  <si>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</si>
  <si>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</si>
  <si>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</si>
  <si>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</si>
  <si>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</si>
  <si>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</si>
  <si>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</si>
  <si>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</si>
  <si>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</si>
  <si>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</si>
  <si>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</si>
  <si>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</si>
  <si>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</si>
  <si>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</si>
  <si>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</si>
  <si>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</si>
  <si>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</si>
  <si>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</si>
  <si>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</si>
  <si>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</si>
  <si>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</si>
  <si>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</si>
  <si>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</si>
  <si>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</si>
  <si>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</si>
  <si>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張立杰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</si>
  <si>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</si>
  <si>
    <t>林家宏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</si>
  <si>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</si>
  <si>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19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</si>
  <si>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19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</si>
  <si>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17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</si>
  <si>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15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</si>
  <si>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16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</si>
  <si>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20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</si>
  <si>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</si>
  <si>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</si>
  <si>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24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</si>
</sst>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2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3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4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3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8113" name="Button 1" hidden="1">
              <a:extLst>
                <a:ext uri="{63B3BB69-23CF-44E3-9099-C40C66FF867C}">
                  <a14:compatExt spid="_x0000_s2778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9137" name="Button 1" hidden="1">
              <a:extLst>
                <a:ext uri="{63B3BB69-23CF-44E3-9099-C40C66FF867C}">
                  <a14:compatExt spid="_x0000_s2779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0161" name="Button 1" hidden="1">
              <a:extLst>
                <a:ext uri="{63B3BB69-23CF-44E3-9099-C40C66FF867C}">
                  <a14:compatExt spid="_x0000_s2780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1185" name="Button 1" hidden="1">
              <a:extLst>
                <a:ext uri="{63B3BB69-23CF-44E3-9099-C40C66FF867C}">
                  <a14:compatExt spid="_x0000_s278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2209" name="Button 1" hidden="1">
              <a:extLst>
                <a:ext uri="{63B3BB69-23CF-44E3-9099-C40C66FF867C}">
                  <a14:compatExt spid="_x0000_s278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4257" name="Button 1" hidden="1">
              <a:extLst>
                <a:ext uri="{63B3BB69-23CF-44E3-9099-C40C66FF867C}">
                  <a14:compatExt spid="_x0000_s278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7329" name="Button 1" hidden="1">
              <a:extLst>
                <a:ext uri="{63B3BB69-23CF-44E3-9099-C40C66FF867C}">
                  <a14:compatExt spid="_x0000_s278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8353" name="Button 1" hidden="1">
              <a:extLst>
                <a:ext uri="{63B3BB69-23CF-44E3-9099-C40C66FF867C}">
                  <a14:compatExt spid="_x0000_s2788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9377" name="Button 1" hidden="1">
              <a:extLst>
                <a:ext uri="{63B3BB69-23CF-44E3-9099-C40C66FF867C}">
                  <a14:compatExt spid="_x0000_s2789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0401" name="Button 1" hidden="1">
              <a:extLst>
                <a:ext uri="{63B3BB69-23CF-44E3-9099-C40C66FF867C}">
                  <a14:compatExt spid="_x0000_s2790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1425" name="Button 1" hidden="1">
              <a:extLst>
                <a:ext uri="{63B3BB69-23CF-44E3-9099-C40C66FF867C}">
                  <a14:compatExt spid="_x0000_s279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2449" name="Button 1" hidden="1">
              <a:extLst>
                <a:ext uri="{63B3BB69-23CF-44E3-9099-C40C66FF867C}">
                  <a14:compatExt spid="_x0000_s279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3473" name="Button 1" hidden="1">
              <a:extLst>
                <a:ext uri="{63B3BB69-23CF-44E3-9099-C40C66FF867C}">
                  <a14:compatExt spid="_x0000_s279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4497" name="Button 1" hidden="1">
              <a:extLst>
                <a:ext uri="{63B3BB69-23CF-44E3-9099-C40C66FF867C}">
                  <a14:compatExt spid="_x0000_s279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5521" name="Button 1" hidden="1">
              <a:extLst>
                <a:ext uri="{63B3BB69-23CF-44E3-9099-C40C66FF867C}">
                  <a14:compatExt spid="_x0000_s2795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8593" name="Button 1" hidden="1">
              <a:extLst>
                <a:ext uri="{63B3BB69-23CF-44E3-9099-C40C66FF867C}">
                  <a14:compatExt spid="_x0000_s2798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9617" name="Button 1" hidden="1">
              <a:extLst>
                <a:ext uri="{63B3BB69-23CF-44E3-9099-C40C66FF867C}">
                  <a14:compatExt spid="_x0000_s2799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0641" name="Button 1" hidden="1">
              <a:extLst>
                <a:ext uri="{63B3BB69-23CF-44E3-9099-C40C66FF867C}">
                  <a14:compatExt spid="_x0000_s2800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2689" name="Button 1" hidden="1">
              <a:extLst>
                <a:ext uri="{63B3BB69-23CF-44E3-9099-C40C66FF867C}">
                  <a14:compatExt spid="_x0000_s280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3713" name="Button 1" hidden="1">
              <a:extLst>
                <a:ext uri="{63B3BB69-23CF-44E3-9099-C40C66FF867C}">
                  <a14:compatExt spid="_x0000_s280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4737" name="Button 1" hidden="1">
              <a:extLst>
                <a:ext uri="{63B3BB69-23CF-44E3-9099-C40C66FF867C}">
                  <a14:compatExt spid="_x0000_s280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table1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3019" dataDxfId="3018" headerRowCellStyle="一般 2" dataCellStyle="一般 2">
  <autoFilter ref="AG13:BH189"/>
  <tableColumns count="28">
    <tableColumn id="1" uniqueName="1" name="請直接以10進位，謝謝" queryTableFieldId="1" dataDxfId="3017" dataCellStyle="一般 2"/>
    <tableColumn id="2" uniqueName="2" name="F2" queryTableFieldId="2" dataDxfId="3016" dataCellStyle="一般 2"/>
    <tableColumn id="3" uniqueName="3" name="F3" queryTableFieldId="3" dataDxfId="3015" dataCellStyle="一般 2"/>
    <tableColumn id="4" uniqueName="4" name="F4" queryTableFieldId="4" dataDxfId="3014" dataCellStyle="一般 2"/>
    <tableColumn id="5" uniqueName="5" name="F5" queryTableFieldId="5" dataDxfId="3013" dataCellStyle="一般 2"/>
    <tableColumn id="6" uniqueName="6" name="F6" queryTableFieldId="6" dataDxfId="3012" dataCellStyle="一般 2"/>
    <tableColumn id="7" uniqueName="7" name="F7" queryTableFieldId="7" dataDxfId="3011" dataCellStyle="一般 2"/>
    <tableColumn id="8" uniqueName="8" name="F8" queryTableFieldId="8" dataDxfId="3010" dataCellStyle="一般 2"/>
    <tableColumn id="9" uniqueName="9" name="F9" queryTableFieldId="9" dataDxfId="3009" dataCellStyle="一般 2"/>
    <tableColumn id="10" uniqueName="10" name="F10" queryTableFieldId="10" dataDxfId="3008" dataCellStyle="一般 2"/>
    <tableColumn id="11" uniqueName="11" name="F11" queryTableFieldId="11" dataDxfId="3007" dataCellStyle="一般 2"/>
    <tableColumn id="12" uniqueName="12" name="F12" queryTableFieldId="12" dataDxfId="3006" dataCellStyle="一般 2"/>
    <tableColumn id="13" uniqueName="13" name="F13" queryTableFieldId="13" dataDxfId="3005" dataCellStyle="一般 2"/>
    <tableColumn id="14" uniqueName="14" name="F14" queryTableFieldId="14" dataDxfId="3004" dataCellStyle="一般 2"/>
    <tableColumn id="15" uniqueName="15" name="F15" queryTableFieldId="15" dataDxfId="3003" dataCellStyle="一般 2"/>
    <tableColumn id="16" uniqueName="16" name="F16" queryTableFieldId="16" dataDxfId="3002" dataCellStyle="一般 2"/>
    <tableColumn id="17" uniqueName="17" name="F17" queryTableFieldId="17" dataDxfId="3001" dataCellStyle="一般 2"/>
    <tableColumn id="18" uniqueName="18" name="F18" queryTableFieldId="18" dataDxfId="3000" dataCellStyle="一般 2"/>
    <tableColumn id="19" uniqueName="19" name="F19" queryTableFieldId="19" dataDxfId="2999" dataCellStyle="一般 2"/>
    <tableColumn id="20" uniqueName="20" name="F20" queryTableFieldId="20" dataDxfId="2998" dataCellStyle="一般 2"/>
    <tableColumn id="21" uniqueName="21" name="F21" queryTableFieldId="21" dataDxfId="2997" dataCellStyle="一般 2"/>
    <tableColumn id="22" uniqueName="22" name="2024/6/24 14:52" queryTableFieldId="22" dataDxfId="2996" dataCellStyle="一般 2"/>
    <tableColumn id="23" uniqueName="23" name="F23" queryTableFieldId="23" dataDxfId="2995" dataCellStyle="一般 2"/>
    <tableColumn id="24" uniqueName="24" name="F24" queryTableFieldId="24" dataDxfId="2994" dataCellStyle="一般 2"/>
    <tableColumn id="25" uniqueName="25" name="F25" queryTableFieldId="25" dataDxfId="2993" dataCellStyle="一般 2"/>
    <tableColumn id="26" uniqueName="26" name="F26" queryTableFieldId="26" dataDxfId="2992" dataCellStyle="一般 2"/>
    <tableColumn id="27" uniqueName="27" name="F27" queryTableFieldId="27" dataDxfId="2991" dataCellStyle="一般 2"/>
    <tableColumn id="28" uniqueName="28" name="F28" queryTableFieldId="28" dataDxfId="299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2889" dataDxfId="2888" headerRowCellStyle="一般 2" dataCellStyle="一般 2">
  <autoFilter ref="AG13:BH189"/>
  <tableColumns count="28">
    <tableColumn id="1" uniqueName="1" name="請直接以10進位，謝謝" queryTableFieldId="1" dataDxfId="2887" dataCellStyle="一般 2"/>
    <tableColumn id="2" uniqueName="2" name="F2" queryTableFieldId="2" dataDxfId="2886" dataCellStyle="一般 2"/>
    <tableColumn id="3" uniqueName="3" name="F3" queryTableFieldId="3" dataDxfId="2885" dataCellStyle="一般 2"/>
    <tableColumn id="4" uniqueName="4" name="F4" queryTableFieldId="4" dataDxfId="2884" dataCellStyle="一般 2"/>
    <tableColumn id="5" uniqueName="5" name="F5" queryTableFieldId="5" dataDxfId="2883" dataCellStyle="一般 2"/>
    <tableColumn id="6" uniqueName="6" name="F6" queryTableFieldId="6" dataDxfId="2882" dataCellStyle="一般 2"/>
    <tableColumn id="7" uniqueName="7" name="F7" queryTableFieldId="7" dataDxfId="2881" dataCellStyle="一般 2"/>
    <tableColumn id="8" uniqueName="8" name="F8" queryTableFieldId="8" dataDxfId="2880" dataCellStyle="一般 2"/>
    <tableColumn id="9" uniqueName="9" name="F9" queryTableFieldId="9" dataDxfId="2879" dataCellStyle="一般 2"/>
    <tableColumn id="10" uniqueName="10" name="F10" queryTableFieldId="10" dataDxfId="2878" dataCellStyle="一般 2"/>
    <tableColumn id="11" uniqueName="11" name="F11" queryTableFieldId="11" dataDxfId="2877" dataCellStyle="一般 2"/>
    <tableColumn id="12" uniqueName="12" name="F12" queryTableFieldId="12" dataDxfId="2876" dataCellStyle="一般 2"/>
    <tableColumn id="13" uniqueName="13" name="F13" queryTableFieldId="13" dataDxfId="2875" dataCellStyle="一般 2"/>
    <tableColumn id="14" uniqueName="14" name="F14" queryTableFieldId="14" dataDxfId="2874" dataCellStyle="一般 2"/>
    <tableColumn id="15" uniqueName="15" name="F15" queryTableFieldId="15" dataDxfId="2873" dataCellStyle="一般 2"/>
    <tableColumn id="16" uniqueName="16" name="F16" queryTableFieldId="16" dataDxfId="2872" dataCellStyle="一般 2"/>
    <tableColumn id="17" uniqueName="17" name="F17" queryTableFieldId="17" dataDxfId="2871" dataCellStyle="一般 2"/>
    <tableColumn id="18" uniqueName="18" name="F18" queryTableFieldId="18" dataDxfId="2870" dataCellStyle="一般 2"/>
    <tableColumn id="19" uniqueName="19" name="F19" queryTableFieldId="19" dataDxfId="2869" dataCellStyle="一般 2"/>
    <tableColumn id="20" uniqueName="20" name="F20" queryTableFieldId="20" dataDxfId="2868" dataCellStyle="一般 2"/>
    <tableColumn id="21" uniqueName="21" name="F21" queryTableFieldId="21" dataDxfId="2867" dataCellStyle="一般 2"/>
    <tableColumn id="22" uniqueName="22" name="2024/6/24 14:52" queryTableFieldId="22" dataDxfId="2866" dataCellStyle="一般 2"/>
    <tableColumn id="23" uniqueName="23" name="F23" queryTableFieldId="23" dataDxfId="2865" dataCellStyle="一般 2"/>
    <tableColumn id="24" uniqueName="24" name="F24" queryTableFieldId="24" dataDxfId="2864" dataCellStyle="一般 2"/>
    <tableColumn id="25" uniqueName="25" name="F25" queryTableFieldId="25" dataDxfId="2863" dataCellStyle="一般 2"/>
    <tableColumn id="26" uniqueName="26" name="F26" queryTableFieldId="26" dataDxfId="2862" dataCellStyle="一般 2"/>
    <tableColumn id="27" uniqueName="27" name="F27" queryTableFieldId="27" dataDxfId="2861" dataCellStyle="一般 2"/>
    <tableColumn id="28" uniqueName="28" name="F28" queryTableFieldId="28" dataDxfId="286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2759" dataDxfId="2758" headerRowCellStyle="一般 2" dataCellStyle="一般 2">
  <autoFilter ref="AG13:BH189"/>
  <tableColumns count="28">
    <tableColumn id="1" uniqueName="1" name="請直接以10進位，謝謝" queryTableFieldId="1" dataDxfId="2757" dataCellStyle="一般 2"/>
    <tableColumn id="2" uniqueName="2" name="F2" queryTableFieldId="2" dataDxfId="2756" dataCellStyle="一般 2"/>
    <tableColumn id="3" uniqueName="3" name="F3" queryTableFieldId="3" dataDxfId="2755" dataCellStyle="一般 2"/>
    <tableColumn id="4" uniqueName="4" name="F4" queryTableFieldId="4" dataDxfId="2754" dataCellStyle="一般 2"/>
    <tableColumn id="5" uniqueName="5" name="F5" queryTableFieldId="5" dataDxfId="2753" dataCellStyle="一般 2"/>
    <tableColumn id="6" uniqueName="6" name="F6" queryTableFieldId="6" dataDxfId="2752" dataCellStyle="一般 2"/>
    <tableColumn id="7" uniqueName="7" name="F7" queryTableFieldId="7" dataDxfId="2751" dataCellStyle="一般 2"/>
    <tableColumn id="8" uniqueName="8" name="F8" queryTableFieldId="8" dataDxfId="2750" dataCellStyle="一般 2"/>
    <tableColumn id="9" uniqueName="9" name="F9" queryTableFieldId="9" dataDxfId="2749" dataCellStyle="一般 2"/>
    <tableColumn id="10" uniqueName="10" name="F10" queryTableFieldId="10" dataDxfId="2748" dataCellStyle="一般 2"/>
    <tableColumn id="11" uniqueName="11" name="F11" queryTableFieldId="11" dataDxfId="2747" dataCellStyle="一般 2"/>
    <tableColumn id="12" uniqueName="12" name="F12" queryTableFieldId="12" dataDxfId="2746" dataCellStyle="一般 2"/>
    <tableColumn id="13" uniqueName="13" name="F13" queryTableFieldId="13" dataDxfId="2745" dataCellStyle="一般 2"/>
    <tableColumn id="14" uniqueName="14" name="F14" queryTableFieldId="14" dataDxfId="2744" dataCellStyle="一般 2"/>
    <tableColumn id="15" uniqueName="15" name="F15" queryTableFieldId="15" dataDxfId="2743" dataCellStyle="一般 2"/>
    <tableColumn id="16" uniqueName="16" name="F16" queryTableFieldId="16" dataDxfId="2742" dataCellStyle="一般 2"/>
    <tableColumn id="17" uniqueName="17" name="F17" queryTableFieldId="17" dataDxfId="2741" dataCellStyle="一般 2"/>
    <tableColumn id="18" uniqueName="18" name="F18" queryTableFieldId="18" dataDxfId="2740" dataCellStyle="一般 2"/>
    <tableColumn id="19" uniqueName="19" name="F19" queryTableFieldId="19" dataDxfId="2739" dataCellStyle="一般 2"/>
    <tableColumn id="20" uniqueName="20" name="F20" queryTableFieldId="20" dataDxfId="2738" dataCellStyle="一般 2"/>
    <tableColumn id="21" uniqueName="21" name="F21" queryTableFieldId="21" dataDxfId="2737" dataCellStyle="一般 2"/>
    <tableColumn id="22" uniqueName="22" name="2024/6/24 14:52" queryTableFieldId="22" dataDxfId="2736" dataCellStyle="一般 2"/>
    <tableColumn id="23" uniqueName="23" name="F23" queryTableFieldId="23" dataDxfId="2735" dataCellStyle="一般 2"/>
    <tableColumn id="24" uniqueName="24" name="F24" queryTableFieldId="24" dataDxfId="2734" dataCellStyle="一般 2"/>
    <tableColumn id="25" uniqueName="25" name="F25" queryTableFieldId="25" dataDxfId="2733" dataCellStyle="一般 2"/>
    <tableColumn id="26" uniqueName="26" name="F26" queryTableFieldId="26" dataDxfId="2732" dataCellStyle="一般 2"/>
    <tableColumn id="27" uniqueName="27" name="F27" queryTableFieldId="27" dataDxfId="2731" dataCellStyle="一般 2"/>
    <tableColumn id="28" uniqueName="28" name="F28" queryTableFieldId="28" dataDxfId="273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2629" dataDxfId="2628" headerRowCellStyle="一般 2" dataCellStyle="一般 2">
  <autoFilter ref="AG13:BH189"/>
  <tableColumns count="28">
    <tableColumn id="1" uniqueName="1" name="請直接以10進位，謝謝" queryTableFieldId="1" dataDxfId="2627" dataCellStyle="一般 2"/>
    <tableColumn id="2" uniqueName="2" name="F2" queryTableFieldId="2" dataDxfId="2626" dataCellStyle="一般 2"/>
    <tableColumn id="3" uniqueName="3" name="F3" queryTableFieldId="3" dataDxfId="2625" dataCellStyle="一般 2"/>
    <tableColumn id="4" uniqueName="4" name="F4" queryTableFieldId="4" dataDxfId="2624" dataCellStyle="一般 2"/>
    <tableColumn id="5" uniqueName="5" name="F5" queryTableFieldId="5" dataDxfId="2623" dataCellStyle="一般 2"/>
    <tableColumn id="6" uniqueName="6" name="F6" queryTableFieldId="6" dataDxfId="2622" dataCellStyle="一般 2"/>
    <tableColumn id="7" uniqueName="7" name="F7" queryTableFieldId="7" dataDxfId="2621" dataCellStyle="一般 2"/>
    <tableColumn id="8" uniqueName="8" name="F8" queryTableFieldId="8" dataDxfId="2620" dataCellStyle="一般 2"/>
    <tableColumn id="9" uniqueName="9" name="F9" queryTableFieldId="9" dataDxfId="2619" dataCellStyle="一般 2"/>
    <tableColumn id="10" uniqueName="10" name="F10" queryTableFieldId="10" dataDxfId="2618" dataCellStyle="一般 2"/>
    <tableColumn id="11" uniqueName="11" name="F11" queryTableFieldId="11" dataDxfId="2617" dataCellStyle="一般 2"/>
    <tableColumn id="12" uniqueName="12" name="F12" queryTableFieldId="12" dataDxfId="2616" dataCellStyle="一般 2"/>
    <tableColumn id="13" uniqueName="13" name="F13" queryTableFieldId="13" dataDxfId="2615" dataCellStyle="一般 2"/>
    <tableColumn id="14" uniqueName="14" name="F14" queryTableFieldId="14" dataDxfId="2614" dataCellStyle="一般 2"/>
    <tableColumn id="15" uniqueName="15" name="F15" queryTableFieldId="15" dataDxfId="2613" dataCellStyle="一般 2"/>
    <tableColumn id="16" uniqueName="16" name="F16" queryTableFieldId="16" dataDxfId="2612" dataCellStyle="一般 2"/>
    <tableColumn id="17" uniqueName="17" name="F17" queryTableFieldId="17" dataDxfId="2611" dataCellStyle="一般 2"/>
    <tableColumn id="18" uniqueName="18" name="F18" queryTableFieldId="18" dataDxfId="2610" dataCellStyle="一般 2"/>
    <tableColumn id="19" uniqueName="19" name="F19" queryTableFieldId="19" dataDxfId="2609" dataCellStyle="一般 2"/>
    <tableColumn id="20" uniqueName="20" name="F20" queryTableFieldId="20" dataDxfId="2608" dataCellStyle="一般 2"/>
    <tableColumn id="21" uniqueName="21" name="F21" queryTableFieldId="21" dataDxfId="2607" dataCellStyle="一般 2"/>
    <tableColumn id="22" uniqueName="22" name="2024/6/24 14:52" queryTableFieldId="22" dataDxfId="2606" dataCellStyle="一般 2"/>
    <tableColumn id="23" uniqueName="23" name="F23" queryTableFieldId="23" dataDxfId="2605" dataCellStyle="一般 2"/>
    <tableColumn id="24" uniqueName="24" name="F24" queryTableFieldId="24" dataDxfId="2604" dataCellStyle="一般 2"/>
    <tableColumn id="25" uniqueName="25" name="F25" queryTableFieldId="25" dataDxfId="2603" dataCellStyle="一般 2"/>
    <tableColumn id="26" uniqueName="26" name="F26" queryTableFieldId="26" dataDxfId="2602" dataCellStyle="一般 2"/>
    <tableColumn id="27" uniqueName="27" name="F27" queryTableFieldId="27" dataDxfId="2601" dataCellStyle="一般 2"/>
    <tableColumn id="28" uniqueName="28" name="F28" queryTableFieldId="28" dataDxfId="260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2499" dataDxfId="2498" headerRowCellStyle="一般 2" dataCellStyle="一般 2">
  <autoFilter ref="AG13:BH189"/>
  <tableColumns count="28">
    <tableColumn id="1" uniqueName="1" name="請直接以10進位，謝謝" queryTableFieldId="1" dataDxfId="2497" dataCellStyle="一般 2"/>
    <tableColumn id="2" uniqueName="2" name="F2" queryTableFieldId="2" dataDxfId="2496" dataCellStyle="一般 2"/>
    <tableColumn id="3" uniqueName="3" name="F3" queryTableFieldId="3" dataDxfId="2495" dataCellStyle="一般 2"/>
    <tableColumn id="4" uniqueName="4" name="F4" queryTableFieldId="4" dataDxfId="2494" dataCellStyle="一般 2"/>
    <tableColumn id="5" uniqueName="5" name="F5" queryTableFieldId="5" dataDxfId="2493" dataCellStyle="一般 2"/>
    <tableColumn id="6" uniqueName="6" name="F6" queryTableFieldId="6" dataDxfId="2492" dataCellStyle="一般 2"/>
    <tableColumn id="7" uniqueName="7" name="F7" queryTableFieldId="7" dataDxfId="2491" dataCellStyle="一般 2"/>
    <tableColumn id="8" uniqueName="8" name="F8" queryTableFieldId="8" dataDxfId="2490" dataCellStyle="一般 2"/>
    <tableColumn id="9" uniqueName="9" name="F9" queryTableFieldId="9" dataDxfId="2489" dataCellStyle="一般 2"/>
    <tableColumn id="10" uniqueName="10" name="F10" queryTableFieldId="10" dataDxfId="2488" dataCellStyle="一般 2"/>
    <tableColumn id="11" uniqueName="11" name="F11" queryTableFieldId="11" dataDxfId="2487" dataCellStyle="一般 2"/>
    <tableColumn id="12" uniqueName="12" name="F12" queryTableFieldId="12" dataDxfId="2486" dataCellStyle="一般 2"/>
    <tableColumn id="13" uniqueName="13" name="F13" queryTableFieldId="13" dataDxfId="2485" dataCellStyle="一般 2"/>
    <tableColumn id="14" uniqueName="14" name="F14" queryTableFieldId="14" dataDxfId="2484" dataCellStyle="一般 2"/>
    <tableColumn id="15" uniqueName="15" name="F15" queryTableFieldId="15" dataDxfId="2483" dataCellStyle="一般 2"/>
    <tableColumn id="16" uniqueName="16" name="F16" queryTableFieldId="16" dataDxfId="2482" dataCellStyle="一般 2"/>
    <tableColumn id="17" uniqueName="17" name="F17" queryTableFieldId="17" dataDxfId="2481" dataCellStyle="一般 2"/>
    <tableColumn id="18" uniqueName="18" name="F18" queryTableFieldId="18" dataDxfId="2480" dataCellStyle="一般 2"/>
    <tableColumn id="19" uniqueName="19" name="F19" queryTableFieldId="19" dataDxfId="2479" dataCellStyle="一般 2"/>
    <tableColumn id="20" uniqueName="20" name="F20" queryTableFieldId="20" dataDxfId="2478" dataCellStyle="一般 2"/>
    <tableColumn id="21" uniqueName="21" name="F21" queryTableFieldId="21" dataDxfId="2477" dataCellStyle="一般 2"/>
    <tableColumn id="22" uniqueName="22" name="2024/6/24 14:52" queryTableFieldId="22" dataDxfId="2476" dataCellStyle="一般 2"/>
    <tableColumn id="23" uniqueName="23" name="F23" queryTableFieldId="23" dataDxfId="2475" dataCellStyle="一般 2"/>
    <tableColumn id="24" uniqueName="24" name="F24" queryTableFieldId="24" dataDxfId="2474" dataCellStyle="一般 2"/>
    <tableColumn id="25" uniqueName="25" name="F25" queryTableFieldId="25" dataDxfId="2473" dataCellStyle="一般 2"/>
    <tableColumn id="26" uniqueName="26" name="F26" queryTableFieldId="26" dataDxfId="2472" dataCellStyle="一般 2"/>
    <tableColumn id="27" uniqueName="27" name="F27" queryTableFieldId="27" dataDxfId="2471" dataCellStyle="一般 2"/>
    <tableColumn id="28" uniqueName="28" name="F28" queryTableFieldId="28" dataDxfId="2470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2369" dataDxfId="2368" headerRowCellStyle="一般 2" dataCellStyle="一般 2">
  <autoFilter ref="AG13:BH189"/>
  <tableColumns count="28">
    <tableColumn id="1" uniqueName="1" name="請直接以10進位，謝謝" queryTableFieldId="1" dataDxfId="2367" dataCellStyle="一般 2"/>
    <tableColumn id="2" uniqueName="2" name="F2" queryTableFieldId="2" dataDxfId="2366" dataCellStyle="一般 2"/>
    <tableColumn id="3" uniqueName="3" name="F3" queryTableFieldId="3" dataDxfId="2365" dataCellStyle="一般 2"/>
    <tableColumn id="4" uniqueName="4" name="F4" queryTableFieldId="4" dataDxfId="2364" dataCellStyle="一般 2"/>
    <tableColumn id="5" uniqueName="5" name="F5" queryTableFieldId="5" dataDxfId="2363" dataCellStyle="一般 2"/>
    <tableColumn id="6" uniqueName="6" name="F6" queryTableFieldId="6" dataDxfId="2362" dataCellStyle="一般 2"/>
    <tableColumn id="7" uniqueName="7" name="F7" queryTableFieldId="7" dataDxfId="2361" dataCellStyle="一般 2"/>
    <tableColumn id="8" uniqueName="8" name="F8" queryTableFieldId="8" dataDxfId="2360" dataCellStyle="一般 2"/>
    <tableColumn id="9" uniqueName="9" name="F9" queryTableFieldId="9" dataDxfId="2359" dataCellStyle="一般 2"/>
    <tableColumn id="10" uniqueName="10" name="F10" queryTableFieldId="10" dataDxfId="2358" dataCellStyle="一般 2"/>
    <tableColumn id="11" uniqueName="11" name="F11" queryTableFieldId="11" dataDxfId="2357" dataCellStyle="一般 2"/>
    <tableColumn id="12" uniqueName="12" name="F12" queryTableFieldId="12" dataDxfId="2356" dataCellStyle="一般 2"/>
    <tableColumn id="13" uniqueName="13" name="F13" queryTableFieldId="13" dataDxfId="2355" dataCellStyle="一般 2"/>
    <tableColumn id="14" uniqueName="14" name="F14" queryTableFieldId="14" dataDxfId="2354" dataCellStyle="一般 2"/>
    <tableColumn id="15" uniqueName="15" name="F15" queryTableFieldId="15" dataDxfId="2353" dataCellStyle="一般 2"/>
    <tableColumn id="16" uniqueName="16" name="F16" queryTableFieldId="16" dataDxfId="2352" dataCellStyle="一般 2"/>
    <tableColumn id="17" uniqueName="17" name="F17" queryTableFieldId="17" dataDxfId="2351" dataCellStyle="一般 2"/>
    <tableColumn id="18" uniqueName="18" name="F18" queryTableFieldId="18" dataDxfId="2350" dataCellStyle="一般 2"/>
    <tableColumn id="19" uniqueName="19" name="F19" queryTableFieldId="19" dataDxfId="2349" dataCellStyle="一般 2"/>
    <tableColumn id="20" uniqueName="20" name="F20" queryTableFieldId="20" dataDxfId="2348" dataCellStyle="一般 2"/>
    <tableColumn id="21" uniqueName="21" name="F21" queryTableFieldId="21" dataDxfId="2347" dataCellStyle="一般 2"/>
    <tableColumn id="22" uniqueName="22" name="2024/6/24 14:52" queryTableFieldId="22" dataDxfId="2346" dataCellStyle="一般 2"/>
    <tableColumn id="23" uniqueName="23" name="F23" queryTableFieldId="23" dataDxfId="2345" dataCellStyle="一般 2"/>
    <tableColumn id="24" uniqueName="24" name="F24" queryTableFieldId="24" dataDxfId="2344" dataCellStyle="一般 2"/>
    <tableColumn id="25" uniqueName="25" name="F25" queryTableFieldId="25" dataDxfId="2343" dataCellStyle="一般 2"/>
    <tableColumn id="26" uniqueName="26" name="F26" queryTableFieldId="26" dataDxfId="2342" dataCellStyle="一般 2"/>
    <tableColumn id="27" uniqueName="27" name="F27" queryTableFieldId="27" dataDxfId="2341" dataCellStyle="一般 2"/>
    <tableColumn id="28" uniqueName="28" name="F28" queryTableFieldId="28" dataDxfId="234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2239" dataDxfId="2238" headerRowCellStyle="一般 2" dataCellStyle="一般 2">
  <autoFilter ref="AG13:BH189"/>
  <tableColumns count="28">
    <tableColumn id="1" uniqueName="1" name="請直接以10進位，謝謝" queryTableFieldId="1" dataDxfId="2237" dataCellStyle="一般 2"/>
    <tableColumn id="2" uniqueName="2" name="F2" queryTableFieldId="2" dataDxfId="2236" dataCellStyle="一般 2"/>
    <tableColumn id="3" uniqueName="3" name="F3" queryTableFieldId="3" dataDxfId="2235" dataCellStyle="一般 2"/>
    <tableColumn id="4" uniqueName="4" name="F4" queryTableFieldId="4" dataDxfId="2234" dataCellStyle="一般 2"/>
    <tableColumn id="5" uniqueName="5" name="F5" queryTableFieldId="5" dataDxfId="2233" dataCellStyle="一般 2"/>
    <tableColumn id="6" uniqueName="6" name="F6" queryTableFieldId="6" dataDxfId="2232" dataCellStyle="一般 2"/>
    <tableColumn id="7" uniqueName="7" name="F7" queryTableFieldId="7" dataDxfId="2231" dataCellStyle="一般 2"/>
    <tableColumn id="8" uniqueName="8" name="F8" queryTableFieldId="8" dataDxfId="2230" dataCellStyle="一般 2"/>
    <tableColumn id="9" uniqueName="9" name="F9" queryTableFieldId="9" dataDxfId="2229" dataCellStyle="一般 2"/>
    <tableColumn id="10" uniqueName="10" name="F10" queryTableFieldId="10" dataDxfId="2228" dataCellStyle="一般 2"/>
    <tableColumn id="11" uniqueName="11" name="F11" queryTableFieldId="11" dataDxfId="2227" dataCellStyle="一般 2"/>
    <tableColumn id="12" uniqueName="12" name="F12" queryTableFieldId="12" dataDxfId="2226" dataCellStyle="一般 2"/>
    <tableColumn id="13" uniqueName="13" name="F13" queryTableFieldId="13" dataDxfId="2225" dataCellStyle="一般 2"/>
    <tableColumn id="14" uniqueName="14" name="F14" queryTableFieldId="14" dataDxfId="2224" dataCellStyle="一般 2"/>
    <tableColumn id="15" uniqueName="15" name="F15" queryTableFieldId="15" dataDxfId="2223" dataCellStyle="一般 2"/>
    <tableColumn id="16" uniqueName="16" name="F16" queryTableFieldId="16" dataDxfId="2222" dataCellStyle="一般 2"/>
    <tableColumn id="17" uniqueName="17" name="F17" queryTableFieldId="17" dataDxfId="2221" dataCellStyle="一般 2"/>
    <tableColumn id="18" uniqueName="18" name="F18" queryTableFieldId="18" dataDxfId="2220" dataCellStyle="一般 2"/>
    <tableColumn id="19" uniqueName="19" name="F19" queryTableFieldId="19" dataDxfId="2219" dataCellStyle="一般 2"/>
    <tableColumn id="20" uniqueName="20" name="F20" queryTableFieldId="20" dataDxfId="2218" dataCellStyle="一般 2"/>
    <tableColumn id="21" uniqueName="21" name="F21" queryTableFieldId="21" dataDxfId="2217" dataCellStyle="一般 2"/>
    <tableColumn id="22" uniqueName="22" name="2024/6/24 14:52" queryTableFieldId="22" dataDxfId="2216" dataCellStyle="一般 2"/>
    <tableColumn id="23" uniqueName="23" name="F23" queryTableFieldId="23" dataDxfId="2215" dataCellStyle="一般 2"/>
    <tableColumn id="24" uniqueName="24" name="F24" queryTableFieldId="24" dataDxfId="2214" dataCellStyle="一般 2"/>
    <tableColumn id="25" uniqueName="25" name="F25" queryTableFieldId="25" dataDxfId="2213" dataCellStyle="一般 2"/>
    <tableColumn id="26" uniqueName="26" name="F26" queryTableFieldId="26" dataDxfId="2212" dataCellStyle="一般 2"/>
    <tableColumn id="27" uniqueName="27" name="F27" queryTableFieldId="27" dataDxfId="2211" dataCellStyle="一般 2"/>
    <tableColumn id="28" uniqueName="28" name="F28" queryTableFieldId="28" dataDxfId="221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2109" dataDxfId="2108" headerRowCellStyle="一般 2" dataCellStyle="一般 2">
  <autoFilter ref="AG13:BH189"/>
  <tableColumns count="28">
    <tableColumn id="1" uniqueName="1" name="請直接以10進位，謝謝" queryTableFieldId="1" dataDxfId="2107" dataCellStyle="一般 2"/>
    <tableColumn id="2" uniqueName="2" name="F2" queryTableFieldId="2" dataDxfId="2106" dataCellStyle="一般 2"/>
    <tableColumn id="3" uniqueName="3" name="F3" queryTableFieldId="3" dataDxfId="2105" dataCellStyle="一般 2"/>
    <tableColumn id="4" uniqueName="4" name="F4" queryTableFieldId="4" dataDxfId="2104" dataCellStyle="一般 2"/>
    <tableColumn id="5" uniqueName="5" name="F5" queryTableFieldId="5" dataDxfId="2103" dataCellStyle="一般 2"/>
    <tableColumn id="6" uniqueName="6" name="F6" queryTableFieldId="6" dataDxfId="2102" dataCellStyle="一般 2"/>
    <tableColumn id="7" uniqueName="7" name="F7" queryTableFieldId="7" dataDxfId="2101" dataCellStyle="一般 2"/>
    <tableColumn id="8" uniqueName="8" name="F8" queryTableFieldId="8" dataDxfId="2100" dataCellStyle="一般 2"/>
    <tableColumn id="9" uniqueName="9" name="F9" queryTableFieldId="9" dataDxfId="2099" dataCellStyle="一般 2"/>
    <tableColumn id="10" uniqueName="10" name="F10" queryTableFieldId="10" dataDxfId="2098" dataCellStyle="一般 2"/>
    <tableColumn id="11" uniqueName="11" name="F11" queryTableFieldId="11" dataDxfId="2097" dataCellStyle="一般 2"/>
    <tableColumn id="12" uniqueName="12" name="F12" queryTableFieldId="12" dataDxfId="2096" dataCellStyle="一般 2"/>
    <tableColumn id="13" uniqueName="13" name="F13" queryTableFieldId="13" dataDxfId="2095" dataCellStyle="一般 2"/>
    <tableColumn id="14" uniqueName="14" name="F14" queryTableFieldId="14" dataDxfId="2094" dataCellStyle="一般 2"/>
    <tableColumn id="15" uniqueName="15" name="F15" queryTableFieldId="15" dataDxfId="2093" dataCellStyle="一般 2"/>
    <tableColumn id="16" uniqueName="16" name="F16" queryTableFieldId="16" dataDxfId="2092" dataCellStyle="一般 2"/>
    <tableColumn id="17" uniqueName="17" name="F17" queryTableFieldId="17" dataDxfId="2091" dataCellStyle="一般 2"/>
    <tableColumn id="18" uniqueName="18" name="F18" queryTableFieldId="18" dataDxfId="2090" dataCellStyle="一般 2"/>
    <tableColumn id="19" uniqueName="19" name="F19" queryTableFieldId="19" dataDxfId="2089" dataCellStyle="一般 2"/>
    <tableColumn id="20" uniqueName="20" name="F20" queryTableFieldId="20" dataDxfId="2088" dataCellStyle="一般 2"/>
    <tableColumn id="21" uniqueName="21" name="F21" queryTableFieldId="21" dataDxfId="2087" dataCellStyle="一般 2"/>
    <tableColumn id="22" uniqueName="22" name="2024/6/24 14:52" queryTableFieldId="22" dataDxfId="2086" dataCellStyle="一般 2"/>
    <tableColumn id="23" uniqueName="23" name="F23" queryTableFieldId="23" dataDxfId="2085" dataCellStyle="一般 2"/>
    <tableColumn id="24" uniqueName="24" name="F24" queryTableFieldId="24" dataDxfId="2084" dataCellStyle="一般 2"/>
    <tableColumn id="25" uniqueName="25" name="F25" queryTableFieldId="25" dataDxfId="2083" dataCellStyle="一般 2"/>
    <tableColumn id="26" uniqueName="26" name="F26" queryTableFieldId="26" dataDxfId="2082" dataCellStyle="一般 2"/>
    <tableColumn id="27" uniqueName="27" name="F27" queryTableFieldId="27" dataDxfId="2081" dataCellStyle="一般 2"/>
    <tableColumn id="28" uniqueName="28" name="F28" queryTableFieldId="28" dataDxfId="208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979" dataDxfId="1978" headerRowCellStyle="一般 2" dataCellStyle="一般 2">
  <autoFilter ref="AG13:BH189"/>
  <tableColumns count="28">
    <tableColumn id="1" uniqueName="1" name="請直接以10進位，謝謝" queryTableFieldId="1" dataDxfId="1977" dataCellStyle="一般 2"/>
    <tableColumn id="2" uniqueName="2" name="F2" queryTableFieldId="2" dataDxfId="1976" dataCellStyle="一般 2"/>
    <tableColumn id="3" uniqueName="3" name="F3" queryTableFieldId="3" dataDxfId="1975" dataCellStyle="一般 2"/>
    <tableColumn id="4" uniqueName="4" name="F4" queryTableFieldId="4" dataDxfId="1974" dataCellStyle="一般 2"/>
    <tableColumn id="5" uniqueName="5" name="F5" queryTableFieldId="5" dataDxfId="1973" dataCellStyle="一般 2"/>
    <tableColumn id="6" uniqueName="6" name="F6" queryTableFieldId="6" dataDxfId="1972" dataCellStyle="一般 2"/>
    <tableColumn id="7" uniqueName="7" name="F7" queryTableFieldId="7" dataDxfId="1971" dataCellStyle="一般 2"/>
    <tableColumn id="8" uniqueName="8" name="F8" queryTableFieldId="8" dataDxfId="1970" dataCellStyle="一般 2"/>
    <tableColumn id="9" uniqueName="9" name="F9" queryTableFieldId="9" dataDxfId="1969" dataCellStyle="一般 2"/>
    <tableColumn id="10" uniqueName="10" name="F10" queryTableFieldId="10" dataDxfId="1968" dataCellStyle="一般 2"/>
    <tableColumn id="11" uniqueName="11" name="F11" queryTableFieldId="11" dataDxfId="1967" dataCellStyle="一般 2"/>
    <tableColumn id="12" uniqueName="12" name="F12" queryTableFieldId="12" dataDxfId="1966" dataCellStyle="一般 2"/>
    <tableColumn id="13" uniqueName="13" name="F13" queryTableFieldId="13" dataDxfId="1965" dataCellStyle="一般 2"/>
    <tableColumn id="14" uniqueName="14" name="F14" queryTableFieldId="14" dataDxfId="1964" dataCellStyle="一般 2"/>
    <tableColumn id="15" uniqueName="15" name="F15" queryTableFieldId="15" dataDxfId="1963" dataCellStyle="一般 2"/>
    <tableColumn id="16" uniqueName="16" name="F16" queryTableFieldId="16" dataDxfId="1962" dataCellStyle="一般 2"/>
    <tableColumn id="17" uniqueName="17" name="F17" queryTableFieldId="17" dataDxfId="1961" dataCellStyle="一般 2"/>
    <tableColumn id="18" uniqueName="18" name="F18" queryTableFieldId="18" dataDxfId="1960" dataCellStyle="一般 2"/>
    <tableColumn id="19" uniqueName="19" name="F19" queryTableFieldId="19" dataDxfId="1959" dataCellStyle="一般 2"/>
    <tableColumn id="20" uniqueName="20" name="F20" queryTableFieldId="20" dataDxfId="1958" dataCellStyle="一般 2"/>
    <tableColumn id="21" uniqueName="21" name="F21" queryTableFieldId="21" dataDxfId="1957" dataCellStyle="一般 2"/>
    <tableColumn id="22" uniqueName="22" name="2024/6/24 14:52" queryTableFieldId="22" dataDxfId="1956" dataCellStyle="一般 2"/>
    <tableColumn id="23" uniqueName="23" name="F23" queryTableFieldId="23" dataDxfId="1955" dataCellStyle="一般 2"/>
    <tableColumn id="24" uniqueName="24" name="F24" queryTableFieldId="24" dataDxfId="1954" dataCellStyle="一般 2"/>
    <tableColumn id="25" uniqueName="25" name="F25" queryTableFieldId="25" dataDxfId="1953" dataCellStyle="一般 2"/>
    <tableColumn id="26" uniqueName="26" name="F26" queryTableFieldId="26" dataDxfId="1952" dataCellStyle="一般 2"/>
    <tableColumn id="27" uniqueName="27" name="F27" queryTableFieldId="27" dataDxfId="1951" dataCellStyle="一般 2"/>
    <tableColumn id="28" uniqueName="28" name="F28" queryTableFieldId="28" dataDxfId="195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849" dataDxfId="1848" headerRowCellStyle="一般 2" dataCellStyle="一般 2">
  <autoFilter ref="AG13:BH189"/>
  <tableColumns count="28">
    <tableColumn id="1" uniqueName="1" name="請直接以10進位，謝謝" queryTableFieldId="1" dataDxfId="1847" dataCellStyle="一般 2"/>
    <tableColumn id="2" uniqueName="2" name="F2" queryTableFieldId="2" dataDxfId="1846" dataCellStyle="一般 2"/>
    <tableColumn id="3" uniqueName="3" name="F3" queryTableFieldId="3" dataDxfId="1845" dataCellStyle="一般 2"/>
    <tableColumn id="4" uniqueName="4" name="F4" queryTableFieldId="4" dataDxfId="1844" dataCellStyle="一般 2"/>
    <tableColumn id="5" uniqueName="5" name="F5" queryTableFieldId="5" dataDxfId="1843" dataCellStyle="一般 2"/>
    <tableColumn id="6" uniqueName="6" name="F6" queryTableFieldId="6" dataDxfId="1842" dataCellStyle="一般 2"/>
    <tableColumn id="7" uniqueName="7" name="F7" queryTableFieldId="7" dataDxfId="1841" dataCellStyle="一般 2"/>
    <tableColumn id="8" uniqueName="8" name="F8" queryTableFieldId="8" dataDxfId="1840" dataCellStyle="一般 2"/>
    <tableColumn id="9" uniqueName="9" name="F9" queryTableFieldId="9" dataDxfId="1839" dataCellStyle="一般 2"/>
    <tableColumn id="10" uniqueName="10" name="F10" queryTableFieldId="10" dataDxfId="1838" dataCellStyle="一般 2"/>
    <tableColumn id="11" uniqueName="11" name="F11" queryTableFieldId="11" dataDxfId="1837" dataCellStyle="一般 2"/>
    <tableColumn id="12" uniqueName="12" name="F12" queryTableFieldId="12" dataDxfId="1836" dataCellStyle="一般 2"/>
    <tableColumn id="13" uniqueName="13" name="F13" queryTableFieldId="13" dataDxfId="1835" dataCellStyle="一般 2"/>
    <tableColumn id="14" uniqueName="14" name="F14" queryTableFieldId="14" dataDxfId="1834" dataCellStyle="一般 2"/>
    <tableColumn id="15" uniqueName="15" name="F15" queryTableFieldId="15" dataDxfId="1833" dataCellStyle="一般 2"/>
    <tableColumn id="16" uniqueName="16" name="F16" queryTableFieldId="16" dataDxfId="1832" dataCellStyle="一般 2"/>
    <tableColumn id="17" uniqueName="17" name="F17" queryTableFieldId="17" dataDxfId="1831" dataCellStyle="一般 2"/>
    <tableColumn id="18" uniqueName="18" name="F18" queryTableFieldId="18" dataDxfId="1830" dataCellStyle="一般 2"/>
    <tableColumn id="19" uniqueName="19" name="F19" queryTableFieldId="19" dataDxfId="1829" dataCellStyle="一般 2"/>
    <tableColumn id="20" uniqueName="20" name="F20" queryTableFieldId="20" dataDxfId="1828" dataCellStyle="一般 2"/>
    <tableColumn id="21" uniqueName="21" name="F21" queryTableFieldId="21" dataDxfId="1827" dataCellStyle="一般 2"/>
    <tableColumn id="22" uniqueName="22" name="2024/6/24 14:52" queryTableFieldId="22" dataDxfId="1826" dataCellStyle="一般 2"/>
    <tableColumn id="23" uniqueName="23" name="F23" queryTableFieldId="23" dataDxfId="1825" dataCellStyle="一般 2"/>
    <tableColumn id="24" uniqueName="24" name="F24" queryTableFieldId="24" dataDxfId="1824" dataCellStyle="一般 2"/>
    <tableColumn id="25" uniqueName="25" name="F25" queryTableFieldId="25" dataDxfId="1823" dataCellStyle="一般 2"/>
    <tableColumn id="26" uniqueName="26" name="F26" queryTableFieldId="26" dataDxfId="1822" dataCellStyle="一般 2"/>
    <tableColumn id="27" uniqueName="27" name="F27" queryTableFieldId="27" dataDxfId="1821" dataCellStyle="一般 2"/>
    <tableColumn id="28" uniqueName="28" name="F28" queryTableFieldId="28" dataDxfId="1820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1719" dataDxfId="1718" headerRowCellStyle="一般 2" dataCellStyle="一般 2">
  <autoFilter ref="AG13:BH189"/>
  <tableColumns count="28">
    <tableColumn id="1" uniqueName="1" name="請直接以10進位，謝謝" queryTableFieldId="1" dataDxfId="1717" dataCellStyle="一般 2"/>
    <tableColumn id="2" uniqueName="2" name="F2" queryTableFieldId="2" dataDxfId="1716" dataCellStyle="一般 2"/>
    <tableColumn id="3" uniqueName="3" name="F3" queryTableFieldId="3" dataDxfId="1715" dataCellStyle="一般 2"/>
    <tableColumn id="4" uniqueName="4" name="F4" queryTableFieldId="4" dataDxfId="1714" dataCellStyle="一般 2"/>
    <tableColumn id="5" uniqueName="5" name="F5" queryTableFieldId="5" dataDxfId="1713" dataCellStyle="一般 2"/>
    <tableColumn id="6" uniqueName="6" name="F6" queryTableFieldId="6" dataDxfId="1712" dataCellStyle="一般 2"/>
    <tableColumn id="7" uniqueName="7" name="F7" queryTableFieldId="7" dataDxfId="1711" dataCellStyle="一般 2"/>
    <tableColumn id="8" uniqueName="8" name="F8" queryTableFieldId="8" dataDxfId="1710" dataCellStyle="一般 2"/>
    <tableColumn id="9" uniqueName="9" name="F9" queryTableFieldId="9" dataDxfId="1709" dataCellStyle="一般 2"/>
    <tableColumn id="10" uniqueName="10" name="F10" queryTableFieldId="10" dataDxfId="1708" dataCellStyle="一般 2"/>
    <tableColumn id="11" uniqueName="11" name="F11" queryTableFieldId="11" dataDxfId="1707" dataCellStyle="一般 2"/>
    <tableColumn id="12" uniqueName="12" name="F12" queryTableFieldId="12" dataDxfId="1706" dataCellStyle="一般 2"/>
    <tableColumn id="13" uniqueName="13" name="F13" queryTableFieldId="13" dataDxfId="1705" dataCellStyle="一般 2"/>
    <tableColumn id="14" uniqueName="14" name="F14" queryTableFieldId="14" dataDxfId="1704" dataCellStyle="一般 2"/>
    <tableColumn id="15" uniqueName="15" name="F15" queryTableFieldId="15" dataDxfId="1703" dataCellStyle="一般 2"/>
    <tableColumn id="16" uniqueName="16" name="F16" queryTableFieldId="16" dataDxfId="1702" dataCellStyle="一般 2"/>
    <tableColumn id="17" uniqueName="17" name="F17" queryTableFieldId="17" dataDxfId="1701" dataCellStyle="一般 2"/>
    <tableColumn id="18" uniqueName="18" name="F18" queryTableFieldId="18" dataDxfId="1700" dataCellStyle="一般 2"/>
    <tableColumn id="19" uniqueName="19" name="F19" queryTableFieldId="19" dataDxfId="1699" dataCellStyle="一般 2"/>
    <tableColumn id="20" uniqueName="20" name="F20" queryTableFieldId="20" dataDxfId="1698" dataCellStyle="一般 2"/>
    <tableColumn id="21" uniqueName="21" name="F21" queryTableFieldId="21" dataDxfId="1697" dataCellStyle="一般 2"/>
    <tableColumn id="22" uniqueName="22" name="2024/6/24 14:52" queryTableFieldId="22" dataDxfId="1696" dataCellStyle="一般 2"/>
    <tableColumn id="23" uniqueName="23" name="F23" queryTableFieldId="23" dataDxfId="1695" dataCellStyle="一般 2"/>
    <tableColumn id="24" uniqueName="24" name="F24" queryTableFieldId="24" dataDxfId="1694" dataCellStyle="一般 2"/>
    <tableColumn id="25" uniqueName="25" name="F25" queryTableFieldId="25" dataDxfId="1693" dataCellStyle="一般 2"/>
    <tableColumn id="26" uniqueName="26" name="F26" queryTableFieldId="26" dataDxfId="1692" dataCellStyle="一般 2"/>
    <tableColumn id="27" uniqueName="27" name="F27" queryTableFieldId="27" dataDxfId="1691" dataCellStyle="一般 2"/>
    <tableColumn id="28" uniqueName="28" name="F28" queryTableFieldId="28" dataDxfId="169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589" dataDxfId="1588" headerRowCellStyle="一般 2" dataCellStyle="一般 2">
  <autoFilter ref="AG13:BH189"/>
  <tableColumns count="28">
    <tableColumn id="1" uniqueName="1" name="請直接以10進位，謝謝" queryTableFieldId="1" dataDxfId="1587" dataCellStyle="一般 2"/>
    <tableColumn id="2" uniqueName="2" name="F2" queryTableFieldId="2" dataDxfId="1586" dataCellStyle="一般 2"/>
    <tableColumn id="3" uniqueName="3" name="F3" queryTableFieldId="3" dataDxfId="1585" dataCellStyle="一般 2"/>
    <tableColumn id="4" uniqueName="4" name="F4" queryTableFieldId="4" dataDxfId="1584" dataCellStyle="一般 2"/>
    <tableColumn id="5" uniqueName="5" name="F5" queryTableFieldId="5" dataDxfId="1583" dataCellStyle="一般 2"/>
    <tableColumn id="6" uniqueName="6" name="F6" queryTableFieldId="6" dataDxfId="1582" dataCellStyle="一般 2"/>
    <tableColumn id="7" uniqueName="7" name="F7" queryTableFieldId="7" dataDxfId="1581" dataCellStyle="一般 2"/>
    <tableColumn id="8" uniqueName="8" name="F8" queryTableFieldId="8" dataDxfId="1580" dataCellStyle="一般 2"/>
    <tableColumn id="9" uniqueName="9" name="F9" queryTableFieldId="9" dataDxfId="1579" dataCellStyle="一般 2"/>
    <tableColumn id="10" uniqueName="10" name="F10" queryTableFieldId="10" dataDxfId="1578" dataCellStyle="一般 2"/>
    <tableColumn id="11" uniqueName="11" name="F11" queryTableFieldId="11" dataDxfId="1577" dataCellStyle="一般 2"/>
    <tableColumn id="12" uniqueName="12" name="F12" queryTableFieldId="12" dataDxfId="1576" dataCellStyle="一般 2"/>
    <tableColumn id="13" uniqueName="13" name="F13" queryTableFieldId="13" dataDxfId="1575" dataCellStyle="一般 2"/>
    <tableColumn id="14" uniqueName="14" name="F14" queryTableFieldId="14" dataDxfId="1574" dataCellStyle="一般 2"/>
    <tableColumn id="15" uniqueName="15" name="F15" queryTableFieldId="15" dataDxfId="1573" dataCellStyle="一般 2"/>
    <tableColumn id="16" uniqueName="16" name="F16" queryTableFieldId="16" dataDxfId="1572" dataCellStyle="一般 2"/>
    <tableColumn id="17" uniqueName="17" name="F17" queryTableFieldId="17" dataDxfId="1571" dataCellStyle="一般 2"/>
    <tableColumn id="18" uniqueName="18" name="F18" queryTableFieldId="18" dataDxfId="1570" dataCellStyle="一般 2"/>
    <tableColumn id="19" uniqueName="19" name="F19" queryTableFieldId="19" dataDxfId="1569" dataCellStyle="一般 2"/>
    <tableColumn id="20" uniqueName="20" name="F20" queryTableFieldId="20" dataDxfId="1568" dataCellStyle="一般 2"/>
    <tableColumn id="21" uniqueName="21" name="F21" queryTableFieldId="21" dataDxfId="1567" dataCellStyle="一般 2"/>
    <tableColumn id="22" uniqueName="22" name="2024/6/24 14:52" queryTableFieldId="22" dataDxfId="1566" dataCellStyle="一般 2"/>
    <tableColumn id="23" uniqueName="23" name="F23" queryTableFieldId="23" dataDxfId="1565" dataCellStyle="一般 2"/>
    <tableColumn id="24" uniqueName="24" name="F24" queryTableFieldId="24" dataDxfId="1564" dataCellStyle="一般 2"/>
    <tableColumn id="25" uniqueName="25" name="F25" queryTableFieldId="25" dataDxfId="1563" dataCellStyle="一般 2"/>
    <tableColumn id="26" uniqueName="26" name="F26" queryTableFieldId="26" dataDxfId="1562" dataCellStyle="一般 2"/>
    <tableColumn id="27" uniqueName="27" name="F27" queryTableFieldId="27" dataDxfId="1561" dataCellStyle="一般 2"/>
    <tableColumn id="28" uniqueName="28" name="F28" queryTableFieldId="28" dataDxfId="156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1459" dataDxfId="1458" headerRowCellStyle="一般 2" dataCellStyle="一般 2">
  <autoFilter ref="AG13:BH189"/>
  <tableColumns count="28">
    <tableColumn id="1" uniqueName="1" name="請直接以10進位，謝謝" queryTableFieldId="1" dataDxfId="1457" dataCellStyle="一般 2"/>
    <tableColumn id="2" uniqueName="2" name="F2" queryTableFieldId="2" dataDxfId="1456" dataCellStyle="一般 2"/>
    <tableColumn id="3" uniqueName="3" name="F3" queryTableFieldId="3" dataDxfId="1455" dataCellStyle="一般 2"/>
    <tableColumn id="4" uniqueName="4" name="F4" queryTableFieldId="4" dataDxfId="1454" dataCellStyle="一般 2"/>
    <tableColumn id="5" uniqueName="5" name="F5" queryTableFieldId="5" dataDxfId="1453" dataCellStyle="一般 2"/>
    <tableColumn id="6" uniqueName="6" name="F6" queryTableFieldId="6" dataDxfId="1452" dataCellStyle="一般 2"/>
    <tableColumn id="7" uniqueName="7" name="F7" queryTableFieldId="7" dataDxfId="1451" dataCellStyle="一般 2"/>
    <tableColumn id="8" uniqueName="8" name="F8" queryTableFieldId="8" dataDxfId="1450" dataCellStyle="一般 2"/>
    <tableColumn id="9" uniqueName="9" name="F9" queryTableFieldId="9" dataDxfId="1449" dataCellStyle="一般 2"/>
    <tableColumn id="10" uniqueName="10" name="F10" queryTableFieldId="10" dataDxfId="1448" dataCellStyle="一般 2"/>
    <tableColumn id="11" uniqueName="11" name="F11" queryTableFieldId="11" dataDxfId="1447" dataCellStyle="一般 2"/>
    <tableColumn id="12" uniqueName="12" name="F12" queryTableFieldId="12" dataDxfId="1446" dataCellStyle="一般 2"/>
    <tableColumn id="13" uniqueName="13" name="F13" queryTableFieldId="13" dataDxfId="1445" dataCellStyle="一般 2"/>
    <tableColumn id="14" uniqueName="14" name="F14" queryTableFieldId="14" dataDxfId="1444" dataCellStyle="一般 2"/>
    <tableColumn id="15" uniqueName="15" name="F15" queryTableFieldId="15" dataDxfId="1443" dataCellStyle="一般 2"/>
    <tableColumn id="16" uniqueName="16" name="F16" queryTableFieldId="16" dataDxfId="1442" dataCellStyle="一般 2"/>
    <tableColumn id="17" uniqueName="17" name="F17" queryTableFieldId="17" dataDxfId="1441" dataCellStyle="一般 2"/>
    <tableColumn id="18" uniqueName="18" name="F18" queryTableFieldId="18" dataDxfId="1440" dataCellStyle="一般 2"/>
    <tableColumn id="19" uniqueName="19" name="F19" queryTableFieldId="19" dataDxfId="1439" dataCellStyle="一般 2"/>
    <tableColumn id="20" uniqueName="20" name="F20" queryTableFieldId="20" dataDxfId="1438" dataCellStyle="一般 2"/>
    <tableColumn id="21" uniqueName="21" name="F21" queryTableFieldId="21" dataDxfId="1437" dataCellStyle="一般 2"/>
    <tableColumn id="22" uniqueName="22" name="2024/6/24 14:52" queryTableFieldId="22" dataDxfId="1436" dataCellStyle="一般 2"/>
    <tableColumn id="23" uniqueName="23" name="F23" queryTableFieldId="23" dataDxfId="1435" dataCellStyle="一般 2"/>
    <tableColumn id="24" uniqueName="24" name="F24" queryTableFieldId="24" dataDxfId="1434" dataCellStyle="一般 2"/>
    <tableColumn id="25" uniqueName="25" name="F25" queryTableFieldId="25" dataDxfId="1433" dataCellStyle="一般 2"/>
    <tableColumn id="26" uniqueName="26" name="F26" queryTableFieldId="26" dataDxfId="1432" dataCellStyle="一般 2"/>
    <tableColumn id="27" uniqueName="27" name="F27" queryTableFieldId="27" dataDxfId="1431" dataCellStyle="一般 2"/>
    <tableColumn id="28" uniqueName="28" name="F28" queryTableFieldId="28" dataDxfId="143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329" dataDxfId="1328" headerRowCellStyle="一般 2" dataCellStyle="一般 2">
  <autoFilter ref="AG13:BH189"/>
  <tableColumns count="28">
    <tableColumn id="1" uniqueName="1" name="請直接以10進位，謝謝" queryTableFieldId="1" dataDxfId="1327" dataCellStyle="一般 2"/>
    <tableColumn id="2" uniqueName="2" name="F2" queryTableFieldId="2" dataDxfId="1326" dataCellStyle="一般 2"/>
    <tableColumn id="3" uniqueName="3" name="F3" queryTableFieldId="3" dataDxfId="1325" dataCellStyle="一般 2"/>
    <tableColumn id="4" uniqueName="4" name="F4" queryTableFieldId="4" dataDxfId="1324" dataCellStyle="一般 2"/>
    <tableColumn id="5" uniqueName="5" name="F5" queryTableFieldId="5" dataDxfId="1323" dataCellStyle="一般 2"/>
    <tableColumn id="6" uniqueName="6" name="F6" queryTableFieldId="6" dataDxfId="1322" dataCellStyle="一般 2"/>
    <tableColumn id="7" uniqueName="7" name="F7" queryTableFieldId="7" dataDxfId="1321" dataCellStyle="一般 2"/>
    <tableColumn id="8" uniqueName="8" name="F8" queryTableFieldId="8" dataDxfId="1320" dataCellStyle="一般 2"/>
    <tableColumn id="9" uniqueName="9" name="F9" queryTableFieldId="9" dataDxfId="1319" dataCellStyle="一般 2"/>
    <tableColumn id="10" uniqueName="10" name="F10" queryTableFieldId="10" dataDxfId="1318" dataCellStyle="一般 2"/>
    <tableColumn id="11" uniqueName="11" name="F11" queryTableFieldId="11" dataDxfId="1317" dataCellStyle="一般 2"/>
    <tableColumn id="12" uniqueName="12" name="F12" queryTableFieldId="12" dataDxfId="1316" dataCellStyle="一般 2"/>
    <tableColumn id="13" uniqueName="13" name="F13" queryTableFieldId="13" dataDxfId="1315" dataCellStyle="一般 2"/>
    <tableColumn id="14" uniqueName="14" name="F14" queryTableFieldId="14" dataDxfId="1314" dataCellStyle="一般 2"/>
    <tableColumn id="15" uniqueName="15" name="F15" queryTableFieldId="15" dataDxfId="1313" dataCellStyle="一般 2"/>
    <tableColumn id="16" uniqueName="16" name="F16" queryTableFieldId="16" dataDxfId="1312" dataCellStyle="一般 2"/>
    <tableColumn id="17" uniqueName="17" name="F17" queryTableFieldId="17" dataDxfId="1311" dataCellStyle="一般 2"/>
    <tableColumn id="18" uniqueName="18" name="F18" queryTableFieldId="18" dataDxfId="1310" dataCellStyle="一般 2"/>
    <tableColumn id="19" uniqueName="19" name="F19" queryTableFieldId="19" dataDxfId="1309" dataCellStyle="一般 2"/>
    <tableColumn id="20" uniqueName="20" name="F20" queryTableFieldId="20" dataDxfId="1308" dataCellStyle="一般 2"/>
    <tableColumn id="21" uniqueName="21" name="F21" queryTableFieldId="21" dataDxfId="1307" dataCellStyle="一般 2"/>
    <tableColumn id="22" uniqueName="22" name="2024/6/24 14:52" queryTableFieldId="22" dataDxfId="1306" dataCellStyle="一般 2"/>
    <tableColumn id="23" uniqueName="23" name="F23" queryTableFieldId="23" dataDxfId="1305" dataCellStyle="一般 2"/>
    <tableColumn id="24" uniqueName="24" name="F24" queryTableFieldId="24" dataDxfId="1304" dataCellStyle="一般 2"/>
    <tableColumn id="25" uniqueName="25" name="F25" queryTableFieldId="25" dataDxfId="1303" dataCellStyle="一般 2"/>
    <tableColumn id="26" uniqueName="26" name="F26" queryTableFieldId="26" dataDxfId="1302" dataCellStyle="一般 2"/>
    <tableColumn id="27" uniqueName="27" name="F27" queryTableFieldId="27" dataDxfId="1301" dataCellStyle="一般 2"/>
    <tableColumn id="28" uniqueName="28" name="F28" queryTableFieldId="28" dataDxfId="130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1199" dataDxfId="1198" headerRowCellStyle="一般 2" dataCellStyle="一般 2">
  <autoFilter ref="AG13:BH189"/>
  <tableColumns count="28">
    <tableColumn id="1" uniqueName="1" name="請直接以10進位，謝謝" queryTableFieldId="1" dataDxfId="1197" dataCellStyle="一般 2"/>
    <tableColumn id="2" uniqueName="2" name="F2" queryTableFieldId="2" dataDxfId="1196" dataCellStyle="一般 2"/>
    <tableColumn id="3" uniqueName="3" name="F3" queryTableFieldId="3" dataDxfId="1195" dataCellStyle="一般 2"/>
    <tableColumn id="4" uniqueName="4" name="F4" queryTableFieldId="4" dataDxfId="1194" dataCellStyle="一般 2"/>
    <tableColumn id="5" uniqueName="5" name="F5" queryTableFieldId="5" dataDxfId="1193" dataCellStyle="一般 2"/>
    <tableColumn id="6" uniqueName="6" name="F6" queryTableFieldId="6" dataDxfId="1192" dataCellStyle="一般 2"/>
    <tableColumn id="7" uniqueName="7" name="F7" queryTableFieldId="7" dataDxfId="1191" dataCellStyle="一般 2"/>
    <tableColumn id="8" uniqueName="8" name="F8" queryTableFieldId="8" dataDxfId="1190" dataCellStyle="一般 2"/>
    <tableColumn id="9" uniqueName="9" name="F9" queryTableFieldId="9" dataDxfId="1189" dataCellStyle="一般 2"/>
    <tableColumn id="10" uniqueName="10" name="F10" queryTableFieldId="10" dataDxfId="1188" dataCellStyle="一般 2"/>
    <tableColumn id="11" uniqueName="11" name="F11" queryTableFieldId="11" dataDxfId="1187" dataCellStyle="一般 2"/>
    <tableColumn id="12" uniqueName="12" name="F12" queryTableFieldId="12" dataDxfId="1186" dataCellStyle="一般 2"/>
    <tableColumn id="13" uniqueName="13" name="F13" queryTableFieldId="13" dataDxfId="1185" dataCellStyle="一般 2"/>
    <tableColumn id="14" uniqueName="14" name="F14" queryTableFieldId="14" dataDxfId="1184" dataCellStyle="一般 2"/>
    <tableColumn id="15" uniqueName="15" name="F15" queryTableFieldId="15" dataDxfId="1183" dataCellStyle="一般 2"/>
    <tableColumn id="16" uniqueName="16" name="F16" queryTableFieldId="16" dataDxfId="1182" dataCellStyle="一般 2"/>
    <tableColumn id="17" uniqueName="17" name="F17" queryTableFieldId="17" dataDxfId="1181" dataCellStyle="一般 2"/>
    <tableColumn id="18" uniqueName="18" name="F18" queryTableFieldId="18" dataDxfId="1180" dataCellStyle="一般 2"/>
    <tableColumn id="19" uniqueName="19" name="F19" queryTableFieldId="19" dataDxfId="1179" dataCellStyle="一般 2"/>
    <tableColumn id="20" uniqueName="20" name="F20" queryTableFieldId="20" dataDxfId="1178" dataCellStyle="一般 2"/>
    <tableColumn id="21" uniqueName="21" name="F21" queryTableFieldId="21" dataDxfId="1177" dataCellStyle="一般 2"/>
    <tableColumn id="22" uniqueName="22" name="2024/6/24 14:52" queryTableFieldId="22" dataDxfId="1176" dataCellStyle="一般 2"/>
    <tableColumn id="23" uniqueName="23" name="F23" queryTableFieldId="23" dataDxfId="1175" dataCellStyle="一般 2"/>
    <tableColumn id="24" uniqueName="24" name="F24" queryTableFieldId="24" dataDxfId="1174" dataCellStyle="一般 2"/>
    <tableColumn id="25" uniqueName="25" name="F25" queryTableFieldId="25" dataDxfId="1173" dataCellStyle="一般 2"/>
    <tableColumn id="26" uniqueName="26" name="F26" queryTableFieldId="26" dataDxfId="1172" dataCellStyle="一般 2"/>
    <tableColumn id="27" uniqueName="27" name="F27" queryTableFieldId="27" dataDxfId="1171" dataCellStyle="一般 2"/>
    <tableColumn id="28" uniqueName="28" name="F28" queryTableFieldId="28" dataDxfId="1170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1069" dataDxfId="1068" headerRowCellStyle="一般 2" dataCellStyle="一般 2">
  <autoFilter ref="AG13:BH189"/>
  <tableColumns count="28">
    <tableColumn id="1" uniqueName="1" name="請直接以10進位，謝謝" queryTableFieldId="1" dataDxfId="1067" dataCellStyle="一般 2"/>
    <tableColumn id="2" uniqueName="2" name="F2" queryTableFieldId="2" dataDxfId="1066" dataCellStyle="一般 2"/>
    <tableColumn id="3" uniqueName="3" name="F3" queryTableFieldId="3" dataDxfId="1065" dataCellStyle="一般 2"/>
    <tableColumn id="4" uniqueName="4" name="F4" queryTableFieldId="4" dataDxfId="1064" dataCellStyle="一般 2"/>
    <tableColumn id="5" uniqueName="5" name="F5" queryTableFieldId="5" dataDxfId="1063" dataCellStyle="一般 2"/>
    <tableColumn id="6" uniqueName="6" name="F6" queryTableFieldId="6" dataDxfId="1062" dataCellStyle="一般 2"/>
    <tableColumn id="7" uniqueName="7" name="F7" queryTableFieldId="7" dataDxfId="1061" dataCellStyle="一般 2"/>
    <tableColumn id="8" uniqueName="8" name="F8" queryTableFieldId="8" dataDxfId="1060" dataCellStyle="一般 2"/>
    <tableColumn id="9" uniqueName="9" name="F9" queryTableFieldId="9" dataDxfId="1059" dataCellStyle="一般 2"/>
    <tableColumn id="10" uniqueName="10" name="F10" queryTableFieldId="10" dataDxfId="1058" dataCellStyle="一般 2"/>
    <tableColumn id="11" uniqueName="11" name="F11" queryTableFieldId="11" dataDxfId="1057" dataCellStyle="一般 2"/>
    <tableColumn id="12" uniqueName="12" name="F12" queryTableFieldId="12" dataDxfId="1056" dataCellStyle="一般 2"/>
    <tableColumn id="13" uniqueName="13" name="F13" queryTableFieldId="13" dataDxfId="1055" dataCellStyle="一般 2"/>
    <tableColumn id="14" uniqueName="14" name="F14" queryTableFieldId="14" dataDxfId="1054" dataCellStyle="一般 2"/>
    <tableColumn id="15" uniqueName="15" name="F15" queryTableFieldId="15" dataDxfId="1053" dataCellStyle="一般 2"/>
    <tableColumn id="16" uniqueName="16" name="F16" queryTableFieldId="16" dataDxfId="1052" dataCellStyle="一般 2"/>
    <tableColumn id="17" uniqueName="17" name="F17" queryTableFieldId="17" dataDxfId="1051" dataCellStyle="一般 2"/>
    <tableColumn id="18" uniqueName="18" name="F18" queryTableFieldId="18" dataDxfId="1050" dataCellStyle="一般 2"/>
    <tableColumn id="19" uniqueName="19" name="F19" queryTableFieldId="19" dataDxfId="1049" dataCellStyle="一般 2"/>
    <tableColumn id="20" uniqueName="20" name="F20" queryTableFieldId="20" dataDxfId="1048" dataCellStyle="一般 2"/>
    <tableColumn id="21" uniqueName="21" name="F21" queryTableFieldId="21" dataDxfId="1047" dataCellStyle="一般 2"/>
    <tableColumn id="22" uniqueName="22" name="2024/6/24 14:52" queryTableFieldId="22" dataDxfId="1046" dataCellStyle="一般 2"/>
    <tableColumn id="23" uniqueName="23" name="F23" queryTableFieldId="23" dataDxfId="1045" dataCellStyle="一般 2"/>
    <tableColumn id="24" uniqueName="24" name="F24" queryTableFieldId="24" dataDxfId="1044" dataCellStyle="一般 2"/>
    <tableColumn id="25" uniqueName="25" name="F25" queryTableFieldId="25" dataDxfId="1043" dataCellStyle="一般 2"/>
    <tableColumn id="26" uniqueName="26" name="F26" queryTableFieldId="26" dataDxfId="1042" dataCellStyle="一般 2"/>
    <tableColumn id="27" uniqueName="27" name="F27" queryTableFieldId="27" dataDxfId="1041" dataCellStyle="一般 2"/>
    <tableColumn id="28" uniqueName="28" name="F28" queryTableFieldId="28" dataDxfId="104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939" dataDxfId="938" headerRowCellStyle="一般 2" dataCellStyle="一般 2">
  <autoFilter ref="AG13:BH189"/>
  <tableColumns count="28">
    <tableColumn id="1" uniqueName="1" name="請直接以10進位，謝謝" queryTableFieldId="1" dataDxfId="937" dataCellStyle="一般 2"/>
    <tableColumn id="2" uniqueName="2" name="F2" queryTableFieldId="2" dataDxfId="936" dataCellStyle="一般 2"/>
    <tableColumn id="3" uniqueName="3" name="F3" queryTableFieldId="3" dataDxfId="935" dataCellStyle="一般 2"/>
    <tableColumn id="4" uniqueName="4" name="F4" queryTableFieldId="4" dataDxfId="934" dataCellStyle="一般 2"/>
    <tableColumn id="5" uniqueName="5" name="F5" queryTableFieldId="5" dataDxfId="933" dataCellStyle="一般 2"/>
    <tableColumn id="6" uniqueName="6" name="F6" queryTableFieldId="6" dataDxfId="932" dataCellStyle="一般 2"/>
    <tableColumn id="7" uniqueName="7" name="F7" queryTableFieldId="7" dataDxfId="931" dataCellStyle="一般 2"/>
    <tableColumn id="8" uniqueName="8" name="F8" queryTableFieldId="8" dataDxfId="930" dataCellStyle="一般 2"/>
    <tableColumn id="9" uniqueName="9" name="F9" queryTableFieldId="9" dataDxfId="929" dataCellStyle="一般 2"/>
    <tableColumn id="10" uniqueName="10" name="F10" queryTableFieldId="10" dataDxfId="928" dataCellStyle="一般 2"/>
    <tableColumn id="11" uniqueName="11" name="F11" queryTableFieldId="11" dataDxfId="927" dataCellStyle="一般 2"/>
    <tableColumn id="12" uniqueName="12" name="F12" queryTableFieldId="12" dataDxfId="926" dataCellStyle="一般 2"/>
    <tableColumn id="13" uniqueName="13" name="F13" queryTableFieldId="13" dataDxfId="925" dataCellStyle="一般 2"/>
    <tableColumn id="14" uniqueName="14" name="F14" queryTableFieldId="14" dataDxfId="924" dataCellStyle="一般 2"/>
    <tableColumn id="15" uniqueName="15" name="F15" queryTableFieldId="15" dataDxfId="923" dataCellStyle="一般 2"/>
    <tableColumn id="16" uniqueName="16" name="F16" queryTableFieldId="16" dataDxfId="922" dataCellStyle="一般 2"/>
    <tableColumn id="17" uniqueName="17" name="F17" queryTableFieldId="17" dataDxfId="921" dataCellStyle="一般 2"/>
    <tableColumn id="18" uniqueName="18" name="F18" queryTableFieldId="18" dataDxfId="920" dataCellStyle="一般 2"/>
    <tableColumn id="19" uniqueName="19" name="F19" queryTableFieldId="19" dataDxfId="919" dataCellStyle="一般 2"/>
    <tableColumn id="20" uniqueName="20" name="F20" queryTableFieldId="20" dataDxfId="918" dataCellStyle="一般 2"/>
    <tableColumn id="21" uniqueName="21" name="F21" queryTableFieldId="21" dataDxfId="917" dataCellStyle="一般 2"/>
    <tableColumn id="22" uniqueName="22" name="2024/6/24 14:52" queryTableFieldId="22" dataDxfId="916" dataCellStyle="一般 2"/>
    <tableColumn id="23" uniqueName="23" name="F23" queryTableFieldId="23" dataDxfId="915" dataCellStyle="一般 2"/>
    <tableColumn id="24" uniqueName="24" name="F24" queryTableFieldId="24" dataDxfId="914" dataCellStyle="一般 2"/>
    <tableColumn id="25" uniqueName="25" name="F25" queryTableFieldId="25" dataDxfId="913" dataCellStyle="一般 2"/>
    <tableColumn id="26" uniqueName="26" name="F26" queryTableFieldId="26" dataDxfId="912" dataCellStyle="一般 2"/>
    <tableColumn id="27" uniqueName="27" name="F27" queryTableFieldId="27" dataDxfId="911" dataCellStyle="一般 2"/>
    <tableColumn id="28" uniqueName="28" name="F28" queryTableFieldId="28" dataDxfId="91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809" dataDxfId="808" headerRowCellStyle="一般 2" dataCellStyle="一般 2">
  <autoFilter ref="AG13:BH189"/>
  <tableColumns count="28">
    <tableColumn id="1" uniqueName="1" name="請直接以10進位，謝謝" queryTableFieldId="1" dataDxfId="807" dataCellStyle="一般 2"/>
    <tableColumn id="2" uniqueName="2" name="F2" queryTableFieldId="2" dataDxfId="806" dataCellStyle="一般 2"/>
    <tableColumn id="3" uniqueName="3" name="F3" queryTableFieldId="3" dataDxfId="805" dataCellStyle="一般 2"/>
    <tableColumn id="4" uniqueName="4" name="F4" queryTableFieldId="4" dataDxfId="804" dataCellStyle="一般 2"/>
    <tableColumn id="5" uniqueName="5" name="F5" queryTableFieldId="5" dataDxfId="803" dataCellStyle="一般 2"/>
    <tableColumn id="6" uniqueName="6" name="F6" queryTableFieldId="6" dataDxfId="802" dataCellStyle="一般 2"/>
    <tableColumn id="7" uniqueName="7" name="F7" queryTableFieldId="7" dataDxfId="801" dataCellStyle="一般 2"/>
    <tableColumn id="8" uniqueName="8" name="F8" queryTableFieldId="8" dataDxfId="800" dataCellStyle="一般 2"/>
    <tableColumn id="9" uniqueName="9" name="F9" queryTableFieldId="9" dataDxfId="799" dataCellStyle="一般 2"/>
    <tableColumn id="10" uniqueName="10" name="F10" queryTableFieldId="10" dataDxfId="798" dataCellStyle="一般 2"/>
    <tableColumn id="11" uniqueName="11" name="F11" queryTableFieldId="11" dataDxfId="797" dataCellStyle="一般 2"/>
    <tableColumn id="12" uniqueName="12" name="F12" queryTableFieldId="12" dataDxfId="796" dataCellStyle="一般 2"/>
    <tableColumn id="13" uniqueName="13" name="F13" queryTableFieldId="13" dataDxfId="795" dataCellStyle="一般 2"/>
    <tableColumn id="14" uniqueName="14" name="F14" queryTableFieldId="14" dataDxfId="794" dataCellStyle="一般 2"/>
    <tableColumn id="15" uniqueName="15" name="F15" queryTableFieldId="15" dataDxfId="793" dataCellStyle="一般 2"/>
    <tableColumn id="16" uniqueName="16" name="F16" queryTableFieldId="16" dataDxfId="792" dataCellStyle="一般 2"/>
    <tableColumn id="17" uniqueName="17" name="F17" queryTableFieldId="17" dataDxfId="791" dataCellStyle="一般 2"/>
    <tableColumn id="18" uniqueName="18" name="F18" queryTableFieldId="18" dataDxfId="790" dataCellStyle="一般 2"/>
    <tableColumn id="19" uniqueName="19" name="F19" queryTableFieldId="19" dataDxfId="789" dataCellStyle="一般 2"/>
    <tableColumn id="20" uniqueName="20" name="F20" queryTableFieldId="20" dataDxfId="788" dataCellStyle="一般 2"/>
    <tableColumn id="21" uniqueName="21" name="F21" queryTableFieldId="21" dataDxfId="787" dataCellStyle="一般 2"/>
    <tableColumn id="22" uniqueName="22" name="2024/6/24 14:52" queryTableFieldId="22" dataDxfId="786" dataCellStyle="一般 2"/>
    <tableColumn id="23" uniqueName="23" name="F23" queryTableFieldId="23" dataDxfId="785" dataCellStyle="一般 2"/>
    <tableColumn id="24" uniqueName="24" name="F24" queryTableFieldId="24" dataDxfId="784" dataCellStyle="一般 2"/>
    <tableColumn id="25" uniqueName="25" name="F25" queryTableFieldId="25" dataDxfId="783" dataCellStyle="一般 2"/>
    <tableColumn id="26" uniqueName="26" name="F26" queryTableFieldId="26" dataDxfId="782" dataCellStyle="一般 2"/>
    <tableColumn id="27" uniqueName="27" name="F27" queryTableFieldId="27" dataDxfId="781" dataCellStyle="一般 2"/>
    <tableColumn id="28" uniqueName="28" name="F28" queryTableFieldId="28" dataDxfId="780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679" dataDxfId="678" headerRowCellStyle="一般 2" dataCellStyle="一般 2">
  <autoFilter ref="AG13:BH189"/>
  <tableColumns count="28">
    <tableColumn id="1" uniqueName="1" name="請直接以10進位，謝謝" queryTableFieldId="1" dataDxfId="677" dataCellStyle="一般 2"/>
    <tableColumn id="2" uniqueName="2" name="F2" queryTableFieldId="2" dataDxfId="676" dataCellStyle="一般 2"/>
    <tableColumn id="3" uniqueName="3" name="F3" queryTableFieldId="3" dataDxfId="675" dataCellStyle="一般 2"/>
    <tableColumn id="4" uniqueName="4" name="F4" queryTableFieldId="4" dataDxfId="674" dataCellStyle="一般 2"/>
    <tableColumn id="5" uniqueName="5" name="F5" queryTableFieldId="5" dataDxfId="673" dataCellStyle="一般 2"/>
    <tableColumn id="6" uniqueName="6" name="F6" queryTableFieldId="6" dataDxfId="672" dataCellStyle="一般 2"/>
    <tableColumn id="7" uniqueName="7" name="F7" queryTableFieldId="7" dataDxfId="671" dataCellStyle="一般 2"/>
    <tableColumn id="8" uniqueName="8" name="F8" queryTableFieldId="8" dataDxfId="670" dataCellStyle="一般 2"/>
    <tableColumn id="9" uniqueName="9" name="F9" queryTableFieldId="9" dataDxfId="669" dataCellStyle="一般 2"/>
    <tableColumn id="10" uniqueName="10" name="F10" queryTableFieldId="10" dataDxfId="668" dataCellStyle="一般 2"/>
    <tableColumn id="11" uniqueName="11" name="F11" queryTableFieldId="11" dataDxfId="667" dataCellStyle="一般 2"/>
    <tableColumn id="12" uniqueName="12" name="F12" queryTableFieldId="12" dataDxfId="666" dataCellStyle="一般 2"/>
    <tableColumn id="13" uniqueName="13" name="F13" queryTableFieldId="13" dataDxfId="665" dataCellStyle="一般 2"/>
    <tableColumn id="14" uniqueName="14" name="F14" queryTableFieldId="14" dataDxfId="664" dataCellStyle="一般 2"/>
    <tableColumn id="15" uniqueName="15" name="F15" queryTableFieldId="15" dataDxfId="663" dataCellStyle="一般 2"/>
    <tableColumn id="16" uniqueName="16" name="F16" queryTableFieldId="16" dataDxfId="662" dataCellStyle="一般 2"/>
    <tableColumn id="17" uniqueName="17" name="F17" queryTableFieldId="17" dataDxfId="661" dataCellStyle="一般 2"/>
    <tableColumn id="18" uniqueName="18" name="F18" queryTableFieldId="18" dataDxfId="660" dataCellStyle="一般 2"/>
    <tableColumn id="19" uniqueName="19" name="F19" queryTableFieldId="19" dataDxfId="659" dataCellStyle="一般 2"/>
    <tableColumn id="20" uniqueName="20" name="F20" queryTableFieldId="20" dataDxfId="658" dataCellStyle="一般 2"/>
    <tableColumn id="21" uniqueName="21" name="F21" queryTableFieldId="21" dataDxfId="657" dataCellStyle="一般 2"/>
    <tableColumn id="22" uniqueName="22" name="2024/6/24 14:52" queryTableFieldId="22" dataDxfId="656" dataCellStyle="一般 2"/>
    <tableColumn id="23" uniqueName="23" name="F23" queryTableFieldId="23" dataDxfId="655" dataCellStyle="一般 2"/>
    <tableColumn id="24" uniqueName="24" name="F24" queryTableFieldId="24" dataDxfId="654" dataCellStyle="一般 2"/>
    <tableColumn id="25" uniqueName="25" name="F25" queryTableFieldId="25" dataDxfId="653" dataCellStyle="一般 2"/>
    <tableColumn id="26" uniqueName="26" name="F26" queryTableFieldId="26" dataDxfId="652" dataCellStyle="一般 2"/>
    <tableColumn id="27" uniqueName="27" name="F27" queryTableFieldId="27" dataDxfId="651" dataCellStyle="一般 2"/>
    <tableColumn id="28" uniqueName="28" name="F28" queryTableFieldId="28" dataDxfId="650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549" dataDxfId="548" headerRowCellStyle="一般 2" dataCellStyle="一般 2">
  <autoFilter ref="AG13:BH189"/>
  <tableColumns count="28">
    <tableColumn id="1" uniqueName="1" name="請直接以10進位，謝謝" queryTableFieldId="1" dataDxfId="547" dataCellStyle="一般 2"/>
    <tableColumn id="2" uniqueName="2" name="F2" queryTableFieldId="2" dataDxfId="546" dataCellStyle="一般 2"/>
    <tableColumn id="3" uniqueName="3" name="F3" queryTableFieldId="3" dataDxfId="545" dataCellStyle="一般 2"/>
    <tableColumn id="4" uniqueName="4" name="F4" queryTableFieldId="4" dataDxfId="544" dataCellStyle="一般 2"/>
    <tableColumn id="5" uniqueName="5" name="F5" queryTableFieldId="5" dataDxfId="543" dataCellStyle="一般 2"/>
    <tableColumn id="6" uniqueName="6" name="F6" queryTableFieldId="6" dataDxfId="542" dataCellStyle="一般 2"/>
    <tableColumn id="7" uniqueName="7" name="F7" queryTableFieldId="7" dataDxfId="541" dataCellStyle="一般 2"/>
    <tableColumn id="8" uniqueName="8" name="F8" queryTableFieldId="8" dataDxfId="540" dataCellStyle="一般 2"/>
    <tableColumn id="9" uniqueName="9" name="F9" queryTableFieldId="9" dataDxfId="539" dataCellStyle="一般 2"/>
    <tableColumn id="10" uniqueName="10" name="F10" queryTableFieldId="10" dataDxfId="538" dataCellStyle="一般 2"/>
    <tableColumn id="11" uniqueName="11" name="F11" queryTableFieldId="11" dataDxfId="537" dataCellStyle="一般 2"/>
    <tableColumn id="12" uniqueName="12" name="F12" queryTableFieldId="12" dataDxfId="536" dataCellStyle="一般 2"/>
    <tableColumn id="13" uniqueName="13" name="F13" queryTableFieldId="13" dataDxfId="535" dataCellStyle="一般 2"/>
    <tableColumn id="14" uniqueName="14" name="F14" queryTableFieldId="14" dataDxfId="534" dataCellStyle="一般 2"/>
    <tableColumn id="15" uniqueName="15" name="F15" queryTableFieldId="15" dataDxfId="533" dataCellStyle="一般 2"/>
    <tableColumn id="16" uniqueName="16" name="F16" queryTableFieldId="16" dataDxfId="532" dataCellStyle="一般 2"/>
    <tableColumn id="17" uniqueName="17" name="F17" queryTableFieldId="17" dataDxfId="531" dataCellStyle="一般 2"/>
    <tableColumn id="18" uniqueName="18" name="F18" queryTableFieldId="18" dataDxfId="530" dataCellStyle="一般 2"/>
    <tableColumn id="19" uniqueName="19" name="F19" queryTableFieldId="19" dataDxfId="529" dataCellStyle="一般 2"/>
    <tableColumn id="20" uniqueName="20" name="F20" queryTableFieldId="20" dataDxfId="528" dataCellStyle="一般 2"/>
    <tableColumn id="21" uniqueName="21" name="F21" queryTableFieldId="21" dataDxfId="527" dataCellStyle="一般 2"/>
    <tableColumn id="22" uniqueName="22" name="2024/6/24 14:52" queryTableFieldId="22" dataDxfId="526" dataCellStyle="一般 2"/>
    <tableColumn id="23" uniqueName="23" name="F23" queryTableFieldId="23" dataDxfId="525" dataCellStyle="一般 2"/>
    <tableColumn id="24" uniqueName="24" name="F24" queryTableFieldId="24" dataDxfId="524" dataCellStyle="一般 2"/>
    <tableColumn id="25" uniqueName="25" name="F25" queryTableFieldId="25" dataDxfId="523" dataCellStyle="一般 2"/>
    <tableColumn id="26" uniqueName="26" name="F26" queryTableFieldId="26" dataDxfId="522" dataCellStyle="一般 2"/>
    <tableColumn id="27" uniqueName="27" name="F27" queryTableFieldId="27" dataDxfId="521" dataCellStyle="一般 2"/>
    <tableColumn id="28" uniqueName="28" name="F28" queryTableFieldId="28" dataDxfId="520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419" dataDxfId="418" headerRowCellStyle="一般 2" dataCellStyle="一般 2">
  <autoFilter ref="AG13:BH189"/>
  <tableColumns count="28">
    <tableColumn id="1" uniqueName="1" name="請直接以10進位，謝謝" queryTableFieldId="1" dataDxfId="417" dataCellStyle="一般 2"/>
    <tableColumn id="2" uniqueName="2" name="F2" queryTableFieldId="2" dataDxfId="416" dataCellStyle="一般 2"/>
    <tableColumn id="3" uniqueName="3" name="F3" queryTableFieldId="3" dataDxfId="415" dataCellStyle="一般 2"/>
    <tableColumn id="4" uniqueName="4" name="F4" queryTableFieldId="4" dataDxfId="414" dataCellStyle="一般 2"/>
    <tableColumn id="5" uniqueName="5" name="F5" queryTableFieldId="5" dataDxfId="413" dataCellStyle="一般 2"/>
    <tableColumn id="6" uniqueName="6" name="F6" queryTableFieldId="6" dataDxfId="412" dataCellStyle="一般 2"/>
    <tableColumn id="7" uniqueName="7" name="F7" queryTableFieldId="7" dataDxfId="411" dataCellStyle="一般 2"/>
    <tableColumn id="8" uniqueName="8" name="F8" queryTableFieldId="8" dataDxfId="410" dataCellStyle="一般 2"/>
    <tableColumn id="9" uniqueName="9" name="F9" queryTableFieldId="9" dataDxfId="409" dataCellStyle="一般 2"/>
    <tableColumn id="10" uniqueName="10" name="F10" queryTableFieldId="10" dataDxfId="408" dataCellStyle="一般 2"/>
    <tableColumn id="11" uniqueName="11" name="F11" queryTableFieldId="11" dataDxfId="407" dataCellStyle="一般 2"/>
    <tableColumn id="12" uniqueName="12" name="F12" queryTableFieldId="12" dataDxfId="406" dataCellStyle="一般 2"/>
    <tableColumn id="13" uniqueName="13" name="F13" queryTableFieldId="13" dataDxfId="405" dataCellStyle="一般 2"/>
    <tableColumn id="14" uniqueName="14" name="F14" queryTableFieldId="14" dataDxfId="404" dataCellStyle="一般 2"/>
    <tableColumn id="15" uniqueName="15" name="F15" queryTableFieldId="15" dataDxfId="403" dataCellStyle="一般 2"/>
    <tableColumn id="16" uniqueName="16" name="F16" queryTableFieldId="16" dataDxfId="402" dataCellStyle="一般 2"/>
    <tableColumn id="17" uniqueName="17" name="F17" queryTableFieldId="17" dataDxfId="401" dataCellStyle="一般 2"/>
    <tableColumn id="18" uniqueName="18" name="F18" queryTableFieldId="18" dataDxfId="400" dataCellStyle="一般 2"/>
    <tableColumn id="19" uniqueName="19" name="F19" queryTableFieldId="19" dataDxfId="399" dataCellStyle="一般 2"/>
    <tableColumn id="20" uniqueName="20" name="F20" queryTableFieldId="20" dataDxfId="398" dataCellStyle="一般 2"/>
    <tableColumn id="21" uniqueName="21" name="F21" queryTableFieldId="21" dataDxfId="397" dataCellStyle="一般 2"/>
    <tableColumn id="22" uniqueName="22" name="2024/6/24 14:52" queryTableFieldId="22" dataDxfId="396" dataCellStyle="一般 2"/>
    <tableColumn id="23" uniqueName="23" name="F23" queryTableFieldId="23" dataDxfId="395" dataCellStyle="一般 2"/>
    <tableColumn id="24" uniqueName="24" name="F24" queryTableFieldId="24" dataDxfId="394" dataCellStyle="一般 2"/>
    <tableColumn id="25" uniqueName="25" name="F25" queryTableFieldId="25" dataDxfId="393" dataCellStyle="一般 2"/>
    <tableColumn id="26" uniqueName="26" name="F26" queryTableFieldId="26" dataDxfId="392" dataCellStyle="一般 2"/>
    <tableColumn id="27" uniqueName="27" name="F27" queryTableFieldId="27" dataDxfId="391" dataCellStyle="一般 2"/>
    <tableColumn id="28" uniqueName="28" name="F28" queryTableFieldId="28" dataDxfId="390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89" dataDxfId="288" headerRowCellStyle="一般 2" dataCellStyle="一般 2">
  <autoFilter ref="AG13:BH189"/>
  <tableColumns count="28">
    <tableColumn id="1" uniqueName="1" name="請直接以10進位，謝謝" queryTableFieldId="1" dataDxfId="287" dataCellStyle="一般 2"/>
    <tableColumn id="2" uniqueName="2" name="F2" queryTableFieldId="2" dataDxfId="286" dataCellStyle="一般 2"/>
    <tableColumn id="3" uniqueName="3" name="F3" queryTableFieldId="3" dataDxfId="285" dataCellStyle="一般 2"/>
    <tableColumn id="4" uniqueName="4" name="F4" queryTableFieldId="4" dataDxfId="284" dataCellStyle="一般 2"/>
    <tableColumn id="5" uniqueName="5" name="F5" queryTableFieldId="5" dataDxfId="283" dataCellStyle="一般 2"/>
    <tableColumn id="6" uniqueName="6" name="F6" queryTableFieldId="6" dataDxfId="282" dataCellStyle="一般 2"/>
    <tableColumn id="7" uniqueName="7" name="F7" queryTableFieldId="7" dataDxfId="281" dataCellStyle="一般 2"/>
    <tableColumn id="8" uniqueName="8" name="F8" queryTableFieldId="8" dataDxfId="280" dataCellStyle="一般 2"/>
    <tableColumn id="9" uniqueName="9" name="F9" queryTableFieldId="9" dataDxfId="279" dataCellStyle="一般 2"/>
    <tableColumn id="10" uniqueName="10" name="F10" queryTableFieldId="10" dataDxfId="278" dataCellStyle="一般 2"/>
    <tableColumn id="11" uniqueName="11" name="F11" queryTableFieldId="11" dataDxfId="277" dataCellStyle="一般 2"/>
    <tableColumn id="12" uniqueName="12" name="F12" queryTableFieldId="12" dataDxfId="276" dataCellStyle="一般 2"/>
    <tableColumn id="13" uniqueName="13" name="F13" queryTableFieldId="13" dataDxfId="275" dataCellStyle="一般 2"/>
    <tableColumn id="14" uniqueName="14" name="F14" queryTableFieldId="14" dataDxfId="274" dataCellStyle="一般 2"/>
    <tableColumn id="15" uniqueName="15" name="F15" queryTableFieldId="15" dataDxfId="273" dataCellStyle="一般 2"/>
    <tableColumn id="16" uniqueName="16" name="F16" queryTableFieldId="16" dataDxfId="272" dataCellStyle="一般 2"/>
    <tableColumn id="17" uniqueName="17" name="F17" queryTableFieldId="17" dataDxfId="271" dataCellStyle="一般 2"/>
    <tableColumn id="18" uniqueName="18" name="F18" queryTableFieldId="18" dataDxfId="270" dataCellStyle="一般 2"/>
    <tableColumn id="19" uniqueName="19" name="F19" queryTableFieldId="19" dataDxfId="269" dataCellStyle="一般 2"/>
    <tableColumn id="20" uniqueName="20" name="F20" queryTableFieldId="20" dataDxfId="268" dataCellStyle="一般 2"/>
    <tableColumn id="21" uniqueName="21" name="F21" queryTableFieldId="21" dataDxfId="267" dataCellStyle="一般 2"/>
    <tableColumn id="22" uniqueName="22" name="2024/6/24 14:52" queryTableFieldId="22" dataDxfId="266" dataCellStyle="一般 2"/>
    <tableColumn id="23" uniqueName="23" name="F23" queryTableFieldId="23" dataDxfId="265" dataCellStyle="一般 2"/>
    <tableColumn id="24" uniqueName="24" name="F24" queryTableFieldId="24" dataDxfId="264" dataCellStyle="一般 2"/>
    <tableColumn id="25" uniqueName="25" name="F25" queryTableFieldId="25" dataDxfId="263" dataCellStyle="一般 2"/>
    <tableColumn id="26" uniqueName="26" name="F26" queryTableFieldId="26" dataDxfId="262" dataCellStyle="一般 2"/>
    <tableColumn id="27" uniqueName="27" name="F27" queryTableFieldId="27" dataDxfId="261" dataCellStyle="一般 2"/>
    <tableColumn id="28" uniqueName="28" name="F28" queryTableFieldId="28" dataDxfId="260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159" dataDxfId="158" headerRowCellStyle="一般 2" dataCellStyle="一般 2">
  <autoFilter ref="AG13:BH189"/>
  <tableColumns count="28">
    <tableColumn id="1" uniqueName="1" name="請直接以10進位，謝謝" queryTableFieldId="1" dataDxfId="157" dataCellStyle="一般 2"/>
    <tableColumn id="2" uniqueName="2" name="F2" queryTableFieldId="2" dataDxfId="156" dataCellStyle="一般 2"/>
    <tableColumn id="3" uniqueName="3" name="F3" queryTableFieldId="3" dataDxfId="155" dataCellStyle="一般 2"/>
    <tableColumn id="4" uniqueName="4" name="F4" queryTableFieldId="4" dataDxfId="154" dataCellStyle="一般 2"/>
    <tableColumn id="5" uniqueName="5" name="F5" queryTableFieldId="5" dataDxfId="153" dataCellStyle="一般 2"/>
    <tableColumn id="6" uniqueName="6" name="F6" queryTableFieldId="6" dataDxfId="152" dataCellStyle="一般 2"/>
    <tableColumn id="7" uniqueName="7" name="F7" queryTableFieldId="7" dataDxfId="151" dataCellStyle="一般 2"/>
    <tableColumn id="8" uniqueName="8" name="F8" queryTableFieldId="8" dataDxfId="150" dataCellStyle="一般 2"/>
    <tableColumn id="9" uniqueName="9" name="F9" queryTableFieldId="9" dataDxfId="149" dataCellStyle="一般 2"/>
    <tableColumn id="10" uniqueName="10" name="F10" queryTableFieldId="10" dataDxfId="148" dataCellStyle="一般 2"/>
    <tableColumn id="11" uniqueName="11" name="F11" queryTableFieldId="11" dataDxfId="147" dataCellStyle="一般 2"/>
    <tableColumn id="12" uniqueName="12" name="F12" queryTableFieldId="12" dataDxfId="146" dataCellStyle="一般 2"/>
    <tableColumn id="13" uniqueName="13" name="F13" queryTableFieldId="13" dataDxfId="145" dataCellStyle="一般 2"/>
    <tableColumn id="14" uniqueName="14" name="F14" queryTableFieldId="14" dataDxfId="144" dataCellStyle="一般 2"/>
    <tableColumn id="15" uniqueName="15" name="F15" queryTableFieldId="15" dataDxfId="143" dataCellStyle="一般 2"/>
    <tableColumn id="16" uniqueName="16" name="F16" queryTableFieldId="16" dataDxfId="142" dataCellStyle="一般 2"/>
    <tableColumn id="17" uniqueName="17" name="F17" queryTableFieldId="17" dataDxfId="141" dataCellStyle="一般 2"/>
    <tableColumn id="18" uniqueName="18" name="F18" queryTableFieldId="18" dataDxfId="140" dataCellStyle="一般 2"/>
    <tableColumn id="19" uniqueName="19" name="F19" queryTableFieldId="19" dataDxfId="139" dataCellStyle="一般 2"/>
    <tableColumn id="20" uniqueName="20" name="F20" queryTableFieldId="20" dataDxfId="138" dataCellStyle="一般 2"/>
    <tableColumn id="21" uniqueName="21" name="F21" queryTableFieldId="21" dataDxfId="137" dataCellStyle="一般 2"/>
    <tableColumn id="22" uniqueName="22" name="2024/6/24 14:52" queryTableFieldId="22" dataDxfId="136" dataCellStyle="一般 2"/>
    <tableColumn id="23" uniqueName="23" name="F23" queryTableFieldId="23" dataDxfId="135" dataCellStyle="一般 2"/>
    <tableColumn id="24" uniqueName="24" name="F24" queryTableFieldId="24" dataDxfId="134" dataCellStyle="一般 2"/>
    <tableColumn id="25" uniqueName="25" name="F25" queryTableFieldId="25" dataDxfId="133" dataCellStyle="一般 2"/>
    <tableColumn id="26" uniqueName="26" name="F26" queryTableFieldId="26" dataDxfId="132" dataCellStyle="一般 2"/>
    <tableColumn id="27" uniqueName="27" name="F27" queryTableFieldId="27" dataDxfId="131" dataCellStyle="一般 2"/>
    <tableColumn id="28" uniqueName="28" name="F28" queryTableFieldId="28" dataDxfId="130" dataCellStyle="一般 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4" zoomScale="80" zoomScaleNormal="100" zoomScaleSheetLayoutView="80" workbookViewId="0">
      <selection activeCell="L44" sqref="L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5" t="s">
        <v>172</v>
      </c>
      <c r="B1" s="165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3629</v>
      </c>
      <c r="C3" s="121">
        <v>24</v>
      </c>
      <c r="D3" s="122" t="s">
        <v>76</v>
      </c>
      <c r="E3" s="120">
        <v>0</v>
      </c>
      <c r="F3" s="121">
        <v>13</v>
      </c>
      <c r="G3" s="119">
        <v>661</v>
      </c>
      <c r="H3" s="120">
        <v>1105</v>
      </c>
      <c r="I3" s="123">
        <v>22</v>
      </c>
      <c r="J3" s="119">
        <v>681</v>
      </c>
      <c r="K3" s="120">
        <v>1882</v>
      </c>
      <c r="L3" s="124">
        <v>26</v>
      </c>
      <c r="M3" s="166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8011</v>
      </c>
      <c r="C4" s="121">
        <v>22</v>
      </c>
      <c r="D4" s="122" t="s">
        <v>77</v>
      </c>
      <c r="E4" s="120">
        <v>1</v>
      </c>
      <c r="F4" s="121">
        <v>23</v>
      </c>
      <c r="G4" s="119">
        <v>662</v>
      </c>
      <c r="H4" s="120">
        <v>1281</v>
      </c>
      <c r="I4" s="123">
        <v>23</v>
      </c>
      <c r="J4" s="119">
        <v>682</v>
      </c>
      <c r="K4" s="120">
        <v>1133</v>
      </c>
      <c r="L4" s="133">
        <v>24</v>
      </c>
      <c r="M4" s="167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6322</v>
      </c>
      <c r="C5" s="121">
        <v>22</v>
      </c>
      <c r="D5" s="122">
        <v>631</v>
      </c>
      <c r="E5" s="120">
        <v>3596</v>
      </c>
      <c r="F5" s="121">
        <v>22</v>
      </c>
      <c r="G5" s="119">
        <v>663</v>
      </c>
      <c r="H5" s="120">
        <v>7410</v>
      </c>
      <c r="I5" s="123">
        <v>27</v>
      </c>
      <c r="J5" s="119">
        <v>683</v>
      </c>
      <c r="K5" s="120">
        <v>0</v>
      </c>
      <c r="L5" s="133">
        <v>21</v>
      </c>
      <c r="M5" s="167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8966</v>
      </c>
      <c r="C6" s="126">
        <v>24</v>
      </c>
      <c r="D6" s="127">
        <v>632</v>
      </c>
      <c r="E6" s="125">
        <v>4233</v>
      </c>
      <c r="F6" s="126">
        <v>24</v>
      </c>
      <c r="G6" s="127">
        <v>664</v>
      </c>
      <c r="H6" s="120">
        <v>0</v>
      </c>
      <c r="I6" s="124">
        <v>22</v>
      </c>
      <c r="J6" s="127">
        <v>684</v>
      </c>
      <c r="K6" s="125">
        <v>869</v>
      </c>
      <c r="L6" s="133">
        <v>24</v>
      </c>
      <c r="M6" s="167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6374</v>
      </c>
      <c r="C7" s="126">
        <v>19</v>
      </c>
      <c r="D7" s="127">
        <v>633</v>
      </c>
      <c r="E7" s="125">
        <v>2841</v>
      </c>
      <c r="F7" s="126">
        <v>15</v>
      </c>
      <c r="G7" s="127">
        <v>665</v>
      </c>
      <c r="H7" s="125">
        <v>1357</v>
      </c>
      <c r="I7" s="124">
        <v>24</v>
      </c>
      <c r="J7" s="127">
        <v>685</v>
      </c>
      <c r="K7" s="125">
        <v>581</v>
      </c>
      <c r="L7" s="133">
        <v>26</v>
      </c>
      <c r="M7" s="167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23.37</v>
      </c>
      <c r="C8" s="134">
        <v>25</v>
      </c>
      <c r="D8" s="127">
        <v>634</v>
      </c>
      <c r="E8" s="125">
        <v>5996</v>
      </c>
      <c r="F8" s="126">
        <v>21</v>
      </c>
      <c r="G8" s="127">
        <v>666</v>
      </c>
      <c r="H8" s="125">
        <v>5770</v>
      </c>
      <c r="I8" s="124">
        <v>22</v>
      </c>
      <c r="J8" s="127">
        <v>686</v>
      </c>
      <c r="K8" s="125">
        <v>469</v>
      </c>
      <c r="L8" s="133">
        <v>24</v>
      </c>
      <c r="M8" s="167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6.52</v>
      </c>
      <c r="C9" s="134">
        <v>25</v>
      </c>
      <c r="D9" s="127">
        <v>641</v>
      </c>
      <c r="E9" s="125">
        <v>3775</v>
      </c>
      <c r="F9" s="126">
        <v>22</v>
      </c>
      <c r="G9" s="127">
        <v>667</v>
      </c>
      <c r="H9" s="125">
        <v>3704</v>
      </c>
      <c r="I9" s="124">
        <v>24</v>
      </c>
      <c r="J9" s="127">
        <v>687</v>
      </c>
      <c r="K9" s="125">
        <v>4241</v>
      </c>
      <c r="L9" s="133">
        <v>24</v>
      </c>
      <c r="M9" s="167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7.33</v>
      </c>
      <c r="C10" s="134">
        <v>25</v>
      </c>
      <c r="D10" s="127">
        <v>642</v>
      </c>
      <c r="E10" s="125">
        <v>4048</v>
      </c>
      <c r="F10" s="126">
        <v>23</v>
      </c>
      <c r="G10" s="127">
        <v>668</v>
      </c>
      <c r="H10" s="125">
        <v>-172</v>
      </c>
      <c r="I10" s="124">
        <v>24</v>
      </c>
      <c r="J10" s="127">
        <v>688</v>
      </c>
      <c r="K10" s="125">
        <v>4949</v>
      </c>
      <c r="L10" s="133">
        <v>21</v>
      </c>
      <c r="M10" s="167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47.29</v>
      </c>
      <c r="C11" s="134">
        <v>25</v>
      </c>
      <c r="D11" s="127">
        <v>643</v>
      </c>
      <c r="E11" s="125">
        <v>0</v>
      </c>
      <c r="F11" s="126">
        <v>24</v>
      </c>
      <c r="G11" s="127">
        <v>669</v>
      </c>
      <c r="H11" s="125">
        <v>-21</v>
      </c>
      <c r="I11" s="124">
        <v>25</v>
      </c>
      <c r="J11" s="127">
        <v>689</v>
      </c>
      <c r="K11" s="125">
        <v>5275</v>
      </c>
      <c r="L11" s="133">
        <v>21</v>
      </c>
      <c r="M11" s="167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1098</v>
      </c>
      <c r="C12" s="126">
        <v>22</v>
      </c>
      <c r="D12" s="127">
        <v>645</v>
      </c>
      <c r="E12" s="125">
        <v>2126</v>
      </c>
      <c r="F12" s="126">
        <v>24</v>
      </c>
      <c r="G12" s="127">
        <v>670</v>
      </c>
      <c r="H12" s="125">
        <v>-9907</v>
      </c>
      <c r="I12" s="124">
        <v>25</v>
      </c>
      <c r="J12" s="127">
        <v>690</v>
      </c>
      <c r="K12" s="125">
        <v>335</v>
      </c>
      <c r="L12" s="124">
        <v>21</v>
      </c>
      <c r="M12" s="167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640</v>
      </c>
      <c r="C13" s="126">
        <v>23</v>
      </c>
      <c r="D13" s="127">
        <v>651</v>
      </c>
      <c r="E13" s="125">
        <v>3080</v>
      </c>
      <c r="F13" s="126">
        <v>26</v>
      </c>
      <c r="G13" s="127">
        <v>671</v>
      </c>
      <c r="H13" s="125">
        <v>0</v>
      </c>
      <c r="I13" s="124">
        <v>23</v>
      </c>
      <c r="J13" s="127">
        <v>691</v>
      </c>
      <c r="K13" s="125">
        <v>2948</v>
      </c>
      <c r="L13" s="133">
        <v>24</v>
      </c>
      <c r="M13" s="167"/>
      <c r="N13" s="169" t="s">
        <v>171</v>
      </c>
      <c r="O13" s="170" t="s">
        <v>143</v>
      </c>
      <c r="P13" s="171">
        <v>7.0686</v>
      </c>
      <c r="Q13" s="163" t="s">
        <v>148</v>
      </c>
      <c r="S13" s="164">
        <v>7000</v>
      </c>
    </row>
    <row r="14" spans="1:24" s="53" customFormat="1" ht="22.2" customHeight="1">
      <c r="A14" s="119">
        <v>623</v>
      </c>
      <c r="B14" s="125">
        <v>688</v>
      </c>
      <c r="C14" s="126">
        <v>26</v>
      </c>
      <c r="D14" s="127">
        <v>652</v>
      </c>
      <c r="E14" s="125">
        <v>3854</v>
      </c>
      <c r="F14" s="126">
        <v>24</v>
      </c>
      <c r="G14" s="127">
        <v>672</v>
      </c>
      <c r="H14" s="125">
        <v>6856</v>
      </c>
      <c r="I14" s="124">
        <v>23</v>
      </c>
      <c r="J14" s="127">
        <v>692</v>
      </c>
      <c r="K14" s="125">
        <v>2081</v>
      </c>
      <c r="L14" s="133">
        <v>24</v>
      </c>
      <c r="M14" s="167"/>
      <c r="N14" s="169"/>
      <c r="O14" s="170"/>
      <c r="P14" s="171"/>
      <c r="Q14" s="163"/>
      <c r="S14" s="164"/>
    </row>
    <row r="15" spans="1:24" s="53" customFormat="1" ht="22.2" customHeight="1">
      <c r="A15" s="122">
        <v>624</v>
      </c>
      <c r="B15" s="125">
        <v>0</v>
      </c>
      <c r="C15" s="126">
        <v>21</v>
      </c>
      <c r="D15" s="128">
        <v>653</v>
      </c>
      <c r="E15" s="125">
        <v>0</v>
      </c>
      <c r="F15" s="126">
        <v>20</v>
      </c>
      <c r="G15" s="127">
        <v>673</v>
      </c>
      <c r="H15" s="125">
        <v>7170</v>
      </c>
      <c r="I15" s="124">
        <v>25</v>
      </c>
      <c r="J15" s="127">
        <v>693</v>
      </c>
      <c r="K15" s="125">
        <v>4326</v>
      </c>
      <c r="L15" s="133">
        <v>21</v>
      </c>
      <c r="M15" s="167"/>
      <c r="N15" s="169"/>
      <c r="O15" s="170"/>
      <c r="P15" s="171"/>
      <c r="Q15" s="163"/>
      <c r="R15" s="55"/>
      <c r="S15" s="139">
        <v>6000</v>
      </c>
    </row>
    <row r="16" spans="1:24" s="53" customFormat="1" ht="22.2" customHeight="1">
      <c r="A16" s="122" t="s">
        <v>80</v>
      </c>
      <c r="B16" s="125">
        <v>1726</v>
      </c>
      <c r="C16" s="126">
        <v>26</v>
      </c>
      <c r="D16" s="127">
        <v>654</v>
      </c>
      <c r="E16" s="125">
        <v>5473</v>
      </c>
      <c r="F16" s="126">
        <v>22</v>
      </c>
      <c r="G16" s="127">
        <v>674</v>
      </c>
      <c r="H16" s="125">
        <v>7137</v>
      </c>
      <c r="I16" s="124">
        <v>22</v>
      </c>
      <c r="J16" s="127">
        <v>694</v>
      </c>
      <c r="K16" s="125">
        <v>377</v>
      </c>
      <c r="L16" s="133">
        <v>24</v>
      </c>
      <c r="M16" s="167"/>
      <c r="Q16" s="55"/>
      <c r="R16" s="55"/>
      <c r="S16" s="55"/>
    </row>
    <row r="17" spans="1:19" s="53" customFormat="1" ht="22.2" customHeight="1">
      <c r="A17" s="122" t="s">
        <v>26</v>
      </c>
      <c r="B17" s="125">
        <v>7135</v>
      </c>
      <c r="C17" s="126">
        <v>29</v>
      </c>
      <c r="D17" s="128">
        <v>655</v>
      </c>
      <c r="E17" s="125">
        <v>788</v>
      </c>
      <c r="F17" s="126">
        <v>23</v>
      </c>
      <c r="G17" s="127">
        <v>675</v>
      </c>
      <c r="H17" s="125">
        <v>52.69</v>
      </c>
      <c r="I17" s="133">
        <v>25</v>
      </c>
      <c r="J17" s="127">
        <v>695</v>
      </c>
      <c r="K17" s="125">
        <v>2647</v>
      </c>
      <c r="L17" s="133">
        <v>26</v>
      </c>
      <c r="M17" s="167"/>
      <c r="Q17" s="55"/>
      <c r="R17" s="55"/>
      <c r="S17" s="55"/>
    </row>
    <row r="18" spans="1:19" s="53" customFormat="1" ht="22.2" customHeight="1">
      <c r="A18" s="122" t="s">
        <v>27</v>
      </c>
      <c r="B18" s="125">
        <v>6910</v>
      </c>
      <c r="C18" s="126">
        <v>20</v>
      </c>
      <c r="D18" s="127">
        <v>656</v>
      </c>
      <c r="E18" s="125">
        <v>3589</v>
      </c>
      <c r="F18" s="126">
        <v>23</v>
      </c>
      <c r="G18" s="127">
        <v>676</v>
      </c>
      <c r="H18" s="125">
        <v>5.61</v>
      </c>
      <c r="I18" s="133">
        <v>25</v>
      </c>
      <c r="J18" s="127">
        <v>696</v>
      </c>
      <c r="K18" s="125">
        <v>8774</v>
      </c>
      <c r="L18" s="133">
        <v>24</v>
      </c>
      <c r="M18" s="167"/>
      <c r="Q18" s="55"/>
      <c r="R18" s="55"/>
      <c r="S18" s="55"/>
    </row>
    <row r="19" spans="1:19" s="53" customFormat="1" ht="22.2" customHeight="1">
      <c r="A19" s="122" t="s">
        <v>28</v>
      </c>
      <c r="B19" s="125">
        <v>6012</v>
      </c>
      <c r="C19" s="126">
        <v>19</v>
      </c>
      <c r="D19" s="127">
        <v>657</v>
      </c>
      <c r="E19" s="125">
        <v>4966</v>
      </c>
      <c r="F19" s="126">
        <v>25</v>
      </c>
      <c r="G19" s="127">
        <v>677</v>
      </c>
      <c r="H19" s="125">
        <v>56.88</v>
      </c>
      <c r="I19" s="133">
        <v>25</v>
      </c>
      <c r="J19" s="127">
        <v>697</v>
      </c>
      <c r="K19" s="125">
        <v>11200</v>
      </c>
      <c r="L19" s="133">
        <v>24</v>
      </c>
      <c r="M19" s="167"/>
      <c r="Q19" s="55"/>
      <c r="R19" s="55"/>
      <c r="S19" s="55"/>
    </row>
    <row r="20" spans="1:19" s="53" customFormat="1" ht="22.2" customHeight="1">
      <c r="A20" s="122" t="s">
        <v>29</v>
      </c>
      <c r="B20" s="125">
        <v>2990</v>
      </c>
      <c r="C20" s="126">
        <v>23</v>
      </c>
      <c r="D20" s="128">
        <v>658</v>
      </c>
      <c r="E20" s="125">
        <v>6100</v>
      </c>
      <c r="F20" s="126">
        <v>26</v>
      </c>
      <c r="G20" s="127">
        <v>678</v>
      </c>
      <c r="H20" s="125">
        <v>5.44</v>
      </c>
      <c r="I20" s="133">
        <v>25</v>
      </c>
      <c r="J20" s="127">
        <v>698</v>
      </c>
      <c r="K20" s="125">
        <v>6474</v>
      </c>
      <c r="L20" s="133">
        <v>37</v>
      </c>
      <c r="M20" s="167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28</v>
      </c>
      <c r="D21" s="127">
        <v>659</v>
      </c>
      <c r="E21" s="125">
        <v>472</v>
      </c>
      <c r="F21" s="126">
        <v>21</v>
      </c>
      <c r="G21" s="127">
        <v>680</v>
      </c>
      <c r="H21" s="125">
        <v>2875</v>
      </c>
      <c r="I21" s="133">
        <v>21</v>
      </c>
      <c r="J21" s="127">
        <v>699</v>
      </c>
      <c r="K21" s="125">
        <v>3345</v>
      </c>
      <c r="L21" s="133">
        <v>21</v>
      </c>
      <c r="M21" s="167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23</v>
      </c>
      <c r="D22" s="131">
        <v>660</v>
      </c>
      <c r="E22" s="130">
        <v>5000</v>
      </c>
      <c r="F22" s="132">
        <v>25</v>
      </c>
      <c r="G22" s="131"/>
      <c r="H22" s="130"/>
      <c r="I22" s="132"/>
      <c r="J22" s="131"/>
      <c r="K22" s="130"/>
      <c r="L22" s="132"/>
      <c r="M22" s="168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5"/>
      <c r="B24" s="165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3631</v>
      </c>
      <c r="C26" s="121">
        <v>26</v>
      </c>
      <c r="D26" s="122" t="s">
        <v>76</v>
      </c>
      <c r="E26" s="120">
        <v>0</v>
      </c>
      <c r="F26" s="121">
        <v>29</v>
      </c>
      <c r="G26" s="119">
        <v>661</v>
      </c>
      <c r="H26" s="120">
        <v>1105</v>
      </c>
      <c r="I26" s="123">
        <v>36</v>
      </c>
      <c r="J26" s="119">
        <v>681</v>
      </c>
      <c r="K26" s="120">
        <v>1438</v>
      </c>
      <c r="L26" s="124">
        <v>28</v>
      </c>
      <c r="M26" s="166"/>
    </row>
    <row r="27" spans="1:19" ht="21.75" customHeight="1">
      <c r="A27" s="119">
        <v>602</v>
      </c>
      <c r="B27" s="120">
        <v>8005</v>
      </c>
      <c r="C27" s="121">
        <v>28</v>
      </c>
      <c r="D27" s="122" t="s">
        <v>77</v>
      </c>
      <c r="E27" s="120">
        <v>0</v>
      </c>
      <c r="F27" s="121">
        <v>31</v>
      </c>
      <c r="G27" s="119">
        <v>662</v>
      </c>
      <c r="H27" s="120">
        <v>1283</v>
      </c>
      <c r="I27" s="123">
        <v>35</v>
      </c>
      <c r="J27" s="119">
        <v>682</v>
      </c>
      <c r="K27" s="120">
        <v>37</v>
      </c>
      <c r="L27" s="133">
        <v>26</v>
      </c>
      <c r="M27" s="167"/>
    </row>
    <row r="28" spans="1:19" ht="21.75" customHeight="1">
      <c r="A28" s="119">
        <v>603</v>
      </c>
      <c r="B28" s="120">
        <v>6328</v>
      </c>
      <c r="C28" s="121">
        <v>24</v>
      </c>
      <c r="D28" s="122">
        <v>631</v>
      </c>
      <c r="E28" s="120">
        <v>4365</v>
      </c>
      <c r="F28" s="121">
        <v>27</v>
      </c>
      <c r="G28" s="119">
        <v>663</v>
      </c>
      <c r="H28" s="120">
        <v>7418</v>
      </c>
      <c r="I28" s="123">
        <v>30</v>
      </c>
      <c r="J28" s="119">
        <v>683</v>
      </c>
      <c r="K28" s="120">
        <v>0</v>
      </c>
      <c r="L28" s="133">
        <v>24</v>
      </c>
      <c r="M28" s="167"/>
    </row>
    <row r="29" spans="1:19" ht="21.75" customHeight="1">
      <c r="A29" s="119" t="s">
        <v>78</v>
      </c>
      <c r="B29" s="125">
        <v>8976</v>
      </c>
      <c r="C29" s="126">
        <v>28</v>
      </c>
      <c r="D29" s="127">
        <v>632</v>
      </c>
      <c r="E29" s="125">
        <v>4241</v>
      </c>
      <c r="F29" s="126">
        <v>30</v>
      </c>
      <c r="G29" s="127">
        <v>664</v>
      </c>
      <c r="H29" s="120">
        <v>0</v>
      </c>
      <c r="I29" s="124">
        <v>33</v>
      </c>
      <c r="J29" s="127">
        <v>684</v>
      </c>
      <c r="K29" s="125">
        <v>867</v>
      </c>
      <c r="L29" s="133">
        <v>25</v>
      </c>
      <c r="M29" s="167"/>
    </row>
    <row r="30" spans="1:19" ht="21.75" customHeight="1">
      <c r="A30" s="119" t="s">
        <v>79</v>
      </c>
      <c r="B30" s="125">
        <v>6381</v>
      </c>
      <c r="C30" s="126">
        <v>27</v>
      </c>
      <c r="D30" s="127">
        <v>633</v>
      </c>
      <c r="E30" s="125">
        <v>2744</v>
      </c>
      <c r="F30" s="126">
        <v>18</v>
      </c>
      <c r="G30" s="127">
        <v>665</v>
      </c>
      <c r="H30" s="125">
        <v>1356</v>
      </c>
      <c r="I30" s="124">
        <v>31</v>
      </c>
      <c r="J30" s="127">
        <v>685</v>
      </c>
      <c r="K30" s="125">
        <v>577</v>
      </c>
      <c r="L30" s="133">
        <v>28</v>
      </c>
      <c r="M30" s="167"/>
    </row>
    <row r="31" spans="1:19" ht="21.75" customHeight="1">
      <c r="A31" s="119">
        <v>611</v>
      </c>
      <c r="B31" s="125">
        <v>23.29</v>
      </c>
      <c r="C31" s="134">
        <v>25</v>
      </c>
      <c r="D31" s="127">
        <v>634</v>
      </c>
      <c r="E31" s="125">
        <v>6334</v>
      </c>
      <c r="F31" s="126">
        <v>29</v>
      </c>
      <c r="G31" s="127">
        <v>666</v>
      </c>
      <c r="H31" s="125">
        <v>5768</v>
      </c>
      <c r="I31" s="124">
        <v>27</v>
      </c>
      <c r="J31" s="127">
        <v>686</v>
      </c>
      <c r="K31" s="125">
        <v>463</v>
      </c>
      <c r="L31" s="133">
        <v>28</v>
      </c>
      <c r="M31" s="167"/>
    </row>
    <row r="32" spans="1:19" ht="21.75" customHeight="1">
      <c r="A32" s="119">
        <v>612</v>
      </c>
      <c r="B32" s="125">
        <v>6.54</v>
      </c>
      <c r="C32" s="134">
        <v>25</v>
      </c>
      <c r="D32" s="127">
        <v>641</v>
      </c>
      <c r="E32" s="125">
        <v>3775</v>
      </c>
      <c r="F32" s="126">
        <v>27</v>
      </c>
      <c r="G32" s="127">
        <v>667</v>
      </c>
      <c r="H32" s="125">
        <v>3704</v>
      </c>
      <c r="I32" s="124">
        <v>29</v>
      </c>
      <c r="J32" s="127">
        <v>687</v>
      </c>
      <c r="K32" s="125">
        <v>3683</v>
      </c>
      <c r="L32" s="133">
        <v>24</v>
      </c>
      <c r="M32" s="167"/>
    </row>
    <row r="33" spans="1:13" ht="21.75" customHeight="1">
      <c r="A33" s="119">
        <v>613</v>
      </c>
      <c r="B33" s="125">
        <v>7.31</v>
      </c>
      <c r="C33" s="134">
        <v>25</v>
      </c>
      <c r="D33" s="127">
        <v>642</v>
      </c>
      <c r="E33" s="125">
        <v>4046</v>
      </c>
      <c r="F33" s="126">
        <v>27</v>
      </c>
      <c r="G33" s="127">
        <v>668</v>
      </c>
      <c r="H33" s="125">
        <v>-173</v>
      </c>
      <c r="I33" s="124">
        <v>31</v>
      </c>
      <c r="J33" s="127">
        <v>688</v>
      </c>
      <c r="K33" s="125">
        <v>4949</v>
      </c>
      <c r="L33" s="133">
        <v>21</v>
      </c>
      <c r="M33" s="167"/>
    </row>
    <row r="34" spans="1:13" ht="21.75" customHeight="1">
      <c r="A34" s="119">
        <v>614</v>
      </c>
      <c r="B34" s="125">
        <v>47.16</v>
      </c>
      <c r="C34" s="134">
        <v>25</v>
      </c>
      <c r="D34" s="127">
        <v>643</v>
      </c>
      <c r="E34" s="125">
        <v>0</v>
      </c>
      <c r="F34" s="126">
        <v>35</v>
      </c>
      <c r="G34" s="127">
        <v>669</v>
      </c>
      <c r="H34" s="125">
        <v>-23</v>
      </c>
      <c r="I34" s="124">
        <v>28</v>
      </c>
      <c r="J34" s="127">
        <v>689</v>
      </c>
      <c r="K34" s="125">
        <v>5721</v>
      </c>
      <c r="L34" s="133">
        <v>21</v>
      </c>
      <c r="M34" s="167"/>
    </row>
    <row r="35" spans="1:13" ht="21.75" customHeight="1">
      <c r="A35" s="119">
        <v>621</v>
      </c>
      <c r="B35" s="125">
        <v>1096</v>
      </c>
      <c r="C35" s="126">
        <v>31</v>
      </c>
      <c r="D35" s="127">
        <v>645</v>
      </c>
      <c r="E35" s="125">
        <v>66</v>
      </c>
      <c r="F35" s="126">
        <v>35</v>
      </c>
      <c r="G35" s="127">
        <v>670</v>
      </c>
      <c r="H35" s="125">
        <v>-9908</v>
      </c>
      <c r="I35" s="124">
        <v>28</v>
      </c>
      <c r="J35" s="127">
        <v>690</v>
      </c>
      <c r="K35" s="125">
        <v>330</v>
      </c>
      <c r="L35" s="124">
        <v>30</v>
      </c>
      <c r="M35" s="167"/>
    </row>
    <row r="36" spans="1:13" ht="21.75" customHeight="1">
      <c r="A36" s="119">
        <v>622</v>
      </c>
      <c r="B36" s="125">
        <v>644</v>
      </c>
      <c r="C36" s="126">
        <v>31</v>
      </c>
      <c r="D36" s="127">
        <v>651</v>
      </c>
      <c r="E36" s="125">
        <v>3082</v>
      </c>
      <c r="F36" s="126">
        <v>30</v>
      </c>
      <c r="G36" s="127">
        <v>671</v>
      </c>
      <c r="H36" s="125">
        <v>0</v>
      </c>
      <c r="I36" s="124">
        <v>39</v>
      </c>
      <c r="J36" s="127">
        <v>691</v>
      </c>
      <c r="K36" s="125">
        <v>2984</v>
      </c>
      <c r="L36" s="133">
        <v>24</v>
      </c>
      <c r="M36" s="167"/>
    </row>
    <row r="37" spans="1:13" ht="21.75" customHeight="1">
      <c r="A37" s="119">
        <v>623</v>
      </c>
      <c r="B37" s="125">
        <v>686</v>
      </c>
      <c r="C37" s="126">
        <v>40</v>
      </c>
      <c r="D37" s="127">
        <v>652</v>
      </c>
      <c r="E37" s="125">
        <v>3912</v>
      </c>
      <c r="F37" s="126">
        <v>26</v>
      </c>
      <c r="G37" s="127">
        <v>672</v>
      </c>
      <c r="H37" s="125">
        <v>6864</v>
      </c>
      <c r="I37" s="124">
        <v>25</v>
      </c>
      <c r="J37" s="127">
        <v>692</v>
      </c>
      <c r="K37" s="125">
        <v>1715</v>
      </c>
      <c r="L37" s="133">
        <v>24</v>
      </c>
      <c r="M37" s="167"/>
    </row>
    <row r="38" spans="1:13" ht="21.75" customHeight="1">
      <c r="A38" s="122">
        <v>624</v>
      </c>
      <c r="B38" s="125">
        <v>0</v>
      </c>
      <c r="C38" s="126">
        <v>34</v>
      </c>
      <c r="D38" s="128">
        <v>653</v>
      </c>
      <c r="E38" s="125">
        <v>0</v>
      </c>
      <c r="F38" s="126">
        <v>26</v>
      </c>
      <c r="G38" s="127">
        <v>673</v>
      </c>
      <c r="H38" s="125">
        <v>7178</v>
      </c>
      <c r="I38" s="124">
        <v>27</v>
      </c>
      <c r="J38" s="127">
        <v>693</v>
      </c>
      <c r="K38" s="125">
        <v>4324</v>
      </c>
      <c r="L38" s="133">
        <v>26</v>
      </c>
      <c r="M38" s="167"/>
    </row>
    <row r="39" spans="1:13" ht="21.75" customHeight="1">
      <c r="A39" s="122" t="s">
        <v>80</v>
      </c>
      <c r="B39" s="125">
        <v>0</v>
      </c>
      <c r="C39" s="126">
        <v>38</v>
      </c>
      <c r="D39" s="127">
        <v>654</v>
      </c>
      <c r="E39" s="125">
        <v>5478</v>
      </c>
      <c r="F39" s="126">
        <v>32</v>
      </c>
      <c r="G39" s="127">
        <v>674</v>
      </c>
      <c r="H39" s="125">
        <v>7145</v>
      </c>
      <c r="I39" s="124">
        <v>27</v>
      </c>
      <c r="J39" s="127">
        <v>694</v>
      </c>
      <c r="K39" s="125">
        <v>376</v>
      </c>
      <c r="L39" s="133">
        <v>29</v>
      </c>
      <c r="M39" s="167"/>
    </row>
    <row r="40" spans="1:13" ht="21.75" customHeight="1">
      <c r="A40" s="122" t="s">
        <v>26</v>
      </c>
      <c r="B40" s="125">
        <v>4138</v>
      </c>
      <c r="C40" s="126">
        <v>32</v>
      </c>
      <c r="D40" s="128">
        <v>655</v>
      </c>
      <c r="E40" s="125">
        <v>804</v>
      </c>
      <c r="F40" s="126">
        <v>33</v>
      </c>
      <c r="G40" s="127">
        <v>675</v>
      </c>
      <c r="H40" s="125">
        <v>84.34</v>
      </c>
      <c r="I40" s="133">
        <v>25</v>
      </c>
      <c r="J40" s="127">
        <v>695</v>
      </c>
      <c r="K40" s="125">
        <v>2850</v>
      </c>
      <c r="L40" s="133">
        <v>28</v>
      </c>
      <c r="M40" s="167"/>
    </row>
    <row r="41" spans="1:13" ht="21.75" customHeight="1">
      <c r="A41" s="122" t="s">
        <v>27</v>
      </c>
      <c r="B41" s="125">
        <v>6920</v>
      </c>
      <c r="C41" s="126">
        <v>22</v>
      </c>
      <c r="D41" s="127">
        <v>656</v>
      </c>
      <c r="E41" s="125">
        <v>3590</v>
      </c>
      <c r="F41" s="126">
        <v>28</v>
      </c>
      <c r="G41" s="127">
        <v>676</v>
      </c>
      <c r="H41" s="125">
        <v>21.83</v>
      </c>
      <c r="I41" s="133">
        <v>25</v>
      </c>
      <c r="J41" s="127">
        <v>696</v>
      </c>
      <c r="K41" s="125">
        <v>8496</v>
      </c>
      <c r="L41" s="133">
        <v>24</v>
      </c>
      <c r="M41" s="167"/>
    </row>
    <row r="42" spans="1:13" ht="21.75" customHeight="1">
      <c r="A42" s="122" t="s">
        <v>28</v>
      </c>
      <c r="B42" s="125">
        <v>7155</v>
      </c>
      <c r="C42" s="126">
        <v>21</v>
      </c>
      <c r="D42" s="127">
        <v>657</v>
      </c>
      <c r="E42" s="125">
        <v>4978</v>
      </c>
      <c r="F42" s="126">
        <v>27</v>
      </c>
      <c r="G42" s="127">
        <v>677</v>
      </c>
      <c r="H42" s="125">
        <v>7.17</v>
      </c>
      <c r="I42" s="133">
        <v>25</v>
      </c>
      <c r="J42" s="127">
        <v>697</v>
      </c>
      <c r="K42" s="125">
        <v>11205</v>
      </c>
      <c r="L42" s="133">
        <v>24</v>
      </c>
      <c r="M42" s="167"/>
    </row>
    <row r="43" spans="1:13" ht="21.75" customHeight="1">
      <c r="A43" s="122" t="s">
        <v>29</v>
      </c>
      <c r="B43" s="125">
        <v>6666</v>
      </c>
      <c r="C43" s="126">
        <v>24</v>
      </c>
      <c r="D43" s="128">
        <v>658</v>
      </c>
      <c r="E43" s="125">
        <v>6113</v>
      </c>
      <c r="F43" s="126">
        <v>29</v>
      </c>
      <c r="G43" s="127">
        <v>678</v>
      </c>
      <c r="H43" s="125">
        <v>5.4</v>
      </c>
      <c r="I43" s="133">
        <v>25</v>
      </c>
      <c r="J43" s="127">
        <v>698</v>
      </c>
      <c r="K43" s="125">
        <v>6354</v>
      </c>
      <c r="L43" s="133">
        <v>38</v>
      </c>
      <c r="M43" s="167"/>
    </row>
    <row r="44" spans="1:13" ht="21.75" customHeight="1">
      <c r="A44" s="122" t="s">
        <v>30</v>
      </c>
      <c r="B44" s="125">
        <v>0</v>
      </c>
      <c r="C44" s="126">
        <v>27</v>
      </c>
      <c r="D44" s="127">
        <v>659</v>
      </c>
      <c r="E44" s="125">
        <v>2799</v>
      </c>
      <c r="F44" s="126">
        <v>25</v>
      </c>
      <c r="G44" s="127">
        <v>680</v>
      </c>
      <c r="H44" s="125">
        <v>3431</v>
      </c>
      <c r="I44" s="133">
        <v>26</v>
      </c>
      <c r="J44" s="127">
        <v>699</v>
      </c>
      <c r="K44" s="125">
        <v>2378</v>
      </c>
      <c r="L44" s="133">
        <v>26</v>
      </c>
      <c r="M44" s="167"/>
    </row>
    <row r="45" spans="1:13" ht="21.75" customHeight="1" thickBot="1">
      <c r="A45" s="129" t="s">
        <v>81</v>
      </c>
      <c r="B45" s="130">
        <v>0</v>
      </c>
      <c r="C45" s="130">
        <v>39</v>
      </c>
      <c r="D45" s="131">
        <v>660</v>
      </c>
      <c r="E45" s="130">
        <v>5007</v>
      </c>
      <c r="F45" s="132">
        <v>28</v>
      </c>
      <c r="G45" s="131"/>
      <c r="H45" s="130"/>
      <c r="I45" s="132"/>
      <c r="J45" s="131"/>
      <c r="K45" s="130"/>
      <c r="L45" s="132"/>
      <c r="M45" s="168"/>
    </row>
    <row r="46" spans="1:13" ht="16.2" thickTop="1"/>
    <row r="100" spans="1:1" ht="25.5" customHeight="1">
      <c r="A100" s="140" t="s">
        <v>635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K12" sqref="K12"/>
      <selection pane="bottomLeft" activeCell="A61" sqref="A61:XFD61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3">
    <pageSetUpPr fitToPage="1"/>
  </sheetPr>
  <dimension ref="A1:CU223"/>
  <sheetViews>
    <sheetView view="pageBreakPreview" topLeftCell="A13" zoomScale="70" zoomScaleNormal="100" zoomScaleSheetLayoutView="70" workbookViewId="0">
      <selection activeCell="K16" sqref="K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46079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47" t="s" ph="1">
        <v>177</v>
      </c>
      <c r="D6" s="71">
        <v>5986</v>
      </c>
      <c r="E6" s="71">
        <v>3883</v>
      </c>
      <c r="F6" s="71">
        <v>5689</v>
      </c>
      <c r="G6" s="71">
        <v>5815</v>
      </c>
      <c r="H6" s="71">
        <v>5625</v>
      </c>
      <c r="I6" s="71">
        <v>0.08</v>
      </c>
      <c r="J6" s="71">
        <v>6.59</v>
      </c>
      <c r="K6" s="71">
        <v>7.45</v>
      </c>
      <c r="L6" s="71">
        <v>77.02</v>
      </c>
      <c r="M6" s="71">
        <v>247</v>
      </c>
      <c r="N6" s="71">
        <v>2675</v>
      </c>
      <c r="O6" s="71">
        <v>4738</v>
      </c>
      <c r="P6" s="71">
        <v>7504</v>
      </c>
      <c r="Q6" s="71">
        <v>0</v>
      </c>
      <c r="R6" s="71">
        <v>6616</v>
      </c>
      <c r="S6" s="71">
        <v>5783</v>
      </c>
      <c r="T6" s="71">
        <v>7163</v>
      </c>
      <c r="U6" s="71">
        <v>7009</v>
      </c>
      <c r="V6" s="71">
        <v>6036</v>
      </c>
      <c r="W6" s="71">
        <v>5596</v>
      </c>
      <c r="X6" s="71">
        <v>1648</v>
      </c>
      <c r="Y6" s="71">
        <v>0</v>
      </c>
      <c r="Z6" s="71">
        <v>1930</v>
      </c>
      <c r="AA6" s="71">
        <v>6747</v>
      </c>
      <c r="AB6" s="71">
        <v>4597</v>
      </c>
      <c r="AC6" s="71">
        <v>5345</v>
      </c>
      <c r="AD6" s="71">
        <v>4780</v>
      </c>
      <c r="AE6" s="71">
        <v>4040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188640.18973422001</v>
      </c>
      <c r="E7" s="73" ph="1">
        <f>E6*51.53*LOOKUP(E8,密度!$A$2:$A$50,密度!$B$2:$B$50)</f>
        <v>156891.34525899999</v>
      </c>
      <c r="F7" s="73" ph="1">
        <f>F6*33.183*LOOKUP(F8,密度!$A$2:$A$50,密度!$C$2:$C$50)</f>
        <v>210147.76644839998</v>
      </c>
      <c r="G7" s="73" ph="1">
        <f xml:space="preserve"> (G6+2)*51.53*LOOKUP(G8,密度!$A$2:$A$50,密度!$B$2:$B$50)</f>
        <v>235033.98284100002</v>
      </c>
      <c r="H7" s="73" ph="1">
        <f>(H6)*51.53*LOOKUP(H8,密度!$A$2:$A$50,密度!$B$2:$B$50)</f>
        <v>227276.28562500002</v>
      </c>
      <c r="I7" s="73" ph="1">
        <f>I6*290.8*1.0267</f>
        <v>23.885148800000003</v>
      </c>
      <c r="J7" s="73" ph="1">
        <f>J6*290.8*0.7892</f>
        <v>1512.4007824</v>
      </c>
      <c r="K7" s="73" ph="1">
        <f>K6*290.8*1.1126</f>
        <v>2410.4033960000002</v>
      </c>
      <c r="L7" s="73" ph="1">
        <f>L6*290.8*0.777</f>
        <v>17402.792232</v>
      </c>
      <c r="M7" s="73" ph="1">
        <f>M6*33.183*LOOKUP(M8,密度!$A$2:$A$50,密度!$D$2:$D$50)</f>
        <v>8460.1186721999984</v>
      </c>
      <c r="N7" s="73" ph="1">
        <f>N6*33.183*LOOKUP(N8,密度!$A$2:$A$50,密度!$E$2:$E$50)</f>
        <v>69946.445699999997</v>
      </c>
      <c r="O7" s="73" ph="1">
        <f>O6*20.428*LOOKUP(O8,密度!$A$2:$A$50,密度!$C$2:$C$50)</f>
        <v>107395.81389439999</v>
      </c>
      <c r="P7" s="73" ph="1">
        <f>P6*51.53*LOOKUP(P8,密度!$A$2:$A$50,密度!$B$2:$B$50)</f>
        <v>303815.35598399997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43772.842713599995</v>
      </c>
      <c r="S7" s="73" ph="1">
        <f>S6*1.5*1.5*3.1416*LOOKUP(S8,密度!$A$2:$A$50,密度!$L$2:$L$50)</f>
        <v>38629.439540999992</v>
      </c>
      <c r="T7" s="73" ph="1">
        <f>T6*1.5*1.5*3.1416*LOOKUP(T8,密度!$A$2:$A$50,密度!$L$2:$L$50)</f>
        <v>47898.233182799995</v>
      </c>
      <c r="U7" s="73" ph="1">
        <f>U6*1.5*1.5*3.1416*LOOKUP(U8,密度!$A$2:$A$50,密度!$L$2:$L$50)</f>
        <v>46620.7321734</v>
      </c>
      <c r="V7" s="73" ph="1">
        <f>V6*1.5*1.5*3.1416*LOOKUP(V8,密度!$A$2:$A$50,密度!$L$2:$L$50)</f>
        <v>40020.773284800001</v>
      </c>
      <c r="W7" s="73" ph="1">
        <f>W6*1.5*1.5*3.1416*LOOKUP(W8,密度!$A$2:$A$50,密度!$L$2:$L$50)</f>
        <v>37222.088349600002</v>
      </c>
      <c r="X7" s="73" ph="1">
        <f>X6*1.5*1.5*3.1416*LOOKUP(X8,密度!$A$2:$A$50,密度!$L$2:$L$50)</f>
        <v>11078.249212799999</v>
      </c>
      <c r="Y7" s="73" ph="1">
        <f>Y6*1.5*1.5*3.1416*LOOKUP(Y8,密度!$A$2:$A$50,密度!$L$2:$L$50)</f>
        <v>0</v>
      </c>
      <c r="Z7" s="73" ph="1">
        <f>Z6*33.183*LOOKUP(Z8,密度!$A$2:$A$50,密度!$L$2:$L$50)</f>
        <v>60456.771359999999</v>
      </c>
      <c r="AA7" s="73" ph="1">
        <f>AA6*33.183*LOOKUP(AA8,密度!$A$2:$A$50,密度!$D$2:$D$50)</f>
        <v>231094.8205722</v>
      </c>
      <c r="AB7" s="73" ph="1">
        <f>AB6*20.428*LOOKUP(AB8,密度!$A$2:$A$50,密度!$D$2:$D$50)</f>
        <v>97419.657098400014</v>
      </c>
      <c r="AC7" s="73" ph="1">
        <f>AC6*51.53*LOOKUP(AC8,密度!$A$2:$A$50,密度!$Q$2:$Q$50)</f>
        <v>262427.65548000002</v>
      </c>
      <c r="AD7" s="73" ph="1">
        <f>AD6*20.428*LOOKUP(AD8,密度!$A$2:$A$50,密度!$V$2:$V$50)</f>
        <v>94130.589760000003</v>
      </c>
      <c r="AE7" s="73" ph="1">
        <f>AE6*20.428</f>
        <v>82529.12000000001</v>
      </c>
    </row>
    <row r="8" spans="1:99" ph="1">
      <c r="B8" s="238" ph="1"/>
      <c r="C8" s="68" t="s" ph="1">
        <v>179</v>
      </c>
      <c r="D8" s="74">
        <v>21</v>
      </c>
      <c r="E8" s="74">
        <v>20</v>
      </c>
      <c r="F8" s="74">
        <v>19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21</v>
      </c>
      <c r="O8" s="74">
        <v>24</v>
      </c>
      <c r="P8" s="74">
        <v>18</v>
      </c>
      <c r="Q8" s="74">
        <v>21</v>
      </c>
      <c r="R8" s="74">
        <v>26</v>
      </c>
      <c r="S8" s="74">
        <v>17</v>
      </c>
      <c r="T8" s="74">
        <v>16</v>
      </c>
      <c r="U8" s="74">
        <v>21</v>
      </c>
      <c r="V8" s="74">
        <v>24</v>
      </c>
      <c r="W8" s="74">
        <v>21</v>
      </c>
      <c r="X8" s="74">
        <v>11</v>
      </c>
      <c r="Y8" s="74">
        <v>18</v>
      </c>
      <c r="Z8" s="74">
        <v>18</v>
      </c>
      <c r="AA8" s="74">
        <v>19</v>
      </c>
      <c r="AB8" s="74">
        <v>13</v>
      </c>
      <c r="AC8" s="74">
        <v>17</v>
      </c>
      <c r="AD8" s="74">
        <v>18</v>
      </c>
      <c r="AE8" s="74">
        <v>23</v>
      </c>
    </row>
    <row r="9" spans="1:99" ht="26.4" ph="1">
      <c r="B9" s="238" ph="1">
        <v>0.66666666666666663</v>
      </c>
      <c r="C9" s="147" t="s" ph="1">
        <v>180</v>
      </c>
      <c r="D9" s="71">
        <v>5988</v>
      </c>
      <c r="E9" s="71">
        <v>4021</v>
      </c>
      <c r="F9" s="71">
        <v>5689</v>
      </c>
      <c r="G9" s="71">
        <v>5820</v>
      </c>
      <c r="H9" s="71">
        <v>5628</v>
      </c>
      <c r="I9" s="71">
        <v>0.06</v>
      </c>
      <c r="J9" s="71">
        <v>6.67</v>
      </c>
      <c r="K9" s="71">
        <v>7.32</v>
      </c>
      <c r="L9" s="71">
        <v>77</v>
      </c>
      <c r="M9" s="71">
        <v>245</v>
      </c>
      <c r="N9" s="71">
        <v>2618</v>
      </c>
      <c r="O9" s="71">
        <v>4739</v>
      </c>
      <c r="P9" s="71">
        <v>7611</v>
      </c>
      <c r="Q9" s="71">
        <v>0</v>
      </c>
      <c r="R9" s="71">
        <v>2325</v>
      </c>
      <c r="S9" s="71">
        <v>5789</v>
      </c>
      <c r="T9" s="71">
        <v>7169</v>
      </c>
      <c r="U9" s="71">
        <v>7014</v>
      </c>
      <c r="V9" s="71">
        <v>6042</v>
      </c>
      <c r="W9" s="71">
        <v>7031</v>
      </c>
      <c r="X9" s="71">
        <v>6393</v>
      </c>
      <c r="Y9" s="71">
        <v>0</v>
      </c>
      <c r="Z9" s="71">
        <v>2860</v>
      </c>
      <c r="AA9" s="71">
        <v>6752</v>
      </c>
      <c r="AB9" s="71">
        <v>4599</v>
      </c>
      <c r="AC9" s="71">
        <v>5766</v>
      </c>
      <c r="AD9" s="71">
        <v>4780</v>
      </c>
      <c r="AE9" s="71">
        <v>3730</v>
      </c>
    </row>
    <row r="10" spans="1:99" s="72" customFormat="1" ht="22.2" ph="1">
      <c r="B10" s="238" ph="1"/>
      <c r="C10" s="147" t="s" ph="1">
        <v>178</v>
      </c>
      <c r="D10" s="73" ph="1">
        <f>D9*33.183*LOOKUP(D11,密度!$A$2:$A$50,密度!$Q$2:$Q$50)</f>
        <v>188407.15415280001</v>
      </c>
      <c r="E10" s="73" ph="1">
        <f>E9*51.53*LOOKUP(E11,密度!$A$2:$A$50,密度!$B$2:$B$50)</f>
        <v>162467.190133</v>
      </c>
      <c r="F10" s="73" ph="1">
        <f>F9*33.183*LOOKUP(F11,密度!$A$2:$A$50,密度!$C$2:$C$50)</f>
        <v>210147.76644839998</v>
      </c>
      <c r="G10" s="73" ph="1">
        <f xml:space="preserve"> (G9+2)*51.53*LOOKUP(G11,密度!$A$2:$A$50,密度!$B$2:$B$50)</f>
        <v>234695.99241800004</v>
      </c>
      <c r="H10" s="73" ph="1">
        <f>(H9)*51.53*LOOKUP(H11,密度!$A$2:$A$50,密度!$B$2:$B$50)</f>
        <v>227397.49964400003</v>
      </c>
      <c r="I10" s="73" ph="1">
        <f>I9*290.8*1.0267</f>
        <v>17.913861600000001</v>
      </c>
      <c r="J10" s="73" ph="1">
        <f>J9*290.8*0.7892</f>
        <v>1530.7607312</v>
      </c>
      <c r="K10" s="73" ph="1">
        <f>K9*290.8*1.1126</f>
        <v>2368.3426656000001</v>
      </c>
      <c r="L10" s="73" ph="1">
        <f>L9*290.8*0.777</f>
        <v>17398.273200000003</v>
      </c>
      <c r="M10" s="73" ph="1">
        <f>M9*33.183*LOOKUP(M11,密度!$A$2:$A$50,密度!$D$2:$D$50)</f>
        <v>8362.3482810000005</v>
      </c>
      <c r="N10" s="73" ph="1">
        <f>N9*33.183*LOOKUP(N11,密度!$A$2:$A$50,密度!$E$2:$E$50)</f>
        <v>68351.750359199999</v>
      </c>
      <c r="O10" s="73" ph="1">
        <f>O9*20.428*LOOKUP(O11,密度!$A$2:$A$50,密度!$C$2:$C$50)</f>
        <v>107273.26836520001</v>
      </c>
      <c r="P10" s="73" ph="1">
        <f>P9*51.53*LOOKUP(P11,密度!$A$2:$A$50,密度!$B$2:$B$50)</f>
        <v>306108.06481499999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15349.81833</v>
      </c>
      <c r="S10" s="73" ph="1">
        <f>S9*1.5*1.5*3.1416*LOOKUP(S11,密度!$A$2:$A$50,密度!$L$2:$L$50)</f>
        <v>38587.678252199992</v>
      </c>
      <c r="T10" s="73" ph="1">
        <f>T9*1.5*1.5*3.1416*LOOKUP(T11,密度!$A$2:$A$50,密度!$L$2:$L$50)</f>
        <v>47887.679763</v>
      </c>
      <c r="U10" s="73" ph="1">
        <f>U9*1.5*1.5*3.1416*LOOKUP(U11,密度!$A$2:$A$50,密度!$L$2:$L$50)</f>
        <v>46653.989936400001</v>
      </c>
      <c r="V10" s="73" ph="1">
        <f>V9*1.5*1.5*3.1416*LOOKUP(V11,密度!$A$2:$A$50,密度!$L$2:$L$50)</f>
        <v>39932.429922000003</v>
      </c>
      <c r="W10" s="73" ph="1">
        <f>W9*1.5*1.5*3.1416*LOOKUP(W11,密度!$A$2:$A$50,密度!$L$2:$L$50)</f>
        <v>46717.367004</v>
      </c>
      <c r="X10" s="73" ph="1">
        <f>X9*1.5*1.5*3.1416*LOOKUP(X11,密度!$A$2:$A$50,密度!$L$2:$L$50)</f>
        <v>42839.702690400001</v>
      </c>
      <c r="Y10" s="73" ph="1">
        <f>Y9*1.5*1.5*3.1416*LOOKUP(Y11,密度!$A$2:$A$50,密度!$L$2:$L$50)</f>
        <v>0</v>
      </c>
      <c r="Z10" s="73" ph="1">
        <f>Z9*33.183*LOOKUP(Z11,密度!$A$2:$A$50,密度!$L$2:$L$50)</f>
        <v>89304.080579999994</v>
      </c>
      <c r="AA10" s="73" ph="1">
        <f>AA9*33.183*LOOKUP(AA11,密度!$A$2:$A$50,密度!$D$2:$D$50)</f>
        <v>230661.13867200003</v>
      </c>
      <c r="AB10" s="73" ph="1">
        <f>AB9*20.428*LOOKUP(AB11,密度!$A$2:$A$50,密度!$D$2:$D$50)</f>
        <v>97377.487578</v>
      </c>
      <c r="AC10" s="73" ph="1">
        <f>AC9*51.53*LOOKUP(AC11,密度!$A$2:$A$50,密度!$Q$2:$Q$50)</f>
        <v>281995.49999819999</v>
      </c>
      <c r="AD10" s="73" ph="1">
        <f>AD9*20.428*LOOKUP(AD11,密度!$A$2:$A$50,密度!$V$2:$V$50)</f>
        <v>93818.123072000002</v>
      </c>
      <c r="AE10" s="73" ph="1">
        <f>AE9*20.428</f>
        <v>76196.44</v>
      </c>
    </row>
    <row r="11" spans="1:99" ph="1">
      <c r="A11" s="64" t="s" ph="1">
        <v>162</v>
      </c>
      <c r="B11" s="238" ph="1"/>
      <c r="C11" s="147" t="s" ph="1">
        <v>179</v>
      </c>
      <c r="D11" s="74">
        <v>23</v>
      </c>
      <c r="E11" s="74">
        <v>20</v>
      </c>
      <c r="F11" s="74">
        <v>19</v>
      </c>
      <c r="G11" s="74">
        <v>22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26</v>
      </c>
      <c r="P11" s="74">
        <v>24</v>
      </c>
      <c r="Q11" s="74">
        <v>28</v>
      </c>
      <c r="R11" s="74">
        <v>28</v>
      </c>
      <c r="S11" s="74">
        <v>19</v>
      </c>
      <c r="T11" s="74">
        <v>17</v>
      </c>
      <c r="U11" s="74">
        <v>21</v>
      </c>
      <c r="V11" s="74">
        <v>27</v>
      </c>
      <c r="W11" s="74">
        <v>22</v>
      </c>
      <c r="X11" s="74">
        <v>14</v>
      </c>
      <c r="Y11" s="74">
        <v>25</v>
      </c>
      <c r="Z11" s="74">
        <v>21</v>
      </c>
      <c r="AA11" s="74">
        <v>22</v>
      </c>
      <c r="AB11" s="74">
        <v>14</v>
      </c>
      <c r="AC11" s="74">
        <v>22</v>
      </c>
      <c r="AD11" s="74">
        <v>22</v>
      </c>
      <c r="AE11" s="74">
        <v>26</v>
      </c>
    </row>
    <row r="12" spans="1:99" ht="9.9" customHeight="1" ph="1"/>
    <row r="13" spans="1:99" s="72" customFormat="1" ht="29.25" customHeight="1" ph="1">
      <c r="B13" s="215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47" t="s" ph="1">
        <v>177</v>
      </c>
      <c r="D15" s="78">
        <v>1335</v>
      </c>
      <c r="E15" s="78">
        <v>75</v>
      </c>
      <c r="F15" s="78">
        <v>4061</v>
      </c>
      <c r="G15" s="78">
        <v>2694</v>
      </c>
      <c r="H15" s="78">
        <v>0</v>
      </c>
      <c r="I15" s="78">
        <v>5230</v>
      </c>
      <c r="J15" s="78">
        <v>5512</v>
      </c>
      <c r="K15" s="78">
        <v>3583</v>
      </c>
      <c r="L15" s="78">
        <v>5580</v>
      </c>
      <c r="M15" s="78">
        <v>6398</v>
      </c>
      <c r="N15" s="78">
        <v>3193</v>
      </c>
      <c r="O15" s="78">
        <v>4446</v>
      </c>
      <c r="P15" s="78">
        <v>3440</v>
      </c>
      <c r="Q15" s="78">
        <v>6942</v>
      </c>
      <c r="R15" s="78">
        <v>7391</v>
      </c>
      <c r="S15" s="78">
        <v>320</v>
      </c>
      <c r="T15" s="78">
        <v>3963</v>
      </c>
      <c r="U15" s="78">
        <v>2565</v>
      </c>
      <c r="V15" s="78">
        <v>4977</v>
      </c>
      <c r="W15" s="71">
        <v>-170</v>
      </c>
      <c r="X15" s="78">
        <v>96</v>
      </c>
      <c r="Y15" s="106">
        <v>-9900</v>
      </c>
      <c r="Z15" s="78">
        <v>0</v>
      </c>
      <c r="AA15" s="78">
        <v>11</v>
      </c>
      <c r="AB15" s="78" ph="1">
        <v>6963</v>
      </c>
      <c r="AC15" s="78" ph="1">
        <v>2148</v>
      </c>
      <c r="AD15" s="78">
        <v>4.26</v>
      </c>
      <c r="AE15" s="78">
        <v>42.02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47" t="s" ph="1">
        <v>178</v>
      </c>
      <c r="D16" s="73" ph="1">
        <f>D15*7.0686*LOOKUP(D17,密度!$A$2:$A$50,密度!$L$2:$L$50)</f>
        <v>8889.2593020000004</v>
      </c>
      <c r="E16" s="73" ph="1">
        <f>E15*7.0686*LOOKUP(E17,密度!$A$2:$A$50,密度!$L$2:$L$50)</f>
        <v>499.39658999999995</v>
      </c>
      <c r="F16" s="73" ph="1">
        <f>F15*9.0746*LOOKUP(F17,密度!$A$2:$A$50,密度!$L$2:$L$50)</f>
        <v>34603.981613399999</v>
      </c>
      <c r="G16" s="73" ph="1">
        <f>G15*9.0746*LOOKUP(G17,密度!$A$2:$A$50,密度!$B$2:$B$50)</f>
        <v>19188.428636760003</v>
      </c>
      <c r="H16" s="73" ph="1">
        <f>H15*9.0746*LOOKUP(H17,密度!$A$2:$A$50,密度!$L$2:$L$50)</f>
        <v>0</v>
      </c>
      <c r="I16" s="73" ph="1">
        <f>I15*9.0746*LOOKUP(I17,密度!$A$2:$A$50,密度!$U$2:$U$50)</f>
        <v>48789.042424000007</v>
      </c>
      <c r="J16" s="73" ph="1">
        <f>J15*9.0746*LOOKUP(J17,密度!$A$2:$A$50,密度!$L$2:$L$50)</f>
        <v>47168.101073600003</v>
      </c>
      <c r="K16" s="73" ph="1">
        <f>K15*9.0746*LOOKUP(K17,密度!$A$2:$A$50,密度!$C$2:$C$50)</f>
        <v>36194.909631759998</v>
      </c>
      <c r="L16" s="73" ph="1">
        <f>L15*9.0746*LOOKUP(L17,密度!$A$2:$A$50,密度!$E$2:$E$50)</f>
        <v>39901.379184000005</v>
      </c>
      <c r="M16" s="73" ph="1">
        <f>M15*9.0746*LOOKUP(M17,密度!$A$2:$A$50,密度!$M$2:$M$50)</f>
        <v>51039.922542280001</v>
      </c>
      <c r="N16" s="73" ph="1">
        <f>N15*9.0746*LOOKUP(N17,密度!$A$2:$A$50,密度!$M$2:$M$50)</f>
        <v>25506.86662334</v>
      </c>
      <c r="O16" s="73" ph="1">
        <f>O15*9.0746*LOOKUP(O17,密度!$A$2:$A$50,密度!$G$2:$G$50)</f>
        <v>38929.538526839999</v>
      </c>
      <c r="P16" s="73" ph="1">
        <f ca="1">P15*9.0746*LOOKUP(P17,密度!$A$2:$A$51,密度!$Q$2:$Q$50)</f>
        <v>29646.11564656</v>
      </c>
      <c r="Q16" s="73" ph="1">
        <f>Q15*9.0746*LOOKUP(Q17,密度!$A$2:$A$50,密度!$Q$2:$Q$50)</f>
        <v>59870.017971816</v>
      </c>
      <c r="R16" s="73" ph="1">
        <f>MAX(R15*9.0746*LOOKUP(R17,密度!$A$2:$A$50,密度!$B$2:$B$50),0)</f>
        <v>52529.51268752</v>
      </c>
      <c r="S16" s="73" ph="1">
        <f>S15*9.0746*LOOKUP(S17,密度!$A$2:$A$50,密度!$Q$2:$Q$50)</f>
        <v>2759.7818713600004</v>
      </c>
      <c r="T16" s="73" ph="1">
        <f>T15*9.0746*LOOKUP(T17,密度!$A$2:$A$50,密度!$O$2:$O$50)</f>
        <v>33445.255014000009</v>
      </c>
      <c r="U16" s="73" ph="1">
        <f>U15*9.0746*LOOKUP(U17,密度!$A$2:$A$50,密度!$H$2:$H$50)</f>
        <v>21407.258175300001</v>
      </c>
      <c r="V16" s="73" ph="1">
        <f>MAX(5600*LOOKUP(V17,密度!$A$2:$A$50,密度!$Q$2:$Q$50)+V15*9.0476*LOOKUP(V17,密度!$A$2:$A$50,密度!$Q$2:$Q$50),0)</f>
        <v>48052.336726267997</v>
      </c>
      <c r="W16" s="73" ph="1">
        <f>MAX(5600*LOOKUP(W17,密度!$A$2:$A$50,密度!$Q$2:$Q$50)+W15*9.0476*LOOKUP(W17,密度!$A$2:$A$50,密度!$Q$2:$Q$50),0)</f>
        <v>3855.1162637199996</v>
      </c>
      <c r="X16" s="73" ph="1">
        <f>MAX(5600*LOOKUP(X17,密度!$A$2:$A$50,密度!$I$2:$I$50)+X15*9.0476*LOOKUP(X17,密度!$A$2:$A$50,密度!$I$2:$I$50),0)</f>
        <v>6749.3055206400004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78.498919839999999</v>
      </c>
      <c r="AB16" s="73" ph="1">
        <f>AB15*9.0746*LOOKUP(AB17,密度!$A$2:$A$50,密度!$L$2:$L$50)</f>
        <v>59458.439851799994</v>
      </c>
      <c r="AC16" s="73" ph="1">
        <f>AC15*9.0746*LOOKUP(AC17,密度!$A$2:$A$50,密度!$L$2:$L$50)</f>
        <v>18400.675315199998</v>
      </c>
      <c r="AD16" s="73" ph="1">
        <f>AD15*268.68*LOOKUP(AD17,密度!$A$2:$A$50,密度!B2:B50)+IF(AD15&lt;=0,0,1566*LOOKUP(AD17,密度!$A$2:$A$50,密度!B2:B50))</f>
        <v>2113.1656732799997</v>
      </c>
      <c r="AE16" s="73" ph="1">
        <f>AE15*268.68*LOOKUP(AE17,密度!$A$2:$A$50,密度!B2:B50)+IF(AE15&lt;=0,0,1566*LOOKUP(AE17,密度!$A$2:$A$50,密度!B2:B50))</f>
        <v>10022.485834560001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20</v>
      </c>
      <c r="E17" s="74">
        <v>20</v>
      </c>
      <c r="F17" s="74">
        <v>23</v>
      </c>
      <c r="G17" s="74">
        <v>19</v>
      </c>
      <c r="H17" s="74">
        <v>17</v>
      </c>
      <c r="I17" s="74">
        <v>18</v>
      </c>
      <c r="J17" s="74">
        <v>19</v>
      </c>
      <c r="K17" s="74">
        <v>19</v>
      </c>
      <c r="L17" s="74">
        <v>21</v>
      </c>
      <c r="M17" s="74">
        <v>21</v>
      </c>
      <c r="N17" s="74">
        <v>20</v>
      </c>
      <c r="O17" s="74">
        <v>21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22</v>
      </c>
      <c r="W17" s="74">
        <v>22</v>
      </c>
      <c r="X17" s="74">
        <v>24</v>
      </c>
      <c r="Y17" s="108">
        <v>24</v>
      </c>
      <c r="Z17" s="74">
        <v>19</v>
      </c>
      <c r="AA17" s="74">
        <v>17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</v>
      </c>
      <c r="E18" s="71">
        <v>2376</v>
      </c>
      <c r="F18" s="71">
        <v>4062</v>
      </c>
      <c r="G18" s="71">
        <v>2755</v>
      </c>
      <c r="H18" s="71">
        <v>0</v>
      </c>
      <c r="I18" s="71">
        <v>5234</v>
      </c>
      <c r="J18" s="71">
        <v>4137</v>
      </c>
      <c r="K18" s="71">
        <v>3584</v>
      </c>
      <c r="L18" s="71">
        <v>5591</v>
      </c>
      <c r="M18" s="71">
        <v>5601</v>
      </c>
      <c r="N18" s="71">
        <v>1096</v>
      </c>
      <c r="O18" s="71">
        <v>4450</v>
      </c>
      <c r="P18" s="71">
        <v>3443</v>
      </c>
      <c r="Q18" s="71">
        <v>6950</v>
      </c>
      <c r="R18" s="71">
        <v>7401</v>
      </c>
      <c r="S18" s="71">
        <v>319</v>
      </c>
      <c r="T18" s="71">
        <v>3541</v>
      </c>
      <c r="U18" s="71">
        <v>2566</v>
      </c>
      <c r="V18" s="71">
        <v>4977</v>
      </c>
      <c r="W18" s="71">
        <v>-172</v>
      </c>
      <c r="X18" s="71">
        <v>95</v>
      </c>
      <c r="Y18" s="109">
        <v>-9900</v>
      </c>
      <c r="Z18" s="71">
        <v>0</v>
      </c>
      <c r="AA18" s="71">
        <v>9</v>
      </c>
      <c r="AB18" s="71">
        <v>6970</v>
      </c>
      <c r="AC18" s="71">
        <v>2147</v>
      </c>
      <c r="AD18" s="71">
        <v>15.15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47" t="s" ph="1">
        <v>178</v>
      </c>
      <c r="D19" s="73" ph="1">
        <f>D18*7.0686*LOOKUP(D20,密度!$A$2:$A$50,密度!$L$2:$L$50)</f>
        <v>33.22242</v>
      </c>
      <c r="E19" s="73" ph="1">
        <f>E18*7.0686*LOOKUP(E20,密度!$A$2:$A$50,密度!$L$2:$L$50)</f>
        <v>15787.293984</v>
      </c>
      <c r="F19" s="73" ph="1">
        <f>F18*9.0746*LOOKUP(F20,密度!$A$2:$A$50,密度!$L$2:$L$50)</f>
        <v>34501.919587200005</v>
      </c>
      <c r="G19" s="73" ph="1">
        <f>G18*9.0746*LOOKUP(G20,密度!$A$2:$A$50,密度!$B$2:$B$50)</f>
        <v>19557.9091429</v>
      </c>
      <c r="H19" s="73" ph="1">
        <f>H18*9.0746*LOOKUP(H20,密度!$A$2:$A$50,密度!$L$2:$L$50)</f>
        <v>0</v>
      </c>
      <c r="I19" s="73" ph="1">
        <f>I18*9.0746*LOOKUP(I20,密度!$A$2:$A$50,密度!$U$2:$U$50)</f>
        <v>48778.860722799996</v>
      </c>
      <c r="J19" s="73" ph="1">
        <f>J18*9.0746*LOOKUP(J20,密度!$A$2:$A$50,密度!$L$2:$L$50)</f>
        <v>35289.122987999996</v>
      </c>
      <c r="K19" s="73" ph="1">
        <f>K18*9.0746*LOOKUP(K20,密度!$A$2:$A$50,密度!$C$2:$C$50)</f>
        <v>36136.712407039995</v>
      </c>
      <c r="L19" s="73" ph="1">
        <f>L18*9.0746*LOOKUP(L20,密度!$A$2:$A$50,密度!$E$2:$E$50)</f>
        <v>39858.271204160003</v>
      </c>
      <c r="M19" s="73" ph="1">
        <f>M18*9.0746*LOOKUP(M20,密度!$A$2:$A$50,密度!$M$2:$M$50)</f>
        <v>44519.224426140005</v>
      </c>
      <c r="N19" s="73" ph="1">
        <f>N18*9.0746*LOOKUP(N20,密度!$A$2:$A$50,密度!$M$2:$M$50)</f>
        <v>8711.4925854400008</v>
      </c>
      <c r="O19" s="73" ph="1">
        <f>O18*9.0746*LOOKUP(O20,密度!$A$2:$A$50,密度!$G$2:$G$50)</f>
        <v>38920.142685999999</v>
      </c>
      <c r="P19" s="73" ph="1">
        <f ca="1">P18*9.0746*LOOKUP(P20,密度!$A$2:$A$51,密度!$Q$2:$Q$50)</f>
        <v>29625.416483960002</v>
      </c>
      <c r="Q19" s="73" ph="1">
        <f>Q18*9.0746*LOOKUP(Q20,密度!$A$2:$A$50,密度!$Q$2:$Q$50)</f>
        <v>59857.654192299997</v>
      </c>
      <c r="R19" s="73" ph="1">
        <f>MAX(R18*9.0746*LOOKUP(R20,密度!$A$2:$A$50,密度!$B$2:$B$50),0)</f>
        <v>52358.804942160001</v>
      </c>
      <c r="S19" s="73" ph="1">
        <f>S18*9.0746*LOOKUP(S20,密度!$A$2:$A$50,密度!$Q$2:$Q$50)</f>
        <v>2738.5651843219998</v>
      </c>
      <c r="T19" s="73" ph="1">
        <f>T18*9.0746*LOOKUP(T20,密度!$A$2:$A$50,密度!$O$2:$O$50)</f>
        <v>29755.304863600002</v>
      </c>
      <c r="U19" s="73" ph="1">
        <f>U18*9.0746*LOOKUP(U20,密度!$A$2:$A$50,密度!$H$2:$H$50)</f>
        <v>21415.60408492</v>
      </c>
      <c r="V19" s="73" ph="1">
        <f>MAX(5600*LOOKUP(V20,密度!$A$2:$A$50,密度!$Q$2:$Q$50)+V18*9.0476*LOOKUP(V20,密度!$A$2:$A$50,密度!$Q$2:$Q$50),0)</f>
        <v>47933.356449047991</v>
      </c>
      <c r="W19" s="73" ph="1">
        <f>MAX(5600*LOOKUP(W20,密度!$A$2:$A$50,密度!$Q$2:$Q$50)+W18*9.0476*LOOKUP(W20,密度!$A$2:$A$50,密度!$Q$2:$Q$50),0)</f>
        <v>3828.4393302720009</v>
      </c>
      <c r="X19" s="73" ph="1">
        <f>MAX(5600*LOOKUP(X20,密度!$A$2:$A$50,密度!$I$2:$I$50)+X18*9.0476*LOOKUP(X20,密度!$A$2:$A$50,密度!$I$2:$I$50),0)</f>
        <v>6718.5488322000001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63.744527699999999</v>
      </c>
      <c r="AB19" s="73" ph="1">
        <f>AB18*9.0746*LOOKUP(AB20,密度!$A$2:$A$50,密度!$L$2:$L$50)</f>
        <v>59391.714317999998</v>
      </c>
      <c r="AC19" s="73" ph="1">
        <f>AC18*9.0746*LOOKUP(AC20,密度!$A$2:$A$50,密度!$L$2:$L$50)</f>
        <v>18294.693061799997</v>
      </c>
      <c r="AD19" s="73" ph="1">
        <f>AD18*268.68*LOOKUP(AD20,密度!$A$2:$A$50,密度!B5:B53)+IF(AD18&lt;=0,0,1566*LOOKUP(AD20,密度!$A$2:$A$50,密度!B5:B53))</f>
        <v>4379.562054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22</v>
      </c>
      <c r="E20" s="81">
        <v>22</v>
      </c>
      <c r="F20" s="81">
        <v>26</v>
      </c>
      <c r="G20" s="81">
        <v>22</v>
      </c>
      <c r="H20" s="81">
        <v>21</v>
      </c>
      <c r="I20" s="81">
        <v>23</v>
      </c>
      <c r="J20" s="81">
        <v>22</v>
      </c>
      <c r="K20" s="81">
        <v>22</v>
      </c>
      <c r="L20" s="81">
        <v>23</v>
      </c>
      <c r="M20" s="81">
        <v>24</v>
      </c>
      <c r="N20" s="81">
        <v>24</v>
      </c>
      <c r="O20" s="81">
        <v>22</v>
      </c>
      <c r="P20" s="81">
        <v>23</v>
      </c>
      <c r="Q20" s="81">
        <v>22</v>
      </c>
      <c r="R20" s="81">
        <v>25</v>
      </c>
      <c r="S20" s="81">
        <v>26</v>
      </c>
      <c r="T20" s="81">
        <v>27</v>
      </c>
      <c r="U20" s="81">
        <v>20</v>
      </c>
      <c r="V20" s="81">
        <v>25</v>
      </c>
      <c r="W20" s="81">
        <v>25</v>
      </c>
      <c r="X20" s="81">
        <v>27</v>
      </c>
      <c r="Y20" s="110">
        <v>27</v>
      </c>
      <c r="Z20" s="81">
        <v>31</v>
      </c>
      <c r="AA20" s="81">
        <v>24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639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47" t="s" ph="1">
        <v>177</v>
      </c>
      <c r="D24" s="71">
        <v>49.1</v>
      </c>
      <c r="E24" s="71">
        <v>5.29</v>
      </c>
      <c r="F24" s="71">
        <v>3058</v>
      </c>
      <c r="G24" s="71">
        <v>3797</v>
      </c>
      <c r="H24" s="71">
        <v>3665</v>
      </c>
      <c r="I24" s="71">
        <v>2391</v>
      </c>
      <c r="J24" s="71">
        <v>485</v>
      </c>
      <c r="K24" s="71">
        <v>4777</v>
      </c>
      <c r="L24" s="71">
        <v>4390</v>
      </c>
      <c r="M24" s="71">
        <v>2643</v>
      </c>
      <c r="N24" s="71">
        <v>2854</v>
      </c>
      <c r="O24" s="71">
        <v>5729</v>
      </c>
      <c r="P24" s="71">
        <v>355</v>
      </c>
      <c r="Q24" s="90">
        <v>3555</v>
      </c>
      <c r="R24" s="71">
        <v>3767</v>
      </c>
      <c r="S24" s="71">
        <v>55</v>
      </c>
      <c r="T24" s="71">
        <v>216</v>
      </c>
      <c r="U24" s="71">
        <v>4192</v>
      </c>
      <c r="V24" s="71">
        <v>2426</v>
      </c>
      <c r="W24" s="71">
        <v>526</v>
      </c>
      <c r="X24" s="71">
        <v>8992</v>
      </c>
      <c r="Y24" s="71">
        <v>7562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13972.166907119999</v>
      </c>
      <c r="E25" s="91" ph="1">
        <f>E24*268.68*LOOKUP(E26,密度!$A$2:$A$50,密度!$C$2:$C$50)+IF(E24&lt;=0,0,1566*LOOKUP(E26,密度!$A$2:$A$50,密度!$C$2:$C$50))</f>
        <v>3312.6360430799996</v>
      </c>
      <c r="F25" s="91" ph="1">
        <f>F24*11.702*LOOKUP(F26,密度!$A$2:$A$50,密度!$Q$2:$Q$50)</f>
        <v>33962.916108439997</v>
      </c>
      <c r="G25" s="91" ph="1">
        <f>G24*18.322*LOOKUP(G26,密度!$A$2:$A$50,密度!$B$2:$B$50)</f>
        <v>54360.930607599992</v>
      </c>
      <c r="H25" s="91" ph="1">
        <f>H24*18.322*LOOKUP(H26,密度!$A$2:$A$50,密度!$B$2:$B$50)</f>
        <v>52531.546698999991</v>
      </c>
      <c r="I25" s="91" ph="1">
        <f>I24*18.322*LOOKUP(I26,密度!$A$2:$A$50,密度!$Q$2:$Q$50)</f>
        <v>41577.641709179996</v>
      </c>
      <c r="J25" s="91" ph="1">
        <f>J24*18.322*LOOKUP(J26,密度!$A$2:$A$50,密度!$Q$2:$Q$50)</f>
        <v>8425.8663940000006</v>
      </c>
      <c r="K25" s="91" ph="1">
        <f>K24*18.322*LOOKUP(K26,密度!$A$2:$A$50,密度!$Q$2:$Q$50)</f>
        <v>83068.337283460001</v>
      </c>
      <c r="L25" s="91" ph="1">
        <f>L24*18.322*LOOKUP(L26,密度!$A$2:$A$50,密度!$Q$2:$Q$50)</f>
        <v>76267.120556000009</v>
      </c>
      <c r="M25" s="91" ph="1">
        <f>M24*18.322*LOOKUP(M26,密度!$A$2:$A$50,密度!$Q$2:$Q$50)</f>
        <v>45959.726908139994</v>
      </c>
      <c r="N25" s="91" ph="1">
        <f>N24*18.322*LOOKUP(N26,密度!$A$2:$A$50,密度!$Q$2:$Q$50)</f>
        <v>49628.853800919998</v>
      </c>
      <c r="O25" s="91" ph="1">
        <f>O24*18.322*LOOKUP(O26,密度!$A$2:$A$50,密度!$C$2:$C$50)</f>
        <v>116628.5425918</v>
      </c>
      <c r="P25" s="91" ph="1">
        <f>P24*11.702*LOOKUP(P26,密度!$A$2:$A$50,密度!$B$2:$B$50)</f>
        <v>3249.838483</v>
      </c>
      <c r="Q25" s="92" ph="1">
        <f>Q24*18.322*LOOKUP(Q26,密度!$A$2:$A$50,密度!$B$2:$B$50)</f>
        <v>51013.504871999998</v>
      </c>
      <c r="R25" s="91" ph="1">
        <f>R24*35.891*LOOKUP(R26,密度!$A$2:$A$50,密度!$C$2:$C$50)</f>
        <v>150222.2722067</v>
      </c>
      <c r="S25" s="91" ph="1">
        <f>S24*35.891*LOOKUP(S26,密度!$A$2:$A$50,密度!$B$2:$B$50)</f>
        <v>1544.2641114999999</v>
      </c>
      <c r="T25" s="91" ph="1">
        <f>T24*35.891*LOOKUP(T26,密度!$A$2:$A$50,密度!$Q$2:$Q$50)</f>
        <v>7362.4299386399998</v>
      </c>
      <c r="U25" s="91" ph="1">
        <f>U24*35.891</f>
        <v>150455.07199999999</v>
      </c>
      <c r="V25" s="91" ph="1">
        <f>V24*47.051*LOOKUP(V26,密度!$A$2:$A$50,密度!$B$2:$B$50)</f>
        <v>89296.201449800006</v>
      </c>
      <c r="W25" s="91" ph="1">
        <f>W24*47.051*LOOKUP(W26,密度!$A$2:$A$50,密度!$B$2:$B$50)</f>
        <v>19361.0065798</v>
      </c>
      <c r="X25" s="91" ph="1">
        <f>X24*47.051*LOOKUP(X26,密度!$A$2:$A$61,密度!$I$2:$I$61)</f>
        <v>431036.54472959996</v>
      </c>
      <c r="Y25" s="91" ph="1">
        <f>Y24*47.051*LOOKUP(Y26,密度!$A$2:$A$50,密度!$L$2:$L$50)</f>
        <v>334451.68228000001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23</v>
      </c>
      <c r="K26" s="74">
        <v>22</v>
      </c>
      <c r="L26" s="74">
        <v>23</v>
      </c>
      <c r="M26" s="74">
        <v>22</v>
      </c>
      <c r="N26" s="74">
        <v>22</v>
      </c>
      <c r="O26" s="74">
        <v>22</v>
      </c>
      <c r="P26" s="74">
        <v>22</v>
      </c>
      <c r="Q26" s="93">
        <v>21</v>
      </c>
      <c r="R26" s="74">
        <v>22</v>
      </c>
      <c r="S26" s="74">
        <v>22</v>
      </c>
      <c r="T26" s="74">
        <v>21</v>
      </c>
      <c r="U26" s="74">
        <v>22</v>
      </c>
      <c r="V26" s="74">
        <v>22</v>
      </c>
      <c r="W26" s="74">
        <v>22</v>
      </c>
      <c r="X26" s="74">
        <v>46</v>
      </c>
      <c r="Y26" s="74">
        <v>22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47" t="s" ph="1">
        <v>180</v>
      </c>
      <c r="D27" s="71">
        <v>44.6</v>
      </c>
      <c r="E27" s="71">
        <v>39</v>
      </c>
      <c r="F27" s="71">
        <v>2715</v>
      </c>
      <c r="G27" s="71">
        <v>3337</v>
      </c>
      <c r="H27" s="71">
        <v>2590</v>
      </c>
      <c r="I27" s="71">
        <v>2390</v>
      </c>
      <c r="J27" s="71">
        <v>481</v>
      </c>
      <c r="K27" s="71">
        <v>4233</v>
      </c>
      <c r="L27" s="71">
        <v>4386</v>
      </c>
      <c r="M27" s="71">
        <v>2641</v>
      </c>
      <c r="N27" s="71">
        <v>2851</v>
      </c>
      <c r="O27" s="71">
        <v>5725</v>
      </c>
      <c r="P27" s="71">
        <v>350</v>
      </c>
      <c r="Q27" s="90">
        <v>3819</v>
      </c>
      <c r="R27" s="71">
        <v>3692</v>
      </c>
      <c r="S27" s="71">
        <v>51</v>
      </c>
      <c r="T27" s="71">
        <v>213</v>
      </c>
      <c r="U27" s="71">
        <v>4230</v>
      </c>
      <c r="V27" s="71">
        <v>3844</v>
      </c>
      <c r="W27" s="71">
        <v>208</v>
      </c>
      <c r="X27" s="71">
        <v>8870</v>
      </c>
      <c r="Y27" s="71">
        <v>5952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47" t="s" ph="1">
        <v>178</v>
      </c>
      <c r="D28" s="91" ph="1">
        <f>D27*268.68*LOOKUP(D29,密度!$A$2:$A$50,密度!$Q$2:$Q$50)+IF(D27&lt;=0,0,1566*LOOKUP(D29,密度!$A$2:$A$50,密度!$Q$2:$Q$50))</f>
        <v>12827.50144272</v>
      </c>
      <c r="E28" s="91" ph="1">
        <f>E27*268.68*LOOKUP(E29,密度!$A$2:$A$50,密度!$C$2:$C$50)+IF(E27&lt;=0,0,1566*LOOKUP(E29,密度!$A$2:$A$50,密度!$C$2:$C$50))</f>
        <v>13356.168228</v>
      </c>
      <c r="F28" s="91" ph="1">
        <f>F27*11.702*LOOKUP(F29,密度!$A$2:$A$50,密度!$Q$2:$Q$50)</f>
        <v>30153.471953699998</v>
      </c>
      <c r="G28" s="91" ph="1">
        <f>G27*18.322*LOOKUP(G29,密度!$A$2:$A$50,密度!$B$2:$B$50)</f>
        <v>47775.197639599995</v>
      </c>
      <c r="H28" s="91" ph="1">
        <f>H27*18.322*LOOKUP(H29,密度!$A$2:$A$50,密度!$B$2:$B$50)</f>
        <v>37246.628901999997</v>
      </c>
      <c r="I28" s="91" ph="1">
        <f>I27*18.322*LOOKUP(I29,密度!$A$2:$A$50,密度!$Q$2:$Q$50)</f>
        <v>41521.279755999996</v>
      </c>
      <c r="J28" s="91" ph="1">
        <f>J27*18.322*LOOKUP(J29,密度!$A$2:$A$50,密度!$Q$2:$Q$50)</f>
        <v>8349.9413085399992</v>
      </c>
      <c r="K28" s="91" ph="1">
        <f>K27*18.322*LOOKUP(K29,密度!$A$2:$A$50,密度!$Q$2:$Q$50)</f>
        <v>73655.132021940008</v>
      </c>
      <c r="L28" s="91" ph="1">
        <f>L27*18.322*LOOKUP(L29,密度!$A$2:$A$50,密度!$Q$2:$Q$50)</f>
        <v>76317.36570948</v>
      </c>
      <c r="M28" s="91" ph="1">
        <f>M27*18.322*LOOKUP(M29,密度!$A$2:$A$50,密度!$Q$2:$Q$50)</f>
        <v>45987.369492759994</v>
      </c>
      <c r="N28" s="91" ph="1">
        <f>N27*18.322*LOOKUP(N29,密度!$A$2:$A$50,密度!$Q$2:$Q$50)</f>
        <v>49530.196060399998</v>
      </c>
      <c r="O28" s="91" ph="1">
        <f>O27*18.322*LOOKUP(O29,密度!$A$2:$A$50,密度!$C$2:$C$50)</f>
        <v>116631.02705500001</v>
      </c>
      <c r="P28" s="91" ph="1">
        <f>P27*11.702*LOOKUP(P29,密度!$A$2:$A$50,密度!$B$2:$B$50)</f>
        <v>3196.6938499999997</v>
      </c>
      <c r="Q28" s="92" ph="1">
        <f>Q27*18.322*LOOKUP(Q29,密度!$A$2:$A$50,密度!$B$2:$B$50)</f>
        <v>54675.900445199994</v>
      </c>
      <c r="R28" s="91" ph="1">
        <f>R27*35.891*LOOKUP(R29,密度!$A$2:$A$50,密度!$C$2:$C$50)</f>
        <v>147231.38544919997</v>
      </c>
      <c r="S28" s="91" ph="1">
        <f>S27*35.891*LOOKUP(S29,密度!$A$2:$A$50,密度!$B$2:$B$50)</f>
        <v>1431.9539942999997</v>
      </c>
      <c r="T28" s="91" ph="1">
        <f>T27*35.891*LOOKUP(T29,密度!$A$2:$A$50,密度!$Q$2:$Q$50)</f>
        <v>7248.7832405999998</v>
      </c>
      <c r="U28" s="91" ph="1">
        <f>U27*35.891</f>
        <v>151818.93</v>
      </c>
      <c r="V28" s="91" ph="1">
        <f>V27*47.051*LOOKUP(V29,密度!$A$2:$A$50,密度!$B$2:$B$50)</f>
        <v>141652.71926079999</v>
      </c>
      <c r="W28" s="91" ph="1">
        <f>W27*47.051*LOOKUP(W29,密度!$A$2:$A$50,密度!$B$2:$B$50)</f>
        <v>7656.0634384000005</v>
      </c>
      <c r="X28" s="91" ph="1">
        <f>X27*47.051*LOOKUP(X29,密度!$A$2:$A$61,密度!$I$2:$I$61)</f>
        <v>423769.44249800005</v>
      </c>
      <c r="Y28" s="91" ph="1">
        <f>Y27*47.051*LOOKUP(Y29,密度!$A$2:$A$50,密度!$L$2:$L$50)</f>
        <v>263244.69887999998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47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19</v>
      </c>
      <c r="I29" s="74">
        <v>23</v>
      </c>
      <c r="J29" s="74">
        <v>24</v>
      </c>
      <c r="K29" s="74">
        <v>21</v>
      </c>
      <c r="L29" s="74">
        <v>21</v>
      </c>
      <c r="M29" s="74">
        <v>20</v>
      </c>
      <c r="N29" s="74">
        <v>23</v>
      </c>
      <c r="O29" s="74">
        <v>21</v>
      </c>
      <c r="P29" s="74">
        <v>24</v>
      </c>
      <c r="Q29" s="93">
        <v>23</v>
      </c>
      <c r="R29" s="74">
        <v>22</v>
      </c>
      <c r="S29" s="74">
        <v>22</v>
      </c>
      <c r="T29" s="74">
        <v>23</v>
      </c>
      <c r="U29" s="74">
        <v>21</v>
      </c>
      <c r="V29" s="74">
        <v>21</v>
      </c>
      <c r="W29" s="74">
        <v>22</v>
      </c>
      <c r="X29" s="74">
        <v>49</v>
      </c>
      <c r="Y29" s="74">
        <v>22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328038.62625000003</v>
      </c>
      <c r="E33" s="187" ph="1">
        <f>M10+I10</f>
        <v>8380.2621426000005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3" ph="1">
        <f>N19</f>
        <v>8711.4925854400008</v>
      </c>
      <c r="H33" s="187" ph="1">
        <f>M19</f>
        <v>44519.224426140005</v>
      </c>
      <c r="I33" s="191" ph="1">
        <v>0</v>
      </c>
      <c r="J33" s="195" ph="1">
        <f>F10+O28</f>
        <v>326778.7935034</v>
      </c>
      <c r="K33" s="187" ph="1">
        <f>O10+K10+E28+R28</f>
        <v>270229.16470799997</v>
      </c>
      <c r="L33" s="197" ph="1">
        <f>K19</f>
        <v>36136.712407039995</v>
      </c>
      <c r="M33" s="195" ph="1">
        <f>G10+H10+W28+S28+V28+E10+R19+P28+Q28</f>
        <v>885532.81812586018</v>
      </c>
      <c r="N33" s="187" ph="1">
        <f>L10+P10++G28+H28+AD19+AE19</f>
        <v>431746.30823820003</v>
      </c>
      <c r="O33" s="191" ph="1">
        <f>G19</f>
        <v>19557.9091429</v>
      </c>
      <c r="P33" s="195" ph="1">
        <f>L19</f>
        <v>39858.271204160003</v>
      </c>
      <c r="Q33" s="187" ph="1">
        <f>J10+N10</f>
        <v>69882.511090400003</v>
      </c>
      <c r="R33" s="191" ph="1">
        <f>BE23</f>
        <v>890</v>
      </c>
      <c r="S33" s="195" ph="1">
        <f>X28</f>
        <v>423769.44249800005</v>
      </c>
      <c r="T33" s="187" ph="1">
        <f>X19</f>
        <v>6718.5488322000001</v>
      </c>
      <c r="U33" s="176" ph="1">
        <f>BE21</f>
        <v>730</v>
      </c>
      <c r="V33" s="189" ph="1">
        <f ca="1">P19+Q19+S19+M28+N28+J28+D10+AC10+D19+E19+H19+J19+O19+V19+W19+K28+L28</f>
        <v>958255.872462022</v>
      </c>
      <c r="W33" s="189" ph="1">
        <f>D28+F28+T28+I28</f>
        <v>91751.036393019996</v>
      </c>
      <c r="X33" s="191" ph="1">
        <f>BE29+BE31</f>
        <v>10200</v>
      </c>
      <c r="Y33" s="193" ph="1">
        <f>+Q10+R10+S10+T10+U10+V10+W10+X10+Y10</f>
        <v>277968.66589800001</v>
      </c>
      <c r="Z33" s="174" ph="1">
        <f>T19+U19+Y28+Z10</f>
        <v>403719.68840852001</v>
      </c>
      <c r="AA33" s="176" ph="1">
        <f>BE19</f>
        <v>1440</v>
      </c>
      <c r="AB33" s="178" ph="1">
        <f>I19</f>
        <v>48778.860722799996</v>
      </c>
      <c r="AC33" s="180" ph="1">
        <f>AD10+AB19</f>
        <v>153209.83739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5" t="s" ph="1">
        <v>185</v>
      </c>
      <c r="AA36" s="145" ph="1"/>
      <c r="AB36" s="173" t="s" ph="1">
        <v>638</v>
      </c>
      <c r="AC36" s="173" ph="1"/>
      <c r="AD36" s="173" ph="1"/>
      <c r="AE36" s="173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342</v>
      </c>
      <c r="AI37" s="145" t="s" ph="1">
        <v>209</v>
      </c>
      <c r="AJ37" s="145" t="s" ph="1">
        <v>210</v>
      </c>
      <c r="AK37" s="145" t="s" ph="1">
        <v>211</v>
      </c>
      <c r="AM37" s="145" t="s" ph="1">
        <v>210</v>
      </c>
      <c r="AN37" s="145" t="s" ph="1">
        <v>211</v>
      </c>
      <c r="AO37" s="145" t="s" ph="1">
        <v>212</v>
      </c>
      <c r="AP37" s="145" t="s" ph="1">
        <v>210</v>
      </c>
      <c r="AQ37" s="145" t="s" ph="1">
        <v>211</v>
      </c>
      <c r="AR37" s="145" t="s" ph="1">
        <v>212</v>
      </c>
      <c r="AS37" s="145" t="s" ph="1">
        <v>210</v>
      </c>
      <c r="AT37" s="145" t="s" ph="1">
        <v>211</v>
      </c>
      <c r="AU37" s="145" t="s" ph="1">
        <v>212</v>
      </c>
      <c r="AV37" s="145" t="s" ph="1">
        <v>210</v>
      </c>
      <c r="AW37" s="145" t="s" ph="1">
        <v>211</v>
      </c>
      <c r="AX37" s="145" t="s" ph="1">
        <v>212</v>
      </c>
      <c r="AY37" s="145" t="s" ph="1">
        <v>211</v>
      </c>
      <c r="AZ37" s="145" t="s" ph="1">
        <v>213</v>
      </c>
      <c r="BD37" s="145" t="s" ph="1">
        <v>305</v>
      </c>
      <c r="BE37" s="14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119" priority="100">
      <formula>ABS(D$7-D$10)&gt;=1000</formula>
    </cfRule>
  </conditionalFormatting>
  <conditionalFormatting sqref="E4 E6:E11">
    <cfRule type="expression" dxfId="3118" priority="99">
      <formula>ABS(E$7-E$10)&gt;=1000</formula>
    </cfRule>
  </conditionalFormatting>
  <conditionalFormatting sqref="F4:F11">
    <cfRule type="expression" dxfId="3117" priority="98">
      <formula>ABS(F$7-F$10)&gt;=1000</formula>
    </cfRule>
  </conditionalFormatting>
  <conditionalFormatting sqref="G4:G11">
    <cfRule type="expression" dxfId="3116" priority="97">
      <formula>ABS(G$7-G$10)&gt;=1000</formula>
    </cfRule>
  </conditionalFormatting>
  <conditionalFormatting sqref="H4:H11">
    <cfRule type="expression" dxfId="3115" priority="96">
      <formula>ABS(H$7-H$10)&gt;=1000</formula>
    </cfRule>
  </conditionalFormatting>
  <conditionalFormatting sqref="I4:I11">
    <cfRule type="expression" dxfId="3114" priority="95">
      <formula>ABS(I$7-I$10)&gt;=1000</formula>
    </cfRule>
  </conditionalFormatting>
  <conditionalFormatting sqref="J4:J11">
    <cfRule type="expression" dxfId="3113" priority="94">
      <formula>ABS(J$7-J$10)&gt;=1000</formula>
    </cfRule>
  </conditionalFormatting>
  <conditionalFormatting sqref="K4:K11">
    <cfRule type="expression" dxfId="3112" priority="93">
      <formula>ABS(K$7-K$10)&gt;=1000</formula>
    </cfRule>
  </conditionalFormatting>
  <conditionalFormatting sqref="L4:L11">
    <cfRule type="expression" dxfId="3111" priority="92">
      <formula>ABS(L$7-L$10)&gt;=1000</formula>
    </cfRule>
  </conditionalFormatting>
  <conditionalFormatting sqref="M4 M6:M11">
    <cfRule type="expression" dxfId="3110" priority="91">
      <formula>ABS(M$7-M$10)&gt;=1000</formula>
    </cfRule>
  </conditionalFormatting>
  <conditionalFormatting sqref="N4 N6:N11">
    <cfRule type="expression" dxfId="3109" priority="90">
      <formula>ABS(N$7-N$10)&gt;=1000</formula>
    </cfRule>
  </conditionalFormatting>
  <conditionalFormatting sqref="O4 O6:O11">
    <cfRule type="expression" dxfId="3108" priority="89">
      <formula>ABS(O$7-O$10)&gt;=1000</formula>
    </cfRule>
  </conditionalFormatting>
  <conditionalFormatting sqref="P4 P6:P11">
    <cfRule type="expression" dxfId="3107" priority="88">
      <formula>ABS(P$7-P$10)&gt;=1000</formula>
    </cfRule>
  </conditionalFormatting>
  <conditionalFormatting sqref="Q4:Q11">
    <cfRule type="expression" dxfId="3106" priority="87">
      <formula>ABS(Q$7-Q$10)&gt;=1000</formula>
    </cfRule>
  </conditionalFormatting>
  <conditionalFormatting sqref="R4:R11">
    <cfRule type="expression" dxfId="3105" priority="86">
      <formula>ABS(R$7-R$10)&gt;=1000</formula>
    </cfRule>
  </conditionalFormatting>
  <conditionalFormatting sqref="S4:S11">
    <cfRule type="expression" dxfId="3104" priority="85">
      <formula>ABS(S$7-S$10)&gt;=1000</formula>
    </cfRule>
  </conditionalFormatting>
  <conditionalFormatting sqref="T4:T9 T11">
    <cfRule type="expression" dxfId="3103" priority="84">
      <formula>ABS(T$7-T$10)&gt;=1000</formula>
    </cfRule>
  </conditionalFormatting>
  <conditionalFormatting sqref="U4:U9 U11">
    <cfRule type="expression" dxfId="3102" priority="83">
      <formula>ABS(U$7-U$10)&gt;=1000</formula>
    </cfRule>
  </conditionalFormatting>
  <conditionalFormatting sqref="V4:V9 V11">
    <cfRule type="expression" dxfId="3101" priority="82">
      <formula>ABS(V$7-V$10)&gt;=1000</formula>
    </cfRule>
  </conditionalFormatting>
  <conditionalFormatting sqref="W4:W9 W11">
    <cfRule type="expression" dxfId="3100" priority="81">
      <formula>ABS(W$7-W$10)&gt;=1000</formula>
    </cfRule>
  </conditionalFormatting>
  <conditionalFormatting sqref="X4:X9 X11">
    <cfRule type="expression" dxfId="3099" priority="80">
      <formula>ABS(X$7-X$10)&gt;=1000</formula>
    </cfRule>
  </conditionalFormatting>
  <conditionalFormatting sqref="Y4:Y9 Y11">
    <cfRule type="expression" dxfId="3098" priority="79">
      <formula>ABS(Y$7-Y$10)&gt;=1000</formula>
    </cfRule>
  </conditionalFormatting>
  <conditionalFormatting sqref="Z4:Z11">
    <cfRule type="expression" dxfId="3097" priority="78">
      <formula>ABS(Z$7-Z$10)&gt;=1000</formula>
    </cfRule>
  </conditionalFormatting>
  <conditionalFormatting sqref="AA4:AA11">
    <cfRule type="expression" dxfId="3096" priority="77">
      <formula>ABS(AA$7-AA$10)&gt;=1000</formula>
    </cfRule>
  </conditionalFormatting>
  <conditionalFormatting sqref="AB4:AB11">
    <cfRule type="expression" dxfId="3095" priority="76">
      <formula>ABS(AB$7-AB$10)&gt;=1000</formula>
    </cfRule>
  </conditionalFormatting>
  <conditionalFormatting sqref="AC4 AC6:AC11">
    <cfRule type="expression" dxfId="3094" priority="75">
      <formula>ABS(AC$7-AC$10)&gt;=1000</formula>
    </cfRule>
  </conditionalFormatting>
  <conditionalFormatting sqref="AD4 AD6:AD11">
    <cfRule type="expression" dxfId="3093" priority="74">
      <formula>ABS(AD$7-AD$10)&gt;=1000</formula>
    </cfRule>
  </conditionalFormatting>
  <conditionalFormatting sqref="AE4 AE6:AE11">
    <cfRule type="expression" dxfId="3092" priority="73">
      <formula>ABS(AE$7-AE$10)&gt;=1000</formula>
    </cfRule>
  </conditionalFormatting>
  <conditionalFormatting sqref="D13:D20">
    <cfRule type="expression" dxfId="3091" priority="72">
      <formula>ABS(D$16-D$19)&gt;=1000</formula>
    </cfRule>
  </conditionalFormatting>
  <conditionalFormatting sqref="E13:E20">
    <cfRule type="expression" dxfId="3090" priority="71">
      <formula>ABS(E$16-E$19)&gt;=1000</formula>
    </cfRule>
  </conditionalFormatting>
  <conditionalFormatting sqref="F13 F15:F20">
    <cfRule type="expression" dxfId="3089" priority="70">
      <formula>ABS(F$16-F$19)&gt;=1000</formula>
    </cfRule>
  </conditionalFormatting>
  <conditionalFormatting sqref="G13:G20">
    <cfRule type="expression" dxfId="3088" priority="69">
      <formula>ABS(G$16-G$19)&gt;=1000</formula>
    </cfRule>
  </conditionalFormatting>
  <conditionalFormatting sqref="H13 H15:H20">
    <cfRule type="expression" dxfId="3087" priority="68">
      <formula>ABS(H$16-H$19)&gt;=1000</formula>
    </cfRule>
  </conditionalFormatting>
  <conditionalFormatting sqref="I13:I20">
    <cfRule type="expression" dxfId="3086" priority="67">
      <formula>ABS(I$16-I$19)&gt;=1000</formula>
    </cfRule>
  </conditionalFormatting>
  <conditionalFormatting sqref="J13:J20">
    <cfRule type="expression" dxfId="3085" priority="66">
      <formula>ABS(J$16-J$19)&gt;=1000</formula>
    </cfRule>
  </conditionalFormatting>
  <conditionalFormatting sqref="L13:L20">
    <cfRule type="expression" dxfId="3084" priority="65">
      <formula>ABS(L$16-L$19)&gt;=1000</formula>
    </cfRule>
  </conditionalFormatting>
  <conditionalFormatting sqref="M13 M15 M17:M18 M20">
    <cfRule type="expression" dxfId="3083" priority="64">
      <formula>ABS(M$16-M$19)&gt;=1000</formula>
    </cfRule>
  </conditionalFormatting>
  <conditionalFormatting sqref="N13:N20">
    <cfRule type="expression" dxfId="3082" priority="63">
      <formula>ABS(N$16-N$19)&gt;=1000</formula>
    </cfRule>
  </conditionalFormatting>
  <conditionalFormatting sqref="O13:O20">
    <cfRule type="expression" dxfId="3081" priority="62">
      <formula>ABS(O$16-O$19)&gt;=1000</formula>
    </cfRule>
  </conditionalFormatting>
  <conditionalFormatting sqref="P13:P20">
    <cfRule type="expression" dxfId="3080" priority="61">
      <formula>ABS(P$16-P$19)&gt;=1000</formula>
    </cfRule>
  </conditionalFormatting>
  <conditionalFormatting sqref="Q13 Q15:Q20">
    <cfRule type="expression" dxfId="3079" priority="60">
      <formula>ABS(Q$16-Q$19)&gt;=1000</formula>
    </cfRule>
  </conditionalFormatting>
  <conditionalFormatting sqref="R13:R20">
    <cfRule type="expression" dxfId="3078" priority="59">
      <formula>ABS(R$16-R$19)&gt;=1000</formula>
    </cfRule>
  </conditionalFormatting>
  <conditionalFormatting sqref="S13:S20">
    <cfRule type="expression" dxfId="3077" priority="58">
      <formula>ABS(S$16-S$19)&gt;=1000</formula>
    </cfRule>
  </conditionalFormatting>
  <conditionalFormatting sqref="T13:T20">
    <cfRule type="expression" dxfId="3076" priority="57">
      <formula>ABS(T$16-T$19)&gt;=1000</formula>
    </cfRule>
  </conditionalFormatting>
  <conditionalFormatting sqref="U13:U20">
    <cfRule type="expression" dxfId="3075" priority="56">
      <formula>ABS(U$16-U$19)&gt;=1000</formula>
    </cfRule>
  </conditionalFormatting>
  <conditionalFormatting sqref="V13:V20">
    <cfRule type="expression" dxfId="3074" priority="55">
      <formula>ABS(V$16-V$19)&gt;=1000</formula>
    </cfRule>
  </conditionalFormatting>
  <conditionalFormatting sqref="W13 W20 W15:W18">
    <cfRule type="expression" dxfId="3073" priority="54">
      <formula>ABS(W$16-W$19)&gt;=1000</formula>
    </cfRule>
  </conditionalFormatting>
  <conditionalFormatting sqref="X13 X15:X20 Y19">
    <cfRule type="expression" dxfId="3072" priority="53">
      <formula>ABS(X$16-X$19)&gt;=1000</formula>
    </cfRule>
  </conditionalFormatting>
  <conditionalFormatting sqref="Y13 Y15:Y18 Y20">
    <cfRule type="expression" dxfId="3071" priority="52">
      <formula>ABS(Y$16-Y$19)&gt;=1000</formula>
    </cfRule>
  </conditionalFormatting>
  <conditionalFormatting sqref="Z13:Z20">
    <cfRule type="expression" dxfId="3070" priority="51">
      <formula>ABS(Z$16-Z$19)&gt;=1000</formula>
    </cfRule>
  </conditionalFormatting>
  <conditionalFormatting sqref="AA13:AA20">
    <cfRule type="expression" dxfId="3069" priority="50">
      <formula>ABS(AA$16-AA$19)&gt;=1000</formula>
    </cfRule>
  </conditionalFormatting>
  <conditionalFormatting sqref="AB13 AB15:AB20">
    <cfRule type="expression" dxfId="3068" priority="49">
      <formula>ABS(AB$16-AB$19)&gt;=1000</formula>
    </cfRule>
  </conditionalFormatting>
  <conditionalFormatting sqref="AC13 AC15:AC20">
    <cfRule type="expression" dxfId="3067" priority="48">
      <formula>ABS(AC$16-AC$19)&gt;=1000</formula>
    </cfRule>
  </conditionalFormatting>
  <conditionalFormatting sqref="AD13:AD20">
    <cfRule type="expression" dxfId="3066" priority="47">
      <formula>ABS(AD$16-AD$19)&gt;=1000</formula>
    </cfRule>
  </conditionalFormatting>
  <conditionalFormatting sqref="AE13:AE20">
    <cfRule type="expression" dxfId="3065" priority="46">
      <formula>ABS(AE$16-AE$19)&gt;=1000</formula>
    </cfRule>
  </conditionalFormatting>
  <conditionalFormatting sqref="D22:D29">
    <cfRule type="expression" dxfId="3064" priority="45">
      <formula>ABS(D$25-D$28)&gt;=1000</formula>
    </cfRule>
  </conditionalFormatting>
  <conditionalFormatting sqref="E22:E29">
    <cfRule type="expression" dxfId="3063" priority="44">
      <formula>ABS(E$25-E$28)&gt;=1000</formula>
    </cfRule>
  </conditionalFormatting>
  <conditionalFormatting sqref="F22:F29">
    <cfRule type="expression" dxfId="3062" priority="43">
      <formula>ABS(F$25-F$28)&gt;=1000</formula>
    </cfRule>
  </conditionalFormatting>
  <conditionalFormatting sqref="G22:G29">
    <cfRule type="expression" dxfId="3061" priority="42">
      <formula>ABS(G$25-G$28)&gt;=1000</formula>
    </cfRule>
  </conditionalFormatting>
  <conditionalFormatting sqref="H22:H29">
    <cfRule type="expression" dxfId="3060" priority="41">
      <formula>ABS(H$25-H$28)&gt;=1000</formula>
    </cfRule>
  </conditionalFormatting>
  <conditionalFormatting sqref="I22 I24:I29">
    <cfRule type="expression" dxfId="3059" priority="40">
      <formula>ABS(I$25-I$28)&gt;=1000</formula>
    </cfRule>
  </conditionalFormatting>
  <conditionalFormatting sqref="J22:J29 K22">
    <cfRule type="expression" dxfId="3058" priority="39">
      <formula>ABS(J$25-J$28)&gt;=1000</formula>
    </cfRule>
  </conditionalFormatting>
  <conditionalFormatting sqref="K23:K29 L25 L28">
    <cfRule type="expression" dxfId="3057" priority="38">
      <formula>ABS(K$25-K$28)&gt;=1000</formula>
    </cfRule>
  </conditionalFormatting>
  <conditionalFormatting sqref="L22 L26:L27 L29 L24">
    <cfRule type="expression" dxfId="3056" priority="37">
      <formula>ABS(L$25-L$28)&gt;=1000</formula>
    </cfRule>
  </conditionalFormatting>
  <conditionalFormatting sqref="M22:M29">
    <cfRule type="expression" dxfId="3055" priority="36">
      <formula>ABS(M$25-M$28)&gt;=1000</formula>
    </cfRule>
  </conditionalFormatting>
  <conditionalFormatting sqref="N22:N29">
    <cfRule type="expression" dxfId="3054" priority="35">
      <formula>ABS(N$25-N$28)&gt;=1000</formula>
    </cfRule>
  </conditionalFormatting>
  <conditionalFormatting sqref="O22:O29">
    <cfRule type="expression" dxfId="3053" priority="34">
      <formula>ABS(O$25-O$28)&gt;=1000</formula>
    </cfRule>
  </conditionalFormatting>
  <conditionalFormatting sqref="P22:P29">
    <cfRule type="expression" dxfId="3052" priority="33">
      <formula>ABS(P$25-P$28)&gt;=1000</formula>
    </cfRule>
  </conditionalFormatting>
  <conditionalFormatting sqref="Q22:Q29">
    <cfRule type="expression" dxfId="3051" priority="32">
      <formula>ABS(Q$25-Q$28)&gt;=1000</formula>
    </cfRule>
  </conditionalFormatting>
  <conditionalFormatting sqref="R22:R29">
    <cfRule type="expression" dxfId="3050" priority="31">
      <formula>ABS(R$25-R$28)&gt;=1000</formula>
    </cfRule>
  </conditionalFormatting>
  <conditionalFormatting sqref="S22:S29">
    <cfRule type="expression" dxfId="3049" priority="30">
      <formula>ABS(S$25-S$28)&gt;=1000</formula>
    </cfRule>
  </conditionalFormatting>
  <conditionalFormatting sqref="T22:T29">
    <cfRule type="expression" dxfId="3048" priority="29">
      <formula>ABS(T$25-T$28)&gt;=1000</formula>
    </cfRule>
  </conditionalFormatting>
  <conditionalFormatting sqref="U22:U29">
    <cfRule type="expression" dxfId="3047" priority="28">
      <formula>ABS(U$25-U$28)&gt;=1000</formula>
    </cfRule>
  </conditionalFormatting>
  <conditionalFormatting sqref="V22:V29">
    <cfRule type="expression" dxfId="3046" priority="27">
      <formula>ABS(V$25-V$28)&gt;=1000</formula>
    </cfRule>
  </conditionalFormatting>
  <conditionalFormatting sqref="W22:W29">
    <cfRule type="expression" dxfId="3045" priority="26">
      <formula>ABS(W$25-W$28)&gt;=1000</formula>
    </cfRule>
  </conditionalFormatting>
  <conditionalFormatting sqref="X22:X29">
    <cfRule type="expression" dxfId="3044" priority="25">
      <formula>ABS(X$25-X$28)&gt;=1000</formula>
    </cfRule>
  </conditionalFormatting>
  <conditionalFormatting sqref="Y22:Y29">
    <cfRule type="expression" dxfId="3043" priority="24">
      <formula>ABS(Y$25-Y$28)&gt;=1000</formula>
    </cfRule>
  </conditionalFormatting>
  <conditionalFormatting sqref="I23">
    <cfRule type="expression" dxfId="3042" priority="23">
      <formula>ABS(I$25-I$28)&gt;=1000</formula>
    </cfRule>
  </conditionalFormatting>
  <conditionalFormatting sqref="Q14">
    <cfRule type="expression" dxfId="3041" priority="22">
      <formula>ABS(Q$16-Q$19)&gt;=1000</formula>
    </cfRule>
  </conditionalFormatting>
  <conditionalFormatting sqref="W14">
    <cfRule type="expression" dxfId="3040" priority="21">
      <formula>ABS(W$16-W$19)&gt;=1000</formula>
    </cfRule>
  </conditionalFormatting>
  <conditionalFormatting sqref="X14">
    <cfRule type="expression" dxfId="3039" priority="20">
      <formula>ABS(X$16-X$19)&gt;=1000</formula>
    </cfRule>
  </conditionalFormatting>
  <conditionalFormatting sqref="T10:Y10">
    <cfRule type="expression" dxfId="3038" priority="19">
      <formula>ABS(T$7-T$10)&gt;=1000</formula>
    </cfRule>
  </conditionalFormatting>
  <conditionalFormatting sqref="W19">
    <cfRule type="expression" dxfId="3037" priority="18">
      <formula>ABS(W$16-W$19)&gt;=1000</formula>
    </cfRule>
  </conditionalFormatting>
  <conditionalFormatting sqref="AC5">
    <cfRule type="expression" dxfId="3036" priority="17">
      <formula>ABS(AC$7-AC$10)&gt;=1000</formula>
    </cfRule>
  </conditionalFormatting>
  <conditionalFormatting sqref="M14">
    <cfRule type="expression" dxfId="3035" priority="16">
      <formula>ABS(M$16-M$19)&gt;=1000</formula>
    </cfRule>
  </conditionalFormatting>
  <conditionalFormatting sqref="M16">
    <cfRule type="expression" dxfId="3034" priority="15">
      <formula>ABS(M$16-M$19)&gt;=1000</formula>
    </cfRule>
  </conditionalFormatting>
  <conditionalFormatting sqref="M19">
    <cfRule type="expression" dxfId="3033" priority="14">
      <formula>ABS(M$16-M$19)&gt;=1000</formula>
    </cfRule>
  </conditionalFormatting>
  <conditionalFormatting sqref="K13:K20">
    <cfRule type="expression" dxfId="3032" priority="13">
      <formula>ABS(K$16-K$19)&gt;=1000</formula>
    </cfRule>
  </conditionalFormatting>
  <conditionalFormatting sqref="E5">
    <cfRule type="expression" dxfId="3031" priority="12">
      <formula>ABS(E$7-E$10)&gt;=1000</formula>
    </cfRule>
  </conditionalFormatting>
  <conditionalFormatting sqref="AB14:AC14">
    <cfRule type="expression" dxfId="3030" priority="11">
      <formula>ABS(AB$16-AB$19)&gt;=1000</formula>
    </cfRule>
  </conditionalFormatting>
  <conditionalFormatting sqref="M5">
    <cfRule type="expression" dxfId="3029" priority="10">
      <formula>ABS(M$7-M$10)&gt;=1000</formula>
    </cfRule>
  </conditionalFormatting>
  <conditionalFormatting sqref="N5">
    <cfRule type="expression" dxfId="3028" priority="9">
      <formula>ABS(N$7-N$10)&gt;=1000</formula>
    </cfRule>
  </conditionalFormatting>
  <conditionalFormatting sqref="O5">
    <cfRule type="expression" dxfId="3027" priority="8">
      <formula>ABS(O$7-O$10)&gt;=1000</formula>
    </cfRule>
  </conditionalFormatting>
  <conditionalFormatting sqref="P5">
    <cfRule type="expression" dxfId="3026" priority="7">
      <formula>ABS(P$7-P$10)&gt;=1000</formula>
    </cfRule>
  </conditionalFormatting>
  <conditionalFormatting sqref="L23">
    <cfRule type="expression" dxfId="3025" priority="6">
      <formula>ABS(L$25-L$28)&gt;=1000</formula>
    </cfRule>
  </conditionalFormatting>
  <conditionalFormatting sqref="Y14">
    <cfRule type="expression" dxfId="3024" priority="5">
      <formula>ABS(Y$16-Y$19)&gt;=1000</formula>
    </cfRule>
  </conditionalFormatting>
  <conditionalFormatting sqref="F14">
    <cfRule type="expression" dxfId="3023" priority="4">
      <formula>ABS(F$16-F$19)&gt;=1000</formula>
    </cfRule>
  </conditionalFormatting>
  <conditionalFormatting sqref="H14">
    <cfRule type="expression" dxfId="3022" priority="3">
      <formula>ABS(H$16-H$19)&gt;=1000</formula>
    </cfRule>
  </conditionalFormatting>
  <conditionalFormatting sqref="AD5">
    <cfRule type="expression" dxfId="3021" priority="2">
      <formula>ABS(AD$7-AD$10)&gt;=1000</formula>
    </cfRule>
  </conditionalFormatting>
  <conditionalFormatting sqref="AE5">
    <cfRule type="expression" dxfId="30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4">
    <pageSetUpPr fitToPage="1"/>
  </sheetPr>
  <dimension ref="A1:CU223"/>
  <sheetViews>
    <sheetView view="pageBreakPreview" zoomScale="70" zoomScaleNormal="100" zoomScaleSheetLayoutView="70" workbookViewId="0">
      <selection activeCell="AE6" sqref="A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46082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0" t="s" ph="1">
        <v>177</v>
      </c>
      <c r="D6" s="71">
        <v>5978</v>
      </c>
      <c r="E6" s="71">
        <v>4025</v>
      </c>
      <c r="F6" s="71">
        <v>4703</v>
      </c>
      <c r="G6" s="71">
        <v>5815</v>
      </c>
      <c r="H6" s="71">
        <v>5628</v>
      </c>
      <c r="I6" s="71">
        <v>40.15</v>
      </c>
      <c r="J6" s="71">
        <v>6.57</v>
      </c>
      <c r="K6" s="71">
        <v>62.25</v>
      </c>
      <c r="L6" s="71">
        <v>8.32</v>
      </c>
      <c r="M6" s="71">
        <v>1046</v>
      </c>
      <c r="N6" s="71">
        <v>2615</v>
      </c>
      <c r="O6" s="71">
        <v>4738</v>
      </c>
      <c r="P6" s="71">
        <v>7504</v>
      </c>
      <c r="Q6" s="71">
        <v>5586</v>
      </c>
      <c r="R6" s="71">
        <v>2713</v>
      </c>
      <c r="S6" s="71">
        <v>0</v>
      </c>
      <c r="T6" s="71">
        <v>0</v>
      </c>
      <c r="U6" s="71">
        <v>1911</v>
      </c>
      <c r="V6" s="71">
        <v>6032</v>
      </c>
      <c r="W6" s="71">
        <v>7018</v>
      </c>
      <c r="X6" s="71">
        <v>7054</v>
      </c>
      <c r="Y6" s="71">
        <v>6706</v>
      </c>
      <c r="Z6" s="71">
        <v>6789</v>
      </c>
      <c r="AA6" s="71">
        <v>5547</v>
      </c>
      <c r="AB6" s="71">
        <v>4595</v>
      </c>
      <c r="AC6" s="71">
        <v>6263</v>
      </c>
      <c r="AD6" s="71">
        <v>4780</v>
      </c>
      <c r="AE6" s="71">
        <v>3760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188388.08122806001</v>
      </c>
      <c r="E7" s="73" ph="1">
        <f>E6*51.53*LOOKUP(E8,密度!$A$2:$A$50,密度!$B$2:$B$50)</f>
        <v>162794.73542500002</v>
      </c>
      <c r="F7" s="73" ph="1">
        <f>F6*33.183*LOOKUP(F8,密度!$A$2:$A$50,密度!$C$2:$C$50)</f>
        <v>173725.60126679999</v>
      </c>
      <c r="G7" s="73" ph="1">
        <f xml:space="preserve"> (G6+2)*51.53*LOOKUP(G8,密度!$A$2:$A$50,密度!$B$2:$B$50)</f>
        <v>235033.98284100002</v>
      </c>
      <c r="H7" s="73" ph="1">
        <f>(H6)*51.53*LOOKUP(H8,密度!$A$2:$A$50,密度!$B$2:$B$50)</f>
        <v>228296.53324800002</v>
      </c>
      <c r="I7" s="73" ph="1">
        <f>I6*290.8*1.0267</f>
        <v>11987.359054</v>
      </c>
      <c r="J7" s="73" ph="1">
        <f>J6*290.8*0.7892</f>
        <v>1507.8107952000003</v>
      </c>
      <c r="K7" s="73" ph="1">
        <f>K6*290.8*1.1126</f>
        <v>20140.618979999999</v>
      </c>
      <c r="L7" s="73" ph="1">
        <f>L6*290.8*0.777</f>
        <v>1879.9173120000003</v>
      </c>
      <c r="M7" s="73" ph="1">
        <f>M6*33.183*LOOKUP(M8,密度!$A$2:$A$50,密度!$D$2:$D$50)</f>
        <v>35799.293725199997</v>
      </c>
      <c r="N7" s="73" ph="1">
        <f>N6*33.183*LOOKUP(N8,密度!$A$2:$A$50,密度!$E$2:$E$50)</f>
        <v>68273.425206</v>
      </c>
      <c r="O7" s="73" ph="1">
        <f>O6*20.428*LOOKUP(O8,密度!$A$2:$A$50,密度!$C$2:$C$50)</f>
        <v>107395.81389439999</v>
      </c>
      <c r="P7" s="73" ph="1">
        <f>P6*51.53*LOOKUP(P8,密度!$A$2:$A$50,密度!$B$2:$B$50)</f>
        <v>303506.01108800003</v>
      </c>
      <c r="Q7" s="73" ph="1">
        <f>Q6*1.5*1.5*3.1416*LOOKUP(W8,密度!$A$2:$A$50,密度!$L$2:$L$50)</f>
        <v>37155.5728236</v>
      </c>
      <c r="R7" s="73" ph="1">
        <f>R6*1.5*1.5*3.1416*LOOKUP(R8,密度!$A$2:$A$50,密度!$L$2:$L$50)</f>
        <v>17968.9537566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12711.1170186</v>
      </c>
      <c r="V7" s="73" ph="1">
        <f>V6*1.5*1.5*3.1416*LOOKUP(V8,密度!$A$2:$A$50,密度!$L$2:$L$50)</f>
        <v>39908.976307200006</v>
      </c>
      <c r="W7" s="73" ph="1">
        <f>W6*1.5*1.5*3.1416*LOOKUP(W8,密度!$A$2:$A$50,密度!$L$2:$L$50)</f>
        <v>46680.596146800002</v>
      </c>
      <c r="X7" s="73" ph="1">
        <f>X6*1.5*1.5*3.1416*LOOKUP(X8,密度!$A$2:$A$50,密度!$L$2:$L$50)</f>
        <v>47418.671084399997</v>
      </c>
      <c r="Y7" s="73" ph="1">
        <f>Y6*1.5*1.5*3.1416*LOOKUP(Y8,密度!$A$2:$A$50,密度!$L$2:$L$50)</f>
        <v>44652.713767200003</v>
      </c>
      <c r="Z7" s="73" ph="1">
        <f>Z6*33.183*LOOKUP(Z8,密度!$A$2:$A$50,密度!$L$2:$L$50)</f>
        <v>212663.74132799997</v>
      </c>
      <c r="AA7" s="73" ph="1">
        <f>AA6*33.183*LOOKUP(AA8,密度!$A$2:$A$50,密度!$D$2:$D$50)</f>
        <v>190158.68894309999</v>
      </c>
      <c r="AB7" s="73" ph="1">
        <f>AB6*20.428*LOOKUP(AB8,密度!$A$2:$A$50,密度!$D$2:$D$50)</f>
        <v>97461.753078000009</v>
      </c>
      <c r="AC7" s="73" ph="1">
        <f>AC6*51.53*LOOKUP(AC8,密度!$A$2:$A$50,密度!$Q$2:$Q$50)</f>
        <v>307499.42119199998</v>
      </c>
      <c r="AD7" s="73" ph="1">
        <f>AD6*20.428*LOOKUP(AD8,密度!$A$2:$A$50,密度!$V$2:$V$50)</f>
        <v>94130.589760000003</v>
      </c>
      <c r="AE7" s="73" ph="1">
        <f>AE6*20.428</f>
        <v>76809.279999999999</v>
      </c>
    </row>
    <row r="8" spans="1:99" ph="1">
      <c r="B8" s="238" ph="1"/>
      <c r="C8" s="68" t="s" ph="1">
        <v>179</v>
      </c>
      <c r="D8" s="74">
        <v>21</v>
      </c>
      <c r="E8" s="74">
        <v>19</v>
      </c>
      <c r="F8" s="74">
        <v>19</v>
      </c>
      <c r="G8" s="74">
        <v>20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24</v>
      </c>
      <c r="P8" s="74">
        <v>19</v>
      </c>
      <c r="Q8" s="74">
        <v>21</v>
      </c>
      <c r="R8" s="74">
        <v>25</v>
      </c>
      <c r="S8" s="74">
        <v>16</v>
      </c>
      <c r="T8" s="74">
        <v>15</v>
      </c>
      <c r="U8" s="74">
        <v>21</v>
      </c>
      <c r="V8" s="74">
        <v>26</v>
      </c>
      <c r="W8" s="74">
        <v>21</v>
      </c>
      <c r="X8" s="74">
        <v>11</v>
      </c>
      <c r="Y8" s="74">
        <v>20</v>
      </c>
      <c r="Z8" s="74">
        <v>18</v>
      </c>
      <c r="AA8" s="74">
        <v>18</v>
      </c>
      <c r="AB8" s="74">
        <v>12</v>
      </c>
      <c r="AC8" s="74">
        <v>17</v>
      </c>
      <c r="AD8" s="74">
        <v>19</v>
      </c>
      <c r="AE8" s="74">
        <v>23</v>
      </c>
    </row>
    <row r="9" spans="1:99" ht="26.4" ph="1">
      <c r="B9" s="238" ph="1">
        <v>0.66666666666666663</v>
      </c>
      <c r="C9" s="150" t="s" ph="1">
        <v>180</v>
      </c>
      <c r="D9" s="71">
        <v>5988</v>
      </c>
      <c r="E9" s="71">
        <v>4021</v>
      </c>
      <c r="F9" s="71">
        <v>5689</v>
      </c>
      <c r="G9" s="71">
        <v>5820</v>
      </c>
      <c r="H9" s="71">
        <v>5628</v>
      </c>
      <c r="I9" s="71">
        <v>0.06</v>
      </c>
      <c r="J9" s="71">
        <v>6.67</v>
      </c>
      <c r="K9" s="71">
        <v>7.32</v>
      </c>
      <c r="L9" s="71">
        <v>77</v>
      </c>
      <c r="M9" s="71">
        <v>245</v>
      </c>
      <c r="N9" s="71">
        <v>2618</v>
      </c>
      <c r="O9" s="71">
        <v>4739</v>
      </c>
      <c r="P9" s="71">
        <v>7611</v>
      </c>
      <c r="Q9" s="71">
        <v>0</v>
      </c>
      <c r="R9" s="71">
        <v>2325</v>
      </c>
      <c r="S9" s="71">
        <v>5789</v>
      </c>
      <c r="T9" s="71">
        <v>7169</v>
      </c>
      <c r="U9" s="71">
        <v>7014</v>
      </c>
      <c r="V9" s="71">
        <v>6042</v>
      </c>
      <c r="W9" s="71">
        <v>7031</v>
      </c>
      <c r="X9" s="71">
        <v>6393</v>
      </c>
      <c r="Y9" s="71">
        <v>0</v>
      </c>
      <c r="Z9" s="71">
        <v>2860</v>
      </c>
      <c r="AA9" s="71">
        <v>6752</v>
      </c>
      <c r="AB9" s="71">
        <v>4599</v>
      </c>
      <c r="AC9" s="71">
        <v>5766</v>
      </c>
      <c r="AD9" s="71">
        <v>4780</v>
      </c>
      <c r="AE9" s="71">
        <v>3730</v>
      </c>
    </row>
    <row r="10" spans="1:99" s="72" customFormat="1" ht="22.2" ph="1">
      <c r="B10" s="238" ph="1"/>
      <c r="C10" s="150" t="s" ph="1">
        <v>178</v>
      </c>
      <c r="D10" s="73" ph="1">
        <f>D9*33.183*LOOKUP(D11,密度!$A$2:$A$50,密度!$Q$2:$Q$50)</f>
        <v>188407.15415280001</v>
      </c>
      <c r="E10" s="73" ph="1">
        <f>E9*51.53*LOOKUP(E11,密度!$A$2:$A$50,密度!$B$2:$B$50)</f>
        <v>162467.190133</v>
      </c>
      <c r="F10" s="73" ph="1">
        <f>F9*33.183*LOOKUP(F11,密度!$A$2:$A$50,密度!$C$2:$C$50)</f>
        <v>210147.76644839998</v>
      </c>
      <c r="G10" s="73" ph="1">
        <f xml:space="preserve"> (G9+2)*51.53*LOOKUP(G11,密度!$A$2:$A$50,密度!$B$2:$B$50)</f>
        <v>234695.99241800004</v>
      </c>
      <c r="H10" s="73" ph="1">
        <f>(H9)*51.53*LOOKUP(H11,密度!$A$2:$A$50,密度!$B$2:$B$50)</f>
        <v>227397.49964400003</v>
      </c>
      <c r="I10" s="73" ph="1">
        <f>I9*290.8*1.0267</f>
        <v>17.913861600000001</v>
      </c>
      <c r="J10" s="73" ph="1">
        <f>J9*290.8*0.7892</f>
        <v>1530.7607312</v>
      </c>
      <c r="K10" s="73" ph="1">
        <f>K9*290.8*1.1126</f>
        <v>2368.3426656000001</v>
      </c>
      <c r="L10" s="73" ph="1">
        <f>L9*290.8*0.777</f>
        <v>17398.273200000003</v>
      </c>
      <c r="M10" s="73" ph="1">
        <f>M9*33.183*LOOKUP(M11,密度!$A$2:$A$50,密度!$D$2:$D$50)</f>
        <v>8362.3482810000005</v>
      </c>
      <c r="N10" s="73" ph="1">
        <f>N9*33.183*LOOKUP(N11,密度!$A$2:$A$50,密度!$E$2:$E$50)</f>
        <v>68351.750359199999</v>
      </c>
      <c r="O10" s="73" ph="1">
        <f>O9*20.428*LOOKUP(O11,密度!$A$2:$A$50,密度!$C$2:$C$50)</f>
        <v>107273.26836520001</v>
      </c>
      <c r="P10" s="73" ph="1">
        <f>P9*51.53*LOOKUP(P11,密度!$A$2:$A$50,密度!$B$2:$B$50)</f>
        <v>306108.06481499999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15349.81833</v>
      </c>
      <c r="S10" s="73" ph="1">
        <f>S9*1.5*1.5*3.1416*LOOKUP(S11,密度!$A$2:$A$50,密度!$L$2:$L$50)</f>
        <v>38587.678252199992</v>
      </c>
      <c r="T10" s="73" ph="1">
        <f>T9*1.5*1.5*3.1416*LOOKUP(T11,密度!$A$2:$A$50,密度!$L$2:$L$50)</f>
        <v>47887.679763</v>
      </c>
      <c r="U10" s="73" ph="1">
        <f>U9*1.5*1.5*3.1416*LOOKUP(U11,密度!$A$2:$A$50,密度!$L$2:$L$50)</f>
        <v>46653.989936400001</v>
      </c>
      <c r="V10" s="73" ph="1">
        <f>V9*1.5*1.5*3.1416*LOOKUP(V11,密度!$A$2:$A$50,密度!$L$2:$L$50)</f>
        <v>39932.429922000003</v>
      </c>
      <c r="W10" s="73" ph="1">
        <f>W9*1.5*1.5*3.1416*LOOKUP(W11,密度!$A$2:$A$50,密度!$L$2:$L$50)</f>
        <v>46717.367004</v>
      </c>
      <c r="X10" s="73" ph="1">
        <f>X9*1.5*1.5*3.1416*LOOKUP(X11,密度!$A$2:$A$50,密度!$L$2:$L$50)</f>
        <v>42839.702690400001</v>
      </c>
      <c r="Y10" s="73" ph="1">
        <f>Y9*1.5*1.5*3.1416*LOOKUP(Y11,密度!$A$2:$A$50,密度!$L$2:$L$50)</f>
        <v>0</v>
      </c>
      <c r="Z10" s="73" ph="1">
        <f>Z9*33.183*LOOKUP(Z11,密度!$A$2:$A$50,密度!$L$2:$L$50)</f>
        <v>89304.080579999994</v>
      </c>
      <c r="AA10" s="73" ph="1">
        <f>AA9*33.183*LOOKUP(AA11,密度!$A$2:$A$50,密度!$D$2:$D$50)</f>
        <v>230661.13867200003</v>
      </c>
      <c r="AB10" s="73" ph="1">
        <f>AB9*20.428*LOOKUP(AB11,密度!$A$2:$A$50,密度!$D$2:$D$50)</f>
        <v>97377.487578</v>
      </c>
      <c r="AC10" s="73" ph="1">
        <f>AC9*51.53*LOOKUP(AC11,密度!$A$2:$A$50,密度!$Q$2:$Q$50)</f>
        <v>281995.49999819999</v>
      </c>
      <c r="AD10" s="73" ph="1">
        <f>AD9*20.428*LOOKUP(AD11,密度!$A$2:$A$50,密度!$V$2:$V$50)</f>
        <v>93818.123072000002</v>
      </c>
      <c r="AE10" s="73" ph="1">
        <f>AE9*20.428</f>
        <v>76196.44</v>
      </c>
    </row>
    <row r="11" spans="1:99" ph="1">
      <c r="A11" s="64" t="s" ph="1">
        <v>162</v>
      </c>
      <c r="B11" s="238" ph="1"/>
      <c r="C11" s="150" t="s" ph="1">
        <v>179</v>
      </c>
      <c r="D11" s="74">
        <v>23</v>
      </c>
      <c r="E11" s="74">
        <v>20</v>
      </c>
      <c r="F11" s="74">
        <v>19</v>
      </c>
      <c r="G11" s="74">
        <v>22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26</v>
      </c>
      <c r="P11" s="74">
        <v>24</v>
      </c>
      <c r="Q11" s="74">
        <v>28</v>
      </c>
      <c r="R11" s="74">
        <v>28</v>
      </c>
      <c r="S11" s="74">
        <v>19</v>
      </c>
      <c r="T11" s="74">
        <v>17</v>
      </c>
      <c r="U11" s="74">
        <v>21</v>
      </c>
      <c r="V11" s="74">
        <v>27</v>
      </c>
      <c r="W11" s="74">
        <v>22</v>
      </c>
      <c r="X11" s="74">
        <v>14</v>
      </c>
      <c r="Y11" s="74">
        <v>25</v>
      </c>
      <c r="Z11" s="74">
        <v>21</v>
      </c>
      <c r="AA11" s="74">
        <v>22</v>
      </c>
      <c r="AB11" s="74">
        <v>14</v>
      </c>
      <c r="AC11" s="74">
        <v>22</v>
      </c>
      <c r="AD11" s="74">
        <v>22</v>
      </c>
      <c r="AE11" s="74">
        <v>26</v>
      </c>
    </row>
    <row r="12" spans="1:99" ht="9.9" customHeight="1" ph="1"/>
    <row r="13" spans="1:99" s="72" customFormat="1" ht="29.25" customHeight="1" ph="1">
      <c r="B13" s="215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0" t="s" ph="1">
        <v>177</v>
      </c>
      <c r="D15" s="78">
        <v>1007</v>
      </c>
      <c r="E15" s="78">
        <v>5709</v>
      </c>
      <c r="F15" s="78">
        <v>4217</v>
      </c>
      <c r="G15" s="78">
        <v>3251</v>
      </c>
      <c r="H15" s="78">
        <v>0</v>
      </c>
      <c r="I15" s="78">
        <v>5227</v>
      </c>
      <c r="J15" s="78">
        <v>0</v>
      </c>
      <c r="K15" s="78">
        <v>3581</v>
      </c>
      <c r="L15" s="78">
        <v>5569</v>
      </c>
      <c r="M15" s="78">
        <v>6163</v>
      </c>
      <c r="N15" s="78">
        <v>4397</v>
      </c>
      <c r="O15" s="78">
        <v>4443</v>
      </c>
      <c r="P15" s="78">
        <v>3434</v>
      </c>
      <c r="Q15" s="78">
        <v>6937</v>
      </c>
      <c r="R15" s="78">
        <v>7382</v>
      </c>
      <c r="S15" s="78">
        <v>745</v>
      </c>
      <c r="T15" s="78">
        <v>3530</v>
      </c>
      <c r="U15" s="78">
        <v>4402</v>
      </c>
      <c r="V15" s="78">
        <v>4973</v>
      </c>
      <c r="W15" s="71">
        <v>-171</v>
      </c>
      <c r="X15" s="78">
        <v>94</v>
      </c>
      <c r="Y15" s="106">
        <v>-9903</v>
      </c>
      <c r="Z15" s="78">
        <v>0</v>
      </c>
      <c r="AA15" s="78">
        <v>10</v>
      </c>
      <c r="AB15" s="78" ph="1">
        <v>6959</v>
      </c>
      <c r="AC15" s="78" ph="1">
        <v>2145</v>
      </c>
      <c r="AD15" s="78">
        <v>5.39</v>
      </c>
      <c r="AE15" s="78">
        <v>77.150000000000006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0" t="s" ph="1">
        <v>178</v>
      </c>
      <c r="D16" s="73" ph="1">
        <f>D15*7.0686*LOOKUP(D17,密度!$A$2:$A$50,密度!$L$2:$L$50)</f>
        <v>6698.1134682000002</v>
      </c>
      <c r="E16" s="73" ph="1">
        <f>E15*7.0686*LOOKUP(E17,密度!$A$2:$A$50,密度!$L$2:$L$50)</f>
        <v>37973.713793399998</v>
      </c>
      <c r="F16" s="73" ph="1">
        <f>F15*9.0746*LOOKUP(F17,密度!$A$2:$A$50,密度!$L$2:$L$50)</f>
        <v>35894.997731599993</v>
      </c>
      <c r="G16" s="73" ph="1">
        <f>G15*9.0746*LOOKUP(G17,密度!$A$2:$A$50,密度!$B$2:$B$50)</f>
        <v>23132.14543886</v>
      </c>
      <c r="H16" s="73" ph="1">
        <f>H15*9.0746*LOOKUP(H17,密度!$A$2:$A$50,密度!$L$2:$L$50)</f>
        <v>0</v>
      </c>
      <c r="I16" s="73" ph="1">
        <f>I15*9.0746*LOOKUP(I17,密度!$A$2:$A$50,密度!$U$2:$U$50)</f>
        <v>48761.056357600006</v>
      </c>
      <c r="J16" s="73" ph="1">
        <f>J15*9.0746*LOOKUP(J17,密度!$A$2:$A$50,密度!$L$2:$L$50)</f>
        <v>0</v>
      </c>
      <c r="K16" s="73" ph="1">
        <f>K15*9.0746*LOOKUP(K17,密度!$A$2:$A$50,密度!$C$2:$C$50)</f>
        <v>36155.208256760001</v>
      </c>
      <c r="L16" s="73" ph="1">
        <f>L15*9.0746*LOOKUP(L17,密度!$A$2:$A$50,密度!$E$2:$E$50)</f>
        <v>39883.364288080003</v>
      </c>
      <c r="M16" s="73" ph="1">
        <f>M15*9.0746*LOOKUP(M17,密度!$A$2:$A$50,密度!$M$2:$M$50)</f>
        <v>49103.695104400002</v>
      </c>
      <c r="N16" s="73" ph="1">
        <f>N15*9.0746*LOOKUP(N17,密度!$A$2:$A$50,密度!$M$2:$M$50)</f>
        <v>35124.864560859998</v>
      </c>
      <c r="O16" s="73" ph="1">
        <f>O15*9.0746*LOOKUP(O17,密度!$A$2:$A$50,密度!$G$2:$G$50)</f>
        <v>38903.270282220001</v>
      </c>
      <c r="P16" s="73" ph="1">
        <f ca="1">P15*9.0746*LOOKUP(P17,密度!$A$2:$A$51,密度!$Q$2:$Q$50)</f>
        <v>29594.407305316003</v>
      </c>
      <c r="Q16" s="73" ph="1">
        <f>Q15*9.0746*LOOKUP(Q17,密度!$A$2:$A$50,密度!$Q$2:$Q$50)</f>
        <v>59783.460534938007</v>
      </c>
      <c r="R16" s="73" ph="1">
        <f>MAX(R15*9.0746*LOOKUP(R17,密度!$A$2:$A$50,密度!$B$2:$B$50),0)</f>
        <v>52465.547647039995</v>
      </c>
      <c r="S16" s="73" ph="1">
        <f>S15*9.0746*LOOKUP(S17,密度!$A$2:$A$50,密度!$Q$2:$Q$50)</f>
        <v>6430.8636597100003</v>
      </c>
      <c r="T16" s="73" ph="1">
        <f>T15*9.0746*LOOKUP(T17,密度!$A$2:$A$50,密度!$O$2:$O$50)</f>
        <v>29791.00434</v>
      </c>
      <c r="U16" s="73" ph="1">
        <f>U15*9.0746*LOOKUP(U17,密度!$A$2:$A$50,密度!$H$2:$H$50)</f>
        <v>36818.586925639996</v>
      </c>
      <c r="V16" s="73" ph="1">
        <f>MAX(5600*LOOKUP(V17,密度!$A$2:$A$50,密度!$Q$2:$Q$50)+V15*9.0476*LOOKUP(V17,密度!$A$2:$A$50,密度!$Q$2:$Q$50),0)</f>
        <v>48017.988779531996</v>
      </c>
      <c r="W16" s="73" ph="1">
        <f>MAX(5600*LOOKUP(W17,密度!$A$2:$A$50,密度!$Q$2:$Q$50)+W15*9.0476*LOOKUP(W17,密度!$A$2:$A$50,密度!$Q$2:$Q$50),0)</f>
        <v>3848.9609932760004</v>
      </c>
      <c r="X16" s="73" ph="1">
        <f>MAX(5600*LOOKUP(X17,密度!$A$2:$A$50,密度!$I$2:$I$50)+X15*9.0476*LOOKUP(X17,密度!$A$2:$A$50,密度!$I$2:$I$50),0)</f>
        <v>6738.1655582399999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59487.433198799998</v>
      </c>
      <c r="AC16" s="73" ph="1">
        <f>AC15*9.0746*LOOKUP(AC17,密度!$A$2:$A$50,密度!$L$2:$L$50)</f>
        <v>18355.511030999998</v>
      </c>
      <c r="AD16" s="73" ph="1">
        <f>AD15*268.68*LOOKUP(AD17,密度!$A$2:$A$50,密度!B2:B50)+IF(AD15&lt;=0,0,1566*LOOKUP(AD17,密度!$A$2:$A$50,密度!B2:B50))</f>
        <v>2349.8587819199997</v>
      </c>
      <c r="AE16" s="73" ph="1">
        <f>AE15*268.68*LOOKUP(AE17,密度!$A$2:$A$50,密度!B2:B50)+IF(AE15&lt;=0,0,1566*LOOKUP(AE17,密度!$A$2:$A$50,密度!B2:B50))</f>
        <v>17380.9184952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24</v>
      </c>
      <c r="G17" s="74">
        <v>20</v>
      </c>
      <c r="H17" s="74">
        <v>15</v>
      </c>
      <c r="I17" s="74">
        <v>19</v>
      </c>
      <c r="J17" s="74">
        <v>202</v>
      </c>
      <c r="K17" s="74">
        <v>20</v>
      </c>
      <c r="L17" s="74">
        <v>20</v>
      </c>
      <c r="M17" s="74">
        <v>22</v>
      </c>
      <c r="N17" s="74">
        <v>19</v>
      </c>
      <c r="O17" s="74">
        <v>21</v>
      </c>
      <c r="P17" s="74">
        <v>21</v>
      </c>
      <c r="Q17" s="74">
        <v>21</v>
      </c>
      <c r="R17" s="74">
        <v>21</v>
      </c>
      <c r="S17" s="74">
        <v>19</v>
      </c>
      <c r="T17" s="74">
        <v>20</v>
      </c>
      <c r="U17" s="74">
        <v>18</v>
      </c>
      <c r="V17" s="74">
        <v>22</v>
      </c>
      <c r="W17" s="74">
        <v>21</v>
      </c>
      <c r="X17" s="74">
        <v>23</v>
      </c>
      <c r="Y17" s="108">
        <v>23</v>
      </c>
      <c r="Z17" s="74">
        <v>20</v>
      </c>
      <c r="AA17" s="74">
        <v>18</v>
      </c>
      <c r="AB17" s="74">
        <v>20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</v>
      </c>
      <c r="E18" s="71">
        <v>2376</v>
      </c>
      <c r="F18" s="71">
        <v>4062</v>
      </c>
      <c r="G18" s="71">
        <v>2755</v>
      </c>
      <c r="H18" s="71">
        <v>0</v>
      </c>
      <c r="I18" s="71">
        <v>5234</v>
      </c>
      <c r="J18" s="71">
        <v>4137</v>
      </c>
      <c r="K18" s="71">
        <v>3584</v>
      </c>
      <c r="L18" s="71">
        <v>5591</v>
      </c>
      <c r="M18" s="71">
        <v>5601</v>
      </c>
      <c r="N18" s="71">
        <v>1096</v>
      </c>
      <c r="O18" s="71">
        <v>4450</v>
      </c>
      <c r="P18" s="71">
        <v>3443</v>
      </c>
      <c r="Q18" s="71">
        <v>6950</v>
      </c>
      <c r="R18" s="71">
        <v>7401</v>
      </c>
      <c r="S18" s="71">
        <v>319</v>
      </c>
      <c r="T18" s="71">
        <v>3541</v>
      </c>
      <c r="U18" s="71">
        <v>2566</v>
      </c>
      <c r="V18" s="71">
        <v>4977</v>
      </c>
      <c r="W18" s="71">
        <v>-172</v>
      </c>
      <c r="X18" s="71">
        <v>95</v>
      </c>
      <c r="Y18" s="109">
        <v>-9900</v>
      </c>
      <c r="Z18" s="71">
        <v>0</v>
      </c>
      <c r="AA18" s="71">
        <v>9</v>
      </c>
      <c r="AB18" s="71">
        <v>6970</v>
      </c>
      <c r="AC18" s="71">
        <v>2147</v>
      </c>
      <c r="AD18" s="71">
        <v>15.15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0" t="s" ph="1">
        <v>178</v>
      </c>
      <c r="D19" s="73" ph="1">
        <f>D18*7.0686*LOOKUP(D20,密度!$A$2:$A$50,密度!$L$2:$L$50)</f>
        <v>33.22242</v>
      </c>
      <c r="E19" s="73" ph="1">
        <f>E18*7.0686*LOOKUP(E20,密度!$A$2:$A$50,密度!$L$2:$L$50)</f>
        <v>15787.293984</v>
      </c>
      <c r="F19" s="73" ph="1">
        <f>F18*9.0746*LOOKUP(F20,密度!$A$2:$A$50,密度!$L$2:$L$50)</f>
        <v>34501.919587200005</v>
      </c>
      <c r="G19" s="73" ph="1">
        <f>G18*9.0746*LOOKUP(G20,密度!$A$2:$A$50,密度!$B$2:$B$50)</f>
        <v>19557.9091429</v>
      </c>
      <c r="H19" s="73" ph="1">
        <f>H18*9.0746*LOOKUP(H20,密度!$A$2:$A$50,密度!$L$2:$L$50)</f>
        <v>0</v>
      </c>
      <c r="I19" s="73" ph="1">
        <f>I18*9.0746*LOOKUP(I20,密度!$A$2:$A$50,密度!$U$2:$U$50)</f>
        <v>48778.860722799996</v>
      </c>
      <c r="J19" s="73" ph="1">
        <f>J18*9.0746*LOOKUP(J20,密度!$A$2:$A$50,密度!$L$2:$L$50)</f>
        <v>35289.122987999996</v>
      </c>
      <c r="K19" s="73" ph="1">
        <f>K18*9.0746*LOOKUP(K20,密度!$A$2:$A$50,密度!$C$2:$C$50)</f>
        <v>36136.712407039995</v>
      </c>
      <c r="L19" s="73" ph="1">
        <f>L18*9.0746*LOOKUP(L20,密度!$A$2:$A$50,密度!$E$2:$E$50)</f>
        <v>39858.271204160003</v>
      </c>
      <c r="M19" s="73" ph="1">
        <f>M18*9.0746*LOOKUP(M20,密度!$A$2:$A$50,密度!$M$2:$M$50)</f>
        <v>44519.224426140005</v>
      </c>
      <c r="N19" s="73" ph="1">
        <f>N18*9.0746*LOOKUP(N20,密度!$A$2:$A$50,密度!$M$2:$M$50)</f>
        <v>8711.4925854400008</v>
      </c>
      <c r="O19" s="73" ph="1">
        <f>O18*9.0746*LOOKUP(O20,密度!$A$2:$A$50,密度!$G$2:$G$50)</f>
        <v>38920.142685999999</v>
      </c>
      <c r="P19" s="73" ph="1">
        <f ca="1">P18*9.0746*LOOKUP(P20,密度!$A$2:$A$51,密度!$Q$2:$Q$50)</f>
        <v>29625.416483960002</v>
      </c>
      <c r="Q19" s="73" ph="1">
        <f>Q18*9.0746*LOOKUP(Q20,密度!$A$2:$A$50,密度!$Q$2:$Q$50)</f>
        <v>59857.654192299997</v>
      </c>
      <c r="R19" s="73" ph="1">
        <f>MAX(R18*9.0746*LOOKUP(R20,密度!$A$2:$A$50,密度!$B$2:$B$50),0)</f>
        <v>52358.804942160001</v>
      </c>
      <c r="S19" s="73" ph="1">
        <f>S18*9.0746*LOOKUP(S20,密度!$A$2:$A$50,密度!$Q$2:$Q$50)</f>
        <v>2738.5651843219998</v>
      </c>
      <c r="T19" s="73" ph="1">
        <f>T18*9.0746*LOOKUP(T20,密度!$A$2:$A$50,密度!$O$2:$O$50)</f>
        <v>29755.304863600002</v>
      </c>
      <c r="U19" s="73" ph="1">
        <f>U18*9.0746*LOOKUP(U20,密度!$A$2:$A$50,密度!$H$2:$H$50)</f>
        <v>21415.60408492</v>
      </c>
      <c r="V19" s="73" ph="1">
        <f>MAX(5600*LOOKUP(V20,密度!$A$2:$A$50,密度!$Q$2:$Q$50)+V18*9.0476*LOOKUP(V20,密度!$A$2:$A$50,密度!$Q$2:$Q$50),0)</f>
        <v>47933.356449047991</v>
      </c>
      <c r="W19" s="73" ph="1">
        <f>MAX(5600*LOOKUP(W20,密度!$A$2:$A$50,密度!$Q$2:$Q$50)+W18*9.0476*LOOKUP(W20,密度!$A$2:$A$50,密度!$Q$2:$Q$50),0)</f>
        <v>3828.4393302720009</v>
      </c>
      <c r="X19" s="73" ph="1">
        <f>MAX(5600*LOOKUP(X20,密度!$A$2:$A$50,密度!$I$2:$I$50)+X18*9.0476*LOOKUP(X20,密度!$A$2:$A$50,密度!$I$2:$I$50),0)</f>
        <v>6718.5488322000001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63.744527699999999</v>
      </c>
      <c r="AB19" s="73" ph="1">
        <f>AB18*9.0746*LOOKUP(AB20,密度!$A$2:$A$50,密度!$L$2:$L$50)</f>
        <v>59391.714317999998</v>
      </c>
      <c r="AC19" s="73" ph="1">
        <f>AC18*9.0746*LOOKUP(AC20,密度!$A$2:$A$50,密度!$L$2:$L$50)</f>
        <v>18294.693061799997</v>
      </c>
      <c r="AD19" s="73" ph="1">
        <f>AD18*268.68*LOOKUP(AD20,密度!$A$2:$A$50,密度!B5:B53)+IF(AD18&lt;=0,0,1566*LOOKUP(AD20,密度!$A$2:$A$50,密度!B5:B53))</f>
        <v>4379.562054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22</v>
      </c>
      <c r="E20" s="81">
        <v>22</v>
      </c>
      <c r="F20" s="81">
        <v>26</v>
      </c>
      <c r="G20" s="81">
        <v>22</v>
      </c>
      <c r="H20" s="81">
        <v>21</v>
      </c>
      <c r="I20" s="81">
        <v>23</v>
      </c>
      <c r="J20" s="81">
        <v>22</v>
      </c>
      <c r="K20" s="81">
        <v>22</v>
      </c>
      <c r="L20" s="81">
        <v>23</v>
      </c>
      <c r="M20" s="81">
        <v>24</v>
      </c>
      <c r="N20" s="81">
        <v>24</v>
      </c>
      <c r="O20" s="81">
        <v>22</v>
      </c>
      <c r="P20" s="81">
        <v>23</v>
      </c>
      <c r="Q20" s="81">
        <v>22</v>
      </c>
      <c r="R20" s="81">
        <v>25</v>
      </c>
      <c r="S20" s="81">
        <v>26</v>
      </c>
      <c r="T20" s="81">
        <v>27</v>
      </c>
      <c r="U20" s="81">
        <v>20</v>
      </c>
      <c r="V20" s="81">
        <v>25</v>
      </c>
      <c r="W20" s="81">
        <v>25</v>
      </c>
      <c r="X20" s="81">
        <v>27</v>
      </c>
      <c r="Y20" s="110">
        <v>27</v>
      </c>
      <c r="Z20" s="81">
        <v>31</v>
      </c>
      <c r="AA20" s="81">
        <v>24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639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0" t="s" ph="1">
        <v>177</v>
      </c>
      <c r="D24" s="71">
        <v>54.54</v>
      </c>
      <c r="E24" s="71">
        <v>5.73</v>
      </c>
      <c r="F24" s="71">
        <v>3062</v>
      </c>
      <c r="G24" s="71">
        <v>3761</v>
      </c>
      <c r="H24" s="71">
        <v>3154</v>
      </c>
      <c r="I24" s="71">
        <v>2391</v>
      </c>
      <c r="J24" s="71">
        <v>477</v>
      </c>
      <c r="K24" s="71">
        <v>534</v>
      </c>
      <c r="L24" s="71">
        <v>3139</v>
      </c>
      <c r="M24" s="71">
        <v>2641</v>
      </c>
      <c r="N24" s="71">
        <v>2853</v>
      </c>
      <c r="O24" s="71">
        <v>5729</v>
      </c>
      <c r="P24" s="71">
        <v>354</v>
      </c>
      <c r="Q24" s="90">
        <v>4669</v>
      </c>
      <c r="R24" s="71">
        <v>5410</v>
      </c>
      <c r="S24" s="71">
        <v>56</v>
      </c>
      <c r="T24" s="71">
        <v>215</v>
      </c>
      <c r="U24" s="71">
        <v>5582</v>
      </c>
      <c r="V24" s="71">
        <v>1500</v>
      </c>
      <c r="W24" s="71">
        <v>104</v>
      </c>
      <c r="X24" s="71">
        <v>8856</v>
      </c>
      <c r="Y24" s="71">
        <v>6070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15355.940268528</v>
      </c>
      <c r="E25" s="91" ph="1">
        <f>E24*268.68*LOOKUP(E26,密度!$A$2:$A$50,密度!$C$2:$C$50)+IF(E24&lt;=0,0,1566*LOOKUP(E26,密度!$A$2:$A$50,密度!$C$2:$C$50))</f>
        <v>3443.7293139600001</v>
      </c>
      <c r="F25" s="91" ph="1">
        <f>F24*11.702*LOOKUP(F26,密度!$A$2:$A$50,密度!$Q$2:$Q$50)</f>
        <v>34053.563779119999</v>
      </c>
      <c r="G25" s="91" ph="1">
        <f>G24*18.322*LOOKUP(G26,密度!$A$2:$A$50,密度!$B$2:$B$50)</f>
        <v>53969.561694399999</v>
      </c>
      <c r="H25" s="91" ph="1">
        <f>H24*18.322*LOOKUP(H26,密度!$A$2:$A$50,密度!$B$2:$B$50)</f>
        <v>45357.477821200002</v>
      </c>
      <c r="I25" s="91" ph="1">
        <f>I24*18.322*LOOKUP(I26,密度!$A$2:$A$50,密度!$Q$2:$Q$50)</f>
        <v>41634.153902759994</v>
      </c>
      <c r="J25" s="91" ph="1">
        <f>J24*18.322*LOOKUP(J26,密度!$A$2:$A$50,密度!$Q$2:$Q$50)</f>
        <v>8305.9353457199995</v>
      </c>
      <c r="K25" s="91" ph="1">
        <f>K24*18.322*LOOKUP(K26,密度!$A$2:$A$50,密度!$Q$2:$Q$50)</f>
        <v>9285.847207320001</v>
      </c>
      <c r="L25" s="91" ph="1">
        <f>L24*18.322*LOOKUP(L26,密度!$A$2:$A$50,密度!$Q$2:$Q$50)</f>
        <v>54658.974948039991</v>
      </c>
      <c r="M25" s="91" ph="1">
        <f>M24*18.322*LOOKUP(M26,密度!$A$2:$A$50,密度!$Q$2:$Q$50)</f>
        <v>46028.499634459993</v>
      </c>
      <c r="N25" s="91" ph="1">
        <f>N24*18.322*LOOKUP(N26,密度!$A$2:$A$50,密度!$Q$2:$Q$50)</f>
        <v>49642.828173540001</v>
      </c>
      <c r="O25" s="91" ph="1">
        <f>O24*18.322*LOOKUP(O26,密度!$A$2:$A$50,密度!$C$2:$C$50)</f>
        <v>116848.9727416</v>
      </c>
      <c r="P25" s="91" ph="1">
        <f>P24*11.702*LOOKUP(P26,密度!$A$2:$A$50,密度!$B$2:$B$50)</f>
        <v>3248.1405227999999</v>
      </c>
      <c r="Q25" s="92" ph="1">
        <f>Q24*18.322*LOOKUP(Q26,密度!$A$2:$A$50,密度!$B$2:$B$50)</f>
        <v>67144.598588199995</v>
      </c>
      <c r="R25" s="91" ph="1">
        <f>R24*35.891*LOOKUP(R26,密度!$A$2:$A$50,密度!$C$2:$C$50)</f>
        <v>216033.886906</v>
      </c>
      <c r="S25" s="91" ph="1">
        <f>S24*35.891*LOOKUP(S26,密度!$A$2:$A$50,密度!$B$2:$B$50)</f>
        <v>1574.1505471999999</v>
      </c>
      <c r="T25" s="91" ph="1">
        <f>T24*35.891*LOOKUP(T26,密度!$A$2:$A$50,密度!$Q$2:$Q$50)</f>
        <v>7340.2281249500002</v>
      </c>
      <c r="U25" s="91" ph="1">
        <f>U24*35.891</f>
        <v>200343.56199999998</v>
      </c>
      <c r="V25" s="91" ph="1">
        <f>V24*47.051*LOOKUP(V26,密度!$A$2:$A$50,密度!$B$2:$B$50)</f>
        <v>55451.956049999993</v>
      </c>
      <c r="W25" s="91" ph="1">
        <f>W24*47.051*LOOKUP(W26,密度!$A$2:$A$50,密度!$B$2:$B$50)</f>
        <v>3840.7543096000004</v>
      </c>
      <c r="X25" s="91" ph="1">
        <f>X24*47.051*LOOKUP(X26,密度!$A$2:$A$61,密度!$I$2:$I$61)</f>
        <v>426392.38518480008</v>
      </c>
      <c r="Y25" s="91" ph="1">
        <f>Y24*47.051*LOOKUP(Y26,密度!$A$2:$A$50,密度!$L$2:$L$50)</f>
        <v>268177.99622999999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21</v>
      </c>
      <c r="H26" s="74">
        <v>19</v>
      </c>
      <c r="I26" s="74">
        <v>20</v>
      </c>
      <c r="J26" s="74">
        <v>20</v>
      </c>
      <c r="K26" s="74">
        <v>22</v>
      </c>
      <c r="L26" s="74">
        <v>20</v>
      </c>
      <c r="M26" s="74">
        <v>19</v>
      </c>
      <c r="N26" s="74">
        <v>21</v>
      </c>
      <c r="O26" s="74">
        <v>19</v>
      </c>
      <c r="P26" s="74">
        <v>20</v>
      </c>
      <c r="Q26" s="93">
        <v>19</v>
      </c>
      <c r="R26" s="74">
        <v>20</v>
      </c>
      <c r="S26" s="74">
        <v>21</v>
      </c>
      <c r="T26" s="74">
        <v>19</v>
      </c>
      <c r="U26" s="74">
        <v>20</v>
      </c>
      <c r="V26" s="74">
        <v>18</v>
      </c>
      <c r="W26" s="74">
        <v>19</v>
      </c>
      <c r="X26" s="74">
        <v>42</v>
      </c>
      <c r="Y26" s="74">
        <v>23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0" t="s" ph="1">
        <v>180</v>
      </c>
      <c r="D27" s="71">
        <v>44.6</v>
      </c>
      <c r="E27" s="71">
        <v>39</v>
      </c>
      <c r="F27" s="71">
        <v>2715</v>
      </c>
      <c r="G27" s="71">
        <v>3337</v>
      </c>
      <c r="H27" s="71">
        <v>2590</v>
      </c>
      <c r="I27" s="71">
        <v>2390</v>
      </c>
      <c r="J27" s="71">
        <v>481</v>
      </c>
      <c r="K27" s="71">
        <v>4233</v>
      </c>
      <c r="L27" s="71">
        <v>4386</v>
      </c>
      <c r="M27" s="71">
        <v>2641</v>
      </c>
      <c r="N27" s="71">
        <v>2851</v>
      </c>
      <c r="O27" s="71">
        <v>5725</v>
      </c>
      <c r="P27" s="71">
        <v>350</v>
      </c>
      <c r="Q27" s="90">
        <v>3819</v>
      </c>
      <c r="R27" s="71">
        <v>3692</v>
      </c>
      <c r="S27" s="71">
        <v>51</v>
      </c>
      <c r="T27" s="71">
        <v>213</v>
      </c>
      <c r="U27" s="71">
        <v>4230</v>
      </c>
      <c r="V27" s="71">
        <v>3844</v>
      </c>
      <c r="W27" s="71">
        <v>208</v>
      </c>
      <c r="X27" s="71">
        <v>8870</v>
      </c>
      <c r="Y27" s="71">
        <v>5952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0" t="s" ph="1">
        <v>178</v>
      </c>
      <c r="D28" s="91" ph="1">
        <f>D27*268.68*LOOKUP(D29,密度!$A$2:$A$50,密度!$Q$2:$Q$50)+IF(D27&lt;=0,0,1566*LOOKUP(D29,密度!$A$2:$A$50,密度!$Q$2:$Q$50))</f>
        <v>12827.50144272</v>
      </c>
      <c r="E28" s="91" ph="1">
        <f>E27*268.68*LOOKUP(E29,密度!$A$2:$A$50,密度!$C$2:$C$50)+IF(E27&lt;=0,0,1566*LOOKUP(E29,密度!$A$2:$A$50,密度!$C$2:$C$50))</f>
        <v>13356.168228</v>
      </c>
      <c r="F28" s="91" ph="1">
        <f>F27*11.702*LOOKUP(F29,密度!$A$2:$A$50,密度!$Q$2:$Q$50)</f>
        <v>30153.471953699998</v>
      </c>
      <c r="G28" s="91" ph="1">
        <f>G27*18.322*LOOKUP(G29,密度!$A$2:$A$50,密度!$B$2:$B$50)</f>
        <v>47775.197639599995</v>
      </c>
      <c r="H28" s="91" ph="1">
        <f>H27*18.322*LOOKUP(H29,密度!$A$2:$A$50,密度!$B$2:$B$50)</f>
        <v>37246.628901999997</v>
      </c>
      <c r="I28" s="91" ph="1">
        <f>I27*18.322*LOOKUP(I29,密度!$A$2:$A$50,密度!$Q$2:$Q$50)</f>
        <v>41521.279755999996</v>
      </c>
      <c r="J28" s="91" ph="1">
        <f>J27*18.322*LOOKUP(J29,密度!$A$2:$A$50,密度!$Q$2:$Q$50)</f>
        <v>8349.9413085399992</v>
      </c>
      <c r="K28" s="91" ph="1">
        <f>K27*18.322*LOOKUP(K29,密度!$A$2:$A$50,密度!$Q$2:$Q$50)</f>
        <v>73655.132021940008</v>
      </c>
      <c r="L28" s="91" ph="1">
        <f>L27*18.322*LOOKUP(L29,密度!$A$2:$A$50,密度!$Q$2:$Q$50)</f>
        <v>76317.36570948</v>
      </c>
      <c r="M28" s="91" ph="1">
        <f>M27*18.322*LOOKUP(M29,密度!$A$2:$A$50,密度!$Q$2:$Q$50)</f>
        <v>45987.369492759994</v>
      </c>
      <c r="N28" s="91" ph="1">
        <f>N27*18.322*LOOKUP(N29,密度!$A$2:$A$50,密度!$Q$2:$Q$50)</f>
        <v>49530.196060399998</v>
      </c>
      <c r="O28" s="91" ph="1">
        <f>O27*18.322*LOOKUP(O29,密度!$A$2:$A$50,密度!$C$2:$C$50)</f>
        <v>116631.02705500001</v>
      </c>
      <c r="P28" s="91" ph="1">
        <f>P27*11.702*LOOKUP(P29,密度!$A$2:$A$50,密度!$B$2:$B$50)</f>
        <v>3196.6938499999997</v>
      </c>
      <c r="Q28" s="92" ph="1">
        <f>Q27*18.322*LOOKUP(Q29,密度!$A$2:$A$50,密度!$B$2:$B$50)</f>
        <v>54675.900445199994</v>
      </c>
      <c r="R28" s="91" ph="1">
        <f>R27*35.891*LOOKUP(R29,密度!$A$2:$A$50,密度!$C$2:$C$50)</f>
        <v>147231.38544919997</v>
      </c>
      <c r="S28" s="91" ph="1">
        <f>S27*35.891*LOOKUP(S29,密度!$A$2:$A$50,密度!$B$2:$B$50)</f>
        <v>1431.9539942999997</v>
      </c>
      <c r="T28" s="91" ph="1">
        <f>T27*35.891*LOOKUP(T29,密度!$A$2:$A$50,密度!$Q$2:$Q$50)</f>
        <v>7248.7832405999998</v>
      </c>
      <c r="U28" s="91" ph="1">
        <f>U27*35.891</f>
        <v>151818.93</v>
      </c>
      <c r="V28" s="91" ph="1">
        <f>V27*47.051*LOOKUP(V29,密度!$A$2:$A$50,密度!$B$2:$B$50)</f>
        <v>141652.71926079999</v>
      </c>
      <c r="W28" s="91" ph="1">
        <f>W27*47.051*LOOKUP(W29,密度!$A$2:$A$50,密度!$B$2:$B$50)</f>
        <v>7656.0634384000005</v>
      </c>
      <c r="X28" s="91" ph="1">
        <f>X27*47.051*LOOKUP(X29,密度!$A$2:$A$61,密度!$I$2:$I$61)</f>
        <v>423769.44249800005</v>
      </c>
      <c r="Y28" s="91" ph="1">
        <f>Y27*47.051*LOOKUP(Y29,密度!$A$2:$A$50,密度!$L$2:$L$50)</f>
        <v>263244.69887999998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0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19</v>
      </c>
      <c r="I29" s="74">
        <v>23</v>
      </c>
      <c r="J29" s="74">
        <v>24</v>
      </c>
      <c r="K29" s="74">
        <v>21</v>
      </c>
      <c r="L29" s="74">
        <v>21</v>
      </c>
      <c r="M29" s="74">
        <v>20</v>
      </c>
      <c r="N29" s="74">
        <v>23</v>
      </c>
      <c r="O29" s="74">
        <v>21</v>
      </c>
      <c r="P29" s="74">
        <v>24</v>
      </c>
      <c r="Q29" s="93">
        <v>23</v>
      </c>
      <c r="R29" s="74">
        <v>22</v>
      </c>
      <c r="S29" s="74">
        <v>22</v>
      </c>
      <c r="T29" s="74">
        <v>23</v>
      </c>
      <c r="U29" s="74">
        <v>21</v>
      </c>
      <c r="V29" s="74">
        <v>21</v>
      </c>
      <c r="W29" s="74">
        <v>22</v>
      </c>
      <c r="X29" s="74">
        <v>49</v>
      </c>
      <c r="Y29" s="74">
        <v>22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328038.62625000003</v>
      </c>
      <c r="E33" s="187" ph="1">
        <f>M10+I10</f>
        <v>8380.2621426000005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3" ph="1">
        <f>N19</f>
        <v>8711.4925854400008</v>
      </c>
      <c r="H33" s="187" ph="1">
        <f>M19</f>
        <v>44519.224426140005</v>
      </c>
      <c r="I33" s="191" ph="1">
        <v>0</v>
      </c>
      <c r="J33" s="195" ph="1">
        <f>F10+O28</f>
        <v>326778.7935034</v>
      </c>
      <c r="K33" s="187" ph="1">
        <f>O10+K10+E28+R28</f>
        <v>270229.16470799997</v>
      </c>
      <c r="L33" s="197" ph="1">
        <f>K19</f>
        <v>36136.712407039995</v>
      </c>
      <c r="M33" s="195" ph="1">
        <f>G10+H10+W28+S28+V28+E10+R19+P28+Q28</f>
        <v>885532.81812586018</v>
      </c>
      <c r="N33" s="187" ph="1">
        <f>L10+P10++G28+H28+AD19+AE19</f>
        <v>431746.30823820003</v>
      </c>
      <c r="O33" s="191" ph="1">
        <f>G19</f>
        <v>19557.9091429</v>
      </c>
      <c r="P33" s="195" ph="1">
        <f>L19</f>
        <v>39858.271204160003</v>
      </c>
      <c r="Q33" s="187" ph="1">
        <f>J10+N10</f>
        <v>69882.511090400003</v>
      </c>
      <c r="R33" s="191" ph="1">
        <f>BE23</f>
        <v>890</v>
      </c>
      <c r="S33" s="195" ph="1">
        <f>X28</f>
        <v>423769.44249800005</v>
      </c>
      <c r="T33" s="187" ph="1">
        <f>X19</f>
        <v>6718.5488322000001</v>
      </c>
      <c r="U33" s="176" ph="1">
        <f>BE21</f>
        <v>730</v>
      </c>
      <c r="V33" s="189" ph="1">
        <f ca="1">P19+Q19+S19+M28+N28+J28+D10+AC10+D19+E19+H19+J19+O19+V19+W19+K28+L28</f>
        <v>958255.872462022</v>
      </c>
      <c r="W33" s="189" ph="1">
        <f>D28+F28+T28+I28</f>
        <v>91751.036393019996</v>
      </c>
      <c r="X33" s="191" ph="1">
        <f>BE29+BE31</f>
        <v>10200</v>
      </c>
      <c r="Y33" s="193" ph="1">
        <f>+Q10+R10+S10+T10+U10+V10+W10+X10+Y10</f>
        <v>277968.66589800001</v>
      </c>
      <c r="Z33" s="174" ph="1">
        <f>T19+U19+Y28+Z10</f>
        <v>403719.68840852001</v>
      </c>
      <c r="AA33" s="176" ph="1">
        <f>BE19</f>
        <v>1440</v>
      </c>
      <c r="AB33" s="178" ph="1">
        <f>I19</f>
        <v>48778.860722799996</v>
      </c>
      <c r="AC33" s="180" ph="1">
        <f>AD10+AB19</f>
        <v>153209.83739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8" t="s" ph="1">
        <v>185</v>
      </c>
      <c r="AA36" s="148" ph="1"/>
      <c r="AB36" s="173" t="s" ph="1">
        <v>638</v>
      </c>
      <c r="AC36" s="173" ph="1"/>
      <c r="AD36" s="173" ph="1"/>
      <c r="AE36" s="17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989" priority="100">
      <formula>ABS(D$7-D$10)&gt;=1000</formula>
    </cfRule>
  </conditionalFormatting>
  <conditionalFormatting sqref="E4 E6:E11">
    <cfRule type="expression" dxfId="2988" priority="99">
      <formula>ABS(E$7-E$10)&gt;=1000</formula>
    </cfRule>
  </conditionalFormatting>
  <conditionalFormatting sqref="F4:F11">
    <cfRule type="expression" dxfId="2987" priority="98">
      <formula>ABS(F$7-F$10)&gt;=1000</formula>
    </cfRule>
  </conditionalFormatting>
  <conditionalFormatting sqref="G4:G11">
    <cfRule type="expression" dxfId="2986" priority="97">
      <formula>ABS(G$7-G$10)&gt;=1000</formula>
    </cfRule>
  </conditionalFormatting>
  <conditionalFormatting sqref="H4:H11">
    <cfRule type="expression" dxfId="2985" priority="96">
      <formula>ABS(H$7-H$10)&gt;=1000</formula>
    </cfRule>
  </conditionalFormatting>
  <conditionalFormatting sqref="I4:I11">
    <cfRule type="expression" dxfId="2984" priority="95">
      <formula>ABS(I$7-I$10)&gt;=1000</formula>
    </cfRule>
  </conditionalFormatting>
  <conditionalFormatting sqref="J4:J11">
    <cfRule type="expression" dxfId="2983" priority="94">
      <formula>ABS(J$7-J$10)&gt;=1000</formula>
    </cfRule>
  </conditionalFormatting>
  <conditionalFormatting sqref="K4:K11">
    <cfRule type="expression" dxfId="2982" priority="93">
      <formula>ABS(K$7-K$10)&gt;=1000</formula>
    </cfRule>
  </conditionalFormatting>
  <conditionalFormatting sqref="L4:L11">
    <cfRule type="expression" dxfId="2981" priority="92">
      <formula>ABS(L$7-L$10)&gt;=1000</formula>
    </cfRule>
  </conditionalFormatting>
  <conditionalFormatting sqref="M4 M6:M11">
    <cfRule type="expression" dxfId="2980" priority="91">
      <formula>ABS(M$7-M$10)&gt;=1000</formula>
    </cfRule>
  </conditionalFormatting>
  <conditionalFormatting sqref="N4 N6:N11">
    <cfRule type="expression" dxfId="2979" priority="90">
      <formula>ABS(N$7-N$10)&gt;=1000</formula>
    </cfRule>
  </conditionalFormatting>
  <conditionalFormatting sqref="O4 O6:O11">
    <cfRule type="expression" dxfId="2978" priority="89">
      <formula>ABS(O$7-O$10)&gt;=1000</formula>
    </cfRule>
  </conditionalFormatting>
  <conditionalFormatting sqref="P4 P6:P11">
    <cfRule type="expression" dxfId="2977" priority="88">
      <formula>ABS(P$7-P$10)&gt;=1000</formula>
    </cfRule>
  </conditionalFormatting>
  <conditionalFormatting sqref="Q4:Q11">
    <cfRule type="expression" dxfId="2976" priority="87">
      <formula>ABS(Q$7-Q$10)&gt;=1000</formula>
    </cfRule>
  </conditionalFormatting>
  <conditionalFormatting sqref="R4:R11">
    <cfRule type="expression" dxfId="2975" priority="86">
      <formula>ABS(R$7-R$10)&gt;=1000</formula>
    </cfRule>
  </conditionalFormatting>
  <conditionalFormatting sqref="S4:S11">
    <cfRule type="expression" dxfId="2974" priority="85">
      <formula>ABS(S$7-S$10)&gt;=1000</formula>
    </cfRule>
  </conditionalFormatting>
  <conditionalFormatting sqref="T4:T9 T11">
    <cfRule type="expression" dxfId="2973" priority="84">
      <formula>ABS(T$7-T$10)&gt;=1000</formula>
    </cfRule>
  </conditionalFormatting>
  <conditionalFormatting sqref="U4:U9 U11">
    <cfRule type="expression" dxfId="2972" priority="83">
      <formula>ABS(U$7-U$10)&gt;=1000</formula>
    </cfRule>
  </conditionalFormatting>
  <conditionalFormatting sqref="V4:V9 V11">
    <cfRule type="expression" dxfId="2971" priority="82">
      <formula>ABS(V$7-V$10)&gt;=1000</formula>
    </cfRule>
  </conditionalFormatting>
  <conditionalFormatting sqref="W4:W9 W11">
    <cfRule type="expression" dxfId="2970" priority="81">
      <formula>ABS(W$7-W$10)&gt;=1000</formula>
    </cfRule>
  </conditionalFormatting>
  <conditionalFormatting sqref="X4:X9 X11">
    <cfRule type="expression" dxfId="2969" priority="80">
      <formula>ABS(X$7-X$10)&gt;=1000</formula>
    </cfRule>
  </conditionalFormatting>
  <conditionalFormatting sqref="Y4:Y9 Y11">
    <cfRule type="expression" dxfId="2968" priority="79">
      <formula>ABS(Y$7-Y$10)&gt;=1000</formula>
    </cfRule>
  </conditionalFormatting>
  <conditionalFormatting sqref="Z4:Z11">
    <cfRule type="expression" dxfId="2967" priority="78">
      <formula>ABS(Z$7-Z$10)&gt;=1000</formula>
    </cfRule>
  </conditionalFormatting>
  <conditionalFormatting sqref="AA4:AA11">
    <cfRule type="expression" dxfId="2966" priority="77">
      <formula>ABS(AA$7-AA$10)&gt;=1000</formula>
    </cfRule>
  </conditionalFormatting>
  <conditionalFormatting sqref="AB4:AB11">
    <cfRule type="expression" dxfId="2965" priority="76">
      <formula>ABS(AB$7-AB$10)&gt;=1000</formula>
    </cfRule>
  </conditionalFormatting>
  <conditionalFormatting sqref="AC4 AC6:AC11">
    <cfRule type="expression" dxfId="2964" priority="75">
      <formula>ABS(AC$7-AC$10)&gt;=1000</formula>
    </cfRule>
  </conditionalFormatting>
  <conditionalFormatting sqref="AD4 AD6:AD11">
    <cfRule type="expression" dxfId="2963" priority="74">
      <formula>ABS(AD$7-AD$10)&gt;=1000</formula>
    </cfRule>
  </conditionalFormatting>
  <conditionalFormatting sqref="AE4 AE6:AE11">
    <cfRule type="expression" dxfId="2962" priority="73">
      <formula>ABS(AE$7-AE$10)&gt;=1000</formula>
    </cfRule>
  </conditionalFormatting>
  <conditionalFormatting sqref="D13:D20">
    <cfRule type="expression" dxfId="2961" priority="72">
      <formula>ABS(D$16-D$19)&gt;=1000</formula>
    </cfRule>
  </conditionalFormatting>
  <conditionalFormatting sqref="E13:E20">
    <cfRule type="expression" dxfId="2960" priority="71">
      <formula>ABS(E$16-E$19)&gt;=1000</formula>
    </cfRule>
  </conditionalFormatting>
  <conditionalFormatting sqref="F13 F15:F20">
    <cfRule type="expression" dxfId="2959" priority="70">
      <formula>ABS(F$16-F$19)&gt;=1000</formula>
    </cfRule>
  </conditionalFormatting>
  <conditionalFormatting sqref="G13:G20">
    <cfRule type="expression" dxfId="2958" priority="69">
      <formula>ABS(G$16-G$19)&gt;=1000</formula>
    </cfRule>
  </conditionalFormatting>
  <conditionalFormatting sqref="H13 H15:H20">
    <cfRule type="expression" dxfId="2957" priority="68">
      <formula>ABS(H$16-H$19)&gt;=1000</formula>
    </cfRule>
  </conditionalFormatting>
  <conditionalFormatting sqref="I13:I20">
    <cfRule type="expression" dxfId="2956" priority="67">
      <formula>ABS(I$16-I$19)&gt;=1000</formula>
    </cfRule>
  </conditionalFormatting>
  <conditionalFormatting sqref="J13:J20">
    <cfRule type="expression" dxfId="2955" priority="66">
      <formula>ABS(J$16-J$19)&gt;=1000</formula>
    </cfRule>
  </conditionalFormatting>
  <conditionalFormatting sqref="L13:L20">
    <cfRule type="expression" dxfId="2954" priority="65">
      <formula>ABS(L$16-L$19)&gt;=1000</formula>
    </cfRule>
  </conditionalFormatting>
  <conditionalFormatting sqref="M13 M15 M17:M18 M20">
    <cfRule type="expression" dxfId="2953" priority="64">
      <formula>ABS(M$16-M$19)&gt;=1000</formula>
    </cfRule>
  </conditionalFormatting>
  <conditionalFormatting sqref="N13:N20">
    <cfRule type="expression" dxfId="2952" priority="63">
      <formula>ABS(N$16-N$19)&gt;=1000</formula>
    </cfRule>
  </conditionalFormatting>
  <conditionalFormatting sqref="O13:O20">
    <cfRule type="expression" dxfId="2951" priority="62">
      <formula>ABS(O$16-O$19)&gt;=1000</formula>
    </cfRule>
  </conditionalFormatting>
  <conditionalFormatting sqref="P13:P20">
    <cfRule type="expression" dxfId="2950" priority="61">
      <formula>ABS(P$16-P$19)&gt;=1000</formula>
    </cfRule>
  </conditionalFormatting>
  <conditionalFormatting sqref="Q13 Q15:Q20">
    <cfRule type="expression" dxfId="2949" priority="60">
      <formula>ABS(Q$16-Q$19)&gt;=1000</formula>
    </cfRule>
  </conditionalFormatting>
  <conditionalFormatting sqref="R13:R20">
    <cfRule type="expression" dxfId="2948" priority="59">
      <formula>ABS(R$16-R$19)&gt;=1000</formula>
    </cfRule>
  </conditionalFormatting>
  <conditionalFormatting sqref="S13:S20">
    <cfRule type="expression" dxfId="2947" priority="58">
      <formula>ABS(S$16-S$19)&gt;=1000</formula>
    </cfRule>
  </conditionalFormatting>
  <conditionalFormatting sqref="T13:T20">
    <cfRule type="expression" dxfId="2946" priority="57">
      <formula>ABS(T$16-T$19)&gt;=1000</formula>
    </cfRule>
  </conditionalFormatting>
  <conditionalFormatting sqref="U13:U20">
    <cfRule type="expression" dxfId="2945" priority="56">
      <formula>ABS(U$16-U$19)&gt;=1000</formula>
    </cfRule>
  </conditionalFormatting>
  <conditionalFormatting sqref="V13:V20">
    <cfRule type="expression" dxfId="2944" priority="55">
      <formula>ABS(V$16-V$19)&gt;=1000</formula>
    </cfRule>
  </conditionalFormatting>
  <conditionalFormatting sqref="W13 W20 W15:W18">
    <cfRule type="expression" dxfId="2943" priority="54">
      <formula>ABS(W$16-W$19)&gt;=1000</formula>
    </cfRule>
  </conditionalFormatting>
  <conditionalFormatting sqref="X13 X15:X20 Y19">
    <cfRule type="expression" dxfId="2942" priority="53">
      <formula>ABS(X$16-X$19)&gt;=1000</formula>
    </cfRule>
  </conditionalFormatting>
  <conditionalFormatting sqref="Y13 Y15:Y18 Y20">
    <cfRule type="expression" dxfId="2941" priority="52">
      <formula>ABS(Y$16-Y$19)&gt;=1000</formula>
    </cfRule>
  </conditionalFormatting>
  <conditionalFormatting sqref="Z13:Z20">
    <cfRule type="expression" dxfId="2940" priority="51">
      <formula>ABS(Z$16-Z$19)&gt;=1000</formula>
    </cfRule>
  </conditionalFormatting>
  <conditionalFormatting sqref="AA13:AA20">
    <cfRule type="expression" dxfId="2939" priority="50">
      <formula>ABS(AA$16-AA$19)&gt;=1000</formula>
    </cfRule>
  </conditionalFormatting>
  <conditionalFormatting sqref="AB13 AB15:AB20">
    <cfRule type="expression" dxfId="2938" priority="49">
      <formula>ABS(AB$16-AB$19)&gt;=1000</formula>
    </cfRule>
  </conditionalFormatting>
  <conditionalFormatting sqref="AC13 AC15:AC20">
    <cfRule type="expression" dxfId="2937" priority="48">
      <formula>ABS(AC$16-AC$19)&gt;=1000</formula>
    </cfRule>
  </conditionalFormatting>
  <conditionalFormatting sqref="AD13:AD20">
    <cfRule type="expression" dxfId="2936" priority="47">
      <formula>ABS(AD$16-AD$19)&gt;=1000</formula>
    </cfRule>
  </conditionalFormatting>
  <conditionalFormatting sqref="AE13:AE20">
    <cfRule type="expression" dxfId="2935" priority="46">
      <formula>ABS(AE$16-AE$19)&gt;=1000</formula>
    </cfRule>
  </conditionalFormatting>
  <conditionalFormatting sqref="D22:D29">
    <cfRule type="expression" dxfId="2934" priority="45">
      <formula>ABS(D$25-D$28)&gt;=1000</formula>
    </cfRule>
  </conditionalFormatting>
  <conditionalFormatting sqref="E22:E29">
    <cfRule type="expression" dxfId="2933" priority="44">
      <formula>ABS(E$25-E$28)&gt;=1000</formula>
    </cfRule>
  </conditionalFormatting>
  <conditionalFormatting sqref="F22:F29">
    <cfRule type="expression" dxfId="2932" priority="43">
      <formula>ABS(F$25-F$28)&gt;=1000</formula>
    </cfRule>
  </conditionalFormatting>
  <conditionalFormatting sqref="G22:G29">
    <cfRule type="expression" dxfId="2931" priority="42">
      <formula>ABS(G$25-G$28)&gt;=1000</formula>
    </cfRule>
  </conditionalFormatting>
  <conditionalFormatting sqref="H22:H29">
    <cfRule type="expression" dxfId="2930" priority="41">
      <formula>ABS(H$25-H$28)&gt;=1000</formula>
    </cfRule>
  </conditionalFormatting>
  <conditionalFormatting sqref="I22 I24:I29">
    <cfRule type="expression" dxfId="2929" priority="40">
      <formula>ABS(I$25-I$28)&gt;=1000</formula>
    </cfRule>
  </conditionalFormatting>
  <conditionalFormatting sqref="J22:J29 K22">
    <cfRule type="expression" dxfId="2928" priority="39">
      <formula>ABS(J$25-J$28)&gt;=1000</formula>
    </cfRule>
  </conditionalFormatting>
  <conditionalFormatting sqref="K23:K29 L25 L28">
    <cfRule type="expression" dxfId="2927" priority="38">
      <formula>ABS(K$25-K$28)&gt;=1000</formula>
    </cfRule>
  </conditionalFormatting>
  <conditionalFormatting sqref="L22 L26:L27 L29 L24">
    <cfRule type="expression" dxfId="2926" priority="37">
      <formula>ABS(L$25-L$28)&gt;=1000</formula>
    </cfRule>
  </conditionalFormatting>
  <conditionalFormatting sqref="M22:M29">
    <cfRule type="expression" dxfId="2925" priority="36">
      <formula>ABS(M$25-M$28)&gt;=1000</formula>
    </cfRule>
  </conditionalFormatting>
  <conditionalFormatting sqref="N22:N29">
    <cfRule type="expression" dxfId="2924" priority="35">
      <formula>ABS(N$25-N$28)&gt;=1000</formula>
    </cfRule>
  </conditionalFormatting>
  <conditionalFormatting sqref="O22:O29">
    <cfRule type="expression" dxfId="2923" priority="34">
      <formula>ABS(O$25-O$28)&gt;=1000</formula>
    </cfRule>
  </conditionalFormatting>
  <conditionalFormatting sqref="P22:P29">
    <cfRule type="expression" dxfId="2922" priority="33">
      <formula>ABS(P$25-P$28)&gt;=1000</formula>
    </cfRule>
  </conditionalFormatting>
  <conditionalFormatting sqref="Q22:Q29">
    <cfRule type="expression" dxfId="2921" priority="32">
      <formula>ABS(Q$25-Q$28)&gt;=1000</formula>
    </cfRule>
  </conditionalFormatting>
  <conditionalFormatting sqref="R22:R29">
    <cfRule type="expression" dxfId="2920" priority="31">
      <formula>ABS(R$25-R$28)&gt;=1000</formula>
    </cfRule>
  </conditionalFormatting>
  <conditionalFormatting sqref="S22:S29">
    <cfRule type="expression" dxfId="2919" priority="30">
      <formula>ABS(S$25-S$28)&gt;=1000</formula>
    </cfRule>
  </conditionalFormatting>
  <conditionalFormatting sqref="T22:T29">
    <cfRule type="expression" dxfId="2918" priority="29">
      <formula>ABS(T$25-T$28)&gt;=1000</formula>
    </cfRule>
  </conditionalFormatting>
  <conditionalFormatting sqref="U22:U29">
    <cfRule type="expression" dxfId="2917" priority="28">
      <formula>ABS(U$25-U$28)&gt;=1000</formula>
    </cfRule>
  </conditionalFormatting>
  <conditionalFormatting sqref="V22:V29">
    <cfRule type="expression" dxfId="2916" priority="27">
      <formula>ABS(V$25-V$28)&gt;=1000</formula>
    </cfRule>
  </conditionalFormatting>
  <conditionalFormatting sqref="W22:W29">
    <cfRule type="expression" dxfId="2915" priority="26">
      <formula>ABS(W$25-W$28)&gt;=1000</formula>
    </cfRule>
  </conditionalFormatting>
  <conditionalFormatting sqref="X22:X29">
    <cfRule type="expression" dxfId="2914" priority="25">
      <formula>ABS(X$25-X$28)&gt;=1000</formula>
    </cfRule>
  </conditionalFormatting>
  <conditionalFormatting sqref="Y22:Y29">
    <cfRule type="expression" dxfId="2913" priority="24">
      <formula>ABS(Y$25-Y$28)&gt;=1000</formula>
    </cfRule>
  </conditionalFormatting>
  <conditionalFormatting sqref="I23">
    <cfRule type="expression" dxfId="2912" priority="23">
      <formula>ABS(I$25-I$28)&gt;=1000</formula>
    </cfRule>
  </conditionalFormatting>
  <conditionalFormatting sqref="Q14">
    <cfRule type="expression" dxfId="2911" priority="22">
      <formula>ABS(Q$16-Q$19)&gt;=1000</formula>
    </cfRule>
  </conditionalFormatting>
  <conditionalFormatting sqref="W14">
    <cfRule type="expression" dxfId="2910" priority="21">
      <formula>ABS(W$16-W$19)&gt;=1000</formula>
    </cfRule>
  </conditionalFormatting>
  <conditionalFormatting sqref="X14">
    <cfRule type="expression" dxfId="2909" priority="20">
      <formula>ABS(X$16-X$19)&gt;=1000</formula>
    </cfRule>
  </conditionalFormatting>
  <conditionalFormatting sqref="T10:Y10">
    <cfRule type="expression" dxfId="2908" priority="19">
      <formula>ABS(T$7-T$10)&gt;=1000</formula>
    </cfRule>
  </conditionalFormatting>
  <conditionalFormatting sqref="W19">
    <cfRule type="expression" dxfId="2907" priority="18">
      <formula>ABS(W$16-W$19)&gt;=1000</formula>
    </cfRule>
  </conditionalFormatting>
  <conditionalFormatting sqref="AC5">
    <cfRule type="expression" dxfId="2906" priority="17">
      <formula>ABS(AC$7-AC$10)&gt;=1000</formula>
    </cfRule>
  </conditionalFormatting>
  <conditionalFormatting sqref="M14">
    <cfRule type="expression" dxfId="2905" priority="16">
      <formula>ABS(M$16-M$19)&gt;=1000</formula>
    </cfRule>
  </conditionalFormatting>
  <conditionalFormatting sqref="M16">
    <cfRule type="expression" dxfId="2904" priority="15">
      <formula>ABS(M$16-M$19)&gt;=1000</formula>
    </cfRule>
  </conditionalFormatting>
  <conditionalFormatting sqref="M19">
    <cfRule type="expression" dxfId="2903" priority="14">
      <formula>ABS(M$16-M$19)&gt;=1000</formula>
    </cfRule>
  </conditionalFormatting>
  <conditionalFormatting sqref="K13:K20">
    <cfRule type="expression" dxfId="2902" priority="13">
      <formula>ABS(K$16-K$19)&gt;=1000</formula>
    </cfRule>
  </conditionalFormatting>
  <conditionalFormatting sqref="E5">
    <cfRule type="expression" dxfId="2901" priority="12">
      <formula>ABS(E$7-E$10)&gt;=1000</formula>
    </cfRule>
  </conditionalFormatting>
  <conditionalFormatting sqref="AB14:AC14">
    <cfRule type="expression" dxfId="2900" priority="11">
      <formula>ABS(AB$16-AB$19)&gt;=1000</formula>
    </cfRule>
  </conditionalFormatting>
  <conditionalFormatting sqref="M5">
    <cfRule type="expression" dxfId="2899" priority="10">
      <formula>ABS(M$7-M$10)&gt;=1000</formula>
    </cfRule>
  </conditionalFormatting>
  <conditionalFormatting sqref="N5">
    <cfRule type="expression" dxfId="2898" priority="9">
      <formula>ABS(N$7-N$10)&gt;=1000</formula>
    </cfRule>
  </conditionalFormatting>
  <conditionalFormatting sqref="O5">
    <cfRule type="expression" dxfId="2897" priority="8">
      <formula>ABS(O$7-O$10)&gt;=1000</formula>
    </cfRule>
  </conditionalFormatting>
  <conditionalFormatting sqref="P5">
    <cfRule type="expression" dxfId="2896" priority="7">
      <formula>ABS(P$7-P$10)&gt;=1000</formula>
    </cfRule>
  </conditionalFormatting>
  <conditionalFormatting sqref="L23">
    <cfRule type="expression" dxfId="2895" priority="6">
      <formula>ABS(L$25-L$28)&gt;=1000</formula>
    </cfRule>
  </conditionalFormatting>
  <conditionalFormatting sqref="Y14">
    <cfRule type="expression" dxfId="2894" priority="5">
      <formula>ABS(Y$16-Y$19)&gt;=1000</formula>
    </cfRule>
  </conditionalFormatting>
  <conditionalFormatting sqref="F14">
    <cfRule type="expression" dxfId="2893" priority="4">
      <formula>ABS(F$16-F$19)&gt;=1000</formula>
    </cfRule>
  </conditionalFormatting>
  <conditionalFormatting sqref="H14">
    <cfRule type="expression" dxfId="2892" priority="3">
      <formula>ABS(H$16-H$19)&gt;=1000</formula>
    </cfRule>
  </conditionalFormatting>
  <conditionalFormatting sqref="AD5">
    <cfRule type="expression" dxfId="2891" priority="2">
      <formula>ABS(AD$7-AD$10)&gt;=1000</formula>
    </cfRule>
  </conditionalFormatting>
  <conditionalFormatting sqref="AE5">
    <cfRule type="expression" dxfId="28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81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5">
    <pageSetUpPr fitToPage="1"/>
  </sheetPr>
  <dimension ref="A1:CU223"/>
  <sheetViews>
    <sheetView view="pageBreakPreview" zoomScale="70" zoomScaleNormal="100" zoomScaleSheetLayoutView="70" workbookViewId="0">
      <selection activeCell="AE6" sqref="A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46083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0" t="s" ph="1">
        <v>177</v>
      </c>
      <c r="D6" s="71">
        <v>5980</v>
      </c>
      <c r="E6" s="71">
        <v>4028</v>
      </c>
      <c r="F6" s="71">
        <v>4705</v>
      </c>
      <c r="G6" s="71">
        <v>5816</v>
      </c>
      <c r="H6" s="71">
        <v>5634</v>
      </c>
      <c r="I6" s="71">
        <v>38.58</v>
      </c>
      <c r="J6" s="71">
        <v>6.55</v>
      </c>
      <c r="K6" s="71">
        <v>62.36</v>
      </c>
      <c r="L6" s="71">
        <v>8.34</v>
      </c>
      <c r="M6" s="71">
        <v>1651</v>
      </c>
      <c r="N6" s="71">
        <v>2617</v>
      </c>
      <c r="O6" s="71">
        <v>4739</v>
      </c>
      <c r="P6" s="71">
        <v>6995</v>
      </c>
      <c r="Q6" s="71">
        <v>7020</v>
      </c>
      <c r="R6" s="71">
        <v>6777</v>
      </c>
      <c r="S6" s="71">
        <v>1716</v>
      </c>
      <c r="T6" s="71">
        <v>0</v>
      </c>
      <c r="U6" s="71">
        <v>1911</v>
      </c>
      <c r="V6" s="71">
        <v>6036</v>
      </c>
      <c r="W6" s="71">
        <v>7022</v>
      </c>
      <c r="X6" s="71">
        <v>7059</v>
      </c>
      <c r="Y6" s="71">
        <v>6711</v>
      </c>
      <c r="Z6" s="71">
        <v>6777</v>
      </c>
      <c r="AA6" s="71">
        <v>4936</v>
      </c>
      <c r="AB6" s="71">
        <v>4597</v>
      </c>
      <c r="AC6" s="71">
        <v>6265</v>
      </c>
      <c r="AD6" s="71">
        <v>4780</v>
      </c>
      <c r="AE6" s="71">
        <v>3740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188451.1083546</v>
      </c>
      <c r="E7" s="73" ph="1">
        <f>E6*51.53*LOOKUP(E8,密度!$A$2:$A$50,密度!$B$2:$B$50)</f>
        <v>162750.02284399999</v>
      </c>
      <c r="F7" s="73" ph="1">
        <f>F6*33.183*LOOKUP(F8,密度!$A$2:$A$50,密度!$C$2:$C$50)</f>
        <v>173799.47989799999</v>
      </c>
      <c r="G7" s="73" ph="1">
        <f xml:space="preserve"> (G6+2)*51.53*LOOKUP(G8,密度!$A$2:$A$50,密度!$B$2:$B$50)</f>
        <v>234804.56612799998</v>
      </c>
      <c r="H7" s="73" ph="1">
        <f>(H6)*51.53*LOOKUP(H8,密度!$A$2:$A$50,密度!$B$2:$B$50)</f>
        <v>228307.66372800001</v>
      </c>
      <c r="I7" s="73" ph="1">
        <f>I6*290.8*1.0267</f>
        <v>11518.613008799999</v>
      </c>
      <c r="J7" s="73" ph="1">
        <f>J6*290.8*0.7892</f>
        <v>1503.220808</v>
      </c>
      <c r="K7" s="73" ph="1">
        <f>K6*290.8*1.1126</f>
        <v>20176.208828800001</v>
      </c>
      <c r="L7" s="73" ph="1">
        <f>L6*290.8*0.777</f>
        <v>1884.436344</v>
      </c>
      <c r="M7" s="73" ph="1">
        <f>M6*33.183*LOOKUP(M8,密度!$A$2:$A$50,密度!$D$2:$D$50)</f>
        <v>56401.294423500003</v>
      </c>
      <c r="N7" s="73" ph="1">
        <f>N6*33.183*LOOKUP(N8,密度!$A$2:$A$50,密度!$E$2:$E$50)</f>
        <v>68325.641974800004</v>
      </c>
      <c r="O7" s="73" ph="1">
        <f>O6*20.428*LOOKUP(O8,密度!$A$2:$A$50,密度!$C$2:$C$50)</f>
        <v>107350.7149988</v>
      </c>
      <c r="P7" s="73" ph="1">
        <f>P6*51.53*LOOKUP(P8,密度!$A$2:$A$50,密度!$B$2:$B$50)</f>
        <v>282919.04951500002</v>
      </c>
      <c r="Q7" s="73" ph="1">
        <f>Q6*1.5*1.5*3.1416*LOOKUP(W8,密度!$A$2:$A$50,密度!$L$2:$L$50)</f>
        <v>46693.899251999996</v>
      </c>
      <c r="R7" s="73" ph="1">
        <f>R6*1.5*1.5*3.1416*LOOKUP(R8,密度!$A$2:$A$50,密度!$L$2:$L$50)</f>
        <v>44838.0524592</v>
      </c>
      <c r="S7" s="73" ph="1">
        <f>S6*1.5*1.5*3.1416*LOOKUP(S8,密度!$A$2:$A$50,密度!$L$2:$L$50)</f>
        <v>11462.583132</v>
      </c>
      <c r="T7" s="73" ph="1">
        <f>T6*1.5*1.5*3.1416*LOOKUP(T8,密度!$A$2:$A$50,密度!$L$2:$L$50)</f>
        <v>0</v>
      </c>
      <c r="U7" s="73" ph="1">
        <f>U6*1.5*1.5*3.1416*LOOKUP(U8,密度!$A$2:$A$50,密度!$L$2:$L$50)</f>
        <v>12711.1170186</v>
      </c>
      <c r="V7" s="73" ph="1">
        <f>V6*1.5*1.5*3.1416*LOOKUP(V8,密度!$A$2:$A$50,密度!$L$2:$L$50)</f>
        <v>39935.441145600002</v>
      </c>
      <c r="W7" s="73" ph="1">
        <f>W6*1.5*1.5*3.1416*LOOKUP(W8,密度!$A$2:$A$50,密度!$L$2:$L$50)</f>
        <v>46707.202357199996</v>
      </c>
      <c r="X7" s="73" ph="1">
        <f>X6*1.5*1.5*3.1416*LOOKUP(X8,密度!$A$2:$A$50,密度!$L$2:$L$50)</f>
        <v>47402.385029999998</v>
      </c>
      <c r="Y7" s="73" ph="1">
        <f>Y6*1.5*1.5*3.1416*LOOKUP(Y8,密度!$A$2:$A$50,密度!$L$2:$L$50)</f>
        <v>44686.0068732</v>
      </c>
      <c r="Z7" s="73" ph="1">
        <f>Z6*33.183*LOOKUP(Z8,密度!$A$2:$A$50,密度!$L$2:$L$50)</f>
        <v>212062.96311299998</v>
      </c>
      <c r="AA7" s="73" ph="1">
        <f>AA6*33.183*LOOKUP(AA8,密度!$A$2:$A$50,密度!$D$2:$D$50)</f>
        <v>168934.33444320003</v>
      </c>
      <c r="AB7" s="73" ph="1">
        <f>AB6*20.428*LOOKUP(AB8,密度!$A$2:$A$50,密度!$D$2:$D$50)</f>
        <v>97419.657098400014</v>
      </c>
      <c r="AC7" s="73" ph="1">
        <f>AC6*51.53*LOOKUP(AC8,密度!$A$2:$A$50,密度!$Q$2:$Q$50)</f>
        <v>307342.57675450004</v>
      </c>
      <c r="AD7" s="73" ph="1">
        <f>AD6*20.428*LOOKUP(AD8,密度!$A$2:$A$50,密度!$V$2:$V$50)</f>
        <v>94130.589760000003</v>
      </c>
      <c r="AE7" s="73" ph="1">
        <f>AE6*20.428</f>
        <v>76400.72</v>
      </c>
    </row>
    <row r="8" spans="1:99" ph="1">
      <c r="B8" s="238" ph="1"/>
      <c r="C8" s="68" t="s" ph="1">
        <v>179</v>
      </c>
      <c r="D8" s="74">
        <v>21</v>
      </c>
      <c r="E8" s="74">
        <v>20</v>
      </c>
      <c r="F8" s="74">
        <v>19</v>
      </c>
      <c r="G8" s="74">
        <v>21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25</v>
      </c>
      <c r="P8" s="74">
        <v>19</v>
      </c>
      <c r="Q8" s="74">
        <v>22</v>
      </c>
      <c r="R8" s="74">
        <v>26</v>
      </c>
      <c r="S8" s="74">
        <v>17</v>
      </c>
      <c r="T8" s="74">
        <v>16</v>
      </c>
      <c r="U8" s="74">
        <v>21</v>
      </c>
      <c r="V8" s="74">
        <v>26</v>
      </c>
      <c r="W8" s="74">
        <v>21</v>
      </c>
      <c r="X8" s="74">
        <v>12</v>
      </c>
      <c r="Y8" s="74">
        <v>20</v>
      </c>
      <c r="Z8" s="74">
        <v>19</v>
      </c>
      <c r="AA8" s="74">
        <v>20</v>
      </c>
      <c r="AB8" s="74">
        <v>13</v>
      </c>
      <c r="AC8" s="74">
        <v>18</v>
      </c>
      <c r="AD8" s="74">
        <v>19</v>
      </c>
      <c r="AE8" s="74">
        <v>22</v>
      </c>
    </row>
    <row r="9" spans="1:99" ht="26.4" ph="1">
      <c r="B9" s="238" ph="1">
        <v>0.66666666666666663</v>
      </c>
      <c r="C9" s="150" t="s" ph="1">
        <v>180</v>
      </c>
      <c r="D9" s="71">
        <v>5983</v>
      </c>
      <c r="E9" s="71">
        <v>4030</v>
      </c>
      <c r="F9" s="71">
        <v>4705</v>
      </c>
      <c r="G9" s="71">
        <v>5823</v>
      </c>
      <c r="H9" s="71">
        <v>5638</v>
      </c>
      <c r="I9" s="71">
        <v>16.190000000000001</v>
      </c>
      <c r="J9" s="71">
        <v>6.66</v>
      </c>
      <c r="K9" s="71">
        <v>62.48</v>
      </c>
      <c r="L9" s="71">
        <v>8.26</v>
      </c>
      <c r="M9" s="71">
        <v>2057</v>
      </c>
      <c r="N9" s="71">
        <v>2396</v>
      </c>
      <c r="O9" s="71">
        <v>4740</v>
      </c>
      <c r="P9" s="71">
        <v>6615</v>
      </c>
      <c r="Q9" s="71">
        <v>7029</v>
      </c>
      <c r="R9" s="71">
        <v>7123</v>
      </c>
      <c r="S9" s="71">
        <v>4476</v>
      </c>
      <c r="T9" s="71">
        <v>0</v>
      </c>
      <c r="U9" s="71">
        <v>0</v>
      </c>
      <c r="V9" s="71">
        <v>3843</v>
      </c>
      <c r="W9" s="71">
        <v>7034</v>
      </c>
      <c r="X9" s="71">
        <v>7070</v>
      </c>
      <c r="Y9" s="71">
        <v>6724</v>
      </c>
      <c r="Z9" s="71">
        <v>4473</v>
      </c>
      <c r="AA9" s="71">
        <v>4750</v>
      </c>
      <c r="AB9" s="71">
        <v>4600</v>
      </c>
      <c r="AC9" s="71">
        <v>6660</v>
      </c>
      <c r="AD9" s="71">
        <v>4780</v>
      </c>
      <c r="AE9" s="71">
        <v>1537</v>
      </c>
    </row>
    <row r="10" spans="1:99" s="72" customFormat="1" ht="22.2" ph="1">
      <c r="B10" s="238" ph="1"/>
      <c r="C10" s="150" t="s" ph="1">
        <v>178</v>
      </c>
      <c r="D10" s="73" ph="1">
        <f>D9*33.183*LOOKUP(D11,密度!$A$2:$A$50,密度!$Q$2:$Q$50)</f>
        <v>188545.64904441001</v>
      </c>
      <c r="E10" s="73" ph="1">
        <f>E9*51.53*LOOKUP(E11,密度!$A$2:$A$50,密度!$B$2:$B$50)</f>
        <v>162270.13425999999</v>
      </c>
      <c r="F10" s="73" ph="1">
        <f>F9*33.183*LOOKUP(F11,密度!$A$2:$A$50,密度!$C$2:$C$50)</f>
        <v>173596.51607849999</v>
      </c>
      <c r="G10" s="73" ph="1">
        <f xml:space="preserve"> (G9+2)*51.53*LOOKUP(G11,密度!$A$2:$A$50,密度!$B$2:$B$50)</f>
        <v>234546.78214999998</v>
      </c>
      <c r="H10" s="73" ph="1">
        <f>(H9)*51.53*LOOKUP(H11,密度!$A$2:$A$50,密度!$B$2:$B$50)</f>
        <v>227540.07284800001</v>
      </c>
      <c r="I10" s="73" ph="1">
        <f>I9*290.8*1.0267</f>
        <v>4833.7569884000004</v>
      </c>
      <c r="J10" s="73" ph="1">
        <f>J9*290.8*0.7892</f>
        <v>1528.4657376</v>
      </c>
      <c r="K10" s="73" ph="1">
        <f>K9*290.8*1.1126</f>
        <v>20215.034118400003</v>
      </c>
      <c r="L10" s="73" ph="1">
        <f>L9*290.8*0.777</f>
        <v>1866.3602159999998</v>
      </c>
      <c r="M10" s="73" ph="1">
        <f>M9*33.183*LOOKUP(M11,密度!$A$2:$A$50,密度!$D$2:$D$50)</f>
        <v>69950.215288799998</v>
      </c>
      <c r="N10" s="73" ph="1">
        <f>N9*33.183*LOOKUP(N11,密度!$A$2:$A$50,密度!$E$2:$E$50)</f>
        <v>62460.281260799995</v>
      </c>
      <c r="O10" s="73" ph="1">
        <f>O9*20.428*LOOKUP(O11,密度!$A$2:$A$50,密度!$C$2:$C$50)</f>
        <v>107150.66155200001</v>
      </c>
      <c r="P10" s="73" ph="1">
        <f>P9*51.53*LOOKUP(P11,密度!$A$2:$A$50,密度!$B$2:$B$50)</f>
        <v>265163.51200500003</v>
      </c>
      <c r="Q10" s="73" ph="1">
        <f>Q9*1.5*1.5*3.1416*LOOKUP(W11,密度!$A$2:$A$50,密度!$L$2:$L$50)</f>
        <v>46654.392846599992</v>
      </c>
      <c r="R10" s="73" ph="1">
        <f>R9*1.5*1.5*3.1416*LOOKUP(R11,密度!$A$2:$A$50,密度!$L$2:$L$50)</f>
        <v>47026.561705200002</v>
      </c>
      <c r="S10" s="73" ph="1">
        <f>S9*1.5*1.5*3.1416*LOOKUP(S11,密度!$A$2:$A$50,密度!$L$2:$L$50)</f>
        <v>29803.988491199998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25398.928863000001</v>
      </c>
      <c r="W10" s="73" ph="1">
        <f>W9*1.5*1.5*3.1416*LOOKUP(W11,密度!$A$2:$A$50,密度!$L$2:$L$50)</f>
        <v>46687.579923599995</v>
      </c>
      <c r="X10" s="73" ph="1">
        <f>X9*1.5*1.5*3.1416*LOOKUP(X11,密度!$A$2:$A$50,密度!$L$2:$L$50)</f>
        <v>47376.301895999997</v>
      </c>
      <c r="Y10" s="73" ph="1">
        <f>Y9*1.5*1.5*3.1416*LOOKUP(Y11,密度!$A$2:$A$50,密度!$L$2:$L$50)</f>
        <v>44677.510415999997</v>
      </c>
      <c r="Z10" s="73" ph="1">
        <f>Z9*33.183*LOOKUP(Z11,密度!$A$2:$A$50,密度!$L$2:$L$50)</f>
        <v>139670.33301900001</v>
      </c>
      <c r="AA10" s="73" ph="1">
        <f>AA9*33.183*LOOKUP(AA11,密度!$A$2:$A$50,密度!$D$2:$D$50)</f>
        <v>161827.68397499999</v>
      </c>
      <c r="AB10" s="73" ph="1">
        <f>AB9*20.428*LOOKUP(AB11,密度!$A$2:$A$50,密度!$D$2:$D$50)</f>
        <v>97314.089280000015</v>
      </c>
      <c r="AC10" s="73" ph="1">
        <f>AC9*51.53*LOOKUP(AC11,密度!$A$2:$A$50,密度!$Q$2:$Q$50)</f>
        <v>324667.846494</v>
      </c>
      <c r="AD10" s="73" ph="1">
        <f>AD9*20.428*LOOKUP(AD11,密度!$A$2:$A$50,密度!$V$2:$V$50)</f>
        <v>93818.123072000002</v>
      </c>
      <c r="AE10" s="73" ph="1">
        <f>AE9*20.428</f>
        <v>31397.836000000003</v>
      </c>
    </row>
    <row r="11" spans="1:99" ph="1">
      <c r="A11" s="64" t="s" ph="1">
        <v>162</v>
      </c>
      <c r="B11" s="238" ph="1"/>
      <c r="C11" s="150" t="s" ph="1">
        <v>179</v>
      </c>
      <c r="D11" s="74">
        <v>21</v>
      </c>
      <c r="E11" s="74">
        <v>23</v>
      </c>
      <c r="F11" s="74">
        <v>21</v>
      </c>
      <c r="G11" s="74">
        <v>23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23</v>
      </c>
      <c r="O11" s="74">
        <v>28</v>
      </c>
      <c r="P11" s="74">
        <v>27</v>
      </c>
      <c r="Q11" s="74">
        <v>24</v>
      </c>
      <c r="R11" s="74">
        <v>28</v>
      </c>
      <c r="S11" s="74">
        <v>20</v>
      </c>
      <c r="T11" s="74">
        <v>30</v>
      </c>
      <c r="U11" s="74">
        <v>25</v>
      </c>
      <c r="V11" s="74">
        <v>27</v>
      </c>
      <c r="W11" s="74">
        <v>23</v>
      </c>
      <c r="X11" s="74">
        <v>14</v>
      </c>
      <c r="Y11" s="74">
        <v>22</v>
      </c>
      <c r="Z11" s="74">
        <v>21</v>
      </c>
      <c r="AA11" s="74">
        <v>25</v>
      </c>
      <c r="AB11" s="74">
        <v>15</v>
      </c>
      <c r="AC11" s="74">
        <v>26</v>
      </c>
      <c r="AD11" s="74">
        <v>23</v>
      </c>
      <c r="AE11" s="74">
        <v>25</v>
      </c>
    </row>
    <row r="12" spans="1:99" ht="9.9" customHeight="1" ph="1"/>
    <row r="13" spans="1:99" s="72" customFormat="1" ht="29.25" customHeight="1" ph="1">
      <c r="B13" s="215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0" t="s" ph="1">
        <v>177</v>
      </c>
      <c r="D15" s="78">
        <v>4510</v>
      </c>
      <c r="E15" s="78">
        <v>5719</v>
      </c>
      <c r="F15" s="78">
        <v>4238</v>
      </c>
      <c r="G15" s="78">
        <v>3434</v>
      </c>
      <c r="H15" s="78">
        <v>0</v>
      </c>
      <c r="I15" s="78">
        <v>5229</v>
      </c>
      <c r="J15" s="78">
        <v>0</v>
      </c>
      <c r="K15" s="78">
        <v>3582</v>
      </c>
      <c r="L15" s="78">
        <v>5575</v>
      </c>
      <c r="M15" s="78">
        <v>6168</v>
      </c>
      <c r="N15" s="78">
        <v>6232</v>
      </c>
      <c r="O15" s="78">
        <v>4445</v>
      </c>
      <c r="P15" s="78">
        <v>3438</v>
      </c>
      <c r="Q15" s="78">
        <v>6943</v>
      </c>
      <c r="R15" s="78">
        <v>7388</v>
      </c>
      <c r="S15" s="78">
        <v>857</v>
      </c>
      <c r="T15" s="78">
        <v>3533</v>
      </c>
      <c r="U15" s="78">
        <v>4405</v>
      </c>
      <c r="V15" s="78">
        <v>4972</v>
      </c>
      <c r="W15" s="71">
        <v>-171</v>
      </c>
      <c r="X15" s="78">
        <v>93</v>
      </c>
      <c r="Y15" s="106">
        <v>-9900</v>
      </c>
      <c r="Z15" s="78">
        <v>0</v>
      </c>
      <c r="AA15" s="78">
        <v>10</v>
      </c>
      <c r="AB15" s="78" ph="1">
        <v>6962</v>
      </c>
      <c r="AC15" s="78" ph="1">
        <v>2145</v>
      </c>
      <c r="AD15" s="78">
        <v>5.37</v>
      </c>
      <c r="AE15" s="78">
        <v>69.11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0" t="s" ph="1">
        <v>178</v>
      </c>
      <c r="D16" s="73" ph="1">
        <f>D15*7.0686*LOOKUP(D17,密度!$A$2:$A$50,密度!$L$2:$L$50)</f>
        <v>29998.502225999997</v>
      </c>
      <c r="E16" s="73" ph="1">
        <f>E15*7.0686*LOOKUP(E17,密度!$A$2:$A$50,密度!$L$2:$L$50)</f>
        <v>38040.229319400001</v>
      </c>
      <c r="F16" s="73" ph="1">
        <f>F15*9.0746*LOOKUP(F17,密度!$A$2:$A$50,密度!$L$2:$L$50)</f>
        <v>36035.291047600003</v>
      </c>
      <c r="G16" s="73" ph="1">
        <f>G15*9.0746*LOOKUP(G17,密度!$A$2:$A$50,密度!$B$2:$B$50)</f>
        <v>24434.26251524</v>
      </c>
      <c r="H16" s="73" ph="1">
        <f>H15*9.0746*LOOKUP(H17,密度!$A$2:$A$50,密度!$L$2:$L$50)</f>
        <v>0</v>
      </c>
      <c r="I16" s="73" ph="1">
        <f>I15*9.0746*LOOKUP(I17,密度!$A$2:$A$50,密度!$U$2:$U$50)</f>
        <v>48779.713735200006</v>
      </c>
      <c r="J16" s="73" ph="1">
        <f>J15*9.0746*LOOKUP(J17,密度!$A$2:$A$50,密度!$L$2:$L$50)</f>
        <v>0</v>
      </c>
      <c r="K16" s="73" ph="1">
        <f>K15*9.0746*LOOKUP(K17,密度!$A$2:$A$50,密度!$C$2:$C$50)</f>
        <v>36184.807787040001</v>
      </c>
      <c r="L16" s="73" ph="1">
        <f>L15*9.0746*LOOKUP(L17,密度!$A$2:$A$50,密度!$E$2:$E$50)</f>
        <v>39865.625260000008</v>
      </c>
      <c r="M16" s="73" ph="1">
        <f>M15*9.0746*LOOKUP(M17,密度!$A$2:$A$50,密度!$M$2:$M$50)</f>
        <v>49143.532598400001</v>
      </c>
      <c r="N16" s="73" ph="1">
        <f>N15*9.0746*LOOKUP(N17,密度!$A$2:$A$50,密度!$M$2:$M$50)</f>
        <v>49783.524208160001</v>
      </c>
      <c r="O16" s="73" ph="1">
        <f>O15*9.0746*LOOKUP(O17,密度!$A$2:$A$50,密度!$G$2:$G$50)</f>
        <v>38876.412188599999</v>
      </c>
      <c r="P16" s="73" ph="1">
        <f ca="1">P15*9.0746*LOOKUP(P17,密度!$A$2:$A$51,密度!$Q$2:$Q$50)</f>
        <v>29628.879532812</v>
      </c>
      <c r="Q16" s="73" ph="1">
        <f>Q15*9.0746*LOOKUP(Q17,密度!$A$2:$A$50,密度!$Q$2:$Q$50)</f>
        <v>59835.168876182004</v>
      </c>
      <c r="R16" s="73" ph="1">
        <f>MAX(R15*9.0746*LOOKUP(R17,密度!$A$2:$A$50,密度!$B$2:$B$50),0)</f>
        <v>52508.191007359994</v>
      </c>
      <c r="S16" s="73" ph="1">
        <f>S15*9.0746*LOOKUP(S17,密度!$A$2:$A$50,密度!$Q$2:$Q$50)</f>
        <v>7385.6747410180005</v>
      </c>
      <c r="T16" s="73" ph="1">
        <f>T15*9.0746*LOOKUP(T17,密度!$A$2:$A$50,密度!$O$2:$O$50)</f>
        <v>29816.322474000001</v>
      </c>
      <c r="U16" s="73" ph="1">
        <f>U15*9.0746*LOOKUP(U17,密度!$A$2:$A$50,密度!$H$2:$H$50)</f>
        <v>36883.652715099997</v>
      </c>
      <c r="V16" s="73" ph="1">
        <f>MAX(5600*LOOKUP(V17,密度!$A$2:$A$50,密度!$Q$2:$Q$50)+V15*9.0476*LOOKUP(V17,密度!$A$2:$A$50,密度!$Q$2:$Q$50),0)</f>
        <v>47964.381439039993</v>
      </c>
      <c r="W16" s="73" ph="1">
        <f>MAX(5600*LOOKUP(W17,密度!$A$2:$A$50,密度!$Q$2:$Q$50)+W15*9.0476*LOOKUP(W17,密度!$A$2:$A$50,密度!$Q$2:$Q$50),0)</f>
        <v>3848.9609932760004</v>
      </c>
      <c r="X16" s="73" ph="1">
        <f>MAX(5600*LOOKUP(X17,密度!$A$2:$A$50,密度!$I$2:$I$50)+X15*9.0476*LOOKUP(X17,密度!$A$2:$A$50,密度!$I$2:$I$50),0)</f>
        <v>6728.7144352800005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59386.723287999994</v>
      </c>
      <c r="AC16" s="73" ph="1">
        <f>AC15*9.0746*LOOKUP(AC17,密度!$A$2:$A$50,密度!$L$2:$L$50)</f>
        <v>18355.511030999998</v>
      </c>
      <c r="AD16" s="73" ph="1">
        <f>AD15*268.68*LOOKUP(AD17,密度!$A$2:$A$50,密度!B2:B50)+IF(AD15&lt;=0,0,1566*LOOKUP(AD17,密度!$A$2:$A$50,密度!B2:B50))</f>
        <v>2345.6695233599999</v>
      </c>
      <c r="AE16" s="73" ph="1">
        <f>AE15*268.68*LOOKUP(AE17,密度!$A$2:$A$50,密度!B2:B50)+IF(AE15&lt;=0,0,1566*LOOKUP(AE17,密度!$A$2:$A$50,密度!B2:B50))</f>
        <v>15696.83655408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25</v>
      </c>
      <c r="G17" s="74">
        <v>20</v>
      </c>
      <c r="H17" s="74">
        <v>17</v>
      </c>
      <c r="I17" s="74">
        <v>19</v>
      </c>
      <c r="J17" s="74">
        <v>21</v>
      </c>
      <c r="K17" s="74">
        <v>19</v>
      </c>
      <c r="L17" s="74">
        <v>21</v>
      </c>
      <c r="M17" s="74">
        <v>22</v>
      </c>
      <c r="N17" s="74">
        <v>20</v>
      </c>
      <c r="O17" s="74">
        <v>22</v>
      </c>
      <c r="P17" s="74">
        <v>21</v>
      </c>
      <c r="Q17" s="74">
        <v>21</v>
      </c>
      <c r="R17" s="74">
        <v>21</v>
      </c>
      <c r="S17" s="74">
        <v>21</v>
      </c>
      <c r="T17" s="74">
        <v>21</v>
      </c>
      <c r="U17" s="74">
        <v>17</v>
      </c>
      <c r="V17" s="74">
        <v>23</v>
      </c>
      <c r="W17" s="74">
        <v>21</v>
      </c>
      <c r="X17" s="74">
        <v>23</v>
      </c>
      <c r="Y17" s="108">
        <v>23</v>
      </c>
      <c r="Z17" s="74">
        <v>21</v>
      </c>
      <c r="AA17" s="74">
        <v>18</v>
      </c>
      <c r="AB17" s="74">
        <v>22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2360</v>
      </c>
      <c r="E18" s="71">
        <v>5730</v>
      </c>
      <c r="F18" s="71">
        <v>4308</v>
      </c>
      <c r="G18" s="71">
        <v>3505</v>
      </c>
      <c r="H18" s="71">
        <v>0</v>
      </c>
      <c r="I18" s="71">
        <v>5234</v>
      </c>
      <c r="J18" s="71">
        <v>0</v>
      </c>
      <c r="K18" s="71">
        <v>3584</v>
      </c>
      <c r="L18" s="71">
        <v>5588</v>
      </c>
      <c r="M18" s="71">
        <v>5535</v>
      </c>
      <c r="N18" s="71">
        <v>3955</v>
      </c>
      <c r="O18" s="71">
        <v>4450</v>
      </c>
      <c r="P18" s="71">
        <v>3442</v>
      </c>
      <c r="Q18" s="71">
        <v>6954</v>
      </c>
      <c r="R18" s="71">
        <v>7399</v>
      </c>
      <c r="S18" s="71">
        <v>858</v>
      </c>
      <c r="T18" s="71">
        <v>2126</v>
      </c>
      <c r="U18" s="71">
        <v>6251</v>
      </c>
      <c r="V18" s="71">
        <v>4973</v>
      </c>
      <c r="W18" s="71">
        <v>-171</v>
      </c>
      <c r="X18" s="71">
        <v>92</v>
      </c>
      <c r="Y18" s="109">
        <v>-9900</v>
      </c>
      <c r="Z18" s="71">
        <v>0</v>
      </c>
      <c r="AA18" s="71">
        <v>6</v>
      </c>
      <c r="AB18" s="71">
        <v>6970</v>
      </c>
      <c r="AC18" s="71">
        <v>2146</v>
      </c>
      <c r="AD18" s="71">
        <v>38.74</v>
      </c>
      <c r="AE18" s="71">
        <v>84.91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0" t="s" ph="1">
        <v>178</v>
      </c>
      <c r="D19" s="73" ph="1">
        <f>D18*7.0686*LOOKUP(D20,密度!$A$2:$A$50,密度!$L$2:$L$50)</f>
        <v>15647.618447999999</v>
      </c>
      <c r="E19" s="73" ph="1">
        <f>E18*7.0686*LOOKUP(E20,密度!$A$2:$A$50,密度!$L$2:$L$50)</f>
        <v>37991.887164</v>
      </c>
      <c r="F19" s="73" ph="1">
        <f>F18*9.0746*LOOKUP(F20,密度!$A$2:$A$50,密度!$L$2:$L$50)</f>
        <v>36435.027177600001</v>
      </c>
      <c r="G19" s="73" ph="1">
        <f>G18*9.0746*LOOKUP(G20,密度!$A$2:$A$50,密度!$B$2:$B$50)</f>
        <v>24882.203827900001</v>
      </c>
      <c r="H19" s="73" ph="1">
        <f>H18*9.0746*LOOKUP(H20,密度!$A$2:$A$50,密度!$L$2:$L$50)</f>
        <v>0</v>
      </c>
      <c r="I19" s="73" ph="1">
        <f>I18*9.0746*LOOKUP(I20,密度!$A$2:$A$50,密度!$U$2:$U$50)</f>
        <v>48588.874897199996</v>
      </c>
      <c r="J19" s="73" ph="1">
        <f>J18*9.0746*LOOKUP(J20,密度!$A$2:$A$50,密度!$L$2:$L$50)</f>
        <v>0</v>
      </c>
      <c r="K19" s="73" ph="1">
        <f>K18*9.0746*LOOKUP(K20,密度!$A$2:$A$50,密度!$C$2:$C$50)</f>
        <v>36113.94605056</v>
      </c>
      <c r="L19" s="73" ph="1">
        <f>L18*9.0746*LOOKUP(L20,密度!$A$2:$A$50,密度!$E$2:$E$50)</f>
        <v>39897.734824640007</v>
      </c>
      <c r="M19" s="73" ph="1">
        <f>M18*9.0746*LOOKUP(M20,密度!$A$2:$A$50,密度!$M$2:$M$50)</f>
        <v>43904.217005099999</v>
      </c>
      <c r="N19" s="73" ph="1">
        <f>N18*9.0746*LOOKUP(N20,密度!$A$2:$A$50,密度!$M$2:$M$50)</f>
        <v>31475.567711</v>
      </c>
      <c r="O19" s="73" ph="1">
        <f>O18*9.0746*LOOKUP(O20,密度!$A$2:$A$50,密度!$G$2:$G$50)</f>
        <v>38920.142685999999</v>
      </c>
      <c r="P19" s="73" ph="1">
        <f ca="1">P18*9.0746*LOOKUP(P20,密度!$A$2:$A$51,密度!$Q$2:$Q$50)</f>
        <v>29571.209179368001</v>
      </c>
      <c r="Q19" s="73" ph="1">
        <f>Q18*9.0746*LOOKUP(Q20,密度!$A$2:$A$50,密度!$Q$2:$Q$50)</f>
        <v>59789.874915947999</v>
      </c>
      <c r="R19" s="73" ph="1">
        <f>MAX(R18*9.0746*LOOKUP(R20,密度!$A$2:$A$50,密度!$B$2:$B$50),0)</f>
        <v>52230.512784660001</v>
      </c>
      <c r="S19" s="73" ph="1">
        <f>S18*9.0746*LOOKUP(S20,密度!$A$2:$A$50,密度!$Q$2:$Q$50)</f>
        <v>7318.379231592</v>
      </c>
      <c r="T19" s="73" ph="1">
        <f>T18*9.0746*LOOKUP(T20,密度!$A$2:$A$50,密度!$O$2:$O$50)</f>
        <v>17864.947229600002</v>
      </c>
      <c r="U19" s="73" ph="1">
        <f>U18*9.0746*LOOKUP(U20,密度!$A$2:$A$50,密度!$H$2:$H$50)</f>
        <v>52000.105060819995</v>
      </c>
      <c r="V19" s="73" ph="1">
        <f>MAX(5600*LOOKUP(V20,密度!$A$2:$A$50,密度!$Q$2:$Q$50)+V18*9.0476*LOOKUP(V20,密度!$A$2:$A$50,密度!$Q$2:$Q$50),0)</f>
        <v>47791.834874376</v>
      </c>
      <c r="W19" s="73" ph="1">
        <f>MAX(5600*LOOKUP(W20,密度!$A$2:$A$50,密度!$Q$2:$Q$50)+W18*9.0476*LOOKUP(W20,密度!$A$2:$A$50,密度!$Q$2:$Q$50),0)</f>
        <v>3828.4129910480005</v>
      </c>
      <c r="X19" s="73" ph="1">
        <f>MAX(5600*LOOKUP(X20,密度!$A$2:$A$50,密度!$I$2:$I$50)+X18*9.0476*LOOKUP(X20,密度!$A$2:$A$50,密度!$I$2:$I$50),0)</f>
        <v>6683.2419887999995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42.213224279999999</v>
      </c>
      <c r="AB19" s="73" ph="1">
        <f>AB18*9.0746*LOOKUP(AB20,密度!$A$2:$A$50,密度!$L$2:$L$50)</f>
        <v>59328.464355999997</v>
      </c>
      <c r="AC19" s="73" ph="1">
        <f>AC18*9.0746*LOOKUP(AC20,密度!$A$2:$A$50,密度!$L$2:$L$50)</f>
        <v>18266.697920799998</v>
      </c>
      <c r="AD19" s="73" ph="1">
        <f>AD18*268.68*LOOKUP(AD20,密度!$A$2:$A$50,密度!B5:B53)+IF(AD18&lt;=0,0,1566*LOOKUP(AD20,密度!$A$2:$A$50,密度!B5:B53))</f>
        <v>9304.3133064000012</v>
      </c>
      <c r="AE19" s="73" ph="1">
        <f>AE18*268.68*LOOKUP(AE20,密度!$A$2:$A$50,密度!B5:B53)+IF(AE18&lt;=0,0,1566*LOOKUP(AE20,密度!$A$2:$A$50,密度!B5:B53))</f>
        <v>18942.963807600001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24</v>
      </c>
      <c r="E20" s="81">
        <v>24</v>
      </c>
      <c r="F20" s="81">
        <v>30</v>
      </c>
      <c r="G20" s="81">
        <v>22</v>
      </c>
      <c r="H20" s="81">
        <v>22</v>
      </c>
      <c r="I20" s="81">
        <v>27</v>
      </c>
      <c r="J20" s="81">
        <v>29</v>
      </c>
      <c r="K20" s="81">
        <v>23</v>
      </c>
      <c r="L20" s="81">
        <v>22</v>
      </c>
      <c r="M20" s="81">
        <v>26</v>
      </c>
      <c r="N20" s="81">
        <v>23</v>
      </c>
      <c r="O20" s="81">
        <v>22</v>
      </c>
      <c r="P20" s="81">
        <v>25</v>
      </c>
      <c r="Q20" s="81">
        <v>24</v>
      </c>
      <c r="R20" s="81">
        <v>27</v>
      </c>
      <c r="S20" s="81">
        <v>35</v>
      </c>
      <c r="T20" s="81">
        <v>29</v>
      </c>
      <c r="U20" s="81">
        <v>23</v>
      </c>
      <c r="V20" s="81">
        <v>28</v>
      </c>
      <c r="W20" s="81">
        <v>28</v>
      </c>
      <c r="X20" s="81">
        <v>28</v>
      </c>
      <c r="Y20" s="110">
        <v>28</v>
      </c>
      <c r="Z20" s="81">
        <v>40</v>
      </c>
      <c r="AA20" s="81">
        <v>30</v>
      </c>
      <c r="AB20" s="81">
        <v>24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639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0" t="s" ph="1">
        <v>177</v>
      </c>
      <c r="D24" s="71">
        <v>52.24</v>
      </c>
      <c r="E24" s="71">
        <v>5.57</v>
      </c>
      <c r="F24" s="71">
        <v>3074</v>
      </c>
      <c r="G24" s="71">
        <v>3922</v>
      </c>
      <c r="H24" s="71">
        <v>3046</v>
      </c>
      <c r="I24" s="71">
        <v>2392</v>
      </c>
      <c r="J24" s="71">
        <v>472</v>
      </c>
      <c r="K24" s="71">
        <v>533</v>
      </c>
      <c r="L24" s="71">
        <v>1348</v>
      </c>
      <c r="M24" s="71">
        <v>2643</v>
      </c>
      <c r="N24" s="71">
        <v>2855</v>
      </c>
      <c r="O24" s="71">
        <v>5729</v>
      </c>
      <c r="P24" s="71">
        <v>355</v>
      </c>
      <c r="Q24" s="90">
        <v>5081</v>
      </c>
      <c r="R24" s="71">
        <v>6305</v>
      </c>
      <c r="S24" s="71">
        <v>56</v>
      </c>
      <c r="T24" s="71">
        <v>215</v>
      </c>
      <c r="U24" s="71">
        <v>6572</v>
      </c>
      <c r="V24" s="71">
        <v>606</v>
      </c>
      <c r="W24" s="71">
        <v>106</v>
      </c>
      <c r="X24" s="71">
        <v>8852</v>
      </c>
      <c r="Y24" s="71">
        <v>6073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14770.889031168001</v>
      </c>
      <c r="E25" s="91" ph="1">
        <f>E24*268.68*LOOKUP(E26,密度!$A$2:$A$50,密度!$C$2:$C$50)+IF(E24&lt;=0,0,1566*LOOKUP(E26,密度!$A$2:$A$50,密度!$C$2:$C$50))</f>
        <v>3396.0590336400001</v>
      </c>
      <c r="F25" s="91" ph="1">
        <f>F24*11.702*LOOKUP(F26,密度!$A$2:$A$50,密度!$Q$2:$Q$50)</f>
        <v>34108.601093599995</v>
      </c>
      <c r="G25" s="91" ph="1">
        <f>G24*18.322*LOOKUP(G26,密度!$A$2:$A$50,密度!$B$2:$B$50)</f>
        <v>56215.204953199995</v>
      </c>
      <c r="H25" s="91" ph="1">
        <f>H24*18.322*LOOKUP(H26,密度!$A$2:$A$50,密度!$B$2:$B$50)</f>
        <v>43709.461558399998</v>
      </c>
      <c r="I25" s="91" ph="1">
        <f>I24*18.322*LOOKUP(I26,密度!$A$2:$A$50,密度!$Q$2:$Q$50)</f>
        <v>41688.819055519998</v>
      </c>
      <c r="J25" s="91" ph="1">
        <f>J24*18.322*LOOKUP(J26,密度!$A$2:$A$50,密度!$Q$2:$Q$50)</f>
        <v>8226.2218203200009</v>
      </c>
      <c r="K25" s="91" ph="1">
        <f>K24*18.322*LOOKUP(K26,密度!$A$2:$A$50,密度!$Q$2:$Q$50)</f>
        <v>9281.0556378800011</v>
      </c>
      <c r="L25" s="91" ph="1">
        <f>L24*18.322*LOOKUP(L26,密度!$A$2:$A$50,密度!$Q$2:$Q$50)</f>
        <v>23472.538461280001</v>
      </c>
      <c r="M25" s="91" ph="1">
        <f>M24*18.322*LOOKUP(M26,密度!$A$2:$A$50,密度!$Q$2:$Q$50)</f>
        <v>46022.195217479995</v>
      </c>
      <c r="N25" s="91" ph="1">
        <f>N24*18.322*LOOKUP(N26,密度!$A$2:$A$50,密度!$Q$2:$Q$50)</f>
        <v>49798.986213099997</v>
      </c>
      <c r="O25" s="91" ph="1">
        <f>O24*18.322*LOOKUP(O26,密度!$A$2:$A$50,密度!$C$2:$C$50)</f>
        <v>116922.44945819999</v>
      </c>
      <c r="P25" s="91" ph="1">
        <f>P24*11.702*LOOKUP(P26,密度!$A$2:$A$50,密度!$B$2:$B$50)</f>
        <v>3257.316061</v>
      </c>
      <c r="Q25" s="92" ph="1">
        <f>Q24*18.322*LOOKUP(Q26,密度!$A$2:$A$50,密度!$B$2:$B$50)</f>
        <v>72995.069696199993</v>
      </c>
      <c r="R25" s="91" ph="1">
        <f>R24*35.891*LOOKUP(R26,密度!$A$2:$A$50,密度!$C$2:$C$50)</f>
        <v>251773.31921299998</v>
      </c>
      <c r="S25" s="91" ph="1">
        <f>S24*35.891*LOOKUP(S26,密度!$A$2:$A$50,密度!$B$2:$B$50)</f>
        <v>1577.5673704000001</v>
      </c>
      <c r="T25" s="91" ph="1">
        <f>T24*35.891*LOOKUP(T26,密度!$A$2:$A$50,密度!$Q$2:$Q$50)</f>
        <v>7328.3446148499997</v>
      </c>
      <c r="U25" s="91" ph="1">
        <f>U24*35.891</f>
        <v>235875.652</v>
      </c>
      <c r="V25" s="91" ph="1">
        <f>V24*47.051*LOOKUP(V26,密度!$A$2:$A$50,密度!$B$2:$B$50)</f>
        <v>22305.646363800002</v>
      </c>
      <c r="W25" s="91" ph="1">
        <f>W24*47.051*LOOKUP(W26,密度!$A$2:$A$50,密度!$B$2:$B$50)</f>
        <v>3906.1363792000002</v>
      </c>
      <c r="X25" s="91" ph="1">
        <f>X24*47.051*LOOKUP(X26,密度!$A$2:$A$61,密度!$I$2:$I$61)</f>
        <v>427116.08602600003</v>
      </c>
      <c r="Y25" s="91" ph="1">
        <f>Y24*47.051*LOOKUP(Y26,密度!$A$2:$A$50,密度!$L$2:$L$50)</f>
        <v>268596.27961999999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23</v>
      </c>
      <c r="G26" s="74">
        <v>22</v>
      </c>
      <c r="H26" s="74">
        <v>21</v>
      </c>
      <c r="I26" s="74">
        <v>19</v>
      </c>
      <c r="J26" s="74">
        <v>19</v>
      </c>
      <c r="K26" s="74">
        <v>20</v>
      </c>
      <c r="L26" s="74">
        <v>20</v>
      </c>
      <c r="M26" s="74">
        <v>20</v>
      </c>
      <c r="N26" s="74">
        <v>18</v>
      </c>
      <c r="O26" s="74">
        <v>18</v>
      </c>
      <c r="P26" s="74">
        <v>20</v>
      </c>
      <c r="Q26" s="93">
        <v>20</v>
      </c>
      <c r="R26" s="74">
        <v>20</v>
      </c>
      <c r="S26" s="74">
        <v>19</v>
      </c>
      <c r="T26" s="74">
        <v>21</v>
      </c>
      <c r="U26" s="74">
        <v>21</v>
      </c>
      <c r="V26" s="74">
        <v>22</v>
      </c>
      <c r="W26" s="74">
        <v>21</v>
      </c>
      <c r="X26" s="74">
        <v>40</v>
      </c>
      <c r="Y26" s="74">
        <v>22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0" t="s" ph="1">
        <v>180</v>
      </c>
      <c r="D27" s="71">
        <v>21.8</v>
      </c>
      <c r="E27" s="71">
        <v>66.39</v>
      </c>
      <c r="F27" s="71">
        <v>1941</v>
      </c>
      <c r="G27" s="71">
        <v>3503</v>
      </c>
      <c r="H27" s="71">
        <v>2493</v>
      </c>
      <c r="I27" s="71">
        <v>2390</v>
      </c>
      <c r="J27" s="71">
        <v>464</v>
      </c>
      <c r="K27" s="71">
        <v>529</v>
      </c>
      <c r="L27" s="71">
        <v>783</v>
      </c>
      <c r="M27" s="71">
        <v>2640</v>
      </c>
      <c r="N27" s="71">
        <v>2849</v>
      </c>
      <c r="O27" s="71">
        <v>5725</v>
      </c>
      <c r="P27" s="71">
        <v>350</v>
      </c>
      <c r="Q27" s="90">
        <v>390</v>
      </c>
      <c r="R27" s="71">
        <v>6302</v>
      </c>
      <c r="S27" s="71">
        <v>2585</v>
      </c>
      <c r="T27" s="71">
        <v>212</v>
      </c>
      <c r="U27" s="71">
        <v>6336</v>
      </c>
      <c r="V27" s="71">
        <v>314</v>
      </c>
      <c r="W27" s="71">
        <v>99</v>
      </c>
      <c r="X27" s="71">
        <v>8475</v>
      </c>
      <c r="Y27" s="71">
        <v>6721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0" t="s" ph="1">
        <v>178</v>
      </c>
      <c r="D28" s="91" ph="1">
        <f>D27*268.68*LOOKUP(D29,密度!$A$2:$A$50,密度!$Q$2:$Q$50)+IF(D27&lt;=0,0,1566*LOOKUP(D29,密度!$A$2:$A$50,密度!$Q$2:$Q$50))</f>
        <v>7027.8630897599996</v>
      </c>
      <c r="E28" s="91" ph="1">
        <f>E27*268.68*LOOKUP(E29,密度!$A$2:$A$50,密度!$C$2:$C$50)+IF(E27&lt;=0,0,1566*LOOKUP(E29,密度!$A$2:$A$50,密度!$C$2:$C$50))</f>
        <v>21516.724340280001</v>
      </c>
      <c r="F28" s="91" ph="1">
        <f>F27*11.702*LOOKUP(F29,密度!$A$2:$A$50,密度!$Q$2:$Q$50)</f>
        <v>21537.0184524</v>
      </c>
      <c r="G28" s="91" ph="1">
        <f>G27*18.322*LOOKUP(G29,密度!$A$2:$A$50,密度!$B$2:$B$50)</f>
        <v>50151.788232400002</v>
      </c>
      <c r="H28" s="91" ph="1">
        <f>H27*18.322*LOOKUP(H29,密度!$A$2:$A$50,密度!$B$2:$B$50)</f>
        <v>35691.809324399997</v>
      </c>
      <c r="I28" s="91" ph="1">
        <f>I27*18.322*LOOKUP(I29,密度!$A$2:$A$50,密度!$Q$2:$Q$50)</f>
        <v>41616.741040399997</v>
      </c>
      <c r="J28" s="91" ph="1">
        <f>J27*18.322*LOOKUP(J29,密度!$A$2:$A$50,密度!$Q$2:$Q$50)</f>
        <v>8086.7943318399994</v>
      </c>
      <c r="K28" s="91" ph="1">
        <f>K27*18.322*LOOKUP(K29,密度!$A$2:$A$50,密度!$Q$2:$Q$50)</f>
        <v>9211.4041884399994</v>
      </c>
      <c r="L28" s="91" ph="1">
        <f>L27*18.322*LOOKUP(L29,密度!$A$2:$A$50,密度!$Q$2:$Q$50)</f>
        <v>13634.271227880001</v>
      </c>
      <c r="M28" s="91" ph="1">
        <f>M27*18.322*LOOKUP(M29,密度!$A$2:$A$50,密度!$Q$2:$Q$50)</f>
        <v>45907.559227199992</v>
      </c>
      <c r="N28" s="91" ph="1">
        <f>N27*18.322*LOOKUP(N29,密度!$A$2:$A$50,密度!$Q$2:$Q$50)</f>
        <v>49609.24486364</v>
      </c>
      <c r="O28" s="91" ph="1">
        <f>O27*18.322*LOOKUP(O29,密度!$A$2:$A$50,密度!$C$2:$C$50)</f>
        <v>116631.02705500001</v>
      </c>
      <c r="P28" s="91" ph="1">
        <f>P27*11.702*LOOKUP(P29,密度!$A$2:$A$50,密度!$B$2:$B$50)</f>
        <v>3204.0661099999998</v>
      </c>
      <c r="Q28" s="92" ph="1">
        <f>Q27*18.322*LOOKUP(Q29,密度!$A$2:$A$50,密度!$B$2:$B$50)</f>
        <v>5608.5657420000007</v>
      </c>
      <c r="R28" s="91" ph="1">
        <f>R27*35.891*LOOKUP(R29,密度!$A$2:$A$50,密度!$C$2:$C$50)</f>
        <v>251653.5222332</v>
      </c>
      <c r="S28" s="91" ph="1">
        <f>S27*35.891*LOOKUP(S29,密度!$A$2:$A$50,密度!$B$2:$B$50)</f>
        <v>72747.414063500008</v>
      </c>
      <c r="T28" s="91" ph="1">
        <f>T27*35.891*LOOKUP(T29,密度!$A$2:$A$50,密度!$Q$2:$Q$50)</f>
        <v>7226.0886434800004</v>
      </c>
      <c r="U28" s="91" ph="1">
        <f>U27*35.891</f>
        <v>227405.37599999999</v>
      </c>
      <c r="V28" s="91" ph="1">
        <f>V27*47.051*LOOKUP(V29,密度!$A$2:$A$50,密度!$B$2:$B$50)</f>
        <v>11544.4145396</v>
      </c>
      <c r="W28" s="91" ph="1">
        <f>W27*47.051*LOOKUP(W29,密度!$A$2:$A$50,密度!$B$2:$B$50)</f>
        <v>3648.1839768</v>
      </c>
      <c r="X28" s="91" ph="1">
        <f>X27*47.051*LOOKUP(X29,密度!$A$2:$A$61,密度!$I$2:$I$61)</f>
        <v>405376.594935</v>
      </c>
      <c r="Y28" s="91" ph="1">
        <f>Y27*47.051*LOOKUP(Y29,密度!$A$2:$A$50,密度!$L$2:$L$50)</f>
        <v>296939.754969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0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23</v>
      </c>
      <c r="I29" s="74">
        <v>20</v>
      </c>
      <c r="J29" s="74">
        <v>19</v>
      </c>
      <c r="K29" s="74">
        <v>20</v>
      </c>
      <c r="L29" s="74">
        <v>20</v>
      </c>
      <c r="M29" s="74">
        <v>22</v>
      </c>
      <c r="N29" s="74">
        <v>20</v>
      </c>
      <c r="O29" s="74">
        <v>21</v>
      </c>
      <c r="P29" s="74">
        <v>22</v>
      </c>
      <c r="Q29" s="93">
        <v>19</v>
      </c>
      <c r="R29" s="74">
        <v>20</v>
      </c>
      <c r="S29" s="74">
        <v>20</v>
      </c>
      <c r="T29" s="74">
        <v>21</v>
      </c>
      <c r="U29" s="74">
        <v>20</v>
      </c>
      <c r="V29" s="74">
        <v>23</v>
      </c>
      <c r="W29" s="74">
        <v>21</v>
      </c>
      <c r="X29" s="74">
        <v>48</v>
      </c>
      <c r="Y29" s="74">
        <v>23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259141.77325500001</v>
      </c>
      <c r="E33" s="187" ph="1">
        <f>M10+I10</f>
        <v>74783.972277199995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3" ph="1">
        <f>N19</f>
        <v>31475.567711</v>
      </c>
      <c r="H33" s="187" ph="1">
        <f>M19</f>
        <v>43904.217005099999</v>
      </c>
      <c r="I33" s="191" ph="1">
        <v>0</v>
      </c>
      <c r="J33" s="195" ph="1">
        <f>F10+O28</f>
        <v>290227.54313350003</v>
      </c>
      <c r="K33" s="187" ph="1">
        <f>O10+K10+E28+R28</f>
        <v>400535.94224388001</v>
      </c>
      <c r="L33" s="197" ph="1">
        <f>K19</f>
        <v>36113.94605056</v>
      </c>
      <c r="M33" s="195" ph="1">
        <f>G10+H10+W28+S28+V28+E10+R19+P28+Q28</f>
        <v>773340.14647455991</v>
      </c>
      <c r="N33" s="187" ph="1">
        <f>L10+P10++G28+H28+AD19+AE19</f>
        <v>381120.74689180008</v>
      </c>
      <c r="O33" s="191" ph="1">
        <f>G19</f>
        <v>24882.203827900001</v>
      </c>
      <c r="P33" s="195" ph="1">
        <f>L19</f>
        <v>39897.734824640007</v>
      </c>
      <c r="Q33" s="187" ph="1">
        <f>J10+N10</f>
        <v>63988.746998399998</v>
      </c>
      <c r="R33" s="191" ph="1">
        <f>BE23</f>
        <v>890</v>
      </c>
      <c r="S33" s="195" ph="1">
        <f>X28</f>
        <v>405376.594935</v>
      </c>
      <c r="T33" s="187" ph="1">
        <f>X19</f>
        <v>6683.2419887999995</v>
      </c>
      <c r="U33" s="176" ph="1">
        <f>BE21</f>
        <v>730</v>
      </c>
      <c r="V33" s="189" ph="1">
        <f ca="1">P19+Q19+S19+M28+N28+J28+D10+AC10+D19+E19+H19+J19+O19+V19+W19+K28+L28</f>
        <v>880522.12886774191</v>
      </c>
      <c r="W33" s="189" ph="1">
        <f>D28+F28+T28+I28</f>
        <v>77407.711226040003</v>
      </c>
      <c r="X33" s="191" ph="1">
        <f>BE29+BE31</f>
        <v>10200</v>
      </c>
      <c r="Y33" s="193" ph="1">
        <f>+Q10+R10+S10+T10+U10+V10+W10+X10+Y10</f>
        <v>287625.26414159994</v>
      </c>
      <c r="Z33" s="174" ph="1">
        <f>T19+U19+Y28+Z10</f>
        <v>506475.14027842</v>
      </c>
      <c r="AA33" s="176" ph="1">
        <f>BE19</f>
        <v>1440</v>
      </c>
      <c r="AB33" s="178" ph="1">
        <f>I19</f>
        <v>48588.874897199996</v>
      </c>
      <c r="AC33" s="180" ph="1">
        <f>AD10+AB19</f>
        <v>153146.587428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8" t="s" ph="1">
        <v>185</v>
      </c>
      <c r="AA36" s="148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859" priority="100">
      <formula>ABS(D$7-D$10)&gt;=1000</formula>
    </cfRule>
  </conditionalFormatting>
  <conditionalFormatting sqref="E4 E6:E11">
    <cfRule type="expression" dxfId="2858" priority="99">
      <formula>ABS(E$7-E$10)&gt;=1000</formula>
    </cfRule>
  </conditionalFormatting>
  <conditionalFormatting sqref="F4:F11">
    <cfRule type="expression" dxfId="2857" priority="98">
      <formula>ABS(F$7-F$10)&gt;=1000</formula>
    </cfRule>
  </conditionalFormatting>
  <conditionalFormatting sqref="G4:G11">
    <cfRule type="expression" dxfId="2856" priority="97">
      <formula>ABS(G$7-G$10)&gt;=1000</formula>
    </cfRule>
  </conditionalFormatting>
  <conditionalFormatting sqref="H4:H11">
    <cfRule type="expression" dxfId="2855" priority="96">
      <formula>ABS(H$7-H$10)&gt;=1000</formula>
    </cfRule>
  </conditionalFormatting>
  <conditionalFormatting sqref="I4:I11">
    <cfRule type="expression" dxfId="2854" priority="95">
      <formula>ABS(I$7-I$10)&gt;=1000</formula>
    </cfRule>
  </conditionalFormatting>
  <conditionalFormatting sqref="J4:J11">
    <cfRule type="expression" dxfId="2853" priority="94">
      <formula>ABS(J$7-J$10)&gt;=1000</formula>
    </cfRule>
  </conditionalFormatting>
  <conditionalFormatting sqref="K4:K11">
    <cfRule type="expression" dxfId="2852" priority="93">
      <formula>ABS(K$7-K$10)&gt;=1000</formula>
    </cfRule>
  </conditionalFormatting>
  <conditionalFormatting sqref="L4:L11">
    <cfRule type="expression" dxfId="2851" priority="92">
      <formula>ABS(L$7-L$10)&gt;=1000</formula>
    </cfRule>
  </conditionalFormatting>
  <conditionalFormatting sqref="M4 M6:M11">
    <cfRule type="expression" dxfId="2850" priority="91">
      <formula>ABS(M$7-M$10)&gt;=1000</formula>
    </cfRule>
  </conditionalFormatting>
  <conditionalFormatting sqref="N4 N6:N11">
    <cfRule type="expression" dxfId="2849" priority="90">
      <formula>ABS(N$7-N$10)&gt;=1000</formula>
    </cfRule>
  </conditionalFormatting>
  <conditionalFormatting sqref="O4 O6:O11">
    <cfRule type="expression" dxfId="2848" priority="89">
      <formula>ABS(O$7-O$10)&gt;=1000</formula>
    </cfRule>
  </conditionalFormatting>
  <conditionalFormatting sqref="P4 P6:P11">
    <cfRule type="expression" dxfId="2847" priority="88">
      <formula>ABS(P$7-P$10)&gt;=1000</formula>
    </cfRule>
  </conditionalFormatting>
  <conditionalFormatting sqref="Q4:Q11">
    <cfRule type="expression" dxfId="2846" priority="87">
      <formula>ABS(Q$7-Q$10)&gt;=1000</formula>
    </cfRule>
  </conditionalFormatting>
  <conditionalFormatting sqref="R4:R11">
    <cfRule type="expression" dxfId="2845" priority="86">
      <formula>ABS(R$7-R$10)&gt;=1000</formula>
    </cfRule>
  </conditionalFormatting>
  <conditionalFormatting sqref="S4:S11">
    <cfRule type="expression" dxfId="2844" priority="85">
      <formula>ABS(S$7-S$10)&gt;=1000</formula>
    </cfRule>
  </conditionalFormatting>
  <conditionalFormatting sqref="T4:T9 T11">
    <cfRule type="expression" dxfId="2843" priority="84">
      <formula>ABS(T$7-T$10)&gt;=1000</formula>
    </cfRule>
  </conditionalFormatting>
  <conditionalFormatting sqref="U4:U9 U11">
    <cfRule type="expression" dxfId="2842" priority="83">
      <formula>ABS(U$7-U$10)&gt;=1000</formula>
    </cfRule>
  </conditionalFormatting>
  <conditionalFormatting sqref="V4:V9 V11">
    <cfRule type="expression" dxfId="2841" priority="82">
      <formula>ABS(V$7-V$10)&gt;=1000</formula>
    </cfRule>
  </conditionalFormatting>
  <conditionalFormatting sqref="W4:W9 W11">
    <cfRule type="expression" dxfId="2840" priority="81">
      <formula>ABS(W$7-W$10)&gt;=1000</formula>
    </cfRule>
  </conditionalFormatting>
  <conditionalFormatting sqref="X4:X9 X11">
    <cfRule type="expression" dxfId="2839" priority="80">
      <formula>ABS(X$7-X$10)&gt;=1000</formula>
    </cfRule>
  </conditionalFormatting>
  <conditionalFormatting sqref="Y4:Y9 Y11">
    <cfRule type="expression" dxfId="2838" priority="79">
      <formula>ABS(Y$7-Y$10)&gt;=1000</formula>
    </cfRule>
  </conditionalFormatting>
  <conditionalFormatting sqref="Z4:Z11">
    <cfRule type="expression" dxfId="2837" priority="78">
      <formula>ABS(Z$7-Z$10)&gt;=1000</formula>
    </cfRule>
  </conditionalFormatting>
  <conditionalFormatting sqref="AA4:AA11">
    <cfRule type="expression" dxfId="2836" priority="77">
      <formula>ABS(AA$7-AA$10)&gt;=1000</formula>
    </cfRule>
  </conditionalFormatting>
  <conditionalFormatting sqref="AB4:AB11">
    <cfRule type="expression" dxfId="2835" priority="76">
      <formula>ABS(AB$7-AB$10)&gt;=1000</formula>
    </cfRule>
  </conditionalFormatting>
  <conditionalFormatting sqref="AC4 AC6:AC11">
    <cfRule type="expression" dxfId="2834" priority="75">
      <formula>ABS(AC$7-AC$10)&gt;=1000</formula>
    </cfRule>
  </conditionalFormatting>
  <conditionalFormatting sqref="AD4 AD6:AD11">
    <cfRule type="expression" dxfId="2833" priority="74">
      <formula>ABS(AD$7-AD$10)&gt;=1000</formula>
    </cfRule>
  </conditionalFormatting>
  <conditionalFormatting sqref="AE4 AE6:AE11">
    <cfRule type="expression" dxfId="2832" priority="73">
      <formula>ABS(AE$7-AE$10)&gt;=1000</formula>
    </cfRule>
  </conditionalFormatting>
  <conditionalFormatting sqref="D13:D20">
    <cfRule type="expression" dxfId="2831" priority="72">
      <formula>ABS(D$16-D$19)&gt;=1000</formula>
    </cfRule>
  </conditionalFormatting>
  <conditionalFormatting sqref="E13:E20">
    <cfRule type="expression" dxfId="2830" priority="71">
      <formula>ABS(E$16-E$19)&gt;=1000</formula>
    </cfRule>
  </conditionalFormatting>
  <conditionalFormatting sqref="F13 F15:F20">
    <cfRule type="expression" dxfId="2829" priority="70">
      <formula>ABS(F$16-F$19)&gt;=1000</formula>
    </cfRule>
  </conditionalFormatting>
  <conditionalFormatting sqref="G13:G20">
    <cfRule type="expression" dxfId="2828" priority="69">
      <formula>ABS(G$16-G$19)&gt;=1000</formula>
    </cfRule>
  </conditionalFormatting>
  <conditionalFormatting sqref="H13 H15:H20">
    <cfRule type="expression" dxfId="2827" priority="68">
      <formula>ABS(H$16-H$19)&gt;=1000</formula>
    </cfRule>
  </conditionalFormatting>
  <conditionalFormatting sqref="I13:I20">
    <cfRule type="expression" dxfId="2826" priority="67">
      <formula>ABS(I$16-I$19)&gt;=1000</formula>
    </cfRule>
  </conditionalFormatting>
  <conditionalFormatting sqref="J13:J20">
    <cfRule type="expression" dxfId="2825" priority="66">
      <formula>ABS(J$16-J$19)&gt;=1000</formula>
    </cfRule>
  </conditionalFormatting>
  <conditionalFormatting sqref="L13:L20">
    <cfRule type="expression" dxfId="2824" priority="65">
      <formula>ABS(L$16-L$19)&gt;=1000</formula>
    </cfRule>
  </conditionalFormatting>
  <conditionalFormatting sqref="M13 M15 M17:M18 M20">
    <cfRule type="expression" dxfId="2823" priority="64">
      <formula>ABS(M$16-M$19)&gt;=1000</formula>
    </cfRule>
  </conditionalFormatting>
  <conditionalFormatting sqref="N13:N20">
    <cfRule type="expression" dxfId="2822" priority="63">
      <formula>ABS(N$16-N$19)&gt;=1000</formula>
    </cfRule>
  </conditionalFormatting>
  <conditionalFormatting sqref="O13:O20">
    <cfRule type="expression" dxfId="2821" priority="62">
      <formula>ABS(O$16-O$19)&gt;=1000</formula>
    </cfRule>
  </conditionalFormatting>
  <conditionalFormatting sqref="P13:P20">
    <cfRule type="expression" dxfId="2820" priority="61">
      <formula>ABS(P$16-P$19)&gt;=1000</formula>
    </cfRule>
  </conditionalFormatting>
  <conditionalFormatting sqref="Q13 Q15:Q20">
    <cfRule type="expression" dxfId="2819" priority="60">
      <formula>ABS(Q$16-Q$19)&gt;=1000</formula>
    </cfRule>
  </conditionalFormatting>
  <conditionalFormatting sqref="R13:R20">
    <cfRule type="expression" dxfId="2818" priority="59">
      <formula>ABS(R$16-R$19)&gt;=1000</formula>
    </cfRule>
  </conditionalFormatting>
  <conditionalFormatting sqref="S13:S20">
    <cfRule type="expression" dxfId="2817" priority="58">
      <formula>ABS(S$16-S$19)&gt;=1000</formula>
    </cfRule>
  </conditionalFormatting>
  <conditionalFormatting sqref="T13:T20">
    <cfRule type="expression" dxfId="2816" priority="57">
      <formula>ABS(T$16-T$19)&gt;=1000</formula>
    </cfRule>
  </conditionalFormatting>
  <conditionalFormatting sqref="U13:U20">
    <cfRule type="expression" dxfId="2815" priority="56">
      <formula>ABS(U$16-U$19)&gt;=1000</formula>
    </cfRule>
  </conditionalFormatting>
  <conditionalFormatting sqref="V13:V20">
    <cfRule type="expression" dxfId="2814" priority="55">
      <formula>ABS(V$16-V$19)&gt;=1000</formula>
    </cfRule>
  </conditionalFormatting>
  <conditionalFormatting sqref="W13 W20 W15:W18">
    <cfRule type="expression" dxfId="2813" priority="54">
      <formula>ABS(W$16-W$19)&gt;=1000</formula>
    </cfRule>
  </conditionalFormatting>
  <conditionalFormatting sqref="X13 X15:X20 Y19">
    <cfRule type="expression" dxfId="2812" priority="53">
      <formula>ABS(X$16-X$19)&gt;=1000</formula>
    </cfRule>
  </conditionalFormatting>
  <conditionalFormatting sqref="Y13 Y15:Y18 Y20">
    <cfRule type="expression" dxfId="2811" priority="52">
      <formula>ABS(Y$16-Y$19)&gt;=1000</formula>
    </cfRule>
  </conditionalFormatting>
  <conditionalFormatting sqref="Z13:Z20">
    <cfRule type="expression" dxfId="2810" priority="51">
      <formula>ABS(Z$16-Z$19)&gt;=1000</formula>
    </cfRule>
  </conditionalFormatting>
  <conditionalFormatting sqref="AA13:AA20">
    <cfRule type="expression" dxfId="2809" priority="50">
      <formula>ABS(AA$16-AA$19)&gt;=1000</formula>
    </cfRule>
  </conditionalFormatting>
  <conditionalFormatting sqref="AB13 AB15:AB20">
    <cfRule type="expression" dxfId="2808" priority="49">
      <formula>ABS(AB$16-AB$19)&gt;=1000</formula>
    </cfRule>
  </conditionalFormatting>
  <conditionalFormatting sqref="AC13 AC15:AC20">
    <cfRule type="expression" dxfId="2807" priority="48">
      <formula>ABS(AC$16-AC$19)&gt;=1000</formula>
    </cfRule>
  </conditionalFormatting>
  <conditionalFormatting sqref="AD13:AD20">
    <cfRule type="expression" dxfId="2806" priority="47">
      <formula>ABS(AD$16-AD$19)&gt;=1000</formula>
    </cfRule>
  </conditionalFormatting>
  <conditionalFormatting sqref="AE13:AE20">
    <cfRule type="expression" dxfId="2805" priority="46">
      <formula>ABS(AE$16-AE$19)&gt;=1000</formula>
    </cfRule>
  </conditionalFormatting>
  <conditionalFormatting sqref="D22:D29">
    <cfRule type="expression" dxfId="2804" priority="45">
      <formula>ABS(D$25-D$28)&gt;=1000</formula>
    </cfRule>
  </conditionalFormatting>
  <conditionalFormatting sqref="E22:E29">
    <cfRule type="expression" dxfId="2803" priority="44">
      <formula>ABS(E$25-E$28)&gt;=1000</formula>
    </cfRule>
  </conditionalFormatting>
  <conditionalFormatting sqref="F22:F29">
    <cfRule type="expression" dxfId="2802" priority="43">
      <formula>ABS(F$25-F$28)&gt;=1000</formula>
    </cfRule>
  </conditionalFormatting>
  <conditionalFormatting sqref="G22:G29">
    <cfRule type="expression" dxfId="2801" priority="42">
      <formula>ABS(G$25-G$28)&gt;=1000</formula>
    </cfRule>
  </conditionalFormatting>
  <conditionalFormatting sqref="H22:H29">
    <cfRule type="expression" dxfId="2800" priority="41">
      <formula>ABS(H$25-H$28)&gt;=1000</formula>
    </cfRule>
  </conditionalFormatting>
  <conditionalFormatting sqref="I22 I24:I29">
    <cfRule type="expression" dxfId="2799" priority="40">
      <formula>ABS(I$25-I$28)&gt;=1000</formula>
    </cfRule>
  </conditionalFormatting>
  <conditionalFormatting sqref="J22:J29 K22">
    <cfRule type="expression" dxfId="2798" priority="39">
      <formula>ABS(J$25-J$28)&gt;=1000</formula>
    </cfRule>
  </conditionalFormatting>
  <conditionalFormatting sqref="K23:K29 L25 L28">
    <cfRule type="expression" dxfId="2797" priority="38">
      <formula>ABS(K$25-K$28)&gt;=1000</formula>
    </cfRule>
  </conditionalFormatting>
  <conditionalFormatting sqref="L22 L26:L27 L29 L24">
    <cfRule type="expression" dxfId="2796" priority="37">
      <formula>ABS(L$25-L$28)&gt;=1000</formula>
    </cfRule>
  </conditionalFormatting>
  <conditionalFormatting sqref="M22:M29">
    <cfRule type="expression" dxfId="2795" priority="36">
      <formula>ABS(M$25-M$28)&gt;=1000</formula>
    </cfRule>
  </conditionalFormatting>
  <conditionalFormatting sqref="N22:N29">
    <cfRule type="expression" dxfId="2794" priority="35">
      <formula>ABS(N$25-N$28)&gt;=1000</formula>
    </cfRule>
  </conditionalFormatting>
  <conditionalFormatting sqref="O22:O29">
    <cfRule type="expression" dxfId="2793" priority="34">
      <formula>ABS(O$25-O$28)&gt;=1000</formula>
    </cfRule>
  </conditionalFormatting>
  <conditionalFormatting sqref="P22:P29">
    <cfRule type="expression" dxfId="2792" priority="33">
      <formula>ABS(P$25-P$28)&gt;=1000</formula>
    </cfRule>
  </conditionalFormatting>
  <conditionalFormatting sqref="Q22:Q29">
    <cfRule type="expression" dxfId="2791" priority="32">
      <formula>ABS(Q$25-Q$28)&gt;=1000</formula>
    </cfRule>
  </conditionalFormatting>
  <conditionalFormatting sqref="R22:R29">
    <cfRule type="expression" dxfId="2790" priority="31">
      <formula>ABS(R$25-R$28)&gt;=1000</formula>
    </cfRule>
  </conditionalFormatting>
  <conditionalFormatting sqref="S22:S29">
    <cfRule type="expression" dxfId="2789" priority="30">
      <formula>ABS(S$25-S$28)&gt;=1000</formula>
    </cfRule>
  </conditionalFormatting>
  <conditionalFormatting sqref="T22:T29">
    <cfRule type="expression" dxfId="2788" priority="29">
      <formula>ABS(T$25-T$28)&gt;=1000</formula>
    </cfRule>
  </conditionalFormatting>
  <conditionalFormatting sqref="U22:U29">
    <cfRule type="expression" dxfId="2787" priority="28">
      <formula>ABS(U$25-U$28)&gt;=1000</formula>
    </cfRule>
  </conditionalFormatting>
  <conditionalFormatting sqref="V22:V29">
    <cfRule type="expression" dxfId="2786" priority="27">
      <formula>ABS(V$25-V$28)&gt;=1000</formula>
    </cfRule>
  </conditionalFormatting>
  <conditionalFormatting sqref="W22:W29">
    <cfRule type="expression" dxfId="2785" priority="26">
      <formula>ABS(W$25-W$28)&gt;=1000</formula>
    </cfRule>
  </conditionalFormatting>
  <conditionalFormatting sqref="X22:X29">
    <cfRule type="expression" dxfId="2784" priority="25">
      <formula>ABS(X$25-X$28)&gt;=1000</formula>
    </cfRule>
  </conditionalFormatting>
  <conditionalFormatting sqref="Y22:Y29">
    <cfRule type="expression" dxfId="2783" priority="24">
      <formula>ABS(Y$25-Y$28)&gt;=1000</formula>
    </cfRule>
  </conditionalFormatting>
  <conditionalFormatting sqref="I23">
    <cfRule type="expression" dxfId="2782" priority="23">
      <formula>ABS(I$25-I$28)&gt;=1000</formula>
    </cfRule>
  </conditionalFormatting>
  <conditionalFormatting sqref="Q14">
    <cfRule type="expression" dxfId="2781" priority="22">
      <formula>ABS(Q$16-Q$19)&gt;=1000</formula>
    </cfRule>
  </conditionalFormatting>
  <conditionalFormatting sqref="W14">
    <cfRule type="expression" dxfId="2780" priority="21">
      <formula>ABS(W$16-W$19)&gt;=1000</formula>
    </cfRule>
  </conditionalFormatting>
  <conditionalFormatting sqref="X14">
    <cfRule type="expression" dxfId="2779" priority="20">
      <formula>ABS(X$16-X$19)&gt;=1000</formula>
    </cfRule>
  </conditionalFormatting>
  <conditionalFormatting sqref="T10:Y10">
    <cfRule type="expression" dxfId="2778" priority="19">
      <formula>ABS(T$7-T$10)&gt;=1000</formula>
    </cfRule>
  </conditionalFormatting>
  <conditionalFormatting sqref="W19">
    <cfRule type="expression" dxfId="2777" priority="18">
      <formula>ABS(W$16-W$19)&gt;=1000</formula>
    </cfRule>
  </conditionalFormatting>
  <conditionalFormatting sqref="AC5">
    <cfRule type="expression" dxfId="2776" priority="17">
      <formula>ABS(AC$7-AC$10)&gt;=1000</formula>
    </cfRule>
  </conditionalFormatting>
  <conditionalFormatting sqref="M14">
    <cfRule type="expression" dxfId="2775" priority="16">
      <formula>ABS(M$16-M$19)&gt;=1000</formula>
    </cfRule>
  </conditionalFormatting>
  <conditionalFormatting sqref="M16">
    <cfRule type="expression" dxfId="2774" priority="15">
      <formula>ABS(M$16-M$19)&gt;=1000</formula>
    </cfRule>
  </conditionalFormatting>
  <conditionalFormatting sqref="M19">
    <cfRule type="expression" dxfId="2773" priority="14">
      <formula>ABS(M$16-M$19)&gt;=1000</formula>
    </cfRule>
  </conditionalFormatting>
  <conditionalFormatting sqref="K13:K20">
    <cfRule type="expression" dxfId="2772" priority="13">
      <formula>ABS(K$16-K$19)&gt;=1000</formula>
    </cfRule>
  </conditionalFormatting>
  <conditionalFormatting sqref="E5">
    <cfRule type="expression" dxfId="2771" priority="12">
      <formula>ABS(E$7-E$10)&gt;=1000</formula>
    </cfRule>
  </conditionalFormatting>
  <conditionalFormatting sqref="AB14:AC14">
    <cfRule type="expression" dxfId="2770" priority="11">
      <formula>ABS(AB$16-AB$19)&gt;=1000</formula>
    </cfRule>
  </conditionalFormatting>
  <conditionalFormatting sqref="M5">
    <cfRule type="expression" dxfId="2769" priority="10">
      <formula>ABS(M$7-M$10)&gt;=1000</formula>
    </cfRule>
  </conditionalFormatting>
  <conditionalFormatting sqref="N5">
    <cfRule type="expression" dxfId="2768" priority="9">
      <formula>ABS(N$7-N$10)&gt;=1000</formula>
    </cfRule>
  </conditionalFormatting>
  <conditionalFormatting sqref="O5">
    <cfRule type="expression" dxfId="2767" priority="8">
      <formula>ABS(O$7-O$10)&gt;=1000</formula>
    </cfRule>
  </conditionalFormatting>
  <conditionalFormatting sqref="P5">
    <cfRule type="expression" dxfId="2766" priority="7">
      <formula>ABS(P$7-P$10)&gt;=1000</formula>
    </cfRule>
  </conditionalFormatting>
  <conditionalFormatting sqref="L23">
    <cfRule type="expression" dxfId="2765" priority="6">
      <formula>ABS(L$25-L$28)&gt;=1000</formula>
    </cfRule>
  </conditionalFormatting>
  <conditionalFormatting sqref="Y14">
    <cfRule type="expression" dxfId="2764" priority="5">
      <formula>ABS(Y$16-Y$19)&gt;=1000</formula>
    </cfRule>
  </conditionalFormatting>
  <conditionalFormatting sqref="F14">
    <cfRule type="expression" dxfId="2763" priority="4">
      <formula>ABS(F$16-F$19)&gt;=1000</formula>
    </cfRule>
  </conditionalFormatting>
  <conditionalFormatting sqref="H14">
    <cfRule type="expression" dxfId="2762" priority="3">
      <formula>ABS(H$16-H$19)&gt;=1000</formula>
    </cfRule>
  </conditionalFormatting>
  <conditionalFormatting sqref="AD5">
    <cfRule type="expression" dxfId="2761" priority="2">
      <formula>ABS(AD$7-AD$10)&gt;=1000</formula>
    </cfRule>
  </conditionalFormatting>
  <conditionalFormatting sqref="AE5">
    <cfRule type="expression" dxfId="27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9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6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0" t="s" ph="1">
        <v>177</v>
      </c>
      <c r="D6" s="71">
        <v>5984</v>
      </c>
      <c r="E6" s="71">
        <v>4036</v>
      </c>
      <c r="F6" s="71">
        <v>4707</v>
      </c>
      <c r="G6" s="71">
        <v>5337</v>
      </c>
      <c r="H6" s="71">
        <v>5638</v>
      </c>
      <c r="I6" s="71">
        <v>38.840000000000003</v>
      </c>
      <c r="J6" s="71">
        <v>6.68</v>
      </c>
      <c r="K6" s="71">
        <v>62.39</v>
      </c>
      <c r="L6" s="71">
        <v>8.3699999999999992</v>
      </c>
      <c r="M6" s="71">
        <v>2264</v>
      </c>
      <c r="N6" s="71">
        <v>2398</v>
      </c>
      <c r="O6" s="71">
        <v>4742</v>
      </c>
      <c r="P6" s="71">
        <v>6616</v>
      </c>
      <c r="Q6" s="71">
        <v>7026</v>
      </c>
      <c r="R6" s="71">
        <v>7120</v>
      </c>
      <c r="S6" s="71">
        <v>4475</v>
      </c>
      <c r="T6" s="71">
        <v>0</v>
      </c>
      <c r="U6" s="71">
        <v>0</v>
      </c>
      <c r="V6" s="71">
        <v>0</v>
      </c>
      <c r="W6" s="71">
        <v>4335</v>
      </c>
      <c r="X6" s="71">
        <v>7066</v>
      </c>
      <c r="Y6" s="71">
        <v>6719</v>
      </c>
      <c r="Z6" s="71">
        <v>4460</v>
      </c>
      <c r="AA6" s="71">
        <v>4350</v>
      </c>
      <c r="AB6" s="71">
        <v>5104</v>
      </c>
      <c r="AC6" s="71">
        <v>6902</v>
      </c>
      <c r="AD6" s="71">
        <v>4780</v>
      </c>
      <c r="AE6" s="71">
        <v>3720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188714.17388736</v>
      </c>
      <c r="E7" s="73" ph="1">
        <f>E6*51.53*LOOKUP(E8,密度!$A$2:$A$50,密度!$B$2:$B$50)</f>
        <v>163551.602912</v>
      </c>
      <c r="F7" s="73" ph="1">
        <f>F6*33.183*LOOKUP(F8,密度!$A$2:$A$50,密度!$C$2:$C$50)</f>
        <v>174076.40862450001</v>
      </c>
      <c r="G7" s="73" ph="1">
        <f xml:space="preserve"> (G6+2)*51.53*LOOKUP(G8,密度!$A$2:$A$50,密度!$B$2:$B$50)</f>
        <v>215940.64408299999</v>
      </c>
      <c r="H7" s="73" ph="1">
        <f>(H6)*51.53*LOOKUP(H8,密度!$A$2:$A$50,密度!$B$2:$B$50)</f>
        <v>228934.59832000002</v>
      </c>
      <c r="I7" s="73" ph="1">
        <f>I6*290.8*1.0267</f>
        <v>11596.239742400001</v>
      </c>
      <c r="J7" s="73" ph="1">
        <f>J6*290.8*0.7892</f>
        <v>1533.0557248</v>
      </c>
      <c r="K7" s="73" ph="1">
        <f>K6*290.8*1.1126</f>
        <v>20185.915151200003</v>
      </c>
      <c r="L7" s="73" ph="1">
        <f>L6*290.8*0.777</f>
        <v>1891.2148920000002</v>
      </c>
      <c r="M7" s="73" ph="1">
        <f>M6*33.183*LOOKUP(M8,密度!$A$2:$A$50,密度!$D$2:$D$50)</f>
        <v>77612.992927200001</v>
      </c>
      <c r="N7" s="73" ph="1">
        <f>N6*33.183*LOOKUP(N8,密度!$A$2:$A$50,密度!$E$2:$E$50)</f>
        <v>62703.393192000003</v>
      </c>
      <c r="O7" s="73" ph="1">
        <f>O6*20.428*LOOKUP(O8,密度!$A$2:$A$50,密度!$C$2:$C$50)</f>
        <v>107563.97719040001</v>
      </c>
      <c r="P7" s="73" ph="1">
        <f>P6*51.53*LOOKUP(P8,密度!$A$2:$A$50,密度!$B$2:$B$50)</f>
        <v>268101.438272</v>
      </c>
      <c r="Q7" s="73" ph="1">
        <f>Q6*1.5*1.5*3.1416*LOOKUP(W8,密度!$A$2:$A$50,密度!$L$2:$L$50)</f>
        <v>46684.144583999994</v>
      </c>
      <c r="R7" s="73" ph="1">
        <f>R6*1.5*1.5*3.1416*LOOKUP(R8,密度!$A$2:$A$50,密度!$L$2:$L$50)</f>
        <v>47157.740784000001</v>
      </c>
      <c r="S7" s="73" ph="1">
        <f>S6*1.5*1.5*3.1416*LOOKUP(S8,密度!$A$2:$A$50,密度!$L$2:$L$50)</f>
        <v>29892.225824999998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28803.83814</v>
      </c>
      <c r="X7" s="73" ph="1">
        <f>X6*1.5*1.5*3.1416*LOOKUP(X8,密度!$A$2:$A$50,密度!$L$2:$L$50)</f>
        <v>47499.337947599997</v>
      </c>
      <c r="Y7" s="73" ph="1">
        <f>Y6*1.5*1.5*3.1416*LOOKUP(Y8,密度!$A$2:$A$50,密度!$L$2:$L$50)</f>
        <v>44691.781919399997</v>
      </c>
      <c r="Z7" s="73" ph="1">
        <f>Z6*33.183*LOOKUP(Z8,密度!$A$2:$A$50,密度!$L$2:$L$50)</f>
        <v>140300.37863999998</v>
      </c>
      <c r="AA7" s="73" ph="1">
        <f>AA6*33.183*LOOKUP(AA8,密度!$A$2:$A$50,密度!$D$2:$D$50)</f>
        <v>149484.76938000001</v>
      </c>
      <c r="AB7" s="73" ph="1">
        <f>AB6*20.428*LOOKUP(AB8,密度!$A$2:$A$50,密度!$D$2:$D$50)</f>
        <v>108341.25441919999</v>
      </c>
      <c r="AC7" s="73" ph="1">
        <f>AC6*51.53*LOOKUP(AC8,密度!$A$2:$A$50,密度!$Q$2:$Q$50)</f>
        <v>339491.75367240002</v>
      </c>
      <c r="AD7" s="73" ph="1">
        <f>AD6*20.428*LOOKUP(AD8,密度!$A$2:$A$50,密度!$V$2:$V$50)</f>
        <v>94130.589760000003</v>
      </c>
      <c r="AE7" s="73" ph="1">
        <f>AE6*20.428</f>
        <v>75992.160000000003</v>
      </c>
    </row>
    <row r="8" spans="1:99" ph="1">
      <c r="B8" s="238" ph="1"/>
      <c r="C8" s="68" t="s" ph="1">
        <v>179</v>
      </c>
      <c r="D8" s="74">
        <v>20</v>
      </c>
      <c r="E8" s="74">
        <v>17</v>
      </c>
      <c r="F8" s="74">
        <v>17</v>
      </c>
      <c r="G8" s="74">
        <v>19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21</v>
      </c>
      <c r="O8" s="74">
        <v>23</v>
      </c>
      <c r="P8" s="74">
        <v>17</v>
      </c>
      <c r="Q8" s="74">
        <v>22</v>
      </c>
      <c r="R8" s="74">
        <v>25</v>
      </c>
      <c r="S8" s="74">
        <v>17</v>
      </c>
      <c r="T8" s="74">
        <v>13</v>
      </c>
      <c r="U8" s="74">
        <v>17</v>
      </c>
      <c r="V8" s="74">
        <v>23</v>
      </c>
      <c r="W8" s="74">
        <v>22</v>
      </c>
      <c r="X8" s="74">
        <v>11</v>
      </c>
      <c r="Y8" s="74">
        <v>21</v>
      </c>
      <c r="Z8" s="74">
        <v>14</v>
      </c>
      <c r="AA8" s="74">
        <v>15</v>
      </c>
      <c r="AB8" s="74">
        <v>11</v>
      </c>
      <c r="AC8" s="74">
        <v>15</v>
      </c>
      <c r="AD8" s="74">
        <v>16</v>
      </c>
      <c r="AE8" s="74">
        <v>20</v>
      </c>
    </row>
    <row r="9" spans="1:99" ht="26.4" ph="1">
      <c r="B9" s="238" ph="1">
        <v>0.66666666666666663</v>
      </c>
      <c r="C9" s="150" t="s" ph="1">
        <v>180</v>
      </c>
      <c r="D9" s="71">
        <v>5980</v>
      </c>
      <c r="E9" s="71">
        <v>4030</v>
      </c>
      <c r="F9" s="71">
        <v>4705</v>
      </c>
      <c r="G9" s="71">
        <v>5072</v>
      </c>
      <c r="H9" s="71">
        <v>5632</v>
      </c>
      <c r="I9" s="71">
        <v>14.18</v>
      </c>
      <c r="J9" s="71">
        <v>6.58</v>
      </c>
      <c r="K9" s="71">
        <v>62.37</v>
      </c>
      <c r="L9" s="71">
        <v>8.32</v>
      </c>
      <c r="M9" s="71">
        <v>2631</v>
      </c>
      <c r="N9" s="71">
        <v>2395</v>
      </c>
      <c r="O9" s="71">
        <v>4740</v>
      </c>
      <c r="P9" s="71">
        <v>6154</v>
      </c>
      <c r="Q9" s="71">
        <v>7018</v>
      </c>
      <c r="R9" s="71">
        <v>7113</v>
      </c>
      <c r="S9" s="71">
        <v>7167</v>
      </c>
      <c r="T9" s="71">
        <v>5485</v>
      </c>
      <c r="U9" s="71">
        <v>0</v>
      </c>
      <c r="V9" s="71">
        <v>0</v>
      </c>
      <c r="W9" s="71">
        <v>328</v>
      </c>
      <c r="X9" s="71">
        <v>7057</v>
      </c>
      <c r="Y9" s="71">
        <v>6710</v>
      </c>
      <c r="Z9" s="71">
        <v>2175</v>
      </c>
      <c r="AA9" s="71">
        <v>4237</v>
      </c>
      <c r="AB9" s="71">
        <v>5099</v>
      </c>
      <c r="AC9" s="71">
        <v>6873</v>
      </c>
      <c r="AD9" s="71">
        <v>4780</v>
      </c>
      <c r="AE9" s="71">
        <v>3720</v>
      </c>
    </row>
    <row r="10" spans="1:99" s="72" customFormat="1" ht="22.2" ph="1">
      <c r="B10" s="238" ph="1"/>
      <c r="C10" s="150" t="s" ph="1">
        <v>178</v>
      </c>
      <c r="D10" s="73" ph="1">
        <f>D9*33.183*LOOKUP(D11,密度!$A$2:$A$50,密度!$Q$2:$Q$50)</f>
        <v>188588.02804919999</v>
      </c>
      <c r="E10" s="73" ph="1">
        <f>E9*51.53*LOOKUP(E11,密度!$A$2:$A$50,密度!$B$2:$B$50)</f>
        <v>162996.96491000001</v>
      </c>
      <c r="F10" s="73" ph="1">
        <f>F9*33.183*LOOKUP(F11,密度!$A$2:$A$50,密度!$C$2:$C$50)</f>
        <v>173908.76810849996</v>
      </c>
      <c r="G10" s="73" ph="1">
        <f xml:space="preserve"> (G9+2)*51.53*LOOKUP(G11,密度!$A$2:$A$50,密度!$B$2:$B$50)</f>
        <v>205013.31080199999</v>
      </c>
      <c r="H10" s="73" ph="1">
        <f>(H9)*51.53*LOOKUP(H11,密度!$A$2:$A$50,密度!$B$2:$B$50)</f>
        <v>228226.61734400003</v>
      </c>
      <c r="I10" s="73" ph="1">
        <f>I9*290.8*1.0267</f>
        <v>4233.6426247999998</v>
      </c>
      <c r="J10" s="73" ph="1">
        <f>J9*290.8*0.7892</f>
        <v>1510.1057888000003</v>
      </c>
      <c r="K10" s="73" ph="1">
        <f>K9*290.8*1.1126</f>
        <v>20179.444269600001</v>
      </c>
      <c r="L10" s="73" ph="1">
        <f>L9*290.8*0.777</f>
        <v>1879.9173120000003</v>
      </c>
      <c r="M10" s="73" ph="1">
        <f>M9*33.183*LOOKUP(M11,密度!$A$2:$A$50,密度!$D$2:$D$50)</f>
        <v>89967.259426499993</v>
      </c>
      <c r="N10" s="73" ph="1">
        <f>N9*33.183*LOOKUP(N11,密度!$A$2:$A$50,密度!$E$2:$E$50)</f>
        <v>62624.948580000004</v>
      </c>
      <c r="O10" s="73" ph="1">
        <f>O9*20.428*LOOKUP(O11,密度!$A$2:$A$50,密度!$C$2:$C$50)</f>
        <v>107518.610688</v>
      </c>
      <c r="P10" s="73" ph="1">
        <f>P9*51.53*LOOKUP(P11,密度!$A$2:$A$50,密度!$B$2:$B$50)</f>
        <v>248904.05013800002</v>
      </c>
      <c r="Q10" s="73" ph="1">
        <f>Q9*1.5*1.5*3.1416*LOOKUP(W11,密度!$A$2:$A$50,密度!$L$2:$L$50)</f>
        <v>46730.203581599999</v>
      </c>
      <c r="R10" s="73" ph="1">
        <f>R9*1.5*1.5*3.1416*LOOKUP(R11,密度!$A$2:$A$50,密度!$L$2:$L$50)</f>
        <v>47111.377836600004</v>
      </c>
      <c r="S10" s="73" ph="1">
        <f>S9*1.5*1.5*3.1416*LOOKUP(S11,密度!$A$2:$A$50,密度!$L$2:$L$50)</f>
        <v>47874.320108999993</v>
      </c>
      <c r="T10" s="73" ph="1">
        <f>T9*1.5*1.5*3.1416*LOOKUP(T11,密度!$A$2:$A$50,密度!$L$2:$L$50)</f>
        <v>36755.164907999999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2184.0277535999999</v>
      </c>
      <c r="X10" s="73" ph="1">
        <f>X9*1.5*1.5*3.1416*LOOKUP(X11,密度!$A$2:$A$50,密度!$L$2:$L$50)</f>
        <v>47438.837800200003</v>
      </c>
      <c r="Y10" s="73" ph="1">
        <f>Y9*1.5*1.5*3.1416*LOOKUP(Y11,密度!$A$2:$A$50,密度!$L$2:$L$50)</f>
        <v>44679.348251999996</v>
      </c>
      <c r="Z10" s="73" ph="1">
        <f>Z9*33.183*LOOKUP(Z11,密度!$A$2:$A$50,密度!$L$2:$L$50)</f>
        <v>68347.854674999995</v>
      </c>
      <c r="AA10" s="73" ph="1">
        <f>AA9*33.183*LOOKUP(AA11,密度!$A$2:$A$50,密度!$D$2:$D$50)</f>
        <v>145250.11088009999</v>
      </c>
      <c r="AB10" s="73" ph="1">
        <f>AB9*20.428*LOOKUP(AB11,密度!$A$2:$A$50,密度!$D$2:$D$50)</f>
        <v>108235.12074519999</v>
      </c>
      <c r="AC10" s="73" ph="1">
        <f>AC9*51.53*LOOKUP(AC11,密度!$A$2:$A$50,密度!$Q$2:$Q$50)</f>
        <v>337169.2785369</v>
      </c>
      <c r="AD10" s="73" ph="1">
        <f>AD9*20.428*LOOKUP(AD11,密度!$A$2:$A$50,密度!$V$2:$V$50)</f>
        <v>94130.589760000003</v>
      </c>
      <c r="AE10" s="73" ph="1">
        <f>AE9*20.428</f>
        <v>75992.160000000003</v>
      </c>
    </row>
    <row r="11" spans="1:99" ph="1">
      <c r="A11" s="64" t="s" ph="1">
        <v>162</v>
      </c>
      <c r="B11" s="238" ph="1"/>
      <c r="C11" s="150" t="s" ph="1">
        <v>179</v>
      </c>
      <c r="D11" s="74">
        <v>20</v>
      </c>
      <c r="E11" s="74">
        <v>19</v>
      </c>
      <c r="F11" s="74">
        <v>18</v>
      </c>
      <c r="G11" s="74">
        <v>20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21</v>
      </c>
      <c r="O11" s="74">
        <v>23</v>
      </c>
      <c r="P11" s="74">
        <v>19</v>
      </c>
      <c r="Q11" s="74">
        <v>21</v>
      </c>
      <c r="R11" s="74">
        <v>25</v>
      </c>
      <c r="S11" s="74">
        <v>17</v>
      </c>
      <c r="T11" s="74">
        <v>14</v>
      </c>
      <c r="U11" s="74">
        <v>19</v>
      </c>
      <c r="V11" s="74">
        <v>25</v>
      </c>
      <c r="W11" s="74">
        <v>20</v>
      </c>
      <c r="X11" s="74">
        <v>11</v>
      </c>
      <c r="Y11" s="74">
        <v>20</v>
      </c>
      <c r="Z11" s="74">
        <v>15</v>
      </c>
      <c r="AA11" s="74">
        <v>18</v>
      </c>
      <c r="AB11" s="74">
        <v>11</v>
      </c>
      <c r="AC11" s="74">
        <v>18</v>
      </c>
      <c r="AD11" s="74">
        <v>17</v>
      </c>
      <c r="AE11" s="74">
        <v>21</v>
      </c>
    </row>
    <row r="12" spans="1:99" ht="9.9" customHeight="1" ph="1"/>
    <row r="13" spans="1:99" s="72" customFormat="1" ht="29.25" customHeight="1" ph="1">
      <c r="B13" s="215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0" t="s" ph="1">
        <v>177</v>
      </c>
      <c r="D15" s="78">
        <v>116</v>
      </c>
      <c r="E15" s="78">
        <v>5727</v>
      </c>
      <c r="F15" s="78">
        <v>4300</v>
      </c>
      <c r="G15" s="78">
        <v>3631</v>
      </c>
      <c r="H15" s="78">
        <v>0</v>
      </c>
      <c r="I15" s="78">
        <v>5233</v>
      </c>
      <c r="J15" s="78">
        <v>0</v>
      </c>
      <c r="K15" s="78">
        <v>3584</v>
      </c>
      <c r="L15" s="78">
        <v>5585</v>
      </c>
      <c r="M15" s="78">
        <v>6806</v>
      </c>
      <c r="N15" s="78">
        <v>2659</v>
      </c>
      <c r="O15" s="78">
        <v>4450</v>
      </c>
      <c r="P15" s="78">
        <v>3443</v>
      </c>
      <c r="Q15" s="78">
        <v>6950</v>
      </c>
      <c r="R15" s="78">
        <v>7397</v>
      </c>
      <c r="S15" s="78">
        <v>921</v>
      </c>
      <c r="T15" s="78">
        <v>2126</v>
      </c>
      <c r="U15" s="78">
        <v>6249</v>
      </c>
      <c r="V15" s="78">
        <v>4973</v>
      </c>
      <c r="W15" s="71">
        <v>-171</v>
      </c>
      <c r="X15" s="78">
        <v>94</v>
      </c>
      <c r="Y15" s="106">
        <v>-9900</v>
      </c>
      <c r="Z15" s="78">
        <v>0</v>
      </c>
      <c r="AA15" s="78">
        <v>11</v>
      </c>
      <c r="AB15" s="78" ph="1">
        <v>6970</v>
      </c>
      <c r="AC15" s="78" ph="1">
        <v>2184</v>
      </c>
      <c r="AD15" s="78">
        <v>5.58</v>
      </c>
      <c r="AE15" s="78">
        <v>62.17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0" t="s" ph="1">
        <v>178</v>
      </c>
      <c r="D16" s="73" ph="1">
        <f>D15*7.0686*LOOKUP(D17,密度!$A$2:$A$50,密度!$L$2:$L$50)</f>
        <v>770.76014399999997</v>
      </c>
      <c r="E16" s="73" ph="1">
        <f>E15*7.0686*LOOKUP(E17,密度!$A$2:$A$50,密度!$L$2:$L$50)</f>
        <v>38052.959867999998</v>
      </c>
      <c r="F16" s="73" ph="1">
        <f>F15*9.0746*LOOKUP(F17,密度!$A$2:$A$50,密度!$L$2:$L$50)</f>
        <v>36679.533199999998</v>
      </c>
      <c r="G16" s="73" ph="1">
        <f>G15*9.0746*LOOKUP(G17,密度!$A$2:$A$50,密度!$B$2:$B$50)</f>
        <v>25835.995105660004</v>
      </c>
      <c r="H16" s="73" ph="1">
        <f>H15*9.0746*LOOKUP(H17,密度!$A$2:$A$50,密度!$L$2:$L$50)</f>
        <v>0</v>
      </c>
      <c r="I16" s="73" ph="1">
        <f>I15*9.0746*LOOKUP(I17,密度!$A$2:$A$50,密度!$U$2:$U$50)</f>
        <v>48817.028490400007</v>
      </c>
      <c r="J16" s="73" ph="1">
        <f>J15*9.0746*LOOKUP(J17,密度!$A$2:$A$50,密度!$L$2:$L$50)</f>
        <v>0</v>
      </c>
      <c r="K16" s="73" ph="1">
        <f>K15*9.0746*LOOKUP(K17,密度!$A$2:$A$50,密度!$C$2:$C$50)</f>
        <v>36247.291852800001</v>
      </c>
      <c r="L16" s="73" ph="1">
        <f>L15*9.0746*LOOKUP(L17,密度!$A$2:$A$50,密度!$E$2:$E$50)</f>
        <v>39997.951077200007</v>
      </c>
      <c r="M16" s="73" ph="1">
        <f>M15*9.0746*LOOKUP(M17,密度!$A$2:$A$50,密度!$M$2:$M$50)</f>
        <v>54294.734733159996</v>
      </c>
      <c r="N16" s="73" ph="1">
        <f>N15*9.0746*LOOKUP(N17,密度!$A$2:$A$50,密度!$M$2:$M$50)</f>
        <v>21241.076840419999</v>
      </c>
      <c r="O16" s="73" ph="1">
        <f>O15*9.0746*LOOKUP(O17,密度!$A$2:$A$50,密度!$G$2:$G$50)</f>
        <v>38964.562853000003</v>
      </c>
      <c r="P16" s="73" ph="1">
        <f ca="1">P15*9.0746*LOOKUP(P17,密度!$A$2:$A$51,密度!$Q$2:$Q$50)</f>
        <v>29693.528072164001</v>
      </c>
      <c r="Q16" s="73" ph="1">
        <f>Q15*9.0746*LOOKUP(Q17,密度!$A$2:$A$50,密度!$Q$2:$Q$50)</f>
        <v>59857.654192299997</v>
      </c>
      <c r="R16" s="73" ph="1">
        <f>MAX(R15*9.0746*LOOKUP(R17,密度!$A$2:$A$50,密度!$B$2:$B$50),0)</f>
        <v>52451.331378679999</v>
      </c>
      <c r="S16" s="73" ph="1">
        <f>S15*9.0746*LOOKUP(S17,密度!$A$2:$A$50,密度!$Q$2:$Q$50)</f>
        <v>7963.2228484799998</v>
      </c>
      <c r="T16" s="73" ph="1">
        <f>T15*9.0746*LOOKUP(T17,密度!$A$2:$A$50,密度!$O$2:$O$50)</f>
        <v>17942.117628000004</v>
      </c>
      <c r="U16" s="73" ph="1">
        <f>U15*9.0746*LOOKUP(U17,密度!$A$2:$A$50,密度!$H$2:$H$50)</f>
        <v>52323.710741579998</v>
      </c>
      <c r="V16" s="73" ph="1">
        <f>MAX(5600*LOOKUP(V17,密度!$A$2:$A$50,密度!$Q$2:$Q$50)+V15*9.0476*LOOKUP(V17,密度!$A$2:$A$50,密度!$Q$2:$Q$50),0)</f>
        <v>48126.259329203996</v>
      </c>
      <c r="W16" s="73" ph="1">
        <f>MAX(5600*LOOKUP(W17,密度!$A$2:$A$50,密度!$Q$2:$Q$50)+W15*9.0476*LOOKUP(W17,密度!$A$2:$A$50,密度!$Q$2:$Q$50),0)</f>
        <v>3855.202398292</v>
      </c>
      <c r="X16" s="73" ph="1">
        <f>MAX(5600*LOOKUP(X17,密度!$A$2:$A$50,密度!$I$2:$I$50)+X15*9.0476*LOOKUP(X17,密度!$A$2:$A$50,密度!$I$2:$I$50),0)</f>
        <v>6738.1655582399999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59518.214241999995</v>
      </c>
      <c r="AC16" s="73" ph="1">
        <f>AC15*9.0746*LOOKUP(AC17,密度!$A$2:$A$50,密度!$L$2:$L$50)</f>
        <v>18728.885448000001</v>
      </c>
      <c r="AD16" s="73" ph="1">
        <f>AD15*268.68*LOOKUP(AD17,密度!$A$2:$A$50,密度!B2:B50)+IF(AD15&lt;=0,0,1566*LOOKUP(AD17,密度!$A$2:$A$50,密度!B2:B50))</f>
        <v>2389.6567382399999</v>
      </c>
      <c r="AE16" s="73" ph="1">
        <f>AE15*268.68*LOOKUP(AE17,密度!$A$2:$A$50,密度!B2:B50)+IF(AE15&lt;=0,0,1566*LOOKUP(AE17,密度!$A$2:$A$50,密度!B2:B50))</f>
        <v>14243.163833760002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22</v>
      </c>
      <c r="E17" s="74">
        <v>22</v>
      </c>
      <c r="F17" s="74">
        <v>22</v>
      </c>
      <c r="G17" s="74">
        <v>20</v>
      </c>
      <c r="H17" s="74">
        <v>13</v>
      </c>
      <c r="I17" s="74">
        <v>20</v>
      </c>
      <c r="J17" s="74">
        <v>18</v>
      </c>
      <c r="K17" s="74">
        <v>17</v>
      </c>
      <c r="L17" s="74">
        <v>20</v>
      </c>
      <c r="M17" s="74">
        <v>21</v>
      </c>
      <c r="N17" s="74">
        <v>20</v>
      </c>
      <c r="O17" s="74">
        <v>21</v>
      </c>
      <c r="P17" s="74">
        <v>20</v>
      </c>
      <c r="Q17" s="74">
        <v>22</v>
      </c>
      <c r="R17" s="74">
        <v>23</v>
      </c>
      <c r="S17" s="74">
        <v>17</v>
      </c>
      <c r="T17" s="74">
        <v>21</v>
      </c>
      <c r="U17" s="74">
        <v>17</v>
      </c>
      <c r="V17" s="74">
        <v>19</v>
      </c>
      <c r="W17" s="74">
        <v>19</v>
      </c>
      <c r="X17" s="74">
        <v>23</v>
      </c>
      <c r="Y17" s="108">
        <v>23</v>
      </c>
      <c r="Z17" s="74">
        <v>17</v>
      </c>
      <c r="AA17" s="74">
        <v>15</v>
      </c>
      <c r="AB17" s="74">
        <v>21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1515</v>
      </c>
      <c r="E18" s="71">
        <v>3030</v>
      </c>
      <c r="F18" s="71">
        <v>2068</v>
      </c>
      <c r="G18" s="71">
        <v>3684</v>
      </c>
      <c r="H18" s="71">
        <v>0</v>
      </c>
      <c r="I18" s="71">
        <v>5230</v>
      </c>
      <c r="J18" s="71">
        <v>0</v>
      </c>
      <c r="K18" s="71">
        <v>3582</v>
      </c>
      <c r="L18" s="71">
        <v>5574</v>
      </c>
      <c r="M18" s="71">
        <v>4821</v>
      </c>
      <c r="N18" s="71">
        <v>4549</v>
      </c>
      <c r="O18" s="71">
        <v>4444</v>
      </c>
      <c r="P18" s="71">
        <v>3437</v>
      </c>
      <c r="Q18" s="71">
        <v>6940</v>
      </c>
      <c r="R18" s="71">
        <v>7388</v>
      </c>
      <c r="S18" s="71">
        <v>972</v>
      </c>
      <c r="T18" s="71">
        <v>1695</v>
      </c>
      <c r="U18" s="71">
        <v>6241</v>
      </c>
      <c r="V18" s="71">
        <v>4972</v>
      </c>
      <c r="W18" s="71">
        <v>-171</v>
      </c>
      <c r="X18" s="71">
        <v>94</v>
      </c>
      <c r="Y18" s="109">
        <v>-9900</v>
      </c>
      <c r="Z18" s="71">
        <v>0</v>
      </c>
      <c r="AA18" s="71">
        <v>10</v>
      </c>
      <c r="AB18" s="71">
        <v>6964</v>
      </c>
      <c r="AC18" s="71">
        <v>2147</v>
      </c>
      <c r="AD18" s="71">
        <v>31.03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0" t="s" ph="1">
        <v>178</v>
      </c>
      <c r="D19" s="73" ph="1">
        <f>D18*7.0686*LOOKUP(D20,密度!$A$2:$A$50,密度!$L$2:$L$50)</f>
        <v>10087.811118</v>
      </c>
      <c r="E19" s="73" ph="1">
        <f>E18*7.0686*LOOKUP(E20,密度!$A$2:$A$50,密度!$L$2:$L$50)</f>
        <v>20175.622235999999</v>
      </c>
      <c r="F19" s="73" ph="1">
        <f>F18*9.0746*LOOKUP(F20,密度!$A$2:$A$50,密度!$L$2:$L$50)</f>
        <v>17621.5301592</v>
      </c>
      <c r="G19" s="73" ph="1">
        <f>G18*9.0746*LOOKUP(G20,密度!$A$2:$A$50,密度!$B$2:$B$50)</f>
        <v>26213.110980239999</v>
      </c>
      <c r="H19" s="73" ph="1">
        <f>H18*9.0746*LOOKUP(H20,密度!$A$2:$A$50,密度!$L$2:$L$50)</f>
        <v>0</v>
      </c>
      <c r="I19" s="73" ph="1">
        <f>I18*9.0746*LOOKUP(I20,密度!$A$2:$A$50,密度!$U$2:$U$50)</f>
        <v>48789.042424000007</v>
      </c>
      <c r="J19" s="73" ph="1">
        <f>J18*9.0746*LOOKUP(J20,密度!$A$2:$A$50,密度!$L$2:$L$50)</f>
        <v>0</v>
      </c>
      <c r="K19" s="73" ph="1">
        <f>K18*9.0746*LOOKUP(K20,密度!$A$2:$A$50,密度!$C$2:$C$50)</f>
        <v>36184.807787040001</v>
      </c>
      <c r="L19" s="73" ph="1">
        <f>L18*9.0746*LOOKUP(L20,密度!$A$2:$A$50,密度!$E$2:$E$50)</f>
        <v>39919.172659680007</v>
      </c>
      <c r="M19" s="73" ph="1">
        <f>M18*9.0746*LOOKUP(M20,密度!$A$2:$A$50,密度!$M$2:$M$50)</f>
        <v>38459.435226059999</v>
      </c>
      <c r="N19" s="73" ph="1">
        <f>N18*9.0746*LOOKUP(N20,密度!$A$2:$A$50,密度!$M$2:$M$50)</f>
        <v>36339.096858619996</v>
      </c>
      <c r="O19" s="73" ph="1">
        <f>O18*9.0746*LOOKUP(O20,密度!$A$2:$A$50,密度!$G$2:$G$50)</f>
        <v>38912.02636376</v>
      </c>
      <c r="P19" s="73" ph="1">
        <f ca="1">P18*9.0746*LOOKUP(P20,密度!$A$2:$A$51,密度!$Q$2:$Q$50)</f>
        <v>29620.261475938001</v>
      </c>
      <c r="Q19" s="73" ph="1">
        <f>Q18*9.0746*LOOKUP(Q20,密度!$A$2:$A$50,密度!$Q$2:$Q$50)</f>
        <v>59852.76933512</v>
      </c>
      <c r="R19" s="73" ph="1">
        <f>MAX(R18*9.0746*LOOKUP(R20,密度!$A$2:$A$50,密度!$B$2:$B$50),0)</f>
        <v>52508.191007359994</v>
      </c>
      <c r="S19" s="73" ph="1">
        <f>S18*9.0746*LOOKUP(S20,密度!$A$2:$A$50,密度!$Q$2:$Q$50)</f>
        <v>8390.3348687760008</v>
      </c>
      <c r="T19" s="73" ph="1">
        <f>T18*9.0746*LOOKUP(T20,密度!$A$2:$A$50,密度!$O$2:$O$50)</f>
        <v>14304.745710000001</v>
      </c>
      <c r="U19" s="73" ph="1">
        <f>U18*9.0746*LOOKUP(U20,密度!$A$2:$A$50,密度!$H$2:$H$50)</f>
        <v>52256.725674219997</v>
      </c>
      <c r="V19" s="73" ph="1">
        <f>MAX(5600*LOOKUP(V20,密度!$A$2:$A$50,密度!$Q$2:$Q$50)+V18*9.0476*LOOKUP(V20,密度!$A$2:$A$50,密度!$Q$2:$Q$50),0)</f>
        <v>48074.65601353599</v>
      </c>
      <c r="W19" s="73" ph="1">
        <f>MAX(5600*LOOKUP(W20,密度!$A$2:$A$50,密度!$Q$2:$Q$50)+W18*9.0476*LOOKUP(W20,密度!$A$2:$A$50,密度!$Q$2:$Q$50),0)</f>
        <v>3851.757466952</v>
      </c>
      <c r="X19" s="73" ph="1">
        <f>MAX(5600*LOOKUP(X20,密度!$A$2:$A$50,密度!$I$2:$I$50)+X18*9.0476*LOOKUP(X20,密度!$A$2:$A$50,密度!$I$2:$I$50),0)</f>
        <v>6738.1655582399999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71.743787600000005</v>
      </c>
      <c r="AB19" s="73" ph="1">
        <f>AB18*9.0746*LOOKUP(AB20,密度!$A$2:$A$50,密度!$L$2:$L$50)</f>
        <v>59466.979050399998</v>
      </c>
      <c r="AC19" s="73" ph="1">
        <f>AC18*9.0746*LOOKUP(AC20,密度!$A$2:$A$50,密度!$L$2:$L$50)</f>
        <v>18392.108892799999</v>
      </c>
      <c r="AD19" s="73" ph="1">
        <f>AD18*268.68*LOOKUP(AD20,密度!$A$2:$A$50,密度!B5:B53)+IF(AD18&lt;=0,0,1566*LOOKUP(AD20,密度!$A$2:$A$50,密度!B5:B53))</f>
        <v>7694.7400908000009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20</v>
      </c>
      <c r="E20" s="81">
        <v>20</v>
      </c>
      <c r="F20" s="81">
        <v>23</v>
      </c>
      <c r="G20" s="81">
        <v>20</v>
      </c>
      <c r="H20" s="81">
        <v>15</v>
      </c>
      <c r="I20" s="81">
        <v>19</v>
      </c>
      <c r="J20" s="81">
        <v>20</v>
      </c>
      <c r="K20" s="81">
        <v>19</v>
      </c>
      <c r="L20" s="81">
        <v>20</v>
      </c>
      <c r="M20" s="81">
        <v>21</v>
      </c>
      <c r="N20" s="81">
        <v>19</v>
      </c>
      <c r="O20" s="81">
        <v>21</v>
      </c>
      <c r="P20" s="81">
        <v>21</v>
      </c>
      <c r="Q20" s="81">
        <v>20</v>
      </c>
      <c r="R20" s="81">
        <v>21</v>
      </c>
      <c r="S20" s="81">
        <v>19</v>
      </c>
      <c r="T20" s="81">
        <v>21</v>
      </c>
      <c r="U20" s="81">
        <v>17</v>
      </c>
      <c r="V20" s="81">
        <v>20</v>
      </c>
      <c r="W20" s="81">
        <v>20</v>
      </c>
      <c r="X20" s="81">
        <v>23</v>
      </c>
      <c r="Y20" s="110">
        <v>23</v>
      </c>
      <c r="Z20" s="81">
        <v>19</v>
      </c>
      <c r="AA20" s="81">
        <v>12</v>
      </c>
      <c r="AB20" s="81">
        <v>21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641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0" t="s" ph="1">
        <v>177</v>
      </c>
      <c r="D24" s="71">
        <v>49.8</v>
      </c>
      <c r="E24" s="71">
        <v>5.47</v>
      </c>
      <c r="F24" s="71">
        <v>3157</v>
      </c>
      <c r="G24" s="71">
        <v>3926</v>
      </c>
      <c r="H24" s="71">
        <v>2669</v>
      </c>
      <c r="I24" s="71">
        <v>2394</v>
      </c>
      <c r="J24" s="71">
        <v>467</v>
      </c>
      <c r="K24" s="71">
        <v>535</v>
      </c>
      <c r="L24" s="71">
        <v>470</v>
      </c>
      <c r="M24" s="71">
        <v>2646</v>
      </c>
      <c r="N24" s="71">
        <v>1940</v>
      </c>
      <c r="O24" s="71">
        <v>5733</v>
      </c>
      <c r="P24" s="71">
        <v>355</v>
      </c>
      <c r="Q24" s="90">
        <v>698</v>
      </c>
      <c r="R24" s="71">
        <v>6758</v>
      </c>
      <c r="S24" s="71">
        <v>2591</v>
      </c>
      <c r="T24" s="71">
        <v>217</v>
      </c>
      <c r="U24" s="71">
        <v>5875</v>
      </c>
      <c r="V24" s="71">
        <v>268</v>
      </c>
      <c r="W24" s="71">
        <v>108</v>
      </c>
      <c r="X24" s="71">
        <v>8470</v>
      </c>
      <c r="Y24" s="71">
        <v>7561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14150.225979359999</v>
      </c>
      <c r="E25" s="91" ph="1">
        <f>E24*268.68*LOOKUP(E26,密度!$A$2:$A$50,密度!$C$2:$C$50)+IF(E24&lt;=0,0,1566*LOOKUP(E26,密度!$A$2:$A$50,密度!$C$2:$C$50))</f>
        <v>3366.2651084399999</v>
      </c>
      <c r="F25" s="91" ph="1">
        <f>F24*11.702*LOOKUP(F26,密度!$A$2:$A$50,密度!$Q$2:$Q$50)</f>
        <v>35062.434975260003</v>
      </c>
      <c r="G25" s="91" ph="1">
        <f>G24*18.322*LOOKUP(G26,密度!$A$2:$A$50,密度!$B$2:$B$50)</f>
        <v>56272.538155599992</v>
      </c>
      <c r="H25" s="91" ph="1">
        <f>H24*18.322*LOOKUP(H26,密度!$A$2:$A$50,密度!$B$2:$B$50)</f>
        <v>38343.601853799999</v>
      </c>
      <c r="I25" s="91" ph="1">
        <f>I24*18.322*LOOKUP(I26,密度!$A$2:$A$50,密度!$Q$2:$Q$50)</f>
        <v>41656.127110919995</v>
      </c>
      <c r="J25" s="91" ph="1">
        <f>J24*18.322*LOOKUP(J26,密度!$A$2:$A$50,密度!$Q$2:$Q$50)</f>
        <v>8120.7689996599993</v>
      </c>
      <c r="K25" s="91" ph="1">
        <f>K24*18.322*LOOKUP(K26,密度!$A$2:$A$50,密度!$Q$2:$Q$50)</f>
        <v>9324.2132921000011</v>
      </c>
      <c r="L25" s="91" ph="1">
        <f>L24*18.322*LOOKUP(L26,密度!$A$2:$A$50,密度!$Q$2:$Q$50)</f>
        <v>8198.0817934000006</v>
      </c>
      <c r="M25" s="91" ph="1">
        <f>M24*18.322*LOOKUP(M26,密度!$A$2:$A$50,密度!$Q$2:$Q$50)</f>
        <v>46040.982596279995</v>
      </c>
      <c r="N25" s="91" ph="1">
        <f>N24*18.322*LOOKUP(N26,密度!$A$2:$A$50,密度!$Q$2:$Q$50)</f>
        <v>33780.952978399997</v>
      </c>
      <c r="O25" s="91" ph="1">
        <f>O24*18.322*LOOKUP(O26,密度!$A$2:$A$50,密度!$C$2:$C$50)</f>
        <v>116930.55694319999</v>
      </c>
      <c r="P25" s="91" ph="1">
        <f>P24*11.702*LOOKUP(P26,密度!$A$2:$A$50,密度!$B$2:$B$50)</f>
        <v>3270.1941120000001</v>
      </c>
      <c r="Q25" s="92" ph="1">
        <f>Q24*18.322*LOOKUP(Q26,密度!$A$2:$A$50,密度!$B$2:$B$50)</f>
        <v>10016.1536992</v>
      </c>
      <c r="R25" s="91" ph="1">
        <f>R24*35.891*LOOKUP(R26,密度!$A$2:$A$50,密度!$C$2:$C$50)</f>
        <v>269862.66316280002</v>
      </c>
      <c r="S25" s="91" ph="1">
        <f>S24*35.891*LOOKUP(S26,密度!$A$2:$A$50,密度!$B$2:$B$50)</f>
        <v>73065.056591699991</v>
      </c>
      <c r="T25" s="91" ph="1">
        <f>T24*35.891*LOOKUP(T26,密度!$A$2:$A$50,密度!$Q$2:$Q$50)</f>
        <v>7408.5093168100002</v>
      </c>
      <c r="U25" s="91" ph="1">
        <f>U24*35.891</f>
        <v>210859.625</v>
      </c>
      <c r="V25" s="91" ph="1">
        <f>V24*47.051*LOOKUP(V26,密度!$A$2:$A$50,密度!$B$2:$B$50)</f>
        <v>9936.4183840000005</v>
      </c>
      <c r="W25" s="91" ph="1">
        <f>W24*47.051*LOOKUP(W26,密度!$A$2:$A$50,密度!$B$2:$B$50)</f>
        <v>3996.0978911999996</v>
      </c>
      <c r="X25" s="91" ph="1">
        <f>X24*47.051*LOOKUP(X26,密度!$A$2:$A$61,密度!$I$2:$I$61)</f>
        <v>406014.183036</v>
      </c>
      <c r="Y25" s="91" ph="1">
        <f>Y24*47.051*LOOKUP(Y26,密度!$A$2:$A$50,密度!$L$2:$L$50)</f>
        <v>335830.46478400001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20</v>
      </c>
      <c r="I26" s="74">
        <v>21</v>
      </c>
      <c r="J26" s="74">
        <v>22</v>
      </c>
      <c r="K26" s="74">
        <v>19</v>
      </c>
      <c r="L26" s="74">
        <v>18</v>
      </c>
      <c r="M26" s="74">
        <v>21</v>
      </c>
      <c r="N26" s="74">
        <v>20</v>
      </c>
      <c r="O26" s="74">
        <v>19</v>
      </c>
      <c r="P26" s="74">
        <v>16</v>
      </c>
      <c r="Q26" s="93">
        <v>21</v>
      </c>
      <c r="R26" s="74">
        <v>20</v>
      </c>
      <c r="S26" s="74">
        <v>18</v>
      </c>
      <c r="T26" s="74">
        <v>19</v>
      </c>
      <c r="U26" s="74">
        <v>19</v>
      </c>
      <c r="V26" s="74">
        <v>15</v>
      </c>
      <c r="W26" s="74">
        <v>17</v>
      </c>
      <c r="X26" s="74">
        <v>46</v>
      </c>
      <c r="Y26" s="74">
        <v>18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0" t="s" ph="1">
        <v>180</v>
      </c>
      <c r="D27" s="71">
        <v>18.03</v>
      </c>
      <c r="E27" s="71">
        <v>5.43</v>
      </c>
      <c r="F27" s="71">
        <v>1985</v>
      </c>
      <c r="G27" s="71">
        <v>3502</v>
      </c>
      <c r="H27" s="71">
        <v>2248</v>
      </c>
      <c r="I27" s="71">
        <v>2389</v>
      </c>
      <c r="J27" s="71">
        <v>464</v>
      </c>
      <c r="K27" s="71">
        <v>2429</v>
      </c>
      <c r="L27" s="71">
        <v>468</v>
      </c>
      <c r="M27" s="71">
        <v>4860</v>
      </c>
      <c r="N27" s="71">
        <v>1361</v>
      </c>
      <c r="O27" s="71">
        <v>5730</v>
      </c>
      <c r="P27" s="71">
        <v>354</v>
      </c>
      <c r="Q27" s="90">
        <v>1032</v>
      </c>
      <c r="R27" s="71">
        <v>6292</v>
      </c>
      <c r="S27" s="71">
        <v>2586</v>
      </c>
      <c r="T27" s="71">
        <v>215</v>
      </c>
      <c r="U27" s="71">
        <v>5426</v>
      </c>
      <c r="V27" s="71">
        <v>267</v>
      </c>
      <c r="W27" s="71">
        <v>105</v>
      </c>
      <c r="X27" s="71">
        <v>8225</v>
      </c>
      <c r="Y27" s="71">
        <v>8235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0" t="s" ph="1">
        <v>178</v>
      </c>
      <c r="D28" s="91" ph="1">
        <f>D27*268.68*LOOKUP(D29,密度!$A$2:$A$50,密度!$Q$2:$Q$50)+IF(D27&lt;=0,0,1566*LOOKUP(D29,密度!$A$2:$A$50,密度!$Q$2:$Q$50))</f>
        <v>6068.8878006960003</v>
      </c>
      <c r="E28" s="91" ph="1">
        <f>E27*268.68*LOOKUP(E29,密度!$A$2:$A$50,密度!$C$2:$C$50)+IF(E27&lt;=0,0,1566*LOOKUP(E29,密度!$A$2:$A$50,密度!$C$2:$C$50))</f>
        <v>3354.3475383599998</v>
      </c>
      <c r="F28" s="91" ph="1">
        <f>F27*11.702*LOOKUP(F29,密度!$A$2:$A$50,密度!$Q$2:$Q$50)</f>
        <v>22075.873318600003</v>
      </c>
      <c r="G28" s="91" ph="1">
        <f>G27*18.322*LOOKUP(G29,密度!$A$2:$A$50,密度!$B$2:$B$50)</f>
        <v>50252.9659808</v>
      </c>
      <c r="H28" s="91" ph="1">
        <f>H27*18.322*LOOKUP(H29,密度!$A$2:$A$50,密度!$B$2:$B$50)</f>
        <v>32361.298459199999</v>
      </c>
      <c r="I28" s="91" ph="1">
        <f>I27*18.322*LOOKUP(I29,密度!$A$2:$A$50,密度!$Q$2:$Q$50)</f>
        <v>41569.126010020002</v>
      </c>
      <c r="J28" s="91" ph="1">
        <f>J27*18.322*LOOKUP(J29,密度!$A$2:$A$50,密度!$Q$2:$Q$50)</f>
        <v>8079.5681350399991</v>
      </c>
      <c r="K28" s="91" ph="1">
        <f>K27*18.322*LOOKUP(K29,密度!$A$2:$A$50,密度!$Q$2:$Q$50)</f>
        <v>42295.842672439998</v>
      </c>
      <c r="L28" s="91" ph="1">
        <f>L27*18.322*LOOKUP(L29,密度!$A$2:$A$50,密度!$Q$2:$Q$50)</f>
        <v>8149.2195844799999</v>
      </c>
      <c r="M28" s="91" ph="1">
        <f>M27*18.322*LOOKUP(M29,密度!$A$2:$A$50,密度!$Q$2:$Q$50)</f>
        <v>84626.511069600005</v>
      </c>
      <c r="N28" s="91" ph="1">
        <f>N27*18.322*LOOKUP(N29,密度!$A$2:$A$50,密度!$Q$2:$Q$50)</f>
        <v>23739.551746419998</v>
      </c>
      <c r="O28" s="91" ph="1">
        <f>O27*18.322*LOOKUP(O29,密度!$A$2:$A$50,密度!$C$2:$C$50)</f>
        <v>116869.36879199999</v>
      </c>
      <c r="P28" s="91" ph="1">
        <f>P27*11.702*LOOKUP(P29,密度!$A$2:$A$50,密度!$B$2:$B$50)</f>
        <v>3254.7685355999997</v>
      </c>
      <c r="Q28" s="92" ph="1">
        <f>Q27*18.322*LOOKUP(Q29,密度!$A$2:$A$50,密度!$B$2:$B$50)</f>
        <v>14808.9836928</v>
      </c>
      <c r="R28" s="91" ph="1">
        <f>R27*35.891*LOOKUP(R29,密度!$A$2:$A$50,密度!$C$2:$C$50)</f>
        <v>251254.19896720001</v>
      </c>
      <c r="S28" s="91" ph="1">
        <f>S27*35.891*LOOKUP(S29,密度!$A$2:$A$50,密度!$B$2:$B$50)</f>
        <v>72849.80749739999</v>
      </c>
      <c r="T28" s="91" ph="1">
        <f>T27*35.891*LOOKUP(T29,密度!$A$2:$A$50,密度!$Q$2:$Q$50)</f>
        <v>7340.2281249500002</v>
      </c>
      <c r="U28" s="91" ph="1">
        <f>U27*35.891</f>
        <v>194744.56599999999</v>
      </c>
      <c r="V28" s="91" ph="1">
        <f>V27*47.051*LOOKUP(V29,密度!$A$2:$A$50,密度!$B$2:$B$50)</f>
        <v>9889.2921024000007</v>
      </c>
      <c r="W28" s="91" ph="1">
        <f>W27*47.051*LOOKUP(W29,密度!$A$2:$A$50,密度!$B$2:$B$50)</f>
        <v>3877.6846395000007</v>
      </c>
      <c r="X28" s="91" ph="1">
        <f>X27*47.051*LOOKUP(X29,密度!$A$2:$A$61,密度!$I$2:$I$61)</f>
        <v>393844.27720750007</v>
      </c>
      <c r="Y28" s="91" ph="1">
        <f>Y27*47.051*LOOKUP(Y29,密度!$A$2:$A$50,密度!$L$2:$L$50)</f>
        <v>363054.69094500004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0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18</v>
      </c>
      <c r="I29" s="74">
        <v>21</v>
      </c>
      <c r="J29" s="74">
        <v>20</v>
      </c>
      <c r="K29" s="74">
        <v>20</v>
      </c>
      <c r="L29" s="74">
        <v>20</v>
      </c>
      <c r="M29" s="74">
        <v>20</v>
      </c>
      <c r="N29" s="74">
        <v>18</v>
      </c>
      <c r="O29" s="74">
        <v>19</v>
      </c>
      <c r="P29" s="74">
        <v>18</v>
      </c>
      <c r="Q29" s="93">
        <v>21</v>
      </c>
      <c r="R29" s="74">
        <v>20</v>
      </c>
      <c r="S29" s="74">
        <v>19</v>
      </c>
      <c r="T29" s="74">
        <v>19</v>
      </c>
      <c r="U29" s="74">
        <v>20</v>
      </c>
      <c r="V29" s="74">
        <v>16</v>
      </c>
      <c r="W29" s="74">
        <v>19</v>
      </c>
      <c r="X29" s="74">
        <v>47</v>
      </c>
      <c r="Y29" s="74">
        <v>25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253485.23162529999</v>
      </c>
      <c r="E33" s="187" ph="1">
        <f>M10+I10</f>
        <v>94200.9020513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3" ph="1">
        <f>N19</f>
        <v>36339.096858619996</v>
      </c>
      <c r="H33" s="187" ph="1">
        <f>M19</f>
        <v>38459.435226059999</v>
      </c>
      <c r="I33" s="191" ph="1">
        <v>0</v>
      </c>
      <c r="J33" s="195" ph="1">
        <f>F10+O28</f>
        <v>290778.13690049993</v>
      </c>
      <c r="K33" s="187" ph="1">
        <f>O10+K10+E28+R28</f>
        <v>382306.60146316001</v>
      </c>
      <c r="L33" s="197" ph="1">
        <f>K19</f>
        <v>36184.807787040001</v>
      </c>
      <c r="M33" s="195" ph="1">
        <f>G10+H10+W28+S28+V28+E10+R19+P28+Q28</f>
        <v>753425.62053106003</v>
      </c>
      <c r="N33" s="187" ph="1">
        <f>L10+P10++G28+H28+AD19+AE19</f>
        <v>359979.56941120006</v>
      </c>
      <c r="O33" s="191" ph="1">
        <f>G19</f>
        <v>26213.110980239999</v>
      </c>
      <c r="P33" s="195" ph="1">
        <f>L19</f>
        <v>39919.172659680007</v>
      </c>
      <c r="Q33" s="187" ph="1">
        <f>J10+N10</f>
        <v>64135.054368800003</v>
      </c>
      <c r="R33" s="191" ph="1">
        <f>BE23</f>
        <v>890</v>
      </c>
      <c r="S33" s="195" ph="1">
        <f>X28</f>
        <v>393844.27720750007</v>
      </c>
      <c r="T33" s="187" ph="1">
        <f>X19</f>
        <v>6738.1655582399999</v>
      </c>
      <c r="U33" s="176" ph="1">
        <f>BE21</f>
        <v>730</v>
      </c>
      <c r="V33" s="189" ph="1">
        <f ca="1">P19+Q19+S19+M28+N28+J28+D10+AC10+D19+E19+H19+J19+O19+V19+W19+K28+L28</f>
        <v>911613.23867216206</v>
      </c>
      <c r="W33" s="189" ph="1">
        <f>D28+F28+T28+I28</f>
        <v>77054.115254266013</v>
      </c>
      <c r="X33" s="191" ph="1">
        <f>BE29+BE31</f>
        <v>10200</v>
      </c>
      <c r="Y33" s="193" ph="1">
        <f>+Q10+R10+S10+T10+U10+V10+W10+X10+Y10</f>
        <v>272773.280241</v>
      </c>
      <c r="Z33" s="174" ph="1">
        <f>T19+U19+Y28+Z10</f>
        <v>497964.01700422005</v>
      </c>
      <c r="AA33" s="176" ph="1">
        <f>BE19</f>
        <v>1440</v>
      </c>
      <c r="AB33" s="178" ph="1">
        <f>I19</f>
        <v>48789.042424000007</v>
      </c>
      <c r="AC33" s="180" ph="1">
        <f>AD10+AB19</f>
        <v>153597.5688104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8" t="s" ph="1">
        <v>185</v>
      </c>
      <c r="AA36" s="148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729" priority="100">
      <formula>ABS(D$7-D$10)&gt;=1000</formula>
    </cfRule>
  </conditionalFormatting>
  <conditionalFormatting sqref="E4 E6:E11">
    <cfRule type="expression" dxfId="2728" priority="99">
      <formula>ABS(E$7-E$10)&gt;=1000</formula>
    </cfRule>
  </conditionalFormatting>
  <conditionalFormatting sqref="F4:F11">
    <cfRule type="expression" dxfId="2727" priority="98">
      <formula>ABS(F$7-F$10)&gt;=1000</formula>
    </cfRule>
  </conditionalFormatting>
  <conditionalFormatting sqref="G4:G11">
    <cfRule type="expression" dxfId="2726" priority="97">
      <formula>ABS(G$7-G$10)&gt;=1000</formula>
    </cfRule>
  </conditionalFormatting>
  <conditionalFormatting sqref="H4:H11">
    <cfRule type="expression" dxfId="2725" priority="96">
      <formula>ABS(H$7-H$10)&gt;=1000</formula>
    </cfRule>
  </conditionalFormatting>
  <conditionalFormatting sqref="I4:I11">
    <cfRule type="expression" dxfId="2724" priority="95">
      <formula>ABS(I$7-I$10)&gt;=1000</formula>
    </cfRule>
  </conditionalFormatting>
  <conditionalFormatting sqref="J4:J11">
    <cfRule type="expression" dxfId="2723" priority="94">
      <formula>ABS(J$7-J$10)&gt;=1000</formula>
    </cfRule>
  </conditionalFormatting>
  <conditionalFormatting sqref="K4:K11">
    <cfRule type="expression" dxfId="2722" priority="93">
      <formula>ABS(K$7-K$10)&gt;=1000</formula>
    </cfRule>
  </conditionalFormatting>
  <conditionalFormatting sqref="L4:L11">
    <cfRule type="expression" dxfId="2721" priority="92">
      <formula>ABS(L$7-L$10)&gt;=1000</formula>
    </cfRule>
  </conditionalFormatting>
  <conditionalFormatting sqref="M4 M6:M11">
    <cfRule type="expression" dxfId="2720" priority="91">
      <formula>ABS(M$7-M$10)&gt;=1000</formula>
    </cfRule>
  </conditionalFormatting>
  <conditionalFormatting sqref="N4 N6:N11">
    <cfRule type="expression" dxfId="2719" priority="90">
      <formula>ABS(N$7-N$10)&gt;=1000</formula>
    </cfRule>
  </conditionalFormatting>
  <conditionalFormatting sqref="O4 O6:O11">
    <cfRule type="expression" dxfId="2718" priority="89">
      <formula>ABS(O$7-O$10)&gt;=1000</formula>
    </cfRule>
  </conditionalFormatting>
  <conditionalFormatting sqref="P4 P6:P11">
    <cfRule type="expression" dxfId="2717" priority="88">
      <formula>ABS(P$7-P$10)&gt;=1000</formula>
    </cfRule>
  </conditionalFormatting>
  <conditionalFormatting sqref="Q4:Q11">
    <cfRule type="expression" dxfId="2716" priority="87">
      <formula>ABS(Q$7-Q$10)&gt;=1000</formula>
    </cfRule>
  </conditionalFormatting>
  <conditionalFormatting sqref="R4:R11">
    <cfRule type="expression" dxfId="2715" priority="86">
      <formula>ABS(R$7-R$10)&gt;=1000</formula>
    </cfRule>
  </conditionalFormatting>
  <conditionalFormatting sqref="S4:S11">
    <cfRule type="expression" dxfId="2714" priority="85">
      <formula>ABS(S$7-S$10)&gt;=1000</formula>
    </cfRule>
  </conditionalFormatting>
  <conditionalFormatting sqref="T4:T9 T11">
    <cfRule type="expression" dxfId="2713" priority="84">
      <formula>ABS(T$7-T$10)&gt;=1000</formula>
    </cfRule>
  </conditionalFormatting>
  <conditionalFormatting sqref="U4:U9 U11">
    <cfRule type="expression" dxfId="2712" priority="83">
      <formula>ABS(U$7-U$10)&gt;=1000</formula>
    </cfRule>
  </conditionalFormatting>
  <conditionalFormatting sqref="V4:V9 V11">
    <cfRule type="expression" dxfId="2711" priority="82">
      <formula>ABS(V$7-V$10)&gt;=1000</formula>
    </cfRule>
  </conditionalFormatting>
  <conditionalFormatting sqref="W4:W9 W11">
    <cfRule type="expression" dxfId="2710" priority="81">
      <formula>ABS(W$7-W$10)&gt;=1000</formula>
    </cfRule>
  </conditionalFormatting>
  <conditionalFormatting sqref="X4:X9 X11">
    <cfRule type="expression" dxfId="2709" priority="80">
      <formula>ABS(X$7-X$10)&gt;=1000</formula>
    </cfRule>
  </conditionalFormatting>
  <conditionalFormatting sqref="Y4:Y9 Y11">
    <cfRule type="expression" dxfId="2708" priority="79">
      <formula>ABS(Y$7-Y$10)&gt;=1000</formula>
    </cfRule>
  </conditionalFormatting>
  <conditionalFormatting sqref="Z4:Z11">
    <cfRule type="expression" dxfId="2707" priority="78">
      <formula>ABS(Z$7-Z$10)&gt;=1000</formula>
    </cfRule>
  </conditionalFormatting>
  <conditionalFormatting sqref="AA4:AA11">
    <cfRule type="expression" dxfId="2706" priority="77">
      <formula>ABS(AA$7-AA$10)&gt;=1000</formula>
    </cfRule>
  </conditionalFormatting>
  <conditionalFormatting sqref="AB4:AB11">
    <cfRule type="expression" dxfId="2705" priority="76">
      <formula>ABS(AB$7-AB$10)&gt;=1000</formula>
    </cfRule>
  </conditionalFormatting>
  <conditionalFormatting sqref="AC4 AC6:AC11">
    <cfRule type="expression" dxfId="2704" priority="75">
      <formula>ABS(AC$7-AC$10)&gt;=1000</formula>
    </cfRule>
  </conditionalFormatting>
  <conditionalFormatting sqref="AD4 AD6:AD11">
    <cfRule type="expression" dxfId="2703" priority="74">
      <formula>ABS(AD$7-AD$10)&gt;=1000</formula>
    </cfRule>
  </conditionalFormatting>
  <conditionalFormatting sqref="AE4 AE6:AE11">
    <cfRule type="expression" dxfId="2702" priority="73">
      <formula>ABS(AE$7-AE$10)&gt;=1000</formula>
    </cfRule>
  </conditionalFormatting>
  <conditionalFormatting sqref="D13:D20">
    <cfRule type="expression" dxfId="2701" priority="72">
      <formula>ABS(D$16-D$19)&gt;=1000</formula>
    </cfRule>
  </conditionalFormatting>
  <conditionalFormatting sqref="E13:E20">
    <cfRule type="expression" dxfId="2700" priority="71">
      <formula>ABS(E$16-E$19)&gt;=1000</formula>
    </cfRule>
  </conditionalFormatting>
  <conditionalFormatting sqref="F13 F15:F20">
    <cfRule type="expression" dxfId="2699" priority="70">
      <formula>ABS(F$16-F$19)&gt;=1000</formula>
    </cfRule>
  </conditionalFormatting>
  <conditionalFormatting sqref="G13:G20">
    <cfRule type="expression" dxfId="2698" priority="69">
      <formula>ABS(G$16-G$19)&gt;=1000</formula>
    </cfRule>
  </conditionalFormatting>
  <conditionalFormatting sqref="H13 H15:H20">
    <cfRule type="expression" dxfId="2697" priority="68">
      <formula>ABS(H$16-H$19)&gt;=1000</formula>
    </cfRule>
  </conditionalFormatting>
  <conditionalFormatting sqref="I13:I20">
    <cfRule type="expression" dxfId="2696" priority="67">
      <formula>ABS(I$16-I$19)&gt;=1000</formula>
    </cfRule>
  </conditionalFormatting>
  <conditionalFormatting sqref="J13:J20">
    <cfRule type="expression" dxfId="2695" priority="66">
      <formula>ABS(J$16-J$19)&gt;=1000</formula>
    </cfRule>
  </conditionalFormatting>
  <conditionalFormatting sqref="L13:L20">
    <cfRule type="expression" dxfId="2694" priority="65">
      <formula>ABS(L$16-L$19)&gt;=1000</formula>
    </cfRule>
  </conditionalFormatting>
  <conditionalFormatting sqref="M13 M15 M17:M18 M20">
    <cfRule type="expression" dxfId="2693" priority="64">
      <formula>ABS(M$16-M$19)&gt;=1000</formula>
    </cfRule>
  </conditionalFormatting>
  <conditionalFormatting sqref="N13:N20">
    <cfRule type="expression" dxfId="2692" priority="63">
      <formula>ABS(N$16-N$19)&gt;=1000</formula>
    </cfRule>
  </conditionalFormatting>
  <conditionalFormatting sqref="O13:O20">
    <cfRule type="expression" dxfId="2691" priority="62">
      <formula>ABS(O$16-O$19)&gt;=1000</formula>
    </cfRule>
  </conditionalFormatting>
  <conditionalFormatting sqref="P13:P20">
    <cfRule type="expression" dxfId="2690" priority="61">
      <formula>ABS(P$16-P$19)&gt;=1000</formula>
    </cfRule>
  </conditionalFormatting>
  <conditionalFormatting sqref="Q13 Q15:Q20">
    <cfRule type="expression" dxfId="2689" priority="60">
      <formula>ABS(Q$16-Q$19)&gt;=1000</formula>
    </cfRule>
  </conditionalFormatting>
  <conditionalFormatting sqref="R13:R20">
    <cfRule type="expression" dxfId="2688" priority="59">
      <formula>ABS(R$16-R$19)&gt;=1000</formula>
    </cfRule>
  </conditionalFormatting>
  <conditionalFormatting sqref="S13:S20">
    <cfRule type="expression" dxfId="2687" priority="58">
      <formula>ABS(S$16-S$19)&gt;=1000</formula>
    </cfRule>
  </conditionalFormatting>
  <conditionalFormatting sqref="T13:T20">
    <cfRule type="expression" dxfId="2686" priority="57">
      <formula>ABS(T$16-T$19)&gt;=1000</formula>
    </cfRule>
  </conditionalFormatting>
  <conditionalFormatting sqref="U13:U20">
    <cfRule type="expression" dxfId="2685" priority="56">
      <formula>ABS(U$16-U$19)&gt;=1000</formula>
    </cfRule>
  </conditionalFormatting>
  <conditionalFormatting sqref="V13:V20">
    <cfRule type="expression" dxfId="2684" priority="55">
      <formula>ABS(V$16-V$19)&gt;=1000</formula>
    </cfRule>
  </conditionalFormatting>
  <conditionalFormatting sqref="W13 W20 W15:W18">
    <cfRule type="expression" dxfId="2683" priority="54">
      <formula>ABS(W$16-W$19)&gt;=1000</formula>
    </cfRule>
  </conditionalFormatting>
  <conditionalFormatting sqref="X13 X15:X20 Y19">
    <cfRule type="expression" dxfId="2682" priority="53">
      <formula>ABS(X$16-X$19)&gt;=1000</formula>
    </cfRule>
  </conditionalFormatting>
  <conditionalFormatting sqref="Y13 Y15:Y18 Y20">
    <cfRule type="expression" dxfId="2681" priority="52">
      <formula>ABS(Y$16-Y$19)&gt;=1000</formula>
    </cfRule>
  </conditionalFormatting>
  <conditionalFormatting sqref="Z13:Z20">
    <cfRule type="expression" dxfId="2680" priority="51">
      <formula>ABS(Z$16-Z$19)&gt;=1000</formula>
    </cfRule>
  </conditionalFormatting>
  <conditionalFormatting sqref="AA13:AA20">
    <cfRule type="expression" dxfId="2679" priority="50">
      <formula>ABS(AA$16-AA$19)&gt;=1000</formula>
    </cfRule>
  </conditionalFormatting>
  <conditionalFormatting sqref="AB13 AB15:AB20">
    <cfRule type="expression" dxfId="2678" priority="49">
      <formula>ABS(AB$16-AB$19)&gt;=1000</formula>
    </cfRule>
  </conditionalFormatting>
  <conditionalFormatting sqref="AC13 AC15:AC20">
    <cfRule type="expression" dxfId="2677" priority="48">
      <formula>ABS(AC$16-AC$19)&gt;=1000</formula>
    </cfRule>
  </conditionalFormatting>
  <conditionalFormatting sqref="AD13:AD20">
    <cfRule type="expression" dxfId="2676" priority="47">
      <formula>ABS(AD$16-AD$19)&gt;=1000</formula>
    </cfRule>
  </conditionalFormatting>
  <conditionalFormatting sqref="AE13:AE20">
    <cfRule type="expression" dxfId="2675" priority="46">
      <formula>ABS(AE$16-AE$19)&gt;=1000</formula>
    </cfRule>
  </conditionalFormatting>
  <conditionalFormatting sqref="D22:D29">
    <cfRule type="expression" dxfId="2674" priority="45">
      <formula>ABS(D$25-D$28)&gt;=1000</formula>
    </cfRule>
  </conditionalFormatting>
  <conditionalFormatting sqref="E22:E29">
    <cfRule type="expression" dxfId="2673" priority="44">
      <formula>ABS(E$25-E$28)&gt;=1000</formula>
    </cfRule>
  </conditionalFormatting>
  <conditionalFormatting sqref="F22:F29">
    <cfRule type="expression" dxfId="2672" priority="43">
      <formula>ABS(F$25-F$28)&gt;=1000</formula>
    </cfRule>
  </conditionalFormatting>
  <conditionalFormatting sqref="G22:G29">
    <cfRule type="expression" dxfId="2671" priority="42">
      <formula>ABS(G$25-G$28)&gt;=1000</formula>
    </cfRule>
  </conditionalFormatting>
  <conditionalFormatting sqref="H22:H29">
    <cfRule type="expression" dxfId="2670" priority="41">
      <formula>ABS(H$25-H$28)&gt;=1000</formula>
    </cfRule>
  </conditionalFormatting>
  <conditionalFormatting sqref="I22 I24:I29">
    <cfRule type="expression" dxfId="2669" priority="40">
      <formula>ABS(I$25-I$28)&gt;=1000</formula>
    </cfRule>
  </conditionalFormatting>
  <conditionalFormatting sqref="J22:J29 K22">
    <cfRule type="expression" dxfId="2668" priority="39">
      <formula>ABS(J$25-J$28)&gt;=1000</formula>
    </cfRule>
  </conditionalFormatting>
  <conditionalFormatting sqref="K23:K29 L25 L28">
    <cfRule type="expression" dxfId="2667" priority="38">
      <formula>ABS(K$25-K$28)&gt;=1000</formula>
    </cfRule>
  </conditionalFormatting>
  <conditionalFormatting sqref="L22 L26:L27 L29 L24">
    <cfRule type="expression" dxfId="2666" priority="37">
      <formula>ABS(L$25-L$28)&gt;=1000</formula>
    </cfRule>
  </conditionalFormatting>
  <conditionalFormatting sqref="M22:M29">
    <cfRule type="expression" dxfId="2665" priority="36">
      <formula>ABS(M$25-M$28)&gt;=1000</formula>
    </cfRule>
  </conditionalFormatting>
  <conditionalFormatting sqref="N22:N29">
    <cfRule type="expression" dxfId="2664" priority="35">
      <formula>ABS(N$25-N$28)&gt;=1000</formula>
    </cfRule>
  </conditionalFormatting>
  <conditionalFormatting sqref="O22:O29">
    <cfRule type="expression" dxfId="2663" priority="34">
      <formula>ABS(O$25-O$28)&gt;=1000</formula>
    </cfRule>
  </conditionalFormatting>
  <conditionalFormatting sqref="P22:P29">
    <cfRule type="expression" dxfId="2662" priority="33">
      <formula>ABS(P$25-P$28)&gt;=1000</formula>
    </cfRule>
  </conditionalFormatting>
  <conditionalFormatting sqref="Q22:Q29">
    <cfRule type="expression" dxfId="2661" priority="32">
      <formula>ABS(Q$25-Q$28)&gt;=1000</formula>
    </cfRule>
  </conditionalFormatting>
  <conditionalFormatting sqref="R22:R29">
    <cfRule type="expression" dxfId="2660" priority="31">
      <formula>ABS(R$25-R$28)&gt;=1000</formula>
    </cfRule>
  </conditionalFormatting>
  <conditionalFormatting sqref="S22:S29">
    <cfRule type="expression" dxfId="2659" priority="30">
      <formula>ABS(S$25-S$28)&gt;=1000</formula>
    </cfRule>
  </conditionalFormatting>
  <conditionalFormatting sqref="T22:T29">
    <cfRule type="expression" dxfId="2658" priority="29">
      <formula>ABS(T$25-T$28)&gt;=1000</formula>
    </cfRule>
  </conditionalFormatting>
  <conditionalFormatting sqref="U22:U29">
    <cfRule type="expression" dxfId="2657" priority="28">
      <formula>ABS(U$25-U$28)&gt;=1000</formula>
    </cfRule>
  </conditionalFormatting>
  <conditionalFormatting sqref="V22:V29">
    <cfRule type="expression" dxfId="2656" priority="27">
      <formula>ABS(V$25-V$28)&gt;=1000</formula>
    </cfRule>
  </conditionalFormatting>
  <conditionalFormatting sqref="W22:W29">
    <cfRule type="expression" dxfId="2655" priority="26">
      <formula>ABS(W$25-W$28)&gt;=1000</formula>
    </cfRule>
  </conditionalFormatting>
  <conditionalFormatting sqref="X22:X29">
    <cfRule type="expression" dxfId="2654" priority="25">
      <formula>ABS(X$25-X$28)&gt;=1000</formula>
    </cfRule>
  </conditionalFormatting>
  <conditionalFormatting sqref="Y22:Y29">
    <cfRule type="expression" dxfId="2653" priority="24">
      <formula>ABS(Y$25-Y$28)&gt;=1000</formula>
    </cfRule>
  </conditionalFormatting>
  <conditionalFormatting sqref="I23">
    <cfRule type="expression" dxfId="2652" priority="23">
      <formula>ABS(I$25-I$28)&gt;=1000</formula>
    </cfRule>
  </conditionalFormatting>
  <conditionalFormatting sqref="Q14">
    <cfRule type="expression" dxfId="2651" priority="22">
      <formula>ABS(Q$16-Q$19)&gt;=1000</formula>
    </cfRule>
  </conditionalFormatting>
  <conditionalFormatting sqref="W14">
    <cfRule type="expression" dxfId="2650" priority="21">
      <formula>ABS(W$16-W$19)&gt;=1000</formula>
    </cfRule>
  </conditionalFormatting>
  <conditionalFormatting sqref="X14">
    <cfRule type="expression" dxfId="2649" priority="20">
      <formula>ABS(X$16-X$19)&gt;=1000</formula>
    </cfRule>
  </conditionalFormatting>
  <conditionalFormatting sqref="T10:Y10">
    <cfRule type="expression" dxfId="2648" priority="19">
      <formula>ABS(T$7-T$10)&gt;=1000</formula>
    </cfRule>
  </conditionalFormatting>
  <conditionalFormatting sqref="W19">
    <cfRule type="expression" dxfId="2647" priority="18">
      <formula>ABS(W$16-W$19)&gt;=1000</formula>
    </cfRule>
  </conditionalFormatting>
  <conditionalFormatting sqref="AC5">
    <cfRule type="expression" dxfId="2646" priority="17">
      <formula>ABS(AC$7-AC$10)&gt;=1000</formula>
    </cfRule>
  </conditionalFormatting>
  <conditionalFormatting sqref="M14">
    <cfRule type="expression" dxfId="2645" priority="16">
      <formula>ABS(M$16-M$19)&gt;=1000</formula>
    </cfRule>
  </conditionalFormatting>
  <conditionalFormatting sqref="M16">
    <cfRule type="expression" dxfId="2644" priority="15">
      <formula>ABS(M$16-M$19)&gt;=1000</formula>
    </cfRule>
  </conditionalFormatting>
  <conditionalFormatting sqref="M19">
    <cfRule type="expression" dxfId="2643" priority="14">
      <formula>ABS(M$16-M$19)&gt;=1000</formula>
    </cfRule>
  </conditionalFormatting>
  <conditionalFormatting sqref="K13:K20">
    <cfRule type="expression" dxfId="2642" priority="13">
      <formula>ABS(K$16-K$19)&gt;=1000</formula>
    </cfRule>
  </conditionalFormatting>
  <conditionalFormatting sqref="E5">
    <cfRule type="expression" dxfId="2641" priority="12">
      <formula>ABS(E$7-E$10)&gt;=1000</formula>
    </cfRule>
  </conditionalFormatting>
  <conditionalFormatting sqref="AB14:AC14">
    <cfRule type="expression" dxfId="2640" priority="11">
      <formula>ABS(AB$16-AB$19)&gt;=1000</formula>
    </cfRule>
  </conditionalFormatting>
  <conditionalFormatting sqref="M5">
    <cfRule type="expression" dxfId="2639" priority="10">
      <formula>ABS(M$7-M$10)&gt;=1000</formula>
    </cfRule>
  </conditionalFormatting>
  <conditionalFormatting sqref="N5">
    <cfRule type="expression" dxfId="2638" priority="9">
      <formula>ABS(N$7-N$10)&gt;=1000</formula>
    </cfRule>
  </conditionalFormatting>
  <conditionalFormatting sqref="O5">
    <cfRule type="expression" dxfId="2637" priority="8">
      <formula>ABS(O$7-O$10)&gt;=1000</formula>
    </cfRule>
  </conditionalFormatting>
  <conditionalFormatting sqref="P5">
    <cfRule type="expression" dxfId="2636" priority="7">
      <formula>ABS(P$7-P$10)&gt;=1000</formula>
    </cfRule>
  </conditionalFormatting>
  <conditionalFormatting sqref="L23">
    <cfRule type="expression" dxfId="2635" priority="6">
      <formula>ABS(L$25-L$28)&gt;=1000</formula>
    </cfRule>
  </conditionalFormatting>
  <conditionalFormatting sqref="Y14">
    <cfRule type="expression" dxfId="2634" priority="5">
      <formula>ABS(Y$16-Y$19)&gt;=1000</formula>
    </cfRule>
  </conditionalFormatting>
  <conditionalFormatting sqref="F14">
    <cfRule type="expression" dxfId="2633" priority="4">
      <formula>ABS(F$16-F$19)&gt;=1000</formula>
    </cfRule>
  </conditionalFormatting>
  <conditionalFormatting sqref="H14">
    <cfRule type="expression" dxfId="2632" priority="3">
      <formula>ABS(H$16-H$19)&gt;=1000</formula>
    </cfRule>
  </conditionalFormatting>
  <conditionalFormatting sqref="AD5">
    <cfRule type="expression" dxfId="2631" priority="2">
      <formula>ABS(AD$7-AD$10)&gt;=1000</formula>
    </cfRule>
  </conditionalFormatting>
  <conditionalFormatting sqref="AE5">
    <cfRule type="expression" dxfId="2630" priority="1">
      <formula>ABS(AE$7-AE$10)&gt;=1000</formula>
    </cfRule>
  </conditionalFormatting>
  <dataValidations disablePrompts="1"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01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7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0" t="s" ph="1">
        <v>177</v>
      </c>
      <c r="D6" s="71">
        <v>5973</v>
      </c>
      <c r="E6" s="71">
        <v>4028</v>
      </c>
      <c r="F6" s="71">
        <v>4703</v>
      </c>
      <c r="G6" s="71">
        <v>4506</v>
      </c>
      <c r="H6" s="71">
        <v>5630</v>
      </c>
      <c r="I6" s="71">
        <v>21.98</v>
      </c>
      <c r="J6" s="71">
        <v>6.61</v>
      </c>
      <c r="K6" s="71">
        <v>62.26</v>
      </c>
      <c r="L6" s="71">
        <v>8.32</v>
      </c>
      <c r="M6" s="71">
        <v>2624</v>
      </c>
      <c r="N6" s="71">
        <v>2391</v>
      </c>
      <c r="O6" s="71">
        <v>4736</v>
      </c>
      <c r="P6" s="71">
        <v>5909</v>
      </c>
      <c r="Q6" s="71">
        <v>7006</v>
      </c>
      <c r="R6" s="71">
        <v>7101</v>
      </c>
      <c r="S6" s="71">
        <v>7155</v>
      </c>
      <c r="T6" s="71">
        <v>5480</v>
      </c>
      <c r="U6" s="71">
        <v>0</v>
      </c>
      <c r="V6" s="71">
        <v>0</v>
      </c>
      <c r="W6" s="71">
        <v>0</v>
      </c>
      <c r="X6" s="71">
        <v>302</v>
      </c>
      <c r="Y6" s="71">
        <v>6696</v>
      </c>
      <c r="Z6" s="71">
        <v>2134</v>
      </c>
      <c r="AA6" s="71">
        <v>4234</v>
      </c>
      <c r="AB6" s="71">
        <v>5093</v>
      </c>
      <c r="AC6" s="71">
        <v>7015</v>
      </c>
      <c r="AD6" s="71">
        <v>4780</v>
      </c>
      <c r="AE6" s="71">
        <v>3718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188535.74458257001</v>
      </c>
      <c r="E7" s="73" ph="1">
        <f>E6*51.53*LOOKUP(E8,密度!$A$2:$A$50,密度!$B$2:$B$50)</f>
        <v>163227.417376</v>
      </c>
      <c r="F7" s="73" ph="1">
        <f>F6*33.183*LOOKUP(F8,密度!$A$2:$A$50,密度!$C$2:$C$50)</f>
        <v>173928.4788105</v>
      </c>
      <c r="G7" s="73" ph="1">
        <f xml:space="preserve"> (G6+2)*51.53*LOOKUP(G8,密度!$A$2:$A$50,密度!$B$2:$B$50)</f>
        <v>182330.103676</v>
      </c>
      <c r="H7" s="73" ph="1">
        <f>(H6)*51.53*LOOKUP(H8,密度!$A$2:$A$50,密度!$B$2:$B$50)</f>
        <v>228870.85571000003</v>
      </c>
      <c r="I7" s="73" ph="1">
        <f>I6*290.8*1.0267</f>
        <v>6562.4446328000004</v>
      </c>
      <c r="J7" s="73" ph="1">
        <f>J6*290.8*0.7892</f>
        <v>1516.9907696</v>
      </c>
      <c r="K7" s="73" ph="1">
        <f>K6*290.8*1.1126</f>
        <v>20143.854420799998</v>
      </c>
      <c r="L7" s="73" ph="1">
        <f>L6*290.8*0.777</f>
        <v>1879.9173120000003</v>
      </c>
      <c r="M7" s="73" ph="1">
        <f>M6*33.183*LOOKUP(M8,密度!$A$2:$A$50,密度!$D$2:$D$50)</f>
        <v>89954.281555199981</v>
      </c>
      <c r="N7" s="73" ph="1">
        <f>N6*33.183*LOOKUP(N8,密度!$A$2:$A$50,密度!$E$2:$E$50)</f>
        <v>62520.355764</v>
      </c>
      <c r="O7" s="73" ph="1">
        <f>O6*20.428*LOOKUP(O8,密度!$A$2:$A$50,密度!$C$2:$C$50)</f>
        <v>107495.60058879999</v>
      </c>
      <c r="P7" s="73" ph="1">
        <f>P6*51.53*LOOKUP(P8,密度!$A$2:$A$50,密度!$B$2:$B$50)</f>
        <v>239695.13414400001</v>
      </c>
      <c r="Q7" s="73" ph="1">
        <f>Q6*1.5*1.5*3.1416*LOOKUP(W8,密度!$A$2:$A$50,密度!$L$2:$L$50)</f>
        <v>46798.867961999997</v>
      </c>
      <c r="R7" s="73" ph="1">
        <f>R6*1.5*1.5*3.1416*LOOKUP(R8,密度!$A$2:$A$50,密度!$L$2:$L$50)</f>
        <v>47082.092626799997</v>
      </c>
      <c r="S7" s="73" ph="1">
        <f>S6*1.5*1.5*3.1416*LOOKUP(S8,密度!$A$2:$A$50,密度!$L$2:$L$50)</f>
        <v>47895.313850999999</v>
      </c>
      <c r="T7" s="73" ph="1">
        <f>T6*1.5*1.5*3.1416*LOOKUP(T8,密度!$A$2:$A$50,密度!$L$2:$L$50)</f>
        <v>36760.395671999999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2036.5202087999999</v>
      </c>
      <c r="Y7" s="73" ph="1">
        <f>Y6*1.5*1.5*3.1416*LOOKUP(Y8,密度!$A$2:$A$50,密度!$L$2:$L$50)</f>
        <v>44680.7902464</v>
      </c>
      <c r="Z7" s="73" ph="1">
        <f>Z6*33.183*LOOKUP(Z8,密度!$A$2:$A$50,密度!$L$2:$L$50)</f>
        <v>67201.083377999996</v>
      </c>
      <c r="AA7" s="73" ph="1">
        <f>AA6*33.183*LOOKUP(AA8,密度!$A$2:$A$50,密度!$D$2:$D$50)</f>
        <v>145386.11140559998</v>
      </c>
      <c r="AB7" s="73" ph="1">
        <f>AB6*20.428*LOOKUP(AB8,密度!$A$2:$A$50,密度!$D$2:$D$50)</f>
        <v>108201.39616</v>
      </c>
      <c r="AC7" s="73" ph="1">
        <f>AC6*51.53*LOOKUP(AC8,密度!$A$2:$A$50,密度!$Q$2:$Q$50)</f>
        <v>345049.93509300001</v>
      </c>
      <c r="AD7" s="73" ph="1">
        <f>AD6*20.428*LOOKUP(AD8,密度!$A$2:$A$50,密度!$V$2:$V$50)</f>
        <v>94130.589760000003</v>
      </c>
      <c r="AE7" s="73" ph="1">
        <f>AE6*20.428</f>
        <v>75951.304000000004</v>
      </c>
    </row>
    <row r="8" spans="1:99" ph="1">
      <c r="B8" s="238" ph="1"/>
      <c r="C8" s="68" t="s" ph="1">
        <v>179</v>
      </c>
      <c r="D8" s="74">
        <v>19</v>
      </c>
      <c r="E8" s="74">
        <v>17</v>
      </c>
      <c r="F8" s="74">
        <v>17</v>
      </c>
      <c r="G8" s="74">
        <v>19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21</v>
      </c>
      <c r="O8" s="74">
        <v>22</v>
      </c>
      <c r="P8" s="74">
        <v>16</v>
      </c>
      <c r="Q8" s="74">
        <v>20</v>
      </c>
      <c r="R8" s="74">
        <v>24</v>
      </c>
      <c r="S8" s="74">
        <v>15</v>
      </c>
      <c r="T8" s="74">
        <v>13</v>
      </c>
      <c r="U8" s="74">
        <v>17</v>
      </c>
      <c r="V8" s="74">
        <v>23</v>
      </c>
      <c r="W8" s="74">
        <v>17</v>
      </c>
      <c r="X8" s="74">
        <v>8</v>
      </c>
      <c r="Y8" s="74">
        <v>18</v>
      </c>
      <c r="Z8" s="74">
        <v>13</v>
      </c>
      <c r="AA8" s="74">
        <v>16</v>
      </c>
      <c r="AB8" s="74">
        <v>10</v>
      </c>
      <c r="AC8" s="74">
        <v>15</v>
      </c>
      <c r="AD8" s="74">
        <v>16</v>
      </c>
      <c r="AE8" s="74">
        <v>20</v>
      </c>
    </row>
    <row r="9" spans="1:99" ht="26.4" ph="1">
      <c r="B9" s="238" ph="1">
        <v>0.66666666666666663</v>
      </c>
      <c r="C9" s="150" t="s" ph="1">
        <v>180</v>
      </c>
      <c r="D9" s="71">
        <v>5973</v>
      </c>
      <c r="E9" s="71">
        <v>4025</v>
      </c>
      <c r="F9" s="71">
        <v>4702</v>
      </c>
      <c r="G9" s="71">
        <v>4212</v>
      </c>
      <c r="H9" s="71">
        <v>5628</v>
      </c>
      <c r="I9" s="71">
        <v>30.21</v>
      </c>
      <c r="J9" s="71">
        <v>6.59</v>
      </c>
      <c r="K9" s="71">
        <v>62.48</v>
      </c>
      <c r="L9" s="71">
        <v>8.3000000000000007</v>
      </c>
      <c r="M9" s="71">
        <v>2591</v>
      </c>
      <c r="N9" s="71">
        <v>2161</v>
      </c>
      <c r="O9" s="71">
        <v>4735</v>
      </c>
      <c r="P9" s="71">
        <v>5482</v>
      </c>
      <c r="Q9" s="71">
        <v>7007</v>
      </c>
      <c r="R9" s="71">
        <v>7102</v>
      </c>
      <c r="S9" s="71">
        <v>7157</v>
      </c>
      <c r="T9" s="71">
        <v>7158</v>
      </c>
      <c r="U9" s="71">
        <v>2729</v>
      </c>
      <c r="V9" s="71">
        <v>0</v>
      </c>
      <c r="W9" s="71">
        <v>0</v>
      </c>
      <c r="X9" s="71">
        <v>0</v>
      </c>
      <c r="Y9" s="71">
        <v>1926</v>
      </c>
      <c r="Z9" s="71">
        <v>1310</v>
      </c>
      <c r="AA9" s="71">
        <v>4230</v>
      </c>
      <c r="AB9" s="71">
        <v>5092</v>
      </c>
      <c r="AC9" s="71">
        <v>7065</v>
      </c>
      <c r="AD9" s="71">
        <v>4780</v>
      </c>
      <c r="AE9" s="71">
        <v>3718</v>
      </c>
    </row>
    <row r="10" spans="1:99" s="72" customFormat="1" ht="22.2" ph="1">
      <c r="B10" s="238" ph="1"/>
      <c r="C10" s="150" t="s" ph="1">
        <v>178</v>
      </c>
      <c r="D10" s="73" ph="1">
        <f>D9*33.183*LOOKUP(D11,密度!$A$2:$A$50,密度!$Q$2:$Q$50)</f>
        <v>188367.27283242001</v>
      </c>
      <c r="E10" s="73" ph="1">
        <f>E9*51.53*LOOKUP(E11,密度!$A$2:$A$50,密度!$B$2:$B$50)</f>
        <v>162794.73542500002</v>
      </c>
      <c r="F10" s="73" ph="1">
        <f>F9*33.183*LOOKUP(F11,密度!$A$2:$A$50,密度!$C$2:$C$50)</f>
        <v>173797.88047739997</v>
      </c>
      <c r="G10" s="73" ph="1">
        <f xml:space="preserve"> (G9+2)*51.53*LOOKUP(G11,密度!$A$2:$A$50,密度!$B$2:$B$50)</f>
        <v>170069.85934400003</v>
      </c>
      <c r="H10" s="73" ph="1">
        <f>(H9)*51.53*LOOKUP(H11,密度!$A$2:$A$50,密度!$B$2:$B$50)</f>
        <v>228064.52457600003</v>
      </c>
      <c r="I10" s="73" ph="1">
        <f>I9*290.8*1.0267</f>
        <v>9019.6293156000011</v>
      </c>
      <c r="J10" s="73" ph="1">
        <f>J9*290.8*0.7892</f>
        <v>1512.4007824</v>
      </c>
      <c r="K10" s="73" ph="1">
        <f>K9*290.8*1.1126</f>
        <v>20215.034118400003</v>
      </c>
      <c r="L10" s="73" ph="1">
        <f>L9*290.8*0.777</f>
        <v>1875.3982800000003</v>
      </c>
      <c r="M10" s="73" ph="1">
        <f>M9*33.183*LOOKUP(M11,密度!$A$2:$A$50,密度!$D$2:$D$50)</f>
        <v>88599.456166500007</v>
      </c>
      <c r="N10" s="73" ph="1">
        <f>N9*33.183*LOOKUP(N11,密度!$A$2:$A$50,密度!$E$2:$E$50)</f>
        <v>56506.268844000006</v>
      </c>
      <c r="O10" s="73" ph="1">
        <f>O9*20.428*LOOKUP(O11,密度!$A$2:$A$50,密度!$C$2:$C$50)</f>
        <v>107327.81316799999</v>
      </c>
      <c r="P10" s="73" ph="1">
        <f>P9*51.53*LOOKUP(P11,密度!$A$2:$A$50,密度!$B$2:$B$50)</f>
        <v>221498.41738600002</v>
      </c>
      <c r="Q10" s="73" ph="1">
        <f>Q9*1.5*1.5*3.1416*LOOKUP(W11,密度!$A$2:$A$50,密度!$L$2:$L$50)</f>
        <v>46557.899387999998</v>
      </c>
      <c r="R10" s="73" ph="1">
        <f>R9*1.5*1.5*3.1416*LOOKUP(R11,密度!$A$2:$A$50,密度!$L$2:$L$50)</f>
        <v>47038.521776400004</v>
      </c>
      <c r="S10" s="73" ph="1">
        <f>S9*1.5*1.5*3.1416*LOOKUP(S11,密度!$A$2:$A$50,密度!$L$2:$L$50)</f>
        <v>47858.111809199996</v>
      </c>
      <c r="T10" s="73" ph="1">
        <f>T9*1.5*1.5*3.1416*LOOKUP(T11,密度!$A$2:$A$50,密度!$L$2:$L$50)</f>
        <v>47965.992782399997</v>
      </c>
      <c r="U10" s="73" ph="1">
        <f>U9*1.5*1.5*3.1416*LOOKUP(U11,密度!$A$2:$A$50,密度!$L$2:$L$50)</f>
        <v>18190.6674642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12824.504431199999</v>
      </c>
      <c r="Z10" s="73" ph="1">
        <f>Z9*33.183*LOOKUP(Z11,密度!$A$2:$A$50,密度!$L$2:$L$50)</f>
        <v>41035.42512</v>
      </c>
      <c r="AA10" s="73" ph="1">
        <f>AA9*33.183*LOOKUP(AA11,密度!$A$2:$A$50,密度!$D$2:$D$50)</f>
        <v>144883.81369799998</v>
      </c>
      <c r="AB10" s="73" ph="1">
        <f>AB9*20.428*LOOKUP(AB11,密度!$A$2:$A$50,密度!$D$2:$D$50)</f>
        <v>108086.53360159999</v>
      </c>
      <c r="AC10" s="73" ph="1">
        <f>AC9*51.53*LOOKUP(AC11,密度!$A$2:$A$50,密度!$Q$2:$Q$50)</f>
        <v>346304.27062349999</v>
      </c>
      <c r="AD10" s="73" ph="1">
        <f>AD9*20.428*LOOKUP(AD11,密度!$A$2:$A$50,密度!$V$2:$V$50)</f>
        <v>94130.589760000003</v>
      </c>
      <c r="AE10" s="73" ph="1">
        <f>AE9*20.428</f>
        <v>75951.304000000004</v>
      </c>
    </row>
    <row r="11" spans="1:99" ph="1">
      <c r="A11" s="64" t="s" ph="1">
        <v>162</v>
      </c>
      <c r="B11" s="238" ph="1"/>
      <c r="C11" s="150" t="s" ph="1">
        <v>179</v>
      </c>
      <c r="D11" s="74">
        <v>20</v>
      </c>
      <c r="E11" s="74">
        <v>19</v>
      </c>
      <c r="F11" s="74">
        <v>18</v>
      </c>
      <c r="G11" s="74">
        <v>21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21</v>
      </c>
      <c r="O11" s="74">
        <v>24</v>
      </c>
      <c r="P11" s="74">
        <v>20</v>
      </c>
      <c r="Q11" s="74">
        <v>21</v>
      </c>
      <c r="R11" s="74">
        <v>25</v>
      </c>
      <c r="S11" s="74">
        <v>16</v>
      </c>
      <c r="T11" s="74">
        <v>14</v>
      </c>
      <c r="U11" s="74">
        <v>19</v>
      </c>
      <c r="V11" s="74">
        <v>27</v>
      </c>
      <c r="W11" s="74">
        <v>22</v>
      </c>
      <c r="X11" s="74">
        <v>12</v>
      </c>
      <c r="Y11" s="74">
        <v>20</v>
      </c>
      <c r="Z11" s="74">
        <v>18</v>
      </c>
      <c r="AA11" s="74">
        <v>19</v>
      </c>
      <c r="AB11" s="74">
        <v>11</v>
      </c>
      <c r="AC11" s="74">
        <v>19</v>
      </c>
      <c r="AD11" s="74">
        <v>19</v>
      </c>
      <c r="AE11" s="74">
        <v>22</v>
      </c>
    </row>
    <row r="12" spans="1:99" ht="9.9" customHeight="1" ph="1"/>
    <row r="13" spans="1:99" s="72" customFormat="1" ht="29.25" customHeight="1" ph="1">
      <c r="B13" s="215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0" t="s" ph="1">
        <v>177</v>
      </c>
      <c r="D15" s="78">
        <v>1514</v>
      </c>
      <c r="E15" s="78">
        <v>1614</v>
      </c>
      <c r="F15" s="78">
        <v>2100</v>
      </c>
      <c r="G15" s="78">
        <v>3800</v>
      </c>
      <c r="H15" s="78">
        <v>0</v>
      </c>
      <c r="I15" s="78">
        <v>5223</v>
      </c>
      <c r="J15" s="78">
        <v>0</v>
      </c>
      <c r="K15" s="78">
        <v>3580</v>
      </c>
      <c r="L15" s="78">
        <v>5557</v>
      </c>
      <c r="M15" s="78">
        <v>6696</v>
      </c>
      <c r="N15" s="78">
        <v>2800</v>
      </c>
      <c r="O15" s="78">
        <v>4437</v>
      </c>
      <c r="P15" s="78">
        <v>3430</v>
      </c>
      <c r="Q15" s="78">
        <v>6926</v>
      </c>
      <c r="R15" s="78">
        <v>7370</v>
      </c>
      <c r="S15" s="78">
        <v>997</v>
      </c>
      <c r="T15" s="78">
        <v>1690</v>
      </c>
      <c r="U15" s="78">
        <v>6228</v>
      </c>
      <c r="V15" s="78">
        <v>4970</v>
      </c>
      <c r="W15" s="71">
        <v>-171</v>
      </c>
      <c r="X15" s="78">
        <v>93</v>
      </c>
      <c r="Y15" s="106">
        <v>-9900</v>
      </c>
      <c r="Z15" s="78">
        <v>0</v>
      </c>
      <c r="AA15" s="78">
        <v>11</v>
      </c>
      <c r="AB15" s="78" ph="1">
        <v>6952</v>
      </c>
      <c r="AC15" s="78" ph="1">
        <v>2144</v>
      </c>
      <c r="AD15" s="78">
        <v>5.28</v>
      </c>
      <c r="AE15" s="78">
        <v>60.7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0" t="s" ph="1">
        <v>178</v>
      </c>
      <c r="D16" s="73" ph="1">
        <f>D15*7.0686*LOOKUP(D17,密度!$A$2:$A$50,密度!$L$2:$L$50)</f>
        <v>10091.8543572</v>
      </c>
      <c r="E16" s="73" ph="1">
        <f>E15*7.0686*LOOKUP(E17,密度!$A$2:$A$50,密度!$L$2:$L$50)</f>
        <v>10758.4233372</v>
      </c>
      <c r="F16" s="73" ph="1">
        <f>F15*9.0746*LOOKUP(F17,密度!$A$2:$A$50,密度!$L$2:$L$50)</f>
        <v>17951.37372</v>
      </c>
      <c r="G16" s="73" ph="1">
        <f>G15*9.0746*LOOKUP(G17,密度!$A$2:$A$50,密度!$B$2:$B$50)</f>
        <v>27117.808672000003</v>
      </c>
      <c r="H16" s="73" ph="1">
        <f>H15*9.0746*LOOKUP(H17,密度!$A$2:$A$50,密度!$L$2:$L$50)</f>
        <v>0</v>
      </c>
      <c r="I16" s="73" ph="1">
        <f>I15*9.0746*LOOKUP(I17,密度!$A$2:$A$50,密度!$U$2:$U$50)</f>
        <v>48723.741602400005</v>
      </c>
      <c r="J16" s="73" ph="1">
        <f>J15*9.0746*LOOKUP(J17,密度!$A$2:$A$50,密度!$L$2:$L$50)</f>
        <v>0</v>
      </c>
      <c r="K16" s="73" ph="1">
        <f>K15*9.0746*LOOKUP(K17,密度!$A$2:$A$50,密度!$C$2:$C$50)</f>
        <v>36206.837286000002</v>
      </c>
      <c r="L16" s="73" ph="1">
        <f>L15*9.0746*LOOKUP(L17,密度!$A$2:$A$50,密度!$E$2:$E$50)</f>
        <v>39908.364811079999</v>
      </c>
      <c r="M16" s="73" ph="1">
        <f>M15*9.0746*LOOKUP(M17,密度!$A$2:$A$50,密度!$M$2:$M$50)</f>
        <v>53490.128064479999</v>
      </c>
      <c r="N16" s="73" ph="1">
        <f>N15*9.0746*LOOKUP(N17,密度!$A$2:$A$50,密度!$M$2:$M$50)</f>
        <v>22367.437064000002</v>
      </c>
      <c r="O16" s="73" ph="1">
        <f>O15*9.0746*LOOKUP(O17,密度!$A$2:$A$50,密度!$G$2:$G$50)</f>
        <v>38890.997793180002</v>
      </c>
      <c r="P16" s="73" ph="1">
        <f ca="1">P15*9.0746*LOOKUP(P17,密度!$A$2:$A$51,密度!$Q$2:$Q$50)</f>
        <v>29607.868929940003</v>
      </c>
      <c r="Q16" s="73" ph="1">
        <f>Q15*9.0746*LOOKUP(Q17,密度!$A$2:$A$50,密度!$Q$2:$Q$50)</f>
        <v>59785.451955908007</v>
      </c>
      <c r="R16" s="73" ph="1">
        <f>MAX(R15*9.0746*LOOKUP(R17,密度!$A$2:$A$50,密度!$B$2:$B$50),0)</f>
        <v>52440.452748199998</v>
      </c>
      <c r="S16" s="73" ph="1">
        <f>S15*9.0746*LOOKUP(S17,密度!$A$2:$A$50,密度!$Q$2:$Q$50)</f>
        <v>8627.5779443200008</v>
      </c>
      <c r="T16" s="73" ph="1">
        <f>T15*9.0746*LOOKUP(T17,密度!$A$2:$A$50,密度!$O$2:$O$50)</f>
        <v>14323.893116000001</v>
      </c>
      <c r="U16" s="73" ph="1">
        <f>U15*9.0746*LOOKUP(U17,密度!$A$2:$A$50,密度!$H$2:$H$50)</f>
        <v>52260.908157359998</v>
      </c>
      <c r="V16" s="73" ph="1">
        <f>MAX(5600*LOOKUP(V17,密度!$A$2:$A$50,密度!$Q$2:$Q$50)+V15*9.0476*LOOKUP(V17,密度!$A$2:$A$50,密度!$Q$2:$Q$50),0)</f>
        <v>48100.44028355999</v>
      </c>
      <c r="W16" s="73" ph="1">
        <f>MAX(5600*LOOKUP(W17,密度!$A$2:$A$50,密度!$Q$2:$Q$50)+W15*9.0476*LOOKUP(W17,密度!$A$2:$A$50,密度!$Q$2:$Q$50),0)</f>
        <v>3855.202398292</v>
      </c>
      <c r="X16" s="73" ph="1">
        <f>MAX(5600*LOOKUP(X17,密度!$A$2:$A$50,密度!$I$2:$I$50)+X15*9.0476*LOOKUP(X17,密度!$A$2:$A$50,密度!$I$2:$I$50),0)</f>
        <v>6742.8855742400001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59490.681905599995</v>
      </c>
      <c r="AC16" s="73" ph="1">
        <f>AC15*9.0746*LOOKUP(AC17,密度!$A$2:$A$50,密度!$L$2:$L$50)</f>
        <v>18405.321510399997</v>
      </c>
      <c r="AD16" s="73" ph="1">
        <f>AD15*268.68*LOOKUP(AD17,密度!$A$2:$A$50,密度!B2:B50)+IF(AD15&lt;=0,0,1566*LOOKUP(AD17,密度!$A$2:$A$50,密度!B2:B50))</f>
        <v>2326.81785984</v>
      </c>
      <c r="AE16" s="73" ph="1">
        <f>AE15*268.68*LOOKUP(AE17,密度!$A$2:$A$50,密度!B2:B50)+IF(AE15&lt;=0,0,1566*LOOKUP(AE17,密度!$A$2:$A$50,密度!B2:B50))</f>
        <v>13935.253329600002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19</v>
      </c>
      <c r="E17" s="74">
        <v>19</v>
      </c>
      <c r="F17" s="74">
        <v>20</v>
      </c>
      <c r="G17" s="74">
        <v>17</v>
      </c>
      <c r="H17" s="74">
        <v>13</v>
      </c>
      <c r="I17" s="74">
        <v>13</v>
      </c>
      <c r="J17" s="74">
        <v>17</v>
      </c>
      <c r="K17" s="74">
        <v>17</v>
      </c>
      <c r="L17" s="74">
        <v>18</v>
      </c>
      <c r="M17" s="74">
        <v>18</v>
      </c>
      <c r="N17" s="74">
        <v>17</v>
      </c>
      <c r="O17" s="74">
        <v>20</v>
      </c>
      <c r="P17" s="74">
        <v>19</v>
      </c>
      <c r="Q17" s="74">
        <v>19</v>
      </c>
      <c r="R17" s="74">
        <v>20</v>
      </c>
      <c r="S17" s="74">
        <v>16</v>
      </c>
      <c r="T17" s="74">
        <v>18</v>
      </c>
      <c r="U17" s="74">
        <v>15</v>
      </c>
      <c r="V17" s="74">
        <v>19</v>
      </c>
      <c r="W17" s="74">
        <v>19</v>
      </c>
      <c r="X17" s="74">
        <v>21</v>
      </c>
      <c r="Y17" s="108">
        <v>21</v>
      </c>
      <c r="Z17" s="74">
        <v>17</v>
      </c>
      <c r="AA17" s="74">
        <v>15</v>
      </c>
      <c r="AB17" s="74">
        <v>19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1515</v>
      </c>
      <c r="E18" s="71">
        <v>1266</v>
      </c>
      <c r="F18" s="71">
        <v>2099</v>
      </c>
      <c r="G18" s="71">
        <v>3861</v>
      </c>
      <c r="H18" s="71">
        <v>0</v>
      </c>
      <c r="I18" s="71">
        <v>5224</v>
      </c>
      <c r="J18" s="71">
        <v>0</v>
      </c>
      <c r="K18" s="71">
        <v>3579</v>
      </c>
      <c r="L18" s="71">
        <v>3717</v>
      </c>
      <c r="M18" s="71">
        <v>5819</v>
      </c>
      <c r="N18" s="71">
        <v>729</v>
      </c>
      <c r="O18" s="71">
        <v>4436</v>
      </c>
      <c r="P18" s="71">
        <v>3430</v>
      </c>
      <c r="Q18" s="71">
        <v>6928</v>
      </c>
      <c r="R18" s="71">
        <v>7372</v>
      </c>
      <c r="S18" s="71">
        <v>1037</v>
      </c>
      <c r="T18" s="71">
        <v>1273</v>
      </c>
      <c r="U18" s="71">
        <v>6223</v>
      </c>
      <c r="V18" s="71">
        <v>4969</v>
      </c>
      <c r="W18" s="71">
        <v>-171</v>
      </c>
      <c r="X18" s="71">
        <v>92</v>
      </c>
      <c r="Y18" s="109">
        <v>-9900</v>
      </c>
      <c r="Z18" s="71">
        <v>0</v>
      </c>
      <c r="AA18" s="71">
        <v>10</v>
      </c>
      <c r="AB18" s="71">
        <v>6952</v>
      </c>
      <c r="AC18" s="71">
        <v>2144</v>
      </c>
      <c r="AD18" s="71">
        <v>36.74</v>
      </c>
      <c r="AE18" s="71">
        <v>84.16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0" t="s" ph="1">
        <v>178</v>
      </c>
      <c r="D19" s="73" ph="1">
        <f>D18*7.0686*LOOKUP(D20,密度!$A$2:$A$50,密度!$L$2:$L$50)</f>
        <v>10098.520047</v>
      </c>
      <c r="E19" s="73" ph="1">
        <f>E18*7.0686*LOOKUP(E20,密度!$A$2:$A$50,密度!$L$2:$L$50)</f>
        <v>8438.7632867999982</v>
      </c>
      <c r="F19" s="73" ph="1">
        <f>F18*9.0746*LOOKUP(F20,密度!$A$2:$A$50,密度!$L$2:$L$50)</f>
        <v>17866.635105199999</v>
      </c>
      <c r="G19" s="73" ph="1">
        <f>G18*9.0746*LOOKUP(G20,密度!$A$2:$A$50,密度!$B$2:$B$50)</f>
        <v>27472.535693459999</v>
      </c>
      <c r="H19" s="73" ph="1">
        <f>H18*9.0746*LOOKUP(H20,密度!$A$2:$A$50,密度!$L$2:$L$50)</f>
        <v>0</v>
      </c>
      <c r="I19" s="73" ph="1">
        <f>I18*9.0746*LOOKUP(I20,密度!$A$2:$A$50,密度!$U$2:$U$50)</f>
        <v>48733.070291200005</v>
      </c>
      <c r="J19" s="73" ph="1">
        <f>J18*9.0746*LOOKUP(J20,密度!$A$2:$A$50,密度!$L$2:$L$50)</f>
        <v>0</v>
      </c>
      <c r="K19" s="73" ph="1">
        <f>K18*9.0746*LOOKUP(K20,密度!$A$2:$A$50,密度!$C$2:$C$50)</f>
        <v>36112.28086146</v>
      </c>
      <c r="L19" s="73" ph="1">
        <f>L18*9.0746*LOOKUP(L20,密度!$A$2:$A$50,密度!$E$2:$E$50)</f>
        <v>26619.943447440004</v>
      </c>
      <c r="M19" s="73" ph="1">
        <f>M18*9.0746*LOOKUP(M20,密度!$A$2:$A$50,密度!$M$2:$M$50)</f>
        <v>46420.96112434</v>
      </c>
      <c r="N19" s="73" ph="1">
        <f>N18*9.0746*LOOKUP(N20,密度!$A$2:$A$50,密度!$M$2:$M$50)</f>
        <v>5823.5220070199994</v>
      </c>
      <c r="O19" s="73" ph="1">
        <f>O18*9.0746*LOOKUP(O20,密度!$A$2:$A$50,密度!$G$2:$G$50)</f>
        <v>38841.977711439999</v>
      </c>
      <c r="P19" s="73" ph="1">
        <f ca="1">P18*9.0746*LOOKUP(P20,密度!$A$2:$A$51,密度!$Q$2:$Q$50)</f>
        <v>29581.41193364</v>
      </c>
      <c r="Q19" s="73" ph="1">
        <f>Q18*9.0746*LOOKUP(Q20,密度!$A$2:$A$50,密度!$Q$2:$Q$50)</f>
        <v>59802.716019424006</v>
      </c>
      <c r="R19" s="73" ph="1">
        <f>MAX(R18*9.0746*LOOKUP(R20,密度!$A$2:$A$50,密度!$B$2:$B$50),0)</f>
        <v>52334.267223759998</v>
      </c>
      <c r="S19" s="73" ph="1">
        <f>S18*9.0746*LOOKUP(S20,密度!$A$2:$A$50,密度!$Q$2:$Q$50)</f>
        <v>8931.2787622180003</v>
      </c>
      <c r="T19" s="73" ph="1">
        <f>T18*9.0746*LOOKUP(T20,密度!$A$2:$A$50,密度!$O$2:$O$50)</f>
        <v>10743.328194</v>
      </c>
      <c r="U19" s="73" ph="1">
        <f>U18*9.0746*LOOKUP(U20,密度!$A$2:$A$50,密度!$H$2:$H$50)</f>
        <v>52106.009272659998</v>
      </c>
      <c r="V19" s="73" ph="1">
        <f>MAX(5600*LOOKUP(V20,密度!$A$2:$A$50,密度!$Q$2:$Q$50)+V18*9.0476*LOOKUP(V20,密度!$A$2:$A$50,密度!$Q$2:$Q$50),0)</f>
        <v>47983.640832795994</v>
      </c>
      <c r="W19" s="73" ph="1">
        <f>MAX(5600*LOOKUP(W20,密度!$A$2:$A$50,密度!$Q$2:$Q$50)+W18*9.0476*LOOKUP(W20,密度!$A$2:$A$50,密度!$Q$2:$Q$50),0)</f>
        <v>3846.5292770359993</v>
      </c>
      <c r="X19" s="73" ph="1">
        <f>MAX(5600*LOOKUP(X20,密度!$A$2:$A$50,密度!$I$2:$I$50)+X18*9.0476*LOOKUP(X20,密度!$A$2:$A$50,密度!$I$2:$I$50),0)</f>
        <v>6726.3389294400004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59427.595286399999</v>
      </c>
      <c r="AC19" s="73" ph="1">
        <f>AC18*9.0746*LOOKUP(AC20,密度!$A$2:$A$50,密度!$L$2:$L$50)</f>
        <v>18346.953683199998</v>
      </c>
      <c r="AD19" s="73" ph="1">
        <f>AD18*268.68*LOOKUP(AD20,密度!$A$2:$A$50,密度!B5:B53)+IF(AD18&lt;=0,0,1566*LOOKUP(AD20,密度!$A$2:$A$50,密度!B5:B53))</f>
        <v>8886.784586400001</v>
      </c>
      <c r="AE19" s="73" ph="1">
        <f>AE18*268.68*LOOKUP(AE20,密度!$A$2:$A$50,密度!B5:B53)+IF(AE18&lt;=0,0,1566*LOOKUP(AE20,密度!$A$2:$A$50,密度!B5:B53))</f>
        <v>18786.390537599997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19</v>
      </c>
      <c r="E20" s="81">
        <v>19</v>
      </c>
      <c r="F20" s="81">
        <v>24</v>
      </c>
      <c r="G20" s="81">
        <v>20</v>
      </c>
      <c r="H20" s="81">
        <v>15</v>
      </c>
      <c r="I20" s="81">
        <v>21</v>
      </c>
      <c r="J20" s="81">
        <v>22</v>
      </c>
      <c r="K20" s="81">
        <v>21</v>
      </c>
      <c r="L20" s="81">
        <v>20</v>
      </c>
      <c r="M20" s="81">
        <v>21</v>
      </c>
      <c r="N20" s="81">
        <v>20</v>
      </c>
      <c r="O20" s="81">
        <v>21</v>
      </c>
      <c r="P20" s="81">
        <v>20</v>
      </c>
      <c r="Q20" s="81">
        <v>19</v>
      </c>
      <c r="R20" s="81">
        <v>22</v>
      </c>
      <c r="S20" s="81">
        <v>22</v>
      </c>
      <c r="T20" s="81">
        <v>24</v>
      </c>
      <c r="U20" s="81">
        <v>17</v>
      </c>
      <c r="V20" s="81">
        <v>22</v>
      </c>
      <c r="W20" s="81">
        <v>22</v>
      </c>
      <c r="X20" s="81">
        <v>22</v>
      </c>
      <c r="Y20" s="110">
        <v>22</v>
      </c>
      <c r="Z20" s="81">
        <v>22</v>
      </c>
      <c r="AA20" s="81">
        <v>19</v>
      </c>
      <c r="AB20" s="81">
        <v>20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641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0" t="s" ph="1">
        <v>177</v>
      </c>
      <c r="D24" s="71">
        <v>48.93</v>
      </c>
      <c r="E24" s="71">
        <v>5.4</v>
      </c>
      <c r="F24" s="71">
        <v>3149</v>
      </c>
      <c r="G24" s="71">
        <v>3922</v>
      </c>
      <c r="H24" s="71">
        <v>3053</v>
      </c>
      <c r="I24" s="71">
        <v>2386</v>
      </c>
      <c r="J24" s="71">
        <v>466</v>
      </c>
      <c r="K24" s="71">
        <v>2748</v>
      </c>
      <c r="L24" s="71">
        <v>468</v>
      </c>
      <c r="M24" s="71">
        <v>4595</v>
      </c>
      <c r="N24" s="71">
        <v>447</v>
      </c>
      <c r="O24" s="71">
        <v>5727</v>
      </c>
      <c r="P24" s="71">
        <v>355</v>
      </c>
      <c r="Q24" s="90">
        <v>1138</v>
      </c>
      <c r="R24" s="71">
        <v>6211</v>
      </c>
      <c r="S24" s="71">
        <v>2586</v>
      </c>
      <c r="T24" s="71">
        <v>215</v>
      </c>
      <c r="U24" s="71">
        <v>4932</v>
      </c>
      <c r="V24" s="71">
        <v>269</v>
      </c>
      <c r="W24" s="71">
        <v>106</v>
      </c>
      <c r="X24" s="71">
        <v>8221</v>
      </c>
      <c r="Y24" s="71">
        <v>9311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13928.923989576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35110.2969744</v>
      </c>
      <c r="G25" s="91" ph="1">
        <f>G24*18.322*LOOKUP(G26,密度!$A$2:$A$50,密度!$B$2:$B$50)</f>
        <v>56344.550944399991</v>
      </c>
      <c r="H25" s="91" ph="1">
        <f>H24*18.322*LOOKUP(H26,密度!$A$2:$A$50,密度!$B$2:$B$50)</f>
        <v>43905.003103399999</v>
      </c>
      <c r="I25" s="91" ph="1">
        <f>I24*18.322*LOOKUP(I26,密度!$A$2:$A$50,密度!$Q$2:$Q$50)</f>
        <v>41652.883017599997</v>
      </c>
      <c r="J25" s="91" ph="1">
        <f>J24*18.322*LOOKUP(J26,密度!$A$2:$A$50,密度!$Q$2:$Q$50)</f>
        <v>8121.6512039600002</v>
      </c>
      <c r="K25" s="91" ph="1">
        <f>K24*18.322*LOOKUP(K26,密度!$A$2:$A$50,密度!$Q$2:$Q$50)</f>
        <v>47932.61440056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80083.663695700001</v>
      </c>
      <c r="N25" s="91" ph="1">
        <f>N24*18.322*LOOKUP(N26,密度!$A$2:$A$50,密度!$Q$2:$Q$50)</f>
        <v>7796.8990673399994</v>
      </c>
      <c r="O25" s="91" ph="1">
        <f>O24*18.322*LOOKUP(O26,密度!$A$2:$A$50,密度!$C$2:$C$50)</f>
        <v>116944.589763</v>
      </c>
      <c r="P25" s="91" ph="1">
        <f>P24*11.702*LOOKUP(P26,密度!$A$2:$A$50,密度!$B$2:$B$50)</f>
        <v>3270.1941120000001</v>
      </c>
      <c r="Q25" s="92" ph="1">
        <f>Q24*18.322*LOOKUP(Q26,密度!$A$2:$A$50,密度!$B$2:$B$50)</f>
        <v>16382.187565199998</v>
      </c>
      <c r="R25" s="91" ph="1">
        <f>R24*35.891*LOOKUP(R26,密度!$A$2:$A$50,密度!$C$2:$C$50)</f>
        <v>248019.6805126</v>
      </c>
      <c r="S25" s="91" ph="1">
        <f>S24*35.891*LOOKUP(S26,密度!$A$2:$A$50,密度!$B$2:$B$50)</f>
        <v>72849.80749739999</v>
      </c>
      <c r="T25" s="91" ph="1">
        <f>T24*35.891*LOOKUP(T26,密度!$A$2:$A$50,密度!$Q$2:$Q$50)</f>
        <v>7340.2281249500002</v>
      </c>
      <c r="U25" s="91" ph="1">
        <f>U24*35.891</f>
        <v>177014.41199999998</v>
      </c>
      <c r="V25" s="91" ph="1">
        <f>V24*47.051*LOOKUP(V26,密度!$A$2:$A$50,密度!$B$2:$B$50)</f>
        <v>9973.4945720000014</v>
      </c>
      <c r="W25" s="91" ph="1">
        <f>W24*47.051*LOOKUP(W26,密度!$A$2:$A$50,密度!$B$2:$B$50)</f>
        <v>3922.0960783999999</v>
      </c>
      <c r="X25" s="91" ph="1">
        <f>X24*47.051*LOOKUP(X26,密度!$A$2:$A$61,密度!$I$2:$I$61)</f>
        <v>394078.22889480001</v>
      </c>
      <c r="Y25" s="91" ph="1">
        <f>Y24*47.051*LOOKUP(Y26,密度!$A$2:$A$50,密度!$L$2:$L$50)</f>
        <v>410930.16561800003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17</v>
      </c>
      <c r="G26" s="74">
        <v>20</v>
      </c>
      <c r="H26" s="74">
        <v>19</v>
      </c>
      <c r="I26" s="74">
        <v>17</v>
      </c>
      <c r="J26" s="74">
        <v>19</v>
      </c>
      <c r="K26" s="74">
        <v>18</v>
      </c>
      <c r="L26" s="74">
        <v>17</v>
      </c>
      <c r="M26" s="74">
        <v>19</v>
      </c>
      <c r="N26" s="74">
        <v>18</v>
      </c>
      <c r="O26" s="74">
        <v>17</v>
      </c>
      <c r="P26" s="74">
        <v>16</v>
      </c>
      <c r="Q26" s="93">
        <v>18</v>
      </c>
      <c r="R26" s="74">
        <v>20</v>
      </c>
      <c r="S26" s="74">
        <v>19</v>
      </c>
      <c r="T26" s="74">
        <v>19</v>
      </c>
      <c r="U26" s="74">
        <v>18</v>
      </c>
      <c r="V26" s="74">
        <v>15</v>
      </c>
      <c r="W26" s="74">
        <v>17</v>
      </c>
      <c r="X26" s="74">
        <v>46</v>
      </c>
      <c r="Y26" s="74">
        <v>24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0" t="s" ph="1">
        <v>180</v>
      </c>
      <c r="D27" s="71">
        <v>22.28</v>
      </c>
      <c r="E27" s="71">
        <v>5.38</v>
      </c>
      <c r="F27" s="71">
        <v>2020</v>
      </c>
      <c r="G27" s="71">
        <v>3461</v>
      </c>
      <c r="H27" s="71">
        <v>2561</v>
      </c>
      <c r="I27" s="71">
        <v>2383</v>
      </c>
      <c r="J27" s="71">
        <v>464</v>
      </c>
      <c r="K27" s="71">
        <v>3869</v>
      </c>
      <c r="L27" s="71">
        <v>465</v>
      </c>
      <c r="M27" s="71">
        <v>3941</v>
      </c>
      <c r="N27" s="71">
        <v>444</v>
      </c>
      <c r="O27" s="71">
        <v>5725</v>
      </c>
      <c r="P27" s="71">
        <v>352</v>
      </c>
      <c r="Q27" s="90">
        <v>1511</v>
      </c>
      <c r="R27" s="71">
        <v>6208</v>
      </c>
      <c r="S27" s="71">
        <v>2582</v>
      </c>
      <c r="T27" s="71">
        <v>214</v>
      </c>
      <c r="U27" s="71">
        <v>5106</v>
      </c>
      <c r="V27" s="71">
        <v>735</v>
      </c>
      <c r="W27" s="71">
        <v>104</v>
      </c>
      <c r="X27" s="71">
        <v>7841</v>
      </c>
      <c r="Y27" s="71">
        <v>9630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0" t="s" ph="1">
        <v>178</v>
      </c>
      <c r="D28" s="91" ph="1">
        <f>D27*268.68*LOOKUP(D29,密度!$A$2:$A$50,密度!$Q$2:$Q$50)+IF(D27&lt;=0,0,1566*LOOKUP(D29,密度!$A$2:$A$50,密度!$Q$2:$Q$50))</f>
        <v>7149.9607392960006</v>
      </c>
      <c r="E28" s="91" ph="1">
        <f>E27*268.68*LOOKUP(E29,密度!$A$2:$A$50,密度!$C$2:$C$50)+IF(E27&lt;=0,0,1566*LOOKUP(E29,密度!$A$2:$A$50,密度!$C$2:$C$50))</f>
        <v>3339.45057576</v>
      </c>
      <c r="F28" s="91" ph="1">
        <f>F27*11.702*LOOKUP(F29,密度!$A$2:$A$50,密度!$Q$2:$Q$50)</f>
        <v>22485.212789200003</v>
      </c>
      <c r="G28" s="91" ph="1">
        <f>G27*18.322*LOOKUP(G29,密度!$A$2:$A$50,密度!$B$2:$B$50)</f>
        <v>49772.4257258</v>
      </c>
      <c r="H28" s="91" ph="1">
        <f>H27*18.322*LOOKUP(H29,密度!$A$2:$A$50,密度!$B$2:$B$50)</f>
        <v>36792.043592200003</v>
      </c>
      <c r="I28" s="91" ph="1">
        <f>I27*18.322*LOOKUP(I29,密度!$A$2:$A$50,密度!$Q$2:$Q$50)</f>
        <v>41566.018965260002</v>
      </c>
      <c r="J28" s="91" ph="1">
        <f>J27*18.322*LOOKUP(J29,密度!$A$2:$A$50,密度!$Q$2:$Q$50)</f>
        <v>8093.4254300799994</v>
      </c>
      <c r="K28" s="91" ph="1">
        <f>K27*18.322*LOOKUP(K29,密度!$A$2:$A$50,密度!$Q$2:$Q$50)</f>
        <v>67430.619116140006</v>
      </c>
      <c r="L28" s="91" ph="1">
        <f>L27*18.322*LOOKUP(L29,密度!$A$2:$A$50,密度!$Q$2:$Q$50)</f>
        <v>8104.2227678999998</v>
      </c>
      <c r="M28" s="91" ph="1">
        <f>M27*18.322*LOOKUP(M29,密度!$A$2:$A$50,密度!$Q$2:$Q$50)</f>
        <v>68685.46651246</v>
      </c>
      <c r="N28" s="91" ph="1">
        <f>N27*18.322*LOOKUP(N29,密度!$A$2:$A$50,密度!$Q$2:$Q$50)</f>
        <v>7750.9975103999996</v>
      </c>
      <c r="O28" s="91" ph="1">
        <f>O27*18.322*LOOKUP(O29,密度!$A$2:$A$50,密度!$C$2:$C$50)</f>
        <v>116840.81395499999</v>
      </c>
      <c r="P28" s="91" ph="1">
        <f>P27*11.702*LOOKUP(P29,密度!$A$2:$A$50,密度!$B$2:$B$50)</f>
        <v>3229.7894464000001</v>
      </c>
      <c r="Q28" s="92" ph="1">
        <f>Q27*18.322*LOOKUP(Q29,密度!$A$2:$A$50,密度!$B$2:$B$50)</f>
        <v>21707.4493822</v>
      </c>
      <c r="R28" s="91" ph="1">
        <f>R27*35.891*LOOKUP(R29,密度!$A$2:$A$50,密度!$C$2:$C$50)</f>
        <v>247743.9156032</v>
      </c>
      <c r="S28" s="91" ph="1">
        <f>S27*35.891*LOOKUP(S29,密度!$A$2:$A$50,密度!$B$2:$B$50)</f>
        <v>72737.12411379999</v>
      </c>
      <c r="T28" s="91" ph="1">
        <f>T27*35.891*LOOKUP(T29,密度!$A$2:$A$50,密度!$Q$2:$Q$50)</f>
        <v>7306.0875290200001</v>
      </c>
      <c r="U28" s="91" ph="1">
        <f>U27*35.891</f>
        <v>183259.446</v>
      </c>
      <c r="V28" s="91" ph="1">
        <f>V27*47.051*LOOKUP(V29,密度!$A$2:$A$50,密度!$B$2:$B$50)</f>
        <v>27085.002252000002</v>
      </c>
      <c r="W28" s="91" ph="1">
        <f>W27*47.051*LOOKUP(W29,密度!$A$2:$A$50,密度!$B$2:$B$50)</f>
        <v>3832.4356928000002</v>
      </c>
      <c r="X28" s="91" ph="1">
        <f>X27*47.051*LOOKUP(X29,密度!$A$2:$A$61,密度!$I$2:$I$61)</f>
        <v>375862.71655079996</v>
      </c>
      <c r="Y28" s="91" ph="1">
        <f>Y27*47.051*LOOKUP(Y29,密度!$A$2:$A$50,密度!$L$2:$L$50)</f>
        <v>426821.26445999998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0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20</v>
      </c>
      <c r="I29" s="74">
        <v>18</v>
      </c>
      <c r="J29" s="74">
        <v>18</v>
      </c>
      <c r="K29" s="74">
        <v>19</v>
      </c>
      <c r="L29" s="74">
        <v>19</v>
      </c>
      <c r="M29" s="74">
        <v>19</v>
      </c>
      <c r="N29" s="74">
        <v>17</v>
      </c>
      <c r="O29" s="74">
        <v>18</v>
      </c>
      <c r="P29" s="74">
        <v>20</v>
      </c>
      <c r="Q29" s="93">
        <v>20</v>
      </c>
      <c r="R29" s="74">
        <v>21</v>
      </c>
      <c r="S29" s="74">
        <v>19</v>
      </c>
      <c r="T29" s="74">
        <v>19</v>
      </c>
      <c r="U29" s="74">
        <v>18</v>
      </c>
      <c r="V29" s="74">
        <v>21</v>
      </c>
      <c r="W29" s="74">
        <v>21</v>
      </c>
      <c r="X29" s="74">
        <v>46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252970.34729959996</v>
      </c>
      <c r="E33" s="187" ph="1">
        <f>M10+I10</f>
        <v>97619.08548210001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3" ph="1">
        <f>N19</f>
        <v>5823.5220070199994</v>
      </c>
      <c r="H33" s="187" ph="1">
        <f>M19</f>
        <v>46420.96112434</v>
      </c>
      <c r="I33" s="191" ph="1">
        <v>0</v>
      </c>
      <c r="J33" s="195" ph="1">
        <f>F10+O28</f>
        <v>290638.69443239993</v>
      </c>
      <c r="K33" s="187" ph="1">
        <f>O10+K10+E28+R28</f>
        <v>378626.21346535999</v>
      </c>
      <c r="L33" s="197" ph="1">
        <f>K19</f>
        <v>36112.28086146</v>
      </c>
      <c r="M33" s="195" ph="1">
        <f>G10+H10+W28+S28+V28+E10+R19+P28+Q28</f>
        <v>741855.18745596008</v>
      </c>
      <c r="N33" s="187" ph="1">
        <f>L10+P10++G28+H28+AD19+AE19</f>
        <v>337611.46010800003</v>
      </c>
      <c r="O33" s="191" ph="1">
        <f>G19</f>
        <v>27472.535693459999</v>
      </c>
      <c r="P33" s="195" ph="1">
        <f>L19</f>
        <v>26619.943447440004</v>
      </c>
      <c r="Q33" s="187" ph="1">
        <f>J10+N10</f>
        <v>58018.669626400006</v>
      </c>
      <c r="R33" s="191" ph="1">
        <f>BE23</f>
        <v>890</v>
      </c>
      <c r="S33" s="195" ph="1">
        <f>X28</f>
        <v>375862.71655079996</v>
      </c>
      <c r="T33" s="187" ph="1">
        <f>X19</f>
        <v>6726.3389294400004</v>
      </c>
      <c r="U33" s="176" ph="1">
        <f>BE21</f>
        <v>730</v>
      </c>
      <c r="V33" s="189" ph="1">
        <f ca="1">P19+Q19+S19+M28+N28+J28+D10+AC10+D19+E19+H19+J19+O19+V19+W19+K28+L28</f>
        <v>902261.11266325391</v>
      </c>
      <c r="W33" s="189" ph="1">
        <f>D28+F28+T28+I28</f>
        <v>78507.280022776002</v>
      </c>
      <c r="X33" s="191" ph="1">
        <f>BE29+BE31</f>
        <v>10200</v>
      </c>
      <c r="Y33" s="193" ph="1">
        <f>+Q10+R10+S10+T10+U10+V10+W10+X10+Y10</f>
        <v>220435.6976514</v>
      </c>
      <c r="Z33" s="174" ph="1">
        <f>T19+U19+Y28+Z10</f>
        <v>530706.02704665996</v>
      </c>
      <c r="AA33" s="176" ph="1">
        <f>BE19</f>
        <v>1440</v>
      </c>
      <c r="AB33" s="178" ph="1">
        <f>I19</f>
        <v>48733.070291200005</v>
      </c>
      <c r="AC33" s="180" ph="1">
        <f>AD10+AB19</f>
        <v>153558.1850464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8" t="s" ph="1">
        <v>185</v>
      </c>
      <c r="AA36" s="148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99" priority="100">
      <formula>ABS(D$7-D$10)&gt;=1000</formula>
    </cfRule>
  </conditionalFormatting>
  <conditionalFormatting sqref="E4 E6:E11">
    <cfRule type="expression" dxfId="2598" priority="99">
      <formula>ABS(E$7-E$10)&gt;=1000</formula>
    </cfRule>
  </conditionalFormatting>
  <conditionalFormatting sqref="F4:F11">
    <cfRule type="expression" dxfId="2597" priority="98">
      <formula>ABS(F$7-F$10)&gt;=1000</formula>
    </cfRule>
  </conditionalFormatting>
  <conditionalFormatting sqref="G4:G11">
    <cfRule type="expression" dxfId="2596" priority="97">
      <formula>ABS(G$7-G$10)&gt;=1000</formula>
    </cfRule>
  </conditionalFormatting>
  <conditionalFormatting sqref="H4:H11">
    <cfRule type="expression" dxfId="2595" priority="96">
      <formula>ABS(H$7-H$10)&gt;=1000</formula>
    </cfRule>
  </conditionalFormatting>
  <conditionalFormatting sqref="I4:I11">
    <cfRule type="expression" dxfId="2594" priority="95">
      <formula>ABS(I$7-I$10)&gt;=1000</formula>
    </cfRule>
  </conditionalFormatting>
  <conditionalFormatting sqref="J4:J11">
    <cfRule type="expression" dxfId="2593" priority="94">
      <formula>ABS(J$7-J$10)&gt;=1000</formula>
    </cfRule>
  </conditionalFormatting>
  <conditionalFormatting sqref="K4:K11">
    <cfRule type="expression" dxfId="2592" priority="93">
      <formula>ABS(K$7-K$10)&gt;=1000</formula>
    </cfRule>
  </conditionalFormatting>
  <conditionalFormatting sqref="L4:L11">
    <cfRule type="expression" dxfId="2591" priority="92">
      <formula>ABS(L$7-L$10)&gt;=1000</formula>
    </cfRule>
  </conditionalFormatting>
  <conditionalFormatting sqref="M4 M6:M11">
    <cfRule type="expression" dxfId="2590" priority="91">
      <formula>ABS(M$7-M$10)&gt;=1000</formula>
    </cfRule>
  </conditionalFormatting>
  <conditionalFormatting sqref="N4 N6:N11">
    <cfRule type="expression" dxfId="2589" priority="90">
      <formula>ABS(N$7-N$10)&gt;=1000</formula>
    </cfRule>
  </conditionalFormatting>
  <conditionalFormatting sqref="O4 O6:O11">
    <cfRule type="expression" dxfId="2588" priority="89">
      <formula>ABS(O$7-O$10)&gt;=1000</formula>
    </cfRule>
  </conditionalFormatting>
  <conditionalFormatting sqref="P4 P6:P11">
    <cfRule type="expression" dxfId="2587" priority="88">
      <formula>ABS(P$7-P$10)&gt;=1000</formula>
    </cfRule>
  </conditionalFormatting>
  <conditionalFormatting sqref="Q4:Q11">
    <cfRule type="expression" dxfId="2586" priority="87">
      <formula>ABS(Q$7-Q$10)&gt;=1000</formula>
    </cfRule>
  </conditionalFormatting>
  <conditionalFormatting sqref="R4:R11">
    <cfRule type="expression" dxfId="2585" priority="86">
      <formula>ABS(R$7-R$10)&gt;=1000</formula>
    </cfRule>
  </conditionalFormatting>
  <conditionalFormatting sqref="S4:S11">
    <cfRule type="expression" dxfId="2584" priority="85">
      <formula>ABS(S$7-S$10)&gt;=1000</formula>
    </cfRule>
  </conditionalFormatting>
  <conditionalFormatting sqref="T4:T9 T11">
    <cfRule type="expression" dxfId="2583" priority="84">
      <formula>ABS(T$7-T$10)&gt;=1000</formula>
    </cfRule>
  </conditionalFormatting>
  <conditionalFormatting sqref="U4:U9 U11">
    <cfRule type="expression" dxfId="2582" priority="83">
      <formula>ABS(U$7-U$10)&gt;=1000</formula>
    </cfRule>
  </conditionalFormatting>
  <conditionalFormatting sqref="V4:V9 V11">
    <cfRule type="expression" dxfId="2581" priority="82">
      <formula>ABS(V$7-V$10)&gt;=1000</formula>
    </cfRule>
  </conditionalFormatting>
  <conditionalFormatting sqref="W4:W9 W11">
    <cfRule type="expression" dxfId="2580" priority="81">
      <formula>ABS(W$7-W$10)&gt;=1000</formula>
    </cfRule>
  </conditionalFormatting>
  <conditionalFormatting sqref="X4:X9 X11">
    <cfRule type="expression" dxfId="2579" priority="80">
      <formula>ABS(X$7-X$10)&gt;=1000</formula>
    </cfRule>
  </conditionalFormatting>
  <conditionalFormatting sqref="Y4:Y9 Y11">
    <cfRule type="expression" dxfId="2578" priority="79">
      <formula>ABS(Y$7-Y$10)&gt;=1000</formula>
    </cfRule>
  </conditionalFormatting>
  <conditionalFormatting sqref="Z4:Z11">
    <cfRule type="expression" dxfId="2577" priority="78">
      <formula>ABS(Z$7-Z$10)&gt;=1000</formula>
    </cfRule>
  </conditionalFormatting>
  <conditionalFormatting sqref="AA4:AA11">
    <cfRule type="expression" dxfId="2576" priority="77">
      <formula>ABS(AA$7-AA$10)&gt;=1000</formula>
    </cfRule>
  </conditionalFormatting>
  <conditionalFormatting sqref="AB4:AB11">
    <cfRule type="expression" dxfId="2575" priority="76">
      <formula>ABS(AB$7-AB$10)&gt;=1000</formula>
    </cfRule>
  </conditionalFormatting>
  <conditionalFormatting sqref="AC4 AC6:AC11">
    <cfRule type="expression" dxfId="2574" priority="75">
      <formula>ABS(AC$7-AC$10)&gt;=1000</formula>
    </cfRule>
  </conditionalFormatting>
  <conditionalFormatting sqref="AD4 AD6:AD11">
    <cfRule type="expression" dxfId="2573" priority="74">
      <formula>ABS(AD$7-AD$10)&gt;=1000</formula>
    </cfRule>
  </conditionalFormatting>
  <conditionalFormatting sqref="AE4 AE6:AE11">
    <cfRule type="expression" dxfId="2572" priority="73">
      <formula>ABS(AE$7-AE$10)&gt;=1000</formula>
    </cfRule>
  </conditionalFormatting>
  <conditionalFormatting sqref="D13:D20">
    <cfRule type="expression" dxfId="2571" priority="72">
      <formula>ABS(D$16-D$19)&gt;=1000</formula>
    </cfRule>
  </conditionalFormatting>
  <conditionalFormatting sqref="E13:E20">
    <cfRule type="expression" dxfId="2570" priority="71">
      <formula>ABS(E$16-E$19)&gt;=1000</formula>
    </cfRule>
  </conditionalFormatting>
  <conditionalFormatting sqref="F13 F15:F20">
    <cfRule type="expression" dxfId="2569" priority="70">
      <formula>ABS(F$16-F$19)&gt;=1000</formula>
    </cfRule>
  </conditionalFormatting>
  <conditionalFormatting sqref="G13:G20">
    <cfRule type="expression" dxfId="2568" priority="69">
      <formula>ABS(G$16-G$19)&gt;=1000</formula>
    </cfRule>
  </conditionalFormatting>
  <conditionalFormatting sqref="H13 H15:H20">
    <cfRule type="expression" dxfId="2567" priority="68">
      <formula>ABS(H$16-H$19)&gt;=1000</formula>
    </cfRule>
  </conditionalFormatting>
  <conditionalFormatting sqref="I13:I20">
    <cfRule type="expression" dxfId="2566" priority="67">
      <formula>ABS(I$16-I$19)&gt;=1000</formula>
    </cfRule>
  </conditionalFormatting>
  <conditionalFormatting sqref="J13:J20">
    <cfRule type="expression" dxfId="2565" priority="66">
      <formula>ABS(J$16-J$19)&gt;=1000</formula>
    </cfRule>
  </conditionalFormatting>
  <conditionalFormatting sqref="L13:L20">
    <cfRule type="expression" dxfId="2564" priority="65">
      <formula>ABS(L$16-L$19)&gt;=1000</formula>
    </cfRule>
  </conditionalFormatting>
  <conditionalFormatting sqref="M13 M15 M17:M18 M20">
    <cfRule type="expression" dxfId="2563" priority="64">
      <formula>ABS(M$16-M$19)&gt;=1000</formula>
    </cfRule>
  </conditionalFormatting>
  <conditionalFormatting sqref="N13:N20">
    <cfRule type="expression" dxfId="2562" priority="63">
      <formula>ABS(N$16-N$19)&gt;=1000</formula>
    </cfRule>
  </conditionalFormatting>
  <conditionalFormatting sqref="O13:O20">
    <cfRule type="expression" dxfId="2561" priority="62">
      <formula>ABS(O$16-O$19)&gt;=1000</formula>
    </cfRule>
  </conditionalFormatting>
  <conditionalFormatting sqref="P13:P20">
    <cfRule type="expression" dxfId="2560" priority="61">
      <formula>ABS(P$16-P$19)&gt;=1000</formula>
    </cfRule>
  </conditionalFormatting>
  <conditionalFormatting sqref="Q13 Q15:Q20">
    <cfRule type="expression" dxfId="2559" priority="60">
      <formula>ABS(Q$16-Q$19)&gt;=1000</formula>
    </cfRule>
  </conditionalFormatting>
  <conditionalFormatting sqref="R13:R20">
    <cfRule type="expression" dxfId="2558" priority="59">
      <formula>ABS(R$16-R$19)&gt;=1000</formula>
    </cfRule>
  </conditionalFormatting>
  <conditionalFormatting sqref="S13:S20">
    <cfRule type="expression" dxfId="2557" priority="58">
      <formula>ABS(S$16-S$19)&gt;=1000</formula>
    </cfRule>
  </conditionalFormatting>
  <conditionalFormatting sqref="T13:T20">
    <cfRule type="expression" dxfId="2556" priority="57">
      <formula>ABS(T$16-T$19)&gt;=1000</formula>
    </cfRule>
  </conditionalFormatting>
  <conditionalFormatting sqref="U13:U20">
    <cfRule type="expression" dxfId="2555" priority="56">
      <formula>ABS(U$16-U$19)&gt;=1000</formula>
    </cfRule>
  </conditionalFormatting>
  <conditionalFormatting sqref="V13:V20">
    <cfRule type="expression" dxfId="2554" priority="55">
      <formula>ABS(V$16-V$19)&gt;=1000</formula>
    </cfRule>
  </conditionalFormatting>
  <conditionalFormatting sqref="W13 W20 W15:W18">
    <cfRule type="expression" dxfId="2553" priority="54">
      <formula>ABS(W$16-W$19)&gt;=1000</formula>
    </cfRule>
  </conditionalFormatting>
  <conditionalFormatting sqref="X13 X15:X20 Y19">
    <cfRule type="expression" dxfId="2552" priority="53">
      <formula>ABS(X$16-X$19)&gt;=1000</formula>
    </cfRule>
  </conditionalFormatting>
  <conditionalFormatting sqref="Y13 Y15:Y18 Y20">
    <cfRule type="expression" dxfId="2551" priority="52">
      <formula>ABS(Y$16-Y$19)&gt;=1000</formula>
    </cfRule>
  </conditionalFormatting>
  <conditionalFormatting sqref="Z13:Z20">
    <cfRule type="expression" dxfId="2550" priority="51">
      <formula>ABS(Z$16-Z$19)&gt;=1000</formula>
    </cfRule>
  </conditionalFormatting>
  <conditionalFormatting sqref="AA13:AA20">
    <cfRule type="expression" dxfId="2549" priority="50">
      <formula>ABS(AA$16-AA$19)&gt;=1000</formula>
    </cfRule>
  </conditionalFormatting>
  <conditionalFormatting sqref="AB13 AB15:AB20">
    <cfRule type="expression" dxfId="2548" priority="49">
      <formula>ABS(AB$16-AB$19)&gt;=1000</formula>
    </cfRule>
  </conditionalFormatting>
  <conditionalFormatting sqref="AC13 AC15:AC20">
    <cfRule type="expression" dxfId="2547" priority="48">
      <formula>ABS(AC$16-AC$19)&gt;=1000</formula>
    </cfRule>
  </conditionalFormatting>
  <conditionalFormatting sqref="AD13:AD20">
    <cfRule type="expression" dxfId="2546" priority="47">
      <formula>ABS(AD$16-AD$19)&gt;=1000</formula>
    </cfRule>
  </conditionalFormatting>
  <conditionalFormatting sqref="AE13:AE20">
    <cfRule type="expression" dxfId="2545" priority="46">
      <formula>ABS(AE$16-AE$19)&gt;=1000</formula>
    </cfRule>
  </conditionalFormatting>
  <conditionalFormatting sqref="D22:D29">
    <cfRule type="expression" dxfId="2544" priority="45">
      <formula>ABS(D$25-D$28)&gt;=1000</formula>
    </cfRule>
  </conditionalFormatting>
  <conditionalFormatting sqref="E22:E29">
    <cfRule type="expression" dxfId="2543" priority="44">
      <formula>ABS(E$25-E$28)&gt;=1000</formula>
    </cfRule>
  </conditionalFormatting>
  <conditionalFormatting sqref="F22:F29">
    <cfRule type="expression" dxfId="2542" priority="43">
      <formula>ABS(F$25-F$28)&gt;=1000</formula>
    </cfRule>
  </conditionalFormatting>
  <conditionalFormatting sqref="G22:G29">
    <cfRule type="expression" dxfId="2541" priority="42">
      <formula>ABS(G$25-G$28)&gt;=1000</formula>
    </cfRule>
  </conditionalFormatting>
  <conditionalFormatting sqref="H22:H29">
    <cfRule type="expression" dxfId="2540" priority="41">
      <formula>ABS(H$25-H$28)&gt;=1000</formula>
    </cfRule>
  </conditionalFormatting>
  <conditionalFormatting sqref="I22 I24:I29">
    <cfRule type="expression" dxfId="2539" priority="40">
      <formula>ABS(I$25-I$28)&gt;=1000</formula>
    </cfRule>
  </conditionalFormatting>
  <conditionalFormatting sqref="J22:J29 K22">
    <cfRule type="expression" dxfId="2538" priority="39">
      <formula>ABS(J$25-J$28)&gt;=1000</formula>
    </cfRule>
  </conditionalFormatting>
  <conditionalFormatting sqref="K23:K29 L25 L28">
    <cfRule type="expression" dxfId="2537" priority="38">
      <formula>ABS(K$25-K$28)&gt;=1000</formula>
    </cfRule>
  </conditionalFormatting>
  <conditionalFormatting sqref="L22 L26:L27 L29 L24">
    <cfRule type="expression" dxfId="2536" priority="37">
      <formula>ABS(L$25-L$28)&gt;=1000</formula>
    </cfRule>
  </conditionalFormatting>
  <conditionalFormatting sqref="M22:M29">
    <cfRule type="expression" dxfId="2535" priority="36">
      <formula>ABS(M$25-M$28)&gt;=1000</formula>
    </cfRule>
  </conditionalFormatting>
  <conditionalFormatting sqref="N22:N29">
    <cfRule type="expression" dxfId="2534" priority="35">
      <formula>ABS(N$25-N$28)&gt;=1000</formula>
    </cfRule>
  </conditionalFormatting>
  <conditionalFormatting sqref="O22:O29">
    <cfRule type="expression" dxfId="2533" priority="34">
      <formula>ABS(O$25-O$28)&gt;=1000</formula>
    </cfRule>
  </conditionalFormatting>
  <conditionalFormatting sqref="P22:P29">
    <cfRule type="expression" dxfId="2532" priority="33">
      <formula>ABS(P$25-P$28)&gt;=1000</formula>
    </cfRule>
  </conditionalFormatting>
  <conditionalFormatting sqref="Q22:Q29">
    <cfRule type="expression" dxfId="2531" priority="32">
      <formula>ABS(Q$25-Q$28)&gt;=1000</formula>
    </cfRule>
  </conditionalFormatting>
  <conditionalFormatting sqref="R22:R29">
    <cfRule type="expression" dxfId="2530" priority="31">
      <formula>ABS(R$25-R$28)&gt;=1000</formula>
    </cfRule>
  </conditionalFormatting>
  <conditionalFormatting sqref="S22:S29">
    <cfRule type="expression" dxfId="2529" priority="30">
      <formula>ABS(S$25-S$28)&gt;=1000</formula>
    </cfRule>
  </conditionalFormatting>
  <conditionalFormatting sqref="T22:T29">
    <cfRule type="expression" dxfId="2528" priority="29">
      <formula>ABS(T$25-T$28)&gt;=1000</formula>
    </cfRule>
  </conditionalFormatting>
  <conditionalFormatting sqref="U22:U29">
    <cfRule type="expression" dxfId="2527" priority="28">
      <formula>ABS(U$25-U$28)&gt;=1000</formula>
    </cfRule>
  </conditionalFormatting>
  <conditionalFormatting sqref="V22:V29">
    <cfRule type="expression" dxfId="2526" priority="27">
      <formula>ABS(V$25-V$28)&gt;=1000</formula>
    </cfRule>
  </conditionalFormatting>
  <conditionalFormatting sqref="W22:W29">
    <cfRule type="expression" dxfId="2525" priority="26">
      <formula>ABS(W$25-W$28)&gt;=1000</formula>
    </cfRule>
  </conditionalFormatting>
  <conditionalFormatting sqref="X22:X29">
    <cfRule type="expression" dxfId="2524" priority="25">
      <formula>ABS(X$25-X$28)&gt;=1000</formula>
    </cfRule>
  </conditionalFormatting>
  <conditionalFormatting sqref="Y22:Y29">
    <cfRule type="expression" dxfId="2523" priority="24">
      <formula>ABS(Y$25-Y$28)&gt;=1000</formula>
    </cfRule>
  </conditionalFormatting>
  <conditionalFormatting sqref="I23">
    <cfRule type="expression" dxfId="2522" priority="23">
      <formula>ABS(I$25-I$28)&gt;=1000</formula>
    </cfRule>
  </conditionalFormatting>
  <conditionalFormatting sqref="Q14">
    <cfRule type="expression" dxfId="2521" priority="22">
      <formula>ABS(Q$16-Q$19)&gt;=1000</formula>
    </cfRule>
  </conditionalFormatting>
  <conditionalFormatting sqref="W14">
    <cfRule type="expression" dxfId="2520" priority="21">
      <formula>ABS(W$16-W$19)&gt;=1000</formula>
    </cfRule>
  </conditionalFormatting>
  <conditionalFormatting sqref="X14">
    <cfRule type="expression" dxfId="2519" priority="20">
      <formula>ABS(X$16-X$19)&gt;=1000</formula>
    </cfRule>
  </conditionalFormatting>
  <conditionalFormatting sqref="T10:Y10">
    <cfRule type="expression" dxfId="2518" priority="19">
      <formula>ABS(T$7-T$10)&gt;=1000</formula>
    </cfRule>
  </conditionalFormatting>
  <conditionalFormatting sqref="W19">
    <cfRule type="expression" dxfId="2517" priority="18">
      <formula>ABS(W$16-W$19)&gt;=1000</formula>
    </cfRule>
  </conditionalFormatting>
  <conditionalFormatting sqref="AC5">
    <cfRule type="expression" dxfId="2516" priority="17">
      <formula>ABS(AC$7-AC$10)&gt;=1000</formula>
    </cfRule>
  </conditionalFormatting>
  <conditionalFormatting sqref="M14">
    <cfRule type="expression" dxfId="2515" priority="16">
      <formula>ABS(M$16-M$19)&gt;=1000</formula>
    </cfRule>
  </conditionalFormatting>
  <conditionalFormatting sqref="M16">
    <cfRule type="expression" dxfId="2514" priority="15">
      <formula>ABS(M$16-M$19)&gt;=1000</formula>
    </cfRule>
  </conditionalFormatting>
  <conditionalFormatting sqref="M19">
    <cfRule type="expression" dxfId="2513" priority="14">
      <formula>ABS(M$16-M$19)&gt;=1000</formula>
    </cfRule>
  </conditionalFormatting>
  <conditionalFormatting sqref="K13:K20">
    <cfRule type="expression" dxfId="2512" priority="13">
      <formula>ABS(K$16-K$19)&gt;=1000</formula>
    </cfRule>
  </conditionalFormatting>
  <conditionalFormatting sqref="E5">
    <cfRule type="expression" dxfId="2511" priority="12">
      <formula>ABS(E$7-E$10)&gt;=1000</formula>
    </cfRule>
  </conditionalFormatting>
  <conditionalFormatting sqref="AB14:AC14">
    <cfRule type="expression" dxfId="2510" priority="11">
      <formula>ABS(AB$16-AB$19)&gt;=1000</formula>
    </cfRule>
  </conditionalFormatting>
  <conditionalFormatting sqref="M5">
    <cfRule type="expression" dxfId="2509" priority="10">
      <formula>ABS(M$7-M$10)&gt;=1000</formula>
    </cfRule>
  </conditionalFormatting>
  <conditionalFormatting sqref="N5">
    <cfRule type="expression" dxfId="2508" priority="9">
      <formula>ABS(N$7-N$10)&gt;=1000</formula>
    </cfRule>
  </conditionalFormatting>
  <conditionalFormatting sqref="O5">
    <cfRule type="expression" dxfId="2507" priority="8">
      <formula>ABS(O$7-O$10)&gt;=1000</formula>
    </cfRule>
  </conditionalFormatting>
  <conditionalFormatting sqref="P5">
    <cfRule type="expression" dxfId="2506" priority="7">
      <formula>ABS(P$7-P$10)&gt;=1000</formula>
    </cfRule>
  </conditionalFormatting>
  <conditionalFormatting sqref="L23">
    <cfRule type="expression" dxfId="2505" priority="6">
      <formula>ABS(L$25-L$28)&gt;=1000</formula>
    </cfRule>
  </conditionalFormatting>
  <conditionalFormatting sqref="Y14">
    <cfRule type="expression" dxfId="2504" priority="5">
      <formula>ABS(Y$16-Y$19)&gt;=1000</formula>
    </cfRule>
  </conditionalFormatting>
  <conditionalFormatting sqref="F14">
    <cfRule type="expression" dxfId="2503" priority="4">
      <formula>ABS(F$16-F$19)&gt;=1000</formula>
    </cfRule>
  </conditionalFormatting>
  <conditionalFormatting sqref="H14">
    <cfRule type="expression" dxfId="2502" priority="3">
      <formula>ABS(H$16-H$19)&gt;=1000</formula>
    </cfRule>
  </conditionalFormatting>
  <conditionalFormatting sqref="AD5">
    <cfRule type="expression" dxfId="2501" priority="2">
      <formula>ABS(AD$7-AD$10)&gt;=1000</formula>
    </cfRule>
  </conditionalFormatting>
  <conditionalFormatting sqref="AE5">
    <cfRule type="expression" dxfId="25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1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8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46086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0" t="s" ph="1">
        <v>177</v>
      </c>
      <c r="D6" s="71">
        <v>5970</v>
      </c>
      <c r="E6" s="71">
        <v>4025</v>
      </c>
      <c r="F6" s="71">
        <v>4702</v>
      </c>
      <c r="G6" s="71">
        <v>3661</v>
      </c>
      <c r="H6" s="71">
        <v>5628</v>
      </c>
      <c r="I6" s="71">
        <v>52.19</v>
      </c>
      <c r="J6" s="71">
        <v>6.55</v>
      </c>
      <c r="K6" s="71">
        <v>62.43</v>
      </c>
      <c r="L6" s="71">
        <v>8.33</v>
      </c>
      <c r="M6" s="71">
        <v>2042</v>
      </c>
      <c r="N6" s="71">
        <v>2157</v>
      </c>
      <c r="O6" s="71">
        <v>4735</v>
      </c>
      <c r="P6" s="71">
        <v>5308</v>
      </c>
      <c r="Q6" s="71">
        <v>2606</v>
      </c>
      <c r="R6" s="71">
        <v>7100</v>
      </c>
      <c r="S6" s="71">
        <v>7154</v>
      </c>
      <c r="T6" s="71">
        <v>7157</v>
      </c>
      <c r="U6" s="71">
        <v>2725</v>
      </c>
      <c r="V6" s="71">
        <v>0</v>
      </c>
      <c r="W6" s="71">
        <v>0</v>
      </c>
      <c r="X6" s="71">
        <v>0</v>
      </c>
      <c r="Y6" s="71">
        <v>2</v>
      </c>
      <c r="Z6" s="71">
        <v>2524</v>
      </c>
      <c r="AA6" s="71">
        <v>4232</v>
      </c>
      <c r="AB6" s="71">
        <v>5090</v>
      </c>
      <c r="AC6" s="71">
        <v>6645</v>
      </c>
      <c r="AD6" s="71">
        <v>4780</v>
      </c>
      <c r="AE6" s="71">
        <v>3718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188272.66345380002</v>
      </c>
      <c r="E7" s="73" ph="1">
        <f>E6*51.53*LOOKUP(E8,密度!$A$2:$A$50,密度!$B$2:$B$50)</f>
        <v>162960.662025</v>
      </c>
      <c r="F7" s="73" ph="1">
        <f>F6*33.183*LOOKUP(F8,密度!$A$2:$A$50,密度!$C$2:$C$50)</f>
        <v>173797.88047739997</v>
      </c>
      <c r="G7" s="73" ph="1">
        <f xml:space="preserve"> (G6+2)*51.53*LOOKUP(G8,密度!$A$2:$A$50,密度!$B$2:$B$50)</f>
        <v>148002.31719900001</v>
      </c>
      <c r="H7" s="73" ph="1">
        <f>(H6)*51.53*LOOKUP(H8,密度!$A$2:$A$50,密度!$B$2:$B$50)</f>
        <v>228528.54192000002</v>
      </c>
      <c r="I7" s="73" ph="1">
        <f>I6*290.8*1.0267</f>
        <v>15582.073948400001</v>
      </c>
      <c r="J7" s="73" ph="1">
        <f>J6*290.8*0.7892</f>
        <v>1503.220808</v>
      </c>
      <c r="K7" s="73" ph="1">
        <f>K6*290.8*1.1126</f>
        <v>20198.856914399999</v>
      </c>
      <c r="L7" s="73" ph="1">
        <f>L6*290.8*0.777</f>
        <v>1882.1768280000001</v>
      </c>
      <c r="M7" s="73" ph="1">
        <f>M6*33.183*LOOKUP(M8,密度!$A$2:$A$50,密度!$D$2:$D$50)</f>
        <v>69941.547889199996</v>
      </c>
      <c r="N7" s="73" ph="1">
        <f>N6*33.183*LOOKUP(N8,密度!$A$2:$A$50,密度!$E$2:$E$50)</f>
        <v>56487.566905200001</v>
      </c>
      <c r="O7" s="73" ph="1">
        <f>O6*20.428*LOOKUP(O8,密度!$A$2:$A$50,密度!$C$2:$C$50)</f>
        <v>107472.903038</v>
      </c>
      <c r="P7" s="73" ph="1">
        <f>P6*51.53*LOOKUP(P8,密度!$A$2:$A$50,密度!$B$2:$B$50)</f>
        <v>214905.63826799998</v>
      </c>
      <c r="Q7" s="73" ph="1">
        <f>Q6*1.5*1.5*3.1416*LOOKUP(W8,密度!$A$2:$A$50,密度!$L$2:$L$50)</f>
        <v>17389.208390399999</v>
      </c>
      <c r="R7" s="73" ph="1">
        <f>R6*1.5*1.5*3.1416*LOOKUP(R8,密度!$A$2:$A$50,密度!$L$2:$L$50)</f>
        <v>47075.462279999992</v>
      </c>
      <c r="S7" s="73" ph="1">
        <f>S6*1.5*1.5*3.1416*LOOKUP(S8,密度!$A$2:$A$50,密度!$L$2:$L$50)</f>
        <v>47838.0511224</v>
      </c>
      <c r="T7" s="73" ph="1">
        <f>T6*1.5*1.5*3.1416*LOOKUP(T8,密度!$A$2:$A$50,密度!$L$2:$L$50)</f>
        <v>48009.881719799996</v>
      </c>
      <c r="U7" s="73" ph="1">
        <f>U6*1.5*1.5*3.1416*LOOKUP(U8,密度!$A$2:$A$50,密度!$L$2:$L$50)</f>
        <v>18164.004704999999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13.345516799999999</v>
      </c>
      <c r="Z7" s="73" ph="1">
        <f>Z6*33.183*LOOKUP(Z8,密度!$A$2:$A$50,密度!$L$2:$L$50)</f>
        <v>79147.427939999994</v>
      </c>
      <c r="AA7" s="73" ph="1">
        <f>AA6*33.183*LOOKUP(AA8,密度!$A$2:$A$50,密度!$D$2:$D$50)</f>
        <v>145191.04845840001</v>
      </c>
      <c r="AB7" s="73" ph="1">
        <f>AB6*20.428*LOOKUP(AB8,密度!$A$2:$A$50,密度!$D$2:$D$50)</f>
        <v>108044.08013199999</v>
      </c>
      <c r="AC7" s="73" ph="1">
        <f>AC6*51.53*LOOKUP(AC8,密度!$A$2:$A$50,密度!$Q$2:$Q$50)</f>
        <v>326528.70816000004</v>
      </c>
      <c r="AD7" s="73" ph="1">
        <f>AD6*20.428*LOOKUP(AD8,密度!$A$2:$A$50,密度!$V$2:$V$50)</f>
        <v>94130.589760000003</v>
      </c>
      <c r="AE7" s="73" ph="1">
        <f>AE6*20.428</f>
        <v>75951.304000000004</v>
      </c>
    </row>
    <row r="8" spans="1:99" ph="1">
      <c r="B8" s="238" ph="1"/>
      <c r="C8" s="68" t="s" ph="1">
        <v>179</v>
      </c>
      <c r="D8" s="74">
        <v>20</v>
      </c>
      <c r="E8" s="74">
        <v>18</v>
      </c>
      <c r="F8" s="74">
        <v>18</v>
      </c>
      <c r="G8" s="74">
        <v>20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22</v>
      </c>
      <c r="P8" s="74">
        <v>18</v>
      </c>
      <c r="Q8" s="74">
        <v>20</v>
      </c>
      <c r="R8" s="74">
        <v>24</v>
      </c>
      <c r="S8" s="74">
        <v>16</v>
      </c>
      <c r="T8" s="74">
        <v>13</v>
      </c>
      <c r="U8" s="74">
        <v>19</v>
      </c>
      <c r="V8" s="74">
        <v>25</v>
      </c>
      <c r="W8" s="74">
        <v>18</v>
      </c>
      <c r="X8" s="74">
        <v>9</v>
      </c>
      <c r="Y8" s="74">
        <v>18</v>
      </c>
      <c r="Z8" s="74">
        <v>17</v>
      </c>
      <c r="AA8" s="74">
        <v>17</v>
      </c>
      <c r="AB8" s="74">
        <v>11</v>
      </c>
      <c r="AC8" s="74">
        <v>16</v>
      </c>
      <c r="AD8" s="74">
        <v>16</v>
      </c>
      <c r="AE8" s="74">
        <v>20</v>
      </c>
    </row>
    <row r="9" spans="1:99" ht="26.4" ph="1">
      <c r="B9" s="238" ph="1">
        <v>0.66666666666666663</v>
      </c>
      <c r="C9" s="150" t="s" ph="1">
        <v>180</v>
      </c>
      <c r="D9" s="71">
        <v>5970</v>
      </c>
      <c r="E9" s="71">
        <v>4025</v>
      </c>
      <c r="F9" s="71">
        <v>4702</v>
      </c>
      <c r="G9" s="71">
        <v>3375</v>
      </c>
      <c r="H9" s="71">
        <v>5627</v>
      </c>
      <c r="I9" s="71">
        <v>53.37</v>
      </c>
      <c r="J9" s="71">
        <v>6.56</v>
      </c>
      <c r="K9" s="71">
        <v>62.45</v>
      </c>
      <c r="L9" s="71">
        <v>8.32</v>
      </c>
      <c r="M9" s="71">
        <v>2043</v>
      </c>
      <c r="N9" s="71">
        <v>2157</v>
      </c>
      <c r="O9" s="71">
        <v>4735</v>
      </c>
      <c r="P9" s="71">
        <v>4923</v>
      </c>
      <c r="Q9" s="71">
        <v>0</v>
      </c>
      <c r="R9" s="71">
        <v>4548</v>
      </c>
      <c r="S9" s="71">
        <v>7156</v>
      </c>
      <c r="T9" s="71">
        <v>7158</v>
      </c>
      <c r="U9" s="71">
        <v>6014</v>
      </c>
      <c r="V9" s="71">
        <v>0</v>
      </c>
      <c r="W9" s="71">
        <v>524</v>
      </c>
      <c r="X9" s="71">
        <v>0</v>
      </c>
      <c r="Y9" s="71">
        <v>2</v>
      </c>
      <c r="Z9" s="71">
        <v>3553</v>
      </c>
      <c r="AA9" s="71">
        <v>4230</v>
      </c>
      <c r="AB9" s="71">
        <v>5090</v>
      </c>
      <c r="AC9" s="71">
        <v>6547</v>
      </c>
      <c r="AD9" s="71">
        <v>4780</v>
      </c>
      <c r="AE9" s="71">
        <v>3645</v>
      </c>
    </row>
    <row r="10" spans="1:99" s="72" customFormat="1" ht="22.2" ph="1">
      <c r="B10" s="238" ph="1"/>
      <c r="C10" s="150" t="s" ph="1">
        <v>178</v>
      </c>
      <c r="D10" s="73" ph="1">
        <f>D9*33.183*LOOKUP(D11,密度!$A$2:$A$50,密度!$Q$2:$Q$50)</f>
        <v>188272.66345380002</v>
      </c>
      <c r="E10" s="73" ph="1">
        <f>E9*51.53*LOOKUP(E11,密度!$A$2:$A$50,密度!$B$2:$B$50)</f>
        <v>162960.662025</v>
      </c>
      <c r="F10" s="73" ph="1">
        <f>F9*33.183*LOOKUP(F11,密度!$A$2:$A$50,密度!$C$2:$C$50)</f>
        <v>173891.496357</v>
      </c>
      <c r="G10" s="73" ph="1">
        <f xml:space="preserve"> (G9+2)*51.53*LOOKUP(G11,密度!$A$2:$A$50,密度!$B$2:$B$50)</f>
        <v>136446.58072100001</v>
      </c>
      <c r="H10" s="73" ph="1">
        <f>(H9)*51.53*LOOKUP(H11,密度!$A$2:$A$50,密度!$B$2:$B$50)</f>
        <v>228255.96883200001</v>
      </c>
      <c r="I10" s="73" ph="1">
        <f>I9*290.8*1.0267</f>
        <v>15934.379893199999</v>
      </c>
      <c r="J10" s="73" ph="1">
        <f>J9*290.8*0.7892</f>
        <v>1505.5158016</v>
      </c>
      <c r="K10" s="73" ph="1">
        <f>K9*290.8*1.1126</f>
        <v>20205.327796000005</v>
      </c>
      <c r="L10" s="73" ph="1">
        <f>L9*290.8*0.777</f>
        <v>1879.9173120000003</v>
      </c>
      <c r="M10" s="73" ph="1">
        <f>M9*33.183*LOOKUP(M11,密度!$A$2:$A$50,密度!$D$2:$D$50)</f>
        <v>69921.565086600007</v>
      </c>
      <c r="N10" s="73" ph="1">
        <f>N9*33.183*LOOKUP(N11,密度!$A$2:$A$50,密度!$E$2:$E$50)</f>
        <v>56487.566905200001</v>
      </c>
      <c r="O10" s="73" ph="1">
        <f>O9*20.428*LOOKUP(O11,密度!$A$2:$A$50,密度!$C$2:$C$50)</f>
        <v>108082.28049199999</v>
      </c>
      <c r="P10" s="73" ph="1">
        <f>P9*51.53*LOOKUP(P11,密度!$A$2:$A$50,密度!$B$2:$B$50)</f>
        <v>199318.09668299998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30122.669253600001</v>
      </c>
      <c r="S10" s="73" ph="1">
        <f>S9*1.5*1.5*3.1416*LOOKUP(S11,密度!$A$2:$A$50,密度!$L$2:$L$50)</f>
        <v>47851.424913599993</v>
      </c>
      <c r="T10" s="73" ph="1">
        <f>T9*1.5*1.5*3.1416*LOOKUP(T11,密度!$A$2:$A$50,密度!$L$2:$L$50)</f>
        <v>47965.992782399997</v>
      </c>
      <c r="U10" s="73" ph="1">
        <f>U9*1.5*1.5*3.1416*LOOKUP(U11,密度!$A$2:$A$50,密度!$L$2:$L$50)</f>
        <v>40172.479577999999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3489.1175087999995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13.3172424</v>
      </c>
      <c r="Z10" s="73" ph="1">
        <f>Z9*33.183*LOOKUP(Z11,密度!$A$2:$A$50,密度!$L$2:$L$50)</f>
        <v>111296.84385599999</v>
      </c>
      <c r="AA10" s="73" ph="1">
        <f>AA9*33.183*LOOKUP(AA11,密度!$A$2:$A$50,密度!$D$2:$D$50)</f>
        <v>145010.14137899998</v>
      </c>
      <c r="AB10" s="73" ph="1">
        <f>AB9*20.428*LOOKUP(AB11,密度!$A$2:$A$50,密度!$D$2:$D$50)</f>
        <v>108044.08013199999</v>
      </c>
      <c r="AC10" s="73" ph="1">
        <f>AC9*51.53*LOOKUP(AC11,密度!$A$2:$A$50,密度!$Q$2:$Q$50)</f>
        <v>321176.67198910005</v>
      </c>
      <c r="AD10" s="73" ph="1">
        <f>AD9*20.428*LOOKUP(AD11,密度!$A$2:$A$50,密度!$V$2:$V$50)</f>
        <v>94130.589760000003</v>
      </c>
      <c r="AE10" s="73" ph="1">
        <f>AE9*20.428</f>
        <v>74460.06</v>
      </c>
    </row>
    <row r="11" spans="1:99" ph="1">
      <c r="A11" s="64" t="s" ph="1">
        <v>162</v>
      </c>
      <c r="B11" s="238" ph="1"/>
      <c r="C11" s="150" t="s" ph="1">
        <v>179</v>
      </c>
      <c r="D11" s="74">
        <v>20</v>
      </c>
      <c r="E11" s="74">
        <v>18</v>
      </c>
      <c r="F11" s="74">
        <v>17</v>
      </c>
      <c r="G11" s="74">
        <v>20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13</v>
      </c>
      <c r="P11" s="74">
        <v>18</v>
      </c>
      <c r="Q11" s="74">
        <v>21</v>
      </c>
      <c r="R11" s="74">
        <v>25</v>
      </c>
      <c r="S11" s="74">
        <v>16</v>
      </c>
      <c r="T11" s="74">
        <v>14</v>
      </c>
      <c r="U11" s="74">
        <v>17</v>
      </c>
      <c r="V11" s="74">
        <v>26</v>
      </c>
      <c r="W11" s="74">
        <v>20</v>
      </c>
      <c r="X11" s="74">
        <v>10</v>
      </c>
      <c r="Y11" s="74">
        <v>20</v>
      </c>
      <c r="Z11" s="74">
        <v>18</v>
      </c>
      <c r="AA11" s="74">
        <v>18</v>
      </c>
      <c r="AB11" s="74">
        <v>11</v>
      </c>
      <c r="AC11" s="74">
        <v>18</v>
      </c>
      <c r="AD11" s="74">
        <v>17</v>
      </c>
      <c r="AE11" s="74">
        <v>20</v>
      </c>
    </row>
    <row r="12" spans="1:99" ht="9.9" customHeight="1" ph="1"/>
    <row r="13" spans="1:99" s="72" customFormat="1" ht="29.25" customHeight="1" ph="1">
      <c r="B13" s="215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0" t="s" ph="1">
        <v>177</v>
      </c>
      <c r="D15" s="78">
        <v>1515</v>
      </c>
      <c r="E15" s="78">
        <v>898</v>
      </c>
      <c r="F15" s="78">
        <v>2190</v>
      </c>
      <c r="G15" s="78">
        <v>3975</v>
      </c>
      <c r="H15" s="78">
        <v>0</v>
      </c>
      <c r="I15" s="78">
        <v>5222</v>
      </c>
      <c r="J15" s="78">
        <v>0</v>
      </c>
      <c r="K15" s="78">
        <v>3579</v>
      </c>
      <c r="L15" s="78">
        <v>3710</v>
      </c>
      <c r="M15" s="78">
        <v>6105</v>
      </c>
      <c r="N15" s="78">
        <v>420</v>
      </c>
      <c r="O15" s="78">
        <v>4435</v>
      </c>
      <c r="P15" s="78">
        <v>3429</v>
      </c>
      <c r="Q15" s="78">
        <v>6925</v>
      </c>
      <c r="R15" s="78">
        <v>7365</v>
      </c>
      <c r="S15" s="78">
        <v>1117</v>
      </c>
      <c r="T15" s="78">
        <v>1272</v>
      </c>
      <c r="U15" s="78">
        <v>6221</v>
      </c>
      <c r="V15" s="78">
        <v>4968</v>
      </c>
      <c r="W15" s="71">
        <v>-171</v>
      </c>
      <c r="X15" s="78">
        <v>93</v>
      </c>
      <c r="Y15" s="106">
        <v>-9900</v>
      </c>
      <c r="Z15" s="78">
        <v>0</v>
      </c>
      <c r="AA15" s="78">
        <v>11</v>
      </c>
      <c r="AB15" s="78" ph="1">
        <v>6950</v>
      </c>
      <c r="AC15" s="78" ph="1">
        <v>2143</v>
      </c>
      <c r="AD15" s="78">
        <v>5.87</v>
      </c>
      <c r="AE15" s="78">
        <v>60.88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0" t="s" ph="1">
        <v>178</v>
      </c>
      <c r="D16" s="73" ph="1">
        <f>D15*7.0686*LOOKUP(D17,密度!$A$2:$A$50,密度!$L$2:$L$50)</f>
        <v>10098.520047</v>
      </c>
      <c r="E16" s="73" ph="1">
        <f>E15*7.0686*LOOKUP(E17,密度!$A$2:$A$50,密度!$L$2:$L$50)</f>
        <v>5985.789440399999</v>
      </c>
      <c r="F16" s="73" ph="1">
        <f>F15*9.0746*LOOKUP(F17,密度!$A$2:$A$50,密度!$L$2:$L$50)</f>
        <v>18700.844933999997</v>
      </c>
      <c r="G16" s="73" ph="1">
        <f>G15*9.0746*LOOKUP(G17,密度!$A$2:$A$50,密度!$B$2:$B$50)</f>
        <v>28341.405049500001</v>
      </c>
      <c r="H16" s="73" ph="1">
        <f>H15*9.0746*LOOKUP(H17,密度!$A$2:$A$50,密度!$L$2:$L$50)</f>
        <v>0</v>
      </c>
      <c r="I16" s="73" ph="1">
        <f>I15*9.0746*LOOKUP(I17,密度!$A$2:$A$50,密度!$U$2:$U$50)</f>
        <v>48714.412913600005</v>
      </c>
      <c r="J16" s="73" ph="1">
        <f>J15*9.0746*LOOKUP(J17,密度!$A$2:$A$50,密度!$L$2:$L$50)</f>
        <v>0</v>
      </c>
      <c r="K16" s="73" ph="1">
        <f>K15*9.0746*LOOKUP(K17,密度!$A$2:$A$50,密度!$C$2:$C$50)</f>
        <v>36177.236848259992</v>
      </c>
      <c r="L16" s="73" ph="1">
        <f>L15*9.0746*LOOKUP(L17,密度!$A$2:$A$50,密度!$E$2:$E$50)</f>
        <v>26643.878612400003</v>
      </c>
      <c r="M16" s="73" ph="1">
        <f>M15*9.0746*LOOKUP(M17,密度!$A$2:$A$50,密度!$M$2:$M$50)</f>
        <v>48769.001169900002</v>
      </c>
      <c r="N16" s="73" ph="1">
        <f>N15*9.0746*LOOKUP(N17,密度!$A$2:$A$50,密度!$M$2:$M$50)</f>
        <v>3355.1155595999999</v>
      </c>
      <c r="O16" s="73" ph="1">
        <f>O15*9.0746*LOOKUP(O17,密度!$A$2:$A$50,密度!$G$2:$G$50)</f>
        <v>38873.467480899999</v>
      </c>
      <c r="P16" s="73" ph="1">
        <f ca="1">P15*9.0746*LOOKUP(P17,密度!$A$2:$A$51,密度!$Q$2:$Q$50)</f>
        <v>29599.236898182</v>
      </c>
      <c r="Q16" s="73" ph="1">
        <f>Q15*9.0746*LOOKUP(Q17,密度!$A$2:$A$50,密度!$Q$2:$Q$50)</f>
        <v>59776.819924150004</v>
      </c>
      <c r="R16" s="73" ph="1">
        <f>MAX(R15*9.0746*LOOKUP(R17,密度!$A$2:$A$50,密度!$B$2:$B$50),0)</f>
        <v>52404.875778900001</v>
      </c>
      <c r="S16" s="73" ph="1">
        <f>S15*9.0746*LOOKUP(S17,密度!$A$2:$A$50,密度!$Q$2:$Q$50)</f>
        <v>9649.8858096820004</v>
      </c>
      <c r="T16" s="73" ph="1">
        <f>T15*9.0746*LOOKUP(T17,密度!$A$2:$A$50,密度!$O$2:$O$50)</f>
        <v>10781.060380800001</v>
      </c>
      <c r="U16" s="73" ph="1">
        <f>U15*9.0746*LOOKUP(U17,密度!$A$2:$A$50,密度!$H$2:$H$50)</f>
        <v>52145.71609242</v>
      </c>
      <c r="V16" s="73" ph="1">
        <f>MAX(5600*LOOKUP(V17,密度!$A$2:$A$50,密度!$Q$2:$Q$50)+V15*9.0476*LOOKUP(V17,密度!$A$2:$A$50,密度!$Q$2:$Q$50),0)</f>
        <v>48005.382932191998</v>
      </c>
      <c r="W16" s="73" ph="1">
        <f>MAX(5600*LOOKUP(W17,密度!$A$2:$A$50,密度!$Q$2:$Q$50)+W15*9.0476*LOOKUP(W17,密度!$A$2:$A$50,密度!$Q$2:$Q$50),0)</f>
        <v>3848.9609932760004</v>
      </c>
      <c r="X16" s="73" ph="1">
        <f>MAX(5600*LOOKUP(X17,密度!$A$2:$A$50,密度!$I$2:$I$50)+X15*9.0476*LOOKUP(X17,密度!$A$2:$A$50,密度!$I$2:$I$50),0)</f>
        <v>6728.7144352800005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78.498919839999999</v>
      </c>
      <c r="AB16" s="73" ph="1">
        <f>AB15*9.0746*LOOKUP(AB17,密度!$A$2:$A$50,密度!$L$2:$L$50)</f>
        <v>59473.567210000001</v>
      </c>
      <c r="AC16" s="73" ph="1">
        <f>AC15*9.0746*LOOKUP(AC17,密度!$A$2:$A$50,密度!$L$2:$L$50)</f>
        <v>18357.843203199998</v>
      </c>
      <c r="AD16" s="73" ph="1">
        <f>AD15*268.68*LOOKUP(AD17,密度!$A$2:$A$50,密度!B2:B50)+IF(AD15&lt;=0,0,1566*LOOKUP(AD17,密度!$A$2:$A$50,密度!B2:B50))</f>
        <v>2450.4009873599998</v>
      </c>
      <c r="AE16" s="73" ph="1">
        <f>AE15*268.68*LOOKUP(AE17,密度!$A$2:$A$50,密度!B2:B50)+IF(AE15&lt;=0,0,1566*LOOKUP(AE17,密度!$A$2:$A$50,密度!B2:B50))</f>
        <v>13972.956656640001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19</v>
      </c>
      <c r="E17" s="74">
        <v>19</v>
      </c>
      <c r="F17" s="74">
        <v>21</v>
      </c>
      <c r="G17" s="74">
        <v>18</v>
      </c>
      <c r="H17" s="74">
        <v>15</v>
      </c>
      <c r="I17" s="74">
        <v>17</v>
      </c>
      <c r="J17" s="74">
        <v>19</v>
      </c>
      <c r="K17" s="74">
        <v>18</v>
      </c>
      <c r="L17" s="74">
        <v>18</v>
      </c>
      <c r="M17" s="74">
        <v>20</v>
      </c>
      <c r="N17" s="74">
        <v>17</v>
      </c>
      <c r="O17" s="74">
        <v>20</v>
      </c>
      <c r="P17" s="74">
        <v>19</v>
      </c>
      <c r="Q17" s="74">
        <v>19</v>
      </c>
      <c r="R17" s="74">
        <v>20</v>
      </c>
      <c r="S17" s="74">
        <v>18</v>
      </c>
      <c r="T17" s="74">
        <v>18</v>
      </c>
      <c r="U17" s="74">
        <v>16</v>
      </c>
      <c r="V17" s="74">
        <v>21</v>
      </c>
      <c r="W17" s="74">
        <v>21</v>
      </c>
      <c r="X17" s="74">
        <v>23</v>
      </c>
      <c r="Y17" s="108">
        <v>23</v>
      </c>
      <c r="Z17" s="74">
        <v>19</v>
      </c>
      <c r="AA17" s="74">
        <v>17</v>
      </c>
      <c r="AB17" s="74">
        <v>19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1091</v>
      </c>
      <c r="E18" s="71">
        <v>62</v>
      </c>
      <c r="F18" s="71">
        <v>2355</v>
      </c>
      <c r="G18" s="71">
        <v>1179</v>
      </c>
      <c r="H18" s="71">
        <v>0</v>
      </c>
      <c r="I18" s="71">
        <v>5222</v>
      </c>
      <c r="J18" s="71">
        <v>0</v>
      </c>
      <c r="K18" s="71">
        <v>3579</v>
      </c>
      <c r="L18" s="71">
        <v>3710</v>
      </c>
      <c r="M18" s="71">
        <v>5169</v>
      </c>
      <c r="N18" s="71">
        <v>2047</v>
      </c>
      <c r="O18" s="71">
        <v>4435</v>
      </c>
      <c r="P18" s="71">
        <v>1657</v>
      </c>
      <c r="Q18" s="71">
        <v>6927</v>
      </c>
      <c r="R18" s="71">
        <v>7366</v>
      </c>
      <c r="S18" s="71">
        <v>1182</v>
      </c>
      <c r="T18" s="71">
        <v>391</v>
      </c>
      <c r="U18" s="71">
        <v>6221</v>
      </c>
      <c r="V18" s="71">
        <v>4966</v>
      </c>
      <c r="W18" s="71">
        <v>-171</v>
      </c>
      <c r="X18" s="71">
        <v>92</v>
      </c>
      <c r="Y18" s="109">
        <v>-9900</v>
      </c>
      <c r="Z18" s="71">
        <v>0</v>
      </c>
      <c r="AA18" s="71">
        <v>10</v>
      </c>
      <c r="AB18" s="71">
        <v>6950</v>
      </c>
      <c r="AC18" s="71">
        <v>2144</v>
      </c>
      <c r="AD18" s="71">
        <v>35</v>
      </c>
      <c r="AE18" s="71">
        <v>84.05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0" t="s" ph="1">
        <v>178</v>
      </c>
      <c r="D19" s="73" ph="1">
        <f>D18*7.0686*LOOKUP(D20,密度!$A$2:$A$50,密度!$L$2:$L$50)</f>
        <v>7264.5557291999994</v>
      </c>
      <c r="E19" s="73" ph="1">
        <f>E18*7.0686*LOOKUP(E20,密度!$A$2:$A$50,密度!$L$2:$L$50)</f>
        <v>412.83451439999999</v>
      </c>
      <c r="F19" s="73" ph="1">
        <f>F18*9.0746*LOOKUP(F20,密度!$A$2:$A$50,密度!$L$2:$L$50)</f>
        <v>20045.700654</v>
      </c>
      <c r="G19" s="73" ph="1">
        <f>G18*9.0746*LOOKUP(G20,密度!$A$2:$A$50,密度!$B$2:$B$50)</f>
        <v>8397.6085236600011</v>
      </c>
      <c r="H19" s="73" ph="1">
        <f>H18*9.0746*LOOKUP(H20,密度!$A$2:$A$50,密度!$L$2:$L$50)</f>
        <v>0</v>
      </c>
      <c r="I19" s="73" ph="1">
        <f>I18*9.0746*LOOKUP(I20,密度!$A$2:$A$50,密度!$U$2:$U$50)</f>
        <v>48714.412913600005</v>
      </c>
      <c r="J19" s="73" ph="1">
        <f>J18*9.0746*LOOKUP(J20,密度!$A$2:$A$50,密度!$L$2:$L$50)</f>
        <v>0</v>
      </c>
      <c r="K19" s="73" ph="1">
        <f>K18*9.0746*LOOKUP(K20,密度!$A$2:$A$50,密度!$C$2:$C$50)</f>
        <v>36154.502252879996</v>
      </c>
      <c r="L19" s="73" ph="1">
        <f>L18*9.0746*LOOKUP(L20,密度!$A$2:$A$50,密度!$E$2:$E$50)</f>
        <v>26643.878612400003</v>
      </c>
      <c r="M19" s="73" ph="1">
        <f>M18*9.0746*LOOKUP(M20,密度!$A$2:$A$50,密度!$M$2:$M$50)</f>
        <v>41291.886494220002</v>
      </c>
      <c r="N19" s="73" ph="1">
        <f>N18*9.0746*LOOKUP(N20,密度!$A$2:$A$50,密度!$M$2:$M$50)</f>
        <v>16352.19416786</v>
      </c>
      <c r="O19" s="73" ph="1">
        <f>O18*9.0746*LOOKUP(O20,密度!$A$2:$A$50,密度!$G$2:$G$50)</f>
        <v>38873.467480899999</v>
      </c>
      <c r="P19" s="73" ph="1">
        <f ca="1">P18*9.0746*LOOKUP(P20,密度!$A$2:$A$51,密度!$Q$2:$Q$50)</f>
        <v>14303.276623006001</v>
      </c>
      <c r="Q19" s="73" ph="1">
        <f>Q18*9.0746*LOOKUP(Q20,密度!$A$2:$A$50,密度!$Q$2:$Q$50)</f>
        <v>59740.653196596002</v>
      </c>
      <c r="R19" s="73" ph="1">
        <f>MAX(R18*9.0746*LOOKUP(R20,密度!$A$2:$A$50,密度!$B$2:$B$50),0)</f>
        <v>52411.991172759997</v>
      </c>
      <c r="S19" s="73" ph="1">
        <f>S18*9.0746*LOOKUP(S20,密度!$A$2:$A$50,密度!$Q$2:$Q$50)</f>
        <v>10193.944287336</v>
      </c>
      <c r="T19" s="73" ph="1">
        <f>T18*9.0746*LOOKUP(T20,密度!$A$2:$A$50,密度!$O$2:$O$50)</f>
        <v>3299.7967980000003</v>
      </c>
      <c r="U19" s="73" ph="1">
        <f>U18*9.0746*LOOKUP(U20,密度!$A$2:$A$50,密度!$H$2:$H$50)</f>
        <v>52089.263005820001</v>
      </c>
      <c r="V19" s="73" ph="1">
        <f>MAX(5600*LOOKUP(V20,密度!$A$2:$A$50,密度!$Q$2:$Q$50)+V18*9.0476*LOOKUP(V20,密度!$A$2:$A$50,密度!$Q$2:$Q$50),0)</f>
        <v>47988.198101704002</v>
      </c>
      <c r="W19" s="73" ph="1">
        <f>MAX(5600*LOOKUP(W20,密度!$A$2:$A$50,密度!$Q$2:$Q$50)+W18*9.0476*LOOKUP(W20,密度!$A$2:$A$50,密度!$Q$2:$Q$50),0)</f>
        <v>3848.9609932760004</v>
      </c>
      <c r="X19" s="73" ph="1">
        <f>MAX(5600*LOOKUP(X20,密度!$A$2:$A$50,密度!$I$2:$I$50)+X18*9.0476*LOOKUP(X20,密度!$A$2:$A$50,密度!$I$2:$I$50),0)</f>
        <v>6726.3389294400004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71.299132200000003</v>
      </c>
      <c r="AB19" s="73" ph="1">
        <f>AB18*9.0746*LOOKUP(AB20,密度!$A$2:$A$50,密度!$L$2:$L$50)</f>
        <v>59410.498739999995</v>
      </c>
      <c r="AC19" s="73" ph="1">
        <f>AC18*9.0746*LOOKUP(AC20,密度!$A$2:$A$50,密度!$L$2:$L$50)</f>
        <v>18366.409625599998</v>
      </c>
      <c r="AD19" s="73" ph="1">
        <f>AD18*268.68*LOOKUP(AD20,密度!$A$2:$A$50,密度!B5:B53)+IF(AD18&lt;=0,0,1566*LOOKUP(AD20,密度!$A$2:$A$50,密度!B5:B53))</f>
        <v>8523.5346000000009</v>
      </c>
      <c r="AE19" s="73" ph="1">
        <f>AE18*268.68*LOOKUP(AE20,密度!$A$2:$A$50,密度!B5:B53)+IF(AE18&lt;=0,0,1566*LOOKUP(AE20,密度!$A$2:$A$50,密度!B5:B53))</f>
        <v>18763.426457999998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20</v>
      </c>
      <c r="E20" s="81">
        <v>20</v>
      </c>
      <c r="F20" s="81">
        <v>24</v>
      </c>
      <c r="G20" s="81">
        <v>19</v>
      </c>
      <c r="H20" s="81">
        <v>16</v>
      </c>
      <c r="I20" s="81">
        <v>19</v>
      </c>
      <c r="J20" s="81">
        <v>20</v>
      </c>
      <c r="K20" s="81">
        <v>19</v>
      </c>
      <c r="L20" s="81">
        <v>18</v>
      </c>
      <c r="M20" s="81">
        <v>19</v>
      </c>
      <c r="N20" s="81">
        <v>18</v>
      </c>
      <c r="O20" s="81">
        <v>20</v>
      </c>
      <c r="P20" s="81">
        <v>19</v>
      </c>
      <c r="Q20" s="81">
        <v>20</v>
      </c>
      <c r="R20" s="81">
        <v>20</v>
      </c>
      <c r="S20" s="81">
        <v>20</v>
      </c>
      <c r="T20" s="81">
        <v>20</v>
      </c>
      <c r="U20" s="81">
        <v>17</v>
      </c>
      <c r="V20" s="81">
        <v>21</v>
      </c>
      <c r="W20" s="81">
        <v>21</v>
      </c>
      <c r="X20" s="81">
        <v>22</v>
      </c>
      <c r="Y20" s="110">
        <v>22</v>
      </c>
      <c r="Z20" s="81">
        <v>20</v>
      </c>
      <c r="AA20" s="81">
        <v>18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642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0" t="s" ph="1">
        <v>177</v>
      </c>
      <c r="D24" s="71">
        <v>50.83</v>
      </c>
      <c r="E24" s="71">
        <v>5.4</v>
      </c>
      <c r="F24" s="71">
        <v>3182</v>
      </c>
      <c r="G24" s="71">
        <v>3879</v>
      </c>
      <c r="H24" s="71">
        <v>3752</v>
      </c>
      <c r="I24" s="71">
        <v>2384</v>
      </c>
      <c r="J24" s="71">
        <v>466</v>
      </c>
      <c r="K24" s="71">
        <v>3871</v>
      </c>
      <c r="L24" s="71">
        <v>468</v>
      </c>
      <c r="M24" s="71">
        <v>2707</v>
      </c>
      <c r="N24" s="71">
        <v>446</v>
      </c>
      <c r="O24" s="71">
        <v>5726</v>
      </c>
      <c r="P24" s="71">
        <v>356</v>
      </c>
      <c r="Q24" s="90">
        <v>1577</v>
      </c>
      <c r="R24" s="71">
        <v>6208</v>
      </c>
      <c r="S24" s="71">
        <v>2583</v>
      </c>
      <c r="T24" s="71">
        <v>215</v>
      </c>
      <c r="U24" s="71">
        <v>5345</v>
      </c>
      <c r="V24" s="71">
        <v>1210</v>
      </c>
      <c r="W24" s="71">
        <v>105</v>
      </c>
      <c r="X24" s="71">
        <v>7838</v>
      </c>
      <c r="Y24" s="71">
        <v>9623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14412.227185656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35448.819685640003</v>
      </c>
      <c r="G25" s="91" ph="1">
        <f>G24*18.322*LOOKUP(G26,密度!$A$2:$A$50,密度!$B$2:$B$50)</f>
        <v>55726.800895799999</v>
      </c>
      <c r="H25" s="91" ph="1">
        <f>H24*18.322*LOOKUP(H26,密度!$A$2:$A$50,密度!$B$2:$B$50)</f>
        <v>53957.278625600004</v>
      </c>
      <c r="I25" s="91" ph="1">
        <f>I24*18.322*LOOKUP(I26,密度!$A$2:$A$50,密度!$Q$2:$Q$50)</f>
        <v>41583.461692479999</v>
      </c>
      <c r="J25" s="91" ph="1">
        <f>J24*18.322*LOOKUP(J26,密度!$A$2:$A$50,密度!$Q$2:$Q$50)</f>
        <v>8121.6512039600002</v>
      </c>
      <c r="K25" s="91" ph="1">
        <f>K24*18.322*LOOKUP(K26,密度!$A$2:$A$50,密度!$Q$2:$Q$50)</f>
        <v>67465.475988260005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47217.462584539993</v>
      </c>
      <c r="N25" s="91" ph="1">
        <f>N24*18.322*LOOKUP(N26,密度!$A$2:$A$50,密度!$Q$2:$Q$50)</f>
        <v>7792.4492031999998</v>
      </c>
      <c r="O25" s="91" ph="1">
        <f>O24*18.322*LOOKUP(O26,密度!$A$2:$A$50,密度!$C$2:$C$50)</f>
        <v>116924.16989400001</v>
      </c>
      <c r="P25" s="91" ph="1">
        <f>P24*11.702*LOOKUP(P26,密度!$A$2:$A$50,密度!$B$2:$B$50)</f>
        <v>3276.0731968</v>
      </c>
      <c r="Q25" s="92" ph="1">
        <f>Q24*18.322*LOOKUP(Q26,密度!$A$2:$A$50,密度!$B$2:$B$50)</f>
        <v>22701.853945799998</v>
      </c>
      <c r="R25" s="91" ph="1">
        <f>R24*35.891*LOOKUP(R26,密度!$A$2:$A$50,密度!$C$2:$C$50)</f>
        <v>247899.88353279998</v>
      </c>
      <c r="S25" s="91" ph="1">
        <f>S24*35.891*LOOKUP(S26,密度!$A$2:$A$50,密度!$B$2:$B$50)</f>
        <v>72765.294959699997</v>
      </c>
      <c r="T25" s="91" ph="1">
        <f>T24*35.891*LOOKUP(T26,密度!$A$2:$A$50,密度!$Q$2:$Q$50)</f>
        <v>7340.2281249500002</v>
      </c>
      <c r="U25" s="91" ph="1">
        <f>U24*35.891</f>
        <v>191837.39499999999</v>
      </c>
      <c r="V25" s="91" ph="1">
        <f>V24*47.051*LOOKUP(V26,密度!$A$2:$A$50,密度!$B$2:$B$50)</f>
        <v>44862.187480000001</v>
      </c>
      <c r="W25" s="91" ph="1">
        <f>W24*47.051*LOOKUP(W26,密度!$A$2:$A$50,密度!$B$2:$B$50)</f>
        <v>3877.6846395000007</v>
      </c>
      <c r="X25" s="91" ph="1">
        <f>X24*47.051*LOOKUP(X26,密度!$A$2:$A$61,密度!$I$2:$I$61)</f>
        <v>376124.57418620004</v>
      </c>
      <c r="Y25" s="91" ph="1">
        <f>Y24*47.051*LOOKUP(Y26,密度!$A$2:$A$50,密度!$L$2:$L$50)</f>
        <v>425605.46662000002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20</v>
      </c>
      <c r="H26" s="74">
        <v>19</v>
      </c>
      <c r="I26" s="74">
        <v>18</v>
      </c>
      <c r="J26" s="74">
        <v>19</v>
      </c>
      <c r="K26" s="74">
        <v>19</v>
      </c>
      <c r="L26" s="74">
        <v>18</v>
      </c>
      <c r="M26" s="74">
        <v>18</v>
      </c>
      <c r="N26" s="74">
        <v>16</v>
      </c>
      <c r="O26" s="74">
        <v>17</v>
      </c>
      <c r="P26" s="74">
        <v>17</v>
      </c>
      <c r="Q26" s="93">
        <v>18</v>
      </c>
      <c r="R26" s="74">
        <v>20</v>
      </c>
      <c r="S26" s="74">
        <v>19</v>
      </c>
      <c r="T26" s="74">
        <v>19</v>
      </c>
      <c r="U26" s="74">
        <v>20</v>
      </c>
      <c r="V26" s="74">
        <v>15</v>
      </c>
      <c r="W26" s="74">
        <v>19</v>
      </c>
      <c r="X26" s="74">
        <v>45</v>
      </c>
      <c r="Y26" s="74">
        <v>22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0" t="s" ph="1">
        <v>180</v>
      </c>
      <c r="D27" s="71">
        <v>13.34</v>
      </c>
      <c r="E27" s="71">
        <v>5.39</v>
      </c>
      <c r="F27" s="71">
        <v>2203</v>
      </c>
      <c r="G27" s="71">
        <v>3473</v>
      </c>
      <c r="H27" s="71">
        <v>3195</v>
      </c>
      <c r="I27" s="71">
        <v>2384</v>
      </c>
      <c r="J27" s="71">
        <v>2460</v>
      </c>
      <c r="K27" s="71">
        <v>4996</v>
      </c>
      <c r="L27" s="71">
        <v>467</v>
      </c>
      <c r="M27" s="71">
        <v>2084</v>
      </c>
      <c r="N27" s="71">
        <v>446</v>
      </c>
      <c r="O27" s="71">
        <v>5725</v>
      </c>
      <c r="P27" s="71">
        <v>355</v>
      </c>
      <c r="Q27" s="90">
        <v>1864</v>
      </c>
      <c r="R27" s="71">
        <v>5688</v>
      </c>
      <c r="S27" s="71">
        <v>2413</v>
      </c>
      <c r="T27" s="71">
        <v>215</v>
      </c>
      <c r="U27" s="71">
        <v>5298</v>
      </c>
      <c r="V27" s="71">
        <v>2630</v>
      </c>
      <c r="W27" s="71">
        <v>104</v>
      </c>
      <c r="X27" s="71">
        <v>7714</v>
      </c>
      <c r="Y27" s="71">
        <v>8010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0" t="s" ph="1">
        <v>178</v>
      </c>
      <c r="D28" s="91" ph="1">
        <f>D27*268.68*LOOKUP(D29,密度!$A$2:$A$50,密度!$Q$2:$Q$50)+IF(D27&lt;=0,0,1566*LOOKUP(D29,密度!$A$2:$A$50,密度!$Q$2:$Q$50))</f>
        <v>4875.8920166880007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24500.326912280001</v>
      </c>
      <c r="G28" s="91" ph="1">
        <f>G27*18.322*LOOKUP(G29,密度!$A$2:$A$50,密度!$B$2:$B$50)</f>
        <v>49944.996979399999</v>
      </c>
      <c r="H28" s="91" ph="1">
        <f>H27*18.322*LOOKUP(H29,密度!$A$2:$A$50,密度!$B$2:$B$50)</f>
        <v>45993.927302999997</v>
      </c>
      <c r="I28" s="91" ph="1">
        <f>I27*18.322*LOOKUP(I29,密度!$A$2:$A$50,密度!$Q$2:$Q$50)</f>
        <v>41617.968614400001</v>
      </c>
      <c r="J28" s="91" ph="1">
        <f>J27*18.322*LOOKUP(J29,密度!$A$2:$A$50,密度!$Q$2:$Q$50)</f>
        <v>42944.715935999993</v>
      </c>
      <c r="K28" s="91" ph="1">
        <f>K27*18.322*LOOKUP(K29,密度!$A$2:$A$50,密度!$Q$2:$Q$50)</f>
        <v>87143.86519112</v>
      </c>
      <c r="L28" s="91" ph="1">
        <f>L27*18.322*LOOKUP(L29,密度!$A$2:$A$50,密度!$Q$2:$Q$50)</f>
        <v>8145.7536117400005</v>
      </c>
      <c r="M28" s="91" ph="1">
        <f>M27*18.322*LOOKUP(M29,密度!$A$2:$A$50,密度!$Q$2:$Q$50)</f>
        <v>36350.643526479995</v>
      </c>
      <c r="N28" s="91" ph="1">
        <f>N27*18.322*LOOKUP(N29,密度!$A$2:$A$50,密度!$Q$2:$Q$50)</f>
        <v>7785.9119135999999</v>
      </c>
      <c r="O28" s="91" ph="1">
        <f>O27*18.322*LOOKUP(O29,密度!$A$2:$A$50,密度!$C$2:$C$50)</f>
        <v>116704.45247</v>
      </c>
      <c r="P28" s="91" ph="1">
        <f>P27*11.702*LOOKUP(P29,密度!$A$2:$A$50,密度!$B$2:$B$50)</f>
        <v>3260.6394290000003</v>
      </c>
      <c r="Q28" s="92" ph="1">
        <f>Q27*18.322*LOOKUP(Q29,密度!$A$2:$A$50,密度!$B$2:$B$50)</f>
        <v>26748.009305600001</v>
      </c>
      <c r="R28" s="91" ph="1">
        <f>R27*35.891*LOOKUP(R29,密度!$A$2:$A$50,密度!$C$2:$C$50)</f>
        <v>227135.07370080001</v>
      </c>
      <c r="S28" s="91" ph="1">
        <f>S27*35.891*LOOKUP(S29,密度!$A$2:$A$50,密度!$B$2:$B$50)</f>
        <v>67976.251156700004</v>
      </c>
      <c r="T28" s="91" ph="1">
        <f>T27*35.891*LOOKUP(T29,密度!$A$2:$A$50,密度!$Q$2:$Q$50)</f>
        <v>7340.2281249500002</v>
      </c>
      <c r="U28" s="91" ph="1">
        <f>U27*35.891</f>
        <v>190150.51799999998</v>
      </c>
      <c r="V28" s="91" ph="1">
        <f>V27*47.051*LOOKUP(V29,密度!$A$2:$A$50,密度!$B$2:$B$50)</f>
        <v>97510.374440000014</v>
      </c>
      <c r="W28" s="91" ph="1">
        <f>W27*47.051*LOOKUP(W29,密度!$A$2:$A$50,密度!$B$2:$B$50)</f>
        <v>3840.7543096000004</v>
      </c>
      <c r="X28" s="91" ph="1">
        <f>X27*47.051*LOOKUP(X29,密度!$A$2:$A$61,密度!$I$2:$I$61)</f>
        <v>369774.90058319998</v>
      </c>
      <c r="Y28" s="91" ph="1">
        <f>Y27*47.051*LOOKUP(Y29,密度!$A$2:$A$50,密度!$L$2:$L$50)</f>
        <v>354265.79939999996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0" t="s" ph="1">
        <v>179</v>
      </c>
      <c r="D29" s="74">
        <v>25</v>
      </c>
      <c r="E29" s="74">
        <v>25</v>
      </c>
      <c r="F29" s="74">
        <v>20</v>
      </c>
      <c r="G29" s="74">
        <v>19</v>
      </c>
      <c r="H29" s="74">
        <v>18</v>
      </c>
      <c r="I29" s="74">
        <v>17</v>
      </c>
      <c r="J29" s="74">
        <v>17</v>
      </c>
      <c r="K29" s="74">
        <v>18</v>
      </c>
      <c r="L29" s="74">
        <v>18</v>
      </c>
      <c r="M29" s="74">
        <v>18</v>
      </c>
      <c r="N29" s="74">
        <v>17</v>
      </c>
      <c r="O29" s="74">
        <v>20</v>
      </c>
      <c r="P29" s="74">
        <v>19</v>
      </c>
      <c r="Q29" s="93">
        <v>21</v>
      </c>
      <c r="R29" s="74">
        <v>20</v>
      </c>
      <c r="S29" s="74">
        <v>19</v>
      </c>
      <c r="T29" s="74">
        <v>19</v>
      </c>
      <c r="U29" s="74">
        <v>19</v>
      </c>
      <c r="V29" s="74">
        <v>15</v>
      </c>
      <c r="W29" s="74">
        <v>19</v>
      </c>
      <c r="X29" s="74">
        <v>46</v>
      </c>
      <c r="Y29" s="74">
        <v>22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253054.22151099995</v>
      </c>
      <c r="E33" s="187" ph="1">
        <f>M10+I10</f>
        <v>85855.944979799999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3" ph="1">
        <f>N19</f>
        <v>16352.19416786</v>
      </c>
      <c r="H33" s="187" ph="1">
        <f>M19</f>
        <v>41291.886494220002</v>
      </c>
      <c r="I33" s="191" ph="1">
        <v>0</v>
      </c>
      <c r="J33" s="195" ph="1">
        <f>F10+O28</f>
        <v>290595.94882699999</v>
      </c>
      <c r="K33" s="187" ph="1">
        <f>O10+K10+E28+R28</f>
        <v>358765.11195707996</v>
      </c>
      <c r="L33" s="197" ph="1">
        <f>K19</f>
        <v>36154.502252879996</v>
      </c>
      <c r="M33" s="195" ph="1">
        <f>G10+H10+W28+S28+V28+E10+R19+P28+Q28</f>
        <v>779411.23139165994</v>
      </c>
      <c r="N33" s="187" ph="1">
        <f>L10+P10++G28+H28+AD19+AE19</f>
        <v>324423.89933539997</v>
      </c>
      <c r="O33" s="191" ph="1">
        <f>G19</f>
        <v>8397.6085236600011</v>
      </c>
      <c r="P33" s="195" ph="1">
        <f>L19</f>
        <v>26643.878612400003</v>
      </c>
      <c r="Q33" s="187" ph="1">
        <f>J10+N10</f>
        <v>57993.0827068</v>
      </c>
      <c r="R33" s="191" ph="1">
        <f>BE23</f>
        <v>890</v>
      </c>
      <c r="S33" s="195" ph="1">
        <f>X28</f>
        <v>369774.90058319998</v>
      </c>
      <c r="T33" s="187" ph="1">
        <f>X19</f>
        <v>6726.3389294400004</v>
      </c>
      <c r="U33" s="176" ph="1">
        <f>BE21</f>
        <v>730</v>
      </c>
      <c r="V33" s="189" ph="1">
        <f ca="1">P19+Q19+S19+M28+N28+J28+D10+AC10+D19+E19+H19+J19+O19+V19+W19+K28+L28</f>
        <v>874446.116548258</v>
      </c>
      <c r="W33" s="189" ph="1">
        <f>D28+F28+T28+I28</f>
        <v>78334.415668318004</v>
      </c>
      <c r="X33" s="191" ph="1">
        <f>BE29+BE31</f>
        <v>10200</v>
      </c>
      <c r="Y33" s="193" ph="1">
        <f>+Q10+R10+S10+T10+U10+V10+W10+X10+Y10</f>
        <v>169615.00127879999</v>
      </c>
      <c r="Z33" s="174" ph="1">
        <f>T19+U19+Y28+Z10</f>
        <v>520951.70305981993</v>
      </c>
      <c r="AA33" s="176" ph="1">
        <f>BE19</f>
        <v>1440</v>
      </c>
      <c r="AB33" s="178" ph="1">
        <f>I19</f>
        <v>48714.412913600005</v>
      </c>
      <c r="AC33" s="180" ph="1">
        <f>AD10+AB19</f>
        <v>153541.08850000001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48" t="s" ph="1">
        <v>185</v>
      </c>
      <c r="AA36" s="148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69" priority="100">
      <formula>ABS(D$7-D$10)&gt;=1000</formula>
    </cfRule>
  </conditionalFormatting>
  <conditionalFormatting sqref="E4 E6:E11">
    <cfRule type="expression" dxfId="2468" priority="99">
      <formula>ABS(E$7-E$10)&gt;=1000</formula>
    </cfRule>
  </conditionalFormatting>
  <conditionalFormatting sqref="F4:F11">
    <cfRule type="expression" dxfId="2467" priority="98">
      <formula>ABS(F$7-F$10)&gt;=1000</formula>
    </cfRule>
  </conditionalFormatting>
  <conditionalFormatting sqref="G4:G11">
    <cfRule type="expression" dxfId="2466" priority="97">
      <formula>ABS(G$7-G$10)&gt;=1000</formula>
    </cfRule>
  </conditionalFormatting>
  <conditionalFormatting sqref="H4:H11">
    <cfRule type="expression" dxfId="2465" priority="96">
      <formula>ABS(H$7-H$10)&gt;=1000</formula>
    </cfRule>
  </conditionalFormatting>
  <conditionalFormatting sqref="I4:I11">
    <cfRule type="expression" dxfId="2464" priority="95">
      <formula>ABS(I$7-I$10)&gt;=1000</formula>
    </cfRule>
  </conditionalFormatting>
  <conditionalFormatting sqref="J4:J11">
    <cfRule type="expression" dxfId="2463" priority="94">
      <formula>ABS(J$7-J$10)&gt;=1000</formula>
    </cfRule>
  </conditionalFormatting>
  <conditionalFormatting sqref="K4:K11">
    <cfRule type="expression" dxfId="2462" priority="93">
      <formula>ABS(K$7-K$10)&gt;=1000</formula>
    </cfRule>
  </conditionalFormatting>
  <conditionalFormatting sqref="L4:L11">
    <cfRule type="expression" dxfId="2461" priority="92">
      <formula>ABS(L$7-L$10)&gt;=1000</formula>
    </cfRule>
  </conditionalFormatting>
  <conditionalFormatting sqref="M4 M6:M11">
    <cfRule type="expression" dxfId="2460" priority="91">
      <formula>ABS(M$7-M$10)&gt;=1000</formula>
    </cfRule>
  </conditionalFormatting>
  <conditionalFormatting sqref="N4 N6:N11">
    <cfRule type="expression" dxfId="2459" priority="90">
      <formula>ABS(N$7-N$10)&gt;=1000</formula>
    </cfRule>
  </conditionalFormatting>
  <conditionalFormatting sqref="O4 O6:O11">
    <cfRule type="expression" dxfId="2458" priority="89">
      <formula>ABS(O$7-O$10)&gt;=1000</formula>
    </cfRule>
  </conditionalFormatting>
  <conditionalFormatting sqref="P4 P6:P11">
    <cfRule type="expression" dxfId="2457" priority="88">
      <formula>ABS(P$7-P$10)&gt;=1000</formula>
    </cfRule>
  </conditionalFormatting>
  <conditionalFormatting sqref="Q4:Q11">
    <cfRule type="expression" dxfId="2456" priority="87">
      <formula>ABS(Q$7-Q$10)&gt;=1000</formula>
    </cfRule>
  </conditionalFormatting>
  <conditionalFormatting sqref="R4:R11">
    <cfRule type="expression" dxfId="2455" priority="86">
      <formula>ABS(R$7-R$10)&gt;=1000</formula>
    </cfRule>
  </conditionalFormatting>
  <conditionalFormatting sqref="S4:S11">
    <cfRule type="expression" dxfId="2454" priority="85">
      <formula>ABS(S$7-S$10)&gt;=1000</formula>
    </cfRule>
  </conditionalFormatting>
  <conditionalFormatting sqref="T4:T9 T11">
    <cfRule type="expression" dxfId="2453" priority="84">
      <formula>ABS(T$7-T$10)&gt;=1000</formula>
    </cfRule>
  </conditionalFormatting>
  <conditionalFormatting sqref="U4:U9 U11">
    <cfRule type="expression" dxfId="2452" priority="83">
      <formula>ABS(U$7-U$10)&gt;=1000</formula>
    </cfRule>
  </conditionalFormatting>
  <conditionalFormatting sqref="V4:V9 V11">
    <cfRule type="expression" dxfId="2451" priority="82">
      <formula>ABS(V$7-V$10)&gt;=1000</formula>
    </cfRule>
  </conditionalFormatting>
  <conditionalFormatting sqref="W4:W9 W11">
    <cfRule type="expression" dxfId="2450" priority="81">
      <formula>ABS(W$7-W$10)&gt;=1000</formula>
    </cfRule>
  </conditionalFormatting>
  <conditionalFormatting sqref="X4:X9 X11">
    <cfRule type="expression" dxfId="2449" priority="80">
      <formula>ABS(X$7-X$10)&gt;=1000</formula>
    </cfRule>
  </conditionalFormatting>
  <conditionalFormatting sqref="Y4:Y9 Y11">
    <cfRule type="expression" dxfId="2448" priority="79">
      <formula>ABS(Y$7-Y$10)&gt;=1000</formula>
    </cfRule>
  </conditionalFormatting>
  <conditionalFormatting sqref="Z4:Z11">
    <cfRule type="expression" dxfId="2447" priority="78">
      <formula>ABS(Z$7-Z$10)&gt;=1000</formula>
    </cfRule>
  </conditionalFormatting>
  <conditionalFormatting sqref="AA4:AA11">
    <cfRule type="expression" dxfId="2446" priority="77">
      <formula>ABS(AA$7-AA$10)&gt;=1000</formula>
    </cfRule>
  </conditionalFormatting>
  <conditionalFormatting sqref="AB4:AB11">
    <cfRule type="expression" dxfId="2445" priority="76">
      <formula>ABS(AB$7-AB$10)&gt;=1000</formula>
    </cfRule>
  </conditionalFormatting>
  <conditionalFormatting sqref="AC4 AC6:AC11">
    <cfRule type="expression" dxfId="2444" priority="75">
      <formula>ABS(AC$7-AC$10)&gt;=1000</formula>
    </cfRule>
  </conditionalFormatting>
  <conditionalFormatting sqref="AD4 AD6:AD11">
    <cfRule type="expression" dxfId="2443" priority="74">
      <formula>ABS(AD$7-AD$10)&gt;=1000</formula>
    </cfRule>
  </conditionalFormatting>
  <conditionalFormatting sqref="AE4 AE6:AE11">
    <cfRule type="expression" dxfId="2442" priority="73">
      <formula>ABS(AE$7-AE$10)&gt;=1000</formula>
    </cfRule>
  </conditionalFormatting>
  <conditionalFormatting sqref="D13:D20">
    <cfRule type="expression" dxfId="2441" priority="72">
      <formula>ABS(D$16-D$19)&gt;=1000</formula>
    </cfRule>
  </conditionalFormatting>
  <conditionalFormatting sqref="E13:E20">
    <cfRule type="expression" dxfId="2440" priority="71">
      <formula>ABS(E$16-E$19)&gt;=1000</formula>
    </cfRule>
  </conditionalFormatting>
  <conditionalFormatting sqref="F13 F15:F20">
    <cfRule type="expression" dxfId="2439" priority="70">
      <formula>ABS(F$16-F$19)&gt;=1000</formula>
    </cfRule>
  </conditionalFormatting>
  <conditionalFormatting sqref="G13:G20">
    <cfRule type="expression" dxfId="2438" priority="69">
      <formula>ABS(G$16-G$19)&gt;=1000</formula>
    </cfRule>
  </conditionalFormatting>
  <conditionalFormatting sqref="H13 H15:H20">
    <cfRule type="expression" dxfId="2437" priority="68">
      <formula>ABS(H$16-H$19)&gt;=1000</formula>
    </cfRule>
  </conditionalFormatting>
  <conditionalFormatting sqref="I13:I20">
    <cfRule type="expression" dxfId="2436" priority="67">
      <formula>ABS(I$16-I$19)&gt;=1000</formula>
    </cfRule>
  </conditionalFormatting>
  <conditionalFormatting sqref="J13:J20">
    <cfRule type="expression" dxfId="2435" priority="66">
      <formula>ABS(J$16-J$19)&gt;=1000</formula>
    </cfRule>
  </conditionalFormatting>
  <conditionalFormatting sqref="L13:L20">
    <cfRule type="expression" dxfId="2434" priority="65">
      <formula>ABS(L$16-L$19)&gt;=1000</formula>
    </cfRule>
  </conditionalFormatting>
  <conditionalFormatting sqref="M13 M15 M17:M18 M20">
    <cfRule type="expression" dxfId="2433" priority="64">
      <formula>ABS(M$16-M$19)&gt;=1000</formula>
    </cfRule>
  </conditionalFormatting>
  <conditionalFormatting sqref="N13:N20">
    <cfRule type="expression" dxfId="2432" priority="63">
      <formula>ABS(N$16-N$19)&gt;=1000</formula>
    </cfRule>
  </conditionalFormatting>
  <conditionalFormatting sqref="O13:O20">
    <cfRule type="expression" dxfId="2431" priority="62">
      <formula>ABS(O$16-O$19)&gt;=1000</formula>
    </cfRule>
  </conditionalFormatting>
  <conditionalFormatting sqref="P13:P20">
    <cfRule type="expression" dxfId="2430" priority="61">
      <formula>ABS(P$16-P$19)&gt;=1000</formula>
    </cfRule>
  </conditionalFormatting>
  <conditionalFormatting sqref="Q13 Q15:Q20">
    <cfRule type="expression" dxfId="2429" priority="60">
      <formula>ABS(Q$16-Q$19)&gt;=1000</formula>
    </cfRule>
  </conditionalFormatting>
  <conditionalFormatting sqref="R13:R20">
    <cfRule type="expression" dxfId="2428" priority="59">
      <formula>ABS(R$16-R$19)&gt;=1000</formula>
    </cfRule>
  </conditionalFormatting>
  <conditionalFormatting sqref="S13:S20">
    <cfRule type="expression" dxfId="2427" priority="58">
      <formula>ABS(S$16-S$19)&gt;=1000</formula>
    </cfRule>
  </conditionalFormatting>
  <conditionalFormatting sqref="T13:T20">
    <cfRule type="expression" dxfId="2426" priority="57">
      <formula>ABS(T$16-T$19)&gt;=1000</formula>
    </cfRule>
  </conditionalFormatting>
  <conditionalFormatting sqref="U13:U20">
    <cfRule type="expression" dxfId="2425" priority="56">
      <formula>ABS(U$16-U$19)&gt;=1000</formula>
    </cfRule>
  </conditionalFormatting>
  <conditionalFormatting sqref="V13:V20">
    <cfRule type="expression" dxfId="2424" priority="55">
      <formula>ABS(V$16-V$19)&gt;=1000</formula>
    </cfRule>
  </conditionalFormatting>
  <conditionalFormatting sqref="W13 W20 W15:W18">
    <cfRule type="expression" dxfId="2423" priority="54">
      <formula>ABS(W$16-W$19)&gt;=1000</formula>
    </cfRule>
  </conditionalFormatting>
  <conditionalFormatting sqref="X13 X15:X20 Y19">
    <cfRule type="expression" dxfId="2422" priority="53">
      <formula>ABS(X$16-X$19)&gt;=1000</formula>
    </cfRule>
  </conditionalFormatting>
  <conditionalFormatting sqref="Y13 Y15:Y18 Y20">
    <cfRule type="expression" dxfId="2421" priority="52">
      <formula>ABS(Y$16-Y$19)&gt;=1000</formula>
    </cfRule>
  </conditionalFormatting>
  <conditionalFormatting sqref="Z13:Z20">
    <cfRule type="expression" dxfId="2420" priority="51">
      <formula>ABS(Z$16-Z$19)&gt;=1000</formula>
    </cfRule>
  </conditionalFormatting>
  <conditionalFormatting sqref="AA13:AA20">
    <cfRule type="expression" dxfId="2419" priority="50">
      <formula>ABS(AA$16-AA$19)&gt;=1000</formula>
    </cfRule>
  </conditionalFormatting>
  <conditionalFormatting sqref="AB13 AB15:AB20">
    <cfRule type="expression" dxfId="2418" priority="49">
      <formula>ABS(AB$16-AB$19)&gt;=1000</formula>
    </cfRule>
  </conditionalFormatting>
  <conditionalFormatting sqref="AC13 AC15:AC20">
    <cfRule type="expression" dxfId="2417" priority="48">
      <formula>ABS(AC$16-AC$19)&gt;=1000</formula>
    </cfRule>
  </conditionalFormatting>
  <conditionalFormatting sqref="AD13:AD20">
    <cfRule type="expression" dxfId="2416" priority="47">
      <formula>ABS(AD$16-AD$19)&gt;=1000</formula>
    </cfRule>
  </conditionalFormatting>
  <conditionalFormatting sqref="AE13:AE20">
    <cfRule type="expression" dxfId="2415" priority="46">
      <formula>ABS(AE$16-AE$19)&gt;=1000</formula>
    </cfRule>
  </conditionalFormatting>
  <conditionalFormatting sqref="D22:D29">
    <cfRule type="expression" dxfId="2414" priority="45">
      <formula>ABS(D$25-D$28)&gt;=1000</formula>
    </cfRule>
  </conditionalFormatting>
  <conditionalFormatting sqref="E22:E29">
    <cfRule type="expression" dxfId="2413" priority="44">
      <formula>ABS(E$25-E$28)&gt;=1000</formula>
    </cfRule>
  </conditionalFormatting>
  <conditionalFormatting sqref="F22:F29">
    <cfRule type="expression" dxfId="2412" priority="43">
      <formula>ABS(F$25-F$28)&gt;=1000</formula>
    </cfRule>
  </conditionalFormatting>
  <conditionalFormatting sqref="G22:G29">
    <cfRule type="expression" dxfId="2411" priority="42">
      <formula>ABS(G$25-G$28)&gt;=1000</formula>
    </cfRule>
  </conditionalFormatting>
  <conditionalFormatting sqref="H22:H29">
    <cfRule type="expression" dxfId="2410" priority="41">
      <formula>ABS(H$25-H$28)&gt;=1000</formula>
    </cfRule>
  </conditionalFormatting>
  <conditionalFormatting sqref="I22 I24:I29">
    <cfRule type="expression" dxfId="2409" priority="40">
      <formula>ABS(I$25-I$28)&gt;=1000</formula>
    </cfRule>
  </conditionalFormatting>
  <conditionalFormatting sqref="J22:J29 K22">
    <cfRule type="expression" dxfId="2408" priority="39">
      <formula>ABS(J$25-J$28)&gt;=1000</formula>
    </cfRule>
  </conditionalFormatting>
  <conditionalFormatting sqref="K23:K29 L25 L28">
    <cfRule type="expression" dxfId="2407" priority="38">
      <formula>ABS(K$25-K$28)&gt;=1000</formula>
    </cfRule>
  </conditionalFormatting>
  <conditionalFormatting sqref="L22 L26:L27 L29 L24">
    <cfRule type="expression" dxfId="2406" priority="37">
      <formula>ABS(L$25-L$28)&gt;=1000</formula>
    </cfRule>
  </conditionalFormatting>
  <conditionalFormatting sqref="M22:M29">
    <cfRule type="expression" dxfId="2405" priority="36">
      <formula>ABS(M$25-M$28)&gt;=1000</formula>
    </cfRule>
  </conditionalFormatting>
  <conditionalFormatting sqref="N22:N29">
    <cfRule type="expression" dxfId="2404" priority="35">
      <formula>ABS(N$25-N$28)&gt;=1000</formula>
    </cfRule>
  </conditionalFormatting>
  <conditionalFormatting sqref="O22:O29">
    <cfRule type="expression" dxfId="2403" priority="34">
      <formula>ABS(O$25-O$28)&gt;=1000</formula>
    </cfRule>
  </conditionalFormatting>
  <conditionalFormatting sqref="P22:P29">
    <cfRule type="expression" dxfId="2402" priority="33">
      <formula>ABS(P$25-P$28)&gt;=1000</formula>
    </cfRule>
  </conditionalFormatting>
  <conditionalFormatting sqref="Q22:Q29">
    <cfRule type="expression" dxfId="2401" priority="32">
      <formula>ABS(Q$25-Q$28)&gt;=1000</formula>
    </cfRule>
  </conditionalFormatting>
  <conditionalFormatting sqref="R22:R29">
    <cfRule type="expression" dxfId="2400" priority="31">
      <formula>ABS(R$25-R$28)&gt;=1000</formula>
    </cfRule>
  </conditionalFormatting>
  <conditionalFormatting sqref="S22:S29">
    <cfRule type="expression" dxfId="2399" priority="30">
      <formula>ABS(S$25-S$28)&gt;=1000</formula>
    </cfRule>
  </conditionalFormatting>
  <conditionalFormatting sqref="T22:T29">
    <cfRule type="expression" dxfId="2398" priority="29">
      <formula>ABS(T$25-T$28)&gt;=1000</formula>
    </cfRule>
  </conditionalFormatting>
  <conditionalFormatting sqref="U22:U29">
    <cfRule type="expression" dxfId="2397" priority="28">
      <formula>ABS(U$25-U$28)&gt;=1000</formula>
    </cfRule>
  </conditionalFormatting>
  <conditionalFormatting sqref="V22:V29">
    <cfRule type="expression" dxfId="2396" priority="27">
      <formula>ABS(V$25-V$28)&gt;=1000</formula>
    </cfRule>
  </conditionalFormatting>
  <conditionalFormatting sqref="W22:W29">
    <cfRule type="expression" dxfId="2395" priority="26">
      <formula>ABS(W$25-W$28)&gt;=1000</formula>
    </cfRule>
  </conditionalFormatting>
  <conditionalFormatting sqref="X22:X29">
    <cfRule type="expression" dxfId="2394" priority="25">
      <formula>ABS(X$25-X$28)&gt;=1000</formula>
    </cfRule>
  </conditionalFormatting>
  <conditionalFormatting sqref="Y22:Y29">
    <cfRule type="expression" dxfId="2393" priority="24">
      <formula>ABS(Y$25-Y$28)&gt;=1000</formula>
    </cfRule>
  </conditionalFormatting>
  <conditionalFormatting sqref="I23">
    <cfRule type="expression" dxfId="2392" priority="23">
      <formula>ABS(I$25-I$28)&gt;=1000</formula>
    </cfRule>
  </conditionalFormatting>
  <conditionalFormatting sqref="Q14">
    <cfRule type="expression" dxfId="2391" priority="22">
      <formula>ABS(Q$16-Q$19)&gt;=1000</formula>
    </cfRule>
  </conditionalFormatting>
  <conditionalFormatting sqref="W14">
    <cfRule type="expression" dxfId="2390" priority="21">
      <formula>ABS(W$16-W$19)&gt;=1000</formula>
    </cfRule>
  </conditionalFormatting>
  <conditionalFormatting sqref="X14">
    <cfRule type="expression" dxfId="2389" priority="20">
      <formula>ABS(X$16-X$19)&gt;=1000</formula>
    </cfRule>
  </conditionalFormatting>
  <conditionalFormatting sqref="T10:Y10">
    <cfRule type="expression" dxfId="2388" priority="19">
      <formula>ABS(T$7-T$10)&gt;=1000</formula>
    </cfRule>
  </conditionalFormatting>
  <conditionalFormatting sqref="W19">
    <cfRule type="expression" dxfId="2387" priority="18">
      <formula>ABS(W$16-W$19)&gt;=1000</formula>
    </cfRule>
  </conditionalFormatting>
  <conditionalFormatting sqref="AC5">
    <cfRule type="expression" dxfId="2386" priority="17">
      <formula>ABS(AC$7-AC$10)&gt;=1000</formula>
    </cfRule>
  </conditionalFormatting>
  <conditionalFormatting sqref="M14">
    <cfRule type="expression" dxfId="2385" priority="16">
      <formula>ABS(M$16-M$19)&gt;=1000</formula>
    </cfRule>
  </conditionalFormatting>
  <conditionalFormatting sqref="M16">
    <cfRule type="expression" dxfId="2384" priority="15">
      <formula>ABS(M$16-M$19)&gt;=1000</formula>
    </cfRule>
  </conditionalFormatting>
  <conditionalFormatting sqref="M19">
    <cfRule type="expression" dxfId="2383" priority="14">
      <formula>ABS(M$16-M$19)&gt;=1000</formula>
    </cfRule>
  </conditionalFormatting>
  <conditionalFormatting sqref="K13:K20">
    <cfRule type="expression" dxfId="2382" priority="13">
      <formula>ABS(K$16-K$19)&gt;=1000</formula>
    </cfRule>
  </conditionalFormatting>
  <conditionalFormatting sqref="E5">
    <cfRule type="expression" dxfId="2381" priority="12">
      <formula>ABS(E$7-E$10)&gt;=1000</formula>
    </cfRule>
  </conditionalFormatting>
  <conditionalFormatting sqref="AB14:AC14">
    <cfRule type="expression" dxfId="2380" priority="11">
      <formula>ABS(AB$16-AB$19)&gt;=1000</formula>
    </cfRule>
  </conditionalFormatting>
  <conditionalFormatting sqref="M5">
    <cfRule type="expression" dxfId="2379" priority="10">
      <formula>ABS(M$7-M$10)&gt;=1000</formula>
    </cfRule>
  </conditionalFormatting>
  <conditionalFormatting sqref="N5">
    <cfRule type="expression" dxfId="2378" priority="9">
      <formula>ABS(N$7-N$10)&gt;=1000</formula>
    </cfRule>
  </conditionalFormatting>
  <conditionalFormatting sqref="O5">
    <cfRule type="expression" dxfId="2377" priority="8">
      <formula>ABS(O$7-O$10)&gt;=1000</formula>
    </cfRule>
  </conditionalFormatting>
  <conditionalFormatting sqref="P5">
    <cfRule type="expression" dxfId="2376" priority="7">
      <formula>ABS(P$7-P$10)&gt;=1000</formula>
    </cfRule>
  </conditionalFormatting>
  <conditionalFormatting sqref="L23">
    <cfRule type="expression" dxfId="2375" priority="6">
      <formula>ABS(L$25-L$28)&gt;=1000</formula>
    </cfRule>
  </conditionalFormatting>
  <conditionalFormatting sqref="Y14">
    <cfRule type="expression" dxfId="2374" priority="5">
      <formula>ABS(Y$16-Y$19)&gt;=1000</formula>
    </cfRule>
  </conditionalFormatting>
  <conditionalFormatting sqref="F14">
    <cfRule type="expression" dxfId="2373" priority="4">
      <formula>ABS(F$16-F$19)&gt;=1000</formula>
    </cfRule>
  </conditionalFormatting>
  <conditionalFormatting sqref="H14">
    <cfRule type="expression" dxfId="2372" priority="3">
      <formula>ABS(H$16-H$19)&gt;=1000</formula>
    </cfRule>
  </conditionalFormatting>
  <conditionalFormatting sqref="AD5">
    <cfRule type="expression" dxfId="2371" priority="2">
      <formula>ABS(AD$7-AD$10)&gt;=1000</formula>
    </cfRule>
  </conditionalFormatting>
  <conditionalFormatting sqref="AE5">
    <cfRule type="expression" dxfId="23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2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9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46087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1" t="s" ph="1">
        <v>177</v>
      </c>
      <c r="D6" s="71">
        <v>5967</v>
      </c>
      <c r="E6" s="71">
        <v>4025</v>
      </c>
      <c r="F6" s="71">
        <v>4701</v>
      </c>
      <c r="G6" s="71">
        <v>2832</v>
      </c>
      <c r="H6" s="71">
        <v>5625</v>
      </c>
      <c r="I6" s="71">
        <v>53.31</v>
      </c>
      <c r="J6" s="71">
        <v>6.55</v>
      </c>
      <c r="K6" s="71">
        <v>62.42</v>
      </c>
      <c r="L6" s="71">
        <v>8.32</v>
      </c>
      <c r="M6" s="71">
        <v>2040</v>
      </c>
      <c r="N6" s="71">
        <v>2156</v>
      </c>
      <c r="O6" s="71">
        <v>4734</v>
      </c>
      <c r="P6" s="71">
        <v>4924</v>
      </c>
      <c r="Q6" s="71">
        <v>0</v>
      </c>
      <c r="R6" s="71">
        <v>0</v>
      </c>
      <c r="S6" s="71">
        <v>5126</v>
      </c>
      <c r="T6" s="71">
        <v>7158</v>
      </c>
      <c r="U6" s="71">
        <v>6014</v>
      </c>
      <c r="V6" s="71">
        <v>0</v>
      </c>
      <c r="W6" s="71">
        <v>524</v>
      </c>
      <c r="X6" s="71">
        <v>0</v>
      </c>
      <c r="Y6" s="71">
        <v>2</v>
      </c>
      <c r="Z6" s="71">
        <v>5019</v>
      </c>
      <c r="AA6" s="71">
        <v>4230</v>
      </c>
      <c r="AB6" s="71">
        <v>5089</v>
      </c>
      <c r="AC6" s="71">
        <v>6543</v>
      </c>
      <c r="AD6" s="71">
        <v>4780</v>
      </c>
      <c r="AE6" s="71">
        <v>3828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188346.35659203</v>
      </c>
      <c r="E7" s="73" ph="1">
        <f>E6*51.53*LOOKUP(E8,密度!$A$2:$A$50,密度!$B$2:$B$50)</f>
        <v>163105.84779999999</v>
      </c>
      <c r="F7" s="73" ph="1">
        <f>F6*33.183*LOOKUP(F8,密度!$A$2:$A$50,密度!$C$2:$C$50)</f>
        <v>173760.91793369997</v>
      </c>
      <c r="G7" s="73" ph="1">
        <f xml:space="preserve"> (G6+2)*51.53*LOOKUP(G8,密度!$A$2:$A$50,密度!$B$2:$B$50)</f>
        <v>114623.672098</v>
      </c>
      <c r="H7" s="73" ph="1">
        <f>(H6)*51.53*LOOKUP(H8,密度!$A$2:$A$50,密度!$B$2:$B$50)</f>
        <v>228406.72500000001</v>
      </c>
      <c r="I7" s="73" ph="1">
        <f>I6*290.8*1.0267</f>
        <v>15916.466031599999</v>
      </c>
      <c r="J7" s="73" ph="1">
        <f>J6*290.8*0.7892</f>
        <v>1503.220808</v>
      </c>
      <c r="K7" s="73" ph="1">
        <f>K6*290.8*1.1126</f>
        <v>20195.6214736</v>
      </c>
      <c r="L7" s="73" ph="1">
        <f>L6*290.8*0.777</f>
        <v>1879.9173120000003</v>
      </c>
      <c r="M7" s="73" ph="1">
        <f>M6*33.183*LOOKUP(M8,密度!$A$2:$A$50,密度!$D$2:$D$50)</f>
        <v>69818.890247999996</v>
      </c>
      <c r="N7" s="73" ph="1">
        <f>N6*33.183*LOOKUP(N8,密度!$A$2:$A$50,密度!$E$2:$E$50)</f>
        <v>56540.075684399999</v>
      </c>
      <c r="O7" s="73" ph="1">
        <f>O6*20.428*LOOKUP(O8,密度!$A$2:$A$50,密度!$C$2:$C$50)</f>
        <v>107450.2054872</v>
      </c>
      <c r="P7" s="73" ph="1">
        <f>P6*51.53*LOOKUP(P8,密度!$A$2:$A$50,密度!$B$2:$B$50)</f>
        <v>199358.58380399999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34313.260489199994</v>
      </c>
      <c r="T7" s="73" ph="1">
        <f>T6*1.5*1.5*3.1416*LOOKUP(T8,密度!$A$2:$A$50,密度!$L$2:$L$50)</f>
        <v>47965.992782399997</v>
      </c>
      <c r="U7" s="73" ph="1">
        <f>U6*1.5*1.5*3.1416*LOOKUP(U8,密度!$A$2:$A$50,密度!$L$2:$L$50)</f>
        <v>40087.458457200002</v>
      </c>
      <c r="V7" s="73" ph="1">
        <f>V6*1.5*1.5*3.1416*LOOKUP(V8,密度!$A$2:$A$50,密度!$L$2:$L$50)</f>
        <v>0</v>
      </c>
      <c r="W7" s="73" ph="1">
        <f>W6*1.5*1.5*3.1416*LOOKUP(W8,密度!$A$2:$A$50,密度!$L$2:$L$50)</f>
        <v>3492.8214551999995</v>
      </c>
      <c r="X7" s="73" ph="1">
        <f>X6*1.5*1.5*3.1416*LOOKUP(X8,密度!$A$2:$A$50,密度!$L$2:$L$50)</f>
        <v>0</v>
      </c>
      <c r="Y7" s="73" ph="1">
        <f>Y6*1.5*1.5*3.1416*LOOKUP(Y8,密度!$A$2:$A$50,密度!$L$2:$L$50)</f>
        <v>13.345516799999999</v>
      </c>
      <c r="Z7" s="73" ph="1">
        <f>Z6*33.183*LOOKUP(Z8,密度!$A$2:$A$50,密度!$L$2:$L$50)</f>
        <v>157218.930288</v>
      </c>
      <c r="AA7" s="73" ph="1">
        <f>AA6*33.183*LOOKUP(AA8,密度!$A$2:$A$50,密度!$D$2:$D$50)</f>
        <v>145122.43265100001</v>
      </c>
      <c r="AB7" s="73" ph="1">
        <f>AB6*20.428*LOOKUP(AB8,密度!$A$2:$A$50,密度!$D$2:$D$50)</f>
        <v>108116.41568000001</v>
      </c>
      <c r="AC7" s="73" ph="1">
        <f>AC6*51.53*LOOKUP(AC8,密度!$A$2:$A$50,密度!$Q$2:$Q$50)</f>
        <v>321516.52934399998</v>
      </c>
      <c r="AD7" s="73" ph="1">
        <f>AD6*20.428*LOOKUP(AD8,密度!$A$2:$A$50,密度!$V$2:$V$50)</f>
        <v>94130.589760000003</v>
      </c>
      <c r="AE7" s="73" ph="1">
        <f>AE6*20.428</f>
        <v>78198.384000000005</v>
      </c>
    </row>
    <row r="8" spans="1:99" ph="1">
      <c r="B8" s="238" ph="1"/>
      <c r="C8" s="68" t="s" ph="1">
        <v>179</v>
      </c>
      <c r="D8" s="74">
        <v>19</v>
      </c>
      <c r="E8" s="74">
        <v>17</v>
      </c>
      <c r="F8" s="74">
        <v>18</v>
      </c>
      <c r="G8" s="74">
        <v>19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19</v>
      </c>
      <c r="O8" s="74">
        <v>22</v>
      </c>
      <c r="P8" s="74">
        <v>18</v>
      </c>
      <c r="Q8" s="74">
        <v>20</v>
      </c>
      <c r="R8" s="74">
        <v>25</v>
      </c>
      <c r="S8" s="74">
        <v>15</v>
      </c>
      <c r="T8" s="74">
        <v>14</v>
      </c>
      <c r="U8" s="74">
        <v>19</v>
      </c>
      <c r="V8" s="74">
        <v>25</v>
      </c>
      <c r="W8" s="74">
        <v>19</v>
      </c>
      <c r="X8" s="74">
        <v>9</v>
      </c>
      <c r="Y8" s="74">
        <v>18</v>
      </c>
      <c r="Z8" s="74">
        <v>18</v>
      </c>
      <c r="AA8" s="74">
        <v>17</v>
      </c>
      <c r="AB8" s="74">
        <v>10</v>
      </c>
      <c r="AC8" s="74">
        <v>16</v>
      </c>
      <c r="AD8" s="74">
        <v>16</v>
      </c>
      <c r="AE8" s="74">
        <v>21</v>
      </c>
    </row>
    <row r="9" spans="1:99" ht="26.4" ph="1">
      <c r="B9" s="238" ph="1">
        <v>0.66666666666666663</v>
      </c>
      <c r="C9" s="151" t="s" ph="1">
        <v>180</v>
      </c>
      <c r="D9" s="71">
        <v>5969</v>
      </c>
      <c r="E9" s="71">
        <v>4023</v>
      </c>
      <c r="F9" s="71">
        <v>4701</v>
      </c>
      <c r="G9" s="71">
        <v>2551</v>
      </c>
      <c r="H9" s="71">
        <v>5627</v>
      </c>
      <c r="I9" s="71">
        <v>53.34</v>
      </c>
      <c r="J9" s="71">
        <v>6.61</v>
      </c>
      <c r="K9" s="71">
        <v>62.44</v>
      </c>
      <c r="L9" s="71">
        <v>8.3000000000000007</v>
      </c>
      <c r="M9" s="71">
        <v>2041</v>
      </c>
      <c r="N9" s="71">
        <v>2158</v>
      </c>
      <c r="O9" s="71">
        <v>3804</v>
      </c>
      <c r="P9" s="71">
        <v>4404</v>
      </c>
      <c r="Q9" s="71">
        <v>0</v>
      </c>
      <c r="R9" s="71">
        <v>0</v>
      </c>
      <c r="S9" s="71">
        <v>315</v>
      </c>
      <c r="T9" s="71">
        <v>7163</v>
      </c>
      <c r="U9" s="71">
        <v>7022</v>
      </c>
      <c r="V9" s="71">
        <v>5329</v>
      </c>
      <c r="W9" s="71">
        <v>524</v>
      </c>
      <c r="X9" s="71">
        <v>0</v>
      </c>
      <c r="Y9" s="71">
        <v>1</v>
      </c>
      <c r="Z9" s="71">
        <v>6038</v>
      </c>
      <c r="AA9" s="71">
        <v>4229</v>
      </c>
      <c r="AB9" s="71">
        <v>4969</v>
      </c>
      <c r="AC9" s="71">
        <v>6460</v>
      </c>
      <c r="AD9" s="71">
        <v>4780</v>
      </c>
      <c r="AE9" s="71">
        <v>3956</v>
      </c>
    </row>
    <row r="10" spans="1:99" s="72" customFormat="1" ht="22.2" ph="1">
      <c r="B10" s="238" ph="1"/>
      <c r="C10" s="151" t="s" ph="1">
        <v>178</v>
      </c>
      <c r="D10" s="73" ph="1">
        <f>D9*33.183*LOOKUP(D11,密度!$A$2:$A$50,密度!$Q$2:$Q$50)</f>
        <v>188241.12699426</v>
      </c>
      <c r="E10" s="73" ph="1">
        <f>E9*51.53*LOOKUP(E11,密度!$A$2:$A$50,密度!$B$2:$B$50)</f>
        <v>162713.843631</v>
      </c>
      <c r="F10" s="73" ph="1">
        <f>F9*33.183*LOOKUP(F11,密度!$A$2:$A$50,密度!$C$2:$C$50)</f>
        <v>173760.91793369997</v>
      </c>
      <c r="G10" s="73" ph="1">
        <f xml:space="preserve"> (G9+2)*51.53*LOOKUP(G11,密度!$A$2:$A$50,密度!$B$2:$B$50)</f>
        <v>103034.72968799999</v>
      </c>
      <c r="H10" s="73" ph="1">
        <f>(H9)*51.53*LOOKUP(H11,密度!$A$2:$A$50,密度!$B$2:$B$50)</f>
        <v>227821.02986699998</v>
      </c>
      <c r="I10" s="73" ph="1">
        <f>I9*290.8*1.0267</f>
        <v>15925.4229624</v>
      </c>
      <c r="J10" s="73" ph="1">
        <f>J9*290.8*0.7892</f>
        <v>1516.9907696</v>
      </c>
      <c r="K10" s="73" ph="1">
        <f>K9*290.8*1.1126</f>
        <v>20202.092355199999</v>
      </c>
      <c r="L10" s="73" ph="1">
        <f>L9*290.8*0.777</f>
        <v>1875.3982800000003</v>
      </c>
      <c r="M10" s="73" ph="1">
        <f>M9*33.183*LOOKUP(M11,密度!$A$2:$A$50,密度!$D$2:$D$50)</f>
        <v>69853.1151942</v>
      </c>
      <c r="N10" s="73" ph="1">
        <f>N9*33.183*LOOKUP(N11,密度!$A$2:$A$50,密度!$E$2:$E$50)</f>
        <v>56592.5247342</v>
      </c>
      <c r="O10" s="73" ph="1">
        <f>O9*20.428*LOOKUP(O11,密度!$A$2:$A$50,密度!$C$2:$C$50)</f>
        <v>86224.921075200007</v>
      </c>
      <c r="P10" s="73" ph="1">
        <f>P9*51.53*LOOKUP(P11,密度!$A$2:$A$50,密度!$B$2:$B$50)</f>
        <v>178123.730388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2104.145505</v>
      </c>
      <c r="T10" s="73" ph="1">
        <f>T9*1.5*1.5*3.1416*LOOKUP(T11,密度!$A$2:$A$50,密度!$L$2:$L$50)</f>
        <v>47948.865564599997</v>
      </c>
      <c r="U10" s="73" ph="1">
        <f>U9*1.5*1.5*3.1416*LOOKUP(U11,密度!$A$2:$A$50,密度!$L$2:$L$50)</f>
        <v>46756.838066399992</v>
      </c>
      <c r="V10" s="73" ph="1">
        <f>V9*1.5*1.5*3.1416*LOOKUP(V11,密度!$A$2:$A$50,密度!$L$2:$L$50)</f>
        <v>35257.780958399999</v>
      </c>
      <c r="W10" s="73" ph="1">
        <f>W9*1.5*1.5*3.1416*LOOKUP(W11,密度!$A$2:$A$50,密度!$L$2:$L$50)</f>
        <v>3470.5977768000002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6.6586211999999998</v>
      </c>
      <c r="Z10" s="73" ph="1">
        <f>Z9*33.183*LOOKUP(Z11,密度!$A$2:$A$50,密度!$L$2:$L$50)</f>
        <v>189138.85257599998</v>
      </c>
      <c r="AA10" s="73" ph="1">
        <f>AA9*33.183*LOOKUP(AA11,密度!$A$2:$A$50,密度!$D$2:$D$50)</f>
        <v>144975.86002170001</v>
      </c>
      <c r="AB10" s="73" ph="1">
        <f>AB9*20.428*LOOKUP(AB11,密度!$A$2:$A$50,密度!$D$2:$D$50)</f>
        <v>105475.6452212</v>
      </c>
      <c r="AC10" s="73" ph="1">
        <f>AC9*51.53*LOOKUP(AC11,密度!$A$2:$A$50,密度!$Q$2:$Q$50)</f>
        <v>316908.70643800002</v>
      </c>
      <c r="AD10" s="73" ph="1">
        <f>AD9*20.428*LOOKUP(AD11,密度!$A$2:$A$50,密度!$V$2:$V$50)</f>
        <v>94130.589760000003</v>
      </c>
      <c r="AE10" s="73" ph="1">
        <f>AE9*20.428</f>
        <v>80813.168000000005</v>
      </c>
    </row>
    <row r="11" spans="1:99" ph="1">
      <c r="A11" s="64" t="s" ph="1">
        <v>162</v>
      </c>
      <c r="B11" s="238" ph="1"/>
      <c r="C11" s="151" t="s" ph="1">
        <v>179</v>
      </c>
      <c r="D11" s="74">
        <v>20</v>
      </c>
      <c r="E11" s="74">
        <v>19</v>
      </c>
      <c r="F11" s="74">
        <v>18</v>
      </c>
      <c r="G11" s="74">
        <v>21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19</v>
      </c>
      <c r="O11" s="74">
        <v>24</v>
      </c>
      <c r="P11" s="74">
        <v>19</v>
      </c>
      <c r="Q11" s="74">
        <v>25</v>
      </c>
      <c r="R11" s="74">
        <v>25</v>
      </c>
      <c r="S11" s="74">
        <v>17</v>
      </c>
      <c r="T11" s="74">
        <v>15</v>
      </c>
      <c r="U11" s="74">
        <v>20</v>
      </c>
      <c r="V11" s="74">
        <v>26</v>
      </c>
      <c r="W11" s="74">
        <v>25</v>
      </c>
      <c r="X11" s="74">
        <v>12</v>
      </c>
      <c r="Y11" s="74">
        <v>20</v>
      </c>
      <c r="Z11" s="74">
        <v>18</v>
      </c>
      <c r="AA11" s="74">
        <v>18</v>
      </c>
      <c r="AB11" s="74">
        <v>11</v>
      </c>
      <c r="AC11" s="74">
        <v>18</v>
      </c>
      <c r="AD11" s="74">
        <v>17</v>
      </c>
      <c r="AE11" s="74">
        <v>22</v>
      </c>
    </row>
    <row r="12" spans="1:99" ht="9.9" customHeight="1" ph="1"/>
    <row r="13" spans="1:99" s="72" customFormat="1" ht="29.25" customHeight="1" ph="1">
      <c r="B13" s="215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1" t="s" ph="1">
        <v>177</v>
      </c>
      <c r="D15" s="78">
        <v>860</v>
      </c>
      <c r="E15" s="78">
        <v>62</v>
      </c>
      <c r="F15" s="78">
        <v>2353</v>
      </c>
      <c r="G15" s="78">
        <v>1896</v>
      </c>
      <c r="H15" s="78">
        <v>0</v>
      </c>
      <c r="I15" s="78">
        <v>5221</v>
      </c>
      <c r="J15" s="78">
        <v>0</v>
      </c>
      <c r="K15" s="78">
        <v>3578</v>
      </c>
      <c r="L15" s="78">
        <v>3708</v>
      </c>
      <c r="M15" s="78">
        <v>5167</v>
      </c>
      <c r="N15" s="78">
        <v>2046</v>
      </c>
      <c r="O15" s="78">
        <v>4435</v>
      </c>
      <c r="P15" s="78">
        <v>1657</v>
      </c>
      <c r="Q15" s="78">
        <v>6925</v>
      </c>
      <c r="R15" s="78">
        <v>7363</v>
      </c>
      <c r="S15" s="78">
        <v>1275</v>
      </c>
      <c r="T15" s="78">
        <v>391</v>
      </c>
      <c r="U15" s="78">
        <v>6220</v>
      </c>
      <c r="V15" s="78">
        <v>4965</v>
      </c>
      <c r="W15" s="71">
        <v>-171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6949</v>
      </c>
      <c r="AC15" s="78" ph="1">
        <v>2143</v>
      </c>
      <c r="AD15" s="78">
        <v>9.01</v>
      </c>
      <c r="AE15" s="78">
        <v>62.71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1" t="s" ph="1">
        <v>178</v>
      </c>
      <c r="D16" s="73" ph="1">
        <f>D15*7.0686*LOOKUP(D17,密度!$A$2:$A$50,密度!$L$2:$L$50)</f>
        <v>5738.5722239999996</v>
      </c>
      <c r="E16" s="73" ph="1">
        <f>E15*7.0686*LOOKUP(E17,密度!$A$2:$A$50,密度!$L$2:$L$50)</f>
        <v>413.71102079999997</v>
      </c>
      <c r="F16" s="73" ph="1">
        <f>F15*9.0746*LOOKUP(F17,密度!$A$2:$A$50,密度!$L$2:$L$50)</f>
        <v>20071.381772000001</v>
      </c>
      <c r="G16" s="73" ph="1">
        <f>G15*9.0746*LOOKUP(G17,密度!$A$2:$A$50,密度!$B$2:$B$50)</f>
        <v>13530.359274240001</v>
      </c>
      <c r="H16" s="73" ph="1">
        <f>H15*9.0746*LOOKUP(H17,密度!$A$2:$A$50,密度!$L$2:$L$50)</f>
        <v>0</v>
      </c>
      <c r="I16" s="73" ph="1">
        <f>I15*9.0746*LOOKUP(I17,密度!$A$2:$A$50,密度!$U$2:$U$50)</f>
        <v>48705.084224800004</v>
      </c>
      <c r="J16" s="73" ph="1">
        <f>J15*9.0746*LOOKUP(J17,密度!$A$2:$A$50,密度!$L$2:$L$50)</f>
        <v>0</v>
      </c>
      <c r="K16" s="73" ph="1">
        <f>K15*9.0746*LOOKUP(K17,密度!$A$2:$A$50,密度!$C$2:$C$50)</f>
        <v>36167.128651319996</v>
      </c>
      <c r="L16" s="73" ph="1">
        <f>L15*9.0746*LOOKUP(L17,密度!$A$2:$A$50,密度!$E$2:$E$50)</f>
        <v>26629.515335520002</v>
      </c>
      <c r="M16" s="73" ph="1">
        <f>M15*9.0746*LOOKUP(M17,密度!$A$2:$A$50,密度!$M$2:$M$50)</f>
        <v>41275.909753460001</v>
      </c>
      <c r="N16" s="73" ph="1">
        <f>N15*9.0746*LOOKUP(N17,密度!$A$2:$A$50,密度!$M$2:$M$50)</f>
        <v>16344.205797480001</v>
      </c>
      <c r="O16" s="73" ph="1">
        <f>O15*9.0746*LOOKUP(O17,密度!$A$2:$A$50,密度!$G$2:$G$50)</f>
        <v>38873.467480899999</v>
      </c>
      <c r="P16" s="73" ph="1">
        <f ca="1">P15*9.0746*LOOKUP(P17,密度!$A$2:$A$51,密度!$Q$2:$Q$50)</f>
        <v>14303.276623006001</v>
      </c>
      <c r="Q16" s="73" ph="1">
        <f>Q15*9.0746*LOOKUP(Q17,密度!$A$2:$A$50,密度!$Q$2:$Q$50)</f>
        <v>59825.836376050007</v>
      </c>
      <c r="R16" s="73" ph="1">
        <f>MAX(R15*9.0746*LOOKUP(R17,密度!$A$2:$A$50,密度!$B$2:$B$50),0)</f>
        <v>52390.644991180001</v>
      </c>
      <c r="S16" s="73" ph="1">
        <f>S15*9.0746*LOOKUP(S17,密度!$A$2:$A$50,密度!$Q$2:$Q$50)</f>
        <v>11005.840491450001</v>
      </c>
      <c r="T16" s="73" ph="1">
        <f>T15*9.0746*LOOKUP(T17,密度!$A$2:$A$50,密度!$O$2:$O$50)</f>
        <v>3313.9894724000001</v>
      </c>
      <c r="U16" s="73" ph="1">
        <f>U15*9.0746*LOOKUP(U17,密度!$A$2:$A$50,密度!$H$2:$H$50)</f>
        <v>52137.333884400003</v>
      </c>
      <c r="V16" s="73" ph="1">
        <f>MAX(5600*LOOKUP(V17,密度!$A$2:$A$50,密度!$Q$2:$Q$50)+V15*9.0476*LOOKUP(V17,密度!$A$2:$A$50,密度!$Q$2:$Q$50),0)</f>
        <v>47979.605686460003</v>
      </c>
      <c r="W16" s="73" ph="1">
        <f>MAX(5600*LOOKUP(W17,密度!$A$2:$A$50,密度!$Q$2:$Q$50)+W15*9.0476*LOOKUP(W17,密度!$A$2:$A$50,密度!$Q$2:$Q$50),0)</f>
        <v>3851.757466952</v>
      </c>
      <c r="X16" s="73" ph="1">
        <f>MAX(5600*LOOKUP(X17,密度!$A$2:$A$50,密度!$I$2:$I$50)+X15*9.0476*LOOKUP(X17,密度!$A$2:$A$50,密度!$I$2:$I$50),0)</f>
        <v>6726.3389294400004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59465.0098622</v>
      </c>
      <c r="AC16" s="73" ph="1">
        <f>AC15*9.0746*LOOKUP(AC17,密度!$A$2:$A$50,密度!$L$2:$L$50)</f>
        <v>18377.290070999999</v>
      </c>
      <c r="AD16" s="73" ph="1">
        <f>AD15*268.68*LOOKUP(AD17,密度!$A$2:$A$50,密度!B2:B50)+IF(AD15&lt;=0,0,1566*LOOKUP(AD17,密度!$A$2:$A$50,密度!B2:B50))</f>
        <v>3108.1145812799996</v>
      </c>
      <c r="AE16" s="73" ph="1">
        <f>AE15*268.68*LOOKUP(AE17,密度!$A$2:$A$50,密度!B2:B50)+IF(AE15&lt;=0,0,1566*LOOKUP(AE17,密度!$A$2:$A$50,密度!B2:B50))</f>
        <v>14356.27381488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18</v>
      </c>
      <c r="E17" s="74">
        <v>18</v>
      </c>
      <c r="F17" s="74">
        <v>22</v>
      </c>
      <c r="G17" s="74">
        <v>17</v>
      </c>
      <c r="H17" s="74">
        <v>15</v>
      </c>
      <c r="I17" s="74">
        <v>17</v>
      </c>
      <c r="J17" s="74">
        <v>19</v>
      </c>
      <c r="K17" s="74">
        <v>18</v>
      </c>
      <c r="L17" s="74">
        <v>18</v>
      </c>
      <c r="M17" s="74">
        <v>20</v>
      </c>
      <c r="N17" s="74">
        <v>18</v>
      </c>
      <c r="O17" s="74">
        <v>20</v>
      </c>
      <c r="P17" s="74">
        <v>19</v>
      </c>
      <c r="Q17" s="74">
        <v>18</v>
      </c>
      <c r="R17" s="74">
        <v>20</v>
      </c>
      <c r="S17" s="74">
        <v>19</v>
      </c>
      <c r="T17" s="74">
        <v>18</v>
      </c>
      <c r="U17" s="74">
        <v>16</v>
      </c>
      <c r="V17" s="74">
        <v>21</v>
      </c>
      <c r="W17" s="74">
        <v>20</v>
      </c>
      <c r="X17" s="74">
        <v>22</v>
      </c>
      <c r="Y17" s="108">
        <v>22</v>
      </c>
      <c r="Z17" s="74">
        <v>20</v>
      </c>
      <c r="AA17" s="74">
        <v>17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0</v>
      </c>
      <c r="E18" s="71">
        <v>62</v>
      </c>
      <c r="F18" s="71">
        <v>2353</v>
      </c>
      <c r="G18" s="71">
        <v>2011</v>
      </c>
      <c r="H18" s="71">
        <v>0</v>
      </c>
      <c r="I18" s="71">
        <v>5223</v>
      </c>
      <c r="J18" s="71">
        <v>0</v>
      </c>
      <c r="K18" s="71">
        <v>3579</v>
      </c>
      <c r="L18" s="71">
        <v>3713</v>
      </c>
      <c r="M18" s="71">
        <v>5793</v>
      </c>
      <c r="N18" s="71">
        <v>1459</v>
      </c>
      <c r="O18" s="71">
        <v>4437</v>
      </c>
      <c r="P18" s="71">
        <v>1656</v>
      </c>
      <c r="Q18" s="71">
        <v>5323</v>
      </c>
      <c r="R18" s="71">
        <v>7370</v>
      </c>
      <c r="S18" s="71">
        <v>1299</v>
      </c>
      <c r="T18" s="71">
        <v>6161</v>
      </c>
      <c r="U18" s="71">
        <v>2153</v>
      </c>
      <c r="V18" s="71">
        <v>4965</v>
      </c>
      <c r="W18" s="71">
        <v>-171</v>
      </c>
      <c r="X18" s="71">
        <v>92</v>
      </c>
      <c r="Y18" s="109">
        <v>-9900</v>
      </c>
      <c r="Z18" s="71">
        <v>0</v>
      </c>
      <c r="AA18" s="71">
        <v>10</v>
      </c>
      <c r="AB18" s="71">
        <v>6951</v>
      </c>
      <c r="AC18" s="71">
        <v>2144</v>
      </c>
      <c r="AD18" s="71">
        <v>39.25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1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412.83451439999999</v>
      </c>
      <c r="F19" s="73" ph="1">
        <f>F18*9.0746*LOOKUP(F20,密度!$A$2:$A$50,密度!$L$2:$L$50)</f>
        <v>20028.676704400001</v>
      </c>
      <c r="G19" s="73" ph="1">
        <f>G18*9.0746*LOOKUP(G20,密度!$A$2:$A$50,密度!$B$2:$B$50)</f>
        <v>14309.057052460001</v>
      </c>
      <c r="H19" s="73" ph="1">
        <f>H18*9.0746*LOOKUP(H20,密度!$A$2:$A$50,密度!$L$2:$L$50)</f>
        <v>0</v>
      </c>
      <c r="I19" s="73" ph="1">
        <f>I18*9.0746*LOOKUP(I20,密度!$A$2:$A$50,密度!$U$2:$U$50)</f>
        <v>48723.741602400005</v>
      </c>
      <c r="J19" s="73" ph="1">
        <f>J18*9.0746*LOOKUP(J20,密度!$A$2:$A$50,密度!$L$2:$L$50)</f>
        <v>0</v>
      </c>
      <c r="K19" s="73" ph="1">
        <f>K18*9.0746*LOOKUP(K20,密度!$A$2:$A$50,密度!$C$2:$C$50)</f>
        <v>36135.015456840003</v>
      </c>
      <c r="L19" s="73" ph="1">
        <f>L18*9.0746*LOOKUP(L20,密度!$A$2:$A$50,密度!$E$2:$E$50)</f>
        <v>26628.360138940003</v>
      </c>
      <c r="M19" s="73" ph="1">
        <f>M18*9.0746*LOOKUP(M20,密度!$A$2:$A$50,密度!$M$2:$M$50)</f>
        <v>46213.54662198</v>
      </c>
      <c r="N19" s="73" ph="1">
        <f>N18*9.0746*LOOKUP(N20,密度!$A$2:$A$50,密度!$M$2:$M$50)</f>
        <v>11655.032384420001</v>
      </c>
      <c r="O19" s="73" ph="1">
        <f>O18*9.0746*LOOKUP(O20,密度!$A$2:$A$50,密度!$G$2:$G$50)</f>
        <v>38850.733792979998</v>
      </c>
      <c r="P19" s="73" ph="1">
        <f ca="1">P18*9.0746*LOOKUP(P20,密度!$A$2:$A$51,密度!$Q$2:$Q$50)</f>
        <v>14281.871184288</v>
      </c>
      <c r="Q19" s="73" ph="1">
        <f>Q18*9.0746*LOOKUP(Q20,密度!$A$2:$A$50,密度!$Q$2:$Q$50)</f>
        <v>45907.246566403999</v>
      </c>
      <c r="R19" s="73" ph="1">
        <f>MAX(R18*9.0746*LOOKUP(R20,密度!$A$2:$A$50,密度!$B$2:$B$50),0)</f>
        <v>52320.069104599999</v>
      </c>
      <c r="S19" s="73" ph="1">
        <f>S18*9.0746*LOOKUP(S20,密度!$A$2:$A$50,密度!$Q$2:$Q$50)</f>
        <v>11202.989534052</v>
      </c>
      <c r="T19" s="73" ph="1">
        <f>T18*9.0746*LOOKUP(T20,密度!$A$2:$A$50,密度!$O$2:$O$50)</f>
        <v>51995.007858000004</v>
      </c>
      <c r="U19" s="73" ph="1">
        <f>U18*9.0746*LOOKUP(U20,密度!$A$2:$A$50,密度!$H$2:$H$50)</f>
        <v>18027.356253259997</v>
      </c>
      <c r="V19" s="73" ph="1">
        <f>MAX(5600*LOOKUP(V20,密度!$A$2:$A$50,密度!$Q$2:$Q$50)+V18*9.0476*LOOKUP(V20,密度!$A$2:$A$50,密度!$Q$2:$Q$50),0)</f>
        <v>47979.605686460003</v>
      </c>
      <c r="W19" s="73" ph="1">
        <f>MAX(5600*LOOKUP(W20,密度!$A$2:$A$50,密度!$Q$2:$Q$50)+W18*9.0476*LOOKUP(W20,密度!$A$2:$A$50,密度!$Q$2:$Q$50),0)</f>
        <v>3851.757466952</v>
      </c>
      <c r="X19" s="73" ph="1">
        <f>MAX(5600*LOOKUP(X20,密度!$A$2:$A$50,密度!$I$2:$I$50)+X18*9.0476*LOOKUP(X20,密度!$A$2:$A$50,密度!$I$2:$I$50),0)</f>
        <v>6733.4145465599995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59419.047013199997</v>
      </c>
      <c r="AC19" s="73" ph="1">
        <f>AC18*9.0746*LOOKUP(AC20,密度!$A$2:$A$50,密度!$L$2:$L$50)</f>
        <v>18366.409625599998</v>
      </c>
      <c r="AD19" s="73" ph="1">
        <f>AD18*268.68*LOOKUP(AD20,密度!$A$2:$A$50,密度!B5:B53)+IF(AD18&lt;=0,0,1566*LOOKUP(AD20,密度!$A$2:$A$50,密度!B5:B53))</f>
        <v>9410.7831299999998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20</v>
      </c>
      <c r="E20" s="81">
        <v>20</v>
      </c>
      <c r="F20" s="81">
        <v>24</v>
      </c>
      <c r="G20" s="81">
        <v>20</v>
      </c>
      <c r="H20" s="81">
        <v>17</v>
      </c>
      <c r="I20" s="81">
        <v>20</v>
      </c>
      <c r="J20" s="81">
        <v>21</v>
      </c>
      <c r="K20" s="81">
        <v>20</v>
      </c>
      <c r="L20" s="81">
        <v>19</v>
      </c>
      <c r="M20" s="81">
        <v>21</v>
      </c>
      <c r="N20" s="81">
        <v>19</v>
      </c>
      <c r="O20" s="81">
        <v>21</v>
      </c>
      <c r="P20" s="81">
        <v>20</v>
      </c>
      <c r="Q20" s="81">
        <v>20</v>
      </c>
      <c r="R20" s="81">
        <v>22</v>
      </c>
      <c r="S20" s="81">
        <v>20</v>
      </c>
      <c r="T20" s="81">
        <v>21</v>
      </c>
      <c r="U20" s="81">
        <v>17</v>
      </c>
      <c r="V20" s="81">
        <v>21</v>
      </c>
      <c r="W20" s="81">
        <v>20</v>
      </c>
      <c r="X20" s="81">
        <v>21</v>
      </c>
      <c r="Y20" s="110">
        <v>21</v>
      </c>
      <c r="Z20" s="81">
        <v>23</v>
      </c>
      <c r="AA20" s="81">
        <v>19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643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1" t="s" ph="1">
        <v>177</v>
      </c>
      <c r="D24" s="71">
        <v>51.66</v>
      </c>
      <c r="E24" s="71">
        <v>5.4</v>
      </c>
      <c r="F24" s="71">
        <v>3194</v>
      </c>
      <c r="G24" s="71">
        <v>3899</v>
      </c>
      <c r="H24" s="71">
        <v>3760</v>
      </c>
      <c r="I24" s="71">
        <v>2384</v>
      </c>
      <c r="J24" s="71">
        <v>2705</v>
      </c>
      <c r="K24" s="71">
        <v>4997</v>
      </c>
      <c r="L24" s="71">
        <v>468</v>
      </c>
      <c r="M24" s="71">
        <v>855</v>
      </c>
      <c r="N24" s="71">
        <v>446</v>
      </c>
      <c r="O24" s="71">
        <v>5725</v>
      </c>
      <c r="P24" s="71">
        <v>356</v>
      </c>
      <c r="Q24" s="90">
        <v>2047</v>
      </c>
      <c r="R24" s="71">
        <v>5688</v>
      </c>
      <c r="S24" s="71">
        <v>2413</v>
      </c>
      <c r="T24" s="71">
        <v>215</v>
      </c>
      <c r="U24" s="71">
        <v>5447</v>
      </c>
      <c r="V24" s="71">
        <v>3106</v>
      </c>
      <c r="W24" s="71">
        <v>105</v>
      </c>
      <c r="X24" s="71">
        <v>7712</v>
      </c>
      <c r="Y24" s="71">
        <v>8002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14623.354371312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35521.581551440002</v>
      </c>
      <c r="G25" s="91" ph="1">
        <f>G24*18.322*LOOKUP(G26,密度!$A$2:$A$50,密度!$B$2:$B$50)</f>
        <v>56071.276482200003</v>
      </c>
      <c r="H25" s="91" ph="1">
        <f>H24*18.322*LOOKUP(H26,密度!$A$2:$A$50,密度!$B$2:$B$50)</f>
        <v>54072.326128000001</v>
      </c>
      <c r="I25" s="91" ph="1">
        <f>I24*18.322*LOOKUP(I26,密度!$A$2:$A$50,密度!$Q$2:$Q$50)</f>
        <v>41617.968614400001</v>
      </c>
      <c r="J25" s="91" ph="1">
        <f>J24*18.322*LOOKUP(J26,密度!$A$2:$A$50,密度!$Q$2:$Q$50)</f>
        <v>47221.730327999991</v>
      </c>
      <c r="K25" s="91" ph="1">
        <f>K24*18.322*LOOKUP(K26,密度!$A$2:$A$50,密度!$Q$2:$Q$50)</f>
        <v>87161.307918339997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14913.5317731</v>
      </c>
      <c r="N25" s="91" ph="1">
        <f>N24*18.322*LOOKUP(N26,密度!$A$2:$A$50,密度!$Q$2:$Q$50)</f>
        <v>7785.9119135999999</v>
      </c>
      <c r="O25" s="91" ph="1">
        <f>O24*18.322*LOOKUP(O26,密度!$A$2:$A$50,密度!$C$2:$C$50)</f>
        <v>116903.750025</v>
      </c>
      <c r="P25" s="91" ph="1">
        <f>P24*11.702*LOOKUP(P26,密度!$A$2:$A$50,密度!$B$2:$B$50)</f>
        <v>3269.8243288000003</v>
      </c>
      <c r="Q25" s="92" ph="1">
        <f>Q24*18.322*LOOKUP(Q26,密度!$A$2:$A$50,密度!$B$2:$B$50)</f>
        <v>29374.0209488</v>
      </c>
      <c r="R25" s="91" ph="1">
        <f>R24*35.891*LOOKUP(R26,密度!$A$2:$A$50,密度!$C$2:$C$50)</f>
        <v>227135.07370080001</v>
      </c>
      <c r="S25" s="91" ph="1">
        <f>S24*35.891*LOOKUP(S26,密度!$A$2:$A$50,密度!$B$2:$B$50)</f>
        <v>68045.535143099987</v>
      </c>
      <c r="T25" s="91" ph="1">
        <f>T24*35.891*LOOKUP(T26,密度!$A$2:$A$50,密度!$Q$2:$Q$50)</f>
        <v>7340.2281249500002</v>
      </c>
      <c r="U25" s="91" ph="1">
        <f>U24*35.891</f>
        <v>195498.277</v>
      </c>
      <c r="V25" s="91" ph="1">
        <f>V24*47.051*LOOKUP(V26,密度!$A$2:$A$50,密度!$B$2:$B$50)</f>
        <v>115158.63992800002</v>
      </c>
      <c r="W25" s="91" ph="1">
        <f>W24*47.051*LOOKUP(W26,密度!$A$2:$A$50,密度!$B$2:$B$50)</f>
        <v>3881.6369235000002</v>
      </c>
      <c r="X25" s="91" ph="1">
        <f>X24*47.051*LOOKUP(X26,密度!$A$2:$A$61,密度!$I$2:$I$61)</f>
        <v>370477.31555200001</v>
      </c>
      <c r="Y25" s="91" ph="1">
        <f>Y24*47.051*LOOKUP(Y26,密度!$A$2:$A$50,密度!$L$2:$L$50)</f>
        <v>354664.98008399998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19</v>
      </c>
      <c r="H26" s="74">
        <v>19</v>
      </c>
      <c r="I26" s="74">
        <v>17</v>
      </c>
      <c r="J26" s="74">
        <v>17</v>
      </c>
      <c r="K26" s="74">
        <v>18</v>
      </c>
      <c r="L26" s="74">
        <v>17</v>
      </c>
      <c r="M26" s="74">
        <v>18</v>
      </c>
      <c r="N26" s="74">
        <v>17</v>
      </c>
      <c r="O26" s="74">
        <v>17</v>
      </c>
      <c r="P26" s="74">
        <v>19</v>
      </c>
      <c r="Q26" s="93">
        <v>21</v>
      </c>
      <c r="R26" s="74">
        <v>20</v>
      </c>
      <c r="S26" s="74">
        <v>18</v>
      </c>
      <c r="T26" s="74">
        <v>19</v>
      </c>
      <c r="U26" s="74">
        <v>17</v>
      </c>
      <c r="V26" s="74">
        <v>15</v>
      </c>
      <c r="W26" s="74">
        <v>18</v>
      </c>
      <c r="X26" s="74">
        <v>44</v>
      </c>
      <c r="Y26" s="74">
        <v>20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1" t="s" ph="1">
        <v>180</v>
      </c>
      <c r="D27" s="71">
        <v>21.3</v>
      </c>
      <c r="E27" s="71">
        <v>5.4</v>
      </c>
      <c r="F27" s="71">
        <v>2091</v>
      </c>
      <c r="G27" s="71">
        <v>3207</v>
      </c>
      <c r="H27" s="71">
        <v>3271</v>
      </c>
      <c r="I27" s="71">
        <v>2384</v>
      </c>
      <c r="J27" s="71">
        <v>2153</v>
      </c>
      <c r="K27" s="71">
        <v>4998</v>
      </c>
      <c r="L27" s="71">
        <v>466</v>
      </c>
      <c r="M27" s="71">
        <v>871</v>
      </c>
      <c r="N27" s="71">
        <v>444</v>
      </c>
      <c r="O27" s="71">
        <v>5723</v>
      </c>
      <c r="P27" s="71">
        <v>354</v>
      </c>
      <c r="Q27" s="90">
        <v>2334</v>
      </c>
      <c r="R27" s="71">
        <v>5686</v>
      </c>
      <c r="S27" s="71">
        <v>2411</v>
      </c>
      <c r="T27" s="71">
        <v>214</v>
      </c>
      <c r="U27" s="71">
        <v>4747</v>
      </c>
      <c r="V27" s="71">
        <v>3674</v>
      </c>
      <c r="W27" s="71">
        <v>1520</v>
      </c>
      <c r="X27" s="71">
        <v>7588</v>
      </c>
      <c r="Y27" s="71">
        <v>6391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1" t="s" ph="1">
        <v>178</v>
      </c>
      <c r="D28" s="91" ph="1">
        <f>D27*268.68*LOOKUP(D29,密度!$A$2:$A$50,密度!$Q$2:$Q$50)+IF(D27&lt;=0,0,1566*LOOKUP(D29,密度!$A$2:$A$50,密度!$Q$2:$Q$50))</f>
        <v>6900.6780381600001</v>
      </c>
      <c r="E28" s="91" ph="1">
        <f>E27*268.68*LOOKUP(E29,密度!$A$2:$A$50,密度!$C$2:$C$50)+IF(E27&lt;=0,0,1566*LOOKUP(E29,密度!$A$2:$A$50,密度!$C$2:$C$50))</f>
        <v>3345.4093608000003</v>
      </c>
      <c r="F28" s="91" ph="1">
        <f>F27*11.702*LOOKUP(F29,密度!$A$2:$A$50,密度!$Q$2:$Q$50)</f>
        <v>23254.736075160003</v>
      </c>
      <c r="G28" s="91" ph="1">
        <f>G27*18.322*LOOKUP(G29,密度!$A$2:$A$50,密度!$B$2:$B$50)</f>
        <v>46072.660601399999</v>
      </c>
      <c r="H28" s="91" ph="1">
        <f>H27*18.322*LOOKUP(H29,密度!$A$2:$A$50,密度!$B$2:$B$50)</f>
        <v>46992.102534199999</v>
      </c>
      <c r="I28" s="91" ph="1">
        <f>I27*18.322*LOOKUP(I29,密度!$A$2:$A$50,密度!$Q$2:$Q$50)</f>
        <v>41549.391567040002</v>
      </c>
      <c r="J28" s="91" ph="1">
        <f>J27*18.322*LOOKUP(J29,密度!$A$2:$A$50,密度!$Q$2:$Q$50)</f>
        <v>37554.191704659999</v>
      </c>
      <c r="K28" s="91" ph="1">
        <f>K27*18.322*LOOKUP(K29,密度!$A$2:$A$50,密度!$Q$2:$Q$50)</f>
        <v>87178.750645560009</v>
      </c>
      <c r="L28" s="91" ph="1">
        <f>L27*18.322*LOOKUP(L29,密度!$A$2:$A$50,密度!$Q$2:$Q$50)</f>
        <v>8121.6512039600002</v>
      </c>
      <c r="M28" s="91" ph="1">
        <f>M27*18.322*LOOKUP(M29,密度!$A$2:$A$50,密度!$Q$2:$Q$50)</f>
        <v>15180.167808259999</v>
      </c>
      <c r="N28" s="91" ph="1">
        <f>N27*18.322*LOOKUP(N29,密度!$A$2:$A$50,密度!$Q$2:$Q$50)</f>
        <v>7731.3108878399999</v>
      </c>
      <c r="O28" s="91" ph="1">
        <f>O27*18.322*LOOKUP(O29,密度!$A$2:$A$50,密度!$C$2:$C$50)</f>
        <v>116726.59643919999</v>
      </c>
      <c r="P28" s="91" ph="1">
        <f>P27*11.702*LOOKUP(P29,密度!$A$2:$A$50,密度!$B$2:$B$50)</f>
        <v>3248.1405227999999</v>
      </c>
      <c r="Q28" s="92" ph="1">
        <f>Q27*18.322*LOOKUP(Q29,密度!$A$2:$A$50,密度!$B$2:$B$50)</f>
        <v>33530.897986799995</v>
      </c>
      <c r="R28" s="91" ph="1">
        <f>R27*35.891*LOOKUP(R29,密度!$A$2:$A$50,密度!$C$2:$C$50)</f>
        <v>227177.65478319998</v>
      </c>
      <c r="S28" s="91" ph="1">
        <f>S27*35.891*LOOKUP(S29,密度!$A$2:$A$50,密度!$B$2:$B$50)</f>
        <v>67850.682904100002</v>
      </c>
      <c r="T28" s="91" ph="1">
        <f>T27*35.891*LOOKUP(T29,密度!$A$2:$A$50,密度!$Q$2:$Q$50)</f>
        <v>7294.2592910600006</v>
      </c>
      <c r="U28" s="91" ph="1">
        <f>U27*35.891</f>
        <v>170374.57699999999</v>
      </c>
      <c r="V28" s="91" ph="1">
        <f>V27*47.051*LOOKUP(V29,密度!$A$2:$A$50,密度!$B$2:$B$50)</f>
        <v>136217.91471200003</v>
      </c>
      <c r="W28" s="91" ph="1">
        <f>W27*47.051*LOOKUP(W29,密度!$A$2:$A$50,密度!$B$2:$B$50)</f>
        <v>56134.101448000009</v>
      </c>
      <c r="X28" s="91" ph="1">
        <f>X27*47.051*LOOKUP(X29,密度!$A$2:$A$61,密度!$I$2:$I$61)</f>
        <v>363735.02017440001</v>
      </c>
      <c r="Y28" s="91" ph="1">
        <f>Y27*47.051*LOOKUP(Y29,密度!$A$2:$A$50,密度!$L$2:$L$50)</f>
        <v>282961.467481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1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20</v>
      </c>
      <c r="I29" s="74">
        <v>19</v>
      </c>
      <c r="J29" s="74">
        <v>18</v>
      </c>
      <c r="K29" s="74">
        <v>18</v>
      </c>
      <c r="L29" s="74">
        <v>19</v>
      </c>
      <c r="M29" s="74">
        <v>19</v>
      </c>
      <c r="N29" s="74">
        <v>20</v>
      </c>
      <c r="O29" s="74">
        <v>19</v>
      </c>
      <c r="P29" s="74">
        <v>20</v>
      </c>
      <c r="Q29" s="93">
        <v>20</v>
      </c>
      <c r="R29" s="74">
        <v>19</v>
      </c>
      <c r="S29" s="74">
        <v>20</v>
      </c>
      <c r="T29" s="74">
        <v>21</v>
      </c>
      <c r="U29" s="74">
        <v>20</v>
      </c>
      <c r="V29" s="74">
        <v>15</v>
      </c>
      <c r="W29" s="74">
        <v>19</v>
      </c>
      <c r="X29" s="74">
        <v>46</v>
      </c>
      <c r="Y29" s="74">
        <v>21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250451.50524289999</v>
      </c>
      <c r="E33" s="187" ph="1">
        <f>M10+I10</f>
        <v>85778.5381566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3" ph="1">
        <f>N19</f>
        <v>11655.032384420001</v>
      </c>
      <c r="H33" s="187" ph="1">
        <f>M19</f>
        <v>46213.54662198</v>
      </c>
      <c r="I33" s="191" ph="1">
        <v>0</v>
      </c>
      <c r="J33" s="195" ph="1">
        <f>F10+O28</f>
        <v>290487.51437289995</v>
      </c>
      <c r="K33" s="187" ph="1">
        <f>O10+K10+E28+R28</f>
        <v>336950.0775744</v>
      </c>
      <c r="L33" s="197" ph="1">
        <f>K19</f>
        <v>36135.015456840003</v>
      </c>
      <c r="M33" s="195" ph="1">
        <f>G10+H10+W28+S28+V28+E10+R19+P28+Q28</f>
        <v>842871.40986430005</v>
      </c>
      <c r="N33" s="187" ph="1">
        <f>L10+P10++G28+H28+AD19+AE19</f>
        <v>301361.27236400003</v>
      </c>
      <c r="O33" s="191" ph="1">
        <f>G19</f>
        <v>14309.057052460001</v>
      </c>
      <c r="P33" s="195" ph="1">
        <f>L19</f>
        <v>26628.360138940003</v>
      </c>
      <c r="Q33" s="187" ph="1">
        <f>J10+N10</f>
        <v>58109.515503800001</v>
      </c>
      <c r="R33" s="191" ph="1">
        <f>BE23</f>
        <v>890</v>
      </c>
      <c r="S33" s="195" ph="1">
        <f>X28</f>
        <v>363735.02017440001</v>
      </c>
      <c r="T33" s="187" ph="1">
        <f>X19</f>
        <v>6733.4145465599995</v>
      </c>
      <c r="U33" s="176" ph="1">
        <f>BE21</f>
        <v>730</v>
      </c>
      <c r="V33" s="189" ph="1">
        <f ca="1">P19+Q19+S19+M28+N28+J28+D10+AC10+D19+E19+H19+J19+O19+V19+W19+K28+L28</f>
        <v>823402.94442807592</v>
      </c>
      <c r="W33" s="189" ph="1">
        <f>D28+F28+T28+I28</f>
        <v>78999.064971420012</v>
      </c>
      <c r="X33" s="191" ph="1">
        <f>BE29+BE31</f>
        <v>10200</v>
      </c>
      <c r="Y33" s="193" ph="1">
        <f>+Q10+R10+S10+T10+U10+V10+W10+X10+Y10</f>
        <v>135544.88649239999</v>
      </c>
      <c r="Z33" s="174" ph="1">
        <f>T19+U19+Y28+Z10</f>
        <v>542122.68416825996</v>
      </c>
      <c r="AA33" s="176" ph="1">
        <f>BE19</f>
        <v>1440</v>
      </c>
      <c r="AB33" s="178" ph="1">
        <f>I19</f>
        <v>48723.741602400005</v>
      </c>
      <c r="AC33" s="180" ph="1">
        <f>AD10+AB19</f>
        <v>153549.63677320001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3" t="s" ph="1">
        <v>185</v>
      </c>
      <c r="AA36" s="153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39" priority="100">
      <formula>ABS(D$7-D$10)&gt;=1000</formula>
    </cfRule>
  </conditionalFormatting>
  <conditionalFormatting sqref="E4 E6:E11">
    <cfRule type="expression" dxfId="2338" priority="99">
      <formula>ABS(E$7-E$10)&gt;=1000</formula>
    </cfRule>
  </conditionalFormatting>
  <conditionalFormatting sqref="F4:F11">
    <cfRule type="expression" dxfId="2337" priority="98">
      <formula>ABS(F$7-F$10)&gt;=1000</formula>
    </cfRule>
  </conditionalFormatting>
  <conditionalFormatting sqref="G4:G11">
    <cfRule type="expression" dxfId="2336" priority="97">
      <formula>ABS(G$7-G$10)&gt;=1000</formula>
    </cfRule>
  </conditionalFormatting>
  <conditionalFormatting sqref="H4:H11">
    <cfRule type="expression" dxfId="2335" priority="96">
      <formula>ABS(H$7-H$10)&gt;=1000</formula>
    </cfRule>
  </conditionalFormatting>
  <conditionalFormatting sqref="I4:I11">
    <cfRule type="expression" dxfId="2334" priority="95">
      <formula>ABS(I$7-I$10)&gt;=1000</formula>
    </cfRule>
  </conditionalFormatting>
  <conditionalFormatting sqref="J4:J11">
    <cfRule type="expression" dxfId="2333" priority="94">
      <formula>ABS(J$7-J$10)&gt;=1000</formula>
    </cfRule>
  </conditionalFormatting>
  <conditionalFormatting sqref="K4:K11">
    <cfRule type="expression" dxfId="2332" priority="93">
      <formula>ABS(K$7-K$10)&gt;=1000</formula>
    </cfRule>
  </conditionalFormatting>
  <conditionalFormatting sqref="L4:L11">
    <cfRule type="expression" dxfId="2331" priority="92">
      <formula>ABS(L$7-L$10)&gt;=1000</formula>
    </cfRule>
  </conditionalFormatting>
  <conditionalFormatting sqref="M4 M6:M11">
    <cfRule type="expression" dxfId="2330" priority="91">
      <formula>ABS(M$7-M$10)&gt;=1000</formula>
    </cfRule>
  </conditionalFormatting>
  <conditionalFormatting sqref="N4 N6:N11">
    <cfRule type="expression" dxfId="2329" priority="90">
      <formula>ABS(N$7-N$10)&gt;=1000</formula>
    </cfRule>
  </conditionalFormatting>
  <conditionalFormatting sqref="O4 O6:O11">
    <cfRule type="expression" dxfId="2328" priority="89">
      <formula>ABS(O$7-O$10)&gt;=1000</formula>
    </cfRule>
  </conditionalFormatting>
  <conditionalFormatting sqref="P4 P6:P11">
    <cfRule type="expression" dxfId="2327" priority="88">
      <formula>ABS(P$7-P$10)&gt;=1000</formula>
    </cfRule>
  </conditionalFormatting>
  <conditionalFormatting sqref="Q4:Q11">
    <cfRule type="expression" dxfId="2326" priority="87">
      <formula>ABS(Q$7-Q$10)&gt;=1000</formula>
    </cfRule>
  </conditionalFormatting>
  <conditionalFormatting sqref="R4:R11">
    <cfRule type="expression" dxfId="2325" priority="86">
      <formula>ABS(R$7-R$10)&gt;=1000</formula>
    </cfRule>
  </conditionalFormatting>
  <conditionalFormatting sqref="S4:S11">
    <cfRule type="expression" dxfId="2324" priority="85">
      <formula>ABS(S$7-S$10)&gt;=1000</formula>
    </cfRule>
  </conditionalFormatting>
  <conditionalFormatting sqref="T4:T9 T11">
    <cfRule type="expression" dxfId="2323" priority="84">
      <formula>ABS(T$7-T$10)&gt;=1000</formula>
    </cfRule>
  </conditionalFormatting>
  <conditionalFormatting sqref="U4:U9 U11">
    <cfRule type="expression" dxfId="2322" priority="83">
      <formula>ABS(U$7-U$10)&gt;=1000</formula>
    </cfRule>
  </conditionalFormatting>
  <conditionalFormatting sqref="V4:V9 V11">
    <cfRule type="expression" dxfId="2321" priority="82">
      <formula>ABS(V$7-V$10)&gt;=1000</formula>
    </cfRule>
  </conditionalFormatting>
  <conditionalFormatting sqref="W4:W9 W11">
    <cfRule type="expression" dxfId="2320" priority="81">
      <formula>ABS(W$7-W$10)&gt;=1000</formula>
    </cfRule>
  </conditionalFormatting>
  <conditionalFormatting sqref="X4:X9 X11">
    <cfRule type="expression" dxfId="2319" priority="80">
      <formula>ABS(X$7-X$10)&gt;=1000</formula>
    </cfRule>
  </conditionalFormatting>
  <conditionalFormatting sqref="Y4:Y9 Y11">
    <cfRule type="expression" dxfId="2318" priority="79">
      <formula>ABS(Y$7-Y$10)&gt;=1000</formula>
    </cfRule>
  </conditionalFormatting>
  <conditionalFormatting sqref="Z4:Z11">
    <cfRule type="expression" dxfId="2317" priority="78">
      <formula>ABS(Z$7-Z$10)&gt;=1000</formula>
    </cfRule>
  </conditionalFormatting>
  <conditionalFormatting sqref="AA4:AA11">
    <cfRule type="expression" dxfId="2316" priority="77">
      <formula>ABS(AA$7-AA$10)&gt;=1000</formula>
    </cfRule>
  </conditionalFormatting>
  <conditionalFormatting sqref="AB4:AB11">
    <cfRule type="expression" dxfId="2315" priority="76">
      <formula>ABS(AB$7-AB$10)&gt;=1000</formula>
    </cfRule>
  </conditionalFormatting>
  <conditionalFormatting sqref="AC4 AC6:AC11">
    <cfRule type="expression" dxfId="2314" priority="75">
      <formula>ABS(AC$7-AC$10)&gt;=1000</formula>
    </cfRule>
  </conditionalFormatting>
  <conditionalFormatting sqref="AD4 AD6:AD11">
    <cfRule type="expression" dxfId="2313" priority="74">
      <formula>ABS(AD$7-AD$10)&gt;=1000</formula>
    </cfRule>
  </conditionalFormatting>
  <conditionalFormatting sqref="AE4 AE6:AE11">
    <cfRule type="expression" dxfId="2312" priority="73">
      <formula>ABS(AE$7-AE$10)&gt;=1000</formula>
    </cfRule>
  </conditionalFormatting>
  <conditionalFormatting sqref="D13:D20">
    <cfRule type="expression" dxfId="2311" priority="72">
      <formula>ABS(D$16-D$19)&gt;=1000</formula>
    </cfRule>
  </conditionalFormatting>
  <conditionalFormatting sqref="E13:E20">
    <cfRule type="expression" dxfId="2310" priority="71">
      <formula>ABS(E$16-E$19)&gt;=1000</formula>
    </cfRule>
  </conditionalFormatting>
  <conditionalFormatting sqref="F13 F15:F20">
    <cfRule type="expression" dxfId="2309" priority="70">
      <formula>ABS(F$16-F$19)&gt;=1000</formula>
    </cfRule>
  </conditionalFormatting>
  <conditionalFormatting sqref="G13:G20">
    <cfRule type="expression" dxfId="2308" priority="69">
      <formula>ABS(G$16-G$19)&gt;=1000</formula>
    </cfRule>
  </conditionalFormatting>
  <conditionalFormatting sqref="H13 H15:H20">
    <cfRule type="expression" dxfId="2307" priority="68">
      <formula>ABS(H$16-H$19)&gt;=1000</formula>
    </cfRule>
  </conditionalFormatting>
  <conditionalFormatting sqref="I13:I20">
    <cfRule type="expression" dxfId="2306" priority="67">
      <formula>ABS(I$16-I$19)&gt;=1000</formula>
    </cfRule>
  </conditionalFormatting>
  <conditionalFormatting sqref="J13:J20">
    <cfRule type="expression" dxfId="2305" priority="66">
      <formula>ABS(J$16-J$19)&gt;=1000</formula>
    </cfRule>
  </conditionalFormatting>
  <conditionalFormatting sqref="L13:L20">
    <cfRule type="expression" dxfId="2304" priority="65">
      <formula>ABS(L$16-L$19)&gt;=1000</formula>
    </cfRule>
  </conditionalFormatting>
  <conditionalFormatting sqref="M13 M15 M17:M18 M20">
    <cfRule type="expression" dxfId="2303" priority="64">
      <formula>ABS(M$16-M$19)&gt;=1000</formula>
    </cfRule>
  </conditionalFormatting>
  <conditionalFormatting sqref="N13:N20">
    <cfRule type="expression" dxfId="2302" priority="63">
      <formula>ABS(N$16-N$19)&gt;=1000</formula>
    </cfRule>
  </conditionalFormatting>
  <conditionalFormatting sqref="O13:O20">
    <cfRule type="expression" dxfId="2301" priority="62">
      <formula>ABS(O$16-O$19)&gt;=1000</formula>
    </cfRule>
  </conditionalFormatting>
  <conditionalFormatting sqref="P13:P20">
    <cfRule type="expression" dxfId="2300" priority="61">
      <formula>ABS(P$16-P$19)&gt;=1000</formula>
    </cfRule>
  </conditionalFormatting>
  <conditionalFormatting sqref="Q13 Q15:Q20">
    <cfRule type="expression" dxfId="2299" priority="60">
      <formula>ABS(Q$16-Q$19)&gt;=1000</formula>
    </cfRule>
  </conditionalFormatting>
  <conditionalFormatting sqref="R13:R20">
    <cfRule type="expression" dxfId="2298" priority="59">
      <formula>ABS(R$16-R$19)&gt;=1000</formula>
    </cfRule>
  </conditionalFormatting>
  <conditionalFormatting sqref="S13:S20">
    <cfRule type="expression" dxfId="2297" priority="58">
      <formula>ABS(S$16-S$19)&gt;=1000</formula>
    </cfRule>
  </conditionalFormatting>
  <conditionalFormatting sqref="T13:T20">
    <cfRule type="expression" dxfId="2296" priority="57">
      <formula>ABS(T$16-T$19)&gt;=1000</formula>
    </cfRule>
  </conditionalFormatting>
  <conditionalFormatting sqref="U13:U20">
    <cfRule type="expression" dxfId="2295" priority="56">
      <formula>ABS(U$16-U$19)&gt;=1000</formula>
    </cfRule>
  </conditionalFormatting>
  <conditionalFormatting sqref="V13:V20">
    <cfRule type="expression" dxfId="2294" priority="55">
      <formula>ABS(V$16-V$19)&gt;=1000</formula>
    </cfRule>
  </conditionalFormatting>
  <conditionalFormatting sqref="W13 W20 W15:W18">
    <cfRule type="expression" dxfId="2293" priority="54">
      <formula>ABS(W$16-W$19)&gt;=1000</formula>
    </cfRule>
  </conditionalFormatting>
  <conditionalFormatting sqref="X13 X15:X20 Y19">
    <cfRule type="expression" dxfId="2292" priority="53">
      <formula>ABS(X$16-X$19)&gt;=1000</formula>
    </cfRule>
  </conditionalFormatting>
  <conditionalFormatting sqref="Y13 Y15:Y18 Y20">
    <cfRule type="expression" dxfId="2291" priority="52">
      <formula>ABS(Y$16-Y$19)&gt;=1000</formula>
    </cfRule>
  </conditionalFormatting>
  <conditionalFormatting sqref="Z13:Z20">
    <cfRule type="expression" dxfId="2290" priority="51">
      <formula>ABS(Z$16-Z$19)&gt;=1000</formula>
    </cfRule>
  </conditionalFormatting>
  <conditionalFormatting sqref="AA13:AA20">
    <cfRule type="expression" dxfId="2289" priority="50">
      <formula>ABS(AA$16-AA$19)&gt;=1000</formula>
    </cfRule>
  </conditionalFormatting>
  <conditionalFormatting sqref="AB13 AB15:AB20">
    <cfRule type="expression" dxfId="2288" priority="49">
      <formula>ABS(AB$16-AB$19)&gt;=1000</formula>
    </cfRule>
  </conditionalFormatting>
  <conditionalFormatting sqref="AC13 AC15:AC20">
    <cfRule type="expression" dxfId="2287" priority="48">
      <formula>ABS(AC$16-AC$19)&gt;=1000</formula>
    </cfRule>
  </conditionalFormatting>
  <conditionalFormatting sqref="AD13:AD20">
    <cfRule type="expression" dxfId="2286" priority="47">
      <formula>ABS(AD$16-AD$19)&gt;=1000</formula>
    </cfRule>
  </conditionalFormatting>
  <conditionalFormatting sqref="AE13:AE20">
    <cfRule type="expression" dxfId="2285" priority="46">
      <formula>ABS(AE$16-AE$19)&gt;=1000</formula>
    </cfRule>
  </conditionalFormatting>
  <conditionalFormatting sqref="D22:D29">
    <cfRule type="expression" dxfId="2284" priority="45">
      <formula>ABS(D$25-D$28)&gt;=1000</formula>
    </cfRule>
  </conditionalFormatting>
  <conditionalFormatting sqref="E22:E29">
    <cfRule type="expression" dxfId="2283" priority="44">
      <formula>ABS(E$25-E$28)&gt;=1000</formula>
    </cfRule>
  </conditionalFormatting>
  <conditionalFormatting sqref="F22:F29">
    <cfRule type="expression" dxfId="2282" priority="43">
      <formula>ABS(F$25-F$28)&gt;=1000</formula>
    </cfRule>
  </conditionalFormatting>
  <conditionalFormatting sqref="G22:G29">
    <cfRule type="expression" dxfId="2281" priority="42">
      <formula>ABS(G$25-G$28)&gt;=1000</formula>
    </cfRule>
  </conditionalFormatting>
  <conditionalFormatting sqref="H22:H29">
    <cfRule type="expression" dxfId="2280" priority="41">
      <formula>ABS(H$25-H$28)&gt;=1000</formula>
    </cfRule>
  </conditionalFormatting>
  <conditionalFormatting sqref="I22 I24:I29">
    <cfRule type="expression" dxfId="2279" priority="40">
      <formula>ABS(I$25-I$28)&gt;=1000</formula>
    </cfRule>
  </conditionalFormatting>
  <conditionalFormatting sqref="J22:J29 K22">
    <cfRule type="expression" dxfId="2278" priority="39">
      <formula>ABS(J$25-J$28)&gt;=1000</formula>
    </cfRule>
  </conditionalFormatting>
  <conditionalFormatting sqref="K23:K29 L25 L28">
    <cfRule type="expression" dxfId="2277" priority="38">
      <formula>ABS(K$25-K$28)&gt;=1000</formula>
    </cfRule>
  </conditionalFormatting>
  <conditionalFormatting sqref="L22 L26:L27 L29 L24">
    <cfRule type="expression" dxfId="2276" priority="37">
      <formula>ABS(L$25-L$28)&gt;=1000</formula>
    </cfRule>
  </conditionalFormatting>
  <conditionalFormatting sqref="M22:M29">
    <cfRule type="expression" dxfId="2275" priority="36">
      <formula>ABS(M$25-M$28)&gt;=1000</formula>
    </cfRule>
  </conditionalFormatting>
  <conditionalFormatting sqref="N22:N29">
    <cfRule type="expression" dxfId="2274" priority="35">
      <formula>ABS(N$25-N$28)&gt;=1000</formula>
    </cfRule>
  </conditionalFormatting>
  <conditionalFormatting sqref="O22:O29">
    <cfRule type="expression" dxfId="2273" priority="34">
      <formula>ABS(O$25-O$28)&gt;=1000</formula>
    </cfRule>
  </conditionalFormatting>
  <conditionalFormatting sqref="P22:P29">
    <cfRule type="expression" dxfId="2272" priority="33">
      <formula>ABS(P$25-P$28)&gt;=1000</formula>
    </cfRule>
  </conditionalFormatting>
  <conditionalFormatting sqref="Q22:Q29">
    <cfRule type="expression" dxfId="2271" priority="32">
      <formula>ABS(Q$25-Q$28)&gt;=1000</formula>
    </cfRule>
  </conditionalFormatting>
  <conditionalFormatting sqref="R22:R29">
    <cfRule type="expression" dxfId="2270" priority="31">
      <formula>ABS(R$25-R$28)&gt;=1000</formula>
    </cfRule>
  </conditionalFormatting>
  <conditionalFormatting sqref="S22:S29">
    <cfRule type="expression" dxfId="2269" priority="30">
      <formula>ABS(S$25-S$28)&gt;=1000</formula>
    </cfRule>
  </conditionalFormatting>
  <conditionalFormatting sqref="T22:T29">
    <cfRule type="expression" dxfId="2268" priority="29">
      <formula>ABS(T$25-T$28)&gt;=1000</formula>
    </cfRule>
  </conditionalFormatting>
  <conditionalFormatting sqref="U22:U29">
    <cfRule type="expression" dxfId="2267" priority="28">
      <formula>ABS(U$25-U$28)&gt;=1000</formula>
    </cfRule>
  </conditionalFormatting>
  <conditionalFormatting sqref="V22:V29">
    <cfRule type="expression" dxfId="2266" priority="27">
      <formula>ABS(V$25-V$28)&gt;=1000</formula>
    </cfRule>
  </conditionalFormatting>
  <conditionalFormatting sqref="W22:W29">
    <cfRule type="expression" dxfId="2265" priority="26">
      <formula>ABS(W$25-W$28)&gt;=1000</formula>
    </cfRule>
  </conditionalFormatting>
  <conditionalFormatting sqref="X22:X29">
    <cfRule type="expression" dxfId="2264" priority="25">
      <formula>ABS(X$25-X$28)&gt;=1000</formula>
    </cfRule>
  </conditionalFormatting>
  <conditionalFormatting sqref="Y22:Y29">
    <cfRule type="expression" dxfId="2263" priority="24">
      <formula>ABS(Y$25-Y$28)&gt;=1000</formula>
    </cfRule>
  </conditionalFormatting>
  <conditionalFormatting sqref="I23">
    <cfRule type="expression" dxfId="2262" priority="23">
      <formula>ABS(I$25-I$28)&gt;=1000</formula>
    </cfRule>
  </conditionalFormatting>
  <conditionalFormatting sqref="Q14">
    <cfRule type="expression" dxfId="2261" priority="22">
      <formula>ABS(Q$16-Q$19)&gt;=1000</formula>
    </cfRule>
  </conditionalFormatting>
  <conditionalFormatting sqref="W14">
    <cfRule type="expression" dxfId="2260" priority="21">
      <formula>ABS(W$16-W$19)&gt;=1000</formula>
    </cfRule>
  </conditionalFormatting>
  <conditionalFormatting sqref="X14">
    <cfRule type="expression" dxfId="2259" priority="20">
      <formula>ABS(X$16-X$19)&gt;=1000</formula>
    </cfRule>
  </conditionalFormatting>
  <conditionalFormatting sqref="T10:Y10">
    <cfRule type="expression" dxfId="2258" priority="19">
      <formula>ABS(T$7-T$10)&gt;=1000</formula>
    </cfRule>
  </conditionalFormatting>
  <conditionalFormatting sqref="W19">
    <cfRule type="expression" dxfId="2257" priority="18">
      <formula>ABS(W$16-W$19)&gt;=1000</formula>
    </cfRule>
  </conditionalFormatting>
  <conditionalFormatting sqref="AC5">
    <cfRule type="expression" dxfId="2256" priority="17">
      <formula>ABS(AC$7-AC$10)&gt;=1000</formula>
    </cfRule>
  </conditionalFormatting>
  <conditionalFormatting sqref="M14">
    <cfRule type="expression" dxfId="2255" priority="16">
      <formula>ABS(M$16-M$19)&gt;=1000</formula>
    </cfRule>
  </conditionalFormatting>
  <conditionalFormatting sqref="M16">
    <cfRule type="expression" dxfId="2254" priority="15">
      <formula>ABS(M$16-M$19)&gt;=1000</formula>
    </cfRule>
  </conditionalFormatting>
  <conditionalFormatting sqref="M19">
    <cfRule type="expression" dxfId="2253" priority="14">
      <formula>ABS(M$16-M$19)&gt;=1000</formula>
    </cfRule>
  </conditionalFormatting>
  <conditionalFormatting sqref="K13:K20">
    <cfRule type="expression" dxfId="2252" priority="13">
      <formula>ABS(K$16-K$19)&gt;=1000</formula>
    </cfRule>
  </conditionalFormatting>
  <conditionalFormatting sqref="E5">
    <cfRule type="expression" dxfId="2251" priority="12">
      <formula>ABS(E$7-E$10)&gt;=1000</formula>
    </cfRule>
  </conditionalFormatting>
  <conditionalFormatting sqref="AB14:AC14">
    <cfRule type="expression" dxfId="2250" priority="11">
      <formula>ABS(AB$16-AB$19)&gt;=1000</formula>
    </cfRule>
  </conditionalFormatting>
  <conditionalFormatting sqref="M5">
    <cfRule type="expression" dxfId="2249" priority="10">
      <formula>ABS(M$7-M$10)&gt;=1000</formula>
    </cfRule>
  </conditionalFormatting>
  <conditionalFormatting sqref="N5">
    <cfRule type="expression" dxfId="2248" priority="9">
      <formula>ABS(N$7-N$10)&gt;=1000</formula>
    </cfRule>
  </conditionalFormatting>
  <conditionalFormatting sqref="O5">
    <cfRule type="expression" dxfId="2247" priority="8">
      <formula>ABS(O$7-O$10)&gt;=1000</formula>
    </cfRule>
  </conditionalFormatting>
  <conditionalFormatting sqref="P5">
    <cfRule type="expression" dxfId="2246" priority="7">
      <formula>ABS(P$7-P$10)&gt;=1000</formula>
    </cfRule>
  </conditionalFormatting>
  <conditionalFormatting sqref="L23">
    <cfRule type="expression" dxfId="2245" priority="6">
      <formula>ABS(L$25-L$28)&gt;=1000</formula>
    </cfRule>
  </conditionalFormatting>
  <conditionalFormatting sqref="Y14">
    <cfRule type="expression" dxfId="2244" priority="5">
      <formula>ABS(Y$16-Y$19)&gt;=1000</formula>
    </cfRule>
  </conditionalFormatting>
  <conditionalFormatting sqref="F14">
    <cfRule type="expression" dxfId="2243" priority="4">
      <formula>ABS(F$16-F$19)&gt;=1000</formula>
    </cfRule>
  </conditionalFormatting>
  <conditionalFormatting sqref="H14">
    <cfRule type="expression" dxfId="2242" priority="3">
      <formula>ABS(H$16-H$19)&gt;=1000</formula>
    </cfRule>
  </conditionalFormatting>
  <conditionalFormatting sqref="AD5">
    <cfRule type="expression" dxfId="2241" priority="2">
      <formula>ABS(AD$7-AD$10)&gt;=1000</formula>
    </cfRule>
  </conditionalFormatting>
  <conditionalFormatting sqref="AE5">
    <cfRule type="expression" dxfId="22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42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0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46090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1" t="s" ph="1">
        <v>177</v>
      </c>
      <c r="D6" s="71">
        <v>5964</v>
      </c>
      <c r="E6" s="71">
        <v>3817</v>
      </c>
      <c r="F6" s="71">
        <v>4699</v>
      </c>
      <c r="G6" s="71">
        <v>307</v>
      </c>
      <c r="H6" s="71">
        <v>5622</v>
      </c>
      <c r="I6" s="71">
        <v>53.26</v>
      </c>
      <c r="J6" s="71">
        <v>6.57</v>
      </c>
      <c r="K6" s="71">
        <v>62.14</v>
      </c>
      <c r="L6" s="71">
        <v>8.32</v>
      </c>
      <c r="M6" s="71">
        <v>2040</v>
      </c>
      <c r="N6" s="71">
        <v>2157</v>
      </c>
      <c r="O6" s="71">
        <v>3803</v>
      </c>
      <c r="P6" s="71">
        <v>3485</v>
      </c>
      <c r="Q6" s="71">
        <v>1</v>
      </c>
      <c r="R6" s="71">
        <v>0</v>
      </c>
      <c r="S6" s="71">
        <v>0</v>
      </c>
      <c r="T6" s="71">
        <v>0</v>
      </c>
      <c r="U6" s="71">
        <v>2348</v>
      </c>
      <c r="V6" s="71">
        <v>7019</v>
      </c>
      <c r="W6" s="71">
        <v>7020</v>
      </c>
      <c r="X6" s="71">
        <v>2055</v>
      </c>
      <c r="Y6" s="71">
        <v>2</v>
      </c>
      <c r="Z6" s="71">
        <v>6766</v>
      </c>
      <c r="AA6" s="71">
        <v>4229</v>
      </c>
      <c r="AB6" s="71">
        <v>4966</v>
      </c>
      <c r="AC6" s="71">
        <v>6413</v>
      </c>
      <c r="AD6" s="71">
        <v>4780</v>
      </c>
      <c r="AE6" s="71">
        <v>4301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188406.02725812001</v>
      </c>
      <c r="E7" s="73" ph="1">
        <f>E6*51.53*LOOKUP(E8,密度!$A$2:$A$50,密度!$B$2:$B$50)</f>
        <v>154834.375872</v>
      </c>
      <c r="F7" s="73" ph="1">
        <f>F6*33.183*LOOKUP(F8,密度!$A$2:$A$50,密度!$C$2:$C$50)</f>
        <v>173780.5489965</v>
      </c>
      <c r="G7" s="73" ph="1">
        <f xml:space="preserve"> (G6+2)*51.53*LOOKUP(G8,密度!$A$2:$A$50,密度!$B$2:$B$50)</f>
        <v>12521.666327999999</v>
      </c>
      <c r="H7" s="73" ph="1">
        <f>(H6)*51.53*LOOKUP(H8,密度!$A$2:$A$50,密度!$B$2:$B$50)</f>
        <v>228545.63957400003</v>
      </c>
      <c r="I7" s="73" ph="1">
        <f>I6*290.8*1.0267</f>
        <v>15901.537813599998</v>
      </c>
      <c r="J7" s="73" ph="1">
        <f>J6*290.8*0.7892</f>
        <v>1507.8107952000003</v>
      </c>
      <c r="K7" s="73" ph="1">
        <f>K6*290.8*1.1126</f>
        <v>20105.029131200001</v>
      </c>
      <c r="L7" s="73" ph="1">
        <f>L6*290.8*0.777</f>
        <v>1879.9173120000003</v>
      </c>
      <c r="M7" s="73" ph="1">
        <f>M6*33.183*LOOKUP(M8,密度!$A$2:$A$50,密度!$D$2:$D$50)</f>
        <v>69988.123547999989</v>
      </c>
      <c r="N7" s="73" ph="1">
        <f>N6*33.183*LOOKUP(N8,密度!$A$2:$A$50,密度!$E$2:$E$50)</f>
        <v>56566.300209300003</v>
      </c>
      <c r="O7" s="73" ph="1">
        <f>O6*20.428*LOOKUP(O8,密度!$A$2:$A$50,密度!$C$2:$C$50)</f>
        <v>86318.785692400008</v>
      </c>
      <c r="P7" s="73" ph="1">
        <f>P6*51.53*LOOKUP(P8,密度!$A$2:$A$50,密度!$B$2:$B$50)</f>
        <v>141366.98976000003</v>
      </c>
      <c r="Q7" s="73" ph="1">
        <f>Q6*1.5*1.5*3.1416*LOOKUP(W8,密度!$A$2:$A$50,密度!$L$2:$L$50)</f>
        <v>6.6727583999999993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15684.233795999997</v>
      </c>
      <c r="V7" s="73" ph="1">
        <f>V6*1.5*1.5*3.1416*LOOKUP(V8,密度!$A$2:$A$50,密度!$L$2:$L$50)</f>
        <v>46538.404189199995</v>
      </c>
      <c r="W7" s="73" ph="1">
        <f>W6*1.5*1.5*3.1416*LOOKUP(W8,密度!$A$2:$A$50,密度!$L$2:$L$50)</f>
        <v>46842.763967999999</v>
      </c>
      <c r="X7" s="73" ph="1">
        <f>X6*1.5*1.5*3.1416*LOOKUP(X8,密度!$A$2:$A$50,密度!$L$2:$L$50)</f>
        <v>13843.252268999999</v>
      </c>
      <c r="Y7" s="73" ph="1">
        <f>Y6*1.5*1.5*3.1416*LOOKUP(Y8,密度!$A$2:$A$50,密度!$L$2:$L$50)</f>
        <v>13.359653999999999</v>
      </c>
      <c r="Z7" s="73" ph="1">
        <f>Z6*33.183*LOOKUP(Z8,密度!$A$2:$A$50,密度!$L$2:$L$50)</f>
        <v>212841.33674399997</v>
      </c>
      <c r="AA7" s="73" ph="1">
        <f>AA6*33.183*LOOKUP(AA8,密度!$A$2:$A$50,密度!$D$2:$D$50)</f>
        <v>145088.12474730003</v>
      </c>
      <c r="AB7" s="73" ph="1">
        <f>AB6*20.428*LOOKUP(AB8,密度!$A$2:$A$50,密度!$D$2:$D$50)</f>
        <v>105503.26592000001</v>
      </c>
      <c r="AC7" s="73" ph="1">
        <f>AC6*51.53*LOOKUP(AC8,密度!$A$2:$A$50,密度!$Q$2:$Q$50)</f>
        <v>315439.09248060005</v>
      </c>
      <c r="AD7" s="73" ph="1">
        <f>AD6*20.428*LOOKUP(AD8,密度!$A$2:$A$50,密度!$V$2:$V$50)</f>
        <v>94130.589760000003</v>
      </c>
      <c r="AE7" s="73" ph="1">
        <f>AE6*20.428</f>
        <v>87860.828000000009</v>
      </c>
    </row>
    <row r="8" spans="1:99" ph="1">
      <c r="B8" s="238" ph="1"/>
      <c r="C8" s="68" t="s" ph="1">
        <v>179</v>
      </c>
      <c r="D8" s="74">
        <v>18</v>
      </c>
      <c r="E8" s="74">
        <v>16</v>
      </c>
      <c r="F8" s="74">
        <v>17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19</v>
      </c>
      <c r="O8" s="74">
        <v>22</v>
      </c>
      <c r="P8" s="74">
        <v>16</v>
      </c>
      <c r="Q8" s="74">
        <v>19</v>
      </c>
      <c r="R8" s="74">
        <v>23</v>
      </c>
      <c r="S8" s="74">
        <v>14</v>
      </c>
      <c r="T8" s="74">
        <v>12</v>
      </c>
      <c r="U8" s="74">
        <v>17</v>
      </c>
      <c r="V8" s="74">
        <v>24</v>
      </c>
      <c r="W8" s="74">
        <v>18</v>
      </c>
      <c r="X8" s="74">
        <v>9</v>
      </c>
      <c r="Y8" s="74">
        <v>17</v>
      </c>
      <c r="Z8" s="74">
        <v>14</v>
      </c>
      <c r="AA8" s="74">
        <v>17</v>
      </c>
      <c r="AB8" s="74">
        <v>10</v>
      </c>
      <c r="AC8" s="74">
        <v>15</v>
      </c>
      <c r="AD8" s="74">
        <v>16</v>
      </c>
      <c r="AE8" s="74">
        <v>20</v>
      </c>
    </row>
    <row r="9" spans="1:99" ht="26.4" ph="1">
      <c r="B9" s="238" ph="1">
        <v>0.66666666666666663</v>
      </c>
      <c r="C9" s="151" t="s" ph="1">
        <v>180</v>
      </c>
      <c r="D9" s="71">
        <v>5965</v>
      </c>
      <c r="E9" s="71">
        <v>3595</v>
      </c>
      <c r="F9" s="71">
        <v>4699</v>
      </c>
      <c r="G9" s="71">
        <v>82</v>
      </c>
      <c r="H9" s="71">
        <v>5549</v>
      </c>
      <c r="I9" s="71">
        <v>53.28</v>
      </c>
      <c r="J9" s="71">
        <v>6.56</v>
      </c>
      <c r="K9" s="71">
        <v>62.31</v>
      </c>
      <c r="L9" s="71">
        <v>47.25</v>
      </c>
      <c r="M9" s="71">
        <v>2040</v>
      </c>
      <c r="N9" s="71">
        <v>2157</v>
      </c>
      <c r="O9" s="71">
        <v>3803</v>
      </c>
      <c r="P9" s="71">
        <v>2992</v>
      </c>
      <c r="Q9" s="71">
        <v>1</v>
      </c>
      <c r="R9" s="71">
        <v>0</v>
      </c>
      <c r="S9" s="71">
        <v>0</v>
      </c>
      <c r="T9" s="71">
        <v>0</v>
      </c>
      <c r="U9" s="71">
        <v>0</v>
      </c>
      <c r="V9" s="71">
        <v>5630</v>
      </c>
      <c r="W9" s="71">
        <v>7024</v>
      </c>
      <c r="X9" s="71">
        <v>4881</v>
      </c>
      <c r="Y9" s="71">
        <v>2</v>
      </c>
      <c r="Z9" s="71">
        <v>3699</v>
      </c>
      <c r="AA9" s="71">
        <v>4229</v>
      </c>
      <c r="AB9" s="71">
        <v>4618</v>
      </c>
      <c r="AC9" s="71">
        <v>6552</v>
      </c>
      <c r="AD9" s="71">
        <v>4780</v>
      </c>
      <c r="AE9" s="71">
        <v>4252</v>
      </c>
    </row>
    <row r="10" spans="1:99" s="72" customFormat="1" ht="22.2" ph="1">
      <c r="B10" s="238" ph="1"/>
      <c r="C10" s="151" t="s" ph="1">
        <v>178</v>
      </c>
      <c r="D10" s="73" ph="1">
        <f>D9*33.183*LOOKUP(D11,密度!$A$2:$A$50,密度!$Q$2:$Q$50)</f>
        <v>188437.61780594999</v>
      </c>
      <c r="E10" s="73" ph="1">
        <f>E9*51.53*LOOKUP(E11,密度!$A$2:$A$50,密度!$B$2:$B$50)</f>
        <v>145402.99971500001</v>
      </c>
      <c r="F10" s="73" ph="1">
        <f>F9*33.183*LOOKUP(F11,密度!$A$2:$A$50,密度!$C$2:$C$50)</f>
        <v>173780.5489965</v>
      </c>
      <c r="G10" s="73" ph="1">
        <f xml:space="preserve"> (G9+2)*51.53*LOOKUP(G11,密度!$A$2:$A$50,密度!$B$2:$B$50)</f>
        <v>3397.4553480000004</v>
      </c>
      <c r="H10" s="73" ph="1">
        <f>(H9)*51.53*LOOKUP(H11,密度!$A$2:$A$50,密度!$B$2:$B$50)</f>
        <v>224863.19240800003</v>
      </c>
      <c r="I10" s="73" ph="1">
        <f>I9*290.8*1.0267</f>
        <v>15907.5091008</v>
      </c>
      <c r="J10" s="73" ph="1">
        <f>J9*290.8*0.7892</f>
        <v>1505.5158016</v>
      </c>
      <c r="K10" s="73" ph="1">
        <f>K9*290.8*1.1126</f>
        <v>20160.031624800002</v>
      </c>
      <c r="L10" s="73" ph="1">
        <f>L9*290.8*0.777</f>
        <v>10676.213100000001</v>
      </c>
      <c r="M10" s="73" ph="1">
        <f>M9*33.183*LOOKUP(M11,密度!$A$2:$A$50,密度!$D$2:$D$50)</f>
        <v>69988.123547999989</v>
      </c>
      <c r="N10" s="73" ph="1">
        <f>N9*33.183*LOOKUP(N11,密度!$A$2:$A$50,密度!$E$2:$E$50)</f>
        <v>56566.300209300003</v>
      </c>
      <c r="O10" s="73" ph="1">
        <f>O9*20.428*LOOKUP(O11,密度!$A$2:$A$50,密度!$C$2:$C$50)</f>
        <v>86264.404313600011</v>
      </c>
      <c r="P10" s="73" ph="1">
        <f>P9*51.53*LOOKUP(P11,密度!$A$2:$A$50,密度!$B$2:$B$50)</f>
        <v>121245.39046400001</v>
      </c>
      <c r="Q10" s="73" ph="1">
        <f>Q9*1.5*1.5*3.1416*LOOKUP(W11,密度!$A$2:$A$50,密度!$L$2:$L$50)</f>
        <v>6.6656898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37289.056266</v>
      </c>
      <c r="W10" s="73" ph="1">
        <f>W9*1.5*1.5*3.1416*LOOKUP(W11,密度!$A$2:$A$50,密度!$L$2:$L$50)</f>
        <v>46819.805155199996</v>
      </c>
      <c r="X10" s="73" ph="1">
        <f>X9*1.5*1.5*3.1416*LOOKUP(X11,密度!$A$2:$A$50,密度!$L$2:$L$50)</f>
        <v>32845.748443199998</v>
      </c>
      <c r="Y10" s="73" ph="1">
        <f>Y9*1.5*1.5*3.1416*LOOKUP(Y11,密度!$A$2:$A$50,密度!$L$2:$L$50)</f>
        <v>13.345516799999999</v>
      </c>
      <c r="Z10" s="73" ph="1">
        <f>Z9*33.183*LOOKUP(Z11,密度!$A$2:$A$50,密度!$L$2:$L$50)</f>
        <v>116238.489399</v>
      </c>
      <c r="AA10" s="73" ph="1">
        <f>AA9*33.183*LOOKUP(AA11,密度!$A$2:$A$50,密度!$D$2:$D$50)</f>
        <v>144975.86002170001</v>
      </c>
      <c r="AB10" s="73" ph="1">
        <f>AB9*20.428*LOOKUP(AB11,密度!$A$2:$A$50,密度!$D$2:$D$50)</f>
        <v>98025.061306399992</v>
      </c>
      <c r="AC10" s="73" ph="1">
        <f>AC9*51.53*LOOKUP(AC11,密度!$A$2:$A$50,密度!$Q$2:$Q$50)</f>
        <v>321958.78041599999</v>
      </c>
      <c r="AD10" s="73" ph="1">
        <f>AD9*20.428*LOOKUP(AD11,密度!$A$2:$A$50,密度!$V$2:$V$50)</f>
        <v>94130.589760000003</v>
      </c>
      <c r="AE10" s="73" ph="1">
        <f>AE9*20.428</f>
        <v>86859.856</v>
      </c>
    </row>
    <row r="11" spans="1:99" ph="1">
      <c r="A11" s="64" t="s" ph="1">
        <v>162</v>
      </c>
      <c r="B11" s="238" ph="1"/>
      <c r="C11" s="151" t="s" ph="1">
        <v>179</v>
      </c>
      <c r="D11" s="74">
        <v>18</v>
      </c>
      <c r="E11" s="74">
        <v>19</v>
      </c>
      <c r="F11" s="74">
        <v>17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19</v>
      </c>
      <c r="O11" s="74">
        <v>23</v>
      </c>
      <c r="P11" s="74">
        <v>17</v>
      </c>
      <c r="Q11" s="74">
        <v>21</v>
      </c>
      <c r="R11" s="74">
        <v>24</v>
      </c>
      <c r="S11" s="74">
        <v>16</v>
      </c>
      <c r="T11" s="74">
        <v>15</v>
      </c>
      <c r="U11" s="74">
        <v>18</v>
      </c>
      <c r="V11" s="74">
        <v>25</v>
      </c>
      <c r="W11" s="74">
        <v>19</v>
      </c>
      <c r="X11" s="74">
        <v>10</v>
      </c>
      <c r="Y11" s="74">
        <v>18</v>
      </c>
      <c r="Z11" s="74">
        <v>15</v>
      </c>
      <c r="AA11" s="74">
        <v>18</v>
      </c>
      <c r="AB11" s="74">
        <v>11</v>
      </c>
      <c r="AC11" s="74">
        <v>16</v>
      </c>
      <c r="AD11" s="74">
        <v>17</v>
      </c>
      <c r="AE11" s="74">
        <v>21</v>
      </c>
    </row>
    <row r="12" spans="1:99" ht="9.9" customHeight="1" ph="1"/>
    <row r="13" spans="1:99" s="72" customFormat="1" ht="29.25" customHeight="1" ph="1">
      <c r="B13" s="215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1" t="s" ph="1">
        <v>177</v>
      </c>
      <c r="D15" s="78">
        <v>0</v>
      </c>
      <c r="E15" s="78">
        <v>63</v>
      </c>
      <c r="F15" s="78">
        <v>2348</v>
      </c>
      <c r="G15" s="78">
        <v>2914</v>
      </c>
      <c r="H15" s="78">
        <v>0</v>
      </c>
      <c r="I15" s="78">
        <v>5217</v>
      </c>
      <c r="J15" s="78">
        <v>0</v>
      </c>
      <c r="K15" s="78">
        <v>3577</v>
      </c>
      <c r="L15" s="78">
        <v>3705</v>
      </c>
      <c r="M15" s="78">
        <v>6866</v>
      </c>
      <c r="N15" s="78">
        <v>3515</v>
      </c>
      <c r="O15" s="78">
        <v>4432</v>
      </c>
      <c r="P15" s="78">
        <v>1656</v>
      </c>
      <c r="Q15" s="78">
        <v>1824</v>
      </c>
      <c r="R15" s="78">
        <v>7362</v>
      </c>
      <c r="S15" s="78">
        <v>1615</v>
      </c>
      <c r="T15" s="78">
        <v>6219</v>
      </c>
      <c r="U15" s="78">
        <v>2094</v>
      </c>
      <c r="V15" s="78">
        <v>2728</v>
      </c>
      <c r="W15" s="71">
        <v>-171</v>
      </c>
      <c r="X15" s="78">
        <v>91</v>
      </c>
      <c r="Y15" s="106">
        <v>-9900</v>
      </c>
      <c r="Z15" s="78">
        <v>0</v>
      </c>
      <c r="AA15" s="78">
        <v>11</v>
      </c>
      <c r="AB15" s="78" ph="1">
        <v>6947</v>
      </c>
      <c r="AC15" s="78" ph="1">
        <v>2142</v>
      </c>
      <c r="AD15" s="78">
        <v>5.48</v>
      </c>
      <c r="AE15" s="78">
        <v>70.069999999999993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1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419.93845739999995</v>
      </c>
      <c r="F16" s="73" ph="1">
        <f>F15*9.0746*LOOKUP(F17,密度!$A$2:$A$50,密度!$L$2:$L$50)</f>
        <v>20050.038312799999</v>
      </c>
      <c r="G16" s="73" ph="1">
        <f>G15*9.0746*LOOKUP(G17,密度!$A$2:$A$50,密度!$B$2:$B$50)</f>
        <v>20776.567123079996</v>
      </c>
      <c r="H16" s="73" ph="1">
        <f>H15*9.0746*LOOKUP(H17,密度!$A$2:$A$50,密度!$L$2:$L$50)</f>
        <v>0</v>
      </c>
      <c r="I16" s="73" ph="1">
        <f>I15*9.0746*LOOKUP(I17,密度!$A$2:$A$50,密度!$U$2:$U$50)</f>
        <v>48667.769469600004</v>
      </c>
      <c r="J16" s="73" ph="1">
        <f>J15*9.0746*LOOKUP(J17,密度!$A$2:$A$50,密度!$L$2:$L$50)</f>
        <v>0</v>
      </c>
      <c r="K16" s="73" ph="1">
        <f>K15*9.0746*LOOKUP(K17,密度!$A$2:$A$50,密度!$C$2:$C$50)</f>
        <v>36176.496360900004</v>
      </c>
      <c r="L16" s="73" ph="1">
        <f>L15*9.0746*LOOKUP(L17,密度!$A$2:$A$50,密度!$E$2:$E$50)</f>
        <v>26607.970420200003</v>
      </c>
      <c r="M16" s="73" ph="1">
        <f>M15*9.0746*LOOKUP(M17,密度!$A$2:$A$50,密度!$M$2:$M$50)</f>
        <v>54848.15102908</v>
      </c>
      <c r="N16" s="73" ph="1">
        <f>N15*9.0746*LOOKUP(N17,密度!$A$2:$A$50,密度!$M$2:$M$50)</f>
        <v>28079.121885699999</v>
      </c>
      <c r="O16" s="73" ph="1">
        <f>O15*9.0746*LOOKUP(O17,密度!$A$2:$A$50,密度!$G$2:$G$50)</f>
        <v>38847.172012480005</v>
      </c>
      <c r="P16" s="73" ph="1">
        <f ca="1">P15*9.0746*LOOKUP(P17,密度!$A$2:$A$51,密度!$Q$2:$Q$50)</f>
        <v>14294.644591247999</v>
      </c>
      <c r="Q16" s="73" ph="1">
        <f>Q15*9.0746*LOOKUP(Q17,密度!$A$2:$A$50,密度!$Q$2:$Q$50)</f>
        <v>15744.825926592001</v>
      </c>
      <c r="R16" s="73" ph="1">
        <f>MAX(R15*9.0746*LOOKUP(R17,密度!$A$2:$A$50,密度!$B$2:$B$50),0)</f>
        <v>52383.529597319997</v>
      </c>
      <c r="S16" s="73" ph="1">
        <f>S15*9.0746*LOOKUP(S17,密度!$A$2:$A$50,密度!$Q$2:$Q$50)</f>
        <v>13952.162562790001</v>
      </c>
      <c r="T16" s="73" ph="1">
        <f>T15*9.0746*LOOKUP(T17,密度!$A$2:$A$50,密度!$O$2:$O$50)</f>
        <v>52710.231531600002</v>
      </c>
      <c r="U16" s="73" ph="1">
        <f>U15*9.0746*LOOKUP(U17,密度!$A$2:$A$50,密度!$H$2:$H$50)</f>
        <v>17571.345806279998</v>
      </c>
      <c r="V16" s="73" ph="1">
        <f>MAX(5600*LOOKUP(V17,密度!$A$2:$A$50,密度!$Q$2:$Q$50)+V15*9.0476*LOOKUP(V17,密度!$A$2:$A$50,密度!$Q$2:$Q$50),0)</f>
        <v>28805.006838943995</v>
      </c>
      <c r="W16" s="73" ph="1">
        <f>MAX(5600*LOOKUP(W17,密度!$A$2:$A$50,密度!$Q$2:$Q$50)+W15*9.0476*LOOKUP(W17,密度!$A$2:$A$50,密度!$Q$2:$Q$50),0)</f>
        <v>3858.3636294040002</v>
      </c>
      <c r="X16" s="73" ph="1">
        <f>MAX(5600*LOOKUP(X17,密度!$A$2:$A$50,密度!$I$2:$I$50)+X15*9.0476*LOOKUP(X17,密度!$A$2:$A$50,密度!$I$2:$I$50),0)</f>
        <v>6752.8485110799993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59510.936412800002</v>
      </c>
      <c r="AC16" s="73" ph="1">
        <f>AC15*9.0746*LOOKUP(AC17,密度!$A$2:$A$50,密度!$L$2:$L$50)</f>
        <v>18388.1523672</v>
      </c>
      <c r="AD16" s="73" ph="1">
        <f>AD15*268.68*LOOKUP(AD17,密度!$A$2:$A$50,密度!B2:B50)+IF(AD15&lt;=0,0,1566*LOOKUP(AD17,密度!$A$2:$A$50,密度!B2:B50))</f>
        <v>2368.7104454399996</v>
      </c>
      <c r="AE16" s="73" ph="1">
        <f>AE15*268.68*LOOKUP(AE17,密度!$A$2:$A$50,密度!B2:B50)+IF(AE15&lt;=0,0,1566*LOOKUP(AE17,密度!$A$2:$A$50,密度!B2:B50))</f>
        <v>15897.920964959998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19</v>
      </c>
      <c r="E17" s="74">
        <v>19</v>
      </c>
      <c r="F17" s="74">
        <v>21</v>
      </c>
      <c r="G17" s="74">
        <v>18</v>
      </c>
      <c r="H17" s="74">
        <v>13</v>
      </c>
      <c r="I17" s="74">
        <v>17</v>
      </c>
      <c r="J17" s="74">
        <v>18</v>
      </c>
      <c r="K17" s="74">
        <v>17</v>
      </c>
      <c r="L17" s="74">
        <v>18</v>
      </c>
      <c r="M17" s="74">
        <v>19</v>
      </c>
      <c r="N17" s="74">
        <v>17</v>
      </c>
      <c r="O17" s="74">
        <v>20</v>
      </c>
      <c r="P17" s="74">
        <v>19</v>
      </c>
      <c r="Q17" s="74">
        <v>19</v>
      </c>
      <c r="R17" s="74">
        <v>20</v>
      </c>
      <c r="S17" s="74">
        <v>18</v>
      </c>
      <c r="T17" s="74">
        <v>18</v>
      </c>
      <c r="U17" s="74">
        <v>15</v>
      </c>
      <c r="V17" s="74">
        <v>19</v>
      </c>
      <c r="W17" s="74">
        <v>18</v>
      </c>
      <c r="X17" s="74">
        <v>17</v>
      </c>
      <c r="Y17" s="108">
        <v>17</v>
      </c>
      <c r="Z17" s="74">
        <v>18</v>
      </c>
      <c r="AA17" s="74">
        <v>15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1369</v>
      </c>
      <c r="E18" s="71">
        <v>63</v>
      </c>
      <c r="F18" s="71">
        <v>2349</v>
      </c>
      <c r="G18" s="71">
        <v>2989</v>
      </c>
      <c r="H18" s="71">
        <v>0</v>
      </c>
      <c r="I18" s="71">
        <v>5220</v>
      </c>
      <c r="J18" s="71">
        <v>0</v>
      </c>
      <c r="K18" s="71">
        <v>3578</v>
      </c>
      <c r="L18" s="71">
        <v>3708</v>
      </c>
      <c r="M18" s="71">
        <v>4082</v>
      </c>
      <c r="N18" s="71">
        <v>6490</v>
      </c>
      <c r="O18" s="71">
        <v>4434</v>
      </c>
      <c r="P18" s="71">
        <v>1658</v>
      </c>
      <c r="Q18" s="71">
        <v>180</v>
      </c>
      <c r="R18" s="71">
        <v>7369</v>
      </c>
      <c r="S18" s="71">
        <v>1674</v>
      </c>
      <c r="T18" s="71">
        <v>6223</v>
      </c>
      <c r="U18" s="71">
        <v>2094</v>
      </c>
      <c r="V18" s="71">
        <v>1419</v>
      </c>
      <c r="W18" s="71">
        <v>-171</v>
      </c>
      <c r="X18" s="71">
        <v>92</v>
      </c>
      <c r="Y18" s="109">
        <v>-9900</v>
      </c>
      <c r="Z18" s="71">
        <v>0</v>
      </c>
      <c r="AA18" s="71">
        <v>10</v>
      </c>
      <c r="AB18" s="71">
        <v>6948</v>
      </c>
      <c r="AC18" s="71">
        <v>2143</v>
      </c>
      <c r="AD18" s="71">
        <v>45.43</v>
      </c>
      <c r="AE18" s="71">
        <v>84.42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1" t="s" ph="1">
        <v>178</v>
      </c>
      <c r="D19" s="73" ph="1">
        <f>D18*7.0686*LOOKUP(D20,密度!$A$2:$A$50,密度!$L$2:$L$50)</f>
        <v>9125.3293361999986</v>
      </c>
      <c r="E19" s="73" ph="1">
        <f>E18*7.0686*LOOKUP(E20,密度!$A$2:$A$50,密度!$L$2:$L$50)</f>
        <v>419.93845739999995</v>
      </c>
      <c r="F19" s="73" ph="1">
        <f>F18*9.0746*LOOKUP(F20,密度!$A$2:$A$50,密度!$L$2:$L$50)</f>
        <v>20037.261276000001</v>
      </c>
      <c r="G19" s="73" ph="1">
        <f>G18*9.0746*LOOKUP(G20,密度!$A$2:$A$50,密度!$B$2:$B$50)</f>
        <v>21289.611431060002</v>
      </c>
      <c r="H19" s="73" ph="1">
        <f>H18*9.0746*LOOKUP(H20,密度!$A$2:$A$50,密度!$L$2:$L$50)</f>
        <v>0</v>
      </c>
      <c r="I19" s="73" ph="1">
        <f>I18*9.0746*LOOKUP(I20,密度!$A$2:$A$50,密度!$U$2:$U$50)</f>
        <v>48695.755536000004</v>
      </c>
      <c r="J19" s="73" ph="1">
        <f>J18*9.0746*LOOKUP(J20,密度!$A$2:$A$50,密度!$L$2:$L$50)</f>
        <v>0</v>
      </c>
      <c r="K19" s="73" ph="1">
        <f>K18*9.0746*LOOKUP(K20,密度!$A$2:$A$50,密度!$C$2:$C$50)</f>
        <v>36144.40040816</v>
      </c>
      <c r="L19" s="73" ph="1">
        <f>L18*9.0746*LOOKUP(L20,密度!$A$2:$A$50,密度!$E$2:$E$50)</f>
        <v>26592.501857040003</v>
      </c>
      <c r="M19" s="73" ph="1">
        <f>M18*9.0746*LOOKUP(M20,密度!$A$2:$A$50,密度!$M$2:$M$50)</f>
        <v>32608.52789116</v>
      </c>
      <c r="N19" s="73" ph="1">
        <f>N18*9.0746*LOOKUP(N20,密度!$A$2:$A$50,密度!$M$2:$M$50)</f>
        <v>51844.5237662</v>
      </c>
      <c r="O19" s="73" ph="1">
        <f>O18*9.0746*LOOKUP(O20,密度!$A$2:$A$50,密度!$G$2:$G$50)</f>
        <v>38864.702324760001</v>
      </c>
      <c r="P19" s="73" ph="1">
        <f ca="1">P18*9.0746*LOOKUP(P20,密度!$A$2:$A$51,密度!$Q$2:$Q$50)</f>
        <v>14299.119820984</v>
      </c>
      <c r="Q19" s="73" ph="1">
        <f>Q18*9.0746*LOOKUP(Q20,密度!$A$2:$A$50,密度!$Q$2:$Q$50)</f>
        <v>1553.7657164400002</v>
      </c>
      <c r="R19" s="73" ph="1">
        <f>MAX(R18*9.0746*LOOKUP(R20,密度!$A$2:$A$50,密度!$B$2:$B$50),0)</f>
        <v>52433.337354340001</v>
      </c>
      <c r="S19" s="73" ph="1">
        <f>S18*9.0746*LOOKUP(S20,密度!$A$2:$A$50,密度!$Q$2:$Q$50)</f>
        <v>14450.021162892001</v>
      </c>
      <c r="T19" s="73" ph="1">
        <f>T18*9.0746*LOOKUP(T20,密度!$A$2:$A$50,密度!$O$2:$O$50)</f>
        <v>52744.134237200007</v>
      </c>
      <c r="U19" s="73" ph="1">
        <f>U18*9.0746*LOOKUP(U20,密度!$A$2:$A$50,密度!$H$2:$H$50)</f>
        <v>17514.339169079998</v>
      </c>
      <c r="V19" s="73" ph="1">
        <f>MAX(5600*LOOKUP(V20,密度!$A$2:$A$50,密度!$Q$2:$Q$50)+V18*9.0476*LOOKUP(V20,密度!$A$2:$A$50,密度!$Q$2:$Q$50),0)</f>
        <v>17523.623826871997</v>
      </c>
      <c r="W19" s="73" ph="1">
        <f>MAX(5600*LOOKUP(W20,密度!$A$2:$A$50,密度!$Q$2:$Q$50)+W18*9.0476*LOOKUP(W20,密度!$A$2:$A$50,密度!$Q$2:$Q$50),0)</f>
        <v>3855.202398292</v>
      </c>
      <c r="X19" s="73" ph="1">
        <f>MAX(5600*LOOKUP(X20,密度!$A$2:$A$50,密度!$I$2:$I$50)+X18*9.0476*LOOKUP(X20,密度!$A$2:$A$50,密度!$I$2:$I$50),0)</f>
        <v>6740.4901636800005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71.362654400000011</v>
      </c>
      <c r="AB19" s="73" ph="1">
        <f>AB18*9.0746*LOOKUP(AB20,密度!$A$2:$A$50,密度!$L$2:$L$50)</f>
        <v>59456.4525144</v>
      </c>
      <c r="AC19" s="73" ph="1">
        <f>AC18*9.0746*LOOKUP(AC20,密度!$A$2:$A$50,密度!$L$2:$L$50)</f>
        <v>18377.290070999999</v>
      </c>
      <c r="AD19" s="73" ph="1">
        <f>AD18*268.68*LOOKUP(AD20,密度!$A$2:$A$50,密度!B5:B53)+IF(AD18&lt;=0,0,1566*LOOKUP(AD20,密度!$A$2:$A$50,密度!B5:B53))</f>
        <v>10700.9468748</v>
      </c>
      <c r="AE19" s="73" ph="1">
        <f>AE18*268.68*LOOKUP(AE20,密度!$A$2:$A$50,密度!B5:B53)+IF(AE18&lt;=0,0,1566*LOOKUP(AE20,密度!$A$2:$A$50,密度!B5:B53))</f>
        <v>18840.6692712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19</v>
      </c>
      <c r="E20" s="81">
        <v>19</v>
      </c>
      <c r="F20" s="81">
        <v>22</v>
      </c>
      <c r="G20" s="81">
        <v>19</v>
      </c>
      <c r="H20" s="81">
        <v>15</v>
      </c>
      <c r="I20" s="81">
        <v>19</v>
      </c>
      <c r="J20" s="81">
        <v>20</v>
      </c>
      <c r="K20" s="81">
        <v>19</v>
      </c>
      <c r="L20" s="81">
        <v>19</v>
      </c>
      <c r="M20" s="81">
        <v>20</v>
      </c>
      <c r="N20" s="81">
        <v>17</v>
      </c>
      <c r="O20" s="81">
        <v>20</v>
      </c>
      <c r="P20" s="81">
        <v>20</v>
      </c>
      <c r="Q20" s="81">
        <v>19</v>
      </c>
      <c r="R20" s="81">
        <v>20</v>
      </c>
      <c r="S20" s="81">
        <v>19</v>
      </c>
      <c r="T20" s="81">
        <v>19</v>
      </c>
      <c r="U20" s="81">
        <v>18</v>
      </c>
      <c r="V20" s="81">
        <v>20</v>
      </c>
      <c r="W20" s="81">
        <v>19</v>
      </c>
      <c r="X20" s="81">
        <v>20</v>
      </c>
      <c r="Y20" s="110">
        <v>20</v>
      </c>
      <c r="Z20" s="81">
        <v>20</v>
      </c>
      <c r="AA20" s="81">
        <v>17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644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1" t="s" ph="1">
        <v>177</v>
      </c>
      <c r="D24" s="71">
        <v>5.27</v>
      </c>
      <c r="E24" s="71">
        <v>5.39</v>
      </c>
      <c r="F24" s="71">
        <v>2497</v>
      </c>
      <c r="G24" s="71">
        <v>3816</v>
      </c>
      <c r="H24" s="71">
        <v>3724</v>
      </c>
      <c r="I24" s="71">
        <v>4206</v>
      </c>
      <c r="J24" s="71">
        <v>328</v>
      </c>
      <c r="K24" s="71">
        <v>4997</v>
      </c>
      <c r="L24" s="71">
        <v>468</v>
      </c>
      <c r="M24" s="71">
        <v>3050</v>
      </c>
      <c r="N24" s="71">
        <v>446</v>
      </c>
      <c r="O24" s="71">
        <v>5722</v>
      </c>
      <c r="P24" s="71">
        <v>358</v>
      </c>
      <c r="Q24" s="90">
        <v>3060</v>
      </c>
      <c r="R24" s="71">
        <v>5683</v>
      </c>
      <c r="S24" s="71">
        <v>2410</v>
      </c>
      <c r="T24" s="71">
        <v>215</v>
      </c>
      <c r="U24" s="71">
        <v>4556</v>
      </c>
      <c r="V24" s="71">
        <v>4062</v>
      </c>
      <c r="W24" s="71">
        <v>2003</v>
      </c>
      <c r="X24" s="71">
        <v>7571</v>
      </c>
      <c r="Y24" s="71">
        <v>7464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2823.1252838639998</v>
      </c>
      <c r="E25" s="91" ph="1">
        <f>E24*268.68*LOOKUP(E26,密度!$A$2:$A$50,密度!$C$2:$C$50)+IF(E24&lt;=0,0,1566*LOOKUP(E26,密度!$A$2:$A$50,密度!$C$2:$C$50))</f>
        <v>3342.4299682800001</v>
      </c>
      <c r="F25" s="91" ph="1">
        <f>F24*11.702*LOOKUP(F26,密度!$A$2:$A$50,密度!$Q$2:$Q$50)</f>
        <v>27794.839769620001</v>
      </c>
      <c r="G25" s="91" ph="1">
        <f>G24*18.322*LOOKUP(G26,密度!$A$2:$A$50,密度!$B$2:$B$50)</f>
        <v>54933.592046399994</v>
      </c>
      <c r="H25" s="91" ph="1">
        <f>H24*18.322*LOOKUP(H26,密度!$A$2:$A$50,密度!$B$2:$B$50)</f>
        <v>53609.197269599994</v>
      </c>
      <c r="I25" s="91" ph="1">
        <f>I24*18.322*LOOKUP(I26,密度!$A$2:$A$50,密度!$Q$2:$Q$50)</f>
        <v>73424.989929599993</v>
      </c>
      <c r="J25" s="91" ph="1">
        <f>J24*18.322*LOOKUP(J26,密度!$A$2:$A$50,密度!$Q$2:$Q$50)</f>
        <v>5730.7698176000004</v>
      </c>
      <c r="K25" s="91" ph="1">
        <f>K24*18.322*LOOKUP(K26,密度!$A$2:$A$50,密度!$Q$2:$Q$50)</f>
        <v>87233.636395199996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53244.46488</v>
      </c>
      <c r="N25" s="91" ph="1">
        <f>N24*18.322*LOOKUP(N26,密度!$A$2:$A$50,密度!$Q$2:$Q$50)</f>
        <v>7773.0824827599999</v>
      </c>
      <c r="O25" s="91" ph="1">
        <f>O24*18.322*LOOKUP(O26,密度!$A$2:$A$50,密度!$C$2:$C$50)</f>
        <v>116842.490418</v>
      </c>
      <c r="P25" s="91" ph="1">
        <f>P24*11.702*LOOKUP(P26,密度!$A$2:$A$50,密度!$B$2:$B$50)</f>
        <v>3294.4781023999999</v>
      </c>
      <c r="Q25" s="92" ph="1">
        <f>Q24*18.322*LOOKUP(Q26,密度!$A$2:$A$50,密度!$B$2:$B$50)</f>
        <v>44050.521924000001</v>
      </c>
      <c r="R25" s="91" ph="1">
        <f>R24*35.891*LOOKUP(R26,密度!$A$2:$A$50,密度!$C$2:$C$50)</f>
        <v>227057.79319959998</v>
      </c>
      <c r="S25" s="91" ph="1">
        <f>S24*35.891*LOOKUP(S26,密度!$A$2:$A$50,密度!$B$2:$B$50)</f>
        <v>67960.936466999992</v>
      </c>
      <c r="T25" s="91" ph="1">
        <f>T24*35.891*LOOKUP(T26,密度!$A$2:$A$50,密度!$Q$2:$Q$50)</f>
        <v>7352.3431319999991</v>
      </c>
      <c r="U25" s="91" ph="1">
        <f>U24*35.891</f>
        <v>163519.39599999998</v>
      </c>
      <c r="V25" s="91" ph="1">
        <f>V24*47.051*LOOKUP(V26,密度!$A$2:$A$50,密度!$B$2:$B$50)</f>
        <v>150450.57872640001</v>
      </c>
      <c r="W25" s="91" ph="1">
        <f>W24*47.051*LOOKUP(W26,密度!$A$2:$A$50,密度!$B$2:$B$50)</f>
        <v>74112.815519199998</v>
      </c>
      <c r="X25" s="91" ph="1">
        <f>X24*47.051*LOOKUP(X26,密度!$A$2:$A$61,密度!$I$2:$I$61)</f>
        <v>365306.81058550009</v>
      </c>
      <c r="Y25" s="91" ph="1">
        <f>Y24*47.051*LOOKUP(Y26,密度!$A$2:$A$50,密度!$L$2:$L$50)</f>
        <v>331170.91015199997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19</v>
      </c>
      <c r="G26" s="74">
        <v>18</v>
      </c>
      <c r="H26" s="74">
        <v>18</v>
      </c>
      <c r="I26" s="74">
        <v>17</v>
      </c>
      <c r="J26" s="74">
        <v>16</v>
      </c>
      <c r="K26" s="74">
        <v>17</v>
      </c>
      <c r="L26" s="74">
        <v>18</v>
      </c>
      <c r="M26" s="74">
        <v>17</v>
      </c>
      <c r="N26" s="74">
        <v>19</v>
      </c>
      <c r="O26" s="74">
        <v>17</v>
      </c>
      <c r="P26" s="74">
        <v>17</v>
      </c>
      <c r="Q26" s="93">
        <v>18</v>
      </c>
      <c r="R26" s="74">
        <v>19</v>
      </c>
      <c r="S26" s="74">
        <v>18</v>
      </c>
      <c r="T26" s="74">
        <v>17</v>
      </c>
      <c r="U26" s="74">
        <v>16</v>
      </c>
      <c r="V26" s="74">
        <v>16</v>
      </c>
      <c r="W26" s="74">
        <v>17</v>
      </c>
      <c r="X26" s="74">
        <v>40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1" t="s" ph="1">
        <v>180</v>
      </c>
      <c r="D27" s="71">
        <v>5.3</v>
      </c>
      <c r="E27" s="71">
        <v>5.39</v>
      </c>
      <c r="F27" s="71">
        <v>2498</v>
      </c>
      <c r="G27" s="71">
        <v>3400</v>
      </c>
      <c r="H27" s="71">
        <v>3263</v>
      </c>
      <c r="I27" s="71">
        <v>3915</v>
      </c>
      <c r="J27" s="71">
        <v>327</v>
      </c>
      <c r="K27" s="71">
        <v>4998</v>
      </c>
      <c r="L27" s="71">
        <v>467</v>
      </c>
      <c r="M27" s="71">
        <v>3049</v>
      </c>
      <c r="N27" s="71">
        <v>445</v>
      </c>
      <c r="O27" s="71">
        <v>5722</v>
      </c>
      <c r="P27" s="71">
        <v>357</v>
      </c>
      <c r="Q27" s="90">
        <v>3267</v>
      </c>
      <c r="R27" s="71">
        <v>5166</v>
      </c>
      <c r="S27" s="71">
        <v>2409</v>
      </c>
      <c r="T27" s="71">
        <v>215</v>
      </c>
      <c r="U27" s="71">
        <v>4453</v>
      </c>
      <c r="V27" s="71">
        <v>5008</v>
      </c>
      <c r="W27" s="71">
        <v>2949</v>
      </c>
      <c r="X27" s="71">
        <v>7199</v>
      </c>
      <c r="Y27" s="71">
        <v>8044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1" t="s" ph="1">
        <v>178</v>
      </c>
      <c r="D28" s="91" ph="1">
        <f>D27*268.68*LOOKUP(D29,密度!$A$2:$A$50,密度!$Q$2:$Q$50)+IF(D27&lt;=0,0,1566*LOOKUP(D29,密度!$A$2:$A$50,密度!$Q$2:$Q$50))</f>
        <v>2830.7563869599999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27781.124206480003</v>
      </c>
      <c r="G28" s="91" ph="1">
        <f>G27*18.322*LOOKUP(G29,密度!$A$2:$A$50,密度!$B$2:$B$50)</f>
        <v>48845.352679999996</v>
      </c>
      <c r="H28" s="91" ph="1">
        <f>H27*18.322*LOOKUP(H29,密度!$A$2:$A$50,密度!$B$2:$B$50)</f>
        <v>46925.000041399995</v>
      </c>
      <c r="I28" s="91" ph="1">
        <f>I27*18.322*LOOKUP(I29,密度!$A$2:$A$50,密度!$Q$2:$Q$50)</f>
        <v>68288.277066299997</v>
      </c>
      <c r="J28" s="91" ph="1">
        <f>J27*18.322*LOOKUP(J29,密度!$A$2:$A$50,密度!$Q$2:$Q$50)</f>
        <v>5699.0985916199998</v>
      </c>
      <c r="K28" s="91" ph="1">
        <f>K27*18.322*LOOKUP(K29,密度!$A$2:$A$50,密度!$Q$2:$Q$50)</f>
        <v>87178.750645560009</v>
      </c>
      <c r="L28" s="91" ph="1">
        <f>L27*18.322*LOOKUP(L29,密度!$A$2:$A$50,密度!$Q$2:$Q$50)</f>
        <v>8145.7536117400005</v>
      </c>
      <c r="M28" s="91" ph="1">
        <f>M27*18.322*LOOKUP(M29,密度!$A$2:$A$50,密度!$Q$2:$Q$50)</f>
        <v>53227.007678399998</v>
      </c>
      <c r="N28" s="91" ph="1">
        <f>N27*18.322*LOOKUP(N29,密度!$A$2:$A$50,密度!$Q$2:$Q$50)</f>
        <v>7755.6540467000004</v>
      </c>
      <c r="O28" s="91" ph="1">
        <f>O27*18.322*LOOKUP(O29,密度!$A$2:$A$50,密度!$C$2:$C$50)</f>
        <v>116706.20038879999</v>
      </c>
      <c r="P28" s="91" ph="1">
        <f>P27*11.702*LOOKUP(P29,密度!$A$2:$A$50,密度!$B$2:$B$50)</f>
        <v>3275.6671373999998</v>
      </c>
      <c r="Q28" s="92" ph="1">
        <f>Q27*18.322*LOOKUP(Q29,密度!$A$2:$A$50,密度!$B$2:$B$50)</f>
        <v>47030.410171799995</v>
      </c>
      <c r="R28" s="91" ph="1">
        <f>R27*35.891*LOOKUP(R29,密度!$A$2:$A$50,密度!$C$2:$C$50)</f>
        <v>206401.64695919998</v>
      </c>
      <c r="S28" s="91" ph="1">
        <f>S27*35.891*LOOKUP(S29,密度!$A$2:$A$50,密度!$B$2:$B$50)</f>
        <v>67993.259901599988</v>
      </c>
      <c r="T28" s="91" ph="1">
        <f>T27*35.891*LOOKUP(T29,密度!$A$2:$A$50,密度!$Q$2:$Q$50)</f>
        <v>7346.2470456499996</v>
      </c>
      <c r="U28" s="91" ph="1">
        <f>U27*35.891</f>
        <v>159822.62299999999</v>
      </c>
      <c r="V28" s="91" ph="1">
        <f>V27*47.051*LOOKUP(V29,密度!$A$2:$A$50,密度!$B$2:$B$50)</f>
        <v>184758.58701280001</v>
      </c>
      <c r="W28" s="91" ph="1">
        <f>W27*47.051*LOOKUP(W29,密度!$A$2:$A$50,密度!$B$2:$B$50)</f>
        <v>108907.54287510001</v>
      </c>
      <c r="X28" s="91" ph="1">
        <f>X27*47.051*LOOKUP(X29,密度!$A$2:$A$61,密度!$I$2:$I$61)</f>
        <v>345833.27212899999</v>
      </c>
      <c r="Y28" s="91" ph="1">
        <f>Y27*47.051*LOOKUP(Y29,密度!$A$2:$A$50,密度!$L$2:$L$50)</f>
        <v>356526.505848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1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18</v>
      </c>
      <c r="J29" s="74">
        <v>19</v>
      </c>
      <c r="K29" s="74">
        <v>18</v>
      </c>
      <c r="L29" s="74">
        <v>18</v>
      </c>
      <c r="M29" s="74">
        <v>17</v>
      </c>
      <c r="N29" s="74">
        <v>19</v>
      </c>
      <c r="O29" s="74">
        <v>19</v>
      </c>
      <c r="P29" s="74">
        <v>20</v>
      </c>
      <c r="Q29" s="93">
        <v>18</v>
      </c>
      <c r="R29" s="74">
        <v>19</v>
      </c>
      <c r="S29" s="74">
        <v>17</v>
      </c>
      <c r="T29" s="74">
        <v>18</v>
      </c>
      <c r="U29" s="74">
        <v>18</v>
      </c>
      <c r="V29" s="74">
        <v>20</v>
      </c>
      <c r="W29" s="74">
        <v>19</v>
      </c>
      <c r="X29" s="74">
        <v>44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243000.9213281</v>
      </c>
      <c r="E33" s="187" ph="1">
        <f>M10+I10</f>
        <v>85895.63264879999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3" ph="1">
        <f>N19</f>
        <v>51844.5237662</v>
      </c>
      <c r="H33" s="187" ph="1">
        <f>M19</f>
        <v>32608.52789116</v>
      </c>
      <c r="I33" s="191" ph="1">
        <v>0</v>
      </c>
      <c r="J33" s="195" ph="1">
        <f>F10+O28</f>
        <v>290486.74938529998</v>
      </c>
      <c r="K33" s="187" ph="1">
        <f>O10+K10+E28+R28</f>
        <v>316168.51286587998</v>
      </c>
      <c r="L33" s="197" ph="1">
        <f>K19</f>
        <v>36144.40040816</v>
      </c>
      <c r="M33" s="195" ph="1">
        <f>G10+H10+W28+S28+V28+E10+R19+P28+Q28</f>
        <v>838062.4519240401</v>
      </c>
      <c r="N33" s="187" ph="1">
        <f>L10+P10++G28+H28+AD19+AE19</f>
        <v>257233.57243139998</v>
      </c>
      <c r="O33" s="191" ph="1">
        <f>G19</f>
        <v>21289.611431060002</v>
      </c>
      <c r="P33" s="195" ph="1">
        <f>L19</f>
        <v>26592.501857040003</v>
      </c>
      <c r="Q33" s="187" ph="1">
        <f>J10+N10</f>
        <v>58071.816010900002</v>
      </c>
      <c r="R33" s="191" ph="1">
        <f>BE23</f>
        <v>890</v>
      </c>
      <c r="S33" s="195" ph="1">
        <f>X28</f>
        <v>345833.27212899999</v>
      </c>
      <c r="T33" s="187" ph="1">
        <f>X19</f>
        <v>6740.4901636800005</v>
      </c>
      <c r="U33" s="176" ph="1">
        <f>BE21</f>
        <v>730</v>
      </c>
      <c r="V33" s="189" ph="1">
        <f ca="1">P19+Q19+S19+M28+N28+J28+D10+AC10+D19+E19+H19+J19+O19+V19+W19+K28+L28</f>
        <v>772494.36583980988</v>
      </c>
      <c r="W33" s="189" ph="1">
        <f>D28+F28+T28+I28</f>
        <v>106246.40470539</v>
      </c>
      <c r="X33" s="191" ph="1">
        <f>BE29+BE31</f>
        <v>10200</v>
      </c>
      <c r="Y33" s="193" ph="1">
        <f>+Q10+R10+S10+T10+U10+V10+W10+X10+Y10</f>
        <v>116974.62107099999</v>
      </c>
      <c r="Z33" s="174" ph="1">
        <f>T19+U19+Y28+Z10</f>
        <v>543023.46865327994</v>
      </c>
      <c r="AA33" s="176" ph="1">
        <f>BE19</f>
        <v>1440</v>
      </c>
      <c r="AB33" s="178" ph="1">
        <f>I19</f>
        <v>48695.755536000004</v>
      </c>
      <c r="AC33" s="180" ph="1">
        <f>AD10+AB19</f>
        <v>153587.04227440001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3" t="s" ph="1">
        <v>185</v>
      </c>
      <c r="AA36" s="153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09" priority="100">
      <formula>ABS(D$7-D$10)&gt;=1000</formula>
    </cfRule>
  </conditionalFormatting>
  <conditionalFormatting sqref="E4 E6:E11">
    <cfRule type="expression" dxfId="2208" priority="99">
      <formula>ABS(E$7-E$10)&gt;=1000</formula>
    </cfRule>
  </conditionalFormatting>
  <conditionalFormatting sqref="F4:F11">
    <cfRule type="expression" dxfId="2207" priority="98">
      <formula>ABS(F$7-F$10)&gt;=1000</formula>
    </cfRule>
  </conditionalFormatting>
  <conditionalFormatting sqref="G4:G11">
    <cfRule type="expression" dxfId="2206" priority="97">
      <formula>ABS(G$7-G$10)&gt;=1000</formula>
    </cfRule>
  </conditionalFormatting>
  <conditionalFormatting sqref="H4:H11">
    <cfRule type="expression" dxfId="2205" priority="96">
      <formula>ABS(H$7-H$10)&gt;=1000</formula>
    </cfRule>
  </conditionalFormatting>
  <conditionalFormatting sqref="I4:I11">
    <cfRule type="expression" dxfId="2204" priority="95">
      <formula>ABS(I$7-I$10)&gt;=1000</formula>
    </cfRule>
  </conditionalFormatting>
  <conditionalFormatting sqref="J4:J11">
    <cfRule type="expression" dxfId="2203" priority="94">
      <formula>ABS(J$7-J$10)&gt;=1000</formula>
    </cfRule>
  </conditionalFormatting>
  <conditionalFormatting sqref="K4:K11">
    <cfRule type="expression" dxfId="2202" priority="93">
      <formula>ABS(K$7-K$10)&gt;=1000</formula>
    </cfRule>
  </conditionalFormatting>
  <conditionalFormatting sqref="L4:L11">
    <cfRule type="expression" dxfId="2201" priority="92">
      <formula>ABS(L$7-L$10)&gt;=1000</formula>
    </cfRule>
  </conditionalFormatting>
  <conditionalFormatting sqref="M4 M6:M11">
    <cfRule type="expression" dxfId="2200" priority="91">
      <formula>ABS(M$7-M$10)&gt;=1000</formula>
    </cfRule>
  </conditionalFormatting>
  <conditionalFormatting sqref="N4 N6:N11">
    <cfRule type="expression" dxfId="2199" priority="90">
      <formula>ABS(N$7-N$10)&gt;=1000</formula>
    </cfRule>
  </conditionalFormatting>
  <conditionalFormatting sqref="O4 O6:O11">
    <cfRule type="expression" dxfId="2198" priority="89">
      <formula>ABS(O$7-O$10)&gt;=1000</formula>
    </cfRule>
  </conditionalFormatting>
  <conditionalFormatting sqref="P4 P6:P11">
    <cfRule type="expression" dxfId="2197" priority="88">
      <formula>ABS(P$7-P$10)&gt;=1000</formula>
    </cfRule>
  </conditionalFormatting>
  <conditionalFormatting sqref="Q4:Q11">
    <cfRule type="expression" dxfId="2196" priority="87">
      <formula>ABS(Q$7-Q$10)&gt;=1000</formula>
    </cfRule>
  </conditionalFormatting>
  <conditionalFormatting sqref="R4:R11">
    <cfRule type="expression" dxfId="2195" priority="86">
      <formula>ABS(R$7-R$10)&gt;=1000</formula>
    </cfRule>
  </conditionalFormatting>
  <conditionalFormatting sqref="S4:S11">
    <cfRule type="expression" dxfId="2194" priority="85">
      <formula>ABS(S$7-S$10)&gt;=1000</formula>
    </cfRule>
  </conditionalFormatting>
  <conditionalFormatting sqref="T4:T9 T11">
    <cfRule type="expression" dxfId="2193" priority="84">
      <formula>ABS(T$7-T$10)&gt;=1000</formula>
    </cfRule>
  </conditionalFormatting>
  <conditionalFormatting sqref="U4:U9 U11">
    <cfRule type="expression" dxfId="2192" priority="83">
      <formula>ABS(U$7-U$10)&gt;=1000</formula>
    </cfRule>
  </conditionalFormatting>
  <conditionalFormatting sqref="V4:V9 V11">
    <cfRule type="expression" dxfId="2191" priority="82">
      <formula>ABS(V$7-V$10)&gt;=1000</formula>
    </cfRule>
  </conditionalFormatting>
  <conditionalFormatting sqref="W4:W9 W11">
    <cfRule type="expression" dxfId="2190" priority="81">
      <formula>ABS(W$7-W$10)&gt;=1000</formula>
    </cfRule>
  </conditionalFormatting>
  <conditionalFormatting sqref="X4:X9 X11">
    <cfRule type="expression" dxfId="2189" priority="80">
      <formula>ABS(X$7-X$10)&gt;=1000</formula>
    </cfRule>
  </conditionalFormatting>
  <conditionalFormatting sqref="Y4:Y9 Y11">
    <cfRule type="expression" dxfId="2188" priority="79">
      <formula>ABS(Y$7-Y$10)&gt;=1000</formula>
    </cfRule>
  </conditionalFormatting>
  <conditionalFormatting sqref="Z4:Z11">
    <cfRule type="expression" dxfId="2187" priority="78">
      <formula>ABS(Z$7-Z$10)&gt;=1000</formula>
    </cfRule>
  </conditionalFormatting>
  <conditionalFormatting sqref="AA4:AA11">
    <cfRule type="expression" dxfId="2186" priority="77">
      <formula>ABS(AA$7-AA$10)&gt;=1000</formula>
    </cfRule>
  </conditionalFormatting>
  <conditionalFormatting sqref="AB4:AB11">
    <cfRule type="expression" dxfId="2185" priority="76">
      <formula>ABS(AB$7-AB$10)&gt;=1000</formula>
    </cfRule>
  </conditionalFormatting>
  <conditionalFormatting sqref="AC4 AC6:AC11">
    <cfRule type="expression" dxfId="2184" priority="75">
      <formula>ABS(AC$7-AC$10)&gt;=1000</formula>
    </cfRule>
  </conditionalFormatting>
  <conditionalFormatting sqref="AD4 AD6:AD11">
    <cfRule type="expression" dxfId="2183" priority="74">
      <formula>ABS(AD$7-AD$10)&gt;=1000</formula>
    </cfRule>
  </conditionalFormatting>
  <conditionalFormatting sqref="AE4 AE6:AE11">
    <cfRule type="expression" dxfId="2182" priority="73">
      <formula>ABS(AE$7-AE$10)&gt;=1000</formula>
    </cfRule>
  </conditionalFormatting>
  <conditionalFormatting sqref="D13:D20">
    <cfRule type="expression" dxfId="2181" priority="72">
      <formula>ABS(D$16-D$19)&gt;=1000</formula>
    </cfRule>
  </conditionalFormatting>
  <conditionalFormatting sqref="E13:E20">
    <cfRule type="expression" dxfId="2180" priority="71">
      <formula>ABS(E$16-E$19)&gt;=1000</formula>
    </cfRule>
  </conditionalFormatting>
  <conditionalFormatting sqref="F13 F15:F20">
    <cfRule type="expression" dxfId="2179" priority="70">
      <formula>ABS(F$16-F$19)&gt;=1000</formula>
    </cfRule>
  </conditionalFormatting>
  <conditionalFormatting sqref="G13:G20">
    <cfRule type="expression" dxfId="2178" priority="69">
      <formula>ABS(G$16-G$19)&gt;=1000</formula>
    </cfRule>
  </conditionalFormatting>
  <conditionalFormatting sqref="H13 H15:H20">
    <cfRule type="expression" dxfId="2177" priority="68">
      <formula>ABS(H$16-H$19)&gt;=1000</formula>
    </cfRule>
  </conditionalFormatting>
  <conditionalFormatting sqref="I13:I20">
    <cfRule type="expression" dxfId="2176" priority="67">
      <formula>ABS(I$16-I$19)&gt;=1000</formula>
    </cfRule>
  </conditionalFormatting>
  <conditionalFormatting sqref="J13:J20">
    <cfRule type="expression" dxfId="2175" priority="66">
      <formula>ABS(J$16-J$19)&gt;=1000</formula>
    </cfRule>
  </conditionalFormatting>
  <conditionalFormatting sqref="L13:L20">
    <cfRule type="expression" dxfId="2174" priority="65">
      <formula>ABS(L$16-L$19)&gt;=1000</formula>
    </cfRule>
  </conditionalFormatting>
  <conditionalFormatting sqref="M13 M15 M17:M18 M20">
    <cfRule type="expression" dxfId="2173" priority="64">
      <formula>ABS(M$16-M$19)&gt;=1000</formula>
    </cfRule>
  </conditionalFormatting>
  <conditionalFormatting sqref="N13:N20">
    <cfRule type="expression" dxfId="2172" priority="63">
      <formula>ABS(N$16-N$19)&gt;=1000</formula>
    </cfRule>
  </conditionalFormatting>
  <conditionalFormatting sqref="O13:O20">
    <cfRule type="expression" dxfId="2171" priority="62">
      <formula>ABS(O$16-O$19)&gt;=1000</formula>
    </cfRule>
  </conditionalFormatting>
  <conditionalFormatting sqref="P13:P20">
    <cfRule type="expression" dxfId="2170" priority="61">
      <formula>ABS(P$16-P$19)&gt;=1000</formula>
    </cfRule>
  </conditionalFormatting>
  <conditionalFormatting sqref="Q13 Q15:Q20">
    <cfRule type="expression" dxfId="2169" priority="60">
      <formula>ABS(Q$16-Q$19)&gt;=1000</formula>
    </cfRule>
  </conditionalFormatting>
  <conditionalFormatting sqref="R13:R20">
    <cfRule type="expression" dxfId="2168" priority="59">
      <formula>ABS(R$16-R$19)&gt;=1000</formula>
    </cfRule>
  </conditionalFormatting>
  <conditionalFormatting sqref="S13:S20">
    <cfRule type="expression" dxfId="2167" priority="58">
      <formula>ABS(S$16-S$19)&gt;=1000</formula>
    </cfRule>
  </conditionalFormatting>
  <conditionalFormatting sqref="T13:T20">
    <cfRule type="expression" dxfId="2166" priority="57">
      <formula>ABS(T$16-T$19)&gt;=1000</formula>
    </cfRule>
  </conditionalFormatting>
  <conditionalFormatting sqref="U13:U20">
    <cfRule type="expression" dxfId="2165" priority="56">
      <formula>ABS(U$16-U$19)&gt;=1000</formula>
    </cfRule>
  </conditionalFormatting>
  <conditionalFormatting sqref="V13:V20">
    <cfRule type="expression" dxfId="2164" priority="55">
      <formula>ABS(V$16-V$19)&gt;=1000</formula>
    </cfRule>
  </conditionalFormatting>
  <conditionalFormatting sqref="W13 W20 W15:W18">
    <cfRule type="expression" dxfId="2163" priority="54">
      <formula>ABS(W$16-W$19)&gt;=1000</formula>
    </cfRule>
  </conditionalFormatting>
  <conditionalFormatting sqref="X13 X15:X20 Y19">
    <cfRule type="expression" dxfId="2162" priority="53">
      <formula>ABS(X$16-X$19)&gt;=1000</formula>
    </cfRule>
  </conditionalFormatting>
  <conditionalFormatting sqref="Y13 Y15:Y18 Y20">
    <cfRule type="expression" dxfId="2161" priority="52">
      <formula>ABS(Y$16-Y$19)&gt;=1000</formula>
    </cfRule>
  </conditionalFormatting>
  <conditionalFormatting sqref="Z13:Z20">
    <cfRule type="expression" dxfId="2160" priority="51">
      <formula>ABS(Z$16-Z$19)&gt;=1000</formula>
    </cfRule>
  </conditionalFormatting>
  <conditionalFormatting sqref="AA13:AA20">
    <cfRule type="expression" dxfId="2159" priority="50">
      <formula>ABS(AA$16-AA$19)&gt;=1000</formula>
    </cfRule>
  </conditionalFormatting>
  <conditionalFormatting sqref="AB13 AB15:AB20">
    <cfRule type="expression" dxfId="2158" priority="49">
      <formula>ABS(AB$16-AB$19)&gt;=1000</formula>
    </cfRule>
  </conditionalFormatting>
  <conditionalFormatting sqref="AC13 AC15:AC20">
    <cfRule type="expression" dxfId="2157" priority="48">
      <formula>ABS(AC$16-AC$19)&gt;=1000</formula>
    </cfRule>
  </conditionalFormatting>
  <conditionalFormatting sqref="AD13:AD20">
    <cfRule type="expression" dxfId="2156" priority="47">
      <formula>ABS(AD$16-AD$19)&gt;=1000</formula>
    </cfRule>
  </conditionalFormatting>
  <conditionalFormatting sqref="AE13:AE20">
    <cfRule type="expression" dxfId="2155" priority="46">
      <formula>ABS(AE$16-AE$19)&gt;=1000</formula>
    </cfRule>
  </conditionalFormatting>
  <conditionalFormatting sqref="D22:D29">
    <cfRule type="expression" dxfId="2154" priority="45">
      <formula>ABS(D$25-D$28)&gt;=1000</formula>
    </cfRule>
  </conditionalFormatting>
  <conditionalFormatting sqref="E22:E29">
    <cfRule type="expression" dxfId="2153" priority="44">
      <formula>ABS(E$25-E$28)&gt;=1000</formula>
    </cfRule>
  </conditionalFormatting>
  <conditionalFormatting sqref="F22:F29">
    <cfRule type="expression" dxfId="2152" priority="43">
      <formula>ABS(F$25-F$28)&gt;=1000</formula>
    </cfRule>
  </conditionalFormatting>
  <conditionalFormatting sqref="G22:G29">
    <cfRule type="expression" dxfId="2151" priority="42">
      <formula>ABS(G$25-G$28)&gt;=1000</formula>
    </cfRule>
  </conditionalFormatting>
  <conditionalFormatting sqref="H22:H29">
    <cfRule type="expression" dxfId="2150" priority="41">
      <formula>ABS(H$25-H$28)&gt;=1000</formula>
    </cfRule>
  </conditionalFormatting>
  <conditionalFormatting sqref="I22 I24:I29">
    <cfRule type="expression" dxfId="2149" priority="40">
      <formula>ABS(I$25-I$28)&gt;=1000</formula>
    </cfRule>
  </conditionalFormatting>
  <conditionalFormatting sqref="J22:J29 K22">
    <cfRule type="expression" dxfId="2148" priority="39">
      <formula>ABS(J$25-J$28)&gt;=1000</formula>
    </cfRule>
  </conditionalFormatting>
  <conditionalFormatting sqref="K23:K29 L25 L28">
    <cfRule type="expression" dxfId="2147" priority="38">
      <formula>ABS(K$25-K$28)&gt;=1000</formula>
    </cfRule>
  </conditionalFormatting>
  <conditionalFormatting sqref="L22 L26:L27 L29 L24">
    <cfRule type="expression" dxfId="2146" priority="37">
      <formula>ABS(L$25-L$28)&gt;=1000</formula>
    </cfRule>
  </conditionalFormatting>
  <conditionalFormatting sqref="M22:M29">
    <cfRule type="expression" dxfId="2145" priority="36">
      <formula>ABS(M$25-M$28)&gt;=1000</formula>
    </cfRule>
  </conditionalFormatting>
  <conditionalFormatting sqref="N22:N29">
    <cfRule type="expression" dxfId="2144" priority="35">
      <formula>ABS(N$25-N$28)&gt;=1000</formula>
    </cfRule>
  </conditionalFormatting>
  <conditionalFormatting sqref="O22:O29">
    <cfRule type="expression" dxfId="2143" priority="34">
      <formula>ABS(O$25-O$28)&gt;=1000</formula>
    </cfRule>
  </conditionalFormatting>
  <conditionalFormatting sqref="P22:P29">
    <cfRule type="expression" dxfId="2142" priority="33">
      <formula>ABS(P$25-P$28)&gt;=1000</formula>
    </cfRule>
  </conditionalFormatting>
  <conditionalFormatting sqref="Q22:Q29">
    <cfRule type="expression" dxfId="2141" priority="32">
      <formula>ABS(Q$25-Q$28)&gt;=1000</formula>
    </cfRule>
  </conditionalFormatting>
  <conditionalFormatting sqref="R22:R29">
    <cfRule type="expression" dxfId="2140" priority="31">
      <formula>ABS(R$25-R$28)&gt;=1000</formula>
    </cfRule>
  </conditionalFormatting>
  <conditionalFormatting sqref="S22:S29">
    <cfRule type="expression" dxfId="2139" priority="30">
      <formula>ABS(S$25-S$28)&gt;=1000</formula>
    </cfRule>
  </conditionalFormatting>
  <conditionalFormatting sqref="T22:T29">
    <cfRule type="expression" dxfId="2138" priority="29">
      <formula>ABS(T$25-T$28)&gt;=1000</formula>
    </cfRule>
  </conditionalFormatting>
  <conditionalFormatting sqref="U22:U29">
    <cfRule type="expression" dxfId="2137" priority="28">
      <formula>ABS(U$25-U$28)&gt;=1000</formula>
    </cfRule>
  </conditionalFormatting>
  <conditionalFormatting sqref="V22:V29">
    <cfRule type="expression" dxfId="2136" priority="27">
      <formula>ABS(V$25-V$28)&gt;=1000</formula>
    </cfRule>
  </conditionalFormatting>
  <conditionalFormatting sqref="W22:W29">
    <cfRule type="expression" dxfId="2135" priority="26">
      <formula>ABS(W$25-W$28)&gt;=1000</formula>
    </cfRule>
  </conditionalFormatting>
  <conditionalFormatting sqref="X22:X29">
    <cfRule type="expression" dxfId="2134" priority="25">
      <formula>ABS(X$25-X$28)&gt;=1000</formula>
    </cfRule>
  </conditionalFormatting>
  <conditionalFormatting sqref="Y22:Y29">
    <cfRule type="expression" dxfId="2133" priority="24">
      <formula>ABS(Y$25-Y$28)&gt;=1000</formula>
    </cfRule>
  </conditionalFormatting>
  <conditionalFormatting sqref="I23">
    <cfRule type="expression" dxfId="2132" priority="23">
      <formula>ABS(I$25-I$28)&gt;=1000</formula>
    </cfRule>
  </conditionalFormatting>
  <conditionalFormatting sqref="Q14">
    <cfRule type="expression" dxfId="2131" priority="22">
      <formula>ABS(Q$16-Q$19)&gt;=1000</formula>
    </cfRule>
  </conditionalFormatting>
  <conditionalFormatting sqref="W14">
    <cfRule type="expression" dxfId="2130" priority="21">
      <formula>ABS(W$16-W$19)&gt;=1000</formula>
    </cfRule>
  </conditionalFormatting>
  <conditionalFormatting sqref="X14">
    <cfRule type="expression" dxfId="2129" priority="20">
      <formula>ABS(X$16-X$19)&gt;=1000</formula>
    </cfRule>
  </conditionalFormatting>
  <conditionalFormatting sqref="T10:Y10">
    <cfRule type="expression" dxfId="2128" priority="19">
      <formula>ABS(T$7-T$10)&gt;=1000</formula>
    </cfRule>
  </conditionalFormatting>
  <conditionalFormatting sqref="W19">
    <cfRule type="expression" dxfId="2127" priority="18">
      <formula>ABS(W$16-W$19)&gt;=1000</formula>
    </cfRule>
  </conditionalFormatting>
  <conditionalFormatting sqref="AC5">
    <cfRule type="expression" dxfId="2126" priority="17">
      <formula>ABS(AC$7-AC$10)&gt;=1000</formula>
    </cfRule>
  </conditionalFormatting>
  <conditionalFormatting sqref="M14">
    <cfRule type="expression" dxfId="2125" priority="16">
      <formula>ABS(M$16-M$19)&gt;=1000</formula>
    </cfRule>
  </conditionalFormatting>
  <conditionalFormatting sqref="M16">
    <cfRule type="expression" dxfId="2124" priority="15">
      <formula>ABS(M$16-M$19)&gt;=1000</formula>
    </cfRule>
  </conditionalFormatting>
  <conditionalFormatting sqref="M19">
    <cfRule type="expression" dxfId="2123" priority="14">
      <formula>ABS(M$16-M$19)&gt;=1000</formula>
    </cfRule>
  </conditionalFormatting>
  <conditionalFormatting sqref="K13:K20">
    <cfRule type="expression" dxfId="2122" priority="13">
      <formula>ABS(K$16-K$19)&gt;=1000</formula>
    </cfRule>
  </conditionalFormatting>
  <conditionalFormatting sqref="E5">
    <cfRule type="expression" dxfId="2121" priority="12">
      <formula>ABS(E$7-E$10)&gt;=1000</formula>
    </cfRule>
  </conditionalFormatting>
  <conditionalFormatting sqref="AB14:AC14">
    <cfRule type="expression" dxfId="2120" priority="11">
      <formula>ABS(AB$16-AB$19)&gt;=1000</formula>
    </cfRule>
  </conditionalFormatting>
  <conditionalFormatting sqref="M5">
    <cfRule type="expression" dxfId="2119" priority="10">
      <formula>ABS(M$7-M$10)&gt;=1000</formula>
    </cfRule>
  </conditionalFormatting>
  <conditionalFormatting sqref="N5">
    <cfRule type="expression" dxfId="2118" priority="9">
      <formula>ABS(N$7-N$10)&gt;=1000</formula>
    </cfRule>
  </conditionalFormatting>
  <conditionalFormatting sqref="O5">
    <cfRule type="expression" dxfId="2117" priority="8">
      <formula>ABS(O$7-O$10)&gt;=1000</formula>
    </cfRule>
  </conditionalFormatting>
  <conditionalFormatting sqref="P5">
    <cfRule type="expression" dxfId="2116" priority="7">
      <formula>ABS(P$7-P$10)&gt;=1000</formula>
    </cfRule>
  </conditionalFormatting>
  <conditionalFormatting sqref="L23">
    <cfRule type="expression" dxfId="2115" priority="6">
      <formula>ABS(L$25-L$28)&gt;=1000</formula>
    </cfRule>
  </conditionalFormatting>
  <conditionalFormatting sqref="Y14">
    <cfRule type="expression" dxfId="2114" priority="5">
      <formula>ABS(Y$16-Y$19)&gt;=1000</formula>
    </cfRule>
  </conditionalFormatting>
  <conditionalFormatting sqref="F14">
    <cfRule type="expression" dxfId="2113" priority="4">
      <formula>ABS(F$16-F$19)&gt;=1000</formula>
    </cfRule>
  </conditionalFormatting>
  <conditionalFormatting sqref="H14">
    <cfRule type="expression" dxfId="2112" priority="3">
      <formula>ABS(H$16-H$19)&gt;=1000</formula>
    </cfRule>
  </conditionalFormatting>
  <conditionalFormatting sqref="AD5">
    <cfRule type="expression" dxfId="2111" priority="2">
      <formula>ABS(AD$7-AD$10)&gt;=1000</formula>
    </cfRule>
  </conditionalFormatting>
  <conditionalFormatting sqref="AE5">
    <cfRule type="expression" dxfId="21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1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5960</v>
      </c>
      <c r="E6" s="71">
        <v>3039</v>
      </c>
      <c r="F6" s="71">
        <v>4699</v>
      </c>
      <c r="G6" s="71">
        <v>86</v>
      </c>
      <c r="H6" s="71">
        <v>4996</v>
      </c>
      <c r="I6" s="71">
        <v>53.2</v>
      </c>
      <c r="J6" s="71">
        <v>6.62</v>
      </c>
      <c r="K6" s="71">
        <v>62.01</v>
      </c>
      <c r="L6" s="71">
        <v>30.91</v>
      </c>
      <c r="M6" s="71">
        <v>2039</v>
      </c>
      <c r="N6" s="71">
        <v>2154</v>
      </c>
      <c r="O6" s="71">
        <v>3801</v>
      </c>
      <c r="P6" s="71">
        <v>3504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5238</v>
      </c>
      <c r="X6" s="71">
        <v>4872</v>
      </c>
      <c r="Y6" s="71">
        <v>2</v>
      </c>
      <c r="Z6" s="71">
        <v>3695</v>
      </c>
      <c r="AA6" s="71">
        <v>4226</v>
      </c>
      <c r="AB6" s="71">
        <v>4615</v>
      </c>
      <c r="AC6" s="71">
        <v>6549</v>
      </c>
      <c r="AD6" s="71">
        <v>4780</v>
      </c>
      <c r="AE6" s="71">
        <v>4252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188435.90390399998</v>
      </c>
      <c r="E7" s="73" ph="1">
        <f>E6*51.53*LOOKUP(E8,密度!$A$2:$A$50,密度!$B$2:$B$50)</f>
        <v>123400.53996000001</v>
      </c>
      <c r="F7" s="73" ph="1">
        <f>F6*33.183*LOOKUP(F8,密度!$A$2:$A$50,密度!$C$2:$C$50)</f>
        <v>174107.99552219998</v>
      </c>
      <c r="G7" s="73" ph="1">
        <f xml:space="preserve"> (G6+2)*51.53*LOOKUP(G8,密度!$A$2:$A$50,密度!$B$2:$B$50)</f>
        <v>3577.3774960000005</v>
      </c>
      <c r="H7" s="73" ph="1">
        <f>(H6)*51.53*LOOKUP(H8,密度!$A$2:$A$50,密度!$B$2:$B$50)</f>
        <v>203535.131528</v>
      </c>
      <c r="I7" s="73" ph="1">
        <f>I6*290.8*1.0267</f>
        <v>15883.623952</v>
      </c>
      <c r="J7" s="73" ph="1">
        <f>J6*290.8*0.7892</f>
        <v>1519.2857632</v>
      </c>
      <c r="K7" s="73" ph="1">
        <f>K6*290.8*1.1126</f>
        <v>20062.968400800004</v>
      </c>
      <c r="L7" s="73" ph="1">
        <f>L6*290.8*0.777</f>
        <v>6984.1639560000003</v>
      </c>
      <c r="M7" s="73" ph="1">
        <f>M6*33.183*LOOKUP(M8,密度!$A$2:$A$50,密度!$D$2:$D$50)</f>
        <v>70068.837877200014</v>
      </c>
      <c r="N7" s="73" ph="1">
        <f>N6*33.183*LOOKUP(N8,密度!$A$2:$A$50,密度!$E$2:$E$50)</f>
        <v>56566.2504348</v>
      </c>
      <c r="O7" s="73" ph="1">
        <f>O6*20.428*LOOKUP(O8,密度!$A$2:$A$50,密度!$C$2:$C$50)</f>
        <v>86389.860832800012</v>
      </c>
      <c r="P7" s="73" ph="1">
        <f>P6*51.53*LOOKUP(P8,密度!$A$2:$A$50,密度!$B$2:$B$50)</f>
        <v>142444.667568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34988.933826</v>
      </c>
      <c r="X7" s="73" ph="1">
        <f>X6*1.5*1.5*3.1416*LOOKUP(X8,密度!$A$2:$A$50,密度!$L$2:$L$50)</f>
        <v>32888.499336000001</v>
      </c>
      <c r="Y7" s="73" ph="1">
        <f>Y6*1.5*1.5*3.1416*LOOKUP(Y8,密度!$A$2:$A$50,密度!$L$2:$L$50)</f>
        <v>13.402065599999998</v>
      </c>
      <c r="Z7" s="73" ph="1">
        <f>Z6*33.183*LOOKUP(Z8,密度!$A$2:$A$50,密度!$L$2:$L$50)</f>
        <v>116725.84812</v>
      </c>
      <c r="AA7" s="73" ph="1">
        <f>AA6*33.183*LOOKUP(AA8,密度!$A$2:$A$50,密度!$D$2:$D$50)</f>
        <v>145476.01078920002</v>
      </c>
      <c r="AB7" s="73" ph="1">
        <f>AB6*20.428*LOOKUP(AB8,密度!$A$2:$A$50,密度!$D$2:$D$50)</f>
        <v>98215.924196000007</v>
      </c>
      <c r="AC7" s="73" ph="1">
        <f>AC6*51.53*LOOKUP(AC8,密度!$A$2:$A$50,密度!$Q$2:$Q$50)</f>
        <v>322128.58516380005</v>
      </c>
      <c r="AD7" s="73" ph="1">
        <f>AD6*20.428*LOOKUP(AD8,密度!$A$2:$A$50,密度!$V$2:$V$50)</f>
        <v>94130.589760000003</v>
      </c>
      <c r="AE7" s="73" ph="1">
        <f>AE6*20.428</f>
        <v>86859.856</v>
      </c>
    </row>
    <row r="8" spans="1:99" ph="1">
      <c r="B8" s="238" ph="1"/>
      <c r="C8" s="68" t="s" ph="1">
        <v>179</v>
      </c>
      <c r="D8" s="74">
        <v>17</v>
      </c>
      <c r="E8" s="74">
        <v>15</v>
      </c>
      <c r="F8" s="74">
        <v>14</v>
      </c>
      <c r="G8" s="74">
        <v>14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20</v>
      </c>
      <c r="P8" s="74">
        <v>14</v>
      </c>
      <c r="Q8" s="74">
        <v>16</v>
      </c>
      <c r="R8" s="74">
        <v>20</v>
      </c>
      <c r="S8" s="74">
        <v>11</v>
      </c>
      <c r="T8" s="74">
        <v>9</v>
      </c>
      <c r="U8" s="74">
        <v>14</v>
      </c>
      <c r="V8" s="74">
        <v>20</v>
      </c>
      <c r="W8" s="74">
        <v>17</v>
      </c>
      <c r="X8" s="74">
        <v>7</v>
      </c>
      <c r="Y8" s="74">
        <v>14</v>
      </c>
      <c r="Z8" s="74">
        <v>10</v>
      </c>
      <c r="AA8" s="74">
        <v>13</v>
      </c>
      <c r="AB8" s="74">
        <v>8</v>
      </c>
      <c r="AC8" s="74">
        <v>12</v>
      </c>
      <c r="AD8" s="74">
        <v>13</v>
      </c>
      <c r="AE8" s="74">
        <v>17</v>
      </c>
    </row>
    <row r="9" spans="1:99" ht="26.4" ph="1">
      <c r="B9" s="238" ph="1">
        <v>0.66666666666666663</v>
      </c>
      <c r="C9" s="156" t="s" ph="1">
        <v>180</v>
      </c>
      <c r="D9" s="71">
        <v>5957</v>
      </c>
      <c r="E9" s="71">
        <v>2736</v>
      </c>
      <c r="F9" s="71">
        <v>4696</v>
      </c>
      <c r="G9" s="71">
        <v>1380</v>
      </c>
      <c r="H9" s="71">
        <v>4710</v>
      </c>
      <c r="I9" s="71">
        <v>53.16</v>
      </c>
      <c r="J9" s="71">
        <v>6.59</v>
      </c>
      <c r="K9" s="71">
        <v>62.02</v>
      </c>
      <c r="L9" s="71">
        <v>18.71</v>
      </c>
      <c r="M9" s="71">
        <v>2038</v>
      </c>
      <c r="N9" s="71">
        <v>2154</v>
      </c>
      <c r="O9" s="71">
        <v>3799</v>
      </c>
      <c r="P9" s="71">
        <v>3413</v>
      </c>
      <c r="Q9" s="71">
        <v>0</v>
      </c>
      <c r="R9" s="71">
        <v>8</v>
      </c>
      <c r="S9" s="71">
        <v>0</v>
      </c>
      <c r="T9" s="71">
        <v>0</v>
      </c>
      <c r="U9" s="71">
        <v>0</v>
      </c>
      <c r="V9" s="71">
        <v>0</v>
      </c>
      <c r="W9" s="71">
        <v>704</v>
      </c>
      <c r="X9" s="71">
        <v>6696</v>
      </c>
      <c r="Y9" s="71">
        <v>2825</v>
      </c>
      <c r="Z9" s="71">
        <v>652</v>
      </c>
      <c r="AA9" s="71">
        <v>4224</v>
      </c>
      <c r="AB9" s="71">
        <v>4511</v>
      </c>
      <c r="AC9" s="71">
        <v>6342</v>
      </c>
      <c r="AD9" s="71">
        <v>4780</v>
      </c>
      <c r="AE9" s="71">
        <v>4220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188341.0536168</v>
      </c>
      <c r="E10" s="73" ph="1">
        <f>E9*51.53*LOOKUP(E11,密度!$A$2:$A$50,密度!$B$2:$B$50)</f>
        <v>110984.24217600001</v>
      </c>
      <c r="F10" s="73" ph="1">
        <f>F9*33.183*LOOKUP(F11,密度!$A$2:$A$50,密度!$C$2:$C$50)</f>
        <v>173778.68079359998</v>
      </c>
      <c r="G10" s="73" ph="1">
        <f xml:space="preserve"> (G9+2)*51.53*LOOKUP(G11,密度!$A$2:$A$50,密度!$B$2:$B$50)</f>
        <v>56060.022912000008</v>
      </c>
      <c r="H10" s="73" ph="1">
        <f>(H9)*51.53*LOOKUP(H11,密度!$A$2:$A$50,密度!$B$2:$B$50)</f>
        <v>191471.00007000004</v>
      </c>
      <c r="I10" s="73" ph="1">
        <f>I9*290.8*1.0267</f>
        <v>15871.6813776</v>
      </c>
      <c r="J10" s="73" ph="1">
        <f>J9*290.8*0.7892</f>
        <v>1512.4007824</v>
      </c>
      <c r="K10" s="73" ph="1">
        <f>K9*290.8*1.1126</f>
        <v>20066.203841600003</v>
      </c>
      <c r="L10" s="73" ph="1">
        <f>L9*290.8*0.777</f>
        <v>4227.5544360000004</v>
      </c>
      <c r="M10" s="73" ph="1">
        <f>M9*33.183*LOOKUP(M11,密度!$A$2:$A$50,密度!$D$2:$D$50)</f>
        <v>69919.507740600005</v>
      </c>
      <c r="N10" s="73" ph="1">
        <f>N9*33.183*LOOKUP(N11,密度!$A$2:$A$50,密度!$E$2:$E$50)</f>
        <v>56566.2504348</v>
      </c>
      <c r="O10" s="73" ph="1">
        <f>O9*20.428*LOOKUP(O11,密度!$A$2:$A$50,密度!$C$2:$C$50)</f>
        <v>86290.080266800025</v>
      </c>
      <c r="P10" s="73" ph="1">
        <f>P9*51.53*LOOKUP(P11,密度!$A$2:$A$50,密度!$B$2:$B$50)</f>
        <v>138305.65429600002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53.155871999999995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4702.5982079999994</v>
      </c>
      <c r="X10" s="73" ph="1">
        <f>X9*1.5*1.5*3.1416*LOOKUP(X11,密度!$A$2:$A$50,密度!$L$2:$L$50)</f>
        <v>45154.103702399996</v>
      </c>
      <c r="Y10" s="73" ph="1">
        <f>Y9*1.5*1.5*3.1416*LOOKUP(Y11,密度!$A$2:$A$50,密度!$L$2:$L$50)</f>
        <v>18890.480069999998</v>
      </c>
      <c r="Z10" s="73" ph="1">
        <f>Z9*33.183*LOOKUP(Z11,密度!$A$2:$A$50,密度!$L$2:$L$50)</f>
        <v>20510.279567999998</v>
      </c>
      <c r="AA10" s="73" ph="1">
        <f>AA9*33.183*LOOKUP(AA11,密度!$A$2:$A$50,密度!$D$2:$D$50)</f>
        <v>145042.7337216</v>
      </c>
      <c r="AB10" s="73" ph="1">
        <f>AB9*20.428*LOOKUP(AB11,密度!$A$2:$A$50,密度!$D$2:$D$50)</f>
        <v>95919.671957199986</v>
      </c>
      <c r="AC10" s="73" ph="1">
        <f>AC9*51.53*LOOKUP(AC11,密度!$A$2:$A$50,密度!$Q$2:$Q$50)</f>
        <v>311946.78380040004</v>
      </c>
      <c r="AD10" s="73" ph="1">
        <f>AD9*20.428*LOOKUP(AD11,密度!$A$2:$A$50,密度!$V$2:$V$50)</f>
        <v>94130.589760000003</v>
      </c>
      <c r="AE10" s="73" ph="1">
        <f>AE9*20.428</f>
        <v>86206.16</v>
      </c>
    </row>
    <row r="11" spans="1:99" ph="1">
      <c r="A11" s="64" t="s" ph="1">
        <v>162</v>
      </c>
      <c r="B11" s="238" ph="1"/>
      <c r="C11" s="156" t="s" ph="1">
        <v>179</v>
      </c>
      <c r="D11" s="74">
        <v>17</v>
      </c>
      <c r="E11" s="74">
        <v>16</v>
      </c>
      <c r="F11" s="74">
        <v>16</v>
      </c>
      <c r="G11" s="74">
        <v>16</v>
      </c>
      <c r="H11" s="74">
        <v>14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21</v>
      </c>
      <c r="P11" s="74">
        <v>17</v>
      </c>
      <c r="Q11" s="74">
        <v>19</v>
      </c>
      <c r="R11" s="74">
        <v>22</v>
      </c>
      <c r="S11" s="74">
        <v>14</v>
      </c>
      <c r="T11" s="74">
        <v>13</v>
      </c>
      <c r="U11" s="74">
        <v>15</v>
      </c>
      <c r="V11" s="74">
        <v>23</v>
      </c>
      <c r="W11" s="74">
        <v>17</v>
      </c>
      <c r="X11" s="74">
        <v>8</v>
      </c>
      <c r="Y11" s="74">
        <v>16</v>
      </c>
      <c r="Z11" s="74">
        <v>14</v>
      </c>
      <c r="AA11" s="74">
        <v>16</v>
      </c>
      <c r="AB11" s="74">
        <v>9</v>
      </c>
      <c r="AC11" s="74">
        <v>15</v>
      </c>
      <c r="AD11" s="74">
        <v>15</v>
      </c>
      <c r="AE11" s="74">
        <v>19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1002</v>
      </c>
      <c r="E15" s="78">
        <v>63</v>
      </c>
      <c r="F15" s="78">
        <v>2347</v>
      </c>
      <c r="G15" s="78">
        <v>3141</v>
      </c>
      <c r="H15" s="78">
        <v>0</v>
      </c>
      <c r="I15" s="78">
        <v>5214</v>
      </c>
      <c r="J15" s="78">
        <v>0</v>
      </c>
      <c r="K15" s="78">
        <v>3576</v>
      </c>
      <c r="L15" s="78">
        <v>3700</v>
      </c>
      <c r="M15" s="78">
        <v>5938</v>
      </c>
      <c r="N15" s="78">
        <v>4584</v>
      </c>
      <c r="O15" s="78">
        <v>4428</v>
      </c>
      <c r="P15" s="78">
        <v>1331</v>
      </c>
      <c r="Q15" s="78">
        <v>180</v>
      </c>
      <c r="R15" s="78">
        <v>7349</v>
      </c>
      <c r="S15" s="78">
        <v>1724</v>
      </c>
      <c r="T15" s="78">
        <v>6210</v>
      </c>
      <c r="U15" s="78">
        <v>2093</v>
      </c>
      <c r="V15" s="78">
        <v>-817</v>
      </c>
      <c r="W15" s="71">
        <v>-171</v>
      </c>
      <c r="X15" s="78">
        <v>93</v>
      </c>
      <c r="Y15" s="106">
        <v>-9900</v>
      </c>
      <c r="Z15" s="78">
        <v>0</v>
      </c>
      <c r="AA15" s="78">
        <v>11</v>
      </c>
      <c r="AB15" s="78" ph="1">
        <v>6938</v>
      </c>
      <c r="AC15" s="78" ph="1">
        <v>2140</v>
      </c>
      <c r="AD15" s="78">
        <v>5.53</v>
      </c>
      <c r="AE15" s="78">
        <v>73.099999999999994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6721.5176027999996</v>
      </c>
      <c r="E16" s="73" ph="1">
        <f>E15*7.0686*LOOKUP(E17,密度!$A$2:$A$50,密度!$L$2:$L$50)</f>
        <v>422.61038819999999</v>
      </c>
      <c r="F16" s="73" ph="1">
        <f>F15*9.0746*LOOKUP(F17,密度!$A$2:$A$50,密度!$L$2:$L$50)</f>
        <v>20126.691459000001</v>
      </c>
      <c r="G16" s="73" ph="1">
        <f>G15*9.0746*LOOKUP(G17,密度!$A$2:$A$50,密度!$B$2:$B$50)</f>
        <v>22437.81240192</v>
      </c>
      <c r="H16" s="73" ph="1">
        <f>H15*9.0746*LOOKUP(H17,密度!$A$2:$A$50,密度!$L$2:$L$50)</f>
        <v>0</v>
      </c>
      <c r="I16" s="73" ph="1">
        <f>I15*9.0746*LOOKUP(I17,密度!$A$2:$A$50,密度!$U$2:$U$50)</f>
        <v>48639.783403200003</v>
      </c>
      <c r="J16" s="73" ph="1">
        <f>J15*9.0746*LOOKUP(J17,密度!$A$2:$A$50,密度!$L$2:$L$50)</f>
        <v>0</v>
      </c>
      <c r="K16" s="73" ph="1">
        <f>K15*9.0746*LOOKUP(K17,密度!$A$2:$A$50,密度!$C$2:$C$50)</f>
        <v>36208.568719679999</v>
      </c>
      <c r="L16" s="73" ph="1">
        <f>L15*9.0746*LOOKUP(L17,密度!$A$2:$A$50,密度!$E$2:$E$50)</f>
        <v>26645.929472000003</v>
      </c>
      <c r="M16" s="73" ph="1">
        <f>M15*9.0746*LOOKUP(M17,密度!$A$2:$A$50,密度!$M$2:$M$50)</f>
        <v>47434.943316440003</v>
      </c>
      <c r="N16" s="73" ph="1">
        <f>N15*9.0746*LOOKUP(N17,密度!$A$2:$A$50,密度!$M$2:$M$50)</f>
        <v>36618.689821919994</v>
      </c>
      <c r="O16" s="73" ph="1">
        <f>O15*9.0746*LOOKUP(O17,密度!$A$2:$A$50,密度!$G$2:$G$50)</f>
        <v>38936.676607200003</v>
      </c>
      <c r="P16" s="73" ph="1">
        <f ca="1">P15*9.0746*LOOKUP(P17,密度!$A$2:$A$51,密度!$Q$2:$Q$50)</f>
        <v>11517.859823360001</v>
      </c>
      <c r="Q16" s="73" ph="1">
        <f>Q15*9.0746*LOOKUP(Q17,密度!$A$2:$A$50,密度!$Q$2:$Q$50)</f>
        <v>1559.1723631200002</v>
      </c>
      <c r="R16" s="73" ph="1">
        <f>MAX(R15*9.0746*LOOKUP(R17,密度!$A$2:$A$50,密度!$B$2:$B$50),0)</f>
        <v>52397.732253779999</v>
      </c>
      <c r="S16" s="73" ph="1">
        <f>S15*9.0746*LOOKUP(S17,密度!$A$2:$A$50,密度!$Q$2:$Q$50)</f>
        <v>14933.406411216001</v>
      </c>
      <c r="T16" s="73" ph="1">
        <f>T15*9.0746*LOOKUP(T17,密度!$A$2:$A$50,密度!$O$2:$O$50)</f>
        <v>52633.950444000009</v>
      </c>
      <c r="U16" s="73" ph="1">
        <f>U15*9.0746*LOOKUP(U17,密度!$A$2:$A$50,密度!$H$2:$H$50)</f>
        <v>17619.933937059999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3868.6173662159999</v>
      </c>
      <c r="X16" s="73" ph="1">
        <f>MAX(5600*LOOKUP(X17,密度!$A$2:$A$50,密度!$I$2:$I$50)+X15*9.0476*LOOKUP(X17,密度!$A$2:$A$50,密度!$I$2:$I$50),0)</f>
        <v>6757.0567131999996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78.998022840000004</v>
      </c>
      <c r="AB16" s="73" ph="1">
        <f>AB15*9.0746*LOOKUP(AB17,密度!$A$2:$A$50,密度!$L$2:$L$50)</f>
        <v>59496.798186</v>
      </c>
      <c r="AC16" s="73" ph="1">
        <f>AC15*9.0746*LOOKUP(AC17,密度!$A$2:$A$50,密度!$L$2:$L$50)</f>
        <v>18429.242156</v>
      </c>
      <c r="AD16" s="73" ph="1">
        <f>AD15*268.68*LOOKUP(AD17,密度!$A$2:$A$50,密度!B2:B50)+IF(AD15&lt;=0,0,1566*LOOKUP(AD17,密度!$A$2:$A$50,密度!B2:B50))</f>
        <v>2379.1835918400002</v>
      </c>
      <c r="AE16" s="73" ph="1">
        <f>AE15*268.68*LOOKUP(AE17,密度!$A$2:$A$50,密度!B2:B50)+IF(AE15&lt;=0,0,1566*LOOKUP(AE17,密度!$A$2:$A$50,密度!B2:B50))</f>
        <v>16532.593636799997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13</v>
      </c>
      <c r="E17" s="74">
        <v>13</v>
      </c>
      <c r="F17" s="74">
        <v>17</v>
      </c>
      <c r="G17" s="74">
        <v>16</v>
      </c>
      <c r="H17" s="74">
        <v>10</v>
      </c>
      <c r="I17" s="74">
        <v>13</v>
      </c>
      <c r="J17" s="74">
        <v>15</v>
      </c>
      <c r="K17" s="74">
        <v>15</v>
      </c>
      <c r="L17" s="74">
        <v>16</v>
      </c>
      <c r="M17" s="74">
        <v>15</v>
      </c>
      <c r="N17" s="74">
        <v>17</v>
      </c>
      <c r="O17" s="74">
        <v>17</v>
      </c>
      <c r="P17" s="74">
        <v>16</v>
      </c>
      <c r="Q17" s="74">
        <v>13</v>
      </c>
      <c r="R17" s="74">
        <v>18</v>
      </c>
      <c r="S17" s="74">
        <v>15</v>
      </c>
      <c r="T17" s="74">
        <v>15</v>
      </c>
      <c r="U17" s="74">
        <v>12</v>
      </c>
      <c r="V17" s="74">
        <v>15</v>
      </c>
      <c r="W17" s="74">
        <v>15</v>
      </c>
      <c r="X17" s="74">
        <v>19</v>
      </c>
      <c r="Y17" s="108">
        <v>19</v>
      </c>
      <c r="Z17" s="74">
        <v>14</v>
      </c>
      <c r="AA17" s="74">
        <v>11</v>
      </c>
      <c r="AB17" s="74">
        <v>17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2836</v>
      </c>
      <c r="E18" s="71">
        <v>62</v>
      </c>
      <c r="F18" s="71">
        <v>2345</v>
      </c>
      <c r="G18" s="71">
        <v>3200</v>
      </c>
      <c r="H18" s="71">
        <v>0</v>
      </c>
      <c r="I18" s="71">
        <v>4570</v>
      </c>
      <c r="J18" s="71">
        <v>0</v>
      </c>
      <c r="K18" s="71">
        <v>3575</v>
      </c>
      <c r="L18" s="71">
        <v>3697</v>
      </c>
      <c r="M18" s="71">
        <v>2986</v>
      </c>
      <c r="N18" s="71">
        <v>4581</v>
      </c>
      <c r="O18" s="71">
        <v>4425</v>
      </c>
      <c r="P18" s="71">
        <v>168</v>
      </c>
      <c r="Q18" s="71">
        <v>178</v>
      </c>
      <c r="R18" s="71">
        <v>7345</v>
      </c>
      <c r="S18" s="71">
        <v>1793</v>
      </c>
      <c r="T18" s="71">
        <v>6206</v>
      </c>
      <c r="U18" s="71">
        <v>2090</v>
      </c>
      <c r="V18" s="71">
        <v>-817</v>
      </c>
      <c r="W18" s="71">
        <v>-171</v>
      </c>
      <c r="X18" s="71">
        <v>90</v>
      </c>
      <c r="Y18" s="109">
        <v>-9900</v>
      </c>
      <c r="Z18" s="71">
        <v>0</v>
      </c>
      <c r="AA18" s="71">
        <v>11</v>
      </c>
      <c r="AB18" s="71">
        <v>6937</v>
      </c>
      <c r="AC18" s="71">
        <v>2139</v>
      </c>
      <c r="AD18" s="71">
        <v>45.91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18943.989371999996</v>
      </c>
      <c r="E19" s="73" ph="1">
        <f>E18*7.0686*LOOKUP(E20,密度!$A$2:$A$50,密度!$L$2:$L$50)</f>
        <v>414.14927399999999</v>
      </c>
      <c r="F19" s="73" ph="1">
        <f>F18*9.0746*LOOKUP(F20,密度!$A$2:$A$50,密度!$L$2:$L$50)</f>
        <v>20003.140780000002</v>
      </c>
      <c r="G19" s="73" ph="1">
        <f>G18*9.0746*LOOKUP(G20,密度!$A$2:$A$50,密度!$B$2:$B$50)</f>
        <v>22882.51136</v>
      </c>
      <c r="H19" s="73" ph="1">
        <f>H18*9.0746*LOOKUP(H20,密度!$A$2:$A$50,密度!$L$2:$L$50)</f>
        <v>0</v>
      </c>
      <c r="I19" s="73" ph="1">
        <f>I18*9.0746*LOOKUP(I20,密度!$A$2:$A$50,密度!$U$2:$U$50)</f>
        <v>42632.107815999996</v>
      </c>
      <c r="J19" s="73" ph="1">
        <f>J18*9.0746*LOOKUP(J20,密度!$A$2:$A$50,密度!$L$2:$L$50)</f>
        <v>0</v>
      </c>
      <c r="K19" s="73" ph="1">
        <f>K18*9.0746*LOOKUP(K20,密度!$A$2:$A$50,密度!$C$2:$C$50)</f>
        <v>36136.804060499999</v>
      </c>
      <c r="L19" s="73" ph="1">
        <f>L18*9.0746*LOOKUP(L20,密度!$A$2:$A$50,密度!$E$2:$E$50)</f>
        <v>26587.420988500002</v>
      </c>
      <c r="M19" s="73" ph="1">
        <f>M18*9.0746*LOOKUP(M20,密度!$A$2:$A$50,密度!$M$2:$M$50)</f>
        <v>23853.27395468</v>
      </c>
      <c r="N19" s="73" ph="1">
        <f>N18*9.0746*LOOKUP(N20,密度!$A$2:$A$50,密度!$M$2:$M$50)</f>
        <v>36594.724710779999</v>
      </c>
      <c r="O19" s="73" ph="1">
        <f>O18*9.0746*LOOKUP(O20,密度!$A$2:$A$50,密度!$G$2:$G$50)</f>
        <v>38829.986535000004</v>
      </c>
      <c r="P19" s="73" ph="1">
        <f ca="1">P18*9.0746*LOOKUP(P20,密度!$A$2:$A$51,密度!$Q$2:$Q$50)</f>
        <v>1451.370470928</v>
      </c>
      <c r="Q19" s="73" ph="1">
        <f>Q18*9.0746*LOOKUP(Q20,密度!$A$2:$A$50,密度!$Q$2:$Q$50)</f>
        <v>1539.0376406400001</v>
      </c>
      <c r="R19" s="73" ph="1">
        <f>MAX(R18*9.0746*LOOKUP(R20,密度!$A$2:$A$50,密度!$B$2:$B$50),0)</f>
        <v>52315.890251300007</v>
      </c>
      <c r="S19" s="73" ph="1">
        <f>S18*9.0746*LOOKUP(S20,密度!$A$2:$A$50,密度!$Q$2:$Q$50)</f>
        <v>15531.089150412003</v>
      </c>
      <c r="T19" s="73" ph="1">
        <f>T18*9.0746*LOOKUP(T20,密度!$A$2:$A$50,密度!$O$2:$O$50)</f>
        <v>52600.047738400004</v>
      </c>
      <c r="U19" s="73" ph="1">
        <f>U18*9.0746*LOOKUP(U20,密度!$A$2:$A$50,密度!$H$2:$H$50)</f>
        <v>17556.746589800001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3861.5653891200004</v>
      </c>
      <c r="X19" s="73" ph="1">
        <f>MAX(5600*LOOKUP(X20,密度!$A$2:$A$50,密度!$I$2:$I$50)+X18*9.0476*LOOKUP(X20,密度!$A$2:$A$50,密度!$I$2:$I$50),0)</f>
        <v>6721.5282036000008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78.658632800000007</v>
      </c>
      <c r="AB19" s="73" ph="1">
        <f>AB18*9.0746*LOOKUP(AB20,密度!$A$2:$A$50,密度!$L$2:$L$50)</f>
        <v>59488.222689000002</v>
      </c>
      <c r="AC19" s="73" ph="1">
        <f>AC18*9.0746*LOOKUP(AC20,密度!$A$2:$A$50,密度!$L$2:$L$50)</f>
        <v>18381.809221799998</v>
      </c>
      <c r="AD19" s="73" ph="1">
        <f>AD18*268.68*LOOKUP(AD20,密度!$A$2:$A$50,密度!B5:B53)+IF(AD18&lt;=0,0,1566*LOOKUP(AD20,密度!$A$2:$A$50,密度!B5:B53))</f>
        <v>10801.153767599999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17</v>
      </c>
      <c r="E20" s="81">
        <v>17</v>
      </c>
      <c r="F20" s="81">
        <v>22</v>
      </c>
      <c r="G20" s="81">
        <v>15</v>
      </c>
      <c r="H20" s="81">
        <v>14</v>
      </c>
      <c r="I20" s="81">
        <v>19</v>
      </c>
      <c r="J20" s="81">
        <v>19</v>
      </c>
      <c r="K20" s="81">
        <v>18</v>
      </c>
      <c r="L20" s="81">
        <v>17</v>
      </c>
      <c r="M20" s="81">
        <v>18</v>
      </c>
      <c r="N20" s="81">
        <v>15</v>
      </c>
      <c r="O20" s="81">
        <v>19</v>
      </c>
      <c r="P20" s="81">
        <v>18</v>
      </c>
      <c r="Q20" s="81">
        <v>17</v>
      </c>
      <c r="R20" s="81">
        <v>19</v>
      </c>
      <c r="S20" s="81">
        <v>15</v>
      </c>
      <c r="T20" s="81">
        <v>17</v>
      </c>
      <c r="U20" s="81">
        <v>14</v>
      </c>
      <c r="V20" s="81">
        <v>17</v>
      </c>
      <c r="W20" s="81">
        <v>17</v>
      </c>
      <c r="X20" s="81">
        <v>20</v>
      </c>
      <c r="Y20" s="110">
        <v>20</v>
      </c>
      <c r="Z20" s="81">
        <v>18</v>
      </c>
      <c r="AA20" s="81">
        <v>15</v>
      </c>
      <c r="AB20" s="81">
        <v>17</v>
      </c>
      <c r="AC20" s="81">
        <v>15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645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5.27</v>
      </c>
      <c r="E24" s="71">
        <v>5.4</v>
      </c>
      <c r="F24" s="71">
        <v>2495</v>
      </c>
      <c r="G24" s="71">
        <v>3885</v>
      </c>
      <c r="H24" s="71">
        <v>3743</v>
      </c>
      <c r="I24" s="71">
        <v>5018</v>
      </c>
      <c r="J24" s="71">
        <v>329</v>
      </c>
      <c r="K24" s="71">
        <v>4993</v>
      </c>
      <c r="L24" s="71">
        <v>468</v>
      </c>
      <c r="M24" s="71">
        <v>3047</v>
      </c>
      <c r="N24" s="71">
        <v>447</v>
      </c>
      <c r="O24" s="71">
        <v>5721</v>
      </c>
      <c r="P24" s="71">
        <v>358</v>
      </c>
      <c r="Q24" s="90">
        <v>3345</v>
      </c>
      <c r="R24" s="71">
        <v>5166</v>
      </c>
      <c r="S24" s="71">
        <v>2410</v>
      </c>
      <c r="T24" s="71">
        <v>216</v>
      </c>
      <c r="U24" s="71">
        <v>4453</v>
      </c>
      <c r="V24" s="71">
        <v>5009</v>
      </c>
      <c r="W24" s="71">
        <v>2950</v>
      </c>
      <c r="X24" s="71">
        <v>7194</v>
      </c>
      <c r="Y24" s="71">
        <v>9094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2823.1252838639998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27747.760166200002</v>
      </c>
      <c r="G25" s="91" ph="1">
        <f>G24*18.322*LOOKUP(G26,密度!$A$2:$A$50,密度!$B$2:$B$50)</f>
        <v>55926.888128999999</v>
      </c>
      <c r="H25" s="91" ph="1">
        <f>H24*18.322*LOOKUP(H26,密度!$A$2:$A$50,密度!$B$2:$B$50)</f>
        <v>53930.719054399997</v>
      </c>
      <c r="I25" s="91" ph="1">
        <f>I24*18.322*LOOKUP(I26,密度!$A$2:$A$50,密度!$Q$2:$Q$50)</f>
        <v>87600.237628799994</v>
      </c>
      <c r="J25" s="91" ph="1">
        <f>J24*18.322*LOOKUP(J26,密度!$A$2:$A$50,密度!$Q$2:$Q$50)</f>
        <v>5753.9079385200002</v>
      </c>
      <c r="K25" s="91" ph="1">
        <f>K24*18.322*LOOKUP(K26,密度!$A$2:$A$50,密度!$Q$2:$Q$50)</f>
        <v>87236.992985599994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53192.093275200001</v>
      </c>
      <c r="N25" s="91" ph="1">
        <f>N24*18.322*LOOKUP(N26,密度!$A$2:$A$50,密度!$Q$2:$Q$50)</f>
        <v>7790.5109188199995</v>
      </c>
      <c r="O25" s="91" ph="1">
        <f>O24*18.322*LOOKUP(O26,密度!$A$2:$A$50,密度!$C$2:$C$50)</f>
        <v>116759.17845179999</v>
      </c>
      <c r="P25" s="91" ph="1">
        <f>P24*11.702*LOOKUP(P26,密度!$A$2:$A$50,密度!$B$2:$B$50)</f>
        <v>3304.9513924000003</v>
      </c>
      <c r="Q25" s="92" ph="1">
        <f>Q24*18.322*LOOKUP(Q26,密度!$A$2:$A$50,密度!$B$2:$B$50)</f>
        <v>48196.167576</v>
      </c>
      <c r="R25" s="91" ph="1">
        <f>R24*35.891*LOOKUP(R26,密度!$A$2:$A$50,密度!$C$2:$C$50)</f>
        <v>206642.68373699998</v>
      </c>
      <c r="S25" s="91" ph="1">
        <f>S24*35.891*LOOKUP(S26,密度!$A$2:$A$50,密度!$B$2:$B$50)</f>
        <v>67960.936466999992</v>
      </c>
      <c r="T25" s="91" ph="1">
        <f>T24*35.891*LOOKUP(T26,密度!$A$2:$A$50,密度!$Q$2:$Q$50)</f>
        <v>7374.3687208799993</v>
      </c>
      <c r="U25" s="91" ph="1">
        <f>U24*35.891</f>
        <v>159822.62299999999</v>
      </c>
      <c r="V25" s="91" ph="1">
        <f>V24*47.051*LOOKUP(V26,密度!$A$2:$A$50,密度!$B$2:$B$50)</f>
        <v>185526.08292479999</v>
      </c>
      <c r="W25" s="91" ph="1">
        <f>W24*47.051*LOOKUP(W26,密度!$A$2:$A$50,密度!$B$2:$B$50)</f>
        <v>109152.67388</v>
      </c>
      <c r="X25" s="91" ph="1">
        <f>X24*47.051*LOOKUP(X26,密度!$A$2:$A$61,密度!$I$2:$I$61)</f>
        <v>345999.25864680001</v>
      </c>
      <c r="Y25" s="91" ph="1">
        <f>Y24*47.051*LOOKUP(Y26,密度!$A$2:$A$50,密度!$L$2:$L$50)</f>
        <v>403492.53174199996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18</v>
      </c>
      <c r="H26" s="74">
        <v>17</v>
      </c>
      <c r="I26" s="74">
        <v>17</v>
      </c>
      <c r="J26" s="74">
        <v>15</v>
      </c>
      <c r="K26" s="74">
        <v>16</v>
      </c>
      <c r="L26" s="74">
        <v>18</v>
      </c>
      <c r="M26" s="74">
        <v>17</v>
      </c>
      <c r="N26" s="74">
        <v>19</v>
      </c>
      <c r="O26" s="74">
        <v>18</v>
      </c>
      <c r="P26" s="74">
        <v>14</v>
      </c>
      <c r="Q26" s="93">
        <v>17</v>
      </c>
      <c r="R26" s="74">
        <v>17</v>
      </c>
      <c r="S26" s="74">
        <v>18</v>
      </c>
      <c r="T26" s="74">
        <v>19</v>
      </c>
      <c r="U26" s="74">
        <v>18</v>
      </c>
      <c r="V26" s="74">
        <v>16</v>
      </c>
      <c r="W26" s="74">
        <v>17</v>
      </c>
      <c r="X26" s="74">
        <v>43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5.25</v>
      </c>
      <c r="E27" s="71">
        <v>5.38</v>
      </c>
      <c r="F27" s="71">
        <v>2492</v>
      </c>
      <c r="G27" s="71">
        <v>3285</v>
      </c>
      <c r="H27" s="71">
        <v>3293</v>
      </c>
      <c r="I27" s="71">
        <v>3836</v>
      </c>
      <c r="J27" s="71">
        <v>326</v>
      </c>
      <c r="K27" s="71">
        <v>4990</v>
      </c>
      <c r="L27" s="71">
        <v>466</v>
      </c>
      <c r="M27" s="71">
        <v>3044</v>
      </c>
      <c r="N27" s="71">
        <v>444</v>
      </c>
      <c r="O27" s="71">
        <v>5718</v>
      </c>
      <c r="P27" s="71">
        <v>355</v>
      </c>
      <c r="Q27" s="90">
        <v>3843</v>
      </c>
      <c r="R27" s="71">
        <v>4660</v>
      </c>
      <c r="S27" s="71">
        <v>2406</v>
      </c>
      <c r="T27" s="71">
        <v>214</v>
      </c>
      <c r="U27" s="71">
        <v>4223</v>
      </c>
      <c r="V27" s="71">
        <v>5477</v>
      </c>
      <c r="W27" s="71">
        <v>3853</v>
      </c>
      <c r="X27" s="71">
        <v>7075</v>
      </c>
      <c r="Y27" s="71">
        <v>9802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2818.0378817999999</v>
      </c>
      <c r="E28" s="91" ph="1">
        <f>E27*268.68*LOOKUP(E29,密度!$A$2:$A$50,密度!$C$2:$C$50)+IF(E27&lt;=0,0,1566*LOOKUP(E29,密度!$A$2:$A$50,密度!$C$2:$C$50))</f>
        <v>3339.45057576</v>
      </c>
      <c r="F28" s="91" ph="1">
        <f>F27*11.702*LOOKUP(F29,密度!$A$2:$A$50,密度!$Q$2:$Q$50)</f>
        <v>27739.183302319998</v>
      </c>
      <c r="G28" s="91" ph="1">
        <f>G27*18.322*LOOKUP(G29,密度!$A$2:$A$50,密度!$B$2:$B$50)</f>
        <v>47331.662327999999</v>
      </c>
      <c r="H28" s="91" ph="1">
        <f>H27*18.322*LOOKUP(H29,密度!$A$2:$A$50,密度!$B$2:$B$50)</f>
        <v>47446.929694399994</v>
      </c>
      <c r="I28" s="91" ph="1">
        <f>I27*18.322*LOOKUP(I29,密度!$A$2:$A$50,密度!$Q$2:$Q$50)</f>
        <v>66910.301615919991</v>
      </c>
      <c r="J28" s="91" ph="1">
        <f>J27*18.322*LOOKUP(J29,密度!$A$2:$A$50,密度!$Q$2:$Q$50)</f>
        <v>5695.8260991999996</v>
      </c>
      <c r="K28" s="91" ph="1">
        <f>K27*18.322*LOOKUP(K29,密度!$A$2:$A$50,密度!$Q$2:$Q$50)</f>
        <v>86967.895939399998</v>
      </c>
      <c r="L28" s="91" ph="1">
        <f>L27*18.322*LOOKUP(L29,密度!$A$2:$A$50,密度!$Q$2:$Q$50)</f>
        <v>8121.6512039600002</v>
      </c>
      <c r="M28" s="91" ph="1">
        <f>M27*18.322*LOOKUP(M29,密度!$A$2:$A$50,密度!$Q$2:$Q$50)</f>
        <v>53184.339404799997</v>
      </c>
      <c r="N28" s="91" ph="1">
        <f>N27*18.322*LOOKUP(N29,密度!$A$2:$A$50,密度!$Q$2:$Q$50)</f>
        <v>7744.5708856800002</v>
      </c>
      <c r="O28" s="91" ph="1">
        <f>O27*18.322*LOOKUP(O29,密度!$A$2:$A$50,密度!$C$2:$C$50)</f>
        <v>116561.7570696</v>
      </c>
      <c r="P28" s="91" ph="1">
        <f>P27*11.702*LOOKUP(P29,密度!$A$2:$A$50,密度!$B$2:$B$50)</f>
        <v>3260.6394290000003</v>
      </c>
      <c r="Q28" s="92" ph="1">
        <f>Q27*18.322*LOOKUP(Q29,密度!$A$2:$A$50,密度!$B$2:$B$50)</f>
        <v>55371.561134399999</v>
      </c>
      <c r="R28" s="91" ph="1">
        <f>R27*35.891*LOOKUP(R29,密度!$A$2:$A$50,密度!$C$2:$C$50)</f>
        <v>186402.42087</v>
      </c>
      <c r="S28" s="91" ph="1">
        <f>S27*35.891*LOOKUP(S29,密度!$A$2:$A$50,密度!$B$2:$B$50)</f>
        <v>67848.138232199999</v>
      </c>
      <c r="T28" s="91" ph="1">
        <f>T27*35.891*LOOKUP(T29,密度!$A$2:$A$50,密度!$Q$2:$Q$50)</f>
        <v>7318.1461872</v>
      </c>
      <c r="U28" s="91" ph="1">
        <f>U27*35.891</f>
        <v>151567.693</v>
      </c>
      <c r="V28" s="91" ph="1">
        <f>V27*47.051*LOOKUP(V29,密度!$A$2:$A$50,密度!$B$2:$B$50)</f>
        <v>202473.57552390001</v>
      </c>
      <c r="W28" s="91" ph="1">
        <f>W27*47.051*LOOKUP(W29,密度!$A$2:$A$50,密度!$B$2:$B$50)</f>
        <v>142437.59110709999</v>
      </c>
      <c r="X28" s="91" ph="1">
        <f>X27*47.051*LOOKUP(X29,密度!$A$2:$A$61,密度!$I$2:$I$61)</f>
        <v>350329.04223000002</v>
      </c>
      <c r="Y28" s="91" ph="1">
        <f>Y27*47.051*LOOKUP(Y29,密度!$A$2:$A$50,密度!$L$2:$L$50)</f>
        <v>434905.84958599997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19</v>
      </c>
      <c r="G29" s="74">
        <v>17</v>
      </c>
      <c r="H29" s="74">
        <v>17</v>
      </c>
      <c r="I29" s="74">
        <v>18</v>
      </c>
      <c r="J29" s="74">
        <v>16</v>
      </c>
      <c r="K29" s="74">
        <v>19</v>
      </c>
      <c r="L29" s="74">
        <v>19</v>
      </c>
      <c r="M29" s="74">
        <v>16</v>
      </c>
      <c r="N29" s="74">
        <v>18</v>
      </c>
      <c r="O29" s="74">
        <v>20</v>
      </c>
      <c r="P29" s="74">
        <v>19</v>
      </c>
      <c r="Q29" s="93">
        <v>17</v>
      </c>
      <c r="R29" s="74">
        <v>17</v>
      </c>
      <c r="S29" s="74">
        <v>18</v>
      </c>
      <c r="T29" s="74">
        <v>17</v>
      </c>
      <c r="U29" s="74">
        <v>45</v>
      </c>
      <c r="V29" s="74">
        <v>18</v>
      </c>
      <c r="W29" s="74">
        <v>18</v>
      </c>
      <c r="X29" s="74">
        <v>16</v>
      </c>
      <c r="Y29" s="74">
        <v>19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240962.40567879999</v>
      </c>
      <c r="E33" s="187" ph="1">
        <f>M10+I10</f>
        <v>85791.189118200011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3" ph="1">
        <f>N19</f>
        <v>36594.724710779999</v>
      </c>
      <c r="H33" s="187" ph="1">
        <f>M19</f>
        <v>23853.27395468</v>
      </c>
      <c r="I33" s="191" ph="1">
        <v>0</v>
      </c>
      <c r="J33" s="195" ph="1">
        <f>F10+O28</f>
        <v>290340.43786319997</v>
      </c>
      <c r="K33" s="187" ph="1">
        <f>O10+K10+E28+R28</f>
        <v>296098.15555416001</v>
      </c>
      <c r="L33" s="197" ph="1">
        <f>K19</f>
        <v>36136.804060499999</v>
      </c>
      <c r="M33" s="195" ph="1">
        <f>G10+H10+W28+S28+V28+E10+R19+P28+Q28</f>
        <v>882222.66083589999</v>
      </c>
      <c r="N33" s="187" ph="1">
        <f>L10+P10++G28+H28+AD19+AE19</f>
        <v>267014.16545760003</v>
      </c>
      <c r="O33" s="191" ph="1">
        <f>G19</f>
        <v>22882.51136</v>
      </c>
      <c r="P33" s="195" ph="1">
        <f>L19</f>
        <v>26587.420988500002</v>
      </c>
      <c r="Q33" s="187" ph="1">
        <f>J10+N10</f>
        <v>58078.6512172</v>
      </c>
      <c r="R33" s="191" ph="1">
        <f>BE23</f>
        <v>890</v>
      </c>
      <c r="S33" s="195" ph="1">
        <f>X28</f>
        <v>350329.04223000002</v>
      </c>
      <c r="T33" s="187" ph="1">
        <f>X19</f>
        <v>6721.5282036000008</v>
      </c>
      <c r="U33" s="176" ph="1">
        <f>BE21</f>
        <v>730</v>
      </c>
      <c r="V33" s="189" ph="1">
        <f ca="1">P19+Q19+S19+M28+N28+J28+D10+AC10+D19+E19+H19+J19+O19+V19+W19+K28+L28</f>
        <v>742573.30878234003</v>
      </c>
      <c r="W33" s="189" ph="1">
        <f>D28+F28+T28+I28</f>
        <v>104785.66898723999</v>
      </c>
      <c r="X33" s="191" ph="1">
        <f>BE29+BE31</f>
        <v>10200</v>
      </c>
      <c r="Y33" s="193" ph="1">
        <f>+Q10+R10+S10+T10+U10+V10+W10+X10+Y10</f>
        <v>68800.3378524</v>
      </c>
      <c r="Z33" s="174" ph="1">
        <f>T19+U19+Y28+Z10</f>
        <v>525572.9234821999</v>
      </c>
      <c r="AA33" s="176" ph="1">
        <f>BE19</f>
        <v>1440</v>
      </c>
      <c r="AB33" s="178" ph="1">
        <f>I19</f>
        <v>42632.107815999996</v>
      </c>
      <c r="AC33" s="180" ph="1">
        <f>AD10+AB19</f>
        <v>153618.81244900002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79" priority="100">
      <formula>ABS(D$7-D$10)&gt;=1000</formula>
    </cfRule>
  </conditionalFormatting>
  <conditionalFormatting sqref="E4 E6:E11">
    <cfRule type="expression" dxfId="2078" priority="99">
      <formula>ABS(E$7-E$10)&gt;=1000</formula>
    </cfRule>
  </conditionalFormatting>
  <conditionalFormatting sqref="F4:F11">
    <cfRule type="expression" dxfId="2077" priority="98">
      <formula>ABS(F$7-F$10)&gt;=1000</formula>
    </cfRule>
  </conditionalFormatting>
  <conditionalFormatting sqref="G4:G11">
    <cfRule type="expression" dxfId="2076" priority="97">
      <formula>ABS(G$7-G$10)&gt;=1000</formula>
    </cfRule>
  </conditionalFormatting>
  <conditionalFormatting sqref="H4:H11">
    <cfRule type="expression" dxfId="2075" priority="96">
      <formula>ABS(H$7-H$10)&gt;=1000</formula>
    </cfRule>
  </conditionalFormatting>
  <conditionalFormatting sqref="I4:I11">
    <cfRule type="expression" dxfId="2074" priority="95">
      <formula>ABS(I$7-I$10)&gt;=1000</formula>
    </cfRule>
  </conditionalFormatting>
  <conditionalFormatting sqref="J4:J11">
    <cfRule type="expression" dxfId="2073" priority="94">
      <formula>ABS(J$7-J$10)&gt;=1000</formula>
    </cfRule>
  </conditionalFormatting>
  <conditionalFormatting sqref="K4:K11">
    <cfRule type="expression" dxfId="2072" priority="93">
      <formula>ABS(K$7-K$10)&gt;=1000</formula>
    </cfRule>
  </conditionalFormatting>
  <conditionalFormatting sqref="L4:L11">
    <cfRule type="expression" dxfId="2071" priority="92">
      <formula>ABS(L$7-L$10)&gt;=1000</formula>
    </cfRule>
  </conditionalFormatting>
  <conditionalFormatting sqref="M4 M6:M11">
    <cfRule type="expression" dxfId="2070" priority="91">
      <formula>ABS(M$7-M$10)&gt;=1000</formula>
    </cfRule>
  </conditionalFormatting>
  <conditionalFormatting sqref="N4 N6:N11">
    <cfRule type="expression" dxfId="2069" priority="90">
      <formula>ABS(N$7-N$10)&gt;=1000</formula>
    </cfRule>
  </conditionalFormatting>
  <conditionalFormatting sqref="O4 O6:O11">
    <cfRule type="expression" dxfId="2068" priority="89">
      <formula>ABS(O$7-O$10)&gt;=1000</formula>
    </cfRule>
  </conditionalFormatting>
  <conditionalFormatting sqref="P4 P6:P11">
    <cfRule type="expression" dxfId="2067" priority="88">
      <formula>ABS(P$7-P$10)&gt;=1000</formula>
    </cfRule>
  </conditionalFormatting>
  <conditionalFormatting sqref="Q4:Q11">
    <cfRule type="expression" dxfId="2066" priority="87">
      <formula>ABS(Q$7-Q$10)&gt;=1000</formula>
    </cfRule>
  </conditionalFormatting>
  <conditionalFormatting sqref="R4:R11">
    <cfRule type="expression" dxfId="2065" priority="86">
      <formula>ABS(R$7-R$10)&gt;=1000</formula>
    </cfRule>
  </conditionalFormatting>
  <conditionalFormatting sqref="S4:S11">
    <cfRule type="expression" dxfId="2064" priority="85">
      <formula>ABS(S$7-S$10)&gt;=1000</formula>
    </cfRule>
  </conditionalFormatting>
  <conditionalFormatting sqref="T4:T9 T11">
    <cfRule type="expression" dxfId="2063" priority="84">
      <formula>ABS(T$7-T$10)&gt;=1000</formula>
    </cfRule>
  </conditionalFormatting>
  <conditionalFormatting sqref="U4:U9 U11">
    <cfRule type="expression" dxfId="2062" priority="83">
      <formula>ABS(U$7-U$10)&gt;=1000</formula>
    </cfRule>
  </conditionalFormatting>
  <conditionalFormatting sqref="V4:V9 V11">
    <cfRule type="expression" dxfId="2061" priority="82">
      <formula>ABS(V$7-V$10)&gt;=1000</formula>
    </cfRule>
  </conditionalFormatting>
  <conditionalFormatting sqref="W4:W9 W11">
    <cfRule type="expression" dxfId="2060" priority="81">
      <formula>ABS(W$7-W$10)&gt;=1000</formula>
    </cfRule>
  </conditionalFormatting>
  <conditionalFormatting sqref="X4:X9 X11">
    <cfRule type="expression" dxfId="2059" priority="80">
      <formula>ABS(X$7-X$10)&gt;=1000</formula>
    </cfRule>
  </conditionalFormatting>
  <conditionalFormatting sqref="Y4:Y9 Y11">
    <cfRule type="expression" dxfId="2058" priority="79">
      <formula>ABS(Y$7-Y$10)&gt;=1000</formula>
    </cfRule>
  </conditionalFormatting>
  <conditionalFormatting sqref="Z4:Z11">
    <cfRule type="expression" dxfId="2057" priority="78">
      <formula>ABS(Z$7-Z$10)&gt;=1000</formula>
    </cfRule>
  </conditionalFormatting>
  <conditionalFormatting sqref="AA4:AA11">
    <cfRule type="expression" dxfId="2056" priority="77">
      <formula>ABS(AA$7-AA$10)&gt;=1000</formula>
    </cfRule>
  </conditionalFormatting>
  <conditionalFormatting sqref="AB4:AB11">
    <cfRule type="expression" dxfId="2055" priority="76">
      <formula>ABS(AB$7-AB$10)&gt;=1000</formula>
    </cfRule>
  </conditionalFormatting>
  <conditionalFormatting sqref="AC4 AC6:AC11">
    <cfRule type="expression" dxfId="2054" priority="75">
      <formula>ABS(AC$7-AC$10)&gt;=1000</formula>
    </cfRule>
  </conditionalFormatting>
  <conditionalFormatting sqref="AD4 AD6:AD11">
    <cfRule type="expression" dxfId="2053" priority="74">
      <formula>ABS(AD$7-AD$10)&gt;=1000</formula>
    </cfRule>
  </conditionalFormatting>
  <conditionalFormatting sqref="AE4 AE6:AE11">
    <cfRule type="expression" dxfId="2052" priority="73">
      <formula>ABS(AE$7-AE$10)&gt;=1000</formula>
    </cfRule>
  </conditionalFormatting>
  <conditionalFormatting sqref="D13:D20">
    <cfRule type="expression" dxfId="2051" priority="72">
      <formula>ABS(D$16-D$19)&gt;=1000</formula>
    </cfRule>
  </conditionalFormatting>
  <conditionalFormatting sqref="E13:E20">
    <cfRule type="expression" dxfId="2050" priority="71">
      <formula>ABS(E$16-E$19)&gt;=1000</formula>
    </cfRule>
  </conditionalFormatting>
  <conditionalFormatting sqref="F13 F15:F20">
    <cfRule type="expression" dxfId="2049" priority="70">
      <formula>ABS(F$16-F$19)&gt;=1000</formula>
    </cfRule>
  </conditionalFormatting>
  <conditionalFormatting sqref="G13:G20">
    <cfRule type="expression" dxfId="2048" priority="69">
      <formula>ABS(G$16-G$19)&gt;=1000</formula>
    </cfRule>
  </conditionalFormatting>
  <conditionalFormatting sqref="H13 H15:H20">
    <cfRule type="expression" dxfId="2047" priority="68">
      <formula>ABS(H$16-H$19)&gt;=1000</formula>
    </cfRule>
  </conditionalFormatting>
  <conditionalFormatting sqref="I13:I20">
    <cfRule type="expression" dxfId="2046" priority="67">
      <formula>ABS(I$16-I$19)&gt;=1000</formula>
    </cfRule>
  </conditionalFormatting>
  <conditionalFormatting sqref="J13:J20">
    <cfRule type="expression" dxfId="2045" priority="66">
      <formula>ABS(J$16-J$19)&gt;=1000</formula>
    </cfRule>
  </conditionalFormatting>
  <conditionalFormatting sqref="L13:L20">
    <cfRule type="expression" dxfId="2044" priority="65">
      <formula>ABS(L$16-L$19)&gt;=1000</formula>
    </cfRule>
  </conditionalFormatting>
  <conditionalFormatting sqref="M13 M15 M17:M18 M20">
    <cfRule type="expression" dxfId="2043" priority="64">
      <formula>ABS(M$16-M$19)&gt;=1000</formula>
    </cfRule>
  </conditionalFormatting>
  <conditionalFormatting sqref="N13:N20">
    <cfRule type="expression" dxfId="2042" priority="63">
      <formula>ABS(N$16-N$19)&gt;=1000</formula>
    </cfRule>
  </conditionalFormatting>
  <conditionalFormatting sqref="O13:O20">
    <cfRule type="expression" dxfId="2041" priority="62">
      <formula>ABS(O$16-O$19)&gt;=1000</formula>
    </cfRule>
  </conditionalFormatting>
  <conditionalFormatting sqref="P13:P20">
    <cfRule type="expression" dxfId="2040" priority="61">
      <formula>ABS(P$16-P$19)&gt;=1000</formula>
    </cfRule>
  </conditionalFormatting>
  <conditionalFormatting sqref="Q13 Q15:Q20">
    <cfRule type="expression" dxfId="2039" priority="60">
      <formula>ABS(Q$16-Q$19)&gt;=1000</formula>
    </cfRule>
  </conditionalFormatting>
  <conditionalFormatting sqref="R13:R20">
    <cfRule type="expression" dxfId="2038" priority="59">
      <formula>ABS(R$16-R$19)&gt;=1000</formula>
    </cfRule>
  </conditionalFormatting>
  <conditionalFormatting sqref="S13:S20">
    <cfRule type="expression" dxfId="2037" priority="58">
      <formula>ABS(S$16-S$19)&gt;=1000</formula>
    </cfRule>
  </conditionalFormatting>
  <conditionalFormatting sqref="T13:T20">
    <cfRule type="expression" dxfId="2036" priority="57">
      <formula>ABS(T$16-T$19)&gt;=1000</formula>
    </cfRule>
  </conditionalFormatting>
  <conditionalFormatting sqref="U13:U20">
    <cfRule type="expression" dxfId="2035" priority="56">
      <formula>ABS(U$16-U$19)&gt;=1000</formula>
    </cfRule>
  </conditionalFormatting>
  <conditionalFormatting sqref="V13:V20">
    <cfRule type="expression" dxfId="2034" priority="55">
      <formula>ABS(V$16-V$19)&gt;=1000</formula>
    </cfRule>
  </conditionalFormatting>
  <conditionalFormatting sqref="W13 W20 W15:W18">
    <cfRule type="expression" dxfId="2033" priority="54">
      <formula>ABS(W$16-W$19)&gt;=1000</formula>
    </cfRule>
  </conditionalFormatting>
  <conditionalFormatting sqref="X13 X15:X20 Y19">
    <cfRule type="expression" dxfId="2032" priority="53">
      <formula>ABS(X$16-X$19)&gt;=1000</formula>
    </cfRule>
  </conditionalFormatting>
  <conditionalFormatting sqref="Y13 Y15:Y18 Y20">
    <cfRule type="expression" dxfId="2031" priority="52">
      <formula>ABS(Y$16-Y$19)&gt;=1000</formula>
    </cfRule>
  </conditionalFormatting>
  <conditionalFormatting sqref="Z13:Z20">
    <cfRule type="expression" dxfId="2030" priority="51">
      <formula>ABS(Z$16-Z$19)&gt;=1000</formula>
    </cfRule>
  </conditionalFormatting>
  <conditionalFormatting sqref="AA13:AA20">
    <cfRule type="expression" dxfId="2029" priority="50">
      <formula>ABS(AA$16-AA$19)&gt;=1000</formula>
    </cfRule>
  </conditionalFormatting>
  <conditionalFormatting sqref="AB13 AB15:AB20">
    <cfRule type="expression" dxfId="2028" priority="49">
      <formula>ABS(AB$16-AB$19)&gt;=1000</formula>
    </cfRule>
  </conditionalFormatting>
  <conditionalFormatting sqref="AC13 AC15:AC20">
    <cfRule type="expression" dxfId="2027" priority="48">
      <formula>ABS(AC$16-AC$19)&gt;=1000</formula>
    </cfRule>
  </conditionalFormatting>
  <conditionalFormatting sqref="AD13:AD20">
    <cfRule type="expression" dxfId="2026" priority="47">
      <formula>ABS(AD$16-AD$19)&gt;=1000</formula>
    </cfRule>
  </conditionalFormatting>
  <conditionalFormatting sqref="AE13:AE20">
    <cfRule type="expression" dxfId="2025" priority="46">
      <formula>ABS(AE$16-AE$19)&gt;=1000</formula>
    </cfRule>
  </conditionalFormatting>
  <conditionalFormatting sqref="D22:D29">
    <cfRule type="expression" dxfId="2024" priority="45">
      <formula>ABS(D$25-D$28)&gt;=1000</formula>
    </cfRule>
  </conditionalFormatting>
  <conditionalFormatting sqref="E22:E29">
    <cfRule type="expression" dxfId="2023" priority="44">
      <formula>ABS(E$25-E$28)&gt;=1000</formula>
    </cfRule>
  </conditionalFormatting>
  <conditionalFormatting sqref="F22:F29">
    <cfRule type="expression" dxfId="2022" priority="43">
      <formula>ABS(F$25-F$28)&gt;=1000</formula>
    </cfRule>
  </conditionalFormatting>
  <conditionalFormatting sqref="G22:G29">
    <cfRule type="expression" dxfId="2021" priority="42">
      <formula>ABS(G$25-G$28)&gt;=1000</formula>
    </cfRule>
  </conditionalFormatting>
  <conditionalFormatting sqref="H22:H29">
    <cfRule type="expression" dxfId="2020" priority="41">
      <formula>ABS(H$25-H$28)&gt;=1000</formula>
    </cfRule>
  </conditionalFormatting>
  <conditionalFormatting sqref="I22 I24:I29">
    <cfRule type="expression" dxfId="2019" priority="40">
      <formula>ABS(I$25-I$28)&gt;=1000</formula>
    </cfRule>
  </conditionalFormatting>
  <conditionalFormatting sqref="J22:J29 K22">
    <cfRule type="expression" dxfId="2018" priority="39">
      <formula>ABS(J$25-J$28)&gt;=1000</formula>
    </cfRule>
  </conditionalFormatting>
  <conditionalFormatting sqref="K23:K29 L25 L28">
    <cfRule type="expression" dxfId="2017" priority="38">
      <formula>ABS(K$25-K$28)&gt;=1000</formula>
    </cfRule>
  </conditionalFormatting>
  <conditionalFormatting sqref="L22 L26:L27 L29 L24">
    <cfRule type="expression" dxfId="2016" priority="37">
      <formula>ABS(L$25-L$28)&gt;=1000</formula>
    </cfRule>
  </conditionalFormatting>
  <conditionalFormatting sqref="M22:M29">
    <cfRule type="expression" dxfId="2015" priority="36">
      <formula>ABS(M$25-M$28)&gt;=1000</formula>
    </cfRule>
  </conditionalFormatting>
  <conditionalFormatting sqref="N22:N29">
    <cfRule type="expression" dxfId="2014" priority="35">
      <formula>ABS(N$25-N$28)&gt;=1000</formula>
    </cfRule>
  </conditionalFormatting>
  <conditionalFormatting sqref="O22:O29">
    <cfRule type="expression" dxfId="2013" priority="34">
      <formula>ABS(O$25-O$28)&gt;=1000</formula>
    </cfRule>
  </conditionalFormatting>
  <conditionalFormatting sqref="P22:P29">
    <cfRule type="expression" dxfId="2012" priority="33">
      <formula>ABS(P$25-P$28)&gt;=1000</formula>
    </cfRule>
  </conditionalFormatting>
  <conditionalFormatting sqref="Q22:Q29">
    <cfRule type="expression" dxfId="2011" priority="32">
      <formula>ABS(Q$25-Q$28)&gt;=1000</formula>
    </cfRule>
  </conditionalFormatting>
  <conditionalFormatting sqref="R22:R29">
    <cfRule type="expression" dxfId="2010" priority="31">
      <formula>ABS(R$25-R$28)&gt;=1000</formula>
    </cfRule>
  </conditionalFormatting>
  <conditionalFormatting sqref="S22:S29">
    <cfRule type="expression" dxfId="2009" priority="30">
      <formula>ABS(S$25-S$28)&gt;=1000</formula>
    </cfRule>
  </conditionalFormatting>
  <conditionalFormatting sqref="T22:T29">
    <cfRule type="expression" dxfId="2008" priority="29">
      <formula>ABS(T$25-T$28)&gt;=1000</formula>
    </cfRule>
  </conditionalFormatting>
  <conditionalFormatting sqref="U22:U29">
    <cfRule type="expression" dxfId="2007" priority="28">
      <formula>ABS(U$25-U$28)&gt;=1000</formula>
    </cfRule>
  </conditionalFormatting>
  <conditionalFormatting sqref="V22:V29">
    <cfRule type="expression" dxfId="2006" priority="27">
      <formula>ABS(V$25-V$28)&gt;=1000</formula>
    </cfRule>
  </conditionalFormatting>
  <conditionalFormatting sqref="W22:W29">
    <cfRule type="expression" dxfId="2005" priority="26">
      <formula>ABS(W$25-W$28)&gt;=1000</formula>
    </cfRule>
  </conditionalFormatting>
  <conditionalFormatting sqref="X22:X29">
    <cfRule type="expression" dxfId="2004" priority="25">
      <formula>ABS(X$25-X$28)&gt;=1000</formula>
    </cfRule>
  </conditionalFormatting>
  <conditionalFormatting sqref="Y22:Y29">
    <cfRule type="expression" dxfId="2003" priority="24">
      <formula>ABS(Y$25-Y$28)&gt;=1000</formula>
    </cfRule>
  </conditionalFormatting>
  <conditionalFormatting sqref="I23">
    <cfRule type="expression" dxfId="2002" priority="23">
      <formula>ABS(I$25-I$28)&gt;=1000</formula>
    </cfRule>
  </conditionalFormatting>
  <conditionalFormatting sqref="Q14">
    <cfRule type="expression" dxfId="2001" priority="22">
      <formula>ABS(Q$16-Q$19)&gt;=1000</formula>
    </cfRule>
  </conditionalFormatting>
  <conditionalFormatting sqref="W14">
    <cfRule type="expression" dxfId="2000" priority="21">
      <formula>ABS(W$16-W$19)&gt;=1000</formula>
    </cfRule>
  </conditionalFormatting>
  <conditionalFormatting sqref="X14">
    <cfRule type="expression" dxfId="1999" priority="20">
      <formula>ABS(X$16-X$19)&gt;=1000</formula>
    </cfRule>
  </conditionalFormatting>
  <conditionalFormatting sqref="T10:Y10">
    <cfRule type="expression" dxfId="1998" priority="19">
      <formula>ABS(T$7-T$10)&gt;=1000</formula>
    </cfRule>
  </conditionalFormatting>
  <conditionalFormatting sqref="W19">
    <cfRule type="expression" dxfId="1997" priority="18">
      <formula>ABS(W$16-W$19)&gt;=1000</formula>
    </cfRule>
  </conditionalFormatting>
  <conditionalFormatting sqref="AC5">
    <cfRule type="expression" dxfId="1996" priority="17">
      <formula>ABS(AC$7-AC$10)&gt;=1000</formula>
    </cfRule>
  </conditionalFormatting>
  <conditionalFormatting sqref="M14">
    <cfRule type="expression" dxfId="1995" priority="16">
      <formula>ABS(M$16-M$19)&gt;=1000</formula>
    </cfRule>
  </conditionalFormatting>
  <conditionalFormatting sqref="M16">
    <cfRule type="expression" dxfId="1994" priority="15">
      <formula>ABS(M$16-M$19)&gt;=1000</formula>
    </cfRule>
  </conditionalFormatting>
  <conditionalFormatting sqref="M19">
    <cfRule type="expression" dxfId="1993" priority="14">
      <formula>ABS(M$16-M$19)&gt;=1000</formula>
    </cfRule>
  </conditionalFormatting>
  <conditionalFormatting sqref="K13:K20">
    <cfRule type="expression" dxfId="1992" priority="13">
      <formula>ABS(K$16-K$19)&gt;=1000</formula>
    </cfRule>
  </conditionalFormatting>
  <conditionalFormatting sqref="E5">
    <cfRule type="expression" dxfId="1991" priority="12">
      <formula>ABS(E$7-E$10)&gt;=1000</formula>
    </cfRule>
  </conditionalFormatting>
  <conditionalFormatting sqref="AB14:AC14">
    <cfRule type="expression" dxfId="1990" priority="11">
      <formula>ABS(AB$16-AB$19)&gt;=1000</formula>
    </cfRule>
  </conditionalFormatting>
  <conditionalFormatting sqref="M5">
    <cfRule type="expression" dxfId="1989" priority="10">
      <formula>ABS(M$7-M$10)&gt;=1000</formula>
    </cfRule>
  </conditionalFormatting>
  <conditionalFormatting sqref="N5">
    <cfRule type="expression" dxfId="1988" priority="9">
      <formula>ABS(N$7-N$10)&gt;=1000</formula>
    </cfRule>
  </conditionalFormatting>
  <conditionalFormatting sqref="O5">
    <cfRule type="expression" dxfId="1987" priority="8">
      <formula>ABS(O$7-O$10)&gt;=1000</formula>
    </cfRule>
  </conditionalFormatting>
  <conditionalFormatting sqref="P5">
    <cfRule type="expression" dxfId="1986" priority="7">
      <formula>ABS(P$7-P$10)&gt;=1000</formula>
    </cfRule>
  </conditionalFormatting>
  <conditionalFormatting sqref="L23">
    <cfRule type="expression" dxfId="1985" priority="6">
      <formula>ABS(L$25-L$28)&gt;=1000</formula>
    </cfRule>
  </conditionalFormatting>
  <conditionalFormatting sqref="Y14">
    <cfRule type="expression" dxfId="1984" priority="5">
      <formula>ABS(Y$16-Y$19)&gt;=1000</formula>
    </cfRule>
  </conditionalFormatting>
  <conditionalFormatting sqref="F14">
    <cfRule type="expression" dxfId="1983" priority="4">
      <formula>ABS(F$16-F$19)&gt;=1000</formula>
    </cfRule>
  </conditionalFormatting>
  <conditionalFormatting sqref="H14">
    <cfRule type="expression" dxfId="1982" priority="3">
      <formula>ABS(H$16-H$19)&gt;=1000</formula>
    </cfRule>
  </conditionalFormatting>
  <conditionalFormatting sqref="AD5">
    <cfRule type="expression" dxfId="1981" priority="2">
      <formula>ABS(AD$7-AD$10)&gt;=1000</formula>
    </cfRule>
  </conditionalFormatting>
  <conditionalFormatting sqref="AE5">
    <cfRule type="expression" dxfId="19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7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2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46092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4778</v>
      </c>
      <c r="E6" s="71">
        <v>2146</v>
      </c>
      <c r="F6" s="71">
        <v>4696</v>
      </c>
      <c r="G6" s="71">
        <v>1382</v>
      </c>
      <c r="H6" s="71">
        <v>4150</v>
      </c>
      <c r="I6" s="71">
        <v>53.13</v>
      </c>
      <c r="J6" s="71">
        <v>6.59</v>
      </c>
      <c r="K6" s="71">
        <v>61.88</v>
      </c>
      <c r="L6" s="71">
        <v>32.130000000000003</v>
      </c>
      <c r="M6" s="71">
        <v>2037</v>
      </c>
      <c r="N6" s="71">
        <v>2152</v>
      </c>
      <c r="O6" s="71">
        <v>3799</v>
      </c>
      <c r="P6" s="71">
        <v>3928</v>
      </c>
      <c r="Q6" s="71">
        <v>1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629</v>
      </c>
      <c r="Y6" s="71">
        <v>2821</v>
      </c>
      <c r="Z6" s="71">
        <v>1686</v>
      </c>
      <c r="AA6" s="71">
        <v>4223</v>
      </c>
      <c r="AB6" s="71">
        <v>4412</v>
      </c>
      <c r="AC6" s="71">
        <v>6339</v>
      </c>
      <c r="AD6" s="71">
        <v>4780</v>
      </c>
      <c r="AE6" s="71">
        <v>4215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151191.72944640002</v>
      </c>
      <c r="E7" s="73" ph="1">
        <f>E6*51.53*LOOKUP(E8,密度!$A$2:$A$50,密度!$B$2:$B$50)</f>
        <v>87327.695185999997</v>
      </c>
      <c r="F7" s="73" ph="1">
        <f>F6*33.183*LOOKUP(F8,密度!$A$2:$A$50,密度!$C$2:$C$50)</f>
        <v>173872.17721439997</v>
      </c>
      <c r="G7" s="73" ph="1">
        <f xml:space="preserve"> (G6+2)*51.53*LOOKUP(G8,密度!$A$2:$A$50,密度!$B$2:$B$50)</f>
        <v>56198.205760000004</v>
      </c>
      <c r="H7" s="73" ph="1">
        <f>(H6)*51.53*LOOKUP(H8,密度!$A$2:$A$50,密度!$B$2:$B$50)</f>
        <v>169069.41469999999</v>
      </c>
      <c r="I7" s="73" ph="1">
        <f>I6*290.8*1.0267</f>
        <v>15862.724446800001</v>
      </c>
      <c r="J7" s="73" ph="1">
        <f>J6*290.8*0.7892</f>
        <v>1512.4007824</v>
      </c>
      <c r="K7" s="73" ph="1">
        <f>K6*290.8*1.1126</f>
        <v>20020.907670400004</v>
      </c>
      <c r="L7" s="73" ph="1">
        <f>L6*290.8*0.777</f>
        <v>7259.8249080000005</v>
      </c>
      <c r="M7" s="73" ph="1">
        <f>M6*33.183*LOOKUP(M8,密度!$A$2:$A$50,密度!$D$2:$D$50)</f>
        <v>70000.109247600005</v>
      </c>
      <c r="N7" s="73" ph="1">
        <f>N6*33.183*LOOKUP(N8,密度!$A$2:$A$50,密度!$E$2:$E$50)</f>
        <v>56592.279180000005</v>
      </c>
      <c r="O7" s="73" ph="1">
        <f>O6*20.428*LOOKUP(O8,密度!$A$2:$A$50,密度!$C$2:$C$50)</f>
        <v>86344.40444720001</v>
      </c>
      <c r="P7" s="73" ph="1">
        <f>P6*51.53*LOOKUP(P8,密度!$A$2:$A$50,密度!$B$2:$B$50)</f>
        <v>159498.95392</v>
      </c>
      <c r="Q7" s="73" ph="1">
        <f>Q6*1.5*1.5*3.1416*LOOKUP(W8,密度!$A$2:$A$50,密度!$L$2:$L$50)</f>
        <v>6.6939641999999999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4254.9649758000005</v>
      </c>
      <c r="Y7" s="73" ph="1">
        <f>Y6*1.5*1.5*3.1416*LOOKUP(Y8,密度!$A$2:$A$50,密度!$L$2:$L$50)</f>
        <v>18883.673008199999</v>
      </c>
      <c r="Z7" s="73" ph="1">
        <f>Z6*33.183*LOOKUP(Z8,密度!$A$2:$A$50,密度!$L$2:$L$50)</f>
        <v>53037.318024</v>
      </c>
      <c r="AA7" s="73" ph="1">
        <f>AA6*33.183*LOOKUP(AA8,密度!$A$2:$A$50,密度!$D$2:$D$50)</f>
        <v>145372.73865660004</v>
      </c>
      <c r="AB7" s="73" ph="1">
        <f>AB6*20.428*LOOKUP(AB8,密度!$A$2:$A$50,密度!$D$2:$D$50)</f>
        <v>93895.700444800023</v>
      </c>
      <c r="AC7" s="73" ph="1">
        <f>AC6*51.53*LOOKUP(AC8,密度!$A$2:$A$50,密度!$Q$2:$Q$50)</f>
        <v>311799.22146179999</v>
      </c>
      <c r="AD7" s="73" ph="1">
        <f>AD6*20.428*LOOKUP(AD8,密度!$A$2:$A$50,密度!$V$2:$V$50)</f>
        <v>94130.589760000003</v>
      </c>
      <c r="AE7" s="73" ph="1">
        <f>AE6*20.428</f>
        <v>86104.02</v>
      </c>
    </row>
    <row r="8" spans="1:99" ph="1">
      <c r="B8" s="238" ph="1"/>
      <c r="C8" s="68" t="s" ph="1">
        <v>179</v>
      </c>
      <c r="D8" s="74">
        <v>16</v>
      </c>
      <c r="E8" s="74">
        <v>13</v>
      </c>
      <c r="F8" s="74">
        <v>15</v>
      </c>
      <c r="G8" s="74">
        <v>15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20</v>
      </c>
      <c r="P8" s="74">
        <v>15</v>
      </c>
      <c r="Q8" s="74">
        <v>16</v>
      </c>
      <c r="R8" s="74">
        <v>20</v>
      </c>
      <c r="S8" s="74">
        <v>12</v>
      </c>
      <c r="T8" s="74">
        <v>9</v>
      </c>
      <c r="U8" s="74">
        <v>16</v>
      </c>
      <c r="V8" s="74">
        <v>21</v>
      </c>
      <c r="W8" s="74">
        <v>15</v>
      </c>
      <c r="X8" s="74">
        <v>5</v>
      </c>
      <c r="Y8" s="74">
        <v>15</v>
      </c>
      <c r="Z8" s="74">
        <v>14</v>
      </c>
      <c r="AA8" s="74">
        <v>13</v>
      </c>
      <c r="AB8" s="74">
        <v>8</v>
      </c>
      <c r="AC8" s="74">
        <v>13</v>
      </c>
      <c r="AD8" s="74">
        <v>13</v>
      </c>
      <c r="AE8" s="74">
        <v>18</v>
      </c>
    </row>
    <row r="9" spans="1:99" ht="26.4" ph="1">
      <c r="B9" s="238" ph="1">
        <v>0.66666666666666663</v>
      </c>
      <c r="C9" s="156" t="s" ph="1">
        <v>180</v>
      </c>
      <c r="D9" s="71">
        <v>4144</v>
      </c>
      <c r="E9" s="71">
        <v>1859</v>
      </c>
      <c r="F9" s="71">
        <v>4969</v>
      </c>
      <c r="G9" s="71">
        <v>2684</v>
      </c>
      <c r="H9" s="71">
        <v>3884</v>
      </c>
      <c r="I9" s="71">
        <v>53.17</v>
      </c>
      <c r="J9" s="71">
        <v>6.68</v>
      </c>
      <c r="K9" s="71">
        <v>62.02</v>
      </c>
      <c r="L9" s="71">
        <v>16.57</v>
      </c>
      <c r="M9" s="71">
        <v>2036</v>
      </c>
      <c r="N9" s="71">
        <v>1932</v>
      </c>
      <c r="O9" s="71">
        <v>3799</v>
      </c>
      <c r="P9" s="71">
        <v>4179</v>
      </c>
      <c r="Q9" s="71">
        <v>2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3844</v>
      </c>
      <c r="Z9" s="71">
        <v>2661</v>
      </c>
      <c r="AA9" s="71">
        <v>4224</v>
      </c>
      <c r="AB9" s="71">
        <v>4224</v>
      </c>
      <c r="AC9" s="71">
        <v>6337</v>
      </c>
      <c r="AD9" s="71">
        <v>4780</v>
      </c>
      <c r="AE9" s="71">
        <v>4134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130911.23020752001</v>
      </c>
      <c r="E10" s="73" ph="1">
        <f>E9*51.53*LOOKUP(E11,密度!$A$2:$A$50,密度!$B$2:$B$50)</f>
        <v>75265.557939000006</v>
      </c>
      <c r="F10" s="73" ph="1">
        <f>F9*33.183*LOOKUP(F11,密度!$A$2:$A$50,密度!$C$2:$C$50)</f>
        <v>183765.8114415</v>
      </c>
      <c r="G10" s="73" ph="1">
        <f xml:space="preserve"> (G9+2)*51.53*LOOKUP(G11,密度!$A$2:$A$50,密度!$B$2:$B$50)</f>
        <v>108748.40700600001</v>
      </c>
      <c r="H10" s="73" ph="1">
        <f>(H9)*51.53*LOOKUP(H11,密度!$A$2:$A$50,密度!$B$2:$B$50)</f>
        <v>157392.077728</v>
      </c>
      <c r="I10" s="73" ph="1">
        <f>I9*290.8*1.0267</f>
        <v>15874.667021200001</v>
      </c>
      <c r="J10" s="73" ph="1">
        <f>J9*290.8*0.7892</f>
        <v>1533.0557248</v>
      </c>
      <c r="K10" s="73" ph="1">
        <f>K9*290.8*1.1126</f>
        <v>20066.203841600003</v>
      </c>
      <c r="L10" s="73" ph="1">
        <f>L9*290.8*0.777</f>
        <v>3744.0180120000005</v>
      </c>
      <c r="M10" s="73" ph="1">
        <f>M9*33.183*LOOKUP(M11,密度!$A$2:$A$50,密度!$D$2:$D$50)</f>
        <v>69736.038933600008</v>
      </c>
      <c r="N10" s="73" ph="1">
        <f>N9*33.183*LOOKUP(N11,密度!$A$2:$A$50,密度!$E$2:$E$50)</f>
        <v>50665.782106799998</v>
      </c>
      <c r="O10" s="73" ph="1">
        <f>O9*20.428*LOOKUP(O11,密度!$A$2:$A$50,密度!$C$2:$C$50)</f>
        <v>86057.262350800011</v>
      </c>
      <c r="P10" s="73" ph="1">
        <f>P9*51.53*LOOKUP(P11,密度!$A$2:$A$50,密度!$B$2:$B$50)</f>
        <v>168463.50950099999</v>
      </c>
      <c r="Q10" s="73" ph="1">
        <f>Q9*1.5*1.5*3.1416*LOOKUP(W11,密度!$A$2:$A$50,密度!$L$2:$L$50)</f>
        <v>13.190007600000001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25677.254988000001</v>
      </c>
      <c r="Z10" s="73" ph="1">
        <f>Z9*33.183*LOOKUP(Z11,密度!$A$2:$A$50,密度!$L$2:$L$50)</f>
        <v>83443.465035000001</v>
      </c>
      <c r="AA10" s="73" ph="1">
        <f>AA9*33.183*LOOKUP(AA11,密度!$A$2:$A$50,密度!$D$2:$D$50)</f>
        <v>144804.4532352</v>
      </c>
      <c r="AB10" s="73" ph="1">
        <f>AB9*20.428*LOOKUP(AB11,密度!$A$2:$A$50,密度!$D$2:$D$50)</f>
        <v>89661.7277952</v>
      </c>
      <c r="AC10" s="73" ph="1">
        <f>AC9*51.53*LOOKUP(AC11,密度!$A$2:$A$50,密度!$Q$2:$Q$50)</f>
        <v>310874.68617609999</v>
      </c>
      <c r="AD10" s="73" ph="1">
        <f>AD9*20.428*LOOKUP(AD11,密度!$A$2:$A$50,密度!$V$2:$V$50)</f>
        <v>94130.589760000003</v>
      </c>
      <c r="AE10" s="73" ph="1">
        <f>AE9*20.428</f>
        <v>84449.351999999999</v>
      </c>
    </row>
    <row r="11" spans="1:99" ph="1">
      <c r="A11" s="64" t="s" ph="1">
        <v>162</v>
      </c>
      <c r="B11" s="238" ph="1"/>
      <c r="C11" s="156" t="s" ph="1">
        <v>179</v>
      </c>
      <c r="D11" s="74">
        <v>18</v>
      </c>
      <c r="E11" s="74">
        <v>18</v>
      </c>
      <c r="F11" s="74">
        <v>17</v>
      </c>
      <c r="G11" s="74">
        <v>18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25</v>
      </c>
      <c r="P11" s="74">
        <v>22</v>
      </c>
      <c r="Q11" s="74">
        <v>30</v>
      </c>
      <c r="R11" s="74">
        <v>25</v>
      </c>
      <c r="S11" s="74">
        <v>17</v>
      </c>
      <c r="T11" s="74">
        <v>23</v>
      </c>
      <c r="U11" s="74">
        <v>20</v>
      </c>
      <c r="V11" s="74">
        <v>26</v>
      </c>
      <c r="W11" s="74">
        <v>29</v>
      </c>
      <c r="X11" s="74">
        <v>14</v>
      </c>
      <c r="Y11" s="74">
        <v>17</v>
      </c>
      <c r="Z11" s="74">
        <v>17</v>
      </c>
      <c r="AA11" s="74">
        <v>18</v>
      </c>
      <c r="AB11" s="74">
        <v>11</v>
      </c>
      <c r="AC11" s="74">
        <v>18</v>
      </c>
      <c r="AD11" s="74">
        <v>18</v>
      </c>
      <c r="AE11" s="74">
        <v>21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2832</v>
      </c>
      <c r="E15" s="78">
        <v>62</v>
      </c>
      <c r="F15" s="78">
        <v>2344</v>
      </c>
      <c r="G15" s="78">
        <v>3335</v>
      </c>
      <c r="H15" s="78">
        <v>0</v>
      </c>
      <c r="I15" s="78">
        <v>3897</v>
      </c>
      <c r="J15" s="78">
        <v>0</v>
      </c>
      <c r="K15" s="78">
        <v>3573</v>
      </c>
      <c r="L15" s="78">
        <v>3692</v>
      </c>
      <c r="M15" s="78">
        <v>4013</v>
      </c>
      <c r="N15" s="78">
        <v>3539</v>
      </c>
      <c r="O15" s="78">
        <v>4421</v>
      </c>
      <c r="P15" s="78">
        <v>0</v>
      </c>
      <c r="Q15" s="78">
        <v>3060</v>
      </c>
      <c r="R15" s="78">
        <v>7337</v>
      </c>
      <c r="S15" s="78">
        <v>2030</v>
      </c>
      <c r="T15" s="78">
        <v>6199</v>
      </c>
      <c r="U15" s="78">
        <v>2089</v>
      </c>
      <c r="V15" s="78">
        <v>543</v>
      </c>
      <c r="W15" s="71">
        <v>-171</v>
      </c>
      <c r="X15" s="78">
        <v>90</v>
      </c>
      <c r="Y15" s="106">
        <v>-9900</v>
      </c>
      <c r="Z15" s="78">
        <v>0</v>
      </c>
      <c r="AA15" s="78">
        <v>11</v>
      </c>
      <c r="AB15" s="78" ph="1">
        <v>7116</v>
      </c>
      <c r="AC15" s="78" ph="1">
        <v>2622</v>
      </c>
      <c r="AD15" s="78">
        <v>32.25</v>
      </c>
      <c r="AE15" s="78">
        <v>70.94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18897.2517888</v>
      </c>
      <c r="E16" s="73" ph="1">
        <f>E15*7.0686*LOOKUP(E17,密度!$A$2:$A$50,密度!$L$2:$L$50)</f>
        <v>413.71102079999997</v>
      </c>
      <c r="F16" s="73" ph="1">
        <f>F15*9.0746*LOOKUP(F17,密度!$A$2:$A$50,密度!$L$2:$L$50)</f>
        <v>20058.423243199999</v>
      </c>
      <c r="G16" s="73" ph="1">
        <f>G15*9.0746*LOOKUP(G17,密度!$A$2:$A$50,密度!$B$2:$B$50)</f>
        <v>23823.656275200003</v>
      </c>
      <c r="H16" s="73" ph="1">
        <f>H15*9.0746*LOOKUP(H17,密度!$A$2:$A$50,密度!$L$2:$L$50)</f>
        <v>0</v>
      </c>
      <c r="I16" s="73" ph="1">
        <f>I15*9.0746*LOOKUP(I17,密度!$A$2:$A$50,密度!$U$2:$U$50)</f>
        <v>36353.900253600004</v>
      </c>
      <c r="J16" s="73" ph="1">
        <f>J15*9.0746*LOOKUP(J17,密度!$A$2:$A$50,密度!$L$2:$L$50)</f>
        <v>0</v>
      </c>
      <c r="K16" s="73" ph="1">
        <f>K15*9.0746*LOOKUP(K17,密度!$A$2:$A$50,密度!$C$2:$C$50)</f>
        <v>36178.192403639994</v>
      </c>
      <c r="L16" s="73" ph="1">
        <f>L15*9.0746*LOOKUP(L17,密度!$A$2:$A$50,密度!$E$2:$E$50)</f>
        <v>26625.170417039997</v>
      </c>
      <c r="M16" s="73" ph="1">
        <f>M15*9.0746*LOOKUP(M17,密度!$A$2:$A$50,密度!$M$2:$M$50)</f>
        <v>32057.330334939998</v>
      </c>
      <c r="N16" s="73" ph="1">
        <f>N15*9.0746*LOOKUP(N17,密度!$A$2:$A$50,密度!$M$2:$M$50)</f>
        <v>28270.842774819997</v>
      </c>
      <c r="O16" s="73" ph="1">
        <f>O15*9.0746*LOOKUP(O17,密度!$A$2:$A$50,密度!$G$2:$G$50)</f>
        <v>38875.1235954</v>
      </c>
      <c r="P16" s="73" ph="1">
        <f ca="1">P15*9.0746*LOOKUP(P17,密度!$A$2:$A$51,密度!$Q$2:$Q$50)</f>
        <v>0</v>
      </c>
      <c r="Q16" s="73" ph="1">
        <f>Q15*9.0746*LOOKUP(Q17,密度!$A$2:$A$50,密度!$Q$2:$Q$50)</f>
        <v>26435.676434760004</v>
      </c>
      <c r="R16" s="73" ph="1">
        <f>MAX(R15*9.0746*LOOKUP(R17,密度!$A$2:$A$50,密度!$B$2:$B$50),0)</f>
        <v>52358.779533280001</v>
      </c>
      <c r="S16" s="73" ph="1">
        <f>S15*9.0746*LOOKUP(S17,密度!$A$2:$A$50,密度!$Q$2:$Q$50)</f>
        <v>17583.999428520005</v>
      </c>
      <c r="T16" s="73" ph="1">
        <f>T15*9.0746*LOOKUP(T17,密度!$A$2:$A$50,密度!$O$2:$O$50)</f>
        <v>52540.718003600006</v>
      </c>
      <c r="U16" s="73" ph="1">
        <f>U15*9.0746*LOOKUP(U17,密度!$A$2:$A$50,密度!$H$2:$H$50)</f>
        <v>17586.259911379999</v>
      </c>
      <c r="V16" s="73" ph="1">
        <f>MAX(5600*LOOKUP(V17,密度!$A$2:$A$50,密度!$Q$2:$Q$50)+V15*9.0476*LOOKUP(V17,密度!$A$2:$A$50,密度!$Q$2:$Q$50),0)</f>
        <v>10025.050708479999</v>
      </c>
      <c r="W16" s="73" ph="1">
        <f>MAX(5600*LOOKUP(W17,密度!$A$2:$A$50,密度!$Q$2:$Q$50)+W15*9.0476*LOOKUP(W17,密度!$A$2:$A$50,密度!$Q$2:$Q$50),0)</f>
        <v>3868.6173662159999</v>
      </c>
      <c r="X16" s="73" ph="1">
        <f>MAX(5600*LOOKUP(X17,密度!$A$2:$A$50,密度!$I$2:$I$50)+X15*9.0476*LOOKUP(X17,密度!$A$2:$A$50,密度!$I$2:$I$50),0)</f>
        <v>6635.5767980000001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78.918166360000001</v>
      </c>
      <c r="AB16" s="73" ph="1">
        <f>AB15*9.0746*LOOKUP(AB17,密度!$A$2:$A$50,密度!$L$2:$L$50)</f>
        <v>61087.811505600002</v>
      </c>
      <c r="AC16" s="73" ph="1">
        <f>AC15*9.0746*LOOKUP(AC17,密度!$A$2:$A$50,密度!$L$2:$L$50)</f>
        <v>22556.3339376</v>
      </c>
      <c r="AD16" s="73" ph="1">
        <f>AD15*268.68*LOOKUP(AD17,密度!$A$2:$A$50,密度!B2:B50)+IF(AD15&lt;=0,0,1566*LOOKUP(AD17,密度!$A$2:$A$50,密度!B2:B50))</f>
        <v>7976.0330279999998</v>
      </c>
      <c r="AE16" s="73" ph="1">
        <f>AE15*268.68*LOOKUP(AE17,密度!$A$2:$A$50,密度!B2:B50)+IF(AE15&lt;=0,0,1566*LOOKUP(AE17,密度!$A$2:$A$50,密度!B2:B50))</f>
        <v>16080.153712319998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18</v>
      </c>
      <c r="E17" s="74">
        <v>18</v>
      </c>
      <c r="F17" s="74">
        <v>19</v>
      </c>
      <c r="G17" s="74">
        <v>16</v>
      </c>
      <c r="H17" s="74">
        <v>101</v>
      </c>
      <c r="I17" s="74">
        <v>3</v>
      </c>
      <c r="J17" s="74">
        <v>15</v>
      </c>
      <c r="K17" s="74">
        <v>15</v>
      </c>
      <c r="L17" s="74">
        <v>15</v>
      </c>
      <c r="M17" s="74">
        <v>16</v>
      </c>
      <c r="N17" s="74">
        <v>15</v>
      </c>
      <c r="O17" s="74">
        <v>17</v>
      </c>
      <c r="P17" s="74">
        <v>14</v>
      </c>
      <c r="Q17" s="74">
        <v>18</v>
      </c>
      <c r="R17" s="74">
        <v>17</v>
      </c>
      <c r="S17" s="74">
        <v>15</v>
      </c>
      <c r="T17" s="74">
        <v>15</v>
      </c>
      <c r="U17" s="74">
        <v>12</v>
      </c>
      <c r="V17" s="74">
        <v>16</v>
      </c>
      <c r="W17" s="74">
        <v>15</v>
      </c>
      <c r="X17" s="74">
        <v>32</v>
      </c>
      <c r="Y17" s="108">
        <v>32</v>
      </c>
      <c r="Z17" s="74">
        <v>15</v>
      </c>
      <c r="AA17" s="74">
        <v>12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2873</v>
      </c>
      <c r="E18" s="71">
        <v>1192</v>
      </c>
      <c r="F18" s="71">
        <v>2441</v>
      </c>
      <c r="G18" s="71">
        <v>3398</v>
      </c>
      <c r="H18" s="71">
        <v>0</v>
      </c>
      <c r="I18" s="71">
        <v>2765</v>
      </c>
      <c r="J18" s="71">
        <v>0</v>
      </c>
      <c r="K18" s="71">
        <v>3575</v>
      </c>
      <c r="L18" s="71">
        <v>3701</v>
      </c>
      <c r="M18" s="71">
        <v>2646</v>
      </c>
      <c r="N18" s="71">
        <v>3085</v>
      </c>
      <c r="O18" s="71">
        <v>4426</v>
      </c>
      <c r="P18" s="71">
        <v>1566</v>
      </c>
      <c r="Q18" s="71">
        <v>1281</v>
      </c>
      <c r="R18" s="71">
        <v>7351</v>
      </c>
      <c r="S18" s="71">
        <v>2195</v>
      </c>
      <c r="T18" s="71">
        <v>6209</v>
      </c>
      <c r="U18" s="71">
        <v>2088</v>
      </c>
      <c r="V18" s="71">
        <v>1163</v>
      </c>
      <c r="W18" s="71">
        <v>-171</v>
      </c>
      <c r="X18" s="71">
        <v>90</v>
      </c>
      <c r="Y18" s="109">
        <v>-9900</v>
      </c>
      <c r="Z18" s="71">
        <v>0</v>
      </c>
      <c r="AA18" s="71">
        <v>10</v>
      </c>
      <c r="AB18" s="71">
        <v>7123</v>
      </c>
      <c r="AC18" s="71">
        <v>4280</v>
      </c>
      <c r="AD18" s="71">
        <v>69.44</v>
      </c>
      <c r="AE18" s="71">
        <v>84.6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19008.370180800001</v>
      </c>
      <c r="E19" s="73" ph="1">
        <f>E18*7.0686*LOOKUP(E20,密度!$A$2:$A$50,密度!$L$2:$L$50)</f>
        <v>7886.5218432000001</v>
      </c>
      <c r="F19" s="73" ph="1">
        <f>F18*9.0746*LOOKUP(F20,密度!$A$2:$A$50,密度!$L$2:$L$50)</f>
        <v>20822.032684000002</v>
      </c>
      <c r="G19" s="73" ph="1">
        <f>G18*9.0746*LOOKUP(G20,密度!$A$2:$A$50,密度!$B$2:$B$50)</f>
        <v>24249.02996512</v>
      </c>
      <c r="H19" s="73" ph="1">
        <f>H18*9.0746*LOOKUP(H20,密度!$A$2:$A$50,密度!$L$2:$L$50)</f>
        <v>0</v>
      </c>
      <c r="I19" s="73" ph="1">
        <f>I18*9.0746*LOOKUP(I20,密度!$A$2:$A$50,密度!$U$2:$U$50)</f>
        <v>25793.824532000002</v>
      </c>
      <c r="J19" s="73" ph="1">
        <f>J18*9.0746*LOOKUP(J20,密度!$A$2:$A$50,密度!$L$2:$L$50)</f>
        <v>0</v>
      </c>
      <c r="K19" s="73" ph="1">
        <f>K18*9.0746*LOOKUP(K20,密度!$A$2:$A$50,密度!$C$2:$C$50)</f>
        <v>36114.094874000002</v>
      </c>
      <c r="L19" s="73" ph="1">
        <f>L18*9.0746*LOOKUP(L20,密度!$A$2:$A$50,密度!$E$2:$E$50)</f>
        <v>26579.243866440003</v>
      </c>
      <c r="M19" s="73" ph="1">
        <f>M18*9.0746*LOOKUP(M20,密度!$A$2:$A$50,密度!$M$2:$M$50)</f>
        <v>21137.228025479999</v>
      </c>
      <c r="N19" s="73" ph="1">
        <f>N18*9.0746*LOOKUP(N20,密度!$A$2:$A$50,密度!$M$2:$M$50)</f>
        <v>24644.122622299998</v>
      </c>
      <c r="O19" s="73" ph="1">
        <f>O18*9.0746*LOOKUP(O20,密度!$A$2:$A$50,密度!$G$2:$G$50)</f>
        <v>38838.761673200002</v>
      </c>
      <c r="P19" s="73" ph="1">
        <f ca="1">P18*9.0746*LOOKUP(P20,密度!$A$2:$A$51,密度!$Q$2:$Q$50)</f>
        <v>13505.682532968</v>
      </c>
      <c r="Q19" s="73" ph="1">
        <f>Q18*9.0746*LOOKUP(Q20,密度!$A$2:$A$50,密度!$Q$2:$Q$50)</f>
        <v>10997.184956478002</v>
      </c>
      <c r="R19" s="73" ph="1">
        <f>MAX(R18*9.0746*LOOKUP(R20,密度!$A$2:$A$50,密度!$B$2:$B$50),0)</f>
        <v>52245.223618720003</v>
      </c>
      <c r="S19" s="73" ph="1">
        <f>S18*9.0746*LOOKUP(S20,密度!$A$2:$A$50,密度!$Q$2:$Q$50)</f>
        <v>18962.846331469998</v>
      </c>
      <c r="T19" s="73" ph="1">
        <f>T18*9.0746*LOOKUP(T20,密度!$A$2:$A$50,密度!$O$2:$O$50)</f>
        <v>52400.098002000006</v>
      </c>
      <c r="U19" s="73" ph="1">
        <f>U18*9.0746*LOOKUP(U20,密度!$A$2:$A$50,密度!$H$2:$H$50)</f>
        <v>17483.10258096</v>
      </c>
      <c r="V19" s="73" ph="1">
        <f>MAX(5600*LOOKUP(V20,密度!$A$2:$A$50,密度!$Q$2:$Q$50)+V18*9.0476*LOOKUP(V20,密度!$A$2:$A$50,密度!$Q$2:$Q$50),0)</f>
        <v>15322.367356343999</v>
      </c>
      <c r="W19" s="73" ph="1">
        <f>MAX(5600*LOOKUP(W20,密度!$A$2:$A$50,密度!$Q$2:$Q$50)+W18*9.0476*LOOKUP(W20,密度!$A$2:$A$50,密度!$Q$2:$Q$50),0)</f>
        <v>3851.757466952</v>
      </c>
      <c r="X19" s="73" ph="1">
        <f>MAX(5600*LOOKUP(X20,密度!$A$2:$A$50,密度!$I$2:$I$50)+X18*9.0476*LOOKUP(X20,密度!$A$2:$A$50,密度!$I$2:$I$50),0)</f>
        <v>6642.6325104000007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61018.626755199999</v>
      </c>
      <c r="AC19" s="73" ph="1">
        <f>AC18*9.0746*LOOKUP(AC20,密度!$A$2:$A$50,密度!$L$2:$L$50)</f>
        <v>36547.770008</v>
      </c>
      <c r="AD19" s="73" ph="1">
        <f>AD18*268.68*LOOKUP(AD20,密度!$A$2:$A$50,密度!B5:B53)+IF(AD18&lt;=0,0,1566*LOOKUP(AD20,密度!$A$2:$A$50,密度!B5:B53))</f>
        <v>15713.379158400001</v>
      </c>
      <c r="AE19" s="73" ph="1">
        <f>AE18*268.68*LOOKUP(AE20,密度!$A$2:$A$50,密度!B5:B53)+IF(AE18&lt;=0,0,1566*LOOKUP(AE20,密度!$A$2:$A$50,密度!B5:B53))</f>
        <v>18878.246855999998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26</v>
      </c>
      <c r="E20" s="81">
        <v>26</v>
      </c>
      <c r="F20" s="81">
        <v>22</v>
      </c>
      <c r="G20" s="81">
        <v>17</v>
      </c>
      <c r="H20" s="81">
        <v>16</v>
      </c>
      <c r="I20" s="81">
        <v>19</v>
      </c>
      <c r="J20" s="81">
        <v>20</v>
      </c>
      <c r="K20" s="81">
        <v>19</v>
      </c>
      <c r="L20" s="81">
        <v>18</v>
      </c>
      <c r="M20" s="81">
        <v>20</v>
      </c>
      <c r="N20" s="81">
        <v>18</v>
      </c>
      <c r="O20" s="81">
        <v>19</v>
      </c>
      <c r="P20" s="81">
        <v>20</v>
      </c>
      <c r="Q20" s="81">
        <v>26</v>
      </c>
      <c r="R20" s="81">
        <v>21</v>
      </c>
      <c r="S20" s="81">
        <v>18</v>
      </c>
      <c r="T20" s="81">
        <v>21</v>
      </c>
      <c r="U20" s="81">
        <v>17</v>
      </c>
      <c r="V20" s="81">
        <v>20</v>
      </c>
      <c r="W20" s="81">
        <v>20</v>
      </c>
      <c r="X20" s="81">
        <v>31</v>
      </c>
      <c r="Y20" s="110">
        <v>31</v>
      </c>
      <c r="Z20" s="81">
        <v>27</v>
      </c>
      <c r="AA20" s="81">
        <v>20</v>
      </c>
      <c r="AB20" s="81">
        <v>18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646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5.26</v>
      </c>
      <c r="E24" s="71">
        <v>5.39</v>
      </c>
      <c r="F24" s="71">
        <v>2491</v>
      </c>
      <c r="G24" s="71">
        <v>3886</v>
      </c>
      <c r="H24" s="71">
        <v>3755</v>
      </c>
      <c r="I24" s="71">
        <v>3943</v>
      </c>
      <c r="J24" s="71">
        <v>328</v>
      </c>
      <c r="K24" s="71">
        <v>4987</v>
      </c>
      <c r="L24" s="71">
        <v>468</v>
      </c>
      <c r="M24" s="71">
        <v>3044</v>
      </c>
      <c r="N24" s="71">
        <v>446</v>
      </c>
      <c r="O24" s="71">
        <v>5718</v>
      </c>
      <c r="P24" s="71">
        <v>357</v>
      </c>
      <c r="Q24" s="90">
        <v>3885</v>
      </c>
      <c r="R24" s="71">
        <v>4660</v>
      </c>
      <c r="S24" s="71">
        <v>2407</v>
      </c>
      <c r="T24" s="71">
        <v>216</v>
      </c>
      <c r="U24" s="71">
        <v>4223</v>
      </c>
      <c r="V24" s="71">
        <v>5950</v>
      </c>
      <c r="W24" s="71">
        <v>4367</v>
      </c>
      <c r="X24" s="71">
        <v>7075</v>
      </c>
      <c r="Y24" s="71">
        <v>10137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2820.5815828320001</v>
      </c>
      <c r="E25" s="91" ph="1">
        <f>E24*268.68*LOOKUP(E26,密度!$A$2:$A$50,密度!$C$2:$C$50)+IF(E24&lt;=0,0,1566*LOOKUP(E26,密度!$A$2:$A$50,密度!$C$2:$C$50))</f>
        <v>3342.4299682800001</v>
      </c>
      <c r="F25" s="91" ph="1">
        <f>F24*11.702*LOOKUP(F26,密度!$A$2:$A$50,密度!$Q$2:$Q$50)</f>
        <v>27750.78876082</v>
      </c>
      <c r="G25" s="91" ph="1">
        <f>G24*18.322*LOOKUP(G26,密度!$A$2:$A$50,密度!$B$2:$B$50)</f>
        <v>56048.082662400004</v>
      </c>
      <c r="H25" s="91" ph="1">
        <f>H24*18.322*LOOKUP(H26,密度!$A$2:$A$50,密度!$B$2:$B$50)</f>
        <v>54103.620104000001</v>
      </c>
      <c r="I25" s="91" ph="1">
        <f>I24*18.322*LOOKUP(I26,密度!$A$2:$A$50,密度!$Q$2:$Q$50)</f>
        <v>68891.540825599994</v>
      </c>
      <c r="J25" s="91" ph="1">
        <f>J24*18.322*LOOKUP(J26,密度!$A$2:$A$50,密度!$Q$2:$Q$50)</f>
        <v>5736.4188566400007</v>
      </c>
      <c r="K25" s="91" ph="1">
        <f>K24*18.322*LOOKUP(K26,密度!$A$2:$A$50,密度!$Q$2:$Q$50)</f>
        <v>87132.1618304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53236.765242720001</v>
      </c>
      <c r="N25" s="91" ph="1">
        <f>N24*18.322*LOOKUP(N26,密度!$A$2:$A$50,密度!$Q$2:$Q$50)</f>
        <v>7785.9119135999999</v>
      </c>
      <c r="O25" s="91" ph="1">
        <f>O24*18.322*LOOKUP(O26,密度!$A$2:$A$50,密度!$C$2:$C$50)</f>
        <v>116624.61618719999</v>
      </c>
      <c r="P25" s="91" ph="1">
        <f>P24*11.702*LOOKUP(P26,密度!$A$2:$A$50,密度!$B$2:$B$50)</f>
        <v>3282.3513197999996</v>
      </c>
      <c r="Q25" s="92" ph="1">
        <f>Q24*18.322*LOOKUP(Q26,密度!$A$2:$A$50,密度!$B$2:$B$50)</f>
        <v>55926.888128999999</v>
      </c>
      <c r="R25" s="91" ph="1">
        <f>R24*35.891*LOOKUP(R26,密度!$A$2:$A$50,密度!$C$2:$C$50)</f>
        <v>186184.99319199999</v>
      </c>
      <c r="S25" s="91" ph="1">
        <f>S24*35.891*LOOKUP(S26,密度!$A$2:$A$50,密度!$B$2:$B$50)</f>
        <v>67936.810536799996</v>
      </c>
      <c r="T25" s="91" ph="1">
        <f>T24*35.891*LOOKUP(T26,密度!$A$2:$A$50,密度!$Q$2:$Q$50)</f>
        <v>7386.540076799999</v>
      </c>
      <c r="U25" s="91" ph="1">
        <f>U24*35.891</f>
        <v>151567.693</v>
      </c>
      <c r="V25" s="91" ph="1">
        <f>V24*47.051*LOOKUP(V26,密度!$A$2:$A$50,密度!$B$2:$B$50)</f>
        <v>220603.31860000003</v>
      </c>
      <c r="W25" s="91" ph="1">
        <f>W24*47.051*LOOKUP(W26,密度!$A$2:$A$50,密度!$B$2:$B$50)</f>
        <v>161439.1280469</v>
      </c>
      <c r="X25" s="91" ph="1">
        <f>X24*47.051*LOOKUP(X26,密度!$A$2:$A$61,密度!$I$2:$I$61)</f>
        <v>339876.427325</v>
      </c>
      <c r="Y25" s="91" ph="1">
        <f>Y24*47.051*LOOKUP(Y26,密度!$A$2:$A$50,密度!$L$2:$L$50)</f>
        <v>449769.49574099999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16</v>
      </c>
      <c r="H26" s="74">
        <v>17</v>
      </c>
      <c r="I26" s="74">
        <v>16</v>
      </c>
      <c r="J26" s="74">
        <v>14</v>
      </c>
      <c r="K26" s="74">
        <v>16</v>
      </c>
      <c r="L26" s="74">
        <v>18</v>
      </c>
      <c r="M26" s="74">
        <v>15</v>
      </c>
      <c r="N26" s="74">
        <v>17</v>
      </c>
      <c r="O26" s="74">
        <v>19</v>
      </c>
      <c r="P26" s="74">
        <v>18</v>
      </c>
      <c r="Q26" s="93">
        <v>18</v>
      </c>
      <c r="R26" s="74">
        <v>19</v>
      </c>
      <c r="S26" s="74">
        <v>17</v>
      </c>
      <c r="T26" s="74">
        <v>17</v>
      </c>
      <c r="U26" s="74">
        <v>18</v>
      </c>
      <c r="V26" s="74">
        <v>15</v>
      </c>
      <c r="W26" s="74">
        <v>18</v>
      </c>
      <c r="X26" s="74">
        <v>44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5.3</v>
      </c>
      <c r="E27" s="71">
        <v>5.37</v>
      </c>
      <c r="F27" s="71">
        <v>2493</v>
      </c>
      <c r="G27" s="71">
        <v>3141</v>
      </c>
      <c r="H27" s="71">
        <v>3327</v>
      </c>
      <c r="I27" s="71">
        <v>2191</v>
      </c>
      <c r="J27" s="71">
        <v>323</v>
      </c>
      <c r="K27" s="71">
        <v>4988</v>
      </c>
      <c r="L27" s="71">
        <v>462</v>
      </c>
      <c r="M27" s="71">
        <v>3042</v>
      </c>
      <c r="N27" s="71">
        <v>441</v>
      </c>
      <c r="O27" s="71">
        <v>5714</v>
      </c>
      <c r="P27" s="71">
        <v>353</v>
      </c>
      <c r="Q27" s="90">
        <v>1071</v>
      </c>
      <c r="R27" s="71">
        <v>4656</v>
      </c>
      <c r="S27" s="71">
        <v>3945</v>
      </c>
      <c r="T27" s="71">
        <v>213</v>
      </c>
      <c r="U27" s="71">
        <v>3840</v>
      </c>
      <c r="V27" s="71">
        <v>5950</v>
      </c>
      <c r="W27" s="71">
        <v>4710</v>
      </c>
      <c r="X27" s="71">
        <v>6955</v>
      </c>
      <c r="Y27" s="71">
        <v>8531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2830.7563869599999</v>
      </c>
      <c r="E28" s="91" ph="1">
        <f>E27*268.68*LOOKUP(E29,密度!$A$2:$A$50,密度!$C$2:$C$50)+IF(E27&lt;=0,0,1566*LOOKUP(E29,密度!$A$2:$A$50,密度!$C$2:$C$50))</f>
        <v>3336.4711832399998</v>
      </c>
      <c r="F28" s="91" ph="1">
        <f>F27*11.702*LOOKUP(F29,密度!$A$2:$A$50,密度!$Q$2:$Q$50)</f>
        <v>27725.51747268</v>
      </c>
      <c r="G28" s="91" ph="1">
        <f>G27*18.322*LOOKUP(G29,密度!$A$2:$A$50,密度!$B$2:$B$50)</f>
        <v>45256.849732799994</v>
      </c>
      <c r="H28" s="91" ph="1">
        <f>H27*18.322*LOOKUP(H29,密度!$A$2:$A$50,密度!$B$2:$B$50)</f>
        <v>47845.3800606</v>
      </c>
      <c r="I28" s="91" ph="1">
        <f>I27*18.322*LOOKUP(I29,密度!$A$2:$A$50,密度!$Q$2:$Q$50)</f>
        <v>38217.015339019999</v>
      </c>
      <c r="J28" s="91" ph="1">
        <f>J27*18.322*LOOKUP(J29,密度!$A$2:$A$50,密度!$Q$2:$Q$50)</f>
        <v>5611.4532891999997</v>
      </c>
      <c r="K28" s="91" ph="1">
        <f>K27*18.322*LOOKUP(K29,密度!$A$2:$A$50,密度!$Q$2:$Q$50)</f>
        <v>86855.35745168</v>
      </c>
      <c r="L28" s="91" ph="1">
        <f>L27*18.322*LOOKUP(L29,密度!$A$2:$A$50,密度!$Q$2:$Q$50)</f>
        <v>8051.9374597199994</v>
      </c>
      <c r="M28" s="91" ph="1">
        <f>M27*18.322*LOOKUP(M29,密度!$A$2:$A$50,密度!$Q$2:$Q$50)</f>
        <v>53149.395686399999</v>
      </c>
      <c r="N28" s="91" ph="1">
        <f>N27*18.322*LOOKUP(N29,密度!$A$2:$A$50,密度!$Q$2:$Q$50)</f>
        <v>7692.24270402</v>
      </c>
      <c r="O28" s="91" ph="1">
        <f>O27*18.322*LOOKUP(O29,密度!$A$2:$A$50,密度!$C$2:$C$50)</f>
        <v>116406.93250520001</v>
      </c>
      <c r="P28" s="91" ph="1">
        <f>P27*11.702*LOOKUP(P29,密度!$A$2:$A$50,密度!$B$2:$B$50)</f>
        <v>3238.9649845999998</v>
      </c>
      <c r="Q28" s="92" ph="1">
        <f>Q27*18.322*LOOKUP(Q29,密度!$A$2:$A$50,密度!$B$2:$B$50)</f>
        <v>15401.984383799998</v>
      </c>
      <c r="R28" s="91" ph="1">
        <f>R27*35.891*LOOKUP(R29,密度!$A$2:$A$50,密度!$C$2:$C$50)</f>
        <v>186025.17774719998</v>
      </c>
      <c r="S28" s="91" ph="1">
        <f>S27*35.891*LOOKUP(S29,密度!$A$2:$A$50,密度!$B$2:$B$50)</f>
        <v>111346.372068</v>
      </c>
      <c r="T28" s="91" ph="1">
        <f>T27*35.891*LOOKUP(T29,密度!$A$2:$A$50,密度!$Q$2:$Q$50)</f>
        <v>7277.9098638299993</v>
      </c>
      <c r="U28" s="91" ph="1">
        <f>U27*35.891</f>
        <v>137821.44</v>
      </c>
      <c r="V28" s="91" ph="1">
        <f>V27*47.051*LOOKUP(V29,密度!$A$2:$A$50,密度!$B$2:$B$50)</f>
        <v>220603.31860000003</v>
      </c>
      <c r="W28" s="91" ph="1">
        <f>W27*47.051*LOOKUP(W29,密度!$A$2:$A$50,密度!$B$2:$B$50)</f>
        <v>174274.26914400002</v>
      </c>
      <c r="X28" s="91" ph="1">
        <f>X27*47.051*LOOKUP(X29,密度!$A$2:$A$61,密度!$I$2:$I$61)</f>
        <v>333391.81145400001</v>
      </c>
      <c r="Y28" s="91" ph="1">
        <f>Y27*47.051*LOOKUP(Y29,密度!$A$2:$A$50,密度!$L$2:$L$50)</f>
        <v>378914.12446399999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17</v>
      </c>
      <c r="H29" s="74">
        <v>19</v>
      </c>
      <c r="I29" s="74">
        <v>18</v>
      </c>
      <c r="J29" s="74">
        <v>23</v>
      </c>
      <c r="K29" s="74">
        <v>20</v>
      </c>
      <c r="L29" s="74">
        <v>19</v>
      </c>
      <c r="M29" s="74">
        <v>16</v>
      </c>
      <c r="N29" s="74">
        <v>18</v>
      </c>
      <c r="O29" s="74">
        <v>21</v>
      </c>
      <c r="P29" s="74">
        <v>20</v>
      </c>
      <c r="Q29" s="93">
        <v>19</v>
      </c>
      <c r="R29" s="74">
        <v>19</v>
      </c>
      <c r="S29" s="74">
        <v>17</v>
      </c>
      <c r="T29" s="74">
        <v>18</v>
      </c>
      <c r="U29" s="74">
        <v>18</v>
      </c>
      <c r="V29" s="74">
        <v>15</v>
      </c>
      <c r="W29" s="74">
        <v>17</v>
      </c>
      <c r="X29" s="74">
        <v>46</v>
      </c>
      <c r="Y29" s="74">
        <v>18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234466.18103039998</v>
      </c>
      <c r="E33" s="187" ph="1">
        <f>M10+I10</f>
        <v>85610.705954800011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3" ph="1">
        <f>N19</f>
        <v>24644.122622299998</v>
      </c>
      <c r="H33" s="187" ph="1">
        <f>M19</f>
        <v>21137.228025479999</v>
      </c>
      <c r="I33" s="191" ph="1">
        <v>0</v>
      </c>
      <c r="J33" s="195" ph="1">
        <f>F10+O28</f>
        <v>300172.74394670001</v>
      </c>
      <c r="K33" s="187" ph="1">
        <f>O10+K10+E28+R28</f>
        <v>295485.11512283998</v>
      </c>
      <c r="L33" s="197" ph="1">
        <f>K19</f>
        <v>36114.094874000002</v>
      </c>
      <c r="M33" s="195" ph="1">
        <f>G10+H10+W28+S28+V28+E10+R19+P28+Q28</f>
        <v>918516.17547211982</v>
      </c>
      <c r="N33" s="187" ph="1">
        <f>L10+P10++G28+H28+AD19+AE19</f>
        <v>299901.38332079997</v>
      </c>
      <c r="O33" s="191" ph="1">
        <f>G19</f>
        <v>24249.02996512</v>
      </c>
      <c r="P33" s="195" ph="1">
        <f>L19</f>
        <v>26579.243866440003</v>
      </c>
      <c r="Q33" s="187" ph="1">
        <f>J10+N10</f>
        <v>52198.837831599994</v>
      </c>
      <c r="R33" s="191" ph="1">
        <f>BE23</f>
        <v>890</v>
      </c>
      <c r="S33" s="195" ph="1">
        <f>X28</f>
        <v>333391.81145400001</v>
      </c>
      <c r="T33" s="187" ph="1">
        <f>X19</f>
        <v>6642.6325104000007</v>
      </c>
      <c r="U33" s="176" ph="1">
        <f>BE21</f>
        <v>730</v>
      </c>
      <c r="V33" s="189" ph="1">
        <f ca="1">P19+Q19+S19+M28+N28+J28+D10+AC10+D19+E19+H19+J19+O19+V19+W19+K28+L28</f>
        <v>731519.79531605192</v>
      </c>
      <c r="W33" s="189" ph="1">
        <f>D28+F28+T28+I28</f>
        <v>76051.199062489992</v>
      </c>
      <c r="X33" s="191" ph="1">
        <f>BE29+BE31</f>
        <v>10200</v>
      </c>
      <c r="Y33" s="193" ph="1">
        <f>+Q10+R10+S10+T10+U10+V10+W10+X10+Y10</f>
        <v>25690.444995599999</v>
      </c>
      <c r="Z33" s="174" ph="1">
        <f>T19+U19+Y28+Z10</f>
        <v>532240.79008196003</v>
      </c>
      <c r="AA33" s="176" ph="1">
        <f>BE19</f>
        <v>1440</v>
      </c>
      <c r="AB33" s="178" ph="1">
        <f>I19</f>
        <v>25793.824532000002</v>
      </c>
      <c r="AC33" s="180" ph="1">
        <f>AD10+AB19</f>
        <v>155149.21651520001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49" priority="100">
      <formula>ABS(D$7-D$10)&gt;=1000</formula>
    </cfRule>
  </conditionalFormatting>
  <conditionalFormatting sqref="E4 E6:E11">
    <cfRule type="expression" dxfId="1948" priority="99">
      <formula>ABS(E$7-E$10)&gt;=1000</formula>
    </cfRule>
  </conditionalFormatting>
  <conditionalFormatting sqref="F4:F11">
    <cfRule type="expression" dxfId="1947" priority="98">
      <formula>ABS(F$7-F$10)&gt;=1000</formula>
    </cfRule>
  </conditionalFormatting>
  <conditionalFormatting sqref="G4:G11">
    <cfRule type="expression" dxfId="1946" priority="97">
      <formula>ABS(G$7-G$10)&gt;=1000</formula>
    </cfRule>
  </conditionalFormatting>
  <conditionalFormatting sqref="H4:H11">
    <cfRule type="expression" dxfId="1945" priority="96">
      <formula>ABS(H$7-H$10)&gt;=1000</formula>
    </cfRule>
  </conditionalFormatting>
  <conditionalFormatting sqref="I4:I11">
    <cfRule type="expression" dxfId="1944" priority="95">
      <formula>ABS(I$7-I$10)&gt;=1000</formula>
    </cfRule>
  </conditionalFormatting>
  <conditionalFormatting sqref="J4:J11">
    <cfRule type="expression" dxfId="1943" priority="94">
      <formula>ABS(J$7-J$10)&gt;=1000</formula>
    </cfRule>
  </conditionalFormatting>
  <conditionalFormatting sqref="K4:K11">
    <cfRule type="expression" dxfId="1942" priority="93">
      <formula>ABS(K$7-K$10)&gt;=1000</formula>
    </cfRule>
  </conditionalFormatting>
  <conditionalFormatting sqref="L4:L11">
    <cfRule type="expression" dxfId="1941" priority="92">
      <formula>ABS(L$7-L$10)&gt;=1000</formula>
    </cfRule>
  </conditionalFormatting>
  <conditionalFormatting sqref="M4 M6:M11">
    <cfRule type="expression" dxfId="1940" priority="91">
      <formula>ABS(M$7-M$10)&gt;=1000</formula>
    </cfRule>
  </conditionalFormatting>
  <conditionalFormatting sqref="N4 N6:N11">
    <cfRule type="expression" dxfId="1939" priority="90">
      <formula>ABS(N$7-N$10)&gt;=1000</formula>
    </cfRule>
  </conditionalFormatting>
  <conditionalFormatting sqref="O4 O6:O11">
    <cfRule type="expression" dxfId="1938" priority="89">
      <formula>ABS(O$7-O$10)&gt;=1000</formula>
    </cfRule>
  </conditionalFormatting>
  <conditionalFormatting sqref="P4 P6:P11">
    <cfRule type="expression" dxfId="1937" priority="88">
      <formula>ABS(P$7-P$10)&gt;=1000</formula>
    </cfRule>
  </conditionalFormatting>
  <conditionalFormatting sqref="Q4:Q11">
    <cfRule type="expression" dxfId="1936" priority="87">
      <formula>ABS(Q$7-Q$10)&gt;=1000</formula>
    </cfRule>
  </conditionalFormatting>
  <conditionalFormatting sqref="R4:R11">
    <cfRule type="expression" dxfId="1935" priority="86">
      <formula>ABS(R$7-R$10)&gt;=1000</formula>
    </cfRule>
  </conditionalFormatting>
  <conditionalFormatting sqref="S4:S11">
    <cfRule type="expression" dxfId="1934" priority="85">
      <formula>ABS(S$7-S$10)&gt;=1000</formula>
    </cfRule>
  </conditionalFormatting>
  <conditionalFormatting sqref="T4:T9 T11">
    <cfRule type="expression" dxfId="1933" priority="84">
      <formula>ABS(T$7-T$10)&gt;=1000</formula>
    </cfRule>
  </conditionalFormatting>
  <conditionalFormatting sqref="U4:U9 U11">
    <cfRule type="expression" dxfId="1932" priority="83">
      <formula>ABS(U$7-U$10)&gt;=1000</formula>
    </cfRule>
  </conditionalFormatting>
  <conditionalFormatting sqref="V4:V9 V11">
    <cfRule type="expression" dxfId="1931" priority="82">
      <formula>ABS(V$7-V$10)&gt;=1000</formula>
    </cfRule>
  </conditionalFormatting>
  <conditionalFormatting sqref="W4:W9 W11">
    <cfRule type="expression" dxfId="1930" priority="81">
      <formula>ABS(W$7-W$10)&gt;=1000</formula>
    </cfRule>
  </conditionalFormatting>
  <conditionalFormatting sqref="X4:X9 X11">
    <cfRule type="expression" dxfId="1929" priority="80">
      <formula>ABS(X$7-X$10)&gt;=1000</formula>
    </cfRule>
  </conditionalFormatting>
  <conditionalFormatting sqref="Y4:Y9 Y11">
    <cfRule type="expression" dxfId="1928" priority="79">
      <formula>ABS(Y$7-Y$10)&gt;=1000</formula>
    </cfRule>
  </conditionalFormatting>
  <conditionalFormatting sqref="Z4:Z11">
    <cfRule type="expression" dxfId="1927" priority="78">
      <formula>ABS(Z$7-Z$10)&gt;=1000</formula>
    </cfRule>
  </conditionalFormatting>
  <conditionalFormatting sqref="AA4:AA11">
    <cfRule type="expression" dxfId="1926" priority="77">
      <formula>ABS(AA$7-AA$10)&gt;=1000</formula>
    </cfRule>
  </conditionalFormatting>
  <conditionalFormatting sqref="AB4:AB11">
    <cfRule type="expression" dxfId="1925" priority="76">
      <formula>ABS(AB$7-AB$10)&gt;=1000</formula>
    </cfRule>
  </conditionalFormatting>
  <conditionalFormatting sqref="AC4 AC6:AC11">
    <cfRule type="expression" dxfId="1924" priority="75">
      <formula>ABS(AC$7-AC$10)&gt;=1000</formula>
    </cfRule>
  </conditionalFormatting>
  <conditionalFormatting sqref="AD4 AD6:AD11">
    <cfRule type="expression" dxfId="1923" priority="74">
      <formula>ABS(AD$7-AD$10)&gt;=1000</formula>
    </cfRule>
  </conditionalFormatting>
  <conditionalFormatting sqref="AE4 AE6:AE11">
    <cfRule type="expression" dxfId="1922" priority="73">
      <formula>ABS(AE$7-AE$10)&gt;=1000</formula>
    </cfRule>
  </conditionalFormatting>
  <conditionalFormatting sqref="D13:D20">
    <cfRule type="expression" dxfId="1921" priority="72">
      <formula>ABS(D$16-D$19)&gt;=1000</formula>
    </cfRule>
  </conditionalFormatting>
  <conditionalFormatting sqref="E13:E20">
    <cfRule type="expression" dxfId="1920" priority="71">
      <formula>ABS(E$16-E$19)&gt;=1000</formula>
    </cfRule>
  </conditionalFormatting>
  <conditionalFormatting sqref="F13 F15:F20">
    <cfRule type="expression" dxfId="1919" priority="70">
      <formula>ABS(F$16-F$19)&gt;=1000</formula>
    </cfRule>
  </conditionalFormatting>
  <conditionalFormatting sqref="G13:G20">
    <cfRule type="expression" dxfId="1918" priority="69">
      <formula>ABS(G$16-G$19)&gt;=1000</formula>
    </cfRule>
  </conditionalFormatting>
  <conditionalFormatting sqref="H13 H15:H20">
    <cfRule type="expression" dxfId="1917" priority="68">
      <formula>ABS(H$16-H$19)&gt;=1000</formula>
    </cfRule>
  </conditionalFormatting>
  <conditionalFormatting sqref="I13:I20">
    <cfRule type="expression" dxfId="1916" priority="67">
      <formula>ABS(I$16-I$19)&gt;=1000</formula>
    </cfRule>
  </conditionalFormatting>
  <conditionalFormatting sqref="J13:J20">
    <cfRule type="expression" dxfId="1915" priority="66">
      <formula>ABS(J$16-J$19)&gt;=1000</formula>
    </cfRule>
  </conditionalFormatting>
  <conditionalFormatting sqref="L13:L20">
    <cfRule type="expression" dxfId="1914" priority="65">
      <formula>ABS(L$16-L$19)&gt;=1000</formula>
    </cfRule>
  </conditionalFormatting>
  <conditionalFormatting sqref="M13 M15 M17:M18 M20">
    <cfRule type="expression" dxfId="1913" priority="64">
      <formula>ABS(M$16-M$19)&gt;=1000</formula>
    </cfRule>
  </conditionalFormatting>
  <conditionalFormatting sqref="N13:N20">
    <cfRule type="expression" dxfId="1912" priority="63">
      <formula>ABS(N$16-N$19)&gt;=1000</formula>
    </cfRule>
  </conditionalFormatting>
  <conditionalFormatting sqref="O13:O20">
    <cfRule type="expression" dxfId="1911" priority="62">
      <formula>ABS(O$16-O$19)&gt;=1000</formula>
    </cfRule>
  </conditionalFormatting>
  <conditionalFormatting sqref="P13:P20">
    <cfRule type="expression" dxfId="1910" priority="61">
      <formula>ABS(P$16-P$19)&gt;=1000</formula>
    </cfRule>
  </conditionalFormatting>
  <conditionalFormatting sqref="Q13 Q15:Q20">
    <cfRule type="expression" dxfId="1909" priority="60">
      <formula>ABS(Q$16-Q$19)&gt;=1000</formula>
    </cfRule>
  </conditionalFormatting>
  <conditionalFormatting sqref="R13:R20">
    <cfRule type="expression" dxfId="1908" priority="59">
      <formula>ABS(R$16-R$19)&gt;=1000</formula>
    </cfRule>
  </conditionalFormatting>
  <conditionalFormatting sqref="S13:S20">
    <cfRule type="expression" dxfId="1907" priority="58">
      <formula>ABS(S$16-S$19)&gt;=1000</formula>
    </cfRule>
  </conditionalFormatting>
  <conditionalFormatting sqref="T13:T20">
    <cfRule type="expression" dxfId="1906" priority="57">
      <formula>ABS(T$16-T$19)&gt;=1000</formula>
    </cfRule>
  </conditionalFormatting>
  <conditionalFormatting sqref="U13:U20">
    <cfRule type="expression" dxfId="1905" priority="56">
      <formula>ABS(U$16-U$19)&gt;=1000</formula>
    </cfRule>
  </conditionalFormatting>
  <conditionalFormatting sqref="V13:V20">
    <cfRule type="expression" dxfId="1904" priority="55">
      <formula>ABS(V$16-V$19)&gt;=1000</formula>
    </cfRule>
  </conditionalFormatting>
  <conditionalFormatting sqref="W13 W20 W15:W18">
    <cfRule type="expression" dxfId="1903" priority="54">
      <formula>ABS(W$16-W$19)&gt;=1000</formula>
    </cfRule>
  </conditionalFormatting>
  <conditionalFormatting sqref="X13 X15:X20 Y19">
    <cfRule type="expression" dxfId="1902" priority="53">
      <formula>ABS(X$16-X$19)&gt;=1000</formula>
    </cfRule>
  </conditionalFormatting>
  <conditionalFormatting sqref="Y13 Y15:Y18 Y20">
    <cfRule type="expression" dxfId="1901" priority="52">
      <formula>ABS(Y$16-Y$19)&gt;=1000</formula>
    </cfRule>
  </conditionalFormatting>
  <conditionalFormatting sqref="Z13:Z20">
    <cfRule type="expression" dxfId="1900" priority="51">
      <formula>ABS(Z$16-Z$19)&gt;=1000</formula>
    </cfRule>
  </conditionalFormatting>
  <conditionalFormatting sqref="AA13:AA20">
    <cfRule type="expression" dxfId="1899" priority="50">
      <formula>ABS(AA$16-AA$19)&gt;=1000</formula>
    </cfRule>
  </conditionalFormatting>
  <conditionalFormatting sqref="AB13 AB15:AB20">
    <cfRule type="expression" dxfId="1898" priority="49">
      <formula>ABS(AB$16-AB$19)&gt;=1000</formula>
    </cfRule>
  </conditionalFormatting>
  <conditionalFormatting sqref="AC13 AC15:AC20">
    <cfRule type="expression" dxfId="1897" priority="48">
      <formula>ABS(AC$16-AC$19)&gt;=1000</formula>
    </cfRule>
  </conditionalFormatting>
  <conditionalFormatting sqref="AD13:AD20">
    <cfRule type="expression" dxfId="1896" priority="47">
      <formula>ABS(AD$16-AD$19)&gt;=1000</formula>
    </cfRule>
  </conditionalFormatting>
  <conditionalFormatting sqref="AE13:AE20">
    <cfRule type="expression" dxfId="1895" priority="46">
      <formula>ABS(AE$16-AE$19)&gt;=1000</formula>
    </cfRule>
  </conditionalFormatting>
  <conditionalFormatting sqref="D22:D29">
    <cfRule type="expression" dxfId="1894" priority="45">
      <formula>ABS(D$25-D$28)&gt;=1000</formula>
    </cfRule>
  </conditionalFormatting>
  <conditionalFormatting sqref="E22:E29">
    <cfRule type="expression" dxfId="1893" priority="44">
      <formula>ABS(E$25-E$28)&gt;=1000</formula>
    </cfRule>
  </conditionalFormatting>
  <conditionalFormatting sqref="F22:F29">
    <cfRule type="expression" dxfId="1892" priority="43">
      <formula>ABS(F$25-F$28)&gt;=1000</formula>
    </cfRule>
  </conditionalFormatting>
  <conditionalFormatting sqref="G22:G29">
    <cfRule type="expression" dxfId="1891" priority="42">
      <formula>ABS(G$25-G$28)&gt;=1000</formula>
    </cfRule>
  </conditionalFormatting>
  <conditionalFormatting sqref="H22:H29">
    <cfRule type="expression" dxfId="1890" priority="41">
      <formula>ABS(H$25-H$28)&gt;=1000</formula>
    </cfRule>
  </conditionalFormatting>
  <conditionalFormatting sqref="I22 I24:I29">
    <cfRule type="expression" dxfId="1889" priority="40">
      <formula>ABS(I$25-I$28)&gt;=1000</formula>
    </cfRule>
  </conditionalFormatting>
  <conditionalFormatting sqref="J22:J29 K22">
    <cfRule type="expression" dxfId="1888" priority="39">
      <formula>ABS(J$25-J$28)&gt;=1000</formula>
    </cfRule>
  </conditionalFormatting>
  <conditionalFormatting sqref="K23:K29 L25 L28">
    <cfRule type="expression" dxfId="1887" priority="38">
      <formula>ABS(K$25-K$28)&gt;=1000</formula>
    </cfRule>
  </conditionalFormatting>
  <conditionalFormatting sqref="L22 L26:L27 L29 L24">
    <cfRule type="expression" dxfId="1886" priority="37">
      <formula>ABS(L$25-L$28)&gt;=1000</formula>
    </cfRule>
  </conditionalFormatting>
  <conditionalFormatting sqref="M22:M29">
    <cfRule type="expression" dxfId="1885" priority="36">
      <formula>ABS(M$25-M$28)&gt;=1000</formula>
    </cfRule>
  </conditionalFormatting>
  <conditionalFormatting sqref="N22:N29">
    <cfRule type="expression" dxfId="1884" priority="35">
      <formula>ABS(N$25-N$28)&gt;=1000</formula>
    </cfRule>
  </conditionalFormatting>
  <conditionalFormatting sqref="O22:O29">
    <cfRule type="expression" dxfId="1883" priority="34">
      <formula>ABS(O$25-O$28)&gt;=1000</formula>
    </cfRule>
  </conditionalFormatting>
  <conditionalFormatting sqref="P22:P29">
    <cfRule type="expression" dxfId="1882" priority="33">
      <formula>ABS(P$25-P$28)&gt;=1000</formula>
    </cfRule>
  </conditionalFormatting>
  <conditionalFormatting sqref="Q22:Q29">
    <cfRule type="expression" dxfId="1881" priority="32">
      <formula>ABS(Q$25-Q$28)&gt;=1000</formula>
    </cfRule>
  </conditionalFormatting>
  <conditionalFormatting sqref="R22:R29">
    <cfRule type="expression" dxfId="1880" priority="31">
      <formula>ABS(R$25-R$28)&gt;=1000</formula>
    </cfRule>
  </conditionalFormatting>
  <conditionalFormatting sqref="S22:S29">
    <cfRule type="expression" dxfId="1879" priority="30">
      <formula>ABS(S$25-S$28)&gt;=1000</formula>
    </cfRule>
  </conditionalFormatting>
  <conditionalFormatting sqref="T22:T29">
    <cfRule type="expression" dxfId="1878" priority="29">
      <formula>ABS(T$25-T$28)&gt;=1000</formula>
    </cfRule>
  </conditionalFormatting>
  <conditionalFormatting sqref="U22:U29">
    <cfRule type="expression" dxfId="1877" priority="28">
      <formula>ABS(U$25-U$28)&gt;=1000</formula>
    </cfRule>
  </conditionalFormatting>
  <conditionalFormatting sqref="V22:V29">
    <cfRule type="expression" dxfId="1876" priority="27">
      <formula>ABS(V$25-V$28)&gt;=1000</formula>
    </cfRule>
  </conditionalFormatting>
  <conditionalFormatting sqref="W22:W29">
    <cfRule type="expression" dxfId="1875" priority="26">
      <formula>ABS(W$25-W$28)&gt;=1000</formula>
    </cfRule>
  </conditionalFormatting>
  <conditionalFormatting sqref="X22:X29">
    <cfRule type="expression" dxfId="1874" priority="25">
      <formula>ABS(X$25-X$28)&gt;=1000</formula>
    </cfRule>
  </conditionalFormatting>
  <conditionalFormatting sqref="Y22:Y29">
    <cfRule type="expression" dxfId="1873" priority="24">
      <formula>ABS(Y$25-Y$28)&gt;=1000</formula>
    </cfRule>
  </conditionalFormatting>
  <conditionalFormatting sqref="I23">
    <cfRule type="expression" dxfId="1872" priority="23">
      <formula>ABS(I$25-I$28)&gt;=1000</formula>
    </cfRule>
  </conditionalFormatting>
  <conditionalFormatting sqref="Q14">
    <cfRule type="expression" dxfId="1871" priority="22">
      <formula>ABS(Q$16-Q$19)&gt;=1000</formula>
    </cfRule>
  </conditionalFormatting>
  <conditionalFormatting sqref="W14">
    <cfRule type="expression" dxfId="1870" priority="21">
      <formula>ABS(W$16-W$19)&gt;=1000</formula>
    </cfRule>
  </conditionalFormatting>
  <conditionalFormatting sqref="X14">
    <cfRule type="expression" dxfId="1869" priority="20">
      <formula>ABS(X$16-X$19)&gt;=1000</formula>
    </cfRule>
  </conditionalFormatting>
  <conditionalFormatting sqref="T10:Y10">
    <cfRule type="expression" dxfId="1868" priority="19">
      <formula>ABS(T$7-T$10)&gt;=1000</formula>
    </cfRule>
  </conditionalFormatting>
  <conditionalFormatting sqref="W19">
    <cfRule type="expression" dxfId="1867" priority="18">
      <formula>ABS(W$16-W$19)&gt;=1000</formula>
    </cfRule>
  </conditionalFormatting>
  <conditionalFormatting sqref="AC5">
    <cfRule type="expression" dxfId="1866" priority="17">
      <formula>ABS(AC$7-AC$10)&gt;=1000</formula>
    </cfRule>
  </conditionalFormatting>
  <conditionalFormatting sqref="M14">
    <cfRule type="expression" dxfId="1865" priority="16">
      <formula>ABS(M$16-M$19)&gt;=1000</formula>
    </cfRule>
  </conditionalFormatting>
  <conditionalFormatting sqref="M16">
    <cfRule type="expression" dxfId="1864" priority="15">
      <formula>ABS(M$16-M$19)&gt;=1000</formula>
    </cfRule>
  </conditionalFormatting>
  <conditionalFormatting sqref="M19">
    <cfRule type="expression" dxfId="1863" priority="14">
      <formula>ABS(M$16-M$19)&gt;=1000</formula>
    </cfRule>
  </conditionalFormatting>
  <conditionalFormatting sqref="K13:K20">
    <cfRule type="expression" dxfId="1862" priority="13">
      <formula>ABS(K$16-K$19)&gt;=1000</formula>
    </cfRule>
  </conditionalFormatting>
  <conditionalFormatting sqref="E5">
    <cfRule type="expression" dxfId="1861" priority="12">
      <formula>ABS(E$7-E$10)&gt;=1000</formula>
    </cfRule>
  </conditionalFormatting>
  <conditionalFormatting sqref="AB14:AC14">
    <cfRule type="expression" dxfId="1860" priority="11">
      <formula>ABS(AB$16-AB$19)&gt;=1000</formula>
    </cfRule>
  </conditionalFormatting>
  <conditionalFormatting sqref="M5">
    <cfRule type="expression" dxfId="1859" priority="10">
      <formula>ABS(M$7-M$10)&gt;=1000</formula>
    </cfRule>
  </conditionalFormatting>
  <conditionalFormatting sqref="N5">
    <cfRule type="expression" dxfId="1858" priority="9">
      <formula>ABS(N$7-N$10)&gt;=1000</formula>
    </cfRule>
  </conditionalFormatting>
  <conditionalFormatting sqref="O5">
    <cfRule type="expression" dxfId="1857" priority="8">
      <formula>ABS(O$7-O$10)&gt;=1000</formula>
    </cfRule>
  </conditionalFormatting>
  <conditionalFormatting sqref="P5">
    <cfRule type="expression" dxfId="1856" priority="7">
      <formula>ABS(P$7-P$10)&gt;=1000</formula>
    </cfRule>
  </conditionalFormatting>
  <conditionalFormatting sqref="L23">
    <cfRule type="expression" dxfId="1855" priority="6">
      <formula>ABS(L$25-L$28)&gt;=1000</formula>
    </cfRule>
  </conditionalFormatting>
  <conditionalFormatting sqref="Y14">
    <cfRule type="expression" dxfId="1854" priority="5">
      <formula>ABS(Y$16-Y$19)&gt;=1000</formula>
    </cfRule>
  </conditionalFormatting>
  <conditionalFormatting sqref="F14">
    <cfRule type="expression" dxfId="1853" priority="4">
      <formula>ABS(F$16-F$19)&gt;=1000</formula>
    </cfRule>
  </conditionalFormatting>
  <conditionalFormatting sqref="H14">
    <cfRule type="expression" dxfId="1852" priority="3">
      <formula>ABS(H$16-H$19)&gt;=1000</formula>
    </cfRule>
  </conditionalFormatting>
  <conditionalFormatting sqref="AD5">
    <cfRule type="expression" dxfId="1851" priority="2">
      <formula>ABS(AD$7-AD$10)&gt;=1000</formula>
    </cfRule>
  </conditionalFormatting>
  <conditionalFormatting sqref="AE5">
    <cfRule type="expression" dxfId="18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83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3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46093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2830</v>
      </c>
      <c r="E6" s="71">
        <v>1265</v>
      </c>
      <c r="F6" s="71">
        <v>4696</v>
      </c>
      <c r="G6" s="71">
        <v>2697</v>
      </c>
      <c r="H6" s="71">
        <v>3320</v>
      </c>
      <c r="I6" s="71">
        <v>53.2</v>
      </c>
      <c r="J6" s="71">
        <v>6.58</v>
      </c>
      <c r="K6" s="71">
        <v>61.87</v>
      </c>
      <c r="L6" s="71">
        <v>32.33</v>
      </c>
      <c r="M6" s="71">
        <v>2037</v>
      </c>
      <c r="N6" s="71">
        <v>1930</v>
      </c>
      <c r="O6" s="71">
        <v>3799</v>
      </c>
      <c r="P6" s="71">
        <v>4692</v>
      </c>
      <c r="Q6" s="71">
        <v>1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2</v>
      </c>
      <c r="Z6" s="71">
        <v>3491</v>
      </c>
      <c r="AA6" s="71">
        <v>4224</v>
      </c>
      <c r="AB6" s="71">
        <v>4096</v>
      </c>
      <c r="AC6" s="71">
        <v>6339</v>
      </c>
      <c r="AD6" s="71">
        <v>4780</v>
      </c>
      <c r="AE6" s="71">
        <v>4128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89475.437592000002</v>
      </c>
      <c r="E7" s="73" ph="1">
        <f>E6*51.53*LOOKUP(E8,密度!$A$2:$A$50,密度!$B$2:$B$50)</f>
        <v>51366.134600000005</v>
      </c>
      <c r="F7" s="73" ph="1">
        <f>F6*33.183*LOOKUP(F8,密度!$A$2:$A$50,密度!$C$2:$C$50)</f>
        <v>173778.68079359998</v>
      </c>
      <c r="G7" s="73" ph="1">
        <f xml:space="preserve"> (G6+2)*51.53*LOOKUP(G8,密度!$A$2:$A$50,密度!$B$2:$B$50)</f>
        <v>109483.358784</v>
      </c>
      <c r="H7" s="73" ph="1">
        <f>(H6)*51.53*LOOKUP(H8,密度!$A$2:$A$50,密度!$B$2:$B$50)</f>
        <v>135101.56012000001</v>
      </c>
      <c r="I7" s="73" ph="1">
        <f>I6*290.8*1.0267</f>
        <v>15883.623952</v>
      </c>
      <c r="J7" s="73" ph="1">
        <f>J6*290.8*0.7892</f>
        <v>1510.1057888000003</v>
      </c>
      <c r="K7" s="73" ph="1">
        <f>K6*290.8*1.1126</f>
        <v>20017.672229599997</v>
      </c>
      <c r="L7" s="73" ph="1">
        <f>L6*290.8*0.777</f>
        <v>7305.0152280000002</v>
      </c>
      <c r="M7" s="73" ph="1">
        <f>M6*33.183*LOOKUP(M8,密度!$A$2:$A$50,密度!$D$2:$D$50)</f>
        <v>69946.034230799996</v>
      </c>
      <c r="N7" s="73" ph="1">
        <f>N6*33.183*LOOKUP(N8,密度!$A$2:$A$50,密度!$E$2:$E$50)</f>
        <v>50683.780566000001</v>
      </c>
      <c r="O7" s="73" ph="1">
        <f>O6*20.428*LOOKUP(O8,密度!$A$2:$A$50,密度!$C$2:$C$50)</f>
        <v>86290.080266800025</v>
      </c>
      <c r="P7" s="73" ph="1">
        <f>P6*51.53*LOOKUP(P8,密度!$A$2:$A$50,密度!$B$2:$B$50)</f>
        <v>190134.81686399999</v>
      </c>
      <c r="Q7" s="73" ph="1">
        <f>Q6*1.5*1.5*3.1416*LOOKUP(W8,密度!$A$2:$A$50,密度!$L$2:$L$50)</f>
        <v>6.6798269999999995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13.373791199999999</v>
      </c>
      <c r="Z7" s="73" ph="1">
        <f>Z6*33.183*LOOKUP(Z8,密度!$A$2:$A$50,密度!$L$2:$L$50)</f>
        <v>109702.234791</v>
      </c>
      <c r="AA7" s="73" ph="1">
        <f>AA6*33.183*LOOKUP(AA8,密度!$A$2:$A$50,密度!$D$2:$D$50)</f>
        <v>145281.01420800001</v>
      </c>
      <c r="AB7" s="73" ph="1">
        <f>AB6*20.428*LOOKUP(AB8,密度!$A$2:$A$50,密度!$D$2:$D$50)</f>
        <v>87095.317299200004</v>
      </c>
      <c r="AC7" s="73" ph="1">
        <f>AC6*51.53*LOOKUP(AC8,密度!$A$2:$A$50,密度!$Q$2:$Q$50)</f>
        <v>311799.22146179999</v>
      </c>
      <c r="AD7" s="73" ph="1">
        <f>AD6*20.428*LOOKUP(AD8,密度!$A$2:$A$50,密度!$V$2:$V$50)</f>
        <v>94130.589760000003</v>
      </c>
      <c r="AE7" s="73" ph="1">
        <f>AE6*20.428</f>
        <v>84326.784</v>
      </c>
    </row>
    <row r="8" spans="1:99" ph="1">
      <c r="B8" s="238" ph="1"/>
      <c r="C8" s="68" t="s" ph="1">
        <v>179</v>
      </c>
      <c r="D8" s="74">
        <v>17</v>
      </c>
      <c r="E8" s="74">
        <v>15</v>
      </c>
      <c r="F8" s="74">
        <v>16</v>
      </c>
      <c r="G8" s="74">
        <v>16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21</v>
      </c>
      <c r="P8" s="74">
        <v>17</v>
      </c>
      <c r="Q8" s="74">
        <v>17</v>
      </c>
      <c r="R8" s="74">
        <v>22</v>
      </c>
      <c r="S8" s="74">
        <v>13</v>
      </c>
      <c r="T8" s="74">
        <v>11</v>
      </c>
      <c r="U8" s="74">
        <v>17</v>
      </c>
      <c r="V8" s="74">
        <v>22</v>
      </c>
      <c r="W8" s="74">
        <v>17</v>
      </c>
      <c r="X8" s="74">
        <v>7</v>
      </c>
      <c r="Y8" s="74">
        <v>16</v>
      </c>
      <c r="Z8" s="74">
        <v>15</v>
      </c>
      <c r="AA8" s="74">
        <v>14</v>
      </c>
      <c r="AB8" s="74">
        <v>9</v>
      </c>
      <c r="AC8" s="74">
        <v>14</v>
      </c>
      <c r="AD8" s="74">
        <v>14</v>
      </c>
      <c r="AE8" s="74">
        <v>18</v>
      </c>
    </row>
    <row r="9" spans="1:99" ht="26.4" ph="1">
      <c r="B9" s="238" ph="1">
        <v>0.66666666666666663</v>
      </c>
      <c r="C9" s="156" t="s" ph="1">
        <v>180</v>
      </c>
      <c r="D9" s="71">
        <v>2234</v>
      </c>
      <c r="E9" s="71">
        <v>963</v>
      </c>
      <c r="F9" s="71">
        <v>4696</v>
      </c>
      <c r="G9" s="71">
        <v>3977</v>
      </c>
      <c r="H9" s="71">
        <v>3038</v>
      </c>
      <c r="I9" s="71">
        <v>53.24</v>
      </c>
      <c r="J9" s="71">
        <v>6.65</v>
      </c>
      <c r="K9" s="71">
        <v>61.93</v>
      </c>
      <c r="L9" s="71">
        <v>30.22</v>
      </c>
      <c r="M9" s="71">
        <v>2039</v>
      </c>
      <c r="N9" s="71">
        <v>1933</v>
      </c>
      <c r="O9" s="71">
        <v>3801</v>
      </c>
      <c r="P9" s="71">
        <v>4893</v>
      </c>
      <c r="Q9" s="71">
        <v>2922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1</v>
      </c>
      <c r="Z9" s="71">
        <v>3487</v>
      </c>
      <c r="AA9" s="71">
        <v>4226</v>
      </c>
      <c r="AB9" s="71">
        <v>3935</v>
      </c>
      <c r="AC9" s="71">
        <v>6339</v>
      </c>
      <c r="AD9" s="71">
        <v>4780</v>
      </c>
      <c r="AE9" s="71">
        <v>4130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70515.461811059999</v>
      </c>
      <c r="E10" s="73" ph="1">
        <f>E9*51.53*LOOKUP(E11,密度!$A$2:$A$50,密度!$B$2:$B$50)</f>
        <v>38949.398810999999</v>
      </c>
      <c r="F10" s="73" ph="1">
        <f>F9*33.183*LOOKUP(F11,密度!$A$2:$A$50,密度!$C$2:$C$50)</f>
        <v>173669.60163600001</v>
      </c>
      <c r="G10" s="73" ph="1">
        <f xml:space="preserve"> (G9+2)*51.53*LOOKUP(G11,密度!$A$2:$A$50,密度!$B$2:$B$50)</f>
        <v>161098.25445899999</v>
      </c>
      <c r="H10" s="73" ph="1">
        <f>(H9)*51.53*LOOKUP(H11,密度!$A$2:$A$50,密度!$B$2:$B$50)</f>
        <v>122999.87359800001</v>
      </c>
      <c r="I10" s="73" ph="1">
        <f>I9*290.8*1.0267</f>
        <v>15895.5665264</v>
      </c>
      <c r="J10" s="73" ph="1">
        <f>J9*290.8*0.7892</f>
        <v>1526.1707440000002</v>
      </c>
      <c r="K10" s="73" ph="1">
        <f>K9*290.8*1.1126</f>
        <v>20037.084874400003</v>
      </c>
      <c r="L10" s="73" ph="1">
        <f>L9*290.8*0.777</f>
        <v>6828.2573520000005</v>
      </c>
      <c r="M10" s="73" ph="1">
        <f>M9*33.183*LOOKUP(M11,密度!$A$2:$A$50,密度!$D$2:$D$50)</f>
        <v>69838.793411400009</v>
      </c>
      <c r="N10" s="73" ph="1">
        <f>N9*33.183*LOOKUP(N11,密度!$A$2:$A$50,密度!$E$2:$E$50)</f>
        <v>50692.006631700002</v>
      </c>
      <c r="O10" s="73" ph="1">
        <f>O9*20.428*LOOKUP(O11,密度!$A$2:$A$50,密度!$C$2:$C$50)</f>
        <v>86490.801709200008</v>
      </c>
      <c r="P10" s="73" ph="1">
        <f>P9*51.53*LOOKUP(P11,密度!$A$2:$A$50,密度!$B$2:$B$50)</f>
        <v>197700.06498900001</v>
      </c>
      <c r="Q10" s="73" ph="1">
        <f>Q9*1.5*1.5*3.1416*LOOKUP(W11,密度!$A$2:$A$50,密度!$L$2:$L$50)</f>
        <v>19332.5644512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6.6656898</v>
      </c>
      <c r="Z10" s="73" ph="1">
        <f>Z9*33.183*LOOKUP(Z11,密度!$A$2:$A$50,密度!$L$2:$L$50)</f>
        <v>109345.119345</v>
      </c>
      <c r="AA10" s="73" ph="1">
        <f>AA9*33.183*LOOKUP(AA11,密度!$A$2:$A$50,密度!$D$2:$D$50)</f>
        <v>144873.0159498</v>
      </c>
      <c r="AB10" s="73" ph="1">
        <f>AB9*20.428*LOOKUP(AB11,密度!$A$2:$A$50,密度!$D$2:$D$50)</f>
        <v>83462.894094000003</v>
      </c>
      <c r="AC10" s="73" ph="1">
        <f>AC9*51.53*LOOKUP(AC11,密度!$A$2:$A$50,密度!$Q$2:$Q$50)</f>
        <v>310972.80032669997</v>
      </c>
      <c r="AD10" s="73" ph="1">
        <f>AD9*20.428*LOOKUP(AD11,密度!$A$2:$A$50,密度!$V$2:$V$50)</f>
        <v>94130.589760000003</v>
      </c>
      <c r="AE10" s="73" ph="1">
        <f>AE9*20.428</f>
        <v>84367.64</v>
      </c>
    </row>
    <row r="11" spans="1:99" ph="1">
      <c r="A11" s="64" t="s" ph="1">
        <v>162</v>
      </c>
      <c r="B11" s="238" ph="1"/>
      <c r="C11" s="156" t="s" ph="1">
        <v>179</v>
      </c>
      <c r="D11" s="74">
        <v>19</v>
      </c>
      <c r="E11" s="74">
        <v>19</v>
      </c>
      <c r="F11" s="74">
        <v>17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18</v>
      </c>
      <c r="P11" s="74">
        <v>20</v>
      </c>
      <c r="Q11" s="74">
        <v>21</v>
      </c>
      <c r="R11" s="74">
        <v>25</v>
      </c>
      <c r="S11" s="74">
        <v>16</v>
      </c>
      <c r="T11" s="74">
        <v>21</v>
      </c>
      <c r="U11" s="74">
        <v>20</v>
      </c>
      <c r="V11" s="74">
        <v>25</v>
      </c>
      <c r="W11" s="74">
        <v>26</v>
      </c>
      <c r="X11" s="74">
        <v>13</v>
      </c>
      <c r="Y11" s="74">
        <v>19</v>
      </c>
      <c r="Z11" s="74">
        <v>17</v>
      </c>
      <c r="AA11" s="74">
        <v>18</v>
      </c>
      <c r="AB11" s="74">
        <v>12</v>
      </c>
      <c r="AC11" s="74">
        <v>18</v>
      </c>
      <c r="AD11" s="74">
        <v>17</v>
      </c>
      <c r="AE11" s="74">
        <v>21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2872</v>
      </c>
      <c r="E15" s="78">
        <v>1194</v>
      </c>
      <c r="F15" s="78">
        <v>2440</v>
      </c>
      <c r="G15" s="78">
        <v>3535</v>
      </c>
      <c r="H15" s="78">
        <v>0</v>
      </c>
      <c r="I15" s="78">
        <v>1656</v>
      </c>
      <c r="J15" s="78">
        <v>0</v>
      </c>
      <c r="K15" s="78">
        <v>3574</v>
      </c>
      <c r="L15" s="78">
        <v>3697</v>
      </c>
      <c r="M15" s="78">
        <v>5302</v>
      </c>
      <c r="N15" s="78">
        <v>392</v>
      </c>
      <c r="O15" s="78">
        <v>4425</v>
      </c>
      <c r="P15" s="78">
        <v>4852</v>
      </c>
      <c r="Q15" s="78">
        <v>1274</v>
      </c>
      <c r="R15" s="78">
        <v>7348</v>
      </c>
      <c r="S15" s="78">
        <v>2458</v>
      </c>
      <c r="T15" s="78">
        <v>6209</v>
      </c>
      <c r="U15" s="78">
        <v>2090</v>
      </c>
      <c r="V15" s="78">
        <v>2437</v>
      </c>
      <c r="W15" s="71">
        <v>-171</v>
      </c>
      <c r="X15" s="78">
        <v>91</v>
      </c>
      <c r="Y15" s="106">
        <v>-9900</v>
      </c>
      <c r="Z15" s="78">
        <v>0</v>
      </c>
      <c r="AA15" s="78">
        <v>11</v>
      </c>
      <c r="AB15" s="78" ph="1">
        <v>7122</v>
      </c>
      <c r="AC15" s="78" ph="1">
        <v>5292</v>
      </c>
      <c r="AD15" s="78">
        <v>39.119999999999997</v>
      </c>
      <c r="AE15" s="78">
        <v>84.42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19225.065182399998</v>
      </c>
      <c r="E16" s="73" ph="1">
        <f>E15*7.0686*LOOKUP(E17,密度!$A$2:$A$50,密度!$L$2:$L$50)</f>
        <v>7992.5932548000001</v>
      </c>
      <c r="F16" s="73" ph="1">
        <f>F15*9.0746*LOOKUP(F17,密度!$A$2:$A$50,密度!$L$2:$L$50)</f>
        <v>20879.928631999999</v>
      </c>
      <c r="G16" s="73" ph="1">
        <f>G15*9.0746*LOOKUP(G17,密度!$A$2:$A$50,密度!$B$2:$B$50)</f>
        <v>25252.361299199998</v>
      </c>
      <c r="H16" s="73" ph="1">
        <f>H15*9.0746*LOOKUP(H17,密度!$A$2:$A$50,密度!$L$2:$L$50)</f>
        <v>0</v>
      </c>
      <c r="I16" s="73" ph="1">
        <f>I15*9.0746*LOOKUP(I17,密度!$A$2:$A$50,密度!$U$2:$U$50)</f>
        <v>15448.3086528</v>
      </c>
      <c r="J16" s="73" ph="1">
        <f>J15*9.0746*LOOKUP(J17,密度!$A$2:$A$50,密度!$L$2:$L$50)</f>
        <v>0</v>
      </c>
      <c r="K16" s="73" ph="1">
        <f>K15*9.0746*LOOKUP(K17,密度!$A$2:$A$50,密度!$C$2:$C$50)</f>
        <v>36188.317842319993</v>
      </c>
      <c r="L16" s="73" ph="1">
        <f>L15*9.0746*LOOKUP(L17,密度!$A$2:$A$50,密度!$E$2:$E$50)</f>
        <v>26661.228340140002</v>
      </c>
      <c r="M16" s="73" ph="1">
        <f>M15*9.0746*LOOKUP(M17,密度!$A$2:$A$50,密度!$M$2:$M$50)</f>
        <v>42354.339754760003</v>
      </c>
      <c r="N16" s="73" ph="1">
        <f>N15*9.0746*LOOKUP(N17,密度!$A$2:$A$50,密度!$M$2:$M$50)</f>
        <v>3131.4411889599996</v>
      </c>
      <c r="O16" s="73" ph="1">
        <f>O15*9.0746*LOOKUP(O17,密度!$A$2:$A$50,密度!$G$2:$G$50)</f>
        <v>38870.141640000002</v>
      </c>
      <c r="P16" s="73" ph="1">
        <f ca="1">P15*9.0746*LOOKUP(P17,密度!$A$2:$A$51,密度!$Q$2:$Q$50)</f>
        <v>41788.393977127998</v>
      </c>
      <c r="Q16" s="73" ph="1">
        <f>Q15*9.0746*LOOKUP(Q17,密度!$A$2:$A$50,密度!$Q$2:$Q$50)</f>
        <v>11035.475503416001</v>
      </c>
      <c r="R16" s="73" ph="1">
        <f>MAX(R15*9.0746*LOOKUP(R17,密度!$A$2:$A$50,密度!$B$2:$B$50),0)</f>
        <v>52390.602340559992</v>
      </c>
      <c r="S16" s="73" ph="1">
        <f>S15*9.0746*LOOKUP(S17,密度!$A$2:$A$50,密度!$Q$2:$Q$50)</f>
        <v>21291.364825272001</v>
      </c>
      <c r="T16" s="73" ph="1">
        <f>T15*9.0746*LOOKUP(T17,密度!$A$2:$A$50,密度!$O$2:$O$50)</f>
        <v>52625.474767600004</v>
      </c>
      <c r="U16" s="73" ph="1">
        <f>U15*9.0746*LOOKUP(U17,密度!$A$2:$A$50,密度!$H$2:$H$50)</f>
        <v>17556.746589800001</v>
      </c>
      <c r="V16" s="73" ph="1">
        <f>MAX(5600*LOOKUP(V17,密度!$A$2:$A$50,密度!$Q$2:$Q$50)+V15*9.0476*LOOKUP(V17,密度!$A$2:$A$50,密度!$Q$2:$Q$50),0)</f>
        <v>26322.125632412</v>
      </c>
      <c r="W16" s="73" ph="1">
        <f>MAX(5600*LOOKUP(W17,密度!$A$2:$A$50,密度!$Q$2:$Q$50)+W15*9.0476*LOOKUP(W17,密度!$A$2:$A$50,密度!$Q$2:$Q$50),0)</f>
        <v>3861.5653891200004</v>
      </c>
      <c r="X16" s="73" ph="1">
        <f>MAX(5600*LOOKUP(X17,密度!$A$2:$A$50,密度!$I$2:$I$50)+X15*9.0476*LOOKUP(X17,密度!$A$2:$A$50,密度!$I$2:$I$50),0)</f>
        <v>6673.8415323999998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61074.689633999995</v>
      </c>
      <c r="AC16" s="73" ph="1">
        <f>AC15*9.0746*LOOKUP(AC17,密度!$A$2:$A$50,密度!$L$2:$L$50)</f>
        <v>45621.644039999999</v>
      </c>
      <c r="AD16" s="73" ph="1">
        <f>AD15*268.68*LOOKUP(AD17,密度!$A$2:$A$50,密度!B2:B50)+IF(AD15&lt;=0,0,1566*LOOKUP(AD17,密度!$A$2:$A$50,密度!B2:B50))</f>
        <v>9415.0433433599992</v>
      </c>
      <c r="AE16" s="73" ph="1">
        <f>AE15*268.68*LOOKUP(AE17,密度!$A$2:$A$50,密度!B2:B50)+IF(AE15&lt;=0,0,1566*LOOKUP(AE17,密度!$A$2:$A$50,密度!B2:B50))</f>
        <v>18903.713981759996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15</v>
      </c>
      <c r="E17" s="74">
        <v>15</v>
      </c>
      <c r="F17" s="74">
        <v>19</v>
      </c>
      <c r="G17" s="74">
        <v>16</v>
      </c>
      <c r="H17" s="74">
        <v>12</v>
      </c>
      <c r="I17" s="74">
        <v>16</v>
      </c>
      <c r="J17" s="74">
        <v>17</v>
      </c>
      <c r="K17" s="74">
        <v>15</v>
      </c>
      <c r="L17" s="74">
        <v>15</v>
      </c>
      <c r="M17" s="74">
        <v>18</v>
      </c>
      <c r="N17" s="74">
        <v>15</v>
      </c>
      <c r="O17" s="74">
        <v>18</v>
      </c>
      <c r="P17" s="74">
        <v>22</v>
      </c>
      <c r="Q17" s="74">
        <v>15</v>
      </c>
      <c r="R17" s="74">
        <v>18</v>
      </c>
      <c r="S17" s="74">
        <v>15</v>
      </c>
      <c r="T17" s="74">
        <v>16</v>
      </c>
      <c r="U17" s="74">
        <v>14</v>
      </c>
      <c r="V17" s="74">
        <v>18</v>
      </c>
      <c r="W17" s="74">
        <v>17</v>
      </c>
      <c r="X17" s="74">
        <v>28</v>
      </c>
      <c r="Y17" s="108">
        <v>28</v>
      </c>
      <c r="Z17" s="74">
        <v>16</v>
      </c>
      <c r="AA17" s="74">
        <v>13</v>
      </c>
      <c r="AB17" s="74">
        <v>17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3864</v>
      </c>
      <c r="E18" s="71">
        <v>1194</v>
      </c>
      <c r="F18" s="71">
        <v>2441</v>
      </c>
      <c r="G18" s="71">
        <v>3609</v>
      </c>
      <c r="H18" s="71">
        <v>0</v>
      </c>
      <c r="I18" s="71">
        <v>226</v>
      </c>
      <c r="J18" s="71">
        <v>0</v>
      </c>
      <c r="K18" s="71">
        <v>3576</v>
      </c>
      <c r="L18" s="71">
        <v>3704</v>
      </c>
      <c r="M18" s="71">
        <v>2358</v>
      </c>
      <c r="N18" s="71">
        <v>390</v>
      </c>
      <c r="O18" s="71">
        <v>4431</v>
      </c>
      <c r="P18" s="71">
        <v>6420</v>
      </c>
      <c r="Q18" s="71">
        <v>1277</v>
      </c>
      <c r="R18" s="71">
        <v>7361</v>
      </c>
      <c r="S18" s="71">
        <v>2523</v>
      </c>
      <c r="T18" s="71">
        <v>6147</v>
      </c>
      <c r="U18" s="71">
        <v>2091</v>
      </c>
      <c r="V18" s="71">
        <v>3087</v>
      </c>
      <c r="W18" s="71">
        <v>-172</v>
      </c>
      <c r="X18" s="71">
        <v>90</v>
      </c>
      <c r="Y18" s="109">
        <v>-9900</v>
      </c>
      <c r="Z18" s="71">
        <v>0</v>
      </c>
      <c r="AA18" s="71">
        <v>10</v>
      </c>
      <c r="AB18" s="71">
        <v>7129</v>
      </c>
      <c r="AC18" s="71">
        <v>7138</v>
      </c>
      <c r="AD18" s="71">
        <v>84.17</v>
      </c>
      <c r="AE18" s="71">
        <v>12.34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25674.286175999998</v>
      </c>
      <c r="E19" s="73" ph="1">
        <f>E18*7.0686*LOOKUP(E20,密度!$A$2:$A$50,密度!$L$2:$L$50)</f>
        <v>7933.5138959999995</v>
      </c>
      <c r="F19" s="73" ph="1">
        <f>F18*9.0746*LOOKUP(F20,密度!$A$2:$A$50,密度!$L$2:$L$50)</f>
        <v>20844.183782600001</v>
      </c>
      <c r="G19" s="73" ph="1">
        <f>G18*9.0746*LOOKUP(G20,密度!$A$2:$A$50,密度!$B$2:$B$50)</f>
        <v>25754.781972960001</v>
      </c>
      <c r="H19" s="73" ph="1">
        <f>H18*9.0746*LOOKUP(H20,密度!$A$2:$A$50,密度!$L$2:$L$50)</f>
        <v>0</v>
      </c>
      <c r="I19" s="73" ph="1">
        <f>I18*9.0746*LOOKUP(I20,密度!$A$2:$A$50,密度!$U$2:$U$50)</f>
        <v>2108.2836688000002</v>
      </c>
      <c r="J19" s="73" ph="1">
        <f>J18*9.0746*LOOKUP(J20,密度!$A$2:$A$50,密度!$L$2:$L$50)</f>
        <v>0</v>
      </c>
      <c r="K19" s="73" ph="1">
        <f>K18*9.0746*LOOKUP(K20,密度!$A$2:$A$50,密度!$C$2:$C$50)</f>
        <v>36124.196718719999</v>
      </c>
      <c r="L19" s="73" ph="1">
        <f>L18*9.0746*LOOKUP(L20,密度!$A$2:$A$50,密度!$E$2:$E$50)</f>
        <v>26637.762332000002</v>
      </c>
      <c r="M19" s="73" ph="1">
        <f>M18*9.0746*LOOKUP(M20,密度!$A$2:$A$50,密度!$M$2:$M$50)</f>
        <v>18836.577356040001</v>
      </c>
      <c r="N19" s="73" ph="1">
        <f>N18*9.0746*LOOKUP(N20,密度!$A$2:$A$50,密度!$M$2:$M$50)</f>
        <v>3115.4644481999999</v>
      </c>
      <c r="O19" s="73" ph="1">
        <f>O18*9.0746*LOOKUP(O20,密度!$A$2:$A$50,密度!$G$2:$G$50)</f>
        <v>38882.637364200004</v>
      </c>
      <c r="P19" s="73" ph="1">
        <f ca="1">P18*9.0746*LOOKUP(P20,密度!$A$2:$A$51,密度!$Q$2:$Q$50)</f>
        <v>55114.69743996</v>
      </c>
      <c r="Q19" s="73" ph="1">
        <f>Q18*9.0746*LOOKUP(Q20,密度!$A$2:$A$50,密度!$Q$2:$Q$50)</f>
        <v>10998.305669578</v>
      </c>
      <c r="R19" s="73" ph="1">
        <f>MAX(R18*9.0746*LOOKUP(R20,密度!$A$2:$A$50,密度!$B$2:$B$50),0)</f>
        <v>52196.05925084</v>
      </c>
      <c r="S19" s="73" ph="1">
        <f>S18*9.0746*LOOKUP(S20,密度!$A$2:$A$50,密度!$Q$2:$Q$50)</f>
        <v>21796.474393758002</v>
      </c>
      <c r="T19" s="73" ph="1">
        <f>T18*9.0746*LOOKUP(T20,密度!$A$2:$A$50,密度!$O$2:$O$50)</f>
        <v>51876.856566000002</v>
      </c>
      <c r="U19" s="73" ph="1">
        <f>U18*9.0746*LOOKUP(U20,密度!$A$2:$A$50,密度!$H$2:$H$50)</f>
        <v>17527.196969820001</v>
      </c>
      <c r="V19" s="73" ph="1">
        <f>MAX(5600*LOOKUP(V20,密度!$A$2:$A$50,密度!$Q$2:$Q$50)+V18*9.0476*LOOKUP(V20,密度!$A$2:$A$50,密度!$Q$2:$Q$50),0)</f>
        <v>31843.049858227998</v>
      </c>
      <c r="W19" s="73" ph="1">
        <f>MAX(5600*LOOKUP(W20,密度!$A$2:$A$50,密度!$Q$2:$Q$50)+W18*9.0476*LOOKUP(W20,密度!$A$2:$A$50,密度!$Q$2:$Q$50),0)</f>
        <v>3846.5960497440001</v>
      </c>
      <c r="X19" s="73" ph="1">
        <f>MAX(5600*LOOKUP(X20,密度!$A$2:$A$50,密度!$I$2:$I$50)+X18*9.0476*LOOKUP(X20,密度!$A$2:$A$50,密度!$I$2:$I$50),0)</f>
        <v>6656.7439352000001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71.299132200000003</v>
      </c>
      <c r="AB19" s="73" ph="1">
        <f>AB18*9.0746*LOOKUP(AB20,密度!$A$2:$A$50,密度!$L$2:$L$50)</f>
        <v>61005.332466200001</v>
      </c>
      <c r="AC19" s="73" ph="1">
        <f>AC18*9.0746*LOOKUP(AC20,密度!$A$2:$A$50,密度!$L$2:$L$50)</f>
        <v>60952.799606799999</v>
      </c>
      <c r="AD19" s="73" ph="1">
        <f>AD18*268.68*LOOKUP(AD20,密度!$A$2:$A$50,密度!B5:B53)+IF(AD18&lt;=0,0,1566*LOOKUP(AD20,密度!$A$2:$A$50,密度!B5:B53))</f>
        <v>18788.4781812</v>
      </c>
      <c r="AE19" s="73" ph="1">
        <f>AE18*268.68*LOOKUP(AE20,密度!$A$2:$A$50,密度!B5:B53)+IF(AE18&lt;=0,0,1566*LOOKUP(AE20,密度!$A$2:$A$50,密度!B5:B53))</f>
        <v>3792.9342023999998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22</v>
      </c>
      <c r="E20" s="81">
        <v>22</v>
      </c>
      <c r="F20" s="81">
        <v>21</v>
      </c>
      <c r="G20" s="81">
        <v>17</v>
      </c>
      <c r="H20" s="81">
        <v>15</v>
      </c>
      <c r="I20" s="81">
        <v>20</v>
      </c>
      <c r="J20" s="81">
        <v>21</v>
      </c>
      <c r="K20" s="81">
        <v>19</v>
      </c>
      <c r="L20" s="81">
        <v>17</v>
      </c>
      <c r="M20" s="81">
        <v>20</v>
      </c>
      <c r="N20" s="81">
        <v>20</v>
      </c>
      <c r="O20" s="81">
        <v>19</v>
      </c>
      <c r="P20" s="81">
        <v>26</v>
      </c>
      <c r="Q20" s="81">
        <v>22</v>
      </c>
      <c r="R20" s="81">
        <v>23</v>
      </c>
      <c r="S20" s="81">
        <v>18</v>
      </c>
      <c r="T20" s="81">
        <v>22</v>
      </c>
      <c r="U20" s="81">
        <v>16</v>
      </c>
      <c r="V20" s="81">
        <v>21</v>
      </c>
      <c r="W20" s="81">
        <v>19</v>
      </c>
      <c r="X20" s="81">
        <v>29</v>
      </c>
      <c r="Y20" s="110">
        <v>29</v>
      </c>
      <c r="Z20" s="81">
        <v>25</v>
      </c>
      <c r="AA20" s="81">
        <v>18</v>
      </c>
      <c r="AB20" s="81">
        <v>19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646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5.29</v>
      </c>
      <c r="E24" s="71">
        <v>5.39</v>
      </c>
      <c r="F24" s="71">
        <v>2493</v>
      </c>
      <c r="G24" s="71">
        <v>3568</v>
      </c>
      <c r="H24" s="71">
        <v>3487</v>
      </c>
      <c r="I24" s="71">
        <v>2193</v>
      </c>
      <c r="J24" s="71">
        <v>329</v>
      </c>
      <c r="K24" s="71">
        <v>4990</v>
      </c>
      <c r="L24" s="71">
        <v>468</v>
      </c>
      <c r="M24" s="71">
        <v>3046</v>
      </c>
      <c r="N24" s="71">
        <v>446</v>
      </c>
      <c r="O24" s="71">
        <v>5718</v>
      </c>
      <c r="P24" s="71">
        <v>359</v>
      </c>
      <c r="Q24" s="90">
        <v>489</v>
      </c>
      <c r="R24" s="71">
        <v>4659</v>
      </c>
      <c r="S24" s="71">
        <v>4301</v>
      </c>
      <c r="T24" s="71">
        <v>216</v>
      </c>
      <c r="U24" s="71">
        <v>3622</v>
      </c>
      <c r="V24" s="71">
        <v>5955</v>
      </c>
      <c r="W24" s="71">
        <v>4845</v>
      </c>
      <c r="X24" s="71">
        <v>6951</v>
      </c>
      <c r="Y24" s="71">
        <v>8529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2828.2126859279997</v>
      </c>
      <c r="E25" s="91" ph="1">
        <f>E24*268.68*LOOKUP(E26,密度!$A$2:$A$50,密度!$C$2:$C$50)+IF(E24&lt;=0,0,1566*LOOKUP(E26,密度!$A$2:$A$50,密度!$C$2:$C$50))</f>
        <v>3342.4299682800001</v>
      </c>
      <c r="F25" s="91" ph="1">
        <f>F24*11.702*LOOKUP(F26,密度!$A$2:$A$50,密度!$Q$2:$Q$50)</f>
        <v>27773.06960286</v>
      </c>
      <c r="G25" s="91" ph="1">
        <f>G24*18.322*LOOKUP(G26,密度!$A$2:$A$50,密度!$B$2:$B$50)</f>
        <v>51409.2454144</v>
      </c>
      <c r="H25" s="91" ph="1">
        <f>H24*18.322*LOOKUP(H26,密度!$A$2:$A$50,密度!$B$2:$B$50)</f>
        <v>50293.274380800001</v>
      </c>
      <c r="I25" s="91" ph="1">
        <f>I24*18.322*LOOKUP(I26,密度!$A$2:$A$50,密度!$Q$2:$Q$50)</f>
        <v>38315.787225599997</v>
      </c>
      <c r="J25" s="91" ph="1">
        <f>J24*18.322*LOOKUP(J26,密度!$A$2:$A$50,密度!$Q$2:$Q$50)</f>
        <v>5753.9079385200002</v>
      </c>
      <c r="K25" s="91" ph="1">
        <f>K24*18.322*LOOKUP(K26,密度!$A$2:$A$50,密度!$Q$2:$Q$50)</f>
        <v>87111.435983999996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53219.283123199995</v>
      </c>
      <c r="N25" s="91" ph="1">
        <f>N24*18.322*LOOKUP(N26,密度!$A$2:$A$50,密度!$Q$2:$Q$50)</f>
        <v>7779.4563401200003</v>
      </c>
      <c r="O25" s="91" ph="1">
        <f>O24*18.322*LOOKUP(O26,密度!$A$2:$A$50,密度!$C$2:$C$50)</f>
        <v>116760.810942</v>
      </c>
      <c r="P25" s="91" ph="1">
        <f>P24*11.702*LOOKUP(P26,密度!$A$2:$A$50,密度!$B$2:$B$50)</f>
        <v>3300.7398426</v>
      </c>
      <c r="Q25" s="92" ph="1">
        <f>Q24*18.322*LOOKUP(Q26,密度!$A$2:$A$50,密度!$B$2:$B$50)</f>
        <v>7052.8853375999988</v>
      </c>
      <c r="R25" s="91" ph="1">
        <f>R24*35.891*LOOKUP(R26,密度!$A$2:$A$50,密度!$C$2:$C$50)</f>
        <v>186262.09064909996</v>
      </c>
      <c r="S25" s="91" ph="1">
        <f>S24*35.891*LOOKUP(S26,密度!$A$2:$A$50,密度!$B$2:$B$50)</f>
        <v>121394.35900239999</v>
      </c>
      <c r="T25" s="91" ph="1">
        <f>T24*35.891*LOOKUP(T26,密度!$A$2:$A$50,密度!$Q$2:$Q$50)</f>
        <v>7374.3687208799993</v>
      </c>
      <c r="U25" s="91" ph="1">
        <f>U24*35.891</f>
        <v>129997.20199999999</v>
      </c>
      <c r="V25" s="91" ph="1">
        <f>V24*47.051*LOOKUP(V26,密度!$A$2:$A$50,密度!$B$2:$B$50)</f>
        <v>220144.2655185</v>
      </c>
      <c r="W25" s="91" ph="1">
        <f>W24*47.051*LOOKUP(W26,密度!$A$2:$A$50,密度!$B$2:$B$50)</f>
        <v>179109.8180415</v>
      </c>
      <c r="X25" s="91" ph="1">
        <f>X24*47.051*LOOKUP(X26,密度!$A$2:$A$61,密度!$I$2:$I$61)</f>
        <v>333559.8258699</v>
      </c>
      <c r="Y25" s="91" ph="1">
        <f>Y24*47.051*LOOKUP(Y26,密度!$A$2:$A$50,密度!$L$2:$L$50)</f>
        <v>378423.99419699999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17</v>
      </c>
      <c r="H26" s="74">
        <v>16</v>
      </c>
      <c r="I26" s="74">
        <v>16</v>
      </c>
      <c r="J26" s="74">
        <v>15</v>
      </c>
      <c r="K26" s="74">
        <v>17</v>
      </c>
      <c r="L26" s="74">
        <v>17</v>
      </c>
      <c r="M26" s="74">
        <v>16</v>
      </c>
      <c r="N26" s="74">
        <v>18</v>
      </c>
      <c r="O26" s="74">
        <v>17</v>
      </c>
      <c r="P26" s="74">
        <v>18</v>
      </c>
      <c r="Q26" s="93">
        <v>16</v>
      </c>
      <c r="R26" s="74">
        <v>18</v>
      </c>
      <c r="S26" s="74">
        <v>17</v>
      </c>
      <c r="T26" s="74">
        <v>19</v>
      </c>
      <c r="U26" s="74">
        <v>17</v>
      </c>
      <c r="V26" s="74">
        <v>18</v>
      </c>
      <c r="W26" s="74">
        <v>18</v>
      </c>
      <c r="X26" s="74">
        <v>45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5.31</v>
      </c>
      <c r="E27" s="71">
        <v>5.39</v>
      </c>
      <c r="F27" s="71">
        <v>2496</v>
      </c>
      <c r="G27" s="71">
        <v>2948</v>
      </c>
      <c r="H27" s="71">
        <v>3523</v>
      </c>
      <c r="I27" s="71">
        <v>452</v>
      </c>
      <c r="J27" s="71">
        <v>325</v>
      </c>
      <c r="K27" s="71">
        <v>4992</v>
      </c>
      <c r="L27" s="71">
        <v>464</v>
      </c>
      <c r="M27" s="71">
        <v>3045</v>
      </c>
      <c r="N27" s="71">
        <v>443</v>
      </c>
      <c r="O27" s="71">
        <v>5716</v>
      </c>
      <c r="P27" s="71">
        <v>355</v>
      </c>
      <c r="Q27" s="90">
        <v>710</v>
      </c>
      <c r="R27" s="71">
        <v>4169</v>
      </c>
      <c r="S27" s="71">
        <v>4300</v>
      </c>
      <c r="T27" s="71">
        <v>214</v>
      </c>
      <c r="U27" s="71">
        <v>3540</v>
      </c>
      <c r="V27" s="71">
        <v>6429</v>
      </c>
      <c r="W27" s="71">
        <v>5464</v>
      </c>
      <c r="X27" s="71">
        <v>6469</v>
      </c>
      <c r="Y27" s="71">
        <v>6930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2833.300087992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27758.881512960001</v>
      </c>
      <c r="G28" s="91" ph="1">
        <f>G27*18.322*LOOKUP(G29,密度!$A$2:$A$50,密度!$B$2:$B$50)</f>
        <v>42438.215239199992</v>
      </c>
      <c r="H28" s="91" ph="1">
        <f>H27*18.322*LOOKUP(H29,密度!$A$2:$A$50,密度!$B$2:$B$50)</f>
        <v>50664.043869399997</v>
      </c>
      <c r="I28" s="91" ph="1">
        <f>I27*18.322*LOOKUP(I29,密度!$A$2:$A$50,密度!$Q$2:$Q$50)</f>
        <v>7870.6137867199996</v>
      </c>
      <c r="J28" s="91" ph="1">
        <f>J27*18.322*LOOKUP(J29,密度!$A$2:$A$50,密度!$Q$2:$Q$50)</f>
        <v>5646.19913</v>
      </c>
      <c r="K28" s="91" ph="1">
        <f>K27*18.322*LOOKUP(K29,密度!$A$2:$A$50,密度!$Q$2:$Q$50)</f>
        <v>87074.094282239996</v>
      </c>
      <c r="L28" s="91" ph="1">
        <f>L27*18.322*LOOKUP(L29,密度!$A$2:$A$50,密度!$Q$2:$Q$50)</f>
        <v>8093.4254300799994</v>
      </c>
      <c r="M28" s="91" ph="1">
        <f>M27*18.322*LOOKUP(M29,密度!$A$2:$A$50,密度!$Q$2:$Q$50)</f>
        <v>53157.178871999997</v>
      </c>
      <c r="N28" s="91" ph="1">
        <f>N27*18.322*LOOKUP(N29,密度!$A$2:$A$50,密度!$Q$2:$Q$50)</f>
        <v>7720.7971745799996</v>
      </c>
      <c r="O28" s="91" ph="1">
        <f>O27*18.322*LOOKUP(O29,密度!$A$2:$A$50,密度!$C$2:$C$50)</f>
        <v>116583.8240864</v>
      </c>
      <c r="P28" s="91" ph="1">
        <f>P27*11.702*LOOKUP(P29,密度!$A$2:$A$50,密度!$B$2:$B$50)</f>
        <v>3257.316061</v>
      </c>
      <c r="Q28" s="92" ph="1">
        <f>Q27*18.322*LOOKUP(Q29,密度!$A$2:$A$50,密度!$B$2:$B$50)</f>
        <v>10220.872733999999</v>
      </c>
      <c r="R28" s="91" ph="1">
        <f>R27*35.891*LOOKUP(R29,密度!$A$2:$A$50,密度!$C$2:$C$50)</f>
        <v>166672.38804809999</v>
      </c>
      <c r="S28" s="91" ph="1">
        <f>S27*35.891*LOOKUP(S29,密度!$A$2:$A$50,密度!$B$2:$B$50)</f>
        <v>121134.63737</v>
      </c>
      <c r="T28" s="91" ph="1">
        <f>T27*35.891*LOOKUP(T29,密度!$A$2:$A$50,密度!$Q$2:$Q$50)</f>
        <v>7318.1461872</v>
      </c>
      <c r="U28" s="91" ph="1">
        <f>U27*35.891</f>
        <v>127054.14</v>
      </c>
      <c r="V28" s="91" ph="1">
        <f>V27*47.051*LOOKUP(V29,密度!$A$2:$A$50,密度!$B$2:$B$50)</f>
        <v>238120.81994880002</v>
      </c>
      <c r="W28" s="91" ph="1">
        <f>W27*47.051*LOOKUP(W29,密度!$A$2:$A$50,密度!$B$2:$B$50)</f>
        <v>201787.32257360002</v>
      </c>
      <c r="X28" s="91" ph="1">
        <f>X27*47.051*LOOKUP(X29,密度!$A$2:$A$61,密度!$I$2:$I$61)</f>
        <v>310429.94008809997</v>
      </c>
      <c r="Y28" s="91" ph="1">
        <f>Y27*47.051*LOOKUP(Y29,密度!$A$2:$A$50,密度!$L$2:$L$50)</f>
        <v>307477.81448999996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18</v>
      </c>
      <c r="H29" s="74">
        <v>19</v>
      </c>
      <c r="I29" s="74">
        <v>20</v>
      </c>
      <c r="J29" s="74">
        <v>23</v>
      </c>
      <c r="K29" s="74">
        <v>18</v>
      </c>
      <c r="L29" s="74">
        <v>18</v>
      </c>
      <c r="M29" s="74">
        <v>17</v>
      </c>
      <c r="N29" s="74">
        <v>19</v>
      </c>
      <c r="O29" s="74">
        <v>19</v>
      </c>
      <c r="P29" s="74">
        <v>20</v>
      </c>
      <c r="Q29" s="93">
        <v>18</v>
      </c>
      <c r="R29" s="74">
        <v>18</v>
      </c>
      <c r="S29" s="74">
        <v>19</v>
      </c>
      <c r="T29" s="74">
        <v>17</v>
      </c>
      <c r="U29" s="74">
        <v>20</v>
      </c>
      <c r="V29" s="74">
        <v>16</v>
      </c>
      <c r="W29" s="74">
        <v>19</v>
      </c>
      <c r="X29" s="74">
        <v>45</v>
      </c>
      <c r="Y29" s="74">
        <v>19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228335.91004380002</v>
      </c>
      <c r="E33" s="187" ph="1">
        <f>M10+I10</f>
        <v>85734.359937800007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3" ph="1">
        <f>N19</f>
        <v>3115.4644481999999</v>
      </c>
      <c r="H33" s="187" ph="1">
        <f>M19</f>
        <v>18836.577356040001</v>
      </c>
      <c r="I33" s="191" ph="1">
        <v>0</v>
      </c>
      <c r="J33" s="195" ph="1">
        <f>F10+O28</f>
        <v>290253.42572240002</v>
      </c>
      <c r="K33" s="187" ph="1">
        <f>O10+K10+E28+R28</f>
        <v>276542.70459998003</v>
      </c>
      <c r="L33" s="197" ph="1">
        <f>K19</f>
        <v>36124.196718719999</v>
      </c>
      <c r="M33" s="195" ph="1">
        <f>G10+H10+W28+S28+V28+E10+R19+P28+Q28</f>
        <v>949764.55480624002</v>
      </c>
      <c r="N33" s="187" ph="1">
        <f>L10+P10++G28+H28+AD19+AE19</f>
        <v>320211.99383319996</v>
      </c>
      <c r="O33" s="191" ph="1">
        <f>G19</f>
        <v>25754.781972960001</v>
      </c>
      <c r="P33" s="195" ph="1">
        <f>L19</f>
        <v>26637.762332000002</v>
      </c>
      <c r="Q33" s="187" ph="1">
        <f>J10+N10</f>
        <v>52218.177375700005</v>
      </c>
      <c r="R33" s="191" ph="1">
        <f>BE23</f>
        <v>890</v>
      </c>
      <c r="S33" s="195" ph="1">
        <f>X28</f>
        <v>310429.94008809997</v>
      </c>
      <c r="T33" s="187" ph="1">
        <f>X19</f>
        <v>6656.7439352000001</v>
      </c>
      <c r="U33" s="176" ph="1">
        <f>BE21</f>
        <v>730</v>
      </c>
      <c r="V33" s="189" ph="1">
        <f ca="1">P19+Q19+S19+M28+N28+J28+D10+AC10+D19+E19+H19+J19+O19+V19+W19+K28+L28</f>
        <v>739269.51787412795</v>
      </c>
      <c r="W33" s="189" ph="1">
        <f>D28+F28+T28+I28</f>
        <v>45780.941574872006</v>
      </c>
      <c r="X33" s="191" ph="1">
        <f>BE29+BE31</f>
        <v>10200</v>
      </c>
      <c r="Y33" s="193" ph="1">
        <f>+Q10+R10+S10+T10+U10+V10+W10+X10+Y10</f>
        <v>19339.230141</v>
      </c>
      <c r="Z33" s="174" ph="1">
        <f>T19+U19+Y28+Z10</f>
        <v>486226.98737081996</v>
      </c>
      <c r="AA33" s="176" ph="1">
        <f>BE19</f>
        <v>1440</v>
      </c>
      <c r="AB33" s="178" ph="1">
        <f>I19</f>
        <v>2108.2836688000002</v>
      </c>
      <c r="AC33" s="180" ph="1">
        <f>AD10+AB19</f>
        <v>155135.9222262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19" priority="100">
      <formula>ABS(D$7-D$10)&gt;=1000</formula>
    </cfRule>
  </conditionalFormatting>
  <conditionalFormatting sqref="E4 E6:E11">
    <cfRule type="expression" dxfId="1818" priority="99">
      <formula>ABS(E$7-E$10)&gt;=1000</formula>
    </cfRule>
  </conditionalFormatting>
  <conditionalFormatting sqref="F4:F11">
    <cfRule type="expression" dxfId="1817" priority="98">
      <formula>ABS(F$7-F$10)&gt;=1000</formula>
    </cfRule>
  </conditionalFormatting>
  <conditionalFormatting sqref="G4:G11">
    <cfRule type="expression" dxfId="1816" priority="97">
      <formula>ABS(G$7-G$10)&gt;=1000</formula>
    </cfRule>
  </conditionalFormatting>
  <conditionalFormatting sqref="H4:H11">
    <cfRule type="expression" dxfId="1815" priority="96">
      <formula>ABS(H$7-H$10)&gt;=1000</formula>
    </cfRule>
  </conditionalFormatting>
  <conditionalFormatting sqref="I4:I11">
    <cfRule type="expression" dxfId="1814" priority="95">
      <formula>ABS(I$7-I$10)&gt;=1000</formula>
    </cfRule>
  </conditionalFormatting>
  <conditionalFormatting sqref="J4:J11">
    <cfRule type="expression" dxfId="1813" priority="94">
      <formula>ABS(J$7-J$10)&gt;=1000</formula>
    </cfRule>
  </conditionalFormatting>
  <conditionalFormatting sqref="K4:K11">
    <cfRule type="expression" dxfId="1812" priority="93">
      <formula>ABS(K$7-K$10)&gt;=1000</formula>
    </cfRule>
  </conditionalFormatting>
  <conditionalFormatting sqref="L4:L11">
    <cfRule type="expression" dxfId="1811" priority="92">
      <formula>ABS(L$7-L$10)&gt;=1000</formula>
    </cfRule>
  </conditionalFormatting>
  <conditionalFormatting sqref="M4 M6:M11">
    <cfRule type="expression" dxfId="1810" priority="91">
      <formula>ABS(M$7-M$10)&gt;=1000</formula>
    </cfRule>
  </conditionalFormatting>
  <conditionalFormatting sqref="N4 N6:N11">
    <cfRule type="expression" dxfId="1809" priority="90">
      <formula>ABS(N$7-N$10)&gt;=1000</formula>
    </cfRule>
  </conditionalFormatting>
  <conditionalFormatting sqref="O4 O6:O11">
    <cfRule type="expression" dxfId="1808" priority="89">
      <formula>ABS(O$7-O$10)&gt;=1000</formula>
    </cfRule>
  </conditionalFormatting>
  <conditionalFormatting sqref="P4 P6:P11">
    <cfRule type="expression" dxfId="1807" priority="88">
      <formula>ABS(P$7-P$10)&gt;=1000</formula>
    </cfRule>
  </conditionalFormatting>
  <conditionalFormatting sqref="Q4:Q11">
    <cfRule type="expression" dxfId="1806" priority="87">
      <formula>ABS(Q$7-Q$10)&gt;=1000</formula>
    </cfRule>
  </conditionalFormatting>
  <conditionalFormatting sqref="R4:R11">
    <cfRule type="expression" dxfId="1805" priority="86">
      <formula>ABS(R$7-R$10)&gt;=1000</formula>
    </cfRule>
  </conditionalFormatting>
  <conditionalFormatting sqref="S4:S11">
    <cfRule type="expression" dxfId="1804" priority="85">
      <formula>ABS(S$7-S$10)&gt;=1000</formula>
    </cfRule>
  </conditionalFormatting>
  <conditionalFormatting sqref="T4:T9 T11">
    <cfRule type="expression" dxfId="1803" priority="84">
      <formula>ABS(T$7-T$10)&gt;=1000</formula>
    </cfRule>
  </conditionalFormatting>
  <conditionalFormatting sqref="U4:U9 U11">
    <cfRule type="expression" dxfId="1802" priority="83">
      <formula>ABS(U$7-U$10)&gt;=1000</formula>
    </cfRule>
  </conditionalFormatting>
  <conditionalFormatting sqref="V4:V9 V11">
    <cfRule type="expression" dxfId="1801" priority="82">
      <formula>ABS(V$7-V$10)&gt;=1000</formula>
    </cfRule>
  </conditionalFormatting>
  <conditionalFormatting sqref="W4:W9 W11">
    <cfRule type="expression" dxfId="1800" priority="81">
      <formula>ABS(W$7-W$10)&gt;=1000</formula>
    </cfRule>
  </conditionalFormatting>
  <conditionalFormatting sqref="X4:X9 X11">
    <cfRule type="expression" dxfId="1799" priority="80">
      <formula>ABS(X$7-X$10)&gt;=1000</formula>
    </cfRule>
  </conditionalFormatting>
  <conditionalFormatting sqref="Y4:Y9 Y11">
    <cfRule type="expression" dxfId="1798" priority="79">
      <formula>ABS(Y$7-Y$10)&gt;=1000</formula>
    </cfRule>
  </conditionalFormatting>
  <conditionalFormatting sqref="Z4:Z11">
    <cfRule type="expression" dxfId="1797" priority="78">
      <formula>ABS(Z$7-Z$10)&gt;=1000</formula>
    </cfRule>
  </conditionalFormatting>
  <conditionalFormatting sqref="AA4:AA11">
    <cfRule type="expression" dxfId="1796" priority="77">
      <formula>ABS(AA$7-AA$10)&gt;=1000</formula>
    </cfRule>
  </conditionalFormatting>
  <conditionalFormatting sqref="AB4:AB11">
    <cfRule type="expression" dxfId="1795" priority="76">
      <formula>ABS(AB$7-AB$10)&gt;=1000</formula>
    </cfRule>
  </conditionalFormatting>
  <conditionalFormatting sqref="AC4 AC6:AC11">
    <cfRule type="expression" dxfId="1794" priority="75">
      <formula>ABS(AC$7-AC$10)&gt;=1000</formula>
    </cfRule>
  </conditionalFormatting>
  <conditionalFormatting sqref="AD4 AD6:AD11">
    <cfRule type="expression" dxfId="1793" priority="74">
      <formula>ABS(AD$7-AD$10)&gt;=1000</formula>
    </cfRule>
  </conditionalFormatting>
  <conditionalFormatting sqref="AE4 AE6:AE11">
    <cfRule type="expression" dxfId="1792" priority="73">
      <formula>ABS(AE$7-AE$10)&gt;=1000</formula>
    </cfRule>
  </conditionalFormatting>
  <conditionalFormatting sqref="D13:D20">
    <cfRule type="expression" dxfId="1791" priority="72">
      <formula>ABS(D$16-D$19)&gt;=1000</formula>
    </cfRule>
  </conditionalFormatting>
  <conditionalFormatting sqref="E13:E20">
    <cfRule type="expression" dxfId="1790" priority="71">
      <formula>ABS(E$16-E$19)&gt;=1000</formula>
    </cfRule>
  </conditionalFormatting>
  <conditionalFormatting sqref="F13 F15:F20">
    <cfRule type="expression" dxfId="1789" priority="70">
      <formula>ABS(F$16-F$19)&gt;=1000</formula>
    </cfRule>
  </conditionalFormatting>
  <conditionalFormatting sqref="G13:G20">
    <cfRule type="expression" dxfId="1788" priority="69">
      <formula>ABS(G$16-G$19)&gt;=1000</formula>
    </cfRule>
  </conditionalFormatting>
  <conditionalFormatting sqref="H13 H15:H20">
    <cfRule type="expression" dxfId="1787" priority="68">
      <formula>ABS(H$16-H$19)&gt;=1000</formula>
    </cfRule>
  </conditionalFormatting>
  <conditionalFormatting sqref="I13:I20">
    <cfRule type="expression" dxfId="1786" priority="67">
      <formula>ABS(I$16-I$19)&gt;=1000</formula>
    </cfRule>
  </conditionalFormatting>
  <conditionalFormatting sqref="J13:J20">
    <cfRule type="expression" dxfId="1785" priority="66">
      <formula>ABS(J$16-J$19)&gt;=1000</formula>
    </cfRule>
  </conditionalFormatting>
  <conditionalFormatting sqref="L13:L20">
    <cfRule type="expression" dxfId="1784" priority="65">
      <formula>ABS(L$16-L$19)&gt;=1000</formula>
    </cfRule>
  </conditionalFormatting>
  <conditionalFormatting sqref="M13 M15 M17:M18 M20">
    <cfRule type="expression" dxfId="1783" priority="64">
      <formula>ABS(M$16-M$19)&gt;=1000</formula>
    </cfRule>
  </conditionalFormatting>
  <conditionalFormatting sqref="N13:N20">
    <cfRule type="expression" dxfId="1782" priority="63">
      <formula>ABS(N$16-N$19)&gt;=1000</formula>
    </cfRule>
  </conditionalFormatting>
  <conditionalFormatting sqref="O13:O20">
    <cfRule type="expression" dxfId="1781" priority="62">
      <formula>ABS(O$16-O$19)&gt;=1000</formula>
    </cfRule>
  </conditionalFormatting>
  <conditionalFormatting sqref="P13:P20">
    <cfRule type="expression" dxfId="1780" priority="61">
      <formula>ABS(P$16-P$19)&gt;=1000</formula>
    </cfRule>
  </conditionalFormatting>
  <conditionalFormatting sqref="Q13 Q15:Q20">
    <cfRule type="expression" dxfId="1779" priority="60">
      <formula>ABS(Q$16-Q$19)&gt;=1000</formula>
    </cfRule>
  </conditionalFormatting>
  <conditionalFormatting sqref="R13:R20">
    <cfRule type="expression" dxfId="1778" priority="59">
      <formula>ABS(R$16-R$19)&gt;=1000</formula>
    </cfRule>
  </conditionalFormatting>
  <conditionalFormatting sqref="S13:S20">
    <cfRule type="expression" dxfId="1777" priority="58">
      <formula>ABS(S$16-S$19)&gt;=1000</formula>
    </cfRule>
  </conditionalFormatting>
  <conditionalFormatting sqref="T13:T20">
    <cfRule type="expression" dxfId="1776" priority="57">
      <formula>ABS(T$16-T$19)&gt;=1000</formula>
    </cfRule>
  </conditionalFormatting>
  <conditionalFormatting sqref="U13:U20">
    <cfRule type="expression" dxfId="1775" priority="56">
      <formula>ABS(U$16-U$19)&gt;=1000</formula>
    </cfRule>
  </conditionalFormatting>
  <conditionalFormatting sqref="V13:V20">
    <cfRule type="expression" dxfId="1774" priority="55">
      <formula>ABS(V$16-V$19)&gt;=1000</formula>
    </cfRule>
  </conditionalFormatting>
  <conditionalFormatting sqref="W13 W20 W15:W18">
    <cfRule type="expression" dxfId="1773" priority="54">
      <formula>ABS(W$16-W$19)&gt;=1000</formula>
    </cfRule>
  </conditionalFormatting>
  <conditionalFormatting sqref="X13 X15:X20 Y19">
    <cfRule type="expression" dxfId="1772" priority="53">
      <formula>ABS(X$16-X$19)&gt;=1000</formula>
    </cfRule>
  </conditionalFormatting>
  <conditionalFormatting sqref="Y13 Y15:Y18 Y20">
    <cfRule type="expression" dxfId="1771" priority="52">
      <formula>ABS(Y$16-Y$19)&gt;=1000</formula>
    </cfRule>
  </conditionalFormatting>
  <conditionalFormatting sqref="Z13:Z20">
    <cfRule type="expression" dxfId="1770" priority="51">
      <formula>ABS(Z$16-Z$19)&gt;=1000</formula>
    </cfRule>
  </conditionalFormatting>
  <conditionalFormatting sqref="AA13:AA20">
    <cfRule type="expression" dxfId="1769" priority="50">
      <formula>ABS(AA$16-AA$19)&gt;=1000</formula>
    </cfRule>
  </conditionalFormatting>
  <conditionalFormatting sqref="AB13 AB15:AB20">
    <cfRule type="expression" dxfId="1768" priority="49">
      <formula>ABS(AB$16-AB$19)&gt;=1000</formula>
    </cfRule>
  </conditionalFormatting>
  <conditionalFormatting sqref="AC13 AC15:AC20">
    <cfRule type="expression" dxfId="1767" priority="48">
      <formula>ABS(AC$16-AC$19)&gt;=1000</formula>
    </cfRule>
  </conditionalFormatting>
  <conditionalFormatting sqref="AD13:AD20">
    <cfRule type="expression" dxfId="1766" priority="47">
      <formula>ABS(AD$16-AD$19)&gt;=1000</formula>
    </cfRule>
  </conditionalFormatting>
  <conditionalFormatting sqref="AE13:AE20">
    <cfRule type="expression" dxfId="1765" priority="46">
      <formula>ABS(AE$16-AE$19)&gt;=1000</formula>
    </cfRule>
  </conditionalFormatting>
  <conditionalFormatting sqref="D22:D29">
    <cfRule type="expression" dxfId="1764" priority="45">
      <formula>ABS(D$25-D$28)&gt;=1000</formula>
    </cfRule>
  </conditionalFormatting>
  <conditionalFormatting sqref="E22:E29">
    <cfRule type="expression" dxfId="1763" priority="44">
      <formula>ABS(E$25-E$28)&gt;=1000</formula>
    </cfRule>
  </conditionalFormatting>
  <conditionalFormatting sqref="F22:F29">
    <cfRule type="expression" dxfId="1762" priority="43">
      <formula>ABS(F$25-F$28)&gt;=1000</formula>
    </cfRule>
  </conditionalFormatting>
  <conditionalFormatting sqref="G22:G29">
    <cfRule type="expression" dxfId="1761" priority="42">
      <formula>ABS(G$25-G$28)&gt;=1000</formula>
    </cfRule>
  </conditionalFormatting>
  <conditionalFormatting sqref="H22:H29">
    <cfRule type="expression" dxfId="1760" priority="41">
      <formula>ABS(H$25-H$28)&gt;=1000</formula>
    </cfRule>
  </conditionalFormatting>
  <conditionalFormatting sqref="I22 I24:I29">
    <cfRule type="expression" dxfId="1759" priority="40">
      <formula>ABS(I$25-I$28)&gt;=1000</formula>
    </cfRule>
  </conditionalFormatting>
  <conditionalFormatting sqref="J22:J29 K22">
    <cfRule type="expression" dxfId="1758" priority="39">
      <formula>ABS(J$25-J$28)&gt;=1000</formula>
    </cfRule>
  </conditionalFormatting>
  <conditionalFormatting sqref="K23:K29 L25 L28">
    <cfRule type="expression" dxfId="1757" priority="38">
      <formula>ABS(K$25-K$28)&gt;=1000</formula>
    </cfRule>
  </conditionalFormatting>
  <conditionalFormatting sqref="L22 L26:L27 L29 L24">
    <cfRule type="expression" dxfId="1756" priority="37">
      <formula>ABS(L$25-L$28)&gt;=1000</formula>
    </cfRule>
  </conditionalFormatting>
  <conditionalFormatting sqref="M22:M29">
    <cfRule type="expression" dxfId="1755" priority="36">
      <formula>ABS(M$25-M$28)&gt;=1000</formula>
    </cfRule>
  </conditionalFormatting>
  <conditionalFormatting sqref="N22:N29">
    <cfRule type="expression" dxfId="1754" priority="35">
      <formula>ABS(N$25-N$28)&gt;=1000</formula>
    </cfRule>
  </conditionalFormatting>
  <conditionalFormatting sqref="O22:O29">
    <cfRule type="expression" dxfId="1753" priority="34">
      <formula>ABS(O$25-O$28)&gt;=1000</formula>
    </cfRule>
  </conditionalFormatting>
  <conditionalFormatting sqref="P22:P29">
    <cfRule type="expression" dxfId="1752" priority="33">
      <formula>ABS(P$25-P$28)&gt;=1000</formula>
    </cfRule>
  </conditionalFormatting>
  <conditionalFormatting sqref="Q22:Q29">
    <cfRule type="expression" dxfId="1751" priority="32">
      <formula>ABS(Q$25-Q$28)&gt;=1000</formula>
    </cfRule>
  </conditionalFormatting>
  <conditionalFormatting sqref="R22:R29">
    <cfRule type="expression" dxfId="1750" priority="31">
      <formula>ABS(R$25-R$28)&gt;=1000</formula>
    </cfRule>
  </conditionalFormatting>
  <conditionalFormatting sqref="S22:S29">
    <cfRule type="expression" dxfId="1749" priority="30">
      <formula>ABS(S$25-S$28)&gt;=1000</formula>
    </cfRule>
  </conditionalFormatting>
  <conditionalFormatting sqref="T22:T29">
    <cfRule type="expression" dxfId="1748" priority="29">
      <formula>ABS(T$25-T$28)&gt;=1000</formula>
    </cfRule>
  </conditionalFormatting>
  <conditionalFormatting sqref="U22:U29">
    <cfRule type="expression" dxfId="1747" priority="28">
      <formula>ABS(U$25-U$28)&gt;=1000</formula>
    </cfRule>
  </conditionalFormatting>
  <conditionalFormatting sqref="V22:V29">
    <cfRule type="expression" dxfId="1746" priority="27">
      <formula>ABS(V$25-V$28)&gt;=1000</formula>
    </cfRule>
  </conditionalFormatting>
  <conditionalFormatting sqref="W22:W29">
    <cfRule type="expression" dxfId="1745" priority="26">
      <formula>ABS(W$25-W$28)&gt;=1000</formula>
    </cfRule>
  </conditionalFormatting>
  <conditionalFormatting sqref="X22:X29">
    <cfRule type="expression" dxfId="1744" priority="25">
      <formula>ABS(X$25-X$28)&gt;=1000</formula>
    </cfRule>
  </conditionalFormatting>
  <conditionalFormatting sqref="Y22:Y29">
    <cfRule type="expression" dxfId="1743" priority="24">
      <formula>ABS(Y$25-Y$28)&gt;=1000</formula>
    </cfRule>
  </conditionalFormatting>
  <conditionalFormatting sqref="I23">
    <cfRule type="expression" dxfId="1742" priority="23">
      <formula>ABS(I$25-I$28)&gt;=1000</formula>
    </cfRule>
  </conditionalFormatting>
  <conditionalFormatting sqref="Q14">
    <cfRule type="expression" dxfId="1741" priority="22">
      <formula>ABS(Q$16-Q$19)&gt;=1000</formula>
    </cfRule>
  </conditionalFormatting>
  <conditionalFormatting sqref="W14">
    <cfRule type="expression" dxfId="1740" priority="21">
      <formula>ABS(W$16-W$19)&gt;=1000</formula>
    </cfRule>
  </conditionalFormatting>
  <conditionalFormatting sqref="X14">
    <cfRule type="expression" dxfId="1739" priority="20">
      <formula>ABS(X$16-X$19)&gt;=1000</formula>
    </cfRule>
  </conditionalFormatting>
  <conditionalFormatting sqref="T10:Y10">
    <cfRule type="expression" dxfId="1738" priority="19">
      <formula>ABS(T$7-T$10)&gt;=1000</formula>
    </cfRule>
  </conditionalFormatting>
  <conditionalFormatting sqref="W19">
    <cfRule type="expression" dxfId="1737" priority="18">
      <formula>ABS(W$16-W$19)&gt;=1000</formula>
    </cfRule>
  </conditionalFormatting>
  <conditionalFormatting sqref="AC5">
    <cfRule type="expression" dxfId="1736" priority="17">
      <formula>ABS(AC$7-AC$10)&gt;=1000</formula>
    </cfRule>
  </conditionalFormatting>
  <conditionalFormatting sqref="M14">
    <cfRule type="expression" dxfId="1735" priority="16">
      <formula>ABS(M$16-M$19)&gt;=1000</formula>
    </cfRule>
  </conditionalFormatting>
  <conditionalFormatting sqref="M16">
    <cfRule type="expression" dxfId="1734" priority="15">
      <formula>ABS(M$16-M$19)&gt;=1000</formula>
    </cfRule>
  </conditionalFormatting>
  <conditionalFormatting sqref="M19">
    <cfRule type="expression" dxfId="1733" priority="14">
      <formula>ABS(M$16-M$19)&gt;=1000</formula>
    </cfRule>
  </conditionalFormatting>
  <conditionalFormatting sqref="K13:K20">
    <cfRule type="expression" dxfId="1732" priority="13">
      <formula>ABS(K$16-K$19)&gt;=1000</formula>
    </cfRule>
  </conditionalFormatting>
  <conditionalFormatting sqref="E5">
    <cfRule type="expression" dxfId="1731" priority="12">
      <formula>ABS(E$7-E$10)&gt;=1000</formula>
    </cfRule>
  </conditionalFormatting>
  <conditionalFormatting sqref="AB14:AC14">
    <cfRule type="expression" dxfId="1730" priority="11">
      <formula>ABS(AB$16-AB$19)&gt;=1000</formula>
    </cfRule>
  </conditionalFormatting>
  <conditionalFormatting sqref="M5">
    <cfRule type="expression" dxfId="1729" priority="10">
      <formula>ABS(M$7-M$10)&gt;=1000</formula>
    </cfRule>
  </conditionalFormatting>
  <conditionalFormatting sqref="N5">
    <cfRule type="expression" dxfId="1728" priority="9">
      <formula>ABS(N$7-N$10)&gt;=1000</formula>
    </cfRule>
  </conditionalFormatting>
  <conditionalFormatting sqref="O5">
    <cfRule type="expression" dxfId="1727" priority="8">
      <formula>ABS(O$7-O$10)&gt;=1000</formula>
    </cfRule>
  </conditionalFormatting>
  <conditionalFormatting sqref="P5">
    <cfRule type="expression" dxfId="1726" priority="7">
      <formula>ABS(P$7-P$10)&gt;=1000</formula>
    </cfRule>
  </conditionalFormatting>
  <conditionalFormatting sqref="L23">
    <cfRule type="expression" dxfId="1725" priority="6">
      <formula>ABS(L$25-L$28)&gt;=1000</formula>
    </cfRule>
  </conditionalFormatting>
  <conditionalFormatting sqref="Y14">
    <cfRule type="expression" dxfId="1724" priority="5">
      <formula>ABS(Y$16-Y$19)&gt;=1000</formula>
    </cfRule>
  </conditionalFormatting>
  <conditionalFormatting sqref="F14">
    <cfRule type="expression" dxfId="1723" priority="4">
      <formula>ABS(F$16-F$19)&gt;=1000</formula>
    </cfRule>
  </conditionalFormatting>
  <conditionalFormatting sqref="H14">
    <cfRule type="expression" dxfId="1722" priority="3">
      <formula>ABS(H$16-H$19)&gt;=1000</formula>
    </cfRule>
  </conditionalFormatting>
  <conditionalFormatting sqref="AD5">
    <cfRule type="expression" dxfId="1721" priority="2">
      <formula>ABS(AD$7-AD$10)&gt;=1000</formula>
    </cfRule>
  </conditionalFormatting>
  <conditionalFormatting sqref="AE5">
    <cfRule type="expression" dxfId="17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93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4">
    <pageSetUpPr fitToPage="1"/>
  </sheetPr>
  <dimension ref="A1:CU223"/>
  <sheetViews>
    <sheetView view="pageBreakPreview" zoomScale="70" zoomScaleNormal="100" zoomScaleSheetLayoutView="70" workbookViewId="0">
      <selection activeCell="AC9" sqref="AC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2907</v>
      </c>
      <c r="E6" s="71">
        <v>383</v>
      </c>
      <c r="F6" s="71">
        <v>4698</v>
      </c>
      <c r="G6" s="71">
        <v>3977</v>
      </c>
      <c r="H6" s="71">
        <v>2492</v>
      </c>
      <c r="I6" s="71">
        <v>53.2</v>
      </c>
      <c r="J6" s="71">
        <v>6.61</v>
      </c>
      <c r="K6" s="71">
        <v>61.76</v>
      </c>
      <c r="L6" s="71">
        <v>32.57</v>
      </c>
      <c r="M6" s="71">
        <v>2038</v>
      </c>
      <c r="N6" s="71">
        <v>1930</v>
      </c>
      <c r="O6" s="71">
        <v>3799</v>
      </c>
      <c r="P6" s="71">
        <v>5465</v>
      </c>
      <c r="Q6" s="71">
        <v>657</v>
      </c>
      <c r="R6" s="71">
        <v>6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2</v>
      </c>
      <c r="Z6" s="71">
        <v>3747</v>
      </c>
      <c r="AA6" s="71">
        <v>4226</v>
      </c>
      <c r="AB6" s="71">
        <v>3934</v>
      </c>
      <c r="AC6" s="71">
        <v>6275</v>
      </c>
      <c r="AD6" s="71">
        <v>4780</v>
      </c>
      <c r="AE6" s="71">
        <v>4137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91758.481416630006</v>
      </c>
      <c r="E7" s="73" ph="1">
        <f>E6*51.53*LOOKUP(E8,密度!$A$2:$A$50,密度!$B$2:$B$50)</f>
        <v>15585.511303000001</v>
      </c>
      <c r="F7" s="73" ph="1">
        <f>F6*33.183*LOOKUP(F8,密度!$A$2:$A$50,密度!$C$2:$C$50)</f>
        <v>173946.22839719997</v>
      </c>
      <c r="G7" s="73" ph="1">
        <f xml:space="preserve"> (G6+2)*51.53*LOOKUP(G8,密度!$A$2:$A$50,密度!$B$2:$B$50)</f>
        <v>161405.81126399999</v>
      </c>
      <c r="H7" s="73" ph="1">
        <f>(H6)*51.53*LOOKUP(H8,密度!$A$2:$A$50,密度!$B$2:$B$50)</f>
        <v>101523.128056</v>
      </c>
      <c r="I7" s="73" ph="1">
        <f>I6*290.8*1.0267</f>
        <v>15883.623952</v>
      </c>
      <c r="J7" s="73" ph="1">
        <f>J6*290.8*0.7892</f>
        <v>1516.9907696</v>
      </c>
      <c r="K7" s="73" ph="1">
        <f>K6*290.8*1.1126</f>
        <v>19982.082380800002</v>
      </c>
      <c r="L7" s="73" ph="1">
        <f>L6*290.8*0.777</f>
        <v>7359.2436120000002</v>
      </c>
      <c r="M7" s="73" ph="1">
        <f>M6*33.183*LOOKUP(M8,密度!$A$2:$A$50,密度!$D$2:$D$50)</f>
        <v>70034.473562400002</v>
      </c>
      <c r="N7" s="73" ph="1">
        <f>N6*33.183*LOOKUP(N8,密度!$A$2:$A$50,密度!$E$2:$E$50)</f>
        <v>50754.228074999999</v>
      </c>
      <c r="O7" s="73" ph="1">
        <f>O6*20.428*LOOKUP(O8,密度!$A$2:$A$50,密度!$C$2:$C$50)</f>
        <v>86290.080266800025</v>
      </c>
      <c r="P7" s="73" ph="1">
        <f>P6*51.53*LOOKUP(P8,密度!$A$2:$A$50,密度!$B$2:$B$50)</f>
        <v>222163.27290500002</v>
      </c>
      <c r="Q7" s="73" ph="1">
        <f>Q6*1.5*1.5*3.1416*LOOKUP(W8,密度!$A$2:$A$50,密度!$L$2:$L$50)</f>
        <v>4402.5785495999999</v>
      </c>
      <c r="R7" s="73" ph="1">
        <f>R6*1.5*1.5*3.1416*LOOKUP(R8,密度!$A$2:$A$50,密度!$L$2:$L$50)</f>
        <v>39.951727200000001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13.402065599999998</v>
      </c>
      <c r="Z7" s="73" ph="1">
        <f>Z6*33.183*LOOKUP(Z8,密度!$A$2:$A$50,密度!$L$2:$L$50)</f>
        <v>117995.529249</v>
      </c>
      <c r="AA7" s="73" ph="1">
        <f>AA6*33.183*LOOKUP(AA8,密度!$A$2:$A$50,密度!$D$2:$D$50)</f>
        <v>145476.01078920002</v>
      </c>
      <c r="AB7" s="73" ph="1">
        <f>AB6*20.428*LOOKUP(AB8,密度!$A$2:$A$50,密度!$D$2:$D$50)</f>
        <v>83722.956833600008</v>
      </c>
      <c r="AC7" s="73" ph="1">
        <f>AC6*51.53*LOOKUP(AC8,密度!$A$2:$A$50,密度!$Q$2:$Q$50)</f>
        <v>308651.22490500001</v>
      </c>
      <c r="AD7" s="73" ph="1">
        <f>AD6*20.428*LOOKUP(AD8,密度!$A$2:$A$50,密度!$V$2:$V$50)</f>
        <v>94130.589760000003</v>
      </c>
      <c r="AE7" s="73" ph="1">
        <f>AE6*20.428</f>
        <v>84510.635999999999</v>
      </c>
    </row>
    <row r="8" spans="1:99" ph="1">
      <c r="B8" s="238" ph="1"/>
      <c r="C8" s="68" t="s" ph="1">
        <v>179</v>
      </c>
      <c r="D8" s="74">
        <v>19</v>
      </c>
      <c r="E8" s="74">
        <v>13</v>
      </c>
      <c r="F8" s="74">
        <v>15</v>
      </c>
      <c r="G8" s="74">
        <v>16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21</v>
      </c>
      <c r="P8" s="74">
        <v>14</v>
      </c>
      <c r="Q8" s="74">
        <v>16</v>
      </c>
      <c r="R8" s="74">
        <v>20</v>
      </c>
      <c r="S8" s="74">
        <v>11</v>
      </c>
      <c r="T8" s="74">
        <v>9</v>
      </c>
      <c r="U8" s="74">
        <v>13</v>
      </c>
      <c r="V8" s="74">
        <v>20</v>
      </c>
      <c r="W8" s="74">
        <v>14</v>
      </c>
      <c r="X8" s="74">
        <v>5</v>
      </c>
      <c r="Y8" s="74">
        <v>14</v>
      </c>
      <c r="Z8" s="74">
        <v>13</v>
      </c>
      <c r="AA8" s="74">
        <v>13</v>
      </c>
      <c r="AB8" s="74">
        <v>8</v>
      </c>
      <c r="AC8" s="74">
        <v>13</v>
      </c>
      <c r="AD8" s="74">
        <v>13</v>
      </c>
      <c r="AE8" s="74">
        <v>12</v>
      </c>
    </row>
    <row r="9" spans="1:99" ht="26.4" ph="1">
      <c r="B9" s="238" ph="1">
        <v>0.66666666666666663</v>
      </c>
      <c r="C9" s="156" t="s" ph="1">
        <v>180</v>
      </c>
      <c r="D9" s="71">
        <v>3248</v>
      </c>
      <c r="E9" s="71">
        <v>88</v>
      </c>
      <c r="F9" s="71">
        <v>4696</v>
      </c>
      <c r="G9" s="71">
        <v>5272</v>
      </c>
      <c r="H9" s="71">
        <v>2208</v>
      </c>
      <c r="I9" s="71">
        <v>53.2</v>
      </c>
      <c r="J9" s="71">
        <v>6.66</v>
      </c>
      <c r="K9" s="71">
        <v>61.72</v>
      </c>
      <c r="L9" s="71">
        <v>29.61</v>
      </c>
      <c r="M9" s="71">
        <v>2037</v>
      </c>
      <c r="N9" s="71">
        <v>1933</v>
      </c>
      <c r="O9" s="71">
        <v>2875</v>
      </c>
      <c r="P9" s="71">
        <v>5337</v>
      </c>
      <c r="Q9" s="71">
        <v>4823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1</v>
      </c>
      <c r="Z9" s="71">
        <v>4754</v>
      </c>
      <c r="AA9" s="71">
        <v>4424</v>
      </c>
      <c r="AB9" s="71">
        <v>3837</v>
      </c>
      <c r="AC9" s="71">
        <v>5166</v>
      </c>
      <c r="AD9" s="71">
        <v>4780</v>
      </c>
      <c r="AE9" s="71">
        <v>3975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102356.05350096001</v>
      </c>
      <c r="E10" s="73" ph="1">
        <f>E9*51.53*LOOKUP(E11,密度!$A$2:$A$50,密度!$B$2:$B$50)</f>
        <v>3559.2389360000006</v>
      </c>
      <c r="F10" s="73" ph="1">
        <f>F9*33.183*LOOKUP(F11,密度!$A$2:$A$50,密度!$C$2:$C$50)</f>
        <v>173669.60163600001</v>
      </c>
      <c r="G10" s="73" ph="1">
        <f xml:space="preserve"> (G9+2)*51.53*LOOKUP(G11,密度!$A$2:$A$50,密度!$B$2:$B$50)</f>
        <v>213719.31460800002</v>
      </c>
      <c r="H10" s="73" ph="1">
        <f>(H9)*51.53*LOOKUP(H11,密度!$A$2:$A$50,密度!$B$2:$B$50)</f>
        <v>89475.207936000006</v>
      </c>
      <c r="I10" s="73" ph="1">
        <f>I9*290.8*1.0267</f>
        <v>15883.623952</v>
      </c>
      <c r="J10" s="73" ph="1">
        <f>J9*290.8*0.7892</f>
        <v>1528.4657376</v>
      </c>
      <c r="K10" s="73" ph="1">
        <f>K9*290.8*1.1126</f>
        <v>19969.140617599998</v>
      </c>
      <c r="L10" s="73" ph="1">
        <f>L9*290.8*0.777</f>
        <v>6690.4268760000004</v>
      </c>
      <c r="M10" s="73" ph="1">
        <f>M9*33.183*LOOKUP(M11,密度!$A$2:$A$50,密度!$D$2:$D$50)</f>
        <v>69831.124820099983</v>
      </c>
      <c r="N10" s="73" ph="1">
        <f>N9*33.183*LOOKUP(N11,密度!$A$2:$A$50,密度!$E$2:$E$50)</f>
        <v>50833.120657500003</v>
      </c>
      <c r="O10" s="73" ph="1">
        <f>O9*20.428*LOOKUP(O11,密度!$A$2:$A$50,密度!$C$2:$C$50)</f>
        <v>65126.251450000003</v>
      </c>
      <c r="P10" s="73" ph="1">
        <f>P9*51.53*LOOKUP(P11,密度!$A$2:$A$50,密度!$B$2:$B$50)</f>
        <v>215859.752289</v>
      </c>
      <c r="Q10" s="73" ph="1">
        <f>Q9*1.5*1.5*3.1416*LOOKUP(W11,密度!$A$2:$A$50,密度!$L$2:$L$50)</f>
        <v>32046.346331999997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6.6727583999999993</v>
      </c>
      <c r="Z10" s="73" ph="1">
        <f>Z9*33.183*LOOKUP(Z11,密度!$A$2:$A$50,密度!$L$2:$L$50)</f>
        <v>149391.12695399998</v>
      </c>
      <c r="AA10" s="73" ph="1">
        <f>AA9*33.183*LOOKUP(AA11,密度!$A$2:$A$50,密度!$D$2:$D$50)</f>
        <v>151778.16596880002</v>
      </c>
      <c r="AB10" s="73" ph="1">
        <f>AB9*20.428*LOOKUP(AB11,密度!$A$2:$A$50,密度!$D$2:$D$50)</f>
        <v>81446.981427599996</v>
      </c>
      <c r="AC10" s="73" ph="1">
        <f>AC9*51.53*LOOKUP(AC11,密度!$A$2:$A$50,密度!$Q$2:$Q$50)</f>
        <v>253221.21189539999</v>
      </c>
      <c r="AD10" s="73" ph="1">
        <f>AD9*20.428*LOOKUP(AD11,密度!$A$2:$A$50,密度!$V$2:$V$50)</f>
        <v>93818.123072000002</v>
      </c>
      <c r="AE10" s="73" ph="1">
        <f>AE9*20.428</f>
        <v>81201.3</v>
      </c>
    </row>
    <row r="11" spans="1:99" ph="1">
      <c r="A11" s="64" t="s" ph="1">
        <v>162</v>
      </c>
      <c r="B11" s="238" ph="1"/>
      <c r="C11" s="156" t="s" ph="1">
        <v>179</v>
      </c>
      <c r="D11" s="74">
        <v>21</v>
      </c>
      <c r="E11" s="74">
        <v>19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25</v>
      </c>
      <c r="P11" s="74">
        <v>19</v>
      </c>
      <c r="Q11" s="74">
        <v>22</v>
      </c>
      <c r="R11" s="74">
        <v>23</v>
      </c>
      <c r="S11" s="74">
        <v>15</v>
      </c>
      <c r="T11" s="74">
        <v>22</v>
      </c>
      <c r="U11" s="74">
        <v>19</v>
      </c>
      <c r="V11" s="74">
        <v>25</v>
      </c>
      <c r="W11" s="74">
        <v>22</v>
      </c>
      <c r="X11" s="74">
        <v>12</v>
      </c>
      <c r="Y11" s="74">
        <v>18</v>
      </c>
      <c r="Z11" s="74">
        <v>15</v>
      </c>
      <c r="AA11" s="74">
        <v>17</v>
      </c>
      <c r="AB11" s="74">
        <v>11</v>
      </c>
      <c r="AC11" s="74">
        <v>19</v>
      </c>
      <c r="AD11" s="74">
        <v>22</v>
      </c>
      <c r="AE11" s="74">
        <v>20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3855</v>
      </c>
      <c r="E15" s="78">
        <v>1194</v>
      </c>
      <c r="F15" s="78">
        <v>2744</v>
      </c>
      <c r="G15" s="78">
        <v>3722</v>
      </c>
      <c r="H15" s="78">
        <v>0</v>
      </c>
      <c r="I15" s="78">
        <v>226</v>
      </c>
      <c r="J15" s="78">
        <v>0</v>
      </c>
      <c r="K15" s="78">
        <v>3574</v>
      </c>
      <c r="L15" s="78">
        <v>3696</v>
      </c>
      <c r="M15" s="78">
        <v>2352</v>
      </c>
      <c r="N15" s="78">
        <v>392</v>
      </c>
      <c r="O15" s="78">
        <v>4425</v>
      </c>
      <c r="P15" s="78">
        <v>6389</v>
      </c>
      <c r="Q15" s="78">
        <v>1271</v>
      </c>
      <c r="R15" s="78">
        <v>7347</v>
      </c>
      <c r="S15" s="78">
        <v>0</v>
      </c>
      <c r="T15" s="78">
        <v>5580</v>
      </c>
      <c r="U15" s="78">
        <v>2091</v>
      </c>
      <c r="V15" s="78">
        <v>3085</v>
      </c>
      <c r="W15" s="71">
        <v>-172</v>
      </c>
      <c r="X15" s="78">
        <v>92</v>
      </c>
      <c r="Y15" s="106">
        <v>-9900</v>
      </c>
      <c r="Z15" s="78">
        <v>0</v>
      </c>
      <c r="AA15" s="78">
        <v>11</v>
      </c>
      <c r="AB15" s="78" ph="1">
        <v>7121</v>
      </c>
      <c r="AC15" s="78" ph="1">
        <v>7114</v>
      </c>
      <c r="AD15" s="78">
        <v>56.66</v>
      </c>
      <c r="AE15" s="78">
        <v>5.64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25886.980350000002</v>
      </c>
      <c r="E16" s="73" ph="1">
        <f>E15*7.0686*LOOKUP(E17,密度!$A$2:$A$50,密度!$L$2:$L$50)</f>
        <v>8017.9129800000001</v>
      </c>
      <c r="F16" s="73" ph="1">
        <f>F15*9.0746*LOOKUP(F17,密度!$A$2:$A$50,密度!$L$2:$L$50)</f>
        <v>23531.163768000002</v>
      </c>
      <c r="G16" s="73" ph="1">
        <f>G15*9.0746*LOOKUP(G17,密度!$A$2:$A$50,密度!$B$2:$B$50)</f>
        <v>26615.221025600003</v>
      </c>
      <c r="H16" s="73" ph="1">
        <f>H15*9.0746*LOOKUP(H17,密度!$A$2:$A$50,密度!$L$2:$L$50)</f>
        <v>0</v>
      </c>
      <c r="I16" s="73" ph="1">
        <f>I15*9.0746*LOOKUP(I17,密度!$A$2:$A$50,密度!$U$2:$U$50)</f>
        <v>2108.2836688000002</v>
      </c>
      <c r="J16" s="73" ph="1">
        <f>J15*9.0746*LOOKUP(J17,密度!$A$2:$A$50,密度!$L$2:$L$50)</f>
        <v>0</v>
      </c>
      <c r="K16" s="73" ph="1">
        <f>K15*9.0746*LOOKUP(K17,密度!$A$2:$A$50,密度!$C$2:$C$50)</f>
        <v>36240.21003496</v>
      </c>
      <c r="L16" s="73" ph="1">
        <f>L15*9.0746*LOOKUP(L17,密度!$A$2:$A$50,密度!$E$2:$E$50)</f>
        <v>26768.051808960005</v>
      </c>
      <c r="M16" s="73" ph="1">
        <f>M15*9.0746*LOOKUP(M17,密度!$A$2:$A$50,密度!$M$2:$M$50)</f>
        <v>18788.647133760001</v>
      </c>
      <c r="N16" s="73" ph="1">
        <f>N15*9.0746*LOOKUP(N17,密度!$A$2:$A$50,密度!$M$2:$M$50)</f>
        <v>3131.4411889599996</v>
      </c>
      <c r="O16" s="73" ph="1">
        <f>O15*9.0746*LOOKUP(O17,密度!$A$2:$A$50,密度!$G$2:$G$50)</f>
        <v>38950.451850000005</v>
      </c>
      <c r="P16" s="73" ph="1">
        <f ca="1">P15*9.0746*LOOKUP(P17,密度!$A$2:$A$51,密度!$Q$2:$Q$50)</f>
        <v>55150.050901862007</v>
      </c>
      <c r="Q16" s="73" ph="1">
        <f>Q15*9.0746*LOOKUP(Q17,密度!$A$2:$A$50,密度!$Q$2:$Q$50)</f>
        <v>11009.489297364</v>
      </c>
      <c r="R16" s="73" ph="1">
        <f>MAX(R15*9.0746*LOOKUP(R17,密度!$A$2:$A$50,密度!$B$2:$B$50),0)</f>
        <v>52383.472427339999</v>
      </c>
      <c r="S16" s="73" ph="1">
        <f>S15*9.0746*LOOKUP(S17,密度!$A$2:$A$50,密度!$Q$2:$Q$50)</f>
        <v>0</v>
      </c>
      <c r="T16" s="73" ph="1">
        <f>T15*9.0746*LOOKUP(T17,密度!$A$2:$A$50,密度!$O$2:$O$50)</f>
        <v>47294.274312000009</v>
      </c>
      <c r="U16" s="73" ph="1">
        <f>U15*9.0746*LOOKUP(U17,密度!$A$2:$A$50,密度!$H$2:$H$50)</f>
        <v>17584.121935620002</v>
      </c>
      <c r="V16" s="73" ph="1">
        <f>MAX(5600*LOOKUP(V17,密度!$A$2:$A$50,密度!$Q$2:$Q$50)+V15*9.0476*LOOKUP(V17,密度!$A$2:$A$50,密度!$Q$2:$Q$50),0)</f>
        <v>31930.086868799997</v>
      </c>
      <c r="W16" s="73" ph="1">
        <f>MAX(5600*LOOKUP(W17,密度!$A$2:$A$50,密度!$Q$2:$Q$50)+W15*9.0476*LOOKUP(W17,密度!$A$2:$A$50,密度!$Q$2:$Q$50),0)</f>
        <v>3859.981070112</v>
      </c>
      <c r="X16" s="73" ph="1">
        <f>MAX(5600*LOOKUP(X17,密度!$A$2:$A$50,密度!$I$2:$I$50)+X15*9.0476*LOOKUP(X17,密度!$A$2:$A$50,密度!$I$2:$I$50),0)</f>
        <v>6704.4688401599997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78.918166360000001</v>
      </c>
      <c r="AB16" s="73" ph="1">
        <f>AB15*9.0746*LOOKUP(AB17,密度!$A$2:$A$50,密度!$L$2:$L$50)</f>
        <v>61066.114136999997</v>
      </c>
      <c r="AC16" s="73" ph="1">
        <f>AC15*9.0746*LOOKUP(AC17,密度!$A$2:$A$50,密度!$L$2:$L$50)</f>
        <v>61199.755771199998</v>
      </c>
      <c r="AD16" s="73" ph="1">
        <f>AD15*268.68*LOOKUP(AD17,密度!$A$2:$A$50,密度!B2:B50)+IF(AD15&lt;=0,0,1566*LOOKUP(AD17,密度!$A$2:$A$50,密度!B2:B50))</f>
        <v>13089.023100479999</v>
      </c>
      <c r="AE16" s="73" ph="1">
        <f>AE15*268.68*LOOKUP(AE17,密度!$A$2:$A$50,密度!B2:B50)+IF(AE15&lt;=0,0,1566*LOOKUP(AE17,密度!$A$2:$A$50,密度!B2:B50))</f>
        <v>2402.2245139199999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12</v>
      </c>
      <c r="E17" s="74">
        <v>12</v>
      </c>
      <c r="F17" s="74">
        <v>17</v>
      </c>
      <c r="G17" s="74">
        <v>15</v>
      </c>
      <c r="H17" s="74">
        <v>10</v>
      </c>
      <c r="I17" s="74">
        <v>13</v>
      </c>
      <c r="J17" s="74">
        <v>15</v>
      </c>
      <c r="K17" s="74">
        <v>13</v>
      </c>
      <c r="L17" s="74">
        <v>13</v>
      </c>
      <c r="M17" s="74">
        <v>17</v>
      </c>
      <c r="N17" s="74">
        <v>12</v>
      </c>
      <c r="O17" s="74">
        <v>16</v>
      </c>
      <c r="P17" s="74">
        <v>19</v>
      </c>
      <c r="Q17" s="74">
        <v>12</v>
      </c>
      <c r="R17" s="74">
        <v>18</v>
      </c>
      <c r="S17" s="74">
        <v>12</v>
      </c>
      <c r="T17" s="74">
        <v>16</v>
      </c>
      <c r="U17" s="74">
        <v>13</v>
      </c>
      <c r="V17" s="74">
        <v>17</v>
      </c>
      <c r="W17" s="74">
        <v>15</v>
      </c>
      <c r="X17" s="74">
        <v>25</v>
      </c>
      <c r="Y17" s="108">
        <v>25</v>
      </c>
      <c r="Z17" s="74">
        <v>15</v>
      </c>
      <c r="AA17" s="74">
        <v>12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5027</v>
      </c>
      <c r="E18" s="71">
        <v>1194</v>
      </c>
      <c r="F18" s="71">
        <v>3802</v>
      </c>
      <c r="G18" s="71">
        <v>3801</v>
      </c>
      <c r="H18" s="71">
        <v>0</v>
      </c>
      <c r="I18" s="71">
        <v>226</v>
      </c>
      <c r="J18" s="71">
        <v>0</v>
      </c>
      <c r="K18" s="71">
        <v>3575</v>
      </c>
      <c r="L18" s="71">
        <v>3704</v>
      </c>
      <c r="M18" s="71">
        <v>2355</v>
      </c>
      <c r="N18" s="71">
        <v>3568</v>
      </c>
      <c r="O18" s="71">
        <v>4614</v>
      </c>
      <c r="P18" s="71">
        <v>4600</v>
      </c>
      <c r="Q18" s="71">
        <v>1276</v>
      </c>
      <c r="R18" s="71">
        <v>7358</v>
      </c>
      <c r="S18" s="71">
        <v>0</v>
      </c>
      <c r="T18" s="71">
        <v>5585</v>
      </c>
      <c r="U18" s="71">
        <v>2090</v>
      </c>
      <c r="V18" s="71">
        <v>3083</v>
      </c>
      <c r="W18" s="71">
        <v>-173</v>
      </c>
      <c r="X18" s="71">
        <v>90</v>
      </c>
      <c r="Y18" s="109">
        <v>-9900</v>
      </c>
      <c r="Z18" s="71">
        <v>12</v>
      </c>
      <c r="AA18" s="71">
        <v>11</v>
      </c>
      <c r="AB18" s="71">
        <v>7126</v>
      </c>
      <c r="AC18" s="71">
        <v>7112</v>
      </c>
      <c r="AD18" s="71">
        <v>84.76</v>
      </c>
      <c r="AE18" s="71">
        <v>29.41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33437.354920199999</v>
      </c>
      <c r="E19" s="73" ph="1">
        <f>E18*7.0686*LOOKUP(E20,密度!$A$2:$A$50,密度!$L$2:$L$50)</f>
        <v>7941.9538044000001</v>
      </c>
      <c r="F19" s="73" ph="1">
        <f>F18*9.0746*LOOKUP(F20,密度!$A$2:$A$50,密度!$L$2:$L$50)</f>
        <v>32259.023302000005</v>
      </c>
      <c r="G19" s="73" ph="1">
        <f>G18*9.0746*LOOKUP(G20,密度!$A$2:$A$50,密度!$B$2:$B$50)</f>
        <v>27124.944937440003</v>
      </c>
      <c r="H19" s="73" ph="1">
        <f>H18*9.0746*LOOKUP(H20,密度!$A$2:$A$50,密度!$L$2:$L$50)</f>
        <v>0</v>
      </c>
      <c r="I19" s="73" ph="1">
        <f>I18*9.0746*LOOKUP(I20,密度!$A$2:$A$50,密度!$U$2:$U$50)</f>
        <v>2108.2836688000002</v>
      </c>
      <c r="J19" s="73" ph="1">
        <f>J18*9.0746*LOOKUP(J20,密度!$A$2:$A$50,密度!$L$2:$L$50)</f>
        <v>0</v>
      </c>
      <c r="K19" s="73" ph="1">
        <f>K18*9.0746*LOOKUP(K20,密度!$A$2:$A$50,密度!$C$2:$C$50)</f>
        <v>36156.269077500001</v>
      </c>
      <c r="L19" s="73" ph="1">
        <f>L18*9.0746*LOOKUP(L20,密度!$A$2:$A$50,密度!$E$2:$E$50)</f>
        <v>26600.788781760002</v>
      </c>
      <c r="M19" s="73" ph="1">
        <f>M18*9.0746*LOOKUP(M20,密度!$A$2:$A$50,密度!$M$2:$M$50)</f>
        <v>18812.612244899999</v>
      </c>
      <c r="N19" s="73" ph="1">
        <f>N18*9.0746*LOOKUP(N20,密度!$A$2:$A$50,密度!$M$2:$M$50)</f>
        <v>28502.505515839999</v>
      </c>
      <c r="O19" s="73" ph="1">
        <f>O18*9.0746*LOOKUP(O20,密度!$A$2:$A$50,密度!$G$2:$G$50)</f>
        <v>40488.487654800003</v>
      </c>
      <c r="P19" s="73" ph="1">
        <f ca="1">P18*9.0746*LOOKUP(P20,密度!$A$2:$A$51,密度!$Q$2:$Q$50)</f>
        <v>39618.0157244</v>
      </c>
      <c r="Q19" s="73" ph="1">
        <f>Q18*9.0746*LOOKUP(Q20,密度!$A$2:$A$50,密度!$Q$2:$Q$50)</f>
        <v>10996.640571223999</v>
      </c>
      <c r="R19" s="73" ph="1">
        <f>MAX(R18*9.0746*LOOKUP(R20,密度!$A$2:$A$50,密度!$B$2:$B$50),0)</f>
        <v>52294.974205760001</v>
      </c>
      <c r="S19" s="73" ph="1">
        <f>S18*9.0746*LOOKUP(S20,密度!$A$2:$A$50,密度!$Q$2:$Q$50)</f>
        <v>0</v>
      </c>
      <c r="T19" s="73" ph="1">
        <f>T18*9.0746*LOOKUP(T20,密度!$A$2:$A$50,密度!$O$2:$O$50)</f>
        <v>47133.926130000007</v>
      </c>
      <c r="U19" s="73" ph="1">
        <f>U18*9.0746*LOOKUP(U20,密度!$A$2:$A$50,密度!$H$2:$H$50)</f>
        <v>17518.8147618</v>
      </c>
      <c r="V19" s="73" ph="1">
        <f>MAX(5600*LOOKUP(V20,密度!$A$2:$A$50,密度!$Q$2:$Q$50)+V18*9.0476*LOOKUP(V20,密度!$A$2:$A$50,密度!$Q$2:$Q$50),0)</f>
        <v>31860.260573483996</v>
      </c>
      <c r="W19" s="73" ph="1">
        <f>MAX(5600*LOOKUP(W20,密度!$A$2:$A$50,密度!$Q$2:$Q$50)+W18*9.0476*LOOKUP(W20,密度!$A$2:$A$50,密度!$Q$2:$Q$50),0)</f>
        <v>3837.9897011960002</v>
      </c>
      <c r="X19" s="73" ph="1">
        <f>MAX(5600*LOOKUP(X20,密度!$A$2:$A$50,密度!$I$2:$I$50)+X18*9.0476*LOOKUP(X20,密度!$A$2:$A$50,密度!$I$2:$I$50),0)</f>
        <v>6606.71252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112.00960272</v>
      </c>
      <c r="AA19" s="73" ph="1">
        <f>AA18*9.0746*LOOKUP(AA20,密度!$A$2:$A$50,密度!$B$2:$B$50)</f>
        <v>78.498919839999999</v>
      </c>
      <c r="AB19" s="73" ph="1">
        <f>AB18*9.0746*LOOKUP(AB20,密度!$A$2:$A$50,密度!$L$2:$L$50)</f>
        <v>61044.326022399997</v>
      </c>
      <c r="AC19" s="73" ph="1">
        <f>AC18*9.0746*LOOKUP(AC20,密度!$A$2:$A$50,密度!$L$2:$L$50)</f>
        <v>60988.934664</v>
      </c>
      <c r="AD19" s="73" ph="1">
        <f>AD18*268.68*LOOKUP(AD20,密度!$A$2:$A$50,密度!B5:B53)+IF(AD18&lt;=0,0,1566*LOOKUP(AD20,密度!$A$2:$A$50,密度!B5:B53))</f>
        <v>18911.649153599999</v>
      </c>
      <c r="AE19" s="73" ph="1">
        <f>AE18*268.68*LOOKUP(AE20,密度!$A$2:$A$50,密度!B5:B53)+IF(AE18&lt;=0,0,1566*LOOKUP(AE20,密度!$A$2:$A$50,密度!B5:B53))</f>
        <v>7356.5418276000009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21</v>
      </c>
      <c r="E20" s="81">
        <v>21</v>
      </c>
      <c r="F20" s="81">
        <v>27</v>
      </c>
      <c r="G20" s="81">
        <v>17</v>
      </c>
      <c r="H20" s="81">
        <v>14</v>
      </c>
      <c r="I20" s="81">
        <v>18</v>
      </c>
      <c r="J20" s="81">
        <v>20</v>
      </c>
      <c r="K20" s="81">
        <v>17</v>
      </c>
      <c r="L20" s="81">
        <v>18</v>
      </c>
      <c r="M20" s="81">
        <v>20</v>
      </c>
      <c r="N20" s="81">
        <v>17</v>
      </c>
      <c r="O20" s="81">
        <v>19</v>
      </c>
      <c r="P20" s="81">
        <v>22</v>
      </c>
      <c r="Q20" s="81">
        <v>21</v>
      </c>
      <c r="R20" s="81">
        <v>21</v>
      </c>
      <c r="S20" s="81">
        <v>20</v>
      </c>
      <c r="T20" s="81">
        <v>22</v>
      </c>
      <c r="U20" s="81">
        <v>16</v>
      </c>
      <c r="V20" s="81">
        <v>19</v>
      </c>
      <c r="W20" s="81">
        <v>19</v>
      </c>
      <c r="X20" s="81">
        <v>36</v>
      </c>
      <c r="Y20" s="110">
        <v>36</v>
      </c>
      <c r="Z20" s="81">
        <v>23</v>
      </c>
      <c r="AA20" s="81">
        <v>17</v>
      </c>
      <c r="AB20" s="81">
        <v>18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645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5.29</v>
      </c>
      <c r="E24" s="71">
        <v>5.4</v>
      </c>
      <c r="F24" s="71">
        <v>2494</v>
      </c>
      <c r="G24" s="71">
        <v>3134</v>
      </c>
      <c r="H24" s="71">
        <v>3754</v>
      </c>
      <c r="I24" s="71">
        <v>453</v>
      </c>
      <c r="J24" s="71">
        <v>330</v>
      </c>
      <c r="K24" s="71">
        <v>4991</v>
      </c>
      <c r="L24" s="71">
        <v>468</v>
      </c>
      <c r="M24" s="71">
        <v>3046</v>
      </c>
      <c r="N24" s="71">
        <v>447</v>
      </c>
      <c r="O24" s="71">
        <v>5718</v>
      </c>
      <c r="P24" s="71">
        <v>359</v>
      </c>
      <c r="Q24" s="90">
        <v>812</v>
      </c>
      <c r="R24" s="71">
        <v>4170</v>
      </c>
      <c r="S24" s="71">
        <v>4302</v>
      </c>
      <c r="T24" s="71">
        <v>216</v>
      </c>
      <c r="U24" s="71">
        <v>3480</v>
      </c>
      <c r="V24" s="71">
        <v>6430</v>
      </c>
      <c r="W24" s="71">
        <v>5795</v>
      </c>
      <c r="X24" s="71">
        <v>6464</v>
      </c>
      <c r="Y24" s="71">
        <v>6907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2828.2126859279997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27784.210023880001</v>
      </c>
      <c r="G25" s="91" ph="1">
        <f>G24*18.322*LOOKUP(G26,密度!$A$2:$A$50,密度!$B$2:$B$50)</f>
        <v>45155.990787199997</v>
      </c>
      <c r="H25" s="91" ph="1">
        <f>H24*18.322*LOOKUP(H26,密度!$A$2:$A$50,密度!$B$2:$B$50)</f>
        <v>54089.211683200003</v>
      </c>
      <c r="I25" s="91" ph="1">
        <f>I24*18.322*LOOKUP(I26,密度!$A$2:$A$50,密度!$Q$2:$Q$50)</f>
        <v>7914.7522176000002</v>
      </c>
      <c r="J25" s="91" ph="1">
        <f>J24*18.322*LOOKUP(J26,密度!$A$2:$A$50,密度!$Q$2:$Q$50)</f>
        <v>5771.3970203999997</v>
      </c>
      <c r="K25" s="91" ph="1">
        <f>K24*18.322*LOOKUP(K26,密度!$A$2:$A$50,密度!$Q$2:$Q$50)</f>
        <v>87288.007663080003</v>
      </c>
      <c r="L25" s="91" ph="1">
        <f>L24*18.322*LOOKUP(L26,密度!$A$2:$A$50,密度!$Q$2:$Q$50)</f>
        <v>8176.8301056</v>
      </c>
      <c r="M25" s="91" ph="1">
        <f>M24*18.322*LOOKUP(M26,密度!$A$2:$A$50,密度!$Q$2:$Q$50)</f>
        <v>53219.283123199995</v>
      </c>
      <c r="N25" s="91" ph="1">
        <f>N24*18.322*LOOKUP(N26,密度!$A$2:$A$50,密度!$Q$2:$Q$50)</f>
        <v>7796.8990673399994</v>
      </c>
      <c r="O25" s="91" ph="1">
        <f>O24*18.322*LOOKUP(O26,密度!$A$2:$A$50,密度!$C$2:$C$50)</f>
        <v>116760.810942</v>
      </c>
      <c r="P25" s="91" ph="1">
        <f>P24*11.702*LOOKUP(P26,密度!$A$2:$A$50,密度!$B$2:$B$50)</f>
        <v>3300.7398426</v>
      </c>
      <c r="Q25" s="92" ph="1">
        <f>Q24*18.322*LOOKUP(Q26,密度!$A$2:$A$50,密度!$B$2:$B$50)</f>
        <v>11699.6376896</v>
      </c>
      <c r="R25" s="91" ph="1">
        <f>R24*35.891*LOOKUP(R26,密度!$A$2:$A$50,密度!$C$2:$C$50)</f>
        <v>166802.16631500001</v>
      </c>
      <c r="S25" s="91" ph="1">
        <f>S24*35.891*LOOKUP(S26,密度!$A$2:$A$50,密度!$B$2:$B$50)</f>
        <v>121546.1061504</v>
      </c>
      <c r="T25" s="91" ph="1">
        <f>T24*35.891*LOOKUP(T26,密度!$A$2:$A$50,密度!$Q$2:$Q$50)</f>
        <v>7374.3687208799993</v>
      </c>
      <c r="U25" s="91" ph="1">
        <f>U24*35.891</f>
        <v>124900.68</v>
      </c>
      <c r="V25" s="91" ph="1">
        <f>V24*47.051*LOOKUP(V26,密度!$A$2:$A$50,密度!$B$2:$B$50)</f>
        <v>238399.88884</v>
      </c>
      <c r="W25" s="91" ph="1">
        <f>W24*47.051*LOOKUP(W26,密度!$A$2:$A$50,密度!$B$2:$B$50)</f>
        <v>215101.90395050001</v>
      </c>
      <c r="X25" s="91" ph="1">
        <f>X24*47.051*LOOKUP(X26,密度!$A$2:$A$61,密度!$I$2:$I$61)</f>
        <v>310524.55494399997</v>
      </c>
      <c r="Y25" s="91" ph="1">
        <f>Y24*47.051*LOOKUP(Y26,密度!$A$2:$A$50,密度!$L$2:$L$50)</f>
        <v>306782.30660800001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17</v>
      </c>
      <c r="H26" s="74">
        <v>17</v>
      </c>
      <c r="I26" s="74">
        <v>16</v>
      </c>
      <c r="J26" s="74">
        <v>14</v>
      </c>
      <c r="K26" s="74">
        <v>15</v>
      </c>
      <c r="L26" s="74">
        <v>16</v>
      </c>
      <c r="M26" s="74">
        <v>16</v>
      </c>
      <c r="N26" s="74">
        <v>18</v>
      </c>
      <c r="O26" s="74">
        <v>17</v>
      </c>
      <c r="P26" s="74">
        <v>18</v>
      </c>
      <c r="Q26" s="93">
        <v>17</v>
      </c>
      <c r="R26" s="74">
        <v>17</v>
      </c>
      <c r="S26" s="74">
        <v>16</v>
      </c>
      <c r="T26" s="74">
        <v>19</v>
      </c>
      <c r="U26" s="74">
        <v>18</v>
      </c>
      <c r="V26" s="74">
        <v>15</v>
      </c>
      <c r="W26" s="74">
        <v>14</v>
      </c>
      <c r="X26" s="74">
        <v>44</v>
      </c>
      <c r="Y26" s="74">
        <v>18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5.3</v>
      </c>
      <c r="E27" s="71">
        <v>5.39</v>
      </c>
      <c r="F27" s="71">
        <v>2494</v>
      </c>
      <c r="G27" s="71">
        <v>2580</v>
      </c>
      <c r="H27" s="71">
        <v>2987</v>
      </c>
      <c r="I27" s="71">
        <v>450</v>
      </c>
      <c r="J27" s="71">
        <v>325</v>
      </c>
      <c r="K27" s="71">
        <v>4991</v>
      </c>
      <c r="L27" s="71">
        <v>464</v>
      </c>
      <c r="M27" s="71">
        <v>3044</v>
      </c>
      <c r="N27" s="71">
        <v>443</v>
      </c>
      <c r="O27" s="71">
        <v>5715</v>
      </c>
      <c r="P27" s="71">
        <v>354</v>
      </c>
      <c r="Q27" s="90">
        <v>1039</v>
      </c>
      <c r="R27" s="71">
        <v>4167</v>
      </c>
      <c r="S27" s="71">
        <v>4300</v>
      </c>
      <c r="T27" s="71">
        <v>214</v>
      </c>
      <c r="U27" s="71">
        <v>3344</v>
      </c>
      <c r="V27" s="71">
        <v>6428</v>
      </c>
      <c r="W27" s="71">
        <v>5794</v>
      </c>
      <c r="X27" s="71">
        <v>6461</v>
      </c>
      <c r="Y27" s="71">
        <v>5307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2830.7563869599999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27736.638819439999</v>
      </c>
      <c r="G28" s="91" ph="1">
        <f>G27*18.322*LOOKUP(G29,密度!$A$2:$A$50,密度!$B$2:$B$50)</f>
        <v>37173.725663999998</v>
      </c>
      <c r="H28" s="91" ph="1">
        <f>H27*18.322*LOOKUP(H29,密度!$A$2:$A$50,密度!$B$2:$B$50)</f>
        <v>42999.643459799998</v>
      </c>
      <c r="I28" s="91" ph="1">
        <f>I27*18.322*LOOKUP(I29,密度!$A$2:$A$50,密度!$Q$2:$Q$50)</f>
        <v>7855.7407199999998</v>
      </c>
      <c r="J28" s="91" ph="1">
        <f>J27*18.322*LOOKUP(J29,密度!$A$2:$A$50,密度!$Q$2:$Q$50)</f>
        <v>5651.4987684999996</v>
      </c>
      <c r="K28" s="91" ph="1">
        <f>K27*18.322*LOOKUP(K29,密度!$A$2:$A$50,密度!$Q$2:$Q$50)</f>
        <v>87128.893185599998</v>
      </c>
      <c r="L28" s="91" ph="1">
        <f>L27*18.322*LOOKUP(L29,密度!$A$2:$A$50,密度!$Q$2:$Q$50)</f>
        <v>8086.7943318399994</v>
      </c>
      <c r="M28" s="91" ph="1">
        <f>M27*18.322*LOOKUP(M29,密度!$A$2:$A$50,密度!$Q$2:$Q$50)</f>
        <v>53184.339404799997</v>
      </c>
      <c r="N28" s="91" ph="1">
        <f>N27*18.322*LOOKUP(N29,密度!$A$2:$A$50,密度!$Q$2:$Q$50)</f>
        <v>7720.7971745799996</v>
      </c>
      <c r="O28" s="91" ph="1">
        <f>O27*18.322*LOOKUP(O29,密度!$A$2:$A$50,密度!$C$2:$C$50)</f>
        <v>116563.428036</v>
      </c>
      <c r="P28" s="91" ph="1">
        <f>P27*11.702*LOOKUP(P29,密度!$A$2:$A$50,密度!$B$2:$B$50)</f>
        <v>3251.4545292000003</v>
      </c>
      <c r="Q28" s="92" ph="1">
        <f>Q27*18.322*LOOKUP(Q29,密度!$A$2:$A$50,密度!$B$2:$B$50)</f>
        <v>14957.023620599999</v>
      </c>
      <c r="R28" s="91" ph="1">
        <f>R27*35.891*LOOKUP(R29,密度!$A$2:$A$50,密度!$C$2:$C$50)</f>
        <v>166682.16475649999</v>
      </c>
      <c r="S28" s="91" ph="1">
        <f>S27*35.891*LOOKUP(S29,密度!$A$2:$A$50,密度!$B$2:$B$50)</f>
        <v>121134.63737</v>
      </c>
      <c r="T28" s="91" ph="1">
        <f>T27*35.891*LOOKUP(T29,密度!$A$2:$A$50,密度!$Q$2:$Q$50)</f>
        <v>7318.1461872</v>
      </c>
      <c r="U28" s="91" ph="1">
        <f>U27*35.891</f>
        <v>120019.504</v>
      </c>
      <c r="V28" s="91" ph="1">
        <f>V27*47.051*LOOKUP(V29,密度!$A$2:$A$50,密度!$B$2:$B$50)</f>
        <v>238083.78140160002</v>
      </c>
      <c r="W28" s="91" ph="1">
        <f>W27*47.051*LOOKUP(W29,密度!$A$2:$A$50,密度!$B$2:$B$50)</f>
        <v>214383.2516816</v>
      </c>
      <c r="X28" s="91" ph="1">
        <f>X27*47.051*LOOKUP(X29,密度!$A$2:$A$61,密度!$I$2:$I$61)</f>
        <v>310380.43773099995</v>
      </c>
      <c r="Y28" s="91" ph="1">
        <f>Y27*47.051*LOOKUP(Y29,密度!$A$2:$A$50,密度!$L$2:$L$50)</f>
        <v>235966.175865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17</v>
      </c>
      <c r="H29" s="74">
        <v>18</v>
      </c>
      <c r="I29" s="74">
        <v>17</v>
      </c>
      <c r="J29" s="74">
        <v>22</v>
      </c>
      <c r="K29" s="74">
        <v>17</v>
      </c>
      <c r="L29" s="74">
        <v>19</v>
      </c>
      <c r="M29" s="74">
        <v>16</v>
      </c>
      <c r="N29" s="74">
        <v>19</v>
      </c>
      <c r="O29" s="74">
        <v>19</v>
      </c>
      <c r="P29" s="74">
        <v>19</v>
      </c>
      <c r="Q29" s="93">
        <v>18</v>
      </c>
      <c r="R29" s="74">
        <v>17</v>
      </c>
      <c r="S29" s="74">
        <v>19</v>
      </c>
      <c r="T29" s="74">
        <v>17</v>
      </c>
      <c r="U29" s="74">
        <v>18</v>
      </c>
      <c r="V29" s="74">
        <v>16</v>
      </c>
      <c r="W29" s="74">
        <v>17</v>
      </c>
      <c r="X29" s="74">
        <v>44</v>
      </c>
      <c r="Y29" s="74">
        <v>17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233337.15699912002</v>
      </c>
      <c r="E33" s="187" ph="1">
        <f>M10+I10</f>
        <v>85714.748772099978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3" ph="1">
        <f>N19</f>
        <v>28502.505515839999</v>
      </c>
      <c r="H33" s="187" ph="1">
        <f>M19</f>
        <v>18812.612244899999</v>
      </c>
      <c r="I33" s="191" ph="1">
        <v>0</v>
      </c>
      <c r="J33" s="195" ph="1">
        <f>F10+O28</f>
        <v>290233.02967199998</v>
      </c>
      <c r="K33" s="187" ph="1">
        <f>O10+K10+E28+R28</f>
        <v>255119.98679237999</v>
      </c>
      <c r="L33" s="197" ph="1">
        <f>K19</f>
        <v>36156.269077500001</v>
      </c>
      <c r="M33" s="195" ph="1">
        <f>G10+H10+W28+S28+V28+E10+R19+P28+Q28</f>
        <v>950858.88428876002</v>
      </c>
      <c r="N33" s="187" ph="1">
        <f>L10+P10++G28+H28+AD19+AE19</f>
        <v>328991.73926999996</v>
      </c>
      <c r="O33" s="191" ph="1">
        <f>G19</f>
        <v>27124.944937440003</v>
      </c>
      <c r="P33" s="195" ph="1">
        <f>L19</f>
        <v>26600.788781760002</v>
      </c>
      <c r="Q33" s="187" ph="1">
        <f>J10+N10</f>
        <v>52361.586395100006</v>
      </c>
      <c r="R33" s="191" ph="1">
        <f>BE23</f>
        <v>890</v>
      </c>
      <c r="S33" s="195" ph="1">
        <f>X28</f>
        <v>310380.43773099995</v>
      </c>
      <c r="T33" s="187" ph="1">
        <f>X19</f>
        <v>6606.71252</v>
      </c>
      <c r="U33" s="176" ph="1">
        <f>BE21</f>
        <v>730</v>
      </c>
      <c r="V33" s="189" ph="1">
        <f ca="1">P19+Q19+S19+M28+N28+J28+D10+AC10+D19+E19+H19+J19+O19+V19+W19+K28+L28</f>
        <v>685530.29121138412</v>
      </c>
      <c r="W33" s="189" ph="1">
        <f>D28+F28+T28+I28</f>
        <v>45741.282113599998</v>
      </c>
      <c r="X33" s="191" ph="1">
        <f>BE29+BE31</f>
        <v>10200</v>
      </c>
      <c r="Y33" s="193" ph="1">
        <f>+Q10+R10+S10+T10+U10+V10+W10+X10+Y10</f>
        <v>32053.019090399997</v>
      </c>
      <c r="Z33" s="174" ph="1">
        <f>T19+U19+Y28+Z10</f>
        <v>450010.0437108</v>
      </c>
      <c r="AA33" s="176" ph="1">
        <f>BE19</f>
        <v>1440</v>
      </c>
      <c r="AB33" s="178" ph="1">
        <f>I19</f>
        <v>2108.2836688000002</v>
      </c>
      <c r="AC33" s="180" ph="1">
        <f>AD10+AB19</f>
        <v>154862.44909439998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89" priority="100">
      <formula>ABS(D$7-D$10)&gt;=1000</formula>
    </cfRule>
  </conditionalFormatting>
  <conditionalFormatting sqref="E4 E6:E11">
    <cfRule type="expression" dxfId="1688" priority="99">
      <formula>ABS(E$7-E$10)&gt;=1000</formula>
    </cfRule>
  </conditionalFormatting>
  <conditionalFormatting sqref="F4:F11">
    <cfRule type="expression" dxfId="1687" priority="98">
      <formula>ABS(F$7-F$10)&gt;=1000</formula>
    </cfRule>
  </conditionalFormatting>
  <conditionalFormatting sqref="G4:G11">
    <cfRule type="expression" dxfId="1686" priority="97">
      <formula>ABS(G$7-G$10)&gt;=1000</formula>
    </cfRule>
  </conditionalFormatting>
  <conditionalFormatting sqref="H4:H11">
    <cfRule type="expression" dxfId="1685" priority="96">
      <formula>ABS(H$7-H$10)&gt;=1000</formula>
    </cfRule>
  </conditionalFormatting>
  <conditionalFormatting sqref="I4:I11">
    <cfRule type="expression" dxfId="1684" priority="95">
      <formula>ABS(I$7-I$10)&gt;=1000</formula>
    </cfRule>
  </conditionalFormatting>
  <conditionalFormatting sqref="J4:J11">
    <cfRule type="expression" dxfId="1683" priority="94">
      <formula>ABS(J$7-J$10)&gt;=1000</formula>
    </cfRule>
  </conditionalFormatting>
  <conditionalFormatting sqref="K4:K11">
    <cfRule type="expression" dxfId="1682" priority="93">
      <formula>ABS(K$7-K$10)&gt;=1000</formula>
    </cfRule>
  </conditionalFormatting>
  <conditionalFormatting sqref="L4:L11">
    <cfRule type="expression" dxfId="1681" priority="92">
      <formula>ABS(L$7-L$10)&gt;=1000</formula>
    </cfRule>
  </conditionalFormatting>
  <conditionalFormatting sqref="M4 M6:M11">
    <cfRule type="expression" dxfId="1680" priority="91">
      <formula>ABS(M$7-M$10)&gt;=1000</formula>
    </cfRule>
  </conditionalFormatting>
  <conditionalFormatting sqref="N4 N6:N11">
    <cfRule type="expression" dxfId="1679" priority="90">
      <formula>ABS(N$7-N$10)&gt;=1000</formula>
    </cfRule>
  </conditionalFormatting>
  <conditionalFormatting sqref="O4 O6:O11">
    <cfRule type="expression" dxfId="1678" priority="89">
      <formula>ABS(O$7-O$10)&gt;=1000</formula>
    </cfRule>
  </conditionalFormatting>
  <conditionalFormatting sqref="P4 P6:P11">
    <cfRule type="expression" dxfId="1677" priority="88">
      <formula>ABS(P$7-P$10)&gt;=1000</formula>
    </cfRule>
  </conditionalFormatting>
  <conditionalFormatting sqref="Q4:Q11">
    <cfRule type="expression" dxfId="1676" priority="87">
      <formula>ABS(Q$7-Q$10)&gt;=1000</formula>
    </cfRule>
  </conditionalFormatting>
  <conditionalFormatting sqref="R4:R11">
    <cfRule type="expression" dxfId="1675" priority="86">
      <formula>ABS(R$7-R$10)&gt;=1000</formula>
    </cfRule>
  </conditionalFormatting>
  <conditionalFormatting sqref="S4:S11">
    <cfRule type="expression" dxfId="1674" priority="85">
      <formula>ABS(S$7-S$10)&gt;=1000</formula>
    </cfRule>
  </conditionalFormatting>
  <conditionalFormatting sqref="T4:T9 T11">
    <cfRule type="expression" dxfId="1673" priority="84">
      <formula>ABS(T$7-T$10)&gt;=1000</formula>
    </cfRule>
  </conditionalFormatting>
  <conditionalFormatting sqref="U4:U9 U11">
    <cfRule type="expression" dxfId="1672" priority="83">
      <formula>ABS(U$7-U$10)&gt;=1000</formula>
    </cfRule>
  </conditionalFormatting>
  <conditionalFormatting sqref="V4:V9 V11">
    <cfRule type="expression" dxfId="1671" priority="82">
      <formula>ABS(V$7-V$10)&gt;=1000</formula>
    </cfRule>
  </conditionalFormatting>
  <conditionalFormatting sqref="W4:W9 W11">
    <cfRule type="expression" dxfId="1670" priority="81">
      <formula>ABS(W$7-W$10)&gt;=1000</formula>
    </cfRule>
  </conditionalFormatting>
  <conditionalFormatting sqref="X4:X9 X11">
    <cfRule type="expression" dxfId="1669" priority="80">
      <formula>ABS(X$7-X$10)&gt;=1000</formula>
    </cfRule>
  </conditionalFormatting>
  <conditionalFormatting sqref="Y4:Y9 Y11">
    <cfRule type="expression" dxfId="1668" priority="79">
      <formula>ABS(Y$7-Y$10)&gt;=1000</formula>
    </cfRule>
  </conditionalFormatting>
  <conditionalFormatting sqref="Z4:Z11">
    <cfRule type="expression" dxfId="1667" priority="78">
      <formula>ABS(Z$7-Z$10)&gt;=1000</formula>
    </cfRule>
  </conditionalFormatting>
  <conditionalFormatting sqref="AA4:AA11">
    <cfRule type="expression" dxfId="1666" priority="77">
      <formula>ABS(AA$7-AA$10)&gt;=1000</formula>
    </cfRule>
  </conditionalFormatting>
  <conditionalFormatting sqref="AB4:AB11">
    <cfRule type="expression" dxfId="1665" priority="76">
      <formula>ABS(AB$7-AB$10)&gt;=1000</formula>
    </cfRule>
  </conditionalFormatting>
  <conditionalFormatting sqref="AC4 AC6:AC11">
    <cfRule type="expression" dxfId="1664" priority="75">
      <formula>ABS(AC$7-AC$10)&gt;=1000</formula>
    </cfRule>
  </conditionalFormatting>
  <conditionalFormatting sqref="AD4 AD6:AD11">
    <cfRule type="expression" dxfId="1663" priority="74">
      <formula>ABS(AD$7-AD$10)&gt;=1000</formula>
    </cfRule>
  </conditionalFormatting>
  <conditionalFormatting sqref="AE4 AE6:AE11">
    <cfRule type="expression" dxfId="1662" priority="73">
      <formula>ABS(AE$7-AE$10)&gt;=1000</formula>
    </cfRule>
  </conditionalFormatting>
  <conditionalFormatting sqref="D13:D20">
    <cfRule type="expression" dxfId="1661" priority="72">
      <formula>ABS(D$16-D$19)&gt;=1000</formula>
    </cfRule>
  </conditionalFormatting>
  <conditionalFormatting sqref="E13:E20">
    <cfRule type="expression" dxfId="1660" priority="71">
      <formula>ABS(E$16-E$19)&gt;=1000</formula>
    </cfRule>
  </conditionalFormatting>
  <conditionalFormatting sqref="F13 F15:F20">
    <cfRule type="expression" dxfId="1659" priority="70">
      <formula>ABS(F$16-F$19)&gt;=1000</formula>
    </cfRule>
  </conditionalFormatting>
  <conditionalFormatting sqref="G13:G20">
    <cfRule type="expression" dxfId="1658" priority="69">
      <formula>ABS(G$16-G$19)&gt;=1000</formula>
    </cfRule>
  </conditionalFormatting>
  <conditionalFormatting sqref="H13 H15:H20">
    <cfRule type="expression" dxfId="1657" priority="68">
      <formula>ABS(H$16-H$19)&gt;=1000</formula>
    </cfRule>
  </conditionalFormatting>
  <conditionalFormatting sqref="I13:I20">
    <cfRule type="expression" dxfId="1656" priority="67">
      <formula>ABS(I$16-I$19)&gt;=1000</formula>
    </cfRule>
  </conditionalFormatting>
  <conditionalFormatting sqref="J13:J20">
    <cfRule type="expression" dxfId="1655" priority="66">
      <formula>ABS(J$16-J$19)&gt;=1000</formula>
    </cfRule>
  </conditionalFormatting>
  <conditionalFormatting sqref="L13:L20">
    <cfRule type="expression" dxfId="1654" priority="65">
      <formula>ABS(L$16-L$19)&gt;=1000</formula>
    </cfRule>
  </conditionalFormatting>
  <conditionalFormatting sqref="M13 M15 M17:M18 M20">
    <cfRule type="expression" dxfId="1653" priority="64">
      <formula>ABS(M$16-M$19)&gt;=1000</formula>
    </cfRule>
  </conditionalFormatting>
  <conditionalFormatting sqref="N13:N20">
    <cfRule type="expression" dxfId="1652" priority="63">
      <formula>ABS(N$16-N$19)&gt;=1000</formula>
    </cfRule>
  </conditionalFormatting>
  <conditionalFormatting sqref="O13:O20">
    <cfRule type="expression" dxfId="1651" priority="62">
      <formula>ABS(O$16-O$19)&gt;=1000</formula>
    </cfRule>
  </conditionalFormatting>
  <conditionalFormatting sqref="P13:P20">
    <cfRule type="expression" dxfId="1650" priority="61">
      <formula>ABS(P$16-P$19)&gt;=1000</formula>
    </cfRule>
  </conditionalFormatting>
  <conditionalFormatting sqref="Q13 Q15:Q20">
    <cfRule type="expression" dxfId="1649" priority="60">
      <formula>ABS(Q$16-Q$19)&gt;=1000</formula>
    </cfRule>
  </conditionalFormatting>
  <conditionalFormatting sqref="R13:R20">
    <cfRule type="expression" dxfId="1648" priority="59">
      <formula>ABS(R$16-R$19)&gt;=1000</formula>
    </cfRule>
  </conditionalFormatting>
  <conditionalFormatting sqref="S13:S20">
    <cfRule type="expression" dxfId="1647" priority="58">
      <formula>ABS(S$16-S$19)&gt;=1000</formula>
    </cfRule>
  </conditionalFormatting>
  <conditionalFormatting sqref="T13:T20">
    <cfRule type="expression" dxfId="1646" priority="57">
      <formula>ABS(T$16-T$19)&gt;=1000</formula>
    </cfRule>
  </conditionalFormatting>
  <conditionalFormatting sqref="U13:U20">
    <cfRule type="expression" dxfId="1645" priority="56">
      <formula>ABS(U$16-U$19)&gt;=1000</formula>
    </cfRule>
  </conditionalFormatting>
  <conditionalFormatting sqref="V13:V20">
    <cfRule type="expression" dxfId="1644" priority="55">
      <formula>ABS(V$16-V$19)&gt;=1000</formula>
    </cfRule>
  </conditionalFormatting>
  <conditionalFormatting sqref="W13 W20 W15:W18">
    <cfRule type="expression" dxfId="1643" priority="54">
      <formula>ABS(W$16-W$19)&gt;=1000</formula>
    </cfRule>
  </conditionalFormatting>
  <conditionalFormatting sqref="X13 X15:X20 Y19">
    <cfRule type="expression" dxfId="1642" priority="53">
      <formula>ABS(X$16-X$19)&gt;=1000</formula>
    </cfRule>
  </conditionalFormatting>
  <conditionalFormatting sqref="Y13 Y15:Y18 Y20">
    <cfRule type="expression" dxfId="1641" priority="52">
      <formula>ABS(Y$16-Y$19)&gt;=1000</formula>
    </cfRule>
  </conditionalFormatting>
  <conditionalFormatting sqref="Z13:Z20">
    <cfRule type="expression" dxfId="1640" priority="51">
      <formula>ABS(Z$16-Z$19)&gt;=1000</formula>
    </cfRule>
  </conditionalFormatting>
  <conditionalFormatting sqref="AA13:AA20">
    <cfRule type="expression" dxfId="1639" priority="50">
      <formula>ABS(AA$16-AA$19)&gt;=1000</formula>
    </cfRule>
  </conditionalFormatting>
  <conditionalFormatting sqref="AB13 AB15:AB20">
    <cfRule type="expression" dxfId="1638" priority="49">
      <formula>ABS(AB$16-AB$19)&gt;=1000</formula>
    </cfRule>
  </conditionalFormatting>
  <conditionalFormatting sqref="AC13 AC15:AC20">
    <cfRule type="expression" dxfId="1637" priority="48">
      <formula>ABS(AC$16-AC$19)&gt;=1000</formula>
    </cfRule>
  </conditionalFormatting>
  <conditionalFormatting sqref="AD13:AD20">
    <cfRule type="expression" dxfId="1636" priority="47">
      <formula>ABS(AD$16-AD$19)&gt;=1000</formula>
    </cfRule>
  </conditionalFormatting>
  <conditionalFormatting sqref="AE13:AE20">
    <cfRule type="expression" dxfId="1635" priority="46">
      <formula>ABS(AE$16-AE$19)&gt;=1000</formula>
    </cfRule>
  </conditionalFormatting>
  <conditionalFormatting sqref="D22:D29">
    <cfRule type="expression" dxfId="1634" priority="45">
      <formula>ABS(D$25-D$28)&gt;=1000</formula>
    </cfRule>
  </conditionalFormatting>
  <conditionalFormatting sqref="E22:E29">
    <cfRule type="expression" dxfId="1633" priority="44">
      <formula>ABS(E$25-E$28)&gt;=1000</formula>
    </cfRule>
  </conditionalFormatting>
  <conditionalFormatting sqref="F22:F29">
    <cfRule type="expression" dxfId="1632" priority="43">
      <formula>ABS(F$25-F$28)&gt;=1000</formula>
    </cfRule>
  </conditionalFormatting>
  <conditionalFormatting sqref="G22:G29">
    <cfRule type="expression" dxfId="1631" priority="42">
      <formula>ABS(G$25-G$28)&gt;=1000</formula>
    </cfRule>
  </conditionalFormatting>
  <conditionalFormatting sqref="H22:H29">
    <cfRule type="expression" dxfId="1630" priority="41">
      <formula>ABS(H$25-H$28)&gt;=1000</formula>
    </cfRule>
  </conditionalFormatting>
  <conditionalFormatting sqref="I22 I24:I29">
    <cfRule type="expression" dxfId="1629" priority="40">
      <formula>ABS(I$25-I$28)&gt;=1000</formula>
    </cfRule>
  </conditionalFormatting>
  <conditionalFormatting sqref="J22:J29 K22">
    <cfRule type="expression" dxfId="1628" priority="39">
      <formula>ABS(J$25-J$28)&gt;=1000</formula>
    </cfRule>
  </conditionalFormatting>
  <conditionalFormatting sqref="K23:K29 L25 L28">
    <cfRule type="expression" dxfId="1627" priority="38">
      <formula>ABS(K$25-K$28)&gt;=1000</formula>
    </cfRule>
  </conditionalFormatting>
  <conditionalFormatting sqref="L22 L26:L27 L29 L24">
    <cfRule type="expression" dxfId="1626" priority="37">
      <formula>ABS(L$25-L$28)&gt;=1000</formula>
    </cfRule>
  </conditionalFormatting>
  <conditionalFormatting sqref="M22:M29">
    <cfRule type="expression" dxfId="1625" priority="36">
      <formula>ABS(M$25-M$28)&gt;=1000</formula>
    </cfRule>
  </conditionalFormatting>
  <conditionalFormatting sqref="N22:N29">
    <cfRule type="expression" dxfId="1624" priority="35">
      <formula>ABS(N$25-N$28)&gt;=1000</formula>
    </cfRule>
  </conditionalFormatting>
  <conditionalFormatting sqref="O22:O29">
    <cfRule type="expression" dxfId="1623" priority="34">
      <formula>ABS(O$25-O$28)&gt;=1000</formula>
    </cfRule>
  </conditionalFormatting>
  <conditionalFormatting sqref="P22:P29">
    <cfRule type="expression" dxfId="1622" priority="33">
      <formula>ABS(P$25-P$28)&gt;=1000</formula>
    </cfRule>
  </conditionalFormatting>
  <conditionalFormatting sqref="Q22:Q29">
    <cfRule type="expression" dxfId="1621" priority="32">
      <formula>ABS(Q$25-Q$28)&gt;=1000</formula>
    </cfRule>
  </conditionalFormatting>
  <conditionalFormatting sqref="R22:R29">
    <cfRule type="expression" dxfId="1620" priority="31">
      <formula>ABS(R$25-R$28)&gt;=1000</formula>
    </cfRule>
  </conditionalFormatting>
  <conditionalFormatting sqref="S22:S29">
    <cfRule type="expression" dxfId="1619" priority="30">
      <formula>ABS(S$25-S$28)&gt;=1000</formula>
    </cfRule>
  </conditionalFormatting>
  <conditionalFormatting sqref="T22:T29">
    <cfRule type="expression" dxfId="1618" priority="29">
      <formula>ABS(T$25-T$28)&gt;=1000</formula>
    </cfRule>
  </conditionalFormatting>
  <conditionalFormatting sqref="U22:U29">
    <cfRule type="expression" dxfId="1617" priority="28">
      <formula>ABS(U$25-U$28)&gt;=1000</formula>
    </cfRule>
  </conditionalFormatting>
  <conditionalFormatting sqref="V22:V29">
    <cfRule type="expression" dxfId="1616" priority="27">
      <formula>ABS(V$25-V$28)&gt;=1000</formula>
    </cfRule>
  </conditionalFormatting>
  <conditionalFormatting sqref="W22:W29">
    <cfRule type="expression" dxfId="1615" priority="26">
      <formula>ABS(W$25-W$28)&gt;=1000</formula>
    </cfRule>
  </conditionalFormatting>
  <conditionalFormatting sqref="X22:X29">
    <cfRule type="expression" dxfId="1614" priority="25">
      <formula>ABS(X$25-X$28)&gt;=1000</formula>
    </cfRule>
  </conditionalFormatting>
  <conditionalFormatting sqref="Y22:Y29">
    <cfRule type="expression" dxfId="1613" priority="24">
      <formula>ABS(Y$25-Y$28)&gt;=1000</formula>
    </cfRule>
  </conditionalFormatting>
  <conditionalFormatting sqref="I23">
    <cfRule type="expression" dxfId="1612" priority="23">
      <formula>ABS(I$25-I$28)&gt;=1000</formula>
    </cfRule>
  </conditionalFormatting>
  <conditionalFormatting sqref="Q14">
    <cfRule type="expression" dxfId="1611" priority="22">
      <formula>ABS(Q$16-Q$19)&gt;=1000</formula>
    </cfRule>
  </conditionalFormatting>
  <conditionalFormatting sqref="W14">
    <cfRule type="expression" dxfId="1610" priority="21">
      <formula>ABS(W$16-W$19)&gt;=1000</formula>
    </cfRule>
  </conditionalFormatting>
  <conditionalFormatting sqref="X14">
    <cfRule type="expression" dxfId="1609" priority="20">
      <formula>ABS(X$16-X$19)&gt;=1000</formula>
    </cfRule>
  </conditionalFormatting>
  <conditionalFormatting sqref="T10:Y10">
    <cfRule type="expression" dxfId="1608" priority="19">
      <formula>ABS(T$7-T$10)&gt;=1000</formula>
    </cfRule>
  </conditionalFormatting>
  <conditionalFormatting sqref="W19">
    <cfRule type="expression" dxfId="1607" priority="18">
      <formula>ABS(W$16-W$19)&gt;=1000</formula>
    </cfRule>
  </conditionalFormatting>
  <conditionalFormatting sqref="AC5">
    <cfRule type="expression" dxfId="1606" priority="17">
      <formula>ABS(AC$7-AC$10)&gt;=1000</formula>
    </cfRule>
  </conditionalFormatting>
  <conditionalFormatting sqref="M14">
    <cfRule type="expression" dxfId="1605" priority="16">
      <formula>ABS(M$16-M$19)&gt;=1000</formula>
    </cfRule>
  </conditionalFormatting>
  <conditionalFormatting sqref="M16">
    <cfRule type="expression" dxfId="1604" priority="15">
      <formula>ABS(M$16-M$19)&gt;=1000</formula>
    </cfRule>
  </conditionalFormatting>
  <conditionalFormatting sqref="M19">
    <cfRule type="expression" dxfId="1603" priority="14">
      <formula>ABS(M$16-M$19)&gt;=1000</formula>
    </cfRule>
  </conditionalFormatting>
  <conditionalFormatting sqref="K13:K20">
    <cfRule type="expression" dxfId="1602" priority="13">
      <formula>ABS(K$16-K$19)&gt;=1000</formula>
    </cfRule>
  </conditionalFormatting>
  <conditionalFormatting sqref="E5">
    <cfRule type="expression" dxfId="1601" priority="12">
      <formula>ABS(E$7-E$10)&gt;=1000</formula>
    </cfRule>
  </conditionalFormatting>
  <conditionalFormatting sqref="AB14:AC14">
    <cfRule type="expression" dxfId="1600" priority="11">
      <formula>ABS(AB$16-AB$19)&gt;=1000</formula>
    </cfRule>
  </conditionalFormatting>
  <conditionalFormatting sqref="M5">
    <cfRule type="expression" dxfId="1599" priority="10">
      <formula>ABS(M$7-M$10)&gt;=1000</formula>
    </cfRule>
  </conditionalFormatting>
  <conditionalFormatting sqref="N5">
    <cfRule type="expression" dxfId="1598" priority="9">
      <formula>ABS(N$7-N$10)&gt;=1000</formula>
    </cfRule>
  </conditionalFormatting>
  <conditionalFormatting sqref="O5">
    <cfRule type="expression" dxfId="1597" priority="8">
      <formula>ABS(O$7-O$10)&gt;=1000</formula>
    </cfRule>
  </conditionalFormatting>
  <conditionalFormatting sqref="P5">
    <cfRule type="expression" dxfId="1596" priority="7">
      <formula>ABS(P$7-P$10)&gt;=1000</formula>
    </cfRule>
  </conditionalFormatting>
  <conditionalFormatting sqref="L23">
    <cfRule type="expression" dxfId="1595" priority="6">
      <formula>ABS(L$25-L$28)&gt;=1000</formula>
    </cfRule>
  </conditionalFormatting>
  <conditionalFormatting sqref="Y14">
    <cfRule type="expression" dxfId="1594" priority="5">
      <formula>ABS(Y$16-Y$19)&gt;=1000</formula>
    </cfRule>
  </conditionalFormatting>
  <conditionalFormatting sqref="F14">
    <cfRule type="expression" dxfId="1593" priority="4">
      <formula>ABS(F$16-F$19)&gt;=1000</formula>
    </cfRule>
  </conditionalFormatting>
  <conditionalFormatting sqref="H14">
    <cfRule type="expression" dxfId="1592" priority="3">
      <formula>ABS(H$16-H$19)&gt;=1000</formula>
    </cfRule>
  </conditionalFormatting>
  <conditionalFormatting sqref="AD5">
    <cfRule type="expression" dxfId="1591" priority="2">
      <formula>ABS(AD$7-AD$10)&gt;=1000</formula>
    </cfRule>
  </conditionalFormatting>
  <conditionalFormatting sqref="AE5">
    <cfRule type="expression" dxfId="15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04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5">
    <pageSetUpPr fitToPage="1"/>
  </sheetPr>
  <dimension ref="A1:CU223"/>
  <sheetViews>
    <sheetView view="pageBreakPreview" topLeftCell="A4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46097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3627</v>
      </c>
      <c r="E6" s="71">
        <v>0</v>
      </c>
      <c r="F6" s="71">
        <v>4698</v>
      </c>
      <c r="G6" s="71">
        <v>4162</v>
      </c>
      <c r="H6" s="71">
        <v>1557</v>
      </c>
      <c r="I6" s="71">
        <v>53.29</v>
      </c>
      <c r="J6" s="71">
        <v>6.56</v>
      </c>
      <c r="K6" s="71">
        <v>61.8</v>
      </c>
      <c r="L6" s="71">
        <v>8</v>
      </c>
      <c r="M6" s="71">
        <v>2039</v>
      </c>
      <c r="N6" s="71">
        <v>1933</v>
      </c>
      <c r="O6" s="71">
        <v>2876</v>
      </c>
      <c r="P6" s="71">
        <v>5319</v>
      </c>
      <c r="Q6" s="71">
        <v>0</v>
      </c>
      <c r="R6" s="71">
        <v>0</v>
      </c>
      <c r="S6" s="71">
        <v>0</v>
      </c>
      <c r="T6" s="71">
        <v>5398</v>
      </c>
      <c r="U6" s="71">
        <v>0</v>
      </c>
      <c r="V6" s="71">
        <v>0</v>
      </c>
      <c r="W6" s="71">
        <v>0</v>
      </c>
      <c r="X6" s="71">
        <v>0</v>
      </c>
      <c r="Y6" s="71">
        <v>1</v>
      </c>
      <c r="Z6" s="71">
        <v>5877</v>
      </c>
      <c r="AA6" s="71">
        <v>4229</v>
      </c>
      <c r="AB6" s="71">
        <v>3842</v>
      </c>
      <c r="AC6" s="71">
        <v>4454</v>
      </c>
      <c r="AD6" s="71">
        <v>4780</v>
      </c>
      <c r="AE6" s="71">
        <v>4626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114382.73875157999</v>
      </c>
      <c r="E7" s="73" ph="1">
        <f>E6*51.53*LOOKUP(E8,密度!$A$2:$A$50,密度!$B$2:$B$50)</f>
        <v>0</v>
      </c>
      <c r="F7" s="73" ph="1">
        <f>F6*33.183*LOOKUP(F8,密度!$A$2:$A$50,密度!$C$2:$C$50)</f>
        <v>173743.56654299999</v>
      </c>
      <c r="G7" s="73" ph="1">
        <f xml:space="preserve"> (G6+2)*51.53*LOOKUP(G8,密度!$A$2:$A$50,密度!$B$2:$B$50)</f>
        <v>168738.57148800002</v>
      </c>
      <c r="H7" s="73" ph="1">
        <f>(H6)*51.53*LOOKUP(H8,密度!$A$2:$A$50,密度!$B$2:$B$50)</f>
        <v>63295.190469000008</v>
      </c>
      <c r="I7" s="73" ph="1">
        <f>I6*290.8*1.0267</f>
        <v>15910.494744399999</v>
      </c>
      <c r="J7" s="73" ph="1">
        <f>J6*290.8*0.7892</f>
        <v>1505.5158016</v>
      </c>
      <c r="K7" s="73" ph="1">
        <f>K6*290.8*1.1126</f>
        <v>19995.024143999999</v>
      </c>
      <c r="L7" s="73" ph="1">
        <f>L6*290.8*0.777</f>
        <v>1807.6128000000001</v>
      </c>
      <c r="M7" s="73" ph="1">
        <f>M6*33.183*LOOKUP(M8,密度!$A$2:$A$50,密度!$D$2:$D$50)</f>
        <v>69953.815644300004</v>
      </c>
      <c r="N7" s="73" ph="1">
        <f>N6*33.183*LOOKUP(N8,密度!$A$2:$A$50,密度!$E$2:$E$50)</f>
        <v>50621.449618800005</v>
      </c>
      <c r="O7" s="73" ph="1">
        <f>O6*20.428*LOOKUP(O8,密度!$A$2:$A$50,密度!$C$2:$C$50)</f>
        <v>65190.029708799993</v>
      </c>
      <c r="P7" s="73" ph="1">
        <f>P6*51.53*LOOKUP(P8,密度!$A$2:$A$50,密度!$B$2:$B$50)</f>
        <v>215350.99659900001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36210.331357199997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6.6798269999999995</v>
      </c>
      <c r="Z7" s="73" ph="1">
        <f>Z6*33.183*LOOKUP(Z8,密度!$A$2:$A$50,密度!$L$2:$L$50)</f>
        <v>184680.616977</v>
      </c>
      <c r="AA7" s="73" ph="1">
        <f>AA6*33.183*LOOKUP(AA8,密度!$A$2:$A$50,密度!$D$2:$D$50)</f>
        <v>145088.12474730003</v>
      </c>
      <c r="AB7" s="73" ph="1">
        <f>AB6*20.428*LOOKUP(AB8,密度!$A$2:$A$50,密度!$D$2:$D$50)</f>
        <v>81553.115101599993</v>
      </c>
      <c r="AC7" s="73" ph="1">
        <f>AC6*51.53*LOOKUP(AC8,密度!$A$2:$A$50,密度!$Q$2:$Q$50)</f>
        <v>219080.88537480001</v>
      </c>
      <c r="AD7" s="73" ph="1">
        <f>AD6*20.428*LOOKUP(AD8,密度!$A$2:$A$50,密度!$V$2:$V$50)</f>
        <v>94130.589760000003</v>
      </c>
      <c r="AE7" s="73" ph="1">
        <f>AE6*20.428</f>
        <v>94499.928</v>
      </c>
    </row>
    <row r="8" spans="1:99" ph="1">
      <c r="B8" s="238" ph="1"/>
      <c r="C8" s="68" t="s" ph="1">
        <v>179</v>
      </c>
      <c r="D8" s="74">
        <v>20</v>
      </c>
      <c r="E8" s="74">
        <v>16</v>
      </c>
      <c r="F8" s="74">
        <v>17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20</v>
      </c>
      <c r="O8" s="74">
        <v>24</v>
      </c>
      <c r="P8" s="74">
        <v>18</v>
      </c>
      <c r="Q8" s="74">
        <v>19</v>
      </c>
      <c r="R8" s="74">
        <v>22</v>
      </c>
      <c r="S8" s="74">
        <v>13</v>
      </c>
      <c r="T8" s="74">
        <v>13</v>
      </c>
      <c r="U8" s="74">
        <v>19</v>
      </c>
      <c r="V8" s="74">
        <v>23</v>
      </c>
      <c r="W8" s="74">
        <v>18</v>
      </c>
      <c r="X8" s="74">
        <v>8</v>
      </c>
      <c r="Y8" s="74">
        <v>17</v>
      </c>
      <c r="Z8" s="74">
        <v>15</v>
      </c>
      <c r="AA8" s="74">
        <v>17</v>
      </c>
      <c r="AB8" s="74">
        <v>11</v>
      </c>
      <c r="AC8" s="74">
        <v>15</v>
      </c>
      <c r="AD8" s="74">
        <v>16</v>
      </c>
      <c r="AE8" s="74">
        <v>22</v>
      </c>
    </row>
    <row r="9" spans="1:99" ht="26.4" ph="1">
      <c r="B9" s="238" ph="1">
        <v>0.66666666666666663</v>
      </c>
      <c r="C9" s="156" t="s" ph="1">
        <v>180</v>
      </c>
      <c r="D9" s="71">
        <v>3628</v>
      </c>
      <c r="E9" s="71">
        <v>0</v>
      </c>
      <c r="F9" s="71">
        <v>4699</v>
      </c>
      <c r="G9" s="71">
        <v>5451</v>
      </c>
      <c r="H9" s="71">
        <v>1557</v>
      </c>
      <c r="I9" s="71">
        <v>53.34</v>
      </c>
      <c r="J9" s="71">
        <v>6.64</v>
      </c>
      <c r="K9" s="71">
        <v>61.78</v>
      </c>
      <c r="L9" s="71">
        <v>7.96</v>
      </c>
      <c r="M9" s="71">
        <v>2040</v>
      </c>
      <c r="N9" s="71">
        <v>1539</v>
      </c>
      <c r="O9" s="71">
        <v>2877</v>
      </c>
      <c r="P9" s="71">
        <v>4823</v>
      </c>
      <c r="Q9" s="71">
        <v>2</v>
      </c>
      <c r="R9" s="71">
        <v>0</v>
      </c>
      <c r="S9" s="71">
        <v>0</v>
      </c>
      <c r="T9" s="71">
        <v>7100</v>
      </c>
      <c r="U9" s="71">
        <v>4796</v>
      </c>
      <c r="V9" s="71">
        <v>0</v>
      </c>
      <c r="W9" s="71">
        <v>0</v>
      </c>
      <c r="X9" s="71">
        <v>0</v>
      </c>
      <c r="Y9" s="71">
        <v>0</v>
      </c>
      <c r="Z9" s="71">
        <v>5879</v>
      </c>
      <c r="AA9" s="71">
        <v>4233</v>
      </c>
      <c r="AB9" s="71">
        <v>3718</v>
      </c>
      <c r="AC9" s="71">
        <v>4053</v>
      </c>
      <c r="AD9" s="71">
        <v>4780</v>
      </c>
      <c r="AE9" s="71">
        <v>4604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114331.20754356</v>
      </c>
      <c r="E10" s="73" ph="1">
        <f>E9*51.53*LOOKUP(E11,密度!$A$2:$A$50,密度!$B$2:$B$50)</f>
        <v>0</v>
      </c>
      <c r="F10" s="73" ph="1">
        <f>F9*33.183*LOOKUP(F11,密度!$A$2:$A$50,密度!$C$2:$C$50)</f>
        <v>173686.99284629998</v>
      </c>
      <c r="G10" s="73" ph="1">
        <f xml:space="preserve"> (G9+2)*51.53*LOOKUP(G11,密度!$A$2:$A$50,密度!$B$2:$B$50)</f>
        <v>220326.68186900002</v>
      </c>
      <c r="H10" s="73" ph="1">
        <f>(H9)*51.53*LOOKUP(H11,密度!$A$2:$A$50,密度!$B$2:$B$50)</f>
        <v>62974.261629000008</v>
      </c>
      <c r="I10" s="73" ph="1">
        <f>I9*290.8*1.0267</f>
        <v>15925.4229624</v>
      </c>
      <c r="J10" s="73" ph="1">
        <f>J9*290.8*0.7892</f>
        <v>1523.8757504</v>
      </c>
      <c r="K10" s="73" ph="1">
        <f>K9*290.8*1.1126</f>
        <v>19988.553262400001</v>
      </c>
      <c r="L10" s="73" ph="1">
        <f>L9*290.8*0.777</f>
        <v>1798.574736</v>
      </c>
      <c r="M10" s="73" ph="1">
        <f>M9*33.183*LOOKUP(M11,密度!$A$2:$A$50,密度!$D$2:$D$50)</f>
        <v>69757.966259999987</v>
      </c>
      <c r="N10" s="73" ph="1">
        <f>N9*33.183*LOOKUP(N11,密度!$A$2:$A$50,密度!$E$2:$E$50)</f>
        <v>40303.368320400004</v>
      </c>
      <c r="O10" s="73" ph="1">
        <f>O9*20.428*LOOKUP(O11,密度!$A$2:$A$50,密度!$C$2:$C$50)</f>
        <v>65036.382549599999</v>
      </c>
      <c r="P10" s="73" ph="1">
        <f>P9*51.53*LOOKUP(P11,密度!$A$2:$A$50,密度!$B$2:$B$50)</f>
        <v>194424.38533700001</v>
      </c>
      <c r="Q10" s="73" ph="1">
        <f>Q9*1.5*1.5*3.1416*LOOKUP(W11,密度!$A$2:$A$50,密度!$L$2:$L$50)</f>
        <v>13.190007600000001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47326.397579999997</v>
      </c>
      <c r="U10" s="73" ph="1">
        <f>U9*1.5*1.5*3.1416*LOOKUP(U11,密度!$A$2:$A$50,密度!$L$2:$L$50)</f>
        <v>32036.450291999994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184353.29986499998</v>
      </c>
      <c r="AA10" s="73" ph="1">
        <f>AA9*33.183*LOOKUP(AA11,密度!$A$2:$A$50,密度!$D$2:$D$50)</f>
        <v>144874.19726460002</v>
      </c>
      <c r="AB10" s="73" ph="1">
        <f>AB9*20.428*LOOKUP(AB11,密度!$A$2:$A$50,密度!$D$2:$D$50)</f>
        <v>78723.526595999996</v>
      </c>
      <c r="AC10" s="73" ph="1">
        <f>AC9*51.53*LOOKUP(AC11,密度!$A$2:$A$50,密度!$Q$2:$Q$50)</f>
        <v>198487.89891419999</v>
      </c>
      <c r="AD10" s="73" ph="1">
        <f>AD9*20.428*LOOKUP(AD11,密度!$A$2:$A$50,密度!$V$2:$V$50)</f>
        <v>94130.589760000003</v>
      </c>
      <c r="AE10" s="73" ph="1">
        <f>AE9*20.428</f>
        <v>94050.512000000002</v>
      </c>
    </row>
    <row r="11" spans="1:99" ph="1">
      <c r="A11" s="64" t="s" ph="1">
        <v>162</v>
      </c>
      <c r="B11" s="238" ph="1"/>
      <c r="C11" s="156" t="s" ph="1">
        <v>179</v>
      </c>
      <c r="D11" s="74">
        <v>21</v>
      </c>
      <c r="E11" s="74">
        <v>22</v>
      </c>
      <c r="F11" s="74">
        <v>18</v>
      </c>
      <c r="G11" s="74">
        <v>20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20</v>
      </c>
      <c r="O11" s="74">
        <v>28</v>
      </c>
      <c r="P11" s="74">
        <v>22</v>
      </c>
      <c r="Q11" s="74">
        <v>32</v>
      </c>
      <c r="R11" s="74">
        <v>27</v>
      </c>
      <c r="S11" s="74">
        <v>18</v>
      </c>
      <c r="T11" s="74">
        <v>19</v>
      </c>
      <c r="U11" s="74">
        <v>17</v>
      </c>
      <c r="V11" s="74">
        <v>28</v>
      </c>
      <c r="W11" s="74">
        <v>29</v>
      </c>
      <c r="X11" s="74">
        <v>16</v>
      </c>
      <c r="Y11" s="74">
        <v>23</v>
      </c>
      <c r="Z11" s="74">
        <v>17</v>
      </c>
      <c r="AA11" s="74">
        <v>20</v>
      </c>
      <c r="AB11" s="74">
        <v>14</v>
      </c>
      <c r="AC11" s="74">
        <v>20</v>
      </c>
      <c r="AD11" s="74">
        <v>19</v>
      </c>
      <c r="AE11" s="74">
        <v>25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5049</v>
      </c>
      <c r="E15" s="78">
        <v>2168</v>
      </c>
      <c r="F15" s="78">
        <v>5071</v>
      </c>
      <c r="G15" s="78">
        <v>5156</v>
      </c>
      <c r="H15" s="78">
        <v>0</v>
      </c>
      <c r="I15" s="78">
        <v>226</v>
      </c>
      <c r="J15" s="78">
        <v>413</v>
      </c>
      <c r="K15" s="78">
        <v>3577</v>
      </c>
      <c r="L15" s="78">
        <v>3705</v>
      </c>
      <c r="M15" s="78">
        <v>5587</v>
      </c>
      <c r="N15" s="78">
        <v>3541</v>
      </c>
      <c r="O15" s="78">
        <v>4969</v>
      </c>
      <c r="P15" s="78">
        <v>4599</v>
      </c>
      <c r="Q15" s="78">
        <v>1275</v>
      </c>
      <c r="R15" s="78">
        <v>7370</v>
      </c>
      <c r="S15" s="78">
        <v>0</v>
      </c>
      <c r="T15" s="78">
        <v>5037</v>
      </c>
      <c r="U15" s="78">
        <v>2094</v>
      </c>
      <c r="V15" s="78">
        <v>3081</v>
      </c>
      <c r="W15" s="71">
        <v>-172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7134</v>
      </c>
      <c r="AC15" s="78" ph="1">
        <v>7107</v>
      </c>
      <c r="AD15" s="78">
        <v>76.459999999999994</v>
      </c>
      <c r="AE15" s="78">
        <v>84.23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33726.446522999999</v>
      </c>
      <c r="E16" s="73" ph="1">
        <f>E15*7.0686*LOOKUP(E17,密度!$A$2:$A$50,密度!$L$2:$L$50)</f>
        <v>14481.864936</v>
      </c>
      <c r="F16" s="73" ph="1">
        <f>F15*9.0746*LOOKUP(F17,密度!$A$2:$A$50,密度!$L$2:$L$50)</f>
        <v>42980.155024400003</v>
      </c>
      <c r="G16" s="73" ph="1">
        <f>G15*9.0746*LOOKUP(G17,密度!$A$2:$A$50,密度!$B$2:$B$50)</f>
        <v>36644.860968320005</v>
      </c>
      <c r="H16" s="73" ph="1">
        <f>H15*9.0746*LOOKUP(H17,密度!$A$2:$A$50,密度!$L$2:$L$50)</f>
        <v>0</v>
      </c>
      <c r="I16" s="73" ph="1">
        <f>I15*9.0746*LOOKUP(I17,密度!$A$2:$A$50,密度!$U$2:$U$50)</f>
        <v>2108.2836688000002</v>
      </c>
      <c r="J16" s="73" ph="1">
        <f>J15*9.0746*LOOKUP(J17,密度!$A$2:$A$50,密度!$L$2:$L$50)</f>
        <v>3534.1846413999997</v>
      </c>
      <c r="K16" s="73" ph="1">
        <f>K15*9.0746*LOOKUP(K17,密度!$A$2:$A$50,密度!$C$2:$C$50)</f>
        <v>36157.020454379999</v>
      </c>
      <c r="L16" s="73" ph="1">
        <f>L15*9.0746*LOOKUP(L17,密度!$A$2:$A$50,密度!$E$2:$E$50)</f>
        <v>26570.986887900002</v>
      </c>
      <c r="M16" s="73" ph="1">
        <f>M15*9.0746*LOOKUP(M17,密度!$A$2:$A$50,密度!$M$2:$M$50)</f>
        <v>44631.025313060003</v>
      </c>
      <c r="N16" s="73" ph="1">
        <f>N15*9.0746*LOOKUP(N17,密度!$A$2:$A$50,密度!$M$2:$M$50)</f>
        <v>28286.819515580002</v>
      </c>
      <c r="O16" s="73" ph="1">
        <f>O15*9.0746*LOOKUP(O17,密度!$A$2:$A$50,密度!$G$2:$G$50)</f>
        <v>43554.06085966</v>
      </c>
      <c r="P16" s="73" ph="1">
        <f ca="1">P15*9.0746*LOOKUP(P17,密度!$A$2:$A$51,密度!$Q$2:$Q$50)</f>
        <v>39663.240082452001</v>
      </c>
      <c r="Q16" s="73" ph="1">
        <f>Q15*9.0746*LOOKUP(Q17,密度!$A$2:$A$50,密度!$Q$2:$Q$50)</f>
        <v>11024.005572</v>
      </c>
      <c r="R16" s="73" ph="1">
        <f>MAX(R15*9.0746*LOOKUP(R17,密度!$A$2:$A$50,密度!$B$2:$B$50),0)</f>
        <v>52440.452748199998</v>
      </c>
      <c r="S16" s="73" ph="1">
        <f>S15*9.0746*LOOKUP(S17,密度!$A$2:$A$50,密度!$Q$2:$Q$50)</f>
        <v>0</v>
      </c>
      <c r="T16" s="73" ph="1">
        <f>T15*9.0746*LOOKUP(T17,密度!$A$2:$A$50,密度!$O$2:$O$50)</f>
        <v>42691.982026800004</v>
      </c>
      <c r="U16" s="73" ph="1">
        <f>U15*9.0746*LOOKUP(U17,密度!$A$2:$A$50,密度!$H$2:$H$50)</f>
        <v>17571.345806279998</v>
      </c>
      <c r="V16" s="73" ph="1">
        <f>MAX(5600*LOOKUP(V17,密度!$A$2:$A$50,密度!$Q$2:$Q$50)+V15*9.0476*LOOKUP(V17,密度!$A$2:$A$50,密度!$Q$2:$Q$50),0)</f>
        <v>31814.593569127999</v>
      </c>
      <c r="W16" s="73" ph="1">
        <f>MAX(5600*LOOKUP(W17,密度!$A$2:$A$50,密度!$Q$2:$Q$50)+W15*9.0476*LOOKUP(W17,密度!$A$2:$A$50,密度!$Q$2:$Q$50),0)</f>
        <v>3846.5960497440001</v>
      </c>
      <c r="X16" s="73" ph="1">
        <f>MAX(5600*LOOKUP(X17,密度!$A$2:$A$50,密度!$I$2:$I$50)+X15*9.0476*LOOKUP(X17,密度!$A$2:$A$50,密度!$I$2:$I$50),0)</f>
        <v>6740.4901636800005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71.50784800000001</v>
      </c>
      <c r="AB16" s="73" ph="1">
        <f>AB15*9.0746*LOOKUP(AB17,密度!$A$2:$A$50,密度!$L$2:$L$50)</f>
        <v>61048.119205199997</v>
      </c>
      <c r="AC16" s="73" ph="1">
        <f>AC15*9.0746*LOOKUP(AC17,密度!$A$2:$A$50,密度!$L$2:$L$50)</f>
        <v>61010.550361200003</v>
      </c>
      <c r="AD16" s="73" ph="1">
        <f>AD15*268.68*LOOKUP(AD17,密度!$A$2:$A$50,密度!B2:B50)+IF(AD15&lt;=0,0,1566*LOOKUP(AD17,密度!$A$2:$A$50,密度!B2:B50))</f>
        <v>17236.389074879997</v>
      </c>
      <c r="AE16" s="73" ph="1">
        <f>AE15*268.68*LOOKUP(AE17,密度!$A$2:$A$50,密度!B2:B50)+IF(AE15&lt;=0,0,1566*LOOKUP(AE17,密度!$A$2:$A$50,密度!B2:B50))</f>
        <v>18863.916025439998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17</v>
      </c>
      <c r="E17" s="74">
        <v>17</v>
      </c>
      <c r="F17" s="74">
        <v>28</v>
      </c>
      <c r="G17" s="74">
        <v>21</v>
      </c>
      <c r="H17" s="74">
        <v>14</v>
      </c>
      <c r="I17" s="74">
        <v>16</v>
      </c>
      <c r="J17" s="74">
        <v>19</v>
      </c>
      <c r="K17" s="74">
        <v>18</v>
      </c>
      <c r="L17" s="74">
        <v>19</v>
      </c>
      <c r="M17" s="74">
        <v>20</v>
      </c>
      <c r="N17" s="74">
        <v>18</v>
      </c>
      <c r="O17" s="74">
        <v>20</v>
      </c>
      <c r="P17" s="74">
        <v>20</v>
      </c>
      <c r="Q17" s="74">
        <v>17</v>
      </c>
      <c r="R17" s="74">
        <v>20</v>
      </c>
      <c r="S17" s="74">
        <v>17</v>
      </c>
      <c r="T17" s="74">
        <v>19</v>
      </c>
      <c r="U17" s="74">
        <v>15</v>
      </c>
      <c r="V17" s="74">
        <v>20</v>
      </c>
      <c r="W17" s="74">
        <v>19</v>
      </c>
      <c r="X17" s="74">
        <v>20</v>
      </c>
      <c r="Y17" s="108">
        <v>20</v>
      </c>
      <c r="Z17" s="74">
        <v>18</v>
      </c>
      <c r="AA17" s="74">
        <v>15</v>
      </c>
      <c r="AB17" s="74">
        <v>19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5060</v>
      </c>
      <c r="E18" s="71">
        <v>2171</v>
      </c>
      <c r="F18" s="71">
        <v>5066</v>
      </c>
      <c r="G18" s="71">
        <v>1798</v>
      </c>
      <c r="H18" s="71">
        <v>0</v>
      </c>
      <c r="I18" s="71">
        <v>226</v>
      </c>
      <c r="J18" s="71">
        <v>413</v>
      </c>
      <c r="K18" s="71">
        <v>3579</v>
      </c>
      <c r="L18" s="71">
        <v>3714</v>
      </c>
      <c r="M18" s="71">
        <v>4952</v>
      </c>
      <c r="N18" s="71">
        <v>1248</v>
      </c>
      <c r="O18" s="71">
        <v>4977</v>
      </c>
      <c r="P18" s="71">
        <v>4605</v>
      </c>
      <c r="Q18" s="71">
        <v>1278</v>
      </c>
      <c r="R18" s="71">
        <v>7384</v>
      </c>
      <c r="S18" s="71">
        <v>0</v>
      </c>
      <c r="T18" s="71">
        <v>5043</v>
      </c>
      <c r="U18" s="71">
        <v>2092</v>
      </c>
      <c r="V18" s="71">
        <v>3081</v>
      </c>
      <c r="W18" s="71">
        <v>-172</v>
      </c>
      <c r="X18" s="71">
        <v>91</v>
      </c>
      <c r="Y18" s="109">
        <v>-9900</v>
      </c>
      <c r="Z18" s="71">
        <v>0</v>
      </c>
      <c r="AA18" s="71">
        <v>8</v>
      </c>
      <c r="AB18" s="71">
        <v>7143</v>
      </c>
      <c r="AC18" s="71">
        <v>7112</v>
      </c>
      <c r="AD18" s="71">
        <v>76.5</v>
      </c>
      <c r="AE18" s="71">
        <v>84.28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33442.253460000007</v>
      </c>
      <c r="E19" s="73" ph="1">
        <f>E18*7.0686*LOOKUP(E20,密度!$A$2:$A$50,密度!$L$2:$L$50)</f>
        <v>14348.445111000001</v>
      </c>
      <c r="F19" s="73" ph="1">
        <f>F18*9.0746*LOOKUP(F20,密度!$A$2:$A$50,密度!$L$2:$L$50)</f>
        <v>43075.692413200006</v>
      </c>
      <c r="G19" s="73" ph="1">
        <f>G18*9.0746*LOOKUP(G20,密度!$A$2:$A$50,密度!$B$2:$B$50)</f>
        <v>12778.79364256</v>
      </c>
      <c r="H19" s="73" ph="1">
        <f>H18*9.0746*LOOKUP(H20,密度!$A$2:$A$50,密度!$L$2:$L$50)</f>
        <v>0</v>
      </c>
      <c r="I19" s="73" ph="1">
        <f>I18*9.0746*LOOKUP(I20,密度!$A$2:$A$50,密度!$U$2:$U$50)</f>
        <v>2108.2836688000002</v>
      </c>
      <c r="J19" s="73" ph="1">
        <f>J18*9.0746*LOOKUP(J20,密度!$A$2:$A$50,密度!$L$2:$L$50)</f>
        <v>3519.1934021999996</v>
      </c>
      <c r="K19" s="73" ph="1">
        <f>K18*9.0746*LOOKUP(K20,密度!$A$2:$A$50,密度!$C$2:$C$50)</f>
        <v>36112.28086146</v>
      </c>
      <c r="L19" s="73" ph="1">
        <f>L18*9.0746*LOOKUP(L20,密度!$A$2:$A$50,密度!$E$2:$E$50)</f>
        <v>26598.458424480003</v>
      </c>
      <c r="M19" s="73" ph="1">
        <f>M18*9.0746*LOOKUP(M20,密度!$A$2:$A$50,密度!$M$2:$M$50)</f>
        <v>39410.116638400003</v>
      </c>
      <c r="N19" s="73" ph="1">
        <f>N18*9.0746*LOOKUP(N20,密度!$A$2:$A$50,密度!$M$2:$M$50)</f>
        <v>9932.1134015999996</v>
      </c>
      <c r="O19" s="73" ph="1">
        <f>O18*9.0746*LOOKUP(O20,密度!$A$2:$A$50,密度!$G$2:$G$50)</f>
        <v>43529.337111959998</v>
      </c>
      <c r="P19" s="73" ph="1">
        <f ca="1">P18*9.0746*LOOKUP(P20,密度!$A$2:$A$51,密度!$Q$2:$Q$50)</f>
        <v>39661.078784969999</v>
      </c>
      <c r="Q19" s="73" ph="1">
        <f>Q18*9.0746*LOOKUP(Q20,密度!$A$2:$A$50,密度!$Q$2:$Q$50)</f>
        <v>10963.196314416</v>
      </c>
      <c r="R19" s="73" ph="1">
        <f>MAX(R18*9.0746*LOOKUP(R20,密度!$A$2:$A$50,密度!$B$2:$B$50),0)</f>
        <v>52359.149776959996</v>
      </c>
      <c r="S19" s="73" ph="1">
        <f>S18*9.0746*LOOKUP(S20,密度!$A$2:$A$50,密度!$Q$2:$Q$50)</f>
        <v>0</v>
      </c>
      <c r="T19" s="73" ph="1">
        <f>T18*9.0746*LOOKUP(T20,密度!$A$2:$A$50,密度!$O$2:$O$50)</f>
        <v>42376.730422800007</v>
      </c>
      <c r="U19" s="73" ph="1">
        <f>U18*9.0746*LOOKUP(U20,密度!$A$2:$A$50,密度!$H$2:$H$50)</f>
        <v>17459.64292504</v>
      </c>
      <c r="V19" s="73" ph="1">
        <f>MAX(5600*LOOKUP(V20,密度!$A$2:$A$50,密度!$Q$2:$Q$50)+V18*9.0476*LOOKUP(V20,密度!$A$2:$A$50,密度!$Q$2:$Q$50),0)</f>
        <v>31771.409973403996</v>
      </c>
      <c r="W19" s="73" ph="1">
        <f>MAX(5600*LOOKUP(W20,密度!$A$2:$A$50,密度!$Q$2:$Q$50)+W18*9.0476*LOOKUP(W20,密度!$A$2:$A$50,密度!$Q$2:$Q$50),0)</f>
        <v>3834.3432969599999</v>
      </c>
      <c r="X19" s="73" ph="1">
        <f>MAX(5600*LOOKUP(X20,密度!$A$2:$A$50,密度!$I$2:$I$50)+X18*9.0476*LOOKUP(X20,密度!$A$2:$A$50,密度!$I$2:$I$50),0)</f>
        <v>6702.1041914400012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56.792476640000004</v>
      </c>
      <c r="AB19" s="73" ph="1">
        <f>AB18*9.0746*LOOKUP(AB20,密度!$A$2:$A$50,密度!$L$2:$L$50)</f>
        <v>60995.495599799993</v>
      </c>
      <c r="AC19" s="73" ph="1">
        <f>AC18*9.0746*LOOKUP(AC20,密度!$A$2:$A$50,密度!$L$2:$L$50)</f>
        <v>60795.318998399998</v>
      </c>
      <c r="AD19" s="73" ph="1">
        <f>AD18*268.68*LOOKUP(AD20,密度!$A$2:$A$50,密度!B5:B53)+IF(AD18&lt;=0,0,1566*LOOKUP(AD20,密度!$A$2:$A$50,密度!B5:B53))</f>
        <v>17187.255540000002</v>
      </c>
      <c r="AE19" s="73" ph="1">
        <f>AE18*268.68*LOOKUP(AE20,密度!$A$2:$A$50,密度!B5:B53)+IF(AE18&lt;=0,0,1566*LOOKUP(AE20,密度!$A$2:$A$50,密度!B5:B53))</f>
        <v>18811.442260799999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27</v>
      </c>
      <c r="E20" s="81">
        <v>27</v>
      </c>
      <c r="F20" s="81">
        <v>25</v>
      </c>
      <c r="G20" s="81">
        <v>21</v>
      </c>
      <c r="H20" s="81">
        <v>18</v>
      </c>
      <c r="I20" s="81">
        <v>20</v>
      </c>
      <c r="J20" s="81">
        <v>23</v>
      </c>
      <c r="K20" s="81">
        <v>21</v>
      </c>
      <c r="L20" s="81">
        <v>20</v>
      </c>
      <c r="M20" s="81">
        <v>23</v>
      </c>
      <c r="N20" s="81">
        <v>23</v>
      </c>
      <c r="O20" s="81">
        <v>22</v>
      </c>
      <c r="P20" s="81">
        <v>22</v>
      </c>
      <c r="Q20" s="81">
        <v>27</v>
      </c>
      <c r="R20" s="81">
        <v>23</v>
      </c>
      <c r="S20" s="81">
        <v>25</v>
      </c>
      <c r="T20" s="81">
        <v>25</v>
      </c>
      <c r="U20" s="81">
        <v>20</v>
      </c>
      <c r="V20" s="81">
        <v>22</v>
      </c>
      <c r="W20" s="81">
        <v>23</v>
      </c>
      <c r="X20" s="81">
        <v>24</v>
      </c>
      <c r="Y20" s="110">
        <v>24</v>
      </c>
      <c r="Z20" s="81">
        <v>30</v>
      </c>
      <c r="AA20" s="81">
        <v>22</v>
      </c>
      <c r="AB20" s="81">
        <v>21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643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5.07</v>
      </c>
      <c r="E24" s="71">
        <v>5.4</v>
      </c>
      <c r="F24" s="71">
        <v>2504</v>
      </c>
      <c r="G24" s="71">
        <v>1660</v>
      </c>
      <c r="H24" s="71">
        <v>3762</v>
      </c>
      <c r="I24" s="71">
        <v>453</v>
      </c>
      <c r="J24" s="71">
        <v>331</v>
      </c>
      <c r="K24" s="71">
        <v>4998</v>
      </c>
      <c r="L24" s="71">
        <v>468</v>
      </c>
      <c r="M24" s="71">
        <v>3050</v>
      </c>
      <c r="N24" s="71">
        <v>446</v>
      </c>
      <c r="O24" s="71">
        <v>5721</v>
      </c>
      <c r="P24" s="71">
        <v>359</v>
      </c>
      <c r="Q24" s="90">
        <v>1237</v>
      </c>
      <c r="R24" s="71">
        <v>4170</v>
      </c>
      <c r="S24" s="71">
        <v>4304</v>
      </c>
      <c r="T24" s="71">
        <v>215</v>
      </c>
      <c r="U24" s="71">
        <v>2394</v>
      </c>
      <c r="V24" s="71">
        <v>7387</v>
      </c>
      <c r="W24" s="71">
        <v>6278</v>
      </c>
      <c r="X24" s="71">
        <v>6450</v>
      </c>
      <c r="Y24" s="71">
        <v>5314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2772.2512632240005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27895.61423408</v>
      </c>
      <c r="G25" s="91" ph="1">
        <f>G24*18.322*LOOKUP(G26,密度!$A$2:$A$50,密度!$B$2:$B$50)</f>
        <v>23917.978528</v>
      </c>
      <c r="H25" s="91" ph="1">
        <f>H24*18.322*LOOKUP(H26,密度!$A$2:$A$50,密度!$B$2:$B$50)</f>
        <v>54101.088003600002</v>
      </c>
      <c r="I25" s="91" ph="1">
        <f>I24*18.322*LOOKUP(I26,密度!$A$2:$A$50,密度!$Q$2:$Q$50)</f>
        <v>7901.5554306599997</v>
      </c>
      <c r="J25" s="91" ph="1">
        <f>J24*18.322*LOOKUP(J26,密度!$A$2:$A$50,密度!$Q$2:$Q$50)</f>
        <v>5778.3337295999991</v>
      </c>
      <c r="K25" s="91" ph="1">
        <f>K24*18.322*LOOKUP(K26,密度!$A$2:$A$50,密度!$Q$2:$Q$50)</f>
        <v>87178.750645560009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53244.46488</v>
      </c>
      <c r="N25" s="91" ph="1">
        <f>N24*18.322*LOOKUP(N26,密度!$A$2:$A$50,密度!$Q$2:$Q$50)</f>
        <v>7766.1366125599998</v>
      </c>
      <c r="O25" s="91" ph="1">
        <f>O24*18.322*LOOKUP(O26,密度!$A$2:$A$50,密度!$C$2:$C$50)</f>
        <v>116685.80433839999</v>
      </c>
      <c r="P25" s="91" ph="1">
        <f>P24*11.702*LOOKUP(P26,密度!$A$2:$A$50,密度!$B$2:$B$50)</f>
        <v>3297.3790282</v>
      </c>
      <c r="Q25" s="92" ph="1">
        <f>Q24*18.322*LOOKUP(Q26,密度!$A$2:$A$50,密度!$B$2:$B$50)</f>
        <v>17823.216529599998</v>
      </c>
      <c r="R25" s="91" ph="1">
        <f>R24*35.891*LOOKUP(R26,密度!$A$2:$A$50,密度!$C$2:$C$50)</f>
        <v>166712.36703299999</v>
      </c>
      <c r="S25" s="91" ph="1">
        <f>S24*35.891*LOOKUP(S26,密度!$A$2:$A$50,密度!$B$2:$B$50)</f>
        <v>121479.0330496</v>
      </c>
      <c r="T25" s="91" ph="1">
        <f>T24*35.891*LOOKUP(T26,密度!$A$2:$A$50,密度!$Q$2:$Q$50)</f>
        <v>7352.3431319999991</v>
      </c>
      <c r="U25" s="91" ph="1">
        <f>U24*35.891</f>
        <v>85923.053999999989</v>
      </c>
      <c r="V25" s="91" ph="1">
        <f>V24*47.051*LOOKUP(V26,密度!$A$2:$A$50,密度!$B$2:$B$50)</f>
        <v>273603.74816640001</v>
      </c>
      <c r="W25" s="91" ph="1">
        <f>W24*47.051*LOOKUP(W26,密度!$A$2:$A$50,密度!$B$2:$B$50)</f>
        <v>232084.92005459999</v>
      </c>
      <c r="X25" s="91" ph="1">
        <f>X24*47.051*LOOKUP(X26,密度!$A$2:$A$61,密度!$I$2:$I$61)</f>
        <v>311551.49007</v>
      </c>
      <c r="Y25" s="91" ph="1">
        <f>Y24*47.051*LOOKUP(Y26,密度!$A$2:$A$50,密度!$L$2:$L$50)</f>
        <v>235777.36020200001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17</v>
      </c>
      <c r="H26" s="74">
        <v>19</v>
      </c>
      <c r="I26" s="74">
        <v>18</v>
      </c>
      <c r="J26" s="74">
        <v>17</v>
      </c>
      <c r="K26" s="74">
        <v>18</v>
      </c>
      <c r="L26" s="74">
        <v>17</v>
      </c>
      <c r="M26" s="74">
        <v>17</v>
      </c>
      <c r="N26" s="74">
        <v>20</v>
      </c>
      <c r="O26" s="74">
        <v>19</v>
      </c>
      <c r="P26" s="74">
        <v>19</v>
      </c>
      <c r="Q26" s="93">
        <v>17</v>
      </c>
      <c r="R26" s="74">
        <v>18</v>
      </c>
      <c r="S26" s="74">
        <v>17</v>
      </c>
      <c r="T26" s="74">
        <v>17</v>
      </c>
      <c r="U26" s="74">
        <v>18</v>
      </c>
      <c r="V26" s="74">
        <v>16</v>
      </c>
      <c r="W26" s="74">
        <v>18</v>
      </c>
      <c r="X26" s="74">
        <v>39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4.8</v>
      </c>
      <c r="E27" s="71">
        <v>5.39</v>
      </c>
      <c r="F27" s="71">
        <v>2513</v>
      </c>
      <c r="G27" s="71">
        <v>1639</v>
      </c>
      <c r="H27" s="71">
        <v>3360</v>
      </c>
      <c r="I27" s="71">
        <v>448</v>
      </c>
      <c r="J27" s="71">
        <v>325</v>
      </c>
      <c r="K27" s="71">
        <v>4999</v>
      </c>
      <c r="L27" s="71">
        <v>462</v>
      </c>
      <c r="M27" s="71">
        <v>3049</v>
      </c>
      <c r="N27" s="71">
        <v>441</v>
      </c>
      <c r="O27" s="71">
        <v>5717</v>
      </c>
      <c r="P27" s="71">
        <v>355</v>
      </c>
      <c r="Q27" s="90">
        <v>1311</v>
      </c>
      <c r="R27" s="71">
        <v>3623</v>
      </c>
      <c r="S27" s="71">
        <v>4303</v>
      </c>
      <c r="T27" s="71">
        <v>213</v>
      </c>
      <c r="U27" s="71">
        <v>1774</v>
      </c>
      <c r="V27" s="71">
        <v>7388</v>
      </c>
      <c r="W27" s="71">
        <v>6278</v>
      </c>
      <c r="X27" s="71">
        <v>7071</v>
      </c>
      <c r="Y27" s="71">
        <v>4237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2703.5713353599999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27947.944407880001</v>
      </c>
      <c r="G28" s="91" ph="1">
        <f>G27*18.322*LOOKUP(G29,密度!$A$2:$A$50,密度!$B$2:$B$50)</f>
        <v>23594.380860599998</v>
      </c>
      <c r="H28" s="91" ph="1">
        <f>H27*18.322*LOOKUP(H29,密度!$A$2:$A$50,密度!$B$2:$B$50)</f>
        <v>48159.890015999998</v>
      </c>
      <c r="I28" s="91" ph="1">
        <f>I27*18.322*LOOKUP(I29,密度!$A$2:$A$50,密度!$Q$2:$Q$50)</f>
        <v>7795.2986406399996</v>
      </c>
      <c r="J28" s="91" ph="1">
        <f>J27*18.322*LOOKUP(J29,密度!$A$2:$A$50,密度!$Q$2:$Q$50)</f>
        <v>5629.0497379999997</v>
      </c>
      <c r="K28" s="91" ph="1">
        <f>K27*18.322*LOOKUP(K29,密度!$A$2:$A$50,密度!$Q$2:$Q$50)</f>
        <v>86983.700679820002</v>
      </c>
      <c r="L28" s="91" ph="1">
        <f>L27*18.322*LOOKUP(L29,密度!$A$2:$A$50,密度!$Q$2:$Q$50)</f>
        <v>8044.7424103199992</v>
      </c>
      <c r="M28" s="91" ph="1">
        <f>M27*18.322*LOOKUP(M29,密度!$A$2:$A$50,密度!$Q$2:$Q$50)</f>
        <v>53182.875293780002</v>
      </c>
      <c r="N28" s="91" ph="1">
        <f>N27*18.322*LOOKUP(N29,密度!$A$2:$A$50,密度!$Q$2:$Q$50)</f>
        <v>7679.07230076</v>
      </c>
      <c r="O28" s="91" ph="1">
        <f>O27*18.322*LOOKUP(O29,密度!$A$2:$A$50,密度!$C$2:$C$50)</f>
        <v>116604.2201368</v>
      </c>
      <c r="P28" s="91" ph="1">
        <f>P27*11.702*LOOKUP(P29,密度!$A$2:$A$50,密度!$B$2:$B$50)</f>
        <v>3257.316061</v>
      </c>
      <c r="Q28" s="92" ph="1">
        <f>Q27*18.322*LOOKUP(Q29,密度!$A$2:$A$50,密度!$B$2:$B$50)</f>
        <v>18872.625569399999</v>
      </c>
      <c r="R28" s="91" ph="1">
        <f>R27*35.891*LOOKUP(R29,密度!$A$2:$A$50,密度!$C$2:$C$50)</f>
        <v>144752.83912759999</v>
      </c>
      <c r="S28" s="91" ph="1">
        <f>S27*35.891*LOOKUP(S29,密度!$A$2:$A$50,密度!$B$2:$B$50)</f>
        <v>121219.1499077</v>
      </c>
      <c r="T28" s="91" ph="1">
        <f>T27*35.891*LOOKUP(T29,密度!$A$2:$A$50,密度!$Q$2:$Q$50)</f>
        <v>7277.9098638299993</v>
      </c>
      <c r="U28" s="91" ph="1">
        <f>U27*35.891</f>
        <v>63670.633999999998</v>
      </c>
      <c r="V28" s="91" ph="1">
        <f>V27*47.051*LOOKUP(V29,密度!$A$2:$A$50,密度!$B$2:$B$50)</f>
        <v>272841.27730120003</v>
      </c>
      <c r="W28" s="91" ph="1">
        <f>W27*47.051*LOOKUP(W29,密度!$A$2:$A$50,密度!$B$2:$B$50)</f>
        <v>232084.92005459999</v>
      </c>
      <c r="X28" s="91" ph="1">
        <f>X27*47.051*LOOKUP(X29,密度!$A$2:$A$61,密度!$I$2:$I$61)</f>
        <v>341181.41033550003</v>
      </c>
      <c r="Y28" s="91" ph="1">
        <f>Y27*47.051*LOOKUP(Y29,密度!$A$2:$A$50,密度!$L$2:$L$50)</f>
        <v>187792.491954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18</v>
      </c>
      <c r="H29" s="74">
        <v>22</v>
      </c>
      <c r="I29" s="74">
        <v>21</v>
      </c>
      <c r="J29" s="74">
        <v>27</v>
      </c>
      <c r="K29" s="74">
        <v>21</v>
      </c>
      <c r="L29" s="74">
        <v>20</v>
      </c>
      <c r="M29" s="74">
        <v>18</v>
      </c>
      <c r="N29" s="74">
        <v>20</v>
      </c>
      <c r="O29" s="74">
        <v>19</v>
      </c>
      <c r="P29" s="74">
        <v>20</v>
      </c>
      <c r="Q29" s="93">
        <v>18</v>
      </c>
      <c r="R29" s="74">
        <v>19</v>
      </c>
      <c r="S29" s="74">
        <v>19</v>
      </c>
      <c r="T29" s="74">
        <v>18</v>
      </c>
      <c r="U29" s="74">
        <v>19</v>
      </c>
      <c r="V29" s="74">
        <v>19</v>
      </c>
      <c r="W29" s="74">
        <v>18</v>
      </c>
      <c r="X29" s="74">
        <v>40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223597.72386060003</v>
      </c>
      <c r="E33" s="187" ph="1">
        <f>M10+I10</f>
        <v>85683.389222399986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3" ph="1">
        <f>N19</f>
        <v>9932.1134015999996</v>
      </c>
      <c r="H33" s="187" ph="1">
        <f>M19</f>
        <v>39410.116638400003</v>
      </c>
      <c r="I33" s="191" ph="1">
        <v>0</v>
      </c>
      <c r="J33" s="195" ph="1">
        <f>F10+O28</f>
        <v>290291.21298309998</v>
      </c>
      <c r="K33" s="187" ph="1">
        <f>O10+K10+E28+R28</f>
        <v>233120.20490787999</v>
      </c>
      <c r="L33" s="197" ph="1">
        <f>K19</f>
        <v>36112.28086146</v>
      </c>
      <c r="M33" s="195" ph="1">
        <f>G10+H10+W28+S28+V28+E10+R19+P28+Q28</f>
        <v>983935.38216886017</v>
      </c>
      <c r="N33" s="187" ph="1">
        <f>L10+P10++G28+H28+AD19+AE19</f>
        <v>303975.92875040002</v>
      </c>
      <c r="O33" s="191" ph="1">
        <f>G19</f>
        <v>12778.79364256</v>
      </c>
      <c r="P33" s="195" ph="1">
        <f>L19</f>
        <v>26598.458424480003</v>
      </c>
      <c r="Q33" s="187" ph="1">
        <f>J10+N10</f>
        <v>41827.244070800007</v>
      </c>
      <c r="R33" s="191" ph="1">
        <f>BE23</f>
        <v>890</v>
      </c>
      <c r="S33" s="195" ph="1">
        <f>X28</f>
        <v>341181.41033550003</v>
      </c>
      <c r="T33" s="187" ph="1">
        <f>X19</f>
        <v>6702.1041914400012</v>
      </c>
      <c r="U33" s="176" ph="1">
        <f>BE21</f>
        <v>730</v>
      </c>
      <c r="V33" s="189" ph="1">
        <f ca="1">P19+Q19+S19+M28+N28+J28+D10+AC10+D19+E19+H19+J19+O19+V19+W19+K28+L28</f>
        <v>655407.80433535005</v>
      </c>
      <c r="W33" s="189" ph="1">
        <f>D28+F28+T28+I28</f>
        <v>45724.724247710001</v>
      </c>
      <c r="X33" s="191" ph="1">
        <f>BE29+BE31</f>
        <v>10200</v>
      </c>
      <c r="Y33" s="193" ph="1">
        <f>+Q10+R10+S10+T10+U10+V10+W10+X10+Y10</f>
        <v>79376.037879599986</v>
      </c>
      <c r="Z33" s="174" ph="1">
        <f>T19+U19+Y28+Z10</f>
        <v>431982.16516683996</v>
      </c>
      <c r="AA33" s="176" ph="1">
        <f>BE19</f>
        <v>1440</v>
      </c>
      <c r="AB33" s="178" ph="1">
        <f>I19</f>
        <v>2108.2836688000002</v>
      </c>
      <c r="AC33" s="180" ph="1">
        <f>AD10+AB19</f>
        <v>155126.0853598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59" priority="100">
      <formula>ABS(D$7-D$10)&gt;=1000</formula>
    </cfRule>
  </conditionalFormatting>
  <conditionalFormatting sqref="E4 E6:E11">
    <cfRule type="expression" dxfId="1558" priority="99">
      <formula>ABS(E$7-E$10)&gt;=1000</formula>
    </cfRule>
  </conditionalFormatting>
  <conditionalFormatting sqref="F4:F11">
    <cfRule type="expression" dxfId="1557" priority="98">
      <formula>ABS(F$7-F$10)&gt;=1000</formula>
    </cfRule>
  </conditionalFormatting>
  <conditionalFormatting sqref="G4:G11">
    <cfRule type="expression" dxfId="1556" priority="97">
      <formula>ABS(G$7-G$10)&gt;=1000</formula>
    </cfRule>
  </conditionalFormatting>
  <conditionalFormatting sqref="H4:H11">
    <cfRule type="expression" dxfId="1555" priority="96">
      <formula>ABS(H$7-H$10)&gt;=1000</formula>
    </cfRule>
  </conditionalFormatting>
  <conditionalFormatting sqref="I4:I11">
    <cfRule type="expression" dxfId="1554" priority="95">
      <formula>ABS(I$7-I$10)&gt;=1000</formula>
    </cfRule>
  </conditionalFormatting>
  <conditionalFormatting sqref="J4:J11">
    <cfRule type="expression" dxfId="1553" priority="94">
      <formula>ABS(J$7-J$10)&gt;=1000</formula>
    </cfRule>
  </conditionalFormatting>
  <conditionalFormatting sqref="K4:K11">
    <cfRule type="expression" dxfId="1552" priority="93">
      <formula>ABS(K$7-K$10)&gt;=1000</formula>
    </cfRule>
  </conditionalFormatting>
  <conditionalFormatting sqref="L4:L11">
    <cfRule type="expression" dxfId="1551" priority="92">
      <formula>ABS(L$7-L$10)&gt;=1000</formula>
    </cfRule>
  </conditionalFormatting>
  <conditionalFormatting sqref="M4 M6:M11">
    <cfRule type="expression" dxfId="1550" priority="91">
      <formula>ABS(M$7-M$10)&gt;=1000</formula>
    </cfRule>
  </conditionalFormatting>
  <conditionalFormatting sqref="N4 N6:N11">
    <cfRule type="expression" dxfId="1549" priority="90">
      <formula>ABS(N$7-N$10)&gt;=1000</formula>
    </cfRule>
  </conditionalFormatting>
  <conditionalFormatting sqref="O4 O6:O11">
    <cfRule type="expression" dxfId="1548" priority="89">
      <formula>ABS(O$7-O$10)&gt;=1000</formula>
    </cfRule>
  </conditionalFormatting>
  <conditionalFormatting sqref="P4 P6:P11">
    <cfRule type="expression" dxfId="1547" priority="88">
      <formula>ABS(P$7-P$10)&gt;=1000</formula>
    </cfRule>
  </conditionalFormatting>
  <conditionalFormatting sqref="Q4:Q11">
    <cfRule type="expression" dxfId="1546" priority="87">
      <formula>ABS(Q$7-Q$10)&gt;=1000</formula>
    </cfRule>
  </conditionalFormatting>
  <conditionalFormatting sqref="R4:R11">
    <cfRule type="expression" dxfId="1545" priority="86">
      <formula>ABS(R$7-R$10)&gt;=1000</formula>
    </cfRule>
  </conditionalFormatting>
  <conditionalFormatting sqref="S4:S11">
    <cfRule type="expression" dxfId="1544" priority="85">
      <formula>ABS(S$7-S$10)&gt;=1000</formula>
    </cfRule>
  </conditionalFormatting>
  <conditionalFormatting sqref="T4:T9 T11">
    <cfRule type="expression" dxfId="1543" priority="84">
      <formula>ABS(T$7-T$10)&gt;=1000</formula>
    </cfRule>
  </conditionalFormatting>
  <conditionalFormatting sqref="U4:U9 U11">
    <cfRule type="expression" dxfId="1542" priority="83">
      <formula>ABS(U$7-U$10)&gt;=1000</formula>
    </cfRule>
  </conditionalFormatting>
  <conditionalFormatting sqref="V4:V9 V11">
    <cfRule type="expression" dxfId="1541" priority="82">
      <formula>ABS(V$7-V$10)&gt;=1000</formula>
    </cfRule>
  </conditionalFormatting>
  <conditionalFormatting sqref="W4:W9 W11">
    <cfRule type="expression" dxfId="1540" priority="81">
      <formula>ABS(W$7-W$10)&gt;=1000</formula>
    </cfRule>
  </conditionalFormatting>
  <conditionalFormatting sqref="X4:X9 X11">
    <cfRule type="expression" dxfId="1539" priority="80">
      <formula>ABS(X$7-X$10)&gt;=1000</formula>
    </cfRule>
  </conditionalFormatting>
  <conditionalFormatting sqref="Y4:Y9 Y11">
    <cfRule type="expression" dxfId="1538" priority="79">
      <formula>ABS(Y$7-Y$10)&gt;=1000</formula>
    </cfRule>
  </conditionalFormatting>
  <conditionalFormatting sqref="Z4:Z11">
    <cfRule type="expression" dxfId="1537" priority="78">
      <formula>ABS(Z$7-Z$10)&gt;=1000</formula>
    </cfRule>
  </conditionalFormatting>
  <conditionalFormatting sqref="AA4:AA11">
    <cfRule type="expression" dxfId="1536" priority="77">
      <formula>ABS(AA$7-AA$10)&gt;=1000</formula>
    </cfRule>
  </conditionalFormatting>
  <conditionalFormatting sqref="AB4:AB11">
    <cfRule type="expression" dxfId="1535" priority="76">
      <formula>ABS(AB$7-AB$10)&gt;=1000</formula>
    </cfRule>
  </conditionalFormatting>
  <conditionalFormatting sqref="AC4 AC6:AC11">
    <cfRule type="expression" dxfId="1534" priority="75">
      <formula>ABS(AC$7-AC$10)&gt;=1000</formula>
    </cfRule>
  </conditionalFormatting>
  <conditionalFormatting sqref="AD4 AD6:AD11">
    <cfRule type="expression" dxfId="1533" priority="74">
      <formula>ABS(AD$7-AD$10)&gt;=1000</formula>
    </cfRule>
  </conditionalFormatting>
  <conditionalFormatting sqref="AE4 AE6:AE11">
    <cfRule type="expression" dxfId="1532" priority="73">
      <formula>ABS(AE$7-AE$10)&gt;=1000</formula>
    </cfRule>
  </conditionalFormatting>
  <conditionalFormatting sqref="D13:D20">
    <cfRule type="expression" dxfId="1531" priority="72">
      <formula>ABS(D$16-D$19)&gt;=1000</formula>
    </cfRule>
  </conditionalFormatting>
  <conditionalFormatting sqref="E13:E20">
    <cfRule type="expression" dxfId="1530" priority="71">
      <formula>ABS(E$16-E$19)&gt;=1000</formula>
    </cfRule>
  </conditionalFormatting>
  <conditionalFormatting sqref="F13 F15:F20">
    <cfRule type="expression" dxfId="1529" priority="70">
      <formula>ABS(F$16-F$19)&gt;=1000</formula>
    </cfRule>
  </conditionalFormatting>
  <conditionalFormatting sqref="G13:G20">
    <cfRule type="expression" dxfId="1528" priority="69">
      <formula>ABS(G$16-G$19)&gt;=1000</formula>
    </cfRule>
  </conditionalFormatting>
  <conditionalFormatting sqref="H13 H15:H20">
    <cfRule type="expression" dxfId="1527" priority="68">
      <formula>ABS(H$16-H$19)&gt;=1000</formula>
    </cfRule>
  </conditionalFormatting>
  <conditionalFormatting sqref="I13:I20">
    <cfRule type="expression" dxfId="1526" priority="67">
      <formula>ABS(I$16-I$19)&gt;=1000</formula>
    </cfRule>
  </conditionalFormatting>
  <conditionalFormatting sqref="J13:J20">
    <cfRule type="expression" dxfId="1525" priority="66">
      <formula>ABS(J$16-J$19)&gt;=1000</formula>
    </cfRule>
  </conditionalFormatting>
  <conditionalFormatting sqref="L13:L20">
    <cfRule type="expression" dxfId="1524" priority="65">
      <formula>ABS(L$16-L$19)&gt;=1000</formula>
    </cfRule>
  </conditionalFormatting>
  <conditionalFormatting sqref="M13 M15 M17:M18 M20">
    <cfRule type="expression" dxfId="1523" priority="64">
      <formula>ABS(M$16-M$19)&gt;=1000</formula>
    </cfRule>
  </conditionalFormatting>
  <conditionalFormatting sqref="N13:N20">
    <cfRule type="expression" dxfId="1522" priority="63">
      <formula>ABS(N$16-N$19)&gt;=1000</formula>
    </cfRule>
  </conditionalFormatting>
  <conditionalFormatting sqref="O13:O20">
    <cfRule type="expression" dxfId="1521" priority="62">
      <formula>ABS(O$16-O$19)&gt;=1000</formula>
    </cfRule>
  </conditionalFormatting>
  <conditionalFormatting sqref="P13:P20">
    <cfRule type="expression" dxfId="1520" priority="61">
      <formula>ABS(P$16-P$19)&gt;=1000</formula>
    </cfRule>
  </conditionalFormatting>
  <conditionalFormatting sqref="Q13 Q15:Q20">
    <cfRule type="expression" dxfId="1519" priority="60">
      <formula>ABS(Q$16-Q$19)&gt;=1000</formula>
    </cfRule>
  </conditionalFormatting>
  <conditionalFormatting sqref="R13:R20">
    <cfRule type="expression" dxfId="1518" priority="59">
      <formula>ABS(R$16-R$19)&gt;=1000</formula>
    </cfRule>
  </conditionalFormatting>
  <conditionalFormatting sqref="S13:S20">
    <cfRule type="expression" dxfId="1517" priority="58">
      <formula>ABS(S$16-S$19)&gt;=1000</formula>
    </cfRule>
  </conditionalFormatting>
  <conditionalFormatting sqref="T13:T20">
    <cfRule type="expression" dxfId="1516" priority="57">
      <formula>ABS(T$16-T$19)&gt;=1000</formula>
    </cfRule>
  </conditionalFormatting>
  <conditionalFormatting sqref="U13:U20">
    <cfRule type="expression" dxfId="1515" priority="56">
      <formula>ABS(U$16-U$19)&gt;=1000</formula>
    </cfRule>
  </conditionalFormatting>
  <conditionalFormatting sqref="V13:V20">
    <cfRule type="expression" dxfId="1514" priority="55">
      <formula>ABS(V$16-V$19)&gt;=1000</formula>
    </cfRule>
  </conditionalFormatting>
  <conditionalFormatting sqref="W13 W20 W15:W18">
    <cfRule type="expression" dxfId="1513" priority="54">
      <formula>ABS(W$16-W$19)&gt;=1000</formula>
    </cfRule>
  </conditionalFormatting>
  <conditionalFormatting sqref="X13 X15:X20 Y19">
    <cfRule type="expression" dxfId="1512" priority="53">
      <formula>ABS(X$16-X$19)&gt;=1000</formula>
    </cfRule>
  </conditionalFormatting>
  <conditionalFormatting sqref="Y13 Y15:Y18 Y20">
    <cfRule type="expression" dxfId="1511" priority="52">
      <formula>ABS(Y$16-Y$19)&gt;=1000</formula>
    </cfRule>
  </conditionalFormatting>
  <conditionalFormatting sqref="Z13:Z20">
    <cfRule type="expression" dxfId="1510" priority="51">
      <formula>ABS(Z$16-Z$19)&gt;=1000</formula>
    </cfRule>
  </conditionalFormatting>
  <conditionalFormatting sqref="AA13:AA20">
    <cfRule type="expression" dxfId="1509" priority="50">
      <formula>ABS(AA$16-AA$19)&gt;=1000</formula>
    </cfRule>
  </conditionalFormatting>
  <conditionalFormatting sqref="AB13 AB15:AB20">
    <cfRule type="expression" dxfId="1508" priority="49">
      <formula>ABS(AB$16-AB$19)&gt;=1000</formula>
    </cfRule>
  </conditionalFormatting>
  <conditionalFormatting sqref="AC13 AC15:AC20">
    <cfRule type="expression" dxfId="1507" priority="48">
      <formula>ABS(AC$16-AC$19)&gt;=1000</formula>
    </cfRule>
  </conditionalFormatting>
  <conditionalFormatting sqref="AD13:AD20">
    <cfRule type="expression" dxfId="1506" priority="47">
      <formula>ABS(AD$16-AD$19)&gt;=1000</formula>
    </cfRule>
  </conditionalFormatting>
  <conditionalFormatting sqref="AE13:AE20">
    <cfRule type="expression" dxfId="1505" priority="46">
      <formula>ABS(AE$16-AE$19)&gt;=1000</formula>
    </cfRule>
  </conditionalFormatting>
  <conditionalFormatting sqref="D22:D29">
    <cfRule type="expression" dxfId="1504" priority="45">
      <formula>ABS(D$25-D$28)&gt;=1000</formula>
    </cfRule>
  </conditionalFormatting>
  <conditionalFormatting sqref="E22:E29">
    <cfRule type="expression" dxfId="1503" priority="44">
      <formula>ABS(E$25-E$28)&gt;=1000</formula>
    </cfRule>
  </conditionalFormatting>
  <conditionalFormatting sqref="F22:F29">
    <cfRule type="expression" dxfId="1502" priority="43">
      <formula>ABS(F$25-F$28)&gt;=1000</formula>
    </cfRule>
  </conditionalFormatting>
  <conditionalFormatting sqref="G22:G29">
    <cfRule type="expression" dxfId="1501" priority="42">
      <formula>ABS(G$25-G$28)&gt;=1000</formula>
    </cfRule>
  </conditionalFormatting>
  <conditionalFormatting sqref="H22:H29">
    <cfRule type="expression" dxfId="1500" priority="41">
      <formula>ABS(H$25-H$28)&gt;=1000</formula>
    </cfRule>
  </conditionalFormatting>
  <conditionalFormatting sqref="I22 I24:I29">
    <cfRule type="expression" dxfId="1499" priority="40">
      <formula>ABS(I$25-I$28)&gt;=1000</formula>
    </cfRule>
  </conditionalFormatting>
  <conditionalFormatting sqref="J22:J29 K22">
    <cfRule type="expression" dxfId="1498" priority="39">
      <formula>ABS(J$25-J$28)&gt;=1000</formula>
    </cfRule>
  </conditionalFormatting>
  <conditionalFormatting sqref="K23:K29 L25 L28">
    <cfRule type="expression" dxfId="1497" priority="38">
      <formula>ABS(K$25-K$28)&gt;=1000</formula>
    </cfRule>
  </conditionalFormatting>
  <conditionalFormatting sqref="L22 L26:L27 L29 L24">
    <cfRule type="expression" dxfId="1496" priority="37">
      <formula>ABS(L$25-L$28)&gt;=1000</formula>
    </cfRule>
  </conditionalFormatting>
  <conditionalFormatting sqref="M22:M29">
    <cfRule type="expression" dxfId="1495" priority="36">
      <formula>ABS(M$25-M$28)&gt;=1000</formula>
    </cfRule>
  </conditionalFormatting>
  <conditionalFormatting sqref="N22:N29">
    <cfRule type="expression" dxfId="1494" priority="35">
      <formula>ABS(N$25-N$28)&gt;=1000</formula>
    </cfRule>
  </conditionalFormatting>
  <conditionalFormatting sqref="O22:O29">
    <cfRule type="expression" dxfId="1493" priority="34">
      <formula>ABS(O$25-O$28)&gt;=1000</formula>
    </cfRule>
  </conditionalFormatting>
  <conditionalFormatting sqref="P22:P29">
    <cfRule type="expression" dxfId="1492" priority="33">
      <formula>ABS(P$25-P$28)&gt;=1000</formula>
    </cfRule>
  </conditionalFormatting>
  <conditionalFormatting sqref="Q22:Q29">
    <cfRule type="expression" dxfId="1491" priority="32">
      <formula>ABS(Q$25-Q$28)&gt;=1000</formula>
    </cfRule>
  </conditionalFormatting>
  <conditionalFormatting sqref="R22:R29">
    <cfRule type="expression" dxfId="1490" priority="31">
      <formula>ABS(R$25-R$28)&gt;=1000</formula>
    </cfRule>
  </conditionalFormatting>
  <conditionalFormatting sqref="S22:S29">
    <cfRule type="expression" dxfId="1489" priority="30">
      <formula>ABS(S$25-S$28)&gt;=1000</formula>
    </cfRule>
  </conditionalFormatting>
  <conditionalFormatting sqref="T22:T29">
    <cfRule type="expression" dxfId="1488" priority="29">
      <formula>ABS(T$25-T$28)&gt;=1000</formula>
    </cfRule>
  </conditionalFormatting>
  <conditionalFormatting sqref="U22:U29">
    <cfRule type="expression" dxfId="1487" priority="28">
      <formula>ABS(U$25-U$28)&gt;=1000</formula>
    </cfRule>
  </conditionalFormatting>
  <conditionalFormatting sqref="V22:V29">
    <cfRule type="expression" dxfId="1486" priority="27">
      <formula>ABS(V$25-V$28)&gt;=1000</formula>
    </cfRule>
  </conditionalFormatting>
  <conditionalFormatting sqref="W22:W29">
    <cfRule type="expression" dxfId="1485" priority="26">
      <formula>ABS(W$25-W$28)&gt;=1000</formula>
    </cfRule>
  </conditionalFormatting>
  <conditionalFormatting sqref="X22:X29">
    <cfRule type="expression" dxfId="1484" priority="25">
      <formula>ABS(X$25-X$28)&gt;=1000</formula>
    </cfRule>
  </conditionalFormatting>
  <conditionalFormatting sqref="Y22:Y29">
    <cfRule type="expression" dxfId="1483" priority="24">
      <formula>ABS(Y$25-Y$28)&gt;=1000</formula>
    </cfRule>
  </conditionalFormatting>
  <conditionalFormatting sqref="I23">
    <cfRule type="expression" dxfId="1482" priority="23">
      <formula>ABS(I$25-I$28)&gt;=1000</formula>
    </cfRule>
  </conditionalFormatting>
  <conditionalFormatting sqref="Q14">
    <cfRule type="expression" dxfId="1481" priority="22">
      <formula>ABS(Q$16-Q$19)&gt;=1000</formula>
    </cfRule>
  </conditionalFormatting>
  <conditionalFormatting sqref="W14">
    <cfRule type="expression" dxfId="1480" priority="21">
      <formula>ABS(W$16-W$19)&gt;=1000</formula>
    </cfRule>
  </conditionalFormatting>
  <conditionalFormatting sqref="X14">
    <cfRule type="expression" dxfId="1479" priority="20">
      <formula>ABS(X$16-X$19)&gt;=1000</formula>
    </cfRule>
  </conditionalFormatting>
  <conditionalFormatting sqref="T10:Y10">
    <cfRule type="expression" dxfId="1478" priority="19">
      <formula>ABS(T$7-T$10)&gt;=1000</formula>
    </cfRule>
  </conditionalFormatting>
  <conditionalFormatting sqref="W19">
    <cfRule type="expression" dxfId="1477" priority="18">
      <formula>ABS(W$16-W$19)&gt;=1000</formula>
    </cfRule>
  </conditionalFormatting>
  <conditionalFormatting sqref="AC5">
    <cfRule type="expression" dxfId="1476" priority="17">
      <formula>ABS(AC$7-AC$10)&gt;=1000</formula>
    </cfRule>
  </conditionalFormatting>
  <conditionalFormatting sqref="M14">
    <cfRule type="expression" dxfId="1475" priority="16">
      <formula>ABS(M$16-M$19)&gt;=1000</formula>
    </cfRule>
  </conditionalFormatting>
  <conditionalFormatting sqref="M16">
    <cfRule type="expression" dxfId="1474" priority="15">
      <formula>ABS(M$16-M$19)&gt;=1000</formula>
    </cfRule>
  </conditionalFormatting>
  <conditionalFormatting sqref="M19">
    <cfRule type="expression" dxfId="1473" priority="14">
      <formula>ABS(M$16-M$19)&gt;=1000</formula>
    </cfRule>
  </conditionalFormatting>
  <conditionalFormatting sqref="K13:K20">
    <cfRule type="expression" dxfId="1472" priority="13">
      <formula>ABS(K$16-K$19)&gt;=1000</formula>
    </cfRule>
  </conditionalFormatting>
  <conditionalFormatting sqref="E5">
    <cfRule type="expression" dxfId="1471" priority="12">
      <formula>ABS(E$7-E$10)&gt;=1000</formula>
    </cfRule>
  </conditionalFormatting>
  <conditionalFormatting sqref="AB14:AC14">
    <cfRule type="expression" dxfId="1470" priority="11">
      <formula>ABS(AB$16-AB$19)&gt;=1000</formula>
    </cfRule>
  </conditionalFormatting>
  <conditionalFormatting sqref="M5">
    <cfRule type="expression" dxfId="1469" priority="10">
      <formula>ABS(M$7-M$10)&gt;=1000</formula>
    </cfRule>
  </conditionalFormatting>
  <conditionalFormatting sqref="N5">
    <cfRule type="expression" dxfId="1468" priority="9">
      <formula>ABS(N$7-N$10)&gt;=1000</formula>
    </cfRule>
  </conditionalFormatting>
  <conditionalFormatting sqref="O5">
    <cfRule type="expression" dxfId="1467" priority="8">
      <formula>ABS(O$7-O$10)&gt;=1000</formula>
    </cfRule>
  </conditionalFormatting>
  <conditionalFormatting sqref="P5">
    <cfRule type="expression" dxfId="1466" priority="7">
      <formula>ABS(P$7-P$10)&gt;=1000</formula>
    </cfRule>
  </conditionalFormatting>
  <conditionalFormatting sqref="L23">
    <cfRule type="expression" dxfId="1465" priority="6">
      <formula>ABS(L$25-L$28)&gt;=1000</formula>
    </cfRule>
  </conditionalFormatting>
  <conditionalFormatting sqref="Y14">
    <cfRule type="expression" dxfId="1464" priority="5">
      <formula>ABS(Y$16-Y$19)&gt;=1000</formula>
    </cfRule>
  </conditionalFormatting>
  <conditionalFormatting sqref="F14">
    <cfRule type="expression" dxfId="1463" priority="4">
      <formula>ABS(F$16-F$19)&gt;=1000</formula>
    </cfRule>
  </conditionalFormatting>
  <conditionalFormatting sqref="H14">
    <cfRule type="expression" dxfId="1462" priority="3">
      <formula>ABS(H$16-H$19)&gt;=1000</formula>
    </cfRule>
  </conditionalFormatting>
  <conditionalFormatting sqref="AD5">
    <cfRule type="expression" dxfId="1461" priority="2">
      <formula>ABS(AD$7-AD$10)&gt;=1000</formula>
    </cfRule>
  </conditionalFormatting>
  <conditionalFormatting sqref="AE5">
    <cfRule type="expression" dxfId="14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14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6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3627</v>
      </c>
      <c r="E6" s="71">
        <v>0</v>
      </c>
      <c r="F6" s="71">
        <v>4699</v>
      </c>
      <c r="G6" s="71">
        <v>5458</v>
      </c>
      <c r="H6" s="71">
        <v>1560</v>
      </c>
      <c r="I6" s="71">
        <v>53.3</v>
      </c>
      <c r="J6" s="71">
        <v>6.56</v>
      </c>
      <c r="K6" s="71">
        <v>61.79</v>
      </c>
      <c r="L6" s="71">
        <v>8.01</v>
      </c>
      <c r="M6" s="71">
        <v>2040</v>
      </c>
      <c r="N6" s="71">
        <v>1533</v>
      </c>
      <c r="O6" s="71">
        <v>2877</v>
      </c>
      <c r="P6" s="71">
        <v>4819</v>
      </c>
      <c r="Q6" s="71">
        <v>0</v>
      </c>
      <c r="R6" s="71">
        <v>5</v>
      </c>
      <c r="S6" s="71">
        <v>0</v>
      </c>
      <c r="T6" s="71">
        <v>7096</v>
      </c>
      <c r="U6" s="71">
        <v>4793</v>
      </c>
      <c r="V6" s="71">
        <v>0</v>
      </c>
      <c r="W6" s="71">
        <v>0</v>
      </c>
      <c r="X6" s="71">
        <v>0</v>
      </c>
      <c r="Y6" s="71">
        <v>1</v>
      </c>
      <c r="Z6" s="71">
        <v>5872</v>
      </c>
      <c r="AA6" s="71">
        <v>4230</v>
      </c>
      <c r="AB6" s="71">
        <v>3718</v>
      </c>
      <c r="AC6" s="71">
        <v>4053</v>
      </c>
      <c r="AD6" s="71">
        <v>4780</v>
      </c>
      <c r="AE6" s="71">
        <v>4603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114382.73875157999</v>
      </c>
      <c r="E7" s="73" ph="1">
        <f>E6*51.53*LOOKUP(E8,密度!$A$2:$A$50,密度!$B$2:$B$50)</f>
        <v>0</v>
      </c>
      <c r="F7" s="73" ph="1">
        <f>F6*33.183*LOOKUP(F8,密度!$A$2:$A$50,密度!$C$2:$C$50)</f>
        <v>173780.5489965</v>
      </c>
      <c r="G7" s="73" ph="1">
        <f xml:space="preserve"> (G6+2)*51.53*LOOKUP(G8,密度!$A$2:$A$50,密度!$B$2:$B$50)</f>
        <v>221256.62831999999</v>
      </c>
      <c r="H7" s="73" ph="1">
        <f>(H6)*51.53*LOOKUP(H8,密度!$A$2:$A$50,密度!$B$2:$B$50)</f>
        <v>63417.146520000009</v>
      </c>
      <c r="I7" s="73" ph="1">
        <f>I6*290.8*1.0267</f>
        <v>15913.480387999998</v>
      </c>
      <c r="J7" s="73" ph="1">
        <f>J6*290.8*0.7892</f>
        <v>1505.5158016</v>
      </c>
      <c r="K7" s="73" ph="1">
        <f>K6*290.8*1.1126</f>
        <v>19991.7887032</v>
      </c>
      <c r="L7" s="73" ph="1">
        <f>L6*290.8*0.777</f>
        <v>1809.872316</v>
      </c>
      <c r="M7" s="73" ph="1">
        <f>M6*33.183*LOOKUP(M8,密度!$A$2:$A$50,密度!$D$2:$D$50)</f>
        <v>69988.123547999989</v>
      </c>
      <c r="N7" s="73" ph="1">
        <f>N6*33.183*LOOKUP(N8,密度!$A$2:$A$50,密度!$E$2:$E$50)</f>
        <v>40146.240178799999</v>
      </c>
      <c r="O7" s="73" ph="1">
        <f>O6*20.428*LOOKUP(O8,密度!$A$2:$A$50,密度!$C$2:$C$50)</f>
        <v>65212.696617599991</v>
      </c>
      <c r="P7" s="73" ph="1">
        <f>P6*51.53*LOOKUP(P8,密度!$A$2:$A$50,密度!$B$2:$B$50)</f>
        <v>195107.43609899998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33.222419999999993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47550.528748799996</v>
      </c>
      <c r="U7" s="73" ph="1">
        <f>U6*1.5*1.5*3.1416*LOOKUP(U8,密度!$A$2:$A$50,密度!$L$2:$L$50)</f>
        <v>31914.771411599999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6.6798269999999995</v>
      </c>
      <c r="Z7" s="73" ph="1">
        <f>Z6*33.183*LOOKUP(Z8,密度!$A$2:$A$50,密度!$L$2:$L$50)</f>
        <v>184328.64489599998</v>
      </c>
      <c r="AA7" s="73" ph="1">
        <f>AA6*33.183*LOOKUP(AA8,密度!$A$2:$A$50,密度!$D$2:$D$50)</f>
        <v>145122.43265100001</v>
      </c>
      <c r="AB7" s="73" ph="1">
        <f>AB6*20.428*LOOKUP(AB8,密度!$A$2:$A$50,密度!$D$2:$D$50)</f>
        <v>78920.999986399998</v>
      </c>
      <c r="AC7" s="73" ph="1">
        <f>AC6*51.53*LOOKUP(AC8,密度!$A$2:$A$50,密度!$Q$2:$Q$50)</f>
        <v>199160.399424</v>
      </c>
      <c r="AD7" s="73" ph="1">
        <f>AD6*20.428*LOOKUP(AD8,密度!$A$2:$A$50,密度!$V$2:$V$50)</f>
        <v>94130.589760000003</v>
      </c>
      <c r="AE7" s="73" ph="1">
        <f>AE6*20.428</f>
        <v>94030.084000000003</v>
      </c>
    </row>
    <row r="8" spans="1:99" ph="1">
      <c r="B8" s="238" ph="1"/>
      <c r="C8" s="68" t="s" ph="1">
        <v>179</v>
      </c>
      <c r="D8" s="74">
        <v>20</v>
      </c>
      <c r="E8" s="74">
        <v>16</v>
      </c>
      <c r="F8" s="74">
        <v>17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20</v>
      </c>
      <c r="O8" s="74">
        <v>24</v>
      </c>
      <c r="P8" s="74">
        <v>18</v>
      </c>
      <c r="Q8" s="74">
        <v>19</v>
      </c>
      <c r="R8" s="74">
        <v>22</v>
      </c>
      <c r="S8" s="74">
        <v>14</v>
      </c>
      <c r="T8" s="74">
        <v>14</v>
      </c>
      <c r="U8" s="74">
        <v>20</v>
      </c>
      <c r="V8" s="74">
        <v>23</v>
      </c>
      <c r="W8" s="74">
        <v>17</v>
      </c>
      <c r="X8" s="74">
        <v>8</v>
      </c>
      <c r="Y8" s="74">
        <v>17</v>
      </c>
      <c r="Z8" s="74">
        <v>16</v>
      </c>
      <c r="AA8" s="74">
        <v>17</v>
      </c>
      <c r="AB8" s="74">
        <v>11</v>
      </c>
      <c r="AC8" s="74">
        <v>16</v>
      </c>
      <c r="AD8" s="74">
        <v>16</v>
      </c>
      <c r="AE8" s="74">
        <v>22</v>
      </c>
    </row>
    <row r="9" spans="1:99" ht="26.4" ph="1">
      <c r="B9" s="238" ph="1">
        <v>0.66666666666666663</v>
      </c>
      <c r="C9" s="156" t="s" ph="1">
        <v>180</v>
      </c>
      <c r="D9" s="71">
        <v>3627</v>
      </c>
      <c r="E9" s="71">
        <v>115</v>
      </c>
      <c r="F9" s="71">
        <v>4699</v>
      </c>
      <c r="G9" s="71">
        <v>5567</v>
      </c>
      <c r="H9" s="71">
        <v>1557</v>
      </c>
      <c r="I9" s="71">
        <v>53.31</v>
      </c>
      <c r="J9" s="71">
        <v>6.62</v>
      </c>
      <c r="K9" s="71">
        <v>61.86</v>
      </c>
      <c r="L9" s="71">
        <v>27.35</v>
      </c>
      <c r="M9" s="71">
        <v>2007</v>
      </c>
      <c r="N9" s="71">
        <v>1538</v>
      </c>
      <c r="O9" s="71">
        <v>2878</v>
      </c>
      <c r="P9" s="71">
        <v>4532</v>
      </c>
      <c r="Q9" s="71">
        <v>2</v>
      </c>
      <c r="R9" s="71">
        <v>0</v>
      </c>
      <c r="S9" s="71">
        <v>0</v>
      </c>
      <c r="T9" s="71">
        <v>7102</v>
      </c>
      <c r="U9" s="71">
        <v>7018</v>
      </c>
      <c r="V9" s="71">
        <v>295</v>
      </c>
      <c r="W9" s="71">
        <v>0</v>
      </c>
      <c r="X9" s="71">
        <v>0</v>
      </c>
      <c r="Y9" s="71">
        <v>0</v>
      </c>
      <c r="Z9" s="71">
        <v>5872</v>
      </c>
      <c r="AA9" s="71">
        <v>4234</v>
      </c>
      <c r="AB9" s="71">
        <v>3624</v>
      </c>
      <c r="AC9" s="71">
        <v>4051</v>
      </c>
      <c r="AD9" s="71">
        <v>4780</v>
      </c>
      <c r="AE9" s="71">
        <v>4570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114299.69398029</v>
      </c>
      <c r="E10" s="73" ph="1">
        <f>E9*51.53*LOOKUP(E11,密度!$A$2:$A$50,密度!$B$2:$B$50)</f>
        <v>4619.8706199999997</v>
      </c>
      <c r="F10" s="73" ph="1">
        <f>F9*33.183*LOOKUP(F11,密度!$A$2:$A$50,密度!$C$2:$C$50)</f>
        <v>173686.99284629998</v>
      </c>
      <c r="G10" s="73" ph="1">
        <f xml:space="preserve"> (G9+2)*51.53*LOOKUP(G11,密度!$A$2:$A$50,密度!$B$2:$B$50)</f>
        <v>225013.623937</v>
      </c>
      <c r="H10" s="73" ph="1">
        <f>(H9)*51.53*LOOKUP(H11,密度!$A$2:$A$50,密度!$B$2:$B$50)</f>
        <v>62974.261629000008</v>
      </c>
      <c r="I10" s="73" ph="1">
        <f>I9*290.8*1.0267</f>
        <v>15916.466031599999</v>
      </c>
      <c r="J10" s="73" ph="1">
        <f>J9*290.8*0.7892</f>
        <v>1519.2857632</v>
      </c>
      <c r="K10" s="73" ph="1">
        <f>K9*290.8*1.1126</f>
        <v>20014.436788799998</v>
      </c>
      <c r="L10" s="73" ph="1">
        <f>L9*290.8*0.777</f>
        <v>6179.7762600000005</v>
      </c>
      <c r="M10" s="73" ph="1">
        <f>M9*33.183*LOOKUP(M11,密度!$A$2:$A$50,密度!$D$2:$D$50)</f>
        <v>68629.528570499999</v>
      </c>
      <c r="N10" s="73" ph="1">
        <f>N9*33.183*LOOKUP(N11,密度!$A$2:$A$50,密度!$E$2:$E$50)</f>
        <v>40154.695207199999</v>
      </c>
      <c r="O10" s="73" ph="1">
        <f>O9*20.428*LOOKUP(O11,密度!$A$2:$A$50,密度!$C$2:$C$50)</f>
        <v>65058.988174400001</v>
      </c>
      <c r="P10" s="73" ph="1">
        <f>P9*51.53*LOOKUP(P11,密度!$A$2:$A$50,密度!$B$2:$B$50)</f>
        <v>182693.616908</v>
      </c>
      <c r="Q10" s="73" ph="1">
        <f>Q9*1.5*1.5*3.1416*LOOKUP(W11,密度!$A$2:$A$50,密度!$L$2:$L$50)</f>
        <v>13.147596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47490.332551200001</v>
      </c>
      <c r="U10" s="73" ph="1">
        <f>U9*1.5*1.5*3.1416*LOOKUP(U11,密度!$A$2:$A$50,密度!$L$2:$L$50)</f>
        <v>46730.203581599999</v>
      </c>
      <c r="V10" s="73" ph="1">
        <f>V9*1.5*1.5*3.1416*LOOKUP(V11,密度!$A$2:$A$50,密度!$L$2:$L$50)</f>
        <v>1949.6965950000001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184328.64489599998</v>
      </c>
      <c r="AA10" s="73" ph="1">
        <f>AA9*33.183*LOOKUP(AA11,密度!$A$2:$A$50,密度!$D$2:$D$50)</f>
        <v>145020.81966839998</v>
      </c>
      <c r="AB10" s="73" ph="1">
        <f>AB9*20.428*LOOKUP(AB11,密度!$A$2:$A$50,密度!$D$2:$D$50)</f>
        <v>76733.206128000005</v>
      </c>
      <c r="AC10" s="73" ph="1">
        <f>AC9*51.53*LOOKUP(AC11,密度!$A$2:$A$50,密度!$Q$2:$Q$50)</f>
        <v>198389.95275140001</v>
      </c>
      <c r="AD10" s="73" ph="1">
        <f>AD9*20.428*LOOKUP(AD11,密度!$A$2:$A$50,密度!$V$2:$V$50)</f>
        <v>94130.589760000003</v>
      </c>
      <c r="AE10" s="73" ph="1">
        <f>AE9*20.428</f>
        <v>93355.96</v>
      </c>
    </row>
    <row r="11" spans="1:99" ph="1">
      <c r="A11" s="64" t="s" ph="1">
        <v>162</v>
      </c>
      <c r="B11" s="238" ph="1"/>
      <c r="C11" s="156" t="s" ph="1">
        <v>179</v>
      </c>
      <c r="D11" s="74">
        <v>21</v>
      </c>
      <c r="E11" s="74">
        <v>25</v>
      </c>
      <c r="F11" s="74">
        <v>18</v>
      </c>
      <c r="G11" s="74">
        <v>20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28</v>
      </c>
      <c r="P11" s="74">
        <v>22</v>
      </c>
      <c r="Q11" s="74">
        <v>32</v>
      </c>
      <c r="R11" s="74">
        <v>27</v>
      </c>
      <c r="S11" s="74">
        <v>18</v>
      </c>
      <c r="T11" s="74">
        <v>16</v>
      </c>
      <c r="U11" s="74">
        <v>20</v>
      </c>
      <c r="V11" s="74">
        <v>27</v>
      </c>
      <c r="W11" s="74">
        <v>32</v>
      </c>
      <c r="X11" s="74">
        <v>17</v>
      </c>
      <c r="Y11" s="74">
        <v>23</v>
      </c>
      <c r="Z11" s="74">
        <v>16</v>
      </c>
      <c r="AA11" s="74">
        <v>19</v>
      </c>
      <c r="AB11" s="74">
        <v>14</v>
      </c>
      <c r="AC11" s="74">
        <v>20</v>
      </c>
      <c r="AD11" s="74">
        <v>20</v>
      </c>
      <c r="AE11" s="74">
        <v>22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5052</v>
      </c>
      <c r="E15" s="78">
        <v>2169</v>
      </c>
      <c r="F15" s="78">
        <v>5053</v>
      </c>
      <c r="G15" s="78">
        <v>1793</v>
      </c>
      <c r="H15" s="78">
        <v>0</v>
      </c>
      <c r="I15" s="78">
        <v>226</v>
      </c>
      <c r="J15" s="78">
        <v>413</v>
      </c>
      <c r="K15" s="78">
        <v>3579</v>
      </c>
      <c r="L15" s="78">
        <v>3709</v>
      </c>
      <c r="M15" s="78">
        <v>5632</v>
      </c>
      <c r="N15" s="78">
        <v>532</v>
      </c>
      <c r="O15" s="78">
        <v>4972</v>
      </c>
      <c r="P15" s="78">
        <v>4601</v>
      </c>
      <c r="Q15" s="78">
        <v>1274</v>
      </c>
      <c r="R15" s="78">
        <v>7376</v>
      </c>
      <c r="S15" s="78">
        <v>0</v>
      </c>
      <c r="T15" s="78">
        <v>5040</v>
      </c>
      <c r="U15" s="78">
        <v>2094</v>
      </c>
      <c r="V15" s="78">
        <v>3082</v>
      </c>
      <c r="W15" s="71">
        <v>-172</v>
      </c>
      <c r="X15" s="78">
        <v>92</v>
      </c>
      <c r="Y15" s="106">
        <v>-9900</v>
      </c>
      <c r="Z15" s="78">
        <v>0</v>
      </c>
      <c r="AA15" s="78">
        <v>11</v>
      </c>
      <c r="AB15" s="78" ph="1">
        <v>7138</v>
      </c>
      <c r="AC15" s="78" ph="1">
        <v>7108</v>
      </c>
      <c r="AD15" s="78">
        <v>76.34</v>
      </c>
      <c r="AE15" s="78">
        <v>84.2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33710.775436799995</v>
      </c>
      <c r="E16" s="73" ph="1">
        <f>E15*7.0686*LOOKUP(E17,密度!$A$2:$A$50,密度!$L$2:$L$50)</f>
        <v>14473.212969599999</v>
      </c>
      <c r="F16" s="73" ph="1">
        <f>F15*9.0746*LOOKUP(F17,密度!$A$2:$A$50,密度!$L$2:$L$50)</f>
        <v>42965.154710600007</v>
      </c>
      <c r="G16" s="73" ph="1">
        <f>G15*9.0746*LOOKUP(G17,密度!$A$2:$A$50,密度!$B$2:$B$50)</f>
        <v>12757.901190980001</v>
      </c>
      <c r="H16" s="73" ph="1">
        <f>H15*9.0746*LOOKUP(H17,密度!$A$2:$A$50,密度!$L$2:$L$50)</f>
        <v>0</v>
      </c>
      <c r="I16" s="73" ph="1">
        <f>I15*9.0746*LOOKUP(I17,密度!$A$2:$A$50,密度!$U$2:$U$50)</f>
        <v>2108.2836688000002</v>
      </c>
      <c r="J16" s="73" ph="1">
        <f>J15*9.0746*LOOKUP(J17,密度!$A$2:$A$50,密度!$L$2:$L$50)</f>
        <v>3537.9324511999998</v>
      </c>
      <c r="K16" s="73" ph="1">
        <f>K15*9.0746*LOOKUP(K17,密度!$A$2:$A$50,密度!$C$2:$C$50)</f>
        <v>36177.236848259992</v>
      </c>
      <c r="L16" s="73" ph="1">
        <f>L15*9.0746*LOOKUP(L17,密度!$A$2:$A$50,密度!$E$2:$E$50)</f>
        <v>26599.673513420003</v>
      </c>
      <c r="M16" s="73" ph="1">
        <f>M15*9.0746*LOOKUP(M17,密度!$A$2:$A$50,密度!$M$2:$M$50)</f>
        <v>44929.17220352</v>
      </c>
      <c r="N16" s="73" ph="1">
        <f>N15*9.0746*LOOKUP(N17,密度!$A$2:$A$50,密度!$M$2:$M$50)</f>
        <v>4249.8130421599999</v>
      </c>
      <c r="O16" s="73" ph="1">
        <f>O15*9.0746*LOOKUP(O17,密度!$A$2:$A$50,密度!$G$2:$G$50)</f>
        <v>44045.081113439999</v>
      </c>
      <c r="P16" s="73" ph="1">
        <f ca="1">P15*9.0746*LOOKUP(P17,密度!$A$2:$A$51,密度!$Q$2:$Q$50)</f>
        <v>39680.488719148001</v>
      </c>
      <c r="Q16" s="73" ph="1">
        <f>Q15*9.0746*LOOKUP(Q17,密度!$A$2:$A$50,密度!$Q$2:$Q$50)</f>
        <v>11006.226071204001</v>
      </c>
      <c r="R16" s="73" ph="1">
        <f>MAX(R15*9.0746*LOOKUP(R17,密度!$A$2:$A$50,密度!$B$2:$B$50),0)</f>
        <v>52422.904286719997</v>
      </c>
      <c r="S16" s="73" ph="1">
        <f>S15*9.0746*LOOKUP(S17,密度!$A$2:$A$50,密度!$Q$2:$Q$50)</f>
        <v>0</v>
      </c>
      <c r="T16" s="73" ph="1">
        <f>T15*9.0746*LOOKUP(T17,密度!$A$2:$A$50,密度!$O$2:$O$50)</f>
        <v>42717.409056000004</v>
      </c>
      <c r="U16" s="73" ph="1">
        <f>U15*9.0746*LOOKUP(U17,密度!$A$2:$A$50,密度!$H$2:$H$50)</f>
        <v>17552.343593879999</v>
      </c>
      <c r="V16" s="73" ph="1">
        <f>MAX(5600*LOOKUP(V17,密度!$A$2:$A$50,密度!$Q$2:$Q$50)+V15*9.0476*LOOKUP(V17,密度!$A$2:$A$50,密度!$Q$2:$Q$50),0)</f>
        <v>31851.654224935995</v>
      </c>
      <c r="W16" s="73" ph="1">
        <f>MAX(5600*LOOKUP(W17,密度!$A$2:$A$50,密度!$Q$2:$Q$50)+W15*9.0476*LOOKUP(W17,密度!$A$2:$A$50,密度!$Q$2:$Q$50),0)</f>
        <v>3849.7502237280005</v>
      </c>
      <c r="X16" s="73" ph="1">
        <f>MAX(5600*LOOKUP(X17,密度!$A$2:$A$50,密度!$I$2:$I$50)+X15*9.0476*LOOKUP(X17,密度!$A$2:$A$50,密度!$I$2:$I$50),0)</f>
        <v>6733.4145465599995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61082.348596399999</v>
      </c>
      <c r="AC16" s="73" ph="1">
        <f>AC15*9.0746*LOOKUP(AC17,密度!$A$2:$A$50,密度!$L$2:$L$50)</f>
        <v>60954.632676000001</v>
      </c>
      <c r="AD16" s="73" ph="1">
        <f>AD15*268.68*LOOKUP(AD17,密度!$A$2:$A$50,密度!B2:B50)+IF(AD15&lt;=0,0,1566*LOOKUP(AD17,密度!$A$2:$A$50,密度!B2:B50))</f>
        <v>17211.253523520001</v>
      </c>
      <c r="AE16" s="73" ph="1">
        <f>AE15*268.68*LOOKUP(AE17,密度!$A$2:$A$50,密度!B2:B50)+IF(AE15&lt;=0,0,1566*LOOKUP(AE17,密度!$A$2:$A$50,密度!B2:B50))</f>
        <v>18857.632137599998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18</v>
      </c>
      <c r="E17" s="74">
        <v>18</v>
      </c>
      <c r="F17" s="74">
        <v>25</v>
      </c>
      <c r="G17" s="74">
        <v>20</v>
      </c>
      <c r="H17" s="74">
        <v>12</v>
      </c>
      <c r="I17" s="74">
        <v>16</v>
      </c>
      <c r="J17" s="74">
        <v>18</v>
      </c>
      <c r="K17" s="74">
        <v>18</v>
      </c>
      <c r="L17" s="74">
        <v>19</v>
      </c>
      <c r="M17" s="74">
        <v>21</v>
      </c>
      <c r="N17" s="74">
        <v>15</v>
      </c>
      <c r="O17" s="74">
        <v>10</v>
      </c>
      <c r="P17" s="74">
        <v>20</v>
      </c>
      <c r="Q17" s="74">
        <v>18</v>
      </c>
      <c r="R17" s="74">
        <v>21</v>
      </c>
      <c r="S17" s="74">
        <v>17</v>
      </c>
      <c r="T17" s="74">
        <v>19</v>
      </c>
      <c r="U17" s="74">
        <v>16</v>
      </c>
      <c r="V17" s="74">
        <v>19</v>
      </c>
      <c r="W17" s="74">
        <v>18</v>
      </c>
      <c r="X17" s="74">
        <v>21</v>
      </c>
      <c r="Y17" s="108">
        <v>21</v>
      </c>
      <c r="Z17" s="74">
        <v>18</v>
      </c>
      <c r="AA17" s="74">
        <v>15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5061</v>
      </c>
      <c r="E18" s="71">
        <v>3533</v>
      </c>
      <c r="F18" s="71">
        <v>5050</v>
      </c>
      <c r="G18" s="71">
        <v>1794</v>
      </c>
      <c r="H18" s="71">
        <v>0</v>
      </c>
      <c r="I18" s="71">
        <v>226</v>
      </c>
      <c r="J18" s="71">
        <v>413</v>
      </c>
      <c r="K18" s="71">
        <v>3580</v>
      </c>
      <c r="L18" s="71">
        <v>3713</v>
      </c>
      <c r="M18" s="71">
        <v>3665</v>
      </c>
      <c r="N18" s="71">
        <v>3300</v>
      </c>
      <c r="O18" s="71">
        <v>4977</v>
      </c>
      <c r="P18" s="71">
        <v>4605</v>
      </c>
      <c r="Q18" s="71">
        <v>1278</v>
      </c>
      <c r="R18" s="71">
        <v>7386</v>
      </c>
      <c r="S18" s="71">
        <v>0</v>
      </c>
      <c r="T18" s="71">
        <v>5044</v>
      </c>
      <c r="U18" s="71">
        <v>2093</v>
      </c>
      <c r="V18" s="71">
        <v>3082</v>
      </c>
      <c r="W18" s="71">
        <v>-172</v>
      </c>
      <c r="X18" s="71">
        <v>91</v>
      </c>
      <c r="Y18" s="109">
        <v>-9900</v>
      </c>
      <c r="Z18" s="71">
        <v>0</v>
      </c>
      <c r="AA18" s="71">
        <v>9</v>
      </c>
      <c r="AB18" s="71">
        <v>7146</v>
      </c>
      <c r="AC18" s="71">
        <v>7113</v>
      </c>
      <c r="AD18" s="71">
        <v>76.38</v>
      </c>
      <c r="AE18" s="71">
        <v>84.24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33448.862601000001</v>
      </c>
      <c r="E19" s="73" ph="1">
        <f>E18*7.0686*LOOKUP(E20,密度!$A$2:$A$50,密度!$L$2:$L$50)</f>
        <v>23350.095153000002</v>
      </c>
      <c r="F19" s="73" ph="1">
        <f>F18*9.0746*LOOKUP(F20,密度!$A$2:$A$50,密度!$L$2:$L$50)</f>
        <v>43031.299469999998</v>
      </c>
      <c r="G19" s="73" ph="1">
        <f>G18*9.0746*LOOKUP(G20,密度!$A$2:$A$50,密度!$B$2:$B$50)</f>
        <v>12750.364735680001</v>
      </c>
      <c r="H19" s="73" ph="1">
        <f>H18*9.0746*LOOKUP(H20,密度!$A$2:$A$50,密度!$L$2:$L$50)</f>
        <v>0</v>
      </c>
      <c r="I19" s="73" ph="1">
        <f>I18*9.0746*LOOKUP(I20,密度!$A$2:$A$50,密度!$U$2:$U$50)</f>
        <v>2108.2836688000002</v>
      </c>
      <c r="J19" s="73" ph="1">
        <f>J18*9.0746*LOOKUP(J20,密度!$A$2:$A$50,密度!$L$2:$L$50)</f>
        <v>3530.4368316</v>
      </c>
      <c r="K19" s="73" ph="1">
        <f>K18*9.0746*LOOKUP(K20,密度!$A$2:$A$50,密度!$C$2:$C$50)</f>
        <v>36164.6040976</v>
      </c>
      <c r="L19" s="73" ph="1">
        <f>L18*9.0746*LOOKUP(L20,密度!$A$2:$A$50,密度!$E$2:$E$50)</f>
        <v>26591.296750160003</v>
      </c>
      <c r="M19" s="73" ph="1">
        <f>M18*9.0746*LOOKUP(M20,密度!$A$2:$A$50,密度!$M$2:$M$50)</f>
        <v>29131.040443099999</v>
      </c>
      <c r="N19" s="73" ph="1">
        <f>N18*9.0746*LOOKUP(N20,密度!$A$2:$A$50,密度!$M$2:$M$50)</f>
        <v>26361.622253999998</v>
      </c>
      <c r="O19" s="73" ph="1">
        <f>O18*9.0746*LOOKUP(O20,密度!$A$2:$A$50,密度!$G$2:$G$50)</f>
        <v>43579.017824579998</v>
      </c>
      <c r="P19" s="73" ph="1">
        <f ca="1">P18*9.0746*LOOKUP(P20,密度!$A$2:$A$51,密度!$Q$2:$Q$50)</f>
        <v>39661.078784969999</v>
      </c>
      <c r="Q19" s="73" ph="1">
        <f>Q18*9.0746*LOOKUP(Q20,密度!$A$2:$A$50,密度!$Q$2:$Q$50)</f>
        <v>10963.196314416</v>
      </c>
      <c r="R19" s="73" ph="1">
        <f>MAX(R18*9.0746*LOOKUP(R20,密度!$A$2:$A$50,密度!$B$2:$B$50),0)</f>
        <v>52252.686569759993</v>
      </c>
      <c r="S19" s="73" ph="1">
        <f>S18*9.0746*LOOKUP(S20,密度!$A$2:$A$50,密度!$Q$2:$Q$50)</f>
        <v>0</v>
      </c>
      <c r="T19" s="73" ph="1">
        <f>T18*9.0746*LOOKUP(T20,密度!$A$2:$A$50,密度!$O$2:$O$50)</f>
        <v>42385.133502400007</v>
      </c>
      <c r="U19" s="73" ph="1">
        <f>U18*9.0746*LOOKUP(U20,密度!$A$2:$A$50,密度!$H$2:$H$50)</f>
        <v>17467.988834659998</v>
      </c>
      <c r="V19" s="73" ph="1">
        <f>MAX(5600*LOOKUP(V20,密度!$A$2:$A$50,密度!$Q$2:$Q$50)+V18*9.0476*LOOKUP(V20,密度!$A$2:$A$50,密度!$Q$2:$Q$50),0)</f>
        <v>31779.996960087996</v>
      </c>
      <c r="W19" s="73" ph="1">
        <f>MAX(5600*LOOKUP(W20,密度!$A$2:$A$50,密度!$Q$2:$Q$50)+W18*9.0476*LOOKUP(W20,密度!$A$2:$A$50,密度!$Q$2:$Q$50),0)</f>
        <v>3834.3432969599999</v>
      </c>
      <c r="X19" s="73" ph="1">
        <f>MAX(5600*LOOKUP(X20,密度!$A$2:$A$50,密度!$I$2:$I$50)+X18*9.0476*LOOKUP(X20,密度!$A$2:$A$50,密度!$I$2:$I$50),0)</f>
        <v>6709.81218936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60956.266103999995</v>
      </c>
      <c r="AC19" s="73" ph="1">
        <f>AC18*9.0746*LOOKUP(AC20,密度!$A$2:$A$50,密度!$L$2:$L$50)</f>
        <v>60803.8672716</v>
      </c>
      <c r="AD19" s="73" ph="1">
        <f>AD18*268.68*LOOKUP(AD20,密度!$A$2:$A$50,密度!B5:B53)+IF(AD18&lt;=0,0,1566*LOOKUP(AD20,密度!$A$2:$A$50,密度!B5:B53))</f>
        <v>17162.2038168</v>
      </c>
      <c r="AE19" s="73" ph="1">
        <f>AE18*268.68*LOOKUP(AE20,密度!$A$2:$A$50,密度!B5:B53)+IF(AE18&lt;=0,0,1566*LOOKUP(AE20,密度!$A$2:$A$50,密度!B5:B53))</f>
        <v>18803.091686399999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27</v>
      </c>
      <c r="E20" s="81">
        <v>27</v>
      </c>
      <c r="F20" s="81">
        <v>23</v>
      </c>
      <c r="G20" s="81">
        <v>21</v>
      </c>
      <c r="H20" s="81">
        <v>16</v>
      </c>
      <c r="I20" s="81">
        <v>20</v>
      </c>
      <c r="J20" s="81">
        <v>20</v>
      </c>
      <c r="K20" s="81">
        <v>19</v>
      </c>
      <c r="L20" s="81">
        <v>20</v>
      </c>
      <c r="M20" s="81">
        <v>24</v>
      </c>
      <c r="N20" s="81">
        <v>20</v>
      </c>
      <c r="O20" s="81">
        <v>21</v>
      </c>
      <c r="P20" s="81">
        <v>22</v>
      </c>
      <c r="Q20" s="81">
        <v>27</v>
      </c>
      <c r="R20" s="81">
        <v>25</v>
      </c>
      <c r="S20" s="81">
        <v>24</v>
      </c>
      <c r="T20" s="81">
        <v>25</v>
      </c>
      <c r="U20" s="81">
        <v>20</v>
      </c>
      <c r="V20" s="81">
        <v>22</v>
      </c>
      <c r="W20" s="81">
        <v>23</v>
      </c>
      <c r="X20" s="81">
        <v>23</v>
      </c>
      <c r="Y20" s="110">
        <v>23</v>
      </c>
      <c r="Z20" s="81">
        <v>31</v>
      </c>
      <c r="AA20" s="81">
        <v>22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643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4.79</v>
      </c>
      <c r="E24" s="71">
        <v>5.41</v>
      </c>
      <c r="F24" s="71">
        <v>2512</v>
      </c>
      <c r="G24" s="71">
        <v>1643</v>
      </c>
      <c r="H24" s="71">
        <v>2883</v>
      </c>
      <c r="I24" s="71">
        <v>453</v>
      </c>
      <c r="J24" s="71">
        <v>331</v>
      </c>
      <c r="K24" s="71">
        <v>5000</v>
      </c>
      <c r="L24" s="71">
        <v>469</v>
      </c>
      <c r="M24" s="71">
        <v>3053</v>
      </c>
      <c r="N24" s="71">
        <v>446</v>
      </c>
      <c r="O24" s="71">
        <v>5722</v>
      </c>
      <c r="P24" s="71">
        <v>360</v>
      </c>
      <c r="Q24" s="90">
        <v>1670</v>
      </c>
      <c r="R24" s="71">
        <v>3625</v>
      </c>
      <c r="S24" s="71">
        <v>4306</v>
      </c>
      <c r="T24" s="71">
        <v>216</v>
      </c>
      <c r="U24" s="71">
        <v>1773</v>
      </c>
      <c r="V24" s="71">
        <v>7862</v>
      </c>
      <c r="W24" s="71">
        <v>6755</v>
      </c>
      <c r="X24" s="71">
        <v>7068</v>
      </c>
      <c r="Y24" s="71">
        <v>4238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2701.0276343280002</v>
      </c>
      <c r="E25" s="91" ph="1">
        <f>E24*268.68*LOOKUP(E26,密度!$A$2:$A$50,密度!$C$2:$C$50)+IF(E24&lt;=0,0,1566*LOOKUP(E26,密度!$A$2:$A$50,密度!$C$2:$C$50))</f>
        <v>3348.38875332</v>
      </c>
      <c r="F25" s="91" ph="1">
        <f>F24*11.702*LOOKUP(F26,密度!$A$2:$A$50,密度!$Q$2:$Q$50)</f>
        <v>28007.9599872</v>
      </c>
      <c r="G25" s="91" ph="1">
        <f>G24*18.322*LOOKUP(G26,密度!$A$2:$A$50,密度!$B$2:$B$50)</f>
        <v>23651.963242199996</v>
      </c>
      <c r="H25" s="91" ph="1">
        <f>H24*18.322*LOOKUP(H26,密度!$A$2:$A$50,密度!$B$2:$B$50)</f>
        <v>41539.4771664</v>
      </c>
      <c r="I25" s="91" ph="1">
        <f>I24*18.322*LOOKUP(I26,密度!$A$2:$A$50,密度!$Q$2:$Q$50)</f>
        <v>7908.1123247999994</v>
      </c>
      <c r="J25" s="91" ph="1">
        <f>J24*18.322*LOOKUP(J26,密度!$A$2:$A$50,密度!$Q$2:$Q$50)</f>
        <v>5783.1853951999992</v>
      </c>
      <c r="K25" s="91" ph="1">
        <f>K24*18.322*LOOKUP(K26,密度!$A$2:$A$50,密度!$Q$2:$Q$50)</f>
        <v>87142.180300000007</v>
      </c>
      <c r="L25" s="91" ph="1">
        <f>L24*18.322*LOOKUP(L26,密度!$A$2:$A$50,密度!$Q$2:$Q$50)</f>
        <v>8180.6390661800006</v>
      </c>
      <c r="M25" s="91" ph="1">
        <f>M24*18.322*LOOKUP(M26,密度!$A$2:$A$50,密度!$Q$2:$Q$50)</f>
        <v>53252.646202659998</v>
      </c>
      <c r="N25" s="91" ph="1">
        <f>N24*18.322*LOOKUP(N26,密度!$A$2:$A$50,密度!$Q$2:$Q$50)</f>
        <v>7785.9119135999999</v>
      </c>
      <c r="O25" s="91" ph="1">
        <f>O24*18.322*LOOKUP(O26,密度!$A$2:$A$50,密度!$C$2:$C$50)</f>
        <v>116706.20038879999</v>
      </c>
      <c r="P25" s="91" ph="1">
        <f>P24*11.702*LOOKUP(P26,密度!$A$2:$A$50,密度!$B$2:$B$50)</f>
        <v>3309.9341039999999</v>
      </c>
      <c r="Q25" s="92" ph="1">
        <f>Q24*18.322*LOOKUP(Q26,密度!$A$2:$A$50,密度!$B$2:$B$50)</f>
        <v>24040.644317999999</v>
      </c>
      <c r="R25" s="91" ph="1">
        <f>R24*35.891*LOOKUP(R26,密度!$A$2:$A$50,密度!$C$2:$C$50)</f>
        <v>144923.8202625</v>
      </c>
      <c r="S25" s="91" ph="1">
        <f>S24*35.891*LOOKUP(S26,密度!$A$2:$A$50,密度!$B$2:$B$50)</f>
        <v>121535.48241439999</v>
      </c>
      <c r="T25" s="91" ph="1">
        <f>T24*35.891*LOOKUP(T26,密度!$A$2:$A$50,密度!$Q$2:$Q$50)</f>
        <v>7374.3687208799993</v>
      </c>
      <c r="U25" s="91" ph="1">
        <f>U24*35.891</f>
        <v>63634.742999999995</v>
      </c>
      <c r="V25" s="91" ph="1">
        <f>V24*47.051*LOOKUP(V26,密度!$A$2:$A$50,密度!$B$2:$B$50)</f>
        <v>291197.05808639998</v>
      </c>
      <c r="W25" s="91" ph="1">
        <f>W24*47.051*LOOKUP(W26,密度!$A$2:$A$50,密度!$B$2:$B$50)</f>
        <v>249941.12273199999</v>
      </c>
      <c r="X25" s="91" ph="1">
        <f>X24*47.051*LOOKUP(X26,密度!$A$2:$A$61,密度!$I$2:$I$61)</f>
        <v>341402.47004879999</v>
      </c>
      <c r="Y25" s="91" ph="1">
        <f>Y24*47.051*LOOKUP(Y26,密度!$A$2:$A$50,密度!$L$2:$L$50)</f>
        <v>188235.61827199999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17</v>
      </c>
      <c r="G26" s="74">
        <v>18</v>
      </c>
      <c r="H26" s="74">
        <v>17</v>
      </c>
      <c r="I26" s="74">
        <v>17</v>
      </c>
      <c r="J26" s="74">
        <v>16</v>
      </c>
      <c r="K26" s="74">
        <v>19</v>
      </c>
      <c r="L26" s="74">
        <v>18</v>
      </c>
      <c r="M26" s="74">
        <v>18</v>
      </c>
      <c r="N26" s="74">
        <v>17</v>
      </c>
      <c r="O26" s="74">
        <v>19</v>
      </c>
      <c r="P26" s="74">
        <v>18</v>
      </c>
      <c r="Q26" s="93">
        <v>18</v>
      </c>
      <c r="R26" s="74">
        <v>18</v>
      </c>
      <c r="S26" s="74">
        <v>17</v>
      </c>
      <c r="T26" s="74">
        <v>19</v>
      </c>
      <c r="U26" s="74">
        <v>18</v>
      </c>
      <c r="V26" s="74">
        <v>16</v>
      </c>
      <c r="W26" s="74">
        <v>17</v>
      </c>
      <c r="X26" s="74">
        <v>39</v>
      </c>
      <c r="Y26" s="74">
        <v>18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4.4000000000000004</v>
      </c>
      <c r="E27" s="71">
        <v>5.39</v>
      </c>
      <c r="F27" s="71">
        <v>2522</v>
      </c>
      <c r="G27" s="71">
        <v>1624</v>
      </c>
      <c r="H27" s="71">
        <v>1769</v>
      </c>
      <c r="I27" s="71">
        <v>449</v>
      </c>
      <c r="J27" s="71">
        <v>325</v>
      </c>
      <c r="K27" s="71">
        <v>5000</v>
      </c>
      <c r="L27" s="71">
        <v>462</v>
      </c>
      <c r="M27" s="71">
        <v>5111</v>
      </c>
      <c r="N27" s="71">
        <v>441</v>
      </c>
      <c r="O27" s="71">
        <v>5718</v>
      </c>
      <c r="P27" s="71">
        <v>355</v>
      </c>
      <c r="Q27" s="90">
        <v>2094</v>
      </c>
      <c r="R27" s="71">
        <v>3622</v>
      </c>
      <c r="S27" s="71">
        <v>4303</v>
      </c>
      <c r="T27" s="71">
        <v>213</v>
      </c>
      <c r="U27" s="71">
        <v>1887</v>
      </c>
      <c r="V27" s="71">
        <v>8339</v>
      </c>
      <c r="W27" s="71">
        <v>7038</v>
      </c>
      <c r="X27" s="71">
        <v>7553</v>
      </c>
      <c r="Y27" s="71">
        <v>3158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2601.8232940800003</v>
      </c>
      <c r="E28" s="91" ph="1">
        <f>E27*268.68*LOOKUP(E29,密度!$A$2:$A$50,密度!$C$2:$C$50)+IF(E27&lt;=0,0,1566*LOOKUP(E29,密度!$A$2:$A$50,密度!$C$2:$C$50))</f>
        <v>3342.4299682800001</v>
      </c>
      <c r="F28" s="91" ph="1">
        <f>F27*11.702*LOOKUP(F29,密度!$A$2:$A$50,密度!$Q$2:$Q$50)</f>
        <v>28073.122106120001</v>
      </c>
      <c r="G28" s="91" ph="1">
        <f>G27*18.322*LOOKUP(G29,密度!$A$2:$A$50,密度!$B$2:$B$50)</f>
        <v>23354.642987200001</v>
      </c>
      <c r="H28" s="91" ph="1">
        <f>H27*18.322*LOOKUP(H29,密度!$A$2:$A$50,密度!$B$2:$B$50)</f>
        <v>25439.878968199999</v>
      </c>
      <c r="I28" s="91" ph="1">
        <f>I27*18.322*LOOKUP(I29,密度!$A$2:$A$50,密度!$Q$2:$Q$50)</f>
        <v>7831.7845217799995</v>
      </c>
      <c r="J28" s="91" ph="1">
        <f>J27*18.322*LOOKUP(J29,密度!$A$2:$A$50,密度!$Q$2:$Q$50)</f>
        <v>5624.8814830000001</v>
      </c>
      <c r="K28" s="91" ph="1">
        <f>K27*18.322*LOOKUP(K29,密度!$A$2:$A$50,密度!$Q$2:$Q$50)</f>
        <v>87213.636100000003</v>
      </c>
      <c r="L28" s="91" ph="1">
        <f>L27*18.322*LOOKUP(L29,密度!$A$2:$A$50,密度!$Q$2:$Q$50)</f>
        <v>8065.2271391999993</v>
      </c>
      <c r="M28" s="91" ph="1">
        <f>M27*18.322*LOOKUP(M29,密度!$A$2:$A$50,密度!$Q$2:$Q$50)</f>
        <v>89149.778821419997</v>
      </c>
      <c r="N28" s="91" ph="1">
        <f>N27*18.322*LOOKUP(N29,密度!$A$2:$A$50,密度!$Q$2:$Q$50)</f>
        <v>7685.9403024599997</v>
      </c>
      <c r="O28" s="91" ph="1">
        <f>O27*18.322*LOOKUP(O29,密度!$A$2:$A$50,密度!$C$2:$C$50)</f>
        <v>116624.61618719999</v>
      </c>
      <c r="P28" s="91" ph="1">
        <f>P27*11.702*LOOKUP(P29,密度!$A$2:$A$50,密度!$B$2:$B$50)</f>
        <v>3257.316061</v>
      </c>
      <c r="Q28" s="92" ph="1">
        <f>Q27*18.322*LOOKUP(Q29,密度!$A$2:$A$50,密度!$B$2:$B$50)</f>
        <v>30113.683753199999</v>
      </c>
      <c r="R28" s="91" ph="1">
        <f>R27*35.891*LOOKUP(R29,密度!$A$2:$A$50,密度!$C$2:$C$50)</f>
        <v>144803.88330779999</v>
      </c>
      <c r="S28" s="91" ph="1">
        <f>S27*35.891*LOOKUP(S29,密度!$A$2:$A$50,密度!$B$2:$B$50)</f>
        <v>121219.1499077</v>
      </c>
      <c r="T28" s="91" ph="1">
        <f>T27*35.891*LOOKUP(T29,密度!$A$2:$A$50,密度!$Q$2:$Q$50)</f>
        <v>7271.9469330899992</v>
      </c>
      <c r="U28" s="91" ph="1">
        <f>U27*35.891</f>
        <v>67726.316999999995</v>
      </c>
      <c r="V28" s="91" ph="1">
        <f>V27*47.051*LOOKUP(V29,密度!$A$2:$A$50,密度!$B$2:$B$50)</f>
        <v>307962.02103609999</v>
      </c>
      <c r="W28" s="91" ph="1">
        <f>W27*47.051*LOOKUP(W29,密度!$A$2:$A$50,密度!$B$2:$B$50)</f>
        <v>259650.74588580002</v>
      </c>
      <c r="X28" s="91" ph="1">
        <f>X27*47.051*LOOKUP(X29,密度!$A$2:$A$61,密度!$I$2:$I$61)</f>
        <v>366428.40291330003</v>
      </c>
      <c r="Y28" s="91" ph="1">
        <f>Y27*47.051*LOOKUP(Y29,密度!$A$2:$A$50,密度!$L$2:$L$50)</f>
        <v>139969.00863600001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19</v>
      </c>
      <c r="I29" s="74">
        <v>18</v>
      </c>
      <c r="J29" s="74">
        <v>28</v>
      </c>
      <c r="K29" s="74">
        <v>18</v>
      </c>
      <c r="L29" s="74">
        <v>17</v>
      </c>
      <c r="M29" s="74">
        <v>18</v>
      </c>
      <c r="N29" s="74">
        <v>19</v>
      </c>
      <c r="O29" s="74">
        <v>19</v>
      </c>
      <c r="P29" s="74">
        <v>20</v>
      </c>
      <c r="Q29" s="93">
        <v>19</v>
      </c>
      <c r="R29" s="74">
        <v>18</v>
      </c>
      <c r="S29" s="74">
        <v>19</v>
      </c>
      <c r="T29" s="74">
        <v>19</v>
      </c>
      <c r="U29" s="74">
        <v>21</v>
      </c>
      <c r="V29" s="74">
        <v>19</v>
      </c>
      <c r="W29" s="74">
        <v>20</v>
      </c>
      <c r="X29" s="74">
        <v>35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221754.02579639998</v>
      </c>
      <c r="E33" s="187" ph="1">
        <f>M10+I10</f>
        <v>84545.994602099992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3" ph="1">
        <f>N19</f>
        <v>26361.622253999998</v>
      </c>
      <c r="H33" s="187" ph="1">
        <f>M19</f>
        <v>29131.040443099999</v>
      </c>
      <c r="I33" s="191" ph="1">
        <v>0</v>
      </c>
      <c r="J33" s="195" ph="1">
        <f>F10+O28</f>
        <v>290311.60903349996</v>
      </c>
      <c r="K33" s="187" ph="1">
        <f>O10+K10+E28+R28</f>
        <v>233219.73823928001</v>
      </c>
      <c r="L33" s="197" ph="1">
        <f>K19</f>
        <v>36164.6040976</v>
      </c>
      <c r="M33" s="195" ph="1">
        <f>G10+H10+W28+S28+V28+E10+R19+P28+Q28</f>
        <v>1067063.3593995599</v>
      </c>
      <c r="N33" s="187" ph="1">
        <f>L10+P10++G28+H28+AD19+AE19</f>
        <v>273633.21062660002</v>
      </c>
      <c r="O33" s="191" ph="1">
        <f>G19</f>
        <v>12750.364735680001</v>
      </c>
      <c r="P33" s="195" ph="1">
        <f>L19</f>
        <v>26591.296750160003</v>
      </c>
      <c r="Q33" s="187" ph="1">
        <f>J10+N10</f>
        <v>41673.9809704</v>
      </c>
      <c r="R33" s="191" ph="1">
        <f>BE23</f>
        <v>890</v>
      </c>
      <c r="S33" s="195" ph="1">
        <f>X28</f>
        <v>366428.40291330003</v>
      </c>
      <c r="T33" s="187" ph="1">
        <f>X19</f>
        <v>6709.81218936</v>
      </c>
      <c r="U33" s="176" ph="1">
        <f>BE21</f>
        <v>730</v>
      </c>
      <c r="V33" s="189" ph="1">
        <f ca="1">P19+Q19+S19+M28+N28+J28+D10+AC10+D19+E19+H19+J19+O19+V19+W19+K28+L28</f>
        <v>700576.13834438403</v>
      </c>
      <c r="W33" s="189" ph="1">
        <f>D28+F28+T28+I28</f>
        <v>45778.67685507</v>
      </c>
      <c r="X33" s="191" ph="1">
        <f>BE29+BE31</f>
        <v>10200</v>
      </c>
      <c r="Y33" s="193" ph="1">
        <f>+Q10+R10+S10+T10+U10+V10+W10+X10+Y10</f>
        <v>96183.380323800011</v>
      </c>
      <c r="Z33" s="174" ph="1">
        <f>T19+U19+Y28+Z10</f>
        <v>384150.77586906002</v>
      </c>
      <c r="AA33" s="176" ph="1">
        <f>BE19</f>
        <v>1440</v>
      </c>
      <c r="AB33" s="178" ph="1">
        <f>I19</f>
        <v>2108.2836688000002</v>
      </c>
      <c r="AC33" s="180" ph="1">
        <f>AD10+AB19</f>
        <v>155086.85586399998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29" priority="100">
      <formula>ABS(D$7-D$10)&gt;=1000</formula>
    </cfRule>
  </conditionalFormatting>
  <conditionalFormatting sqref="E4 E6:E11">
    <cfRule type="expression" dxfId="1428" priority="99">
      <formula>ABS(E$7-E$10)&gt;=1000</formula>
    </cfRule>
  </conditionalFormatting>
  <conditionalFormatting sqref="F4:F11">
    <cfRule type="expression" dxfId="1427" priority="98">
      <formula>ABS(F$7-F$10)&gt;=1000</formula>
    </cfRule>
  </conditionalFormatting>
  <conditionalFormatting sqref="G4:G11">
    <cfRule type="expression" dxfId="1426" priority="97">
      <formula>ABS(G$7-G$10)&gt;=1000</formula>
    </cfRule>
  </conditionalFormatting>
  <conditionalFormatting sqref="H4:H11">
    <cfRule type="expression" dxfId="1425" priority="96">
      <formula>ABS(H$7-H$10)&gt;=1000</formula>
    </cfRule>
  </conditionalFormatting>
  <conditionalFormatting sqref="I4:I11">
    <cfRule type="expression" dxfId="1424" priority="95">
      <formula>ABS(I$7-I$10)&gt;=1000</formula>
    </cfRule>
  </conditionalFormatting>
  <conditionalFormatting sqref="J4:J11">
    <cfRule type="expression" dxfId="1423" priority="94">
      <formula>ABS(J$7-J$10)&gt;=1000</formula>
    </cfRule>
  </conditionalFormatting>
  <conditionalFormatting sqref="K4:K11">
    <cfRule type="expression" dxfId="1422" priority="93">
      <formula>ABS(K$7-K$10)&gt;=1000</formula>
    </cfRule>
  </conditionalFormatting>
  <conditionalFormatting sqref="L4:L11">
    <cfRule type="expression" dxfId="1421" priority="92">
      <formula>ABS(L$7-L$10)&gt;=1000</formula>
    </cfRule>
  </conditionalFormatting>
  <conditionalFormatting sqref="M4 M6:M11">
    <cfRule type="expression" dxfId="1420" priority="91">
      <formula>ABS(M$7-M$10)&gt;=1000</formula>
    </cfRule>
  </conditionalFormatting>
  <conditionalFormatting sqref="N4 N6:N11">
    <cfRule type="expression" dxfId="1419" priority="90">
      <formula>ABS(N$7-N$10)&gt;=1000</formula>
    </cfRule>
  </conditionalFormatting>
  <conditionalFormatting sqref="O4 O6:O11">
    <cfRule type="expression" dxfId="1418" priority="89">
      <formula>ABS(O$7-O$10)&gt;=1000</formula>
    </cfRule>
  </conditionalFormatting>
  <conditionalFormatting sqref="P4 P6:P11">
    <cfRule type="expression" dxfId="1417" priority="88">
      <formula>ABS(P$7-P$10)&gt;=1000</formula>
    </cfRule>
  </conditionalFormatting>
  <conditionalFormatting sqref="Q4:Q11">
    <cfRule type="expression" dxfId="1416" priority="87">
      <formula>ABS(Q$7-Q$10)&gt;=1000</formula>
    </cfRule>
  </conditionalFormatting>
  <conditionalFormatting sqref="R4:R11">
    <cfRule type="expression" dxfId="1415" priority="86">
      <formula>ABS(R$7-R$10)&gt;=1000</formula>
    </cfRule>
  </conditionalFormatting>
  <conditionalFormatting sqref="S4:S11">
    <cfRule type="expression" dxfId="1414" priority="85">
      <formula>ABS(S$7-S$10)&gt;=1000</formula>
    </cfRule>
  </conditionalFormatting>
  <conditionalFormatting sqref="T4:T9 T11">
    <cfRule type="expression" dxfId="1413" priority="84">
      <formula>ABS(T$7-T$10)&gt;=1000</formula>
    </cfRule>
  </conditionalFormatting>
  <conditionalFormatting sqref="U4:U9 U11">
    <cfRule type="expression" dxfId="1412" priority="83">
      <formula>ABS(U$7-U$10)&gt;=1000</formula>
    </cfRule>
  </conditionalFormatting>
  <conditionalFormatting sqref="V4:V9 V11">
    <cfRule type="expression" dxfId="1411" priority="82">
      <formula>ABS(V$7-V$10)&gt;=1000</formula>
    </cfRule>
  </conditionalFormatting>
  <conditionalFormatting sqref="W4:W9 W11">
    <cfRule type="expression" dxfId="1410" priority="81">
      <formula>ABS(W$7-W$10)&gt;=1000</formula>
    </cfRule>
  </conditionalFormatting>
  <conditionalFormatting sqref="X4:X9 X11">
    <cfRule type="expression" dxfId="1409" priority="80">
      <formula>ABS(X$7-X$10)&gt;=1000</formula>
    </cfRule>
  </conditionalFormatting>
  <conditionalFormatting sqref="Y4:Y9 Y11">
    <cfRule type="expression" dxfId="1408" priority="79">
      <formula>ABS(Y$7-Y$10)&gt;=1000</formula>
    </cfRule>
  </conditionalFormatting>
  <conditionalFormatting sqref="Z4:Z11">
    <cfRule type="expression" dxfId="1407" priority="78">
      <formula>ABS(Z$7-Z$10)&gt;=1000</formula>
    </cfRule>
  </conditionalFormatting>
  <conditionalFormatting sqref="AA4:AA11">
    <cfRule type="expression" dxfId="1406" priority="77">
      <formula>ABS(AA$7-AA$10)&gt;=1000</formula>
    </cfRule>
  </conditionalFormatting>
  <conditionalFormatting sqref="AB4:AB11">
    <cfRule type="expression" dxfId="1405" priority="76">
      <formula>ABS(AB$7-AB$10)&gt;=1000</formula>
    </cfRule>
  </conditionalFormatting>
  <conditionalFormatting sqref="AC4 AC6:AC11">
    <cfRule type="expression" dxfId="1404" priority="75">
      <formula>ABS(AC$7-AC$10)&gt;=1000</formula>
    </cfRule>
  </conditionalFormatting>
  <conditionalFormatting sqref="AD4 AD6:AD11">
    <cfRule type="expression" dxfId="1403" priority="74">
      <formula>ABS(AD$7-AD$10)&gt;=1000</formula>
    </cfRule>
  </conditionalFormatting>
  <conditionalFormatting sqref="AE4 AE6:AE11">
    <cfRule type="expression" dxfId="1402" priority="73">
      <formula>ABS(AE$7-AE$10)&gt;=1000</formula>
    </cfRule>
  </conditionalFormatting>
  <conditionalFormatting sqref="D13:D20">
    <cfRule type="expression" dxfId="1401" priority="72">
      <formula>ABS(D$16-D$19)&gt;=1000</formula>
    </cfRule>
  </conditionalFormatting>
  <conditionalFormatting sqref="E13:E20">
    <cfRule type="expression" dxfId="1400" priority="71">
      <formula>ABS(E$16-E$19)&gt;=1000</formula>
    </cfRule>
  </conditionalFormatting>
  <conditionalFormatting sqref="F13 F15:F20">
    <cfRule type="expression" dxfId="1399" priority="70">
      <formula>ABS(F$16-F$19)&gt;=1000</formula>
    </cfRule>
  </conditionalFormatting>
  <conditionalFormatting sqref="G13:G20">
    <cfRule type="expression" dxfId="1398" priority="69">
      <formula>ABS(G$16-G$19)&gt;=1000</formula>
    </cfRule>
  </conditionalFormatting>
  <conditionalFormatting sqref="H13 H15:H20">
    <cfRule type="expression" dxfId="1397" priority="68">
      <formula>ABS(H$16-H$19)&gt;=1000</formula>
    </cfRule>
  </conditionalFormatting>
  <conditionalFormatting sqref="I13:I20">
    <cfRule type="expression" dxfId="1396" priority="67">
      <formula>ABS(I$16-I$19)&gt;=1000</formula>
    </cfRule>
  </conditionalFormatting>
  <conditionalFormatting sqref="J13:J20">
    <cfRule type="expression" dxfId="1395" priority="66">
      <formula>ABS(J$16-J$19)&gt;=1000</formula>
    </cfRule>
  </conditionalFormatting>
  <conditionalFormatting sqref="L13:L20">
    <cfRule type="expression" dxfId="1394" priority="65">
      <formula>ABS(L$16-L$19)&gt;=1000</formula>
    </cfRule>
  </conditionalFormatting>
  <conditionalFormatting sqref="M13 M15 M17:M18 M20">
    <cfRule type="expression" dxfId="1393" priority="64">
      <formula>ABS(M$16-M$19)&gt;=1000</formula>
    </cfRule>
  </conditionalFormatting>
  <conditionalFormatting sqref="N13:N20">
    <cfRule type="expression" dxfId="1392" priority="63">
      <formula>ABS(N$16-N$19)&gt;=1000</formula>
    </cfRule>
  </conditionalFormatting>
  <conditionalFormatting sqref="O13:O20">
    <cfRule type="expression" dxfId="1391" priority="62">
      <formula>ABS(O$16-O$19)&gt;=1000</formula>
    </cfRule>
  </conditionalFormatting>
  <conditionalFormatting sqref="P13:P20">
    <cfRule type="expression" dxfId="1390" priority="61">
      <formula>ABS(P$16-P$19)&gt;=1000</formula>
    </cfRule>
  </conditionalFormatting>
  <conditionalFormatting sqref="Q13 Q15:Q20">
    <cfRule type="expression" dxfId="1389" priority="60">
      <formula>ABS(Q$16-Q$19)&gt;=1000</formula>
    </cfRule>
  </conditionalFormatting>
  <conditionalFormatting sqref="R13:R20">
    <cfRule type="expression" dxfId="1388" priority="59">
      <formula>ABS(R$16-R$19)&gt;=1000</formula>
    </cfRule>
  </conditionalFormatting>
  <conditionalFormatting sqref="S13:S20">
    <cfRule type="expression" dxfId="1387" priority="58">
      <formula>ABS(S$16-S$19)&gt;=1000</formula>
    </cfRule>
  </conditionalFormatting>
  <conditionalFormatting sqref="T13:T20">
    <cfRule type="expression" dxfId="1386" priority="57">
      <formula>ABS(T$16-T$19)&gt;=1000</formula>
    </cfRule>
  </conditionalFormatting>
  <conditionalFormatting sqref="U13:U20">
    <cfRule type="expression" dxfId="1385" priority="56">
      <formula>ABS(U$16-U$19)&gt;=1000</formula>
    </cfRule>
  </conditionalFormatting>
  <conditionalFormatting sqref="V13:V20">
    <cfRule type="expression" dxfId="1384" priority="55">
      <formula>ABS(V$16-V$19)&gt;=1000</formula>
    </cfRule>
  </conditionalFormatting>
  <conditionalFormatting sqref="W13 W20 W15:W18">
    <cfRule type="expression" dxfId="1383" priority="54">
      <formula>ABS(W$16-W$19)&gt;=1000</formula>
    </cfRule>
  </conditionalFormatting>
  <conditionalFormatting sqref="X13 X15:X20 Y19">
    <cfRule type="expression" dxfId="1382" priority="53">
      <formula>ABS(X$16-X$19)&gt;=1000</formula>
    </cfRule>
  </conditionalFormatting>
  <conditionalFormatting sqref="Y13 Y15:Y18 Y20">
    <cfRule type="expression" dxfId="1381" priority="52">
      <formula>ABS(Y$16-Y$19)&gt;=1000</formula>
    </cfRule>
  </conditionalFormatting>
  <conditionalFormatting sqref="Z13:Z20">
    <cfRule type="expression" dxfId="1380" priority="51">
      <formula>ABS(Z$16-Z$19)&gt;=1000</formula>
    </cfRule>
  </conditionalFormatting>
  <conditionalFormatting sqref="AA13:AA20">
    <cfRule type="expression" dxfId="1379" priority="50">
      <formula>ABS(AA$16-AA$19)&gt;=1000</formula>
    </cfRule>
  </conditionalFormatting>
  <conditionalFormatting sqref="AB13 AB15:AB20">
    <cfRule type="expression" dxfId="1378" priority="49">
      <formula>ABS(AB$16-AB$19)&gt;=1000</formula>
    </cfRule>
  </conditionalFormatting>
  <conditionalFormatting sqref="AC13 AC15:AC20">
    <cfRule type="expression" dxfId="1377" priority="48">
      <formula>ABS(AC$16-AC$19)&gt;=1000</formula>
    </cfRule>
  </conditionalFormatting>
  <conditionalFormatting sqref="AD13:AD20">
    <cfRule type="expression" dxfId="1376" priority="47">
      <formula>ABS(AD$16-AD$19)&gt;=1000</formula>
    </cfRule>
  </conditionalFormatting>
  <conditionalFormatting sqref="AE13:AE20">
    <cfRule type="expression" dxfId="1375" priority="46">
      <formula>ABS(AE$16-AE$19)&gt;=1000</formula>
    </cfRule>
  </conditionalFormatting>
  <conditionalFormatting sqref="D22:D29">
    <cfRule type="expression" dxfId="1374" priority="45">
      <formula>ABS(D$25-D$28)&gt;=1000</formula>
    </cfRule>
  </conditionalFormatting>
  <conditionalFormatting sqref="E22:E29">
    <cfRule type="expression" dxfId="1373" priority="44">
      <formula>ABS(E$25-E$28)&gt;=1000</formula>
    </cfRule>
  </conditionalFormatting>
  <conditionalFormatting sqref="F22:F29">
    <cfRule type="expression" dxfId="1372" priority="43">
      <formula>ABS(F$25-F$28)&gt;=1000</formula>
    </cfRule>
  </conditionalFormatting>
  <conditionalFormatting sqref="G22:G29">
    <cfRule type="expression" dxfId="1371" priority="42">
      <formula>ABS(G$25-G$28)&gt;=1000</formula>
    </cfRule>
  </conditionalFormatting>
  <conditionalFormatting sqref="H22:H29">
    <cfRule type="expression" dxfId="1370" priority="41">
      <formula>ABS(H$25-H$28)&gt;=1000</formula>
    </cfRule>
  </conditionalFormatting>
  <conditionalFormatting sqref="I22 I24:I29">
    <cfRule type="expression" dxfId="1369" priority="40">
      <formula>ABS(I$25-I$28)&gt;=1000</formula>
    </cfRule>
  </conditionalFormatting>
  <conditionalFormatting sqref="J22:J29 K22">
    <cfRule type="expression" dxfId="1368" priority="39">
      <formula>ABS(J$25-J$28)&gt;=1000</formula>
    </cfRule>
  </conditionalFormatting>
  <conditionalFormatting sqref="K23:K29 L25 L28">
    <cfRule type="expression" dxfId="1367" priority="38">
      <formula>ABS(K$25-K$28)&gt;=1000</formula>
    </cfRule>
  </conditionalFormatting>
  <conditionalFormatting sqref="L22 L26:L27 L29 L24">
    <cfRule type="expression" dxfId="1366" priority="37">
      <formula>ABS(L$25-L$28)&gt;=1000</formula>
    </cfRule>
  </conditionalFormatting>
  <conditionalFormatting sqref="M22:M29">
    <cfRule type="expression" dxfId="1365" priority="36">
      <formula>ABS(M$25-M$28)&gt;=1000</formula>
    </cfRule>
  </conditionalFormatting>
  <conditionalFormatting sqref="N22:N29">
    <cfRule type="expression" dxfId="1364" priority="35">
      <formula>ABS(N$25-N$28)&gt;=1000</formula>
    </cfRule>
  </conditionalFormatting>
  <conditionalFormatting sqref="O22:O29">
    <cfRule type="expression" dxfId="1363" priority="34">
      <formula>ABS(O$25-O$28)&gt;=1000</formula>
    </cfRule>
  </conditionalFormatting>
  <conditionalFormatting sqref="P22:P29">
    <cfRule type="expression" dxfId="1362" priority="33">
      <formula>ABS(P$25-P$28)&gt;=1000</formula>
    </cfRule>
  </conditionalFormatting>
  <conditionalFormatting sqref="Q22:Q29">
    <cfRule type="expression" dxfId="1361" priority="32">
      <formula>ABS(Q$25-Q$28)&gt;=1000</formula>
    </cfRule>
  </conditionalFormatting>
  <conditionalFormatting sqref="R22:R29">
    <cfRule type="expression" dxfId="1360" priority="31">
      <formula>ABS(R$25-R$28)&gt;=1000</formula>
    </cfRule>
  </conditionalFormatting>
  <conditionalFormatting sqref="S22:S29">
    <cfRule type="expression" dxfId="1359" priority="30">
      <formula>ABS(S$25-S$28)&gt;=1000</formula>
    </cfRule>
  </conditionalFormatting>
  <conditionalFormatting sqref="T22:T29">
    <cfRule type="expression" dxfId="1358" priority="29">
      <formula>ABS(T$25-T$28)&gt;=1000</formula>
    </cfRule>
  </conditionalFormatting>
  <conditionalFormatting sqref="U22:U29">
    <cfRule type="expression" dxfId="1357" priority="28">
      <formula>ABS(U$25-U$28)&gt;=1000</formula>
    </cfRule>
  </conditionalFormatting>
  <conditionalFormatting sqref="V22:V29">
    <cfRule type="expression" dxfId="1356" priority="27">
      <formula>ABS(V$25-V$28)&gt;=1000</formula>
    </cfRule>
  </conditionalFormatting>
  <conditionalFormatting sqref="W22:W29">
    <cfRule type="expression" dxfId="1355" priority="26">
      <formula>ABS(W$25-W$28)&gt;=1000</formula>
    </cfRule>
  </conditionalFormatting>
  <conditionalFormatting sqref="X22:X29">
    <cfRule type="expression" dxfId="1354" priority="25">
      <formula>ABS(X$25-X$28)&gt;=1000</formula>
    </cfRule>
  </conditionalFormatting>
  <conditionalFormatting sqref="Y22:Y29">
    <cfRule type="expression" dxfId="1353" priority="24">
      <formula>ABS(Y$25-Y$28)&gt;=1000</formula>
    </cfRule>
  </conditionalFormatting>
  <conditionalFormatting sqref="I23">
    <cfRule type="expression" dxfId="1352" priority="23">
      <formula>ABS(I$25-I$28)&gt;=1000</formula>
    </cfRule>
  </conditionalFormatting>
  <conditionalFormatting sqref="Q14">
    <cfRule type="expression" dxfId="1351" priority="22">
      <formula>ABS(Q$16-Q$19)&gt;=1000</formula>
    </cfRule>
  </conditionalFormatting>
  <conditionalFormatting sqref="W14">
    <cfRule type="expression" dxfId="1350" priority="21">
      <formula>ABS(W$16-W$19)&gt;=1000</formula>
    </cfRule>
  </conditionalFormatting>
  <conditionalFormatting sqref="X14">
    <cfRule type="expression" dxfId="1349" priority="20">
      <formula>ABS(X$16-X$19)&gt;=1000</formula>
    </cfRule>
  </conditionalFormatting>
  <conditionalFormatting sqref="T10:Y10">
    <cfRule type="expression" dxfId="1348" priority="19">
      <formula>ABS(T$7-T$10)&gt;=1000</formula>
    </cfRule>
  </conditionalFormatting>
  <conditionalFormatting sqref="W19">
    <cfRule type="expression" dxfId="1347" priority="18">
      <formula>ABS(W$16-W$19)&gt;=1000</formula>
    </cfRule>
  </conditionalFormatting>
  <conditionalFormatting sqref="AC5">
    <cfRule type="expression" dxfId="1346" priority="17">
      <formula>ABS(AC$7-AC$10)&gt;=1000</formula>
    </cfRule>
  </conditionalFormatting>
  <conditionalFormatting sqref="M14">
    <cfRule type="expression" dxfId="1345" priority="16">
      <formula>ABS(M$16-M$19)&gt;=1000</formula>
    </cfRule>
  </conditionalFormatting>
  <conditionalFormatting sqref="M16">
    <cfRule type="expression" dxfId="1344" priority="15">
      <formula>ABS(M$16-M$19)&gt;=1000</formula>
    </cfRule>
  </conditionalFormatting>
  <conditionalFormatting sqref="M19">
    <cfRule type="expression" dxfId="1343" priority="14">
      <formula>ABS(M$16-M$19)&gt;=1000</formula>
    </cfRule>
  </conditionalFormatting>
  <conditionalFormatting sqref="K13:K20">
    <cfRule type="expression" dxfId="1342" priority="13">
      <formula>ABS(K$16-K$19)&gt;=1000</formula>
    </cfRule>
  </conditionalFormatting>
  <conditionalFormatting sqref="E5">
    <cfRule type="expression" dxfId="1341" priority="12">
      <formula>ABS(E$7-E$10)&gt;=1000</formula>
    </cfRule>
  </conditionalFormatting>
  <conditionalFormatting sqref="AB14:AC14">
    <cfRule type="expression" dxfId="1340" priority="11">
      <formula>ABS(AB$16-AB$19)&gt;=1000</formula>
    </cfRule>
  </conditionalFormatting>
  <conditionalFormatting sqref="M5">
    <cfRule type="expression" dxfId="1339" priority="10">
      <formula>ABS(M$7-M$10)&gt;=1000</formula>
    </cfRule>
  </conditionalFormatting>
  <conditionalFormatting sqref="N5">
    <cfRule type="expression" dxfId="1338" priority="9">
      <formula>ABS(N$7-N$10)&gt;=1000</formula>
    </cfRule>
  </conditionalFormatting>
  <conditionalFormatting sqref="O5">
    <cfRule type="expression" dxfId="1337" priority="8">
      <formula>ABS(O$7-O$10)&gt;=1000</formula>
    </cfRule>
  </conditionalFormatting>
  <conditionalFormatting sqref="P5">
    <cfRule type="expression" dxfId="1336" priority="7">
      <formula>ABS(P$7-P$10)&gt;=1000</formula>
    </cfRule>
  </conditionalFormatting>
  <conditionalFormatting sqref="L23">
    <cfRule type="expression" dxfId="1335" priority="6">
      <formula>ABS(L$25-L$28)&gt;=1000</formula>
    </cfRule>
  </conditionalFormatting>
  <conditionalFormatting sqref="Y14">
    <cfRule type="expression" dxfId="1334" priority="5">
      <formula>ABS(Y$16-Y$19)&gt;=1000</formula>
    </cfRule>
  </conditionalFormatting>
  <conditionalFormatting sqref="F14">
    <cfRule type="expression" dxfId="1333" priority="4">
      <formula>ABS(F$16-F$19)&gt;=1000</formula>
    </cfRule>
  </conditionalFormatting>
  <conditionalFormatting sqref="H14">
    <cfRule type="expression" dxfId="1332" priority="3">
      <formula>ABS(H$16-H$19)&gt;=1000</formula>
    </cfRule>
  </conditionalFormatting>
  <conditionalFormatting sqref="AD5">
    <cfRule type="expression" dxfId="1331" priority="2">
      <formula>ABS(AD$7-AD$10)&gt;=1000</formula>
    </cfRule>
  </conditionalFormatting>
  <conditionalFormatting sqref="AE5">
    <cfRule type="expression" dxfId="13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2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7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46099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3627</v>
      </c>
      <c r="E6" s="71">
        <v>821</v>
      </c>
      <c r="F6" s="71">
        <v>4699</v>
      </c>
      <c r="G6" s="71">
        <v>5892</v>
      </c>
      <c r="H6" s="71">
        <v>1560</v>
      </c>
      <c r="I6" s="71">
        <v>53.3</v>
      </c>
      <c r="J6" s="71">
        <v>6.57</v>
      </c>
      <c r="K6" s="71">
        <v>61.96</v>
      </c>
      <c r="L6" s="71">
        <v>7.87</v>
      </c>
      <c r="M6" s="71">
        <v>1422</v>
      </c>
      <c r="N6" s="71">
        <v>1537</v>
      </c>
      <c r="O6" s="71">
        <v>2878</v>
      </c>
      <c r="P6" s="71">
        <v>4516</v>
      </c>
      <c r="Q6" s="71">
        <v>0</v>
      </c>
      <c r="R6" s="71">
        <v>0</v>
      </c>
      <c r="S6" s="71">
        <v>0</v>
      </c>
      <c r="T6" s="71">
        <v>7099</v>
      </c>
      <c r="U6" s="71">
        <v>7015</v>
      </c>
      <c r="V6" s="71">
        <v>296</v>
      </c>
      <c r="W6" s="71">
        <v>0</v>
      </c>
      <c r="X6" s="71">
        <v>0</v>
      </c>
      <c r="Y6" s="71">
        <v>1</v>
      </c>
      <c r="Z6" s="71">
        <v>5868</v>
      </c>
      <c r="AA6" s="71">
        <v>4232</v>
      </c>
      <c r="AB6" s="71">
        <v>3624</v>
      </c>
      <c r="AC6" s="71">
        <v>4055</v>
      </c>
      <c r="AD6" s="71">
        <v>4780</v>
      </c>
      <c r="AE6" s="71">
        <v>4671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114382.73875157999</v>
      </c>
      <c r="E7" s="73" ph="1">
        <f>E6*51.53*LOOKUP(E8,密度!$A$2:$A$50,密度!$B$2:$B$50)</f>
        <v>33303.385536000002</v>
      </c>
      <c r="F7" s="73" ph="1">
        <f>F6*33.183*LOOKUP(F8,密度!$A$2:$A$50,密度!$C$2:$C$50)</f>
        <v>173686.99284629998</v>
      </c>
      <c r="G7" s="73" ph="1">
        <f xml:space="preserve"> (G6+2)*51.53*LOOKUP(G8,密度!$A$2:$A$50,密度!$B$2:$B$50)</f>
        <v>238631.091174</v>
      </c>
      <c r="H7" s="73" ph="1">
        <f>(H6)*51.53*LOOKUP(H8,密度!$A$2:$A$50,密度!$B$2:$B$50)</f>
        <v>63344.798400000007</v>
      </c>
      <c r="I7" s="73" ph="1">
        <f>I6*290.8*1.0267</f>
        <v>15913.480387999998</v>
      </c>
      <c r="J7" s="73" ph="1">
        <f>J6*290.8*0.7892</f>
        <v>1507.8107952000003</v>
      </c>
      <c r="K7" s="73" ph="1">
        <f>K6*290.8*1.1126</f>
        <v>20046.791196800001</v>
      </c>
      <c r="L7" s="73" ph="1">
        <f>L6*290.8*0.777</f>
        <v>1778.239092</v>
      </c>
      <c r="M7" s="73" ph="1">
        <f>M6*33.183*LOOKUP(M8,密度!$A$2:$A$50,密度!$D$2:$D$50)</f>
        <v>48748.090080599999</v>
      </c>
      <c r="N7" s="73" ph="1">
        <f>N6*33.183*LOOKUP(N8,密度!$A$2:$A$50,密度!$E$2:$E$50)</f>
        <v>40250.992273199998</v>
      </c>
      <c r="O7" s="73" ph="1">
        <f>O6*20.428*LOOKUP(O8,密度!$A$2:$A$50,密度!$C$2:$C$50)</f>
        <v>65194.209277599999</v>
      </c>
      <c r="P7" s="73" ph="1">
        <f>P6*51.53*LOOKUP(P8,密度!$A$2:$A$50,密度!$B$2:$B$50)</f>
        <v>182839.83843599999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47570.631847199998</v>
      </c>
      <c r="U7" s="73" ph="1">
        <f>U6*1.5*1.5*3.1416*LOOKUP(U8,密度!$A$2:$A$50,密度!$L$2:$L$50)</f>
        <v>46710.227717999995</v>
      </c>
      <c r="V7" s="73" ph="1">
        <f>V6*1.5*1.5*3.1416*LOOKUP(V8,密度!$A$2:$A$50,密度!$L$2:$L$50)</f>
        <v>1962.5826528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6.6798269999999995</v>
      </c>
      <c r="Z7" s="73" ph="1">
        <f>Z6*33.183*LOOKUP(Z8,密度!$A$2:$A$50,密度!$L$2:$L$50)</f>
        <v>184592.51611200001</v>
      </c>
      <c r="AA7" s="73" ph="1">
        <f>AA6*33.183*LOOKUP(AA8,密度!$A$2:$A$50,密度!$D$2:$D$50)</f>
        <v>145078.70409359998</v>
      </c>
      <c r="AB7" s="73" ph="1">
        <f>AB6*20.428*LOOKUP(AB8,密度!$A$2:$A$50,密度!$D$2:$D$50)</f>
        <v>76925.6869152</v>
      </c>
      <c r="AC7" s="73" ph="1">
        <f>AC6*51.53*LOOKUP(AC8,密度!$A$2:$A$50,密度!$Q$2:$Q$50)</f>
        <v>199258.67744</v>
      </c>
      <c r="AD7" s="73" ph="1">
        <f>AD6*20.428*LOOKUP(AD8,密度!$A$2:$A$50,密度!$V$2:$V$50)</f>
        <v>94130.589760000003</v>
      </c>
      <c r="AE7" s="73" ph="1">
        <f>AE6*20.428</f>
        <v>95419.188000000009</v>
      </c>
    </row>
    <row r="8" spans="1:99" ph="1">
      <c r="B8" s="238" ph="1"/>
      <c r="C8" s="68" t="s" ph="1">
        <v>179</v>
      </c>
      <c r="D8" s="74">
        <v>20</v>
      </c>
      <c r="E8" s="74">
        <v>16</v>
      </c>
      <c r="F8" s="74">
        <v>18</v>
      </c>
      <c r="G8" s="74">
        <v>18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25</v>
      </c>
      <c r="P8" s="74">
        <v>18</v>
      </c>
      <c r="Q8" s="74">
        <v>19</v>
      </c>
      <c r="R8" s="74">
        <v>24</v>
      </c>
      <c r="S8" s="74">
        <v>14</v>
      </c>
      <c r="T8" s="74">
        <v>14</v>
      </c>
      <c r="U8" s="74">
        <v>20</v>
      </c>
      <c r="V8" s="74">
        <v>24</v>
      </c>
      <c r="W8" s="74">
        <v>17</v>
      </c>
      <c r="X8" s="74">
        <v>9</v>
      </c>
      <c r="Y8" s="74">
        <v>17</v>
      </c>
      <c r="Z8" s="74">
        <v>14</v>
      </c>
      <c r="AA8" s="74">
        <v>18</v>
      </c>
      <c r="AB8" s="74">
        <v>11</v>
      </c>
      <c r="AC8" s="74">
        <v>16</v>
      </c>
      <c r="AD8" s="74">
        <v>12</v>
      </c>
      <c r="AE8" s="74">
        <v>22</v>
      </c>
    </row>
    <row r="9" spans="1:99" ht="26.4" ph="1">
      <c r="B9" s="238" ph="1">
        <v>0.66666666666666663</v>
      </c>
      <c r="C9" s="156" t="s" ph="1">
        <v>180</v>
      </c>
      <c r="D9" s="71">
        <v>3628</v>
      </c>
      <c r="E9" s="71">
        <v>817</v>
      </c>
      <c r="F9" s="71">
        <v>5520</v>
      </c>
      <c r="G9" s="71">
        <v>6768</v>
      </c>
      <c r="H9" s="71">
        <v>1993</v>
      </c>
      <c r="I9" s="71">
        <v>53.37</v>
      </c>
      <c r="J9" s="71">
        <v>6.61</v>
      </c>
      <c r="K9" s="71">
        <v>62.26</v>
      </c>
      <c r="L9" s="71">
        <v>7.81</v>
      </c>
      <c r="M9" s="71">
        <v>1093</v>
      </c>
      <c r="N9" s="71">
        <v>1499</v>
      </c>
      <c r="O9" s="71">
        <v>2154</v>
      </c>
      <c r="P9" s="71">
        <v>3879</v>
      </c>
      <c r="Q9" s="71">
        <v>2</v>
      </c>
      <c r="R9" s="71">
        <v>0</v>
      </c>
      <c r="S9" s="71">
        <v>0</v>
      </c>
      <c r="T9" s="71">
        <v>7111</v>
      </c>
      <c r="U9" s="71">
        <v>7027</v>
      </c>
      <c r="V9" s="71">
        <v>5931</v>
      </c>
      <c r="W9" s="71">
        <v>4370</v>
      </c>
      <c r="X9" s="71">
        <v>0</v>
      </c>
      <c r="Y9" s="71">
        <v>0</v>
      </c>
      <c r="Z9" s="71">
        <v>5871</v>
      </c>
      <c r="AA9" s="71">
        <v>4238</v>
      </c>
      <c r="AB9" s="71">
        <v>3415</v>
      </c>
      <c r="AC9" s="71">
        <v>4055</v>
      </c>
      <c r="AD9" s="71">
        <v>4780</v>
      </c>
      <c r="AE9" s="71">
        <v>4509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114151.82953680001</v>
      </c>
      <c r="E10" s="73" ph="1">
        <f>E9*51.53*LOOKUP(E11,密度!$A$2:$A$50,密度!$B$2:$B$50)</f>
        <v>32783.277786999999</v>
      </c>
      <c r="F10" s="73" ph="1">
        <f>F9*33.183*LOOKUP(F11,密度!$A$2:$A$50,密度!$C$2:$C$50)</f>
        <v>203520.364776</v>
      </c>
      <c r="G10" s="73" ph="1">
        <f xml:space="preserve"> (G9+2)*51.53*LOOKUP(G11,密度!$A$2:$A$50,密度!$B$2:$B$50)</f>
        <v>272911.69163000002</v>
      </c>
      <c r="H10" s="73" ph="1">
        <f>(H9)*51.53*LOOKUP(H11,密度!$A$2:$A$50,密度!$B$2:$B$50)</f>
        <v>80341.654567000005</v>
      </c>
      <c r="I10" s="73" ph="1">
        <f>I9*290.8*1.0267</f>
        <v>15934.379893199999</v>
      </c>
      <c r="J10" s="73" ph="1">
        <f>J9*290.8*0.7892</f>
        <v>1516.9907696</v>
      </c>
      <c r="K10" s="73" ph="1">
        <f>K9*290.8*1.1126</f>
        <v>20143.854420799998</v>
      </c>
      <c r="L10" s="73" ph="1">
        <f>L9*290.8*0.777</f>
        <v>1764.6819960000003</v>
      </c>
      <c r="M10" s="73" ph="1">
        <f>M9*33.183*LOOKUP(M11,密度!$A$2:$A$50,密度!$D$2:$D$50)</f>
        <v>37237.401807299997</v>
      </c>
      <c r="N10" s="73" ph="1">
        <f>N9*33.183*LOOKUP(N11,密度!$A$2:$A$50,密度!$E$2:$E$50)</f>
        <v>39076.778635200004</v>
      </c>
      <c r="O10" s="73" ph="1">
        <f>O9*20.428*LOOKUP(O11,密度!$A$2:$A$50,密度!$C$2:$C$50)</f>
        <v>48626.512951200006</v>
      </c>
      <c r="P10" s="73" ph="1">
        <f>P9*51.53*LOOKUP(P11,密度!$A$2:$A$50,密度!$B$2:$B$50)</f>
        <v>155490.44037299999</v>
      </c>
      <c r="Q10" s="73" ph="1">
        <f>Q9*1.5*1.5*3.1416*LOOKUP(W11,密度!$A$2:$A$50,密度!$L$2:$L$50)</f>
        <v>13.288967999999999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47500.249796999997</v>
      </c>
      <c r="U10" s="73" ph="1">
        <f>U9*1.5*1.5*3.1416*LOOKUP(U11,密度!$A$2:$A$50,密度!$L$2:$L$50)</f>
        <v>46790.131172399997</v>
      </c>
      <c r="V10" s="73" ph="1">
        <f>V9*1.5*1.5*3.1416*LOOKUP(V11,密度!$A$2:$A$50,密度!$L$2:$L$50)</f>
        <v>39198.815271000007</v>
      </c>
      <c r="W10" s="73" ph="1">
        <f>W9*1.5*1.5*3.1416*LOOKUP(W11,密度!$A$2:$A$50,密度!$L$2:$L$50)</f>
        <v>29036.395079999998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183517.98420599999</v>
      </c>
      <c r="AA10" s="73" ph="1">
        <f>AA9*33.183*LOOKUP(AA11,密度!$A$2:$A$50,密度!$D$2:$D$50)</f>
        <v>144510.92969040002</v>
      </c>
      <c r="AB10" s="73" ph="1">
        <f>AB9*20.428*LOOKUP(AB11,密度!$A$2:$A$50,密度!$D$2:$D$50)</f>
        <v>72189.324376000004</v>
      </c>
      <c r="AC10" s="73" ph="1">
        <f>AC9*51.53*LOOKUP(AC11,密度!$A$2:$A$50,密度!$Q$2:$Q$50)</f>
        <v>197977.7885005</v>
      </c>
      <c r="AD10" s="73" ph="1">
        <f>AD9*20.428*LOOKUP(AD11,密度!$A$2:$A$50,密度!$V$2:$V$50)</f>
        <v>93818.123072000002</v>
      </c>
      <c r="AE10" s="73" ph="1">
        <f>AE9*20.428</f>
        <v>92109.851999999999</v>
      </c>
    </row>
    <row r="11" spans="1:99" ph="1">
      <c r="A11" s="64" t="s" ph="1">
        <v>162</v>
      </c>
      <c r="B11" s="238" ph="1"/>
      <c r="C11" s="156" t="s" ph="1">
        <v>179</v>
      </c>
      <c r="D11" s="74">
        <v>23</v>
      </c>
      <c r="E11" s="74">
        <v>26</v>
      </c>
      <c r="F11" s="74">
        <v>22</v>
      </c>
      <c r="G11" s="74">
        <v>22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23</v>
      </c>
      <c r="O11" s="74">
        <v>30</v>
      </c>
      <c r="P11" s="74">
        <v>27</v>
      </c>
      <c r="Q11" s="74">
        <v>36</v>
      </c>
      <c r="R11" s="74">
        <v>31</v>
      </c>
      <c r="S11" s="74">
        <v>22</v>
      </c>
      <c r="T11" s="74">
        <v>17</v>
      </c>
      <c r="U11" s="74">
        <v>20</v>
      </c>
      <c r="V11" s="74">
        <v>27</v>
      </c>
      <c r="W11" s="74">
        <v>22</v>
      </c>
      <c r="X11" s="74">
        <v>23</v>
      </c>
      <c r="Y11" s="74">
        <v>29</v>
      </c>
      <c r="Z11" s="74">
        <v>20</v>
      </c>
      <c r="AA11" s="74">
        <v>24</v>
      </c>
      <c r="AB11" s="74">
        <v>16</v>
      </c>
      <c r="AC11" s="74">
        <v>24</v>
      </c>
      <c r="AD11" s="74">
        <v>22</v>
      </c>
      <c r="AE11" s="74">
        <v>25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5054</v>
      </c>
      <c r="E15" s="78">
        <v>3532</v>
      </c>
      <c r="F15" s="78">
        <v>5042</v>
      </c>
      <c r="G15" s="78">
        <v>1792</v>
      </c>
      <c r="H15" s="78">
        <v>0</v>
      </c>
      <c r="I15" s="78">
        <v>226</v>
      </c>
      <c r="J15" s="78">
        <v>413</v>
      </c>
      <c r="K15" s="78">
        <v>3579</v>
      </c>
      <c r="L15" s="78">
        <v>3709</v>
      </c>
      <c r="M15" s="78">
        <v>6703</v>
      </c>
      <c r="N15" s="78">
        <v>455</v>
      </c>
      <c r="O15" s="78">
        <v>4974</v>
      </c>
      <c r="P15" s="78">
        <v>4602</v>
      </c>
      <c r="Q15" s="78">
        <v>1276</v>
      </c>
      <c r="R15" s="78">
        <v>7380</v>
      </c>
      <c r="S15" s="78">
        <v>0</v>
      </c>
      <c r="T15" s="78">
        <v>5043</v>
      </c>
      <c r="U15" s="78">
        <v>2095</v>
      </c>
      <c r="V15" s="78">
        <v>3082</v>
      </c>
      <c r="W15" s="71">
        <v>-172</v>
      </c>
      <c r="X15" s="78">
        <v>90</v>
      </c>
      <c r="Y15" s="106">
        <v>-9900</v>
      </c>
      <c r="Z15" s="78">
        <v>0</v>
      </c>
      <c r="AA15" s="78">
        <v>10</v>
      </c>
      <c r="AB15" s="78" ph="1">
        <v>7141</v>
      </c>
      <c r="AC15" s="78" ph="1">
        <v>7109</v>
      </c>
      <c r="AD15" s="78">
        <v>76.349999999999994</v>
      </c>
      <c r="AE15" s="78">
        <v>84.21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33724.120953600002</v>
      </c>
      <c r="E16" s="73" ph="1">
        <f>E15*7.0686*LOOKUP(E17,密度!$A$2:$A$50,密度!$L$2:$L$50)</f>
        <v>23568.1826688</v>
      </c>
      <c r="F16" s="73" ph="1">
        <f>F15*9.0746*LOOKUP(F17,密度!$A$2:$A$50,密度!$L$2:$L$50)</f>
        <v>42963.131074800003</v>
      </c>
      <c r="G16" s="73" ph="1">
        <f>G15*9.0746*LOOKUP(G17,密度!$A$2:$A$50,密度!$B$2:$B$50)</f>
        <v>12763.795143679999</v>
      </c>
      <c r="H16" s="73" ph="1">
        <f>H15*9.0746*LOOKUP(H17,密度!$A$2:$A$50,密度!$L$2:$L$50)</f>
        <v>0</v>
      </c>
      <c r="I16" s="73" ph="1">
        <f>I15*9.0746*LOOKUP(I17,密度!$A$2:$A$50,密度!$U$2:$U$50)</f>
        <v>2108.2836688000002</v>
      </c>
      <c r="J16" s="73" ph="1">
        <f>J15*9.0746*LOOKUP(J17,密度!$A$2:$A$50,密度!$L$2:$L$50)</f>
        <v>3537.9324511999998</v>
      </c>
      <c r="K16" s="73" ph="1">
        <f>K15*9.0746*LOOKUP(K17,密度!$A$2:$A$50,密度!$C$2:$C$50)</f>
        <v>36177.236848259992</v>
      </c>
      <c r="L16" s="73" ph="1">
        <f>L15*9.0746*LOOKUP(L17,密度!$A$2:$A$50,密度!$E$2:$E$50)</f>
        <v>26599.673513420003</v>
      </c>
      <c r="M16" s="73" ph="1">
        <f>M15*9.0746*LOOKUP(M17,密度!$A$2:$A$50,密度!$M$2:$M$50)</f>
        <v>53546.046657139996</v>
      </c>
      <c r="N16" s="73" ph="1">
        <f>N15*9.0746*LOOKUP(N17,密度!$A$2:$A$50,密度!$M$2:$M$50)</f>
        <v>3634.7085228999999</v>
      </c>
      <c r="O16" s="73" ph="1">
        <f>O15*9.0746*LOOKUP(O17,密度!$A$2:$A$50,密度!$G$2:$G$50)</f>
        <v>43597.886640360004</v>
      </c>
      <c r="P16" s="73" ph="1">
        <f ca="1">P15*9.0746*LOOKUP(P17,密度!$A$2:$A$51,密度!$Q$2:$Q$50)</f>
        <v>39689.113037496005</v>
      </c>
      <c r="Q16" s="73" ph="1">
        <f>Q15*9.0746*LOOKUP(Q17,密度!$A$2:$A$50,密度!$Q$2:$Q$50)</f>
        <v>11023.504291096</v>
      </c>
      <c r="R16" s="73" ph="1">
        <f>MAX(R15*9.0746*LOOKUP(R17,密度!$A$2:$A$50,密度!$B$2:$B$50),0)</f>
        <v>52451.333193599996</v>
      </c>
      <c r="S16" s="73" ph="1">
        <f>S15*9.0746*LOOKUP(S17,密度!$A$2:$A$50,密度!$Q$2:$Q$50)</f>
        <v>0</v>
      </c>
      <c r="T16" s="73" ph="1">
        <f>T15*9.0746*LOOKUP(T17,密度!$A$2:$A$50,密度!$O$2:$O$50)</f>
        <v>42559.783254000009</v>
      </c>
      <c r="U16" s="73" ph="1">
        <f>U15*9.0746*LOOKUP(U17,密度!$A$2:$A$50,密度!$H$2:$H$50)</f>
        <v>17560.7258019</v>
      </c>
      <c r="V16" s="73" ph="1">
        <f>MAX(5600*LOOKUP(V17,密度!$A$2:$A$50,密度!$Q$2:$Q$50)+V15*9.0476*LOOKUP(V17,密度!$A$2:$A$50,密度!$Q$2:$Q$50),0)</f>
        <v>31823.192227215997</v>
      </c>
      <c r="W16" s="73" ph="1">
        <f>MAX(5600*LOOKUP(W17,密度!$A$2:$A$50,密度!$Q$2:$Q$50)+W15*9.0476*LOOKUP(W17,密度!$A$2:$A$50,密度!$Q$2:$Q$50),0)</f>
        <v>3846.5960497440001</v>
      </c>
      <c r="X16" s="73" ph="1">
        <f>MAX(5600*LOOKUP(X17,密度!$A$2:$A$50,密度!$I$2:$I$50)+X15*9.0476*LOOKUP(X17,密度!$A$2:$A$50,密度!$I$2:$I$50),0)</f>
        <v>6714.4724912000001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71.43525120000001</v>
      </c>
      <c r="AB16" s="73" ph="1">
        <f>AB15*9.0746*LOOKUP(AB17,密度!$A$2:$A$50,密度!$L$2:$L$50)</f>
        <v>61043.218921199994</v>
      </c>
      <c r="AC16" s="73" ph="1">
        <f>AC15*9.0746*LOOKUP(AC17,密度!$A$2:$A$50,密度!$L$2:$L$50)</f>
        <v>60963.208172999999</v>
      </c>
      <c r="AD16" s="73" ph="1">
        <f>AD15*268.68*LOOKUP(AD17,密度!$A$2:$A$50,密度!B2:B50)+IF(AD15&lt;=0,0,1566*LOOKUP(AD17,密度!$A$2:$A$50,密度!B2:B50))</f>
        <v>17213.348152799997</v>
      </c>
      <c r="AE16" s="73" ph="1">
        <f>AE15*268.68*LOOKUP(AE17,密度!$A$2:$A$50,密度!B2:B50)+IF(AE15&lt;=0,0,1566*LOOKUP(AE17,密度!$A$2:$A$50,密度!B2:B50))</f>
        <v>18859.726766879998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18</v>
      </c>
      <c r="E17" s="74">
        <v>18</v>
      </c>
      <c r="F17" s="74">
        <v>23</v>
      </c>
      <c r="G17" s="74">
        <v>19</v>
      </c>
      <c r="H17" s="74">
        <v>13</v>
      </c>
      <c r="I17" s="74">
        <v>17</v>
      </c>
      <c r="J17" s="74">
        <v>18</v>
      </c>
      <c r="K17" s="74">
        <v>18</v>
      </c>
      <c r="L17" s="74">
        <v>19</v>
      </c>
      <c r="M17" s="74">
        <v>20</v>
      </c>
      <c r="N17" s="74">
        <v>16</v>
      </c>
      <c r="O17" s="74">
        <v>20</v>
      </c>
      <c r="P17" s="74">
        <v>20</v>
      </c>
      <c r="Q17" s="74">
        <v>18</v>
      </c>
      <c r="R17" s="74">
        <v>21</v>
      </c>
      <c r="S17" s="74">
        <v>16</v>
      </c>
      <c r="T17" s="74">
        <v>20</v>
      </c>
      <c r="U17" s="74">
        <v>16</v>
      </c>
      <c r="V17" s="74">
        <v>20</v>
      </c>
      <c r="W17" s="74">
        <v>19</v>
      </c>
      <c r="X17" s="74">
        <v>21</v>
      </c>
      <c r="Y17" s="108">
        <v>21</v>
      </c>
      <c r="Z17" s="74">
        <v>18</v>
      </c>
      <c r="AA17" s="74">
        <v>16</v>
      </c>
      <c r="AB17" s="74">
        <v>20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5069</v>
      </c>
      <c r="E18" s="71">
        <v>4511</v>
      </c>
      <c r="F18" s="71">
        <v>5044</v>
      </c>
      <c r="G18" s="71">
        <v>1794</v>
      </c>
      <c r="H18" s="71">
        <v>0</v>
      </c>
      <c r="I18" s="71">
        <v>225</v>
      </c>
      <c r="J18" s="71">
        <v>413</v>
      </c>
      <c r="K18" s="71">
        <v>3581</v>
      </c>
      <c r="L18" s="71">
        <v>3720</v>
      </c>
      <c r="M18" s="71">
        <v>3772</v>
      </c>
      <c r="N18" s="71">
        <v>452</v>
      </c>
      <c r="O18" s="71">
        <v>4981</v>
      </c>
      <c r="P18" s="71">
        <v>4610</v>
      </c>
      <c r="Q18" s="71">
        <v>1277</v>
      </c>
      <c r="R18" s="71">
        <v>7395</v>
      </c>
      <c r="S18" s="71">
        <v>0</v>
      </c>
      <c r="T18" s="71">
        <v>5051</v>
      </c>
      <c r="U18" s="71">
        <v>2094</v>
      </c>
      <c r="V18" s="71">
        <v>3084</v>
      </c>
      <c r="W18" s="71">
        <v>-172</v>
      </c>
      <c r="X18" s="71">
        <v>90</v>
      </c>
      <c r="Y18" s="109">
        <v>-9900</v>
      </c>
      <c r="Z18" s="71">
        <v>0</v>
      </c>
      <c r="AA18" s="71">
        <v>8</v>
      </c>
      <c r="AB18" s="71">
        <v>7154</v>
      </c>
      <c r="AC18" s="71">
        <v>7119</v>
      </c>
      <c r="AD18" s="71">
        <v>76.459999999999994</v>
      </c>
      <c r="AE18" s="71">
        <v>84.35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33215.089861799999</v>
      </c>
      <c r="E19" s="73" ph="1">
        <f>E18*7.0686*LOOKUP(E20,密度!$A$2:$A$50,密度!$L$2:$L$50)</f>
        <v>29558.743414200002</v>
      </c>
      <c r="F19" s="73" ph="1">
        <f>F18*9.0746*LOOKUP(F20,密度!$A$2:$A$50,密度!$L$2:$L$50)</f>
        <v>42705.539479200008</v>
      </c>
      <c r="G19" s="73" ph="1">
        <f>G18*9.0746*LOOKUP(G20,密度!$A$2:$A$50,密度!$B$2:$B$50)</f>
        <v>12735.712886520001</v>
      </c>
      <c r="H19" s="73" ph="1">
        <f>H18*9.0746*LOOKUP(H20,密度!$A$2:$A$50,密度!$L$2:$L$50)</f>
        <v>0</v>
      </c>
      <c r="I19" s="73" ph="1">
        <f>I18*9.0746*LOOKUP(I20,密度!$A$2:$A$50,密度!$U$2:$U$50)</f>
        <v>2086.7042700000002</v>
      </c>
      <c r="J19" s="73" ph="1">
        <f>J18*9.0746*LOOKUP(J20,密度!$A$2:$A$50,密度!$L$2:$L$50)</f>
        <v>3496.7065434000001</v>
      </c>
      <c r="K19" s="73" ph="1">
        <f>K18*9.0746*LOOKUP(K20,密度!$A$2:$A$50,密度!$C$2:$C$50)</f>
        <v>36083.71674304</v>
      </c>
      <c r="L19" s="73" ph="1">
        <f>L18*9.0746*LOOKUP(L20,密度!$A$2:$A$50,密度!$E$2:$E$50)</f>
        <v>26560.410441600005</v>
      </c>
      <c r="M19" s="73" ph="1">
        <f>M18*9.0746*LOOKUP(M20,密度!$A$2:$A$50,密度!$M$2:$M$50)</f>
        <v>29919.910847919997</v>
      </c>
      <c r="N19" s="73" ph="1">
        <f>N18*9.0746*LOOKUP(N20,密度!$A$2:$A$50,密度!$M$2:$M$50)</f>
        <v>3581.2110335200005</v>
      </c>
      <c r="O19" s="73" ph="1">
        <f>O18*9.0746*LOOKUP(O20,密度!$A$2:$A$50,密度!$G$2:$G$50)</f>
        <v>43446.799995120004</v>
      </c>
      <c r="P19" s="73" ph="1">
        <f ca="1">P18*9.0746*LOOKUP(P20,密度!$A$2:$A$51,密度!$Q$2:$Q$50)</f>
        <v>39605.832166440006</v>
      </c>
      <c r="Q19" s="73" ph="1">
        <f>Q18*9.0746*LOOKUP(Q20,密度!$A$2:$A$50,密度!$Q$2:$Q$50)</f>
        <v>10892.273052147999</v>
      </c>
      <c r="R19" s="73" ph="1">
        <f>MAX(R18*9.0746*LOOKUP(R20,密度!$A$2:$A$50,密度!$B$2:$B$50),0)</f>
        <v>52202.276259300001</v>
      </c>
      <c r="S19" s="73" ph="1">
        <f>S18*9.0746*LOOKUP(S20,密度!$A$2:$A$50,密度!$Q$2:$Q$50)</f>
        <v>0</v>
      </c>
      <c r="T19" s="73" ph="1">
        <f>T18*9.0746*LOOKUP(T20,密度!$A$2:$A$50,密度!$O$2:$O$50)</f>
        <v>42443.955059600004</v>
      </c>
      <c r="U19" s="73" ph="1">
        <f>U18*9.0746*LOOKUP(U20,密度!$A$2:$A$50,密度!$H$2:$H$50)</f>
        <v>17459.232753119999</v>
      </c>
      <c r="V19" s="73" ph="1">
        <f>MAX(5600*LOOKUP(V20,密度!$A$2:$A$50,密度!$Q$2:$Q$50)+V18*9.0476*LOOKUP(V20,密度!$A$2:$A$50,密度!$Q$2:$Q$50),0)</f>
        <v>31670.865383487999</v>
      </c>
      <c r="W19" s="73" ph="1">
        <f>MAX(5600*LOOKUP(W20,密度!$A$2:$A$50,密度!$Q$2:$Q$50)+W18*9.0476*LOOKUP(W20,密度!$A$2:$A$50,密度!$Q$2:$Q$50),0)</f>
        <v>3819.8664471360007</v>
      </c>
      <c r="X19" s="73" ph="1">
        <f>MAX(5600*LOOKUP(X20,密度!$A$2:$A$50,密度!$I$2:$I$50)+X18*9.0476*LOOKUP(X20,密度!$A$2:$A$50,密度!$I$2:$I$50),0)</f>
        <v>6692.6639256000008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56.407713600000001</v>
      </c>
      <c r="AB19" s="73" ph="1">
        <f>AB18*9.0746*LOOKUP(AB20,密度!$A$2:$A$50,密度!$L$2:$L$50)</f>
        <v>60959.587407599996</v>
      </c>
      <c r="AC19" s="73" ph="1">
        <f>AC18*9.0746*LOOKUP(AC20,密度!$A$2:$A$50,密度!$L$2:$L$50)</f>
        <v>60661.3506786</v>
      </c>
      <c r="AD19" s="73" ph="1">
        <f>AD18*268.68*LOOKUP(AD20,密度!$A$2:$A$50,密度!B5:B53)+IF(AD18&lt;=0,0,1566*LOOKUP(AD20,密度!$A$2:$A$50,密度!B5:B53))</f>
        <v>17178.904965599999</v>
      </c>
      <c r="AE19" s="73" ph="1">
        <f>AE18*268.68*LOOKUP(AE20,密度!$A$2:$A$50,密度!B5:B53)+IF(AE18&lt;=0,0,1566*LOOKUP(AE20,密度!$A$2:$A$50,密度!B5:B53))</f>
        <v>18826.055765999998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35</v>
      </c>
      <c r="E20" s="81">
        <v>35</v>
      </c>
      <c r="F20" s="81">
        <v>29</v>
      </c>
      <c r="G20" s="81">
        <v>22</v>
      </c>
      <c r="H20" s="81">
        <v>23</v>
      </c>
      <c r="I20" s="81">
        <v>28</v>
      </c>
      <c r="J20" s="81">
        <v>29</v>
      </c>
      <c r="K20" s="81">
        <v>23</v>
      </c>
      <c r="L20" s="81">
        <v>22</v>
      </c>
      <c r="M20" s="81">
        <v>26</v>
      </c>
      <c r="N20" s="81">
        <v>27</v>
      </c>
      <c r="O20" s="81">
        <v>24</v>
      </c>
      <c r="P20" s="81">
        <v>25</v>
      </c>
      <c r="Q20" s="81">
        <v>35</v>
      </c>
      <c r="R20" s="81">
        <v>27</v>
      </c>
      <c r="S20" s="81">
        <v>33</v>
      </c>
      <c r="T20" s="81">
        <v>26</v>
      </c>
      <c r="U20" s="81">
        <v>21</v>
      </c>
      <c r="V20" s="81">
        <v>27</v>
      </c>
      <c r="W20" s="81">
        <v>28</v>
      </c>
      <c r="X20" s="81">
        <v>24</v>
      </c>
      <c r="Y20" s="110">
        <v>24</v>
      </c>
      <c r="Z20" s="81">
        <v>38</v>
      </c>
      <c r="AA20" s="81">
        <v>28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647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4.41</v>
      </c>
      <c r="E24" s="71">
        <v>5.41</v>
      </c>
      <c r="F24" s="71">
        <v>2521</v>
      </c>
      <c r="G24" s="71">
        <v>1627</v>
      </c>
      <c r="H24" s="71">
        <v>1292</v>
      </c>
      <c r="I24" s="71">
        <v>453</v>
      </c>
      <c r="J24" s="71">
        <v>332</v>
      </c>
      <c r="K24" s="71">
        <v>5003</v>
      </c>
      <c r="L24" s="71">
        <v>468</v>
      </c>
      <c r="M24" s="71">
        <v>5296</v>
      </c>
      <c r="N24" s="71">
        <v>446</v>
      </c>
      <c r="O24" s="71">
        <v>5724</v>
      </c>
      <c r="P24" s="71">
        <v>360</v>
      </c>
      <c r="Q24" s="90">
        <v>2103</v>
      </c>
      <c r="R24" s="71">
        <v>3626</v>
      </c>
      <c r="S24" s="71">
        <v>4307</v>
      </c>
      <c r="T24" s="71">
        <v>216</v>
      </c>
      <c r="U24" s="71">
        <v>1890</v>
      </c>
      <c r="V24" s="71">
        <v>8343</v>
      </c>
      <c r="W24" s="71">
        <v>7233</v>
      </c>
      <c r="X24" s="71">
        <v>7550</v>
      </c>
      <c r="Y24" s="71">
        <v>3160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2604.366995112</v>
      </c>
      <c r="E25" s="91" ph="1">
        <f>E24*268.68*LOOKUP(E26,密度!$A$2:$A$50,密度!$C$2:$C$50)+IF(E24&lt;=0,0,1566*LOOKUP(E26,密度!$A$2:$A$50,密度!$C$2:$C$50))</f>
        <v>3348.38875332</v>
      </c>
      <c r="F25" s="91" ph="1">
        <f>F24*11.702*LOOKUP(F26,密度!$A$2:$A$50,密度!$Q$2:$Q$50)</f>
        <v>28085.001391419999</v>
      </c>
      <c r="G25" s="91" ph="1">
        <f>G24*18.322*LOOKUP(G26,密度!$A$2:$A$50,密度!$B$2:$B$50)</f>
        <v>23421.633715799999</v>
      </c>
      <c r="H25" s="91" ph="1">
        <f>H24*18.322*LOOKUP(H26,密度!$A$2:$A$50,密度!$B$2:$B$50)</f>
        <v>18580.1716376</v>
      </c>
      <c r="I25" s="91" ph="1">
        <f>I24*18.322*LOOKUP(I26,密度!$A$2:$A$50,密度!$Q$2:$Q$50)</f>
        <v>7901.5554306599997</v>
      </c>
      <c r="J25" s="91" ph="1">
        <f>J24*18.322*LOOKUP(J26,密度!$A$2:$A$50,密度!$Q$2:$Q$50)</f>
        <v>5795.7909311999992</v>
      </c>
      <c r="K25" s="91" ph="1">
        <f>K24*18.322*LOOKUP(K26,密度!$A$2:$A$50,密度!$Q$2:$Q$50)</f>
        <v>87411.711577599999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92376.683357119997</v>
      </c>
      <c r="N25" s="91" ph="1">
        <f>N24*18.322*LOOKUP(N26,密度!$A$2:$A$50,密度!$Q$2:$Q$50)</f>
        <v>7785.9119135999999</v>
      </c>
      <c r="O25" s="91" ph="1">
        <f>O24*18.322*LOOKUP(O26,密度!$A$2:$A$50,密度!$C$2:$C$50)</f>
        <v>116883.330156</v>
      </c>
      <c r="P25" s="91" ph="1">
        <f>P24*11.702*LOOKUP(P26,密度!$A$2:$A$50,密度!$B$2:$B$50)</f>
        <v>3309.9341039999999</v>
      </c>
      <c r="Q25" s="92" ph="1">
        <f>Q24*18.322*LOOKUP(Q26,密度!$A$2:$A$50,密度!$B$2:$B$50)</f>
        <v>30243.1121934</v>
      </c>
      <c r="R25" s="91" ph="1">
        <f>R24*35.891*LOOKUP(R26,密度!$A$2:$A$50,密度!$C$2:$C$50)</f>
        <v>144963.79924739996</v>
      </c>
      <c r="S25" s="91" ph="1">
        <f>S24*35.891*LOOKUP(S26,密度!$A$2:$A$50,密度!$B$2:$B$50)</f>
        <v>121563.70709679999</v>
      </c>
      <c r="T25" s="91" ph="1">
        <f>T24*35.891*LOOKUP(T26,密度!$A$2:$A$50,密度!$Q$2:$Q$50)</f>
        <v>7386.540076799999</v>
      </c>
      <c r="U25" s="91" ph="1">
        <f>U24*35.891</f>
        <v>67833.989999999991</v>
      </c>
      <c r="V25" s="91" ph="1">
        <f>V24*47.051*LOOKUP(V26,密度!$A$2:$A$50,密度!$B$2:$B$50)</f>
        <v>309012.59928960004</v>
      </c>
      <c r="W25" s="91" ph="1">
        <f>W24*47.051*LOOKUP(W26,密度!$A$2:$A$50,密度!$B$2:$B$50)</f>
        <v>267389.33207310003</v>
      </c>
      <c r="X25" s="91" ph="1">
        <f>X24*47.051*LOOKUP(X26,密度!$A$2:$A$61,密度!$I$2:$I$61)</f>
        <v>366282.86005499994</v>
      </c>
      <c r="Y25" s="91" ph="1">
        <f>Y24*47.051*LOOKUP(Y26,密度!$A$2:$A$50,密度!$L$2:$L$50)</f>
        <v>140206.33387999999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19</v>
      </c>
      <c r="I26" s="74">
        <v>18</v>
      </c>
      <c r="J26" s="74">
        <v>17</v>
      </c>
      <c r="K26" s="74">
        <v>16</v>
      </c>
      <c r="L26" s="74">
        <v>17</v>
      </c>
      <c r="M26" s="74">
        <v>18</v>
      </c>
      <c r="N26" s="74">
        <v>17</v>
      </c>
      <c r="O26" s="74">
        <v>17</v>
      </c>
      <c r="P26" s="74">
        <v>18</v>
      </c>
      <c r="Q26" s="93">
        <v>19</v>
      </c>
      <c r="R26" s="74">
        <v>18</v>
      </c>
      <c r="S26" s="74">
        <v>17</v>
      </c>
      <c r="T26" s="74">
        <v>17</v>
      </c>
      <c r="U26" s="74">
        <v>18</v>
      </c>
      <c r="V26" s="74">
        <v>16</v>
      </c>
      <c r="W26" s="74">
        <v>18</v>
      </c>
      <c r="X26" s="74">
        <v>35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4.12</v>
      </c>
      <c r="E27" s="71">
        <v>5.38</v>
      </c>
      <c r="F27" s="71">
        <v>2530</v>
      </c>
      <c r="G27" s="71">
        <v>1608</v>
      </c>
      <c r="H27" s="71">
        <v>1261</v>
      </c>
      <c r="I27" s="71">
        <v>450</v>
      </c>
      <c r="J27" s="71">
        <v>326</v>
      </c>
      <c r="K27" s="71">
        <v>5005</v>
      </c>
      <c r="L27" s="71">
        <v>462</v>
      </c>
      <c r="M27" s="71">
        <v>5299</v>
      </c>
      <c r="N27" s="71">
        <v>2677</v>
      </c>
      <c r="O27" s="71">
        <v>5719</v>
      </c>
      <c r="P27" s="71">
        <v>356</v>
      </c>
      <c r="Q27" s="90">
        <v>2165</v>
      </c>
      <c r="R27" s="71">
        <v>3622</v>
      </c>
      <c r="S27" s="71">
        <v>4305</v>
      </c>
      <c r="T27" s="71">
        <v>213</v>
      </c>
      <c r="U27" s="71">
        <v>1938</v>
      </c>
      <c r="V27" s="71">
        <v>8820</v>
      </c>
      <c r="W27" s="71">
        <v>7232</v>
      </c>
      <c r="X27" s="71">
        <v>8036</v>
      </c>
      <c r="Y27" s="71">
        <v>2078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2530.5996651840001</v>
      </c>
      <c r="E28" s="91" ph="1">
        <f>E27*268.68*LOOKUP(E29,密度!$A$2:$A$50,密度!$C$2:$C$50)+IF(E27&lt;=0,0,1566*LOOKUP(E29,密度!$A$2:$A$50,密度!$C$2:$C$50))</f>
        <v>3339.45057576</v>
      </c>
      <c r="F28" s="91" ph="1">
        <f>F27*11.702*LOOKUP(F29,密度!$A$2:$A$50,密度!$Q$2:$Q$50)</f>
        <v>28185.265180600003</v>
      </c>
      <c r="G28" s="91" ph="1">
        <f>G27*18.322*LOOKUP(G29,密度!$A$2:$A$50,密度!$B$2:$B$50)</f>
        <v>23100.978561600001</v>
      </c>
      <c r="H28" s="91" ph="1">
        <f>H27*18.322*LOOKUP(H29,密度!$A$2:$A$50,密度!$B$2:$B$50)</f>
        <v>18115.879332199998</v>
      </c>
      <c r="I28" s="91" ph="1">
        <f>I27*18.322*LOOKUP(I29,密度!$A$2:$A$50,密度!$Q$2:$Q$50)</f>
        <v>7830.0990810000003</v>
      </c>
      <c r="J28" s="91" ph="1">
        <f>J27*18.322*LOOKUP(J29,密度!$A$2:$A$50,密度!$Q$2:$Q$50)</f>
        <v>5625.9423267999991</v>
      </c>
      <c r="K28" s="91" ph="1">
        <f>K27*18.322*LOOKUP(K29,密度!$A$2:$A$50,密度!$Q$2:$Q$50)</f>
        <v>87033.081034899995</v>
      </c>
      <c r="L28" s="91" ph="1">
        <f>L27*18.322*LOOKUP(L29,密度!$A$2:$A$50,密度!$Q$2:$Q$50)</f>
        <v>8051.9374597199994</v>
      </c>
      <c r="M28" s="91" ph="1">
        <f>M27*18.322*LOOKUP(M29,密度!$A$2:$A$50,密度!$Q$2:$Q$50)</f>
        <v>92429.011538779989</v>
      </c>
      <c r="N28" s="91" ph="1">
        <f>N27*18.322*LOOKUP(N29,密度!$A$2:$A$50,密度!$Q$2:$Q$50)</f>
        <v>46655.923332619997</v>
      </c>
      <c r="O28" s="91" ph="1">
        <f>O27*18.322*LOOKUP(O29,密度!$A$2:$A$50,密度!$C$2:$C$50)</f>
        <v>116582.1421268</v>
      </c>
      <c r="P28" s="91" ph="1">
        <f>P27*11.702*LOOKUP(P29,密度!$A$2:$A$50,密度!$B$2:$B$50)</f>
        <v>3269.8243288000003</v>
      </c>
      <c r="Q28" s="92" ph="1">
        <f>Q27*18.322*LOOKUP(Q29,密度!$A$2:$A$50,密度!$B$2:$B$50)</f>
        <v>31134.730337000001</v>
      </c>
      <c r="R28" s="91" ph="1">
        <f>R27*35.891*LOOKUP(R29,密度!$A$2:$A$50,密度!$C$2:$C$50)</f>
        <v>144803.88330779999</v>
      </c>
      <c r="S28" s="91" ph="1">
        <f>S27*35.891*LOOKUP(S29,密度!$A$2:$A$50,密度!$B$2:$B$50)</f>
        <v>121399.1002035</v>
      </c>
      <c r="T28" s="91" ph="1">
        <f>T27*35.891*LOOKUP(T29,密度!$A$2:$A$50,密度!$Q$2:$Q$50)</f>
        <v>7271.9469330899992</v>
      </c>
      <c r="U28" s="91" ph="1">
        <f>U27*35.891</f>
        <v>69556.758000000002</v>
      </c>
      <c r="V28" s="91" ph="1">
        <f>V27*47.051*LOOKUP(V29,密度!$A$2:$A$50,密度!$B$2:$B$50)</f>
        <v>326347.99444799998</v>
      </c>
      <c r="W28" s="91" ph="1">
        <f>W27*47.051*LOOKUP(W29,密度!$A$2:$A$50,密度!$B$2:$B$50)</f>
        <v>267080.14583679999</v>
      </c>
      <c r="X28" s="91" ph="1">
        <f>X27*47.051*LOOKUP(X29,密度!$A$2:$A$61,密度!$I$2:$I$61)</f>
        <v>390276.7151192</v>
      </c>
      <c r="Y28" s="91" ph="1">
        <f>Y27*47.051*LOOKUP(Y29,密度!$A$2:$A$50,密度!$L$2:$L$50)</f>
        <v>92101.203276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18</v>
      </c>
      <c r="G29" s="74">
        <v>20</v>
      </c>
      <c r="H29" s="74">
        <v>20</v>
      </c>
      <c r="I29" s="74">
        <v>21</v>
      </c>
      <c r="J29" s="74">
        <v>32</v>
      </c>
      <c r="K29" s="74">
        <v>22</v>
      </c>
      <c r="L29" s="74">
        <v>19</v>
      </c>
      <c r="M29" s="74">
        <v>18</v>
      </c>
      <c r="N29" s="74">
        <v>19</v>
      </c>
      <c r="O29" s="74">
        <v>20</v>
      </c>
      <c r="P29" s="74">
        <v>19</v>
      </c>
      <c r="Q29" s="93">
        <v>19</v>
      </c>
      <c r="R29" s="74">
        <v>18</v>
      </c>
      <c r="S29" s="74">
        <v>18</v>
      </c>
      <c r="T29" s="74">
        <v>19</v>
      </c>
      <c r="U29" s="74">
        <v>20</v>
      </c>
      <c r="V29" s="74">
        <v>17</v>
      </c>
      <c r="W29" s="74">
        <v>19</v>
      </c>
      <c r="X29" s="74">
        <v>34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216700.25406640003</v>
      </c>
      <c r="E33" s="187" ph="1">
        <f>M10+I10</f>
        <v>53171.781700499996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3" ph="1">
        <f>N19</f>
        <v>3581.2110335200005</v>
      </c>
      <c r="H33" s="187" ph="1">
        <f>M19</f>
        <v>29919.910847919997</v>
      </c>
      <c r="I33" s="191" ph="1">
        <v>0</v>
      </c>
      <c r="J33" s="195" ph="1">
        <f>F10+O28</f>
        <v>320102.5069028</v>
      </c>
      <c r="K33" s="187" ph="1">
        <f>O10+K10+E28+R28</f>
        <v>216913.70125555998</v>
      </c>
      <c r="L33" s="197" ph="1">
        <f>K19</f>
        <v>36083.71674304</v>
      </c>
      <c r="M33" s="195" ph="1">
        <f>G10+H10+W28+S28+V28+E10+R19+P28+Q28</f>
        <v>1187470.6953973998</v>
      </c>
      <c r="N33" s="187" ph="1">
        <f>L10+P10++G28+H28+AD19+AE19</f>
        <v>234476.94099440001</v>
      </c>
      <c r="O33" s="191" ph="1">
        <f>G19</f>
        <v>12735.712886520001</v>
      </c>
      <c r="P33" s="195" ph="1">
        <f>L19</f>
        <v>26560.410441600005</v>
      </c>
      <c r="Q33" s="187" ph="1">
        <f>J10+N10</f>
        <v>40593.769404800005</v>
      </c>
      <c r="R33" s="191" ph="1">
        <f>BE23</f>
        <v>890</v>
      </c>
      <c r="S33" s="195" ph="1">
        <f>X28</f>
        <v>390276.7151192</v>
      </c>
      <c r="T33" s="187" ph="1">
        <f>X19</f>
        <v>6692.6639256000008</v>
      </c>
      <c r="U33" s="176" ph="1">
        <f>BE21</f>
        <v>730</v>
      </c>
      <c r="V33" s="189" ph="1">
        <f ca="1">P19+Q19+S19+M28+N28+J28+D10+AC10+D19+E19+H19+J19+O19+V19+W19+K28+L28</f>
        <v>747631.69059385208</v>
      </c>
      <c r="W33" s="189" ph="1">
        <f>D28+F28+T28+I28</f>
        <v>45817.910859874006</v>
      </c>
      <c r="X33" s="191" ph="1">
        <f>BE29+BE31</f>
        <v>10200</v>
      </c>
      <c r="Y33" s="193" ph="1">
        <f>+Q10+R10+S10+T10+U10+V10+W10+X10+Y10</f>
        <v>162538.88028839999</v>
      </c>
      <c r="Z33" s="174" ph="1">
        <f>T19+U19+Y28+Z10</f>
        <v>335522.37529472</v>
      </c>
      <c r="AA33" s="176" ph="1">
        <f>BE19</f>
        <v>1440</v>
      </c>
      <c r="AB33" s="178" ph="1">
        <f>I19</f>
        <v>2086.7042700000002</v>
      </c>
      <c r="AC33" s="180" ph="1">
        <f>AD10+AB19</f>
        <v>154777.71047960001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99" priority="100">
      <formula>ABS(D$7-D$10)&gt;=1000</formula>
    </cfRule>
  </conditionalFormatting>
  <conditionalFormatting sqref="E4 E6:E11">
    <cfRule type="expression" dxfId="1298" priority="99">
      <formula>ABS(E$7-E$10)&gt;=1000</formula>
    </cfRule>
  </conditionalFormatting>
  <conditionalFormatting sqref="F4:F11">
    <cfRule type="expression" dxfId="1297" priority="98">
      <formula>ABS(F$7-F$10)&gt;=1000</formula>
    </cfRule>
  </conditionalFormatting>
  <conditionalFormatting sqref="G4:G11">
    <cfRule type="expression" dxfId="1296" priority="97">
      <formula>ABS(G$7-G$10)&gt;=1000</formula>
    </cfRule>
  </conditionalFormatting>
  <conditionalFormatting sqref="H4:H11">
    <cfRule type="expression" dxfId="1295" priority="96">
      <formula>ABS(H$7-H$10)&gt;=1000</formula>
    </cfRule>
  </conditionalFormatting>
  <conditionalFormatting sqref="I4:I11">
    <cfRule type="expression" dxfId="1294" priority="95">
      <formula>ABS(I$7-I$10)&gt;=1000</formula>
    </cfRule>
  </conditionalFormatting>
  <conditionalFormatting sqref="J4:J11">
    <cfRule type="expression" dxfId="1293" priority="94">
      <formula>ABS(J$7-J$10)&gt;=1000</formula>
    </cfRule>
  </conditionalFormatting>
  <conditionalFormatting sqref="K4:K11">
    <cfRule type="expression" dxfId="1292" priority="93">
      <formula>ABS(K$7-K$10)&gt;=1000</formula>
    </cfRule>
  </conditionalFormatting>
  <conditionalFormatting sqref="L4:L11">
    <cfRule type="expression" dxfId="1291" priority="92">
      <formula>ABS(L$7-L$10)&gt;=1000</formula>
    </cfRule>
  </conditionalFormatting>
  <conditionalFormatting sqref="M4 M6:M11">
    <cfRule type="expression" dxfId="1290" priority="91">
      <formula>ABS(M$7-M$10)&gt;=1000</formula>
    </cfRule>
  </conditionalFormatting>
  <conditionalFormatting sqref="N4 N6:N11">
    <cfRule type="expression" dxfId="1289" priority="90">
      <formula>ABS(N$7-N$10)&gt;=1000</formula>
    </cfRule>
  </conditionalFormatting>
  <conditionalFormatting sqref="O4 O6:O11">
    <cfRule type="expression" dxfId="1288" priority="89">
      <formula>ABS(O$7-O$10)&gt;=1000</formula>
    </cfRule>
  </conditionalFormatting>
  <conditionalFormatting sqref="P4 P6:P11">
    <cfRule type="expression" dxfId="1287" priority="88">
      <formula>ABS(P$7-P$10)&gt;=1000</formula>
    </cfRule>
  </conditionalFormatting>
  <conditionalFormatting sqref="Q4:Q11">
    <cfRule type="expression" dxfId="1286" priority="87">
      <formula>ABS(Q$7-Q$10)&gt;=1000</formula>
    </cfRule>
  </conditionalFormatting>
  <conditionalFormatting sqref="R4:R11">
    <cfRule type="expression" dxfId="1285" priority="86">
      <formula>ABS(R$7-R$10)&gt;=1000</formula>
    </cfRule>
  </conditionalFormatting>
  <conditionalFormatting sqref="S4:S11">
    <cfRule type="expression" dxfId="1284" priority="85">
      <formula>ABS(S$7-S$10)&gt;=1000</formula>
    </cfRule>
  </conditionalFormatting>
  <conditionalFormatting sqref="T4:T9 T11">
    <cfRule type="expression" dxfId="1283" priority="84">
      <formula>ABS(T$7-T$10)&gt;=1000</formula>
    </cfRule>
  </conditionalFormatting>
  <conditionalFormatting sqref="U4:U9 U11">
    <cfRule type="expression" dxfId="1282" priority="83">
      <formula>ABS(U$7-U$10)&gt;=1000</formula>
    </cfRule>
  </conditionalFormatting>
  <conditionalFormatting sqref="V4:V9 V11">
    <cfRule type="expression" dxfId="1281" priority="82">
      <formula>ABS(V$7-V$10)&gt;=1000</formula>
    </cfRule>
  </conditionalFormatting>
  <conditionalFormatting sqref="W4:W9 W11">
    <cfRule type="expression" dxfId="1280" priority="81">
      <formula>ABS(W$7-W$10)&gt;=1000</formula>
    </cfRule>
  </conditionalFormatting>
  <conditionalFormatting sqref="X4:X9 X11">
    <cfRule type="expression" dxfId="1279" priority="80">
      <formula>ABS(X$7-X$10)&gt;=1000</formula>
    </cfRule>
  </conditionalFormatting>
  <conditionalFormatting sqref="Y4:Y9 Y11">
    <cfRule type="expression" dxfId="1278" priority="79">
      <formula>ABS(Y$7-Y$10)&gt;=1000</formula>
    </cfRule>
  </conditionalFormatting>
  <conditionalFormatting sqref="Z4:Z11">
    <cfRule type="expression" dxfId="1277" priority="78">
      <formula>ABS(Z$7-Z$10)&gt;=1000</formula>
    </cfRule>
  </conditionalFormatting>
  <conditionalFormatting sqref="AA4:AA11">
    <cfRule type="expression" dxfId="1276" priority="77">
      <formula>ABS(AA$7-AA$10)&gt;=1000</formula>
    </cfRule>
  </conditionalFormatting>
  <conditionalFormatting sqref="AB4:AB11">
    <cfRule type="expression" dxfId="1275" priority="76">
      <formula>ABS(AB$7-AB$10)&gt;=1000</formula>
    </cfRule>
  </conditionalFormatting>
  <conditionalFormatting sqref="AC4 AC6:AC11">
    <cfRule type="expression" dxfId="1274" priority="75">
      <formula>ABS(AC$7-AC$10)&gt;=1000</formula>
    </cfRule>
  </conditionalFormatting>
  <conditionalFormatting sqref="AD4 AD6:AD11">
    <cfRule type="expression" dxfId="1273" priority="74">
      <formula>ABS(AD$7-AD$10)&gt;=1000</formula>
    </cfRule>
  </conditionalFormatting>
  <conditionalFormatting sqref="AE4 AE6:AE11">
    <cfRule type="expression" dxfId="1272" priority="73">
      <formula>ABS(AE$7-AE$10)&gt;=1000</formula>
    </cfRule>
  </conditionalFormatting>
  <conditionalFormatting sqref="D13:D20">
    <cfRule type="expression" dxfId="1271" priority="72">
      <formula>ABS(D$16-D$19)&gt;=1000</formula>
    </cfRule>
  </conditionalFormatting>
  <conditionalFormatting sqref="E13:E20">
    <cfRule type="expression" dxfId="1270" priority="71">
      <formula>ABS(E$16-E$19)&gt;=1000</formula>
    </cfRule>
  </conditionalFormatting>
  <conditionalFormatting sqref="F13 F15:F20">
    <cfRule type="expression" dxfId="1269" priority="70">
      <formula>ABS(F$16-F$19)&gt;=1000</formula>
    </cfRule>
  </conditionalFormatting>
  <conditionalFormatting sqref="G13:G20">
    <cfRule type="expression" dxfId="1268" priority="69">
      <formula>ABS(G$16-G$19)&gt;=1000</formula>
    </cfRule>
  </conditionalFormatting>
  <conditionalFormatting sqref="H13 H15:H20">
    <cfRule type="expression" dxfId="1267" priority="68">
      <formula>ABS(H$16-H$19)&gt;=1000</formula>
    </cfRule>
  </conditionalFormatting>
  <conditionalFormatting sqref="I13:I20">
    <cfRule type="expression" dxfId="1266" priority="67">
      <formula>ABS(I$16-I$19)&gt;=1000</formula>
    </cfRule>
  </conditionalFormatting>
  <conditionalFormatting sqref="J13:J20">
    <cfRule type="expression" dxfId="1265" priority="66">
      <formula>ABS(J$16-J$19)&gt;=1000</formula>
    </cfRule>
  </conditionalFormatting>
  <conditionalFormatting sqref="L13:L20">
    <cfRule type="expression" dxfId="1264" priority="65">
      <formula>ABS(L$16-L$19)&gt;=1000</formula>
    </cfRule>
  </conditionalFormatting>
  <conditionalFormatting sqref="M13 M15 M17:M18 M20">
    <cfRule type="expression" dxfId="1263" priority="64">
      <formula>ABS(M$16-M$19)&gt;=1000</formula>
    </cfRule>
  </conditionalFormatting>
  <conditionalFormatting sqref="N13:N20">
    <cfRule type="expression" dxfId="1262" priority="63">
      <formula>ABS(N$16-N$19)&gt;=1000</formula>
    </cfRule>
  </conditionalFormatting>
  <conditionalFormatting sqref="O13:O20">
    <cfRule type="expression" dxfId="1261" priority="62">
      <formula>ABS(O$16-O$19)&gt;=1000</formula>
    </cfRule>
  </conditionalFormatting>
  <conditionalFormatting sqref="P13:P20">
    <cfRule type="expression" dxfId="1260" priority="61">
      <formula>ABS(P$16-P$19)&gt;=1000</formula>
    </cfRule>
  </conditionalFormatting>
  <conditionalFormatting sqref="Q13 Q15:Q20">
    <cfRule type="expression" dxfId="1259" priority="60">
      <formula>ABS(Q$16-Q$19)&gt;=1000</formula>
    </cfRule>
  </conditionalFormatting>
  <conditionalFormatting sqref="R13:R20">
    <cfRule type="expression" dxfId="1258" priority="59">
      <formula>ABS(R$16-R$19)&gt;=1000</formula>
    </cfRule>
  </conditionalFormatting>
  <conditionalFormatting sqref="S13:S20">
    <cfRule type="expression" dxfId="1257" priority="58">
      <formula>ABS(S$16-S$19)&gt;=1000</formula>
    </cfRule>
  </conditionalFormatting>
  <conditionalFormatting sqref="T13:T20">
    <cfRule type="expression" dxfId="1256" priority="57">
      <formula>ABS(T$16-T$19)&gt;=1000</formula>
    </cfRule>
  </conditionalFormatting>
  <conditionalFormatting sqref="U13:U20">
    <cfRule type="expression" dxfId="1255" priority="56">
      <formula>ABS(U$16-U$19)&gt;=1000</formula>
    </cfRule>
  </conditionalFormatting>
  <conditionalFormatting sqref="V13:V20">
    <cfRule type="expression" dxfId="1254" priority="55">
      <formula>ABS(V$16-V$19)&gt;=1000</formula>
    </cfRule>
  </conditionalFormatting>
  <conditionalFormatting sqref="W13 W20 W15:W18">
    <cfRule type="expression" dxfId="1253" priority="54">
      <formula>ABS(W$16-W$19)&gt;=1000</formula>
    </cfRule>
  </conditionalFormatting>
  <conditionalFormatting sqref="X13 X15:X20 Y19">
    <cfRule type="expression" dxfId="1252" priority="53">
      <formula>ABS(X$16-X$19)&gt;=1000</formula>
    </cfRule>
  </conditionalFormatting>
  <conditionalFormatting sqref="Y13 Y15:Y18 Y20">
    <cfRule type="expression" dxfId="1251" priority="52">
      <formula>ABS(Y$16-Y$19)&gt;=1000</formula>
    </cfRule>
  </conditionalFormatting>
  <conditionalFormatting sqref="Z13:Z20">
    <cfRule type="expression" dxfId="1250" priority="51">
      <formula>ABS(Z$16-Z$19)&gt;=1000</formula>
    </cfRule>
  </conditionalFormatting>
  <conditionalFormatting sqref="AA13:AA20">
    <cfRule type="expression" dxfId="1249" priority="50">
      <formula>ABS(AA$16-AA$19)&gt;=1000</formula>
    </cfRule>
  </conditionalFormatting>
  <conditionalFormatting sqref="AB13 AB15:AB20">
    <cfRule type="expression" dxfId="1248" priority="49">
      <formula>ABS(AB$16-AB$19)&gt;=1000</formula>
    </cfRule>
  </conditionalFormatting>
  <conditionalFormatting sqref="AC13 AC15:AC20">
    <cfRule type="expression" dxfId="1247" priority="48">
      <formula>ABS(AC$16-AC$19)&gt;=1000</formula>
    </cfRule>
  </conditionalFormatting>
  <conditionalFormatting sqref="AD13:AD20">
    <cfRule type="expression" dxfId="1246" priority="47">
      <formula>ABS(AD$16-AD$19)&gt;=1000</formula>
    </cfRule>
  </conditionalFormatting>
  <conditionalFormatting sqref="AE13:AE20">
    <cfRule type="expression" dxfId="1245" priority="46">
      <formula>ABS(AE$16-AE$19)&gt;=1000</formula>
    </cfRule>
  </conditionalFormatting>
  <conditionalFormatting sqref="D22:D29">
    <cfRule type="expression" dxfId="1244" priority="45">
      <formula>ABS(D$25-D$28)&gt;=1000</formula>
    </cfRule>
  </conditionalFormatting>
  <conditionalFormatting sqref="E22:E29">
    <cfRule type="expression" dxfId="1243" priority="44">
      <formula>ABS(E$25-E$28)&gt;=1000</formula>
    </cfRule>
  </conditionalFormatting>
  <conditionalFormatting sqref="F22:F29">
    <cfRule type="expression" dxfId="1242" priority="43">
      <formula>ABS(F$25-F$28)&gt;=1000</formula>
    </cfRule>
  </conditionalFormatting>
  <conditionalFormatting sqref="G22:G29">
    <cfRule type="expression" dxfId="1241" priority="42">
      <formula>ABS(G$25-G$28)&gt;=1000</formula>
    </cfRule>
  </conditionalFormatting>
  <conditionalFormatting sqref="H22:H29">
    <cfRule type="expression" dxfId="1240" priority="41">
      <formula>ABS(H$25-H$28)&gt;=1000</formula>
    </cfRule>
  </conditionalFormatting>
  <conditionalFormatting sqref="I22 I24:I29">
    <cfRule type="expression" dxfId="1239" priority="40">
      <formula>ABS(I$25-I$28)&gt;=1000</formula>
    </cfRule>
  </conditionalFormatting>
  <conditionalFormatting sqref="J22:J29 K22">
    <cfRule type="expression" dxfId="1238" priority="39">
      <formula>ABS(J$25-J$28)&gt;=1000</formula>
    </cfRule>
  </conditionalFormatting>
  <conditionalFormatting sqref="K23:K29 L25 L28">
    <cfRule type="expression" dxfId="1237" priority="38">
      <formula>ABS(K$25-K$28)&gt;=1000</formula>
    </cfRule>
  </conditionalFormatting>
  <conditionalFormatting sqref="L22 L26:L27 L29 L24">
    <cfRule type="expression" dxfId="1236" priority="37">
      <formula>ABS(L$25-L$28)&gt;=1000</formula>
    </cfRule>
  </conditionalFormatting>
  <conditionalFormatting sqref="M22:M29">
    <cfRule type="expression" dxfId="1235" priority="36">
      <formula>ABS(M$25-M$28)&gt;=1000</formula>
    </cfRule>
  </conditionalFormatting>
  <conditionalFormatting sqref="N22:N29">
    <cfRule type="expression" dxfId="1234" priority="35">
      <formula>ABS(N$25-N$28)&gt;=1000</formula>
    </cfRule>
  </conditionalFormatting>
  <conditionalFormatting sqref="O22:O29">
    <cfRule type="expression" dxfId="1233" priority="34">
      <formula>ABS(O$25-O$28)&gt;=1000</formula>
    </cfRule>
  </conditionalFormatting>
  <conditionalFormatting sqref="P22:P29">
    <cfRule type="expression" dxfId="1232" priority="33">
      <formula>ABS(P$25-P$28)&gt;=1000</formula>
    </cfRule>
  </conditionalFormatting>
  <conditionalFormatting sqref="Q22:Q29">
    <cfRule type="expression" dxfId="1231" priority="32">
      <formula>ABS(Q$25-Q$28)&gt;=1000</formula>
    </cfRule>
  </conditionalFormatting>
  <conditionalFormatting sqref="R22:R29">
    <cfRule type="expression" dxfId="1230" priority="31">
      <formula>ABS(R$25-R$28)&gt;=1000</formula>
    </cfRule>
  </conditionalFormatting>
  <conditionalFormatting sqref="S22:S29">
    <cfRule type="expression" dxfId="1229" priority="30">
      <formula>ABS(S$25-S$28)&gt;=1000</formula>
    </cfRule>
  </conditionalFormatting>
  <conditionalFormatting sqref="T22:T29">
    <cfRule type="expression" dxfId="1228" priority="29">
      <formula>ABS(T$25-T$28)&gt;=1000</formula>
    </cfRule>
  </conditionalFormatting>
  <conditionalFormatting sqref="U22:U29">
    <cfRule type="expression" dxfId="1227" priority="28">
      <formula>ABS(U$25-U$28)&gt;=1000</formula>
    </cfRule>
  </conditionalFormatting>
  <conditionalFormatting sqref="V22:V29">
    <cfRule type="expression" dxfId="1226" priority="27">
      <formula>ABS(V$25-V$28)&gt;=1000</formula>
    </cfRule>
  </conditionalFormatting>
  <conditionalFormatting sqref="W22:W29">
    <cfRule type="expression" dxfId="1225" priority="26">
      <formula>ABS(W$25-W$28)&gt;=1000</formula>
    </cfRule>
  </conditionalFormatting>
  <conditionalFormatting sqref="X22:X29">
    <cfRule type="expression" dxfId="1224" priority="25">
      <formula>ABS(X$25-X$28)&gt;=1000</formula>
    </cfRule>
  </conditionalFormatting>
  <conditionalFormatting sqref="Y22:Y29">
    <cfRule type="expression" dxfId="1223" priority="24">
      <formula>ABS(Y$25-Y$28)&gt;=1000</formula>
    </cfRule>
  </conditionalFormatting>
  <conditionalFormatting sqref="I23">
    <cfRule type="expression" dxfId="1222" priority="23">
      <formula>ABS(I$25-I$28)&gt;=1000</formula>
    </cfRule>
  </conditionalFormatting>
  <conditionalFormatting sqref="Q14">
    <cfRule type="expression" dxfId="1221" priority="22">
      <formula>ABS(Q$16-Q$19)&gt;=1000</formula>
    </cfRule>
  </conditionalFormatting>
  <conditionalFormatting sqref="W14">
    <cfRule type="expression" dxfId="1220" priority="21">
      <formula>ABS(W$16-W$19)&gt;=1000</formula>
    </cfRule>
  </conditionalFormatting>
  <conditionalFormatting sqref="X14">
    <cfRule type="expression" dxfId="1219" priority="20">
      <formula>ABS(X$16-X$19)&gt;=1000</formula>
    </cfRule>
  </conditionalFormatting>
  <conditionalFormatting sqref="T10:Y10">
    <cfRule type="expression" dxfId="1218" priority="19">
      <formula>ABS(T$7-T$10)&gt;=1000</formula>
    </cfRule>
  </conditionalFormatting>
  <conditionalFormatting sqref="W19">
    <cfRule type="expression" dxfId="1217" priority="18">
      <formula>ABS(W$16-W$19)&gt;=1000</formula>
    </cfRule>
  </conditionalFormatting>
  <conditionalFormatting sqref="AC5">
    <cfRule type="expression" dxfId="1216" priority="17">
      <formula>ABS(AC$7-AC$10)&gt;=1000</formula>
    </cfRule>
  </conditionalFormatting>
  <conditionalFormatting sqref="M14">
    <cfRule type="expression" dxfId="1215" priority="16">
      <formula>ABS(M$16-M$19)&gt;=1000</formula>
    </cfRule>
  </conditionalFormatting>
  <conditionalFormatting sqref="M16">
    <cfRule type="expression" dxfId="1214" priority="15">
      <formula>ABS(M$16-M$19)&gt;=1000</formula>
    </cfRule>
  </conditionalFormatting>
  <conditionalFormatting sqref="M19">
    <cfRule type="expression" dxfId="1213" priority="14">
      <formula>ABS(M$16-M$19)&gt;=1000</formula>
    </cfRule>
  </conditionalFormatting>
  <conditionalFormatting sqref="K13:K20">
    <cfRule type="expression" dxfId="1212" priority="13">
      <formula>ABS(K$16-K$19)&gt;=1000</formula>
    </cfRule>
  </conditionalFormatting>
  <conditionalFormatting sqref="E5">
    <cfRule type="expression" dxfId="1211" priority="12">
      <formula>ABS(E$7-E$10)&gt;=1000</formula>
    </cfRule>
  </conditionalFormatting>
  <conditionalFormatting sqref="AB14:AC14">
    <cfRule type="expression" dxfId="1210" priority="11">
      <formula>ABS(AB$16-AB$19)&gt;=1000</formula>
    </cfRule>
  </conditionalFormatting>
  <conditionalFormatting sqref="M5">
    <cfRule type="expression" dxfId="1209" priority="10">
      <formula>ABS(M$7-M$10)&gt;=1000</formula>
    </cfRule>
  </conditionalFormatting>
  <conditionalFormatting sqref="N5">
    <cfRule type="expression" dxfId="1208" priority="9">
      <formula>ABS(N$7-N$10)&gt;=1000</formula>
    </cfRule>
  </conditionalFormatting>
  <conditionalFormatting sqref="O5">
    <cfRule type="expression" dxfId="1207" priority="8">
      <formula>ABS(O$7-O$10)&gt;=1000</formula>
    </cfRule>
  </conditionalFormatting>
  <conditionalFormatting sqref="P5">
    <cfRule type="expression" dxfId="1206" priority="7">
      <formula>ABS(P$7-P$10)&gt;=1000</formula>
    </cfRule>
  </conditionalFormatting>
  <conditionalFormatting sqref="L23">
    <cfRule type="expression" dxfId="1205" priority="6">
      <formula>ABS(L$25-L$28)&gt;=1000</formula>
    </cfRule>
  </conditionalFormatting>
  <conditionalFormatting sqref="Y14">
    <cfRule type="expression" dxfId="1204" priority="5">
      <formula>ABS(Y$16-Y$19)&gt;=1000</formula>
    </cfRule>
  </conditionalFormatting>
  <conditionalFormatting sqref="F14">
    <cfRule type="expression" dxfId="1203" priority="4">
      <formula>ABS(F$16-F$19)&gt;=1000</formula>
    </cfRule>
  </conditionalFormatting>
  <conditionalFormatting sqref="H14">
    <cfRule type="expression" dxfId="1202" priority="3">
      <formula>ABS(H$16-H$19)&gt;=1000</formula>
    </cfRule>
  </conditionalFormatting>
  <conditionalFormatting sqref="AD5">
    <cfRule type="expression" dxfId="1201" priority="2">
      <formula>ABS(AD$7-AD$10)&gt;=1000</formula>
    </cfRule>
  </conditionalFormatting>
  <conditionalFormatting sqref="AE5">
    <cfRule type="expression" dxfId="12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34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8">
    <pageSetUpPr fitToPage="1"/>
  </sheetPr>
  <dimension ref="A1:CU223"/>
  <sheetViews>
    <sheetView view="pageBreakPreview" zoomScale="70" zoomScaleNormal="100" zoomScaleSheetLayoutView="70" workbookViewId="0">
      <selection activeCell="E6" sqref="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46100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3629</v>
      </c>
      <c r="E6" s="71">
        <v>821</v>
      </c>
      <c r="F6" s="71">
        <v>5520</v>
      </c>
      <c r="G6" s="71">
        <v>6768</v>
      </c>
      <c r="H6" s="71">
        <v>1994</v>
      </c>
      <c r="I6" s="71">
        <v>53.38</v>
      </c>
      <c r="J6" s="71">
        <v>6.55</v>
      </c>
      <c r="K6" s="71">
        <v>61.86</v>
      </c>
      <c r="L6" s="71">
        <v>7.88</v>
      </c>
      <c r="M6" s="71">
        <v>1095</v>
      </c>
      <c r="N6" s="71">
        <v>1496</v>
      </c>
      <c r="O6" s="71">
        <v>1768</v>
      </c>
      <c r="P6" s="71">
        <v>3743</v>
      </c>
      <c r="Q6" s="71">
        <v>0</v>
      </c>
      <c r="R6" s="71">
        <v>0</v>
      </c>
      <c r="S6" s="71">
        <v>0</v>
      </c>
      <c r="T6" s="71">
        <v>7111</v>
      </c>
      <c r="U6" s="71">
        <v>7027</v>
      </c>
      <c r="V6" s="71">
        <v>5930</v>
      </c>
      <c r="W6" s="71">
        <v>4370</v>
      </c>
      <c r="X6" s="71">
        <v>0</v>
      </c>
      <c r="Y6" s="71">
        <v>1</v>
      </c>
      <c r="Z6" s="71">
        <v>5869</v>
      </c>
      <c r="AA6" s="71">
        <v>4236</v>
      </c>
      <c r="AB6" s="71">
        <v>3416</v>
      </c>
      <c r="AC6" s="71">
        <v>4057</v>
      </c>
      <c r="AD6" s="71">
        <v>4780</v>
      </c>
      <c r="AE6" s="71">
        <v>4507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114362.72110683001</v>
      </c>
      <c r="E7" s="73" ph="1">
        <f>E6*51.53*LOOKUP(E8,密度!$A$2:$A$50,密度!$B$2:$B$50)</f>
        <v>33206.081437000001</v>
      </c>
      <c r="F7" s="73" ph="1">
        <f>F6*33.183*LOOKUP(F8,密度!$A$2:$A$50,密度!$C$2:$C$50)</f>
        <v>203905.02211200001</v>
      </c>
      <c r="G7" s="73" ph="1">
        <f xml:space="preserve"> (G6+2)*51.53*LOOKUP(G8,密度!$A$2:$A$50,密度!$B$2:$B$50)</f>
        <v>273818.72269000002</v>
      </c>
      <c r="H7" s="73" ph="1">
        <f>(H6)*51.53*LOOKUP(H8,密度!$A$2:$A$50,密度!$B$2:$B$50)</f>
        <v>80803.244848000002</v>
      </c>
      <c r="I7" s="73" ph="1">
        <f>I6*290.8*1.0267</f>
        <v>15937.3655368</v>
      </c>
      <c r="J7" s="73" ph="1">
        <f>J6*290.8*0.7892</f>
        <v>1503.220808</v>
      </c>
      <c r="K7" s="73" ph="1">
        <f>K6*290.8*1.1126</f>
        <v>20014.436788799998</v>
      </c>
      <c r="L7" s="73" ph="1">
        <f>L6*290.8*0.777</f>
        <v>1780.4986079999999</v>
      </c>
      <c r="M7" s="73" ph="1">
        <f>M6*33.183*LOOKUP(M8,密度!$A$2:$A$50,密度!$D$2:$D$50)</f>
        <v>37476.316089000007</v>
      </c>
      <c r="N7" s="73" ph="1">
        <f>N6*33.183*LOOKUP(N8,密度!$A$2:$A$50,密度!$E$2:$E$50)</f>
        <v>39058.143062399999</v>
      </c>
      <c r="O7" s="73" ph="1">
        <f>O6*20.428*LOOKUP(O8,密度!$A$2:$A$50,密度!$C$2:$C$50)</f>
        <v>40020.919702400002</v>
      </c>
      <c r="P7" s="73" ph="1">
        <f>P6*51.53*LOOKUP(P8,密度!$A$2:$A$50,密度!$B$2:$B$50)</f>
        <v>151234.691039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47550.514611599996</v>
      </c>
      <c r="U7" s="73" ph="1">
        <f>U6*1.5*1.5*3.1416*LOOKUP(U8,密度!$A$2:$A$50,密度!$L$2:$L$50)</f>
        <v>46790.131172399997</v>
      </c>
      <c r="V7" s="73" ph="1">
        <f>V6*1.5*1.5*3.1416*LOOKUP(V8,密度!$A$2:$A$50,密度!$L$2:$L$50)</f>
        <v>39192.206130000006</v>
      </c>
      <c r="W7" s="73" ph="1">
        <f>W6*1.5*1.5*3.1416*LOOKUP(W8,密度!$A$2:$A$50,密度!$L$2:$L$50)</f>
        <v>29067.284861999997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6.6586211999999998</v>
      </c>
      <c r="Z7" s="73" ph="1">
        <f>Z6*33.183*LOOKUP(Z8,密度!$A$2:$A$50,密度!$L$2:$L$50)</f>
        <v>182286.96127200002</v>
      </c>
      <c r="AA7" s="73" ph="1">
        <f>AA6*33.183*LOOKUP(AA8,密度!$A$2:$A$50,密度!$D$2:$D$50)</f>
        <v>145215.82952279999</v>
      </c>
      <c r="AB7" s="73" ph="1">
        <f>AB6*20.428*LOOKUP(AB8,密度!$A$2:$A$50,密度!$D$2:$D$50)</f>
        <v>72391.896595200014</v>
      </c>
      <c r="AC7" s="73" ph="1">
        <f>AC6*51.53*LOOKUP(AC8,密度!$A$2:$A$50,密度!$Q$2:$Q$50)</f>
        <v>199024.5544921</v>
      </c>
      <c r="AD7" s="73" ph="1">
        <f>AD6*20.428*LOOKUP(AD8,密度!$A$2:$A$50,密度!$V$2:$V$50)</f>
        <v>94130.589760000003</v>
      </c>
      <c r="AE7" s="73" ph="1">
        <f>AE6*20.428</f>
        <v>92068.995999999999</v>
      </c>
    </row>
    <row r="8" spans="1:99" ph="1">
      <c r="B8" s="238" ph="1"/>
      <c r="C8" s="68" t="s" ph="1">
        <v>179</v>
      </c>
      <c r="D8" s="74">
        <v>21</v>
      </c>
      <c r="E8" s="74">
        <v>19</v>
      </c>
      <c r="F8" s="74">
        <v>19</v>
      </c>
      <c r="G8" s="74">
        <v>19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26</v>
      </c>
      <c r="P8" s="74">
        <v>20</v>
      </c>
      <c r="Q8" s="74">
        <v>21</v>
      </c>
      <c r="R8" s="74">
        <v>26</v>
      </c>
      <c r="S8" s="74">
        <v>16</v>
      </c>
      <c r="T8" s="74">
        <v>16</v>
      </c>
      <c r="U8" s="74">
        <v>20</v>
      </c>
      <c r="V8" s="74">
        <v>27</v>
      </c>
      <c r="W8" s="74">
        <v>21</v>
      </c>
      <c r="X8" s="74">
        <v>11</v>
      </c>
      <c r="Y8" s="74">
        <v>20</v>
      </c>
      <c r="Z8" s="74">
        <v>26</v>
      </c>
      <c r="AA8" s="74">
        <v>18</v>
      </c>
      <c r="AB8" s="74">
        <v>13</v>
      </c>
      <c r="AC8" s="74">
        <v>18</v>
      </c>
      <c r="AD8" s="74">
        <v>19</v>
      </c>
      <c r="AE8" s="74">
        <v>22</v>
      </c>
    </row>
    <row r="9" spans="1:99" ht="26.4" ph="1">
      <c r="B9" s="238" ph="1">
        <v>0.66666666666666663</v>
      </c>
      <c r="C9" s="156" t="s" ph="1">
        <v>180</v>
      </c>
      <c r="D9" s="71">
        <v>3631</v>
      </c>
      <c r="E9" s="71">
        <v>1256</v>
      </c>
      <c r="F9" s="71">
        <v>6316</v>
      </c>
      <c r="G9" s="71">
        <v>7642</v>
      </c>
      <c r="H9" s="71">
        <v>1996</v>
      </c>
      <c r="I9" s="71">
        <v>53.41</v>
      </c>
      <c r="J9" s="71">
        <v>6.56</v>
      </c>
      <c r="K9" s="71">
        <v>7.32</v>
      </c>
      <c r="L9" s="71">
        <v>7.84</v>
      </c>
      <c r="M9" s="71">
        <v>1095</v>
      </c>
      <c r="N9" s="71">
        <v>1499</v>
      </c>
      <c r="O9" s="71">
        <v>2552</v>
      </c>
      <c r="P9" s="71">
        <v>3338</v>
      </c>
      <c r="Q9" s="71">
        <v>1</v>
      </c>
      <c r="R9" s="71">
        <v>0</v>
      </c>
      <c r="S9" s="71">
        <v>0</v>
      </c>
      <c r="T9" s="71">
        <v>7116</v>
      </c>
      <c r="U9" s="71">
        <v>7031</v>
      </c>
      <c r="V9" s="71">
        <v>5934</v>
      </c>
      <c r="W9" s="71">
        <v>7075</v>
      </c>
      <c r="X9" s="71">
        <v>2406</v>
      </c>
      <c r="Y9" s="71">
        <v>1</v>
      </c>
      <c r="Z9" s="71">
        <v>5871</v>
      </c>
      <c r="AA9" s="71">
        <v>4237</v>
      </c>
      <c r="AB9" s="71">
        <v>3314</v>
      </c>
      <c r="AC9" s="71">
        <v>4059</v>
      </c>
      <c r="AD9" s="71">
        <v>4780</v>
      </c>
      <c r="AE9" s="71">
        <v>4504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114353.45574957</v>
      </c>
      <c r="E10" s="73" ph="1">
        <f>E9*51.53*LOOKUP(E11,密度!$A$2:$A$50,密度!$B$2:$B$50)</f>
        <v>50800.046632000005</v>
      </c>
      <c r="F10" s="73" ph="1">
        <f>F9*33.183*LOOKUP(F11,密度!$A$2:$A$50,密度!$C$2:$C$50)</f>
        <v>233182.96703280002</v>
      </c>
      <c r="G10" s="73" ph="1">
        <f xml:space="preserve"> (G9+2)*51.53*LOOKUP(G11,密度!$A$2:$A$50,密度!$B$2:$B$50)</f>
        <v>308498.81462399999</v>
      </c>
      <c r="H10" s="73" ph="1">
        <f>(H9)*51.53*LOOKUP(H11,密度!$A$2:$A$50,密度!$B$2:$B$50)</f>
        <v>80647.727308000001</v>
      </c>
      <c r="I10" s="73" ph="1">
        <f>I9*290.8*1.0267</f>
        <v>15946.322467599997</v>
      </c>
      <c r="J10" s="73" ph="1">
        <f>J9*290.8*0.7892</f>
        <v>1505.5158016</v>
      </c>
      <c r="K10" s="73" ph="1">
        <f>K9*290.8*1.1126</f>
        <v>2368.3426656000001</v>
      </c>
      <c r="L10" s="73" ph="1">
        <f>L9*290.8*0.777</f>
        <v>1771.460544</v>
      </c>
      <c r="M10" s="73" ph="1">
        <f>M9*33.183*LOOKUP(M11,密度!$A$2:$A$50,密度!$D$2:$D$50)</f>
        <v>37374.577011000001</v>
      </c>
      <c r="N10" s="73" ph="1">
        <f>N9*33.183*LOOKUP(N11,密度!$A$2:$A$50,密度!$E$2:$E$50)</f>
        <v>39136.468215600005</v>
      </c>
      <c r="O10" s="73" ph="1">
        <f>O9*20.428*LOOKUP(O11,密度!$A$2:$A$50,密度!$C$2:$C$50)</f>
        <v>57965.855446400004</v>
      </c>
      <c r="P10" s="73" ph="1">
        <f>P9*51.53*LOOKUP(P11,密度!$A$2:$A$50,密度!$B$2:$B$50)</f>
        <v>134561.18562200002</v>
      </c>
      <c r="Q10" s="73" ph="1">
        <f>Q9*1.5*1.5*3.1416*LOOKUP(W11,密度!$A$2:$A$50,密度!$L$2:$L$50)</f>
        <v>6.6444839999999994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47282.148143999999</v>
      </c>
      <c r="U10" s="73" ph="1">
        <f>U9*1.5*1.5*3.1416*LOOKUP(U11,密度!$A$2:$A$50,密度!$L$2:$L$50)</f>
        <v>46767.066330599999</v>
      </c>
      <c r="V10" s="73" ph="1">
        <f>V9*1.5*1.5*3.1416*LOOKUP(V11,密度!$A$2:$A$50,密度!$L$2:$L$50)</f>
        <v>39176.697621599997</v>
      </c>
      <c r="W10" s="73" ph="1">
        <f>W9*1.5*1.5*3.1416*LOOKUP(W11,密度!$A$2:$A$50,密度!$L$2:$L$50)</f>
        <v>47009.724300000002</v>
      </c>
      <c r="X10" s="73" ph="1">
        <f>X9*1.5*1.5*3.1416*LOOKUP(X11,密度!$A$2:$A$50,密度!$L$2:$L$50)</f>
        <v>16156.699019999998</v>
      </c>
      <c r="Y10" s="73" ph="1">
        <f>Y9*1.5*1.5*3.1416*LOOKUP(Y11,密度!$A$2:$A$50,密度!$L$2:$L$50)</f>
        <v>6.6374153999999992</v>
      </c>
      <c r="Z10" s="73" ph="1">
        <f>Z9*33.183*LOOKUP(Z11,密度!$A$2:$A$50,密度!$L$2:$L$50)</f>
        <v>182154.26245500002</v>
      </c>
      <c r="AA10" s="73" ph="1">
        <f>AA9*33.183*LOOKUP(AA11,密度!$A$2:$A$50,密度!$D$2:$D$50)</f>
        <v>144617.4272106</v>
      </c>
      <c r="AB10" s="73" ph="1">
        <f>AB9*20.428*LOOKUP(AB11,密度!$A$2:$A$50,密度!$D$2:$D$50)</f>
        <v>70108.454755200015</v>
      </c>
      <c r="AC10" s="73" ph="1">
        <f>AC9*51.53*LOOKUP(AC11,密度!$A$2:$A$50,密度!$Q$2:$Q$50)</f>
        <v>198781.73740260003</v>
      </c>
      <c r="AD10" s="73" ph="1">
        <f>AD9*20.428*LOOKUP(AD11,密度!$A$2:$A$50,密度!$V$2:$V$50)</f>
        <v>93818.123072000002</v>
      </c>
      <c r="AE10" s="73" ph="1">
        <f>AE9*20.428</f>
        <v>92007.712</v>
      </c>
    </row>
    <row r="11" spans="1:99" ph="1">
      <c r="A11" s="64" t="s" ph="1">
        <v>162</v>
      </c>
      <c r="B11" s="238" ph="1"/>
      <c r="C11" s="156" t="s" ph="1">
        <v>179</v>
      </c>
      <c r="D11" s="74">
        <v>22</v>
      </c>
      <c r="E11" s="74">
        <v>19</v>
      </c>
      <c r="F11" s="74">
        <v>20</v>
      </c>
      <c r="G11" s="74">
        <v>21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21</v>
      </c>
      <c r="P11" s="74">
        <v>22</v>
      </c>
      <c r="Q11" s="74">
        <v>27</v>
      </c>
      <c r="R11" s="74">
        <v>28</v>
      </c>
      <c r="S11" s="74">
        <v>19</v>
      </c>
      <c r="T11" s="74">
        <v>22</v>
      </c>
      <c r="U11" s="74">
        <v>21</v>
      </c>
      <c r="V11" s="74">
        <v>28</v>
      </c>
      <c r="W11" s="74">
        <v>22</v>
      </c>
      <c r="X11" s="74">
        <v>12</v>
      </c>
      <c r="Y11" s="74">
        <v>23</v>
      </c>
      <c r="Z11" s="74">
        <v>27</v>
      </c>
      <c r="AA11" s="74">
        <v>23</v>
      </c>
      <c r="AB11" s="74">
        <v>15</v>
      </c>
      <c r="AC11" s="74">
        <v>20</v>
      </c>
      <c r="AD11" s="74">
        <v>21</v>
      </c>
      <c r="AE11" s="74">
        <v>23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5064</v>
      </c>
      <c r="E15" s="78">
        <v>4511</v>
      </c>
      <c r="F15" s="78">
        <v>5039</v>
      </c>
      <c r="G15" s="78">
        <v>1794</v>
      </c>
      <c r="H15" s="78">
        <v>0</v>
      </c>
      <c r="I15" s="78">
        <v>227</v>
      </c>
      <c r="J15" s="78">
        <v>413</v>
      </c>
      <c r="K15" s="78">
        <v>3582</v>
      </c>
      <c r="L15" s="78">
        <v>3717</v>
      </c>
      <c r="M15" s="78">
        <v>3767</v>
      </c>
      <c r="N15" s="78">
        <v>455</v>
      </c>
      <c r="O15" s="78">
        <v>4982</v>
      </c>
      <c r="P15" s="78">
        <v>4610</v>
      </c>
      <c r="Q15" s="78">
        <v>1277</v>
      </c>
      <c r="R15" s="78">
        <v>7394</v>
      </c>
      <c r="S15" s="78">
        <v>0</v>
      </c>
      <c r="T15" s="78">
        <v>5051</v>
      </c>
      <c r="U15" s="78">
        <v>2098</v>
      </c>
      <c r="V15" s="78">
        <v>3085</v>
      </c>
      <c r="W15" s="71">
        <v>-172</v>
      </c>
      <c r="X15" s="78">
        <v>92</v>
      </c>
      <c r="Y15" s="106">
        <v>-9900</v>
      </c>
      <c r="Z15" s="78">
        <v>0</v>
      </c>
      <c r="AA15" s="78">
        <v>9</v>
      </c>
      <c r="AB15" s="78" ph="1">
        <v>7152</v>
      </c>
      <c r="AC15" s="78" ph="1">
        <v>7118</v>
      </c>
      <c r="AD15" s="78">
        <v>76.510000000000005</v>
      </c>
      <c r="AE15" s="78">
        <v>84.4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33683.462366399996</v>
      </c>
      <c r="E16" s="73" ph="1">
        <f>E15*7.0686*LOOKUP(E17,密度!$A$2:$A$50,密度!$L$2:$L$50)</f>
        <v>30005.153778600001</v>
      </c>
      <c r="F16" s="73" ph="1">
        <f>F15*9.0746*LOOKUP(F17,密度!$A$2:$A$50,密度!$L$2:$L$50)</f>
        <v>42846.114107800007</v>
      </c>
      <c r="G16" s="73" ph="1">
        <f>G15*9.0746*LOOKUP(G17,密度!$A$2:$A$50,密度!$B$2:$B$50)</f>
        <v>12750.364735680001</v>
      </c>
      <c r="H16" s="73" ph="1">
        <f>H15*9.0746*LOOKUP(H17,密度!$A$2:$A$50,密度!$L$2:$L$50)</f>
        <v>0</v>
      </c>
      <c r="I16" s="73" ph="1">
        <f>I15*9.0746*LOOKUP(I17,密度!$A$2:$A$50,密度!$U$2:$U$50)</f>
        <v>2117.6123576</v>
      </c>
      <c r="J16" s="73" ph="1">
        <f>J15*9.0746*LOOKUP(J17,密度!$A$2:$A$50,密度!$L$2:$L$50)</f>
        <v>3522.9412119999997</v>
      </c>
      <c r="K16" s="73" ph="1">
        <f>K15*9.0746*LOOKUP(K17,密度!$A$2:$A$50,密度!$C$2:$C$50)</f>
        <v>36165.30465672</v>
      </c>
      <c r="L16" s="73" ph="1">
        <f>L15*9.0746*LOOKUP(L17,密度!$A$2:$A$50,密度!$E$2:$E$50)</f>
        <v>26579.467101600003</v>
      </c>
      <c r="M16" s="73" ph="1">
        <f>M15*9.0746*LOOKUP(M17,密度!$A$2:$A$50,密度!$M$2:$M$50)</f>
        <v>29941.781541379998</v>
      </c>
      <c r="N16" s="73" ph="1">
        <f>N15*9.0746*LOOKUP(N17,密度!$A$2:$A$50,密度!$M$2:$M$50)</f>
        <v>3634.7085228999999</v>
      </c>
      <c r="O16" s="73" ph="1">
        <f>O15*9.0746*LOOKUP(O17,密度!$A$2:$A$50,密度!$G$2:$G$50)</f>
        <v>43622.798232280002</v>
      </c>
      <c r="P16" s="73" ph="1">
        <f ca="1">P15*9.0746*LOOKUP(P17,密度!$A$2:$A$51,密度!$Q$2:$Q$50)</f>
        <v>39704.141845540005</v>
      </c>
      <c r="Q16" s="73" ph="1">
        <f>Q15*9.0746*LOOKUP(Q17,密度!$A$2:$A$50,密度!$Q$2:$Q$50)</f>
        <v>11005.258628097999</v>
      </c>
      <c r="R16" s="73" ph="1">
        <f>MAX(R15*9.0746*LOOKUP(R17,密度!$A$2:$A$50,密度!$B$2:$B$50),0)</f>
        <v>52490.446534520008</v>
      </c>
      <c r="S16" s="73" ph="1">
        <f>S15*9.0746*LOOKUP(S17,密度!$A$2:$A$50,密度!$Q$2:$Q$50)</f>
        <v>0</v>
      </c>
      <c r="T16" s="73" ph="1">
        <f>T15*9.0746*LOOKUP(T17,密度!$A$2:$A$50,密度!$O$2:$O$50)</f>
        <v>42627.298278000002</v>
      </c>
      <c r="U16" s="73" ph="1">
        <f>U15*9.0746*LOOKUP(U17,密度!$A$2:$A$50,密度!$H$2:$H$50)</f>
        <v>17528.756893559999</v>
      </c>
      <c r="V16" s="73" ph="1">
        <f>MAX(5600*LOOKUP(V17,密度!$A$2:$A$50,密度!$Q$2:$Q$50)+V15*9.0476*LOOKUP(V17,密度!$A$2:$A$50,密度!$Q$2:$Q$50),0)</f>
        <v>31825.865027739997</v>
      </c>
      <c r="W16" s="73" ph="1">
        <f>MAX(5600*LOOKUP(W17,密度!$A$2:$A$50,密度!$Q$2:$Q$50)+W15*9.0476*LOOKUP(W17,密度!$A$2:$A$50,密度!$Q$2:$Q$50),0)</f>
        <v>3840.3685780320002</v>
      </c>
      <c r="X16" s="73" ph="1">
        <f>MAX(5600*LOOKUP(X17,密度!$A$2:$A$50,密度!$I$2:$I$50)+X15*9.0476*LOOKUP(X17,密度!$A$2:$A$50,密度!$I$2:$I$50),0)</f>
        <v>6719.2633123200003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64.169218979999997</v>
      </c>
      <c r="AB16" s="73" ph="1">
        <f>AB15*9.0746*LOOKUP(AB17,密度!$A$2:$A$50,密度!$L$2:$L$50)</f>
        <v>61072.348387199992</v>
      </c>
      <c r="AC16" s="73" ph="1">
        <f>AC15*9.0746*LOOKUP(AC17,密度!$A$2:$A$50,密度!$L$2:$L$50)</f>
        <v>60911.201640399995</v>
      </c>
      <c r="AD16" s="73" ph="1">
        <f>AD15*268.68*LOOKUP(AD17,密度!$A$2:$A$50,密度!B2:B50)+IF(AD15&lt;=0,0,1566*LOOKUP(AD17,密度!$A$2:$A$50,密度!B2:B50))</f>
        <v>17246.86222128</v>
      </c>
      <c r="AE16" s="73" ph="1">
        <f>AE15*268.68*LOOKUP(AE17,密度!$A$2:$A$50,密度!B2:B50)+IF(AE15&lt;=0,0,1566*LOOKUP(AE17,密度!$A$2:$A$50,密度!B2:B50))</f>
        <v>18899.524723199997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25</v>
      </c>
      <c r="G17" s="74">
        <v>21</v>
      </c>
      <c r="H17" s="74">
        <v>16</v>
      </c>
      <c r="I17" s="74">
        <v>19</v>
      </c>
      <c r="J17" s="74">
        <v>22</v>
      </c>
      <c r="K17" s="74">
        <v>20</v>
      </c>
      <c r="L17" s="74">
        <v>21</v>
      </c>
      <c r="M17" s="74">
        <v>24</v>
      </c>
      <c r="N17" s="74">
        <v>19</v>
      </c>
      <c r="O17" s="74">
        <v>21</v>
      </c>
      <c r="P17" s="74">
        <v>22</v>
      </c>
      <c r="Q17" s="74">
        <v>21</v>
      </c>
      <c r="R17" s="74">
        <v>22</v>
      </c>
      <c r="S17" s="74">
        <v>20</v>
      </c>
      <c r="T17" s="74">
        <v>21</v>
      </c>
      <c r="U17" s="74">
        <v>19</v>
      </c>
      <c r="V17" s="74">
        <v>21</v>
      </c>
      <c r="W17" s="74">
        <v>21</v>
      </c>
      <c r="X17" s="74">
        <v>23</v>
      </c>
      <c r="Y17" s="108">
        <v>23</v>
      </c>
      <c r="Z17" s="74">
        <v>21</v>
      </c>
      <c r="AA17" s="74">
        <v>18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5454</v>
      </c>
      <c r="E18" s="71">
        <v>6212</v>
      </c>
      <c r="F18" s="71">
        <v>5039</v>
      </c>
      <c r="G18" s="71">
        <v>1794</v>
      </c>
      <c r="H18" s="71">
        <v>0</v>
      </c>
      <c r="I18" s="71">
        <v>2913</v>
      </c>
      <c r="J18" s="71">
        <v>414</v>
      </c>
      <c r="K18" s="71">
        <v>3583</v>
      </c>
      <c r="L18" s="71">
        <v>3722</v>
      </c>
      <c r="M18" s="71">
        <v>3768</v>
      </c>
      <c r="N18" s="71">
        <v>2093</v>
      </c>
      <c r="O18" s="71">
        <v>4986</v>
      </c>
      <c r="P18" s="71">
        <v>4613</v>
      </c>
      <c r="Q18" s="71">
        <v>1280</v>
      </c>
      <c r="R18" s="71">
        <v>7399</v>
      </c>
      <c r="S18" s="71">
        <v>0</v>
      </c>
      <c r="T18" s="71">
        <v>4571</v>
      </c>
      <c r="U18" s="71">
        <v>2098</v>
      </c>
      <c r="V18" s="71">
        <v>3085</v>
      </c>
      <c r="W18" s="71">
        <v>-173</v>
      </c>
      <c r="X18" s="71">
        <v>91</v>
      </c>
      <c r="Y18" s="109">
        <v>-9900</v>
      </c>
      <c r="Z18" s="71">
        <v>0</v>
      </c>
      <c r="AA18" s="71">
        <v>9</v>
      </c>
      <c r="AB18" s="71">
        <v>7156</v>
      </c>
      <c r="AC18" s="71">
        <v>7122</v>
      </c>
      <c r="AD18" s="71">
        <v>76.53</v>
      </c>
      <c r="AE18" s="71">
        <v>84.42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36200.463591599997</v>
      </c>
      <c r="E19" s="73" ph="1">
        <f>E18*7.0686*LOOKUP(E20,密度!$A$2:$A$50,密度!$L$2:$L$50)</f>
        <v>41231.624464799999</v>
      </c>
      <c r="F19" s="73" ph="1">
        <f>F18*9.0746*LOOKUP(F20,密度!$A$2:$A$50,密度!$L$2:$L$50)</f>
        <v>42708.933379600006</v>
      </c>
      <c r="G19" s="73" ph="1">
        <f>G18*9.0746*LOOKUP(G20,密度!$A$2:$A$50,密度!$B$2:$B$50)</f>
        <v>12750.364735680001</v>
      </c>
      <c r="H19" s="73" ph="1">
        <f>H18*9.0746*LOOKUP(H20,密度!$A$2:$A$50,密度!$L$2:$L$50)</f>
        <v>0</v>
      </c>
      <c r="I19" s="73" ph="1">
        <f>I18*9.0746*LOOKUP(I20,密度!$A$2:$A$50,密度!$U$2:$U$50)</f>
        <v>27174.470474400001</v>
      </c>
      <c r="J19" s="73" ph="1">
        <f>J18*9.0746*LOOKUP(J20,密度!$A$2:$A$50,密度!$L$2:$L$50)</f>
        <v>3542.7419891999998</v>
      </c>
      <c r="K19" s="73" ph="1">
        <f>K18*9.0746*LOOKUP(K20,密度!$A$2:$A$50,密度!$C$2:$C$50)</f>
        <v>36152.641052420004</v>
      </c>
      <c r="L19" s="73" ph="1">
        <f>L18*9.0746*LOOKUP(L20,密度!$A$2:$A$50,密度!$E$2:$E$50)</f>
        <v>26574.690232160003</v>
      </c>
      <c r="M19" s="73" ph="1">
        <f>M18*9.0746*LOOKUP(M20,密度!$A$2:$A$50,密度!$M$2:$M$50)</f>
        <v>29922.375509279998</v>
      </c>
      <c r="N19" s="73" ph="1">
        <f>N18*9.0746*LOOKUP(N20,密度!$A$2:$A$50,密度!$M$2:$M$50)</f>
        <v>16719.659205339998</v>
      </c>
      <c r="O19" s="73" ph="1">
        <f>O18*9.0746*LOOKUP(O20,密度!$A$2:$A$50,密度!$G$2:$G$50)</f>
        <v>43535.658478320001</v>
      </c>
      <c r="P19" s="73" ph="1">
        <f ca="1">P18*9.0746*LOOKUP(P20,密度!$A$2:$A$51,密度!$Q$2:$Q$50)</f>
        <v>39692.723276360004</v>
      </c>
      <c r="Q19" s="73" ph="1">
        <f>Q18*9.0746*LOOKUP(Q20,密度!$A$2:$A$50,密度!$Q$2:$Q$50)</f>
        <v>11013.805721600002</v>
      </c>
      <c r="R19" s="73" ph="1">
        <f>MAX(R18*9.0746*LOOKUP(R20,密度!$A$2:$A$50,密度!$B$2:$B$50),0)</f>
        <v>52344.655825839996</v>
      </c>
      <c r="S19" s="73" ph="1">
        <f>S18*9.0746*LOOKUP(S20,密度!$A$2:$A$50,密度!$Q$2:$Q$50)</f>
        <v>0</v>
      </c>
      <c r="T19" s="73" ph="1">
        <f>T18*9.0746*LOOKUP(T20,密度!$A$2:$A$50,密度!$O$2:$O$50)</f>
        <v>38410.476851600004</v>
      </c>
      <c r="U19" s="73" ph="1">
        <f>U18*9.0746*LOOKUP(U20,密度!$A$2:$A$50,密度!$H$2:$H$50)</f>
        <v>17509.718382759998</v>
      </c>
      <c r="V19" s="73" ph="1">
        <f>MAX(5600*LOOKUP(V20,密度!$A$2:$A$50,密度!$Q$2:$Q$50)+V18*9.0476*LOOKUP(V20,密度!$A$2:$A$50,密度!$Q$2:$Q$50),0)</f>
        <v>31775.932377199999</v>
      </c>
      <c r="W19" s="73" ph="1">
        <f>MAX(5600*LOOKUP(W20,密度!$A$2:$A$50,密度!$Q$2:$Q$50)+W18*9.0476*LOOKUP(W20,密度!$A$2:$A$50,密度!$Q$2:$Q$50),0)</f>
        <v>3825.7643626399999</v>
      </c>
      <c r="X19" s="73" ph="1">
        <f>MAX(5600*LOOKUP(X20,密度!$A$2:$A$50,密度!$I$2:$I$50)+X18*9.0476*LOOKUP(X20,密度!$A$2:$A$50,密度!$I$2:$I$50),0)</f>
        <v>6709.81218936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60976.629506399993</v>
      </c>
      <c r="AC19" s="73" ph="1">
        <f>AC18*9.0746*LOOKUP(AC20,密度!$A$2:$A$50,密度!$L$2:$L$50)</f>
        <v>60880.801730399995</v>
      </c>
      <c r="AD19" s="73" ph="1">
        <f>AD18*268.68*LOOKUP(AD20,密度!$A$2:$A$50,密度!B5:B53)+IF(AD18&lt;=0,0,1566*LOOKUP(AD20,密度!$A$2:$A$50,密度!B5:B53))</f>
        <v>17193.518470800002</v>
      </c>
      <c r="AE19" s="73" ph="1">
        <f>AE18*268.68*LOOKUP(AE20,密度!$A$2:$A$50,密度!B5:B53)+IF(AE18&lt;=0,0,1566*LOOKUP(AE20,密度!$A$2:$A$50,密度!B5:B53))</f>
        <v>18840.6692712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23</v>
      </c>
      <c r="E20" s="81">
        <v>23</v>
      </c>
      <c r="F20" s="81">
        <v>28</v>
      </c>
      <c r="G20" s="81">
        <v>21</v>
      </c>
      <c r="H20" s="81">
        <v>18</v>
      </c>
      <c r="I20" s="81">
        <v>22</v>
      </c>
      <c r="J20" s="81">
        <v>19</v>
      </c>
      <c r="K20" s="81">
        <v>21</v>
      </c>
      <c r="L20" s="81">
        <v>22</v>
      </c>
      <c r="M20" s="81">
        <v>25</v>
      </c>
      <c r="N20" s="81">
        <v>20</v>
      </c>
      <c r="O20" s="81">
        <v>23</v>
      </c>
      <c r="P20" s="81">
        <v>23</v>
      </c>
      <c r="Q20" s="81">
        <v>23</v>
      </c>
      <c r="R20" s="81">
        <v>25</v>
      </c>
      <c r="S20" s="81">
        <v>23</v>
      </c>
      <c r="T20" s="81">
        <v>25</v>
      </c>
      <c r="U20" s="81">
        <v>20</v>
      </c>
      <c r="V20" s="81">
        <v>23</v>
      </c>
      <c r="W20" s="81">
        <v>23</v>
      </c>
      <c r="X20" s="81">
        <v>23</v>
      </c>
      <c r="Y20" s="110">
        <v>23</v>
      </c>
      <c r="Z20" s="81">
        <v>26</v>
      </c>
      <c r="AA20" s="81">
        <v>22</v>
      </c>
      <c r="AB20" s="81">
        <v>23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647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4.1100000000000003</v>
      </c>
      <c r="E24" s="71">
        <v>5.43</v>
      </c>
      <c r="F24" s="71">
        <v>2531</v>
      </c>
      <c r="G24" s="71">
        <v>1613</v>
      </c>
      <c r="H24" s="71">
        <v>1266</v>
      </c>
      <c r="I24" s="71">
        <v>454</v>
      </c>
      <c r="J24" s="71">
        <v>331</v>
      </c>
      <c r="K24" s="71">
        <v>5008</v>
      </c>
      <c r="L24" s="71">
        <v>468</v>
      </c>
      <c r="M24" s="71">
        <v>5306</v>
      </c>
      <c r="N24" s="71">
        <v>2685</v>
      </c>
      <c r="O24" s="71">
        <v>5726</v>
      </c>
      <c r="P24" s="71">
        <v>360</v>
      </c>
      <c r="Q24" s="90">
        <v>2172</v>
      </c>
      <c r="R24" s="71">
        <v>3627</v>
      </c>
      <c r="S24" s="71">
        <v>4311</v>
      </c>
      <c r="T24" s="71">
        <v>215</v>
      </c>
      <c r="U24" s="71">
        <v>2341</v>
      </c>
      <c r="V24" s="71">
        <v>8828</v>
      </c>
      <c r="W24" s="71">
        <v>7240</v>
      </c>
      <c r="X24" s="71">
        <v>8034</v>
      </c>
      <c r="Y24" s="71">
        <v>2082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2528.0559641520003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28196.405601620001</v>
      </c>
      <c r="G25" s="91" ph="1">
        <f>G24*18.322*LOOKUP(G26,密度!$A$2:$A$50,密度!$B$2:$B$50)</f>
        <v>23172.8099626</v>
      </c>
      <c r="H25" s="91" ph="1">
        <f>H24*18.322*LOOKUP(H26,密度!$A$2:$A$50,密度!$B$2:$B$50)</f>
        <v>18224.823776399997</v>
      </c>
      <c r="I25" s="91" ph="1">
        <f>I24*18.322*LOOKUP(I26,密度!$A$2:$A$50,密度!$Q$2:$Q$50)</f>
        <v>7918.9981578800007</v>
      </c>
      <c r="J25" s="91" ph="1">
        <f>J24*18.322*LOOKUP(J26,密度!$A$2:$A$50,密度!$Q$2:$Q$50)</f>
        <v>5768.8123358599996</v>
      </c>
      <c r="K25" s="91" ph="1">
        <f>K24*18.322*LOOKUP(K26,密度!$A$2:$A$50,密度!$Q$2:$Q$50)</f>
        <v>87281.607788480003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92551.110629319999</v>
      </c>
      <c r="N25" s="91" ph="1">
        <f>N24*18.322*LOOKUP(N26,密度!$A$2:$A$50,密度!$Q$2:$Q$50)</f>
        <v>46872.586296000001</v>
      </c>
      <c r="O25" s="91" ph="1">
        <f>O24*18.322*LOOKUP(O26,密度!$A$2:$A$50,密度!$C$2:$C$50)</f>
        <v>116924.16989400001</v>
      </c>
      <c r="P25" s="91" ph="1">
        <f>P24*11.702*LOOKUP(P26,密度!$A$2:$A$50,密度!$B$2:$B$50)</f>
        <v>3306.5639280000005</v>
      </c>
      <c r="Q25" s="92" ph="1">
        <f>Q24*18.322*LOOKUP(Q26,密度!$A$2:$A$50,密度!$B$2:$B$50)</f>
        <v>31267.233208799997</v>
      </c>
      <c r="R25" s="91" ph="1">
        <f>R24*35.891*LOOKUP(R26,密度!$A$2:$A$50,密度!$C$2:$C$50)</f>
        <v>145003.77823229998</v>
      </c>
      <c r="S25" s="91" ph="1">
        <f>S24*35.891*LOOKUP(S26,密度!$A$2:$A$50,密度!$B$2:$B$50)</f>
        <v>121320.73579409999</v>
      </c>
      <c r="T25" s="91" ph="1">
        <f>T24*35.891*LOOKUP(T26,密度!$A$2:$A$50,密度!$Q$2:$Q$50)</f>
        <v>7352.3431319999991</v>
      </c>
      <c r="U25" s="91" ph="1">
        <f>U24*35.891</f>
        <v>84020.830999999991</v>
      </c>
      <c r="V25" s="91" ph="1">
        <f>V24*47.051*LOOKUP(V26,密度!$A$2:$A$50,密度!$B$2:$B$50)</f>
        <v>326644.00169920002</v>
      </c>
      <c r="W25" s="91" ph="1">
        <f>W24*47.051*LOOKUP(W26,密度!$A$2:$A$50,密度!$B$2:$B$50)</f>
        <v>267375.588476</v>
      </c>
      <c r="X25" s="91" ph="1">
        <f>X24*47.051*LOOKUP(X26,密度!$A$2:$A$61,密度!$I$2:$I$61)</f>
        <v>390633.19231560006</v>
      </c>
      <c r="Y25" s="91" ph="1">
        <f>Y24*47.051*LOOKUP(Y26,密度!$A$2:$A$50,密度!$L$2:$L$50)</f>
        <v>92376.451625999995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18</v>
      </c>
      <c r="G26" s="74">
        <v>20</v>
      </c>
      <c r="H26" s="74">
        <v>18</v>
      </c>
      <c r="I26" s="74">
        <v>18</v>
      </c>
      <c r="J26" s="74">
        <v>19</v>
      </c>
      <c r="K26" s="74">
        <v>19</v>
      </c>
      <c r="L26" s="74">
        <v>18</v>
      </c>
      <c r="M26" s="74">
        <v>18</v>
      </c>
      <c r="N26" s="74">
        <v>17</v>
      </c>
      <c r="O26" s="74">
        <v>17</v>
      </c>
      <c r="P26" s="74">
        <v>19</v>
      </c>
      <c r="Q26" s="93">
        <v>18</v>
      </c>
      <c r="R26" s="74">
        <v>18</v>
      </c>
      <c r="S26" s="74">
        <v>20</v>
      </c>
      <c r="T26" s="74">
        <v>17</v>
      </c>
      <c r="U26" s="74">
        <v>18</v>
      </c>
      <c r="V26" s="74">
        <v>17</v>
      </c>
      <c r="W26" s="74">
        <v>19</v>
      </c>
      <c r="X26" s="74">
        <v>33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4.09</v>
      </c>
      <c r="E27" s="71">
        <v>5.42</v>
      </c>
      <c r="F27" s="71">
        <v>2533</v>
      </c>
      <c r="G27" s="71">
        <v>1611</v>
      </c>
      <c r="H27" s="71">
        <v>1265</v>
      </c>
      <c r="I27" s="71">
        <v>451</v>
      </c>
      <c r="J27" s="71">
        <v>327</v>
      </c>
      <c r="K27" s="71">
        <v>5010</v>
      </c>
      <c r="L27" s="71">
        <v>465</v>
      </c>
      <c r="M27" s="71">
        <v>5309</v>
      </c>
      <c r="N27" s="71">
        <v>4922</v>
      </c>
      <c r="O27" s="71">
        <v>5724</v>
      </c>
      <c r="P27" s="71">
        <v>357</v>
      </c>
      <c r="Q27" s="90">
        <v>2407</v>
      </c>
      <c r="R27" s="71">
        <v>3625</v>
      </c>
      <c r="S27" s="71">
        <v>4310</v>
      </c>
      <c r="T27" s="71">
        <v>214</v>
      </c>
      <c r="U27" s="71">
        <v>2421</v>
      </c>
      <c r="V27" s="71">
        <v>9305</v>
      </c>
      <c r="W27" s="71">
        <v>8192</v>
      </c>
      <c r="X27" s="71">
        <v>8278</v>
      </c>
      <c r="Y27" s="71">
        <v>1003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2522.968562088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28170.371343080002</v>
      </c>
      <c r="G28" s="91" ph="1">
        <f>G27*18.322*LOOKUP(G29,密度!$A$2:$A$50,密度!$B$2:$B$50)</f>
        <v>23144.077402200001</v>
      </c>
      <c r="H28" s="91" ph="1">
        <f>H27*18.322*LOOKUP(H29,密度!$A$2:$A$50,密度!$B$2:$B$50)</f>
        <v>18191.886317</v>
      </c>
      <c r="I28" s="91" ph="1">
        <f>I27*18.322*LOOKUP(I29,密度!$A$2:$A$50,密度!$Q$2:$Q$50)</f>
        <v>7866.6699762199996</v>
      </c>
      <c r="J28" s="91" ph="1">
        <f>J27*18.322*LOOKUP(J29,密度!$A$2:$A$50,密度!$Q$2:$Q$50)</f>
        <v>5672.1976815600001</v>
      </c>
      <c r="K28" s="91" ph="1">
        <f>K27*18.322*LOOKUP(K29,密度!$A$2:$A$50,密度!$Q$2:$Q$50)</f>
        <v>87388.063372200006</v>
      </c>
      <c r="L28" s="91" ph="1">
        <f>L27*18.322*LOOKUP(L29,密度!$A$2:$A$50,密度!$Q$2:$Q$50)</f>
        <v>8110.8681572999994</v>
      </c>
      <c r="M28" s="91" ph="1">
        <f>M27*18.322*LOOKUP(M29,密度!$A$2:$A$50,密度!$Q$2:$Q$50)</f>
        <v>92444.88626924</v>
      </c>
      <c r="N28" s="91" ph="1">
        <f>N27*18.322*LOOKUP(N29,密度!$A$2:$A$50,密度!$Q$2:$Q$50)</f>
        <v>85782.762287319987</v>
      </c>
      <c r="O28" s="91" ph="1">
        <f>O27*18.322*LOOKUP(O29,密度!$A$2:$A$50,密度!$C$2:$C$50)</f>
        <v>116746.99248959999</v>
      </c>
      <c r="P28" s="91" ph="1">
        <f>P27*11.702*LOOKUP(P29,密度!$A$2:$A$50,密度!$B$2:$B$50)</f>
        <v>3285.2756495999997</v>
      </c>
      <c r="Q28" s="92" ph="1">
        <f>Q27*18.322*LOOKUP(Q29,密度!$A$2:$A$50,密度!$B$2:$B$50)</f>
        <v>34579.636441399998</v>
      </c>
      <c r="R28" s="91" ph="1">
        <f>R27*35.891*LOOKUP(R29,密度!$A$2:$A$50,密度!$C$2:$C$50)</f>
        <v>144832.74685</v>
      </c>
      <c r="S28" s="91" ph="1">
        <f>S27*35.891*LOOKUP(S29,密度!$A$2:$A$50,密度!$B$2:$B$50)</f>
        <v>121416.345829</v>
      </c>
      <c r="T28" s="91" ph="1">
        <f>T27*35.891*LOOKUP(T29,密度!$A$2:$A$50,密度!$Q$2:$Q$50)</f>
        <v>7312.0784547399999</v>
      </c>
      <c r="U28" s="91" ph="1">
        <f>U27*35.891</f>
        <v>86892.11099999999</v>
      </c>
      <c r="V28" s="91" ph="1">
        <f>V27*47.051*LOOKUP(V29,密度!$A$2:$A$50,密度!$B$2:$B$50)</f>
        <v>343286.4720755</v>
      </c>
      <c r="W28" s="91" ph="1">
        <f>W27*47.051*LOOKUP(W29,密度!$A$2:$A$50,密度!$B$2:$B$50)</f>
        <v>301531.11388160003</v>
      </c>
      <c r="X28" s="91" ph="1">
        <f>X27*47.051*LOOKUP(X29,密度!$A$2:$A$61,密度!$I$2:$I$61)</f>
        <v>402497.08314520004</v>
      </c>
      <c r="Y28" s="91" ph="1">
        <f>Y27*47.051*LOOKUP(Y29,密度!$A$2:$A$50,密度!$L$2:$L$50)</f>
        <v>44502.200278999997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18</v>
      </c>
      <c r="J29" s="74">
        <v>25</v>
      </c>
      <c r="K29" s="74">
        <v>18</v>
      </c>
      <c r="L29" s="74">
        <v>18</v>
      </c>
      <c r="M29" s="74">
        <v>20</v>
      </c>
      <c r="N29" s="74">
        <v>19</v>
      </c>
      <c r="O29" s="74">
        <v>19</v>
      </c>
      <c r="P29" s="74">
        <v>17</v>
      </c>
      <c r="Q29" s="93">
        <v>20</v>
      </c>
      <c r="R29" s="74">
        <v>19</v>
      </c>
      <c r="S29" s="74">
        <v>19</v>
      </c>
      <c r="T29" s="74">
        <v>18</v>
      </c>
      <c r="U29" s="74">
        <v>20</v>
      </c>
      <c r="V29" s="74">
        <v>20</v>
      </c>
      <c r="W29" s="74">
        <v>22</v>
      </c>
      <c r="X29" s="74">
        <v>33</v>
      </c>
      <c r="Y29" s="74">
        <v>19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214725.88196580001</v>
      </c>
      <c r="E33" s="187" ph="1">
        <f>M10+I10</f>
        <v>53320.899478599997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3" ph="1">
        <f>N19</f>
        <v>16719.659205339998</v>
      </c>
      <c r="H33" s="187" ph="1">
        <f>M19</f>
        <v>29922.375509279998</v>
      </c>
      <c r="I33" s="191" ph="1">
        <v>0</v>
      </c>
      <c r="J33" s="195" ph="1">
        <f>F10+O28</f>
        <v>349929.95952239999</v>
      </c>
      <c r="K33" s="187" ph="1">
        <f>O10+K10+E28+R28</f>
        <v>208518.31310784002</v>
      </c>
      <c r="L33" s="197" ph="1">
        <f>K19</f>
        <v>36152.641052420004</v>
      </c>
      <c r="M33" s="195" ph="1">
        <f>G10+H10+W28+S28+V28+E10+R19+P28+Q28</f>
        <v>1296390.0882669401</v>
      </c>
      <c r="N33" s="187" ph="1">
        <f>L10+P10++G28+H28+AD19+AE19</f>
        <v>213702.79762719999</v>
      </c>
      <c r="O33" s="191" ph="1">
        <f>G19</f>
        <v>12750.364735680001</v>
      </c>
      <c r="P33" s="195" ph="1">
        <f>L19</f>
        <v>26574.690232160003</v>
      </c>
      <c r="Q33" s="187" ph="1">
        <f>J10+N10</f>
        <v>40641.984017200004</v>
      </c>
      <c r="R33" s="191" ph="1">
        <f>BE23</f>
        <v>890</v>
      </c>
      <c r="S33" s="195" ph="1">
        <f>X28</f>
        <v>402497.08314520004</v>
      </c>
      <c r="T33" s="187" ph="1">
        <f>X19</f>
        <v>6709.81218936</v>
      </c>
      <c r="U33" s="176" ph="1">
        <f>BE21</f>
        <v>730</v>
      </c>
      <c r="V33" s="189" ph="1">
        <f ca="1">P19+Q19+S19+M28+N28+J28+D10+AC10+D19+E19+H19+J19+O19+V19+W19+K28+L28</f>
        <v>803352.68518151005</v>
      </c>
      <c r="W33" s="189" ph="1">
        <f>D28+F28+T28+I28</f>
        <v>45872.088336127999</v>
      </c>
      <c r="X33" s="191" ph="1">
        <f>BE29+BE31</f>
        <v>10200</v>
      </c>
      <c r="Y33" s="193" ph="1">
        <f>+Q10+R10+S10+T10+U10+V10+W10+X10+Y10</f>
        <v>196405.61731560001</v>
      </c>
      <c r="Z33" s="174" ph="1">
        <f>T19+U19+Y28+Z10</f>
        <v>282576.65796836</v>
      </c>
      <c r="AA33" s="176" ph="1">
        <f>BE19</f>
        <v>1440</v>
      </c>
      <c r="AB33" s="178" ph="1">
        <f>I19</f>
        <v>27174.470474400001</v>
      </c>
      <c r="AC33" s="180" ph="1">
        <f>AD10+AB19</f>
        <v>154794.75257839999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69" priority="100">
      <formula>ABS(D$7-D$10)&gt;=1000</formula>
    </cfRule>
  </conditionalFormatting>
  <conditionalFormatting sqref="E4 E6:E11">
    <cfRule type="expression" dxfId="1168" priority="99">
      <formula>ABS(E$7-E$10)&gt;=1000</formula>
    </cfRule>
  </conditionalFormatting>
  <conditionalFormatting sqref="F4:F11">
    <cfRule type="expression" dxfId="1167" priority="98">
      <formula>ABS(F$7-F$10)&gt;=1000</formula>
    </cfRule>
  </conditionalFormatting>
  <conditionalFormatting sqref="G4:G11">
    <cfRule type="expression" dxfId="1166" priority="97">
      <formula>ABS(G$7-G$10)&gt;=1000</formula>
    </cfRule>
  </conditionalFormatting>
  <conditionalFormatting sqref="H4:H11">
    <cfRule type="expression" dxfId="1165" priority="96">
      <formula>ABS(H$7-H$10)&gt;=1000</formula>
    </cfRule>
  </conditionalFormatting>
  <conditionalFormatting sqref="I4:I11">
    <cfRule type="expression" dxfId="1164" priority="95">
      <formula>ABS(I$7-I$10)&gt;=1000</formula>
    </cfRule>
  </conditionalFormatting>
  <conditionalFormatting sqref="J4:J11">
    <cfRule type="expression" dxfId="1163" priority="94">
      <formula>ABS(J$7-J$10)&gt;=1000</formula>
    </cfRule>
  </conditionalFormatting>
  <conditionalFormatting sqref="K4:K11">
    <cfRule type="expression" dxfId="1162" priority="93">
      <formula>ABS(K$7-K$10)&gt;=1000</formula>
    </cfRule>
  </conditionalFormatting>
  <conditionalFormatting sqref="L4:L11">
    <cfRule type="expression" dxfId="1161" priority="92">
      <formula>ABS(L$7-L$10)&gt;=1000</formula>
    </cfRule>
  </conditionalFormatting>
  <conditionalFormatting sqref="M4 M6:M11">
    <cfRule type="expression" dxfId="1160" priority="91">
      <formula>ABS(M$7-M$10)&gt;=1000</formula>
    </cfRule>
  </conditionalFormatting>
  <conditionalFormatting sqref="N4 N6:N11">
    <cfRule type="expression" dxfId="1159" priority="90">
      <formula>ABS(N$7-N$10)&gt;=1000</formula>
    </cfRule>
  </conditionalFormatting>
  <conditionalFormatting sqref="O4 O6:O11">
    <cfRule type="expression" dxfId="1158" priority="89">
      <formula>ABS(O$7-O$10)&gt;=1000</formula>
    </cfRule>
  </conditionalFormatting>
  <conditionalFormatting sqref="P4 P6:P11">
    <cfRule type="expression" dxfId="1157" priority="88">
      <formula>ABS(P$7-P$10)&gt;=1000</formula>
    </cfRule>
  </conditionalFormatting>
  <conditionalFormatting sqref="Q4:Q11">
    <cfRule type="expression" dxfId="1156" priority="87">
      <formula>ABS(Q$7-Q$10)&gt;=1000</formula>
    </cfRule>
  </conditionalFormatting>
  <conditionalFormatting sqref="R4:R11">
    <cfRule type="expression" dxfId="1155" priority="86">
      <formula>ABS(R$7-R$10)&gt;=1000</formula>
    </cfRule>
  </conditionalFormatting>
  <conditionalFormatting sqref="S4:S11">
    <cfRule type="expression" dxfId="1154" priority="85">
      <formula>ABS(S$7-S$10)&gt;=1000</formula>
    </cfRule>
  </conditionalFormatting>
  <conditionalFormatting sqref="T4:T9 T11">
    <cfRule type="expression" dxfId="1153" priority="84">
      <formula>ABS(T$7-T$10)&gt;=1000</formula>
    </cfRule>
  </conditionalFormatting>
  <conditionalFormatting sqref="U4:U9 U11">
    <cfRule type="expression" dxfId="1152" priority="83">
      <formula>ABS(U$7-U$10)&gt;=1000</formula>
    </cfRule>
  </conditionalFormatting>
  <conditionalFormatting sqref="V4:V9 V11">
    <cfRule type="expression" dxfId="1151" priority="82">
      <formula>ABS(V$7-V$10)&gt;=1000</formula>
    </cfRule>
  </conditionalFormatting>
  <conditionalFormatting sqref="W4:W9 W11">
    <cfRule type="expression" dxfId="1150" priority="81">
      <formula>ABS(W$7-W$10)&gt;=1000</formula>
    </cfRule>
  </conditionalFormatting>
  <conditionalFormatting sqref="X4:X9 X11">
    <cfRule type="expression" dxfId="1149" priority="80">
      <formula>ABS(X$7-X$10)&gt;=1000</formula>
    </cfRule>
  </conditionalFormatting>
  <conditionalFormatting sqref="Y4:Y9 Y11">
    <cfRule type="expression" dxfId="1148" priority="79">
      <formula>ABS(Y$7-Y$10)&gt;=1000</formula>
    </cfRule>
  </conditionalFormatting>
  <conditionalFormatting sqref="Z4:Z11">
    <cfRule type="expression" dxfId="1147" priority="78">
      <formula>ABS(Z$7-Z$10)&gt;=1000</formula>
    </cfRule>
  </conditionalFormatting>
  <conditionalFormatting sqref="AA4:AA11">
    <cfRule type="expression" dxfId="1146" priority="77">
      <formula>ABS(AA$7-AA$10)&gt;=1000</formula>
    </cfRule>
  </conditionalFormatting>
  <conditionalFormatting sqref="AB4:AB11">
    <cfRule type="expression" dxfId="1145" priority="76">
      <formula>ABS(AB$7-AB$10)&gt;=1000</formula>
    </cfRule>
  </conditionalFormatting>
  <conditionalFormatting sqref="AC4 AC6:AC11">
    <cfRule type="expression" dxfId="1144" priority="75">
      <formula>ABS(AC$7-AC$10)&gt;=1000</formula>
    </cfRule>
  </conditionalFormatting>
  <conditionalFormatting sqref="AD4 AD6:AD11">
    <cfRule type="expression" dxfId="1143" priority="74">
      <formula>ABS(AD$7-AD$10)&gt;=1000</formula>
    </cfRule>
  </conditionalFormatting>
  <conditionalFormatting sqref="AE4 AE6:AE11">
    <cfRule type="expression" dxfId="1142" priority="73">
      <formula>ABS(AE$7-AE$10)&gt;=1000</formula>
    </cfRule>
  </conditionalFormatting>
  <conditionalFormatting sqref="D13:D20">
    <cfRule type="expression" dxfId="1141" priority="72">
      <formula>ABS(D$16-D$19)&gt;=1000</formula>
    </cfRule>
  </conditionalFormatting>
  <conditionalFormatting sqref="E13:E20">
    <cfRule type="expression" dxfId="1140" priority="71">
      <formula>ABS(E$16-E$19)&gt;=1000</formula>
    </cfRule>
  </conditionalFormatting>
  <conditionalFormatting sqref="F13 F15:F20">
    <cfRule type="expression" dxfId="1139" priority="70">
      <formula>ABS(F$16-F$19)&gt;=1000</formula>
    </cfRule>
  </conditionalFormatting>
  <conditionalFormatting sqref="G13:G20">
    <cfRule type="expression" dxfId="1138" priority="69">
      <formula>ABS(G$16-G$19)&gt;=1000</formula>
    </cfRule>
  </conditionalFormatting>
  <conditionalFormatting sqref="H13 H15:H20">
    <cfRule type="expression" dxfId="1137" priority="68">
      <formula>ABS(H$16-H$19)&gt;=1000</formula>
    </cfRule>
  </conditionalFormatting>
  <conditionalFormatting sqref="I13:I20">
    <cfRule type="expression" dxfId="1136" priority="67">
      <formula>ABS(I$16-I$19)&gt;=1000</formula>
    </cfRule>
  </conditionalFormatting>
  <conditionalFormatting sqref="J13:J20">
    <cfRule type="expression" dxfId="1135" priority="66">
      <formula>ABS(J$16-J$19)&gt;=1000</formula>
    </cfRule>
  </conditionalFormatting>
  <conditionalFormatting sqref="L13:L20">
    <cfRule type="expression" dxfId="1134" priority="65">
      <formula>ABS(L$16-L$19)&gt;=1000</formula>
    </cfRule>
  </conditionalFormatting>
  <conditionalFormatting sqref="M13 M15 M17:M18 M20">
    <cfRule type="expression" dxfId="1133" priority="64">
      <formula>ABS(M$16-M$19)&gt;=1000</formula>
    </cfRule>
  </conditionalFormatting>
  <conditionalFormatting sqref="N13:N20">
    <cfRule type="expression" dxfId="1132" priority="63">
      <formula>ABS(N$16-N$19)&gt;=1000</formula>
    </cfRule>
  </conditionalFormatting>
  <conditionalFormatting sqref="O13:O20">
    <cfRule type="expression" dxfId="1131" priority="62">
      <formula>ABS(O$16-O$19)&gt;=1000</formula>
    </cfRule>
  </conditionalFormatting>
  <conditionalFormatting sqref="P13:P20">
    <cfRule type="expression" dxfId="1130" priority="61">
      <formula>ABS(P$16-P$19)&gt;=1000</formula>
    </cfRule>
  </conditionalFormatting>
  <conditionalFormatting sqref="Q13 Q15:Q20">
    <cfRule type="expression" dxfId="1129" priority="60">
      <formula>ABS(Q$16-Q$19)&gt;=1000</formula>
    </cfRule>
  </conditionalFormatting>
  <conditionalFormatting sqref="R13:R20">
    <cfRule type="expression" dxfId="1128" priority="59">
      <formula>ABS(R$16-R$19)&gt;=1000</formula>
    </cfRule>
  </conditionalFormatting>
  <conditionalFormatting sqref="S13:S20">
    <cfRule type="expression" dxfId="1127" priority="58">
      <formula>ABS(S$16-S$19)&gt;=1000</formula>
    </cfRule>
  </conditionalFormatting>
  <conditionalFormatting sqref="T13:T20">
    <cfRule type="expression" dxfId="1126" priority="57">
      <formula>ABS(T$16-T$19)&gt;=1000</formula>
    </cfRule>
  </conditionalFormatting>
  <conditionalFormatting sqref="U13:U20">
    <cfRule type="expression" dxfId="1125" priority="56">
      <formula>ABS(U$16-U$19)&gt;=1000</formula>
    </cfRule>
  </conditionalFormatting>
  <conditionalFormatting sqref="V13:V20">
    <cfRule type="expression" dxfId="1124" priority="55">
      <formula>ABS(V$16-V$19)&gt;=1000</formula>
    </cfRule>
  </conditionalFormatting>
  <conditionalFormatting sqref="W13 W20 W15:W18">
    <cfRule type="expression" dxfId="1123" priority="54">
      <formula>ABS(W$16-W$19)&gt;=1000</formula>
    </cfRule>
  </conditionalFormatting>
  <conditionalFormatting sqref="X13 X15:X20 Y19">
    <cfRule type="expression" dxfId="1122" priority="53">
      <formula>ABS(X$16-X$19)&gt;=1000</formula>
    </cfRule>
  </conditionalFormatting>
  <conditionalFormatting sqref="Y13 Y15:Y18 Y20">
    <cfRule type="expression" dxfId="1121" priority="52">
      <formula>ABS(Y$16-Y$19)&gt;=1000</formula>
    </cfRule>
  </conditionalFormatting>
  <conditionalFormatting sqref="Z13:Z20">
    <cfRule type="expression" dxfId="1120" priority="51">
      <formula>ABS(Z$16-Z$19)&gt;=1000</formula>
    </cfRule>
  </conditionalFormatting>
  <conditionalFormatting sqref="AA13:AA20">
    <cfRule type="expression" dxfId="1119" priority="50">
      <formula>ABS(AA$16-AA$19)&gt;=1000</formula>
    </cfRule>
  </conditionalFormatting>
  <conditionalFormatting sqref="AB13 AB15:AB20">
    <cfRule type="expression" dxfId="1118" priority="49">
      <formula>ABS(AB$16-AB$19)&gt;=1000</formula>
    </cfRule>
  </conditionalFormatting>
  <conditionalFormatting sqref="AC13 AC15:AC20">
    <cfRule type="expression" dxfId="1117" priority="48">
      <formula>ABS(AC$16-AC$19)&gt;=1000</formula>
    </cfRule>
  </conditionalFormatting>
  <conditionalFormatting sqref="AD13:AD20">
    <cfRule type="expression" dxfId="1116" priority="47">
      <formula>ABS(AD$16-AD$19)&gt;=1000</formula>
    </cfRule>
  </conditionalFormatting>
  <conditionalFormatting sqref="AE13:AE20">
    <cfRule type="expression" dxfId="1115" priority="46">
      <formula>ABS(AE$16-AE$19)&gt;=1000</formula>
    </cfRule>
  </conditionalFormatting>
  <conditionalFormatting sqref="D22:D29">
    <cfRule type="expression" dxfId="1114" priority="45">
      <formula>ABS(D$25-D$28)&gt;=1000</formula>
    </cfRule>
  </conditionalFormatting>
  <conditionalFormatting sqref="E22:E29">
    <cfRule type="expression" dxfId="1113" priority="44">
      <formula>ABS(E$25-E$28)&gt;=1000</formula>
    </cfRule>
  </conditionalFormatting>
  <conditionalFormatting sqref="F22:F29">
    <cfRule type="expression" dxfId="1112" priority="43">
      <formula>ABS(F$25-F$28)&gt;=1000</formula>
    </cfRule>
  </conditionalFormatting>
  <conditionalFormatting sqref="G22:G29">
    <cfRule type="expression" dxfId="1111" priority="42">
      <formula>ABS(G$25-G$28)&gt;=1000</formula>
    </cfRule>
  </conditionalFormatting>
  <conditionalFormatting sqref="H22:H29">
    <cfRule type="expression" dxfId="1110" priority="41">
      <formula>ABS(H$25-H$28)&gt;=1000</formula>
    </cfRule>
  </conditionalFormatting>
  <conditionalFormatting sqref="I22 I24:I29">
    <cfRule type="expression" dxfId="1109" priority="40">
      <formula>ABS(I$25-I$28)&gt;=1000</formula>
    </cfRule>
  </conditionalFormatting>
  <conditionalFormatting sqref="J22:J29 K22">
    <cfRule type="expression" dxfId="1108" priority="39">
      <formula>ABS(J$25-J$28)&gt;=1000</formula>
    </cfRule>
  </conditionalFormatting>
  <conditionalFormatting sqref="K23:K29 L25 L28">
    <cfRule type="expression" dxfId="1107" priority="38">
      <formula>ABS(K$25-K$28)&gt;=1000</formula>
    </cfRule>
  </conditionalFormatting>
  <conditionalFormatting sqref="L22 L26:L27 L29 L24">
    <cfRule type="expression" dxfId="1106" priority="37">
      <formula>ABS(L$25-L$28)&gt;=1000</formula>
    </cfRule>
  </conditionalFormatting>
  <conditionalFormatting sqref="M22:M29">
    <cfRule type="expression" dxfId="1105" priority="36">
      <formula>ABS(M$25-M$28)&gt;=1000</formula>
    </cfRule>
  </conditionalFormatting>
  <conditionalFormatting sqref="N22:N29">
    <cfRule type="expression" dxfId="1104" priority="35">
      <formula>ABS(N$25-N$28)&gt;=1000</formula>
    </cfRule>
  </conditionalFormatting>
  <conditionalFormatting sqref="O22:O29">
    <cfRule type="expression" dxfId="1103" priority="34">
      <formula>ABS(O$25-O$28)&gt;=1000</formula>
    </cfRule>
  </conditionalFormatting>
  <conditionalFormatting sqref="P22:P29">
    <cfRule type="expression" dxfId="1102" priority="33">
      <formula>ABS(P$25-P$28)&gt;=1000</formula>
    </cfRule>
  </conditionalFormatting>
  <conditionalFormatting sqref="Q22:Q29">
    <cfRule type="expression" dxfId="1101" priority="32">
      <formula>ABS(Q$25-Q$28)&gt;=1000</formula>
    </cfRule>
  </conditionalFormatting>
  <conditionalFormatting sqref="R22:R29">
    <cfRule type="expression" dxfId="1100" priority="31">
      <formula>ABS(R$25-R$28)&gt;=1000</formula>
    </cfRule>
  </conditionalFormatting>
  <conditionalFormatting sqref="S22:S29">
    <cfRule type="expression" dxfId="1099" priority="30">
      <formula>ABS(S$25-S$28)&gt;=1000</formula>
    </cfRule>
  </conditionalFormatting>
  <conditionalFormatting sqref="T22:T29">
    <cfRule type="expression" dxfId="1098" priority="29">
      <formula>ABS(T$25-T$28)&gt;=1000</formula>
    </cfRule>
  </conditionalFormatting>
  <conditionalFormatting sqref="U22:U29">
    <cfRule type="expression" dxfId="1097" priority="28">
      <formula>ABS(U$25-U$28)&gt;=1000</formula>
    </cfRule>
  </conditionalFormatting>
  <conditionalFormatting sqref="V22:V29">
    <cfRule type="expression" dxfId="1096" priority="27">
      <formula>ABS(V$25-V$28)&gt;=1000</formula>
    </cfRule>
  </conditionalFormatting>
  <conditionalFormatting sqref="W22:W29">
    <cfRule type="expression" dxfId="1095" priority="26">
      <formula>ABS(W$25-W$28)&gt;=1000</formula>
    </cfRule>
  </conditionalFormatting>
  <conditionalFormatting sqref="X22:X29">
    <cfRule type="expression" dxfId="1094" priority="25">
      <formula>ABS(X$25-X$28)&gt;=1000</formula>
    </cfRule>
  </conditionalFormatting>
  <conditionalFormatting sqref="Y22:Y29">
    <cfRule type="expression" dxfId="1093" priority="24">
      <formula>ABS(Y$25-Y$28)&gt;=1000</formula>
    </cfRule>
  </conditionalFormatting>
  <conditionalFormatting sqref="I23">
    <cfRule type="expression" dxfId="1092" priority="23">
      <formula>ABS(I$25-I$28)&gt;=1000</formula>
    </cfRule>
  </conditionalFormatting>
  <conditionalFormatting sqref="Q14">
    <cfRule type="expression" dxfId="1091" priority="22">
      <formula>ABS(Q$16-Q$19)&gt;=1000</formula>
    </cfRule>
  </conditionalFormatting>
  <conditionalFormatting sqref="W14">
    <cfRule type="expression" dxfId="1090" priority="21">
      <formula>ABS(W$16-W$19)&gt;=1000</formula>
    </cfRule>
  </conditionalFormatting>
  <conditionalFormatting sqref="X14">
    <cfRule type="expression" dxfId="1089" priority="20">
      <formula>ABS(X$16-X$19)&gt;=1000</formula>
    </cfRule>
  </conditionalFormatting>
  <conditionalFormatting sqref="T10:Y10">
    <cfRule type="expression" dxfId="1088" priority="19">
      <formula>ABS(T$7-T$10)&gt;=1000</formula>
    </cfRule>
  </conditionalFormatting>
  <conditionalFormatting sqref="W19">
    <cfRule type="expression" dxfId="1087" priority="18">
      <formula>ABS(W$16-W$19)&gt;=1000</formula>
    </cfRule>
  </conditionalFormatting>
  <conditionalFormatting sqref="AC5">
    <cfRule type="expression" dxfId="1086" priority="17">
      <formula>ABS(AC$7-AC$10)&gt;=1000</formula>
    </cfRule>
  </conditionalFormatting>
  <conditionalFormatting sqref="M14">
    <cfRule type="expression" dxfId="1085" priority="16">
      <formula>ABS(M$16-M$19)&gt;=1000</formula>
    </cfRule>
  </conditionalFormatting>
  <conditionalFormatting sqref="M16">
    <cfRule type="expression" dxfId="1084" priority="15">
      <formula>ABS(M$16-M$19)&gt;=1000</formula>
    </cfRule>
  </conditionalFormatting>
  <conditionalFormatting sqref="M19">
    <cfRule type="expression" dxfId="1083" priority="14">
      <formula>ABS(M$16-M$19)&gt;=1000</formula>
    </cfRule>
  </conditionalFormatting>
  <conditionalFormatting sqref="K13:K20">
    <cfRule type="expression" dxfId="1082" priority="13">
      <formula>ABS(K$16-K$19)&gt;=1000</formula>
    </cfRule>
  </conditionalFormatting>
  <conditionalFormatting sqref="E5">
    <cfRule type="expression" dxfId="1081" priority="12">
      <formula>ABS(E$7-E$10)&gt;=1000</formula>
    </cfRule>
  </conditionalFormatting>
  <conditionalFormatting sqref="AB14:AC14">
    <cfRule type="expression" dxfId="1080" priority="11">
      <formula>ABS(AB$16-AB$19)&gt;=1000</formula>
    </cfRule>
  </conditionalFormatting>
  <conditionalFormatting sqref="M5">
    <cfRule type="expression" dxfId="1079" priority="10">
      <formula>ABS(M$7-M$10)&gt;=1000</formula>
    </cfRule>
  </conditionalFormatting>
  <conditionalFormatting sqref="N5">
    <cfRule type="expression" dxfId="1078" priority="9">
      <formula>ABS(N$7-N$10)&gt;=1000</formula>
    </cfRule>
  </conditionalFormatting>
  <conditionalFormatting sqref="O5">
    <cfRule type="expression" dxfId="1077" priority="8">
      <formula>ABS(O$7-O$10)&gt;=1000</formula>
    </cfRule>
  </conditionalFormatting>
  <conditionalFormatting sqref="P5">
    <cfRule type="expression" dxfId="1076" priority="7">
      <formula>ABS(P$7-P$10)&gt;=1000</formula>
    </cfRule>
  </conditionalFormatting>
  <conditionalFormatting sqref="L23">
    <cfRule type="expression" dxfId="1075" priority="6">
      <formula>ABS(L$25-L$28)&gt;=1000</formula>
    </cfRule>
  </conditionalFormatting>
  <conditionalFormatting sqref="Y14">
    <cfRule type="expression" dxfId="1074" priority="5">
      <formula>ABS(Y$16-Y$19)&gt;=1000</formula>
    </cfRule>
  </conditionalFormatting>
  <conditionalFormatting sqref="F14">
    <cfRule type="expression" dxfId="1073" priority="4">
      <formula>ABS(F$16-F$19)&gt;=1000</formula>
    </cfRule>
  </conditionalFormatting>
  <conditionalFormatting sqref="H14">
    <cfRule type="expression" dxfId="1072" priority="3">
      <formula>ABS(H$16-H$19)&gt;=1000</formula>
    </cfRule>
  </conditionalFormatting>
  <conditionalFormatting sqref="AD5">
    <cfRule type="expression" dxfId="1071" priority="2">
      <formula>ABS(AD$7-AD$10)&gt;=1000</formula>
    </cfRule>
  </conditionalFormatting>
  <conditionalFormatting sqref="AE5">
    <cfRule type="expression" dxfId="10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44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49">
    <pageSetUpPr fitToPage="1"/>
  </sheetPr>
  <dimension ref="A1:CU223"/>
  <sheetViews>
    <sheetView view="pageBreakPreview" topLeftCell="A7" zoomScale="70" zoomScaleNormal="100" zoomScaleSheetLayoutView="70" workbookViewId="0">
      <selection activeCell="E6" sqref="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6" t="s" ph="1">
        <v>177</v>
      </c>
      <c r="D6" s="71">
        <v>3629</v>
      </c>
      <c r="E6" s="71">
        <v>1260</v>
      </c>
      <c r="F6" s="71">
        <v>6317</v>
      </c>
      <c r="G6" s="71">
        <v>7640</v>
      </c>
      <c r="H6" s="71">
        <v>2000</v>
      </c>
      <c r="I6" s="71">
        <v>53.37</v>
      </c>
      <c r="J6" s="71">
        <v>6.55</v>
      </c>
      <c r="K6" s="71">
        <v>7.33</v>
      </c>
      <c r="L6" s="71">
        <v>7.88</v>
      </c>
      <c r="M6" s="71">
        <v>1094</v>
      </c>
      <c r="N6" s="71">
        <v>1325</v>
      </c>
      <c r="O6" s="71">
        <v>2552</v>
      </c>
      <c r="P6" s="71">
        <v>3221</v>
      </c>
      <c r="Q6" s="71">
        <v>0</v>
      </c>
      <c r="R6" s="71">
        <v>1</v>
      </c>
      <c r="S6" s="71">
        <v>0</v>
      </c>
      <c r="T6" s="71">
        <v>7109</v>
      </c>
      <c r="U6" s="71">
        <v>7024</v>
      </c>
      <c r="V6" s="71">
        <v>5926</v>
      </c>
      <c r="W6" s="71">
        <v>7067</v>
      </c>
      <c r="X6" s="71">
        <v>2406</v>
      </c>
      <c r="Y6" s="71">
        <v>1</v>
      </c>
      <c r="Z6" s="71">
        <v>5867</v>
      </c>
      <c r="AA6" s="71">
        <v>4236</v>
      </c>
      <c r="AB6" s="71">
        <v>3314</v>
      </c>
      <c r="AC6" s="71">
        <v>4059</v>
      </c>
      <c r="AD6" s="71">
        <v>4780</v>
      </c>
      <c r="AE6" s="71">
        <v>4510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114445.81167066</v>
      </c>
      <c r="E7" s="73" ph="1">
        <f>E6*51.53*LOOKUP(E8,密度!$A$2:$A$50,密度!$B$2:$B$50)</f>
        <v>51059.221920000004</v>
      </c>
      <c r="F7" s="73" ph="1">
        <f>F6*33.183*LOOKUP(F8,密度!$A$2:$A$50,密度!$C$2:$C$50)</f>
        <v>233345.65664519998</v>
      </c>
      <c r="G7" s="73" ph="1">
        <f xml:space="preserve"> (G6+2)*51.53*LOOKUP(G8,密度!$A$2:$A$50,密度!$B$2:$B$50)</f>
        <v>308772.51106600004</v>
      </c>
      <c r="H7" s="73" ph="1">
        <f>(H6)*51.53*LOOKUP(H8,密度!$A$2:$A$50,密度!$B$2:$B$50)</f>
        <v>81128.831999999995</v>
      </c>
      <c r="I7" s="73" ph="1">
        <f>I6*290.8*1.0267</f>
        <v>15934.379893199999</v>
      </c>
      <c r="J7" s="73" ph="1">
        <f>J6*290.8*0.7892</f>
        <v>1503.220808</v>
      </c>
      <c r="K7" s="73" ph="1">
        <f>K6*290.8*1.1126</f>
        <v>2371.5781064000003</v>
      </c>
      <c r="L7" s="73" ph="1">
        <f>L6*290.8*0.777</f>
        <v>1780.4986079999999</v>
      </c>
      <c r="M7" s="73" ph="1">
        <f>M6*33.183*LOOKUP(M8,密度!$A$2:$A$50,密度!$D$2:$D$50)</f>
        <v>37503.804886199992</v>
      </c>
      <c r="N7" s="73" ph="1">
        <f>N6*33.183*LOOKUP(N8,密度!$A$2:$A$50,密度!$E$2:$E$50)</f>
        <v>34747.495492499998</v>
      </c>
      <c r="O7" s="73" ph="1">
        <f>O6*20.428*LOOKUP(O8,密度!$A$2:$A$50,密度!$C$2:$C$50)</f>
        <v>57809.458678399998</v>
      </c>
      <c r="P7" s="73" ph="1">
        <f>P6*51.53*LOOKUP(P8,密度!$A$2:$A$50,密度!$B$2:$B$50)</f>
        <v>130409.016741</v>
      </c>
      <c r="Q7" s="73" ph="1">
        <f>Q6*1.5*1.5*3.1416*LOOKUP(W8,密度!$A$2:$A$50,密度!$L$2:$L$50)</f>
        <v>0</v>
      </c>
      <c r="R7" s="73" ph="1">
        <f>R6*1.5*1.5*3.1416*LOOKUP(R8,密度!$A$2:$A$50,密度!$L$2:$L$50)</f>
        <v>6.6303467999999999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47587.391497799996</v>
      </c>
      <c r="U7" s="73" ph="1">
        <f>U6*1.5*1.5*3.1416*LOOKUP(U8,密度!$A$2:$A$50,密度!$L$2:$L$50)</f>
        <v>46770.1553088</v>
      </c>
      <c r="V7" s="73" ph="1">
        <f>V6*1.5*1.5*3.1416*LOOKUP(V8,密度!$A$2:$A$50,密度!$L$2:$L$50)</f>
        <v>39249.5466132</v>
      </c>
      <c r="W7" s="73" ph="1">
        <f>W6*1.5*1.5*3.1416*LOOKUP(W8,密度!$A$2:$A$50,密度!$L$2:$L$50)</f>
        <v>47006.522224199995</v>
      </c>
      <c r="X7" s="73" ph="1">
        <f>X6*1.5*1.5*3.1416*LOOKUP(X8,密度!$A$2:$A$50,密度!$L$2:$L$50)</f>
        <v>16190.713123199997</v>
      </c>
      <c r="Y7" s="73" ph="1">
        <f>Y6*1.5*1.5*3.1416*LOOKUP(Y8,密度!$A$2:$A$50,密度!$L$2:$L$50)</f>
        <v>6.6727583999999993</v>
      </c>
      <c r="Z7" s="73" ph="1">
        <f>Z6*33.183*LOOKUP(Z8,密度!$A$2:$A$50,密度!$L$2:$L$50)</f>
        <v>184561.05862799997</v>
      </c>
      <c r="AA7" s="73" ph="1">
        <f>AA6*33.183*LOOKUP(AA8,密度!$A$2:$A$50,密度!$D$2:$D$50)</f>
        <v>145328.2800732</v>
      </c>
      <c r="AB7" s="73" ph="1">
        <f>AB6*20.428*LOOKUP(AB8,密度!$A$2:$A$50,密度!$D$2:$D$50)</f>
        <v>70291.240413600011</v>
      </c>
      <c r="AC7" s="73" ph="1">
        <f>AC6*51.53*LOOKUP(AC8,密度!$A$2:$A$50,密度!$Q$2:$Q$50)</f>
        <v>199455.23347200002</v>
      </c>
      <c r="AD7" s="73" ph="1">
        <f>AD6*20.428*LOOKUP(AD8,密度!$A$2:$A$50,密度!$V$2:$V$50)</f>
        <v>94130.589760000003</v>
      </c>
      <c r="AE7" s="73" ph="1">
        <f>AE6*20.428</f>
        <v>92130.28</v>
      </c>
    </row>
    <row r="8" spans="1:99" ph="1">
      <c r="B8" s="238" ph="1"/>
      <c r="C8" s="68" t="s" ph="1">
        <v>179</v>
      </c>
      <c r="D8" s="74">
        <v>20</v>
      </c>
      <c r="E8" s="74">
        <v>17</v>
      </c>
      <c r="F8" s="74">
        <v>19</v>
      </c>
      <c r="G8" s="74">
        <v>20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25</v>
      </c>
      <c r="P8" s="74">
        <v>18</v>
      </c>
      <c r="Q8" s="74">
        <v>20</v>
      </c>
      <c r="R8" s="74">
        <v>24</v>
      </c>
      <c r="S8" s="74">
        <v>15</v>
      </c>
      <c r="T8" s="74">
        <v>15</v>
      </c>
      <c r="U8" s="74">
        <v>20</v>
      </c>
      <c r="V8" s="74">
        <v>25</v>
      </c>
      <c r="W8" s="74">
        <v>21</v>
      </c>
      <c r="X8" s="74">
        <v>10</v>
      </c>
      <c r="Y8" s="74">
        <v>18</v>
      </c>
      <c r="Z8" s="74">
        <v>14</v>
      </c>
      <c r="AA8" s="74">
        <v>17</v>
      </c>
      <c r="AB8" s="74">
        <v>12</v>
      </c>
      <c r="AC8" s="74">
        <v>16</v>
      </c>
      <c r="AD8" s="74">
        <v>13</v>
      </c>
      <c r="AE8" s="74">
        <v>21</v>
      </c>
    </row>
    <row r="9" spans="1:99" ht="26.4" ph="1">
      <c r="B9" s="238" ph="1">
        <v>0.66666666666666663</v>
      </c>
      <c r="C9" s="156" t="s" ph="1">
        <v>180</v>
      </c>
      <c r="D9" s="71">
        <v>3631</v>
      </c>
      <c r="E9" s="71">
        <v>2127</v>
      </c>
      <c r="F9" s="71">
        <v>6317</v>
      </c>
      <c r="G9" s="71">
        <v>8075</v>
      </c>
      <c r="H9" s="71">
        <v>2431</v>
      </c>
      <c r="I9" s="71">
        <v>53.4</v>
      </c>
      <c r="J9" s="71">
        <v>6.53</v>
      </c>
      <c r="K9" s="71">
        <v>7.31</v>
      </c>
      <c r="L9" s="71">
        <v>7.86</v>
      </c>
      <c r="M9" s="71">
        <v>1096</v>
      </c>
      <c r="N9" s="71">
        <v>1328</v>
      </c>
      <c r="O9" s="71">
        <v>2552</v>
      </c>
      <c r="P9" s="71">
        <v>2812</v>
      </c>
      <c r="Q9" s="71">
        <v>0</v>
      </c>
      <c r="R9" s="71">
        <v>0</v>
      </c>
      <c r="S9" s="71">
        <v>0</v>
      </c>
      <c r="T9" s="71">
        <v>7114</v>
      </c>
      <c r="U9" s="71">
        <v>7029</v>
      </c>
      <c r="V9" s="71">
        <v>5932</v>
      </c>
      <c r="W9" s="71">
        <v>7076</v>
      </c>
      <c r="X9" s="71">
        <v>5340</v>
      </c>
      <c r="Y9" s="71">
        <v>0</v>
      </c>
      <c r="Z9" s="71">
        <v>5867</v>
      </c>
      <c r="AA9" s="71">
        <v>4226</v>
      </c>
      <c r="AB9" s="71">
        <v>3316</v>
      </c>
      <c r="AC9" s="71">
        <v>4060</v>
      </c>
      <c r="AD9" s="71">
        <v>4780</v>
      </c>
      <c r="AE9" s="71">
        <v>4377</v>
      </c>
    </row>
    <row r="10" spans="1:99" s="72" customFormat="1" ht="22.2" ph="1">
      <c r="B10" s="238" ph="1"/>
      <c r="C10" s="156" t="s" ph="1">
        <v>178</v>
      </c>
      <c r="D10" s="73" ph="1">
        <f>D9*33.183*LOOKUP(D11,密度!$A$2:$A$50,密度!$Q$2:$Q$50)</f>
        <v>114508.88458974</v>
      </c>
      <c r="E10" s="73" ph="1">
        <f>E9*51.53*LOOKUP(E11,密度!$A$2:$A$50,密度!$B$2:$B$50)</f>
        <v>86028.422919000004</v>
      </c>
      <c r="F10" s="73" ph="1">
        <f>F9*33.183*LOOKUP(F11,密度!$A$2:$A$50,密度!$C$2:$C$50)</f>
        <v>233219.88643859999</v>
      </c>
      <c r="G10" s="73" ph="1">
        <f xml:space="preserve"> (G9+2)*51.53*LOOKUP(G11,密度!$A$2:$A$50,密度!$B$2:$B$50)</f>
        <v>326681.51006900001</v>
      </c>
      <c r="H10" s="73" ph="1">
        <f>(H9)*51.53*LOOKUP(H11,密度!$A$2:$A$50,密度!$B$2:$B$50)</f>
        <v>98323.975607000015</v>
      </c>
      <c r="I10" s="73" ph="1">
        <f>I9*290.8*1.0267</f>
        <v>15943.336823999998</v>
      </c>
      <c r="J10" s="73" ph="1">
        <f>J9*290.8*0.7892</f>
        <v>1498.6308208000003</v>
      </c>
      <c r="K10" s="73" ph="1">
        <f>K9*290.8*1.1126</f>
        <v>2365.1072248</v>
      </c>
      <c r="L10" s="73" ph="1">
        <f>L9*290.8*0.777</f>
        <v>1775.9795760000002</v>
      </c>
      <c r="M10" s="73" ph="1">
        <f>M9*33.183*LOOKUP(M11,密度!$A$2:$A$50,密度!$D$2:$D$50)</f>
        <v>37510.541035200004</v>
      </c>
      <c r="N10" s="73" ph="1">
        <f>N9*33.183*LOOKUP(N11,密度!$A$2:$A$50,密度!$E$2:$E$50)</f>
        <v>34619.054054399996</v>
      </c>
      <c r="O10" s="73" ph="1">
        <f>O9*20.428*LOOKUP(O11,密度!$A$2:$A$50,密度!$C$2:$C$50)</f>
        <v>57731.260294399995</v>
      </c>
      <c r="P10" s="73" ph="1">
        <f>P9*51.53*LOOKUP(P11,密度!$A$2:$A$50,密度!$B$2:$B$50)</f>
        <v>113487.52835200001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47520.289277999997</v>
      </c>
      <c r="U10" s="73" ph="1">
        <f>U9*1.5*1.5*3.1416*LOOKUP(U11,密度!$A$2:$A$50,密度!$L$2:$L$50)</f>
        <v>46753.763225399991</v>
      </c>
      <c r="V10" s="73" ph="1">
        <f>V9*1.5*1.5*3.1416*LOOKUP(V11,密度!$A$2:$A$50,密度!$L$2:$L$50)</f>
        <v>39163.493476800002</v>
      </c>
      <c r="W10" s="73" ph="1">
        <f>W9*1.5*1.5*3.1416*LOOKUP(W11,密度!$A$2:$A$50,密度!$L$2:$L$50)</f>
        <v>46966.3513704</v>
      </c>
      <c r="X10" s="73" ph="1">
        <f>X9*1.5*1.5*3.1416*LOOKUP(X11,密度!$A$2:$A$50,密度!$L$2:$L$50)</f>
        <v>35859.007799999999</v>
      </c>
      <c r="Y10" s="73" ph="1">
        <f>Y9*1.5*1.5*3.1416*LOOKUP(Y11,密度!$A$2:$A$50,密度!$L$2:$L$50)</f>
        <v>0</v>
      </c>
      <c r="Z10" s="73" ph="1">
        <f>Z9*33.183*LOOKUP(Z11,密度!$A$2:$A$50,密度!$L$2:$L$50)</f>
        <v>182030.158035</v>
      </c>
      <c r="AA10" s="73" ph="1">
        <f>AA9*33.183*LOOKUP(AA11,密度!$A$2:$A$50,密度!$D$2:$D$50)</f>
        <v>144241.9748388</v>
      </c>
      <c r="AB10" s="73" ph="1">
        <f>AB9*20.428*LOOKUP(AB11,密度!$A$2:$A$50,密度!$D$2:$D$50)</f>
        <v>70211.730552000008</v>
      </c>
      <c r="AC10" s="73" ph="1">
        <f>AC9*51.53*LOOKUP(AC11,密度!$A$2:$A$50,密度!$Q$2:$Q$50)</f>
        <v>198830.71048400001</v>
      </c>
      <c r="AD10" s="73" ph="1">
        <f>AD9*20.428*LOOKUP(AD11,密度!$A$2:$A$50,密度!$V$2:$V$50)</f>
        <v>93818.123072000002</v>
      </c>
      <c r="AE10" s="73" ph="1">
        <f>AE9*20.428</f>
        <v>89413.356</v>
      </c>
    </row>
    <row r="11" spans="1:99" ph="1">
      <c r="A11" s="64" t="s" ph="1">
        <v>162</v>
      </c>
      <c r="B11" s="238" ph="1"/>
      <c r="C11" s="156" t="s" ph="1">
        <v>179</v>
      </c>
      <c r="D11" s="74">
        <v>20</v>
      </c>
      <c r="E11" s="74">
        <v>19</v>
      </c>
      <c r="F11" s="74">
        <v>20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23</v>
      </c>
      <c r="O11" s="74">
        <v>27</v>
      </c>
      <c r="P11" s="74">
        <v>21</v>
      </c>
      <c r="Q11" s="74">
        <v>24</v>
      </c>
      <c r="R11" s="74">
        <v>28</v>
      </c>
      <c r="S11" s="74">
        <v>17</v>
      </c>
      <c r="T11" s="74">
        <v>17</v>
      </c>
      <c r="U11" s="74">
        <v>21</v>
      </c>
      <c r="V11" s="74">
        <v>28</v>
      </c>
      <c r="W11" s="74">
        <v>23</v>
      </c>
      <c r="X11" s="74">
        <v>12</v>
      </c>
      <c r="Y11" s="74">
        <v>23</v>
      </c>
      <c r="Z11" s="74">
        <v>27</v>
      </c>
      <c r="AA11" s="74">
        <v>23</v>
      </c>
      <c r="AB11" s="74">
        <v>14</v>
      </c>
      <c r="AC11" s="74">
        <v>20</v>
      </c>
      <c r="AD11" s="74">
        <v>21</v>
      </c>
      <c r="AE11" s="74">
        <v>22</v>
      </c>
    </row>
    <row r="12" spans="1:99" ht="9.9" customHeight="1" ph="1"/>
    <row r="13" spans="1:99" s="72" customFormat="1" ht="29.25" customHeight="1" ph="1">
      <c r="B13" s="215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6" t="s" ph="1">
        <v>177</v>
      </c>
      <c r="D15" s="78">
        <v>5442</v>
      </c>
      <c r="E15" s="78">
        <v>5476</v>
      </c>
      <c r="F15" s="78">
        <v>5033</v>
      </c>
      <c r="G15" s="78">
        <v>1793</v>
      </c>
      <c r="H15" s="78">
        <v>0</v>
      </c>
      <c r="I15" s="78">
        <v>2909</v>
      </c>
      <c r="J15" s="78">
        <v>413</v>
      </c>
      <c r="K15" s="78">
        <v>3582</v>
      </c>
      <c r="L15" s="78">
        <v>3714</v>
      </c>
      <c r="M15" s="78">
        <v>761</v>
      </c>
      <c r="N15" s="78">
        <v>2092</v>
      </c>
      <c r="O15" s="78">
        <v>4979</v>
      </c>
      <c r="P15" s="78">
        <v>4606</v>
      </c>
      <c r="Q15" s="78">
        <v>1275</v>
      </c>
      <c r="R15" s="78">
        <v>7388</v>
      </c>
      <c r="S15" s="78">
        <v>0</v>
      </c>
      <c r="T15" s="78">
        <v>4562</v>
      </c>
      <c r="U15" s="78">
        <v>2099</v>
      </c>
      <c r="V15" s="78">
        <v>3084</v>
      </c>
      <c r="W15" s="71">
        <v>-172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7148</v>
      </c>
      <c r="AC15" s="78" ph="1">
        <v>7115</v>
      </c>
      <c r="AD15" s="78">
        <v>76.41</v>
      </c>
      <c r="AE15" s="78">
        <v>84.3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6" t="s" ph="1">
        <v>178</v>
      </c>
      <c r="D16" s="73" ph="1">
        <f>D15*7.0686*LOOKUP(D17,密度!$A$2:$A$50,密度!$L$2:$L$50)</f>
        <v>36274.683891599998</v>
      </c>
      <c r="E16" s="73" ph="1">
        <f>E15*7.0686*LOOKUP(E17,密度!$A$2:$A$50,密度!$L$2:$L$50)</f>
        <v>36501.317344799994</v>
      </c>
      <c r="F16" s="73" ph="1">
        <f>F15*9.0746*LOOKUP(F17,密度!$A$2:$A$50,密度!$L$2:$L$50)</f>
        <v>42840.769168400002</v>
      </c>
      <c r="G16" s="73" ph="1">
        <f>G15*9.0746*LOOKUP(G17,密度!$A$2:$A$50,密度!$B$2:$B$50)</f>
        <v>12757.901190980001</v>
      </c>
      <c r="H16" s="73" ph="1">
        <f>H15*9.0746*LOOKUP(H17,密度!$A$2:$A$50,密度!$L$2:$L$50)</f>
        <v>0</v>
      </c>
      <c r="I16" s="73" ph="1">
        <f>I15*9.0746*LOOKUP(I17,密度!$A$2:$A$50,密度!$U$2:$U$50)</f>
        <v>27137.1557192</v>
      </c>
      <c r="J16" s="73" ph="1">
        <f>J15*9.0746*LOOKUP(J17,密度!$A$2:$A$50,密度!$L$2:$L$50)</f>
        <v>3526.6890217999999</v>
      </c>
      <c r="K16" s="73" ph="1">
        <f>K15*9.0746*LOOKUP(K17,密度!$A$2:$A$50,密度!$C$2:$C$50)</f>
        <v>36184.807787040001</v>
      </c>
      <c r="L16" s="73" ph="1">
        <f>L15*9.0746*LOOKUP(L17,密度!$A$2:$A$50,密度!$E$2:$E$50)</f>
        <v>26598.458424480003</v>
      </c>
      <c r="M16" s="73" ph="1">
        <f>M15*9.0746*LOOKUP(M17,密度!$A$2:$A$50,密度!$M$2:$M$50)</f>
        <v>6079.14985918</v>
      </c>
      <c r="N16" s="73" ph="1">
        <f>N15*9.0746*LOOKUP(N17,密度!$A$2:$A$50,密度!$M$2:$M$50)</f>
        <v>16711.670834960001</v>
      </c>
      <c r="O16" s="73" ph="1">
        <f>O15*9.0746*LOOKUP(O17,密度!$A$2:$A$50,密度!$G$2:$G$50)</f>
        <v>43596.529987660004</v>
      </c>
      <c r="P16" s="73" ph="1">
        <f ca="1">P15*9.0746*LOOKUP(P17,密度!$A$2:$A$51,密度!$Q$2:$Q$50)</f>
        <v>39694.769961644008</v>
      </c>
      <c r="Q16" s="73" ph="1">
        <f>Q15*9.0746*LOOKUP(Q17,密度!$A$2:$A$50,密度!$Q$2:$Q$50)</f>
        <v>11005.840491450001</v>
      </c>
      <c r="R16" s="73" ph="1">
        <f>MAX(R15*9.0746*LOOKUP(R17,密度!$A$2:$A$50,密度!$B$2:$B$50),0)</f>
        <v>52447.852177039997</v>
      </c>
      <c r="S16" s="73" ph="1">
        <f>S15*9.0746*LOOKUP(S17,密度!$A$2:$A$50,密度!$Q$2:$Q$50)</f>
        <v>0</v>
      </c>
      <c r="T16" s="73" ph="1">
        <f>T15*9.0746*LOOKUP(T17,密度!$A$2:$A$50,密度!$O$2:$O$50)</f>
        <v>38500.442436000005</v>
      </c>
      <c r="U16" s="73" ph="1">
        <f>U15*9.0746*LOOKUP(U17,密度!$A$2:$A$50,密度!$H$2:$H$50)</f>
        <v>17575.20704858</v>
      </c>
      <c r="V16" s="73" ph="1">
        <f>MAX(5600*LOOKUP(V17,密度!$A$2:$A$50,密度!$Q$2:$Q$50)+V15*9.0476*LOOKUP(V17,密度!$A$2:$A$50,密度!$Q$2:$Q$50),0)</f>
        <v>31840.389543391997</v>
      </c>
      <c r="W16" s="73" ph="1">
        <f>MAX(5600*LOOKUP(W17,密度!$A$2:$A$50,密度!$Q$2:$Q$50)+W15*9.0476*LOOKUP(W17,密度!$A$2:$A$50,密度!$Q$2:$Q$50),0)</f>
        <v>3843.1588088640001</v>
      </c>
      <c r="X16" s="73" ph="1">
        <f>MAX(5600*LOOKUP(X17,密度!$A$2:$A$50,密度!$I$2:$I$50)+X15*9.0476*LOOKUP(X17,密度!$A$2:$A$50,密度!$I$2:$I$50),0)</f>
        <v>6726.3389294400004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71.43525120000001</v>
      </c>
      <c r="AB16" s="73" ph="1">
        <f>AB15*9.0746*LOOKUP(AB17,密度!$A$2:$A$50,密度!$L$2:$L$50)</f>
        <v>61038.191592799994</v>
      </c>
      <c r="AC16" s="73" ph="1">
        <f>AC15*9.0746*LOOKUP(AC17,密度!$A$2:$A$50,密度!$L$2:$L$50)</f>
        <v>60885.529597000001</v>
      </c>
      <c r="AD16" s="73" ph="1">
        <f>AD15*268.68*LOOKUP(AD17,密度!$A$2:$A$50,密度!B2:B50)+IF(AD15&lt;=0,0,1566*LOOKUP(AD17,密度!$A$2:$A$50,密度!B2:B50))</f>
        <v>17225.915928480001</v>
      </c>
      <c r="AE16" s="73" ph="1">
        <f>AE15*268.68*LOOKUP(AE17,密度!$A$2:$A$50,密度!B2:B50)+IF(AE15&lt;=0,0,1566*LOOKUP(AE17,密度!$A$2:$A$50,密度!B2:B50))</f>
        <v>18878.578430399997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19</v>
      </c>
      <c r="E17" s="74">
        <v>19</v>
      </c>
      <c r="F17" s="74">
        <v>24</v>
      </c>
      <c r="G17" s="74">
        <v>20</v>
      </c>
      <c r="H17" s="74">
        <v>15</v>
      </c>
      <c r="I17" s="74">
        <v>19</v>
      </c>
      <c r="J17" s="74">
        <v>21</v>
      </c>
      <c r="K17" s="74">
        <v>19</v>
      </c>
      <c r="L17" s="74">
        <v>20</v>
      </c>
      <c r="M17" s="74">
        <v>19</v>
      </c>
      <c r="N17" s="74">
        <v>19</v>
      </c>
      <c r="O17" s="74">
        <v>21</v>
      </c>
      <c r="P17" s="74">
        <v>21</v>
      </c>
      <c r="Q17" s="74">
        <v>19</v>
      </c>
      <c r="R17" s="74">
        <v>22</v>
      </c>
      <c r="S17" s="74">
        <v>18</v>
      </c>
      <c r="T17" s="74">
        <v>21</v>
      </c>
      <c r="U17" s="74">
        <v>17</v>
      </c>
      <c r="V17" s="74">
        <v>20</v>
      </c>
      <c r="W17" s="74">
        <v>20</v>
      </c>
      <c r="X17" s="74">
        <v>22</v>
      </c>
      <c r="Y17" s="108">
        <v>22</v>
      </c>
      <c r="Z17" s="74">
        <v>19</v>
      </c>
      <c r="AA17" s="74">
        <v>16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5450</v>
      </c>
      <c r="E18" s="71">
        <v>5881</v>
      </c>
      <c r="F18" s="71">
        <v>5072</v>
      </c>
      <c r="G18" s="71">
        <v>1794</v>
      </c>
      <c r="H18" s="71">
        <v>0</v>
      </c>
      <c r="I18" s="71">
        <v>5475</v>
      </c>
      <c r="J18" s="71">
        <v>414</v>
      </c>
      <c r="K18" s="71">
        <v>3584</v>
      </c>
      <c r="L18" s="71">
        <v>3721</v>
      </c>
      <c r="M18" s="71">
        <v>3443</v>
      </c>
      <c r="N18" s="71">
        <v>476</v>
      </c>
      <c r="O18" s="71">
        <v>4985</v>
      </c>
      <c r="P18" s="71">
        <v>4611</v>
      </c>
      <c r="Q18" s="71">
        <v>1280</v>
      </c>
      <c r="R18" s="71">
        <v>7397</v>
      </c>
      <c r="S18" s="71">
        <v>0</v>
      </c>
      <c r="T18" s="71">
        <v>4209</v>
      </c>
      <c r="U18" s="71">
        <v>2098</v>
      </c>
      <c r="V18" s="71">
        <v>3084</v>
      </c>
      <c r="W18" s="71">
        <v>-172</v>
      </c>
      <c r="X18" s="71">
        <v>93</v>
      </c>
      <c r="Y18" s="109">
        <v>-9904</v>
      </c>
      <c r="Z18" s="71">
        <v>0</v>
      </c>
      <c r="AA18" s="71">
        <v>10</v>
      </c>
      <c r="AB18" s="71">
        <v>7155</v>
      </c>
      <c r="AC18" s="71">
        <v>7120</v>
      </c>
      <c r="AD18" s="71">
        <v>76.48</v>
      </c>
      <c r="AE18" s="71">
        <v>84.37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6" t="s" ph="1">
        <v>178</v>
      </c>
      <c r="D19" s="73" ph="1">
        <f>D18*7.0686*LOOKUP(D20,密度!$A$2:$A$50,密度!$L$2:$L$50)</f>
        <v>36212.4378</v>
      </c>
      <c r="E19" s="73" ph="1">
        <f>E18*7.0686*LOOKUP(E20,密度!$A$2:$A$50,密度!$L$2:$L$50)</f>
        <v>39076.210403999998</v>
      </c>
      <c r="F19" s="73" ph="1">
        <f>F18*9.0746*LOOKUP(F20,密度!$A$2:$A$50,密度!$L$2:$L$50)</f>
        <v>43126.709814400005</v>
      </c>
      <c r="G19" s="73" ph="1">
        <f>G18*9.0746*LOOKUP(G20,密度!$A$2:$A$50,密度!$B$2:$B$50)</f>
        <v>12750.364735680001</v>
      </c>
      <c r="H19" s="73" ph="1">
        <f>H18*9.0746*LOOKUP(H20,密度!$A$2:$A$50,密度!$L$2:$L$50)</f>
        <v>0</v>
      </c>
      <c r="I19" s="73" ph="1">
        <f>I18*9.0746*LOOKUP(I20,密度!$A$2:$A$50,密度!$U$2:$U$50)</f>
        <v>51074.571179999999</v>
      </c>
      <c r="J19" s="73" ph="1">
        <f>J18*9.0746*LOOKUP(J20,密度!$A$2:$A$50,密度!$L$2:$L$50)</f>
        <v>3531.4713359999996</v>
      </c>
      <c r="K19" s="73" ph="1">
        <f>K18*9.0746*LOOKUP(K20,密度!$A$2:$A$50,密度!$C$2:$C$50)</f>
        <v>36185.497456639998</v>
      </c>
      <c r="L19" s="73" ph="1">
        <f>L18*9.0746*LOOKUP(L20,密度!$A$2:$A$50,密度!$E$2:$E$50)</f>
        <v>26527.03043296</v>
      </c>
      <c r="M19" s="73" ph="1">
        <f>M18*9.0746*LOOKUP(M20,密度!$A$2:$A$50,密度!$M$2:$M$50)</f>
        <v>27366.486288020002</v>
      </c>
      <c r="N19" s="73" ph="1">
        <f>N18*9.0746*LOOKUP(N20,密度!$A$2:$A$50,密度!$M$2:$M$50)</f>
        <v>3802.4643008800003</v>
      </c>
      <c r="O19" s="73" ph="1">
        <f>O18*9.0746*LOOKUP(O20,密度!$A$2:$A$50,密度!$G$2:$G$50)</f>
        <v>43526.926898200007</v>
      </c>
      <c r="P19" s="73" ph="1">
        <f ca="1">P18*9.0746*LOOKUP(P20,密度!$A$2:$A$51,密度!$Q$2:$Q$50)</f>
        <v>39712.754457654002</v>
      </c>
      <c r="Q19" s="73" ph="1">
        <f>Q18*9.0746*LOOKUP(Q20,密度!$A$2:$A$50,密度!$Q$2:$Q$50)</f>
        <v>11024.143505920001</v>
      </c>
      <c r="R19" s="73" ph="1">
        <f>MAX(R18*9.0746*LOOKUP(R20,密度!$A$2:$A$50,密度!$B$2:$B$50),0)</f>
        <v>52451.331378679999</v>
      </c>
      <c r="S19" s="73" ph="1">
        <f>S18*9.0746*LOOKUP(S20,密度!$A$2:$A$50,密度!$Q$2:$Q$50)</f>
        <v>0</v>
      </c>
      <c r="T19" s="73" ph="1">
        <f>T18*9.0746*LOOKUP(T20,密度!$A$2:$A$50,密度!$O$2:$O$50)</f>
        <v>35521.342001999998</v>
      </c>
      <c r="U19" s="73" ph="1">
        <f>U18*9.0746*LOOKUP(U20,密度!$A$2:$A$50,密度!$H$2:$H$50)</f>
        <v>17509.718382759998</v>
      </c>
      <c r="V19" s="73" ph="1">
        <f>MAX(5600*LOOKUP(V20,密度!$A$2:$A$50,密度!$Q$2:$Q$50)+V18*9.0476*LOOKUP(V20,密度!$A$2:$A$50,密度!$Q$2:$Q$50),0)</f>
        <v>31797.170933455993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6728.7144352800005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71.072267200000013</v>
      </c>
      <c r="AB19" s="73" ph="1">
        <f>AB18*9.0746*LOOKUP(AB20,密度!$A$2:$A$50,密度!$L$2:$L$50)</f>
        <v>61033.037219999998</v>
      </c>
      <c r="AC19" s="73" ph="1">
        <f>AC18*9.0746*LOOKUP(AC20,密度!$A$2:$A$50,密度!$L$2:$L$50)</f>
        <v>60863.705183999999</v>
      </c>
      <c r="AD19" s="73" ph="1">
        <f>AD18*268.68*LOOKUP(AD20,密度!$A$2:$A$50,密度!B5:B53)+IF(AD18&lt;=0,0,1566*LOOKUP(AD20,密度!$A$2:$A$50,密度!B5:B53))</f>
        <v>17183.080252800002</v>
      </c>
      <c r="AE19" s="73" ph="1">
        <f>AE18*268.68*LOOKUP(AE20,密度!$A$2:$A$50,密度!B5:B53)+IF(AE18&lt;=0,0,1566*LOOKUP(AE20,密度!$A$2:$A$50,密度!B5:B53))</f>
        <v>18830.231053200001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22</v>
      </c>
      <c r="E20" s="81">
        <v>22</v>
      </c>
      <c r="F20" s="81">
        <v>25</v>
      </c>
      <c r="G20" s="81">
        <v>21</v>
      </c>
      <c r="H20" s="81">
        <v>18</v>
      </c>
      <c r="I20" s="81">
        <v>21</v>
      </c>
      <c r="J20" s="81">
        <v>22</v>
      </c>
      <c r="K20" s="81">
        <v>20</v>
      </c>
      <c r="L20" s="81">
        <v>23</v>
      </c>
      <c r="M20" s="81">
        <v>24</v>
      </c>
      <c r="N20" s="81">
        <v>20</v>
      </c>
      <c r="O20" s="81">
        <v>23</v>
      </c>
      <c r="P20" s="81">
        <v>22</v>
      </c>
      <c r="Q20" s="81">
        <v>22</v>
      </c>
      <c r="R20" s="81">
        <v>23</v>
      </c>
      <c r="S20" s="81">
        <v>21</v>
      </c>
      <c r="T20" s="81">
        <v>23</v>
      </c>
      <c r="U20" s="81">
        <v>20</v>
      </c>
      <c r="V20" s="81">
        <v>22</v>
      </c>
      <c r="W20" s="81">
        <v>22</v>
      </c>
      <c r="X20" s="81">
        <v>23</v>
      </c>
      <c r="Y20" s="110">
        <v>23</v>
      </c>
      <c r="Z20" s="81">
        <v>22</v>
      </c>
      <c r="AA20" s="81">
        <v>21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647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6" t="s" ph="1">
        <v>177</v>
      </c>
      <c r="D24" s="71">
        <v>4.0599999999999996</v>
      </c>
      <c r="E24" s="71">
        <v>5.42</v>
      </c>
      <c r="F24" s="71">
        <v>2531</v>
      </c>
      <c r="G24" s="71">
        <v>1613</v>
      </c>
      <c r="H24" s="71">
        <v>1267</v>
      </c>
      <c r="I24" s="71">
        <v>453</v>
      </c>
      <c r="J24" s="71">
        <v>332</v>
      </c>
      <c r="K24" s="71">
        <v>5008</v>
      </c>
      <c r="L24" s="71">
        <v>469</v>
      </c>
      <c r="M24" s="71">
        <v>5308</v>
      </c>
      <c r="N24" s="71">
        <v>4927</v>
      </c>
      <c r="O24" s="71">
        <v>5727</v>
      </c>
      <c r="P24" s="71">
        <v>360</v>
      </c>
      <c r="Q24" s="90">
        <v>2416</v>
      </c>
      <c r="R24" s="71">
        <v>3627</v>
      </c>
      <c r="S24" s="71">
        <v>4311</v>
      </c>
      <c r="T24" s="71">
        <v>215</v>
      </c>
      <c r="U24" s="71">
        <v>2583</v>
      </c>
      <c r="V24" s="71">
        <v>9304</v>
      </c>
      <c r="W24" s="71">
        <v>8192</v>
      </c>
      <c r="X24" s="71">
        <v>8278</v>
      </c>
      <c r="Y24" s="71">
        <v>1004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2515.3374589919999</v>
      </c>
      <c r="E25" s="91" ph="1">
        <f>E24*268.68*LOOKUP(E26,密度!$A$2:$A$50,密度!$C$2:$C$50)+IF(E24&lt;=0,0,1566*LOOKUP(E26,密度!$A$2:$A$50,密度!$C$2:$C$50))</f>
        <v>3351.3681458399997</v>
      </c>
      <c r="F25" s="91" ph="1">
        <f>F24*11.702*LOOKUP(F26,密度!$A$2:$A$50,密度!$Q$2:$Q$50)</f>
        <v>28173.303747260001</v>
      </c>
      <c r="G25" s="91" ph="1">
        <f>G24*18.322*LOOKUP(G26,密度!$A$2:$A$50,密度!$B$2:$B$50)</f>
        <v>23172.8099626</v>
      </c>
      <c r="H25" s="91" ph="1">
        <f>H24*18.322*LOOKUP(H26,密度!$A$2:$A$50,密度!$B$2:$B$50)</f>
        <v>18255.469153599999</v>
      </c>
      <c r="I25" s="91" ph="1">
        <f>I24*18.322*LOOKUP(I26,密度!$A$2:$A$50,密度!$Q$2:$Q$50)</f>
        <v>7908.1123247999994</v>
      </c>
      <c r="J25" s="91" ph="1">
        <f>J24*18.322*LOOKUP(J26,密度!$A$2:$A$50,密度!$Q$2:$Q$50)</f>
        <v>5790.9854370399999</v>
      </c>
      <c r="K25" s="91" ph="1">
        <f>K24*18.322*LOOKUP(K26,密度!$A$2:$A$50,密度!$Q$2:$Q$50)</f>
        <v>87353.177917759996</v>
      </c>
      <c r="L25" s="91" ph="1">
        <f>L24*18.322*LOOKUP(L26,密度!$A$2:$A$50,密度!$Q$2:$Q$50)</f>
        <v>8173.9365121400006</v>
      </c>
      <c r="M25" s="91" ph="1">
        <f>M24*18.322*LOOKUP(M26,密度!$A$2:$A$50,密度!$Q$2:$Q$50)</f>
        <v>92427.473406879988</v>
      </c>
      <c r="N25" s="91" ph="1">
        <f>N24*18.322*LOOKUP(N26,密度!$A$2:$A$50,密度!$Q$2:$Q$50)</f>
        <v>85869.904467619999</v>
      </c>
      <c r="O25" s="91" ph="1">
        <f>O24*18.322*LOOKUP(O26,密度!$A$2:$A$50,密度!$C$2:$C$50)</f>
        <v>116808.1806408</v>
      </c>
      <c r="P25" s="91" ph="1">
        <f>P24*11.702*LOOKUP(P26,密度!$A$2:$A$50,密度!$B$2:$B$50)</f>
        <v>3309.9341039999999</v>
      </c>
      <c r="Q25" s="92" ph="1">
        <f>Q24*18.322*LOOKUP(Q26,密度!$A$2:$A$50,密度!$B$2:$B$50)</f>
        <v>34744.345724799998</v>
      </c>
      <c r="R25" s="91" ph="1">
        <f>R24*35.891*LOOKUP(R26,密度!$A$2:$A$50,密度!$C$2:$C$50)</f>
        <v>145003.77823229998</v>
      </c>
      <c r="S25" s="91" ph="1">
        <f>S24*35.891*LOOKUP(S26,密度!$A$2:$A$50,密度!$B$2:$B$50)</f>
        <v>121800.3867072</v>
      </c>
      <c r="T25" s="91" ph="1">
        <f>T24*35.891*LOOKUP(T26,密度!$A$2:$A$50,密度!$Q$2:$Q$50)</f>
        <v>7352.3431319999991</v>
      </c>
      <c r="U25" s="91" ph="1">
        <f>U24*35.891</f>
        <v>92706.452999999994</v>
      </c>
      <c r="V25" s="91" ph="1">
        <f>V24*47.051*LOOKUP(V26,密度!$A$2:$A$50,密度!$B$2:$B$50)</f>
        <v>343949.99939279997</v>
      </c>
      <c r="W25" s="91" ph="1">
        <f>W24*47.051*LOOKUP(W26,密度!$A$2:$A$50,密度!$B$2:$B$50)</f>
        <v>302841.61597440002</v>
      </c>
      <c r="X25" s="91" ph="1">
        <f>X24*47.051*LOOKUP(X26,密度!$A$2:$A$61,密度!$I$2:$I$61)</f>
        <v>402925.52014099999</v>
      </c>
      <c r="Y25" s="91" ph="1">
        <f>Y24*47.051*LOOKUP(Y26,密度!$A$2:$A$50,密度!$L$2:$L$50)</f>
        <v>44546.569372000005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19</v>
      </c>
      <c r="G26" s="74">
        <v>20</v>
      </c>
      <c r="H26" s="74">
        <v>17</v>
      </c>
      <c r="I26" s="74">
        <v>17</v>
      </c>
      <c r="J26" s="74">
        <v>18</v>
      </c>
      <c r="K26" s="74">
        <v>18</v>
      </c>
      <c r="L26" s="74">
        <v>19</v>
      </c>
      <c r="M26" s="74">
        <v>20</v>
      </c>
      <c r="N26" s="74">
        <v>19</v>
      </c>
      <c r="O26" s="74">
        <v>19</v>
      </c>
      <c r="P26" s="74">
        <v>18</v>
      </c>
      <c r="Q26" s="93">
        <v>19</v>
      </c>
      <c r="R26" s="74">
        <v>18</v>
      </c>
      <c r="S26" s="74">
        <v>16</v>
      </c>
      <c r="T26" s="74">
        <v>17</v>
      </c>
      <c r="U26" s="74">
        <v>17</v>
      </c>
      <c r="V26" s="74">
        <v>18</v>
      </c>
      <c r="W26" s="74">
        <v>18</v>
      </c>
      <c r="X26" s="74">
        <v>32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6" t="s" ph="1">
        <v>180</v>
      </c>
      <c r="D27" s="71">
        <v>3.71</v>
      </c>
      <c r="E27" s="71">
        <v>5.41</v>
      </c>
      <c r="F27" s="71">
        <v>2541</v>
      </c>
      <c r="G27" s="71">
        <v>1610</v>
      </c>
      <c r="H27" s="71">
        <v>1254</v>
      </c>
      <c r="I27" s="71">
        <v>453</v>
      </c>
      <c r="J27" s="71">
        <v>329</v>
      </c>
      <c r="K27" s="71">
        <v>5011</v>
      </c>
      <c r="L27" s="71">
        <v>467</v>
      </c>
      <c r="M27" s="71">
        <v>5311</v>
      </c>
      <c r="N27" s="71">
        <v>4927</v>
      </c>
      <c r="O27" s="71">
        <v>5727</v>
      </c>
      <c r="P27" s="71">
        <v>360</v>
      </c>
      <c r="Q27" s="90">
        <v>2428</v>
      </c>
      <c r="R27" s="71">
        <v>3627</v>
      </c>
      <c r="S27" s="71">
        <v>4312</v>
      </c>
      <c r="T27" s="71">
        <v>125</v>
      </c>
      <c r="U27" s="71">
        <v>2583</v>
      </c>
      <c r="V27" s="71">
        <v>9783</v>
      </c>
      <c r="W27" s="71">
        <v>9618</v>
      </c>
      <c r="X27" s="71">
        <v>8150</v>
      </c>
      <c r="Y27" s="71">
        <v>457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6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28259.342117159998</v>
      </c>
      <c r="G28" s="91" ph="1">
        <f>G27*18.322*LOOKUP(G29,密度!$A$2:$A$50,密度!$B$2:$B$50)</f>
        <v>23129.711122000001</v>
      </c>
      <c r="H28" s="91" ph="1">
        <f>H27*18.322*LOOKUP(H29,密度!$A$2:$A$50,密度!$B$2:$B$50)</f>
        <v>18033.696001200002</v>
      </c>
      <c r="I28" s="91" ph="1">
        <f>I27*18.322*LOOKUP(I29,密度!$A$2:$A$50,密度!$Q$2:$Q$50)</f>
        <v>7901.5554306599997</v>
      </c>
      <c r="J28" s="91" ph="1">
        <f>J27*18.322*LOOKUP(J29,密度!$A$2:$A$50,密度!$Q$2:$Q$50)</f>
        <v>5706.8900221200001</v>
      </c>
      <c r="K28" s="91" ph="1">
        <f>K27*18.322*LOOKUP(K29,密度!$A$2:$A$50,密度!$Q$2:$Q$50)</f>
        <v>87405.506099420003</v>
      </c>
      <c r="L28" s="91" ph="1">
        <f>L27*18.322*LOOKUP(L29,密度!$A$2:$A$50,密度!$Q$2:$Q$50)</f>
        <v>8145.7536117400005</v>
      </c>
      <c r="M28" s="91" ph="1">
        <f>M27*18.322*LOOKUP(M29,密度!$A$2:$A$50,密度!$Q$2:$Q$50)</f>
        <v>92125.510357079998</v>
      </c>
      <c r="N28" s="91" ph="1">
        <f>N27*18.322*LOOKUP(N29,密度!$A$2:$A$50,密度!$Q$2:$Q$50)</f>
        <v>85869.904467619999</v>
      </c>
      <c r="O28" s="91" ph="1">
        <f>O27*18.322*LOOKUP(O29,密度!$A$2:$A$50,密度!$C$2:$C$50)</f>
        <v>116808.1806408</v>
      </c>
      <c r="P28" s="91" ph="1">
        <f>P27*11.702*LOOKUP(P29,密度!$A$2:$A$50,密度!$B$2:$B$50)</f>
        <v>3312.8830080000002</v>
      </c>
      <c r="Q28" s="92" ph="1">
        <f>Q27*18.322*LOOKUP(Q29,密度!$A$2:$A$50,密度!$B$2:$B$50)</f>
        <v>34881.3283256</v>
      </c>
      <c r="R28" s="91" ph="1">
        <f>R27*35.891*LOOKUP(R29,密度!$A$2:$A$50,密度!$C$2:$C$50)</f>
        <v>144912.65457239997</v>
      </c>
      <c r="S28" s="91" ph="1">
        <f>S27*35.891*LOOKUP(S29,密度!$A$2:$A$50,密度!$B$2:$B$50)</f>
        <v>121472.6875208</v>
      </c>
      <c r="T28" s="91" ph="1">
        <f>T27*35.891*LOOKUP(T29,密度!$A$2:$A$50,密度!$Q$2:$Q$50)</f>
        <v>4271.0738637499999</v>
      </c>
      <c r="U28" s="91" ph="1">
        <f>U27*35.891</f>
        <v>92706.452999999994</v>
      </c>
      <c r="V28" s="91" ph="1">
        <f>V27*47.051*LOOKUP(V29,密度!$A$2:$A$50,密度!$B$2:$B$50)</f>
        <v>360921.17746530002</v>
      </c>
      <c r="W28" s="91" ph="1">
        <f>W27*47.051*LOOKUP(W29,密度!$A$2:$A$50,密度!$B$2:$B$50)</f>
        <v>354019.31803140003</v>
      </c>
      <c r="X28" s="91" ph="1">
        <f>X27*47.051*LOOKUP(X29,密度!$A$2:$A$61,密度!$I$2:$I$61)</f>
        <v>396273.40271000005</v>
      </c>
      <c r="Y28" s="91" ph="1">
        <f>Y27*47.051*LOOKUP(Y29,密度!$A$2:$A$50,密度!$L$2:$L$50)</f>
        <v>20276.675500999998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6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18</v>
      </c>
      <c r="J29" s="74">
        <v>25</v>
      </c>
      <c r="K29" s="74">
        <v>18</v>
      </c>
      <c r="L29" s="74">
        <v>18</v>
      </c>
      <c r="M29" s="74">
        <v>25</v>
      </c>
      <c r="N29" s="74">
        <v>19</v>
      </c>
      <c r="O29" s="74">
        <v>19</v>
      </c>
      <c r="P29" s="74">
        <v>17</v>
      </c>
      <c r="Q29" s="93">
        <v>20</v>
      </c>
      <c r="R29" s="74">
        <v>19</v>
      </c>
      <c r="S29" s="74">
        <v>19</v>
      </c>
      <c r="T29" s="74">
        <v>18</v>
      </c>
      <c r="U29" s="74">
        <v>20</v>
      </c>
      <c r="V29" s="74">
        <v>20</v>
      </c>
      <c r="W29" s="74">
        <v>22</v>
      </c>
      <c r="X29" s="74">
        <v>33</v>
      </c>
      <c r="Y29" s="74">
        <v>19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214453.70539080002</v>
      </c>
      <c r="E33" s="187" ph="1">
        <f>M10+I10</f>
        <v>53453.877859200002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3" ph="1">
        <f>N19</f>
        <v>3802.4643008800003</v>
      </c>
      <c r="H33" s="187" ph="1">
        <f>M19</f>
        <v>27366.486288020002</v>
      </c>
      <c r="I33" s="191" ph="1">
        <v>0</v>
      </c>
      <c r="J33" s="195" ph="1">
        <f>F10+O28</f>
        <v>350028.0670794</v>
      </c>
      <c r="K33" s="187" ph="1">
        <f>O10+K10+E28+R28</f>
        <v>208357.41084491997</v>
      </c>
      <c r="L33" s="197" ph="1">
        <f>K19</f>
        <v>36185.497456639998</v>
      </c>
      <c r="M33" s="195" ph="1">
        <f>G10+H10+W28+S28+V28+E10+R19+P28+Q28</f>
        <v>1438092.63432478</v>
      </c>
      <c r="N33" s="187" ph="1">
        <f>L10+P10++G28+H28+AD19+AE19</f>
        <v>192440.22635720001</v>
      </c>
      <c r="O33" s="191" ph="1">
        <f>G19</f>
        <v>12750.364735680001</v>
      </c>
      <c r="P33" s="195" ph="1">
        <f>L19</f>
        <v>26527.03043296</v>
      </c>
      <c r="Q33" s="187" ph="1">
        <f>J10+N10</f>
        <v>36117.684875199993</v>
      </c>
      <c r="R33" s="191" ph="1">
        <f>BE23</f>
        <v>890</v>
      </c>
      <c r="S33" s="195" ph="1">
        <f>X28</f>
        <v>396273.40271000005</v>
      </c>
      <c r="T33" s="187" ph="1">
        <f>X19</f>
        <v>6728.7144352800005</v>
      </c>
      <c r="U33" s="176" ph="1">
        <f>BE21</f>
        <v>730</v>
      </c>
      <c r="V33" s="189" ph="1">
        <f ca="1">P19+Q19+S19+M28+N28+J28+D10+AC10+D19+E19+H19+J19+O19+V19+W19+K28+L28</f>
        <v>801312.21725730202</v>
      </c>
      <c r="W33" s="189" ph="1">
        <f>D28+F28+T28+I28</f>
        <v>42858.279334441999</v>
      </c>
      <c r="X33" s="191" ph="1">
        <f>BE29+BE31</f>
        <v>10200</v>
      </c>
      <c r="Y33" s="193" ph="1">
        <f>+Q10+R10+S10+T10+U10+V10+W10+X10+Y10</f>
        <v>216262.90515059998</v>
      </c>
      <c r="Z33" s="174" ph="1">
        <f>T19+U19+Y28+Z10</f>
        <v>255337.89392075999</v>
      </c>
      <c r="AA33" s="176" ph="1">
        <f>BE19</f>
        <v>1440</v>
      </c>
      <c r="AB33" s="178" ph="1">
        <f>I19</f>
        <v>51074.571179999999</v>
      </c>
      <c r="AC33" s="180" ph="1">
        <f>AD10+AB19</f>
        <v>154851.16029199999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4" t="s" ph="1">
        <v>185</v>
      </c>
      <c r="AA36" s="154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39" priority="100">
      <formula>ABS(D$7-D$10)&gt;=1000</formula>
    </cfRule>
  </conditionalFormatting>
  <conditionalFormatting sqref="E4 E6:E11">
    <cfRule type="expression" dxfId="1038" priority="99">
      <formula>ABS(E$7-E$10)&gt;=1000</formula>
    </cfRule>
  </conditionalFormatting>
  <conditionalFormatting sqref="F4:F11">
    <cfRule type="expression" dxfId="1037" priority="98">
      <formula>ABS(F$7-F$10)&gt;=1000</formula>
    </cfRule>
  </conditionalFormatting>
  <conditionalFormatting sqref="G4:G11">
    <cfRule type="expression" dxfId="1036" priority="97">
      <formula>ABS(G$7-G$10)&gt;=1000</formula>
    </cfRule>
  </conditionalFormatting>
  <conditionalFormatting sqref="H4:H11">
    <cfRule type="expression" dxfId="1035" priority="96">
      <formula>ABS(H$7-H$10)&gt;=1000</formula>
    </cfRule>
  </conditionalFormatting>
  <conditionalFormatting sqref="I4:I11">
    <cfRule type="expression" dxfId="1034" priority="95">
      <formula>ABS(I$7-I$10)&gt;=1000</formula>
    </cfRule>
  </conditionalFormatting>
  <conditionalFormatting sqref="J4:J11">
    <cfRule type="expression" dxfId="1033" priority="94">
      <formula>ABS(J$7-J$10)&gt;=1000</formula>
    </cfRule>
  </conditionalFormatting>
  <conditionalFormatting sqref="K4:K11">
    <cfRule type="expression" dxfId="1032" priority="93">
      <formula>ABS(K$7-K$10)&gt;=1000</formula>
    </cfRule>
  </conditionalFormatting>
  <conditionalFormatting sqref="L4:L11">
    <cfRule type="expression" dxfId="1031" priority="92">
      <formula>ABS(L$7-L$10)&gt;=1000</formula>
    </cfRule>
  </conditionalFormatting>
  <conditionalFormatting sqref="M4 M6:M11">
    <cfRule type="expression" dxfId="1030" priority="91">
      <formula>ABS(M$7-M$10)&gt;=1000</formula>
    </cfRule>
  </conditionalFormatting>
  <conditionalFormatting sqref="N4 N6:N11">
    <cfRule type="expression" dxfId="1029" priority="90">
      <formula>ABS(N$7-N$10)&gt;=1000</formula>
    </cfRule>
  </conditionalFormatting>
  <conditionalFormatting sqref="O4 O6:O11">
    <cfRule type="expression" dxfId="1028" priority="89">
      <formula>ABS(O$7-O$10)&gt;=1000</formula>
    </cfRule>
  </conditionalFormatting>
  <conditionalFormatting sqref="P4 P6:P11">
    <cfRule type="expression" dxfId="1027" priority="88">
      <formula>ABS(P$7-P$10)&gt;=1000</formula>
    </cfRule>
  </conditionalFormatting>
  <conditionalFormatting sqref="Q4:Q11">
    <cfRule type="expression" dxfId="1026" priority="87">
      <formula>ABS(Q$7-Q$10)&gt;=1000</formula>
    </cfRule>
  </conditionalFormatting>
  <conditionalFormatting sqref="R4:R11">
    <cfRule type="expression" dxfId="1025" priority="86">
      <formula>ABS(R$7-R$10)&gt;=1000</formula>
    </cfRule>
  </conditionalFormatting>
  <conditionalFormatting sqref="S4:S11">
    <cfRule type="expression" dxfId="1024" priority="85">
      <formula>ABS(S$7-S$10)&gt;=1000</formula>
    </cfRule>
  </conditionalFormatting>
  <conditionalFormatting sqref="T4:T9 T11">
    <cfRule type="expression" dxfId="1023" priority="84">
      <formula>ABS(T$7-T$10)&gt;=1000</formula>
    </cfRule>
  </conditionalFormatting>
  <conditionalFormatting sqref="U4:U9 U11">
    <cfRule type="expression" dxfId="1022" priority="83">
      <formula>ABS(U$7-U$10)&gt;=1000</formula>
    </cfRule>
  </conditionalFormatting>
  <conditionalFormatting sqref="V4:V9 V11">
    <cfRule type="expression" dxfId="1021" priority="82">
      <formula>ABS(V$7-V$10)&gt;=1000</formula>
    </cfRule>
  </conditionalFormatting>
  <conditionalFormatting sqref="W4:W9 W11">
    <cfRule type="expression" dxfId="1020" priority="81">
      <formula>ABS(W$7-W$10)&gt;=1000</formula>
    </cfRule>
  </conditionalFormatting>
  <conditionalFormatting sqref="X4:X9 X11">
    <cfRule type="expression" dxfId="1019" priority="80">
      <formula>ABS(X$7-X$10)&gt;=1000</formula>
    </cfRule>
  </conditionalFormatting>
  <conditionalFormatting sqref="Y4:Y9 Y11">
    <cfRule type="expression" dxfId="1018" priority="79">
      <formula>ABS(Y$7-Y$10)&gt;=1000</formula>
    </cfRule>
  </conditionalFormatting>
  <conditionalFormatting sqref="Z4:Z11">
    <cfRule type="expression" dxfId="1017" priority="78">
      <formula>ABS(Z$7-Z$10)&gt;=1000</formula>
    </cfRule>
  </conditionalFormatting>
  <conditionalFormatting sqref="AA4:AA11">
    <cfRule type="expression" dxfId="1016" priority="77">
      <formula>ABS(AA$7-AA$10)&gt;=1000</formula>
    </cfRule>
  </conditionalFormatting>
  <conditionalFormatting sqref="AB4:AB11">
    <cfRule type="expression" dxfId="1015" priority="76">
      <formula>ABS(AB$7-AB$10)&gt;=1000</formula>
    </cfRule>
  </conditionalFormatting>
  <conditionalFormatting sqref="AC4 AC6:AC11">
    <cfRule type="expression" dxfId="1014" priority="75">
      <formula>ABS(AC$7-AC$10)&gt;=1000</formula>
    </cfRule>
  </conditionalFormatting>
  <conditionalFormatting sqref="AD4 AD6:AD11">
    <cfRule type="expression" dxfId="1013" priority="74">
      <formula>ABS(AD$7-AD$10)&gt;=1000</formula>
    </cfRule>
  </conditionalFormatting>
  <conditionalFormatting sqref="AE4 AE6:AE11">
    <cfRule type="expression" dxfId="1012" priority="73">
      <formula>ABS(AE$7-AE$10)&gt;=1000</formula>
    </cfRule>
  </conditionalFormatting>
  <conditionalFormatting sqref="D13:D20">
    <cfRule type="expression" dxfId="1011" priority="72">
      <formula>ABS(D$16-D$19)&gt;=1000</formula>
    </cfRule>
  </conditionalFormatting>
  <conditionalFormatting sqref="E13:E20">
    <cfRule type="expression" dxfId="1010" priority="71">
      <formula>ABS(E$16-E$19)&gt;=1000</formula>
    </cfRule>
  </conditionalFormatting>
  <conditionalFormatting sqref="F13 F15:F20">
    <cfRule type="expression" dxfId="1009" priority="70">
      <formula>ABS(F$16-F$19)&gt;=1000</formula>
    </cfRule>
  </conditionalFormatting>
  <conditionalFormatting sqref="G13:G20">
    <cfRule type="expression" dxfId="1008" priority="69">
      <formula>ABS(G$16-G$19)&gt;=1000</formula>
    </cfRule>
  </conditionalFormatting>
  <conditionalFormatting sqref="H13 H15:H20">
    <cfRule type="expression" dxfId="1007" priority="68">
      <formula>ABS(H$16-H$19)&gt;=1000</formula>
    </cfRule>
  </conditionalFormatting>
  <conditionalFormatting sqref="I13:I20">
    <cfRule type="expression" dxfId="1006" priority="67">
      <formula>ABS(I$16-I$19)&gt;=1000</formula>
    </cfRule>
  </conditionalFormatting>
  <conditionalFormatting sqref="J13:J20">
    <cfRule type="expression" dxfId="1005" priority="66">
      <formula>ABS(J$16-J$19)&gt;=1000</formula>
    </cfRule>
  </conditionalFormatting>
  <conditionalFormatting sqref="L13:L20">
    <cfRule type="expression" dxfId="1004" priority="65">
      <formula>ABS(L$16-L$19)&gt;=1000</formula>
    </cfRule>
  </conditionalFormatting>
  <conditionalFormatting sqref="M13 M15 M17:M18 M20">
    <cfRule type="expression" dxfId="1003" priority="64">
      <formula>ABS(M$16-M$19)&gt;=1000</formula>
    </cfRule>
  </conditionalFormatting>
  <conditionalFormatting sqref="N13:N20">
    <cfRule type="expression" dxfId="1002" priority="63">
      <formula>ABS(N$16-N$19)&gt;=1000</formula>
    </cfRule>
  </conditionalFormatting>
  <conditionalFormatting sqref="O13:O20">
    <cfRule type="expression" dxfId="1001" priority="62">
      <formula>ABS(O$16-O$19)&gt;=1000</formula>
    </cfRule>
  </conditionalFormatting>
  <conditionalFormatting sqref="P13:P20">
    <cfRule type="expression" dxfId="1000" priority="61">
      <formula>ABS(P$16-P$19)&gt;=1000</formula>
    </cfRule>
  </conditionalFormatting>
  <conditionalFormatting sqref="Q13 Q15:Q20">
    <cfRule type="expression" dxfId="999" priority="60">
      <formula>ABS(Q$16-Q$19)&gt;=1000</formula>
    </cfRule>
  </conditionalFormatting>
  <conditionalFormatting sqref="R13:R20">
    <cfRule type="expression" dxfId="998" priority="59">
      <formula>ABS(R$16-R$19)&gt;=1000</formula>
    </cfRule>
  </conditionalFormatting>
  <conditionalFormatting sqref="S13:S20">
    <cfRule type="expression" dxfId="997" priority="58">
      <formula>ABS(S$16-S$19)&gt;=1000</formula>
    </cfRule>
  </conditionalFormatting>
  <conditionalFormatting sqref="T13:T20">
    <cfRule type="expression" dxfId="996" priority="57">
      <formula>ABS(T$16-T$19)&gt;=1000</formula>
    </cfRule>
  </conditionalFormatting>
  <conditionalFormatting sqref="U13:U20">
    <cfRule type="expression" dxfId="995" priority="56">
      <formula>ABS(U$16-U$19)&gt;=1000</formula>
    </cfRule>
  </conditionalFormatting>
  <conditionalFormatting sqref="V13:V20">
    <cfRule type="expression" dxfId="994" priority="55">
      <formula>ABS(V$16-V$19)&gt;=1000</formula>
    </cfRule>
  </conditionalFormatting>
  <conditionalFormatting sqref="W13 W20 W15:W18">
    <cfRule type="expression" dxfId="993" priority="54">
      <formula>ABS(W$16-W$19)&gt;=1000</formula>
    </cfRule>
  </conditionalFormatting>
  <conditionalFormatting sqref="X13 X15:X20 Y19">
    <cfRule type="expression" dxfId="992" priority="53">
      <formula>ABS(X$16-X$19)&gt;=1000</formula>
    </cfRule>
  </conditionalFormatting>
  <conditionalFormatting sqref="Y13 Y15:Y18 Y20">
    <cfRule type="expression" dxfId="991" priority="52">
      <formula>ABS(Y$16-Y$19)&gt;=1000</formula>
    </cfRule>
  </conditionalFormatting>
  <conditionalFormatting sqref="Z13:Z20">
    <cfRule type="expression" dxfId="990" priority="51">
      <formula>ABS(Z$16-Z$19)&gt;=1000</formula>
    </cfRule>
  </conditionalFormatting>
  <conditionalFormatting sqref="AA13:AA20">
    <cfRule type="expression" dxfId="989" priority="50">
      <formula>ABS(AA$16-AA$19)&gt;=1000</formula>
    </cfRule>
  </conditionalFormatting>
  <conditionalFormatting sqref="AB13 AB15:AB20">
    <cfRule type="expression" dxfId="988" priority="49">
      <formula>ABS(AB$16-AB$19)&gt;=1000</formula>
    </cfRule>
  </conditionalFormatting>
  <conditionalFormatting sqref="AC13 AC15:AC20">
    <cfRule type="expression" dxfId="987" priority="48">
      <formula>ABS(AC$16-AC$19)&gt;=1000</formula>
    </cfRule>
  </conditionalFormatting>
  <conditionalFormatting sqref="AD13:AD20">
    <cfRule type="expression" dxfId="986" priority="47">
      <formula>ABS(AD$16-AD$19)&gt;=1000</formula>
    </cfRule>
  </conditionalFormatting>
  <conditionalFormatting sqref="AE13:AE20">
    <cfRule type="expression" dxfId="985" priority="46">
      <formula>ABS(AE$16-AE$19)&gt;=1000</formula>
    </cfRule>
  </conditionalFormatting>
  <conditionalFormatting sqref="D22:D29">
    <cfRule type="expression" dxfId="984" priority="45">
      <formula>ABS(D$25-D$28)&gt;=1000</formula>
    </cfRule>
  </conditionalFormatting>
  <conditionalFormatting sqref="E22:E29">
    <cfRule type="expression" dxfId="983" priority="44">
      <formula>ABS(E$25-E$28)&gt;=1000</formula>
    </cfRule>
  </conditionalFormatting>
  <conditionalFormatting sqref="F22:F29">
    <cfRule type="expression" dxfId="982" priority="43">
      <formula>ABS(F$25-F$28)&gt;=1000</formula>
    </cfRule>
  </conditionalFormatting>
  <conditionalFormatting sqref="G22:G29">
    <cfRule type="expression" dxfId="981" priority="42">
      <formula>ABS(G$25-G$28)&gt;=1000</formula>
    </cfRule>
  </conditionalFormatting>
  <conditionalFormatting sqref="H22:H29">
    <cfRule type="expression" dxfId="980" priority="41">
      <formula>ABS(H$25-H$28)&gt;=1000</formula>
    </cfRule>
  </conditionalFormatting>
  <conditionalFormatting sqref="I22 I24:I29">
    <cfRule type="expression" dxfId="979" priority="40">
      <formula>ABS(I$25-I$28)&gt;=1000</formula>
    </cfRule>
  </conditionalFormatting>
  <conditionalFormatting sqref="J22:J29 K22">
    <cfRule type="expression" dxfId="978" priority="39">
      <formula>ABS(J$25-J$28)&gt;=1000</formula>
    </cfRule>
  </conditionalFormatting>
  <conditionalFormatting sqref="K23:K29 L25 L28">
    <cfRule type="expression" dxfId="977" priority="38">
      <formula>ABS(K$25-K$28)&gt;=1000</formula>
    </cfRule>
  </conditionalFormatting>
  <conditionalFormatting sqref="L22 L26:L27 L29 L24">
    <cfRule type="expression" dxfId="976" priority="37">
      <formula>ABS(L$25-L$28)&gt;=1000</formula>
    </cfRule>
  </conditionalFormatting>
  <conditionalFormatting sqref="M22:M29">
    <cfRule type="expression" dxfId="975" priority="36">
      <formula>ABS(M$25-M$28)&gt;=1000</formula>
    </cfRule>
  </conditionalFormatting>
  <conditionalFormatting sqref="N22:N29">
    <cfRule type="expression" dxfId="974" priority="35">
      <formula>ABS(N$25-N$28)&gt;=1000</formula>
    </cfRule>
  </conditionalFormatting>
  <conditionalFormatting sqref="O22:O29">
    <cfRule type="expression" dxfId="973" priority="34">
      <formula>ABS(O$25-O$28)&gt;=1000</formula>
    </cfRule>
  </conditionalFormatting>
  <conditionalFormatting sqref="P22:P29">
    <cfRule type="expression" dxfId="972" priority="33">
      <formula>ABS(P$25-P$28)&gt;=1000</formula>
    </cfRule>
  </conditionalFormatting>
  <conditionalFormatting sqref="Q22:Q29">
    <cfRule type="expression" dxfId="971" priority="32">
      <formula>ABS(Q$25-Q$28)&gt;=1000</formula>
    </cfRule>
  </conditionalFormatting>
  <conditionalFormatting sqref="R22:R29">
    <cfRule type="expression" dxfId="970" priority="31">
      <formula>ABS(R$25-R$28)&gt;=1000</formula>
    </cfRule>
  </conditionalFormatting>
  <conditionalFormatting sqref="S22:S29">
    <cfRule type="expression" dxfId="969" priority="30">
      <formula>ABS(S$25-S$28)&gt;=1000</formula>
    </cfRule>
  </conditionalFormatting>
  <conditionalFormatting sqref="T22:T29">
    <cfRule type="expression" dxfId="968" priority="29">
      <formula>ABS(T$25-T$28)&gt;=1000</formula>
    </cfRule>
  </conditionalFormatting>
  <conditionalFormatting sqref="U22:U29">
    <cfRule type="expression" dxfId="967" priority="28">
      <formula>ABS(U$25-U$28)&gt;=1000</formula>
    </cfRule>
  </conditionalFormatting>
  <conditionalFormatting sqref="V22:V29">
    <cfRule type="expression" dxfId="966" priority="27">
      <formula>ABS(V$25-V$28)&gt;=1000</formula>
    </cfRule>
  </conditionalFormatting>
  <conditionalFormatting sqref="W22:W29">
    <cfRule type="expression" dxfId="965" priority="26">
      <formula>ABS(W$25-W$28)&gt;=1000</formula>
    </cfRule>
  </conditionalFormatting>
  <conditionalFormatting sqref="X22:X29">
    <cfRule type="expression" dxfId="964" priority="25">
      <formula>ABS(X$25-X$28)&gt;=1000</formula>
    </cfRule>
  </conditionalFormatting>
  <conditionalFormatting sqref="Y22:Y29">
    <cfRule type="expression" dxfId="963" priority="24">
      <formula>ABS(Y$25-Y$28)&gt;=1000</formula>
    </cfRule>
  </conditionalFormatting>
  <conditionalFormatting sqref="I23">
    <cfRule type="expression" dxfId="962" priority="23">
      <formula>ABS(I$25-I$28)&gt;=1000</formula>
    </cfRule>
  </conditionalFormatting>
  <conditionalFormatting sqref="Q14">
    <cfRule type="expression" dxfId="961" priority="22">
      <formula>ABS(Q$16-Q$19)&gt;=1000</formula>
    </cfRule>
  </conditionalFormatting>
  <conditionalFormatting sqref="W14">
    <cfRule type="expression" dxfId="960" priority="21">
      <formula>ABS(W$16-W$19)&gt;=1000</formula>
    </cfRule>
  </conditionalFormatting>
  <conditionalFormatting sqref="X14">
    <cfRule type="expression" dxfId="959" priority="20">
      <formula>ABS(X$16-X$19)&gt;=1000</formula>
    </cfRule>
  </conditionalFormatting>
  <conditionalFormatting sqref="T10:Y10">
    <cfRule type="expression" dxfId="958" priority="19">
      <formula>ABS(T$7-T$10)&gt;=1000</formula>
    </cfRule>
  </conditionalFormatting>
  <conditionalFormatting sqref="W19">
    <cfRule type="expression" dxfId="957" priority="18">
      <formula>ABS(W$16-W$19)&gt;=1000</formula>
    </cfRule>
  </conditionalFormatting>
  <conditionalFormatting sqref="AC5">
    <cfRule type="expression" dxfId="956" priority="17">
      <formula>ABS(AC$7-AC$10)&gt;=1000</formula>
    </cfRule>
  </conditionalFormatting>
  <conditionalFormatting sqref="M14">
    <cfRule type="expression" dxfId="955" priority="16">
      <formula>ABS(M$16-M$19)&gt;=1000</formula>
    </cfRule>
  </conditionalFormatting>
  <conditionalFormatting sqref="M16">
    <cfRule type="expression" dxfId="954" priority="15">
      <formula>ABS(M$16-M$19)&gt;=1000</formula>
    </cfRule>
  </conditionalFormatting>
  <conditionalFormatting sqref="M19">
    <cfRule type="expression" dxfId="953" priority="14">
      <formula>ABS(M$16-M$19)&gt;=1000</formula>
    </cfRule>
  </conditionalFormatting>
  <conditionalFormatting sqref="K13:K20">
    <cfRule type="expression" dxfId="952" priority="13">
      <formula>ABS(K$16-K$19)&gt;=1000</formula>
    </cfRule>
  </conditionalFormatting>
  <conditionalFormatting sqref="E5">
    <cfRule type="expression" dxfId="951" priority="12">
      <formula>ABS(E$7-E$10)&gt;=1000</formula>
    </cfRule>
  </conditionalFormatting>
  <conditionalFormatting sqref="AB14:AC14">
    <cfRule type="expression" dxfId="950" priority="11">
      <formula>ABS(AB$16-AB$19)&gt;=1000</formula>
    </cfRule>
  </conditionalFormatting>
  <conditionalFormatting sqref="M5">
    <cfRule type="expression" dxfId="949" priority="10">
      <formula>ABS(M$7-M$10)&gt;=1000</formula>
    </cfRule>
  </conditionalFormatting>
  <conditionalFormatting sqref="N5">
    <cfRule type="expression" dxfId="948" priority="9">
      <formula>ABS(N$7-N$10)&gt;=1000</formula>
    </cfRule>
  </conditionalFormatting>
  <conditionalFormatting sqref="O5">
    <cfRule type="expression" dxfId="947" priority="8">
      <formula>ABS(O$7-O$10)&gt;=1000</formula>
    </cfRule>
  </conditionalFormatting>
  <conditionalFormatting sqref="P5">
    <cfRule type="expression" dxfId="946" priority="7">
      <formula>ABS(P$7-P$10)&gt;=1000</formula>
    </cfRule>
  </conditionalFormatting>
  <conditionalFormatting sqref="L23">
    <cfRule type="expression" dxfId="945" priority="6">
      <formula>ABS(L$25-L$28)&gt;=1000</formula>
    </cfRule>
  </conditionalFormatting>
  <conditionalFormatting sqref="Y14">
    <cfRule type="expression" dxfId="944" priority="5">
      <formula>ABS(Y$16-Y$19)&gt;=1000</formula>
    </cfRule>
  </conditionalFormatting>
  <conditionalFormatting sqref="F14">
    <cfRule type="expression" dxfId="943" priority="4">
      <formula>ABS(F$16-F$19)&gt;=1000</formula>
    </cfRule>
  </conditionalFormatting>
  <conditionalFormatting sqref="H14">
    <cfRule type="expression" dxfId="942" priority="3">
      <formula>ABS(H$16-H$19)&gt;=1000</formula>
    </cfRule>
  </conditionalFormatting>
  <conditionalFormatting sqref="AD5">
    <cfRule type="expression" dxfId="941" priority="2">
      <formula>ABS(AD$7-AD$10)&gt;=1000</formula>
    </cfRule>
  </conditionalFormatting>
  <conditionalFormatting sqref="AE5">
    <cfRule type="expression" dxfId="9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55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0">
    <pageSetUpPr fitToPage="1"/>
  </sheetPr>
  <dimension ref="A1:CU223"/>
  <sheetViews>
    <sheetView view="pageBreakPreview" topLeftCell="A7" zoomScale="70" zoomScaleNormal="100" zoomScaleSheetLayoutView="70" workbookViewId="0">
      <selection activeCell="N15" sqref="N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46104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3629</v>
      </c>
      <c r="E6" s="71">
        <v>2129</v>
      </c>
      <c r="F6" s="71">
        <v>6317</v>
      </c>
      <c r="G6" s="71">
        <v>8077</v>
      </c>
      <c r="H6" s="71">
        <v>2439</v>
      </c>
      <c r="I6" s="71">
        <v>53.35</v>
      </c>
      <c r="J6" s="71">
        <v>6.55</v>
      </c>
      <c r="K6" s="71">
        <v>7.34</v>
      </c>
      <c r="L6" s="71">
        <v>7.88</v>
      </c>
      <c r="M6" s="71">
        <v>1095</v>
      </c>
      <c r="N6" s="71">
        <v>1325</v>
      </c>
      <c r="O6" s="71">
        <v>2552</v>
      </c>
      <c r="P6" s="71">
        <v>1813</v>
      </c>
      <c r="Q6" s="71">
        <v>5118</v>
      </c>
      <c r="R6" s="71">
        <v>3</v>
      </c>
      <c r="S6" s="71">
        <v>0</v>
      </c>
      <c r="T6" s="71">
        <v>7111</v>
      </c>
      <c r="U6" s="71">
        <v>7025</v>
      </c>
      <c r="V6" s="71">
        <v>5928</v>
      </c>
      <c r="W6" s="71">
        <v>7073</v>
      </c>
      <c r="X6" s="71">
        <v>5342</v>
      </c>
      <c r="Y6" s="71">
        <v>5813</v>
      </c>
      <c r="Z6" s="71">
        <v>5863</v>
      </c>
      <c r="AA6" s="71">
        <v>4226</v>
      </c>
      <c r="AB6" s="71">
        <v>3315</v>
      </c>
      <c r="AC6" s="71">
        <v>4060</v>
      </c>
      <c r="AD6" s="71">
        <v>4780</v>
      </c>
      <c r="AE6" s="71">
        <v>4307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114362.72110683001</v>
      </c>
      <c r="E7" s="73" ph="1">
        <f>E6*51.53*LOOKUP(E8,密度!$A$2:$A$50,密度!$B$2:$B$50)</f>
        <v>86109.314713</v>
      </c>
      <c r="F7" s="73" ph="1">
        <f>F6*33.183*LOOKUP(F8,密度!$A$2:$A$50,密度!$C$2:$C$50)</f>
        <v>233219.88643859999</v>
      </c>
      <c r="G7" s="73" ph="1">
        <f xml:space="preserve"> (G6+2)*51.53*LOOKUP(G8,密度!$A$2:$A$50,密度!$B$2:$B$50)</f>
        <v>326429.35316699999</v>
      </c>
      <c r="H7" s="73" ph="1">
        <f>(H6)*51.53*LOOKUP(H8,密度!$A$2:$A$50,密度!$B$2:$B$50)</f>
        <v>98836.065287999998</v>
      </c>
      <c r="I7" s="73" ph="1">
        <f>I6*290.8*1.0267</f>
        <v>15928.408605999999</v>
      </c>
      <c r="J7" s="73" ph="1">
        <f>J6*290.8*0.7892</f>
        <v>1503.220808</v>
      </c>
      <c r="K7" s="73" ph="1">
        <f>K6*290.8*1.1126</f>
        <v>2374.8135472000004</v>
      </c>
      <c r="L7" s="73" ph="1">
        <f>L6*290.8*0.777</f>
        <v>1780.4986079999999</v>
      </c>
      <c r="M7" s="73" ph="1">
        <f>M6*33.183*LOOKUP(M8,密度!$A$2:$A$50,密度!$D$2:$D$50)</f>
        <v>37476.316089000007</v>
      </c>
      <c r="N7" s="73" ph="1">
        <f>N6*33.183*LOOKUP(N8,密度!$A$2:$A$50,密度!$E$2:$E$50)</f>
        <v>34593.609329999999</v>
      </c>
      <c r="O7" s="73" ph="1">
        <f>O6*20.428*LOOKUP(O8,密度!$A$2:$A$50,密度!$C$2:$C$50)</f>
        <v>57767.752873600002</v>
      </c>
      <c r="P7" s="73" ph="1">
        <f>P6*51.53*LOOKUP(P8,密度!$A$2:$A$50,密度!$B$2:$B$50)</f>
        <v>73328.411261000001</v>
      </c>
      <c r="Q7" s="73" ph="1">
        <f>Q6*1.5*1.5*3.1416*LOOKUP(W8,密度!$A$2:$A$50,密度!$L$2:$L$50)</f>
        <v>34006.469111999999</v>
      </c>
      <c r="R7" s="73" ph="1">
        <f>R6*1.5*1.5*3.1416*LOOKUP(R8,密度!$A$2:$A$50,密度!$L$2:$L$50)</f>
        <v>19.8486288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47550.514611599996</v>
      </c>
      <c r="U7" s="73" ph="1">
        <f>U6*1.5*1.5*3.1416*LOOKUP(U8,密度!$A$2:$A$50,密度!$L$2:$L$50)</f>
        <v>46776.813929999997</v>
      </c>
      <c r="V7" s="73" ph="1">
        <f>V6*1.5*1.5*3.1416*LOOKUP(V8,密度!$A$2:$A$50,密度!$L$2:$L$50)</f>
        <v>39262.793169600001</v>
      </c>
      <c r="W7" s="73" ph="1">
        <f>W6*1.5*1.5*3.1416*LOOKUP(W8,密度!$A$2:$A$50,密度!$L$2:$L$50)</f>
        <v>46996.435331999994</v>
      </c>
      <c r="X7" s="73" ph="1">
        <f>X6*1.5*1.5*3.1416*LOOKUP(X8,密度!$A$2:$A$50,密度!$L$2:$L$50)</f>
        <v>35910.198601199998</v>
      </c>
      <c r="Y7" s="73" ph="1">
        <f>Y6*1.5*1.5*3.1416*LOOKUP(Y8,密度!$A$2:$A$50,密度!$L$2:$L$50)</f>
        <v>38706.565035599997</v>
      </c>
      <c r="Z7" s="73" ph="1">
        <f>Z6*33.183*LOOKUP(Z8,密度!$A$2:$A$50,密度!$L$2:$L$50)</f>
        <v>184240.676763</v>
      </c>
      <c r="AA7" s="73" ph="1">
        <f>AA6*33.183*LOOKUP(AA8,密度!$A$2:$A$50,密度!$D$2:$D$50)</f>
        <v>144746.80772760001</v>
      </c>
      <c r="AB7" s="73" ph="1">
        <f>AB6*20.428*LOOKUP(AB8,密度!$A$2:$A$50,密度!$D$2:$D$50)</f>
        <v>70251.503868000014</v>
      </c>
      <c r="AC7" s="73" ph="1">
        <f>AC6*51.53*LOOKUP(AC8,密度!$A$2:$A$50,密度!$Q$2:$Q$50)</f>
        <v>199337.00304000001</v>
      </c>
      <c r="AD7" s="73" ph="1">
        <f>AD6*20.428*LOOKUP(AD8,密度!$A$2:$A$50,密度!$V$2:$V$50)</f>
        <v>94130.589760000003</v>
      </c>
      <c r="AE7" s="73" ph="1">
        <f>AE6*20.428</f>
        <v>87983.396000000008</v>
      </c>
    </row>
    <row r="8" spans="1:99" ph="1">
      <c r="B8" s="238" ph="1"/>
      <c r="C8" s="68" t="s" ph="1">
        <v>179</v>
      </c>
      <c r="D8" s="74">
        <v>21</v>
      </c>
      <c r="E8" s="74">
        <v>19</v>
      </c>
      <c r="F8" s="74">
        <v>20</v>
      </c>
      <c r="G8" s="74">
        <v>20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26</v>
      </c>
      <c r="P8" s="74">
        <v>19</v>
      </c>
      <c r="Q8" s="74">
        <v>21</v>
      </c>
      <c r="R8" s="74">
        <v>26</v>
      </c>
      <c r="S8" s="74">
        <v>16</v>
      </c>
      <c r="T8" s="74">
        <v>16</v>
      </c>
      <c r="U8" s="74">
        <v>20</v>
      </c>
      <c r="V8" s="74">
        <v>25</v>
      </c>
      <c r="W8" s="74">
        <v>22</v>
      </c>
      <c r="X8" s="74">
        <v>11</v>
      </c>
      <c r="Y8" s="74">
        <v>20</v>
      </c>
      <c r="Z8" s="74">
        <v>15</v>
      </c>
      <c r="AA8" s="74">
        <v>19</v>
      </c>
      <c r="AB8" s="74">
        <v>13</v>
      </c>
      <c r="AC8" s="74">
        <v>17</v>
      </c>
      <c r="AD8" s="74">
        <v>19</v>
      </c>
      <c r="AE8" s="74">
        <v>20</v>
      </c>
    </row>
    <row r="9" spans="1:99" ht="26.4" ph="1">
      <c r="B9" s="238" ph="1">
        <v>0.66666666666666663</v>
      </c>
      <c r="C9" s="157" t="s" ph="1">
        <v>180</v>
      </c>
      <c r="D9" s="71">
        <v>3631</v>
      </c>
      <c r="E9" s="71">
        <v>2129</v>
      </c>
      <c r="F9" s="71">
        <v>6317</v>
      </c>
      <c r="G9" s="71">
        <v>8085</v>
      </c>
      <c r="H9" s="71">
        <v>2439</v>
      </c>
      <c r="I9" s="71">
        <v>27.33</v>
      </c>
      <c r="J9" s="71">
        <v>6.55</v>
      </c>
      <c r="K9" s="71">
        <v>7.29</v>
      </c>
      <c r="L9" s="71">
        <v>7.83</v>
      </c>
      <c r="M9" s="71">
        <v>1096</v>
      </c>
      <c r="N9" s="71">
        <v>1096</v>
      </c>
      <c r="O9" s="71">
        <v>2553</v>
      </c>
      <c r="P9" s="71">
        <v>1771</v>
      </c>
      <c r="Q9" s="71">
        <v>7066</v>
      </c>
      <c r="R9" s="71">
        <v>3807</v>
      </c>
      <c r="S9" s="71">
        <v>0</v>
      </c>
      <c r="T9" s="71">
        <v>6282</v>
      </c>
      <c r="U9" s="71">
        <v>7033</v>
      </c>
      <c r="V9" s="71">
        <v>5935</v>
      </c>
      <c r="W9" s="71">
        <v>7083</v>
      </c>
      <c r="X9" s="71">
        <v>5348</v>
      </c>
      <c r="Y9" s="71">
        <v>5821</v>
      </c>
      <c r="Z9" s="71">
        <v>5082</v>
      </c>
      <c r="AA9" s="71">
        <v>4229</v>
      </c>
      <c r="AB9" s="71">
        <v>3316</v>
      </c>
      <c r="AC9" s="71">
        <v>4060</v>
      </c>
      <c r="AD9" s="71">
        <v>4780</v>
      </c>
      <c r="AE9" s="71">
        <v>4148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114246.22189860001</v>
      </c>
      <c r="E10" s="73" ph="1">
        <f>E9*51.53*LOOKUP(E11,密度!$A$2:$A$50,密度!$B$2:$B$50)</f>
        <v>85725.338917999994</v>
      </c>
      <c r="F10" s="73" ph="1">
        <f>F9*33.183*LOOKUP(F11,密度!$A$2:$A$50,密度!$C$2:$C$50)</f>
        <v>233073.15453090004</v>
      </c>
      <c r="G10" s="73" ph="1">
        <f xml:space="preserve"> (G9+2)*51.53*LOOKUP(G11,密度!$A$2:$A$50,密度!$B$2:$B$50)</f>
        <v>326002.48895299999</v>
      </c>
      <c r="H10" s="73" ph="1">
        <f>(H9)*51.53*LOOKUP(H11,密度!$A$2:$A$50,密度!$B$2:$B$50)</f>
        <v>98433.883944000001</v>
      </c>
      <c r="I10" s="73" ph="1">
        <f>I9*290.8*1.0267</f>
        <v>8159.7639587999993</v>
      </c>
      <c r="J10" s="73" ph="1">
        <f>J9*290.8*0.7892</f>
        <v>1503.220808</v>
      </c>
      <c r="K10" s="73" ph="1">
        <f>K9*290.8*1.1126</f>
        <v>2358.6363432000003</v>
      </c>
      <c r="L10" s="73" ph="1">
        <f>L9*290.8*0.777</f>
        <v>1769.201028</v>
      </c>
      <c r="M10" s="73" ph="1">
        <f>M9*33.183*LOOKUP(M11,密度!$A$2:$A$50,密度!$D$2:$D$50)</f>
        <v>37372.340476800004</v>
      </c>
      <c r="N10" s="73" ph="1">
        <f>N9*33.183*LOOKUP(N11,密度!$A$2:$A$50,密度!$E$2:$E$50)</f>
        <v>28527.504739199998</v>
      </c>
      <c r="O10" s="73" ph="1">
        <f>O9*20.428*LOOKUP(O11,密度!$A$2:$A$50,密度!$C$2:$C$50)</f>
        <v>57675.65323560001</v>
      </c>
      <c r="P10" s="73" ph="1">
        <f>P9*51.53*LOOKUP(P11,密度!$A$2:$A$50,密度!$B$2:$B$50)</f>
        <v>71474.542216000002</v>
      </c>
      <c r="Q10" s="73" ph="1">
        <f>Q9*1.5*1.5*3.1416*LOOKUP(W11,密度!$A$2:$A$50,密度!$L$2:$L$50)</f>
        <v>46949.923943999995</v>
      </c>
      <c r="R10" s="73" ph="1">
        <f>R9*1.5*1.5*3.1416*LOOKUP(R11,密度!$A$2:$A$50,密度!$L$2:$L$50)</f>
        <v>25107.179466599999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41962.673214000002</v>
      </c>
      <c r="U10" s="73" ph="1">
        <f>U9*1.5*1.5*3.1416*LOOKUP(U11,密度!$A$2:$A$50,密度!$L$2:$L$50)</f>
        <v>46780.369435799992</v>
      </c>
      <c r="V10" s="73" ph="1">
        <f>V9*1.5*1.5*3.1416*LOOKUP(V11,密度!$A$2:$A$50,密度!$L$2:$L$50)</f>
        <v>39183.299694000001</v>
      </c>
      <c r="W10" s="73" ph="1">
        <f>W9*1.5*1.5*3.1416*LOOKUP(W11,密度!$A$2:$A$50,密度!$L$2:$L$50)</f>
        <v>47062.880171999997</v>
      </c>
      <c r="X10" s="73" ph="1">
        <f>X9*1.5*1.5*3.1416*LOOKUP(X11,密度!$A$2:$A$50,密度!$L$2:$L$50)</f>
        <v>35874.926287199996</v>
      </c>
      <c r="Y10" s="73" ph="1">
        <f>Y9*1.5*1.5*3.1416*LOOKUP(Y11,密度!$A$2:$A$50,密度!$L$2:$L$50)</f>
        <v>38677.541363999997</v>
      </c>
      <c r="Z10" s="73" ph="1">
        <f>Z9*33.183*LOOKUP(Z11,密度!$A$2:$A$50,密度!$L$2:$L$50)</f>
        <v>159192.38966399999</v>
      </c>
      <c r="AA10" s="73" ph="1">
        <f>AA9*33.183*LOOKUP(AA11,密度!$A$2:$A$50,密度!$D$2:$D$50)</f>
        <v>144204.04003320003</v>
      </c>
      <c r="AB10" s="73" ph="1">
        <f>AB9*20.428*LOOKUP(AB11,密度!$A$2:$A$50,密度!$D$2:$D$50)</f>
        <v>70150.76522880001</v>
      </c>
      <c r="AC10" s="73" ph="1">
        <f>AC9*51.53*LOOKUP(AC11,密度!$A$2:$A$50,密度!$Q$2:$Q$50)</f>
        <v>198686.35434200004</v>
      </c>
      <c r="AD10" s="73" ph="1">
        <f>AD9*20.428*LOOKUP(AD11,密度!$A$2:$A$50,密度!$V$2:$V$50)</f>
        <v>93818.123072000002</v>
      </c>
      <c r="AE10" s="73" ph="1">
        <f>AE9*20.428</f>
        <v>84735.343999999997</v>
      </c>
    </row>
    <row r="11" spans="1:99" ph="1">
      <c r="A11" s="64" t="s" ph="1">
        <v>162</v>
      </c>
      <c r="B11" s="238" ph="1"/>
      <c r="C11" s="157" t="s" ph="1">
        <v>179</v>
      </c>
      <c r="D11" s="74">
        <v>23</v>
      </c>
      <c r="E11" s="74">
        <v>23</v>
      </c>
      <c r="F11" s="74">
        <v>21</v>
      </c>
      <c r="G11" s="74">
        <v>22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24</v>
      </c>
      <c r="O11" s="74">
        <v>29</v>
      </c>
      <c r="P11" s="74">
        <v>21</v>
      </c>
      <c r="Q11" s="74">
        <v>24</v>
      </c>
      <c r="R11" s="74">
        <v>29</v>
      </c>
      <c r="S11" s="74">
        <v>21</v>
      </c>
      <c r="T11" s="74">
        <v>17</v>
      </c>
      <c r="U11" s="74">
        <v>21</v>
      </c>
      <c r="V11" s="74">
        <v>28</v>
      </c>
      <c r="W11" s="74">
        <v>22</v>
      </c>
      <c r="X11" s="74">
        <v>13</v>
      </c>
      <c r="Y11" s="74">
        <v>22</v>
      </c>
      <c r="Z11" s="74">
        <v>18</v>
      </c>
      <c r="AA11" s="74">
        <v>24</v>
      </c>
      <c r="AB11" s="74">
        <v>15</v>
      </c>
      <c r="AC11" s="74">
        <v>21</v>
      </c>
      <c r="AD11" s="74">
        <v>22</v>
      </c>
      <c r="AE11" s="74">
        <v>24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5442</v>
      </c>
      <c r="E15" s="78">
        <v>5484</v>
      </c>
      <c r="F15" s="78">
        <v>5060</v>
      </c>
      <c r="G15" s="78">
        <v>1793</v>
      </c>
      <c r="H15" s="78">
        <v>1043</v>
      </c>
      <c r="I15" s="78">
        <v>5464</v>
      </c>
      <c r="J15" s="78">
        <v>413</v>
      </c>
      <c r="K15" s="78">
        <v>3583</v>
      </c>
      <c r="L15" s="78">
        <v>3715</v>
      </c>
      <c r="M15" s="78">
        <v>3437</v>
      </c>
      <c r="N15" s="78">
        <v>3440</v>
      </c>
      <c r="O15" s="78">
        <v>4982</v>
      </c>
      <c r="P15" s="78">
        <v>4606</v>
      </c>
      <c r="Q15" s="78">
        <v>1277</v>
      </c>
      <c r="R15" s="78">
        <v>7390</v>
      </c>
      <c r="S15" s="78">
        <v>0</v>
      </c>
      <c r="T15" s="78">
        <v>4204</v>
      </c>
      <c r="U15" s="78">
        <v>2099</v>
      </c>
      <c r="V15" s="78">
        <v>3084</v>
      </c>
      <c r="W15" s="71">
        <v>-172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7149</v>
      </c>
      <c r="AC15" s="78" ph="1">
        <v>7115</v>
      </c>
      <c r="AD15" s="78">
        <v>76.42</v>
      </c>
      <c r="AE15" s="78">
        <v>84.3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36197.749249199995</v>
      </c>
      <c r="E16" s="73" ph="1">
        <f>E15*7.0686*LOOKUP(E17,密度!$A$2:$A$50,密度!$L$2:$L$50)</f>
        <v>36477.114458399999</v>
      </c>
      <c r="F16" s="73" ph="1">
        <f>F15*9.0746*LOOKUP(F17,密度!$A$2:$A$50,密度!$L$2:$L$50)</f>
        <v>43254.262391999997</v>
      </c>
      <c r="G16" s="73" ph="1">
        <f>G15*9.0746*LOOKUP(G17,密度!$A$2:$A$50,密度!$B$2:$B$50)</f>
        <v>12757.901190980001</v>
      </c>
      <c r="H16" s="73" ph="1">
        <f>H15*9.0746*LOOKUP(H17,密度!$A$2:$A$50,密度!$L$2:$L$50)</f>
        <v>8963.1729866000005</v>
      </c>
      <c r="I16" s="73" ph="1">
        <f>I15*9.0746*LOOKUP(I17,密度!$A$2:$A$50,密度!$U$2:$U$50)</f>
        <v>50971.955603199996</v>
      </c>
      <c r="J16" s="73" ph="1">
        <f>J15*9.0746*LOOKUP(J17,密度!$A$2:$A$50,密度!$L$2:$L$50)</f>
        <v>3530.4368316</v>
      </c>
      <c r="K16" s="73" ph="1">
        <f>K15*9.0746*LOOKUP(K17,密度!$A$2:$A$50,密度!$C$2:$C$50)</f>
        <v>36194.909631759998</v>
      </c>
      <c r="L16" s="73" ph="1">
        <f>L15*9.0746*LOOKUP(L17,密度!$A$2:$A$50,密度!$E$2:$E$50)</f>
        <v>26565.165532000003</v>
      </c>
      <c r="M16" s="73" ph="1">
        <f>M15*9.0746*LOOKUP(M17,密度!$A$2:$A$50,密度!$M$2:$M$50)</f>
        <v>27353.103975400001</v>
      </c>
      <c r="N16" s="73" ph="1">
        <f>N15*9.0746*LOOKUP(N17,密度!$A$2:$A$50,密度!$M$2:$M$50)</f>
        <v>27479.9941072</v>
      </c>
      <c r="O16" s="73" ph="1">
        <f>O15*9.0746*LOOKUP(O17,密度!$A$2:$A$50,密度!$G$2:$G$50)</f>
        <v>43573.067609359998</v>
      </c>
      <c r="P16" s="73" ph="1">
        <f ca="1">P15*9.0746*LOOKUP(P17,密度!$A$2:$A$51,密度!$Q$2:$Q$50)</f>
        <v>39694.769961644008</v>
      </c>
      <c r="Q16" s="73" ph="1">
        <f>Q15*9.0746*LOOKUP(Q17,密度!$A$2:$A$50,密度!$Q$2:$Q$50)</f>
        <v>11005.258628097999</v>
      </c>
      <c r="R16" s="73" ph="1">
        <f>MAX(R15*9.0746*LOOKUP(R17,密度!$A$2:$A$50,密度!$B$2:$B$50),0)</f>
        <v>52462.050296199996</v>
      </c>
      <c r="S16" s="73" ph="1">
        <f>S15*9.0746*LOOKUP(S17,密度!$A$2:$A$50,密度!$Q$2:$Q$50)</f>
        <v>0</v>
      </c>
      <c r="T16" s="73" ph="1">
        <f>T15*9.0746*LOOKUP(T17,密度!$A$2:$A$50,密度!$O$2:$O$50)</f>
        <v>35479.145111999998</v>
      </c>
      <c r="U16" s="73" ph="1">
        <f>U15*9.0746*LOOKUP(U17,密度!$A$2:$A$50,密度!$H$2:$H$50)</f>
        <v>17537.11187778</v>
      </c>
      <c r="V16" s="73" ph="1">
        <f>MAX(5600*LOOKUP(V17,密度!$A$2:$A$50,密度!$Q$2:$Q$50)+V15*9.0476*LOOKUP(V17,密度!$A$2:$A$50,密度!$Q$2:$Q$50),0)</f>
        <v>31817.272612495995</v>
      </c>
      <c r="W16" s="73" ph="1">
        <f>MAX(5600*LOOKUP(W17,密度!$A$2:$A$50,密度!$Q$2:$Q$50)+W15*9.0476*LOOKUP(W17,密度!$A$2:$A$50,密度!$Q$2:$Q$50),0)</f>
        <v>3840.3685780320002</v>
      </c>
      <c r="X16" s="73" ph="1">
        <f>MAX(5600*LOOKUP(X17,密度!$A$2:$A$50,密度!$I$2:$I$50)+X15*9.0476*LOOKUP(X17,密度!$A$2:$A$50,密度!$I$2:$I$50),0)</f>
        <v>6726.3389294400004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61046.730791399998</v>
      </c>
      <c r="AC16" s="73" ph="1">
        <f>AC15*9.0746*LOOKUP(AC17,密度!$A$2:$A$50,密度!$L$2:$L$50)</f>
        <v>60950.095375999997</v>
      </c>
      <c r="AD16" s="73" ph="1">
        <f>AD15*268.68*LOOKUP(AD17,密度!$A$2:$A$50,密度!B2:B50)+IF(AD15&lt;=0,0,1566*LOOKUP(AD17,密度!$A$2:$A$50,密度!B2:B50))</f>
        <v>17228.010557760001</v>
      </c>
      <c r="AE16" s="73" ph="1">
        <f>AE15*268.68*LOOKUP(AE17,密度!$A$2:$A$50,密度!B2:B50)+IF(AE15&lt;=0,0,1566*LOOKUP(AE17,密度!$A$2:$A$50,密度!B2:B50))</f>
        <v>18878.578430399997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20</v>
      </c>
      <c r="G17" s="74">
        <v>20</v>
      </c>
      <c r="H17" s="74">
        <v>15</v>
      </c>
      <c r="I17" s="74">
        <v>19</v>
      </c>
      <c r="J17" s="74">
        <v>20</v>
      </c>
      <c r="K17" s="74">
        <v>19</v>
      </c>
      <c r="L17" s="74">
        <v>21</v>
      </c>
      <c r="M17" s="74">
        <v>23</v>
      </c>
      <c r="N17" s="74">
        <v>20</v>
      </c>
      <c r="O17" s="74">
        <v>22</v>
      </c>
      <c r="P17" s="74">
        <v>21</v>
      </c>
      <c r="Q17" s="74">
        <v>21</v>
      </c>
      <c r="R17" s="74">
        <v>22</v>
      </c>
      <c r="S17" s="74">
        <v>20</v>
      </c>
      <c r="T17" s="74">
        <v>21</v>
      </c>
      <c r="U17" s="74">
        <v>19</v>
      </c>
      <c r="V17" s="74">
        <v>21</v>
      </c>
      <c r="W17" s="74">
        <v>21</v>
      </c>
      <c r="X17" s="74">
        <v>22</v>
      </c>
      <c r="Y17" s="108">
        <v>22</v>
      </c>
      <c r="Z17" s="74">
        <v>20</v>
      </c>
      <c r="AA17" s="74">
        <v>18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5453</v>
      </c>
      <c r="E18" s="71">
        <v>5873</v>
      </c>
      <c r="F18" s="71">
        <v>5062</v>
      </c>
      <c r="G18" s="71">
        <v>1794</v>
      </c>
      <c r="H18" s="71">
        <v>1043</v>
      </c>
      <c r="I18" s="71">
        <v>5468</v>
      </c>
      <c r="J18" s="71">
        <v>414</v>
      </c>
      <c r="K18" s="71">
        <v>3585</v>
      </c>
      <c r="L18" s="71">
        <v>3723</v>
      </c>
      <c r="M18" s="71">
        <v>1717</v>
      </c>
      <c r="N18" s="71">
        <v>5684</v>
      </c>
      <c r="O18" s="71">
        <v>4988</v>
      </c>
      <c r="P18" s="71">
        <v>4612</v>
      </c>
      <c r="Q18" s="71">
        <v>1280</v>
      </c>
      <c r="R18" s="71">
        <v>7400</v>
      </c>
      <c r="S18" s="71">
        <v>0</v>
      </c>
      <c r="T18" s="71">
        <v>3866</v>
      </c>
      <c r="U18" s="71">
        <v>2098</v>
      </c>
      <c r="V18" s="71">
        <v>3085</v>
      </c>
      <c r="W18" s="71">
        <v>-173</v>
      </c>
      <c r="X18" s="71">
        <v>92</v>
      </c>
      <c r="Y18" s="109">
        <v>-9900</v>
      </c>
      <c r="Z18" s="71">
        <v>0</v>
      </c>
      <c r="AA18" s="71">
        <v>8</v>
      </c>
      <c r="AB18" s="71">
        <v>7158</v>
      </c>
      <c r="AC18" s="71">
        <v>7123</v>
      </c>
      <c r="AD18" s="71">
        <v>76.510000000000005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36001.100797200001</v>
      </c>
      <c r="E19" s="73" ph="1">
        <f>E18*7.0686*LOOKUP(E20,密度!$A$2:$A$50,密度!$L$2:$L$50)</f>
        <v>38773.971205199996</v>
      </c>
      <c r="F19" s="73" ph="1">
        <f>F18*9.0746*LOOKUP(F20,密度!$A$2:$A$50,密度!$L$2:$L$50)</f>
        <v>42995.745187200002</v>
      </c>
      <c r="G19" s="73" ph="1">
        <f>G18*9.0746*LOOKUP(G20,密度!$A$2:$A$50,密度!$B$2:$B$50)</f>
        <v>12721.061037360001</v>
      </c>
      <c r="H19" s="73" ph="1">
        <f>H18*9.0746*LOOKUP(H20,密度!$A$2:$A$50,密度!$L$2:$L$50)</f>
        <v>8915.8489475999995</v>
      </c>
      <c r="I19" s="73" ph="1">
        <f>I18*9.0746*LOOKUP(I20,密度!$A$2:$A$50,密度!$U$2:$U$50)</f>
        <v>50860.410619999995</v>
      </c>
      <c r="J19" s="73" ph="1">
        <f>J18*9.0746*LOOKUP(J20,密度!$A$2:$A$50,密度!$L$2:$L$50)</f>
        <v>3516.4437984000001</v>
      </c>
      <c r="K19" s="73" ph="1">
        <f>K18*9.0746*LOOKUP(K20,密度!$A$2:$A$50,密度!$C$2:$C$50)</f>
        <v>36146.7951951</v>
      </c>
      <c r="L19" s="73" ph="1">
        <f>L18*9.0746*LOOKUP(L20,密度!$A$2:$A$50,密度!$E$2:$E$50)</f>
        <v>26541.28844448</v>
      </c>
      <c r="M19" s="73" ph="1">
        <f>M18*9.0746*LOOKUP(M20,密度!$A$2:$A$50,密度!$M$2:$M$50)</f>
        <v>13635.01028382</v>
      </c>
      <c r="N19" s="73" ph="1">
        <f>N18*9.0746*LOOKUP(N20,密度!$A$2:$A$50,密度!$M$2:$M$50)</f>
        <v>45287.263179200003</v>
      </c>
      <c r="O19" s="73" ph="1">
        <f>O18*9.0746*LOOKUP(O20,密度!$A$2:$A$50,密度!$G$2:$G$50)</f>
        <v>43462.593428960005</v>
      </c>
      <c r="P19" s="73" ph="1">
        <f ca="1">P18*9.0746*LOOKUP(P20,密度!$A$2:$A$51,密度!$Q$2:$Q$50)</f>
        <v>39593.299780856003</v>
      </c>
      <c r="Q19" s="73" ph="1">
        <f>Q18*9.0746*LOOKUP(Q20,密度!$A$2:$A$50,密度!$Q$2:$Q$50)</f>
        <v>10972.222274560001</v>
      </c>
      <c r="R19" s="73" ph="1">
        <f>MAX(R18*9.0746*LOOKUP(R20,密度!$A$2:$A$50,密度!$B$2:$B$50),0)</f>
        <v>52291.293548000001</v>
      </c>
      <c r="S19" s="73" ph="1">
        <f>S18*9.0746*LOOKUP(S20,密度!$A$2:$A$50,密度!$Q$2:$Q$50)</f>
        <v>0</v>
      </c>
      <c r="T19" s="73" ph="1">
        <f>T18*9.0746*LOOKUP(T20,密度!$A$2:$A$50,密度!$O$2:$O$50)</f>
        <v>32486.305733599998</v>
      </c>
      <c r="U19" s="73" ph="1">
        <f>U18*9.0746*LOOKUP(U20,密度!$A$2:$A$50,密度!$H$2:$H$50)</f>
        <v>17473.545212239998</v>
      </c>
      <c r="V19" s="73" ph="1">
        <f>MAX(5600*LOOKUP(V20,密度!$A$2:$A$50,密度!$Q$2:$Q$50)+V18*9.0476*LOOKUP(V20,密度!$A$2:$A$50,密度!$Q$2:$Q$50),0)</f>
        <v>31751.468729619999</v>
      </c>
      <c r="W19" s="73" ph="1">
        <f>MAX(5600*LOOKUP(W20,密度!$A$2:$A$50,密度!$Q$2:$Q$50)+W18*9.0476*LOOKUP(W20,密度!$A$2:$A$50,密度!$Q$2:$Q$50),0)</f>
        <v>3822.818984044</v>
      </c>
      <c r="X19" s="73" ph="1">
        <f>MAX(5600*LOOKUP(X20,密度!$A$2:$A$50,密度!$I$2:$I$50)+X18*9.0476*LOOKUP(X20,密度!$A$2:$A$50,密度!$I$2:$I$50),0)</f>
        <v>6711.5444572800006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56.661802399999999</v>
      </c>
      <c r="AB19" s="73" ph="1">
        <f>AB18*9.0746*LOOKUP(AB20,密度!$A$2:$A$50,密度!$L$2:$L$50)</f>
        <v>60993.671605199997</v>
      </c>
      <c r="AC19" s="73" ph="1">
        <f>AC18*9.0746*LOOKUP(AC20,密度!$A$2:$A$50,密度!$L$2:$L$50)</f>
        <v>60695.434876200001</v>
      </c>
      <c r="AD19" s="73" ph="1">
        <f>AD18*268.68*LOOKUP(AD20,密度!$A$2:$A$50,密度!B5:B53)+IF(AD18&lt;=0,0,1566*LOOKUP(AD20,密度!$A$2:$A$50,密度!B5:B53))</f>
        <v>17189.343183600002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28</v>
      </c>
      <c r="E20" s="81">
        <v>28</v>
      </c>
      <c r="F20" s="81">
        <v>26</v>
      </c>
      <c r="G20" s="81">
        <v>23</v>
      </c>
      <c r="H20" s="81">
        <v>20</v>
      </c>
      <c r="I20" s="81">
        <v>25</v>
      </c>
      <c r="J20" s="81">
        <v>26</v>
      </c>
      <c r="K20" s="81">
        <v>22</v>
      </c>
      <c r="L20" s="81">
        <v>23</v>
      </c>
      <c r="M20" s="81">
        <v>25</v>
      </c>
      <c r="N20" s="81">
        <v>22</v>
      </c>
      <c r="O20" s="81">
        <v>25</v>
      </c>
      <c r="P20" s="81">
        <v>26</v>
      </c>
      <c r="Q20" s="81">
        <v>28</v>
      </c>
      <c r="R20" s="81">
        <v>26</v>
      </c>
      <c r="S20" s="81">
        <v>27</v>
      </c>
      <c r="T20" s="81">
        <v>25</v>
      </c>
      <c r="U20" s="81">
        <v>22</v>
      </c>
      <c r="V20" s="81">
        <v>24</v>
      </c>
      <c r="W20" s="81">
        <v>24</v>
      </c>
      <c r="X20" s="81">
        <v>24</v>
      </c>
      <c r="Y20" s="110">
        <v>24</v>
      </c>
      <c r="Z20" s="81">
        <v>28</v>
      </c>
      <c r="AA20" s="81">
        <v>24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647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3.18</v>
      </c>
      <c r="E24" s="71">
        <v>5.42</v>
      </c>
      <c r="F24" s="71">
        <v>2563</v>
      </c>
      <c r="G24" s="71">
        <v>1611</v>
      </c>
      <c r="H24" s="71">
        <v>1255</v>
      </c>
      <c r="I24" s="71">
        <v>453</v>
      </c>
      <c r="J24" s="71">
        <v>332</v>
      </c>
      <c r="K24" s="71">
        <v>5010</v>
      </c>
      <c r="L24" s="71">
        <v>468</v>
      </c>
      <c r="M24" s="71">
        <v>5311</v>
      </c>
      <c r="N24" s="71">
        <v>4933</v>
      </c>
      <c r="O24" s="71">
        <v>5728</v>
      </c>
      <c r="P24" s="71">
        <v>361</v>
      </c>
      <c r="Q24" s="90">
        <v>2428</v>
      </c>
      <c r="R24" s="71">
        <v>3628</v>
      </c>
      <c r="S24" s="71">
        <v>4314</v>
      </c>
      <c r="T24" s="71">
        <v>215</v>
      </c>
      <c r="U24" s="71">
        <v>2729</v>
      </c>
      <c r="V24" s="71">
        <v>10261</v>
      </c>
      <c r="W24" s="71">
        <v>10100</v>
      </c>
      <c r="X24" s="71">
        <v>7668</v>
      </c>
      <c r="Y24" s="71">
        <v>457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2291.4917681759998</v>
      </c>
      <c r="E25" s="91" ph="1">
        <f>E24*268.68*LOOKUP(E26,密度!$A$2:$A$50,密度!$C$2:$C$50)+IF(E24&lt;=0,0,1566*LOOKUP(E26,密度!$A$2:$A$50,密度!$C$2:$C$50))</f>
        <v>3351.3681458399997</v>
      </c>
      <c r="F25" s="91" ph="1">
        <f>F24*11.702*LOOKUP(F26,密度!$A$2:$A$50,密度!$Q$2:$Q$50)</f>
        <v>28504.011745879998</v>
      </c>
      <c r="G25" s="91" ph="1">
        <f>G24*18.322*LOOKUP(G26,密度!$A$2:$A$50,密度!$B$2:$B$50)</f>
        <v>23167.690795800001</v>
      </c>
      <c r="H25" s="91" ph="1">
        <f>H24*18.322*LOOKUP(H26,密度!$A$2:$A$50,密度!$B$2:$B$50)</f>
        <v>18066.472226999998</v>
      </c>
      <c r="I25" s="91" ph="1">
        <f>I24*18.322*LOOKUP(I26,密度!$A$2:$A$50,密度!$Q$2:$Q$50)</f>
        <v>7901.5554306599997</v>
      </c>
      <c r="J25" s="91" ph="1">
        <f>J24*18.322*LOOKUP(J26,密度!$A$2:$A$50,密度!$Q$2:$Q$50)</f>
        <v>5786.24077192</v>
      </c>
      <c r="K25" s="91" ph="1">
        <f>K24*18.322*LOOKUP(K26,密度!$A$2:$A$50,密度!$Q$2:$Q$50)</f>
        <v>87388.063372200006</v>
      </c>
      <c r="L25" s="91" ph="1">
        <f>L24*18.322*LOOKUP(L26,密度!$A$2:$A$50,密度!$Q$2:$Q$50)</f>
        <v>8169.9703487999996</v>
      </c>
      <c r="M25" s="91" ph="1">
        <f>M24*18.322*LOOKUP(M26,密度!$A$2:$A$50,密度!$Q$2:$Q$50)</f>
        <v>92479.711993959994</v>
      </c>
      <c r="N25" s="91" ph="1">
        <f>N24*18.322*LOOKUP(N26,密度!$A$2:$A$50,密度!$Q$2:$Q$50)</f>
        <v>85897.650021879992</v>
      </c>
      <c r="O25" s="91" ph="1">
        <f>O24*18.322*LOOKUP(O26,密度!$A$2:$A$50,密度!$C$2:$C$50)</f>
        <v>116828.5766912</v>
      </c>
      <c r="P25" s="91" ph="1">
        <f>P24*11.702*LOOKUP(P26,密度!$A$2:$A$50,密度!$B$2:$B$50)</f>
        <v>3319.1283653999994</v>
      </c>
      <c r="Q25" s="92" ph="1">
        <f>Q24*18.322*LOOKUP(Q26,密度!$A$2:$A$50,密度!$B$2:$B$50)</f>
        <v>34952.505631199994</v>
      </c>
      <c r="R25" s="91" ph="1">
        <f>R24*35.891*LOOKUP(R26,密度!$A$2:$A$50,密度!$C$2:$C$50)</f>
        <v>144874.4809048</v>
      </c>
      <c r="S25" s="91" ph="1">
        <f>S24*35.891*LOOKUP(S26,密度!$A$2:$A$50,密度!$B$2:$B$50)</f>
        <v>121529.02921260001</v>
      </c>
      <c r="T25" s="91" ph="1">
        <f>T24*35.891*LOOKUP(T26,密度!$A$2:$A$50,密度!$Q$2:$Q$50)</f>
        <v>7340.2281249500002</v>
      </c>
      <c r="U25" s="91" ph="1">
        <f>U24*35.891</f>
        <v>97946.53899999999</v>
      </c>
      <c r="V25" s="91" ph="1">
        <f>V24*47.051*LOOKUP(V26,密度!$A$2:$A$50,密度!$B$2:$B$50)</f>
        <v>379666.30057040002</v>
      </c>
      <c r="W25" s="91" ph="1">
        <f>W24*47.051*LOOKUP(W26,密度!$A$2:$A$50,密度!$B$2:$B$50)</f>
        <v>372996.33199000004</v>
      </c>
      <c r="X25" s="91" ph="1">
        <f>X24*47.051*LOOKUP(X26,密度!$A$2:$A$61,密度!$I$2:$I$61)</f>
        <v>373234.221846</v>
      </c>
      <c r="Y25" s="91" ph="1">
        <f>Y24*47.051*LOOKUP(Y26,密度!$A$2:$A$50,密度!$L$2:$L$50)</f>
        <v>20276.675500999998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19</v>
      </c>
      <c r="H26" s="74">
        <v>18</v>
      </c>
      <c r="I26" s="74">
        <v>18</v>
      </c>
      <c r="J26" s="74">
        <v>19</v>
      </c>
      <c r="K26" s="74">
        <v>18</v>
      </c>
      <c r="L26" s="74">
        <v>17</v>
      </c>
      <c r="M26" s="74">
        <v>20</v>
      </c>
      <c r="N26" s="74">
        <v>20</v>
      </c>
      <c r="O26" s="74">
        <v>19</v>
      </c>
      <c r="P26" s="74">
        <v>18</v>
      </c>
      <c r="Q26" s="93">
        <v>18</v>
      </c>
      <c r="R26" s="74">
        <v>20</v>
      </c>
      <c r="S26" s="74">
        <v>19</v>
      </c>
      <c r="T26" s="74">
        <v>19</v>
      </c>
      <c r="U26" s="74">
        <v>21</v>
      </c>
      <c r="V26" s="74">
        <v>17</v>
      </c>
      <c r="W26" s="74">
        <v>19</v>
      </c>
      <c r="X26" s="74">
        <v>32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3.12</v>
      </c>
      <c r="E27" s="71">
        <v>5.41</v>
      </c>
      <c r="F27" s="71">
        <v>2567</v>
      </c>
      <c r="G27" s="71">
        <v>1603</v>
      </c>
      <c r="H27" s="71">
        <v>1129</v>
      </c>
      <c r="I27" s="71">
        <v>0</v>
      </c>
      <c r="J27" s="71">
        <v>327</v>
      </c>
      <c r="K27" s="71">
        <v>5012</v>
      </c>
      <c r="L27" s="71">
        <v>465</v>
      </c>
      <c r="M27" s="71">
        <v>5312</v>
      </c>
      <c r="N27" s="71">
        <v>4934</v>
      </c>
      <c r="O27" s="71">
        <v>5727</v>
      </c>
      <c r="P27" s="71">
        <v>357</v>
      </c>
      <c r="Q27" s="90">
        <v>2453</v>
      </c>
      <c r="R27" s="71">
        <v>3120</v>
      </c>
      <c r="S27" s="71">
        <v>4312</v>
      </c>
      <c r="T27" s="71">
        <v>453</v>
      </c>
      <c r="U27" s="71">
        <v>1812</v>
      </c>
      <c r="V27" s="71">
        <v>10259</v>
      </c>
      <c r="W27" s="71">
        <v>10614</v>
      </c>
      <c r="X27" s="71">
        <v>7670</v>
      </c>
      <c r="Y27" s="71">
        <v>453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2276.2295619840002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28574.030311819999</v>
      </c>
      <c r="G28" s="91" ph="1">
        <f>G27*18.322*LOOKUP(G29,密度!$A$2:$A$50,密度!$B$2:$B$50)</f>
        <v>23029.147160599998</v>
      </c>
      <c r="H28" s="91" ph="1">
        <f>H27*18.322*LOOKUP(H29,密度!$A$2:$A$50,密度!$B$2:$B$50)</f>
        <v>16219.530345800002</v>
      </c>
      <c r="I28" s="91" ph="1">
        <f>I27*18.322*LOOKUP(I29,密度!$A$2:$A$50,密度!$Q$2:$Q$50)</f>
        <v>0</v>
      </c>
      <c r="J28" s="91" ph="1">
        <f>J27*18.322*LOOKUP(J29,密度!$A$2:$A$50,密度!$Q$2:$Q$50)</f>
        <v>5663.69004408</v>
      </c>
      <c r="K28" s="91" ph="1">
        <f>K27*18.322*LOOKUP(K29,密度!$A$2:$A$50,密度!$Q$2:$Q$50)</f>
        <v>87154.805623759996</v>
      </c>
      <c r="L28" s="91" ph="1">
        <f>L27*18.322*LOOKUP(L29,密度!$A$2:$A$50,密度!$Q$2:$Q$50)</f>
        <v>8085.9905456999995</v>
      </c>
      <c r="M28" s="91" ph="1">
        <f>M27*18.322*LOOKUP(M29,密度!$A$2:$A$50,密度!$Q$2:$Q$50)</f>
        <v>92497.124856319992</v>
      </c>
      <c r="N28" s="91" ph="1">
        <f>N27*18.322*LOOKUP(N29,密度!$A$2:$A$50,密度!$Q$2:$Q$50)</f>
        <v>85915.062884239989</v>
      </c>
      <c r="O28" s="91" ph="1">
        <f>O27*18.322*LOOKUP(O29,密度!$A$2:$A$50,密度!$C$2:$C$50)</f>
        <v>116808.1806408</v>
      </c>
      <c r="P28" s="91" ph="1">
        <f>P27*11.702*LOOKUP(P29,密度!$A$2:$A$50,密度!$B$2:$B$50)</f>
        <v>3275.6671373999998</v>
      </c>
      <c r="Q28" s="92" ph="1">
        <f>Q27*18.322*LOOKUP(Q29,密度!$A$2:$A$50,密度!$B$2:$B$50)</f>
        <v>35240.485330599993</v>
      </c>
      <c r="R28" s="91" ph="1">
        <f>R27*35.891*LOOKUP(R29,密度!$A$2:$A$50,密度!$C$2:$C$50)</f>
        <v>124510.47304800001</v>
      </c>
      <c r="S28" s="91" ph="1">
        <f>S27*35.891*LOOKUP(S29,密度!$A$2:$A$50,密度!$B$2:$B$50)</f>
        <v>120931.02054879999</v>
      </c>
      <c r="T28" s="91" ph="1">
        <f>T27*35.891*LOOKUP(T29,密度!$A$2:$A$50,密度!$Q$2:$Q$50)</f>
        <v>15430.89650307</v>
      </c>
      <c r="U28" s="91" ph="1">
        <f>U27*35.891</f>
        <v>65034.491999999998</v>
      </c>
      <c r="V28" s="91" ph="1">
        <f>V27*47.051*LOOKUP(V29,密度!$A$2:$A$50,密度!$B$2:$B$50)</f>
        <v>378868.25444410002</v>
      </c>
      <c r="W28" s="91" ph="1">
        <f>W27*47.051*LOOKUP(W29,密度!$A$2:$A$50,密度!$B$2:$B$50)</f>
        <v>391579.00210740004</v>
      </c>
      <c r="X28" s="91" ph="1">
        <f>X27*47.051*LOOKUP(X29,密度!$A$2:$A$61,密度!$I$2:$I$61)</f>
        <v>373331.57036500005</v>
      </c>
      <c r="Y28" s="91" ph="1">
        <f>Y27*47.051*LOOKUP(Y29,密度!$A$2:$A$50,密度!$L$2:$L$50)</f>
        <v>20077.885025999996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19</v>
      </c>
      <c r="G29" s="74">
        <v>20</v>
      </c>
      <c r="H29" s="74">
        <v>20</v>
      </c>
      <c r="I29" s="74">
        <v>21</v>
      </c>
      <c r="J29" s="74">
        <v>27</v>
      </c>
      <c r="K29" s="74">
        <v>22</v>
      </c>
      <c r="L29" s="74">
        <v>22</v>
      </c>
      <c r="M29" s="74">
        <v>20</v>
      </c>
      <c r="N29" s="74">
        <v>20</v>
      </c>
      <c r="O29" s="74">
        <v>19</v>
      </c>
      <c r="P29" s="74">
        <v>20</v>
      </c>
      <c r="Q29" s="93">
        <v>20</v>
      </c>
      <c r="R29" s="74">
        <v>21</v>
      </c>
      <c r="S29" s="74">
        <v>23</v>
      </c>
      <c r="T29" s="74">
        <v>22</v>
      </c>
      <c r="U29" s="74">
        <v>19</v>
      </c>
      <c r="V29" s="74">
        <v>19</v>
      </c>
      <c r="W29" s="74">
        <v>20</v>
      </c>
      <c r="X29" s="74">
        <v>32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214354.80526200004</v>
      </c>
      <c r="E33" s="187" ph="1">
        <f>M10+I10</f>
        <v>45532.104435600006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3" ph="1">
        <f>N19</f>
        <v>45287.263179200003</v>
      </c>
      <c r="H33" s="187" ph="1">
        <f>M19</f>
        <v>13635.01028382</v>
      </c>
      <c r="I33" s="191" ph="1">
        <v>0</v>
      </c>
      <c r="J33" s="195" ph="1">
        <f>F10+O28</f>
        <v>349881.33517170005</v>
      </c>
      <c r="K33" s="187" ph="1">
        <f>O10+K10+E28+R28</f>
        <v>187893.15138012002</v>
      </c>
      <c r="L33" s="197" ph="1">
        <f>K19</f>
        <v>36146.7951951</v>
      </c>
      <c r="M33" s="195" ph="1">
        <f>G10+H10+W28+S28+V28+E10+R19+P28+Q28</f>
        <v>1492347.4349313001</v>
      </c>
      <c r="N33" s="187" ph="1">
        <f>L10+P10++G28+H28+AD19+AE19</f>
        <v>148518.25791799999</v>
      </c>
      <c r="O33" s="191" ph="1">
        <f>G19</f>
        <v>12721.061037360001</v>
      </c>
      <c r="P33" s="195" ph="1">
        <f>L19</f>
        <v>26541.28844448</v>
      </c>
      <c r="Q33" s="187" ph="1">
        <f>J10+N10</f>
        <v>30030.725547199996</v>
      </c>
      <c r="R33" s="191" ph="1">
        <f>BE23</f>
        <v>890</v>
      </c>
      <c r="S33" s="195" ph="1">
        <f>X28</f>
        <v>373331.57036500005</v>
      </c>
      <c r="T33" s="187" ph="1">
        <f>X19</f>
        <v>6711.5444572800006</v>
      </c>
      <c r="U33" s="176" ph="1">
        <f>BE21</f>
        <v>730</v>
      </c>
      <c r="V33" s="189" ph="1">
        <f ca="1">P19+Q19+S19+M28+N28+J28+D10+AC10+D19+E19+H19+J19+O19+V19+W19+K28+L28</f>
        <v>809059.01814113988</v>
      </c>
      <c r="W33" s="189" ph="1">
        <f>D28+F28+T28+I28</f>
        <v>46281.156376874002</v>
      </c>
      <c r="X33" s="191" ph="1">
        <f>BE29+BE31</f>
        <v>10200</v>
      </c>
      <c r="Y33" s="193" ph="1">
        <f>+Q10+R10+S10+T10+U10+V10+W10+X10+Y10</f>
        <v>321598.79357759998</v>
      </c>
      <c r="Z33" s="174" ph="1">
        <f>T19+U19+Y28+Z10</f>
        <v>229230.12563583997</v>
      </c>
      <c r="AA33" s="176" ph="1">
        <f>BE19</f>
        <v>1440</v>
      </c>
      <c r="AB33" s="178" ph="1">
        <f>I19</f>
        <v>50860.410619999995</v>
      </c>
      <c r="AC33" s="180" ph="1">
        <f>AD10+AB19</f>
        <v>154811.7946772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09" priority="100">
      <formula>ABS(D$7-D$10)&gt;=1000</formula>
    </cfRule>
  </conditionalFormatting>
  <conditionalFormatting sqref="E4 E6:E11">
    <cfRule type="expression" dxfId="908" priority="99">
      <formula>ABS(E$7-E$10)&gt;=1000</formula>
    </cfRule>
  </conditionalFormatting>
  <conditionalFormatting sqref="F4:F11">
    <cfRule type="expression" dxfId="907" priority="98">
      <formula>ABS(F$7-F$10)&gt;=1000</formula>
    </cfRule>
  </conditionalFormatting>
  <conditionalFormatting sqref="G4:G11">
    <cfRule type="expression" dxfId="906" priority="97">
      <formula>ABS(G$7-G$10)&gt;=1000</formula>
    </cfRule>
  </conditionalFormatting>
  <conditionalFormatting sqref="H4:H11">
    <cfRule type="expression" dxfId="905" priority="96">
      <formula>ABS(H$7-H$10)&gt;=1000</formula>
    </cfRule>
  </conditionalFormatting>
  <conditionalFormatting sqref="I4:I11">
    <cfRule type="expression" dxfId="904" priority="95">
      <formula>ABS(I$7-I$10)&gt;=1000</formula>
    </cfRule>
  </conditionalFormatting>
  <conditionalFormatting sqref="J4:J11">
    <cfRule type="expression" dxfId="903" priority="94">
      <formula>ABS(J$7-J$10)&gt;=1000</formula>
    </cfRule>
  </conditionalFormatting>
  <conditionalFormatting sqref="K4:K11">
    <cfRule type="expression" dxfId="902" priority="93">
      <formula>ABS(K$7-K$10)&gt;=1000</formula>
    </cfRule>
  </conditionalFormatting>
  <conditionalFormatting sqref="L4:L11">
    <cfRule type="expression" dxfId="901" priority="92">
      <formula>ABS(L$7-L$10)&gt;=1000</formula>
    </cfRule>
  </conditionalFormatting>
  <conditionalFormatting sqref="M4 M6:M11">
    <cfRule type="expression" dxfId="900" priority="91">
      <formula>ABS(M$7-M$10)&gt;=1000</formula>
    </cfRule>
  </conditionalFormatting>
  <conditionalFormatting sqref="N4 N6:N11">
    <cfRule type="expression" dxfId="899" priority="90">
      <formula>ABS(N$7-N$10)&gt;=1000</formula>
    </cfRule>
  </conditionalFormatting>
  <conditionalFormatting sqref="O4 O6:O11">
    <cfRule type="expression" dxfId="898" priority="89">
      <formula>ABS(O$7-O$10)&gt;=1000</formula>
    </cfRule>
  </conditionalFormatting>
  <conditionalFormatting sqref="P4 P6:P11">
    <cfRule type="expression" dxfId="897" priority="88">
      <formula>ABS(P$7-P$10)&gt;=1000</formula>
    </cfRule>
  </conditionalFormatting>
  <conditionalFormatting sqref="Q4:Q11">
    <cfRule type="expression" dxfId="896" priority="87">
      <formula>ABS(Q$7-Q$10)&gt;=1000</formula>
    </cfRule>
  </conditionalFormatting>
  <conditionalFormatting sqref="R4:R11">
    <cfRule type="expression" dxfId="895" priority="86">
      <formula>ABS(R$7-R$10)&gt;=1000</formula>
    </cfRule>
  </conditionalFormatting>
  <conditionalFormatting sqref="S4:S11">
    <cfRule type="expression" dxfId="894" priority="85">
      <formula>ABS(S$7-S$10)&gt;=1000</formula>
    </cfRule>
  </conditionalFormatting>
  <conditionalFormatting sqref="T4:T9 T11">
    <cfRule type="expression" dxfId="893" priority="84">
      <formula>ABS(T$7-T$10)&gt;=1000</formula>
    </cfRule>
  </conditionalFormatting>
  <conditionalFormatting sqref="U4:U9 U11">
    <cfRule type="expression" dxfId="892" priority="83">
      <formula>ABS(U$7-U$10)&gt;=1000</formula>
    </cfRule>
  </conditionalFormatting>
  <conditionalFormatting sqref="V4:V9 V11">
    <cfRule type="expression" dxfId="891" priority="82">
      <formula>ABS(V$7-V$10)&gt;=1000</formula>
    </cfRule>
  </conditionalFormatting>
  <conditionalFormatting sqref="W4:W9 W11">
    <cfRule type="expression" dxfId="890" priority="81">
      <formula>ABS(W$7-W$10)&gt;=1000</formula>
    </cfRule>
  </conditionalFormatting>
  <conditionalFormatting sqref="X4:X9 X11">
    <cfRule type="expression" dxfId="889" priority="80">
      <formula>ABS(X$7-X$10)&gt;=1000</formula>
    </cfRule>
  </conditionalFormatting>
  <conditionalFormatting sqref="Y4:Y9 Y11">
    <cfRule type="expression" dxfId="888" priority="79">
      <formula>ABS(Y$7-Y$10)&gt;=1000</formula>
    </cfRule>
  </conditionalFormatting>
  <conditionalFormatting sqref="Z4:Z11">
    <cfRule type="expression" dxfId="887" priority="78">
      <formula>ABS(Z$7-Z$10)&gt;=1000</formula>
    </cfRule>
  </conditionalFormatting>
  <conditionalFormatting sqref="AA4:AA11">
    <cfRule type="expression" dxfId="886" priority="77">
      <formula>ABS(AA$7-AA$10)&gt;=1000</formula>
    </cfRule>
  </conditionalFormatting>
  <conditionalFormatting sqref="AB4:AB11">
    <cfRule type="expression" dxfId="885" priority="76">
      <formula>ABS(AB$7-AB$10)&gt;=1000</formula>
    </cfRule>
  </conditionalFormatting>
  <conditionalFormatting sqref="AC4 AC6:AC11">
    <cfRule type="expression" dxfId="884" priority="75">
      <formula>ABS(AC$7-AC$10)&gt;=1000</formula>
    </cfRule>
  </conditionalFormatting>
  <conditionalFormatting sqref="AD4 AD6:AD11">
    <cfRule type="expression" dxfId="883" priority="74">
      <formula>ABS(AD$7-AD$10)&gt;=1000</formula>
    </cfRule>
  </conditionalFormatting>
  <conditionalFormatting sqref="AE4 AE6:AE11">
    <cfRule type="expression" dxfId="882" priority="73">
      <formula>ABS(AE$7-AE$10)&gt;=1000</formula>
    </cfRule>
  </conditionalFormatting>
  <conditionalFormatting sqref="D13:D20">
    <cfRule type="expression" dxfId="881" priority="72">
      <formula>ABS(D$16-D$19)&gt;=1000</formula>
    </cfRule>
  </conditionalFormatting>
  <conditionalFormatting sqref="E13:E20">
    <cfRule type="expression" dxfId="880" priority="71">
      <formula>ABS(E$16-E$19)&gt;=1000</formula>
    </cfRule>
  </conditionalFormatting>
  <conditionalFormatting sqref="F13 F15:F20">
    <cfRule type="expression" dxfId="879" priority="70">
      <formula>ABS(F$16-F$19)&gt;=1000</formula>
    </cfRule>
  </conditionalFormatting>
  <conditionalFormatting sqref="G13:G20">
    <cfRule type="expression" dxfId="878" priority="69">
      <formula>ABS(G$16-G$19)&gt;=1000</formula>
    </cfRule>
  </conditionalFormatting>
  <conditionalFormatting sqref="H13 H15:H20">
    <cfRule type="expression" dxfId="877" priority="68">
      <formula>ABS(H$16-H$19)&gt;=1000</formula>
    </cfRule>
  </conditionalFormatting>
  <conditionalFormatting sqref="I13:I20">
    <cfRule type="expression" dxfId="876" priority="67">
      <formula>ABS(I$16-I$19)&gt;=1000</formula>
    </cfRule>
  </conditionalFormatting>
  <conditionalFormatting sqref="J13:J20">
    <cfRule type="expression" dxfId="875" priority="66">
      <formula>ABS(J$16-J$19)&gt;=1000</formula>
    </cfRule>
  </conditionalFormatting>
  <conditionalFormatting sqref="L13:L20">
    <cfRule type="expression" dxfId="874" priority="65">
      <formula>ABS(L$16-L$19)&gt;=1000</formula>
    </cfRule>
  </conditionalFormatting>
  <conditionalFormatting sqref="M13 M15 M17:M18 M20">
    <cfRule type="expression" dxfId="873" priority="64">
      <formula>ABS(M$16-M$19)&gt;=1000</formula>
    </cfRule>
  </conditionalFormatting>
  <conditionalFormatting sqref="N13:N20">
    <cfRule type="expression" dxfId="872" priority="63">
      <formula>ABS(N$16-N$19)&gt;=1000</formula>
    </cfRule>
  </conditionalFormatting>
  <conditionalFormatting sqref="O13:O20">
    <cfRule type="expression" dxfId="871" priority="62">
      <formula>ABS(O$16-O$19)&gt;=1000</formula>
    </cfRule>
  </conditionalFormatting>
  <conditionalFormatting sqref="P13:P20">
    <cfRule type="expression" dxfId="870" priority="61">
      <formula>ABS(P$16-P$19)&gt;=1000</formula>
    </cfRule>
  </conditionalFormatting>
  <conditionalFormatting sqref="Q13 Q15:Q20">
    <cfRule type="expression" dxfId="869" priority="60">
      <formula>ABS(Q$16-Q$19)&gt;=1000</formula>
    </cfRule>
  </conditionalFormatting>
  <conditionalFormatting sqref="R13:R20">
    <cfRule type="expression" dxfId="868" priority="59">
      <formula>ABS(R$16-R$19)&gt;=1000</formula>
    </cfRule>
  </conditionalFormatting>
  <conditionalFormatting sqref="S13:S20">
    <cfRule type="expression" dxfId="867" priority="58">
      <formula>ABS(S$16-S$19)&gt;=1000</formula>
    </cfRule>
  </conditionalFormatting>
  <conditionalFormatting sqref="T13:T20">
    <cfRule type="expression" dxfId="866" priority="57">
      <formula>ABS(T$16-T$19)&gt;=1000</formula>
    </cfRule>
  </conditionalFormatting>
  <conditionalFormatting sqref="U13:U20">
    <cfRule type="expression" dxfId="865" priority="56">
      <formula>ABS(U$16-U$19)&gt;=1000</formula>
    </cfRule>
  </conditionalFormatting>
  <conditionalFormatting sqref="V13:V20">
    <cfRule type="expression" dxfId="864" priority="55">
      <formula>ABS(V$16-V$19)&gt;=1000</formula>
    </cfRule>
  </conditionalFormatting>
  <conditionalFormatting sqref="W13 W20 W15:W18">
    <cfRule type="expression" dxfId="863" priority="54">
      <formula>ABS(W$16-W$19)&gt;=1000</formula>
    </cfRule>
  </conditionalFormatting>
  <conditionalFormatting sqref="X13 X15:X20 Y19">
    <cfRule type="expression" dxfId="862" priority="53">
      <formula>ABS(X$16-X$19)&gt;=1000</formula>
    </cfRule>
  </conditionalFormatting>
  <conditionalFormatting sqref="Y13 Y15:Y18 Y20">
    <cfRule type="expression" dxfId="861" priority="52">
      <formula>ABS(Y$16-Y$19)&gt;=1000</formula>
    </cfRule>
  </conditionalFormatting>
  <conditionalFormatting sqref="Z13:Z20">
    <cfRule type="expression" dxfId="860" priority="51">
      <formula>ABS(Z$16-Z$19)&gt;=1000</formula>
    </cfRule>
  </conditionalFormatting>
  <conditionalFormatting sqref="AA13:AA20">
    <cfRule type="expression" dxfId="859" priority="50">
      <formula>ABS(AA$16-AA$19)&gt;=1000</formula>
    </cfRule>
  </conditionalFormatting>
  <conditionalFormatting sqref="AB13 AB15:AB20">
    <cfRule type="expression" dxfId="858" priority="49">
      <formula>ABS(AB$16-AB$19)&gt;=1000</formula>
    </cfRule>
  </conditionalFormatting>
  <conditionalFormatting sqref="AC13 AC15:AC20">
    <cfRule type="expression" dxfId="857" priority="48">
      <formula>ABS(AC$16-AC$19)&gt;=1000</formula>
    </cfRule>
  </conditionalFormatting>
  <conditionalFormatting sqref="AD13:AD20">
    <cfRule type="expression" dxfId="856" priority="47">
      <formula>ABS(AD$16-AD$19)&gt;=1000</formula>
    </cfRule>
  </conditionalFormatting>
  <conditionalFormatting sqref="AE13:AE20">
    <cfRule type="expression" dxfId="855" priority="46">
      <formula>ABS(AE$16-AE$19)&gt;=1000</formula>
    </cfRule>
  </conditionalFormatting>
  <conditionalFormatting sqref="D22:D29">
    <cfRule type="expression" dxfId="854" priority="45">
      <formula>ABS(D$25-D$28)&gt;=1000</formula>
    </cfRule>
  </conditionalFormatting>
  <conditionalFormatting sqref="E22:E29">
    <cfRule type="expression" dxfId="853" priority="44">
      <formula>ABS(E$25-E$28)&gt;=1000</formula>
    </cfRule>
  </conditionalFormatting>
  <conditionalFormatting sqref="F22:F29">
    <cfRule type="expression" dxfId="852" priority="43">
      <formula>ABS(F$25-F$28)&gt;=1000</formula>
    </cfRule>
  </conditionalFormatting>
  <conditionalFormatting sqref="G22:G29">
    <cfRule type="expression" dxfId="851" priority="42">
      <formula>ABS(G$25-G$28)&gt;=1000</formula>
    </cfRule>
  </conditionalFormatting>
  <conditionalFormatting sqref="H22:H29">
    <cfRule type="expression" dxfId="850" priority="41">
      <formula>ABS(H$25-H$28)&gt;=1000</formula>
    </cfRule>
  </conditionalFormatting>
  <conditionalFormatting sqref="I22 I24:I29">
    <cfRule type="expression" dxfId="849" priority="40">
      <formula>ABS(I$25-I$28)&gt;=1000</formula>
    </cfRule>
  </conditionalFormatting>
  <conditionalFormatting sqref="J22:J29 K22">
    <cfRule type="expression" dxfId="848" priority="39">
      <formula>ABS(J$25-J$28)&gt;=1000</formula>
    </cfRule>
  </conditionalFormatting>
  <conditionalFormatting sqref="K23:K29 L25 L28">
    <cfRule type="expression" dxfId="847" priority="38">
      <formula>ABS(K$25-K$28)&gt;=1000</formula>
    </cfRule>
  </conditionalFormatting>
  <conditionalFormatting sqref="L22 L26:L27 L29 L24">
    <cfRule type="expression" dxfId="846" priority="37">
      <formula>ABS(L$25-L$28)&gt;=1000</formula>
    </cfRule>
  </conditionalFormatting>
  <conditionalFormatting sqref="M22:M29">
    <cfRule type="expression" dxfId="845" priority="36">
      <formula>ABS(M$25-M$28)&gt;=1000</formula>
    </cfRule>
  </conditionalFormatting>
  <conditionalFormatting sqref="N22:N29">
    <cfRule type="expression" dxfId="844" priority="35">
      <formula>ABS(N$25-N$28)&gt;=1000</formula>
    </cfRule>
  </conditionalFormatting>
  <conditionalFormatting sqref="O22:O29">
    <cfRule type="expression" dxfId="843" priority="34">
      <formula>ABS(O$25-O$28)&gt;=1000</formula>
    </cfRule>
  </conditionalFormatting>
  <conditionalFormatting sqref="P22:P29">
    <cfRule type="expression" dxfId="842" priority="33">
      <formula>ABS(P$25-P$28)&gt;=1000</formula>
    </cfRule>
  </conditionalFormatting>
  <conditionalFormatting sqref="Q22:Q29">
    <cfRule type="expression" dxfId="841" priority="32">
      <formula>ABS(Q$25-Q$28)&gt;=1000</formula>
    </cfRule>
  </conditionalFormatting>
  <conditionalFormatting sqref="R22:R29">
    <cfRule type="expression" dxfId="840" priority="31">
      <formula>ABS(R$25-R$28)&gt;=1000</formula>
    </cfRule>
  </conditionalFormatting>
  <conditionalFormatting sqref="S22:S29">
    <cfRule type="expression" dxfId="839" priority="30">
      <formula>ABS(S$25-S$28)&gt;=1000</formula>
    </cfRule>
  </conditionalFormatting>
  <conditionalFormatting sqref="T22:T29">
    <cfRule type="expression" dxfId="838" priority="29">
      <formula>ABS(T$25-T$28)&gt;=1000</formula>
    </cfRule>
  </conditionalFormatting>
  <conditionalFormatting sqref="U22:U29">
    <cfRule type="expression" dxfId="837" priority="28">
      <formula>ABS(U$25-U$28)&gt;=1000</formula>
    </cfRule>
  </conditionalFormatting>
  <conditionalFormatting sqref="V22:V29">
    <cfRule type="expression" dxfId="836" priority="27">
      <formula>ABS(V$25-V$28)&gt;=1000</formula>
    </cfRule>
  </conditionalFormatting>
  <conditionalFormatting sqref="W22:W29">
    <cfRule type="expression" dxfId="835" priority="26">
      <formula>ABS(W$25-W$28)&gt;=1000</formula>
    </cfRule>
  </conditionalFormatting>
  <conditionalFormatting sqref="X22:X29">
    <cfRule type="expression" dxfId="834" priority="25">
      <formula>ABS(X$25-X$28)&gt;=1000</formula>
    </cfRule>
  </conditionalFormatting>
  <conditionalFormatting sqref="Y22:Y29">
    <cfRule type="expression" dxfId="833" priority="24">
      <formula>ABS(Y$25-Y$28)&gt;=1000</formula>
    </cfRule>
  </conditionalFormatting>
  <conditionalFormatting sqref="I23">
    <cfRule type="expression" dxfId="832" priority="23">
      <formula>ABS(I$25-I$28)&gt;=1000</formula>
    </cfRule>
  </conditionalFormatting>
  <conditionalFormatting sqref="Q14">
    <cfRule type="expression" dxfId="831" priority="22">
      <formula>ABS(Q$16-Q$19)&gt;=1000</formula>
    </cfRule>
  </conditionalFormatting>
  <conditionalFormatting sqref="W14">
    <cfRule type="expression" dxfId="830" priority="21">
      <formula>ABS(W$16-W$19)&gt;=1000</formula>
    </cfRule>
  </conditionalFormatting>
  <conditionalFormatting sqref="X14">
    <cfRule type="expression" dxfId="829" priority="20">
      <formula>ABS(X$16-X$19)&gt;=1000</formula>
    </cfRule>
  </conditionalFormatting>
  <conditionalFormatting sqref="T10:Y10">
    <cfRule type="expression" dxfId="828" priority="19">
      <formula>ABS(T$7-T$10)&gt;=1000</formula>
    </cfRule>
  </conditionalFormatting>
  <conditionalFormatting sqref="W19">
    <cfRule type="expression" dxfId="827" priority="18">
      <formula>ABS(W$16-W$19)&gt;=1000</formula>
    </cfRule>
  </conditionalFormatting>
  <conditionalFormatting sqref="AC5">
    <cfRule type="expression" dxfId="826" priority="17">
      <formula>ABS(AC$7-AC$10)&gt;=1000</formula>
    </cfRule>
  </conditionalFormatting>
  <conditionalFormatting sqref="M14">
    <cfRule type="expression" dxfId="825" priority="16">
      <formula>ABS(M$16-M$19)&gt;=1000</formula>
    </cfRule>
  </conditionalFormatting>
  <conditionalFormatting sqref="M16">
    <cfRule type="expression" dxfId="824" priority="15">
      <formula>ABS(M$16-M$19)&gt;=1000</formula>
    </cfRule>
  </conditionalFormatting>
  <conditionalFormatting sqref="M19">
    <cfRule type="expression" dxfId="823" priority="14">
      <formula>ABS(M$16-M$19)&gt;=1000</formula>
    </cfRule>
  </conditionalFormatting>
  <conditionalFormatting sqref="K13:K20">
    <cfRule type="expression" dxfId="822" priority="13">
      <formula>ABS(K$16-K$19)&gt;=1000</formula>
    </cfRule>
  </conditionalFormatting>
  <conditionalFormatting sqref="E5">
    <cfRule type="expression" dxfId="821" priority="12">
      <formula>ABS(E$7-E$10)&gt;=1000</formula>
    </cfRule>
  </conditionalFormatting>
  <conditionalFormatting sqref="AB14:AC14">
    <cfRule type="expression" dxfId="820" priority="11">
      <formula>ABS(AB$16-AB$19)&gt;=1000</formula>
    </cfRule>
  </conditionalFormatting>
  <conditionalFormatting sqref="M5">
    <cfRule type="expression" dxfId="819" priority="10">
      <formula>ABS(M$7-M$10)&gt;=1000</formula>
    </cfRule>
  </conditionalFormatting>
  <conditionalFormatting sqref="N5">
    <cfRule type="expression" dxfId="818" priority="9">
      <formula>ABS(N$7-N$10)&gt;=1000</formula>
    </cfRule>
  </conditionalFormatting>
  <conditionalFormatting sqref="O5">
    <cfRule type="expression" dxfId="817" priority="8">
      <formula>ABS(O$7-O$10)&gt;=1000</formula>
    </cfRule>
  </conditionalFormatting>
  <conditionalFormatting sqref="P5">
    <cfRule type="expression" dxfId="816" priority="7">
      <formula>ABS(P$7-P$10)&gt;=1000</formula>
    </cfRule>
  </conditionalFormatting>
  <conditionalFormatting sqref="L23">
    <cfRule type="expression" dxfId="815" priority="6">
      <formula>ABS(L$25-L$28)&gt;=1000</formula>
    </cfRule>
  </conditionalFormatting>
  <conditionalFormatting sqref="Y14">
    <cfRule type="expression" dxfId="814" priority="5">
      <formula>ABS(Y$16-Y$19)&gt;=1000</formula>
    </cfRule>
  </conditionalFormatting>
  <conditionalFormatting sqref="F14">
    <cfRule type="expression" dxfId="813" priority="4">
      <formula>ABS(F$16-F$19)&gt;=1000</formula>
    </cfRule>
  </conditionalFormatting>
  <conditionalFormatting sqref="H14">
    <cfRule type="expression" dxfId="812" priority="3">
      <formula>ABS(H$16-H$19)&gt;=1000</formula>
    </cfRule>
  </conditionalFormatting>
  <conditionalFormatting sqref="AD5">
    <cfRule type="expression" dxfId="811" priority="2">
      <formula>ABS(AD$7-AD$10)&gt;=1000</formula>
    </cfRule>
  </conditionalFormatting>
  <conditionalFormatting sqref="AE5">
    <cfRule type="expression" dxfId="8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1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3631</v>
      </c>
      <c r="E6" s="71">
        <v>2130</v>
      </c>
      <c r="F6" s="71">
        <v>6317</v>
      </c>
      <c r="G6" s="71">
        <v>8081</v>
      </c>
      <c r="H6" s="71">
        <v>2442</v>
      </c>
      <c r="I6" s="71">
        <v>23.33</v>
      </c>
      <c r="J6" s="71">
        <v>6.53</v>
      </c>
      <c r="K6" s="71">
        <v>7.33</v>
      </c>
      <c r="L6" s="71">
        <v>7.87</v>
      </c>
      <c r="M6" s="71">
        <v>1096</v>
      </c>
      <c r="N6" s="71">
        <v>1093</v>
      </c>
      <c r="O6" s="71">
        <v>2553</v>
      </c>
      <c r="P6" s="71">
        <v>1648</v>
      </c>
      <c r="Q6" s="71">
        <v>7066</v>
      </c>
      <c r="R6" s="71">
        <v>3777</v>
      </c>
      <c r="S6" s="71">
        <v>0</v>
      </c>
      <c r="T6" s="71">
        <v>6280</v>
      </c>
      <c r="U6" s="71">
        <v>7031</v>
      </c>
      <c r="V6" s="71">
        <v>5933</v>
      </c>
      <c r="W6" s="71">
        <v>7079</v>
      </c>
      <c r="X6" s="71">
        <v>5347</v>
      </c>
      <c r="Y6" s="71">
        <v>5819</v>
      </c>
      <c r="Z6" s="71">
        <v>5082</v>
      </c>
      <c r="AA6" s="71">
        <v>4226</v>
      </c>
      <c r="AB6" s="71">
        <v>3316</v>
      </c>
      <c r="AC6" s="71">
        <v>4062</v>
      </c>
      <c r="AD6" s="71">
        <v>4780</v>
      </c>
      <c r="AE6" s="71">
        <v>4145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114353.45574957</v>
      </c>
      <c r="E7" s="73" ph="1">
        <f>E6*51.53*LOOKUP(E8,密度!$A$2:$A$50,密度!$B$2:$B$50)</f>
        <v>86061.953490000014</v>
      </c>
      <c r="F7" s="73" ph="1">
        <f>F6*33.183*LOOKUP(F8,密度!$A$2:$A$50,密度!$C$2:$C$50)</f>
        <v>233219.88643859999</v>
      </c>
      <c r="G7" s="73" ph="1">
        <f xml:space="preserve"> (G6+2)*51.53*LOOKUP(G8,密度!$A$2:$A$50,密度!$B$2:$B$50)</f>
        <v>326216.10656799999</v>
      </c>
      <c r="H7" s="73" ph="1">
        <f>(H6)*51.53*LOOKUP(H8,密度!$A$2:$A$50,密度!$B$2:$B$50)</f>
        <v>98869.549482000002</v>
      </c>
      <c r="I7" s="73" ph="1">
        <f>I6*290.8*1.0267</f>
        <v>6965.506518799999</v>
      </c>
      <c r="J7" s="73" ph="1">
        <f>J6*290.8*0.7892</f>
        <v>1498.6308208000003</v>
      </c>
      <c r="K7" s="73" ph="1">
        <f>K6*290.8*1.1126</f>
        <v>2371.5781064000003</v>
      </c>
      <c r="L7" s="73" ph="1">
        <f>L6*290.8*0.777</f>
        <v>1778.239092</v>
      </c>
      <c r="M7" s="73" ph="1">
        <f>M6*33.183*LOOKUP(M8,密度!$A$2:$A$50,密度!$D$2:$D$50)</f>
        <v>37441.440756000004</v>
      </c>
      <c r="N7" s="73" ph="1">
        <f>N6*33.183*LOOKUP(N8,密度!$A$2:$A$50,密度!$E$2:$E$50)</f>
        <v>28536.464149200001</v>
      </c>
      <c r="O7" s="73" ph="1">
        <f>O6*20.428*LOOKUP(O8,密度!$A$2:$A$50,密度!$C$2:$C$50)</f>
        <v>57790.389140400002</v>
      </c>
      <c r="P7" s="73" ph="1">
        <f>P6*51.53*LOOKUP(P8,密度!$A$2:$A$50,密度!$B$2:$B$50)</f>
        <v>66586.901104000004</v>
      </c>
      <c r="Q7" s="73" ph="1">
        <f>Q6*1.5*1.5*3.1416*LOOKUP(W8,密度!$A$2:$A$50,密度!$L$2:$L$50)</f>
        <v>46949.923943999995</v>
      </c>
      <c r="R7" s="73" ph="1">
        <f>R6*1.5*1.5*3.1416*LOOKUP(R8,密度!$A$2:$A$50,密度!$L$2:$L$50)</f>
        <v>24936.027454800002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41949.313559999995</v>
      </c>
      <c r="U7" s="73" ph="1">
        <f>U6*1.5*1.5*3.1416*LOOKUP(U8,密度!$A$2:$A$50,密度!$L$2:$L$50)</f>
        <v>46767.066330599999</v>
      </c>
      <c r="V7" s="73" ph="1">
        <f>V6*1.5*1.5*3.1416*LOOKUP(V8,密度!$A$2:$A$50,密度!$L$2:$L$50)</f>
        <v>39170.095549199999</v>
      </c>
      <c r="W7" s="73" ph="1">
        <f>W6*1.5*1.5*3.1416*LOOKUP(W8,密度!$A$2:$A$50,密度!$L$2:$L$50)</f>
        <v>47036.302235999996</v>
      </c>
      <c r="X7" s="73" ph="1">
        <f>X6*1.5*1.5*3.1416*LOOKUP(X8,密度!$A$2:$A$50,密度!$L$2:$L$50)</f>
        <v>35906.013989999999</v>
      </c>
      <c r="Y7" s="73" ph="1">
        <f>Y6*1.5*1.5*3.1416*LOOKUP(Y8,密度!$A$2:$A$50,密度!$L$2:$L$50)</f>
        <v>38705.384579400001</v>
      </c>
      <c r="Z7" s="73" ph="1">
        <f>Z6*33.183*LOOKUP(Z8,密度!$A$2:$A$50,密度!$L$2:$L$50)</f>
        <v>159023.75365799997</v>
      </c>
      <c r="AA7" s="73" ph="1">
        <f>AA6*33.183*LOOKUP(AA8,密度!$A$2:$A$50,密度!$D$2:$D$50)</f>
        <v>144508.41441900001</v>
      </c>
      <c r="AB7" s="73" ph="1">
        <f>AB6*20.428*LOOKUP(AB8,密度!$A$2:$A$50,密度!$D$2:$D$50)</f>
        <v>70272.695875200021</v>
      </c>
      <c r="AC7" s="73" ph="1">
        <f>AC6*51.53*LOOKUP(AC8,密度!$A$2:$A$50,密度!$Q$2:$Q$50)</f>
        <v>199269.83986860001</v>
      </c>
      <c r="AD7" s="73" ph="1">
        <f>AD6*20.428*LOOKUP(AD8,密度!$A$2:$A$50,密度!$V$2:$V$50)</f>
        <v>94130.589760000003</v>
      </c>
      <c r="AE7" s="73" ph="1">
        <f>AE6*20.428</f>
        <v>84674.06</v>
      </c>
    </row>
    <row r="8" spans="1:99" ph="1">
      <c r="B8" s="238" ph="1"/>
      <c r="C8" s="68" t="s" ph="1">
        <v>179</v>
      </c>
      <c r="D8" s="74">
        <v>22</v>
      </c>
      <c r="E8" s="74">
        <v>20</v>
      </c>
      <c r="F8" s="74">
        <v>20</v>
      </c>
      <c r="G8" s="74">
        <v>21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26</v>
      </c>
      <c r="P8" s="74">
        <v>20</v>
      </c>
      <c r="Q8" s="74">
        <v>22</v>
      </c>
      <c r="R8" s="74">
        <v>28</v>
      </c>
      <c r="S8" s="74">
        <v>17</v>
      </c>
      <c r="T8" s="74">
        <v>17</v>
      </c>
      <c r="U8" s="74">
        <v>21</v>
      </c>
      <c r="V8" s="74">
        <v>28</v>
      </c>
      <c r="W8" s="74">
        <v>22</v>
      </c>
      <c r="X8" s="74">
        <v>12</v>
      </c>
      <c r="Y8" s="74">
        <v>21</v>
      </c>
      <c r="Z8" s="74">
        <v>19</v>
      </c>
      <c r="AA8" s="74">
        <v>21</v>
      </c>
      <c r="AB8" s="74">
        <v>13</v>
      </c>
      <c r="AC8" s="74">
        <v>18</v>
      </c>
      <c r="AD8" s="74">
        <v>20</v>
      </c>
      <c r="AE8" s="74">
        <v>21</v>
      </c>
    </row>
    <row r="9" spans="1:99" ht="26.4" ph="1">
      <c r="B9" s="238" ph="1">
        <v>0.66666666666666663</v>
      </c>
      <c r="C9" s="157" t="s" ph="1">
        <v>180</v>
      </c>
      <c r="D9" s="71">
        <v>3631</v>
      </c>
      <c r="E9" s="71">
        <v>3433</v>
      </c>
      <c r="F9" s="71">
        <v>6317</v>
      </c>
      <c r="G9" s="71">
        <v>8952</v>
      </c>
      <c r="H9" s="71">
        <v>3303</v>
      </c>
      <c r="I9" s="71">
        <v>23.35</v>
      </c>
      <c r="J9" s="71">
        <v>6.5</v>
      </c>
      <c r="K9" s="71">
        <v>7.33</v>
      </c>
      <c r="L9" s="71">
        <v>7.85</v>
      </c>
      <c r="M9" s="71">
        <v>1095</v>
      </c>
      <c r="N9" s="71">
        <v>1094</v>
      </c>
      <c r="O9" s="71">
        <v>1702</v>
      </c>
      <c r="P9" s="71">
        <v>1028</v>
      </c>
      <c r="Q9" s="71">
        <v>7070</v>
      </c>
      <c r="R9" s="71">
        <v>6749</v>
      </c>
      <c r="S9" s="71">
        <v>0</v>
      </c>
      <c r="T9" s="71">
        <v>5524</v>
      </c>
      <c r="U9" s="71">
        <v>7034</v>
      </c>
      <c r="V9" s="71">
        <v>5936</v>
      </c>
      <c r="W9" s="71">
        <v>7083</v>
      </c>
      <c r="X9" s="71">
        <v>5349</v>
      </c>
      <c r="Y9" s="71">
        <v>5823</v>
      </c>
      <c r="Z9" s="71">
        <v>3540</v>
      </c>
      <c r="AA9" s="71">
        <v>4228</v>
      </c>
      <c r="AB9" s="71">
        <v>3318</v>
      </c>
      <c r="AC9" s="71">
        <v>4062</v>
      </c>
      <c r="AD9" s="71">
        <v>4780</v>
      </c>
      <c r="AE9" s="71">
        <v>4052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114353.45574957</v>
      </c>
      <c r="E10" s="73" ph="1">
        <f>E9*51.53*LOOKUP(E11,密度!$A$2:$A$50,密度!$B$2:$B$50)</f>
        <v>138550.030168</v>
      </c>
      <c r="F10" s="73" ph="1">
        <f>F9*33.183*LOOKUP(F11,密度!$A$2:$A$50,密度!$C$2:$C$50)</f>
        <v>233219.88643859999</v>
      </c>
      <c r="G10" s="73" ph="1">
        <f xml:space="preserve"> (G9+2)*51.53*LOOKUP(G11,密度!$A$2:$A$50,密度!$B$2:$B$50)</f>
        <v>360952.92272600002</v>
      </c>
      <c r="H10" s="73" ph="1">
        <f>(H9)*51.53*LOOKUP(H11,密度!$A$2:$A$50,密度!$B$2:$B$50)</f>
        <v>133592.79779099999</v>
      </c>
      <c r="I10" s="73" ph="1">
        <f>I9*290.8*1.0267</f>
        <v>6971.4778059999999</v>
      </c>
      <c r="J10" s="73" ph="1">
        <f>J9*290.8*0.7892</f>
        <v>1491.74584</v>
      </c>
      <c r="K10" s="73" ph="1">
        <f>K9*290.8*1.1126</f>
        <v>2371.5781064000003</v>
      </c>
      <c r="L10" s="73" ph="1">
        <f>L9*290.8*0.777</f>
        <v>1773.7200600000001</v>
      </c>
      <c r="M10" s="73" ph="1">
        <f>M9*33.183*LOOKUP(M11,密度!$A$2:$A$50,密度!$D$2:$D$50)</f>
        <v>37407.278857500009</v>
      </c>
      <c r="N10" s="73" ph="1">
        <f>N9*33.183*LOOKUP(N11,密度!$A$2:$A$50,密度!$E$2:$E$50)</f>
        <v>28519.009891199996</v>
      </c>
      <c r="O10" s="73" ph="1">
        <f>O9*20.428*LOOKUP(O11,密度!$A$2:$A$50,密度!$C$2:$C$50)</f>
        <v>38502.588174399993</v>
      </c>
      <c r="P10" s="73" ph="1">
        <f>P9*51.53*LOOKUP(P11,密度!$A$2:$A$50,密度!$B$2:$B$50)</f>
        <v>41440.652732000002</v>
      </c>
      <c r="Q10" s="73" ph="1">
        <f>Q9*1.5*1.5*3.1416*LOOKUP(W11,密度!$A$2:$A$50,密度!$L$2:$L$50)</f>
        <v>46926.526877999997</v>
      </c>
      <c r="R10" s="73" ph="1">
        <f>R9*1.5*1.5*3.1416*LOOKUP(R11,密度!$A$2:$A$50,密度!$L$2:$L$50)</f>
        <v>44557.386627599997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36860.317401599998</v>
      </c>
      <c r="U10" s="73" ph="1">
        <f>U9*1.5*1.5*3.1416*LOOKUP(U11,密度!$A$2:$A$50,密度!$L$2:$L$50)</f>
        <v>46787.020988399992</v>
      </c>
      <c r="V10" s="73" ph="1">
        <f>V9*1.5*1.5*3.1416*LOOKUP(V11,密度!$A$2:$A$50,密度!$L$2:$L$50)</f>
        <v>39189.901766400006</v>
      </c>
      <c r="W10" s="73" ph="1">
        <f>W9*1.5*1.5*3.1416*LOOKUP(W11,密度!$A$2:$A$50,密度!$L$2:$L$50)</f>
        <v>47012.813278199996</v>
      </c>
      <c r="X10" s="73" ph="1">
        <f>X9*1.5*1.5*3.1416*LOOKUP(X11,密度!$A$2:$A$50,密度!$L$2:$L$50)</f>
        <v>35881.634388599996</v>
      </c>
      <c r="Y10" s="73" ph="1">
        <f>Y9*1.5*1.5*3.1416*LOOKUP(Y11,密度!$A$2:$A$50,密度!$L$2:$L$50)</f>
        <v>38690.830331999998</v>
      </c>
      <c r="Z10" s="73" ph="1">
        <f>Z9*33.183*LOOKUP(Z11,密度!$A$2:$A$50,密度!$L$2:$L$50)</f>
        <v>111007.08989999999</v>
      </c>
      <c r="AA10" s="73" ph="1">
        <f>AA9*33.183*LOOKUP(AA11,密度!$A$2:$A$50,密度!$D$2:$D$50)</f>
        <v>144310.23890639999</v>
      </c>
      <c r="AB10" s="73" ph="1">
        <f>AB9*20.428*LOOKUP(AB11,密度!$A$2:$A$50,密度!$D$2:$D$50)</f>
        <v>70254.077796000012</v>
      </c>
      <c r="AC10" s="73" ph="1">
        <f>AC9*51.53*LOOKUP(AC11,密度!$A$2:$A$50,密度!$Q$2:$Q$50)</f>
        <v>198928.65664680002</v>
      </c>
      <c r="AD10" s="73" ph="1">
        <f>AD9*20.428*LOOKUP(AD11,密度!$A$2:$A$50,密度!$V$2:$V$50)</f>
        <v>93818.123072000002</v>
      </c>
      <c r="AE10" s="73" ph="1">
        <f>AE9*20.428</f>
        <v>82774.256000000008</v>
      </c>
    </row>
    <row r="11" spans="1:99" ph="1">
      <c r="A11" s="64" t="s" ph="1">
        <v>162</v>
      </c>
      <c r="B11" s="238" ph="1"/>
      <c r="C11" s="157" t="s" ph="1">
        <v>179</v>
      </c>
      <c r="D11" s="74">
        <v>22</v>
      </c>
      <c r="E11" s="74">
        <v>21</v>
      </c>
      <c r="F11" s="74">
        <v>20</v>
      </c>
      <c r="G11" s="74">
        <v>22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27</v>
      </c>
      <c r="P11" s="74">
        <v>22</v>
      </c>
      <c r="Q11" s="74">
        <v>23</v>
      </c>
      <c r="R11" s="74">
        <v>28</v>
      </c>
      <c r="S11" s="74">
        <v>20</v>
      </c>
      <c r="T11" s="74">
        <v>18</v>
      </c>
      <c r="U11" s="74">
        <v>21</v>
      </c>
      <c r="V11" s="74">
        <v>28</v>
      </c>
      <c r="W11" s="74">
        <v>23</v>
      </c>
      <c r="X11" s="74">
        <v>13</v>
      </c>
      <c r="Y11" s="74">
        <v>22</v>
      </c>
      <c r="Z11" s="74">
        <v>17</v>
      </c>
      <c r="AA11" s="74">
        <v>23</v>
      </c>
      <c r="AB11" s="74">
        <v>14</v>
      </c>
      <c r="AC11" s="74">
        <v>20</v>
      </c>
      <c r="AD11" s="74">
        <v>22</v>
      </c>
      <c r="AE11" s="74">
        <v>24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5448</v>
      </c>
      <c r="E15" s="78">
        <v>5706</v>
      </c>
      <c r="F15" s="78">
        <v>5060</v>
      </c>
      <c r="G15" s="78">
        <v>1794</v>
      </c>
      <c r="H15" s="78">
        <v>1043</v>
      </c>
      <c r="I15" s="78">
        <v>5466</v>
      </c>
      <c r="J15" s="78">
        <v>414</v>
      </c>
      <c r="K15" s="78">
        <v>3585</v>
      </c>
      <c r="L15" s="78">
        <v>3718</v>
      </c>
      <c r="M15" s="78">
        <v>6429</v>
      </c>
      <c r="N15" s="78">
        <v>958</v>
      </c>
      <c r="O15" s="78">
        <v>4987</v>
      </c>
      <c r="P15" s="78">
        <v>4610</v>
      </c>
      <c r="Q15" s="78">
        <v>1277</v>
      </c>
      <c r="R15" s="78">
        <v>7397</v>
      </c>
      <c r="S15" s="78">
        <v>0</v>
      </c>
      <c r="T15" s="78">
        <v>3863</v>
      </c>
      <c r="U15" s="78">
        <v>2099</v>
      </c>
      <c r="V15" s="78">
        <v>3085</v>
      </c>
      <c r="W15" s="71">
        <v>-172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7154</v>
      </c>
      <c r="AC15" s="78" ph="1">
        <v>7121</v>
      </c>
      <c r="AD15" s="78">
        <v>76.42</v>
      </c>
      <c r="AE15" s="78">
        <v>84.32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36199.148831999999</v>
      </c>
      <c r="E16" s="73" ph="1">
        <f>E15*7.0686*LOOKUP(E17,密度!$A$2:$A$50,密度!$L$2:$L$50)</f>
        <v>37913.425704000001</v>
      </c>
      <c r="F16" s="73" ph="1">
        <f>F15*9.0746*LOOKUP(F17,密度!$A$2:$A$50,密度!$L$2:$L$50)</f>
        <v>43024.675012000007</v>
      </c>
      <c r="G16" s="73" ph="1">
        <f>G15*9.0746*LOOKUP(G17,密度!$A$2:$A$50,密度!$B$2:$B$50)</f>
        <v>12750.364735680001</v>
      </c>
      <c r="H16" s="73" ph="1">
        <f>H15*9.0746*LOOKUP(H17,密度!$A$2:$A$50,密度!$L$2:$L$50)</f>
        <v>8953.7081787999996</v>
      </c>
      <c r="I16" s="73" ph="1">
        <f>I15*9.0746*LOOKUP(I17,密度!$A$2:$A$50,密度!$U$2:$U$50)</f>
        <v>50990.612980799997</v>
      </c>
      <c r="J16" s="73" ph="1">
        <f>J15*9.0746*LOOKUP(J17,密度!$A$2:$A$50,密度!$L$2:$L$50)</f>
        <v>3531.4713359999996</v>
      </c>
      <c r="K16" s="73" ph="1">
        <f>K15*9.0746*LOOKUP(K17,密度!$A$2:$A$50,密度!$C$2:$C$50)</f>
        <v>36172.821147900009</v>
      </c>
      <c r="L16" s="73" ph="1">
        <f>L15*9.0746*LOOKUP(L17,密度!$A$2:$A$50,密度!$E$2:$E$50)</f>
        <v>26546.130651040003</v>
      </c>
      <c r="M16" s="73" ph="1">
        <f>M15*9.0746*LOOKUP(M17,密度!$A$2:$A$50,密度!$M$2:$M$50)</f>
        <v>51223.049785199997</v>
      </c>
      <c r="N16" s="73" ph="1">
        <f>N15*9.0746*LOOKUP(N17,密度!$A$2:$A$50,密度!$M$2:$M$50)</f>
        <v>7652.8588240399995</v>
      </c>
      <c r="O16" s="73" ph="1">
        <f>O15*9.0746*LOOKUP(O17,密度!$A$2:$A$50,密度!$G$2:$G$50)</f>
        <v>43616.798106759998</v>
      </c>
      <c r="P16" s="73" ph="1">
        <f ca="1">P15*9.0746*LOOKUP(P17,密度!$A$2:$A$51,密度!$Q$2:$Q$50)</f>
        <v>39704.141845540005</v>
      </c>
      <c r="Q16" s="73" ph="1">
        <f>Q15*9.0746*LOOKUP(Q17,密度!$A$2:$A$50,密度!$Q$2:$Q$50)</f>
        <v>10998.305669578</v>
      </c>
      <c r="R16" s="73" ph="1">
        <f>MAX(R15*9.0746*LOOKUP(R17,密度!$A$2:$A$50,密度!$B$2:$B$50),0)</f>
        <v>52451.331378679999</v>
      </c>
      <c r="S16" s="73" ph="1">
        <f>S15*9.0746*LOOKUP(S17,密度!$A$2:$A$50,密度!$Q$2:$Q$50)</f>
        <v>0</v>
      </c>
      <c r="T16" s="73" ph="1">
        <f>T15*9.0746*LOOKUP(T17,密度!$A$2:$A$50,密度!$O$2:$O$50)</f>
        <v>32601.317213999999</v>
      </c>
      <c r="U16" s="73" ph="1">
        <f>U15*9.0746*LOOKUP(U17,密度!$A$2:$A$50,密度!$H$2:$H$50)</f>
        <v>17518.064292380001</v>
      </c>
      <c r="V16" s="73" ph="1">
        <f>MAX(5600*LOOKUP(V17,密度!$A$2:$A$50,密度!$Q$2:$Q$50)+V15*9.0476*LOOKUP(V17,密度!$A$2:$A$50,密度!$Q$2:$Q$50),0)</f>
        <v>31805.757920139997</v>
      </c>
      <c r="W16" s="73" ph="1">
        <f>MAX(5600*LOOKUP(W17,密度!$A$2:$A$50,密度!$Q$2:$Q$50)+W15*9.0476*LOOKUP(W17,密度!$A$2:$A$50,密度!$Q$2:$Q$50),0)</f>
        <v>3837.9422903519999</v>
      </c>
      <c r="X16" s="73" ph="1">
        <f>MAX(5600*LOOKUP(X17,密度!$A$2:$A$50,密度!$I$2:$I$50)+X15*9.0476*LOOKUP(X17,密度!$A$2:$A$50,密度!$I$2:$I$50),0)</f>
        <v>6719.2633123200003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71.226535400000017</v>
      </c>
      <c r="AB16" s="73" ph="1">
        <f>AB15*9.0746*LOOKUP(AB17,密度!$A$2:$A$50,密度!$L$2:$L$50)</f>
        <v>61024.507095999994</v>
      </c>
      <c r="AC16" s="73" ph="1">
        <f>AC15*9.0746*LOOKUP(AC17,密度!$A$2:$A$50,密度!$L$2:$L$50)</f>
        <v>60872.2534572</v>
      </c>
      <c r="AD16" s="73" ph="1">
        <f>AD15*268.68*LOOKUP(AD17,密度!$A$2:$A$50,密度!B2:B50)+IF(AD15&lt;=0,0,1566*LOOKUP(AD17,密度!$A$2:$A$50,密度!B2:B50))</f>
        <v>17228.010557760001</v>
      </c>
      <c r="AE16" s="73" ph="1">
        <f>AE15*268.68*LOOKUP(AE17,密度!$A$2:$A$50,密度!B2:B50)+IF(AE15&lt;=0,0,1566*LOOKUP(AE17,密度!$A$2:$A$50,密度!B2:B50))</f>
        <v>18882.767688959997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22</v>
      </c>
      <c r="E17" s="74">
        <v>22</v>
      </c>
      <c r="F17" s="74">
        <v>25</v>
      </c>
      <c r="G17" s="74">
        <v>21</v>
      </c>
      <c r="H17" s="74">
        <v>16</v>
      </c>
      <c r="I17" s="74">
        <v>21</v>
      </c>
      <c r="J17" s="74">
        <v>22</v>
      </c>
      <c r="K17" s="74">
        <v>21</v>
      </c>
      <c r="L17" s="74">
        <v>22</v>
      </c>
      <c r="M17" s="74">
        <v>22</v>
      </c>
      <c r="N17" s="74">
        <v>20</v>
      </c>
      <c r="O17" s="74">
        <v>22</v>
      </c>
      <c r="P17" s="74">
        <v>22</v>
      </c>
      <c r="Q17" s="74">
        <v>22</v>
      </c>
      <c r="R17" s="74">
        <v>23</v>
      </c>
      <c r="S17" s="74">
        <v>21</v>
      </c>
      <c r="T17" s="74">
        <v>22</v>
      </c>
      <c r="U17" s="74">
        <v>20</v>
      </c>
      <c r="V17" s="74">
        <v>22</v>
      </c>
      <c r="W17" s="74">
        <v>22</v>
      </c>
      <c r="X17" s="74">
        <v>23</v>
      </c>
      <c r="Y17" s="108">
        <v>23</v>
      </c>
      <c r="Z17" s="74">
        <v>22</v>
      </c>
      <c r="AA17" s="74">
        <v>19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5200</v>
      </c>
      <c r="E18" s="71">
        <v>5869</v>
      </c>
      <c r="F18" s="71">
        <v>3080</v>
      </c>
      <c r="G18" s="71">
        <v>1794</v>
      </c>
      <c r="H18" s="71">
        <v>2798</v>
      </c>
      <c r="I18" s="71">
        <v>5468</v>
      </c>
      <c r="J18" s="71">
        <v>414</v>
      </c>
      <c r="K18" s="71">
        <v>3585</v>
      </c>
      <c r="L18" s="71">
        <v>6981</v>
      </c>
      <c r="M18" s="71">
        <v>6826</v>
      </c>
      <c r="N18" s="71">
        <v>564</v>
      </c>
      <c r="O18" s="71">
        <v>4989</v>
      </c>
      <c r="P18" s="71">
        <v>4612</v>
      </c>
      <c r="Q18" s="71">
        <v>1280</v>
      </c>
      <c r="R18" s="71">
        <v>7400</v>
      </c>
      <c r="S18" s="71">
        <v>0</v>
      </c>
      <c r="T18" s="71">
        <v>3502</v>
      </c>
      <c r="U18" s="71">
        <v>2100</v>
      </c>
      <c r="V18" s="71">
        <v>3701</v>
      </c>
      <c r="W18" s="71">
        <v>-172</v>
      </c>
      <c r="X18" s="71">
        <v>92</v>
      </c>
      <c r="Y18" s="109">
        <v>-9900</v>
      </c>
      <c r="Z18" s="71">
        <v>0</v>
      </c>
      <c r="AA18" s="71">
        <v>8</v>
      </c>
      <c r="AB18" s="71">
        <v>7158</v>
      </c>
      <c r="AC18" s="71">
        <v>7124</v>
      </c>
      <c r="AD18" s="71">
        <v>76.47</v>
      </c>
      <c r="AE18" s="71">
        <v>84.36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34514.560079999996</v>
      </c>
      <c r="E19" s="73" ph="1">
        <f>E18*7.0686*LOOKUP(E20,密度!$A$2:$A$50,密度!$L$2:$L$50)</f>
        <v>38954.9909826</v>
      </c>
      <c r="F19" s="73" ph="1">
        <f>F18*9.0746*LOOKUP(F20,密度!$A$2:$A$50,密度!$L$2:$L$50)</f>
        <v>26188.932616000002</v>
      </c>
      <c r="G19" s="73" ph="1">
        <f>G18*9.0746*LOOKUP(G20,密度!$A$2:$A$50,密度!$B$2:$B$50)</f>
        <v>12750.364735680001</v>
      </c>
      <c r="H19" s="73" ph="1">
        <f>H18*9.0746*LOOKUP(H20,密度!$A$2:$A$50,密度!$L$2:$L$50)</f>
        <v>23968.849875200001</v>
      </c>
      <c r="I19" s="73" ph="1">
        <f>I18*9.0746*LOOKUP(I20,密度!$A$2:$A$50,密度!$U$2:$U$50)</f>
        <v>50959.650445599997</v>
      </c>
      <c r="J19" s="73" ph="1">
        <f>J18*9.0746*LOOKUP(J20,密度!$A$2:$A$50,密度!$L$2:$L$50)</f>
        <v>3531.4713359999996</v>
      </c>
      <c r="K19" s="73" ph="1">
        <f>K18*9.0746*LOOKUP(K20,密度!$A$2:$A$50,密度!$C$2:$C$50)</f>
        <v>36172.821147900009</v>
      </c>
      <c r="L19" s="73" ph="1">
        <f>L18*9.0746*LOOKUP(L20,密度!$A$2:$A$50,密度!$E$2:$E$50)</f>
        <v>49843.608949680005</v>
      </c>
      <c r="M19" s="73" ph="1">
        <f>M18*9.0746*LOOKUP(M20,密度!$A$2:$A$50,密度!$M$2:$M$50)</f>
        <v>54256.066047640001</v>
      </c>
      <c r="N19" s="73" ph="1">
        <f>N18*9.0746*LOOKUP(N20,密度!$A$2:$A$50,密度!$M$2:$M$50)</f>
        <v>4499.2992050400007</v>
      </c>
      <c r="O19" s="73" ph="1">
        <f>O18*9.0746*LOOKUP(O20,密度!$A$2:$A$50,密度!$G$2:$G$50)</f>
        <v>43634.290305720002</v>
      </c>
      <c r="P19" s="73" ph="1">
        <f ca="1">P18*9.0746*LOOKUP(P20,密度!$A$2:$A$51,密度!$Q$2:$Q$50)</f>
        <v>39684.118740640006</v>
      </c>
      <c r="Q19" s="73" ph="1">
        <f>Q18*9.0746*LOOKUP(Q20,密度!$A$2:$A$50,密度!$Q$2:$Q$50)</f>
        <v>11013.805721600002</v>
      </c>
      <c r="R19" s="73" ph="1">
        <f>MAX(R18*9.0746*LOOKUP(R20,密度!$A$2:$A$50,密度!$B$2:$B$50),0)</f>
        <v>52351.730384000002</v>
      </c>
      <c r="S19" s="73" ph="1">
        <f>S18*9.0746*LOOKUP(S20,密度!$A$2:$A$50,密度!$Q$2:$Q$50)</f>
        <v>0</v>
      </c>
      <c r="T19" s="73" ph="1">
        <f>T18*9.0746*LOOKUP(T20,密度!$A$2:$A$50,密度!$O$2:$O$50)</f>
        <v>29554.701756000002</v>
      </c>
      <c r="U19" s="73" ph="1">
        <f>U18*9.0746*LOOKUP(U20,密度!$A$2:$A$50,密度!$H$2:$H$50)</f>
        <v>17509.259207999999</v>
      </c>
      <c r="V19" s="73" ph="1">
        <f>MAX(5600*LOOKUP(V20,密度!$A$2:$A$50,密度!$Q$2:$Q$50)+V18*9.0476*LOOKUP(V20,密度!$A$2:$A$50,密度!$Q$2:$Q$50),0)</f>
        <v>37060.555918319995</v>
      </c>
      <c r="W19" s="73" ph="1">
        <f>MAX(5600*LOOKUP(W20,密度!$A$2:$A$50,密度!$Q$2:$Q$50)+W18*9.0476*LOOKUP(W20,密度!$A$2:$A$50,密度!$Q$2:$Q$50),0)</f>
        <v>3831.3913136160004</v>
      </c>
      <c r="X19" s="73" ph="1">
        <f>MAX(5600*LOOKUP(X20,密度!$A$2:$A$50,密度!$I$2:$I$50)+X18*9.0476*LOOKUP(X20,密度!$A$2:$A$50,密度!$I$2:$I$50),0)</f>
        <v>6719.2633123200003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56.792476640000004</v>
      </c>
      <c r="AB19" s="73" ph="1">
        <f>AB18*9.0746*LOOKUP(AB20,密度!$A$2:$A$50,密度!$L$2:$L$50)</f>
        <v>60993.671605199997</v>
      </c>
      <c r="AC19" s="73" ph="1">
        <f>AC18*9.0746*LOOKUP(AC20,密度!$A$2:$A$50,密度!$L$2:$L$50)</f>
        <v>60833.250826399999</v>
      </c>
      <c r="AD19" s="73" ph="1">
        <f>AD18*268.68*LOOKUP(AD20,密度!$A$2:$A$50,密度!B5:B53)+IF(AD18&lt;=0,0,1566*LOOKUP(AD20,密度!$A$2:$A$50,密度!B5:B53))</f>
        <v>17180.992609200002</v>
      </c>
      <c r="AE19" s="73" ph="1">
        <f>AE18*268.68*LOOKUP(AE20,密度!$A$2:$A$50,密度!B5:B53)+IF(AE18&lt;=0,0,1566*LOOKUP(AE20,密度!$A$2:$A$50,密度!B5:B53))</f>
        <v>18828.143409599998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23</v>
      </c>
      <c r="E20" s="81">
        <v>23</v>
      </c>
      <c r="F20" s="81">
        <v>25</v>
      </c>
      <c r="G20" s="81">
        <v>21</v>
      </c>
      <c r="H20" s="81">
        <v>18</v>
      </c>
      <c r="I20" s="81">
        <v>23</v>
      </c>
      <c r="J20" s="81">
        <v>22</v>
      </c>
      <c r="K20" s="81">
        <v>21</v>
      </c>
      <c r="L20" s="81">
        <v>22</v>
      </c>
      <c r="M20" s="81">
        <v>24</v>
      </c>
      <c r="N20" s="81">
        <v>21</v>
      </c>
      <c r="O20" s="81">
        <v>22</v>
      </c>
      <c r="P20" s="81">
        <v>23</v>
      </c>
      <c r="Q20" s="81">
        <v>23</v>
      </c>
      <c r="R20" s="81">
        <v>25</v>
      </c>
      <c r="S20" s="81">
        <v>23</v>
      </c>
      <c r="T20" s="81">
        <v>24</v>
      </c>
      <c r="U20" s="81">
        <v>21</v>
      </c>
      <c r="V20" s="81">
        <v>23</v>
      </c>
      <c r="W20" s="81">
        <v>24</v>
      </c>
      <c r="X20" s="81">
        <v>23</v>
      </c>
      <c r="Y20" s="110">
        <v>23</v>
      </c>
      <c r="Z20" s="81">
        <v>24</v>
      </c>
      <c r="AA20" s="81">
        <v>22</v>
      </c>
      <c r="AB20" s="81">
        <v>23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648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3.07</v>
      </c>
      <c r="E24" s="71">
        <v>5.43</v>
      </c>
      <c r="F24" s="71">
        <v>2568</v>
      </c>
      <c r="G24" s="71">
        <v>1608</v>
      </c>
      <c r="H24" s="71">
        <v>879</v>
      </c>
      <c r="I24" s="71">
        <v>0</v>
      </c>
      <c r="J24" s="71">
        <v>332</v>
      </c>
      <c r="K24" s="71">
        <v>5013</v>
      </c>
      <c r="L24" s="71">
        <v>468</v>
      </c>
      <c r="M24" s="71">
        <v>5313</v>
      </c>
      <c r="N24" s="71">
        <v>4937</v>
      </c>
      <c r="O24" s="71">
        <v>5729</v>
      </c>
      <c r="P24" s="71">
        <v>360</v>
      </c>
      <c r="Q24" s="90">
        <v>2457</v>
      </c>
      <c r="R24" s="71">
        <v>3123</v>
      </c>
      <c r="S24" s="71">
        <v>4316</v>
      </c>
      <c r="T24" s="71">
        <v>456</v>
      </c>
      <c r="U24" s="71">
        <v>1392</v>
      </c>
      <c r="V24" s="71">
        <v>10743</v>
      </c>
      <c r="W24" s="71">
        <v>11055</v>
      </c>
      <c r="X24" s="71">
        <v>7666</v>
      </c>
      <c r="Y24" s="71">
        <v>457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2263.5110568239998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28559.618479680001</v>
      </c>
      <c r="G25" s="91" ph="1">
        <f>G24*18.322*LOOKUP(G26,密度!$A$2:$A$50,密度!$B$2:$B$50)</f>
        <v>23100.978561600001</v>
      </c>
      <c r="H25" s="91" ph="1">
        <f>H24*18.322*LOOKUP(H26,密度!$A$2:$A$50,密度!$B$2:$B$50)</f>
        <v>12640.8443262</v>
      </c>
      <c r="I25" s="91" ph="1">
        <f>I24*18.322*LOOKUP(I26,密度!$A$2:$A$50,密度!$Q$2:$Q$50)</f>
        <v>0</v>
      </c>
      <c r="J25" s="91" ph="1">
        <f>J24*18.322*LOOKUP(J26,密度!$A$2:$A$50,密度!$Q$2:$Q$50)</f>
        <v>5781.0703035199995</v>
      </c>
      <c r="K25" s="91" ph="1">
        <f>K24*18.322*LOOKUP(K26,密度!$A$2:$A$50,密度!$Q$2:$Q$50)</f>
        <v>87368.749968780001</v>
      </c>
      <c r="L25" s="91" ph="1">
        <f>L24*18.322*LOOKUP(L26,密度!$A$2:$A$50,密度!$Q$2:$Q$50)</f>
        <v>8163.1963389600005</v>
      </c>
      <c r="M25" s="91" ph="1">
        <f>M24*18.322*LOOKUP(M26,密度!$A$2:$A$50,密度!$Q$2:$Q$50)</f>
        <v>92447.369816339997</v>
      </c>
      <c r="N25" s="91" ph="1">
        <f>N24*18.322*LOOKUP(N26,密度!$A$2:$A$50,密度!$Q$2:$Q$50)</f>
        <v>85967.301471319995</v>
      </c>
      <c r="O25" s="91" ph="1">
        <f>O24*18.322*LOOKUP(O26,密度!$A$2:$A$50,密度!$C$2:$C$50)</f>
        <v>116848.9727416</v>
      </c>
      <c r="P25" s="91" ph="1">
        <f>P24*11.702*LOOKUP(P26,密度!$A$2:$A$50,密度!$B$2:$B$50)</f>
        <v>3299.4023040000002</v>
      </c>
      <c r="Q25" s="92" ph="1">
        <f>Q24*18.322*LOOKUP(Q26,密度!$A$2:$A$50,密度!$B$2:$B$50)</f>
        <v>35297.9504514</v>
      </c>
      <c r="R25" s="91" ph="1">
        <f>R24*35.891*LOOKUP(R26,密度!$A$2:$A$50,密度!$C$2:$C$50)</f>
        <v>124708.65597179999</v>
      </c>
      <c r="S25" s="91" ph="1">
        <f>S24*35.891*LOOKUP(S26,密度!$A$2:$A$50,密度!$B$2:$B$50)</f>
        <v>121709.29534919998</v>
      </c>
      <c r="T25" s="91" ph="1">
        <f>T24*35.891*LOOKUP(T26,密度!$A$2:$A$50,密度!$Q$2:$Q$50)</f>
        <v>15568.111744079999</v>
      </c>
      <c r="U25" s="91" ph="1">
        <f>U24*35.891</f>
        <v>49960.271999999997</v>
      </c>
      <c r="V25" s="91" ph="1">
        <f>V24*47.051*LOOKUP(V26,密度!$A$2:$A$50,密度!$B$2:$B$50)</f>
        <v>397500.7374552</v>
      </c>
      <c r="W25" s="91" ph="1">
        <f>W24*47.051*LOOKUP(W26,密度!$A$2:$A$50,密度!$B$2:$B$50)</f>
        <v>408264.79704450001</v>
      </c>
      <c r="X25" s="91" ph="1">
        <f>X24*47.051*LOOKUP(X26,密度!$A$2:$A$61,密度!$I$2:$I$61)</f>
        <v>373533.63558960002</v>
      </c>
      <c r="Y25" s="91" ph="1">
        <f>Y24*47.051*LOOKUP(Y26,密度!$A$2:$A$50,密度!$L$2:$L$50)</f>
        <v>20255.173193999999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20</v>
      </c>
      <c r="H26" s="74">
        <v>19</v>
      </c>
      <c r="I26" s="74">
        <v>18</v>
      </c>
      <c r="J26" s="74">
        <v>20</v>
      </c>
      <c r="K26" s="74">
        <v>19</v>
      </c>
      <c r="L26" s="74">
        <v>18</v>
      </c>
      <c r="M26" s="74">
        <v>21</v>
      </c>
      <c r="N26" s="74">
        <v>20</v>
      </c>
      <c r="O26" s="74">
        <v>19</v>
      </c>
      <c r="P26" s="74">
        <v>21</v>
      </c>
      <c r="Q26" s="93">
        <v>20</v>
      </c>
      <c r="R26" s="74">
        <v>20</v>
      </c>
      <c r="S26" s="74">
        <v>18</v>
      </c>
      <c r="T26" s="74">
        <v>19</v>
      </c>
      <c r="U26" s="74">
        <v>19</v>
      </c>
      <c r="V26" s="74">
        <v>17</v>
      </c>
      <c r="W26" s="74">
        <v>19</v>
      </c>
      <c r="X26" s="74">
        <v>31</v>
      </c>
      <c r="Y26" s="74">
        <v>20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3.03</v>
      </c>
      <c r="E27" s="71">
        <v>5.42</v>
      </c>
      <c r="F27" s="71">
        <v>0</v>
      </c>
      <c r="G27" s="71">
        <v>1608</v>
      </c>
      <c r="H27" s="71">
        <v>878</v>
      </c>
      <c r="I27" s="71">
        <v>0</v>
      </c>
      <c r="J27" s="71">
        <v>330</v>
      </c>
      <c r="K27" s="71">
        <v>5014</v>
      </c>
      <c r="L27" s="71">
        <v>467</v>
      </c>
      <c r="M27" s="71">
        <v>5315</v>
      </c>
      <c r="N27" s="71">
        <v>4938</v>
      </c>
      <c r="O27" s="71">
        <v>5729</v>
      </c>
      <c r="P27" s="71">
        <v>359</v>
      </c>
      <c r="Q27" s="90">
        <v>2469</v>
      </c>
      <c r="R27" s="71">
        <v>3122</v>
      </c>
      <c r="S27" s="71">
        <v>4317</v>
      </c>
      <c r="T27" s="71">
        <v>840</v>
      </c>
      <c r="U27" s="71">
        <v>1416</v>
      </c>
      <c r="V27" s="71">
        <v>11222</v>
      </c>
      <c r="W27" s="71">
        <v>11171</v>
      </c>
      <c r="X27" s="71">
        <v>7666</v>
      </c>
      <c r="Y27" s="71">
        <v>455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2253.336252696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0</v>
      </c>
      <c r="G28" s="91" ph="1">
        <f>G27*18.322*LOOKUP(G29,密度!$A$2:$A$50,密度!$B$2:$B$50)</f>
        <v>23074.4629632</v>
      </c>
      <c r="H28" s="91" ph="1">
        <f>H27*18.322*LOOKUP(H29,密度!$A$2:$A$50,密度!$B$2:$B$50)</f>
        <v>12613.5940156</v>
      </c>
      <c r="I28" s="91" ph="1">
        <f>I27*18.322*LOOKUP(I29,密度!$A$2:$A$50,密度!$Q$2:$Q$50)</f>
        <v>0</v>
      </c>
      <c r="J28" s="91" ph="1">
        <f>J27*18.322*LOOKUP(J29,密度!$A$2:$A$50,密度!$Q$2:$Q$50)</f>
        <v>5728.6499621999992</v>
      </c>
      <c r="K28" s="91" ph="1">
        <f>K27*18.322*LOOKUP(K29,密度!$A$2:$A$50,密度!$Q$2:$Q$50)</f>
        <v>87386.17840484</v>
      </c>
      <c r="L28" s="91" ph="1">
        <f>L27*18.322*LOOKUP(L29,密度!$A$2:$A$50,密度!$Q$2:$Q$50)</f>
        <v>8131.8067221199999</v>
      </c>
      <c r="M28" s="91" ph="1">
        <f>M27*18.322*LOOKUP(M29,密度!$A$2:$A$50,密度!$Q$2:$Q$50)</f>
        <v>92482.170256700003</v>
      </c>
      <c r="N28" s="91" ph="1">
        <f>N27*18.322*LOOKUP(N29,密度!$A$2:$A$50,密度!$Q$2:$Q$50)</f>
        <v>85984.714333679993</v>
      </c>
      <c r="O28" s="91" ph="1">
        <f>O27*18.322*LOOKUP(O29,密度!$A$2:$A$50,密度!$C$2:$C$50)</f>
        <v>116712.51598220001</v>
      </c>
      <c r="P28" s="91" ph="1">
        <f>P27*11.702*LOOKUP(P29,密度!$A$2:$A$50,密度!$B$2:$B$50)</f>
        <v>3294.0182138</v>
      </c>
      <c r="Q28" s="92" ph="1">
        <f>Q27*18.322*LOOKUP(Q29,密度!$A$2:$A$50,密度!$B$2:$B$50)</f>
        <v>35506.535428199997</v>
      </c>
      <c r="R28" s="91" ph="1">
        <f>R27*35.891*LOOKUP(R29,密度!$A$2:$A$50,密度!$C$2:$C$50)</f>
        <v>124735.95466639998</v>
      </c>
      <c r="S28" s="91" ph="1">
        <f>S27*35.891*LOOKUP(S29,密度!$A$2:$A$50,密度!$B$2:$B$50)</f>
        <v>121489.58859269999</v>
      </c>
      <c r="T28" s="91" ph="1">
        <f>T27*35.891*LOOKUP(T29,密度!$A$2:$A$50,密度!$Q$2:$Q$50)</f>
        <v>28652.474407199999</v>
      </c>
      <c r="U28" s="91" ph="1">
        <f>U27*35.891</f>
        <v>50821.655999999995</v>
      </c>
      <c r="V28" s="91" ph="1">
        <f>V27*47.051*LOOKUP(V29,密度!$A$2:$A$50,密度!$B$2:$B$50)</f>
        <v>414432.16213780007</v>
      </c>
      <c r="W28" s="91" ph="1">
        <f>W27*47.051*LOOKUP(W29,密度!$A$2:$A$50,密度!$B$2:$B$50)</f>
        <v>412128.22993610002</v>
      </c>
      <c r="X28" s="91" ph="1">
        <f>X27*47.051*LOOKUP(X29,密度!$A$2:$A$61,密度!$I$2:$I$61)</f>
        <v>373533.63558960002</v>
      </c>
      <c r="Y28" s="91" ph="1">
        <f>Y27*47.051*LOOKUP(Y29,密度!$A$2:$A$50,密度!$L$2:$L$50)</f>
        <v>20145.120905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20</v>
      </c>
      <c r="I29" s="74">
        <v>20</v>
      </c>
      <c r="J29" s="74">
        <v>24</v>
      </c>
      <c r="K29" s="74">
        <v>19</v>
      </c>
      <c r="L29" s="74">
        <v>20</v>
      </c>
      <c r="M29" s="74">
        <v>21</v>
      </c>
      <c r="N29" s="74">
        <v>20</v>
      </c>
      <c r="O29" s="74">
        <v>21</v>
      </c>
      <c r="P29" s="74">
        <v>20</v>
      </c>
      <c r="Q29" s="93">
        <v>19</v>
      </c>
      <c r="R29" s="74">
        <v>19</v>
      </c>
      <c r="S29" s="74">
        <v>20</v>
      </c>
      <c r="T29" s="74">
        <v>20</v>
      </c>
      <c r="U29" s="74">
        <v>21</v>
      </c>
      <c r="V29" s="74">
        <v>19</v>
      </c>
      <c r="W29" s="74">
        <v>20</v>
      </c>
      <c r="X29" s="74">
        <v>31</v>
      </c>
      <c r="Y29" s="74">
        <v>21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214564.31670239998</v>
      </c>
      <c r="E33" s="187" ph="1">
        <f>M10+I10</f>
        <v>44378.756663500011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3" ph="1">
        <f>N19</f>
        <v>4499.2992050400007</v>
      </c>
      <c r="H33" s="187" ph="1">
        <f>M19</f>
        <v>54256.066047640001</v>
      </c>
      <c r="I33" s="191" ph="1">
        <v>0</v>
      </c>
      <c r="J33" s="195" ph="1">
        <f>F10+O28</f>
        <v>349932.4024208</v>
      </c>
      <c r="K33" s="187" ph="1">
        <f>O10+K10+E28+R28</f>
        <v>168961.48909303997</v>
      </c>
      <c r="L33" s="197" ph="1">
        <f>K19</f>
        <v>36172.821147900009</v>
      </c>
      <c r="M33" s="195" ph="1">
        <f>G10+H10+W28+S28+V28+E10+R19+P28+Q28</f>
        <v>1672298.0153776</v>
      </c>
      <c r="N33" s="187" ph="1">
        <f>L10+P10++G28+H28+AD19+AE19</f>
        <v>114911.5657896</v>
      </c>
      <c r="O33" s="191" ph="1">
        <f>G19</f>
        <v>12750.364735680001</v>
      </c>
      <c r="P33" s="195" ph="1">
        <f>L19</f>
        <v>49843.608949680005</v>
      </c>
      <c r="Q33" s="187" ph="1">
        <f>J10+N10</f>
        <v>30010.755731199995</v>
      </c>
      <c r="R33" s="191" ph="1">
        <f>BE23</f>
        <v>890</v>
      </c>
      <c r="S33" s="195" ph="1">
        <f>X28</f>
        <v>373533.63558960002</v>
      </c>
      <c r="T33" s="187" ph="1">
        <f>X19</f>
        <v>6719.2633123200003</v>
      </c>
      <c r="U33" s="176" ph="1">
        <f>BE21</f>
        <v>730</v>
      </c>
      <c r="V33" s="189" ph="1">
        <f ca="1">P19+Q19+S19+M28+N28+J28+D10+AC10+D19+E19+H19+J19+O19+V19+W19+K28+L28</f>
        <v>829189.66634960601</v>
      </c>
      <c r="W33" s="189" ph="1">
        <f>D28+F28+T28+I28</f>
        <v>30905.810659896</v>
      </c>
      <c r="X33" s="191" ph="1">
        <f>BE29+BE31</f>
        <v>10200</v>
      </c>
      <c r="Y33" s="193" ph="1">
        <f>+Q10+R10+S10+T10+U10+V10+W10+X10+Y10</f>
        <v>335906.43166079995</v>
      </c>
      <c r="Z33" s="174" ph="1">
        <f>T19+U19+Y28+Z10</f>
        <v>178216.17176900001</v>
      </c>
      <c r="AA33" s="176" ph="1">
        <f>BE19</f>
        <v>1440</v>
      </c>
      <c r="AB33" s="178" ph="1">
        <f>I19</f>
        <v>50959.650445599997</v>
      </c>
      <c r="AC33" s="180" ph="1">
        <f>AD10+AB19</f>
        <v>154811.7946772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79" priority="100">
      <formula>ABS(D$7-D$10)&gt;=1000</formula>
    </cfRule>
  </conditionalFormatting>
  <conditionalFormatting sqref="E4 E6:E11">
    <cfRule type="expression" dxfId="778" priority="99">
      <formula>ABS(E$7-E$10)&gt;=1000</formula>
    </cfRule>
  </conditionalFormatting>
  <conditionalFormatting sqref="F4:F11">
    <cfRule type="expression" dxfId="777" priority="98">
      <formula>ABS(F$7-F$10)&gt;=1000</formula>
    </cfRule>
  </conditionalFormatting>
  <conditionalFormatting sqref="G4:G11">
    <cfRule type="expression" dxfId="776" priority="97">
      <formula>ABS(G$7-G$10)&gt;=1000</formula>
    </cfRule>
  </conditionalFormatting>
  <conditionalFormatting sqref="H4:H11">
    <cfRule type="expression" dxfId="775" priority="96">
      <formula>ABS(H$7-H$10)&gt;=1000</formula>
    </cfRule>
  </conditionalFormatting>
  <conditionalFormatting sqref="I4:I11">
    <cfRule type="expression" dxfId="774" priority="95">
      <formula>ABS(I$7-I$10)&gt;=1000</formula>
    </cfRule>
  </conditionalFormatting>
  <conditionalFormatting sqref="J4:J11">
    <cfRule type="expression" dxfId="773" priority="94">
      <formula>ABS(J$7-J$10)&gt;=1000</formula>
    </cfRule>
  </conditionalFormatting>
  <conditionalFormatting sqref="K4:K11">
    <cfRule type="expression" dxfId="772" priority="93">
      <formula>ABS(K$7-K$10)&gt;=1000</formula>
    </cfRule>
  </conditionalFormatting>
  <conditionalFormatting sqref="L4:L11">
    <cfRule type="expression" dxfId="771" priority="92">
      <formula>ABS(L$7-L$10)&gt;=1000</formula>
    </cfRule>
  </conditionalFormatting>
  <conditionalFormatting sqref="M4 M6:M11">
    <cfRule type="expression" dxfId="770" priority="91">
      <formula>ABS(M$7-M$10)&gt;=1000</formula>
    </cfRule>
  </conditionalFormatting>
  <conditionalFormatting sqref="N4 N6:N11">
    <cfRule type="expression" dxfId="769" priority="90">
      <formula>ABS(N$7-N$10)&gt;=1000</formula>
    </cfRule>
  </conditionalFormatting>
  <conditionalFormatting sqref="O4 O6:O11">
    <cfRule type="expression" dxfId="768" priority="89">
      <formula>ABS(O$7-O$10)&gt;=1000</formula>
    </cfRule>
  </conditionalFormatting>
  <conditionalFormatting sqref="P4 P6:P11">
    <cfRule type="expression" dxfId="767" priority="88">
      <formula>ABS(P$7-P$10)&gt;=1000</formula>
    </cfRule>
  </conditionalFormatting>
  <conditionalFormatting sqref="Q4:Q11">
    <cfRule type="expression" dxfId="766" priority="87">
      <formula>ABS(Q$7-Q$10)&gt;=1000</formula>
    </cfRule>
  </conditionalFormatting>
  <conditionalFormatting sqref="R4:R11">
    <cfRule type="expression" dxfId="765" priority="86">
      <formula>ABS(R$7-R$10)&gt;=1000</formula>
    </cfRule>
  </conditionalFormatting>
  <conditionalFormatting sqref="S4:S11">
    <cfRule type="expression" dxfId="764" priority="85">
      <formula>ABS(S$7-S$10)&gt;=1000</formula>
    </cfRule>
  </conditionalFormatting>
  <conditionalFormatting sqref="T4:T9 T11">
    <cfRule type="expression" dxfId="763" priority="84">
      <formula>ABS(T$7-T$10)&gt;=1000</formula>
    </cfRule>
  </conditionalFormatting>
  <conditionalFormatting sqref="U4:U9 U11">
    <cfRule type="expression" dxfId="762" priority="83">
      <formula>ABS(U$7-U$10)&gt;=1000</formula>
    </cfRule>
  </conditionalFormatting>
  <conditionalFormatting sqref="V4:V9 V11">
    <cfRule type="expression" dxfId="761" priority="82">
      <formula>ABS(V$7-V$10)&gt;=1000</formula>
    </cfRule>
  </conditionalFormatting>
  <conditionalFormatting sqref="W4:W9 W11">
    <cfRule type="expression" dxfId="760" priority="81">
      <formula>ABS(W$7-W$10)&gt;=1000</formula>
    </cfRule>
  </conditionalFormatting>
  <conditionalFormatting sqref="X4:X9 X11">
    <cfRule type="expression" dxfId="759" priority="80">
      <formula>ABS(X$7-X$10)&gt;=1000</formula>
    </cfRule>
  </conditionalFormatting>
  <conditionalFormatting sqref="Y4:Y9 Y11">
    <cfRule type="expression" dxfId="758" priority="79">
      <formula>ABS(Y$7-Y$10)&gt;=1000</formula>
    </cfRule>
  </conditionalFormatting>
  <conditionalFormatting sqref="Z4:Z11">
    <cfRule type="expression" dxfId="757" priority="78">
      <formula>ABS(Z$7-Z$10)&gt;=1000</formula>
    </cfRule>
  </conditionalFormatting>
  <conditionalFormatting sqref="AA4:AA11">
    <cfRule type="expression" dxfId="756" priority="77">
      <formula>ABS(AA$7-AA$10)&gt;=1000</formula>
    </cfRule>
  </conditionalFormatting>
  <conditionalFormatting sqref="AB4:AB11">
    <cfRule type="expression" dxfId="755" priority="76">
      <formula>ABS(AB$7-AB$10)&gt;=1000</formula>
    </cfRule>
  </conditionalFormatting>
  <conditionalFormatting sqref="AC4 AC6:AC11">
    <cfRule type="expression" dxfId="754" priority="75">
      <formula>ABS(AC$7-AC$10)&gt;=1000</formula>
    </cfRule>
  </conditionalFormatting>
  <conditionalFormatting sqref="AD4 AD6:AD11">
    <cfRule type="expression" dxfId="753" priority="74">
      <formula>ABS(AD$7-AD$10)&gt;=1000</formula>
    </cfRule>
  </conditionalFormatting>
  <conditionalFormatting sqref="AE4 AE6:AE11">
    <cfRule type="expression" dxfId="752" priority="73">
      <formula>ABS(AE$7-AE$10)&gt;=1000</formula>
    </cfRule>
  </conditionalFormatting>
  <conditionalFormatting sqref="D13:D20">
    <cfRule type="expression" dxfId="751" priority="72">
      <formula>ABS(D$16-D$19)&gt;=1000</formula>
    </cfRule>
  </conditionalFormatting>
  <conditionalFormatting sqref="E13:E20">
    <cfRule type="expression" dxfId="750" priority="71">
      <formula>ABS(E$16-E$19)&gt;=1000</formula>
    </cfRule>
  </conditionalFormatting>
  <conditionalFormatting sqref="F13 F15:F20">
    <cfRule type="expression" dxfId="749" priority="70">
      <formula>ABS(F$16-F$19)&gt;=1000</formula>
    </cfRule>
  </conditionalFormatting>
  <conditionalFormatting sqref="G13:G20">
    <cfRule type="expression" dxfId="748" priority="69">
      <formula>ABS(G$16-G$19)&gt;=1000</formula>
    </cfRule>
  </conditionalFormatting>
  <conditionalFormatting sqref="H13 H15:H20">
    <cfRule type="expression" dxfId="747" priority="68">
      <formula>ABS(H$16-H$19)&gt;=1000</formula>
    </cfRule>
  </conditionalFormatting>
  <conditionalFormatting sqref="I13:I20">
    <cfRule type="expression" dxfId="746" priority="67">
      <formula>ABS(I$16-I$19)&gt;=1000</formula>
    </cfRule>
  </conditionalFormatting>
  <conditionalFormatting sqref="J13:J20">
    <cfRule type="expression" dxfId="745" priority="66">
      <formula>ABS(J$16-J$19)&gt;=1000</formula>
    </cfRule>
  </conditionalFormatting>
  <conditionalFormatting sqref="L13:L20">
    <cfRule type="expression" dxfId="744" priority="65">
      <formula>ABS(L$16-L$19)&gt;=1000</formula>
    </cfRule>
  </conditionalFormatting>
  <conditionalFormatting sqref="M13 M15 M17:M18 M20">
    <cfRule type="expression" dxfId="743" priority="64">
      <formula>ABS(M$16-M$19)&gt;=1000</formula>
    </cfRule>
  </conditionalFormatting>
  <conditionalFormatting sqref="N13:N20">
    <cfRule type="expression" dxfId="742" priority="63">
      <formula>ABS(N$16-N$19)&gt;=1000</formula>
    </cfRule>
  </conditionalFormatting>
  <conditionalFormatting sqref="O13:O20">
    <cfRule type="expression" dxfId="741" priority="62">
      <formula>ABS(O$16-O$19)&gt;=1000</formula>
    </cfRule>
  </conditionalFormatting>
  <conditionalFormatting sqref="P13:P20">
    <cfRule type="expression" dxfId="740" priority="61">
      <formula>ABS(P$16-P$19)&gt;=1000</formula>
    </cfRule>
  </conditionalFormatting>
  <conditionalFormatting sqref="Q13 Q15:Q20">
    <cfRule type="expression" dxfId="739" priority="60">
      <formula>ABS(Q$16-Q$19)&gt;=1000</formula>
    </cfRule>
  </conditionalFormatting>
  <conditionalFormatting sqref="R13:R20">
    <cfRule type="expression" dxfId="738" priority="59">
      <formula>ABS(R$16-R$19)&gt;=1000</formula>
    </cfRule>
  </conditionalFormatting>
  <conditionalFormatting sqref="S13:S20">
    <cfRule type="expression" dxfId="737" priority="58">
      <formula>ABS(S$16-S$19)&gt;=1000</formula>
    </cfRule>
  </conditionalFormatting>
  <conditionalFormatting sqref="T13:T20">
    <cfRule type="expression" dxfId="736" priority="57">
      <formula>ABS(T$16-T$19)&gt;=1000</formula>
    </cfRule>
  </conditionalFormatting>
  <conditionalFormatting sqref="U13:U20">
    <cfRule type="expression" dxfId="735" priority="56">
      <formula>ABS(U$16-U$19)&gt;=1000</formula>
    </cfRule>
  </conditionalFormatting>
  <conditionalFormatting sqref="V13:V20">
    <cfRule type="expression" dxfId="734" priority="55">
      <formula>ABS(V$16-V$19)&gt;=1000</formula>
    </cfRule>
  </conditionalFormatting>
  <conditionalFormatting sqref="W13 W20 W15:W18">
    <cfRule type="expression" dxfId="733" priority="54">
      <formula>ABS(W$16-W$19)&gt;=1000</formula>
    </cfRule>
  </conditionalFormatting>
  <conditionalFormatting sqref="X13 X15:X20 Y19">
    <cfRule type="expression" dxfId="732" priority="53">
      <formula>ABS(X$16-X$19)&gt;=1000</formula>
    </cfRule>
  </conditionalFormatting>
  <conditionalFormatting sqref="Y13 Y15:Y18 Y20">
    <cfRule type="expression" dxfId="731" priority="52">
      <formula>ABS(Y$16-Y$19)&gt;=1000</formula>
    </cfRule>
  </conditionalFormatting>
  <conditionalFormatting sqref="Z13:Z20">
    <cfRule type="expression" dxfId="730" priority="51">
      <formula>ABS(Z$16-Z$19)&gt;=1000</formula>
    </cfRule>
  </conditionalFormatting>
  <conditionalFormatting sqref="AA13:AA20">
    <cfRule type="expression" dxfId="729" priority="50">
      <formula>ABS(AA$16-AA$19)&gt;=1000</formula>
    </cfRule>
  </conditionalFormatting>
  <conditionalFormatting sqref="AB13 AB15:AB20">
    <cfRule type="expression" dxfId="728" priority="49">
      <formula>ABS(AB$16-AB$19)&gt;=1000</formula>
    </cfRule>
  </conditionalFormatting>
  <conditionalFormatting sqref="AC13 AC15:AC20">
    <cfRule type="expression" dxfId="727" priority="48">
      <formula>ABS(AC$16-AC$19)&gt;=1000</formula>
    </cfRule>
  </conditionalFormatting>
  <conditionalFormatting sqref="AD13:AD20">
    <cfRule type="expression" dxfId="726" priority="47">
      <formula>ABS(AD$16-AD$19)&gt;=1000</formula>
    </cfRule>
  </conditionalFormatting>
  <conditionalFormatting sqref="AE13:AE20">
    <cfRule type="expression" dxfId="725" priority="46">
      <formula>ABS(AE$16-AE$19)&gt;=1000</formula>
    </cfRule>
  </conditionalFormatting>
  <conditionalFormatting sqref="D22:D29">
    <cfRule type="expression" dxfId="724" priority="45">
      <formula>ABS(D$25-D$28)&gt;=1000</formula>
    </cfRule>
  </conditionalFormatting>
  <conditionalFormatting sqref="E22:E29">
    <cfRule type="expression" dxfId="723" priority="44">
      <formula>ABS(E$25-E$28)&gt;=1000</formula>
    </cfRule>
  </conditionalFormatting>
  <conditionalFormatting sqref="F22:F29">
    <cfRule type="expression" dxfId="722" priority="43">
      <formula>ABS(F$25-F$28)&gt;=1000</formula>
    </cfRule>
  </conditionalFormatting>
  <conditionalFormatting sqref="G22:G29">
    <cfRule type="expression" dxfId="721" priority="42">
      <formula>ABS(G$25-G$28)&gt;=1000</formula>
    </cfRule>
  </conditionalFormatting>
  <conditionalFormatting sqref="H22:H29">
    <cfRule type="expression" dxfId="720" priority="41">
      <formula>ABS(H$25-H$28)&gt;=1000</formula>
    </cfRule>
  </conditionalFormatting>
  <conditionalFormatting sqref="I22 I24:I29">
    <cfRule type="expression" dxfId="719" priority="40">
      <formula>ABS(I$25-I$28)&gt;=1000</formula>
    </cfRule>
  </conditionalFormatting>
  <conditionalFormatting sqref="J22:J29 K22">
    <cfRule type="expression" dxfId="718" priority="39">
      <formula>ABS(J$25-J$28)&gt;=1000</formula>
    </cfRule>
  </conditionalFormatting>
  <conditionalFormatting sqref="K23:K29 L25 L28">
    <cfRule type="expression" dxfId="717" priority="38">
      <formula>ABS(K$25-K$28)&gt;=1000</formula>
    </cfRule>
  </conditionalFormatting>
  <conditionalFormatting sqref="L22 L26:L27 L29 L24">
    <cfRule type="expression" dxfId="716" priority="37">
      <formula>ABS(L$25-L$28)&gt;=1000</formula>
    </cfRule>
  </conditionalFormatting>
  <conditionalFormatting sqref="M22:M29">
    <cfRule type="expression" dxfId="715" priority="36">
      <formula>ABS(M$25-M$28)&gt;=1000</formula>
    </cfRule>
  </conditionalFormatting>
  <conditionalFormatting sqref="N22:N29">
    <cfRule type="expression" dxfId="714" priority="35">
      <formula>ABS(N$25-N$28)&gt;=1000</formula>
    </cfRule>
  </conditionalFormatting>
  <conditionalFormatting sqref="O22:O29">
    <cfRule type="expression" dxfId="713" priority="34">
      <formula>ABS(O$25-O$28)&gt;=1000</formula>
    </cfRule>
  </conditionalFormatting>
  <conditionalFormatting sqref="P22:P29">
    <cfRule type="expression" dxfId="712" priority="33">
      <formula>ABS(P$25-P$28)&gt;=1000</formula>
    </cfRule>
  </conditionalFormatting>
  <conditionalFormatting sqref="Q22:Q29">
    <cfRule type="expression" dxfId="711" priority="32">
      <formula>ABS(Q$25-Q$28)&gt;=1000</formula>
    </cfRule>
  </conditionalFormatting>
  <conditionalFormatting sqref="R22:R29">
    <cfRule type="expression" dxfId="710" priority="31">
      <formula>ABS(R$25-R$28)&gt;=1000</formula>
    </cfRule>
  </conditionalFormatting>
  <conditionalFormatting sqref="S22:S29">
    <cfRule type="expression" dxfId="709" priority="30">
      <formula>ABS(S$25-S$28)&gt;=1000</formula>
    </cfRule>
  </conditionalFormatting>
  <conditionalFormatting sqref="T22:T29">
    <cfRule type="expression" dxfId="708" priority="29">
      <formula>ABS(T$25-T$28)&gt;=1000</formula>
    </cfRule>
  </conditionalFormatting>
  <conditionalFormatting sqref="U22:U29">
    <cfRule type="expression" dxfId="707" priority="28">
      <formula>ABS(U$25-U$28)&gt;=1000</formula>
    </cfRule>
  </conditionalFormatting>
  <conditionalFormatting sqref="V22:V29">
    <cfRule type="expression" dxfId="706" priority="27">
      <formula>ABS(V$25-V$28)&gt;=1000</formula>
    </cfRule>
  </conditionalFormatting>
  <conditionalFormatting sqref="W22:W29">
    <cfRule type="expression" dxfId="705" priority="26">
      <formula>ABS(W$25-W$28)&gt;=1000</formula>
    </cfRule>
  </conditionalFormatting>
  <conditionalFormatting sqref="X22:X29">
    <cfRule type="expression" dxfId="704" priority="25">
      <formula>ABS(X$25-X$28)&gt;=1000</formula>
    </cfRule>
  </conditionalFormatting>
  <conditionalFormatting sqref="Y22:Y29">
    <cfRule type="expression" dxfId="703" priority="24">
      <formula>ABS(Y$25-Y$28)&gt;=1000</formula>
    </cfRule>
  </conditionalFormatting>
  <conditionalFormatting sqref="I23">
    <cfRule type="expression" dxfId="702" priority="23">
      <formula>ABS(I$25-I$28)&gt;=1000</formula>
    </cfRule>
  </conditionalFormatting>
  <conditionalFormatting sqref="Q14">
    <cfRule type="expression" dxfId="701" priority="22">
      <formula>ABS(Q$16-Q$19)&gt;=1000</formula>
    </cfRule>
  </conditionalFormatting>
  <conditionalFormatting sqref="W14">
    <cfRule type="expression" dxfId="700" priority="21">
      <formula>ABS(W$16-W$19)&gt;=1000</formula>
    </cfRule>
  </conditionalFormatting>
  <conditionalFormatting sqref="X14">
    <cfRule type="expression" dxfId="699" priority="20">
      <formula>ABS(X$16-X$19)&gt;=1000</formula>
    </cfRule>
  </conditionalFormatting>
  <conditionalFormatting sqref="T10:Y10">
    <cfRule type="expression" dxfId="698" priority="19">
      <formula>ABS(T$7-T$10)&gt;=1000</formula>
    </cfRule>
  </conditionalFormatting>
  <conditionalFormatting sqref="W19">
    <cfRule type="expression" dxfId="697" priority="18">
      <formula>ABS(W$16-W$19)&gt;=1000</formula>
    </cfRule>
  </conditionalFormatting>
  <conditionalFormatting sqref="AC5">
    <cfRule type="expression" dxfId="696" priority="17">
      <formula>ABS(AC$7-AC$10)&gt;=1000</formula>
    </cfRule>
  </conditionalFormatting>
  <conditionalFormatting sqref="M14">
    <cfRule type="expression" dxfId="695" priority="16">
      <formula>ABS(M$16-M$19)&gt;=1000</formula>
    </cfRule>
  </conditionalFormatting>
  <conditionalFormatting sqref="M16">
    <cfRule type="expression" dxfId="694" priority="15">
      <formula>ABS(M$16-M$19)&gt;=1000</formula>
    </cfRule>
  </conditionalFormatting>
  <conditionalFormatting sqref="M19">
    <cfRule type="expression" dxfId="693" priority="14">
      <formula>ABS(M$16-M$19)&gt;=1000</formula>
    </cfRule>
  </conditionalFormatting>
  <conditionalFormatting sqref="K13:K20">
    <cfRule type="expression" dxfId="692" priority="13">
      <formula>ABS(K$16-K$19)&gt;=1000</formula>
    </cfRule>
  </conditionalFormatting>
  <conditionalFormatting sqref="E5">
    <cfRule type="expression" dxfId="691" priority="12">
      <formula>ABS(E$7-E$10)&gt;=1000</formula>
    </cfRule>
  </conditionalFormatting>
  <conditionalFormatting sqref="AB14:AC14">
    <cfRule type="expression" dxfId="690" priority="11">
      <formula>ABS(AB$16-AB$19)&gt;=1000</formula>
    </cfRule>
  </conditionalFormatting>
  <conditionalFormatting sqref="M5">
    <cfRule type="expression" dxfId="689" priority="10">
      <formula>ABS(M$7-M$10)&gt;=1000</formula>
    </cfRule>
  </conditionalFormatting>
  <conditionalFormatting sqref="N5">
    <cfRule type="expression" dxfId="688" priority="9">
      <formula>ABS(N$7-N$10)&gt;=1000</formula>
    </cfRule>
  </conditionalFormatting>
  <conditionalFormatting sqref="O5">
    <cfRule type="expression" dxfId="687" priority="8">
      <formula>ABS(O$7-O$10)&gt;=1000</formula>
    </cfRule>
  </conditionalFormatting>
  <conditionalFormatting sqref="P5">
    <cfRule type="expression" dxfId="686" priority="7">
      <formula>ABS(P$7-P$10)&gt;=1000</formula>
    </cfRule>
  </conditionalFormatting>
  <conditionalFormatting sqref="L23">
    <cfRule type="expression" dxfId="685" priority="6">
      <formula>ABS(L$25-L$28)&gt;=1000</formula>
    </cfRule>
  </conditionalFormatting>
  <conditionalFormatting sqref="Y14">
    <cfRule type="expression" dxfId="684" priority="5">
      <formula>ABS(Y$16-Y$19)&gt;=1000</formula>
    </cfRule>
  </conditionalFormatting>
  <conditionalFormatting sqref="F14">
    <cfRule type="expression" dxfId="683" priority="4">
      <formula>ABS(F$16-F$19)&gt;=1000</formula>
    </cfRule>
  </conditionalFormatting>
  <conditionalFormatting sqref="H14">
    <cfRule type="expression" dxfId="682" priority="3">
      <formula>ABS(H$16-H$19)&gt;=1000</formula>
    </cfRule>
  </conditionalFormatting>
  <conditionalFormatting sqref="AD5">
    <cfRule type="expression" dxfId="681" priority="2">
      <formula>ABS(AD$7-AD$10)&gt;=1000</formula>
    </cfRule>
  </conditionalFormatting>
  <conditionalFormatting sqref="AE5">
    <cfRule type="expression" dxfId="6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85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2">
    <pageSetUpPr fitToPage="1"/>
  </sheetPr>
  <dimension ref="A1:CU223"/>
  <sheetViews>
    <sheetView view="pageBreakPreview" zoomScale="70" zoomScaleNormal="100" zoomScaleSheetLayoutView="70" workbookViewId="0">
      <selection activeCell="AD9" sqref="AD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46106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3631</v>
      </c>
      <c r="E6" s="71">
        <v>3435</v>
      </c>
      <c r="F6" s="71">
        <v>6317</v>
      </c>
      <c r="G6" s="71">
        <v>8950</v>
      </c>
      <c r="H6" s="71">
        <v>3310</v>
      </c>
      <c r="I6" s="71">
        <v>23.32</v>
      </c>
      <c r="J6" s="71">
        <v>6.53</v>
      </c>
      <c r="K6" s="71">
        <v>7.3</v>
      </c>
      <c r="L6" s="71">
        <v>7.87</v>
      </c>
      <c r="M6" s="71">
        <v>1096</v>
      </c>
      <c r="N6" s="71">
        <v>1093</v>
      </c>
      <c r="O6" s="71">
        <v>1701</v>
      </c>
      <c r="P6" s="71">
        <v>882</v>
      </c>
      <c r="Q6" s="71">
        <v>7069</v>
      </c>
      <c r="R6" s="71">
        <v>6748</v>
      </c>
      <c r="S6" s="71">
        <v>0</v>
      </c>
      <c r="T6" s="71">
        <v>5523</v>
      </c>
      <c r="U6" s="71">
        <v>7033</v>
      </c>
      <c r="V6" s="71">
        <v>5934</v>
      </c>
      <c r="W6" s="71">
        <v>7081</v>
      </c>
      <c r="X6" s="71">
        <v>5348</v>
      </c>
      <c r="Y6" s="71">
        <v>5821</v>
      </c>
      <c r="Z6" s="71">
        <v>3550</v>
      </c>
      <c r="AA6" s="71">
        <v>4228</v>
      </c>
      <c r="AB6" s="71">
        <v>3316</v>
      </c>
      <c r="AC6" s="71">
        <v>4062</v>
      </c>
      <c r="AD6" s="71">
        <v>4780</v>
      </c>
      <c r="AE6" s="71">
        <v>4050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114353.45574957</v>
      </c>
      <c r="E7" s="73" ph="1">
        <f>E6*51.53*LOOKUP(E8,密度!$A$2:$A$50,密度!$B$2:$B$50)</f>
        <v>138471.44176500003</v>
      </c>
      <c r="F7" s="73" ph="1">
        <f>F6*33.183*LOOKUP(F8,密度!$A$2:$A$50,密度!$C$2:$C$50)</f>
        <v>233219.88643859999</v>
      </c>
      <c r="G7" s="73" ph="1">
        <f xml:space="preserve"> (G6+2)*51.53*LOOKUP(G8,密度!$A$2:$A$50,密度!$B$2:$B$50)</f>
        <v>361287.465792</v>
      </c>
      <c r="H7" s="73" ph="1">
        <f>(H6)*51.53*LOOKUP(H8,密度!$A$2:$A$50,密度!$B$2:$B$50)</f>
        <v>134012.37051000001</v>
      </c>
      <c r="I7" s="73" ph="1">
        <f>I6*290.8*1.0267</f>
        <v>6962.5208751999999</v>
      </c>
      <c r="J7" s="73" ph="1">
        <f>J6*290.8*0.7892</f>
        <v>1498.6308208000003</v>
      </c>
      <c r="K7" s="73" ph="1">
        <f>K6*290.8*1.1126</f>
        <v>2361.8717840000004</v>
      </c>
      <c r="L7" s="73" ph="1">
        <f>L6*290.8*0.777</f>
        <v>1778.239092</v>
      </c>
      <c r="M7" s="73" ph="1">
        <f>M6*33.183*LOOKUP(M8,密度!$A$2:$A$50,密度!$D$2:$D$50)</f>
        <v>37441.440756000004</v>
      </c>
      <c r="N7" s="73" ph="1">
        <f>N6*33.183*LOOKUP(N8,密度!$A$2:$A$50,密度!$E$2:$E$50)</f>
        <v>28536.464149200001</v>
      </c>
      <c r="O7" s="73" ph="1">
        <f>O6*20.428*LOOKUP(O8,密度!$A$2:$A$50,密度!$C$2:$C$50)</f>
        <v>38504.289826799999</v>
      </c>
      <c r="P7" s="73" ph="1">
        <f>P6*51.53*LOOKUP(P8,密度!$A$2:$A$50,密度!$B$2:$B$50)</f>
        <v>35636.921585999997</v>
      </c>
      <c r="Q7" s="73" ph="1">
        <f>Q6*1.5*1.5*3.1416*LOOKUP(W8,密度!$A$2:$A$50,密度!$L$2:$L$50)</f>
        <v>46969.857395999999</v>
      </c>
      <c r="R7" s="73" ph="1">
        <f>R6*1.5*1.5*3.1416*LOOKUP(R8,密度!$A$2:$A$50,密度!$L$2:$L$50)</f>
        <v>44550.7845552</v>
      </c>
      <c r="S7" s="73" ph="1">
        <f>S6*1.5*1.5*3.1416*LOOKUP(S8,密度!$A$2:$A$50,密度!$L$2:$L$50)</f>
        <v>0</v>
      </c>
      <c r="T7" s="73" ph="1">
        <f>T6*1.5*1.5*3.1416*LOOKUP(T8,密度!$A$2:$A$50,密度!$L$2:$L$50)</f>
        <v>36892.684521000003</v>
      </c>
      <c r="U7" s="73" ph="1">
        <f>U6*1.5*1.5*3.1416*LOOKUP(U8,密度!$A$2:$A$50,密度!$L$2:$L$50)</f>
        <v>46780.369435799992</v>
      </c>
      <c r="V7" s="73" ph="1">
        <f>V6*1.5*1.5*3.1416*LOOKUP(V8,密度!$A$2:$A$50,密度!$L$2:$L$50)</f>
        <v>39176.697621599997</v>
      </c>
      <c r="W7" s="73" ph="1">
        <f>W6*1.5*1.5*3.1416*LOOKUP(W8,密度!$A$2:$A$50,密度!$L$2:$L$50)</f>
        <v>47049.591203999997</v>
      </c>
      <c r="X7" s="73" ph="1">
        <f>X6*1.5*1.5*3.1416*LOOKUP(X8,密度!$A$2:$A$50,密度!$L$2:$L$50)</f>
        <v>35912.729159999995</v>
      </c>
      <c r="Y7" s="73" ph="1">
        <f>Y6*1.5*1.5*3.1416*LOOKUP(Y8,密度!$A$2:$A$50,密度!$L$2:$L$50)</f>
        <v>38677.541363999997</v>
      </c>
      <c r="Z7" s="73" ph="1">
        <f>Z6*33.183*LOOKUP(Z8,密度!$A$2:$A$50,密度!$L$2:$L$50)</f>
        <v>111438.46889999999</v>
      </c>
      <c r="AA7" s="73" ph="1">
        <f>AA6*33.183*LOOKUP(AA8,密度!$A$2:$A$50,密度!$D$2:$D$50)</f>
        <v>144436.50685800001</v>
      </c>
      <c r="AB7" s="73" ph="1">
        <f>AB6*20.428*LOOKUP(AB8,密度!$A$2:$A$50,密度!$D$2:$D$50)</f>
        <v>70272.695875200021</v>
      </c>
      <c r="AC7" s="73" ph="1">
        <f>AC6*51.53*LOOKUP(AC8,密度!$A$2:$A$50,密度!$Q$2:$Q$50)</f>
        <v>199106.57427780001</v>
      </c>
      <c r="AD7" s="73" ph="1">
        <f>AD6*20.428*LOOKUP(AD8,密度!$A$2:$A$50,密度!$V$2:$V$50)</f>
        <v>94130.589760000003</v>
      </c>
      <c r="AE7" s="73" ph="1">
        <f>AE6*20.428</f>
        <v>82733.400000000009</v>
      </c>
    </row>
    <row r="8" spans="1:99" ph="1">
      <c r="B8" s="238" ph="1"/>
      <c r="C8" s="68" t="s" ph="1">
        <v>179</v>
      </c>
      <c r="D8" s="74">
        <v>22</v>
      </c>
      <c r="E8" s="74">
        <v>22</v>
      </c>
      <c r="F8" s="74">
        <v>20</v>
      </c>
      <c r="G8" s="74">
        <v>21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26</v>
      </c>
      <c r="P8" s="74">
        <v>20</v>
      </c>
      <c r="Q8" s="74">
        <v>23</v>
      </c>
      <c r="R8" s="74">
        <v>28</v>
      </c>
      <c r="S8" s="74">
        <v>17</v>
      </c>
      <c r="T8" s="74">
        <v>17</v>
      </c>
      <c r="U8" s="74">
        <v>21</v>
      </c>
      <c r="V8" s="74">
        <v>28</v>
      </c>
      <c r="W8" s="74">
        <v>22</v>
      </c>
      <c r="X8" s="74">
        <v>12</v>
      </c>
      <c r="Y8" s="74">
        <v>22</v>
      </c>
      <c r="Z8" s="74">
        <v>16</v>
      </c>
      <c r="AA8" s="74">
        <v>22</v>
      </c>
      <c r="AB8" s="74">
        <v>13</v>
      </c>
      <c r="AC8" s="74">
        <v>19</v>
      </c>
      <c r="AD8" s="74">
        <v>20</v>
      </c>
      <c r="AE8" s="74">
        <v>21</v>
      </c>
    </row>
    <row r="9" spans="1:99" ht="26.4" ph="1">
      <c r="B9" s="238" ph="1">
        <v>0.66666666666666663</v>
      </c>
      <c r="C9" s="157" t="s" ph="1">
        <v>180</v>
      </c>
      <c r="D9" s="71">
        <v>3633</v>
      </c>
      <c r="E9" s="71">
        <v>4299</v>
      </c>
      <c r="F9" s="71">
        <v>6321</v>
      </c>
      <c r="G9" s="71">
        <v>8960</v>
      </c>
      <c r="H9" s="71">
        <v>3991</v>
      </c>
      <c r="I9" s="71">
        <v>23.3</v>
      </c>
      <c r="J9" s="71">
        <v>6.58</v>
      </c>
      <c r="K9" s="71">
        <v>7.29</v>
      </c>
      <c r="L9" s="71">
        <v>7.82</v>
      </c>
      <c r="M9" s="71">
        <v>1095</v>
      </c>
      <c r="N9" s="71">
        <v>1060</v>
      </c>
      <c r="O9" s="71">
        <v>1566</v>
      </c>
      <c r="P9" s="71">
        <v>472</v>
      </c>
      <c r="Q9" s="71">
        <v>7076</v>
      </c>
      <c r="R9" s="71">
        <v>7124</v>
      </c>
      <c r="S9" s="71">
        <v>6896</v>
      </c>
      <c r="T9" s="71">
        <v>5526</v>
      </c>
      <c r="U9" s="71">
        <v>7039</v>
      </c>
      <c r="V9" s="71">
        <v>5941</v>
      </c>
      <c r="W9" s="71">
        <v>7090</v>
      </c>
      <c r="X9" s="71">
        <v>5353</v>
      </c>
      <c r="Y9" s="71">
        <v>5828</v>
      </c>
      <c r="Z9" s="71">
        <v>2003</v>
      </c>
      <c r="AA9" s="71">
        <v>4233</v>
      </c>
      <c r="AB9" s="71">
        <v>3227</v>
      </c>
      <c r="AC9" s="71">
        <v>4064</v>
      </c>
      <c r="AD9" s="71">
        <v>3775</v>
      </c>
      <c r="AE9" s="71">
        <v>3997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114309.1501398</v>
      </c>
      <c r="E10" s="73" ph="1">
        <f>E9*51.53*LOOKUP(E11,密度!$A$2:$A$50,密度!$B$2:$B$50)</f>
        <v>172902.19033499999</v>
      </c>
      <c r="F10" s="73" ph="1">
        <f>F9*33.183*LOOKUP(F11,密度!$A$2:$A$50,密度!$C$2:$C$50)</f>
        <v>233220.73924170001</v>
      </c>
      <c r="G10" s="73" ph="1">
        <f xml:space="preserve"> (G9+2)*51.53*LOOKUP(G11,密度!$A$2:$A$50,密度!$B$2:$B$50)</f>
        <v>359612.89538199996</v>
      </c>
      <c r="H10" s="73" ph="1">
        <f>(H9)*51.53*LOOKUP(H11,密度!$A$2:$A$50,密度!$B$2:$B$50)</f>
        <v>160699.77812200002</v>
      </c>
      <c r="I10" s="73" ph="1">
        <f>I9*290.8*1.0267</f>
        <v>6956.5495879999999</v>
      </c>
      <c r="J10" s="73" ph="1">
        <f>J9*290.8*0.7892</f>
        <v>1510.1057888000003</v>
      </c>
      <c r="K10" s="73" ph="1">
        <f>K9*290.8*1.1126</f>
        <v>2358.6363432000003</v>
      </c>
      <c r="L10" s="73" ph="1">
        <f>L9*290.8*0.777</f>
        <v>1766.9415120000001</v>
      </c>
      <c r="M10" s="73" ph="1">
        <f>M9*33.183*LOOKUP(M11,密度!$A$2:$A$50,密度!$D$2:$D$50)</f>
        <v>37305.539779500003</v>
      </c>
      <c r="N10" s="73" ph="1">
        <f>N9*33.183*LOOKUP(N11,密度!$A$2:$A$50,密度!$E$2:$E$50)</f>
        <v>27548.261136000001</v>
      </c>
      <c r="O10" s="73" ph="1">
        <f>O9*20.428*LOOKUP(O11,密度!$A$2:$A$50,密度!$C$2:$C$50)</f>
        <v>35320.432816799999</v>
      </c>
      <c r="P10" s="73" ph="1">
        <f>P9*51.53*LOOKUP(P11,密度!$A$2:$A$50,密度!$B$2:$B$50)</f>
        <v>18920.208264000001</v>
      </c>
      <c r="Q10" s="73" ph="1">
        <f>Q9*1.5*1.5*3.1416*LOOKUP(W11,密度!$A$2:$A$50,密度!$L$2:$L$50)</f>
        <v>46916.333956799994</v>
      </c>
      <c r="R10" s="73" ph="1">
        <f>R9*1.5*1.5*3.1416*LOOKUP(R11,密度!$A$2:$A$50,密度!$L$2:$L$50)</f>
        <v>46982.807071200004</v>
      </c>
      <c r="S10" s="73" ph="1">
        <f>S9*1.5*1.5*3.1416*LOOKUP(S11,密度!$A$2:$A$50,密度!$L$2:$L$50)</f>
        <v>45917.851795199997</v>
      </c>
      <c r="T10" s="73" ph="1">
        <f>T9*1.5*1.5*3.1416*LOOKUP(T11,密度!$A$2:$A$50,密度!$L$2:$L$50)</f>
        <v>36834.6018348</v>
      </c>
      <c r="U10" s="73" ph="1">
        <f>U9*1.5*1.5*3.1416*LOOKUP(U11,密度!$A$2:$A$50,密度!$L$2:$L$50)</f>
        <v>46770.522875999995</v>
      </c>
      <c r="V10" s="73" ph="1">
        <f>V9*1.5*1.5*3.1416*LOOKUP(V11,密度!$A$2:$A$50,密度!$L$2:$L$50)</f>
        <v>39264.906681000008</v>
      </c>
      <c r="W10" s="73" ph="1">
        <f>W9*1.5*1.5*3.1416*LOOKUP(W11,密度!$A$2:$A$50,密度!$L$2:$L$50)</f>
        <v>47009.158811999994</v>
      </c>
      <c r="X10" s="73" ph="1">
        <f>X9*1.5*1.5*3.1416*LOOKUP(X11,密度!$A$2:$A$50,密度!$L$2:$L$50)</f>
        <v>35832.790362599997</v>
      </c>
      <c r="Y10" s="73" ph="1">
        <f>Y9*1.5*1.5*3.1416*LOOKUP(Y11,密度!$A$2:$A$50,密度!$L$2:$L$50)</f>
        <v>38682.856951199996</v>
      </c>
      <c r="Z10" s="73" ph="1">
        <f>Z9*33.183*LOOKUP(Z11,密度!$A$2:$A$50,密度!$L$2:$L$50)</f>
        <v>62677.012706999994</v>
      </c>
      <c r="AA10" s="73" ph="1">
        <f>AA9*33.183*LOOKUP(AA11,密度!$A$2:$A$50,密度!$D$2:$D$50)</f>
        <v>144214.01816129999</v>
      </c>
      <c r="AB10" s="73" ph="1">
        <f>AB9*20.428*LOOKUP(AB11,密度!$A$2:$A$50,密度!$D$2:$D$50)</f>
        <v>68155.88318840001</v>
      </c>
      <c r="AC10" s="73" ph="1">
        <f>AC9*51.53*LOOKUP(AC11,密度!$A$2:$A$50,密度!$Q$2:$Q$50)</f>
        <v>198570.07174400002</v>
      </c>
      <c r="AD10" s="73" ph="1">
        <f>AD9*20.428*LOOKUP(AD11,密度!$A$2:$A$50,密度!$V$2:$V$50)</f>
        <v>74092.764559999996</v>
      </c>
      <c r="AE10" s="73" ph="1">
        <f>AE9*20.428</f>
        <v>81650.716</v>
      </c>
    </row>
    <row r="11" spans="1:99" ph="1">
      <c r="A11" s="64" t="s" ph="1">
        <v>162</v>
      </c>
      <c r="B11" s="238" ph="1"/>
      <c r="C11" s="157" t="s" ph="1">
        <v>179</v>
      </c>
      <c r="D11" s="74">
        <v>23</v>
      </c>
      <c r="E11" s="74">
        <v>24</v>
      </c>
      <c r="F11" s="74">
        <v>21</v>
      </c>
      <c r="G11" s="74">
        <v>26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31</v>
      </c>
      <c r="P11" s="74">
        <v>27</v>
      </c>
      <c r="Q11" s="74">
        <v>25</v>
      </c>
      <c r="R11" s="74">
        <v>29</v>
      </c>
      <c r="S11" s="74">
        <v>20</v>
      </c>
      <c r="T11" s="74">
        <v>19</v>
      </c>
      <c r="U11" s="74">
        <v>22</v>
      </c>
      <c r="V11" s="74">
        <v>27</v>
      </c>
      <c r="W11" s="74">
        <v>24</v>
      </c>
      <c r="X11" s="74">
        <v>15</v>
      </c>
      <c r="Y11" s="74">
        <v>23</v>
      </c>
      <c r="Z11" s="74">
        <v>19</v>
      </c>
      <c r="AA11" s="74">
        <v>25</v>
      </c>
      <c r="AB11" s="74">
        <v>17</v>
      </c>
      <c r="AC11" s="74">
        <v>23</v>
      </c>
      <c r="AD11" s="74">
        <v>25</v>
      </c>
      <c r="AE11" s="74">
        <v>24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5196</v>
      </c>
      <c r="E15" s="78">
        <v>5712</v>
      </c>
      <c r="F15" s="78">
        <v>3078</v>
      </c>
      <c r="G15" s="78">
        <v>1794</v>
      </c>
      <c r="H15" s="78">
        <v>2798</v>
      </c>
      <c r="I15" s="78">
        <v>5465</v>
      </c>
      <c r="J15" s="78">
        <v>414</v>
      </c>
      <c r="K15" s="78">
        <v>3585</v>
      </c>
      <c r="L15" s="78">
        <v>6974</v>
      </c>
      <c r="M15" s="78">
        <v>6847</v>
      </c>
      <c r="N15" s="78">
        <v>522</v>
      </c>
      <c r="O15" s="78">
        <v>4988</v>
      </c>
      <c r="P15" s="78">
        <v>4610</v>
      </c>
      <c r="Q15" s="78">
        <v>1278</v>
      </c>
      <c r="R15" s="78">
        <v>7396</v>
      </c>
      <c r="S15" s="78">
        <v>0</v>
      </c>
      <c r="T15" s="78">
        <v>3500</v>
      </c>
      <c r="U15" s="78">
        <v>2100</v>
      </c>
      <c r="V15" s="78">
        <v>3701</v>
      </c>
      <c r="W15" s="71">
        <v>-172</v>
      </c>
      <c r="X15" s="78">
        <v>92</v>
      </c>
      <c r="Y15" s="106">
        <v>-9900</v>
      </c>
      <c r="Z15" s="78">
        <v>0</v>
      </c>
      <c r="AA15" s="78">
        <v>9</v>
      </c>
      <c r="AB15" s="78" ph="1">
        <v>7156</v>
      </c>
      <c r="AC15" s="78" ph="1">
        <v>7122</v>
      </c>
      <c r="AD15" s="78">
        <v>76.45</v>
      </c>
      <c r="AE15" s="78">
        <v>84.35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34561.467309599997</v>
      </c>
      <c r="E16" s="73" ph="1">
        <f>E15*7.0686*LOOKUP(E17,密度!$A$2:$A$50,密度!$L$2:$L$50)</f>
        <v>37993.668451199999</v>
      </c>
      <c r="F16" s="73" ph="1">
        <f>F15*9.0746*LOOKUP(F17,密度!$A$2:$A$50,密度!$L$2:$L$50)</f>
        <v>26199.858434399997</v>
      </c>
      <c r="G16" s="73" ph="1">
        <f>G15*9.0746*LOOKUP(G17,密度!$A$2:$A$50,密度!$B$2:$B$50)</f>
        <v>12750.364735680001</v>
      </c>
      <c r="H16" s="73" ph="1">
        <f>H15*9.0746*LOOKUP(H17,密度!$A$2:$A$50,密度!$L$2:$L$50)</f>
        <v>23994.240605999999</v>
      </c>
      <c r="I16" s="73" ph="1">
        <f>I15*9.0746*LOOKUP(I17,密度!$A$2:$A$50,密度!$U$2:$U$50)</f>
        <v>50981.284291999997</v>
      </c>
      <c r="J16" s="73" ph="1">
        <f>J15*9.0746*LOOKUP(J17,密度!$A$2:$A$50,密度!$L$2:$L$50)</f>
        <v>3535.2282203999998</v>
      </c>
      <c r="K16" s="73" ph="1">
        <f>K15*9.0746*LOOKUP(K17,密度!$A$2:$A$50,密度!$C$2:$C$50)</f>
        <v>36195.593856600004</v>
      </c>
      <c r="L16" s="73" ph="1">
        <f>L15*9.0746*LOOKUP(L17,密度!$A$2:$A$50,密度!$E$2:$E$50)</f>
        <v>49793.629682720006</v>
      </c>
      <c r="M16" s="73" ph="1">
        <f>M15*9.0746*LOOKUP(M17,密度!$A$2:$A$50,密度!$M$2:$M$50)</f>
        <v>54422.983332579999</v>
      </c>
      <c r="N16" s="73" ph="1">
        <f>N15*9.0746*LOOKUP(N17,密度!$A$2:$A$50,密度!$M$2:$M$50)</f>
        <v>4169.9293383599997</v>
      </c>
      <c r="O16" s="73" ph="1">
        <f>O15*9.0746*LOOKUP(O17,密度!$A$2:$A$50,密度!$G$2:$G$50)</f>
        <v>43625.544206240003</v>
      </c>
      <c r="P16" s="73" ph="1">
        <f ca="1">P15*9.0746*LOOKUP(P17,密度!$A$2:$A$51,密度!$Q$2:$Q$50)</f>
        <v>39704.141845540005</v>
      </c>
      <c r="Q16" s="73" ph="1">
        <f>Q15*9.0746*LOOKUP(Q17,密度!$A$2:$A$50,密度!$Q$2:$Q$50)</f>
        <v>11013.876684972</v>
      </c>
      <c r="R16" s="73" ph="1">
        <f>MAX(R15*9.0746*LOOKUP(R17,密度!$A$2:$A$50,密度!$B$2:$B$50),0)</f>
        <v>52444.240486240007</v>
      </c>
      <c r="S16" s="73" ph="1">
        <f>S15*9.0746*LOOKUP(S17,密度!$A$2:$A$50,密度!$Q$2:$Q$50)</f>
        <v>0</v>
      </c>
      <c r="T16" s="73" ph="1">
        <f>T15*9.0746*LOOKUP(T17,密度!$A$2:$A$50,密度!$O$2:$O$50)</f>
        <v>29537.823000000004</v>
      </c>
      <c r="U16" s="73" ph="1">
        <f>U15*9.0746*LOOKUP(U17,密度!$A$2:$A$50,密度!$H$2:$H$50)</f>
        <v>17526.410201999999</v>
      </c>
      <c r="V16" s="73" ph="1">
        <f>MAX(5600*LOOKUP(V17,密度!$A$2:$A$50,密度!$Q$2:$Q$50)+V15*9.0476*LOOKUP(V17,密度!$A$2:$A$50,密度!$Q$2:$Q$50),0)</f>
        <v>37060.555918319995</v>
      </c>
      <c r="W16" s="73" ph="1">
        <f>MAX(5600*LOOKUP(W17,密度!$A$2:$A$50,密度!$Q$2:$Q$50)+W15*9.0476*LOOKUP(W17,密度!$A$2:$A$50,密度!$Q$2:$Q$50),0)</f>
        <v>3834.3432969599999</v>
      </c>
      <c r="X16" s="73" ph="1">
        <f>MAX(5600*LOOKUP(X17,密度!$A$2:$A$50,密度!$I$2:$I$50)+X15*9.0476*LOOKUP(X17,密度!$A$2:$A$50,密度!$I$2:$I$50),0)</f>
        <v>6719.2633123200003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64.038544740000006</v>
      </c>
      <c r="AB16" s="73" ph="1">
        <f>AB15*9.0746*LOOKUP(AB17,密度!$A$2:$A$50,密度!$L$2:$L$50)</f>
        <v>61041.567343999996</v>
      </c>
      <c r="AC16" s="73" ph="1">
        <f>AC15*9.0746*LOOKUP(AC17,密度!$A$2:$A$50,密度!$L$2:$L$50)</f>
        <v>60816.1724292</v>
      </c>
      <c r="AD16" s="73" ph="1">
        <f>AD15*268.68*LOOKUP(AD17,密度!$A$2:$A$50,密度!B2:B50)+IF(AD15&lt;=0,0,1566*LOOKUP(AD17,密度!$A$2:$A$50,密度!B2:B50))</f>
        <v>17234.2944456</v>
      </c>
      <c r="AE16" s="73" ph="1">
        <f>AE15*268.68*LOOKUP(AE17,密度!$A$2:$A$50,密度!B2:B50)+IF(AE15&lt;=0,0,1566*LOOKUP(AE17,密度!$A$2:$A$50,密度!B2:B50))</f>
        <v>18889.051576799997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24</v>
      </c>
      <c r="G17" s="74">
        <v>21</v>
      </c>
      <c r="H17" s="74">
        <v>17</v>
      </c>
      <c r="I17" s="74">
        <v>20</v>
      </c>
      <c r="J17" s="74">
        <v>21</v>
      </c>
      <c r="K17" s="74">
        <v>20</v>
      </c>
      <c r="L17" s="74">
        <v>22</v>
      </c>
      <c r="M17" s="74">
        <v>24</v>
      </c>
      <c r="N17" s="74">
        <v>20</v>
      </c>
      <c r="O17" s="74">
        <v>22</v>
      </c>
      <c r="P17" s="74">
        <v>22</v>
      </c>
      <c r="Q17" s="74">
        <v>21</v>
      </c>
      <c r="R17" s="74">
        <v>23</v>
      </c>
      <c r="S17" s="74">
        <v>21</v>
      </c>
      <c r="T17" s="74">
        <v>22</v>
      </c>
      <c r="U17" s="74">
        <v>20</v>
      </c>
      <c r="V17" s="74">
        <v>23</v>
      </c>
      <c r="W17" s="74">
        <v>23</v>
      </c>
      <c r="X17" s="74">
        <v>23</v>
      </c>
      <c r="Y17" s="108">
        <v>23</v>
      </c>
      <c r="Z17" s="74">
        <v>22</v>
      </c>
      <c r="AA17" s="74">
        <v>20</v>
      </c>
      <c r="AB17" s="74">
        <v>22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5204</v>
      </c>
      <c r="E18" s="71">
        <v>5866</v>
      </c>
      <c r="F18" s="71">
        <v>3080</v>
      </c>
      <c r="G18" s="71">
        <v>1795</v>
      </c>
      <c r="H18" s="71">
        <v>2800</v>
      </c>
      <c r="I18" s="71">
        <v>5470</v>
      </c>
      <c r="J18" s="71">
        <v>413</v>
      </c>
      <c r="K18" s="71">
        <v>3586</v>
      </c>
      <c r="L18" s="71">
        <v>6030</v>
      </c>
      <c r="M18" s="71">
        <v>3886</v>
      </c>
      <c r="N18" s="71">
        <v>2542</v>
      </c>
      <c r="O18" s="71">
        <v>4993</v>
      </c>
      <c r="P18" s="71">
        <v>4576</v>
      </c>
      <c r="Q18" s="71">
        <v>1281</v>
      </c>
      <c r="R18" s="71">
        <v>7403</v>
      </c>
      <c r="S18" s="71">
        <v>0</v>
      </c>
      <c r="T18" s="71">
        <v>3507</v>
      </c>
      <c r="U18" s="71">
        <v>2099</v>
      </c>
      <c r="V18" s="71">
        <v>3701</v>
      </c>
      <c r="W18" s="71">
        <v>-172</v>
      </c>
      <c r="X18" s="71">
        <v>92</v>
      </c>
      <c r="Y18" s="109">
        <v>-9900</v>
      </c>
      <c r="Z18" s="71">
        <v>0</v>
      </c>
      <c r="AA18" s="71">
        <v>8</v>
      </c>
      <c r="AB18" s="71">
        <v>7164</v>
      </c>
      <c r="AC18" s="71">
        <v>7130</v>
      </c>
      <c r="AD18" s="71">
        <v>76.52</v>
      </c>
      <c r="AE18" s="71">
        <v>84.43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34099.689808800002</v>
      </c>
      <c r="E19" s="73" ph="1">
        <f>E18*7.0686*LOOKUP(E20,密度!$A$2:$A$50,密度!$L$2:$L$50)</f>
        <v>38437.505845200001</v>
      </c>
      <c r="F19" s="73" ph="1">
        <f>F18*9.0746*LOOKUP(F20,密度!$A$2:$A$50,密度!$L$2:$L$50)</f>
        <v>26105.083312000002</v>
      </c>
      <c r="G19" s="73" ph="1">
        <f>G18*9.0746*LOOKUP(G20,密度!$A$2:$A$50,密度!$B$2:$B$50)</f>
        <v>12713.4919135</v>
      </c>
      <c r="H19" s="73" ph="1">
        <f>H18*9.0746*LOOKUP(H20,密度!$A$2:$A$50,密度!$L$2:$L$50)</f>
        <v>23960.573840000001</v>
      </c>
      <c r="I19" s="73" ph="1">
        <f>I18*9.0746*LOOKUP(I20,密度!$A$2:$A$50,密度!$U$2:$U$50)</f>
        <v>50928.651612000001</v>
      </c>
      <c r="J19" s="73" ph="1">
        <f>J18*9.0746*LOOKUP(J20,密度!$A$2:$A$50,密度!$L$2:$L$50)</f>
        <v>3511.6977826000002</v>
      </c>
      <c r="K19" s="73" ph="1">
        <f>K18*9.0746*LOOKUP(K20,密度!$A$2:$A$50,密度!$C$2:$C$50)</f>
        <v>36085.286648840003</v>
      </c>
      <c r="L19" s="73" ph="1">
        <f>L18*9.0746*LOOKUP(L20,密度!$A$2:$A$50,密度!$E$2:$E$50)</f>
        <v>42856.577121600007</v>
      </c>
      <c r="M19" s="73" ph="1">
        <f>M18*9.0746*LOOKUP(M20,密度!$A$2:$A$50,密度!$M$2:$M$50)</f>
        <v>30824.171143960004</v>
      </c>
      <c r="N19" s="73" ph="1">
        <f>N18*9.0746*LOOKUP(N20,密度!$A$2:$A$50,密度!$M$2:$M$50)</f>
        <v>20253.3819496</v>
      </c>
      <c r="O19" s="73" ph="1">
        <f>O18*9.0746*LOOKUP(O20,密度!$A$2:$A$50,密度!$G$2:$G$50)</f>
        <v>43551.47006136</v>
      </c>
      <c r="P19" s="73" ph="1">
        <f ca="1">P18*9.0746*LOOKUP(P20,密度!$A$2:$A$51,密度!$Q$2:$Q$50)</f>
        <v>39344.041934911998</v>
      </c>
      <c r="Q19" s="73" ph="1">
        <f>Q18*9.0746*LOOKUP(Q20,密度!$A$2:$A$50,密度!$Q$2:$Q$50)</f>
        <v>10926.391370244</v>
      </c>
      <c r="R19" s="73" ph="1">
        <f>MAX(R18*9.0746*LOOKUP(R20,密度!$A$2:$A$50,密度!$B$2:$B$50),0)</f>
        <v>52312.49272106</v>
      </c>
      <c r="S19" s="73" ph="1">
        <f>S18*9.0746*LOOKUP(S20,密度!$A$2:$A$50,密度!$Q$2:$Q$50)</f>
        <v>0</v>
      </c>
      <c r="T19" s="73" ph="1">
        <f>T18*9.0746*LOOKUP(T20,密度!$A$2:$A$50,密度!$O$2:$O$50)</f>
        <v>29469.600157200002</v>
      </c>
      <c r="U19" s="73" ph="1">
        <f>U18*9.0746*LOOKUP(U20,密度!$A$2:$A$50,密度!$H$2:$H$50)</f>
        <v>17441.873950779998</v>
      </c>
      <c r="V19" s="73" ph="1">
        <f>MAX(5600*LOOKUP(V20,密度!$A$2:$A$50,密度!$Q$2:$Q$50)+V18*9.0476*LOOKUP(V20,密度!$A$2:$A$50,密度!$Q$2:$Q$50),0)</f>
        <v>37003.491573623993</v>
      </c>
      <c r="W19" s="73" ph="1">
        <f>MAX(5600*LOOKUP(W20,密度!$A$2:$A$50,密度!$Q$2:$Q$50)+W18*9.0476*LOOKUP(W20,密度!$A$2:$A$50,密度!$Q$2:$Q$50),0)</f>
        <v>3814.6499286240005</v>
      </c>
      <c r="X19" s="73" ph="1">
        <f>MAX(5600*LOOKUP(X20,密度!$A$2:$A$50,密度!$I$2:$I$50)+X18*9.0476*LOOKUP(X20,密度!$A$2:$A$50,密度!$I$2:$I$50),0)</f>
        <v>6704.4688401599997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56.407713600000001</v>
      </c>
      <c r="AB19" s="73" ph="1">
        <f>AB18*9.0746*LOOKUP(AB20,密度!$A$2:$A$50,密度!$L$2:$L$50)</f>
        <v>60979.787467199996</v>
      </c>
      <c r="AC19" s="73" ph="1">
        <f>AC18*9.0746*LOOKUP(AC20,密度!$A$2:$A$50,密度!$L$2:$L$50)</f>
        <v>60690.380323999998</v>
      </c>
      <c r="AD19" s="73" ph="1">
        <f>AD18*268.68*LOOKUP(AD20,密度!$A$2:$A$50,密度!B5:B53)+IF(AD18&lt;=0,0,1566*LOOKUP(AD20,密度!$A$2:$A$50,密度!B5:B53))</f>
        <v>17191.430827200002</v>
      </c>
      <c r="AE19" s="73" ph="1">
        <f>AE18*268.68*LOOKUP(AE20,密度!$A$2:$A$50,密度!B5:B53)+IF(AE18&lt;=0,0,1566*LOOKUP(AE20,密度!$A$2:$A$50,密度!B5:B53))</f>
        <v>18842.7569148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35</v>
      </c>
      <c r="E20" s="81">
        <v>35</v>
      </c>
      <c r="F20" s="81">
        <v>28</v>
      </c>
      <c r="G20" s="81">
        <v>24</v>
      </c>
      <c r="H20" s="81">
        <v>19</v>
      </c>
      <c r="I20" s="81">
        <v>24</v>
      </c>
      <c r="J20" s="81">
        <v>25</v>
      </c>
      <c r="K20" s="81">
        <v>25</v>
      </c>
      <c r="L20" s="81">
        <v>25</v>
      </c>
      <c r="M20" s="81">
        <v>26</v>
      </c>
      <c r="N20" s="81">
        <v>22</v>
      </c>
      <c r="O20" s="81">
        <v>24</v>
      </c>
      <c r="P20" s="81">
        <v>24</v>
      </c>
      <c r="Q20" s="81">
        <v>35</v>
      </c>
      <c r="R20" s="81">
        <v>26</v>
      </c>
      <c r="S20" s="81">
        <v>31</v>
      </c>
      <c r="T20" s="81">
        <v>29</v>
      </c>
      <c r="U20" s="81">
        <v>24</v>
      </c>
      <c r="V20" s="81">
        <v>25</v>
      </c>
      <c r="W20" s="81">
        <v>30</v>
      </c>
      <c r="X20" s="81">
        <v>25</v>
      </c>
      <c r="Y20" s="110">
        <v>25</v>
      </c>
      <c r="Z20" s="81">
        <v>33</v>
      </c>
      <c r="AA20" s="81">
        <v>28</v>
      </c>
      <c r="AB20" s="81">
        <v>24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648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2.97</v>
      </c>
      <c r="E24" s="71">
        <v>5.42</v>
      </c>
      <c r="F24" s="71">
        <v>0</v>
      </c>
      <c r="G24" s="71">
        <v>1609</v>
      </c>
      <c r="H24" s="71">
        <v>878</v>
      </c>
      <c r="I24" s="71">
        <v>0</v>
      </c>
      <c r="J24" s="71">
        <v>332</v>
      </c>
      <c r="K24" s="71">
        <v>5014</v>
      </c>
      <c r="L24" s="71">
        <v>469</v>
      </c>
      <c r="M24" s="71">
        <v>5315</v>
      </c>
      <c r="N24" s="71">
        <v>4939</v>
      </c>
      <c r="O24" s="71">
        <v>5730</v>
      </c>
      <c r="P24" s="71">
        <v>360</v>
      </c>
      <c r="Q24" s="90">
        <v>2471</v>
      </c>
      <c r="R24" s="71">
        <v>3122</v>
      </c>
      <c r="S24" s="71">
        <v>4318</v>
      </c>
      <c r="T24" s="71">
        <v>841</v>
      </c>
      <c r="U24" s="71">
        <v>1552</v>
      </c>
      <c r="V24" s="71">
        <v>11222</v>
      </c>
      <c r="W24" s="71">
        <v>11172</v>
      </c>
      <c r="X24" s="71">
        <v>7664</v>
      </c>
      <c r="Y24" s="71">
        <v>456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2238.0740465039999</v>
      </c>
      <c r="E25" s="91" ph="1">
        <f>E24*268.68*LOOKUP(E26,密度!$A$2:$A$50,密度!$C$2:$C$50)+IF(E24&lt;=0,0,1566*LOOKUP(E26,密度!$A$2:$A$50,密度!$C$2:$C$50))</f>
        <v>3351.3681458399997</v>
      </c>
      <c r="F25" s="91" ph="1">
        <f>F24*11.702*LOOKUP(F26,密度!$A$2:$A$50,密度!$Q$2:$Q$50)</f>
        <v>0</v>
      </c>
      <c r="G25" s="91" ph="1">
        <f>G24*18.322*LOOKUP(G26,密度!$A$2:$A$50,密度!$B$2:$B$50)</f>
        <v>23115.344841800001</v>
      </c>
      <c r="H25" s="91" ph="1">
        <f>H24*18.322*LOOKUP(H26,密度!$A$2:$A$50,密度!$B$2:$B$50)</f>
        <v>12626.4633884</v>
      </c>
      <c r="I25" s="91" ph="1">
        <f>I24*18.322*LOOKUP(I26,密度!$A$2:$A$50,密度!$Q$2:$Q$50)</f>
        <v>0</v>
      </c>
      <c r="J25" s="91" ph="1">
        <f>J24*18.322*LOOKUP(J26,密度!$A$2:$A$50,密度!$Q$2:$Q$50)</f>
        <v>5781.0703035199995</v>
      </c>
      <c r="K25" s="91" ph="1">
        <f>K24*18.322*LOOKUP(K26,密度!$A$2:$A$50,密度!$Q$2:$Q$50)</f>
        <v>87308.091873040001</v>
      </c>
      <c r="L25" s="91" ph="1">
        <f>L24*18.322*LOOKUP(L26,密度!$A$2:$A$50,密度!$Q$2:$Q$50)</f>
        <v>8173.9365121400006</v>
      </c>
      <c r="M25" s="91" ph="1">
        <f>M24*18.322*LOOKUP(M26,密度!$A$2:$A$50,密度!$Q$2:$Q$50)</f>
        <v>92482.170256700003</v>
      </c>
      <c r="N25" s="91" ph="1">
        <f>N24*18.322*LOOKUP(N26,密度!$A$2:$A$50,密度!$Q$2:$Q$50)</f>
        <v>86002.12719603999</v>
      </c>
      <c r="O25" s="91" ph="1">
        <f>O24*18.322*LOOKUP(O26,密度!$A$2:$A$50,密度!$C$2:$C$50)</f>
        <v>116732.88821400001</v>
      </c>
      <c r="P25" s="91" ph="1">
        <f>P24*11.702*LOOKUP(P26,密度!$A$2:$A$50,密度!$B$2:$B$50)</f>
        <v>3306.5639280000005</v>
      </c>
      <c r="Q25" s="92" ph="1">
        <f>Q24*18.322*LOOKUP(Q26,密度!$A$2:$A$50,密度!$B$2:$B$50)</f>
        <v>35535.297303799998</v>
      </c>
      <c r="R25" s="91" ph="1">
        <f>R24*35.891*LOOKUP(R26,密度!$A$2:$A$50,密度!$C$2:$C$50)</f>
        <v>124814.39085779998</v>
      </c>
      <c r="S25" s="91" ph="1">
        <f>S24*35.891*LOOKUP(S26,密度!$A$2:$A$50,密度!$B$2:$B$50)</f>
        <v>121517.73072579999</v>
      </c>
      <c r="T25" s="91" ph="1">
        <f>T24*35.891*LOOKUP(T26,密度!$A$2:$A$50,密度!$Q$2:$Q$50)</f>
        <v>28686.58449578</v>
      </c>
      <c r="U25" s="91" ph="1">
        <f>U24*35.891</f>
        <v>55702.831999999995</v>
      </c>
      <c r="V25" s="91" ph="1">
        <f>V24*47.051*LOOKUP(V26,密度!$A$2:$A$50,密度!$B$2:$B$50)</f>
        <v>414854.56719540001</v>
      </c>
      <c r="W25" s="91" ph="1">
        <f>W24*47.051*LOOKUP(W26,密度!$A$2:$A$50,密度!$B$2:$B$50)</f>
        <v>412165.12262520002</v>
      </c>
      <c r="X25" s="91" ph="1">
        <f>X24*47.051*LOOKUP(X26,密度!$A$2:$A$61,密度!$I$2:$I$61)</f>
        <v>373436.18355840002</v>
      </c>
      <c r="Y25" s="91" ph="1">
        <f>Y24*47.051*LOOKUP(Y26,密度!$A$2:$A$50,密度!$L$2:$L$50)</f>
        <v>20232.306408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20</v>
      </c>
      <c r="H26" s="74">
        <v>19</v>
      </c>
      <c r="I26" s="74">
        <v>19</v>
      </c>
      <c r="J26" s="74">
        <v>20</v>
      </c>
      <c r="K26" s="74">
        <v>20</v>
      </c>
      <c r="L26" s="74">
        <v>19</v>
      </c>
      <c r="M26" s="74">
        <v>21</v>
      </c>
      <c r="N26" s="74">
        <v>20</v>
      </c>
      <c r="O26" s="74">
        <v>21</v>
      </c>
      <c r="P26" s="74">
        <v>19</v>
      </c>
      <c r="Q26" s="93">
        <v>19</v>
      </c>
      <c r="R26" s="74">
        <v>18</v>
      </c>
      <c r="S26" s="74">
        <v>20</v>
      </c>
      <c r="T26" s="74">
        <v>20</v>
      </c>
      <c r="U26" s="74">
        <v>19</v>
      </c>
      <c r="V26" s="74">
        <v>18</v>
      </c>
      <c r="W26" s="74">
        <v>20</v>
      </c>
      <c r="X26" s="74">
        <v>31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2.95</v>
      </c>
      <c r="E27" s="71">
        <v>5.42</v>
      </c>
      <c r="F27" s="71">
        <v>0</v>
      </c>
      <c r="G27" s="71">
        <v>1147</v>
      </c>
      <c r="H27" s="71">
        <v>875</v>
      </c>
      <c r="I27" s="71">
        <v>0</v>
      </c>
      <c r="J27" s="71">
        <v>326</v>
      </c>
      <c r="K27" s="71">
        <v>5015</v>
      </c>
      <c r="L27" s="71">
        <v>463</v>
      </c>
      <c r="M27" s="71">
        <v>5316</v>
      </c>
      <c r="N27" s="71">
        <v>4938</v>
      </c>
      <c r="O27" s="71">
        <v>5726</v>
      </c>
      <c r="P27" s="71">
        <v>356</v>
      </c>
      <c r="Q27" s="90">
        <v>2618</v>
      </c>
      <c r="R27" s="71">
        <v>3120</v>
      </c>
      <c r="S27" s="71">
        <v>4316</v>
      </c>
      <c r="T27" s="71">
        <v>839</v>
      </c>
      <c r="U27" s="71">
        <v>1499</v>
      </c>
      <c r="V27" s="71">
        <v>11226</v>
      </c>
      <c r="W27" s="71">
        <v>11176</v>
      </c>
      <c r="X27" s="71">
        <v>7540</v>
      </c>
      <c r="Y27" s="71">
        <v>450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2232.98664444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0</v>
      </c>
      <c r="G28" s="91" ph="1">
        <f>G27*18.322*LOOKUP(G29,密度!$A$2:$A$50,密度!$B$2:$B$50)</f>
        <v>16421.381987599998</v>
      </c>
      <c r="H28" s="91" ph="1">
        <f>H27*18.322*LOOKUP(H29,密度!$A$2:$A$50,密度!$B$2:$B$50)</f>
        <v>12570.495175</v>
      </c>
      <c r="I28" s="91" ph="1">
        <f>I27*18.322*LOOKUP(I29,密度!$A$2:$A$50,密度!$Q$2:$Q$50)</f>
        <v>0</v>
      </c>
      <c r="J28" s="91" ph="1">
        <f>J27*18.322*LOOKUP(J29,密度!$A$2:$A$50,密度!$Q$2:$Q$50)</f>
        <v>5638.0674599599997</v>
      </c>
      <c r="K28" s="91" ph="1">
        <f>K27*18.322*LOOKUP(K29,密度!$A$2:$A$50,密度!$Q$2:$Q$50)</f>
        <v>87206.973304700005</v>
      </c>
      <c r="L28" s="91" ph="1">
        <f>L27*18.322*LOOKUP(L29,密度!$A$2:$A$50,密度!$Q$2:$Q$50)</f>
        <v>8062.1552726799991</v>
      </c>
      <c r="M28" s="91" ph="1">
        <f>M27*18.322*LOOKUP(M29,密度!$A$2:$A$50,密度!$Q$2:$Q$50)</f>
        <v>92441.130625679987</v>
      </c>
      <c r="N28" s="91" ph="1">
        <f>N27*18.322*LOOKUP(N29,密度!$A$2:$A$50,密度!$Q$2:$Q$50)</f>
        <v>85984.714333679993</v>
      </c>
      <c r="O28" s="91" ph="1">
        <f>O27*18.322*LOOKUP(O29,密度!$A$2:$A$50,密度!$C$2:$C$50)</f>
        <v>116724.8375272</v>
      </c>
      <c r="P28" s="91" ph="1">
        <f>P27*11.702*LOOKUP(P29,密度!$A$2:$A$50,密度!$B$2:$B$50)</f>
        <v>3269.8243288000003</v>
      </c>
      <c r="Q28" s="92" ph="1">
        <f>Q27*18.322*LOOKUP(Q29,密度!$A$2:$A$50,密度!$B$2:$B$50)</f>
        <v>37524.580970800002</v>
      </c>
      <c r="R28" s="91" ph="1">
        <f>R27*35.891*LOOKUP(R29,密度!$A$2:$A$50,密度!$C$2:$C$50)</f>
        <v>124342.50316800001</v>
      </c>
      <c r="S28" s="91" ph="1">
        <f>S27*35.891*LOOKUP(S29,密度!$A$2:$A$50,密度!$B$2:$B$50)</f>
        <v>121461.44645959999</v>
      </c>
      <c r="T28" s="91" ph="1">
        <f>T27*35.891*LOOKUP(T29,密度!$A$2:$A$50,密度!$Q$2:$Q$50)</f>
        <v>28643.959985270001</v>
      </c>
      <c r="U28" s="91" ph="1">
        <f>U27*35.891</f>
        <v>53800.608999999997</v>
      </c>
      <c r="V28" s="91" ph="1">
        <f>V27*47.051*LOOKUP(V29,密度!$A$2:$A$50,密度!$B$2:$B$50)</f>
        <v>414579.88345740008</v>
      </c>
      <c r="W28" s="91" ph="1">
        <f>W27*47.051*LOOKUP(W29,密度!$A$2:$A$50,密度!$B$2:$B$50)</f>
        <v>410892.92004639999</v>
      </c>
      <c r="X28" s="91" ph="1">
        <f>X27*47.051*LOOKUP(X29,密度!$A$2:$A$61,密度!$I$2:$I$61)</f>
        <v>367394.15762400004</v>
      </c>
      <c r="Y28" s="91" ph="1">
        <f>Y27*47.051*LOOKUP(Y29,密度!$A$2:$A$50,密度!$L$2:$L$50)</f>
        <v>19881.40005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21</v>
      </c>
      <c r="G29" s="74">
        <v>23</v>
      </c>
      <c r="H29" s="74">
        <v>20</v>
      </c>
      <c r="I29" s="74">
        <v>22</v>
      </c>
      <c r="J29" s="74">
        <v>29</v>
      </c>
      <c r="K29" s="74">
        <v>22</v>
      </c>
      <c r="L29" s="74">
        <v>20</v>
      </c>
      <c r="M29" s="74">
        <v>22</v>
      </c>
      <c r="N29" s="74">
        <v>20</v>
      </c>
      <c r="O29" s="74">
        <v>20</v>
      </c>
      <c r="P29" s="74">
        <v>19</v>
      </c>
      <c r="Q29" s="93">
        <v>22</v>
      </c>
      <c r="R29" s="74">
        <v>23</v>
      </c>
      <c r="S29" s="74">
        <v>20</v>
      </c>
      <c r="T29" s="74">
        <v>19</v>
      </c>
      <c r="U29" s="74">
        <v>21</v>
      </c>
      <c r="V29" s="74">
        <v>19</v>
      </c>
      <c r="W29" s="74">
        <v>23</v>
      </c>
      <c r="X29" s="74">
        <v>31</v>
      </c>
      <c r="Y29" s="74">
        <v>23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212369.9013497</v>
      </c>
      <c r="E33" s="187" ph="1">
        <f>M10+I10</f>
        <v>44262.089367500004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3" ph="1">
        <f>N19</f>
        <v>20253.3819496</v>
      </c>
      <c r="H33" s="187" ph="1">
        <f>M19</f>
        <v>30824.171143960004</v>
      </c>
      <c r="I33" s="191" ph="1">
        <v>0</v>
      </c>
      <c r="J33" s="195" ph="1">
        <f>F10+O28</f>
        <v>349945.57676890003</v>
      </c>
      <c r="K33" s="187" ph="1">
        <f>O10+K10+E28+R28</f>
        <v>165372.94047384002</v>
      </c>
      <c r="L33" s="197" ph="1">
        <f>K19</f>
        <v>36085.286648840003</v>
      </c>
      <c r="M33" s="195" ph="1">
        <f>G10+H10+W28+S28+V28+E10+R19+P28+Q28</f>
        <v>1733256.01182306</v>
      </c>
      <c r="N33" s="187" ph="1">
        <f>L10+P10++G28+H28+AD19+AE19</f>
        <v>85713.214680600009</v>
      </c>
      <c r="O33" s="191" ph="1">
        <f>G19</f>
        <v>12713.4919135</v>
      </c>
      <c r="P33" s="195" ph="1">
        <f>L19</f>
        <v>42856.577121600007</v>
      </c>
      <c r="Q33" s="187" ph="1">
        <f>J10+N10</f>
        <v>29058.366924800001</v>
      </c>
      <c r="R33" s="191" ph="1">
        <f>BE23</f>
        <v>890</v>
      </c>
      <c r="S33" s="195" ph="1">
        <f>X28</f>
        <v>367394.15762400004</v>
      </c>
      <c r="T33" s="187" ph="1">
        <f>X19</f>
        <v>6704.4688401599997</v>
      </c>
      <c r="U33" s="176" ph="1">
        <f>BE21</f>
        <v>730</v>
      </c>
      <c r="V33" s="189" ph="1">
        <f ca="1">P19+Q19+S19+M28+N28+J28+D10+AC10+D19+E19+H19+J19+O19+V19+W19+K28+L28</f>
        <v>826861.7750258639</v>
      </c>
      <c r="W33" s="189" ph="1">
        <f>D28+F28+T28+I28</f>
        <v>30876.946629710001</v>
      </c>
      <c r="X33" s="191" ph="1">
        <f>BE29+BE31</f>
        <v>10200</v>
      </c>
      <c r="Y33" s="193" ph="1">
        <f>+Q10+R10+S10+T10+U10+V10+W10+X10+Y10</f>
        <v>384211.83034080005</v>
      </c>
      <c r="Z33" s="174" ph="1">
        <f>T19+U19+Y28+Z10</f>
        <v>129469.88686497998</v>
      </c>
      <c r="AA33" s="176" ph="1">
        <f>BE19</f>
        <v>1440</v>
      </c>
      <c r="AB33" s="178" ph="1">
        <f>I19</f>
        <v>50928.651612000001</v>
      </c>
      <c r="AC33" s="180" ph="1">
        <f>AD10+AB19</f>
        <v>135072.5520272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49" priority="100">
      <formula>ABS(D$7-D$10)&gt;=1000</formula>
    </cfRule>
  </conditionalFormatting>
  <conditionalFormatting sqref="E4 E6:E11">
    <cfRule type="expression" dxfId="648" priority="99">
      <formula>ABS(E$7-E$10)&gt;=1000</formula>
    </cfRule>
  </conditionalFormatting>
  <conditionalFormatting sqref="F4:F11">
    <cfRule type="expression" dxfId="647" priority="98">
      <formula>ABS(F$7-F$10)&gt;=1000</formula>
    </cfRule>
  </conditionalFormatting>
  <conditionalFormatting sqref="G4:G11">
    <cfRule type="expression" dxfId="646" priority="97">
      <formula>ABS(G$7-G$10)&gt;=1000</formula>
    </cfRule>
  </conditionalFormatting>
  <conditionalFormatting sqref="H4:H11">
    <cfRule type="expression" dxfId="645" priority="96">
      <formula>ABS(H$7-H$10)&gt;=1000</formula>
    </cfRule>
  </conditionalFormatting>
  <conditionalFormatting sqref="I4:I11">
    <cfRule type="expression" dxfId="644" priority="95">
      <formula>ABS(I$7-I$10)&gt;=1000</formula>
    </cfRule>
  </conditionalFormatting>
  <conditionalFormatting sqref="J4:J11">
    <cfRule type="expression" dxfId="643" priority="94">
      <formula>ABS(J$7-J$10)&gt;=1000</formula>
    </cfRule>
  </conditionalFormatting>
  <conditionalFormatting sqref="K4:K11">
    <cfRule type="expression" dxfId="642" priority="93">
      <formula>ABS(K$7-K$10)&gt;=1000</formula>
    </cfRule>
  </conditionalFormatting>
  <conditionalFormatting sqref="L4:L11">
    <cfRule type="expression" dxfId="641" priority="92">
      <formula>ABS(L$7-L$10)&gt;=1000</formula>
    </cfRule>
  </conditionalFormatting>
  <conditionalFormatting sqref="M4 M6:M11">
    <cfRule type="expression" dxfId="640" priority="91">
      <formula>ABS(M$7-M$10)&gt;=1000</formula>
    </cfRule>
  </conditionalFormatting>
  <conditionalFormatting sqref="N4 N6:N11">
    <cfRule type="expression" dxfId="639" priority="90">
      <formula>ABS(N$7-N$10)&gt;=1000</formula>
    </cfRule>
  </conditionalFormatting>
  <conditionalFormatting sqref="O4 O6:O11">
    <cfRule type="expression" dxfId="638" priority="89">
      <formula>ABS(O$7-O$10)&gt;=1000</formula>
    </cfRule>
  </conditionalFormatting>
  <conditionalFormatting sqref="P4 P6:P11">
    <cfRule type="expression" dxfId="637" priority="88">
      <formula>ABS(P$7-P$10)&gt;=1000</formula>
    </cfRule>
  </conditionalFormatting>
  <conditionalFormatting sqref="Q4:Q11">
    <cfRule type="expression" dxfId="636" priority="87">
      <formula>ABS(Q$7-Q$10)&gt;=1000</formula>
    </cfRule>
  </conditionalFormatting>
  <conditionalFormatting sqref="R4:R11">
    <cfRule type="expression" dxfId="635" priority="86">
      <formula>ABS(R$7-R$10)&gt;=1000</formula>
    </cfRule>
  </conditionalFormatting>
  <conditionalFormatting sqref="S4:S11">
    <cfRule type="expression" dxfId="634" priority="85">
      <formula>ABS(S$7-S$10)&gt;=1000</formula>
    </cfRule>
  </conditionalFormatting>
  <conditionalFormatting sqref="T4:T9 T11">
    <cfRule type="expression" dxfId="633" priority="84">
      <formula>ABS(T$7-T$10)&gt;=1000</formula>
    </cfRule>
  </conditionalFormatting>
  <conditionalFormatting sqref="U4:U9 U11">
    <cfRule type="expression" dxfId="632" priority="83">
      <formula>ABS(U$7-U$10)&gt;=1000</formula>
    </cfRule>
  </conditionalFormatting>
  <conditionalFormatting sqref="V4:V9 V11">
    <cfRule type="expression" dxfId="631" priority="82">
      <formula>ABS(V$7-V$10)&gt;=1000</formula>
    </cfRule>
  </conditionalFormatting>
  <conditionalFormatting sqref="W4:W9 W11">
    <cfRule type="expression" dxfId="630" priority="81">
      <formula>ABS(W$7-W$10)&gt;=1000</formula>
    </cfRule>
  </conditionalFormatting>
  <conditionalFormatting sqref="X4:X9 X11">
    <cfRule type="expression" dxfId="629" priority="80">
      <formula>ABS(X$7-X$10)&gt;=1000</formula>
    </cfRule>
  </conditionalFormatting>
  <conditionalFormatting sqref="Y4:Y9 Y11">
    <cfRule type="expression" dxfId="628" priority="79">
      <formula>ABS(Y$7-Y$10)&gt;=1000</formula>
    </cfRule>
  </conditionalFormatting>
  <conditionalFormatting sqref="Z4:Z11">
    <cfRule type="expression" dxfId="627" priority="78">
      <formula>ABS(Z$7-Z$10)&gt;=1000</formula>
    </cfRule>
  </conditionalFormatting>
  <conditionalFormatting sqref="AA4:AA11">
    <cfRule type="expression" dxfId="626" priority="77">
      <formula>ABS(AA$7-AA$10)&gt;=1000</formula>
    </cfRule>
  </conditionalFormatting>
  <conditionalFormatting sqref="AB4:AB11">
    <cfRule type="expression" dxfId="625" priority="76">
      <formula>ABS(AB$7-AB$10)&gt;=1000</formula>
    </cfRule>
  </conditionalFormatting>
  <conditionalFormatting sqref="AC4 AC6:AC11">
    <cfRule type="expression" dxfId="624" priority="75">
      <formula>ABS(AC$7-AC$10)&gt;=1000</formula>
    </cfRule>
  </conditionalFormatting>
  <conditionalFormatting sqref="AD4 AD6:AD11">
    <cfRule type="expression" dxfId="623" priority="74">
      <formula>ABS(AD$7-AD$10)&gt;=1000</formula>
    </cfRule>
  </conditionalFormatting>
  <conditionalFormatting sqref="AE4 AE6:AE11">
    <cfRule type="expression" dxfId="622" priority="73">
      <formula>ABS(AE$7-AE$10)&gt;=1000</formula>
    </cfRule>
  </conditionalFormatting>
  <conditionalFormatting sqref="D13:D20">
    <cfRule type="expression" dxfId="621" priority="72">
      <formula>ABS(D$16-D$19)&gt;=1000</formula>
    </cfRule>
  </conditionalFormatting>
  <conditionalFormatting sqref="E13:E20">
    <cfRule type="expression" dxfId="620" priority="71">
      <formula>ABS(E$16-E$19)&gt;=1000</formula>
    </cfRule>
  </conditionalFormatting>
  <conditionalFormatting sqref="F13 F15:F20">
    <cfRule type="expression" dxfId="619" priority="70">
      <formula>ABS(F$16-F$19)&gt;=1000</formula>
    </cfRule>
  </conditionalFormatting>
  <conditionalFormatting sqref="G13:G20">
    <cfRule type="expression" dxfId="618" priority="69">
      <formula>ABS(G$16-G$19)&gt;=1000</formula>
    </cfRule>
  </conditionalFormatting>
  <conditionalFormatting sqref="H13 H15:H20">
    <cfRule type="expression" dxfId="617" priority="68">
      <formula>ABS(H$16-H$19)&gt;=1000</formula>
    </cfRule>
  </conditionalFormatting>
  <conditionalFormatting sqref="I13:I20">
    <cfRule type="expression" dxfId="616" priority="67">
      <formula>ABS(I$16-I$19)&gt;=1000</formula>
    </cfRule>
  </conditionalFormatting>
  <conditionalFormatting sqref="J13:J20">
    <cfRule type="expression" dxfId="615" priority="66">
      <formula>ABS(J$16-J$19)&gt;=1000</formula>
    </cfRule>
  </conditionalFormatting>
  <conditionalFormatting sqref="L13:L20">
    <cfRule type="expression" dxfId="614" priority="65">
      <formula>ABS(L$16-L$19)&gt;=1000</formula>
    </cfRule>
  </conditionalFormatting>
  <conditionalFormatting sqref="M13 M15 M17:M18 M20">
    <cfRule type="expression" dxfId="613" priority="64">
      <formula>ABS(M$16-M$19)&gt;=1000</formula>
    </cfRule>
  </conditionalFormatting>
  <conditionalFormatting sqref="N13:N20">
    <cfRule type="expression" dxfId="612" priority="63">
      <formula>ABS(N$16-N$19)&gt;=1000</formula>
    </cfRule>
  </conditionalFormatting>
  <conditionalFormatting sqref="O13:O20">
    <cfRule type="expression" dxfId="611" priority="62">
      <formula>ABS(O$16-O$19)&gt;=1000</formula>
    </cfRule>
  </conditionalFormatting>
  <conditionalFormatting sqref="P13:P20">
    <cfRule type="expression" dxfId="610" priority="61">
      <formula>ABS(P$16-P$19)&gt;=1000</formula>
    </cfRule>
  </conditionalFormatting>
  <conditionalFormatting sqref="Q13 Q15:Q20">
    <cfRule type="expression" dxfId="609" priority="60">
      <formula>ABS(Q$16-Q$19)&gt;=1000</formula>
    </cfRule>
  </conditionalFormatting>
  <conditionalFormatting sqref="R13:R20">
    <cfRule type="expression" dxfId="608" priority="59">
      <formula>ABS(R$16-R$19)&gt;=1000</formula>
    </cfRule>
  </conditionalFormatting>
  <conditionalFormatting sqref="S13:S20">
    <cfRule type="expression" dxfId="607" priority="58">
      <formula>ABS(S$16-S$19)&gt;=1000</formula>
    </cfRule>
  </conditionalFormatting>
  <conditionalFormatting sqref="T13:T20">
    <cfRule type="expression" dxfId="606" priority="57">
      <formula>ABS(T$16-T$19)&gt;=1000</formula>
    </cfRule>
  </conditionalFormatting>
  <conditionalFormatting sqref="U13:U20">
    <cfRule type="expression" dxfId="605" priority="56">
      <formula>ABS(U$16-U$19)&gt;=1000</formula>
    </cfRule>
  </conditionalFormatting>
  <conditionalFormatting sqref="V13:V20">
    <cfRule type="expression" dxfId="604" priority="55">
      <formula>ABS(V$16-V$19)&gt;=1000</formula>
    </cfRule>
  </conditionalFormatting>
  <conditionalFormatting sqref="W13 W20 W15:W18">
    <cfRule type="expression" dxfId="603" priority="54">
      <formula>ABS(W$16-W$19)&gt;=1000</formula>
    </cfRule>
  </conditionalFormatting>
  <conditionalFormatting sqref="X13 X15:X20 Y19">
    <cfRule type="expression" dxfId="602" priority="53">
      <formula>ABS(X$16-X$19)&gt;=1000</formula>
    </cfRule>
  </conditionalFormatting>
  <conditionalFormatting sqref="Y13 Y15:Y18 Y20">
    <cfRule type="expression" dxfId="601" priority="52">
      <formula>ABS(Y$16-Y$19)&gt;=1000</formula>
    </cfRule>
  </conditionalFormatting>
  <conditionalFormatting sqref="Z13:Z20">
    <cfRule type="expression" dxfId="600" priority="51">
      <formula>ABS(Z$16-Z$19)&gt;=1000</formula>
    </cfRule>
  </conditionalFormatting>
  <conditionalFormatting sqref="AA13:AA20">
    <cfRule type="expression" dxfId="599" priority="50">
      <formula>ABS(AA$16-AA$19)&gt;=1000</formula>
    </cfRule>
  </conditionalFormatting>
  <conditionalFormatting sqref="AB13 AB15:AB20">
    <cfRule type="expression" dxfId="598" priority="49">
      <formula>ABS(AB$16-AB$19)&gt;=1000</formula>
    </cfRule>
  </conditionalFormatting>
  <conditionalFormatting sqref="AC13 AC15:AC20">
    <cfRule type="expression" dxfId="597" priority="48">
      <formula>ABS(AC$16-AC$19)&gt;=1000</formula>
    </cfRule>
  </conditionalFormatting>
  <conditionalFormatting sqref="AD13:AD20">
    <cfRule type="expression" dxfId="596" priority="47">
      <formula>ABS(AD$16-AD$19)&gt;=1000</formula>
    </cfRule>
  </conditionalFormatting>
  <conditionalFormatting sqref="AE13:AE20">
    <cfRule type="expression" dxfId="595" priority="46">
      <formula>ABS(AE$16-AE$19)&gt;=1000</formula>
    </cfRule>
  </conditionalFormatting>
  <conditionalFormatting sqref="D22:D29">
    <cfRule type="expression" dxfId="594" priority="45">
      <formula>ABS(D$25-D$28)&gt;=1000</formula>
    </cfRule>
  </conditionalFormatting>
  <conditionalFormatting sqref="E22:E29">
    <cfRule type="expression" dxfId="593" priority="44">
      <formula>ABS(E$25-E$28)&gt;=1000</formula>
    </cfRule>
  </conditionalFormatting>
  <conditionalFormatting sqref="F22:F29">
    <cfRule type="expression" dxfId="592" priority="43">
      <formula>ABS(F$25-F$28)&gt;=1000</formula>
    </cfRule>
  </conditionalFormatting>
  <conditionalFormatting sqref="G22:G29">
    <cfRule type="expression" dxfId="591" priority="42">
      <formula>ABS(G$25-G$28)&gt;=1000</formula>
    </cfRule>
  </conditionalFormatting>
  <conditionalFormatting sqref="H22:H29">
    <cfRule type="expression" dxfId="590" priority="41">
      <formula>ABS(H$25-H$28)&gt;=1000</formula>
    </cfRule>
  </conditionalFormatting>
  <conditionalFormatting sqref="I22 I24:I29">
    <cfRule type="expression" dxfId="589" priority="40">
      <formula>ABS(I$25-I$28)&gt;=1000</formula>
    </cfRule>
  </conditionalFormatting>
  <conditionalFormatting sqref="J22:J29 K22">
    <cfRule type="expression" dxfId="588" priority="39">
      <formula>ABS(J$25-J$28)&gt;=1000</formula>
    </cfRule>
  </conditionalFormatting>
  <conditionalFormatting sqref="K23:K29 L25 L28">
    <cfRule type="expression" dxfId="587" priority="38">
      <formula>ABS(K$25-K$28)&gt;=1000</formula>
    </cfRule>
  </conditionalFormatting>
  <conditionalFormatting sqref="L22 L26:L27 L29 L24">
    <cfRule type="expression" dxfId="586" priority="37">
      <formula>ABS(L$25-L$28)&gt;=1000</formula>
    </cfRule>
  </conditionalFormatting>
  <conditionalFormatting sqref="M22:M29">
    <cfRule type="expression" dxfId="585" priority="36">
      <formula>ABS(M$25-M$28)&gt;=1000</formula>
    </cfRule>
  </conditionalFormatting>
  <conditionalFormatting sqref="N22:N29">
    <cfRule type="expression" dxfId="584" priority="35">
      <formula>ABS(N$25-N$28)&gt;=1000</formula>
    </cfRule>
  </conditionalFormatting>
  <conditionalFormatting sqref="O22:O29">
    <cfRule type="expression" dxfId="583" priority="34">
      <formula>ABS(O$25-O$28)&gt;=1000</formula>
    </cfRule>
  </conditionalFormatting>
  <conditionalFormatting sqref="P22:P29">
    <cfRule type="expression" dxfId="582" priority="33">
      <formula>ABS(P$25-P$28)&gt;=1000</formula>
    </cfRule>
  </conditionalFormatting>
  <conditionalFormatting sqref="Q22:Q29">
    <cfRule type="expression" dxfId="581" priority="32">
      <formula>ABS(Q$25-Q$28)&gt;=1000</formula>
    </cfRule>
  </conditionalFormatting>
  <conditionalFormatting sqref="R22:R29">
    <cfRule type="expression" dxfId="580" priority="31">
      <formula>ABS(R$25-R$28)&gt;=1000</formula>
    </cfRule>
  </conditionalFormatting>
  <conditionalFormatting sqref="S22:S29">
    <cfRule type="expression" dxfId="579" priority="30">
      <formula>ABS(S$25-S$28)&gt;=1000</formula>
    </cfRule>
  </conditionalFormatting>
  <conditionalFormatting sqref="T22:T29">
    <cfRule type="expression" dxfId="578" priority="29">
      <formula>ABS(T$25-T$28)&gt;=1000</formula>
    </cfRule>
  </conditionalFormatting>
  <conditionalFormatting sqref="U22:U29">
    <cfRule type="expression" dxfId="577" priority="28">
      <formula>ABS(U$25-U$28)&gt;=1000</formula>
    </cfRule>
  </conditionalFormatting>
  <conditionalFormatting sqref="V22:V29">
    <cfRule type="expression" dxfId="576" priority="27">
      <formula>ABS(V$25-V$28)&gt;=1000</formula>
    </cfRule>
  </conditionalFormatting>
  <conditionalFormatting sqref="W22:W29">
    <cfRule type="expression" dxfId="575" priority="26">
      <formula>ABS(W$25-W$28)&gt;=1000</formula>
    </cfRule>
  </conditionalFormatting>
  <conditionalFormatting sqref="X22:X29">
    <cfRule type="expression" dxfId="574" priority="25">
      <formula>ABS(X$25-X$28)&gt;=1000</formula>
    </cfRule>
  </conditionalFormatting>
  <conditionalFormatting sqref="Y22:Y29">
    <cfRule type="expression" dxfId="573" priority="24">
      <formula>ABS(Y$25-Y$28)&gt;=1000</formula>
    </cfRule>
  </conditionalFormatting>
  <conditionalFormatting sqref="I23">
    <cfRule type="expression" dxfId="572" priority="23">
      <formula>ABS(I$25-I$28)&gt;=1000</formula>
    </cfRule>
  </conditionalFormatting>
  <conditionalFormatting sqref="Q14">
    <cfRule type="expression" dxfId="571" priority="22">
      <formula>ABS(Q$16-Q$19)&gt;=1000</formula>
    </cfRule>
  </conditionalFormatting>
  <conditionalFormatting sqref="W14">
    <cfRule type="expression" dxfId="570" priority="21">
      <formula>ABS(W$16-W$19)&gt;=1000</formula>
    </cfRule>
  </conditionalFormatting>
  <conditionalFormatting sqref="X14">
    <cfRule type="expression" dxfId="569" priority="20">
      <formula>ABS(X$16-X$19)&gt;=1000</formula>
    </cfRule>
  </conditionalFormatting>
  <conditionalFormatting sqref="T10:Y10">
    <cfRule type="expression" dxfId="568" priority="19">
      <formula>ABS(T$7-T$10)&gt;=1000</formula>
    </cfRule>
  </conditionalFormatting>
  <conditionalFormatting sqref="W19">
    <cfRule type="expression" dxfId="567" priority="18">
      <formula>ABS(W$16-W$19)&gt;=1000</formula>
    </cfRule>
  </conditionalFormatting>
  <conditionalFormatting sqref="AC5">
    <cfRule type="expression" dxfId="566" priority="17">
      <formula>ABS(AC$7-AC$10)&gt;=1000</formula>
    </cfRule>
  </conditionalFormatting>
  <conditionalFormatting sqref="M14">
    <cfRule type="expression" dxfId="565" priority="16">
      <formula>ABS(M$16-M$19)&gt;=1000</formula>
    </cfRule>
  </conditionalFormatting>
  <conditionalFormatting sqref="M16">
    <cfRule type="expression" dxfId="564" priority="15">
      <formula>ABS(M$16-M$19)&gt;=1000</formula>
    </cfRule>
  </conditionalFormatting>
  <conditionalFormatting sqref="M19">
    <cfRule type="expression" dxfId="563" priority="14">
      <formula>ABS(M$16-M$19)&gt;=1000</formula>
    </cfRule>
  </conditionalFormatting>
  <conditionalFormatting sqref="K13:K20">
    <cfRule type="expression" dxfId="562" priority="13">
      <formula>ABS(K$16-K$19)&gt;=1000</formula>
    </cfRule>
  </conditionalFormatting>
  <conditionalFormatting sqref="E5">
    <cfRule type="expression" dxfId="561" priority="12">
      <formula>ABS(E$7-E$10)&gt;=1000</formula>
    </cfRule>
  </conditionalFormatting>
  <conditionalFormatting sqref="AB14:AC14">
    <cfRule type="expression" dxfId="560" priority="11">
      <formula>ABS(AB$16-AB$19)&gt;=1000</formula>
    </cfRule>
  </conditionalFormatting>
  <conditionalFormatting sqref="M5">
    <cfRule type="expression" dxfId="559" priority="10">
      <formula>ABS(M$7-M$10)&gt;=1000</formula>
    </cfRule>
  </conditionalFormatting>
  <conditionalFormatting sqref="N5">
    <cfRule type="expression" dxfId="558" priority="9">
      <formula>ABS(N$7-N$10)&gt;=1000</formula>
    </cfRule>
  </conditionalFormatting>
  <conditionalFormatting sqref="O5">
    <cfRule type="expression" dxfId="557" priority="8">
      <formula>ABS(O$7-O$10)&gt;=1000</formula>
    </cfRule>
  </conditionalFormatting>
  <conditionalFormatting sqref="P5">
    <cfRule type="expression" dxfId="556" priority="7">
      <formula>ABS(P$7-P$10)&gt;=1000</formula>
    </cfRule>
  </conditionalFormatting>
  <conditionalFormatting sqref="L23">
    <cfRule type="expression" dxfId="555" priority="6">
      <formula>ABS(L$25-L$28)&gt;=1000</formula>
    </cfRule>
  </conditionalFormatting>
  <conditionalFormatting sqref="Y14">
    <cfRule type="expression" dxfId="554" priority="5">
      <formula>ABS(Y$16-Y$19)&gt;=1000</formula>
    </cfRule>
  </conditionalFormatting>
  <conditionalFormatting sqref="F14">
    <cfRule type="expression" dxfId="553" priority="4">
      <formula>ABS(F$16-F$19)&gt;=1000</formula>
    </cfRule>
  </conditionalFormatting>
  <conditionalFormatting sqref="H14">
    <cfRule type="expression" dxfId="552" priority="3">
      <formula>ABS(H$16-H$19)&gt;=1000</formula>
    </cfRule>
  </conditionalFormatting>
  <conditionalFormatting sqref="AD5">
    <cfRule type="expression" dxfId="551" priority="2">
      <formula>ABS(AD$7-AD$10)&gt;=1000</formula>
    </cfRule>
  </conditionalFormatting>
  <conditionalFormatting sqref="AE5">
    <cfRule type="expression" dxfId="5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96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3">
    <pageSetUpPr fitToPage="1"/>
  </sheetPr>
  <dimension ref="A1:CU223"/>
  <sheetViews>
    <sheetView view="pageBreakPreview" topLeftCell="A7" zoomScale="70" zoomScaleNormal="100" zoomScaleSheetLayoutView="70" workbookViewId="0">
      <selection activeCell="X18" sqref="X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46107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57" t="s" ph="1">
        <v>177</v>
      </c>
      <c r="D6" s="71">
        <v>3633</v>
      </c>
      <c r="E6" s="71">
        <v>4306</v>
      </c>
      <c r="F6" s="71">
        <v>6320</v>
      </c>
      <c r="G6" s="71">
        <v>8955</v>
      </c>
      <c r="H6" s="71">
        <v>4180</v>
      </c>
      <c r="I6" s="71">
        <v>23.34</v>
      </c>
      <c r="J6" s="71">
        <v>6.56</v>
      </c>
      <c r="K6" s="71">
        <v>7.33</v>
      </c>
      <c r="L6" s="71">
        <v>7.89</v>
      </c>
      <c r="M6" s="71">
        <v>1097</v>
      </c>
      <c r="N6" s="71">
        <v>1062</v>
      </c>
      <c r="O6" s="71">
        <v>688</v>
      </c>
      <c r="P6" s="71">
        <v>350</v>
      </c>
      <c r="Q6" s="71">
        <v>7073</v>
      </c>
      <c r="R6" s="71">
        <v>7121</v>
      </c>
      <c r="S6" s="71">
        <v>6894</v>
      </c>
      <c r="T6" s="71">
        <v>2197</v>
      </c>
      <c r="U6" s="71">
        <v>7037</v>
      </c>
      <c r="V6" s="71">
        <v>5937</v>
      </c>
      <c r="W6" s="71">
        <v>7085</v>
      </c>
      <c r="X6" s="71">
        <v>5351</v>
      </c>
      <c r="Y6" s="71">
        <v>5824</v>
      </c>
      <c r="Z6" s="71">
        <v>2009</v>
      </c>
      <c r="AA6" s="71">
        <v>4230</v>
      </c>
      <c r="AB6" s="71">
        <v>3199</v>
      </c>
      <c r="AC6" s="71">
        <v>4065</v>
      </c>
      <c r="AD6" s="71">
        <v>3775</v>
      </c>
      <c r="AE6" s="71">
        <v>3995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114416.44305650999</v>
      </c>
      <c r="E7" s="73" ph="1">
        <f>E6*51.53*LOOKUP(E8,密度!$A$2:$A$50,密度!$B$2:$B$50)</f>
        <v>173982.52193799999</v>
      </c>
      <c r="F7" s="73" ph="1">
        <f>F6*33.183*LOOKUP(F8,密度!$A$2:$A$50,密度!$C$2:$C$50)</f>
        <v>233330.64465600002</v>
      </c>
      <c r="G7" s="73" ph="1">
        <f xml:space="preserve"> (G6+2)*51.53*LOOKUP(G8,密度!$A$2:$A$50,密度!$B$2:$B$50)</f>
        <v>361489.25727200002</v>
      </c>
      <c r="H7" s="73" ph="1">
        <f>(H6)*51.53*LOOKUP(H8,密度!$A$2:$A$50,密度!$B$2:$B$50)</f>
        <v>169559.25888000001</v>
      </c>
      <c r="I7" s="73" ph="1">
        <f>I6*290.8*1.0267</f>
        <v>6968.4921623999999</v>
      </c>
      <c r="J7" s="73" ph="1">
        <f>J6*290.8*0.7892</f>
        <v>1505.5158016</v>
      </c>
      <c r="K7" s="73" ph="1">
        <f>K6*290.8*1.1126</f>
        <v>2371.5781064000003</v>
      </c>
      <c r="L7" s="73" ph="1">
        <f>L6*290.8*0.777</f>
        <v>1782.758124</v>
      </c>
      <c r="M7" s="73" ph="1">
        <f>M6*33.183*LOOKUP(M8,密度!$A$2:$A$50,密度!$D$2:$D$50)</f>
        <v>37544.7659814</v>
      </c>
      <c r="N7" s="73" ph="1">
        <f>N6*33.183*LOOKUP(N8,密度!$A$2:$A$50,密度!$E$2:$E$50)</f>
        <v>27811.681063199998</v>
      </c>
      <c r="O7" s="73" ph="1">
        <f>O6*20.428*LOOKUP(O8,密度!$A$2:$A$50,密度!$C$2:$C$50)</f>
        <v>15594.833254399999</v>
      </c>
      <c r="P7" s="73" ph="1">
        <f>P6*51.53*LOOKUP(P8,密度!$A$2:$A$50,密度!$B$2:$B$50)</f>
        <v>14170.492349999999</v>
      </c>
      <c r="Q7" s="73" ph="1">
        <f>Q6*1.5*1.5*3.1416*LOOKUP(W8,密度!$A$2:$A$50,密度!$L$2:$L$50)</f>
        <v>46996.435331999994</v>
      </c>
      <c r="R7" s="73" ph="1">
        <f>R6*1.5*1.5*3.1416*LOOKUP(R8,密度!$A$2:$A$50,密度!$L$2:$L$50)</f>
        <v>47063.693061000005</v>
      </c>
      <c r="S7" s="73" ph="1">
        <f>S6*1.5*1.5*3.1416*LOOKUP(S8,密度!$A$2:$A$50,密度!$L$2:$L$50)</f>
        <v>46050.727337999997</v>
      </c>
      <c r="T7" s="73" ph="1">
        <f>T6*1.5*1.5*3.1416*LOOKUP(T8,密度!$A$2:$A$50,密度!$L$2:$L$50)</f>
        <v>14675.579919</v>
      </c>
      <c r="U7" s="73" ph="1">
        <f>U6*1.5*1.5*3.1416*LOOKUP(U8,密度!$A$2:$A$50,密度!$L$2:$L$50)</f>
        <v>46806.9756462</v>
      </c>
      <c r="V7" s="73" ph="1">
        <f>V6*1.5*1.5*3.1416*LOOKUP(V8,密度!$A$2:$A$50,密度!$L$2:$L$50)</f>
        <v>39196.503838800003</v>
      </c>
      <c r="W7" s="73" ph="1">
        <f>W6*1.5*1.5*3.1416*LOOKUP(W8,密度!$A$2:$A$50,密度!$L$2:$L$50)</f>
        <v>47076.169139999998</v>
      </c>
      <c r="X7" s="73" ph="1">
        <f>X6*1.5*1.5*3.1416*LOOKUP(X8,密度!$A$2:$A$50,密度!$L$2:$L$50)</f>
        <v>35932.874669999997</v>
      </c>
      <c r="Y7" s="73" ph="1">
        <f>Y6*1.5*1.5*3.1416*LOOKUP(Y8,密度!$A$2:$A$50,密度!$L$2:$L$50)</f>
        <v>38697.474816000002</v>
      </c>
      <c r="Z7" s="73" ph="1">
        <f>Z6*33.183*LOOKUP(Z8,密度!$A$2:$A$50,密度!$L$2:$L$50)</f>
        <v>63131.420708999991</v>
      </c>
      <c r="AA7" s="73" ph="1">
        <f>AA6*33.183*LOOKUP(AA8,密度!$A$2:$A$50,密度!$D$2:$D$50)</f>
        <v>144771.52242600001</v>
      </c>
      <c r="AB7" s="73" ph="1">
        <f>AB6*20.428*LOOKUP(AB8,密度!$A$2:$A$50,密度!$D$2:$D$50)</f>
        <v>67793.231032800017</v>
      </c>
      <c r="AC7" s="73" ph="1">
        <f>AC6*51.53*LOOKUP(AC8,密度!$A$2:$A$50,密度!$Q$2:$Q$50)</f>
        <v>199582.49196000001</v>
      </c>
      <c r="AD7" s="73" ph="1">
        <f>AD6*20.428*LOOKUP(AD8,密度!$A$2:$A$50,密度!$V$2:$V$50)</f>
        <v>74339.534799999994</v>
      </c>
      <c r="AE7" s="73" ph="1">
        <f>AE6*20.428</f>
        <v>81609.86</v>
      </c>
    </row>
    <row r="8" spans="1:99" ph="1">
      <c r="B8" s="238" ph="1"/>
      <c r="C8" s="68" t="s" ph="1">
        <v>179</v>
      </c>
      <c r="D8" s="74">
        <v>22</v>
      </c>
      <c r="E8" s="74">
        <v>20</v>
      </c>
      <c r="F8" s="74">
        <v>20</v>
      </c>
      <c r="G8" s="74">
        <v>21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24</v>
      </c>
      <c r="P8" s="74">
        <v>18</v>
      </c>
      <c r="Q8" s="74">
        <v>22</v>
      </c>
      <c r="R8" s="74">
        <v>27</v>
      </c>
      <c r="S8" s="74">
        <v>17</v>
      </c>
      <c r="T8" s="74">
        <v>17</v>
      </c>
      <c r="U8" s="74">
        <v>21</v>
      </c>
      <c r="V8" s="74">
        <v>28</v>
      </c>
      <c r="W8" s="74">
        <v>22</v>
      </c>
      <c r="X8" s="74">
        <v>12</v>
      </c>
      <c r="Y8" s="74">
        <v>22</v>
      </c>
      <c r="Z8" s="74">
        <v>15</v>
      </c>
      <c r="AA8" s="74">
        <v>20</v>
      </c>
      <c r="AB8" s="74">
        <v>13</v>
      </c>
      <c r="AC8" s="74">
        <v>17</v>
      </c>
      <c r="AD8" s="74">
        <v>19</v>
      </c>
      <c r="AE8" s="74">
        <v>20</v>
      </c>
    </row>
    <row r="9" spans="1:99" ht="26.4" ph="1">
      <c r="B9" s="238" ph="1">
        <v>0.66666666666666663</v>
      </c>
      <c r="C9" s="157" t="s" ph="1">
        <v>180</v>
      </c>
      <c r="D9" s="71">
        <v>3635</v>
      </c>
      <c r="E9" s="71">
        <v>5610</v>
      </c>
      <c r="F9" s="71">
        <v>6322</v>
      </c>
      <c r="G9" s="71">
        <v>8964</v>
      </c>
      <c r="H9" s="71">
        <v>5042</v>
      </c>
      <c r="I9" s="71">
        <v>23.34</v>
      </c>
      <c r="J9" s="71">
        <v>6.54</v>
      </c>
      <c r="K9" s="71">
        <v>7.31</v>
      </c>
      <c r="L9" s="71">
        <v>7.83</v>
      </c>
      <c r="M9" s="71">
        <v>1097</v>
      </c>
      <c r="N9" s="71">
        <v>1063</v>
      </c>
      <c r="O9" s="71">
        <v>686</v>
      </c>
      <c r="P9" s="71">
        <v>347</v>
      </c>
      <c r="Q9" s="71">
        <v>7079</v>
      </c>
      <c r="R9" s="71">
        <v>7127</v>
      </c>
      <c r="S9" s="71">
        <v>6902</v>
      </c>
      <c r="T9" s="71">
        <v>2947</v>
      </c>
      <c r="U9" s="71">
        <v>5682</v>
      </c>
      <c r="V9" s="71">
        <v>5943</v>
      </c>
      <c r="W9" s="71">
        <v>7093</v>
      </c>
      <c r="X9" s="71">
        <v>5356</v>
      </c>
      <c r="Y9" s="71">
        <v>5831</v>
      </c>
      <c r="Z9" s="71">
        <v>1221</v>
      </c>
      <c r="AA9" s="71">
        <v>4233</v>
      </c>
      <c r="AB9" s="71">
        <v>3035</v>
      </c>
      <c r="AC9" s="71">
        <v>4370</v>
      </c>
      <c r="AD9" s="71">
        <v>3775</v>
      </c>
      <c r="AE9" s="71">
        <v>4070</v>
      </c>
    </row>
    <row r="10" spans="1:99" s="72" customFormat="1" ht="22.2" ph="1">
      <c r="B10" s="238" ph="1"/>
      <c r="C10" s="157" t="s" ph="1">
        <v>178</v>
      </c>
      <c r="D10" s="73" ph="1">
        <f>D9*33.183*LOOKUP(D11,密度!$A$2:$A$50,密度!$Q$2:$Q$50)</f>
        <v>114372.07838100001</v>
      </c>
      <c r="E10" s="73" ph="1">
        <f>E9*51.53*LOOKUP(E11,密度!$A$2:$A$50,密度!$B$2:$B$50)</f>
        <v>226410.04055999999</v>
      </c>
      <c r="F10" s="73" ph="1">
        <f>F9*33.183*LOOKUP(F11,密度!$A$2:$A$50,密度!$C$2:$C$50)</f>
        <v>233257.63541940003</v>
      </c>
      <c r="G10" s="73" ph="1">
        <f xml:space="preserve"> (G9+2)*51.53*LOOKUP(G11,密度!$A$2:$A$50,密度!$B$2:$B$50)</f>
        <v>360605.03339</v>
      </c>
      <c r="H10" s="73" ph="1">
        <f>(H9)*51.53*LOOKUP(H11,密度!$A$2:$A$50,密度!$B$2:$B$50)</f>
        <v>203486.52843200002</v>
      </c>
      <c r="I10" s="73" ph="1">
        <f>I9*290.8*1.0267</f>
        <v>6968.4921623999999</v>
      </c>
      <c r="J10" s="73" ph="1">
        <f>J9*290.8*0.7892</f>
        <v>1500.9258144</v>
      </c>
      <c r="K10" s="73" ph="1">
        <f>K9*290.8*1.1126</f>
        <v>2365.1072248</v>
      </c>
      <c r="L10" s="73" ph="1">
        <f>L9*290.8*0.777</f>
        <v>1769.201028</v>
      </c>
      <c r="M10" s="73" ph="1">
        <f>M9*33.183*LOOKUP(M11,密度!$A$2:$A$50,密度!$D$2:$D$50)</f>
        <v>37373.677751699994</v>
      </c>
      <c r="N10" s="73" ph="1">
        <f>N9*33.183*LOOKUP(N11,密度!$A$2:$A$50,密度!$E$2:$E$50)</f>
        <v>27668.5561476</v>
      </c>
      <c r="O10" s="73" ph="1">
        <f>O9*20.428*LOOKUP(O11,密度!$A$2:$A$50,密度!$C$2:$C$50)</f>
        <v>15472.424592800002</v>
      </c>
      <c r="P10" s="73" ph="1">
        <f>P9*51.53*LOOKUP(P11,密度!$A$2:$A$50,密度!$B$2:$B$50)</f>
        <v>13939.957435999999</v>
      </c>
      <c r="Q10" s="73" ph="1">
        <f>Q9*1.5*1.5*3.1416*LOOKUP(W11,密度!$A$2:$A$50,密度!$L$2:$L$50)</f>
        <v>46936.224997199992</v>
      </c>
      <c r="R10" s="73" ph="1">
        <f>R9*1.5*1.5*3.1416*LOOKUP(R11,密度!$A$2:$A$50,密度!$L$2:$L$50)</f>
        <v>47002.5920826</v>
      </c>
      <c r="S10" s="73" ph="1">
        <f>S9*1.5*1.5*3.1416*LOOKUP(S11,密度!$A$2:$A$50,密度!$L$2:$L$50)</f>
        <v>45957.803522399998</v>
      </c>
      <c r="T10" s="73" ph="1">
        <f>T9*1.5*1.5*3.1416*LOOKUP(T11,密度!$A$2:$A$50,密度!$L$2:$L$50)</f>
        <v>19643.787840599998</v>
      </c>
      <c r="U10" s="73" ph="1">
        <f>U9*1.5*1.5*3.1416*LOOKUP(U11,密度!$A$2:$A$50,密度!$L$2:$L$50)</f>
        <v>37753.958087999999</v>
      </c>
      <c r="V10" s="73" ph="1">
        <f>V9*1.5*1.5*3.1416*LOOKUP(V11,密度!$A$2:$A$50,密度!$L$2:$L$50)</f>
        <v>39236.116273200001</v>
      </c>
      <c r="W10" s="73" ph="1">
        <f>W9*1.5*1.5*3.1416*LOOKUP(W11,密度!$A$2:$A$50,密度!$L$2:$L$50)</f>
        <v>47029.0498524</v>
      </c>
      <c r="X10" s="73" ph="1">
        <f>X9*1.5*1.5*3.1416*LOOKUP(X11,密度!$A$2:$A$50,密度!$L$2:$L$50)</f>
        <v>35852.872255199996</v>
      </c>
      <c r="Y10" s="73" ph="1">
        <f>Y9*1.5*1.5*3.1416*LOOKUP(Y11,密度!$A$2:$A$50,密度!$L$2:$L$50)</f>
        <v>38702.769197399997</v>
      </c>
      <c r="Z10" s="73" ph="1">
        <f>Z9*33.183*LOOKUP(Z11,密度!$A$2:$A$50,密度!$L$2:$L$50)</f>
        <v>38207.005748999996</v>
      </c>
      <c r="AA10" s="73" ph="1">
        <f>AA9*33.183*LOOKUP(AA11,密度!$A$2:$A$50,密度!$D$2:$D$50)</f>
        <v>144340.4354364</v>
      </c>
      <c r="AB10" s="73" ph="1">
        <f>AB9*20.428*LOOKUP(AB11,密度!$A$2:$A$50,密度!$D$2:$D$50)</f>
        <v>64156.544503999998</v>
      </c>
      <c r="AC10" s="73" ph="1">
        <f>AC9*51.53*LOOKUP(AC11,密度!$A$2:$A$50,密度!$Q$2:$Q$50)</f>
        <v>213521.46002000003</v>
      </c>
      <c r="AD10" s="73" ph="1">
        <f>AD9*20.428*LOOKUP(AD11,密度!$A$2:$A$50,密度!$V$2:$V$50)</f>
        <v>74092.764559999996</v>
      </c>
      <c r="AE10" s="73" ph="1">
        <f>AE9*20.428</f>
        <v>83141.960000000006</v>
      </c>
    </row>
    <row r="11" spans="1:99" ph="1">
      <c r="A11" s="64" t="s" ph="1">
        <v>162</v>
      </c>
      <c r="B11" s="238" ph="1"/>
      <c r="C11" s="157" t="s" ph="1">
        <v>179</v>
      </c>
      <c r="D11" s="74">
        <v>23</v>
      </c>
      <c r="E11" s="74">
        <v>21</v>
      </c>
      <c r="F11" s="74">
        <v>21</v>
      </c>
      <c r="G11" s="74">
        <v>24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24</v>
      </c>
      <c r="O11" s="74">
        <v>31</v>
      </c>
      <c r="P11" s="74">
        <v>25</v>
      </c>
      <c r="Q11" s="74">
        <v>24</v>
      </c>
      <c r="R11" s="74">
        <v>29</v>
      </c>
      <c r="S11" s="74">
        <v>20</v>
      </c>
      <c r="T11" s="74">
        <v>19</v>
      </c>
      <c r="U11" s="74">
        <v>22</v>
      </c>
      <c r="V11" s="74">
        <v>28</v>
      </c>
      <c r="W11" s="74">
        <v>24</v>
      </c>
      <c r="X11" s="74">
        <v>15</v>
      </c>
      <c r="Y11" s="74">
        <v>23</v>
      </c>
      <c r="Z11" s="74">
        <v>19</v>
      </c>
      <c r="AA11" s="74">
        <v>24</v>
      </c>
      <c r="AB11" s="74">
        <v>16</v>
      </c>
      <c r="AC11" s="74">
        <v>23</v>
      </c>
      <c r="AD11" s="74">
        <v>23</v>
      </c>
      <c r="AE11" s="74">
        <v>24</v>
      </c>
    </row>
    <row r="12" spans="1:99" ht="9.9" customHeight="1" ph="1"/>
    <row r="13" spans="1:99" s="72" customFormat="1" ht="29.25" customHeight="1" ph="1">
      <c r="B13" s="215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57" t="s" ph="1">
        <v>177</v>
      </c>
      <c r="D15" s="78">
        <v>4453</v>
      </c>
      <c r="E15" s="78">
        <v>5715</v>
      </c>
      <c r="F15" s="78">
        <v>3078</v>
      </c>
      <c r="G15" s="78">
        <v>1795</v>
      </c>
      <c r="H15" s="78">
        <v>2799</v>
      </c>
      <c r="I15" s="78">
        <v>5467</v>
      </c>
      <c r="J15" s="78">
        <v>414</v>
      </c>
      <c r="K15" s="78">
        <v>3586</v>
      </c>
      <c r="L15" s="78">
        <v>4960</v>
      </c>
      <c r="M15" s="78">
        <v>6156</v>
      </c>
      <c r="N15" s="78">
        <v>864</v>
      </c>
      <c r="O15" s="78">
        <v>4991</v>
      </c>
      <c r="P15" s="78">
        <v>2858</v>
      </c>
      <c r="Q15" s="78">
        <v>1277</v>
      </c>
      <c r="R15" s="78">
        <v>7400</v>
      </c>
      <c r="S15" s="78">
        <v>0</v>
      </c>
      <c r="T15" s="78">
        <v>3509</v>
      </c>
      <c r="U15" s="78">
        <v>2103</v>
      </c>
      <c r="V15" s="78">
        <v>3702</v>
      </c>
      <c r="W15" s="71">
        <v>-172</v>
      </c>
      <c r="X15" s="78">
        <v>92</v>
      </c>
      <c r="Y15" s="106">
        <v>-9900</v>
      </c>
      <c r="Z15" s="78">
        <v>0</v>
      </c>
      <c r="AA15" s="78">
        <v>10</v>
      </c>
      <c r="AB15" s="78" ph="1">
        <v>7158</v>
      </c>
      <c r="AC15" s="78" ph="1">
        <v>7125</v>
      </c>
      <c r="AD15" s="78">
        <v>76.5</v>
      </c>
      <c r="AE15" s="78">
        <v>84.4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57" t="s" ph="1">
        <v>178</v>
      </c>
      <c r="D16" s="73" ph="1">
        <f>D15*7.0686*LOOKUP(D17,密度!$A$2:$A$50,密度!$L$2:$L$50)</f>
        <v>29650.840203599997</v>
      </c>
      <c r="E16" s="73" ph="1">
        <f>E15*7.0686*LOOKUP(E17,密度!$A$2:$A$50,密度!$L$2:$L$50)</f>
        <v>38054.020157999999</v>
      </c>
      <c r="F16" s="73" ph="1">
        <f>F15*9.0746*LOOKUP(F17,密度!$A$2:$A$50,密度!$L$2:$L$50)</f>
        <v>26227.790053199999</v>
      </c>
      <c r="G16" s="73" ph="1">
        <f>G15*9.0746*LOOKUP(G17,密度!$A$2:$A$50,密度!$B$2:$B$50)</f>
        <v>12757.471962400001</v>
      </c>
      <c r="H16" s="73" ph="1">
        <f>H15*9.0746*LOOKUP(H17,密度!$A$2:$A$50,密度!$L$2:$L$50)</f>
        <v>24002.816103000001</v>
      </c>
      <c r="I16" s="73" ph="1">
        <f>I15*9.0746*LOOKUP(I17,密度!$A$2:$A$50,密度!$U$2:$U$50)</f>
        <v>50999.941669599997</v>
      </c>
      <c r="J16" s="73" ph="1">
        <f>J15*9.0746*LOOKUP(J17,密度!$A$2:$A$50,密度!$L$2:$L$50)</f>
        <v>3538.9851047999996</v>
      </c>
      <c r="K16" s="73" ph="1">
        <f>K15*9.0746*LOOKUP(K17,密度!$A$2:$A$50,密度!$C$2:$C$50)</f>
        <v>36205.690256560003</v>
      </c>
      <c r="L16" s="73" ph="1">
        <f>L15*9.0746*LOOKUP(L17,密度!$A$2:$A$50,密度!$E$2:$E$50)</f>
        <v>35413.880588800006</v>
      </c>
      <c r="M16" s="73" ph="1">
        <f>M15*9.0746*LOOKUP(M17,密度!$A$2:$A$50,密度!$M$2:$M$50)</f>
        <v>48992.059375199999</v>
      </c>
      <c r="N16" s="73" ph="1">
        <f>N15*9.0746*LOOKUP(N17,密度!$A$2:$A$50,密度!$M$2:$M$50)</f>
        <v>6901.9520083200005</v>
      </c>
      <c r="O16" s="73" ph="1">
        <f>O15*9.0746*LOOKUP(O17,密度!$A$2:$A$50,密度!$G$2:$G$50)</f>
        <v>43651.782504679999</v>
      </c>
      <c r="P16" s="73" ph="1">
        <f ca="1">P15*9.0746*LOOKUP(P17,密度!$A$2:$A$51,密度!$Q$2:$Q$50)</f>
        <v>24614.845421811999</v>
      </c>
      <c r="Q16" s="73" ph="1">
        <f>Q15*9.0746*LOOKUP(Q17,密度!$A$2:$A$50,密度!$Q$2:$Q$50)</f>
        <v>11013.254530396</v>
      </c>
      <c r="R16" s="73" ph="1">
        <f>MAX(R15*9.0746*LOOKUP(R17,密度!$A$2:$A$50,密度!$B$2:$B$50),0)</f>
        <v>52412.167220000003</v>
      </c>
      <c r="S16" s="73" ph="1">
        <f>S15*9.0746*LOOKUP(S17,密度!$A$2:$A$50,密度!$Q$2:$Q$50)</f>
        <v>0</v>
      </c>
      <c r="T16" s="73" ph="1">
        <f>T15*9.0746*LOOKUP(T17,密度!$A$2:$A$50,密度!$O$2:$O$50)</f>
        <v>29613.777402000003</v>
      </c>
      <c r="U16" s="73" ph="1">
        <f>U15*9.0746*LOOKUP(U17,密度!$A$2:$A$50,密度!$H$2:$H$50)</f>
        <v>17551.447930859998</v>
      </c>
      <c r="V16" s="73" ph="1">
        <f>MAX(5600*LOOKUP(V17,密度!$A$2:$A$50,密度!$Q$2:$Q$50)+V15*9.0476*LOOKUP(V17,密度!$A$2:$A$50,密度!$Q$2:$Q$50),0)</f>
        <v>37154.360241775998</v>
      </c>
      <c r="W16" s="73" ph="1">
        <f>MAX(5600*LOOKUP(W17,密度!$A$2:$A$50,密度!$Q$2:$Q$50)+W15*9.0476*LOOKUP(W17,密度!$A$2:$A$50,密度!$Q$2:$Q$50),0)</f>
        <v>3840.3685780320002</v>
      </c>
      <c r="X16" s="73" ph="1">
        <f>MAX(5600*LOOKUP(X17,密度!$A$2:$A$50,密度!$I$2:$I$50)+X15*9.0476*LOOKUP(X17,密度!$A$2:$A$50,密度!$I$2:$I$50),0)</f>
        <v>6726.3389294400004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61058.627591999997</v>
      </c>
      <c r="AC16" s="73" ph="1">
        <f>AC15*9.0746*LOOKUP(AC17,密度!$A$2:$A$50,密度!$L$2:$L$50)</f>
        <v>60971.103074999999</v>
      </c>
      <c r="AD16" s="73" ph="1">
        <f>AD15*268.68*LOOKUP(AD17,密度!$A$2:$A$50,密度!B2:B50)+IF(AD15&lt;=0,0,1566*LOOKUP(AD17,密度!$A$2:$A$50,密度!B2:B50))</f>
        <v>17244.767592</v>
      </c>
      <c r="AE16" s="73" ph="1">
        <f>AE15*268.68*LOOKUP(AE17,密度!$A$2:$A$50,密度!B2:B50)+IF(AE15&lt;=0,0,1566*LOOKUP(AE17,密度!$A$2:$A$50,密度!B2:B50))</f>
        <v>18899.524723199997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20</v>
      </c>
      <c r="E17" s="74">
        <v>20</v>
      </c>
      <c r="F17" s="74">
        <v>23</v>
      </c>
      <c r="G17" s="74">
        <v>21</v>
      </c>
      <c r="H17" s="74">
        <v>17</v>
      </c>
      <c r="I17" s="74">
        <v>20</v>
      </c>
      <c r="J17" s="74">
        <v>20</v>
      </c>
      <c r="K17" s="74">
        <v>20</v>
      </c>
      <c r="L17" s="74">
        <v>22</v>
      </c>
      <c r="M17" s="74">
        <v>23</v>
      </c>
      <c r="N17" s="74">
        <v>19</v>
      </c>
      <c r="O17" s="74">
        <v>22</v>
      </c>
      <c r="P17" s="74">
        <v>22</v>
      </c>
      <c r="Q17" s="74">
        <v>20</v>
      </c>
      <c r="R17" s="74">
        <v>24</v>
      </c>
      <c r="S17" s="74">
        <v>19</v>
      </c>
      <c r="T17" s="74">
        <v>23</v>
      </c>
      <c r="U17" s="74">
        <v>20</v>
      </c>
      <c r="V17" s="74">
        <v>20</v>
      </c>
      <c r="W17" s="74">
        <v>21</v>
      </c>
      <c r="X17" s="74">
        <v>22</v>
      </c>
      <c r="Y17" s="108">
        <v>22</v>
      </c>
      <c r="Z17" s="74">
        <v>20</v>
      </c>
      <c r="AA17" s="74">
        <v>17</v>
      </c>
      <c r="AB17" s="74">
        <v>22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3111</v>
      </c>
      <c r="E18" s="71">
        <v>5876</v>
      </c>
      <c r="F18" s="71">
        <v>3081</v>
      </c>
      <c r="G18" s="71">
        <v>1796</v>
      </c>
      <c r="H18" s="71">
        <v>3913</v>
      </c>
      <c r="I18" s="71">
        <v>5471</v>
      </c>
      <c r="J18" s="71">
        <v>414</v>
      </c>
      <c r="K18" s="71">
        <v>3588</v>
      </c>
      <c r="L18" s="71">
        <v>4969</v>
      </c>
      <c r="M18" s="71">
        <v>6167</v>
      </c>
      <c r="N18" s="71">
        <v>865</v>
      </c>
      <c r="O18" s="71">
        <v>4996</v>
      </c>
      <c r="P18" s="71">
        <v>2861</v>
      </c>
      <c r="Q18" s="71">
        <v>1282</v>
      </c>
      <c r="R18" s="71">
        <v>7407</v>
      </c>
      <c r="S18" s="71">
        <v>0</v>
      </c>
      <c r="T18" s="71">
        <v>1925</v>
      </c>
      <c r="U18" s="71">
        <v>2102</v>
      </c>
      <c r="V18" s="71">
        <v>3702</v>
      </c>
      <c r="W18" s="71">
        <v>-172</v>
      </c>
      <c r="X18" s="71">
        <v>-22</v>
      </c>
      <c r="Y18" s="109">
        <v>-9900</v>
      </c>
      <c r="Z18" s="71">
        <v>0</v>
      </c>
      <c r="AA18" s="71">
        <v>9</v>
      </c>
      <c r="AB18" s="71">
        <v>7166</v>
      </c>
      <c r="AC18" s="71">
        <v>7132</v>
      </c>
      <c r="AD18" s="71">
        <v>76.56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57" t="s" ph="1">
        <v>178</v>
      </c>
      <c r="D19" s="73" ph="1">
        <f>D18*7.0686*LOOKUP(D20,密度!$A$2:$A$50,密度!$L$2:$L$50)</f>
        <v>20495.0664072</v>
      </c>
      <c r="E19" s="73" ph="1">
        <f>E18*7.0686*LOOKUP(E20,密度!$A$2:$A$50,密度!$L$2:$L$50)</f>
        <v>38710.707235200003</v>
      </c>
      <c r="F19" s="73" ph="1">
        <f>F18*9.0746*LOOKUP(F20,密度!$A$2:$A$50,密度!$L$2:$L$50)</f>
        <v>26141.517831000001</v>
      </c>
      <c r="G19" s="73" ph="1">
        <f>G18*9.0746*LOOKUP(G20,密度!$A$2:$A$50,密度!$B$2:$B$50)</f>
        <v>12735.242822240001</v>
      </c>
      <c r="H19" s="73" ph="1">
        <f>H18*9.0746*LOOKUP(H20,密度!$A$2:$A$50,密度!$L$2:$L$50)</f>
        <v>33520.410851200002</v>
      </c>
      <c r="I19" s="73" ph="1">
        <f>I18*9.0746*LOOKUP(I20,密度!$A$2:$A$50,密度!$U$2:$U$50)</f>
        <v>50937.962151599997</v>
      </c>
      <c r="J19" s="73" ph="1">
        <f>J18*9.0746*LOOKUP(J20,密度!$A$2:$A$50,密度!$L$2:$L$50)</f>
        <v>3523.9575671999996</v>
      </c>
      <c r="K19" s="73" ph="1">
        <f>K18*9.0746*LOOKUP(K20,密度!$A$2:$A$50,密度!$C$2:$C$50)</f>
        <v>36154.251793920004</v>
      </c>
      <c r="L19" s="73" ph="1">
        <f>L18*9.0746*LOOKUP(L20,密度!$A$2:$A$50,密度!$E$2:$E$50)</f>
        <v>35315.809571680002</v>
      </c>
      <c r="M19" s="73" ph="1">
        <f>M18*9.0746*LOOKUP(M20,密度!$A$2:$A$50,密度!$M$2:$M$50)</f>
        <v>48917.30917262</v>
      </c>
      <c r="N19" s="73" ph="1">
        <f>N18*9.0746*LOOKUP(N20,密度!$A$2:$A$50,密度!$M$2:$M$50)</f>
        <v>6869.1228279000006</v>
      </c>
      <c r="O19" s="73" ph="1">
        <f>O18*9.0746*LOOKUP(O20,密度!$A$2:$A$50,密度!$G$2:$G$50)</f>
        <v>43532.300876320005</v>
      </c>
      <c r="P19" s="73" ph="1">
        <f ca="1">P18*9.0746*LOOKUP(P20,密度!$A$2:$A$51,密度!$Q$2:$Q$50)</f>
        <v>24579.671546244001</v>
      </c>
      <c r="Q19" s="73" ph="1">
        <f>Q18*9.0746*LOOKUP(Q20,密度!$A$2:$A$50,密度!$Q$2:$Q$50)</f>
        <v>10974.358979876</v>
      </c>
      <c r="R19" s="73" ph="1">
        <f>MAX(R18*9.0746*LOOKUP(R20,密度!$A$2:$A$50,密度!$B$2:$B$50),0)</f>
        <v>52340.75828514</v>
      </c>
      <c r="S19" s="73" ph="1">
        <f>S18*9.0746*LOOKUP(S20,密度!$A$2:$A$50,密度!$Q$2:$Q$50)</f>
        <v>0</v>
      </c>
      <c r="T19" s="73" ph="1">
        <f>T18*9.0746*LOOKUP(T20,密度!$A$2:$A$50,密度!$O$2:$O$50)</f>
        <v>16175.92823</v>
      </c>
      <c r="U19" s="73" ph="1">
        <f>U18*9.0746*LOOKUP(U20,密度!$A$2:$A$50,密度!$H$2:$H$50)</f>
        <v>17506.85988376</v>
      </c>
      <c r="V19" s="73" ph="1">
        <f>MAX(5600*LOOKUP(V20,密度!$A$2:$A$50,密度!$Q$2:$Q$50)+V18*9.0476*LOOKUP(V20,密度!$A$2:$A$50,密度!$Q$2:$Q$50),0)</f>
        <v>37040.596075544003</v>
      </c>
      <c r="W19" s="73" ph="1">
        <f>MAX(5600*LOOKUP(W20,密度!$A$2:$A$50,密度!$Q$2:$Q$50)+W18*9.0476*LOOKUP(W20,密度!$A$2:$A$50,密度!$Q$2:$Q$50),0)</f>
        <v>3822.6971160960002</v>
      </c>
      <c r="X19" s="73" ph="1">
        <f>MAX(5600*LOOKUP(X20,密度!$A$2:$A$50,密度!$I$2:$I$50)+X18*9.0476*LOOKUP(X20,密度!$A$2:$A$50,密度!$I$2:$I$50),0)</f>
        <v>5641.8352948800002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63.671023439999999</v>
      </c>
      <c r="AB19" s="73" ph="1">
        <f>AB18*9.0746*LOOKUP(AB20,密度!$A$2:$A$50,密度!$L$2:$L$50)</f>
        <v>60996.811416799996</v>
      </c>
      <c r="AC19" s="73" ph="1">
        <f>AC18*9.0746*LOOKUP(AC20,密度!$A$2:$A$50,密度!$L$2:$L$50)</f>
        <v>60772.124320799994</v>
      </c>
      <c r="AD19" s="73" ph="1">
        <f>AD18*268.68*LOOKUP(AD20,密度!$A$2:$A$50,密度!B5:B53)+IF(AD18&lt;=0,0,1566*LOOKUP(AD20,密度!$A$2:$A$50,密度!B5:B53))</f>
        <v>17199.781401600001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30</v>
      </c>
      <c r="E20" s="81">
        <v>30</v>
      </c>
      <c r="F20" s="81">
        <v>27</v>
      </c>
      <c r="G20" s="81">
        <v>23</v>
      </c>
      <c r="H20" s="81">
        <v>18</v>
      </c>
      <c r="I20" s="81">
        <v>24</v>
      </c>
      <c r="J20" s="81">
        <v>24</v>
      </c>
      <c r="K20" s="81">
        <v>23</v>
      </c>
      <c r="L20" s="81">
        <v>25</v>
      </c>
      <c r="M20" s="81">
        <v>26</v>
      </c>
      <c r="N20" s="81">
        <v>25</v>
      </c>
      <c r="O20" s="81">
        <v>25</v>
      </c>
      <c r="P20" s="81">
        <v>25</v>
      </c>
      <c r="Q20" s="81">
        <v>30</v>
      </c>
      <c r="R20" s="81">
        <v>26</v>
      </c>
      <c r="S20" s="81">
        <v>28</v>
      </c>
      <c r="T20" s="81">
        <v>27</v>
      </c>
      <c r="U20" s="81">
        <v>22</v>
      </c>
      <c r="V20" s="81">
        <v>24</v>
      </c>
      <c r="W20" s="81">
        <v>27</v>
      </c>
      <c r="X20" s="81">
        <v>23</v>
      </c>
      <c r="Y20" s="110">
        <v>23</v>
      </c>
      <c r="Z20" s="81">
        <v>27</v>
      </c>
      <c r="AA20" s="81">
        <v>25</v>
      </c>
      <c r="AB20" s="81">
        <v>24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648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57" t="s" ph="1">
        <v>177</v>
      </c>
      <c r="D24" s="71">
        <v>2.91</v>
      </c>
      <c r="E24" s="71">
        <v>5.43</v>
      </c>
      <c r="F24" s="71">
        <v>0</v>
      </c>
      <c r="G24" s="71">
        <v>814</v>
      </c>
      <c r="H24" s="71">
        <v>879</v>
      </c>
      <c r="I24" s="71">
        <v>0</v>
      </c>
      <c r="J24" s="71">
        <v>333</v>
      </c>
      <c r="K24" s="71">
        <v>5017</v>
      </c>
      <c r="L24" s="71">
        <v>469</v>
      </c>
      <c r="M24" s="71">
        <v>5321</v>
      </c>
      <c r="N24" s="71">
        <v>4942</v>
      </c>
      <c r="O24" s="71">
        <v>5733</v>
      </c>
      <c r="P24" s="71">
        <v>361</v>
      </c>
      <c r="Q24" s="90">
        <v>2617</v>
      </c>
      <c r="R24" s="71">
        <v>3124</v>
      </c>
      <c r="S24" s="71">
        <v>4320</v>
      </c>
      <c r="T24" s="71">
        <v>841</v>
      </c>
      <c r="U24" s="71">
        <v>1670</v>
      </c>
      <c r="V24" s="71">
        <v>11229</v>
      </c>
      <c r="W24" s="71">
        <v>11181</v>
      </c>
      <c r="X24" s="71">
        <v>7537</v>
      </c>
      <c r="Y24" s="71">
        <v>970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2222.8118403120002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0</v>
      </c>
      <c r="G25" s="91" ph="1">
        <f>G24*18.322*LOOKUP(G26,密度!$A$2:$A$50,密度!$B$2:$B$50)</f>
        <v>11667.3066884</v>
      </c>
      <c r="H25" s="91" ph="1">
        <f>H24*18.322*LOOKUP(H26,密度!$A$2:$A$50,密度!$B$2:$B$50)</f>
        <v>12627.9602958</v>
      </c>
      <c r="I25" s="91" ph="1">
        <f>I24*18.322*LOOKUP(I26,密度!$A$2:$A$50,密度!$Q$2:$Q$50)</f>
        <v>0</v>
      </c>
      <c r="J25" s="91" ph="1">
        <f>J24*18.322*LOOKUP(J26,密度!$A$2:$A$50,密度!$Q$2:$Q$50)</f>
        <v>5803.6692079799996</v>
      </c>
      <c r="K25" s="91" ph="1">
        <f>K24*18.322*LOOKUP(K26,密度!$A$2:$A$50,密度!$Q$2:$Q$50)</f>
        <v>87438.463713019999</v>
      </c>
      <c r="L25" s="91" ph="1">
        <f>L24*18.322*LOOKUP(L26,密度!$A$2:$A$50,密度!$Q$2:$Q$50)</f>
        <v>8173.9365121400006</v>
      </c>
      <c r="M25" s="91" ph="1">
        <f>M24*18.322*LOOKUP(M26,密度!$A$2:$A$50,密度!$Q$2:$Q$50)</f>
        <v>92586.571577779992</v>
      </c>
      <c r="N25" s="91" ph="1">
        <f>N24*18.322*LOOKUP(N26,密度!$A$2:$A$50,密度!$Q$2:$Q$50)</f>
        <v>86054.365783119996</v>
      </c>
      <c r="O25" s="91" ph="1">
        <f>O24*18.322*LOOKUP(O26,密度!$A$2:$A$50,密度!$C$2:$C$50)</f>
        <v>116794.00490940001</v>
      </c>
      <c r="P25" s="91" ph="1">
        <f>P24*11.702*LOOKUP(P26,密度!$A$2:$A$50,密度!$B$2:$B$50)</f>
        <v>3315.7488277999996</v>
      </c>
      <c r="Q25" s="92" ph="1">
        <f>Q24*18.322*LOOKUP(Q26,密度!$A$2:$A$50,密度!$B$2:$B$50)</f>
        <v>37634.914222600004</v>
      </c>
      <c r="R25" s="91" ph="1">
        <f>R24*35.891*LOOKUP(R26,密度!$A$2:$A$50,密度!$C$2:$C$50)</f>
        <v>124894.34882759998</v>
      </c>
      <c r="S25" s="91" ph="1">
        <f>S24*35.891*LOOKUP(S26,密度!$A$2:$A$50,密度!$B$2:$B$50)</f>
        <v>121434.470784</v>
      </c>
      <c r="T25" s="91" ph="1">
        <f>T24*35.891*LOOKUP(T26,密度!$A$2:$A$50,密度!$Q$2:$Q$50)</f>
        <v>28686.58449578</v>
      </c>
      <c r="U25" s="91" ph="1">
        <f>U24*35.891</f>
        <v>59937.969999999994</v>
      </c>
      <c r="V25" s="91" ph="1">
        <f>V24*47.051*LOOKUP(V26,密度!$A$2:$A$50,密度!$B$2:$B$50)</f>
        <v>415113.34299029998</v>
      </c>
      <c r="W25" s="91" ph="1">
        <f>W24*47.051*LOOKUP(W26,密度!$A$2:$A$50,密度!$B$2:$B$50)</f>
        <v>412023.68731920002</v>
      </c>
      <c r="X25" s="91" ph="1">
        <f>X24*47.051*LOOKUP(X26,密度!$A$2:$A$61,密度!$I$2:$I$61)</f>
        <v>366857.8938515</v>
      </c>
      <c r="Y25" s="91" ph="1">
        <f>Y24*47.051*LOOKUP(Y26,密度!$A$2:$A$50,密度!$L$2:$L$50)</f>
        <v>42992.380740000001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22</v>
      </c>
      <c r="H26" s="74">
        <v>20</v>
      </c>
      <c r="I26" s="74">
        <v>20</v>
      </c>
      <c r="J26" s="74">
        <v>19</v>
      </c>
      <c r="K26" s="74">
        <v>19</v>
      </c>
      <c r="L26" s="74">
        <v>19</v>
      </c>
      <c r="M26" s="74">
        <v>21</v>
      </c>
      <c r="N26" s="74">
        <v>20</v>
      </c>
      <c r="O26" s="74">
        <v>21</v>
      </c>
      <c r="P26" s="74">
        <v>19</v>
      </c>
      <c r="Q26" s="93">
        <v>19</v>
      </c>
      <c r="R26" s="74">
        <v>18</v>
      </c>
      <c r="S26" s="74">
        <v>21</v>
      </c>
      <c r="T26" s="74">
        <v>20</v>
      </c>
      <c r="U26" s="74">
        <v>20</v>
      </c>
      <c r="V26" s="74">
        <v>18</v>
      </c>
      <c r="W26" s="74">
        <v>21</v>
      </c>
      <c r="X26" s="74">
        <v>32</v>
      </c>
      <c r="Y26" s="74">
        <v>20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57" t="s" ph="1">
        <v>180</v>
      </c>
      <c r="D27" s="71">
        <v>2.89</v>
      </c>
      <c r="E27" s="71">
        <v>5.42</v>
      </c>
      <c r="F27" s="71">
        <v>0</v>
      </c>
      <c r="G27" s="71">
        <v>809</v>
      </c>
      <c r="H27" s="71">
        <v>493</v>
      </c>
      <c r="I27" s="71">
        <v>0</v>
      </c>
      <c r="J27" s="71">
        <v>329</v>
      </c>
      <c r="K27" s="71">
        <v>5017</v>
      </c>
      <c r="L27" s="71">
        <v>466</v>
      </c>
      <c r="M27" s="71">
        <v>5322</v>
      </c>
      <c r="N27" s="71">
        <v>4942</v>
      </c>
      <c r="O27" s="71">
        <v>5720</v>
      </c>
      <c r="P27" s="71">
        <v>360</v>
      </c>
      <c r="Q27" s="90">
        <v>2636</v>
      </c>
      <c r="R27" s="71">
        <v>3122</v>
      </c>
      <c r="S27" s="71">
        <v>4319</v>
      </c>
      <c r="T27" s="71">
        <v>375</v>
      </c>
      <c r="U27" s="71">
        <v>1676</v>
      </c>
      <c r="V27" s="71">
        <v>11235</v>
      </c>
      <c r="W27" s="71">
        <v>11185</v>
      </c>
      <c r="X27" s="71">
        <v>7200</v>
      </c>
      <c r="Y27" s="71">
        <v>1540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57" t="s" ph="1">
        <v>178</v>
      </c>
      <c r="D28" s="91" ph="1">
        <f>D27*268.68*LOOKUP(D29,密度!$A$2:$A$50,密度!$Q$2:$Q$50)+IF(D27&lt;=0,0,1566*LOOKUP(D29,密度!$A$2:$A$50,密度!$Q$2:$Q$50))</f>
        <v>2217.7244382480003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0</v>
      </c>
      <c r="G28" s="91" ph="1">
        <f>G27*18.322*LOOKUP(G29,密度!$A$2:$A$50,密度!$B$2:$B$50)</f>
        <v>11595.6401854</v>
      </c>
      <c r="H28" s="91" ph="1">
        <f>H27*18.322*LOOKUP(H29,密度!$A$2:$A$50,密度!$B$2:$B$50)</f>
        <v>7082.5761385999995</v>
      </c>
      <c r="I28" s="91" ph="1">
        <f>I27*18.322*LOOKUP(I29,密度!$A$2:$A$50,密度!$Q$2:$Q$50)</f>
        <v>0</v>
      </c>
      <c r="J28" s="91" ph="1">
        <f>J27*18.322*LOOKUP(J29,密度!$A$2:$A$50,密度!$Q$2:$Q$50)</f>
        <v>5698.3303501600003</v>
      </c>
      <c r="K28" s="91" ph="1">
        <f>K27*18.322*LOOKUP(K29,密度!$A$2:$A$50,密度!$Q$2:$Q$50)</f>
        <v>87296.904643059999</v>
      </c>
      <c r="L28" s="91" ph="1">
        <f>L27*18.322*LOOKUP(L29,密度!$A$2:$A$50,密度!$Q$2:$Q$50)</f>
        <v>8114.3938597599999</v>
      </c>
      <c r="M28" s="91" ph="1">
        <f>M27*18.322*LOOKUP(M29,密度!$A$2:$A$50,密度!$Q$2:$Q$50)</f>
        <v>92603.971797959995</v>
      </c>
      <c r="N28" s="91" ph="1">
        <f>N27*18.322*LOOKUP(N29,密度!$A$2:$A$50,密度!$Q$2:$Q$50)</f>
        <v>86054.365783119996</v>
      </c>
      <c r="O28" s="91" ph="1">
        <f>O27*18.322*LOOKUP(O29,密度!$A$2:$A$50,密度!$C$2:$C$50)</f>
        <v>116665.40828799999</v>
      </c>
      <c r="P28" s="91" ph="1">
        <f>P27*11.702*LOOKUP(P29,密度!$A$2:$A$50,密度!$B$2:$B$50)</f>
        <v>3299.4023040000002</v>
      </c>
      <c r="Q28" s="92" ph="1">
        <f>Q27*18.322*LOOKUP(Q29,密度!$A$2:$A$50,密度!$B$2:$B$50)</f>
        <v>37782.580381600004</v>
      </c>
      <c r="R28" s="91" ph="1">
        <f>R27*35.891*LOOKUP(R29,密度!$A$2:$A$50,密度!$C$2:$C$50)</f>
        <v>124590.2874538</v>
      </c>
      <c r="S28" s="91" ph="1">
        <f>S27*35.891*LOOKUP(S29,密度!$A$2:$A$50,密度!$B$2:$B$50)</f>
        <v>121545.87285889999</v>
      </c>
      <c r="T28" s="91" ph="1">
        <f>T27*35.891*LOOKUP(T29,密度!$A$2:$A$50,密度!$Q$2:$Q$50)</f>
        <v>12791.2832175</v>
      </c>
      <c r="U28" s="91" ph="1">
        <f>U27*35.891</f>
        <v>60153.315999999999</v>
      </c>
      <c r="V28" s="91" ph="1">
        <f>V27*47.051*LOOKUP(V29,密度!$A$2:$A$50,密度!$B$2:$B$50)</f>
        <v>414912.25642650004</v>
      </c>
      <c r="W28" s="91" ph="1">
        <f>W27*47.051*LOOKUP(W29,密度!$A$2:$A$50,密度!$B$2:$B$50)</f>
        <v>412171.08869200002</v>
      </c>
      <c r="X28" s="91" ph="1">
        <f>X27*47.051*LOOKUP(X29,密度!$A$2:$A$61,密度!$I$2:$I$61)</f>
        <v>349675.50384000002</v>
      </c>
      <c r="Y28" s="91" ph="1">
        <f>Y27*47.051*LOOKUP(Y29,密度!$A$2:$A$50,密度!$L$2:$L$50)</f>
        <v>68255.944680000001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57" t="s" ph="1">
        <v>179</v>
      </c>
      <c r="D29" s="74">
        <v>25</v>
      </c>
      <c r="E29" s="74">
        <v>25</v>
      </c>
      <c r="F29" s="74">
        <v>20</v>
      </c>
      <c r="G29" s="74">
        <v>22</v>
      </c>
      <c r="H29" s="74">
        <v>20</v>
      </c>
      <c r="I29" s="74">
        <v>19</v>
      </c>
      <c r="J29" s="74">
        <v>27</v>
      </c>
      <c r="K29" s="74">
        <v>21</v>
      </c>
      <c r="L29" s="74">
        <v>20</v>
      </c>
      <c r="M29" s="74">
        <v>21</v>
      </c>
      <c r="N29" s="74">
        <v>20</v>
      </c>
      <c r="O29" s="74">
        <v>19</v>
      </c>
      <c r="P29" s="74">
        <v>21</v>
      </c>
      <c r="Q29" s="93">
        <v>22</v>
      </c>
      <c r="R29" s="74">
        <v>21</v>
      </c>
      <c r="S29" s="74">
        <v>20</v>
      </c>
      <c r="T29" s="74">
        <v>20</v>
      </c>
      <c r="U29" s="74">
        <v>19</v>
      </c>
      <c r="V29" s="74">
        <v>19</v>
      </c>
      <c r="W29" s="74">
        <v>21</v>
      </c>
      <c r="X29" s="74">
        <v>34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208496.97994039999</v>
      </c>
      <c r="E33" s="187" ph="1">
        <f>M10+I10</f>
        <v>44342.169914099992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3" ph="1">
        <f>N19</f>
        <v>6869.1228279000006</v>
      </c>
      <c r="H33" s="187" ph="1">
        <f>M19</f>
        <v>48917.30917262</v>
      </c>
      <c r="I33" s="191" ph="1">
        <v>0</v>
      </c>
      <c r="J33" s="195" ph="1">
        <f>F10+O28</f>
        <v>349923.04370740004</v>
      </c>
      <c r="K33" s="187" ph="1">
        <f>O10+K10+E28+R28</f>
        <v>145779.18741724</v>
      </c>
      <c r="L33" s="197" ph="1">
        <f>K19</f>
        <v>36154.251793920004</v>
      </c>
      <c r="M33" s="195" ph="1">
        <f>G10+H10+W28+S28+V28+E10+R19+P28+Q28</f>
        <v>1832553.5613301399</v>
      </c>
      <c r="N33" s="187" ph="1">
        <f>L10+P10++G28+H28+AD19+AE19</f>
        <v>70438.263678800009</v>
      </c>
      <c r="O33" s="191" ph="1">
        <f>G19</f>
        <v>12735.242822240001</v>
      </c>
      <c r="P33" s="195" ph="1">
        <f>L19</f>
        <v>35315.809571680002</v>
      </c>
      <c r="Q33" s="187" ph="1">
        <f>J10+N10</f>
        <v>29169.481962000002</v>
      </c>
      <c r="R33" s="191" ph="1">
        <f>BE23</f>
        <v>890</v>
      </c>
      <c r="S33" s="195" ph="1">
        <f>X28</f>
        <v>349675.50384000002</v>
      </c>
      <c r="T33" s="187" ph="1">
        <f>X19</f>
        <v>5641.8352948800002</v>
      </c>
      <c r="U33" s="176" ph="1">
        <f>BE21</f>
        <v>730</v>
      </c>
      <c r="V33" s="189" ph="1">
        <f ca="1">P19+Q19+S19+M28+N28+J28+D10+AC10+D19+E19+H19+J19+O19+V19+W19+K28+L28</f>
        <v>823861.27148994</v>
      </c>
      <c r="W33" s="189" ph="1">
        <f>D28+F28+T28+I28</f>
        <v>15009.007655748001</v>
      </c>
      <c r="X33" s="191" ph="1">
        <f>BE29+BE31</f>
        <v>10200</v>
      </c>
      <c r="Y33" s="193" ph="1">
        <f>+Q10+R10+S10+T10+U10+V10+W10+X10+Y10</f>
        <v>358115.17410900001</v>
      </c>
      <c r="Z33" s="174" ph="1">
        <f>T19+U19+Y28+Z10</f>
        <v>140145.73854275999</v>
      </c>
      <c r="AA33" s="176" ph="1">
        <f>BE19</f>
        <v>1440</v>
      </c>
      <c r="AB33" s="178" ph="1">
        <f>I19</f>
        <v>50937.962151599997</v>
      </c>
      <c r="AC33" s="180" ph="1">
        <f>AD10+AB19</f>
        <v>135089.5759768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59" t="s" ph="1">
        <v>185</v>
      </c>
      <c r="AA36" s="159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9" priority="100">
      <formula>ABS(D$7-D$10)&gt;=1000</formula>
    </cfRule>
  </conditionalFormatting>
  <conditionalFormatting sqref="E4 E6:E11">
    <cfRule type="expression" dxfId="518" priority="99">
      <formula>ABS(E$7-E$10)&gt;=1000</formula>
    </cfRule>
  </conditionalFormatting>
  <conditionalFormatting sqref="F4:F11">
    <cfRule type="expression" dxfId="517" priority="98">
      <formula>ABS(F$7-F$10)&gt;=1000</formula>
    </cfRule>
  </conditionalFormatting>
  <conditionalFormatting sqref="G4:G11">
    <cfRule type="expression" dxfId="516" priority="97">
      <formula>ABS(G$7-G$10)&gt;=1000</formula>
    </cfRule>
  </conditionalFormatting>
  <conditionalFormatting sqref="H4:H11">
    <cfRule type="expression" dxfId="515" priority="96">
      <formula>ABS(H$7-H$10)&gt;=1000</formula>
    </cfRule>
  </conditionalFormatting>
  <conditionalFormatting sqref="I4:I11">
    <cfRule type="expression" dxfId="514" priority="95">
      <formula>ABS(I$7-I$10)&gt;=1000</formula>
    </cfRule>
  </conditionalFormatting>
  <conditionalFormatting sqref="J4:J11">
    <cfRule type="expression" dxfId="513" priority="94">
      <formula>ABS(J$7-J$10)&gt;=1000</formula>
    </cfRule>
  </conditionalFormatting>
  <conditionalFormatting sqref="K4:K11">
    <cfRule type="expression" dxfId="512" priority="93">
      <formula>ABS(K$7-K$10)&gt;=1000</formula>
    </cfRule>
  </conditionalFormatting>
  <conditionalFormatting sqref="L4:L11">
    <cfRule type="expression" dxfId="511" priority="92">
      <formula>ABS(L$7-L$10)&gt;=1000</formula>
    </cfRule>
  </conditionalFormatting>
  <conditionalFormatting sqref="M4 M6:M11">
    <cfRule type="expression" dxfId="510" priority="91">
      <formula>ABS(M$7-M$10)&gt;=1000</formula>
    </cfRule>
  </conditionalFormatting>
  <conditionalFormatting sqref="N4 N6:N11">
    <cfRule type="expression" dxfId="509" priority="90">
      <formula>ABS(N$7-N$10)&gt;=1000</formula>
    </cfRule>
  </conditionalFormatting>
  <conditionalFormatting sqref="O4 O6:O11">
    <cfRule type="expression" dxfId="508" priority="89">
      <formula>ABS(O$7-O$10)&gt;=1000</formula>
    </cfRule>
  </conditionalFormatting>
  <conditionalFormatting sqref="P4 P6:P11">
    <cfRule type="expression" dxfId="507" priority="88">
      <formula>ABS(P$7-P$10)&gt;=1000</formula>
    </cfRule>
  </conditionalFormatting>
  <conditionalFormatting sqref="Q4:Q11">
    <cfRule type="expression" dxfId="506" priority="87">
      <formula>ABS(Q$7-Q$10)&gt;=1000</formula>
    </cfRule>
  </conditionalFormatting>
  <conditionalFormatting sqref="R4:R11">
    <cfRule type="expression" dxfId="505" priority="86">
      <formula>ABS(R$7-R$10)&gt;=1000</formula>
    </cfRule>
  </conditionalFormatting>
  <conditionalFormatting sqref="S4:S11">
    <cfRule type="expression" dxfId="504" priority="85">
      <formula>ABS(S$7-S$10)&gt;=1000</formula>
    </cfRule>
  </conditionalFormatting>
  <conditionalFormatting sqref="T4:T9 T11">
    <cfRule type="expression" dxfId="503" priority="84">
      <formula>ABS(T$7-T$10)&gt;=1000</formula>
    </cfRule>
  </conditionalFormatting>
  <conditionalFormatting sqref="U4:U9 U11">
    <cfRule type="expression" dxfId="502" priority="83">
      <formula>ABS(U$7-U$10)&gt;=1000</formula>
    </cfRule>
  </conditionalFormatting>
  <conditionalFormatting sqref="V4:V9 V11">
    <cfRule type="expression" dxfId="501" priority="82">
      <formula>ABS(V$7-V$10)&gt;=1000</formula>
    </cfRule>
  </conditionalFormatting>
  <conditionalFormatting sqref="W4:W9 W11">
    <cfRule type="expression" dxfId="500" priority="81">
      <formula>ABS(W$7-W$10)&gt;=1000</formula>
    </cfRule>
  </conditionalFormatting>
  <conditionalFormatting sqref="X4:X9 X11">
    <cfRule type="expression" dxfId="499" priority="80">
      <formula>ABS(X$7-X$10)&gt;=1000</formula>
    </cfRule>
  </conditionalFormatting>
  <conditionalFormatting sqref="Y4:Y9 Y11">
    <cfRule type="expression" dxfId="498" priority="79">
      <formula>ABS(Y$7-Y$10)&gt;=1000</formula>
    </cfRule>
  </conditionalFormatting>
  <conditionalFormatting sqref="Z4:Z11">
    <cfRule type="expression" dxfId="497" priority="78">
      <formula>ABS(Z$7-Z$10)&gt;=1000</formula>
    </cfRule>
  </conditionalFormatting>
  <conditionalFormatting sqref="AA4:AA11">
    <cfRule type="expression" dxfId="496" priority="77">
      <formula>ABS(AA$7-AA$10)&gt;=1000</formula>
    </cfRule>
  </conditionalFormatting>
  <conditionalFormatting sqref="AB4:AB11">
    <cfRule type="expression" dxfId="495" priority="76">
      <formula>ABS(AB$7-AB$10)&gt;=1000</formula>
    </cfRule>
  </conditionalFormatting>
  <conditionalFormatting sqref="AC4 AC6:AC11">
    <cfRule type="expression" dxfId="494" priority="75">
      <formula>ABS(AC$7-AC$10)&gt;=1000</formula>
    </cfRule>
  </conditionalFormatting>
  <conditionalFormatting sqref="AD4 AD6:AD11">
    <cfRule type="expression" dxfId="493" priority="74">
      <formula>ABS(AD$7-AD$10)&gt;=1000</formula>
    </cfRule>
  </conditionalFormatting>
  <conditionalFormatting sqref="AE4 AE6:AE11">
    <cfRule type="expression" dxfId="492" priority="73">
      <formula>ABS(AE$7-AE$10)&gt;=1000</formula>
    </cfRule>
  </conditionalFormatting>
  <conditionalFormatting sqref="D13:D20">
    <cfRule type="expression" dxfId="491" priority="72">
      <formula>ABS(D$16-D$19)&gt;=1000</formula>
    </cfRule>
  </conditionalFormatting>
  <conditionalFormatting sqref="E13:E20">
    <cfRule type="expression" dxfId="490" priority="71">
      <formula>ABS(E$16-E$19)&gt;=1000</formula>
    </cfRule>
  </conditionalFormatting>
  <conditionalFormatting sqref="F13 F15:F20">
    <cfRule type="expression" dxfId="489" priority="70">
      <formula>ABS(F$16-F$19)&gt;=1000</formula>
    </cfRule>
  </conditionalFormatting>
  <conditionalFormatting sqref="G13:G20">
    <cfRule type="expression" dxfId="488" priority="69">
      <formula>ABS(G$16-G$19)&gt;=1000</formula>
    </cfRule>
  </conditionalFormatting>
  <conditionalFormatting sqref="H13 H15:H20">
    <cfRule type="expression" dxfId="487" priority="68">
      <formula>ABS(H$16-H$19)&gt;=1000</formula>
    </cfRule>
  </conditionalFormatting>
  <conditionalFormatting sqref="I13:I20">
    <cfRule type="expression" dxfId="486" priority="67">
      <formula>ABS(I$16-I$19)&gt;=1000</formula>
    </cfRule>
  </conditionalFormatting>
  <conditionalFormatting sqref="J13:J20">
    <cfRule type="expression" dxfId="485" priority="66">
      <formula>ABS(J$16-J$19)&gt;=1000</formula>
    </cfRule>
  </conditionalFormatting>
  <conditionalFormatting sqref="L13:L20">
    <cfRule type="expression" dxfId="484" priority="65">
      <formula>ABS(L$16-L$19)&gt;=1000</formula>
    </cfRule>
  </conditionalFormatting>
  <conditionalFormatting sqref="M13 M15 M17:M18 M20">
    <cfRule type="expression" dxfId="483" priority="64">
      <formula>ABS(M$16-M$19)&gt;=1000</formula>
    </cfRule>
  </conditionalFormatting>
  <conditionalFormatting sqref="N13:N20">
    <cfRule type="expression" dxfId="482" priority="63">
      <formula>ABS(N$16-N$19)&gt;=1000</formula>
    </cfRule>
  </conditionalFormatting>
  <conditionalFormatting sqref="O13:O20">
    <cfRule type="expression" dxfId="481" priority="62">
      <formula>ABS(O$16-O$19)&gt;=1000</formula>
    </cfRule>
  </conditionalFormatting>
  <conditionalFormatting sqref="P13:P20">
    <cfRule type="expression" dxfId="480" priority="61">
      <formula>ABS(P$16-P$19)&gt;=1000</formula>
    </cfRule>
  </conditionalFormatting>
  <conditionalFormatting sqref="Q13 Q15:Q20">
    <cfRule type="expression" dxfId="479" priority="60">
      <formula>ABS(Q$16-Q$19)&gt;=1000</formula>
    </cfRule>
  </conditionalFormatting>
  <conditionalFormatting sqref="R13:R20">
    <cfRule type="expression" dxfId="478" priority="59">
      <formula>ABS(R$16-R$19)&gt;=1000</formula>
    </cfRule>
  </conditionalFormatting>
  <conditionalFormatting sqref="S13:S20">
    <cfRule type="expression" dxfId="477" priority="58">
      <formula>ABS(S$16-S$19)&gt;=1000</formula>
    </cfRule>
  </conditionalFormatting>
  <conditionalFormatting sqref="T13:T20">
    <cfRule type="expression" dxfId="476" priority="57">
      <formula>ABS(T$16-T$19)&gt;=1000</formula>
    </cfRule>
  </conditionalFormatting>
  <conditionalFormatting sqref="U13:U20">
    <cfRule type="expression" dxfId="475" priority="56">
      <formula>ABS(U$16-U$19)&gt;=1000</formula>
    </cfRule>
  </conditionalFormatting>
  <conditionalFormatting sqref="V13:V20">
    <cfRule type="expression" dxfId="474" priority="55">
      <formula>ABS(V$16-V$19)&gt;=1000</formula>
    </cfRule>
  </conditionalFormatting>
  <conditionalFormatting sqref="W13 W20 W15:W18">
    <cfRule type="expression" dxfId="473" priority="54">
      <formula>ABS(W$16-W$19)&gt;=1000</formula>
    </cfRule>
  </conditionalFormatting>
  <conditionalFormatting sqref="X13 X15:X20 Y19">
    <cfRule type="expression" dxfId="472" priority="53">
      <formula>ABS(X$16-X$19)&gt;=1000</formula>
    </cfRule>
  </conditionalFormatting>
  <conditionalFormatting sqref="Y13 Y15:Y18 Y20">
    <cfRule type="expression" dxfId="471" priority="52">
      <formula>ABS(Y$16-Y$19)&gt;=1000</formula>
    </cfRule>
  </conditionalFormatting>
  <conditionalFormatting sqref="Z13:Z20">
    <cfRule type="expression" dxfId="470" priority="51">
      <formula>ABS(Z$16-Z$19)&gt;=1000</formula>
    </cfRule>
  </conditionalFormatting>
  <conditionalFormatting sqref="AA13:AA20">
    <cfRule type="expression" dxfId="469" priority="50">
      <formula>ABS(AA$16-AA$19)&gt;=1000</formula>
    </cfRule>
  </conditionalFormatting>
  <conditionalFormatting sqref="AB13 AB15:AB20">
    <cfRule type="expression" dxfId="468" priority="49">
      <formula>ABS(AB$16-AB$19)&gt;=1000</formula>
    </cfRule>
  </conditionalFormatting>
  <conditionalFormatting sqref="AC13 AC15:AC20">
    <cfRule type="expression" dxfId="467" priority="48">
      <formula>ABS(AC$16-AC$19)&gt;=1000</formula>
    </cfRule>
  </conditionalFormatting>
  <conditionalFormatting sqref="AD13:AD20">
    <cfRule type="expression" dxfId="466" priority="47">
      <formula>ABS(AD$16-AD$19)&gt;=1000</formula>
    </cfRule>
  </conditionalFormatting>
  <conditionalFormatting sqref="AE13:AE20">
    <cfRule type="expression" dxfId="465" priority="46">
      <formula>ABS(AE$16-AE$19)&gt;=1000</formula>
    </cfRule>
  </conditionalFormatting>
  <conditionalFormatting sqref="D22:D29">
    <cfRule type="expression" dxfId="464" priority="45">
      <formula>ABS(D$25-D$28)&gt;=1000</formula>
    </cfRule>
  </conditionalFormatting>
  <conditionalFormatting sqref="E22:E29">
    <cfRule type="expression" dxfId="463" priority="44">
      <formula>ABS(E$25-E$28)&gt;=1000</formula>
    </cfRule>
  </conditionalFormatting>
  <conditionalFormatting sqref="F22:F29">
    <cfRule type="expression" dxfId="462" priority="43">
      <formula>ABS(F$25-F$28)&gt;=1000</formula>
    </cfRule>
  </conditionalFormatting>
  <conditionalFormatting sqref="G22:G29">
    <cfRule type="expression" dxfId="461" priority="42">
      <formula>ABS(G$25-G$28)&gt;=1000</formula>
    </cfRule>
  </conditionalFormatting>
  <conditionalFormatting sqref="H22:H29">
    <cfRule type="expression" dxfId="460" priority="41">
      <formula>ABS(H$25-H$28)&gt;=1000</formula>
    </cfRule>
  </conditionalFormatting>
  <conditionalFormatting sqref="I22 I24:I29">
    <cfRule type="expression" dxfId="459" priority="40">
      <formula>ABS(I$25-I$28)&gt;=1000</formula>
    </cfRule>
  </conditionalFormatting>
  <conditionalFormatting sqref="J22:J29 K22">
    <cfRule type="expression" dxfId="458" priority="39">
      <formula>ABS(J$25-J$28)&gt;=1000</formula>
    </cfRule>
  </conditionalFormatting>
  <conditionalFormatting sqref="K23:K29 L25 L28">
    <cfRule type="expression" dxfId="457" priority="38">
      <formula>ABS(K$25-K$28)&gt;=1000</formula>
    </cfRule>
  </conditionalFormatting>
  <conditionalFormatting sqref="L22 L26:L27 L29 L24">
    <cfRule type="expression" dxfId="456" priority="37">
      <formula>ABS(L$25-L$28)&gt;=1000</formula>
    </cfRule>
  </conditionalFormatting>
  <conditionalFormatting sqref="M22:M29">
    <cfRule type="expression" dxfId="455" priority="36">
      <formula>ABS(M$25-M$28)&gt;=1000</formula>
    </cfRule>
  </conditionalFormatting>
  <conditionalFormatting sqref="N22:N29">
    <cfRule type="expression" dxfId="454" priority="35">
      <formula>ABS(N$25-N$28)&gt;=1000</formula>
    </cfRule>
  </conditionalFormatting>
  <conditionalFormatting sqref="O22:O29">
    <cfRule type="expression" dxfId="453" priority="34">
      <formula>ABS(O$25-O$28)&gt;=1000</formula>
    </cfRule>
  </conditionalFormatting>
  <conditionalFormatting sqref="P22:P29">
    <cfRule type="expression" dxfId="452" priority="33">
      <formula>ABS(P$25-P$28)&gt;=1000</formula>
    </cfRule>
  </conditionalFormatting>
  <conditionalFormatting sqref="Q22:Q29">
    <cfRule type="expression" dxfId="451" priority="32">
      <formula>ABS(Q$25-Q$28)&gt;=1000</formula>
    </cfRule>
  </conditionalFormatting>
  <conditionalFormatting sqref="R22:R29">
    <cfRule type="expression" dxfId="450" priority="31">
      <formula>ABS(R$25-R$28)&gt;=1000</formula>
    </cfRule>
  </conditionalFormatting>
  <conditionalFormatting sqref="S22:S29">
    <cfRule type="expression" dxfId="449" priority="30">
      <formula>ABS(S$25-S$28)&gt;=1000</formula>
    </cfRule>
  </conditionalFormatting>
  <conditionalFormatting sqref="T22:T29">
    <cfRule type="expression" dxfId="448" priority="29">
      <formula>ABS(T$25-T$28)&gt;=1000</formula>
    </cfRule>
  </conditionalFormatting>
  <conditionalFormatting sqref="U22:U29">
    <cfRule type="expression" dxfId="447" priority="28">
      <formula>ABS(U$25-U$28)&gt;=1000</formula>
    </cfRule>
  </conditionalFormatting>
  <conditionalFormatting sqref="V22:V29">
    <cfRule type="expression" dxfId="446" priority="27">
      <formula>ABS(V$25-V$28)&gt;=1000</formula>
    </cfRule>
  </conditionalFormatting>
  <conditionalFormatting sqref="W22:W29">
    <cfRule type="expression" dxfId="445" priority="26">
      <formula>ABS(W$25-W$28)&gt;=1000</formula>
    </cfRule>
  </conditionalFormatting>
  <conditionalFormatting sqref="X22:X29">
    <cfRule type="expression" dxfId="444" priority="25">
      <formula>ABS(X$25-X$28)&gt;=1000</formula>
    </cfRule>
  </conditionalFormatting>
  <conditionalFormatting sqref="Y22:Y29">
    <cfRule type="expression" dxfId="443" priority="24">
      <formula>ABS(Y$25-Y$28)&gt;=1000</formula>
    </cfRule>
  </conditionalFormatting>
  <conditionalFormatting sqref="I23">
    <cfRule type="expression" dxfId="442" priority="23">
      <formula>ABS(I$25-I$28)&gt;=1000</formula>
    </cfRule>
  </conditionalFormatting>
  <conditionalFormatting sqref="Q14">
    <cfRule type="expression" dxfId="441" priority="22">
      <formula>ABS(Q$16-Q$19)&gt;=1000</formula>
    </cfRule>
  </conditionalFormatting>
  <conditionalFormatting sqref="W14">
    <cfRule type="expression" dxfId="440" priority="21">
      <formula>ABS(W$16-W$19)&gt;=1000</formula>
    </cfRule>
  </conditionalFormatting>
  <conditionalFormatting sqref="X14">
    <cfRule type="expression" dxfId="439" priority="20">
      <formula>ABS(X$16-X$19)&gt;=1000</formula>
    </cfRule>
  </conditionalFormatting>
  <conditionalFormatting sqref="T10:Y10">
    <cfRule type="expression" dxfId="438" priority="19">
      <formula>ABS(T$7-T$10)&gt;=1000</formula>
    </cfRule>
  </conditionalFormatting>
  <conditionalFormatting sqref="W19">
    <cfRule type="expression" dxfId="437" priority="18">
      <formula>ABS(W$16-W$19)&gt;=1000</formula>
    </cfRule>
  </conditionalFormatting>
  <conditionalFormatting sqref="AC5">
    <cfRule type="expression" dxfId="436" priority="17">
      <formula>ABS(AC$7-AC$10)&gt;=1000</formula>
    </cfRule>
  </conditionalFormatting>
  <conditionalFormatting sqref="M14">
    <cfRule type="expression" dxfId="435" priority="16">
      <formula>ABS(M$16-M$19)&gt;=1000</formula>
    </cfRule>
  </conditionalFormatting>
  <conditionalFormatting sqref="M16">
    <cfRule type="expression" dxfId="434" priority="15">
      <formula>ABS(M$16-M$19)&gt;=1000</formula>
    </cfRule>
  </conditionalFormatting>
  <conditionalFormatting sqref="M19">
    <cfRule type="expression" dxfId="433" priority="14">
      <formula>ABS(M$16-M$19)&gt;=1000</formula>
    </cfRule>
  </conditionalFormatting>
  <conditionalFormatting sqref="K13:K20">
    <cfRule type="expression" dxfId="432" priority="13">
      <formula>ABS(K$16-K$19)&gt;=1000</formula>
    </cfRule>
  </conditionalFormatting>
  <conditionalFormatting sqref="E5">
    <cfRule type="expression" dxfId="431" priority="12">
      <formula>ABS(E$7-E$10)&gt;=1000</formula>
    </cfRule>
  </conditionalFormatting>
  <conditionalFormatting sqref="AB14:AC14">
    <cfRule type="expression" dxfId="430" priority="11">
      <formula>ABS(AB$16-AB$19)&gt;=1000</formula>
    </cfRule>
  </conditionalFormatting>
  <conditionalFormatting sqref="M5">
    <cfRule type="expression" dxfId="429" priority="10">
      <formula>ABS(M$7-M$10)&gt;=1000</formula>
    </cfRule>
  </conditionalFormatting>
  <conditionalFormatting sqref="N5">
    <cfRule type="expression" dxfId="428" priority="9">
      <formula>ABS(N$7-N$10)&gt;=1000</formula>
    </cfRule>
  </conditionalFormatting>
  <conditionalFormatting sqref="O5">
    <cfRule type="expression" dxfId="427" priority="8">
      <formula>ABS(O$7-O$10)&gt;=1000</formula>
    </cfRule>
  </conditionalFormatting>
  <conditionalFormatting sqref="P5">
    <cfRule type="expression" dxfId="426" priority="7">
      <formula>ABS(P$7-P$10)&gt;=1000</formula>
    </cfRule>
  </conditionalFormatting>
  <conditionalFormatting sqref="L23">
    <cfRule type="expression" dxfId="425" priority="6">
      <formula>ABS(L$25-L$28)&gt;=1000</formula>
    </cfRule>
  </conditionalFormatting>
  <conditionalFormatting sqref="Y14">
    <cfRule type="expression" dxfId="424" priority="5">
      <formula>ABS(Y$16-Y$19)&gt;=1000</formula>
    </cfRule>
  </conditionalFormatting>
  <conditionalFormatting sqref="F14">
    <cfRule type="expression" dxfId="423" priority="4">
      <formula>ABS(F$16-F$19)&gt;=1000</formula>
    </cfRule>
  </conditionalFormatting>
  <conditionalFormatting sqref="H14">
    <cfRule type="expression" dxfId="422" priority="3">
      <formula>ABS(H$16-H$19)&gt;=1000</formula>
    </cfRule>
  </conditionalFormatting>
  <conditionalFormatting sqref="AD5">
    <cfRule type="expression" dxfId="421" priority="2">
      <formula>ABS(AD$7-AD$10)&gt;=1000</formula>
    </cfRule>
  </conditionalFormatting>
  <conditionalFormatting sqref="AE5">
    <cfRule type="expression" dxfId="4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06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4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46108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3631</v>
      </c>
      <c r="E6" s="71">
        <v>5612</v>
      </c>
      <c r="F6" s="71">
        <v>6320</v>
      </c>
      <c r="G6" s="71">
        <v>8957</v>
      </c>
      <c r="H6" s="71">
        <v>5050</v>
      </c>
      <c r="I6" s="71">
        <v>23.34</v>
      </c>
      <c r="J6" s="71">
        <v>6.53</v>
      </c>
      <c r="K6" s="71">
        <v>7.33</v>
      </c>
      <c r="L6" s="71">
        <v>7.88</v>
      </c>
      <c r="M6" s="71">
        <v>1096</v>
      </c>
      <c r="N6" s="71">
        <v>1060</v>
      </c>
      <c r="O6" s="71">
        <v>687</v>
      </c>
      <c r="P6" s="71">
        <v>350</v>
      </c>
      <c r="Q6" s="71">
        <v>7075</v>
      </c>
      <c r="R6" s="71">
        <v>7123</v>
      </c>
      <c r="S6" s="71">
        <v>6897</v>
      </c>
      <c r="T6" s="71">
        <v>2947</v>
      </c>
      <c r="U6" s="71">
        <v>0</v>
      </c>
      <c r="V6" s="71">
        <v>5929</v>
      </c>
      <c r="W6" s="71">
        <v>7086</v>
      </c>
      <c r="X6" s="71">
        <v>5353</v>
      </c>
      <c r="Y6" s="71">
        <v>5826</v>
      </c>
      <c r="Z6" s="71">
        <v>1200</v>
      </c>
      <c r="AA6" s="71">
        <v>4230</v>
      </c>
      <c r="AB6" s="71">
        <v>3034</v>
      </c>
      <c r="AC6" s="71">
        <v>4590</v>
      </c>
      <c r="AD6" s="71">
        <v>3775</v>
      </c>
      <c r="AE6" s="71">
        <v>4065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114353.45574957</v>
      </c>
      <c r="E7" s="73" ph="1">
        <f>E6*51.53*LOOKUP(E8,密度!$A$2:$A$50,密度!$B$2:$B$50)</f>
        <v>226751.02487599998</v>
      </c>
      <c r="F7" s="73" ph="1">
        <f>F6*33.183*LOOKUP(F8,密度!$A$2:$A$50,密度!$C$2:$C$50)</f>
        <v>233183.84306400002</v>
      </c>
      <c r="G7" s="73" ph="1">
        <f xml:space="preserve"> (G6+2)*51.53*LOOKUP(G8,密度!$A$2:$A$50,密度!$B$2:$B$50)</f>
        <v>361154.48232100002</v>
      </c>
      <c r="H7" s="73" ph="1">
        <f>(H6)*51.53*LOOKUP(H8,密度!$A$2:$A$50,密度!$B$2:$B$50)</f>
        <v>204642.11960000001</v>
      </c>
      <c r="I7" s="73" ph="1">
        <f>I6*290.8*1.0267</f>
        <v>6968.4921623999999</v>
      </c>
      <c r="J7" s="73" ph="1">
        <f>J6*290.8*0.7892</f>
        <v>1498.6308208000003</v>
      </c>
      <c r="K7" s="73" ph="1">
        <f>K6*290.8*1.1126</f>
        <v>2371.5781064000003</v>
      </c>
      <c r="L7" s="73" ph="1">
        <f>L6*290.8*0.777</f>
        <v>1780.4986079999999</v>
      </c>
      <c r="M7" s="73" ph="1">
        <f>M6*33.183*LOOKUP(M8,密度!$A$2:$A$50,密度!$D$2:$D$50)</f>
        <v>37477.809324000002</v>
      </c>
      <c r="N7" s="73" ph="1">
        <f>N6*33.183*LOOKUP(N8,密度!$A$2:$A$50,密度!$E$2:$E$50)</f>
        <v>27674.887464000003</v>
      </c>
      <c r="O7" s="73" ph="1">
        <f>O6*20.428*LOOKUP(O8,密度!$A$2:$A$50,密度!$C$2:$C$50)</f>
        <v>15551.115291600001</v>
      </c>
      <c r="P7" s="73" ph="1">
        <f>P6*51.53*LOOKUP(P8,密度!$A$2:$A$50,密度!$B$2:$B$50)</f>
        <v>14156.063950000002</v>
      </c>
      <c r="Q7" s="73" ph="1">
        <f>Q6*1.5*1.5*3.1416*LOOKUP(W8,密度!$A$2:$A$50,密度!$L$2:$L$50)</f>
        <v>47009.724300000002</v>
      </c>
      <c r="R7" s="73" ph="1">
        <f>R6*1.5*1.5*3.1416*LOOKUP(R8,密度!$A$2:$A$50,密度!$L$2:$L$50)</f>
        <v>47026.561705200002</v>
      </c>
      <c r="S7" s="73" ph="1">
        <f>S6*1.5*1.5*3.1416*LOOKUP(S8,密度!$A$2:$A$50,密度!$L$2:$L$50)</f>
        <v>46022.0146848</v>
      </c>
      <c r="T7" s="73" ph="1">
        <f>T6*1.5*1.5*3.1416*LOOKUP(T8,密度!$A$2:$A$50,密度!$L$2:$L$50)</f>
        <v>19685.450169</v>
      </c>
      <c r="U7" s="73" ph="1">
        <f>U6*1.5*1.5*3.1416*LOOKUP(U8,密度!$A$2:$A$50,密度!$L$2:$L$50)</f>
        <v>0</v>
      </c>
      <c r="V7" s="73" ph="1">
        <f>V6*1.5*1.5*3.1416*LOOKUP(V8,密度!$A$2:$A$50,密度!$L$2:$L$50)</f>
        <v>39143.687259599996</v>
      </c>
      <c r="W7" s="73" ph="1">
        <f>W6*1.5*1.5*3.1416*LOOKUP(W8,密度!$A$2:$A$50,密度!$L$2:$L$50)</f>
        <v>47082.813624000002</v>
      </c>
      <c r="X7" s="73" ph="1">
        <f>X6*1.5*1.5*3.1416*LOOKUP(X8,密度!$A$2:$A$50,密度!$L$2:$L$50)</f>
        <v>35908.466794199994</v>
      </c>
      <c r="Y7" s="73" ph="1">
        <f>Y6*1.5*1.5*3.1416*LOOKUP(Y8,密度!$A$2:$A$50,密度!$L$2:$L$50)</f>
        <v>38710.763783999995</v>
      </c>
      <c r="Z7" s="73" ph="1">
        <f>Z6*33.183*LOOKUP(Z8,密度!$A$2:$A$50,密度!$L$2:$L$50)</f>
        <v>37669.3416</v>
      </c>
      <c r="AA7" s="73" ph="1">
        <f>AA6*33.183*LOOKUP(AA8,密度!$A$2:$A$50,密度!$D$2:$D$50)</f>
        <v>144645.19474499999</v>
      </c>
      <c r="AB7" s="73" ph="1">
        <f>AB6*20.428*LOOKUP(AB8,密度!$A$2:$A$50,密度!$D$2:$D$50)</f>
        <v>64240.769147999999</v>
      </c>
      <c r="AC7" s="73" ph="1">
        <f>AC6*51.53*LOOKUP(AC8,密度!$A$2:$A$50,密度!$Q$2:$Q$50)</f>
        <v>224987.48792100002</v>
      </c>
      <c r="AD7" s="73" ph="1">
        <f>AD6*20.428*LOOKUP(AD8,密度!$A$2:$A$50,密度!$V$2:$V$50)</f>
        <v>74339.534799999994</v>
      </c>
      <c r="AE7" s="73" ph="1">
        <f>AE6*20.428</f>
        <v>83039.820000000007</v>
      </c>
    </row>
    <row r="8" spans="1:99" ph="1">
      <c r="B8" s="238" ph="1"/>
      <c r="C8" s="68" t="s" ph="1">
        <v>179</v>
      </c>
      <c r="D8" s="74">
        <v>22</v>
      </c>
      <c r="E8" s="74">
        <v>20</v>
      </c>
      <c r="F8" s="74">
        <v>21</v>
      </c>
      <c r="G8" s="74">
        <v>22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22</v>
      </c>
      <c r="O8" s="74">
        <v>26</v>
      </c>
      <c r="P8" s="74">
        <v>19</v>
      </c>
      <c r="Q8" s="74">
        <v>23</v>
      </c>
      <c r="R8" s="74">
        <v>28</v>
      </c>
      <c r="S8" s="74">
        <v>18</v>
      </c>
      <c r="T8" s="74">
        <v>17</v>
      </c>
      <c r="U8" s="74">
        <v>21</v>
      </c>
      <c r="V8" s="74">
        <v>28</v>
      </c>
      <c r="W8" s="74">
        <v>22</v>
      </c>
      <c r="X8" s="74">
        <v>13</v>
      </c>
      <c r="Y8" s="74">
        <v>22</v>
      </c>
      <c r="Z8" s="74">
        <v>16</v>
      </c>
      <c r="AA8" s="74">
        <v>21</v>
      </c>
      <c r="AB8" s="74">
        <v>14</v>
      </c>
      <c r="AC8" s="74">
        <v>19</v>
      </c>
      <c r="AD8" s="74">
        <v>20</v>
      </c>
      <c r="AE8" s="74">
        <v>21</v>
      </c>
    </row>
    <row r="9" spans="1:99" ht="26.4" ph="1">
      <c r="B9" s="238" ph="1">
        <v>0.66666666666666663</v>
      </c>
      <c r="C9" s="160" t="s" ph="1">
        <v>180</v>
      </c>
      <c r="D9" s="71">
        <v>3633</v>
      </c>
      <c r="E9" s="71">
        <v>7777</v>
      </c>
      <c r="F9" s="71">
        <v>6322</v>
      </c>
      <c r="G9" s="71">
        <v>8966</v>
      </c>
      <c r="H9" s="71">
        <v>6360</v>
      </c>
      <c r="I9" s="71">
        <v>23.31</v>
      </c>
      <c r="J9" s="71">
        <v>6.56</v>
      </c>
      <c r="K9" s="71">
        <v>7.27</v>
      </c>
      <c r="L9" s="71">
        <v>7.81</v>
      </c>
      <c r="M9" s="71">
        <v>1096</v>
      </c>
      <c r="N9" s="71">
        <v>1061</v>
      </c>
      <c r="O9" s="71">
        <v>686</v>
      </c>
      <c r="P9" s="71">
        <v>224</v>
      </c>
      <c r="Q9" s="71">
        <v>7080</v>
      </c>
      <c r="R9" s="71">
        <v>7128</v>
      </c>
      <c r="S9" s="71">
        <v>6903</v>
      </c>
      <c r="T9" s="71">
        <v>2948</v>
      </c>
      <c r="U9" s="71">
        <v>0</v>
      </c>
      <c r="V9" s="71">
        <v>1189</v>
      </c>
      <c r="W9" s="71">
        <v>7093</v>
      </c>
      <c r="X9" s="71">
        <v>5356</v>
      </c>
      <c r="Y9" s="71">
        <v>5830</v>
      </c>
      <c r="Z9" s="71">
        <v>499</v>
      </c>
      <c r="AA9" s="71">
        <v>4234</v>
      </c>
      <c r="AB9" s="71">
        <v>2935</v>
      </c>
      <c r="AC9" s="71">
        <v>5011</v>
      </c>
      <c r="AD9" s="71">
        <v>3775</v>
      </c>
      <c r="AE9" s="71">
        <v>4024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114309.1501398</v>
      </c>
      <c r="E10" s="73" ph="1">
        <f>E9*51.53*LOOKUP(E11,密度!$A$2:$A$50,密度!$B$2:$B$50)</f>
        <v>313505.79406300001</v>
      </c>
      <c r="F10" s="73" ph="1">
        <f>F9*33.183*LOOKUP(F11,密度!$A$2:$A$50,密度!$C$2:$C$50)</f>
        <v>233257.63541940003</v>
      </c>
      <c r="G10" s="73" ph="1">
        <f xml:space="preserve"> (G9+2)*51.53*LOOKUP(G11,密度!$A$2:$A$50,密度!$B$2:$B$50)</f>
        <v>360269.56278400001</v>
      </c>
      <c r="H10" s="73" ph="1">
        <f>(H9)*51.53*LOOKUP(H11,密度!$A$2:$A$50,密度!$B$2:$B$50)</f>
        <v>256383.80484</v>
      </c>
      <c r="I10" s="73" ph="1">
        <f>I9*290.8*1.0267</f>
        <v>6959.535231599999</v>
      </c>
      <c r="J10" s="73" ph="1">
        <f>J9*290.8*0.7892</f>
        <v>1505.5158016</v>
      </c>
      <c r="K10" s="73" ph="1">
        <f>K9*290.8*1.1126</f>
        <v>2352.1654616000001</v>
      </c>
      <c r="L10" s="73" ph="1">
        <f>L9*290.8*0.777</f>
        <v>1764.6819960000003</v>
      </c>
      <c r="M10" s="73" ph="1">
        <f>M9*33.183*LOOKUP(M11,密度!$A$2:$A$50,密度!$D$2:$D$50)</f>
        <v>37339.608765599995</v>
      </c>
      <c r="N10" s="73" ph="1">
        <f>N9*33.183*LOOKUP(N11,密度!$A$2:$A$50,密度!$E$2:$E$50)</f>
        <v>27574.2500616</v>
      </c>
      <c r="O10" s="73" ph="1">
        <f>O9*20.428*LOOKUP(O11,密度!$A$2:$A$50,密度!$C$2:$C$50)</f>
        <v>15457.009624</v>
      </c>
      <c r="P10" s="73" ph="1">
        <f>P9*51.53*LOOKUP(P11,密度!$A$2:$A$50,密度!$B$2:$B$50)</f>
        <v>8998.7045120000002</v>
      </c>
      <c r="Q10" s="73" ph="1">
        <f>Q9*1.5*1.5*3.1416*LOOKUP(W11,密度!$A$2:$A$50,密度!$L$2:$L$50)</f>
        <v>46942.855343999996</v>
      </c>
      <c r="R10" s="73" ph="1">
        <f>R9*1.5*1.5*3.1416*LOOKUP(R11,密度!$A$2:$A$50,密度!$L$2:$L$50)</f>
        <v>47009.187086400001</v>
      </c>
      <c r="S10" s="73" ph="1">
        <f>S9*1.5*1.5*3.1416*LOOKUP(S11,密度!$A$2:$A$50,密度!$L$2:$L$50)</f>
        <v>45964.462143599994</v>
      </c>
      <c r="T10" s="73" ph="1">
        <f>T9*1.5*1.5*3.1416*LOOKUP(T11,密度!$A$2:$A$50,密度!$L$2:$L$50)</f>
        <v>19650.453530399998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7849.8640836000004</v>
      </c>
      <c r="W10" s="73" ph="1">
        <f>W9*1.5*1.5*3.1416*LOOKUP(W11,密度!$A$2:$A$50,密度!$L$2:$L$50)</f>
        <v>47029.0498524</v>
      </c>
      <c r="X10" s="73" ph="1">
        <f>X9*1.5*1.5*3.1416*LOOKUP(X11,密度!$A$2:$A$50,密度!$L$2:$L$50)</f>
        <v>35852.872255199996</v>
      </c>
      <c r="Y10" s="73" ph="1">
        <f>Y9*1.5*1.5*3.1416*LOOKUP(Y11,密度!$A$2:$A$50,密度!$L$2:$L$50)</f>
        <v>38696.131781999997</v>
      </c>
      <c r="Z10" s="73" ph="1">
        <f>Z9*33.183*LOOKUP(Z11,密度!$A$2:$A$50,密度!$L$2:$L$50)</f>
        <v>15614.492930999999</v>
      </c>
      <c r="AA10" s="73" ph="1">
        <f>AA9*33.183*LOOKUP(AA11,密度!$A$2:$A$50,密度!$D$2:$D$50)</f>
        <v>144248.08714739999</v>
      </c>
      <c r="AB10" s="73" ph="1">
        <f>AB9*20.428*LOOKUP(AB11,密度!$A$2:$A$50,密度!$D$2:$D$50)</f>
        <v>62090.620008000005</v>
      </c>
      <c r="AC10" s="73" ph="1">
        <f>AC9*51.53*LOOKUP(AC11,密度!$A$2:$A$50,密度!$Q$2:$Q$50)</f>
        <v>245071.01118470001</v>
      </c>
      <c r="AD10" s="73" ph="1">
        <f>AD9*20.428*LOOKUP(AD11,密度!$A$2:$A$50,密度!$V$2:$V$50)</f>
        <v>74092.764559999996</v>
      </c>
      <c r="AE10" s="73" ph="1">
        <f>AE9*20.428</f>
        <v>82202.271999999997</v>
      </c>
    </row>
    <row r="11" spans="1:99" ph="1">
      <c r="A11" s="64" t="s" ph="1">
        <v>162</v>
      </c>
      <c r="B11" s="238" ph="1"/>
      <c r="C11" s="160" t="s" ph="1">
        <v>179</v>
      </c>
      <c r="D11" s="74">
        <v>23</v>
      </c>
      <c r="E11" s="74">
        <v>22</v>
      </c>
      <c r="F11" s="74">
        <v>21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32</v>
      </c>
      <c r="P11" s="74">
        <v>25</v>
      </c>
      <c r="Q11" s="74">
        <v>25</v>
      </c>
      <c r="R11" s="74">
        <v>29</v>
      </c>
      <c r="S11" s="74">
        <v>20</v>
      </c>
      <c r="T11" s="74">
        <v>19</v>
      </c>
      <c r="U11" s="74">
        <v>25</v>
      </c>
      <c r="V11" s="74">
        <v>28</v>
      </c>
      <c r="W11" s="74">
        <v>24</v>
      </c>
      <c r="X11" s="74">
        <v>15</v>
      </c>
      <c r="Y11" s="74">
        <v>23</v>
      </c>
      <c r="Z11" s="74">
        <v>19</v>
      </c>
      <c r="AA11" s="74">
        <v>25</v>
      </c>
      <c r="AB11" s="74">
        <v>15</v>
      </c>
      <c r="AC11" s="74">
        <v>22</v>
      </c>
      <c r="AD11" s="74">
        <v>25</v>
      </c>
      <c r="AE11" s="74">
        <v>22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1256</v>
      </c>
      <c r="E15" s="78">
        <v>5695</v>
      </c>
      <c r="F15" s="78">
        <v>3079</v>
      </c>
      <c r="G15" s="78">
        <v>1947</v>
      </c>
      <c r="H15" s="78">
        <v>3911</v>
      </c>
      <c r="I15" s="78">
        <v>5468</v>
      </c>
      <c r="J15" s="78">
        <v>414</v>
      </c>
      <c r="K15" s="78">
        <v>3587</v>
      </c>
      <c r="L15" s="78">
        <v>4960</v>
      </c>
      <c r="M15" s="78">
        <v>6158</v>
      </c>
      <c r="N15" s="78">
        <v>864</v>
      </c>
      <c r="O15" s="78">
        <v>4992</v>
      </c>
      <c r="P15" s="78">
        <v>2858</v>
      </c>
      <c r="Q15" s="78">
        <v>1278</v>
      </c>
      <c r="R15" s="78">
        <v>7400</v>
      </c>
      <c r="S15" s="78">
        <v>0</v>
      </c>
      <c r="T15" s="78">
        <v>1879</v>
      </c>
      <c r="U15" s="78">
        <v>2102</v>
      </c>
      <c r="V15" s="78">
        <v>3702</v>
      </c>
      <c r="W15" s="71">
        <v>-172</v>
      </c>
      <c r="X15" s="78">
        <v>-22</v>
      </c>
      <c r="Y15" s="106">
        <v>-9900</v>
      </c>
      <c r="Z15" s="78">
        <v>0</v>
      </c>
      <c r="AA15" s="78">
        <v>10</v>
      </c>
      <c r="AB15" s="78" ph="1">
        <v>7160</v>
      </c>
      <c r="AC15" s="78" ph="1">
        <v>7127</v>
      </c>
      <c r="AD15" s="78">
        <v>4.92</v>
      </c>
      <c r="AE15" s="78">
        <v>5.63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8354.3500655999997</v>
      </c>
      <c r="E16" s="73" ph="1">
        <f>E15*7.0686*LOOKUP(E17,密度!$A$2:$A$50,密度!$L$2:$L$50)</f>
        <v>37880.592057000002</v>
      </c>
      <c r="F16" s="73" ph="1">
        <f>F15*9.0746*LOOKUP(F17,密度!$A$2:$A$50,密度!$L$2:$L$50)</f>
        <v>26236.311102599997</v>
      </c>
      <c r="G16" s="73" ph="1">
        <f>G15*9.0746*LOOKUP(G17,密度!$A$2:$A$50,密度!$B$2:$B$50)</f>
        <v>13837.770423840002</v>
      </c>
      <c r="H16" s="73" ph="1">
        <f>H15*9.0746*LOOKUP(H17,密度!$A$2:$A$50,密度!$L$2:$L$50)</f>
        <v>33538.768767000001</v>
      </c>
      <c r="I16" s="73" ph="1">
        <f>I15*9.0746*LOOKUP(I17,密度!$A$2:$A$50,密度!$U$2:$U$50)</f>
        <v>51009.270358399997</v>
      </c>
      <c r="J16" s="73" ph="1">
        <f>J15*9.0746*LOOKUP(J17,密度!$A$2:$A$50,密度!$L$2:$L$50)</f>
        <v>3535.2282203999998</v>
      </c>
      <c r="K16" s="73" ph="1">
        <f>K15*9.0746*LOOKUP(K17,密度!$A$2:$A$50,密度!$C$2:$C$50)</f>
        <v>36215.786656520002</v>
      </c>
      <c r="L16" s="73" ph="1">
        <f>L15*9.0746*LOOKUP(L17,密度!$A$2:$A$50,密度!$E$2:$E$50)</f>
        <v>35359.868569600003</v>
      </c>
      <c r="M16" s="73" ph="1">
        <f>M15*9.0746*LOOKUP(M17,密度!$A$2:$A$50,密度!$M$2:$M$50)</f>
        <v>48946.50669812</v>
      </c>
      <c r="N16" s="73" ph="1">
        <f>N15*9.0746*LOOKUP(N17,密度!$A$2:$A$50,密度!$M$2:$M$50)</f>
        <v>6901.9520083200005</v>
      </c>
      <c r="O16" s="73" ph="1">
        <f>O15*9.0746*LOOKUP(O17,密度!$A$2:$A$50,密度!$G$2:$G$50)</f>
        <v>43588.047959040006</v>
      </c>
      <c r="P16" s="73" ph="1">
        <f ca="1">P15*9.0746*LOOKUP(P17,密度!$A$2:$A$51,密度!$Q$2:$Q$50)</f>
        <v>24614.845421811999</v>
      </c>
      <c r="Q16" s="73" ph="1">
        <f>Q15*9.0746*LOOKUP(Q17,密度!$A$2:$A$50,密度!$Q$2:$Q$50)</f>
        <v>11013.876684972</v>
      </c>
      <c r="R16" s="73" ph="1">
        <f>MAX(R15*9.0746*LOOKUP(R17,密度!$A$2:$A$50,密度!$B$2:$B$50),0)</f>
        <v>52472.604056000004</v>
      </c>
      <c r="S16" s="73" ph="1">
        <f>S15*9.0746*LOOKUP(S17,密度!$A$2:$A$50,密度!$Q$2:$Q$50)</f>
        <v>0</v>
      </c>
      <c r="T16" s="73" ph="1">
        <f>T15*9.0746*LOOKUP(T17,密度!$A$2:$A$50,密度!$O$2:$O$50)</f>
        <v>15857.591262</v>
      </c>
      <c r="U16" s="73" ph="1">
        <f>U15*9.0746*LOOKUP(U17,密度!$A$2:$A$50,密度!$H$2:$H$50)</f>
        <v>17543.10202124</v>
      </c>
      <c r="V16" s="73" ph="1">
        <f>MAX(5600*LOOKUP(V17,密度!$A$2:$A$50,密度!$Q$2:$Q$50)+V15*9.0476*LOOKUP(V17,密度!$A$2:$A$50,密度!$Q$2:$Q$50),0)</f>
        <v>37103.928704168</v>
      </c>
      <c r="W16" s="73" ph="1">
        <f>MAX(5600*LOOKUP(W17,密度!$A$2:$A$50,密度!$Q$2:$Q$50)+W15*9.0476*LOOKUP(W17,密度!$A$2:$A$50,密度!$Q$2:$Q$50),0)</f>
        <v>3834.3432969599999</v>
      </c>
      <c r="X16" s="73" ph="1">
        <f>MAX(5600*LOOKUP(X17,密度!$A$2:$A$50,密度!$I$2:$I$50)+X15*9.0476*LOOKUP(X17,密度!$A$2:$A$50,密度!$I$2:$I$50),0)</f>
        <v>5641.8352948800002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71.153938600000004</v>
      </c>
      <c r="AB16" s="73" ph="1">
        <f>AB15*9.0746*LOOKUP(AB17,密度!$A$2:$A$50,密度!$L$2:$L$50)</f>
        <v>61075.687839999999</v>
      </c>
      <c r="AC16" s="73" ph="1">
        <f>AC15*9.0746*LOOKUP(AC17,密度!$A$2:$A$50,密度!$L$2:$L$50)</f>
        <v>60858.868422200001</v>
      </c>
      <c r="AD16" s="73" ph="1">
        <f>AD15*268.68*LOOKUP(AD17,密度!$A$2:$A$50,密度!B2:B50)+IF(AD15&lt;=0,0,1566*LOOKUP(AD17,密度!$A$2:$A$50,密度!B2:B50))</f>
        <v>2251.4112057599996</v>
      </c>
      <c r="AE16" s="73" ph="1">
        <f>AE15*268.68*LOOKUP(AE17,密度!$A$2:$A$50,密度!B2:B50)+IF(AE15&lt;=0,0,1566*LOOKUP(AE17,密度!$A$2:$A$50,密度!B2:B50))</f>
        <v>2400.1298846399995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21</v>
      </c>
      <c r="E17" s="74">
        <v>21</v>
      </c>
      <c r="F17" s="74">
        <v>23</v>
      </c>
      <c r="G17" s="74">
        <v>21</v>
      </c>
      <c r="H17" s="74">
        <v>17</v>
      </c>
      <c r="I17" s="74">
        <v>20</v>
      </c>
      <c r="J17" s="74">
        <v>21</v>
      </c>
      <c r="K17" s="74">
        <v>20</v>
      </c>
      <c r="L17" s="74">
        <v>23</v>
      </c>
      <c r="M17" s="74">
        <v>24</v>
      </c>
      <c r="N17" s="74">
        <v>20</v>
      </c>
      <c r="O17" s="74">
        <v>23</v>
      </c>
      <c r="P17" s="74">
        <v>22</v>
      </c>
      <c r="Q17" s="74">
        <v>21</v>
      </c>
      <c r="R17" s="74">
        <v>23</v>
      </c>
      <c r="S17" s="74">
        <v>21</v>
      </c>
      <c r="T17" s="74">
        <v>24</v>
      </c>
      <c r="U17" s="74">
        <v>20</v>
      </c>
      <c r="V17" s="74">
        <v>22</v>
      </c>
      <c r="W17" s="74">
        <v>23</v>
      </c>
      <c r="X17" s="74">
        <v>23</v>
      </c>
      <c r="Y17" s="108">
        <v>23</v>
      </c>
      <c r="Z17" s="74">
        <v>22</v>
      </c>
      <c r="AA17" s="74">
        <v>20</v>
      </c>
      <c r="AB17" s="74">
        <v>22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2472</v>
      </c>
      <c r="E18" s="71">
        <v>5876</v>
      </c>
      <c r="F18" s="71">
        <v>3080</v>
      </c>
      <c r="G18" s="71">
        <v>2172</v>
      </c>
      <c r="H18" s="71">
        <v>1896</v>
      </c>
      <c r="I18" s="71">
        <v>5471</v>
      </c>
      <c r="J18" s="71">
        <v>414</v>
      </c>
      <c r="K18" s="71">
        <v>3588</v>
      </c>
      <c r="L18" s="71">
        <v>4964</v>
      </c>
      <c r="M18" s="71">
        <v>3443</v>
      </c>
      <c r="N18" s="71">
        <v>3368</v>
      </c>
      <c r="O18" s="71">
        <v>4996</v>
      </c>
      <c r="P18" s="71">
        <v>1104</v>
      </c>
      <c r="Q18" s="71">
        <v>1282</v>
      </c>
      <c r="R18" s="71">
        <v>7406</v>
      </c>
      <c r="S18" s="71">
        <v>0</v>
      </c>
      <c r="T18" s="71">
        <v>1356</v>
      </c>
      <c r="U18" s="71">
        <v>2101</v>
      </c>
      <c r="V18" s="71">
        <v>3702</v>
      </c>
      <c r="W18" s="71">
        <v>-172</v>
      </c>
      <c r="X18" s="71">
        <v>-22</v>
      </c>
      <c r="Y18" s="109">
        <v>-9900</v>
      </c>
      <c r="Z18" s="71">
        <v>9</v>
      </c>
      <c r="AA18" s="71">
        <v>9</v>
      </c>
      <c r="AB18" s="71">
        <v>7166</v>
      </c>
      <c r="AC18" s="71">
        <v>7132</v>
      </c>
      <c r="AD18" s="71">
        <v>4.91</v>
      </c>
      <c r="AE18" s="71">
        <v>5.59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16320.322972800001</v>
      </c>
      <c r="E19" s="73" ph="1">
        <f>E18*7.0686*LOOKUP(E20,密度!$A$2:$A$50,密度!$L$2:$L$50)</f>
        <v>38793.777422400002</v>
      </c>
      <c r="F19" s="73" ph="1">
        <f>F18*9.0746*LOOKUP(F20,密度!$A$2:$A$50,密度!$L$2:$L$50)</f>
        <v>26133.033080000001</v>
      </c>
      <c r="G19" s="73" ph="1">
        <f>G18*9.0746*LOOKUP(G20,密度!$A$2:$A$50,密度!$B$2:$B$50)</f>
        <v>15436.896435840001</v>
      </c>
      <c r="H19" s="73" ph="1">
        <f>H18*9.0746*LOOKUP(H20,密度!$A$2:$A$50,密度!$L$2:$L$50)</f>
        <v>16224.731428800002</v>
      </c>
      <c r="I19" s="73" ph="1">
        <f>I18*9.0746*LOOKUP(I20,密度!$A$2:$A$50,密度!$U$2:$U$50)</f>
        <v>50888.315014999993</v>
      </c>
      <c r="J19" s="73" ph="1">
        <f>J18*9.0746*LOOKUP(J20,密度!$A$2:$A$50,密度!$L$2:$L$50)</f>
        <v>3516.4437984000001</v>
      </c>
      <c r="K19" s="73" ph="1">
        <f>K18*9.0746*LOOKUP(K20,密度!$A$2:$A$50,密度!$C$2:$C$50)</f>
        <v>36128.204062080003</v>
      </c>
      <c r="L19" s="73" ph="1">
        <f>L18*9.0746*LOOKUP(L20,密度!$A$2:$A$50,密度!$E$2:$E$50)</f>
        <v>35280.273438080003</v>
      </c>
      <c r="M19" s="73" ph="1">
        <f>M18*9.0746*LOOKUP(M20,密度!$A$2:$A$50,密度!$M$2:$M$50)</f>
        <v>27310.24736198</v>
      </c>
      <c r="N19" s="73" ph="1">
        <f>N18*9.0746*LOOKUP(N20,密度!$A$2:$A$50,密度!$M$2:$M$50)</f>
        <v>26834.535958400003</v>
      </c>
      <c r="O19" s="73" ph="1">
        <f>O18*9.0746*LOOKUP(O20,密度!$A$2:$A$50,密度!$G$2:$G$50)</f>
        <v>43532.300876320005</v>
      </c>
      <c r="P19" s="73" ph="1">
        <f ca="1">P18*9.0746*LOOKUP(P20,密度!$A$2:$A$51,密度!$Q$2:$Q$50)</f>
        <v>9416.6557944960005</v>
      </c>
      <c r="Q19" s="73" ph="1">
        <f>Q18*9.0746*LOOKUP(Q20,密度!$A$2:$A$50,密度!$Q$2:$Q$50)</f>
        <v>10989.366371864002</v>
      </c>
      <c r="R19" s="73" ph="1">
        <f>MAX(R18*9.0746*LOOKUP(R20,密度!$A$2:$A$50,密度!$B$2:$B$50),0)</f>
        <v>52279.926704040008</v>
      </c>
      <c r="S19" s="73" ph="1">
        <f>S18*9.0746*LOOKUP(S20,密度!$A$2:$A$50,密度!$Q$2:$Q$50)</f>
        <v>0</v>
      </c>
      <c r="T19" s="73" ph="1">
        <f>T18*9.0746*LOOKUP(T20,密度!$A$2:$A$50,密度!$O$2:$O$50)</f>
        <v>11394.575937600001</v>
      </c>
      <c r="U19" s="73" ph="1">
        <f>U18*9.0746*LOOKUP(U20,密度!$A$2:$A$50,密度!$H$2:$H$50)</f>
        <v>17477.558907819999</v>
      </c>
      <c r="V19" s="73" ph="1">
        <f>MAX(5600*LOOKUP(V20,密度!$A$2:$A$50,密度!$Q$2:$Q$50)+V18*9.0476*LOOKUP(V20,密度!$A$2:$A$50,密度!$Q$2:$Q$50),0)</f>
        <v>37012.057298448002</v>
      </c>
      <c r="W19" s="73" ph="1">
        <f>MAX(5600*LOOKUP(W20,密度!$A$2:$A$50,密度!$Q$2:$Q$50)+W18*9.0476*LOOKUP(W20,密度!$A$2:$A$50,密度!$Q$2:$Q$50),0)</f>
        <v>3822.6971160960002</v>
      </c>
      <c r="X19" s="73" ph="1">
        <f>MAX(5600*LOOKUP(X20,密度!$A$2:$A$50,密度!$I$2:$I$50)+X18*9.0476*LOOKUP(X20,密度!$A$2:$A$50,密度!$I$2:$I$50),0)</f>
        <v>5629.4131034399998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83.541675060000003</v>
      </c>
      <c r="AA19" s="73" ph="1">
        <f>AA18*9.0746*LOOKUP(AA20,密度!$A$2:$A$50,密度!$B$2:$B$50)</f>
        <v>63.671023439999999</v>
      </c>
      <c r="AB19" s="73" ph="1">
        <f>AB18*9.0746*LOOKUP(AB20,密度!$A$2:$A$50,密度!$L$2:$L$50)</f>
        <v>60996.811416799996</v>
      </c>
      <c r="AC19" s="73" ph="1">
        <f>AC18*9.0746*LOOKUP(AC20,密度!$A$2:$A$50,密度!$L$2:$L$50)</f>
        <v>60772.124320799994</v>
      </c>
      <c r="AD19" s="73" ph="1">
        <f>AD18*268.68*LOOKUP(AD20,密度!$A$2:$A$50,密度!B5:B53)+IF(AD18&lt;=0,0,1566*LOOKUP(AD20,密度!$A$2:$A$50,密度!B5:B53))</f>
        <v>2241.8150076000002</v>
      </c>
      <c r="AE19" s="73" ph="1">
        <f>AE18*268.68*LOOKUP(AE20,密度!$A$2:$A$50,密度!B5:B53)+IF(AE18&lt;=0,0,1566*LOOKUP(AE20,密度!$A$2:$A$50,密度!B5:B53))</f>
        <v>2383.7747724000001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28</v>
      </c>
      <c r="E20" s="81">
        <v>28</v>
      </c>
      <c r="F20" s="81">
        <v>27</v>
      </c>
      <c r="G20" s="81">
        <v>21</v>
      </c>
      <c r="H20" s="81">
        <v>19</v>
      </c>
      <c r="I20" s="81">
        <v>25</v>
      </c>
      <c r="J20" s="81">
        <v>26</v>
      </c>
      <c r="K20" s="81">
        <v>24</v>
      </c>
      <c r="L20" s="81">
        <v>25</v>
      </c>
      <c r="M20" s="81">
        <v>26</v>
      </c>
      <c r="N20" s="81">
        <v>22</v>
      </c>
      <c r="O20" s="81">
        <v>25</v>
      </c>
      <c r="P20" s="81">
        <v>35</v>
      </c>
      <c r="Q20" s="81">
        <v>28</v>
      </c>
      <c r="R20" s="81">
        <v>27</v>
      </c>
      <c r="S20" s="81">
        <v>27</v>
      </c>
      <c r="T20" s="81">
        <v>28</v>
      </c>
      <c r="U20" s="81">
        <v>23</v>
      </c>
      <c r="V20" s="81">
        <v>25</v>
      </c>
      <c r="W20" s="81">
        <v>27</v>
      </c>
      <c r="X20" s="81">
        <v>25</v>
      </c>
      <c r="Y20" s="110">
        <v>25</v>
      </c>
      <c r="Z20" s="81">
        <v>29</v>
      </c>
      <c r="AA20" s="81">
        <v>25</v>
      </c>
      <c r="AB20" s="81">
        <v>24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649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2.9</v>
      </c>
      <c r="E24" s="71">
        <v>5.43</v>
      </c>
      <c r="F24" s="71">
        <v>0</v>
      </c>
      <c r="G24" s="71">
        <v>815</v>
      </c>
      <c r="H24" s="71">
        <v>2325</v>
      </c>
      <c r="I24" s="71">
        <v>0</v>
      </c>
      <c r="J24" s="71">
        <v>333</v>
      </c>
      <c r="K24" s="71">
        <v>5018</v>
      </c>
      <c r="L24" s="71">
        <v>469</v>
      </c>
      <c r="M24" s="71">
        <v>5320</v>
      </c>
      <c r="N24" s="71">
        <v>4944</v>
      </c>
      <c r="O24" s="71">
        <v>5721</v>
      </c>
      <c r="P24" s="71">
        <v>362</v>
      </c>
      <c r="Q24" s="90">
        <v>2655</v>
      </c>
      <c r="R24" s="71">
        <v>3124</v>
      </c>
      <c r="S24" s="71">
        <v>4321</v>
      </c>
      <c r="T24" s="71">
        <v>375</v>
      </c>
      <c r="U24" s="71">
        <v>1805</v>
      </c>
      <c r="V24" s="71">
        <v>11091</v>
      </c>
      <c r="W24" s="71">
        <v>11184</v>
      </c>
      <c r="X24" s="71">
        <v>7198</v>
      </c>
      <c r="Y24" s="71">
        <v>2412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2220.26813928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0</v>
      </c>
      <c r="G25" s="91" ph="1">
        <f>G24*18.322*LOOKUP(G26,密度!$A$2:$A$50,密度!$B$2:$B$50)</f>
        <v>11695.079175999999</v>
      </c>
      <c r="H25" s="91" ph="1">
        <f>H24*18.322*LOOKUP(H26,密度!$A$2:$A$50,密度!$B$2:$B$50)</f>
        <v>33435.680385</v>
      </c>
      <c r="I25" s="91" ph="1">
        <f>I24*18.322*LOOKUP(I26,密度!$A$2:$A$50,密度!$Q$2:$Q$50)</f>
        <v>0</v>
      </c>
      <c r="J25" s="91" ph="1">
        <f>J24*18.322*LOOKUP(J26,密度!$A$2:$A$50,密度!$Q$2:$Q$50)</f>
        <v>5794.27331994</v>
      </c>
      <c r="K25" s="91" ph="1">
        <f>K24*18.322*LOOKUP(K26,密度!$A$2:$A$50,密度!$Q$2:$Q$50)</f>
        <v>87314.304863240002</v>
      </c>
      <c r="L25" s="91" ph="1">
        <f>L24*18.322*LOOKUP(L26,密度!$A$2:$A$50,密度!$Q$2:$Q$50)</f>
        <v>8173.9365121400006</v>
      </c>
      <c r="M25" s="91" ph="1">
        <f>M24*18.322*LOOKUP(M26,密度!$A$2:$A$50,密度!$Q$2:$Q$50)</f>
        <v>92569.171357600004</v>
      </c>
      <c r="N25" s="91" ph="1">
        <f>N24*18.322*LOOKUP(N26,密度!$A$2:$A$50,密度!$Q$2:$Q$50)</f>
        <v>86089.191507839991</v>
      </c>
      <c r="O25" s="91" ph="1">
        <f>O24*18.322*LOOKUP(O26,密度!$A$2:$A$50,密度!$C$2:$C$50)</f>
        <v>116685.80433839999</v>
      </c>
      <c r="P25" s="91" ph="1">
        <f>P24*11.702*LOOKUP(P26,密度!$A$2:$A$50,密度!$B$2:$B$50)</f>
        <v>3328.3226267999999</v>
      </c>
      <c r="Q25" s="92" ph="1">
        <f>Q24*18.322*LOOKUP(Q26,密度!$A$2:$A$50,密度!$B$2:$B$50)</f>
        <v>38142.473931</v>
      </c>
      <c r="R25" s="91" ph="1">
        <f>R24*35.891*LOOKUP(R26,密度!$A$2:$A$50,密度!$C$2:$C$50)</f>
        <v>124815.86238879999</v>
      </c>
      <c r="S25" s="91" ph="1">
        <f>S24*35.891*LOOKUP(S26,密度!$A$2:$A$50,密度!$B$2:$B$50)</f>
        <v>121726.22513390001</v>
      </c>
      <c r="T25" s="91" ph="1">
        <f>T24*35.891*LOOKUP(T26,密度!$A$2:$A$50,密度!$Q$2:$Q$50)</f>
        <v>12791.2832175</v>
      </c>
      <c r="U25" s="91" ph="1">
        <f>U24*35.891</f>
        <v>64783.254999999997</v>
      </c>
      <c r="V25" s="91" ph="1">
        <f>V24*47.051*LOOKUP(V26,密度!$A$2:$A$50,密度!$B$2:$B$50)</f>
        <v>410011.7630337</v>
      </c>
      <c r="W25" s="91" ph="1">
        <f>W24*47.051*LOOKUP(W26,密度!$A$2:$A$50,密度!$B$2:$B$50)</f>
        <v>412607.83489440009</v>
      </c>
      <c r="X25" s="91" ph="1">
        <f>X24*47.051*LOOKUP(X26,密度!$A$2:$A$61,密度!$I$2:$I$61)</f>
        <v>349984.77947320003</v>
      </c>
      <c r="Y25" s="91" ph="1">
        <f>Y24*47.051*LOOKUP(Y26,密度!$A$2:$A$50,密度!$L$2:$L$50)</f>
        <v>107018.252316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20</v>
      </c>
      <c r="G26" s="74">
        <v>21</v>
      </c>
      <c r="H26" s="74">
        <v>19</v>
      </c>
      <c r="I26" s="74">
        <v>19</v>
      </c>
      <c r="J26" s="74">
        <v>21</v>
      </c>
      <c r="K26" s="74">
        <v>21</v>
      </c>
      <c r="L26" s="74">
        <v>19</v>
      </c>
      <c r="M26" s="74">
        <v>21</v>
      </c>
      <c r="N26" s="74">
        <v>20</v>
      </c>
      <c r="O26" s="74">
        <v>19</v>
      </c>
      <c r="P26" s="74">
        <v>18</v>
      </c>
      <c r="Q26" s="93">
        <v>20</v>
      </c>
      <c r="R26" s="74">
        <v>19</v>
      </c>
      <c r="S26" s="74">
        <v>19</v>
      </c>
      <c r="T26" s="74">
        <v>20</v>
      </c>
      <c r="U26" s="74">
        <v>20</v>
      </c>
      <c r="V26" s="74">
        <v>18</v>
      </c>
      <c r="W26" s="74">
        <v>20</v>
      </c>
      <c r="X26" s="74">
        <v>33</v>
      </c>
      <c r="Y26" s="74">
        <v>19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2.9</v>
      </c>
      <c r="E27" s="71">
        <v>5.42</v>
      </c>
      <c r="F27" s="71">
        <v>0</v>
      </c>
      <c r="G27" s="71">
        <v>258</v>
      </c>
      <c r="H27" s="71">
        <v>2304</v>
      </c>
      <c r="I27" s="71">
        <v>0</v>
      </c>
      <c r="J27" s="71">
        <v>327</v>
      </c>
      <c r="K27" s="71">
        <v>5018</v>
      </c>
      <c r="L27" s="71">
        <v>464</v>
      </c>
      <c r="M27" s="71">
        <v>5322</v>
      </c>
      <c r="N27" s="71">
        <v>4942</v>
      </c>
      <c r="O27" s="71">
        <v>5719</v>
      </c>
      <c r="P27" s="71">
        <v>540</v>
      </c>
      <c r="Q27" s="90">
        <v>2679</v>
      </c>
      <c r="R27" s="71">
        <v>2730</v>
      </c>
      <c r="S27" s="71">
        <v>4319</v>
      </c>
      <c r="T27" s="71">
        <v>373</v>
      </c>
      <c r="U27" s="71">
        <v>1923</v>
      </c>
      <c r="V27" s="71">
        <v>10995</v>
      </c>
      <c r="W27" s="71">
        <v>11186</v>
      </c>
      <c r="X27" s="71">
        <v>7078</v>
      </c>
      <c r="Y27" s="71">
        <v>3099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2220.26813928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0</v>
      </c>
      <c r="G28" s="91" ph="1">
        <f>G27*18.322*LOOKUP(G29,密度!$A$2:$A$50,密度!$B$2:$B$50)</f>
        <v>3685.2284495999997</v>
      </c>
      <c r="H28" s="91" ph="1">
        <f>H27*18.322*LOOKUP(H29,密度!$A$2:$A$50,密度!$B$2:$B$50)</f>
        <v>33061.917081599997</v>
      </c>
      <c r="I28" s="91" ph="1">
        <f>I27*18.322*LOOKUP(I29,密度!$A$2:$A$50,密度!$Q$2:$Q$50)</f>
        <v>0</v>
      </c>
      <c r="J28" s="91" ph="1">
        <f>J27*18.322*LOOKUP(J29,密度!$A$2:$A$50,密度!$Q$2:$Q$50)</f>
        <v>5655.3621454200002</v>
      </c>
      <c r="K28" s="91" ph="1">
        <f>K27*18.322*LOOKUP(K29,密度!$A$2:$A$50,密度!$Q$2:$Q$50)</f>
        <v>87314.304863240002</v>
      </c>
      <c r="L28" s="91" ph="1">
        <f>L27*18.322*LOOKUP(L29,密度!$A$2:$A$50,密度!$Q$2:$Q$50)</f>
        <v>8068.6013187199997</v>
      </c>
      <c r="M28" s="91" ph="1">
        <f>M27*18.322*LOOKUP(M29,密度!$A$2:$A$50,密度!$Q$2:$Q$50)</f>
        <v>92545.46598755999</v>
      </c>
      <c r="N28" s="91" ph="1">
        <f>N27*18.322*LOOKUP(N29,密度!$A$2:$A$50,密度!$Q$2:$Q$50)</f>
        <v>85937.559735159986</v>
      </c>
      <c r="O28" s="91" ph="1">
        <f>O27*18.322*LOOKUP(O29,密度!$A$2:$A$50,密度!$C$2:$C$50)</f>
        <v>116582.1421268</v>
      </c>
      <c r="P28" s="91" ph="1">
        <f>P27*11.702*LOOKUP(P29,密度!$A$2:$A$50,密度!$B$2:$B$50)</f>
        <v>4949.1034559999998</v>
      </c>
      <c r="Q28" s="92" ph="1">
        <f>Q27*18.322*LOOKUP(Q29,密度!$A$2:$A$50,密度!$B$2:$B$50)</f>
        <v>38443.088481599996</v>
      </c>
      <c r="R28" s="91" ph="1">
        <f>R27*35.891*LOOKUP(R29,密度!$A$2:$A$50,密度!$C$2:$C$50)</f>
        <v>108868.27797299999</v>
      </c>
      <c r="S28" s="91" ph="1">
        <f>S27*35.891*LOOKUP(S29,密度!$A$2:$A$50,密度!$B$2:$B$50)</f>
        <v>121545.87285889999</v>
      </c>
      <c r="T28" s="91" ph="1">
        <f>T27*35.891*LOOKUP(T29,密度!$A$2:$A$50,密度!$Q$2:$Q$50)</f>
        <v>12693.878632599999</v>
      </c>
      <c r="U28" s="91" ph="1">
        <f>U27*35.891</f>
        <v>69018.392999999996</v>
      </c>
      <c r="V28" s="91" ph="1">
        <f>V27*47.051*LOOKUP(V29,密度!$A$2:$A$50,密度!$B$2:$B$50)</f>
        <v>405169.523484</v>
      </c>
      <c r="W28" s="91" ph="1">
        <f>W27*47.051*LOOKUP(W29,密度!$A$2:$A$50,密度!$B$2:$B$50)</f>
        <v>412681.62027260003</v>
      </c>
      <c r="X28" s="91" ph="1">
        <f>X27*47.051*LOOKUP(X29,密度!$A$2:$A$61,密度!$I$2:$I$61)</f>
        <v>342285.1279884</v>
      </c>
      <c r="Y28" s="91" ph="1">
        <f>Y27*47.051*LOOKUP(Y29,密度!$A$2:$A$50,密度!$L$2:$L$50)</f>
        <v>137354.00815799998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20</v>
      </c>
      <c r="G29" s="74">
        <v>25</v>
      </c>
      <c r="H29" s="74">
        <v>21</v>
      </c>
      <c r="I29" s="74">
        <v>23</v>
      </c>
      <c r="J29" s="74">
        <v>29</v>
      </c>
      <c r="K29" s="74">
        <v>21</v>
      </c>
      <c r="L29" s="74">
        <v>22</v>
      </c>
      <c r="M29" s="74">
        <v>22</v>
      </c>
      <c r="N29" s="74">
        <v>22</v>
      </c>
      <c r="O29" s="74">
        <v>20</v>
      </c>
      <c r="P29" s="74">
        <v>21</v>
      </c>
      <c r="Q29" s="93">
        <v>21</v>
      </c>
      <c r="R29" s="74">
        <v>22</v>
      </c>
      <c r="S29" s="74">
        <v>20</v>
      </c>
      <c r="T29" s="74">
        <v>23</v>
      </c>
      <c r="U29" s="74">
        <v>20</v>
      </c>
      <c r="V29" s="74">
        <v>21</v>
      </c>
      <c r="W29" s="74">
        <v>20</v>
      </c>
      <c r="X29" s="74">
        <v>38</v>
      </c>
      <c r="Y29" s="74">
        <v>20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206422.24883045998</v>
      </c>
      <c r="E33" s="187" ph="1">
        <f>M10+I10</f>
        <v>44299.143997199993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13" ph="1">
        <f>N19</f>
        <v>26834.535958400003</v>
      </c>
      <c r="H33" s="187" ph="1">
        <f>M19</f>
        <v>27310.24736198</v>
      </c>
      <c r="I33" s="191" ph="1">
        <v>0</v>
      </c>
      <c r="J33" s="195" ph="1">
        <f>F10+O28</f>
        <v>349839.77754620003</v>
      </c>
      <c r="K33" s="187" ph="1">
        <f>O10+K10+E28+R28</f>
        <v>130028.82120443998</v>
      </c>
      <c r="L33" s="197" ph="1">
        <f>K19</f>
        <v>36128.204062080003</v>
      </c>
      <c r="M33" s="195" ph="1">
        <f>G10+H10+W28+S28+V28+E10+R19+P28+Q28</f>
        <v>1965228.29694414</v>
      </c>
      <c r="N33" s="187" ph="1">
        <f>L10+P10++G28+H28+AD19+AE19</f>
        <v>52136.121819200001</v>
      </c>
      <c r="O33" s="191" ph="1">
        <f>G19</f>
        <v>15436.896435840001</v>
      </c>
      <c r="P33" s="195" ph="1">
        <f>L19</f>
        <v>35280.273438080003</v>
      </c>
      <c r="Q33" s="187" ph="1">
        <f>J10+N10</f>
        <v>29079.765863199998</v>
      </c>
      <c r="R33" s="191" ph="1">
        <f>BE23</f>
        <v>890</v>
      </c>
      <c r="S33" s="195" ph="1">
        <f>X28</f>
        <v>342285.1279884</v>
      </c>
      <c r="T33" s="187" ph="1">
        <f>X19</f>
        <v>5629.4131034399998</v>
      </c>
      <c r="U33" s="176" ph="1">
        <f>BE21</f>
        <v>730</v>
      </c>
      <c r="V33" s="189" ph="1">
        <f ca="1">P19+Q19+S19+M28+N28+J28+D10+AC10+D19+E19+H19+J19+O19+V19+W19+K28+L28</f>
        <v>818529.80845422402</v>
      </c>
      <c r="W33" s="189" ph="1">
        <f>D28+F28+T28+I28</f>
        <v>14914.14677188</v>
      </c>
      <c r="X33" s="191" ph="1">
        <f>BE29+BE31</f>
        <v>10200</v>
      </c>
      <c r="Y33" s="193" ph="1">
        <f>+Q10+R10+S10+T10+U10+V10+W10+X10+Y10</f>
        <v>288994.8760776</v>
      </c>
      <c r="Z33" s="174" ph="1">
        <f>T19+U19+Y28+Z10</f>
        <v>181840.63593441996</v>
      </c>
      <c r="AA33" s="176" ph="1">
        <f>BE19</f>
        <v>1440</v>
      </c>
      <c r="AB33" s="178" ph="1">
        <f>I19</f>
        <v>50888.315014999993</v>
      </c>
      <c r="AC33" s="180" ph="1">
        <f>AD10+AB19</f>
        <v>135089.5759768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9" priority="100">
      <formula>ABS(D$7-D$10)&gt;=1000</formula>
    </cfRule>
  </conditionalFormatting>
  <conditionalFormatting sqref="E4 E6:E11">
    <cfRule type="expression" dxfId="388" priority="99">
      <formula>ABS(E$7-E$10)&gt;=1000</formula>
    </cfRule>
  </conditionalFormatting>
  <conditionalFormatting sqref="F4:F11">
    <cfRule type="expression" dxfId="387" priority="98">
      <formula>ABS(F$7-F$10)&gt;=1000</formula>
    </cfRule>
  </conditionalFormatting>
  <conditionalFormatting sqref="G4:G11">
    <cfRule type="expression" dxfId="386" priority="97">
      <formula>ABS(G$7-G$10)&gt;=1000</formula>
    </cfRule>
  </conditionalFormatting>
  <conditionalFormatting sqref="H4:H11">
    <cfRule type="expression" dxfId="385" priority="96">
      <formula>ABS(H$7-H$10)&gt;=1000</formula>
    </cfRule>
  </conditionalFormatting>
  <conditionalFormatting sqref="I4:I11">
    <cfRule type="expression" dxfId="384" priority="95">
      <formula>ABS(I$7-I$10)&gt;=1000</formula>
    </cfRule>
  </conditionalFormatting>
  <conditionalFormatting sqref="J4:J11">
    <cfRule type="expression" dxfId="383" priority="94">
      <formula>ABS(J$7-J$10)&gt;=1000</formula>
    </cfRule>
  </conditionalFormatting>
  <conditionalFormatting sqref="K4:K11">
    <cfRule type="expression" dxfId="382" priority="93">
      <formula>ABS(K$7-K$10)&gt;=1000</formula>
    </cfRule>
  </conditionalFormatting>
  <conditionalFormatting sqref="L4:L11">
    <cfRule type="expression" dxfId="381" priority="92">
      <formula>ABS(L$7-L$10)&gt;=1000</formula>
    </cfRule>
  </conditionalFormatting>
  <conditionalFormatting sqref="M4 M6:M11">
    <cfRule type="expression" dxfId="380" priority="91">
      <formula>ABS(M$7-M$10)&gt;=1000</formula>
    </cfRule>
  </conditionalFormatting>
  <conditionalFormatting sqref="N4 N6:N11">
    <cfRule type="expression" dxfId="379" priority="90">
      <formula>ABS(N$7-N$10)&gt;=1000</formula>
    </cfRule>
  </conditionalFormatting>
  <conditionalFormatting sqref="O4 O6:O11">
    <cfRule type="expression" dxfId="378" priority="89">
      <formula>ABS(O$7-O$10)&gt;=1000</formula>
    </cfRule>
  </conditionalFormatting>
  <conditionalFormatting sqref="P4 P6:P11">
    <cfRule type="expression" dxfId="377" priority="88">
      <formula>ABS(P$7-P$10)&gt;=1000</formula>
    </cfRule>
  </conditionalFormatting>
  <conditionalFormatting sqref="Q4:Q11">
    <cfRule type="expression" dxfId="376" priority="87">
      <formula>ABS(Q$7-Q$10)&gt;=1000</formula>
    </cfRule>
  </conditionalFormatting>
  <conditionalFormatting sqref="R4:R11">
    <cfRule type="expression" dxfId="375" priority="86">
      <formula>ABS(R$7-R$10)&gt;=1000</formula>
    </cfRule>
  </conditionalFormatting>
  <conditionalFormatting sqref="S4:S11">
    <cfRule type="expression" dxfId="374" priority="85">
      <formula>ABS(S$7-S$10)&gt;=1000</formula>
    </cfRule>
  </conditionalFormatting>
  <conditionalFormatting sqref="T4:T9 T11">
    <cfRule type="expression" dxfId="373" priority="84">
      <formula>ABS(T$7-T$10)&gt;=1000</formula>
    </cfRule>
  </conditionalFormatting>
  <conditionalFormatting sqref="U4:U9 U11">
    <cfRule type="expression" dxfId="372" priority="83">
      <formula>ABS(U$7-U$10)&gt;=1000</formula>
    </cfRule>
  </conditionalFormatting>
  <conditionalFormatting sqref="V4:V9 V11">
    <cfRule type="expression" dxfId="371" priority="82">
      <formula>ABS(V$7-V$10)&gt;=1000</formula>
    </cfRule>
  </conditionalFormatting>
  <conditionalFormatting sqref="W4:W9 W11">
    <cfRule type="expression" dxfId="370" priority="81">
      <formula>ABS(W$7-W$10)&gt;=1000</formula>
    </cfRule>
  </conditionalFormatting>
  <conditionalFormatting sqref="X4:X9 X11">
    <cfRule type="expression" dxfId="369" priority="80">
      <formula>ABS(X$7-X$10)&gt;=1000</formula>
    </cfRule>
  </conditionalFormatting>
  <conditionalFormatting sqref="Y4:Y9 Y11">
    <cfRule type="expression" dxfId="368" priority="79">
      <formula>ABS(Y$7-Y$10)&gt;=1000</formula>
    </cfRule>
  </conditionalFormatting>
  <conditionalFormatting sqref="Z4:Z11">
    <cfRule type="expression" dxfId="367" priority="78">
      <formula>ABS(Z$7-Z$10)&gt;=1000</formula>
    </cfRule>
  </conditionalFormatting>
  <conditionalFormatting sqref="AA4:AA11">
    <cfRule type="expression" dxfId="366" priority="77">
      <formula>ABS(AA$7-AA$10)&gt;=1000</formula>
    </cfRule>
  </conditionalFormatting>
  <conditionalFormatting sqref="AB4:AB11">
    <cfRule type="expression" dxfId="365" priority="76">
      <formula>ABS(AB$7-AB$10)&gt;=1000</formula>
    </cfRule>
  </conditionalFormatting>
  <conditionalFormatting sqref="AC4 AC6:AC11">
    <cfRule type="expression" dxfId="364" priority="75">
      <formula>ABS(AC$7-AC$10)&gt;=1000</formula>
    </cfRule>
  </conditionalFormatting>
  <conditionalFormatting sqref="AD4 AD6:AD11">
    <cfRule type="expression" dxfId="363" priority="74">
      <formula>ABS(AD$7-AD$10)&gt;=1000</formula>
    </cfRule>
  </conditionalFormatting>
  <conditionalFormatting sqref="AE4 AE6:AE11">
    <cfRule type="expression" dxfId="362" priority="73">
      <formula>ABS(AE$7-AE$10)&gt;=1000</formula>
    </cfRule>
  </conditionalFormatting>
  <conditionalFormatting sqref="D13:D20">
    <cfRule type="expression" dxfId="361" priority="72">
      <formula>ABS(D$16-D$19)&gt;=1000</formula>
    </cfRule>
  </conditionalFormatting>
  <conditionalFormatting sqref="E13:E20">
    <cfRule type="expression" dxfId="360" priority="71">
      <formula>ABS(E$16-E$19)&gt;=1000</formula>
    </cfRule>
  </conditionalFormatting>
  <conditionalFormatting sqref="F13 F15:F20">
    <cfRule type="expression" dxfId="359" priority="70">
      <formula>ABS(F$16-F$19)&gt;=1000</formula>
    </cfRule>
  </conditionalFormatting>
  <conditionalFormatting sqref="G13:G20">
    <cfRule type="expression" dxfId="358" priority="69">
      <formula>ABS(G$16-G$19)&gt;=1000</formula>
    </cfRule>
  </conditionalFormatting>
  <conditionalFormatting sqref="H13 H15:H20">
    <cfRule type="expression" dxfId="357" priority="68">
      <formula>ABS(H$16-H$19)&gt;=1000</formula>
    </cfRule>
  </conditionalFormatting>
  <conditionalFormatting sqref="I13:I20">
    <cfRule type="expression" dxfId="356" priority="67">
      <formula>ABS(I$16-I$19)&gt;=1000</formula>
    </cfRule>
  </conditionalFormatting>
  <conditionalFormatting sqref="J13:J20">
    <cfRule type="expression" dxfId="355" priority="66">
      <formula>ABS(J$16-J$19)&gt;=1000</formula>
    </cfRule>
  </conditionalFormatting>
  <conditionalFormatting sqref="L13:L20">
    <cfRule type="expression" dxfId="354" priority="65">
      <formula>ABS(L$16-L$19)&gt;=1000</formula>
    </cfRule>
  </conditionalFormatting>
  <conditionalFormatting sqref="M13 M15 M17:M18 M20">
    <cfRule type="expression" dxfId="353" priority="64">
      <formula>ABS(M$16-M$19)&gt;=1000</formula>
    </cfRule>
  </conditionalFormatting>
  <conditionalFormatting sqref="N13:N20">
    <cfRule type="expression" dxfId="352" priority="63">
      <formula>ABS(N$16-N$19)&gt;=1000</formula>
    </cfRule>
  </conditionalFormatting>
  <conditionalFormatting sqref="O13:O20">
    <cfRule type="expression" dxfId="351" priority="62">
      <formula>ABS(O$16-O$19)&gt;=1000</formula>
    </cfRule>
  </conditionalFormatting>
  <conditionalFormatting sqref="P13:P20">
    <cfRule type="expression" dxfId="350" priority="61">
      <formula>ABS(P$16-P$19)&gt;=1000</formula>
    </cfRule>
  </conditionalFormatting>
  <conditionalFormatting sqref="Q13 Q15:Q20">
    <cfRule type="expression" dxfId="349" priority="60">
      <formula>ABS(Q$16-Q$19)&gt;=1000</formula>
    </cfRule>
  </conditionalFormatting>
  <conditionalFormatting sqref="R13:R20">
    <cfRule type="expression" dxfId="348" priority="59">
      <formula>ABS(R$16-R$19)&gt;=1000</formula>
    </cfRule>
  </conditionalFormatting>
  <conditionalFormatting sqref="S13:S20">
    <cfRule type="expression" dxfId="347" priority="58">
      <formula>ABS(S$16-S$19)&gt;=1000</formula>
    </cfRule>
  </conditionalFormatting>
  <conditionalFormatting sqref="T13:T20">
    <cfRule type="expression" dxfId="346" priority="57">
      <formula>ABS(T$16-T$19)&gt;=1000</formula>
    </cfRule>
  </conditionalFormatting>
  <conditionalFormatting sqref="U13:U20">
    <cfRule type="expression" dxfId="345" priority="56">
      <formula>ABS(U$16-U$19)&gt;=1000</formula>
    </cfRule>
  </conditionalFormatting>
  <conditionalFormatting sqref="V13:V20">
    <cfRule type="expression" dxfId="344" priority="55">
      <formula>ABS(V$16-V$19)&gt;=1000</formula>
    </cfRule>
  </conditionalFormatting>
  <conditionalFormatting sqref="W13 W20 W15:W18">
    <cfRule type="expression" dxfId="343" priority="54">
      <formula>ABS(W$16-W$19)&gt;=1000</formula>
    </cfRule>
  </conditionalFormatting>
  <conditionalFormatting sqref="X13 X15:X20 Y19">
    <cfRule type="expression" dxfId="342" priority="53">
      <formula>ABS(X$16-X$19)&gt;=1000</formula>
    </cfRule>
  </conditionalFormatting>
  <conditionalFormatting sqref="Y13 Y15:Y18 Y20">
    <cfRule type="expression" dxfId="341" priority="52">
      <formula>ABS(Y$16-Y$19)&gt;=1000</formula>
    </cfRule>
  </conditionalFormatting>
  <conditionalFormatting sqref="Z13:Z20">
    <cfRule type="expression" dxfId="340" priority="51">
      <formula>ABS(Z$16-Z$19)&gt;=1000</formula>
    </cfRule>
  </conditionalFormatting>
  <conditionalFormatting sqref="AA13:AA20">
    <cfRule type="expression" dxfId="339" priority="50">
      <formula>ABS(AA$16-AA$19)&gt;=1000</formula>
    </cfRule>
  </conditionalFormatting>
  <conditionalFormatting sqref="AB13 AB15:AB20">
    <cfRule type="expression" dxfId="338" priority="49">
      <formula>ABS(AB$16-AB$19)&gt;=1000</formula>
    </cfRule>
  </conditionalFormatting>
  <conditionalFormatting sqref="AC13 AC15:AC20">
    <cfRule type="expression" dxfId="337" priority="48">
      <formula>ABS(AC$16-AC$19)&gt;=1000</formula>
    </cfRule>
  </conditionalFormatting>
  <conditionalFormatting sqref="AD13:AD20">
    <cfRule type="expression" dxfId="336" priority="47">
      <formula>ABS(AD$16-AD$19)&gt;=1000</formula>
    </cfRule>
  </conditionalFormatting>
  <conditionalFormatting sqref="AE13:AE20">
    <cfRule type="expression" dxfId="335" priority="46">
      <formula>ABS(AE$16-AE$19)&gt;=1000</formula>
    </cfRule>
  </conditionalFormatting>
  <conditionalFormatting sqref="D22:D29">
    <cfRule type="expression" dxfId="334" priority="45">
      <formula>ABS(D$25-D$28)&gt;=1000</formula>
    </cfRule>
  </conditionalFormatting>
  <conditionalFormatting sqref="E22:E29">
    <cfRule type="expression" dxfId="333" priority="44">
      <formula>ABS(E$25-E$28)&gt;=1000</formula>
    </cfRule>
  </conditionalFormatting>
  <conditionalFormatting sqref="F22:F29">
    <cfRule type="expression" dxfId="332" priority="43">
      <formula>ABS(F$25-F$28)&gt;=1000</formula>
    </cfRule>
  </conditionalFormatting>
  <conditionalFormatting sqref="G22:G29">
    <cfRule type="expression" dxfId="331" priority="42">
      <formula>ABS(G$25-G$28)&gt;=1000</formula>
    </cfRule>
  </conditionalFormatting>
  <conditionalFormatting sqref="H22:H29">
    <cfRule type="expression" dxfId="330" priority="41">
      <formula>ABS(H$25-H$28)&gt;=1000</formula>
    </cfRule>
  </conditionalFormatting>
  <conditionalFormatting sqref="I22 I24:I29">
    <cfRule type="expression" dxfId="329" priority="40">
      <formula>ABS(I$25-I$28)&gt;=1000</formula>
    </cfRule>
  </conditionalFormatting>
  <conditionalFormatting sqref="J22:J29 K22">
    <cfRule type="expression" dxfId="328" priority="39">
      <formula>ABS(J$25-J$28)&gt;=1000</formula>
    </cfRule>
  </conditionalFormatting>
  <conditionalFormatting sqref="K23:K29 L25 L28">
    <cfRule type="expression" dxfId="327" priority="38">
      <formula>ABS(K$25-K$28)&gt;=1000</formula>
    </cfRule>
  </conditionalFormatting>
  <conditionalFormatting sqref="L22 L26:L27 L29 L24">
    <cfRule type="expression" dxfId="326" priority="37">
      <formula>ABS(L$25-L$28)&gt;=1000</formula>
    </cfRule>
  </conditionalFormatting>
  <conditionalFormatting sqref="M22:M29">
    <cfRule type="expression" dxfId="325" priority="36">
      <formula>ABS(M$25-M$28)&gt;=1000</formula>
    </cfRule>
  </conditionalFormatting>
  <conditionalFormatting sqref="N22:N29">
    <cfRule type="expression" dxfId="324" priority="35">
      <formula>ABS(N$25-N$28)&gt;=1000</formula>
    </cfRule>
  </conditionalFormatting>
  <conditionalFormatting sqref="O22:O29">
    <cfRule type="expression" dxfId="323" priority="34">
      <formula>ABS(O$25-O$28)&gt;=1000</formula>
    </cfRule>
  </conditionalFormatting>
  <conditionalFormatting sqref="P22:P29">
    <cfRule type="expression" dxfId="322" priority="33">
      <formula>ABS(P$25-P$28)&gt;=1000</formula>
    </cfRule>
  </conditionalFormatting>
  <conditionalFormatting sqref="Q22:Q29">
    <cfRule type="expression" dxfId="321" priority="32">
      <formula>ABS(Q$25-Q$28)&gt;=1000</formula>
    </cfRule>
  </conditionalFormatting>
  <conditionalFormatting sqref="R22:R29">
    <cfRule type="expression" dxfId="320" priority="31">
      <formula>ABS(R$25-R$28)&gt;=1000</formula>
    </cfRule>
  </conditionalFormatting>
  <conditionalFormatting sqref="S22:S29">
    <cfRule type="expression" dxfId="319" priority="30">
      <formula>ABS(S$25-S$28)&gt;=1000</formula>
    </cfRule>
  </conditionalFormatting>
  <conditionalFormatting sqref="T22:T29">
    <cfRule type="expression" dxfId="318" priority="29">
      <formula>ABS(T$25-T$28)&gt;=1000</formula>
    </cfRule>
  </conditionalFormatting>
  <conditionalFormatting sqref="U22:U29">
    <cfRule type="expression" dxfId="317" priority="28">
      <formula>ABS(U$25-U$28)&gt;=1000</formula>
    </cfRule>
  </conditionalFormatting>
  <conditionalFormatting sqref="V22:V29">
    <cfRule type="expression" dxfId="316" priority="27">
      <formula>ABS(V$25-V$28)&gt;=1000</formula>
    </cfRule>
  </conditionalFormatting>
  <conditionalFormatting sqref="W22:W29">
    <cfRule type="expression" dxfId="315" priority="26">
      <formula>ABS(W$25-W$28)&gt;=1000</formula>
    </cfRule>
  </conditionalFormatting>
  <conditionalFormatting sqref="X22:X29">
    <cfRule type="expression" dxfId="314" priority="25">
      <formula>ABS(X$25-X$28)&gt;=1000</formula>
    </cfRule>
  </conditionalFormatting>
  <conditionalFormatting sqref="Y22:Y29">
    <cfRule type="expression" dxfId="313" priority="24">
      <formula>ABS(Y$25-Y$28)&gt;=1000</formula>
    </cfRule>
  </conditionalFormatting>
  <conditionalFormatting sqref="I23">
    <cfRule type="expression" dxfId="312" priority="23">
      <formula>ABS(I$25-I$28)&gt;=1000</formula>
    </cfRule>
  </conditionalFormatting>
  <conditionalFormatting sqref="Q14">
    <cfRule type="expression" dxfId="311" priority="22">
      <formula>ABS(Q$16-Q$19)&gt;=1000</formula>
    </cfRule>
  </conditionalFormatting>
  <conditionalFormatting sqref="W14">
    <cfRule type="expression" dxfId="310" priority="21">
      <formula>ABS(W$16-W$19)&gt;=1000</formula>
    </cfRule>
  </conditionalFormatting>
  <conditionalFormatting sqref="X14">
    <cfRule type="expression" dxfId="309" priority="20">
      <formula>ABS(X$16-X$19)&gt;=1000</formula>
    </cfRule>
  </conditionalFormatting>
  <conditionalFormatting sqref="T10:Y10">
    <cfRule type="expression" dxfId="308" priority="19">
      <formula>ABS(T$7-T$10)&gt;=1000</formula>
    </cfRule>
  </conditionalFormatting>
  <conditionalFormatting sqref="W19">
    <cfRule type="expression" dxfId="307" priority="18">
      <formula>ABS(W$16-W$19)&gt;=1000</formula>
    </cfRule>
  </conditionalFormatting>
  <conditionalFormatting sqref="AC5">
    <cfRule type="expression" dxfId="306" priority="17">
      <formula>ABS(AC$7-AC$10)&gt;=1000</formula>
    </cfRule>
  </conditionalFormatting>
  <conditionalFormatting sqref="M14">
    <cfRule type="expression" dxfId="305" priority="16">
      <formula>ABS(M$16-M$19)&gt;=1000</formula>
    </cfRule>
  </conditionalFormatting>
  <conditionalFormatting sqref="M16">
    <cfRule type="expression" dxfId="304" priority="15">
      <formula>ABS(M$16-M$19)&gt;=1000</formula>
    </cfRule>
  </conditionalFormatting>
  <conditionalFormatting sqref="M19">
    <cfRule type="expression" dxfId="303" priority="14">
      <formula>ABS(M$16-M$19)&gt;=1000</formula>
    </cfRule>
  </conditionalFormatting>
  <conditionalFormatting sqref="K13:K20">
    <cfRule type="expression" dxfId="302" priority="13">
      <formula>ABS(K$16-K$19)&gt;=1000</formula>
    </cfRule>
  </conditionalFormatting>
  <conditionalFormatting sqref="E5">
    <cfRule type="expression" dxfId="301" priority="12">
      <formula>ABS(E$7-E$10)&gt;=1000</formula>
    </cfRule>
  </conditionalFormatting>
  <conditionalFormatting sqref="AB14:AC14">
    <cfRule type="expression" dxfId="300" priority="11">
      <formula>ABS(AB$16-AB$19)&gt;=1000</formula>
    </cfRule>
  </conditionalFormatting>
  <conditionalFormatting sqref="M5">
    <cfRule type="expression" dxfId="299" priority="10">
      <formula>ABS(M$7-M$10)&gt;=1000</formula>
    </cfRule>
  </conditionalFormatting>
  <conditionalFormatting sqref="N5">
    <cfRule type="expression" dxfId="298" priority="9">
      <formula>ABS(N$7-N$10)&gt;=1000</formula>
    </cfRule>
  </conditionalFormatting>
  <conditionalFormatting sqref="O5">
    <cfRule type="expression" dxfId="297" priority="8">
      <formula>ABS(O$7-O$10)&gt;=1000</formula>
    </cfRule>
  </conditionalFormatting>
  <conditionalFormatting sqref="P5">
    <cfRule type="expression" dxfId="296" priority="7">
      <formula>ABS(P$7-P$10)&gt;=1000</formula>
    </cfRule>
  </conditionalFormatting>
  <conditionalFormatting sqref="L23">
    <cfRule type="expression" dxfId="295" priority="6">
      <formula>ABS(L$25-L$28)&gt;=1000</formula>
    </cfRule>
  </conditionalFormatting>
  <conditionalFormatting sqref="Y14">
    <cfRule type="expression" dxfId="294" priority="5">
      <formula>ABS(Y$16-Y$19)&gt;=1000</formula>
    </cfRule>
  </conditionalFormatting>
  <conditionalFormatting sqref="F14">
    <cfRule type="expression" dxfId="293" priority="4">
      <formula>ABS(F$16-F$19)&gt;=1000</formula>
    </cfRule>
  </conditionalFormatting>
  <conditionalFormatting sqref="H14">
    <cfRule type="expression" dxfId="292" priority="3">
      <formula>ABS(H$16-H$19)&gt;=1000</formula>
    </cfRule>
  </conditionalFormatting>
  <conditionalFormatting sqref="AD5">
    <cfRule type="expression" dxfId="291" priority="2">
      <formula>ABS(AD$7-AD$10)&gt;=1000</formula>
    </cfRule>
  </conditionalFormatting>
  <conditionalFormatting sqref="AE5">
    <cfRule type="expression" dxfId="2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26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5">
    <pageSetUpPr fitToPage="1"/>
  </sheetPr>
  <dimension ref="A1:CU223"/>
  <sheetViews>
    <sheetView view="pageBreakPreview" zoomScale="70" zoomScaleNormal="100" zoomScaleSheetLayoutView="70" workbookViewId="0">
      <selection activeCell="AA18" sqref="AA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46111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3628</v>
      </c>
      <c r="E6" s="71">
        <v>7616</v>
      </c>
      <c r="F6" s="71">
        <v>6321</v>
      </c>
      <c r="G6" s="71">
        <v>8962</v>
      </c>
      <c r="H6" s="71">
        <v>6368</v>
      </c>
      <c r="I6" s="71">
        <v>23.34</v>
      </c>
      <c r="J6" s="71">
        <v>6.54</v>
      </c>
      <c r="K6" s="71">
        <v>7.28</v>
      </c>
      <c r="L6" s="71">
        <v>17.34</v>
      </c>
      <c r="M6" s="71">
        <v>1097</v>
      </c>
      <c r="N6" s="71">
        <v>1060</v>
      </c>
      <c r="O6" s="71">
        <v>687</v>
      </c>
      <c r="P6" s="71">
        <v>0</v>
      </c>
      <c r="Q6" s="71">
        <v>7078</v>
      </c>
      <c r="R6" s="71">
        <v>7127</v>
      </c>
      <c r="S6" s="71">
        <v>6901</v>
      </c>
      <c r="T6" s="71">
        <v>2949</v>
      </c>
      <c r="U6" s="71">
        <v>1</v>
      </c>
      <c r="V6" s="71">
        <v>0</v>
      </c>
      <c r="W6" s="71">
        <v>0</v>
      </c>
      <c r="X6" s="71">
        <v>0</v>
      </c>
      <c r="Y6" s="71">
        <v>5819</v>
      </c>
      <c r="Z6" s="71">
        <v>1416</v>
      </c>
      <c r="AA6" s="71">
        <v>4232</v>
      </c>
      <c r="AB6" s="71">
        <v>2936</v>
      </c>
      <c r="AC6" s="71">
        <v>5427</v>
      </c>
      <c r="AD6" s="71">
        <v>3775</v>
      </c>
      <c r="AE6" s="71">
        <v>4037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114151.82953680001</v>
      </c>
      <c r="E7" s="73" ph="1">
        <f>E6*51.53*LOOKUP(E8,密度!$A$2:$A$50,密度!$B$2:$B$50)</f>
        <v>307015.57510399999</v>
      </c>
      <c r="F7" s="73" ph="1">
        <f>F6*33.183*LOOKUP(F8,密度!$A$2:$A$50,密度!$C$2:$C$50)</f>
        <v>233220.73924170001</v>
      </c>
      <c r="G7" s="73" ph="1">
        <f xml:space="preserve"> (G6+2)*51.53*LOOKUP(G8,密度!$A$2:$A$50,密度!$B$2:$B$50)</f>
        <v>361356.04191599996</v>
      </c>
      <c r="H7" s="73" ph="1">
        <f>(H6)*51.53*LOOKUP(H8,密度!$A$2:$A$50,密度!$B$2:$B$50)</f>
        <v>257821.98652799998</v>
      </c>
      <c r="I7" s="73" ph="1">
        <f>I6*290.8*1.0267</f>
        <v>6968.4921623999999</v>
      </c>
      <c r="J7" s="73" ph="1">
        <f>J6*290.8*0.7892</f>
        <v>1500.9258144</v>
      </c>
      <c r="K7" s="73" ph="1">
        <f>K6*290.8*1.1126</f>
        <v>2355.4009024000006</v>
      </c>
      <c r="L7" s="73" ph="1">
        <f>L6*290.8*0.777</f>
        <v>3918.0007439999999</v>
      </c>
      <c r="M7" s="73" ph="1">
        <f>M6*33.183*LOOKUP(M8,密度!$A$2:$A$50,密度!$D$2:$D$50)</f>
        <v>37544.7659814</v>
      </c>
      <c r="N7" s="73" ph="1">
        <f>N6*33.183*LOOKUP(N8,密度!$A$2:$A$50,密度!$E$2:$E$50)</f>
        <v>27674.887464000003</v>
      </c>
      <c r="O7" s="73" ph="1">
        <f>O6*20.428*LOOKUP(O8,密度!$A$2:$A$50,密度!$C$2:$C$50)</f>
        <v>15562.3425204</v>
      </c>
      <c r="P7" s="73" ph="1">
        <f>P6*51.53*LOOKUP(P8,密度!$A$2:$A$50,密度!$B$2:$B$50)</f>
        <v>0</v>
      </c>
      <c r="Q7" s="73" ph="1">
        <f>Q6*1.5*1.5*3.1416*LOOKUP(W8,密度!$A$2:$A$50,密度!$L$2:$L$50)</f>
        <v>47129.720853599996</v>
      </c>
      <c r="R7" s="73" ph="1">
        <f>R6*1.5*1.5*3.1416*LOOKUP(R8,密度!$A$2:$A$50,密度!$L$2:$L$50)</f>
        <v>47052.969994799998</v>
      </c>
      <c r="S7" s="73" ph="1">
        <f>S6*1.5*1.5*3.1416*LOOKUP(S8,密度!$A$2:$A$50,密度!$L$2:$L$50)</f>
        <v>45999.925309799997</v>
      </c>
      <c r="T7" s="73" ph="1">
        <f>T6*1.5*1.5*3.1416*LOOKUP(T8,密度!$A$2:$A$50,密度!$L$2:$L$50)</f>
        <v>19677.964521599999</v>
      </c>
      <c r="U7" s="73" ph="1">
        <f>U6*1.5*1.5*3.1416*LOOKUP(U8,密度!$A$2:$A$50,密度!$L$2:$L$50)</f>
        <v>6.6444839999999994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38623.120212599999</v>
      </c>
      <c r="Z7" s="73" ph="1">
        <f>Z6*33.183*LOOKUP(Z8,密度!$A$2:$A$50,密度!$L$2:$L$50)</f>
        <v>44261.874575999995</v>
      </c>
      <c r="AA7" s="73" ph="1">
        <f>AA6*33.183*LOOKUP(AA8,密度!$A$2:$A$50,密度!$D$2:$D$50)</f>
        <v>144573.15445200002</v>
      </c>
      <c r="AB7" s="73" ph="1">
        <f>AB6*20.428*LOOKUP(AB8,密度!$A$2:$A$50,密度!$D$2:$D$50)</f>
        <v>62165.754192</v>
      </c>
      <c r="AC7" s="73" ph="1">
        <f>AC6*51.53*LOOKUP(AC8,密度!$A$2:$A$50,密度!$Q$2:$Q$50)</f>
        <v>265776.91275780002</v>
      </c>
      <c r="AD7" s="73" ph="1">
        <f>AD6*20.428*LOOKUP(AD8,密度!$A$2:$A$50,密度!$V$2:$V$50)</f>
        <v>74339.534799999994</v>
      </c>
      <c r="AE7" s="73" ph="1">
        <f>AE6*20.428</f>
        <v>82467.83600000001</v>
      </c>
    </row>
    <row r="8" spans="1:99" ph="1">
      <c r="B8" s="238" ph="1"/>
      <c r="C8" s="68" t="s" ph="1">
        <v>179</v>
      </c>
      <c r="D8" s="74">
        <v>23</v>
      </c>
      <c r="E8" s="74">
        <v>22</v>
      </c>
      <c r="F8" s="74">
        <v>21</v>
      </c>
      <c r="G8" s="74">
        <v>22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25</v>
      </c>
      <c r="P8" s="74">
        <v>20</v>
      </c>
      <c r="Q8" s="74">
        <v>24</v>
      </c>
      <c r="R8" s="74">
        <v>28</v>
      </c>
      <c r="S8" s="74">
        <v>19</v>
      </c>
      <c r="T8" s="74">
        <v>18</v>
      </c>
      <c r="U8" s="74">
        <v>22</v>
      </c>
      <c r="V8" s="74">
        <v>28</v>
      </c>
      <c r="W8" s="74">
        <v>20</v>
      </c>
      <c r="X8" s="74">
        <v>12</v>
      </c>
      <c r="Y8" s="74">
        <v>23</v>
      </c>
      <c r="Z8" s="74">
        <v>20</v>
      </c>
      <c r="AA8" s="74">
        <v>22</v>
      </c>
      <c r="AB8" s="74">
        <v>14</v>
      </c>
      <c r="AC8" s="74">
        <v>20</v>
      </c>
      <c r="AD8" s="74">
        <v>20</v>
      </c>
      <c r="AE8" s="74">
        <v>21</v>
      </c>
    </row>
    <row r="9" spans="1:99" ht="26.4" ph="1">
      <c r="B9" s="238" ph="1">
        <v>0.66666666666666663</v>
      </c>
      <c r="C9" s="160" t="s" ph="1">
        <v>180</v>
      </c>
      <c r="D9" s="71">
        <v>3629</v>
      </c>
      <c r="E9" s="71">
        <v>8036</v>
      </c>
      <c r="F9" s="71">
        <v>6327</v>
      </c>
      <c r="G9" s="71">
        <v>8972</v>
      </c>
      <c r="H9" s="71">
        <v>6376</v>
      </c>
      <c r="I9" s="71">
        <v>23.29</v>
      </c>
      <c r="J9" s="71">
        <v>6.54</v>
      </c>
      <c r="K9" s="71">
        <v>7.26</v>
      </c>
      <c r="L9" s="71">
        <v>17.309999999999999</v>
      </c>
      <c r="M9" s="71">
        <v>1096</v>
      </c>
      <c r="N9" s="71">
        <v>643</v>
      </c>
      <c r="O9" s="71">
        <v>685</v>
      </c>
      <c r="P9" s="71">
        <v>0</v>
      </c>
      <c r="Q9" s="71">
        <v>7089</v>
      </c>
      <c r="R9" s="71">
        <v>7136</v>
      </c>
      <c r="S9" s="71">
        <v>6913</v>
      </c>
      <c r="T9" s="71">
        <v>6011</v>
      </c>
      <c r="U9" s="71">
        <v>2990</v>
      </c>
      <c r="V9" s="71">
        <v>0</v>
      </c>
      <c r="W9" s="71">
        <v>0</v>
      </c>
      <c r="X9" s="71">
        <v>0</v>
      </c>
      <c r="Y9" s="71">
        <v>1179</v>
      </c>
      <c r="Z9" s="71">
        <v>2457</v>
      </c>
      <c r="AA9" s="71">
        <v>4240</v>
      </c>
      <c r="AB9" s="71">
        <v>2840</v>
      </c>
      <c r="AC9" s="71">
        <v>5799</v>
      </c>
      <c r="AD9" s="71">
        <v>3775</v>
      </c>
      <c r="AE9" s="71">
        <v>4038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114007.47884118001</v>
      </c>
      <c r="E10" s="73" ph="1">
        <f>E9*51.53*LOOKUP(E11,密度!$A$2:$A$50,密度!$B$2:$B$50)</f>
        <v>322124.56273200002</v>
      </c>
      <c r="F10" s="73" ph="1">
        <f>F9*33.183*LOOKUP(F11,密度!$A$2:$A$50,密度!$C$2:$C$50)</f>
        <v>232959.23397359997</v>
      </c>
      <c r="G10" s="73" ph="1">
        <f xml:space="preserve"> (G9+2)*51.53*LOOKUP(G11,密度!$A$2:$A$50,密度!$B$2:$B$50)</f>
        <v>360094.41231400002</v>
      </c>
      <c r="H10" s="73" ph="1">
        <f>(H9)*51.53*LOOKUP(H11,密度!$A$2:$A$50,密度!$B$2:$B$50)</f>
        <v>256141.69628800001</v>
      </c>
      <c r="I10" s="73" ph="1">
        <f>I9*290.8*1.0267</f>
        <v>6953.5639443999999</v>
      </c>
      <c r="J10" s="73" ph="1">
        <f>J9*290.8*0.7892</f>
        <v>1500.9258144</v>
      </c>
      <c r="K10" s="73" ph="1">
        <f>K9*290.8*1.1126</f>
        <v>2348.9300208</v>
      </c>
      <c r="L10" s="73" ph="1">
        <f>L9*290.8*0.777</f>
        <v>3911.2221959999997</v>
      </c>
      <c r="M10" s="73" ph="1">
        <f>M9*33.183*LOOKUP(M11,密度!$A$2:$A$50,密度!$D$2:$D$50)</f>
        <v>37168.676496</v>
      </c>
      <c r="N10" s="73" ph="1">
        <f>N9*33.183*LOOKUP(N11,密度!$A$2:$A$50,密度!$E$2:$E$50)</f>
        <v>16591.393814400002</v>
      </c>
      <c r="O10" s="73" ph="1">
        <f>O9*20.428*LOOKUP(O11,密度!$A$2:$A$50,密度!$C$2:$C$50)</f>
        <v>15332.327325999999</v>
      </c>
      <c r="P10" s="73" ph="1">
        <f>P9*51.53*LOOKUP(P11,密度!$A$2:$A$50,密度!$B$2:$B$50)</f>
        <v>0</v>
      </c>
      <c r="Q10" s="73" ph="1">
        <f>Q9*1.5*1.5*3.1416*LOOKUP(W11,密度!$A$2:$A$50,密度!$L$2:$L$50)</f>
        <v>46401.216800399998</v>
      </c>
      <c r="R10" s="73" ph="1">
        <f>R9*1.5*1.5*3.1416*LOOKUP(R11,密度!$A$2:$A$50,密度!$L$2:$L$50)</f>
        <v>46961.064057600001</v>
      </c>
      <c r="S10" s="73" ph="1">
        <f>S9*1.5*1.5*3.1416*LOOKUP(S11,密度!$A$2:$A$50,密度!$L$2:$L$50)</f>
        <v>45982.183123800001</v>
      </c>
      <c r="T10" s="73" ph="1">
        <f>T9*1.5*1.5*3.1416*LOOKUP(T11,密度!$A$2:$A$50,密度!$L$2:$L$50)</f>
        <v>40024.9720332</v>
      </c>
      <c r="U10" s="73" ph="1">
        <f>U9*1.5*1.5*3.1416*LOOKUP(U11,密度!$A$2:$A$50,密度!$L$2:$L$50)</f>
        <v>19867.007160000001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7800.5111184000007</v>
      </c>
      <c r="Z10" s="73" ph="1">
        <f>Z9*33.183*LOOKUP(Z11,密度!$A$2:$A$50,密度!$L$2:$L$50)</f>
        <v>76312.670616000003</v>
      </c>
      <c r="AA10" s="73" ph="1">
        <f>AA9*33.183*LOOKUP(AA11,密度!$A$2:$A$50,密度!$D$2:$D$50)</f>
        <v>143917.85656799999</v>
      </c>
      <c r="AB10" s="73" ph="1">
        <f>AB9*20.428*LOOKUP(AB11,密度!$A$2:$A$50,密度!$D$2:$D$50)</f>
        <v>59982.246128000006</v>
      </c>
      <c r="AC10" s="73" ph="1">
        <f>AC9*51.53*LOOKUP(AC11,密度!$A$2:$A$50,密度!$Q$2:$Q$50)</f>
        <v>282273.68161140004</v>
      </c>
      <c r="AD10" s="73" ph="1">
        <f>AD9*20.428*LOOKUP(AD11,密度!$A$2:$A$50,密度!$V$2:$V$50)</f>
        <v>73845.994319999998</v>
      </c>
      <c r="AE10" s="73" ph="1">
        <f>AE9*20.428</f>
        <v>82488.26400000001</v>
      </c>
    </row>
    <row r="11" spans="1:99" ph="1">
      <c r="A11" s="64" t="s" ph="1">
        <v>162</v>
      </c>
      <c r="B11" s="238" ph="1"/>
      <c r="C11" s="160" t="s" ph="1">
        <v>179</v>
      </c>
      <c r="D11" s="74">
        <v>25</v>
      </c>
      <c r="E11" s="74">
        <v>27</v>
      </c>
      <c r="F11" s="74">
        <v>24</v>
      </c>
      <c r="G11" s="74">
        <v>26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39</v>
      </c>
      <c r="P11" s="74">
        <v>32</v>
      </c>
      <c r="Q11" s="74">
        <v>26</v>
      </c>
      <c r="R11" s="74">
        <v>31</v>
      </c>
      <c r="S11" s="74">
        <v>21</v>
      </c>
      <c r="T11" s="74">
        <v>20</v>
      </c>
      <c r="U11" s="74">
        <v>22</v>
      </c>
      <c r="V11" s="74">
        <v>27</v>
      </c>
      <c r="W11" s="74">
        <v>36</v>
      </c>
      <c r="X11" s="74">
        <v>24</v>
      </c>
      <c r="Y11" s="74">
        <v>26</v>
      </c>
      <c r="Z11" s="74">
        <v>26</v>
      </c>
      <c r="AA11" s="74">
        <v>29</v>
      </c>
      <c r="AB11" s="74">
        <v>17</v>
      </c>
      <c r="AC11" s="74">
        <v>28</v>
      </c>
      <c r="AD11" s="74">
        <v>26</v>
      </c>
      <c r="AE11" s="74">
        <v>25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161</v>
      </c>
      <c r="E15" s="78">
        <v>5513</v>
      </c>
      <c r="F15" s="78">
        <v>3079</v>
      </c>
      <c r="G15" s="78">
        <v>3494</v>
      </c>
      <c r="H15" s="78">
        <v>0</v>
      </c>
      <c r="I15" s="78">
        <v>5469</v>
      </c>
      <c r="J15" s="78">
        <v>650</v>
      </c>
      <c r="K15" s="78">
        <v>3587</v>
      </c>
      <c r="L15" s="78">
        <v>4956</v>
      </c>
      <c r="M15" s="78">
        <v>6223</v>
      </c>
      <c r="N15" s="78">
        <v>3286</v>
      </c>
      <c r="O15" s="78">
        <v>4994</v>
      </c>
      <c r="P15" s="78">
        <v>1104</v>
      </c>
      <c r="Q15" s="78">
        <v>1280</v>
      </c>
      <c r="R15" s="78">
        <v>7403</v>
      </c>
      <c r="S15" s="78">
        <v>0</v>
      </c>
      <c r="T15" s="78">
        <v>1356</v>
      </c>
      <c r="U15" s="78">
        <v>3930</v>
      </c>
      <c r="V15" s="78">
        <v>3702</v>
      </c>
      <c r="W15" s="71">
        <v>-172</v>
      </c>
      <c r="X15" s="78">
        <v>-22</v>
      </c>
      <c r="Y15" s="106">
        <v>-9900</v>
      </c>
      <c r="Z15" s="78">
        <v>0</v>
      </c>
      <c r="AA15" s="78">
        <v>6857</v>
      </c>
      <c r="AB15" s="78" ph="1">
        <v>7162</v>
      </c>
      <c r="AC15" s="78" ph="1">
        <v>7129</v>
      </c>
      <c r="AD15" s="78">
        <v>53.35</v>
      </c>
      <c r="AE15" s="78">
        <v>5.45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1069.7619239999999</v>
      </c>
      <c r="E16" s="73" ph="1">
        <f>E15*7.0686*LOOKUP(E17,密度!$A$2:$A$50,密度!$L$2:$L$50)</f>
        <v>36631.040291999998</v>
      </c>
      <c r="F16" s="73" ph="1">
        <f>F15*9.0746*LOOKUP(F17,密度!$A$2:$A$50,密度!$L$2:$L$50)</f>
        <v>26180.429715800001</v>
      </c>
      <c r="G16" s="73" ph="1">
        <f>G15*9.0746*LOOKUP(G17,密度!$A$2:$A$50,密度!$B$2:$B$50)</f>
        <v>24775.578185359998</v>
      </c>
      <c r="H16" s="73" ph="1">
        <f>H15*9.0746*LOOKUP(H17,密度!$A$2:$A$50,密度!$L$2:$L$50)</f>
        <v>0</v>
      </c>
      <c r="I16" s="73" ph="1">
        <f>I15*9.0746*LOOKUP(I17,密度!$A$2:$A$50,密度!$U$2:$U$50)</f>
        <v>51018.599047199998</v>
      </c>
      <c r="J16" s="73" ph="1">
        <f>J15*9.0746*LOOKUP(J17,密度!$A$2:$A$50,密度!$L$2:$L$50)</f>
        <v>5544.5805999999993</v>
      </c>
      <c r="K16" s="73" ph="1">
        <f>K15*9.0746*LOOKUP(K17,密度!$A$2:$A$50,密度!$C$2:$C$50)</f>
        <v>36193.001243380008</v>
      </c>
      <c r="L16" s="73" ph="1">
        <f>L15*9.0746*LOOKUP(L17,密度!$A$2:$A$50,密度!$E$2:$E$50)</f>
        <v>35385.321007680002</v>
      </c>
      <c r="M16" s="73" ph="1">
        <f>M15*9.0746*LOOKUP(M17,密度!$A$2:$A$50,密度!$M$2:$M$50)</f>
        <v>49463.155437220004</v>
      </c>
      <c r="N16" s="73" ph="1">
        <f>N15*9.0746*LOOKUP(N17,密度!$A$2:$A$50,密度!$M$2:$M$50)</f>
        <v>26181.201056800001</v>
      </c>
      <c r="O16" s="73" ph="1">
        <f>O15*9.0746*LOOKUP(O17,密度!$A$2:$A$50,密度!$G$2:$G$50)</f>
        <v>43678.020803120002</v>
      </c>
      <c r="P16" s="73" ph="1">
        <f ca="1">P15*9.0746*LOOKUP(P17,密度!$A$2:$A$51,密度!$Q$2:$Q$50)</f>
        <v>9521.2474561920008</v>
      </c>
      <c r="Q16" s="73" ph="1">
        <f>Q15*9.0746*LOOKUP(Q17,密度!$A$2:$A$50,密度!$Q$2:$Q$50)</f>
        <v>11024.143505920001</v>
      </c>
      <c r="R16" s="73" ph="1">
        <f>MAX(R15*9.0746*LOOKUP(R17,密度!$A$2:$A$50,密度!$B$2:$B$50),0)</f>
        <v>52433.415395899996</v>
      </c>
      <c r="S16" s="73" ph="1">
        <f>S15*9.0746*LOOKUP(S17,密度!$A$2:$A$50,密度!$Q$2:$Q$50)</f>
        <v>0</v>
      </c>
      <c r="T16" s="73" ph="1">
        <f>T15*9.0746*LOOKUP(T17,密度!$A$2:$A$50,密度!$O$2:$O$50)</f>
        <v>11443.796568000002</v>
      </c>
      <c r="U16" s="73" ph="1">
        <f>U15*9.0746*LOOKUP(U17,密度!$A$2:$A$50,密度!$H$2:$H$50)</f>
        <v>32767.327946399997</v>
      </c>
      <c r="V16" s="73" ph="1">
        <f>MAX(5600*LOOKUP(V17,密度!$A$2:$A$50,密度!$Q$2:$Q$50)+V15*9.0476*LOOKUP(V17,密度!$A$2:$A$50,密度!$Q$2:$Q$50),0)</f>
        <v>37069.134852640003</v>
      </c>
      <c r="W16" s="73" ph="1">
        <f>MAX(5600*LOOKUP(W17,密度!$A$2:$A$50,密度!$Q$2:$Q$50)+W15*9.0476*LOOKUP(W17,密度!$A$2:$A$50,密度!$Q$2:$Q$50),0)</f>
        <v>3834.3432969599999</v>
      </c>
      <c r="X16" s="73" ph="1">
        <f>MAX(5600*LOOKUP(X17,密度!$A$2:$A$50,密度!$I$2:$I$50)+X15*9.0476*LOOKUP(X17,密度!$A$2:$A$50,密度!$I$2:$I$50),0)</f>
        <v>5641.8352948800002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48622.249461079999</v>
      </c>
      <c r="AB16" s="73" ph="1">
        <f>AB15*9.0746*LOOKUP(AB17,密度!$A$2:$A$50,密度!$L$2:$L$50)</f>
        <v>61027.755802799998</v>
      </c>
      <c r="AC16" s="73" ph="1">
        <f>AC15*9.0746*LOOKUP(AC17,密度!$A$2:$A$50,密度!$L$2:$L$50)</f>
        <v>60875.9468194</v>
      </c>
      <c r="AD16" s="73" ph="1">
        <f>AD15*268.68*LOOKUP(AD17,密度!$A$2:$A$50,密度!B2:B50)+IF(AD15&lt;=0,0,1566*LOOKUP(AD17,密度!$A$2:$A$50,密度!B2:B50))</f>
        <v>12395.7008088</v>
      </c>
      <c r="AE16" s="73" ph="1">
        <f>AE15*268.68*LOOKUP(AE17,密度!$A$2:$A$50,密度!B2:B50)+IF(AE15&lt;=0,0,1566*LOOKUP(AE17,密度!$A$2:$A$50,密度!B2:B50))</f>
        <v>2362.4265575999998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22</v>
      </c>
      <c r="E17" s="74">
        <v>22</v>
      </c>
      <c r="F17" s="74">
        <v>25</v>
      </c>
      <c r="G17" s="74">
        <v>23</v>
      </c>
      <c r="H17" s="74">
        <v>17</v>
      </c>
      <c r="I17" s="74">
        <v>20</v>
      </c>
      <c r="J17" s="74">
        <v>22</v>
      </c>
      <c r="K17" s="74">
        <v>21</v>
      </c>
      <c r="L17" s="74">
        <v>22</v>
      </c>
      <c r="M17" s="74">
        <v>24</v>
      </c>
      <c r="N17" s="74">
        <v>22</v>
      </c>
      <c r="O17" s="74">
        <v>22</v>
      </c>
      <c r="P17" s="74">
        <v>20</v>
      </c>
      <c r="Q17" s="74">
        <v>22</v>
      </c>
      <c r="R17" s="74">
        <v>24</v>
      </c>
      <c r="S17" s="74">
        <v>21</v>
      </c>
      <c r="T17" s="74">
        <v>23</v>
      </c>
      <c r="U17" s="74">
        <v>21</v>
      </c>
      <c r="V17" s="74">
        <v>23</v>
      </c>
      <c r="W17" s="74">
        <v>23</v>
      </c>
      <c r="X17" s="74">
        <v>23</v>
      </c>
      <c r="Y17" s="108">
        <v>23</v>
      </c>
      <c r="Z17" s="74">
        <v>22</v>
      </c>
      <c r="AA17" s="74">
        <v>23</v>
      </c>
      <c r="AB17" s="74">
        <v>23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0</v>
      </c>
      <c r="E18" s="71">
        <v>3915</v>
      </c>
      <c r="F18" s="71">
        <v>3080</v>
      </c>
      <c r="G18" s="71">
        <v>3590</v>
      </c>
      <c r="H18" s="71">
        <v>0</v>
      </c>
      <c r="I18" s="71">
        <v>5475</v>
      </c>
      <c r="J18" s="71">
        <v>686</v>
      </c>
      <c r="K18" s="71">
        <v>3589</v>
      </c>
      <c r="L18" s="71">
        <v>4972</v>
      </c>
      <c r="M18" s="71">
        <v>5394</v>
      </c>
      <c r="N18" s="71">
        <v>1205</v>
      </c>
      <c r="O18" s="71">
        <v>5001</v>
      </c>
      <c r="P18" s="71">
        <v>1104</v>
      </c>
      <c r="Q18" s="71">
        <v>1283</v>
      </c>
      <c r="R18" s="71">
        <v>7413</v>
      </c>
      <c r="S18" s="71">
        <v>0</v>
      </c>
      <c r="T18" s="71">
        <v>1356</v>
      </c>
      <c r="U18" s="71">
        <v>5773</v>
      </c>
      <c r="V18" s="71">
        <v>3703</v>
      </c>
      <c r="W18" s="71">
        <v>-173</v>
      </c>
      <c r="X18" s="71">
        <v>-22</v>
      </c>
      <c r="Y18" s="109">
        <v>-9900</v>
      </c>
      <c r="Z18" s="71">
        <v>0</v>
      </c>
      <c r="AA18" s="71">
        <v>6860</v>
      </c>
      <c r="AB18" s="71">
        <v>7172</v>
      </c>
      <c r="AC18" s="71">
        <v>7139</v>
      </c>
      <c r="AD18" s="71">
        <v>84.5</v>
      </c>
      <c r="AE18" s="71">
        <v>26.35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25708.745601000002</v>
      </c>
      <c r="F19" s="73" ph="1">
        <f>F18*9.0746*LOOKUP(F20,密度!$A$2:$A$50,密度!$L$2:$L$50)</f>
        <v>26049.183776000002</v>
      </c>
      <c r="G19" s="73" ph="1">
        <f>G18*9.0746*LOOKUP(G20,密度!$A$2:$A$50,密度!$B$2:$B$50)</f>
        <v>25368.343761799999</v>
      </c>
      <c r="H19" s="73" ph="1">
        <f>H18*9.0746*LOOKUP(H20,密度!$A$2:$A$50,密度!$L$2:$L$50)</f>
        <v>0</v>
      </c>
      <c r="I19" s="73" ph="1">
        <f>I18*9.0746*LOOKUP(I20,密度!$A$2:$A$50,密度!$U$2:$U$50)</f>
        <v>50677.1037</v>
      </c>
      <c r="J19" s="73" ph="1">
        <f>J18*9.0746*LOOKUP(J20,密度!$A$2:$A$50,密度!$L$2:$L$50)</f>
        <v>5801.8636592000012</v>
      </c>
      <c r="K19" s="73" ph="1">
        <f>K18*9.0746*LOOKUP(K20,密度!$A$2:$A$50,密度!$C$2:$C$50)</f>
        <v>36066.622011560001</v>
      </c>
      <c r="L19" s="73" ph="1">
        <f>L18*9.0746*LOOKUP(L20,密度!$A$2:$A$50,密度!$E$2:$E$50)</f>
        <v>35337.131251840001</v>
      </c>
      <c r="M19" s="73" ph="1">
        <f>M18*9.0746*LOOKUP(M20,密度!$A$2:$A$50,密度!$M$2:$M$50)</f>
        <v>42634.049780400004</v>
      </c>
      <c r="N19" s="73" ph="1">
        <f>N18*9.0746*LOOKUP(N20,密度!$A$2:$A$50,密度!$M$2:$M$50)</f>
        <v>9547.2550783000006</v>
      </c>
      <c r="O19" s="73" ph="1">
        <f>O18*9.0746*LOOKUP(O20,密度!$A$2:$A$50,密度!$G$2:$G$50)</f>
        <v>43975.230287400002</v>
      </c>
      <c r="P19" s="73" ph="1">
        <f ca="1">P18*9.0746*LOOKUP(P20,密度!$A$2:$A$51,密度!$Q$2:$Q$50)</f>
        <v>9416.6557944960005</v>
      </c>
      <c r="Q19" s="73" ph="1">
        <f>Q18*9.0746*LOOKUP(Q20,密度!$A$2:$A$50,密度!$Q$2:$Q$50)</f>
        <v>10958.702481750001</v>
      </c>
      <c r="R19" s="73" ph="1">
        <f>MAX(R18*9.0746*LOOKUP(R20,密度!$A$2:$A$50,密度!$B$2:$B$50),0)</f>
        <v>52214.981606759997</v>
      </c>
      <c r="S19" s="73" ph="1">
        <f>S18*9.0746*LOOKUP(S20,密度!$A$2:$A$50,密度!$Q$2:$Q$50)</f>
        <v>0</v>
      </c>
      <c r="T19" s="73" ph="1">
        <f>T18*9.0746*LOOKUP(T20,密度!$A$2:$A$50,密度!$O$2:$O$50)</f>
        <v>11394.575937600001</v>
      </c>
      <c r="U19" s="73" ph="1">
        <f>U18*9.0746*LOOKUP(U20,密度!$A$2:$A$50,密度!$H$2:$H$50)</f>
        <v>47824.700108820005</v>
      </c>
      <c r="V19" s="73" ph="1">
        <f>MAX(5600*LOOKUP(V20,密度!$A$2:$A$50,密度!$Q$2:$Q$50)+V18*9.0476*LOOKUP(V20,密度!$A$2:$A$50,密度!$Q$2:$Q$50),0)</f>
        <v>36937.724106135996</v>
      </c>
      <c r="W19" s="73" ph="1">
        <f>MAX(5600*LOOKUP(W20,密度!$A$2:$A$50,密度!$Q$2:$Q$50)+W18*9.0476*LOOKUP(W20,密度!$A$2:$A$50,密度!$Q$2:$Q$50),0)</f>
        <v>3806.1150561160002</v>
      </c>
      <c r="X19" s="73" ph="1">
        <f>MAX(5600*LOOKUP(X20,密度!$A$2:$A$50,密度!$I$2:$I$50)+X18*9.0476*LOOKUP(X20,密度!$A$2:$A$50,密度!$I$2:$I$50),0)</f>
        <v>5617.5310072800003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48587.495558000002</v>
      </c>
      <c r="AB19" s="73" ph="1">
        <f>AB18*9.0746*LOOKUP(AB20,密度!$A$2:$A$50,密度!$L$2:$L$50)</f>
        <v>60917.717203200009</v>
      </c>
      <c r="AC19" s="73" ph="1">
        <f>AC18*9.0746*LOOKUP(AC20,密度!$A$2:$A$50,密度!$L$2:$L$50)</f>
        <v>60637.420958400005</v>
      </c>
      <c r="AD19" s="73" ph="1">
        <f>AD18*268.68*LOOKUP(AD20,密度!$A$2:$A$50,密度!B5:B53)+IF(AD18&lt;=0,0,1566*LOOKUP(AD20,密度!$A$2:$A$50,密度!B5:B53))</f>
        <v>18857.370419999999</v>
      </c>
      <c r="AE19" s="73" ph="1">
        <f>AE18*268.68*LOOKUP(AE20,密度!$A$2:$A$50,密度!B5:B53)+IF(AE18&lt;=0,0,1566*LOOKUP(AE20,密度!$A$2:$A$50,密度!B5:B53))</f>
        <v>6717.7228860000005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33</v>
      </c>
      <c r="E20" s="81">
        <v>33</v>
      </c>
      <c r="F20" s="81">
        <v>30</v>
      </c>
      <c r="G20" s="81">
        <v>26</v>
      </c>
      <c r="H20" s="81">
        <v>25</v>
      </c>
      <c r="I20" s="81">
        <v>30</v>
      </c>
      <c r="J20" s="81">
        <v>30</v>
      </c>
      <c r="K20" s="81">
        <v>27</v>
      </c>
      <c r="L20" s="81">
        <v>25</v>
      </c>
      <c r="M20" s="81">
        <v>29</v>
      </c>
      <c r="N20" s="81">
        <v>27</v>
      </c>
      <c r="O20" s="81">
        <v>17</v>
      </c>
      <c r="P20" s="81">
        <v>35</v>
      </c>
      <c r="Q20" s="81">
        <v>33</v>
      </c>
      <c r="R20" s="81">
        <v>29</v>
      </c>
      <c r="S20" s="81">
        <v>30</v>
      </c>
      <c r="T20" s="81">
        <v>29</v>
      </c>
      <c r="U20" s="81">
        <v>27</v>
      </c>
      <c r="V20" s="81">
        <v>28</v>
      </c>
      <c r="W20" s="81">
        <v>30</v>
      </c>
      <c r="X20" s="81">
        <v>27</v>
      </c>
      <c r="Y20" s="110">
        <v>27</v>
      </c>
      <c r="Z20" s="81">
        <v>34</v>
      </c>
      <c r="AA20" s="81">
        <v>24</v>
      </c>
      <c r="AB20" s="81">
        <v>26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650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48.05</v>
      </c>
      <c r="E24" s="71">
        <v>5.44</v>
      </c>
      <c r="F24" s="71">
        <v>3045</v>
      </c>
      <c r="G24" s="71">
        <v>1058</v>
      </c>
      <c r="H24" s="71">
        <v>1688</v>
      </c>
      <c r="I24" s="71">
        <v>0</v>
      </c>
      <c r="J24" s="71">
        <v>886</v>
      </c>
      <c r="K24" s="71">
        <v>1296</v>
      </c>
      <c r="L24" s="71">
        <v>469</v>
      </c>
      <c r="M24" s="71">
        <v>5324</v>
      </c>
      <c r="N24" s="71">
        <v>4946</v>
      </c>
      <c r="O24" s="71">
        <v>5724</v>
      </c>
      <c r="P24" s="71">
        <v>335</v>
      </c>
      <c r="Q24" s="90">
        <v>2865</v>
      </c>
      <c r="R24" s="71">
        <v>2080</v>
      </c>
      <c r="S24" s="71">
        <v>4324</v>
      </c>
      <c r="T24" s="71">
        <v>375</v>
      </c>
      <c r="U24" s="71">
        <v>2456</v>
      </c>
      <c r="V24" s="71">
        <v>9692</v>
      </c>
      <c r="W24" s="71">
        <v>11194</v>
      </c>
      <c r="X24" s="71">
        <v>7072</v>
      </c>
      <c r="Y24" s="71">
        <v>4439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13705.07829876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33839.914397100001</v>
      </c>
      <c r="G25" s="91" ph="1">
        <f>G24*18.322*LOOKUP(G26,密度!$A$2:$A$50,密度!$B$2:$B$50)</f>
        <v>15112.293409599999</v>
      </c>
      <c r="H25" s="91" ph="1">
        <f>H24*18.322*LOOKUP(H26,密度!$A$2:$A$50,密度!$B$2:$B$50)</f>
        <v>24194.611412800001</v>
      </c>
      <c r="I25" s="91" ph="1">
        <f>I24*18.322*LOOKUP(I26,密度!$A$2:$A$50,密度!$Q$2:$Q$50)</f>
        <v>0</v>
      </c>
      <c r="J25" s="91" ph="1">
        <f>J24*18.322*LOOKUP(J26,密度!$A$2:$A$50,密度!$Q$2:$Q$50)</f>
        <v>15392.407474400001</v>
      </c>
      <c r="K25" s="91" ph="1">
        <f>K24*18.322*LOOKUP(K26,密度!$A$2:$A$50,密度!$Q$2:$Q$50)</f>
        <v>22536.438166079999</v>
      </c>
      <c r="L25" s="91" ph="1">
        <f>L24*18.322*LOOKUP(L26,密度!$A$2:$A$50,密度!$Q$2:$Q$50)</f>
        <v>8166.6324468399998</v>
      </c>
      <c r="M25" s="91" ph="1">
        <f>M24*18.322*LOOKUP(M26,密度!$A$2:$A$50,密度!$Q$2:$Q$50)</f>
        <v>92580.244441519986</v>
      </c>
      <c r="N25" s="91" ph="1">
        <f>N24*18.322*LOOKUP(N26,密度!$A$2:$A$50,密度!$Q$2:$Q$50)</f>
        <v>86061.489010279998</v>
      </c>
      <c r="O25" s="91" ph="1">
        <f>O24*18.322*LOOKUP(O26,密度!$A$2:$A$50,密度!$C$2:$C$50)</f>
        <v>116610.65482320001</v>
      </c>
      <c r="P25" s="91" ph="1">
        <f>P24*11.702*LOOKUP(P26,密度!$A$2:$A$50,密度!$B$2:$B$50)</f>
        <v>3073.8052970000003</v>
      </c>
      <c r="Q25" s="92" ph="1">
        <f>Q24*18.322*LOOKUP(Q26,密度!$A$2:$A$50,密度!$B$2:$B$50)</f>
        <v>41017.662941999995</v>
      </c>
      <c r="R25" s="91" ph="1">
        <f>R24*35.891*LOOKUP(R26,密度!$A$2:$A$50,密度!$C$2:$C$50)</f>
        <v>82895.002112000002</v>
      </c>
      <c r="S25" s="91" ph="1">
        <f>S24*35.891*LOOKUP(S26,密度!$A$2:$A$50,密度!$B$2:$B$50)</f>
        <v>121546.91010879999</v>
      </c>
      <c r="T25" s="91" ph="1">
        <f>T24*35.891*LOOKUP(T26,密度!$A$2:$A$50,密度!$Q$2:$Q$50)</f>
        <v>12781.99642125</v>
      </c>
      <c r="U25" s="91" ph="1">
        <f>U24*35.891</f>
        <v>88148.296000000002</v>
      </c>
      <c r="V25" s="91" ph="1">
        <f>V24*47.051*LOOKUP(V26,密度!$A$2:$A$50,密度!$B$2:$B$50)</f>
        <v>357563.94275720004</v>
      </c>
      <c r="W25" s="91" ph="1">
        <f>W24*47.051*LOOKUP(W26,密度!$A$2:$A$50,密度!$B$2:$B$50)</f>
        <v>412028.72177619999</v>
      </c>
      <c r="X25" s="91" ph="1">
        <f>X24*47.051*LOOKUP(X26,密度!$A$2:$A$61,密度!$I$2:$I$61)</f>
        <v>343459.05043840001</v>
      </c>
      <c r="Y25" s="91" ph="1">
        <f>Y24*47.051*LOOKUP(Y26,密度!$A$2:$A$50,密度!$L$2:$L$50)</f>
        <v>196118.96627099998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21</v>
      </c>
      <c r="G26" s="74">
        <v>25</v>
      </c>
      <c r="H26" s="74">
        <v>22</v>
      </c>
      <c r="I26" s="74">
        <v>22</v>
      </c>
      <c r="J26" s="74">
        <v>23</v>
      </c>
      <c r="K26" s="74">
        <v>22</v>
      </c>
      <c r="L26" s="74">
        <v>20</v>
      </c>
      <c r="M26" s="74">
        <v>22</v>
      </c>
      <c r="N26" s="74">
        <v>21</v>
      </c>
      <c r="O26" s="74">
        <v>21</v>
      </c>
      <c r="P26" s="74">
        <v>20</v>
      </c>
      <c r="Q26" s="93">
        <v>23</v>
      </c>
      <c r="R26" s="74">
        <v>23</v>
      </c>
      <c r="S26" s="74">
        <v>21</v>
      </c>
      <c r="T26" s="74">
        <v>21</v>
      </c>
      <c r="U26" s="74">
        <v>22</v>
      </c>
      <c r="V26" s="74">
        <v>20</v>
      </c>
      <c r="W26" s="74">
        <v>22</v>
      </c>
      <c r="X26" s="74">
        <v>34</v>
      </c>
      <c r="Y26" s="74">
        <v>23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12.29</v>
      </c>
      <c r="E27" s="71">
        <v>5.4</v>
      </c>
      <c r="F27" s="71">
        <v>2008</v>
      </c>
      <c r="G27" s="71">
        <v>645</v>
      </c>
      <c r="H27" s="71">
        <v>1248</v>
      </c>
      <c r="I27" s="71">
        <v>0</v>
      </c>
      <c r="J27" s="71">
        <v>881</v>
      </c>
      <c r="K27" s="71">
        <v>708</v>
      </c>
      <c r="L27" s="71">
        <v>464</v>
      </c>
      <c r="M27" s="71">
        <v>5327</v>
      </c>
      <c r="N27" s="71">
        <v>4946</v>
      </c>
      <c r="O27" s="71">
        <v>5720</v>
      </c>
      <c r="P27" s="71">
        <v>330</v>
      </c>
      <c r="Q27" s="90">
        <v>2927</v>
      </c>
      <c r="R27" s="71">
        <v>2077</v>
      </c>
      <c r="S27" s="71">
        <v>4322</v>
      </c>
      <c r="T27" s="71">
        <v>375</v>
      </c>
      <c r="U27" s="71">
        <v>2517</v>
      </c>
      <c r="V27" s="71">
        <v>9387</v>
      </c>
      <c r="W27" s="71">
        <v>11199</v>
      </c>
      <c r="X27" s="71">
        <v>6477</v>
      </c>
      <c r="Y27" s="71">
        <v>3353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4608.8034083279999</v>
      </c>
      <c r="E28" s="91" ph="1">
        <f>E27*268.68*LOOKUP(E29,密度!$A$2:$A$50,密度!$C$2:$C$50)+IF(E27&lt;=0,0,1566*LOOKUP(E29,密度!$A$2:$A$50,密度!$C$2:$C$50))</f>
        <v>3345.4093608000003</v>
      </c>
      <c r="F28" s="91" ph="1">
        <f>F27*11.702*LOOKUP(F29,密度!$A$2:$A$50,密度!$Q$2:$Q$50)</f>
        <v>22280.439491199999</v>
      </c>
      <c r="G28" s="91" ph="1">
        <f>G27*18.322*LOOKUP(G29,密度!$A$2:$A$50,密度!$B$2:$B$50)</f>
        <v>9192.9810509999988</v>
      </c>
      <c r="H28" s="91" ph="1">
        <f>H27*18.322*LOOKUP(H29,密度!$A$2:$A$50,密度!$B$2:$B$50)</f>
        <v>17929.1176896</v>
      </c>
      <c r="I28" s="91" ph="1">
        <f>I27*18.322*LOOKUP(I29,密度!$A$2:$A$50,密度!$Q$2:$Q$50)</f>
        <v>0</v>
      </c>
      <c r="J28" s="91" ph="1">
        <f>J27*18.322*LOOKUP(J29,密度!$A$2:$A$50,密度!$Q$2:$Q$50)</f>
        <v>15293.759444539999</v>
      </c>
      <c r="K28" s="91" ph="1">
        <f>K27*18.322*LOOKUP(K29,密度!$A$2:$A$50,密度!$Q$2:$Q$50)</f>
        <v>12300.027643199999</v>
      </c>
      <c r="L28" s="91" ph="1">
        <f>L27*18.322*LOOKUP(L29,密度!$A$2:$A$50,密度!$Q$2:$Q$50)</f>
        <v>8061.0350656000001</v>
      </c>
      <c r="M28" s="91" ph="1">
        <f>M27*18.322*LOOKUP(M29,密度!$A$2:$A$50,密度!$Q$2:$Q$50)</f>
        <v>92545.546970800002</v>
      </c>
      <c r="N28" s="91" ph="1">
        <f>N27*18.322*LOOKUP(N29,密度!$A$2:$A$50,密度!$Q$2:$Q$50)</f>
        <v>86007.116643079993</v>
      </c>
      <c r="O28" s="91" ph="1">
        <f>O27*18.322*LOOKUP(O29,密度!$A$2:$A$50,密度!$C$2:$C$50)</f>
        <v>116445.32442399999</v>
      </c>
      <c r="P28" s="91" ph="1">
        <f>P27*11.702*LOOKUP(P29,密度!$A$2:$A$50,密度!$B$2:$B$50)</f>
        <v>3014.0256299999996</v>
      </c>
      <c r="Q28" s="92" ph="1">
        <f>Q27*18.322*LOOKUP(Q29,密度!$A$2:$A$50,密度!$B$2:$B$50)</f>
        <v>41953.5708562</v>
      </c>
      <c r="R28" s="91" ph="1">
        <f>R27*35.891*LOOKUP(R29,密度!$A$2:$A$50,密度!$C$2:$C$50)</f>
        <v>82775.442012800006</v>
      </c>
      <c r="S28" s="91" ph="1">
        <f>S27*35.891*LOOKUP(S29,密度!$A$2:$A$50,密度!$B$2:$B$50)</f>
        <v>121211.4728228</v>
      </c>
      <c r="T28" s="91" ph="1">
        <f>T27*35.891*LOOKUP(T29,密度!$A$2:$A$50,密度!$Q$2:$Q$50)</f>
        <v>12773.92094625</v>
      </c>
      <c r="U28" s="91" ph="1">
        <f>U27*35.891</f>
        <v>90337.646999999997</v>
      </c>
      <c r="V28" s="91" ph="1">
        <f>V27*47.051*LOOKUP(V29,密度!$A$2:$A$50,密度!$B$2:$B$50)</f>
        <v>345914.17161840003</v>
      </c>
      <c r="W28" s="91" ph="1">
        <f>W27*47.051*LOOKUP(W29,密度!$A$2:$A$50,密度!$B$2:$B$50)</f>
        <v>411264.29829449998</v>
      </c>
      <c r="X28" s="91" ph="1">
        <f>X27*47.051*LOOKUP(X29,密度!$A$2:$A$61,密度!$I$2:$I$61)</f>
        <v>313556.58255029999</v>
      </c>
      <c r="Y28" s="91" ph="1">
        <f>Y27*47.051*LOOKUP(Y29,密度!$A$2:$A$50,密度!$L$2:$L$50)</f>
        <v>148138.52081699998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23</v>
      </c>
      <c r="G29" s="74">
        <v>27</v>
      </c>
      <c r="H29" s="74">
        <v>20</v>
      </c>
      <c r="I29" s="74">
        <v>22</v>
      </c>
      <c r="J29" s="74">
        <v>24</v>
      </c>
      <c r="K29" s="74">
        <v>23</v>
      </c>
      <c r="L29" s="74">
        <v>23</v>
      </c>
      <c r="M29" s="74">
        <v>23</v>
      </c>
      <c r="N29" s="74">
        <v>22</v>
      </c>
      <c r="O29" s="74">
        <v>22</v>
      </c>
      <c r="P29" s="74">
        <v>24</v>
      </c>
      <c r="Q29" s="93">
        <v>22</v>
      </c>
      <c r="R29" s="74">
        <v>23</v>
      </c>
      <c r="S29" s="74">
        <v>23</v>
      </c>
      <c r="T29" s="74">
        <v>22</v>
      </c>
      <c r="U29" s="74">
        <v>21</v>
      </c>
      <c r="V29" s="74">
        <v>21</v>
      </c>
      <c r="W29" s="74">
        <v>24</v>
      </c>
      <c r="X29" s="74">
        <v>37</v>
      </c>
      <c r="Y29" s="74">
        <v>23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203900.10269599999</v>
      </c>
      <c r="E33" s="187" ph="1">
        <f>M10+I10</f>
        <v>44122.240440399997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3" ph="1">
        <f>N19</f>
        <v>9547.2550783000006</v>
      </c>
      <c r="H33" s="187" ph="1">
        <f>M19</f>
        <v>42634.049780400004</v>
      </c>
      <c r="I33" s="191" ph="1">
        <v>0</v>
      </c>
      <c r="J33" s="195" ph="1">
        <f>F10+O28</f>
        <v>349404.55839759996</v>
      </c>
      <c r="K33" s="187" ph="1">
        <f>O10+K10+E28+R28</f>
        <v>103802.10872040001</v>
      </c>
      <c r="L33" s="197" ph="1">
        <f>K19</f>
        <v>36066.622011560001</v>
      </c>
      <c r="M33" s="195" ph="1">
        <f>G10+H10+W28+S28+V28+E10+R19+P28+Q28</f>
        <v>1913933.19216266</v>
      </c>
      <c r="N33" s="187" ph="1">
        <f>L10+P10++G28+H28+AD19+AE19</f>
        <v>56608.414242600003</v>
      </c>
      <c r="O33" s="191" ph="1">
        <f>G19</f>
        <v>25368.343761799999</v>
      </c>
      <c r="P33" s="195" ph="1">
        <f>L19</f>
        <v>35337.131251840001</v>
      </c>
      <c r="Q33" s="187" ph="1">
        <f>J10+N10</f>
        <v>18092.319628800004</v>
      </c>
      <c r="R33" s="191" ph="1">
        <f>BE23</f>
        <v>890</v>
      </c>
      <c r="S33" s="195" ph="1">
        <f>X28</f>
        <v>313556.58255029999</v>
      </c>
      <c r="T33" s="187" ph="1">
        <f>X19</f>
        <v>5617.5310072800003</v>
      </c>
      <c r="U33" s="176" ph="1">
        <f>BE21</f>
        <v>730</v>
      </c>
      <c r="V33" s="189" ph="1">
        <f ca="1">P19+Q19+S19+M28+N28+J28+D10+AC10+D19+E19+H19+J19+O19+V19+W19+K28+L28</f>
        <v>747093.68320589804</v>
      </c>
      <c r="W33" s="189" ph="1">
        <f>D28+F28+T28+I28</f>
        <v>39663.163845777999</v>
      </c>
      <c r="X33" s="191" ph="1">
        <f>BE29+BE31</f>
        <v>10200</v>
      </c>
      <c r="Y33" s="193" ph="1">
        <f>+Q10+R10+S10+T10+U10+V10+W10+X10+Y10</f>
        <v>207036.95429340002</v>
      </c>
      <c r="Z33" s="174" ph="1">
        <f>T19+U19+Y28+Z10</f>
        <v>283670.46747942001</v>
      </c>
      <c r="AA33" s="176" ph="1">
        <f>BE19</f>
        <v>1440</v>
      </c>
      <c r="AB33" s="178" ph="1">
        <f>I19</f>
        <v>50677.1037</v>
      </c>
      <c r="AC33" s="180" ph="1">
        <f>AD10+AB19</f>
        <v>134763.71152320001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9" priority="100">
      <formula>ABS(D$7-D$10)&gt;=1000</formula>
    </cfRule>
  </conditionalFormatting>
  <conditionalFormatting sqref="E4 E6:E11">
    <cfRule type="expression" dxfId="258" priority="99">
      <formula>ABS(E$7-E$10)&gt;=1000</formula>
    </cfRule>
  </conditionalFormatting>
  <conditionalFormatting sqref="F4:F11">
    <cfRule type="expression" dxfId="257" priority="98">
      <formula>ABS(F$7-F$10)&gt;=1000</formula>
    </cfRule>
  </conditionalFormatting>
  <conditionalFormatting sqref="G4:G11">
    <cfRule type="expression" dxfId="256" priority="97">
      <formula>ABS(G$7-G$10)&gt;=1000</formula>
    </cfRule>
  </conditionalFormatting>
  <conditionalFormatting sqref="H4:H11">
    <cfRule type="expression" dxfId="255" priority="96">
      <formula>ABS(H$7-H$10)&gt;=1000</formula>
    </cfRule>
  </conditionalFormatting>
  <conditionalFormatting sqref="I4:I11">
    <cfRule type="expression" dxfId="254" priority="95">
      <formula>ABS(I$7-I$10)&gt;=1000</formula>
    </cfRule>
  </conditionalFormatting>
  <conditionalFormatting sqref="J4:J11">
    <cfRule type="expression" dxfId="253" priority="94">
      <formula>ABS(J$7-J$10)&gt;=1000</formula>
    </cfRule>
  </conditionalFormatting>
  <conditionalFormatting sqref="K4:K11">
    <cfRule type="expression" dxfId="252" priority="93">
      <formula>ABS(K$7-K$10)&gt;=1000</formula>
    </cfRule>
  </conditionalFormatting>
  <conditionalFormatting sqref="L4:L11">
    <cfRule type="expression" dxfId="251" priority="92">
      <formula>ABS(L$7-L$10)&gt;=1000</formula>
    </cfRule>
  </conditionalFormatting>
  <conditionalFormatting sqref="M4 M6:M11">
    <cfRule type="expression" dxfId="250" priority="91">
      <formula>ABS(M$7-M$10)&gt;=1000</formula>
    </cfRule>
  </conditionalFormatting>
  <conditionalFormatting sqref="N4 N6:N11">
    <cfRule type="expression" dxfId="249" priority="90">
      <formula>ABS(N$7-N$10)&gt;=1000</formula>
    </cfRule>
  </conditionalFormatting>
  <conditionalFormatting sqref="O4 O6:O11">
    <cfRule type="expression" dxfId="248" priority="89">
      <formula>ABS(O$7-O$10)&gt;=1000</formula>
    </cfRule>
  </conditionalFormatting>
  <conditionalFormatting sqref="P4 P6:P11">
    <cfRule type="expression" dxfId="247" priority="88">
      <formula>ABS(P$7-P$10)&gt;=1000</formula>
    </cfRule>
  </conditionalFormatting>
  <conditionalFormatting sqref="Q4:Q11">
    <cfRule type="expression" dxfId="246" priority="87">
      <formula>ABS(Q$7-Q$10)&gt;=1000</formula>
    </cfRule>
  </conditionalFormatting>
  <conditionalFormatting sqref="R4:R11">
    <cfRule type="expression" dxfId="245" priority="86">
      <formula>ABS(R$7-R$10)&gt;=1000</formula>
    </cfRule>
  </conditionalFormatting>
  <conditionalFormatting sqref="S4:S11">
    <cfRule type="expression" dxfId="244" priority="85">
      <formula>ABS(S$7-S$10)&gt;=1000</formula>
    </cfRule>
  </conditionalFormatting>
  <conditionalFormatting sqref="T4:T9 T11">
    <cfRule type="expression" dxfId="243" priority="84">
      <formula>ABS(T$7-T$10)&gt;=1000</formula>
    </cfRule>
  </conditionalFormatting>
  <conditionalFormatting sqref="U4:U9 U11">
    <cfRule type="expression" dxfId="242" priority="83">
      <formula>ABS(U$7-U$10)&gt;=1000</formula>
    </cfRule>
  </conditionalFormatting>
  <conditionalFormatting sqref="V4:V9 V11">
    <cfRule type="expression" dxfId="241" priority="82">
      <formula>ABS(V$7-V$10)&gt;=1000</formula>
    </cfRule>
  </conditionalFormatting>
  <conditionalFormatting sqref="W4:W9 W11">
    <cfRule type="expression" dxfId="240" priority="81">
      <formula>ABS(W$7-W$10)&gt;=1000</formula>
    </cfRule>
  </conditionalFormatting>
  <conditionalFormatting sqref="X4:X9 X11">
    <cfRule type="expression" dxfId="239" priority="80">
      <formula>ABS(X$7-X$10)&gt;=1000</formula>
    </cfRule>
  </conditionalFormatting>
  <conditionalFormatting sqref="Y4:Y9 Y11">
    <cfRule type="expression" dxfId="238" priority="79">
      <formula>ABS(Y$7-Y$10)&gt;=1000</formula>
    </cfRule>
  </conditionalFormatting>
  <conditionalFormatting sqref="Z4:Z11">
    <cfRule type="expression" dxfId="237" priority="78">
      <formula>ABS(Z$7-Z$10)&gt;=1000</formula>
    </cfRule>
  </conditionalFormatting>
  <conditionalFormatting sqref="AA4:AA11">
    <cfRule type="expression" dxfId="236" priority="77">
      <formula>ABS(AA$7-AA$10)&gt;=1000</formula>
    </cfRule>
  </conditionalFormatting>
  <conditionalFormatting sqref="AB4:AB11">
    <cfRule type="expression" dxfId="235" priority="76">
      <formula>ABS(AB$7-AB$10)&gt;=1000</formula>
    </cfRule>
  </conditionalFormatting>
  <conditionalFormatting sqref="AC4 AC6:AC11">
    <cfRule type="expression" dxfId="234" priority="75">
      <formula>ABS(AC$7-AC$10)&gt;=1000</formula>
    </cfRule>
  </conditionalFormatting>
  <conditionalFormatting sqref="AD4 AD6:AD11">
    <cfRule type="expression" dxfId="233" priority="74">
      <formula>ABS(AD$7-AD$10)&gt;=1000</formula>
    </cfRule>
  </conditionalFormatting>
  <conditionalFormatting sqref="AE4 AE6:AE11">
    <cfRule type="expression" dxfId="232" priority="73">
      <formula>ABS(AE$7-AE$10)&gt;=1000</formula>
    </cfRule>
  </conditionalFormatting>
  <conditionalFormatting sqref="D13:D20">
    <cfRule type="expression" dxfId="231" priority="72">
      <formula>ABS(D$16-D$19)&gt;=1000</formula>
    </cfRule>
  </conditionalFormatting>
  <conditionalFormatting sqref="E13:E20">
    <cfRule type="expression" dxfId="230" priority="71">
      <formula>ABS(E$16-E$19)&gt;=1000</formula>
    </cfRule>
  </conditionalFormatting>
  <conditionalFormatting sqref="F13 F15:F20">
    <cfRule type="expression" dxfId="229" priority="70">
      <formula>ABS(F$16-F$19)&gt;=1000</formula>
    </cfRule>
  </conditionalFormatting>
  <conditionalFormatting sqref="G13:G20">
    <cfRule type="expression" dxfId="228" priority="69">
      <formula>ABS(G$16-G$19)&gt;=1000</formula>
    </cfRule>
  </conditionalFormatting>
  <conditionalFormatting sqref="H13 H15:H20">
    <cfRule type="expression" dxfId="227" priority="68">
      <formula>ABS(H$16-H$19)&gt;=1000</formula>
    </cfRule>
  </conditionalFormatting>
  <conditionalFormatting sqref="I13:I20">
    <cfRule type="expression" dxfId="226" priority="67">
      <formula>ABS(I$16-I$19)&gt;=1000</formula>
    </cfRule>
  </conditionalFormatting>
  <conditionalFormatting sqref="J13:J20">
    <cfRule type="expression" dxfId="225" priority="66">
      <formula>ABS(J$16-J$19)&gt;=1000</formula>
    </cfRule>
  </conditionalFormatting>
  <conditionalFormatting sqref="L13:L20">
    <cfRule type="expression" dxfId="224" priority="65">
      <formula>ABS(L$16-L$19)&gt;=1000</formula>
    </cfRule>
  </conditionalFormatting>
  <conditionalFormatting sqref="M13 M15 M17:M18 M20">
    <cfRule type="expression" dxfId="223" priority="64">
      <formula>ABS(M$16-M$19)&gt;=1000</formula>
    </cfRule>
  </conditionalFormatting>
  <conditionalFormatting sqref="N13:N20">
    <cfRule type="expression" dxfId="222" priority="63">
      <formula>ABS(N$16-N$19)&gt;=1000</formula>
    </cfRule>
  </conditionalFormatting>
  <conditionalFormatting sqref="O13:O20">
    <cfRule type="expression" dxfId="221" priority="62">
      <formula>ABS(O$16-O$19)&gt;=1000</formula>
    </cfRule>
  </conditionalFormatting>
  <conditionalFormatting sqref="P13:P20">
    <cfRule type="expression" dxfId="220" priority="61">
      <formula>ABS(P$16-P$19)&gt;=1000</formula>
    </cfRule>
  </conditionalFormatting>
  <conditionalFormatting sqref="Q13 Q15:Q20">
    <cfRule type="expression" dxfId="219" priority="60">
      <formula>ABS(Q$16-Q$19)&gt;=1000</formula>
    </cfRule>
  </conditionalFormatting>
  <conditionalFormatting sqref="R13:R20">
    <cfRule type="expression" dxfId="218" priority="59">
      <formula>ABS(R$16-R$19)&gt;=1000</formula>
    </cfRule>
  </conditionalFormatting>
  <conditionalFormatting sqref="S13:S20">
    <cfRule type="expression" dxfId="217" priority="58">
      <formula>ABS(S$16-S$19)&gt;=1000</formula>
    </cfRule>
  </conditionalFormatting>
  <conditionalFormatting sqref="T13:T20">
    <cfRule type="expression" dxfId="216" priority="57">
      <formula>ABS(T$16-T$19)&gt;=1000</formula>
    </cfRule>
  </conditionalFormatting>
  <conditionalFormatting sqref="U13:U20">
    <cfRule type="expression" dxfId="215" priority="56">
      <formula>ABS(U$16-U$19)&gt;=1000</formula>
    </cfRule>
  </conditionalFormatting>
  <conditionalFormatting sqref="V13:V20">
    <cfRule type="expression" dxfId="214" priority="55">
      <formula>ABS(V$16-V$19)&gt;=1000</formula>
    </cfRule>
  </conditionalFormatting>
  <conditionalFormatting sqref="W13 W20 W15:W18">
    <cfRule type="expression" dxfId="213" priority="54">
      <formula>ABS(W$16-W$19)&gt;=1000</formula>
    </cfRule>
  </conditionalFormatting>
  <conditionalFormatting sqref="X13 X15:X20 Y19">
    <cfRule type="expression" dxfId="212" priority="53">
      <formula>ABS(X$16-X$19)&gt;=1000</formula>
    </cfRule>
  </conditionalFormatting>
  <conditionalFormatting sqref="Y13 Y15:Y18 Y20">
    <cfRule type="expression" dxfId="211" priority="52">
      <formula>ABS(Y$16-Y$19)&gt;=1000</formula>
    </cfRule>
  </conditionalFormatting>
  <conditionalFormatting sqref="Z13:Z20">
    <cfRule type="expression" dxfId="210" priority="51">
      <formula>ABS(Z$16-Z$19)&gt;=1000</formula>
    </cfRule>
  </conditionalFormatting>
  <conditionalFormatting sqref="AA13:AA20">
    <cfRule type="expression" dxfId="209" priority="50">
      <formula>ABS(AA$16-AA$19)&gt;=1000</formula>
    </cfRule>
  </conditionalFormatting>
  <conditionalFormatting sqref="AB13 AB15:AB20">
    <cfRule type="expression" dxfId="208" priority="49">
      <formula>ABS(AB$16-AB$19)&gt;=1000</formula>
    </cfRule>
  </conditionalFormatting>
  <conditionalFormatting sqref="AC13 AC15:AC20">
    <cfRule type="expression" dxfId="207" priority="48">
      <formula>ABS(AC$16-AC$19)&gt;=1000</formula>
    </cfRule>
  </conditionalFormatting>
  <conditionalFormatting sqref="AD13:AD20">
    <cfRule type="expression" dxfId="206" priority="47">
      <formula>ABS(AD$16-AD$19)&gt;=1000</formula>
    </cfRule>
  </conditionalFormatting>
  <conditionalFormatting sqref="AE13:AE20">
    <cfRule type="expression" dxfId="205" priority="46">
      <formula>ABS(AE$16-AE$19)&gt;=1000</formula>
    </cfRule>
  </conditionalFormatting>
  <conditionalFormatting sqref="D22:D29">
    <cfRule type="expression" dxfId="204" priority="45">
      <formula>ABS(D$25-D$28)&gt;=1000</formula>
    </cfRule>
  </conditionalFormatting>
  <conditionalFormatting sqref="E22:E29">
    <cfRule type="expression" dxfId="203" priority="44">
      <formula>ABS(E$25-E$28)&gt;=1000</formula>
    </cfRule>
  </conditionalFormatting>
  <conditionalFormatting sqref="F22:F29">
    <cfRule type="expression" dxfId="202" priority="43">
      <formula>ABS(F$25-F$28)&gt;=1000</formula>
    </cfRule>
  </conditionalFormatting>
  <conditionalFormatting sqref="G22:G29">
    <cfRule type="expression" dxfId="201" priority="42">
      <formula>ABS(G$25-G$28)&gt;=1000</formula>
    </cfRule>
  </conditionalFormatting>
  <conditionalFormatting sqref="H22:H29">
    <cfRule type="expression" dxfId="200" priority="41">
      <formula>ABS(H$25-H$28)&gt;=1000</formula>
    </cfRule>
  </conditionalFormatting>
  <conditionalFormatting sqref="I22 I24:I29">
    <cfRule type="expression" dxfId="199" priority="40">
      <formula>ABS(I$25-I$28)&gt;=1000</formula>
    </cfRule>
  </conditionalFormatting>
  <conditionalFormatting sqref="J22:J29 K22">
    <cfRule type="expression" dxfId="198" priority="39">
      <formula>ABS(J$25-J$28)&gt;=1000</formula>
    </cfRule>
  </conditionalFormatting>
  <conditionalFormatting sqref="K23:K29 L25 L28">
    <cfRule type="expression" dxfId="197" priority="38">
      <formula>ABS(K$25-K$28)&gt;=1000</formula>
    </cfRule>
  </conditionalFormatting>
  <conditionalFormatting sqref="L22 L26:L27 L29 L24">
    <cfRule type="expression" dxfId="196" priority="37">
      <formula>ABS(L$25-L$28)&gt;=1000</formula>
    </cfRule>
  </conditionalFormatting>
  <conditionalFormatting sqref="M22:M29">
    <cfRule type="expression" dxfId="195" priority="36">
      <formula>ABS(M$25-M$28)&gt;=1000</formula>
    </cfRule>
  </conditionalFormatting>
  <conditionalFormatting sqref="N22:N29">
    <cfRule type="expression" dxfId="194" priority="35">
      <formula>ABS(N$25-N$28)&gt;=1000</formula>
    </cfRule>
  </conditionalFormatting>
  <conditionalFormatting sqref="O22:O29">
    <cfRule type="expression" dxfId="193" priority="34">
      <formula>ABS(O$25-O$28)&gt;=1000</formula>
    </cfRule>
  </conditionalFormatting>
  <conditionalFormatting sqref="P22:P29">
    <cfRule type="expression" dxfId="192" priority="33">
      <formula>ABS(P$25-P$28)&gt;=1000</formula>
    </cfRule>
  </conditionalFormatting>
  <conditionalFormatting sqref="Q22:Q29">
    <cfRule type="expression" dxfId="191" priority="32">
      <formula>ABS(Q$25-Q$28)&gt;=1000</formula>
    </cfRule>
  </conditionalFormatting>
  <conditionalFormatting sqref="R22:R29">
    <cfRule type="expression" dxfId="190" priority="31">
      <formula>ABS(R$25-R$28)&gt;=1000</formula>
    </cfRule>
  </conditionalFormatting>
  <conditionalFormatting sqref="S22:S29">
    <cfRule type="expression" dxfId="189" priority="30">
      <formula>ABS(S$25-S$28)&gt;=1000</formula>
    </cfRule>
  </conditionalFormatting>
  <conditionalFormatting sqref="T22:T29">
    <cfRule type="expression" dxfId="188" priority="29">
      <formula>ABS(T$25-T$28)&gt;=1000</formula>
    </cfRule>
  </conditionalFormatting>
  <conditionalFormatting sqref="U22:U29">
    <cfRule type="expression" dxfId="187" priority="28">
      <formula>ABS(U$25-U$28)&gt;=1000</formula>
    </cfRule>
  </conditionalFormatting>
  <conditionalFormatting sqref="V22:V29">
    <cfRule type="expression" dxfId="186" priority="27">
      <formula>ABS(V$25-V$28)&gt;=1000</formula>
    </cfRule>
  </conditionalFormatting>
  <conditionalFormatting sqref="W22:W29">
    <cfRule type="expression" dxfId="185" priority="26">
      <formula>ABS(W$25-W$28)&gt;=1000</formula>
    </cfRule>
  </conditionalFormatting>
  <conditionalFormatting sqref="X22:X29">
    <cfRule type="expression" dxfId="184" priority="25">
      <formula>ABS(X$25-X$28)&gt;=1000</formula>
    </cfRule>
  </conditionalFormatting>
  <conditionalFormatting sqref="Y22:Y29">
    <cfRule type="expression" dxfId="183" priority="24">
      <formula>ABS(Y$25-Y$28)&gt;=1000</formula>
    </cfRule>
  </conditionalFormatting>
  <conditionalFormatting sqref="I23">
    <cfRule type="expression" dxfId="182" priority="23">
      <formula>ABS(I$25-I$28)&gt;=1000</formula>
    </cfRule>
  </conditionalFormatting>
  <conditionalFormatting sqref="Q14">
    <cfRule type="expression" dxfId="181" priority="22">
      <formula>ABS(Q$16-Q$19)&gt;=1000</formula>
    </cfRule>
  </conditionalFormatting>
  <conditionalFormatting sqref="W14">
    <cfRule type="expression" dxfId="180" priority="21">
      <formula>ABS(W$16-W$19)&gt;=1000</formula>
    </cfRule>
  </conditionalFormatting>
  <conditionalFormatting sqref="X14">
    <cfRule type="expression" dxfId="179" priority="20">
      <formula>ABS(X$16-X$19)&gt;=1000</formula>
    </cfRule>
  </conditionalFormatting>
  <conditionalFormatting sqref="T10:Y10">
    <cfRule type="expression" dxfId="178" priority="19">
      <formula>ABS(T$7-T$10)&gt;=1000</formula>
    </cfRule>
  </conditionalFormatting>
  <conditionalFormatting sqref="W19">
    <cfRule type="expression" dxfId="177" priority="18">
      <formula>ABS(W$16-W$19)&gt;=1000</formula>
    </cfRule>
  </conditionalFormatting>
  <conditionalFormatting sqref="AC5">
    <cfRule type="expression" dxfId="176" priority="17">
      <formula>ABS(AC$7-AC$10)&gt;=1000</formula>
    </cfRule>
  </conditionalFormatting>
  <conditionalFormatting sqref="M14">
    <cfRule type="expression" dxfId="175" priority="16">
      <formula>ABS(M$16-M$19)&gt;=1000</formula>
    </cfRule>
  </conditionalFormatting>
  <conditionalFormatting sqref="M16">
    <cfRule type="expression" dxfId="174" priority="15">
      <formula>ABS(M$16-M$19)&gt;=1000</formula>
    </cfRule>
  </conditionalFormatting>
  <conditionalFormatting sqref="M19">
    <cfRule type="expression" dxfId="173" priority="14">
      <formula>ABS(M$16-M$19)&gt;=1000</formula>
    </cfRule>
  </conditionalFormatting>
  <conditionalFormatting sqref="K13:K20">
    <cfRule type="expression" dxfId="172" priority="13">
      <formula>ABS(K$16-K$19)&gt;=1000</formula>
    </cfRule>
  </conditionalFormatting>
  <conditionalFormatting sqref="E5">
    <cfRule type="expression" dxfId="171" priority="12">
      <formula>ABS(E$7-E$10)&gt;=1000</formula>
    </cfRule>
  </conditionalFormatting>
  <conditionalFormatting sqref="AB14:AC14">
    <cfRule type="expression" dxfId="170" priority="11">
      <formula>ABS(AB$16-AB$19)&gt;=1000</formula>
    </cfRule>
  </conditionalFormatting>
  <conditionalFormatting sqref="M5">
    <cfRule type="expression" dxfId="169" priority="10">
      <formula>ABS(M$7-M$10)&gt;=1000</formula>
    </cfRule>
  </conditionalFormatting>
  <conditionalFormatting sqref="N5">
    <cfRule type="expression" dxfId="168" priority="9">
      <formula>ABS(N$7-N$10)&gt;=1000</formula>
    </cfRule>
  </conditionalFormatting>
  <conditionalFormatting sqref="O5">
    <cfRule type="expression" dxfId="167" priority="8">
      <formula>ABS(O$7-O$10)&gt;=1000</formula>
    </cfRule>
  </conditionalFormatting>
  <conditionalFormatting sqref="P5">
    <cfRule type="expression" dxfId="166" priority="7">
      <formula>ABS(P$7-P$10)&gt;=1000</formula>
    </cfRule>
  </conditionalFormatting>
  <conditionalFormatting sqref="L23">
    <cfRule type="expression" dxfId="165" priority="6">
      <formula>ABS(L$25-L$28)&gt;=1000</formula>
    </cfRule>
  </conditionalFormatting>
  <conditionalFormatting sqref="Y14">
    <cfRule type="expression" dxfId="164" priority="5">
      <formula>ABS(Y$16-Y$19)&gt;=1000</formula>
    </cfRule>
  </conditionalFormatting>
  <conditionalFormatting sqref="F14">
    <cfRule type="expression" dxfId="163" priority="4">
      <formula>ABS(F$16-F$19)&gt;=1000</formula>
    </cfRule>
  </conditionalFormatting>
  <conditionalFormatting sqref="H14">
    <cfRule type="expression" dxfId="162" priority="3">
      <formula>ABS(H$16-H$19)&gt;=1000</formula>
    </cfRule>
  </conditionalFormatting>
  <conditionalFormatting sqref="AD5">
    <cfRule type="expression" dxfId="161" priority="2">
      <formula>ABS(AD$7-AD$10)&gt;=1000</formula>
    </cfRule>
  </conditionalFormatting>
  <conditionalFormatting sqref="AE5">
    <cfRule type="expression" dxfId="1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37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6">
    <pageSetUpPr fitToPage="1"/>
  </sheetPr>
  <dimension ref="A1:CU223"/>
  <sheetViews>
    <sheetView tabSelected="1" view="pageBreakPreview" topLeftCell="A13" zoomScale="70" zoomScaleNormal="100" zoomScaleSheetLayoutView="70" workbookViewId="0">
      <selection activeCell="N28" sqref="N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9" t="s" ph="1">
        <v>161</v>
      </c>
      <c r="C1" s="239" ph="1"/>
      <c r="D1" s="239" ph="1"/>
      <c r="E1" s="239" ph="1"/>
      <c r="F1" s="239" ph="1"/>
      <c r="G1" s="239" ph="1"/>
      <c r="H1" s="239" ph="1"/>
      <c r="I1" s="239" ph="1"/>
      <c r="J1" s="239" ph="1"/>
      <c r="K1" s="239" ph="1"/>
      <c r="L1" s="239" ph="1"/>
      <c r="M1" s="239" ph="1"/>
      <c r="N1" s="239" ph="1"/>
      <c r="O1" s="239" ph="1"/>
      <c r="P1" s="239" ph="1"/>
      <c r="Q1" s="239" ph="1"/>
      <c r="R1" s="239" ph="1"/>
      <c r="S1" s="239" ph="1"/>
      <c r="T1" s="239" ph="1"/>
      <c r="U1" s="239" ph="1"/>
      <c r="V1" s="239" ph="1"/>
      <c r="W1" s="239" ph="1"/>
      <c r="X1" s="239" ph="1"/>
      <c r="Y1" s="239" ph="1"/>
      <c r="Z1" s="239" ph="1"/>
      <c r="AA1" s="239" ph="1"/>
      <c r="AB1" s="239" ph="1"/>
      <c r="AC1" s="239" ph="1"/>
      <c r="AD1" s="239" ph="1"/>
      <c r="AE1" s="239" ph="1"/>
    </row>
    <row r="2" spans="1:99" s="66" customFormat="1" ht="24" customHeight="1" ph="1">
      <c r="B2" s="240" t="s" ph="1">
        <v>82</v>
      </c>
      <c r="C2" s="240" ph="1"/>
      <c r="D2" s="240" ph="1"/>
      <c r="E2" s="240" ph="1"/>
      <c r="F2" s="240" ph="1"/>
      <c r="G2" s="240" ph="1"/>
      <c r="H2" s="240" ph="1"/>
      <c r="I2" s="240" ph="1"/>
      <c r="J2" s="240" ph="1"/>
      <c r="K2" s="240" ph="1"/>
      <c r="L2" s="240" ph="1"/>
      <c r="M2" s="240" ph="1"/>
      <c r="N2" s="240" ph="1"/>
      <c r="O2" s="240" ph="1"/>
      <c r="P2" s="240" ph="1"/>
      <c r="Q2" s="240" ph="1"/>
      <c r="R2" s="240" ph="1"/>
      <c r="S2" s="240" ph="1"/>
      <c r="T2" s="240" ph="1"/>
      <c r="U2" s="240" ph="1"/>
      <c r="V2" s="240" ph="1"/>
      <c r="W2" s="240" ph="1"/>
      <c r="X2" s="240" ph="1"/>
      <c r="Y2" s="240" ph="1"/>
      <c r="Z2" s="240" ph="1"/>
      <c r="AA2" s="240" ph="1"/>
      <c r="AB2" s="240" ph="1"/>
      <c r="AC2" s="240" ph="1"/>
      <c r="AD2" s="240" ph="1"/>
      <c r="AE2" s="240" ph="1"/>
    </row>
    <row r="3" spans="1:99" ht="21" customHeight="1" ph="1">
      <c r="B3" s="241" ph="1">
        <v>46112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</row>
    <row r="4" spans="1:99" s="69" customFormat="1" ph="1">
      <c r="A4" s="65" ph="1"/>
      <c r="B4" s="220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0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8" ph="1">
        <v>0.33333333333333331</v>
      </c>
      <c r="C6" s="160" t="s" ph="1">
        <v>177</v>
      </c>
      <c r="D6" s="71">
        <v>3629</v>
      </c>
      <c r="E6" s="71">
        <v>8011</v>
      </c>
      <c r="F6" s="71">
        <v>6322</v>
      </c>
      <c r="G6" s="71">
        <v>8966</v>
      </c>
      <c r="H6" s="71">
        <v>6374</v>
      </c>
      <c r="I6" s="71">
        <v>23.37</v>
      </c>
      <c r="J6" s="71">
        <v>6.52</v>
      </c>
      <c r="K6" s="71">
        <v>7.33</v>
      </c>
      <c r="L6" s="71">
        <v>47.29</v>
      </c>
      <c r="M6" s="71">
        <v>1098</v>
      </c>
      <c r="N6" s="71">
        <v>640</v>
      </c>
      <c r="O6" s="71">
        <v>688</v>
      </c>
      <c r="P6" s="71">
        <v>0</v>
      </c>
      <c r="Q6" s="71">
        <v>1726</v>
      </c>
      <c r="R6" s="71">
        <v>7135</v>
      </c>
      <c r="S6" s="71">
        <v>6910</v>
      </c>
      <c r="T6" s="71">
        <v>6012</v>
      </c>
      <c r="U6" s="71">
        <v>2990</v>
      </c>
      <c r="V6" s="71">
        <v>0</v>
      </c>
      <c r="W6" s="71">
        <v>0</v>
      </c>
      <c r="X6" s="71">
        <v>0</v>
      </c>
      <c r="Y6" s="71">
        <v>1</v>
      </c>
      <c r="Z6" s="71">
        <v>3596</v>
      </c>
      <c r="AA6" s="71">
        <v>4233</v>
      </c>
      <c r="AB6" s="71">
        <v>2841</v>
      </c>
      <c r="AC6" s="71">
        <v>5996</v>
      </c>
      <c r="AD6" s="71">
        <v>3775</v>
      </c>
      <c r="AE6" s="71">
        <v>4048</v>
      </c>
    </row>
    <row r="7" spans="1:99" s="72" customFormat="1" ht="22.2" ph="1">
      <c r="B7" s="238" ph="1"/>
      <c r="C7" s="68" t="s" ph="1">
        <v>178</v>
      </c>
      <c r="D7" s="73" ph="1">
        <f>D6*33.183*LOOKUP(D8,密度!$A$2:$A$50,密度!$Q$2:$Q$50)</f>
        <v>114095.38624929001</v>
      </c>
      <c r="E7" s="73" ph="1">
        <f>E6*51.53*LOOKUP(E8,密度!$A$2:$A$50,密度!$B$2:$B$50)</f>
        <v>322938.78310900001</v>
      </c>
      <c r="F7" s="73" ph="1">
        <f>F6*33.183*LOOKUP(F8,密度!$A$2:$A$50,密度!$C$2:$C$50)</f>
        <v>233089.8090786</v>
      </c>
      <c r="G7" s="73" ph="1">
        <f xml:space="preserve"> (G6+2)*51.53*LOOKUP(G8,密度!$A$2:$A$50,密度!$B$2:$B$50)</f>
        <v>360685.47172000003</v>
      </c>
      <c r="H7" s="73" ph="1">
        <f>(H6)*51.53*LOOKUP(H8,密度!$A$2:$A$50,密度!$B$2:$B$50)</f>
        <v>257802.14747800003</v>
      </c>
      <c r="I7" s="73" ph="1">
        <f>I6*290.8*1.0267</f>
        <v>6977.4490932000008</v>
      </c>
      <c r="J7" s="73" ph="1">
        <f>J6*290.8*0.7892</f>
        <v>1496.3358271999998</v>
      </c>
      <c r="K7" s="73" ph="1">
        <f>K6*290.8*1.1126</f>
        <v>2371.5781064000003</v>
      </c>
      <c r="L7" s="73" ph="1">
        <f>L6*290.8*0.777</f>
        <v>10685.251164000001</v>
      </c>
      <c r="M7" s="73" ph="1">
        <f>M6*33.183*LOOKUP(M8,密度!$A$2:$A$50,密度!$D$2:$D$50)</f>
        <v>37509.764553000001</v>
      </c>
      <c r="N7" s="73" ph="1">
        <f>N6*33.183*LOOKUP(N8,密度!$A$2:$A$50,密度!$E$2:$E$50)</f>
        <v>16683.881471999997</v>
      </c>
      <c r="O7" s="73" ph="1">
        <f>O6*20.428*LOOKUP(O8,密度!$A$2:$A$50,密度!$C$2:$C$50)</f>
        <v>15573.751558400001</v>
      </c>
      <c r="P7" s="73" ph="1">
        <f>P6*51.53*LOOKUP(P8,密度!$A$2:$A$50,密度!$B$2:$B$50)</f>
        <v>0</v>
      </c>
      <c r="Q7" s="73" ph="1">
        <f>Q6*1.5*1.5*3.1416*LOOKUP(W8,密度!$A$2:$A$50,密度!$L$2:$L$50)</f>
        <v>11456.178980399998</v>
      </c>
      <c r="R7" s="73" ph="1">
        <f>R6*1.5*1.5*3.1416*LOOKUP(R8,密度!$A$2:$A$50,密度!$L$2:$L$50)</f>
        <v>47055.352113000001</v>
      </c>
      <c r="S7" s="73" ph="1">
        <f>S6*1.5*1.5*3.1416*LOOKUP(S8,密度!$A$2:$A$50,密度!$L$2:$L$50)</f>
        <v>46011.072491999992</v>
      </c>
      <c r="T7" s="73" ph="1">
        <f>T6*1.5*1.5*3.1416*LOOKUP(T8,密度!$A$2:$A$50,密度!$L$2:$L$50)</f>
        <v>40074.127077599995</v>
      </c>
      <c r="U7" s="73" ph="1">
        <f>U6*1.5*1.5*3.1416*LOOKUP(U8,密度!$A$2:$A$50,密度!$L$2:$L$50)</f>
        <v>19845.872046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6.6374153999999992</v>
      </c>
      <c r="Z7" s="73" ph="1">
        <f>Z6*33.183*LOOKUP(Z8,密度!$A$2:$A$50,密度!$L$2:$L$50)</f>
        <v>112166.50391999999</v>
      </c>
      <c r="AA7" s="73" ph="1">
        <f>AA6*33.183*LOOKUP(AA8,密度!$A$2:$A$50,密度!$D$2:$D$50)</f>
        <v>144340.4354364</v>
      </c>
      <c r="AB7" s="73" ph="1">
        <f>AB6*20.428*LOOKUP(AB8,密度!$A$2:$A$50,密度!$D$2:$D$50)</f>
        <v>60102.027748800007</v>
      </c>
      <c r="AC7" s="73" ph="1">
        <f>AC6*51.53*LOOKUP(AC8,密度!$A$2:$A$50,密度!$Q$2:$Q$50)</f>
        <v>293429.40409720002</v>
      </c>
      <c r="AD7" s="73" ph="1">
        <f>AD6*20.428*LOOKUP(AD8,密度!$A$2:$A$50,密度!$V$2:$V$50)</f>
        <v>74092.764559999996</v>
      </c>
      <c r="AE7" s="73" ph="1">
        <f>AE6*20.428</f>
        <v>82692.544000000009</v>
      </c>
    </row>
    <row r="8" spans="1:99" ph="1">
      <c r="B8" s="238" ph="1"/>
      <c r="C8" s="68" t="s" ph="1">
        <v>179</v>
      </c>
      <c r="D8" s="74">
        <v>24</v>
      </c>
      <c r="E8" s="74">
        <v>22</v>
      </c>
      <c r="F8" s="74">
        <v>22</v>
      </c>
      <c r="G8" s="74">
        <v>24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26</v>
      </c>
      <c r="P8" s="74">
        <v>21</v>
      </c>
      <c r="Q8" s="74">
        <v>26</v>
      </c>
      <c r="R8" s="74">
        <v>29</v>
      </c>
      <c r="S8" s="74">
        <v>20</v>
      </c>
      <c r="T8" s="74">
        <v>19</v>
      </c>
      <c r="U8" s="74">
        <v>23</v>
      </c>
      <c r="V8" s="74">
        <v>28</v>
      </c>
      <c r="W8" s="74">
        <v>23</v>
      </c>
      <c r="X8" s="74">
        <v>13</v>
      </c>
      <c r="Y8" s="74">
        <v>23</v>
      </c>
      <c r="Z8" s="74">
        <v>22</v>
      </c>
      <c r="AA8" s="74">
        <v>24</v>
      </c>
      <c r="AB8" s="74">
        <v>15</v>
      </c>
      <c r="AC8" s="74">
        <v>21</v>
      </c>
      <c r="AD8" s="74">
        <v>22</v>
      </c>
      <c r="AE8" s="74">
        <v>23</v>
      </c>
    </row>
    <row r="9" spans="1:99" ht="26.4" ph="1">
      <c r="B9" s="238" ph="1">
        <v>0.66666666666666663</v>
      </c>
      <c r="C9" s="160" t="s" ph="1">
        <v>180</v>
      </c>
      <c r="D9" s="71">
        <v>3631</v>
      </c>
      <c r="E9" s="71">
        <v>8005</v>
      </c>
      <c r="F9" s="71">
        <v>6328</v>
      </c>
      <c r="G9" s="71">
        <v>8976</v>
      </c>
      <c r="H9" s="71">
        <v>6381</v>
      </c>
      <c r="I9" s="71">
        <v>23.29</v>
      </c>
      <c r="J9" s="71">
        <v>6.54</v>
      </c>
      <c r="K9" s="71">
        <v>7.31</v>
      </c>
      <c r="L9" s="71">
        <v>47.16</v>
      </c>
      <c r="M9" s="71">
        <v>1096</v>
      </c>
      <c r="N9" s="71">
        <v>644</v>
      </c>
      <c r="O9" s="71">
        <v>686</v>
      </c>
      <c r="P9" s="71">
        <v>0</v>
      </c>
      <c r="Q9" s="71">
        <v>0</v>
      </c>
      <c r="R9" s="71">
        <v>4138</v>
      </c>
      <c r="S9" s="71">
        <v>6920</v>
      </c>
      <c r="T9" s="71">
        <v>7155</v>
      </c>
      <c r="U9" s="71">
        <v>6666</v>
      </c>
      <c r="V9" s="71">
        <v>0</v>
      </c>
      <c r="W9" s="71">
        <v>0</v>
      </c>
      <c r="X9" s="71">
        <v>0</v>
      </c>
      <c r="Y9" s="71">
        <v>0</v>
      </c>
      <c r="Z9" s="71">
        <v>4365</v>
      </c>
      <c r="AA9" s="71">
        <v>4241</v>
      </c>
      <c r="AB9" s="71">
        <v>2744</v>
      </c>
      <c r="AC9" s="71">
        <v>6334</v>
      </c>
      <c r="AD9" s="71">
        <v>3775</v>
      </c>
      <c r="AE9" s="71">
        <v>4046</v>
      </c>
    </row>
    <row r="10" spans="1:99" s="72" customFormat="1" ht="22.2" ph="1">
      <c r="B10" s="238" ph="1"/>
      <c r="C10" s="160" t="s" ph="1">
        <v>178</v>
      </c>
      <c r="D10" s="73" ph="1">
        <f>D9*33.183*LOOKUP(D11,密度!$A$2:$A$50,密度!$Q$2:$Q$50)</f>
        <v>113984.76408219</v>
      </c>
      <c r="E10" s="73" ph="1">
        <f>E9*51.53*LOOKUP(E11,密度!$A$2:$A$50,密度!$B$2:$B$50)</f>
        <v>320510.67405000003</v>
      </c>
      <c r="F10" s="73" ph="1">
        <f>F9*33.183*LOOKUP(F11,密度!$A$2:$A$50,密度!$C$2:$C$50)</f>
        <v>232996.05383039999</v>
      </c>
      <c r="G10" s="73" ph="1">
        <f xml:space="preserve"> (G9+2)*51.53*LOOKUP(G11,密度!$A$2:$A$50,密度!$B$2:$B$50)</f>
        <v>359468.43618000002</v>
      </c>
      <c r="H10" s="73" ph="1">
        <f>(H9)*51.53*LOOKUP(H11,密度!$A$2:$A$50,密度!$B$2:$B$50)</f>
        <v>255783.578247</v>
      </c>
      <c r="I10" s="73" ph="1">
        <f>I9*290.8*1.0267</f>
        <v>6953.5639443999999</v>
      </c>
      <c r="J10" s="73" ph="1">
        <f>J9*290.8*0.7892</f>
        <v>1500.9258144</v>
      </c>
      <c r="K10" s="73" ph="1">
        <f>K9*290.8*1.1126</f>
        <v>2365.1072248</v>
      </c>
      <c r="L10" s="73" ph="1">
        <f>L9*290.8*0.777</f>
        <v>10655.877456</v>
      </c>
      <c r="M10" s="73" ph="1">
        <f>M9*33.183*LOOKUP(M11,密度!$A$2:$A$50,密度!$D$2:$D$50)</f>
        <v>37135.944784799998</v>
      </c>
      <c r="N10" s="73" ph="1">
        <f>N9*33.183*LOOKUP(N11,密度!$A$2:$A$50,密度!$E$2:$E$50)</f>
        <v>16592.6215854</v>
      </c>
      <c r="O10" s="73" ph="1">
        <f>O9*20.428*LOOKUP(O11,密度!$A$2:$A$50,密度!$C$2:$C$50)</f>
        <v>15339.2953168</v>
      </c>
      <c r="P10" s="73" ph="1">
        <f>P9*51.53*LOOKUP(P11,密度!$A$2:$A$50,密度!$B$2:$B$50)</f>
        <v>0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27202.376124000002</v>
      </c>
      <c r="S10" s="73" ph="1">
        <f>S9*1.5*1.5*3.1416*LOOKUP(S11,密度!$A$2:$A$50,密度!$L$2:$L$50)</f>
        <v>45979.829279999998</v>
      </c>
      <c r="T10" s="73" ph="1">
        <f>T9*1.5*1.5*3.1416*LOOKUP(T11,密度!$A$2:$A$50,密度!$L$2:$L$50)</f>
        <v>47591.858852999998</v>
      </c>
      <c r="U10" s="73" ph="1">
        <f>U9*1.5*1.5*3.1416*LOOKUP(U11,密度!$A$2:$A$50,密度!$L$2:$L$50)</f>
        <v>44197.891768799993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135428.94832500003</v>
      </c>
      <c r="AA10" s="73" ph="1">
        <f>AA9*33.183*LOOKUP(AA11,密度!$A$2:$A$50,密度!$D$2:$D$50)</f>
        <v>143825.143266</v>
      </c>
      <c r="AB10" s="73" ph="1">
        <f>AB9*20.428*LOOKUP(AB11,密度!$A$2:$A$50,密度!$D$2:$D$50)</f>
        <v>57909.833699199997</v>
      </c>
      <c r="AC10" s="73" ph="1">
        <f>AC9*51.53*LOOKUP(AC11,密度!$A$2:$A$50,密度!$Q$2:$Q$50)</f>
        <v>308090.27550860005</v>
      </c>
      <c r="AD10" s="73" ph="1">
        <f>AD9*20.428*LOOKUP(AD11,密度!$A$2:$A$50,密度!$V$2:$V$50)</f>
        <v>73845.994319999998</v>
      </c>
      <c r="AE10" s="73" ph="1">
        <f>AE9*20.428</f>
        <v>82651.688000000009</v>
      </c>
    </row>
    <row r="11" spans="1:99" ph="1">
      <c r="A11" s="64" t="s" ph="1">
        <v>162</v>
      </c>
      <c r="B11" s="238" ph="1"/>
      <c r="C11" s="160" t="s" ph="1">
        <v>179</v>
      </c>
      <c r="D11" s="74">
        <v>26</v>
      </c>
      <c r="E11" s="74">
        <v>28</v>
      </c>
      <c r="F11" s="74">
        <v>24</v>
      </c>
      <c r="G11" s="74">
        <v>28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40</v>
      </c>
      <c r="P11" s="74">
        <v>34</v>
      </c>
      <c r="Q11" s="74">
        <v>38</v>
      </c>
      <c r="R11" s="74">
        <v>32</v>
      </c>
      <c r="S11" s="74">
        <v>22</v>
      </c>
      <c r="T11" s="74">
        <v>21</v>
      </c>
      <c r="U11" s="74">
        <v>24</v>
      </c>
      <c r="V11" s="74">
        <v>27</v>
      </c>
      <c r="W11" s="74">
        <v>39</v>
      </c>
      <c r="X11" s="74">
        <v>29</v>
      </c>
      <c r="Y11" s="74">
        <v>31</v>
      </c>
      <c r="Z11" s="74">
        <v>27</v>
      </c>
      <c r="AA11" s="74">
        <v>30</v>
      </c>
      <c r="AB11" s="74">
        <v>18</v>
      </c>
      <c r="AC11" s="74">
        <v>29</v>
      </c>
      <c r="AD11" s="74">
        <v>27</v>
      </c>
      <c r="AE11" s="74">
        <v>27</v>
      </c>
    </row>
    <row r="12" spans="1:99" ht="9.9" customHeight="1" ph="1"/>
    <row r="13" spans="1:99" s="72" customFormat="1" ht="29.25" customHeight="1" ph="1">
      <c r="B13" s="215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6" ph="1"/>
      <c r="C14" s="67" t="s" ph="1">
        <v>36</v>
      </c>
      <c r="D14" s="77" t="s" ph="1">
        <v>616</v>
      </c>
      <c r="E14" s="77" t="s" ph="1">
        <v>616</v>
      </c>
      <c r="F14" s="144" t="s" ph="1">
        <v>637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7" ph="1">
        <v>0.33333333333333331</v>
      </c>
      <c r="C15" s="160" t="s" ph="1">
        <v>177</v>
      </c>
      <c r="D15" s="78">
        <v>0</v>
      </c>
      <c r="E15" s="78">
        <v>2126</v>
      </c>
      <c r="F15" s="78">
        <v>3080</v>
      </c>
      <c r="G15" s="78">
        <v>3854</v>
      </c>
      <c r="H15" s="78">
        <v>0</v>
      </c>
      <c r="I15" s="78">
        <v>5473</v>
      </c>
      <c r="J15" s="78">
        <v>788</v>
      </c>
      <c r="K15" s="78">
        <v>3589</v>
      </c>
      <c r="L15" s="78">
        <v>4966</v>
      </c>
      <c r="M15" s="78">
        <v>6100</v>
      </c>
      <c r="N15" s="78">
        <v>472</v>
      </c>
      <c r="O15" s="78">
        <v>5000</v>
      </c>
      <c r="P15" s="78">
        <v>1105</v>
      </c>
      <c r="Q15" s="78">
        <v>1281</v>
      </c>
      <c r="R15" s="78">
        <v>7410</v>
      </c>
      <c r="S15" s="78">
        <v>0</v>
      </c>
      <c r="T15" s="78">
        <v>1357</v>
      </c>
      <c r="U15" s="78">
        <v>5770</v>
      </c>
      <c r="V15" s="78">
        <v>3704</v>
      </c>
      <c r="W15" s="71">
        <v>-172</v>
      </c>
      <c r="X15" s="78">
        <v>-21</v>
      </c>
      <c r="Y15" s="106">
        <v>-9907</v>
      </c>
      <c r="Z15" s="78">
        <v>0</v>
      </c>
      <c r="AA15" s="78">
        <v>6856</v>
      </c>
      <c r="AB15" s="78" ph="1">
        <v>7170</v>
      </c>
      <c r="AC15" s="78" ph="1">
        <v>7137</v>
      </c>
      <c r="AD15" s="78">
        <v>52.69</v>
      </c>
      <c r="AE15" s="78">
        <v>5.61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8" ph="1"/>
      <c r="C16" s="16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14096.117296799999</v>
      </c>
      <c r="F16" s="73" ph="1">
        <f>F15*9.0746*LOOKUP(F17,密度!$A$2:$A$50,密度!$L$2:$L$50)</f>
        <v>26160.982848000003</v>
      </c>
      <c r="G16" s="73" ph="1">
        <f>G15*9.0746*LOOKUP(G17,密度!$A$2:$A$50,密度!$B$2:$B$50)</f>
        <v>27296.823306199996</v>
      </c>
      <c r="H16" s="73" ph="1">
        <f>H15*9.0746*LOOKUP(H17,密度!$A$2:$A$50,密度!$L$2:$L$50)</f>
        <v>0</v>
      </c>
      <c r="I16" s="73" ph="1">
        <f>I15*9.0746*LOOKUP(I17,密度!$A$2:$A$50,密度!$U$2:$U$50)</f>
        <v>51055.913802399999</v>
      </c>
      <c r="J16" s="73" ph="1">
        <f>J15*9.0746*LOOKUP(J17,密度!$A$2:$A$50,密度!$L$2:$L$50)</f>
        <v>6714.5869272</v>
      </c>
      <c r="K16" s="73" ph="1">
        <f>K15*9.0746*LOOKUP(K17,密度!$A$2:$A$50,密度!$C$2:$C$50)</f>
        <v>36164.328229760002</v>
      </c>
      <c r="L16" s="73" ph="1">
        <f>L15*9.0746*LOOKUP(L17,密度!$A$2:$A$50,密度!$E$2:$E$50)</f>
        <v>35294.487891520002</v>
      </c>
      <c r="M16" s="73" ph="1">
        <f>M15*9.0746*LOOKUP(M17,密度!$A$2:$A$50,密度!$M$2:$M$50)</f>
        <v>48385.857946000004</v>
      </c>
      <c r="N16" s="73" ph="1">
        <f>N15*9.0746*LOOKUP(N17,密度!$A$2:$A$50,密度!$M$2:$M$50)</f>
        <v>3765.3709659199999</v>
      </c>
      <c r="O16" s="73" ph="1">
        <f>O15*9.0746*LOOKUP(O17,密度!$A$2:$A$50,密度!$G$2:$G$50)</f>
        <v>43567.154600000002</v>
      </c>
      <c r="P16" s="73" ph="1">
        <f ca="1">P15*9.0746*LOOKUP(P17,密度!$A$2:$A$51,密度!$Q$2:$Q$50)</f>
        <v>9516.9363859700006</v>
      </c>
      <c r="Q16" s="73" ph="1">
        <f>Q15*9.0746*LOOKUP(Q17,密度!$A$2:$A$50,密度!$Q$2:$Q$50)</f>
        <v>11022.410257320002</v>
      </c>
      <c r="R16" s="73" ph="1">
        <f>MAX(R15*9.0746*LOOKUP(R17,密度!$A$2:$A$50,密度!$B$2:$B$50),0)</f>
        <v>52308.163229400008</v>
      </c>
      <c r="S16" s="73" ph="1">
        <f>S15*9.0746*LOOKUP(S17,密度!$A$2:$A$50,密度!$Q$2:$Q$50)</f>
        <v>0</v>
      </c>
      <c r="T16" s="73" ph="1">
        <f>T15*9.0746*LOOKUP(T17,密度!$A$2:$A$50,密度!$O$2:$O$50)</f>
        <v>11452.235946000001</v>
      </c>
      <c r="U16" s="73" ph="1">
        <f>U15*9.0746*LOOKUP(U17,密度!$A$2:$A$50,密度!$H$2:$H$50)</f>
        <v>48056.413667599998</v>
      </c>
      <c r="V16" s="73" ph="1">
        <f>MAX(5600*LOOKUP(V17,密度!$A$2:$A$50,密度!$Q$2:$Q$50)+V15*9.0476*LOOKUP(V17,密度!$A$2:$A$50,密度!$Q$2:$Q$50),0)</f>
        <v>37057.740734687999</v>
      </c>
      <c r="W16" s="73" ph="1">
        <f>MAX(5600*LOOKUP(W17,密度!$A$2:$A$50,密度!$Q$2:$Q$50)+W15*9.0476*LOOKUP(W17,密度!$A$2:$A$50,密度!$Q$2:$Q$50),0)</f>
        <v>3831.3913136160004</v>
      </c>
      <c r="X16" s="73" ph="1">
        <f>MAX(5600*LOOKUP(X17,密度!$A$2:$A$50,密度!$I$2:$I$50)+X15*9.0476*LOOKUP(X17,密度!$A$2:$A$50,密度!$I$2:$I$50),0)</f>
        <v>5638.84341692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48615.158568639999</v>
      </c>
      <c r="AB16" s="73" ph="1">
        <f>AB15*9.0746*LOOKUP(AB17,密度!$A$2:$A$50,密度!$L$2:$L$50)</f>
        <v>60965.79443400001</v>
      </c>
      <c r="AC16" s="73" ph="1">
        <f>AC15*9.0746*LOOKUP(AC17,密度!$A$2:$A$50,密度!$L$2:$L$50)</f>
        <v>60879.494987999999</v>
      </c>
      <c r="AD16" s="73" ph="1">
        <f>AD15*268.68*LOOKUP(AD17,密度!$A$2:$A$50,密度!B2:B50)+IF(AD15&lt;=0,0,1566*LOOKUP(AD17,密度!$A$2:$A$50,密度!B2:B50))</f>
        <v>12257.455276320001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9" ph="1"/>
      <c r="C17" s="79" t="s" ph="1">
        <v>179</v>
      </c>
      <c r="D17" s="74">
        <v>24</v>
      </c>
      <c r="E17" s="74">
        <v>24</v>
      </c>
      <c r="F17" s="74">
        <v>26</v>
      </c>
      <c r="G17" s="74">
        <v>24</v>
      </c>
      <c r="H17" s="74">
        <v>20</v>
      </c>
      <c r="I17" s="74">
        <v>22</v>
      </c>
      <c r="J17" s="74">
        <v>23</v>
      </c>
      <c r="K17" s="74">
        <v>23</v>
      </c>
      <c r="L17" s="74">
        <v>25</v>
      </c>
      <c r="M17" s="74">
        <v>26</v>
      </c>
      <c r="N17" s="74">
        <v>21</v>
      </c>
      <c r="O17" s="74">
        <v>25</v>
      </c>
      <c r="P17" s="74">
        <v>22</v>
      </c>
      <c r="Q17" s="74">
        <v>23</v>
      </c>
      <c r="R17" s="74">
        <v>27</v>
      </c>
      <c r="S17" s="74">
        <v>22</v>
      </c>
      <c r="T17" s="74">
        <v>24</v>
      </c>
      <c r="U17" s="74">
        <v>22</v>
      </c>
      <c r="V17" s="74">
        <v>24</v>
      </c>
      <c r="W17" s="74">
        <v>24</v>
      </c>
      <c r="X17" s="74">
        <v>25</v>
      </c>
      <c r="Y17" s="108">
        <v>25</v>
      </c>
      <c r="Z17" s="74">
        <v>23</v>
      </c>
      <c r="AA17" s="74">
        <v>23</v>
      </c>
      <c r="AB17" s="74">
        <v>25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7" ph="1">
        <v>0.66666666666666663</v>
      </c>
      <c r="C18" s="79" t="s" ph="1">
        <v>180</v>
      </c>
      <c r="D18" s="71">
        <v>0</v>
      </c>
      <c r="E18" s="71">
        <v>66</v>
      </c>
      <c r="F18" s="71">
        <v>3082</v>
      </c>
      <c r="G18" s="71">
        <v>3912</v>
      </c>
      <c r="H18" s="71">
        <v>0</v>
      </c>
      <c r="I18" s="71">
        <v>5478</v>
      </c>
      <c r="J18" s="71">
        <v>804</v>
      </c>
      <c r="K18" s="71">
        <v>3590</v>
      </c>
      <c r="L18" s="71">
        <v>4978</v>
      </c>
      <c r="M18" s="71">
        <v>6113</v>
      </c>
      <c r="N18" s="71">
        <v>2799</v>
      </c>
      <c r="O18" s="71">
        <v>5007</v>
      </c>
      <c r="P18" s="71">
        <v>1105</v>
      </c>
      <c r="Q18" s="71">
        <v>1283</v>
      </c>
      <c r="R18" s="71">
        <v>7418</v>
      </c>
      <c r="S18" s="71">
        <v>0</v>
      </c>
      <c r="T18" s="71">
        <v>1356</v>
      </c>
      <c r="U18" s="71">
        <v>5768</v>
      </c>
      <c r="V18" s="71">
        <v>3704</v>
      </c>
      <c r="W18" s="71">
        <v>-173</v>
      </c>
      <c r="X18" s="71">
        <v>-23</v>
      </c>
      <c r="Y18" s="109">
        <v>-9908</v>
      </c>
      <c r="Z18" s="71">
        <v>0</v>
      </c>
      <c r="AA18" s="71">
        <v>6864</v>
      </c>
      <c r="AB18" s="71">
        <v>7178</v>
      </c>
      <c r="AC18" s="71">
        <v>7145</v>
      </c>
      <c r="AD18" s="71">
        <v>84.34</v>
      </c>
      <c r="AE18" s="71">
        <v>21.83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8" ph="1"/>
      <c r="C19" s="16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432.4710852</v>
      </c>
      <c r="F19" s="73" ph="1">
        <f>F18*9.0746*LOOKUP(F20,密度!$A$2:$A$50,密度!$L$2:$L$50)</f>
        <v>26066.098830400002</v>
      </c>
      <c r="G19" s="73" ph="1">
        <f>G18*9.0746*LOOKUP(G20,密度!$A$2:$A$50,密度!$B$2:$B$50)</f>
        <v>27643.72167024</v>
      </c>
      <c r="H19" s="73" ph="1">
        <f>H18*9.0746*LOOKUP(H20,密度!$A$2:$A$50,密度!$L$2:$L$50)</f>
        <v>0</v>
      </c>
      <c r="I19" s="73" ph="1">
        <f>I18*9.0746*LOOKUP(I20,密度!$A$2:$A$50,密度!$U$2:$U$50)</f>
        <v>50605.450658400005</v>
      </c>
      <c r="J19" s="73" ph="1">
        <f>J18*9.0746*LOOKUP(J20,密度!$A$2:$A$50,密度!$L$2:$L$50)</f>
        <v>6777.9639336</v>
      </c>
      <c r="K19" s="73" ph="1">
        <f>K18*9.0746*LOOKUP(K20,密度!$A$2:$A$50,密度!$C$2:$C$50)</f>
        <v>36050.608972400005</v>
      </c>
      <c r="L19" s="73" ph="1">
        <f>L18*9.0746*LOOKUP(L20,密度!$A$2:$A$50,密度!$E$2:$E$50)</f>
        <v>35280.393222800005</v>
      </c>
      <c r="M19" s="73" ph="1">
        <f>M18*9.0746*LOOKUP(M20,密度!$A$2:$A$50,密度!$M$2:$M$50)</f>
        <v>48317.008955800004</v>
      </c>
      <c r="N19" s="73" ph="1">
        <f>N18*9.0746*LOOKUP(N20,密度!$A$2:$A$50,密度!$M$2:$M$50)</f>
        <v>22227.369705540001</v>
      </c>
      <c r="O19" s="73" ph="1">
        <f>O18*9.0746*LOOKUP(O20,密度!$A$2:$A$50,密度!$G$2:$G$50)</f>
        <v>43482.751745399997</v>
      </c>
      <c r="P19" s="73" ph="1">
        <f ca="1">P18*9.0746*LOOKUP(P20,密度!$A$2:$A$51,密度!$Q$2:$Q$50)</f>
        <v>9418.767816900001</v>
      </c>
      <c r="Q19" s="73" ph="1">
        <f>Q18*9.0746*LOOKUP(Q20,密度!$A$2:$A$50,密度!$Q$2:$Q$50)</f>
        <v>10943.450529292</v>
      </c>
      <c r="R19" s="73" ph="1">
        <f>MAX(R18*9.0746*LOOKUP(R20,密度!$A$2:$A$50,密度!$B$2:$B$50),0)</f>
        <v>52189.616284840005</v>
      </c>
      <c r="S19" s="73" ph="1">
        <f>S18*9.0746*LOOKUP(S20,密度!$A$2:$A$50,密度!$Q$2:$Q$50)</f>
        <v>0</v>
      </c>
      <c r="T19" s="73" ph="1">
        <f>T18*9.0746*LOOKUP(T20,密度!$A$2:$A$50,密度!$O$2:$O$50)</f>
        <v>11355.19943328</v>
      </c>
      <c r="U19" s="73" ph="1">
        <f>U18*9.0746*LOOKUP(U20,密度!$A$2:$A$50,密度!$H$2:$H$50)</f>
        <v>47783.279097120008</v>
      </c>
      <c r="V19" s="73" ph="1">
        <f>MAX(5600*LOOKUP(V20,密度!$A$2:$A$50,密度!$Q$2:$Q$50)+V18*9.0476*LOOKUP(V20,密度!$A$2:$A$50,密度!$Q$2:$Q$50),0)</f>
        <v>36919.283155871999</v>
      </c>
      <c r="W19" s="73" ph="1">
        <f>MAX(5600*LOOKUP(W20,密度!$A$2:$A$50,密度!$Q$2:$Q$50)+W18*9.0476*LOOKUP(W20,密度!$A$2:$A$50,密度!$Q$2:$Q$50),0)</f>
        <v>3803.0889822159997</v>
      </c>
      <c r="X19" s="73" ph="1">
        <f>MAX(5600*LOOKUP(X20,密度!$A$2:$A$50,密度!$I$2:$I$50)+X18*9.0476*LOOKUP(X20,密度!$A$2:$A$50,密度!$I$2:$I$50),0)</f>
        <v>5602.1895027999999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48559.767210239996</v>
      </c>
      <c r="AB19" s="73" ph="1">
        <f>AB18*9.0746*LOOKUP(AB20,密度!$A$2:$A$50,密度!$L$2:$L$50)</f>
        <v>60903.542678000005</v>
      </c>
      <c r="AC19" s="73" ph="1">
        <f>AC18*9.0746*LOOKUP(AC20,密度!$A$2:$A$50,密度!$L$2:$L$50)</f>
        <v>60623.545895000003</v>
      </c>
      <c r="AD19" s="73" ph="1">
        <f>AD18*268.68*LOOKUP(AD20,密度!$A$2:$A$50,密度!B5:B53)+IF(AD18&lt;=0,0,1566*LOOKUP(AD20,密度!$A$2:$A$50,密度!B5:B53))</f>
        <v>18823.968122400001</v>
      </c>
      <c r="AE19" s="73" ph="1">
        <f>AE18*268.68*LOOKUP(AE20,密度!$A$2:$A$50,密度!B5:B53)+IF(AE18&lt;=0,0,1566*LOOKUP(AE20,密度!$A$2:$A$50,密度!B5:B53))</f>
        <v>5774.1079787999997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8" ph="1"/>
      <c r="C20" s="80" t="s" ph="1">
        <v>179</v>
      </c>
      <c r="D20" s="81">
        <v>35</v>
      </c>
      <c r="E20" s="81">
        <v>35</v>
      </c>
      <c r="F20" s="81">
        <v>30</v>
      </c>
      <c r="G20" s="81">
        <v>26</v>
      </c>
      <c r="H20" s="81">
        <v>26</v>
      </c>
      <c r="I20" s="81">
        <v>32</v>
      </c>
      <c r="J20" s="81">
        <v>33</v>
      </c>
      <c r="K20" s="81">
        <v>28</v>
      </c>
      <c r="L20" s="81">
        <v>27</v>
      </c>
      <c r="M20" s="81">
        <v>29</v>
      </c>
      <c r="N20" s="81">
        <v>25</v>
      </c>
      <c r="O20" s="81">
        <v>28</v>
      </c>
      <c r="P20" s="81">
        <v>36</v>
      </c>
      <c r="Q20" s="81">
        <v>35</v>
      </c>
      <c r="R20" s="81">
        <v>30</v>
      </c>
      <c r="S20" s="81">
        <v>33</v>
      </c>
      <c r="T20" s="81">
        <v>31</v>
      </c>
      <c r="U20" s="81">
        <v>27</v>
      </c>
      <c r="V20" s="81">
        <v>29</v>
      </c>
      <c r="W20" s="81">
        <v>31</v>
      </c>
      <c r="X20" s="81">
        <v>28</v>
      </c>
      <c r="Y20" s="110">
        <v>28</v>
      </c>
      <c r="Z20" s="81">
        <v>39</v>
      </c>
      <c r="AA20" s="81">
        <v>25</v>
      </c>
      <c r="AB20" s="81">
        <v>27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6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6" t="s" ph="1">
        <v>69</v>
      </c>
      <c r="AA22" s="227"/>
      <c r="AB22" s="227"/>
      <c r="AC22" s="227"/>
      <c r="AD22" s="227"/>
      <c r="AE22" s="228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0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29" t="s" ph="1">
        <v>650</v>
      </c>
      <c r="AA23" s="230"/>
      <c r="AB23" s="230"/>
      <c r="AC23" s="230"/>
      <c r="AD23" s="230"/>
      <c r="AE23" s="231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8" ph="1">
        <v>0.33333333333333331</v>
      </c>
      <c r="C24" s="160" t="s" ph="1">
        <v>177</v>
      </c>
      <c r="D24" s="71">
        <v>56.88</v>
      </c>
      <c r="E24" s="71">
        <v>5.44</v>
      </c>
      <c r="F24" s="71">
        <v>2875</v>
      </c>
      <c r="G24" s="71">
        <v>1882</v>
      </c>
      <c r="H24" s="71">
        <v>1133</v>
      </c>
      <c r="I24" s="71">
        <v>0</v>
      </c>
      <c r="J24" s="71">
        <v>869</v>
      </c>
      <c r="K24" s="71">
        <v>581</v>
      </c>
      <c r="L24" s="71">
        <v>469</v>
      </c>
      <c r="M24" s="71">
        <v>4241</v>
      </c>
      <c r="N24" s="71">
        <v>4949</v>
      </c>
      <c r="O24" s="71">
        <v>5275</v>
      </c>
      <c r="P24" s="71">
        <v>335</v>
      </c>
      <c r="Q24" s="90">
        <v>2948</v>
      </c>
      <c r="R24" s="71">
        <v>2081</v>
      </c>
      <c r="S24" s="71">
        <v>4326</v>
      </c>
      <c r="T24" s="71">
        <v>377</v>
      </c>
      <c r="U24" s="71">
        <v>2647</v>
      </c>
      <c r="V24" s="71">
        <v>8774</v>
      </c>
      <c r="W24" s="71">
        <v>11200</v>
      </c>
      <c r="X24" s="71">
        <v>6474</v>
      </c>
      <c r="Y24" s="71">
        <v>3345</v>
      </c>
      <c r="Z24" s="232"/>
      <c r="AA24" s="233"/>
      <c r="AB24" s="233"/>
      <c r="AC24" s="233"/>
      <c r="AD24" s="233"/>
      <c r="AE24" s="234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8" ph="1"/>
      <c r="C25" s="68" t="s" ph="1">
        <v>178</v>
      </c>
      <c r="D25" s="91" ph="1">
        <f>D24*268.68*LOOKUP(D26,密度!$A$2:$A$50,密度!$Q$2:$Q$50)+IF(D24&lt;=0,0,1566*LOOKUP(D26,密度!$A$2:$A$50,密度!$Q$2:$Q$50))</f>
        <v>15951.166310016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31950.658092500002</v>
      </c>
      <c r="G25" s="91" ph="1">
        <f>G24*18.322*LOOKUP(G26,密度!$A$2:$A$50,密度!$B$2:$B$50)</f>
        <v>26851.1365148</v>
      </c>
      <c r="H25" s="91" ph="1">
        <f>H24*18.322*LOOKUP(H26,密度!$A$2:$A$50,密度!$B$2:$B$50)</f>
        <v>16202.263692999997</v>
      </c>
      <c r="I25" s="91" ph="1">
        <f>I24*18.322*LOOKUP(I26,密度!$A$2:$A$50,密度!$Q$2:$Q$50)</f>
        <v>0</v>
      </c>
      <c r="J25" s="91" ph="1">
        <f>J24*18.322*LOOKUP(J26,密度!$A$2:$A$50,密度!$Q$2:$Q$50)</f>
        <v>15085.444900459999</v>
      </c>
      <c r="K25" s="91" ph="1">
        <f>K24*18.322*LOOKUP(K26,密度!$A$2:$A$50,密度!$Q$2:$Q$50)</f>
        <v>10070.566924460001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73621.831786940005</v>
      </c>
      <c r="N25" s="91" ph="1">
        <f>N24*18.322*LOOKUP(N26,密度!$A$2:$A$50,密度!$Q$2:$Q$50)</f>
        <v>86113.689670819993</v>
      </c>
      <c r="O25" s="91" ph="1">
        <f>O24*18.322*LOOKUP(O26,密度!$A$2:$A$50,密度!$C$2:$C$50)</f>
        <v>107463.52274500001</v>
      </c>
      <c r="P25" s="91" ph="1">
        <f>P24*11.702*LOOKUP(P26,密度!$A$2:$A$50,密度!$B$2:$B$50)</f>
        <v>3070.2771440000001</v>
      </c>
      <c r="Q25" s="92" ph="1">
        <f>Q24*18.322*LOOKUP(Q26,密度!$A$2:$A$50,密度!$B$2:$B$50)</f>
        <v>42157.346307999993</v>
      </c>
      <c r="R25" s="91" ph="1">
        <f>R24*35.891*LOOKUP(R26,密度!$A$2:$A$50,密度!$C$2:$C$50)</f>
        <v>82875.104141599993</v>
      </c>
      <c r="S25" s="91" ph="1">
        <f>S24*35.891*LOOKUP(S26,密度!$A$2:$A$50,密度!$B$2:$B$50)</f>
        <v>121603.12977119999</v>
      </c>
      <c r="T25" s="91" ph="1">
        <f>T24*35.891*LOOKUP(T26,密度!$A$2:$A$50,密度!$Q$2:$Q$50)</f>
        <v>12820.12845529</v>
      </c>
      <c r="U25" s="91" ph="1">
        <f>U24*35.891</f>
        <v>95003.476999999999</v>
      </c>
      <c r="V25" s="91" ph="1">
        <f>V24*47.051*LOOKUP(V26,密度!$A$2:$A$50,密度!$B$2:$B$50)</f>
        <v>322210.28245700005</v>
      </c>
      <c r="W25" s="91" ph="1">
        <f>W24*47.051*LOOKUP(W26,密度!$A$2:$A$50,密度!$B$2:$B$50)</f>
        <v>411301.02160000004</v>
      </c>
      <c r="X25" s="91" ph="1">
        <f>X24*47.051*LOOKUP(X26,密度!$A$2:$A$61,密度!$I$2:$I$61)</f>
        <v>313411.35022859997</v>
      </c>
      <c r="Y25" s="91" ph="1">
        <f>Y24*47.051*LOOKUP(Y26,密度!$A$2:$A$50,密度!$L$2:$L$50)</f>
        <v>148099.84489499999</v>
      </c>
      <c r="Z25" s="232"/>
      <c r="AA25" s="233"/>
      <c r="AB25" s="233"/>
      <c r="AC25" s="233"/>
      <c r="AD25" s="233"/>
      <c r="AE25" s="234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8" ph="1"/>
      <c r="C26" s="68" t="s" ph="1">
        <v>179</v>
      </c>
      <c r="D26" s="74">
        <v>25</v>
      </c>
      <c r="E26" s="74">
        <v>25</v>
      </c>
      <c r="F26" s="74">
        <v>21</v>
      </c>
      <c r="G26" s="74">
        <v>26</v>
      </c>
      <c r="H26" s="74">
        <v>24</v>
      </c>
      <c r="I26" s="74">
        <v>21</v>
      </c>
      <c r="J26" s="74">
        <v>24</v>
      </c>
      <c r="K26" s="74">
        <v>26</v>
      </c>
      <c r="L26" s="74">
        <v>24</v>
      </c>
      <c r="M26" s="74">
        <v>24</v>
      </c>
      <c r="N26" s="74">
        <v>21</v>
      </c>
      <c r="O26" s="74">
        <v>21</v>
      </c>
      <c r="P26" s="74">
        <v>21</v>
      </c>
      <c r="Q26" s="93">
        <v>24</v>
      </c>
      <c r="R26" s="74">
        <v>24</v>
      </c>
      <c r="S26" s="74">
        <v>21</v>
      </c>
      <c r="T26" s="74">
        <v>24</v>
      </c>
      <c r="U26" s="74">
        <v>26</v>
      </c>
      <c r="V26" s="74">
        <v>24</v>
      </c>
      <c r="W26" s="74">
        <v>24</v>
      </c>
      <c r="X26" s="74">
        <v>37</v>
      </c>
      <c r="Y26" s="74">
        <v>21</v>
      </c>
      <c r="Z26" s="232"/>
      <c r="AA26" s="233"/>
      <c r="AB26" s="233"/>
      <c r="AC26" s="233"/>
      <c r="AD26" s="233"/>
      <c r="AE26" s="234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8" ph="1">
        <v>0.66666666666666663</v>
      </c>
      <c r="C27" s="160" t="s" ph="1">
        <v>180</v>
      </c>
      <c r="D27" s="71">
        <v>7.17</v>
      </c>
      <c r="E27" s="71">
        <v>5.4</v>
      </c>
      <c r="F27" s="71">
        <v>3431</v>
      </c>
      <c r="G27" s="71">
        <v>1438</v>
      </c>
      <c r="H27" s="71">
        <v>37</v>
      </c>
      <c r="I27" s="71">
        <v>0</v>
      </c>
      <c r="J27" s="71">
        <v>867</v>
      </c>
      <c r="K27" s="71">
        <v>577</v>
      </c>
      <c r="L27" s="71">
        <v>463</v>
      </c>
      <c r="M27" s="71">
        <v>3683</v>
      </c>
      <c r="N27" s="71">
        <v>4949</v>
      </c>
      <c r="O27" s="71">
        <v>5721</v>
      </c>
      <c r="P27" s="71">
        <v>330</v>
      </c>
      <c r="Q27" s="90">
        <v>2984</v>
      </c>
      <c r="R27" s="71">
        <v>1715</v>
      </c>
      <c r="S27" s="71">
        <v>4324</v>
      </c>
      <c r="T27" s="71">
        <v>376</v>
      </c>
      <c r="U27" s="71">
        <v>2850</v>
      </c>
      <c r="V27" s="71">
        <v>8496</v>
      </c>
      <c r="W27" s="71">
        <v>11205</v>
      </c>
      <c r="X27" s="71">
        <v>6354</v>
      </c>
      <c r="Y27" s="71">
        <v>2378</v>
      </c>
      <c r="Z27" s="232"/>
      <c r="AA27" s="233"/>
      <c r="AB27" s="233"/>
      <c r="AC27" s="233"/>
      <c r="AD27" s="233"/>
      <c r="AE27" s="234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8" ph="1"/>
      <c r="C28" s="160" t="s" ph="1">
        <v>178</v>
      </c>
      <c r="D28" s="91" ph="1">
        <f>D27*268.68*LOOKUP(D29,密度!$A$2:$A$50,密度!$Q$2:$Q$50)+IF(D27&lt;=0,0,1566*LOOKUP(D29,密度!$A$2:$A$50,密度!$Q$2:$Q$50))</f>
        <v>3306.4284799440002</v>
      </c>
      <c r="E28" s="91" ph="1">
        <f>E27*268.68*LOOKUP(E29,密度!$A$2:$A$50,密度!$C$2:$C$50)+IF(E27&lt;=0,0,1566*LOOKUP(E29,密度!$A$2:$A$50,密度!$C$2:$C$50))</f>
        <v>3345.4093608000003</v>
      </c>
      <c r="F28" s="91" ph="1">
        <f>F27*11.702*LOOKUP(F29,密度!$A$2:$A$50,密度!$Q$2:$Q$50)</f>
        <v>37982.690138860002</v>
      </c>
      <c r="G28" s="91" ph="1">
        <f>G27*18.322*LOOKUP(G29,密度!$A$2:$A$50,密度!$B$2:$B$50)</f>
        <v>20471.646972000002</v>
      </c>
      <c r="H28" s="91" ph="1">
        <f>H27*18.322*LOOKUP(H29,密度!$A$2:$A$50,密度!$B$2:$B$50)</f>
        <v>527.89163179999991</v>
      </c>
      <c r="I28" s="91" ph="1">
        <f>I27*18.322*LOOKUP(I29,密度!$A$2:$A$50,密度!$Q$2:$Q$50)</f>
        <v>0</v>
      </c>
      <c r="J28" s="91" ph="1">
        <f>J27*18.322*LOOKUP(J29,密度!$A$2:$A$50,密度!$Q$2:$Q$50)</f>
        <v>15039.129632759999</v>
      </c>
      <c r="K28" s="91" ph="1">
        <f>K27*18.322*LOOKUP(K29,密度!$A$2:$A$50,密度!$Q$2:$Q$50)</f>
        <v>9986.3280482800001</v>
      </c>
      <c r="L28" s="91" ph="1">
        <f>L27*18.322*LOOKUP(L29,密度!$A$2:$A$50,密度!$Q$2:$Q$50)</f>
        <v>8013.2926973199992</v>
      </c>
      <c r="M28" s="91" ph="1">
        <f>M27*18.322*LOOKUP(M29,密度!$A$2:$A$50,密度!$Q$2:$Q$50)</f>
        <v>63935.205487219995</v>
      </c>
      <c r="N28" s="91" ph="1">
        <f>N27*18.322*LOOKUP(N29,密度!$A$2:$A$50,密度!$Q$2:$Q$50)</f>
        <v>86113.689670819993</v>
      </c>
      <c r="O28" s="91" ph="1">
        <f>O27*18.322*LOOKUP(O29,密度!$A$2:$A$50,密度!$C$2:$C$50)</f>
        <v>116549.53812780001</v>
      </c>
      <c r="P28" s="91" ph="1">
        <f>P27*11.702*LOOKUP(P29,密度!$A$2:$A$50,密度!$B$2:$B$50)</f>
        <v>2993.9449979999999</v>
      </c>
      <c r="Q28" s="92" ph="1">
        <f>Q27*18.322*LOOKUP(Q29,密度!$A$2:$A$50,密度!$B$2:$B$50)</f>
        <v>42672.157863999993</v>
      </c>
      <c r="R28" s="91" ph="1">
        <f>R27*35.891*LOOKUP(R29,密度!$A$2:$A$50,密度!$C$2:$C$50)</f>
        <v>68299.280923999992</v>
      </c>
      <c r="S28" s="91" ph="1">
        <f>S27*35.891*LOOKUP(S29,密度!$A$2:$A$50,密度!$B$2:$B$50)</f>
        <v>120848.54303079998</v>
      </c>
      <c r="T28" s="91" ph="1">
        <f>T27*35.891*LOOKUP(T29,密度!$A$2:$A$50,密度!$Q$2:$Q$50)</f>
        <v>12738.35045288</v>
      </c>
      <c r="U28" s="91" ph="1">
        <f>U27*35.891</f>
        <v>102289.34999999999</v>
      </c>
      <c r="V28" s="91" ph="1">
        <f>V27*47.051*LOOKUP(V29,密度!$A$2:$A$50,密度!$B$2:$B$50)</f>
        <v>312001.20352800004</v>
      </c>
      <c r="W28" s="91" ph="1">
        <f>W27*47.051*LOOKUP(W29,密度!$A$2:$A$50,密度!$B$2:$B$50)</f>
        <v>411484.63812750002</v>
      </c>
      <c r="X28" s="91" ph="1">
        <f>X27*47.051*LOOKUP(X29,密度!$A$2:$A$61,密度!$I$2:$I$61)</f>
        <v>307273.19910120004</v>
      </c>
      <c r="Y28" s="91" ph="1">
        <f>Y27*47.051*LOOKUP(Y29,密度!$A$2:$A$50,密度!$L$2:$L$50)</f>
        <v>104726.49220800001</v>
      </c>
      <c r="Z28" s="232"/>
      <c r="AA28" s="233"/>
      <c r="AB28" s="233"/>
      <c r="AC28" s="233"/>
      <c r="AD28" s="233"/>
      <c r="AE28" s="234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8" ph="1"/>
      <c r="C29" s="160" t="s" ph="1">
        <v>179</v>
      </c>
      <c r="D29" s="74">
        <v>25</v>
      </c>
      <c r="E29" s="74">
        <v>25</v>
      </c>
      <c r="F29" s="74">
        <v>26</v>
      </c>
      <c r="G29" s="74">
        <v>28</v>
      </c>
      <c r="H29" s="74">
        <v>26</v>
      </c>
      <c r="I29" s="74">
        <v>24</v>
      </c>
      <c r="J29" s="74">
        <v>25</v>
      </c>
      <c r="K29" s="74">
        <v>28</v>
      </c>
      <c r="L29" s="74">
        <v>28</v>
      </c>
      <c r="M29" s="74">
        <v>24</v>
      </c>
      <c r="N29" s="74">
        <v>21</v>
      </c>
      <c r="O29" s="74">
        <v>21</v>
      </c>
      <c r="P29" s="74">
        <v>30</v>
      </c>
      <c r="Q29" s="93">
        <v>24</v>
      </c>
      <c r="R29" s="74">
        <v>24</v>
      </c>
      <c r="S29" s="74">
        <v>26</v>
      </c>
      <c r="T29" s="74">
        <v>29</v>
      </c>
      <c r="U29" s="74">
        <v>28</v>
      </c>
      <c r="V29" s="74">
        <v>24</v>
      </c>
      <c r="W29" s="74">
        <v>24</v>
      </c>
      <c r="X29" s="74">
        <v>38</v>
      </c>
      <c r="Y29" s="74">
        <v>26</v>
      </c>
      <c r="Z29" s="235"/>
      <c r="AA29" s="236"/>
      <c r="AB29" s="236"/>
      <c r="AC29" s="236"/>
      <c r="AD29" s="236"/>
      <c r="AE29" s="237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1" t="s" ph="1">
        <v>35</v>
      </c>
      <c r="C31" s="222" ph="1"/>
      <c r="D31" s="225" t="s" ph="1">
        <v>9</v>
      </c>
      <c r="E31" s="200" ph="1"/>
      <c r="F31" s="201" ph="1"/>
      <c r="G31" s="225" t="s" ph="1">
        <v>18</v>
      </c>
      <c r="H31" s="200" ph="1"/>
      <c r="I31" s="201" ph="1"/>
      <c r="J31" s="199" t="s" ph="1">
        <v>1</v>
      </c>
      <c r="K31" s="200" ph="1"/>
      <c r="L31" s="201" ph="1"/>
      <c r="M31" s="199" t="s" ph="1">
        <v>7</v>
      </c>
      <c r="N31" s="200" ph="1"/>
      <c r="O31" s="201" ph="1"/>
      <c r="P31" s="199" t="s" ph="1">
        <v>41</v>
      </c>
      <c r="Q31" s="200"/>
      <c r="R31" s="201"/>
      <c r="S31" s="199" t="s" ph="1">
        <v>2</v>
      </c>
      <c r="T31" s="200"/>
      <c r="U31" s="201"/>
      <c r="V31" s="199" t="s" ph="1">
        <v>71</v>
      </c>
      <c r="W31" s="200" ph="1"/>
      <c r="X31" s="201" ph="1"/>
      <c r="Y31" s="199" t="s" ph="1">
        <v>3</v>
      </c>
      <c r="Z31" s="200" ph="1"/>
      <c r="AA31" s="201" ph="1"/>
      <c r="AB31" s="202" t="s">
        <v>42</v>
      </c>
      <c r="AC31" s="203"/>
      <c r="AD31" s="203"/>
      <c r="AE31" s="20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3" ph="1"/>
      <c r="C32" s="224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05" t="s" ph="1">
        <v>83</v>
      </c>
      <c r="AE32" s="20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7" t="s" ph="1">
        <v>181</v>
      </c>
      <c r="C33" s="208" ph="1"/>
      <c r="D33" s="187" ph="1">
        <f>AA10+AB10+Z19</f>
        <v>201734.97696519998</v>
      </c>
      <c r="E33" s="187" ph="1">
        <f>M10+I10</f>
        <v>44089.508729199995</v>
      </c>
      <c r="F33" s="21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3" ph="1">
        <f>N19</f>
        <v>22227.369705540001</v>
      </c>
      <c r="H33" s="187" ph="1">
        <f>M19</f>
        <v>48317.008955800004</v>
      </c>
      <c r="I33" s="191" ph="1">
        <v>0</v>
      </c>
      <c r="J33" s="195" ph="1">
        <f>F10+O28</f>
        <v>349545.59195819998</v>
      </c>
      <c r="K33" s="187" ph="1">
        <f>O10+K10+E28+R28</f>
        <v>89349.092826399996</v>
      </c>
      <c r="L33" s="197" ph="1">
        <f>K19</f>
        <v>36050.608972400005</v>
      </c>
      <c r="M33" s="195" ph="1">
        <f>G10+H10+W28+S28+V28+E10+R19+P28+Q28</f>
        <v>1877952.7923101401</v>
      </c>
      <c r="N33" s="187" ph="1">
        <f>L10+P10++G28+H28+AD19+AE19</f>
        <v>56253.492161000009</v>
      </c>
      <c r="O33" s="191" ph="1">
        <f>G19</f>
        <v>27643.72167024</v>
      </c>
      <c r="P33" s="195" ph="1">
        <f>L19</f>
        <v>35280.393222800005</v>
      </c>
      <c r="Q33" s="187" ph="1">
        <f>J10+N10</f>
        <v>18093.547399800002</v>
      </c>
      <c r="R33" s="191" ph="1">
        <f>BE23</f>
        <v>890</v>
      </c>
      <c r="S33" s="195" ph="1">
        <f>X28</f>
        <v>307273.19910120004</v>
      </c>
      <c r="T33" s="187" ph="1">
        <f>X19</f>
        <v>5602.1895027999999</v>
      </c>
      <c r="U33" s="176" ph="1">
        <f>BE21</f>
        <v>730</v>
      </c>
      <c r="V33" s="189" ph="1">
        <f ca="1">P19+Q19+S19+M28+N28+J28+D10+AC10+D19+E19+H19+J19+O19+V19+W19+K28+L28</f>
        <v>716940.46237566997</v>
      </c>
      <c r="W33" s="189" ph="1">
        <f>D28+F28+T28+I28</f>
        <v>54027.469071683998</v>
      </c>
      <c r="X33" s="191" ph="1">
        <f>BE29+BE31</f>
        <v>10200</v>
      </c>
      <c r="Y33" s="193" ph="1">
        <f>+Q10+R10+S10+T10+U10+V10+W10+X10+Y10</f>
        <v>164971.9560258</v>
      </c>
      <c r="Z33" s="174" ph="1">
        <f>T19+U19+Y28+Z10</f>
        <v>299293.91906340001</v>
      </c>
      <c r="AA33" s="176" ph="1">
        <f>BE19</f>
        <v>1440</v>
      </c>
      <c r="AB33" s="178" ph="1">
        <f>I19</f>
        <v>50605.450658400005</v>
      </c>
      <c r="AC33" s="180" ph="1">
        <f>AD10+AB19</f>
        <v>134749.536998</v>
      </c>
      <c r="AD33" s="182" ph="1">
        <v>0</v>
      </c>
      <c r="AE33" s="18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9" ph="1"/>
      <c r="C34" s="210" ph="1"/>
      <c r="D34" s="188" ph="1"/>
      <c r="E34" s="188" ph="1"/>
      <c r="F34" s="212" ph="1"/>
      <c r="G34" s="214" ph="1"/>
      <c r="H34" s="188" ph="1"/>
      <c r="I34" s="192" ph="1"/>
      <c r="J34" s="196" ph="1"/>
      <c r="K34" s="188" ph="1"/>
      <c r="L34" s="198" ph="1"/>
      <c r="M34" s="196" ph="1"/>
      <c r="N34" s="188" ph="1"/>
      <c r="O34" s="192" ph="1"/>
      <c r="P34" s="196" ph="1"/>
      <c r="Q34" s="188" ph="1"/>
      <c r="R34" s="192" ph="1"/>
      <c r="S34" s="196" ph="1"/>
      <c r="T34" s="188"/>
      <c r="U34" s="177"/>
      <c r="V34" s="190" ph="1"/>
      <c r="W34" s="190" ph="1"/>
      <c r="X34" s="192" ph="1"/>
      <c r="Y34" s="194" ph="1"/>
      <c r="Z34" s="175" ph="1"/>
      <c r="AA34" s="177" ph="1"/>
      <c r="AB34" s="179"/>
      <c r="AC34" s="181"/>
      <c r="AD34" s="184"/>
      <c r="AE34" s="18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6" t="s" ph="1">
        <v>631</v>
      </c>
      <c r="AD35" s="186"/>
      <c r="AE35" s="18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2" t="s" ph="1">
        <v>183</v>
      </c>
      <c r="J36" s="172" ph="1"/>
      <c r="K36" s="101" ph="1"/>
      <c r="P36" s="101" ph="1"/>
      <c r="R36" s="172" t="s" ph="1">
        <v>184</v>
      </c>
      <c r="S36" s="172" ph="1"/>
      <c r="Y36" s="102" ph="1"/>
      <c r="Z36" s="162" t="s" ph="1">
        <v>185</v>
      </c>
      <c r="AA36" s="162" ph="1"/>
      <c r="AB36" s="173" t="s" ph="1">
        <v>640</v>
      </c>
      <c r="AC36" s="173" ph="1"/>
      <c r="AD36" s="173" ph="1"/>
      <c r="AE36" s="17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9" priority="100">
      <formula>ABS(D$7-D$10)&gt;=1000</formula>
    </cfRule>
  </conditionalFormatting>
  <conditionalFormatting sqref="E4 E6:E11">
    <cfRule type="expression" dxfId="128" priority="99">
      <formula>ABS(E$7-E$10)&gt;=1000</formula>
    </cfRule>
  </conditionalFormatting>
  <conditionalFormatting sqref="F4:F11">
    <cfRule type="expression" dxfId="127" priority="98">
      <formula>ABS(F$7-F$10)&gt;=1000</formula>
    </cfRule>
  </conditionalFormatting>
  <conditionalFormatting sqref="G4:G11">
    <cfRule type="expression" dxfId="126" priority="97">
      <formula>ABS(G$7-G$10)&gt;=1000</formula>
    </cfRule>
  </conditionalFormatting>
  <conditionalFormatting sqref="H4:H11">
    <cfRule type="expression" dxfId="125" priority="96">
      <formula>ABS(H$7-H$10)&gt;=1000</formula>
    </cfRule>
  </conditionalFormatting>
  <conditionalFormatting sqref="I4:I11">
    <cfRule type="expression" dxfId="124" priority="95">
      <formula>ABS(I$7-I$10)&gt;=1000</formula>
    </cfRule>
  </conditionalFormatting>
  <conditionalFormatting sqref="J4:J11">
    <cfRule type="expression" dxfId="123" priority="94">
      <formula>ABS(J$7-J$10)&gt;=1000</formula>
    </cfRule>
  </conditionalFormatting>
  <conditionalFormatting sqref="K4:K11">
    <cfRule type="expression" dxfId="122" priority="93">
      <formula>ABS(K$7-K$10)&gt;=1000</formula>
    </cfRule>
  </conditionalFormatting>
  <conditionalFormatting sqref="L4:L11">
    <cfRule type="expression" dxfId="121" priority="92">
      <formula>ABS(L$7-L$10)&gt;=1000</formula>
    </cfRule>
  </conditionalFormatting>
  <conditionalFormatting sqref="M4 M6:M11">
    <cfRule type="expression" dxfId="120" priority="91">
      <formula>ABS(M$7-M$10)&gt;=1000</formula>
    </cfRule>
  </conditionalFormatting>
  <conditionalFormatting sqref="N4 N6:N11">
    <cfRule type="expression" dxfId="119" priority="90">
      <formula>ABS(N$7-N$10)&gt;=1000</formula>
    </cfRule>
  </conditionalFormatting>
  <conditionalFormatting sqref="O4 O6:O11">
    <cfRule type="expression" dxfId="118" priority="89">
      <formula>ABS(O$7-O$10)&gt;=1000</formula>
    </cfRule>
  </conditionalFormatting>
  <conditionalFormatting sqref="P4 P6:P11">
    <cfRule type="expression" dxfId="117" priority="88">
      <formula>ABS(P$7-P$10)&gt;=1000</formula>
    </cfRule>
  </conditionalFormatting>
  <conditionalFormatting sqref="Q4:Q11">
    <cfRule type="expression" dxfId="116" priority="87">
      <formula>ABS(Q$7-Q$10)&gt;=1000</formula>
    </cfRule>
  </conditionalFormatting>
  <conditionalFormatting sqref="R4:R11">
    <cfRule type="expression" dxfId="115" priority="86">
      <formula>ABS(R$7-R$10)&gt;=1000</formula>
    </cfRule>
  </conditionalFormatting>
  <conditionalFormatting sqref="S4:S11">
    <cfRule type="expression" dxfId="114" priority="85">
      <formula>ABS(S$7-S$10)&gt;=1000</formula>
    </cfRule>
  </conditionalFormatting>
  <conditionalFormatting sqref="T4:T9 T11">
    <cfRule type="expression" dxfId="113" priority="84">
      <formula>ABS(T$7-T$10)&gt;=1000</formula>
    </cfRule>
  </conditionalFormatting>
  <conditionalFormatting sqref="U4:U9 U11">
    <cfRule type="expression" dxfId="112" priority="83">
      <formula>ABS(U$7-U$10)&gt;=1000</formula>
    </cfRule>
  </conditionalFormatting>
  <conditionalFormatting sqref="V4:V9 V11">
    <cfRule type="expression" dxfId="111" priority="82">
      <formula>ABS(V$7-V$10)&gt;=1000</formula>
    </cfRule>
  </conditionalFormatting>
  <conditionalFormatting sqref="W4:W9 W11">
    <cfRule type="expression" dxfId="110" priority="81">
      <formula>ABS(W$7-W$10)&gt;=1000</formula>
    </cfRule>
  </conditionalFormatting>
  <conditionalFormatting sqref="X4:X9 X11">
    <cfRule type="expression" dxfId="109" priority="80">
      <formula>ABS(X$7-X$10)&gt;=1000</formula>
    </cfRule>
  </conditionalFormatting>
  <conditionalFormatting sqref="Y4:Y9 Y11">
    <cfRule type="expression" dxfId="108" priority="79">
      <formula>ABS(Y$7-Y$10)&gt;=1000</formula>
    </cfRule>
  </conditionalFormatting>
  <conditionalFormatting sqref="Z4:Z11">
    <cfRule type="expression" dxfId="107" priority="78">
      <formula>ABS(Z$7-Z$10)&gt;=1000</formula>
    </cfRule>
  </conditionalFormatting>
  <conditionalFormatting sqref="AA4:AA11">
    <cfRule type="expression" dxfId="106" priority="77">
      <formula>ABS(AA$7-AA$10)&gt;=1000</formula>
    </cfRule>
  </conditionalFormatting>
  <conditionalFormatting sqref="AB4:AB11">
    <cfRule type="expression" dxfId="105" priority="76">
      <formula>ABS(AB$7-AB$10)&gt;=1000</formula>
    </cfRule>
  </conditionalFormatting>
  <conditionalFormatting sqref="AC4 AC6:AC11">
    <cfRule type="expression" dxfId="104" priority="75">
      <formula>ABS(AC$7-AC$10)&gt;=1000</formula>
    </cfRule>
  </conditionalFormatting>
  <conditionalFormatting sqref="AD4 AD6:AD11">
    <cfRule type="expression" dxfId="103" priority="74">
      <formula>ABS(AD$7-AD$10)&gt;=1000</formula>
    </cfRule>
  </conditionalFormatting>
  <conditionalFormatting sqref="AE4 AE6:AE11">
    <cfRule type="expression" dxfId="102" priority="73">
      <formula>ABS(AE$7-AE$10)&gt;=1000</formula>
    </cfRule>
  </conditionalFormatting>
  <conditionalFormatting sqref="D13:D20">
    <cfRule type="expression" dxfId="101" priority="72">
      <formula>ABS(D$16-D$19)&gt;=1000</formula>
    </cfRule>
  </conditionalFormatting>
  <conditionalFormatting sqref="E13:E20">
    <cfRule type="expression" dxfId="100" priority="71">
      <formula>ABS(E$16-E$19)&gt;=1000</formula>
    </cfRule>
  </conditionalFormatting>
  <conditionalFormatting sqref="F13 F15:F20">
    <cfRule type="expression" dxfId="99" priority="70">
      <formula>ABS(F$16-F$19)&gt;=1000</formula>
    </cfRule>
  </conditionalFormatting>
  <conditionalFormatting sqref="G13:G20">
    <cfRule type="expression" dxfId="98" priority="69">
      <formula>ABS(G$16-G$19)&gt;=1000</formula>
    </cfRule>
  </conditionalFormatting>
  <conditionalFormatting sqref="H13 H15:H20">
    <cfRule type="expression" dxfId="97" priority="68">
      <formula>ABS(H$16-H$19)&gt;=1000</formula>
    </cfRule>
  </conditionalFormatting>
  <conditionalFormatting sqref="I13:I20">
    <cfRule type="expression" dxfId="96" priority="67">
      <formula>ABS(I$16-I$19)&gt;=1000</formula>
    </cfRule>
  </conditionalFormatting>
  <conditionalFormatting sqref="J13:J20">
    <cfRule type="expression" dxfId="95" priority="66">
      <formula>ABS(J$16-J$19)&gt;=1000</formula>
    </cfRule>
  </conditionalFormatting>
  <conditionalFormatting sqref="L13:L20">
    <cfRule type="expression" dxfId="94" priority="65">
      <formula>ABS(L$16-L$19)&gt;=1000</formula>
    </cfRule>
  </conditionalFormatting>
  <conditionalFormatting sqref="M13 M15 M17:M18 M20">
    <cfRule type="expression" dxfId="93" priority="64">
      <formula>ABS(M$16-M$19)&gt;=1000</formula>
    </cfRule>
  </conditionalFormatting>
  <conditionalFormatting sqref="N13:N20">
    <cfRule type="expression" dxfId="92" priority="63">
      <formula>ABS(N$16-N$19)&gt;=1000</formula>
    </cfRule>
  </conditionalFormatting>
  <conditionalFormatting sqref="O13:O20">
    <cfRule type="expression" dxfId="91" priority="62">
      <formula>ABS(O$16-O$19)&gt;=1000</formula>
    </cfRule>
  </conditionalFormatting>
  <conditionalFormatting sqref="P13:P20">
    <cfRule type="expression" dxfId="90" priority="61">
      <formula>ABS(P$16-P$19)&gt;=1000</formula>
    </cfRule>
  </conditionalFormatting>
  <conditionalFormatting sqref="Q13 Q15:Q20">
    <cfRule type="expression" dxfId="89" priority="60">
      <formula>ABS(Q$16-Q$19)&gt;=1000</formula>
    </cfRule>
  </conditionalFormatting>
  <conditionalFormatting sqref="R13:R20">
    <cfRule type="expression" dxfId="88" priority="59">
      <formula>ABS(R$16-R$19)&gt;=1000</formula>
    </cfRule>
  </conditionalFormatting>
  <conditionalFormatting sqref="S13:S20">
    <cfRule type="expression" dxfId="87" priority="58">
      <formula>ABS(S$16-S$19)&gt;=1000</formula>
    </cfRule>
  </conditionalFormatting>
  <conditionalFormatting sqref="T13:T20">
    <cfRule type="expression" dxfId="86" priority="57">
      <formula>ABS(T$16-T$19)&gt;=1000</formula>
    </cfRule>
  </conditionalFormatting>
  <conditionalFormatting sqref="U13:U20">
    <cfRule type="expression" dxfId="85" priority="56">
      <formula>ABS(U$16-U$19)&gt;=1000</formula>
    </cfRule>
  </conditionalFormatting>
  <conditionalFormatting sqref="V13:V20">
    <cfRule type="expression" dxfId="84" priority="55">
      <formula>ABS(V$16-V$19)&gt;=1000</formula>
    </cfRule>
  </conditionalFormatting>
  <conditionalFormatting sqref="W13 W20 W15:W18">
    <cfRule type="expression" dxfId="83" priority="54">
      <formula>ABS(W$16-W$19)&gt;=1000</formula>
    </cfRule>
  </conditionalFormatting>
  <conditionalFormatting sqref="X13 X15:X20 Y19">
    <cfRule type="expression" dxfId="82" priority="53">
      <formula>ABS(X$16-X$19)&gt;=1000</formula>
    </cfRule>
  </conditionalFormatting>
  <conditionalFormatting sqref="Y13 Y15:Y18 Y20">
    <cfRule type="expression" dxfId="81" priority="52">
      <formula>ABS(Y$16-Y$19)&gt;=1000</formula>
    </cfRule>
  </conditionalFormatting>
  <conditionalFormatting sqref="Z13:Z20">
    <cfRule type="expression" dxfId="80" priority="51">
      <formula>ABS(Z$16-Z$19)&gt;=1000</formula>
    </cfRule>
  </conditionalFormatting>
  <conditionalFormatting sqref="AA13:AA20">
    <cfRule type="expression" dxfId="79" priority="50">
      <formula>ABS(AA$16-AA$19)&gt;=1000</formula>
    </cfRule>
  </conditionalFormatting>
  <conditionalFormatting sqref="AB13 AB15:AB20">
    <cfRule type="expression" dxfId="78" priority="49">
      <formula>ABS(AB$16-AB$19)&gt;=1000</formula>
    </cfRule>
  </conditionalFormatting>
  <conditionalFormatting sqref="AC13 AC15:AC20">
    <cfRule type="expression" dxfId="77" priority="48">
      <formula>ABS(AC$16-AC$19)&gt;=1000</formula>
    </cfRule>
  </conditionalFormatting>
  <conditionalFormatting sqref="AD13:AD20">
    <cfRule type="expression" dxfId="76" priority="47">
      <formula>ABS(AD$16-AD$19)&gt;=1000</formula>
    </cfRule>
  </conditionalFormatting>
  <conditionalFormatting sqref="AE13:AE20">
    <cfRule type="expression" dxfId="75" priority="46">
      <formula>ABS(AE$16-AE$19)&gt;=1000</formula>
    </cfRule>
  </conditionalFormatting>
  <conditionalFormatting sqref="D22:D29">
    <cfRule type="expression" dxfId="74" priority="45">
      <formula>ABS(D$25-D$28)&gt;=1000</formula>
    </cfRule>
  </conditionalFormatting>
  <conditionalFormatting sqref="E22:E29">
    <cfRule type="expression" dxfId="73" priority="44">
      <formula>ABS(E$25-E$28)&gt;=1000</formula>
    </cfRule>
  </conditionalFormatting>
  <conditionalFormatting sqref="F22:F29">
    <cfRule type="expression" dxfId="72" priority="43">
      <formula>ABS(F$25-F$28)&gt;=1000</formula>
    </cfRule>
  </conditionalFormatting>
  <conditionalFormatting sqref="G22:G29">
    <cfRule type="expression" dxfId="71" priority="42">
      <formula>ABS(G$25-G$28)&gt;=1000</formula>
    </cfRule>
  </conditionalFormatting>
  <conditionalFormatting sqref="H22:H29">
    <cfRule type="expression" dxfId="70" priority="41">
      <formula>ABS(H$25-H$28)&gt;=1000</formula>
    </cfRule>
  </conditionalFormatting>
  <conditionalFormatting sqref="I22 I24:I29">
    <cfRule type="expression" dxfId="69" priority="40">
      <formula>ABS(I$25-I$28)&gt;=1000</formula>
    </cfRule>
  </conditionalFormatting>
  <conditionalFormatting sqref="J22:J29 K22">
    <cfRule type="expression" dxfId="68" priority="39">
      <formula>ABS(J$25-J$28)&gt;=1000</formula>
    </cfRule>
  </conditionalFormatting>
  <conditionalFormatting sqref="K23:K29 L25 L28">
    <cfRule type="expression" dxfId="67" priority="38">
      <formula>ABS(K$25-K$28)&gt;=1000</formula>
    </cfRule>
  </conditionalFormatting>
  <conditionalFormatting sqref="L22 L26:L27 L29 L24">
    <cfRule type="expression" dxfId="66" priority="37">
      <formula>ABS(L$25-L$28)&gt;=1000</formula>
    </cfRule>
  </conditionalFormatting>
  <conditionalFormatting sqref="M22:M29">
    <cfRule type="expression" dxfId="65" priority="36">
      <formula>ABS(M$25-M$28)&gt;=1000</formula>
    </cfRule>
  </conditionalFormatting>
  <conditionalFormatting sqref="N22:N29">
    <cfRule type="expression" dxfId="64" priority="35">
      <formula>ABS(N$25-N$28)&gt;=1000</formula>
    </cfRule>
  </conditionalFormatting>
  <conditionalFormatting sqref="O22:O29">
    <cfRule type="expression" dxfId="63" priority="34">
      <formula>ABS(O$25-O$28)&gt;=1000</formula>
    </cfRule>
  </conditionalFormatting>
  <conditionalFormatting sqref="P22:P29">
    <cfRule type="expression" dxfId="62" priority="33">
      <formula>ABS(P$25-P$28)&gt;=1000</formula>
    </cfRule>
  </conditionalFormatting>
  <conditionalFormatting sqref="Q22:Q29">
    <cfRule type="expression" dxfId="61" priority="32">
      <formula>ABS(Q$25-Q$28)&gt;=1000</formula>
    </cfRule>
  </conditionalFormatting>
  <conditionalFormatting sqref="R22:R29">
    <cfRule type="expression" dxfId="60" priority="31">
      <formula>ABS(R$25-R$28)&gt;=1000</formula>
    </cfRule>
  </conditionalFormatting>
  <conditionalFormatting sqref="S22:S29">
    <cfRule type="expression" dxfId="59" priority="30">
      <formula>ABS(S$25-S$28)&gt;=1000</formula>
    </cfRule>
  </conditionalFormatting>
  <conditionalFormatting sqref="T22:T29">
    <cfRule type="expression" dxfId="58" priority="29">
      <formula>ABS(T$25-T$28)&gt;=1000</formula>
    </cfRule>
  </conditionalFormatting>
  <conditionalFormatting sqref="U22:U29">
    <cfRule type="expression" dxfId="57" priority="28">
      <formula>ABS(U$25-U$28)&gt;=1000</formula>
    </cfRule>
  </conditionalFormatting>
  <conditionalFormatting sqref="V22:V29">
    <cfRule type="expression" dxfId="56" priority="27">
      <formula>ABS(V$25-V$28)&gt;=1000</formula>
    </cfRule>
  </conditionalFormatting>
  <conditionalFormatting sqref="W22:W29">
    <cfRule type="expression" dxfId="55" priority="26">
      <formula>ABS(W$25-W$28)&gt;=1000</formula>
    </cfRule>
  </conditionalFormatting>
  <conditionalFormatting sqref="X22:X29">
    <cfRule type="expression" dxfId="54" priority="25">
      <formula>ABS(X$25-X$28)&gt;=1000</formula>
    </cfRule>
  </conditionalFormatting>
  <conditionalFormatting sqref="Y22:Y29">
    <cfRule type="expression" dxfId="53" priority="24">
      <formula>ABS(Y$25-Y$28)&gt;=1000</formula>
    </cfRule>
  </conditionalFormatting>
  <conditionalFormatting sqref="I23">
    <cfRule type="expression" dxfId="52" priority="23">
      <formula>ABS(I$25-I$28)&gt;=1000</formula>
    </cfRule>
  </conditionalFormatting>
  <conditionalFormatting sqref="Q14">
    <cfRule type="expression" dxfId="51" priority="22">
      <formula>ABS(Q$16-Q$19)&gt;=1000</formula>
    </cfRule>
  </conditionalFormatting>
  <conditionalFormatting sqref="W14">
    <cfRule type="expression" dxfId="50" priority="21">
      <formula>ABS(W$16-W$19)&gt;=1000</formula>
    </cfRule>
  </conditionalFormatting>
  <conditionalFormatting sqref="X14">
    <cfRule type="expression" dxfId="49" priority="20">
      <formula>ABS(X$16-X$19)&gt;=1000</formula>
    </cfRule>
  </conditionalFormatting>
  <conditionalFormatting sqref="T10:Y10">
    <cfRule type="expression" dxfId="48" priority="19">
      <formula>ABS(T$7-T$10)&gt;=1000</formula>
    </cfRule>
  </conditionalFormatting>
  <conditionalFormatting sqref="W19">
    <cfRule type="expression" dxfId="47" priority="18">
      <formula>ABS(W$16-W$19)&gt;=1000</formula>
    </cfRule>
  </conditionalFormatting>
  <conditionalFormatting sqref="AC5">
    <cfRule type="expression" dxfId="46" priority="17">
      <formula>ABS(AC$7-AC$10)&gt;=1000</formula>
    </cfRule>
  </conditionalFormatting>
  <conditionalFormatting sqref="M14">
    <cfRule type="expression" dxfId="45" priority="16">
      <formula>ABS(M$16-M$19)&gt;=1000</formula>
    </cfRule>
  </conditionalFormatting>
  <conditionalFormatting sqref="M16">
    <cfRule type="expression" dxfId="44" priority="15">
      <formula>ABS(M$16-M$19)&gt;=1000</formula>
    </cfRule>
  </conditionalFormatting>
  <conditionalFormatting sqref="M19">
    <cfRule type="expression" dxfId="43" priority="14">
      <formula>ABS(M$16-M$19)&gt;=1000</formula>
    </cfRule>
  </conditionalFormatting>
  <conditionalFormatting sqref="K13:K20">
    <cfRule type="expression" dxfId="42" priority="13">
      <formula>ABS(K$16-K$19)&gt;=1000</formula>
    </cfRule>
  </conditionalFormatting>
  <conditionalFormatting sqref="E5">
    <cfRule type="expression" dxfId="41" priority="12">
      <formula>ABS(E$7-E$10)&gt;=1000</formula>
    </cfRule>
  </conditionalFormatting>
  <conditionalFormatting sqref="AB14:AC14">
    <cfRule type="expression" dxfId="40" priority="11">
      <formula>ABS(AB$16-AB$19)&gt;=1000</formula>
    </cfRule>
  </conditionalFormatting>
  <conditionalFormatting sqref="M5">
    <cfRule type="expression" dxfId="39" priority="10">
      <formula>ABS(M$7-M$10)&gt;=1000</formula>
    </cfRule>
  </conditionalFormatting>
  <conditionalFormatting sqref="N5">
    <cfRule type="expression" dxfId="38" priority="9">
      <formula>ABS(N$7-N$10)&gt;=1000</formula>
    </cfRule>
  </conditionalFormatting>
  <conditionalFormatting sqref="O5">
    <cfRule type="expression" dxfId="37" priority="8">
      <formula>ABS(O$7-O$10)&gt;=1000</formula>
    </cfRule>
  </conditionalFormatting>
  <conditionalFormatting sqref="P5">
    <cfRule type="expression" dxfId="36" priority="7">
      <formula>ABS(P$7-P$10)&gt;=1000</formula>
    </cfRule>
  </conditionalFormatting>
  <conditionalFormatting sqref="L23">
    <cfRule type="expression" dxfId="35" priority="6">
      <formula>ABS(L$25-L$28)&gt;=1000</formula>
    </cfRule>
  </conditionalFormatting>
  <conditionalFormatting sqref="Y14">
    <cfRule type="expression" dxfId="34" priority="5">
      <formula>ABS(Y$16-Y$19)&gt;=1000</formula>
    </cfRule>
  </conditionalFormatting>
  <conditionalFormatting sqref="F14">
    <cfRule type="expression" dxfId="33" priority="4">
      <formula>ABS(F$16-F$19)&gt;=1000</formula>
    </cfRule>
  </conditionalFormatting>
  <conditionalFormatting sqref="H14">
    <cfRule type="expression" dxfId="32" priority="3">
      <formula>ABS(H$16-H$19)&gt;=1000</formula>
    </cfRule>
  </conditionalFormatting>
  <conditionalFormatting sqref="AD5">
    <cfRule type="expression" dxfId="31" priority="2">
      <formula>ABS(AD$7-AD$10)&gt;=1000</formula>
    </cfRule>
  </conditionalFormatting>
  <conditionalFormatting sqref="AE5">
    <cfRule type="expression" dxfId="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4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已命名的範圍</vt:lpstr>
      </vt:variant>
      <vt:variant>
        <vt:i4>26</vt:i4>
      </vt:variant>
    </vt:vector>
  </HeadingPairs>
  <TitlesOfParts>
    <vt:vector size="52" baseType="lpstr">
      <vt:lpstr>新增</vt:lpstr>
      <vt:lpstr>密度</vt:lpstr>
      <vt:lpstr>2.26</vt:lpstr>
      <vt:lpstr>3.1</vt:lpstr>
      <vt:lpstr>3.2</vt:lpstr>
      <vt:lpstr>3.3</vt:lpstr>
      <vt:lpstr>3.4</vt:lpstr>
      <vt:lpstr>3.5</vt:lpstr>
      <vt:lpstr>3.6</vt:lpstr>
      <vt:lpstr>3.9</vt:lpstr>
      <vt:lpstr>3.10</vt:lpstr>
      <vt:lpstr>3.11</vt:lpstr>
      <vt:lpstr>3.12</vt:lpstr>
      <vt:lpstr>3.13</vt:lpstr>
      <vt:lpstr>3.16</vt:lpstr>
      <vt:lpstr>3.17</vt:lpstr>
      <vt:lpstr>3.18</vt:lpstr>
      <vt:lpstr>3.19</vt:lpstr>
      <vt:lpstr>3.20</vt:lpstr>
      <vt:lpstr>3.23</vt:lpstr>
      <vt:lpstr>3.24</vt:lpstr>
      <vt:lpstr>3.25</vt:lpstr>
      <vt:lpstr>3.26</vt:lpstr>
      <vt:lpstr>3.27</vt:lpstr>
      <vt:lpstr>3.30</vt:lpstr>
      <vt:lpstr>3.31</vt:lpstr>
      <vt:lpstr>'2.26'!Print_Area</vt:lpstr>
      <vt:lpstr>'3.1'!Print_Area</vt:lpstr>
      <vt:lpstr>'3.10'!Print_Area</vt:lpstr>
      <vt:lpstr>'3.11'!Print_Area</vt:lpstr>
      <vt:lpstr>'3.12'!Print_Area</vt:lpstr>
      <vt:lpstr>'3.13'!Print_Area</vt:lpstr>
      <vt:lpstr>'3.16'!Print_Area</vt:lpstr>
      <vt:lpstr>'3.17'!Print_Area</vt:lpstr>
      <vt:lpstr>'3.18'!Print_Area</vt:lpstr>
      <vt:lpstr>'3.19'!Print_Area</vt:lpstr>
      <vt:lpstr>'3.2'!Print_Area</vt:lpstr>
      <vt:lpstr>'3.20'!Print_Area</vt:lpstr>
      <vt:lpstr>'3.23'!Print_Area</vt:lpstr>
      <vt:lpstr>'3.24'!Print_Area</vt:lpstr>
      <vt:lpstr>'3.25'!Print_Area</vt:lpstr>
      <vt:lpstr>'3.26'!Print_Area</vt:lpstr>
      <vt:lpstr>'3.27'!Print_Area</vt:lpstr>
      <vt:lpstr>'3.3'!Print_Area</vt:lpstr>
      <vt:lpstr>'3.30'!Print_Area</vt:lpstr>
      <vt:lpstr>'3.31'!Print_Area</vt:lpstr>
      <vt:lpstr>'3.4'!Print_Area</vt:lpstr>
      <vt:lpstr>'3.5'!Print_Area</vt:lpstr>
      <vt:lpstr>'3.6'!Print_Area</vt:lpstr>
      <vt:lpstr>'3.9'!Print_Area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2026-03-30T07:43:17Z</cp:lastPrinted>
  <dcterms:created xsi:type="dcterms:W3CDTF">2006-09-16T00:00:00Z</dcterms:created>
  <dcterms:modified xsi:type="dcterms:W3CDTF">2026-03-31T07:04:54Z</dcterms:modified>
</cp:coreProperties>
</file>