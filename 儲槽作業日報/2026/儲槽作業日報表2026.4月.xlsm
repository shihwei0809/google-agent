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4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5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7.xml" ContentType="application/vnd.openxmlformats-officedocument.drawing+xml"/>
  <Override PartName="/xl/ctrlProps/ctrlProp6.xml" ContentType="application/vnd.ms-excel.controlproperties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8.xml" ContentType="application/vnd.openxmlformats-officedocument.drawing+xml"/>
  <Override PartName="/xl/ctrlProps/ctrlProp7.xml" ContentType="application/vnd.ms-excel.controlproperties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9.xml" ContentType="application/vnd.openxmlformats-officedocument.drawing+xml"/>
  <Override PartName="/xl/ctrlProps/ctrlProp8.xml" ContentType="application/vnd.ms-excel.controlproperties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drawings/drawing10.xml" ContentType="application/vnd.openxmlformats-officedocument.drawing+xml"/>
  <Override PartName="/xl/ctrlProps/ctrlProp9.xml" ContentType="application/vnd.ms-excel.controlproperties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11.xml" ContentType="application/vnd.openxmlformats-officedocument.drawing+xml"/>
  <Override PartName="/xl/ctrlProps/ctrlProp10.xml" ContentType="application/vnd.ms-excel.controlproperties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drawings/drawing12.xml" ContentType="application/vnd.openxmlformats-officedocument.drawing+xml"/>
  <Override PartName="/xl/ctrlProps/ctrlProp11.xml" ContentType="application/vnd.ms-excel.controlproperties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drawings/drawing13.xml" ContentType="application/vnd.openxmlformats-officedocument.drawing+xml"/>
  <Override PartName="/xl/ctrlProps/ctrlProp12.xml" ContentType="application/vnd.ms-excel.controlproperties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drawings/drawing14.xml" ContentType="application/vnd.openxmlformats-officedocument.drawing+xml"/>
  <Override PartName="/xl/ctrlProps/ctrlProp13.xml" ContentType="application/vnd.ms-excel.controlproperties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drawings/drawing15.xml" ContentType="application/vnd.openxmlformats-officedocument.drawing+xml"/>
  <Override PartName="/xl/ctrlProps/ctrlProp14.xml" ContentType="application/vnd.ms-excel.controlproperties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drawings/drawing16.xml" ContentType="application/vnd.openxmlformats-officedocument.drawing+xml"/>
  <Override PartName="/xl/ctrlProps/ctrlProp15.xml" ContentType="application/vnd.ms-excel.controlproperties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drawings/drawing17.xml" ContentType="application/vnd.openxmlformats-officedocument.drawing+xml"/>
  <Override PartName="/xl/ctrlProps/ctrlProp16.xml" ContentType="application/vnd.ms-excel.controlproperties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drawings/drawing18.xml" ContentType="application/vnd.openxmlformats-officedocument.drawing+xml"/>
  <Override PartName="/xl/ctrlProps/ctrlProp17.xml" ContentType="application/vnd.ms-excel.controlproperties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drawings/drawing19.xml" ContentType="application/vnd.openxmlformats-officedocument.drawing+xml"/>
  <Override PartName="/xl/ctrlProps/ctrlProp18.xml" ContentType="application/vnd.ms-excel.controlproperties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drawings/drawing20.xml" ContentType="application/vnd.openxmlformats-officedocument.drawing+xml"/>
  <Override PartName="/xl/ctrlProps/ctrlProp19.xml" ContentType="application/vnd.ms-excel.controlproperties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drawings/drawing21.xml" ContentType="application/vnd.openxmlformats-officedocument.drawing+xml"/>
  <Override PartName="/xl/ctrlProps/ctrlProp20.xml" ContentType="application/vnd.ms-excel.controlproperties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drawings/drawing22.xml" ContentType="application/vnd.openxmlformats-officedocument.drawing+xml"/>
  <Override PartName="/xl/ctrlProps/ctrlProp21.xml" ContentType="application/vnd.ms-excel.controlproperties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各單位對外\資材部對外\!儲槽作業日報\儲槽作業日報\2026\"/>
    </mc:Choice>
  </mc:AlternateContent>
  <bookViews>
    <workbookView xWindow="0" yWindow="0" windowWidth="21600" windowHeight="8256" firstSheet="6" activeTab="22"/>
  </bookViews>
  <sheets>
    <sheet name="新增" sheetId="1727" r:id="rId1"/>
    <sheet name="密度" sheetId="13" r:id="rId2"/>
    <sheet name="3.31" sheetId="2125" r:id="rId3"/>
    <sheet name="4.1" sheetId="2126" r:id="rId4"/>
    <sheet name="4.2" sheetId="2134" r:id="rId5"/>
    <sheet name="4.7" sheetId="2141" r:id="rId6"/>
    <sheet name="4.8" sheetId="2135" r:id="rId7"/>
    <sheet name="4.9" sheetId="2136" r:id="rId8"/>
    <sheet name="4.10" sheetId="2144" r:id="rId9"/>
    <sheet name="4.13" sheetId="2145" r:id="rId10"/>
    <sheet name="4.14" sheetId="2146" r:id="rId11"/>
    <sheet name="4.15" sheetId="2147" r:id="rId12"/>
    <sheet name="4.16" sheetId="2148" r:id="rId13"/>
    <sheet name="4.17" sheetId="2149" r:id="rId14"/>
    <sheet name="4.20" sheetId="2150" r:id="rId15"/>
    <sheet name="4.21" sheetId="2151" r:id="rId16"/>
    <sheet name="4.22" sheetId="2152" r:id="rId17"/>
    <sheet name="4.23" sheetId="2153" r:id="rId18"/>
    <sheet name="4.24" sheetId="2154" r:id="rId19"/>
    <sheet name="4.27" sheetId="2155" r:id="rId20"/>
    <sheet name="4.28" sheetId="2156" r:id="rId21"/>
    <sheet name="4.29" sheetId="2157" r:id="rId22"/>
    <sheet name="4.30" sheetId="2158" r:id="rId23"/>
  </sheets>
  <definedNames>
    <definedName name="_xlnm.Print_Area" localSheetId="2">'3.31'!$B$1:$AE$36</definedName>
    <definedName name="_xlnm.Print_Area" localSheetId="3">'4.1'!$B$1:$AE$36</definedName>
    <definedName name="_xlnm.Print_Area" localSheetId="8">'4.10'!$B$1:$AE$36</definedName>
    <definedName name="_xlnm.Print_Area" localSheetId="9">'4.13'!$B$1:$AE$36</definedName>
    <definedName name="_xlnm.Print_Area" localSheetId="10">'4.14'!$B$1:$AE$36</definedName>
    <definedName name="_xlnm.Print_Area" localSheetId="11">'4.15'!$B$1:$AE$36</definedName>
    <definedName name="_xlnm.Print_Area" localSheetId="12">'4.16'!$B$1:$AE$36</definedName>
    <definedName name="_xlnm.Print_Area" localSheetId="13">'4.17'!$B$1:$AE$36</definedName>
    <definedName name="_xlnm.Print_Area" localSheetId="4">'4.2'!$B$1:$AE$36</definedName>
    <definedName name="_xlnm.Print_Area" localSheetId="14">'4.20'!$B$1:$AE$36</definedName>
    <definedName name="_xlnm.Print_Area" localSheetId="15">'4.21'!$B$1:$AE$36</definedName>
    <definedName name="_xlnm.Print_Area" localSheetId="16">'4.22'!$B$1:$AE$36</definedName>
    <definedName name="_xlnm.Print_Area" localSheetId="17">'4.23'!$B$1:$AE$36</definedName>
    <definedName name="_xlnm.Print_Area" localSheetId="18">'4.24'!$B$1:$AE$36</definedName>
    <definedName name="_xlnm.Print_Area" localSheetId="19">'4.27'!$B$1:$AE$36</definedName>
    <definedName name="_xlnm.Print_Area" localSheetId="20">'4.28'!$B$1:$AE$36</definedName>
    <definedName name="_xlnm.Print_Area" localSheetId="21">'4.29'!$B$1:$AE$36</definedName>
    <definedName name="_xlnm.Print_Area" localSheetId="22">'4.30'!$B$1:$AE$36</definedName>
    <definedName name="_xlnm.Print_Area" localSheetId="5">'4.7'!$B$1:$AE$36</definedName>
    <definedName name="_xlnm.Print_Area" localSheetId="6">'4.8'!$B$1:$AE$36</definedName>
    <definedName name="_xlnm.Print_Area" localSheetId="7">'4.9'!$B$1:$AE$36</definedName>
    <definedName name="_xlnm.Print_Area" localSheetId="1">密度!$A$1:$W$61</definedName>
    <definedName name="_xlnm.Print_Area" localSheetId="0">新增!$A$1:$M$45</definedName>
    <definedName name="Z_512059F6_F0DC_4056_8FD0_37088AB81F9E_.wvu.PrintArea" localSheetId="2" hidden="1">'3.31'!$B$3:$AE$36</definedName>
    <definedName name="Z_512059F6_F0DC_4056_8FD0_37088AB81F9E_.wvu.PrintArea" localSheetId="3" hidden="1">'4.1'!$B$3:$AE$36</definedName>
    <definedName name="Z_512059F6_F0DC_4056_8FD0_37088AB81F9E_.wvu.PrintArea" localSheetId="8" hidden="1">'4.10'!$B$3:$AE$36</definedName>
    <definedName name="Z_512059F6_F0DC_4056_8FD0_37088AB81F9E_.wvu.PrintArea" localSheetId="9" hidden="1">'4.13'!$B$3:$AE$36</definedName>
    <definedName name="Z_512059F6_F0DC_4056_8FD0_37088AB81F9E_.wvu.PrintArea" localSheetId="10" hidden="1">'4.14'!$B$3:$AE$36</definedName>
    <definedName name="Z_512059F6_F0DC_4056_8FD0_37088AB81F9E_.wvu.PrintArea" localSheetId="11" hidden="1">'4.15'!$B$3:$AE$36</definedName>
    <definedName name="Z_512059F6_F0DC_4056_8FD0_37088AB81F9E_.wvu.PrintArea" localSheetId="12" hidden="1">'4.16'!$B$3:$AE$36</definedName>
    <definedName name="Z_512059F6_F0DC_4056_8FD0_37088AB81F9E_.wvu.PrintArea" localSheetId="13" hidden="1">'4.17'!$B$3:$AE$36</definedName>
    <definedName name="Z_512059F6_F0DC_4056_8FD0_37088AB81F9E_.wvu.PrintArea" localSheetId="4" hidden="1">'4.2'!$B$3:$AE$36</definedName>
    <definedName name="Z_512059F6_F0DC_4056_8FD0_37088AB81F9E_.wvu.PrintArea" localSheetId="14" hidden="1">'4.20'!$B$3:$AE$36</definedName>
    <definedName name="Z_512059F6_F0DC_4056_8FD0_37088AB81F9E_.wvu.PrintArea" localSheetId="15" hidden="1">'4.21'!$B$3:$AE$36</definedName>
    <definedName name="Z_512059F6_F0DC_4056_8FD0_37088AB81F9E_.wvu.PrintArea" localSheetId="16" hidden="1">'4.22'!$B$3:$AE$36</definedName>
    <definedName name="Z_512059F6_F0DC_4056_8FD0_37088AB81F9E_.wvu.PrintArea" localSheetId="17" hidden="1">'4.23'!$B$3:$AE$36</definedName>
    <definedName name="Z_512059F6_F0DC_4056_8FD0_37088AB81F9E_.wvu.PrintArea" localSheetId="18" hidden="1">'4.24'!$B$3:$AE$36</definedName>
    <definedName name="Z_512059F6_F0DC_4056_8FD0_37088AB81F9E_.wvu.PrintArea" localSheetId="19" hidden="1">'4.27'!$B$3:$AE$36</definedName>
    <definedName name="Z_512059F6_F0DC_4056_8FD0_37088AB81F9E_.wvu.PrintArea" localSheetId="20" hidden="1">'4.28'!$B$3:$AE$36</definedName>
    <definedName name="Z_512059F6_F0DC_4056_8FD0_37088AB81F9E_.wvu.PrintArea" localSheetId="21" hidden="1">'4.29'!$B$3:$AE$36</definedName>
    <definedName name="Z_512059F6_F0DC_4056_8FD0_37088AB81F9E_.wvu.PrintArea" localSheetId="22" hidden="1">'4.30'!$B$3:$AE$36</definedName>
    <definedName name="Z_512059F6_F0DC_4056_8FD0_37088AB81F9E_.wvu.PrintArea" localSheetId="5" hidden="1">'4.7'!$B$3:$AE$36</definedName>
    <definedName name="Z_512059F6_F0DC_4056_8FD0_37088AB81F9E_.wvu.PrintArea" localSheetId="6" hidden="1">'4.8'!$B$3:$AE$36</definedName>
    <definedName name="Z_512059F6_F0DC_4056_8FD0_37088AB81F9E_.wvu.PrintArea" localSheetId="7" hidden="1">'4.9'!$B$3:$AE$36</definedName>
    <definedName name="Z_68643476_8805_447E_8170_A582EA1D0343_.wvu.PrintArea" localSheetId="2" hidden="1">'3.31'!$B$3:$AE$36</definedName>
    <definedName name="Z_68643476_8805_447E_8170_A582EA1D0343_.wvu.PrintArea" localSheetId="3" hidden="1">'4.1'!$B$3:$AE$36</definedName>
    <definedName name="Z_68643476_8805_447E_8170_A582EA1D0343_.wvu.PrintArea" localSheetId="8" hidden="1">'4.10'!$B$3:$AE$36</definedName>
    <definedName name="Z_68643476_8805_447E_8170_A582EA1D0343_.wvu.PrintArea" localSheetId="9" hidden="1">'4.13'!$B$3:$AE$36</definedName>
    <definedName name="Z_68643476_8805_447E_8170_A582EA1D0343_.wvu.PrintArea" localSheetId="10" hidden="1">'4.14'!$B$3:$AE$36</definedName>
    <definedName name="Z_68643476_8805_447E_8170_A582EA1D0343_.wvu.PrintArea" localSheetId="11" hidden="1">'4.15'!$B$3:$AE$36</definedName>
    <definedName name="Z_68643476_8805_447E_8170_A582EA1D0343_.wvu.PrintArea" localSheetId="12" hidden="1">'4.16'!$B$3:$AE$36</definedName>
    <definedName name="Z_68643476_8805_447E_8170_A582EA1D0343_.wvu.PrintArea" localSheetId="13" hidden="1">'4.17'!$B$3:$AE$36</definedName>
    <definedName name="Z_68643476_8805_447E_8170_A582EA1D0343_.wvu.PrintArea" localSheetId="4" hidden="1">'4.2'!$B$3:$AE$36</definedName>
    <definedName name="Z_68643476_8805_447E_8170_A582EA1D0343_.wvu.PrintArea" localSheetId="14" hidden="1">'4.20'!$B$3:$AE$36</definedName>
    <definedName name="Z_68643476_8805_447E_8170_A582EA1D0343_.wvu.PrintArea" localSheetId="15" hidden="1">'4.21'!$B$3:$AE$36</definedName>
    <definedName name="Z_68643476_8805_447E_8170_A582EA1D0343_.wvu.PrintArea" localSheetId="16" hidden="1">'4.22'!$B$3:$AE$36</definedName>
    <definedName name="Z_68643476_8805_447E_8170_A582EA1D0343_.wvu.PrintArea" localSheetId="17" hidden="1">'4.23'!$B$3:$AE$36</definedName>
    <definedName name="Z_68643476_8805_447E_8170_A582EA1D0343_.wvu.PrintArea" localSheetId="18" hidden="1">'4.24'!$B$3:$AE$36</definedName>
    <definedName name="Z_68643476_8805_447E_8170_A582EA1D0343_.wvu.PrintArea" localSheetId="19" hidden="1">'4.27'!$B$3:$AE$36</definedName>
    <definedName name="Z_68643476_8805_447E_8170_A582EA1D0343_.wvu.PrintArea" localSheetId="20" hidden="1">'4.28'!$B$3:$AE$36</definedName>
    <definedName name="Z_68643476_8805_447E_8170_A582EA1D0343_.wvu.PrintArea" localSheetId="21" hidden="1">'4.29'!$B$3:$AE$36</definedName>
    <definedName name="Z_68643476_8805_447E_8170_A582EA1D0343_.wvu.PrintArea" localSheetId="22" hidden="1">'4.30'!$B$3:$AE$36</definedName>
    <definedName name="Z_68643476_8805_447E_8170_A582EA1D0343_.wvu.PrintArea" localSheetId="5" hidden="1">'4.7'!$B$3:$AE$36</definedName>
    <definedName name="Z_68643476_8805_447E_8170_A582EA1D0343_.wvu.PrintArea" localSheetId="6" hidden="1">'4.8'!$B$3:$AE$36</definedName>
    <definedName name="Z_68643476_8805_447E_8170_A582EA1D0343_.wvu.PrintArea" localSheetId="7" hidden="1">'4.9'!$B$3:$AE$36</definedName>
    <definedName name="Z_8E5926ED_4EBD_4129_B8FF_799CC47580D7_.wvu.PrintArea" localSheetId="2" hidden="1">'3.31'!$B$3:$AE$36</definedName>
    <definedName name="Z_8E5926ED_4EBD_4129_B8FF_799CC47580D7_.wvu.PrintArea" localSheetId="3" hidden="1">'4.1'!$B$3:$AE$36</definedName>
    <definedName name="Z_8E5926ED_4EBD_4129_B8FF_799CC47580D7_.wvu.PrintArea" localSheetId="8" hidden="1">'4.10'!$B$3:$AE$36</definedName>
    <definedName name="Z_8E5926ED_4EBD_4129_B8FF_799CC47580D7_.wvu.PrintArea" localSheetId="9" hidden="1">'4.13'!$B$3:$AE$36</definedName>
    <definedName name="Z_8E5926ED_4EBD_4129_B8FF_799CC47580D7_.wvu.PrintArea" localSheetId="10" hidden="1">'4.14'!$B$3:$AE$36</definedName>
    <definedName name="Z_8E5926ED_4EBD_4129_B8FF_799CC47580D7_.wvu.PrintArea" localSheetId="11" hidden="1">'4.15'!$B$3:$AE$36</definedName>
    <definedName name="Z_8E5926ED_4EBD_4129_B8FF_799CC47580D7_.wvu.PrintArea" localSheetId="12" hidden="1">'4.16'!$B$3:$AE$36</definedName>
    <definedName name="Z_8E5926ED_4EBD_4129_B8FF_799CC47580D7_.wvu.PrintArea" localSheetId="13" hidden="1">'4.17'!$B$3:$AE$36</definedName>
    <definedName name="Z_8E5926ED_4EBD_4129_B8FF_799CC47580D7_.wvu.PrintArea" localSheetId="4" hidden="1">'4.2'!$B$3:$AE$36</definedName>
    <definedName name="Z_8E5926ED_4EBD_4129_B8FF_799CC47580D7_.wvu.PrintArea" localSheetId="14" hidden="1">'4.20'!$B$3:$AE$36</definedName>
    <definedName name="Z_8E5926ED_4EBD_4129_B8FF_799CC47580D7_.wvu.PrintArea" localSheetId="15" hidden="1">'4.21'!$B$3:$AE$36</definedName>
    <definedName name="Z_8E5926ED_4EBD_4129_B8FF_799CC47580D7_.wvu.PrintArea" localSheetId="16" hidden="1">'4.22'!$B$3:$AE$36</definedName>
    <definedName name="Z_8E5926ED_4EBD_4129_B8FF_799CC47580D7_.wvu.PrintArea" localSheetId="17" hidden="1">'4.23'!$B$3:$AE$36</definedName>
    <definedName name="Z_8E5926ED_4EBD_4129_B8FF_799CC47580D7_.wvu.PrintArea" localSheetId="18" hidden="1">'4.24'!$B$3:$AE$36</definedName>
    <definedName name="Z_8E5926ED_4EBD_4129_B8FF_799CC47580D7_.wvu.PrintArea" localSheetId="19" hidden="1">'4.27'!$B$3:$AE$36</definedName>
    <definedName name="Z_8E5926ED_4EBD_4129_B8FF_799CC47580D7_.wvu.PrintArea" localSheetId="20" hidden="1">'4.28'!$B$3:$AE$36</definedName>
    <definedName name="Z_8E5926ED_4EBD_4129_B8FF_799CC47580D7_.wvu.PrintArea" localSheetId="21" hidden="1">'4.29'!$B$3:$AE$36</definedName>
    <definedName name="Z_8E5926ED_4EBD_4129_B8FF_799CC47580D7_.wvu.PrintArea" localSheetId="22" hidden="1">'4.30'!$B$3:$AE$36</definedName>
    <definedName name="Z_8E5926ED_4EBD_4129_B8FF_799CC47580D7_.wvu.PrintArea" localSheetId="5" hidden="1">'4.7'!$B$3:$AE$36</definedName>
    <definedName name="Z_8E5926ED_4EBD_4129_B8FF_799CC47580D7_.wvu.PrintArea" localSheetId="6" hidden="1">'4.8'!$B$3:$AE$36</definedName>
    <definedName name="Z_8E5926ED_4EBD_4129_B8FF_799CC47580D7_.wvu.PrintArea" localSheetId="7" hidden="1">'4.9'!$B$3:$AE$36</definedName>
    <definedName name="Z_8FA8B620_C56C_11DB_A857_00055D5FD5FF_.wvu.PrintArea" localSheetId="2" hidden="1">'3.31'!$B$3:$AE$36</definedName>
    <definedName name="Z_8FA8B620_C56C_11DB_A857_00055D5FD5FF_.wvu.PrintArea" localSheetId="3" hidden="1">'4.1'!$B$3:$AE$36</definedName>
    <definedName name="Z_8FA8B620_C56C_11DB_A857_00055D5FD5FF_.wvu.PrintArea" localSheetId="8" hidden="1">'4.10'!$B$3:$AE$36</definedName>
    <definedName name="Z_8FA8B620_C56C_11DB_A857_00055D5FD5FF_.wvu.PrintArea" localSheetId="9" hidden="1">'4.13'!$B$3:$AE$36</definedName>
    <definedName name="Z_8FA8B620_C56C_11DB_A857_00055D5FD5FF_.wvu.PrintArea" localSheetId="10" hidden="1">'4.14'!$B$3:$AE$36</definedName>
    <definedName name="Z_8FA8B620_C56C_11DB_A857_00055D5FD5FF_.wvu.PrintArea" localSheetId="11" hidden="1">'4.15'!$B$3:$AE$36</definedName>
    <definedName name="Z_8FA8B620_C56C_11DB_A857_00055D5FD5FF_.wvu.PrintArea" localSheetId="12" hidden="1">'4.16'!$B$3:$AE$36</definedName>
    <definedName name="Z_8FA8B620_C56C_11DB_A857_00055D5FD5FF_.wvu.PrintArea" localSheetId="13" hidden="1">'4.17'!$B$3:$AE$36</definedName>
    <definedName name="Z_8FA8B620_C56C_11DB_A857_00055D5FD5FF_.wvu.PrintArea" localSheetId="4" hidden="1">'4.2'!$B$3:$AE$36</definedName>
    <definedName name="Z_8FA8B620_C56C_11DB_A857_00055D5FD5FF_.wvu.PrintArea" localSheetId="14" hidden="1">'4.20'!$B$3:$AE$36</definedName>
    <definedName name="Z_8FA8B620_C56C_11DB_A857_00055D5FD5FF_.wvu.PrintArea" localSheetId="15" hidden="1">'4.21'!$B$3:$AE$36</definedName>
    <definedName name="Z_8FA8B620_C56C_11DB_A857_00055D5FD5FF_.wvu.PrintArea" localSheetId="16" hidden="1">'4.22'!$B$3:$AE$36</definedName>
    <definedName name="Z_8FA8B620_C56C_11DB_A857_00055D5FD5FF_.wvu.PrintArea" localSheetId="17" hidden="1">'4.23'!$B$3:$AE$36</definedName>
    <definedName name="Z_8FA8B620_C56C_11DB_A857_00055D5FD5FF_.wvu.PrintArea" localSheetId="18" hidden="1">'4.24'!$B$3:$AE$36</definedName>
    <definedName name="Z_8FA8B620_C56C_11DB_A857_00055D5FD5FF_.wvu.PrintArea" localSheetId="19" hidden="1">'4.27'!$B$3:$AE$36</definedName>
    <definedName name="Z_8FA8B620_C56C_11DB_A857_00055D5FD5FF_.wvu.PrintArea" localSheetId="20" hidden="1">'4.28'!$B$3:$AE$36</definedName>
    <definedName name="Z_8FA8B620_C56C_11DB_A857_00055D5FD5FF_.wvu.PrintArea" localSheetId="21" hidden="1">'4.29'!$B$3:$AE$36</definedName>
    <definedName name="Z_8FA8B620_C56C_11DB_A857_00055D5FD5FF_.wvu.PrintArea" localSheetId="22" hidden="1">'4.30'!$B$3:$AE$36</definedName>
    <definedName name="Z_8FA8B620_C56C_11DB_A857_00055D5FD5FF_.wvu.PrintArea" localSheetId="5" hidden="1">'4.7'!$B$3:$AE$36</definedName>
    <definedName name="Z_8FA8B620_C56C_11DB_A857_00055D5FD5FF_.wvu.PrintArea" localSheetId="6" hidden="1">'4.8'!$B$3:$AE$36</definedName>
    <definedName name="Z_8FA8B620_C56C_11DB_A857_00055D5FD5FF_.wvu.PrintArea" localSheetId="7" hidden="1">'4.9'!$B$3:$AE$36</definedName>
    <definedName name="Z_A3DB5619_047E_4CE2_8C39_700CFD25F2CB_.wvu.PrintArea" localSheetId="2" hidden="1">'3.31'!$B$3:$AE$36</definedName>
    <definedName name="Z_A3DB5619_047E_4CE2_8C39_700CFD25F2CB_.wvu.PrintArea" localSheetId="3" hidden="1">'4.1'!$B$3:$AE$36</definedName>
    <definedName name="Z_A3DB5619_047E_4CE2_8C39_700CFD25F2CB_.wvu.PrintArea" localSheetId="8" hidden="1">'4.10'!$B$3:$AE$36</definedName>
    <definedName name="Z_A3DB5619_047E_4CE2_8C39_700CFD25F2CB_.wvu.PrintArea" localSheetId="9" hidden="1">'4.13'!$B$3:$AE$36</definedName>
    <definedName name="Z_A3DB5619_047E_4CE2_8C39_700CFD25F2CB_.wvu.PrintArea" localSheetId="10" hidden="1">'4.14'!$B$3:$AE$36</definedName>
    <definedName name="Z_A3DB5619_047E_4CE2_8C39_700CFD25F2CB_.wvu.PrintArea" localSheetId="11" hidden="1">'4.15'!$B$3:$AE$36</definedName>
    <definedName name="Z_A3DB5619_047E_4CE2_8C39_700CFD25F2CB_.wvu.PrintArea" localSheetId="12" hidden="1">'4.16'!$B$3:$AE$36</definedName>
    <definedName name="Z_A3DB5619_047E_4CE2_8C39_700CFD25F2CB_.wvu.PrintArea" localSheetId="13" hidden="1">'4.17'!$B$3:$AE$36</definedName>
    <definedName name="Z_A3DB5619_047E_4CE2_8C39_700CFD25F2CB_.wvu.PrintArea" localSheetId="4" hidden="1">'4.2'!$B$3:$AE$36</definedName>
    <definedName name="Z_A3DB5619_047E_4CE2_8C39_700CFD25F2CB_.wvu.PrintArea" localSheetId="14" hidden="1">'4.20'!$B$3:$AE$36</definedName>
    <definedName name="Z_A3DB5619_047E_4CE2_8C39_700CFD25F2CB_.wvu.PrintArea" localSheetId="15" hidden="1">'4.21'!$B$3:$AE$36</definedName>
    <definedName name="Z_A3DB5619_047E_4CE2_8C39_700CFD25F2CB_.wvu.PrintArea" localSheetId="16" hidden="1">'4.22'!$B$3:$AE$36</definedName>
    <definedName name="Z_A3DB5619_047E_4CE2_8C39_700CFD25F2CB_.wvu.PrintArea" localSheetId="17" hidden="1">'4.23'!$B$3:$AE$36</definedName>
    <definedName name="Z_A3DB5619_047E_4CE2_8C39_700CFD25F2CB_.wvu.PrintArea" localSheetId="18" hidden="1">'4.24'!$B$3:$AE$36</definedName>
    <definedName name="Z_A3DB5619_047E_4CE2_8C39_700CFD25F2CB_.wvu.PrintArea" localSheetId="19" hidden="1">'4.27'!$B$3:$AE$36</definedName>
    <definedName name="Z_A3DB5619_047E_4CE2_8C39_700CFD25F2CB_.wvu.PrintArea" localSheetId="20" hidden="1">'4.28'!$B$3:$AE$36</definedName>
    <definedName name="Z_A3DB5619_047E_4CE2_8C39_700CFD25F2CB_.wvu.PrintArea" localSheetId="21" hidden="1">'4.29'!$B$3:$AE$36</definedName>
    <definedName name="Z_A3DB5619_047E_4CE2_8C39_700CFD25F2CB_.wvu.PrintArea" localSheetId="22" hidden="1">'4.30'!$B$3:$AE$36</definedName>
    <definedName name="Z_A3DB5619_047E_4CE2_8C39_700CFD25F2CB_.wvu.PrintArea" localSheetId="5" hidden="1">'4.7'!$B$3:$AE$36</definedName>
    <definedName name="Z_A3DB5619_047E_4CE2_8C39_700CFD25F2CB_.wvu.PrintArea" localSheetId="6" hidden="1">'4.8'!$B$3:$AE$36</definedName>
    <definedName name="Z_A3DB5619_047E_4CE2_8C39_700CFD25F2CB_.wvu.PrintArea" localSheetId="7" hidden="1">'4.9'!$B$3:$AE$36</definedName>
    <definedName name="Z_D903F940_B812_11DB_B168_0010B575B8B2_.wvu.PrintArea" localSheetId="2" hidden="1">'3.31'!$B$3:$AE$36</definedName>
    <definedName name="Z_D903F940_B812_11DB_B168_0010B575B8B2_.wvu.PrintArea" localSheetId="3" hidden="1">'4.1'!$B$3:$AE$36</definedName>
    <definedName name="Z_D903F940_B812_11DB_B168_0010B575B8B2_.wvu.PrintArea" localSheetId="8" hidden="1">'4.10'!$B$3:$AE$36</definedName>
    <definedName name="Z_D903F940_B812_11DB_B168_0010B575B8B2_.wvu.PrintArea" localSheetId="9" hidden="1">'4.13'!$B$3:$AE$36</definedName>
    <definedName name="Z_D903F940_B812_11DB_B168_0010B575B8B2_.wvu.PrintArea" localSheetId="10" hidden="1">'4.14'!$B$3:$AE$36</definedName>
    <definedName name="Z_D903F940_B812_11DB_B168_0010B575B8B2_.wvu.PrintArea" localSheetId="11" hidden="1">'4.15'!$B$3:$AE$36</definedName>
    <definedName name="Z_D903F940_B812_11DB_B168_0010B575B8B2_.wvu.PrintArea" localSheetId="12" hidden="1">'4.16'!$B$3:$AE$36</definedName>
    <definedName name="Z_D903F940_B812_11DB_B168_0010B575B8B2_.wvu.PrintArea" localSheetId="13" hidden="1">'4.17'!$B$3:$AE$36</definedName>
    <definedName name="Z_D903F940_B812_11DB_B168_0010B575B8B2_.wvu.PrintArea" localSheetId="4" hidden="1">'4.2'!$B$3:$AE$36</definedName>
    <definedName name="Z_D903F940_B812_11DB_B168_0010B575B8B2_.wvu.PrintArea" localSheetId="14" hidden="1">'4.20'!$B$3:$AE$36</definedName>
    <definedName name="Z_D903F940_B812_11DB_B168_0010B575B8B2_.wvu.PrintArea" localSheetId="15" hidden="1">'4.21'!$B$3:$AE$36</definedName>
    <definedName name="Z_D903F940_B812_11DB_B168_0010B575B8B2_.wvu.PrintArea" localSheetId="16" hidden="1">'4.22'!$B$3:$AE$36</definedName>
    <definedName name="Z_D903F940_B812_11DB_B168_0010B575B8B2_.wvu.PrintArea" localSheetId="17" hidden="1">'4.23'!$B$3:$AE$36</definedName>
    <definedName name="Z_D903F940_B812_11DB_B168_0010B575B8B2_.wvu.PrintArea" localSheetId="18" hidden="1">'4.24'!$B$3:$AE$36</definedName>
    <definedName name="Z_D903F940_B812_11DB_B168_0010B575B8B2_.wvu.PrintArea" localSheetId="19" hidden="1">'4.27'!$B$3:$AE$36</definedName>
    <definedName name="Z_D903F940_B812_11DB_B168_0010B575B8B2_.wvu.PrintArea" localSheetId="20" hidden="1">'4.28'!$B$3:$AE$36</definedName>
    <definedName name="Z_D903F940_B812_11DB_B168_0010B575B8B2_.wvu.PrintArea" localSheetId="21" hidden="1">'4.29'!$B$3:$AE$36</definedName>
    <definedName name="Z_D903F940_B812_11DB_B168_0010B575B8B2_.wvu.PrintArea" localSheetId="22" hidden="1">'4.30'!$B$3:$AE$36</definedName>
    <definedName name="Z_D903F940_B812_11DB_B168_0010B575B8B2_.wvu.PrintArea" localSheetId="5" hidden="1">'4.7'!$B$3:$AE$36</definedName>
    <definedName name="Z_D903F940_B812_11DB_B168_0010B575B8B2_.wvu.PrintArea" localSheetId="6" hidden="1">'4.8'!$B$3:$AE$36</definedName>
    <definedName name="Z_D903F940_B812_11DB_B168_0010B575B8B2_.wvu.PrintArea" localSheetId="7" hidden="1">'4.9'!$B$3:$AE$36</definedName>
    <definedName name="取樣回收每月庫存表" localSheetId="2" hidden="1">'3.31'!#REF!</definedName>
    <definedName name="取樣回收每月庫存表" localSheetId="3" hidden="1">'4.1'!#REF!</definedName>
    <definedName name="取樣回收每月庫存表" localSheetId="8" hidden="1">'4.10'!#REF!</definedName>
    <definedName name="取樣回收每月庫存表" localSheetId="9" hidden="1">'4.13'!#REF!</definedName>
    <definedName name="取樣回收每月庫存表" localSheetId="10" hidden="1">'4.14'!#REF!</definedName>
    <definedName name="取樣回收每月庫存表" localSheetId="11" hidden="1">'4.15'!#REF!</definedName>
    <definedName name="取樣回收每月庫存表" localSheetId="12" hidden="1">'4.16'!#REF!</definedName>
    <definedName name="取樣回收每月庫存表" localSheetId="13" hidden="1">'4.17'!#REF!</definedName>
    <definedName name="取樣回收每月庫存表" localSheetId="4" hidden="1">'4.2'!#REF!</definedName>
    <definedName name="取樣回收每月庫存表" localSheetId="14" hidden="1">'4.20'!#REF!</definedName>
    <definedName name="取樣回收每月庫存表" localSheetId="15" hidden="1">'4.21'!#REF!</definedName>
    <definedName name="取樣回收每月庫存表" localSheetId="16" hidden="1">'4.22'!#REF!</definedName>
    <definedName name="取樣回收每月庫存表" localSheetId="17" hidden="1">'4.23'!#REF!</definedName>
    <definedName name="取樣回收每月庫存表" localSheetId="18" hidden="1">'4.24'!#REF!</definedName>
    <definedName name="取樣回收每月庫存表" localSheetId="19" hidden="1">'4.27'!#REF!</definedName>
    <definedName name="取樣回收每月庫存表" localSheetId="20" hidden="1">'4.28'!#REF!</definedName>
    <definedName name="取樣回收每月庫存表" localSheetId="21" hidden="1">'4.29'!#REF!</definedName>
    <definedName name="取樣回收每月庫存表" localSheetId="22" hidden="1">'4.30'!#REF!</definedName>
    <definedName name="取樣回收每月庫存表" localSheetId="5" hidden="1">'4.7'!#REF!</definedName>
    <definedName name="取樣回收每月庫存表" localSheetId="6" hidden="1">'4.8'!#REF!</definedName>
    <definedName name="取樣回收每月庫存表" localSheetId="7" hidden="1">'4.9'!#REF!</definedName>
    <definedName name="取樣回收每月庫存表_0620更新" localSheetId="2" hidden="1">'3.31'!$AG$13:$BH$189</definedName>
    <definedName name="取樣回收每月庫存表_0620更新" localSheetId="3" hidden="1">'4.1'!$AG$13:$BH$189</definedName>
    <definedName name="取樣回收每月庫存表_0620更新" localSheetId="8" hidden="1">'4.10'!$AG$13:$BH$189</definedName>
    <definedName name="取樣回收每月庫存表_0620更新" localSheetId="9" hidden="1">'4.13'!$AG$13:$BH$189</definedName>
    <definedName name="取樣回收每月庫存表_0620更新" localSheetId="10" hidden="1">'4.14'!$AG$13:$BH$189</definedName>
    <definedName name="取樣回收每月庫存表_0620更新" localSheetId="11" hidden="1">'4.15'!$AG$13:$BH$189</definedName>
    <definedName name="取樣回收每月庫存表_0620更新" localSheetId="12" hidden="1">'4.16'!$AG$13:$BH$189</definedName>
    <definedName name="取樣回收每月庫存表_0620更新" localSheetId="13" hidden="1">'4.17'!$AG$13:$BH$189</definedName>
    <definedName name="取樣回收每月庫存表_0620更新" localSheetId="4" hidden="1">'4.2'!$AG$13:$BH$189</definedName>
    <definedName name="取樣回收每月庫存表_0620更新" localSheetId="14" hidden="1">'4.20'!$AG$13:$BH$189</definedName>
    <definedName name="取樣回收每月庫存表_0620更新" localSheetId="15" hidden="1">'4.21'!$AG$13:$BH$189</definedName>
    <definedName name="取樣回收每月庫存表_0620更新" localSheetId="16" hidden="1">'4.22'!$AG$13:$BH$189</definedName>
    <definedName name="取樣回收每月庫存表_0620更新" localSheetId="17" hidden="1">'4.23'!$AG$13:$BH$189</definedName>
    <definedName name="取樣回收每月庫存表_0620更新" localSheetId="18" hidden="1">'4.24'!$AG$13:$BH$189</definedName>
    <definedName name="取樣回收每月庫存表_0620更新" localSheetId="19" hidden="1">'4.27'!$AG$13:$BH$189</definedName>
    <definedName name="取樣回收每月庫存表_0620更新" localSheetId="20" hidden="1">'4.28'!$AG$13:$BH$189</definedName>
    <definedName name="取樣回收每月庫存表_0620更新" localSheetId="21" hidden="1">'4.29'!$AG$13:$BH$189</definedName>
    <definedName name="取樣回收每月庫存表_0620更新" localSheetId="22" hidden="1">'4.30'!$AG$13:$BH$189</definedName>
    <definedName name="取樣回收每月庫存表_0620更新" localSheetId="5" hidden="1">'4.7'!$AG$13:$BH$189</definedName>
    <definedName name="取樣回收每月庫存表_0620更新" localSheetId="6" hidden="1">'4.8'!$AG$13:$BH$189</definedName>
    <definedName name="取樣回收每月庫存表_0620更新" localSheetId="7" hidden="1">'4.9'!$AG$13:$BH$189</definedName>
    <definedName name="複本_14_取樣回收每月庫存表" localSheetId="2" hidden="1">'3.31'!#REF!</definedName>
    <definedName name="複本_14_取樣回收每月庫存表" localSheetId="3" hidden="1">'4.1'!#REF!</definedName>
    <definedName name="複本_14_取樣回收每月庫存表" localSheetId="8" hidden="1">'4.10'!#REF!</definedName>
    <definedName name="複本_14_取樣回收每月庫存表" localSheetId="9" hidden="1">'4.13'!#REF!</definedName>
    <definedName name="複本_14_取樣回收每月庫存表" localSheetId="10" hidden="1">'4.14'!#REF!</definedName>
    <definedName name="複本_14_取樣回收每月庫存表" localSheetId="11" hidden="1">'4.15'!#REF!</definedName>
    <definedName name="複本_14_取樣回收每月庫存表" localSheetId="12" hidden="1">'4.16'!#REF!</definedName>
    <definedName name="複本_14_取樣回收每月庫存表" localSheetId="13" hidden="1">'4.17'!#REF!</definedName>
    <definedName name="複本_14_取樣回收每月庫存表" localSheetId="4" hidden="1">'4.2'!#REF!</definedName>
    <definedName name="複本_14_取樣回收每月庫存表" localSheetId="14" hidden="1">'4.20'!#REF!</definedName>
    <definedName name="複本_14_取樣回收每月庫存表" localSheetId="15" hidden="1">'4.21'!#REF!</definedName>
    <definedName name="複本_14_取樣回收每月庫存表" localSheetId="16" hidden="1">'4.22'!#REF!</definedName>
    <definedName name="複本_14_取樣回收每月庫存表" localSheetId="17" hidden="1">'4.23'!#REF!</definedName>
    <definedName name="複本_14_取樣回收每月庫存表" localSheetId="18" hidden="1">'4.24'!#REF!</definedName>
    <definedName name="複本_14_取樣回收每月庫存表" localSheetId="19" hidden="1">'4.27'!#REF!</definedName>
    <definedName name="複本_14_取樣回收每月庫存表" localSheetId="20" hidden="1">'4.28'!#REF!</definedName>
    <definedName name="複本_14_取樣回收每月庫存表" localSheetId="21" hidden="1">'4.29'!#REF!</definedName>
    <definedName name="複本_14_取樣回收每月庫存表" localSheetId="22" hidden="1">'4.30'!#REF!</definedName>
    <definedName name="複本_14_取樣回收每月庫存表" localSheetId="5" hidden="1">'4.7'!#REF!</definedName>
    <definedName name="複本_14_取樣回收每月庫存表" localSheetId="6" hidden="1">'4.8'!#REF!</definedName>
    <definedName name="複本_14_取樣回收每月庫存表" localSheetId="7" hidden="1">'4.9'!#REF!</definedName>
  </definedNames>
  <calcPr calcId="162913"/>
</workbook>
</file>

<file path=xl/calcChain.xml><?xml version="1.0" encoding="utf-8"?>
<calcChain xmlns="http://schemas.openxmlformats.org/spreadsheetml/2006/main">
  <c r="AA33" i="2158" l="1"/>
  <c r="X33" i="2158"/>
  <c r="U33" i="2158"/>
  <c r="R33" i="2158"/>
  <c r="F33" i="2158"/>
  <c r="Y28" i="2158"/>
  <c r="X28" i="2158"/>
  <c r="S33" i="2158" s="1"/>
  <c r="W28" i="2158"/>
  <c r="V28" i="2158"/>
  <c r="U28" i="2158"/>
  <c r="T28" i="2158"/>
  <c r="S28" i="2158"/>
  <c r="R28" i="2158"/>
  <c r="Q28" i="2158"/>
  <c r="P28" i="2158"/>
  <c r="O28" i="2158"/>
  <c r="N28" i="2158"/>
  <c r="M28" i="2158"/>
  <c r="L28" i="2158"/>
  <c r="K28" i="2158"/>
  <c r="J28" i="2158"/>
  <c r="I28" i="2158"/>
  <c r="H28" i="2158"/>
  <c r="G28" i="2158"/>
  <c r="F28" i="2158"/>
  <c r="E28" i="2158"/>
  <c r="D28" i="2158"/>
  <c r="Y25" i="2158"/>
  <c r="X25" i="2158"/>
  <c r="W25" i="2158"/>
  <c r="V25" i="2158"/>
  <c r="U25" i="2158"/>
  <c r="T25" i="2158"/>
  <c r="S25" i="2158"/>
  <c r="R25" i="2158"/>
  <c r="Q25" i="2158"/>
  <c r="P25" i="2158"/>
  <c r="O25" i="2158"/>
  <c r="N25" i="2158"/>
  <c r="M25" i="2158"/>
  <c r="L25" i="2158"/>
  <c r="K25" i="2158"/>
  <c r="J25" i="2158"/>
  <c r="I25" i="2158"/>
  <c r="H25" i="2158"/>
  <c r="G25" i="2158"/>
  <c r="F25" i="2158"/>
  <c r="E25" i="2158"/>
  <c r="D25" i="2158"/>
  <c r="AE19" i="2158"/>
  <c r="AD19" i="2158"/>
  <c r="AC19" i="2158"/>
  <c r="AB19" i="2158"/>
  <c r="AA19" i="2158"/>
  <c r="Z19" i="2158"/>
  <c r="Y19" i="2158"/>
  <c r="X19" i="2158"/>
  <c r="T33" i="2158" s="1"/>
  <c r="W19" i="2158"/>
  <c r="V19" i="2158"/>
  <c r="U19" i="2158"/>
  <c r="T19" i="2158"/>
  <c r="S19" i="2158"/>
  <c r="R19" i="2158"/>
  <c r="Q19" i="2158"/>
  <c r="P19" i="2158"/>
  <c r="O19" i="2158"/>
  <c r="N19" i="2158"/>
  <c r="G33" i="2158" s="1"/>
  <c r="M19" i="2158"/>
  <c r="H33" i="2158" s="1"/>
  <c r="L19" i="2158"/>
  <c r="P33" i="2158" s="1"/>
  <c r="K19" i="2158"/>
  <c r="L33" i="2158" s="1"/>
  <c r="J19" i="2158"/>
  <c r="I19" i="2158"/>
  <c r="AB33" i="2158" s="1"/>
  <c r="H19" i="2158"/>
  <c r="G19" i="2158"/>
  <c r="O33" i="2158" s="1"/>
  <c r="F19" i="2158"/>
  <c r="E19" i="2158"/>
  <c r="D19" i="2158"/>
  <c r="AE16" i="2158"/>
  <c r="AD16" i="2158"/>
  <c r="AC16" i="2158"/>
  <c r="AB16" i="2158"/>
  <c r="AA16" i="2158"/>
  <c r="Z16" i="2158"/>
  <c r="X16" i="2158"/>
  <c r="W16" i="2158"/>
  <c r="V16" i="2158"/>
  <c r="U16" i="2158"/>
  <c r="T16" i="2158"/>
  <c r="S16" i="2158"/>
  <c r="R16" i="2158"/>
  <c r="Q16" i="2158"/>
  <c r="P16" i="2158"/>
  <c r="O16" i="2158"/>
  <c r="N16" i="2158"/>
  <c r="M16" i="2158"/>
  <c r="L16" i="2158"/>
  <c r="K16" i="2158"/>
  <c r="J16" i="2158"/>
  <c r="I16" i="2158"/>
  <c r="H16" i="2158"/>
  <c r="G16" i="2158"/>
  <c r="F16" i="2158"/>
  <c r="E16" i="2158"/>
  <c r="D16" i="2158"/>
  <c r="AE10" i="2158"/>
  <c r="AD10" i="2158"/>
  <c r="AC10" i="2158"/>
  <c r="AB10" i="2158"/>
  <c r="AA10" i="2158"/>
  <c r="Z10" i="2158"/>
  <c r="Y10" i="2158"/>
  <c r="X10" i="2158"/>
  <c r="W10" i="2158"/>
  <c r="V10" i="2158"/>
  <c r="U10" i="2158"/>
  <c r="T10" i="2158"/>
  <c r="S10" i="2158"/>
  <c r="R10" i="2158"/>
  <c r="Q10" i="2158"/>
  <c r="P10" i="2158"/>
  <c r="O10" i="2158"/>
  <c r="N10" i="2158"/>
  <c r="M10" i="2158"/>
  <c r="L10" i="2158"/>
  <c r="K10" i="2158"/>
  <c r="J10" i="2158"/>
  <c r="I10" i="2158"/>
  <c r="H10" i="2158"/>
  <c r="G10" i="2158"/>
  <c r="F10" i="2158"/>
  <c r="E10" i="2158"/>
  <c r="D10" i="2158"/>
  <c r="AE7" i="2158"/>
  <c r="AD7" i="2158"/>
  <c r="AC7" i="2158"/>
  <c r="AB7" i="2158"/>
  <c r="AA7" i="2158"/>
  <c r="Z7" i="2158"/>
  <c r="Y7" i="2158"/>
  <c r="X7" i="2158"/>
  <c r="W7" i="2158"/>
  <c r="V7" i="2158"/>
  <c r="U7" i="2158"/>
  <c r="T7" i="2158"/>
  <c r="S7" i="2158"/>
  <c r="R7" i="2158"/>
  <c r="Q7" i="2158"/>
  <c r="P7" i="2158"/>
  <c r="O7" i="2158"/>
  <c r="N7" i="2158"/>
  <c r="M7" i="2158"/>
  <c r="L7" i="2158"/>
  <c r="K7" i="2158"/>
  <c r="J7" i="2158"/>
  <c r="I7" i="2158"/>
  <c r="H7" i="2158"/>
  <c r="G7" i="2158"/>
  <c r="F7" i="2158"/>
  <c r="E7" i="2158"/>
  <c r="D7" i="2158"/>
  <c r="J33" i="2158" l="1"/>
  <c r="W33" i="2158"/>
  <c r="N33" i="2158"/>
  <c r="AC33" i="2158"/>
  <c r="Z33" i="2158"/>
  <c r="D33" i="2158"/>
  <c r="Y33" i="2158"/>
  <c r="Q33" i="2158"/>
  <c r="E33" i="2158"/>
  <c r="K33" i="2158"/>
  <c r="M33" i="2158"/>
  <c r="V33" i="2158"/>
  <c r="AA33" i="2157"/>
  <c r="X33" i="2157"/>
  <c r="U33" i="2157"/>
  <c r="R33" i="2157"/>
  <c r="F33" i="2157"/>
  <c r="Y28" i="2157"/>
  <c r="X28" i="2157"/>
  <c r="S33" i="2157" s="1"/>
  <c r="W28" i="2157"/>
  <c r="V28" i="2157"/>
  <c r="U28" i="2157"/>
  <c r="T28" i="2157"/>
  <c r="S28" i="2157"/>
  <c r="R28" i="2157"/>
  <c r="Q28" i="2157"/>
  <c r="P28" i="2157"/>
  <c r="O28" i="2157"/>
  <c r="N28" i="2157"/>
  <c r="M28" i="2157"/>
  <c r="L28" i="2157"/>
  <c r="K28" i="2157"/>
  <c r="J28" i="2157"/>
  <c r="I28" i="2157"/>
  <c r="H28" i="2157"/>
  <c r="G28" i="2157"/>
  <c r="F28" i="2157"/>
  <c r="E28" i="2157"/>
  <c r="D28" i="2157"/>
  <c r="Y25" i="2157"/>
  <c r="X25" i="2157"/>
  <c r="W25" i="2157"/>
  <c r="V25" i="2157"/>
  <c r="U25" i="2157"/>
  <c r="T25" i="2157"/>
  <c r="S25" i="2157"/>
  <c r="R25" i="2157"/>
  <c r="Q25" i="2157"/>
  <c r="P25" i="2157"/>
  <c r="O25" i="2157"/>
  <c r="N25" i="2157"/>
  <c r="M25" i="2157"/>
  <c r="L25" i="2157"/>
  <c r="K25" i="2157"/>
  <c r="J25" i="2157"/>
  <c r="I25" i="2157"/>
  <c r="H25" i="2157"/>
  <c r="G25" i="2157"/>
  <c r="F25" i="2157"/>
  <c r="E25" i="2157"/>
  <c r="D25" i="2157"/>
  <c r="AE19" i="2157"/>
  <c r="AD19" i="2157"/>
  <c r="AC19" i="2157"/>
  <c r="AB19" i="2157"/>
  <c r="AA19" i="2157"/>
  <c r="Z19" i="2157"/>
  <c r="Y19" i="2157"/>
  <c r="X19" i="2157"/>
  <c r="T33" i="2157" s="1"/>
  <c r="W19" i="2157"/>
  <c r="V19" i="2157"/>
  <c r="U19" i="2157"/>
  <c r="T19" i="2157"/>
  <c r="S19" i="2157"/>
  <c r="R19" i="2157"/>
  <c r="Q19" i="2157"/>
  <c r="P19" i="2157"/>
  <c r="O19" i="2157"/>
  <c r="N19" i="2157"/>
  <c r="G33" i="2157" s="1"/>
  <c r="M19" i="2157"/>
  <c r="H33" i="2157" s="1"/>
  <c r="L19" i="2157"/>
  <c r="P33" i="2157" s="1"/>
  <c r="K19" i="2157"/>
  <c r="L33" i="2157" s="1"/>
  <c r="J19" i="2157"/>
  <c r="I19" i="2157"/>
  <c r="AB33" i="2157" s="1"/>
  <c r="H19" i="2157"/>
  <c r="G19" i="2157"/>
  <c r="O33" i="2157" s="1"/>
  <c r="F19" i="2157"/>
  <c r="E19" i="2157"/>
  <c r="D19" i="2157"/>
  <c r="AE16" i="2157"/>
  <c r="AD16" i="2157"/>
  <c r="AC16" i="2157"/>
  <c r="AB16" i="2157"/>
  <c r="AA16" i="2157"/>
  <c r="Z16" i="2157"/>
  <c r="X16" i="2157"/>
  <c r="W16" i="2157"/>
  <c r="V16" i="2157"/>
  <c r="U16" i="2157"/>
  <c r="T16" i="2157"/>
  <c r="S16" i="2157"/>
  <c r="R16" i="2157"/>
  <c r="Q16" i="2157"/>
  <c r="P16" i="2157"/>
  <c r="O16" i="2157"/>
  <c r="N16" i="2157"/>
  <c r="M16" i="2157"/>
  <c r="L16" i="2157"/>
  <c r="K16" i="2157"/>
  <c r="J16" i="2157"/>
  <c r="I16" i="2157"/>
  <c r="H16" i="2157"/>
  <c r="G16" i="2157"/>
  <c r="F16" i="2157"/>
  <c r="E16" i="2157"/>
  <c r="D16" i="2157"/>
  <c r="AE10" i="2157"/>
  <c r="AD10" i="2157"/>
  <c r="AC10" i="2157"/>
  <c r="AB10" i="2157"/>
  <c r="AA10" i="2157"/>
  <c r="Z10" i="2157"/>
  <c r="Y10" i="2157"/>
  <c r="X10" i="2157"/>
  <c r="W10" i="2157"/>
  <c r="V10" i="2157"/>
  <c r="U10" i="2157"/>
  <c r="T10" i="2157"/>
  <c r="S10" i="2157"/>
  <c r="R10" i="2157"/>
  <c r="Q10" i="2157"/>
  <c r="P10" i="2157"/>
  <c r="O10" i="2157"/>
  <c r="N10" i="2157"/>
  <c r="M10" i="2157"/>
  <c r="E33" i="2157" s="1"/>
  <c r="L10" i="2157"/>
  <c r="K10" i="2157"/>
  <c r="J10" i="2157"/>
  <c r="Q33" i="2157" s="1"/>
  <c r="I10" i="2157"/>
  <c r="H10" i="2157"/>
  <c r="G10" i="2157"/>
  <c r="F10" i="2157"/>
  <c r="E10" i="2157"/>
  <c r="D10" i="2157"/>
  <c r="AE7" i="2157"/>
  <c r="AD7" i="2157"/>
  <c r="AC7" i="2157"/>
  <c r="AB7" i="2157"/>
  <c r="AA7" i="2157"/>
  <c r="Z7" i="2157"/>
  <c r="Y7" i="2157"/>
  <c r="X7" i="2157"/>
  <c r="W7" i="2157"/>
  <c r="V7" i="2157"/>
  <c r="U7" i="2157"/>
  <c r="T7" i="2157"/>
  <c r="S7" i="2157"/>
  <c r="R7" i="2157"/>
  <c r="Q7" i="2157"/>
  <c r="P7" i="2157"/>
  <c r="O7" i="2157"/>
  <c r="N7" i="2157"/>
  <c r="M7" i="2157"/>
  <c r="L7" i="2157"/>
  <c r="K7" i="2157"/>
  <c r="J7" i="2157"/>
  <c r="I7" i="2157"/>
  <c r="H7" i="2157"/>
  <c r="G7" i="2157"/>
  <c r="F7" i="2157"/>
  <c r="E7" i="2157"/>
  <c r="D7" i="2157"/>
  <c r="J33" i="2157" l="1"/>
  <c r="W33" i="2157"/>
  <c r="N33" i="2157"/>
  <c r="AC33" i="2157"/>
  <c r="D33" i="2157"/>
  <c r="Z33" i="2157"/>
  <c r="Y33" i="2157"/>
  <c r="K33" i="2157"/>
  <c r="M33" i="2157"/>
  <c r="V33" i="2157"/>
  <c r="AA33" i="2156"/>
  <c r="X33" i="2156"/>
  <c r="U33" i="2156"/>
  <c r="R33" i="2156"/>
  <c r="F33" i="2156"/>
  <c r="E33" i="2156"/>
  <c r="Y28" i="2156"/>
  <c r="X28" i="2156"/>
  <c r="S33" i="2156" s="1"/>
  <c r="W28" i="2156"/>
  <c r="V28" i="2156"/>
  <c r="U28" i="2156"/>
  <c r="T28" i="2156"/>
  <c r="S28" i="2156"/>
  <c r="R28" i="2156"/>
  <c r="Q28" i="2156"/>
  <c r="P28" i="2156"/>
  <c r="O28" i="2156"/>
  <c r="N28" i="2156"/>
  <c r="M28" i="2156"/>
  <c r="L28" i="2156"/>
  <c r="K28" i="2156"/>
  <c r="J28" i="2156"/>
  <c r="I28" i="2156"/>
  <c r="H28" i="2156"/>
  <c r="G28" i="2156"/>
  <c r="F28" i="2156"/>
  <c r="E28" i="2156"/>
  <c r="D28" i="2156"/>
  <c r="Y25" i="2156"/>
  <c r="X25" i="2156"/>
  <c r="W25" i="2156"/>
  <c r="V25" i="2156"/>
  <c r="U25" i="2156"/>
  <c r="T25" i="2156"/>
  <c r="S25" i="2156"/>
  <c r="R25" i="2156"/>
  <c r="Q25" i="2156"/>
  <c r="P25" i="2156"/>
  <c r="O25" i="2156"/>
  <c r="N25" i="2156"/>
  <c r="M25" i="2156"/>
  <c r="L25" i="2156"/>
  <c r="K25" i="2156"/>
  <c r="J25" i="2156"/>
  <c r="I25" i="2156"/>
  <c r="H25" i="2156"/>
  <c r="G25" i="2156"/>
  <c r="F25" i="2156"/>
  <c r="E25" i="2156"/>
  <c r="D25" i="2156"/>
  <c r="AE19" i="2156"/>
  <c r="AD19" i="2156"/>
  <c r="AC19" i="2156"/>
  <c r="AB19" i="2156"/>
  <c r="AA19" i="2156"/>
  <c r="Z19" i="2156"/>
  <c r="Y19" i="2156"/>
  <c r="X19" i="2156"/>
  <c r="T33" i="2156" s="1"/>
  <c r="W19" i="2156"/>
  <c r="V19" i="2156"/>
  <c r="U19" i="2156"/>
  <c r="T19" i="2156"/>
  <c r="S19" i="2156"/>
  <c r="R19" i="2156"/>
  <c r="Q19" i="2156"/>
  <c r="P19" i="2156"/>
  <c r="O19" i="2156"/>
  <c r="N19" i="2156"/>
  <c r="G33" i="2156" s="1"/>
  <c r="M19" i="2156"/>
  <c r="H33" i="2156" s="1"/>
  <c r="L19" i="2156"/>
  <c r="P33" i="2156" s="1"/>
  <c r="K19" i="2156"/>
  <c r="L33" i="2156" s="1"/>
  <c r="J19" i="2156"/>
  <c r="I19" i="2156"/>
  <c r="AB33" i="2156" s="1"/>
  <c r="H19" i="2156"/>
  <c r="G19" i="2156"/>
  <c r="O33" i="2156" s="1"/>
  <c r="F19" i="2156"/>
  <c r="E19" i="2156"/>
  <c r="D19" i="2156"/>
  <c r="AE16" i="2156"/>
  <c r="AD16" i="2156"/>
  <c r="AC16" i="2156"/>
  <c r="AB16" i="2156"/>
  <c r="AA16" i="2156"/>
  <c r="Z16" i="2156"/>
  <c r="X16" i="2156"/>
  <c r="W16" i="2156"/>
  <c r="V16" i="2156"/>
  <c r="U16" i="2156"/>
  <c r="T16" i="2156"/>
  <c r="S16" i="2156"/>
  <c r="R16" i="2156"/>
  <c r="Q16" i="2156"/>
  <c r="P16" i="2156"/>
  <c r="O16" i="2156"/>
  <c r="N16" i="2156"/>
  <c r="M16" i="2156"/>
  <c r="L16" i="2156"/>
  <c r="K16" i="2156"/>
  <c r="J16" i="2156"/>
  <c r="I16" i="2156"/>
  <c r="H16" i="2156"/>
  <c r="G16" i="2156"/>
  <c r="F16" i="2156"/>
  <c r="E16" i="2156"/>
  <c r="D16" i="2156"/>
  <c r="AE10" i="2156"/>
  <c r="AD10" i="2156"/>
  <c r="AC10" i="2156"/>
  <c r="AB10" i="2156"/>
  <c r="AA10" i="2156"/>
  <c r="Z10" i="2156"/>
  <c r="Y10" i="2156"/>
  <c r="X10" i="2156"/>
  <c r="W10" i="2156"/>
  <c r="V10" i="2156"/>
  <c r="U10" i="2156"/>
  <c r="T10" i="2156"/>
  <c r="S10" i="2156"/>
  <c r="R10" i="2156"/>
  <c r="Q10" i="2156"/>
  <c r="P10" i="2156"/>
  <c r="O10" i="2156"/>
  <c r="N10" i="2156"/>
  <c r="Q33" i="2156" s="1"/>
  <c r="M10" i="2156"/>
  <c r="L10" i="2156"/>
  <c r="K10" i="2156"/>
  <c r="J10" i="2156"/>
  <c r="I10" i="2156"/>
  <c r="H10" i="2156"/>
  <c r="G10" i="2156"/>
  <c r="F10" i="2156"/>
  <c r="J33" i="2156" s="1"/>
  <c r="E10" i="2156"/>
  <c r="D10" i="2156"/>
  <c r="AE7" i="2156"/>
  <c r="AD7" i="2156"/>
  <c r="AC7" i="2156"/>
  <c r="AB7" i="2156"/>
  <c r="AA7" i="2156"/>
  <c r="Z7" i="2156"/>
  <c r="Y7" i="2156"/>
  <c r="X7" i="2156"/>
  <c r="W7" i="2156"/>
  <c r="V7" i="2156"/>
  <c r="U7" i="2156"/>
  <c r="T7" i="2156"/>
  <c r="S7" i="2156"/>
  <c r="R7" i="2156"/>
  <c r="Q7" i="2156"/>
  <c r="P7" i="2156"/>
  <c r="O7" i="2156"/>
  <c r="N7" i="2156"/>
  <c r="M7" i="2156"/>
  <c r="L7" i="2156"/>
  <c r="K7" i="2156"/>
  <c r="J7" i="2156"/>
  <c r="I7" i="2156"/>
  <c r="H7" i="2156"/>
  <c r="G7" i="2156"/>
  <c r="F7" i="2156"/>
  <c r="E7" i="2156"/>
  <c r="D7" i="2156"/>
  <c r="W33" i="2156" l="1"/>
  <c r="N33" i="2156"/>
  <c r="AC33" i="2156"/>
  <c r="Z33" i="2156"/>
  <c r="D33" i="2156"/>
  <c r="Y33" i="2156"/>
  <c r="K33" i="2156"/>
  <c r="M33" i="2156"/>
  <c r="V33" i="2156"/>
  <c r="AA33" i="2155"/>
  <c r="X33" i="2155"/>
  <c r="U33" i="2155"/>
  <c r="R33" i="2155"/>
  <c r="F33" i="2155"/>
  <c r="Y28" i="2155"/>
  <c r="X28" i="2155"/>
  <c r="S33" i="2155" s="1"/>
  <c r="W28" i="2155"/>
  <c r="V28" i="2155"/>
  <c r="U28" i="2155"/>
  <c r="T28" i="2155"/>
  <c r="S28" i="2155"/>
  <c r="R28" i="2155"/>
  <c r="Q28" i="2155"/>
  <c r="P28" i="2155"/>
  <c r="O28" i="2155"/>
  <c r="N28" i="2155"/>
  <c r="M28" i="2155"/>
  <c r="L28" i="2155"/>
  <c r="K28" i="2155"/>
  <c r="J28" i="2155"/>
  <c r="I28" i="2155"/>
  <c r="H28" i="2155"/>
  <c r="G28" i="2155"/>
  <c r="F28" i="2155"/>
  <c r="E28" i="2155"/>
  <c r="D28" i="2155"/>
  <c r="Y25" i="2155"/>
  <c r="X25" i="2155"/>
  <c r="W25" i="2155"/>
  <c r="V25" i="2155"/>
  <c r="U25" i="2155"/>
  <c r="T25" i="2155"/>
  <c r="S25" i="2155"/>
  <c r="R25" i="2155"/>
  <c r="Q25" i="2155"/>
  <c r="P25" i="2155"/>
  <c r="O25" i="2155"/>
  <c r="N25" i="2155"/>
  <c r="M25" i="2155"/>
  <c r="L25" i="2155"/>
  <c r="K25" i="2155"/>
  <c r="J25" i="2155"/>
  <c r="I25" i="2155"/>
  <c r="H25" i="2155"/>
  <c r="G25" i="2155"/>
  <c r="F25" i="2155"/>
  <c r="E25" i="2155"/>
  <c r="D25" i="2155"/>
  <c r="AE19" i="2155"/>
  <c r="AD19" i="2155"/>
  <c r="AC19" i="2155"/>
  <c r="AB19" i="2155"/>
  <c r="AA19" i="2155"/>
  <c r="Z19" i="2155"/>
  <c r="Y19" i="2155"/>
  <c r="X19" i="2155"/>
  <c r="T33" i="2155" s="1"/>
  <c r="W19" i="2155"/>
  <c r="V19" i="2155"/>
  <c r="U19" i="2155"/>
  <c r="T19" i="2155"/>
  <c r="S19" i="2155"/>
  <c r="R19" i="2155"/>
  <c r="Q19" i="2155"/>
  <c r="P19" i="2155"/>
  <c r="O19" i="2155"/>
  <c r="N19" i="2155"/>
  <c r="G33" i="2155" s="1"/>
  <c r="M19" i="2155"/>
  <c r="H33" i="2155" s="1"/>
  <c r="L19" i="2155"/>
  <c r="P33" i="2155" s="1"/>
  <c r="K19" i="2155"/>
  <c r="L33" i="2155" s="1"/>
  <c r="J19" i="2155"/>
  <c r="I19" i="2155"/>
  <c r="AB33" i="2155" s="1"/>
  <c r="H19" i="2155"/>
  <c r="G19" i="2155"/>
  <c r="O33" i="2155" s="1"/>
  <c r="F19" i="2155"/>
  <c r="E19" i="2155"/>
  <c r="D19" i="2155"/>
  <c r="AE16" i="2155"/>
  <c r="AD16" i="2155"/>
  <c r="AC16" i="2155"/>
  <c r="AB16" i="2155"/>
  <c r="AA16" i="2155"/>
  <c r="Z16" i="2155"/>
  <c r="X16" i="2155"/>
  <c r="W16" i="2155"/>
  <c r="V16" i="2155"/>
  <c r="U16" i="2155"/>
  <c r="T16" i="2155"/>
  <c r="S16" i="2155"/>
  <c r="R16" i="2155"/>
  <c r="Q16" i="2155"/>
  <c r="P16" i="2155"/>
  <c r="O16" i="2155"/>
  <c r="N16" i="2155"/>
  <c r="M16" i="2155"/>
  <c r="L16" i="2155"/>
  <c r="K16" i="2155"/>
  <c r="J16" i="2155"/>
  <c r="I16" i="2155"/>
  <c r="H16" i="2155"/>
  <c r="G16" i="2155"/>
  <c r="F16" i="2155"/>
  <c r="E16" i="2155"/>
  <c r="D16" i="2155"/>
  <c r="AE10" i="2155"/>
  <c r="AD10" i="2155"/>
  <c r="AC10" i="2155"/>
  <c r="AB10" i="2155"/>
  <c r="AA10" i="2155"/>
  <c r="Z10" i="2155"/>
  <c r="Y10" i="2155"/>
  <c r="X10" i="2155"/>
  <c r="W10" i="2155"/>
  <c r="V10" i="2155"/>
  <c r="U10" i="2155"/>
  <c r="T10" i="2155"/>
  <c r="S10" i="2155"/>
  <c r="R10" i="2155"/>
  <c r="Q10" i="2155"/>
  <c r="P10" i="2155"/>
  <c r="O10" i="2155"/>
  <c r="N10" i="2155"/>
  <c r="Q33" i="2155" s="1"/>
  <c r="M10" i="2155"/>
  <c r="E33" i="2155" s="1"/>
  <c r="L10" i="2155"/>
  <c r="K10" i="2155"/>
  <c r="J10" i="2155"/>
  <c r="I10" i="2155"/>
  <c r="H10" i="2155"/>
  <c r="G10" i="2155"/>
  <c r="F10" i="2155"/>
  <c r="E10" i="2155"/>
  <c r="D10" i="2155"/>
  <c r="AE7" i="2155"/>
  <c r="AD7" i="2155"/>
  <c r="AC7" i="2155"/>
  <c r="AB7" i="2155"/>
  <c r="AA7" i="2155"/>
  <c r="Z7" i="2155"/>
  <c r="Y7" i="2155"/>
  <c r="X7" i="2155"/>
  <c r="W7" i="2155"/>
  <c r="V7" i="2155"/>
  <c r="U7" i="2155"/>
  <c r="T7" i="2155"/>
  <c r="S7" i="2155"/>
  <c r="R7" i="2155"/>
  <c r="Q7" i="2155"/>
  <c r="P7" i="2155"/>
  <c r="O7" i="2155"/>
  <c r="N7" i="2155"/>
  <c r="M7" i="2155"/>
  <c r="L7" i="2155"/>
  <c r="K7" i="2155"/>
  <c r="J7" i="2155"/>
  <c r="I7" i="2155"/>
  <c r="H7" i="2155"/>
  <c r="G7" i="2155"/>
  <c r="F7" i="2155"/>
  <c r="E7" i="2155"/>
  <c r="D7" i="2155"/>
  <c r="J33" i="2155" l="1"/>
  <c r="W33" i="2155"/>
  <c r="K33" i="2155"/>
  <c r="N33" i="2155"/>
  <c r="AC33" i="2155"/>
  <c r="Z33" i="2155"/>
  <c r="D33" i="2155"/>
  <c r="Y33" i="2155"/>
  <c r="M33" i="2155"/>
  <c r="V33" i="2155"/>
  <c r="AA33" i="2154"/>
  <c r="X33" i="2154"/>
  <c r="U33" i="2154"/>
  <c r="R33" i="2154"/>
  <c r="F33" i="2154"/>
  <c r="E33" i="2154"/>
  <c r="Y28" i="2154"/>
  <c r="X28" i="2154"/>
  <c r="S33" i="2154" s="1"/>
  <c r="W28" i="2154"/>
  <c r="V28" i="2154"/>
  <c r="U28" i="2154"/>
  <c r="T28" i="2154"/>
  <c r="S28" i="2154"/>
  <c r="R28" i="2154"/>
  <c r="Q28" i="2154"/>
  <c r="P28" i="2154"/>
  <c r="O28" i="2154"/>
  <c r="N28" i="2154"/>
  <c r="M28" i="2154"/>
  <c r="L28" i="2154"/>
  <c r="K28" i="2154"/>
  <c r="J28" i="2154"/>
  <c r="I28" i="2154"/>
  <c r="H28" i="2154"/>
  <c r="G28" i="2154"/>
  <c r="F28" i="2154"/>
  <c r="E28" i="2154"/>
  <c r="D28" i="2154"/>
  <c r="Y25" i="2154"/>
  <c r="X25" i="2154"/>
  <c r="W25" i="2154"/>
  <c r="V25" i="2154"/>
  <c r="U25" i="2154"/>
  <c r="T25" i="2154"/>
  <c r="S25" i="2154"/>
  <c r="R25" i="2154"/>
  <c r="Q25" i="2154"/>
  <c r="P25" i="2154"/>
  <c r="O25" i="2154"/>
  <c r="N25" i="2154"/>
  <c r="M25" i="2154"/>
  <c r="L25" i="2154"/>
  <c r="K25" i="2154"/>
  <c r="J25" i="2154"/>
  <c r="I25" i="2154"/>
  <c r="H25" i="2154"/>
  <c r="G25" i="2154"/>
  <c r="F25" i="2154"/>
  <c r="E25" i="2154"/>
  <c r="D25" i="2154"/>
  <c r="AE19" i="2154"/>
  <c r="AD19" i="2154"/>
  <c r="AC19" i="2154"/>
  <c r="AB19" i="2154"/>
  <c r="AA19" i="2154"/>
  <c r="Z19" i="2154"/>
  <c r="Y19" i="2154"/>
  <c r="X19" i="2154"/>
  <c r="T33" i="2154" s="1"/>
  <c r="W19" i="2154"/>
  <c r="V19" i="2154"/>
  <c r="U19" i="2154"/>
  <c r="T19" i="2154"/>
  <c r="S19" i="2154"/>
  <c r="R19" i="2154"/>
  <c r="Q19" i="2154"/>
  <c r="P19" i="2154"/>
  <c r="O19" i="2154"/>
  <c r="N19" i="2154"/>
  <c r="G33" i="2154" s="1"/>
  <c r="M19" i="2154"/>
  <c r="H33" i="2154" s="1"/>
  <c r="L19" i="2154"/>
  <c r="P33" i="2154" s="1"/>
  <c r="K19" i="2154"/>
  <c r="L33" i="2154" s="1"/>
  <c r="J19" i="2154"/>
  <c r="I19" i="2154"/>
  <c r="AB33" i="2154" s="1"/>
  <c r="H19" i="2154"/>
  <c r="G19" i="2154"/>
  <c r="O33" i="2154" s="1"/>
  <c r="F19" i="2154"/>
  <c r="E19" i="2154"/>
  <c r="D19" i="2154"/>
  <c r="AE16" i="2154"/>
  <c r="AD16" i="2154"/>
  <c r="AC16" i="2154"/>
  <c r="AB16" i="2154"/>
  <c r="AA16" i="2154"/>
  <c r="Z16" i="2154"/>
  <c r="X16" i="2154"/>
  <c r="W16" i="2154"/>
  <c r="V16" i="2154"/>
  <c r="U16" i="2154"/>
  <c r="T16" i="2154"/>
  <c r="S16" i="2154"/>
  <c r="R16" i="2154"/>
  <c r="Q16" i="2154"/>
  <c r="P16" i="2154"/>
  <c r="O16" i="2154"/>
  <c r="N16" i="2154"/>
  <c r="M16" i="2154"/>
  <c r="L16" i="2154"/>
  <c r="K16" i="2154"/>
  <c r="J16" i="2154"/>
  <c r="I16" i="2154"/>
  <c r="H16" i="2154"/>
  <c r="G16" i="2154"/>
  <c r="F16" i="2154"/>
  <c r="E16" i="2154"/>
  <c r="D16" i="2154"/>
  <c r="AE10" i="2154"/>
  <c r="AD10" i="2154"/>
  <c r="AC10" i="2154"/>
  <c r="AB10" i="2154"/>
  <c r="AA10" i="2154"/>
  <c r="Z10" i="2154"/>
  <c r="Y10" i="2154"/>
  <c r="X10" i="2154"/>
  <c r="W10" i="2154"/>
  <c r="V10" i="2154"/>
  <c r="U10" i="2154"/>
  <c r="T10" i="2154"/>
  <c r="S10" i="2154"/>
  <c r="R10" i="2154"/>
  <c r="Q10" i="2154"/>
  <c r="P10" i="2154"/>
  <c r="O10" i="2154"/>
  <c r="N10" i="2154"/>
  <c r="Q33" i="2154" s="1"/>
  <c r="M10" i="2154"/>
  <c r="L10" i="2154"/>
  <c r="K10" i="2154"/>
  <c r="J10" i="2154"/>
  <c r="I10" i="2154"/>
  <c r="H10" i="2154"/>
  <c r="G10" i="2154"/>
  <c r="F10" i="2154"/>
  <c r="J33" i="2154" s="1"/>
  <c r="E10" i="2154"/>
  <c r="D10" i="2154"/>
  <c r="AE7" i="2154"/>
  <c r="AD7" i="2154"/>
  <c r="AC7" i="2154"/>
  <c r="AB7" i="2154"/>
  <c r="AA7" i="2154"/>
  <c r="Z7" i="2154"/>
  <c r="Y7" i="2154"/>
  <c r="X7" i="2154"/>
  <c r="W7" i="2154"/>
  <c r="V7" i="2154"/>
  <c r="U7" i="2154"/>
  <c r="T7" i="2154"/>
  <c r="S7" i="2154"/>
  <c r="R7" i="2154"/>
  <c r="Q7" i="2154"/>
  <c r="P7" i="2154"/>
  <c r="O7" i="2154"/>
  <c r="N7" i="2154"/>
  <c r="M7" i="2154"/>
  <c r="L7" i="2154"/>
  <c r="K7" i="2154"/>
  <c r="J7" i="2154"/>
  <c r="I7" i="2154"/>
  <c r="H7" i="2154"/>
  <c r="G7" i="2154"/>
  <c r="F7" i="2154"/>
  <c r="E7" i="2154"/>
  <c r="D7" i="2154"/>
  <c r="W33" i="2154" l="1"/>
  <c r="N33" i="2154"/>
  <c r="AC33" i="2154"/>
  <c r="Z33" i="2154"/>
  <c r="D33" i="2154"/>
  <c r="Y33" i="2154"/>
  <c r="K33" i="2154"/>
  <c r="M33" i="2154"/>
  <c r="V33" i="2154"/>
  <c r="AA33" i="2153" l="1"/>
  <c r="X33" i="2153"/>
  <c r="U33" i="2153"/>
  <c r="R33" i="2153"/>
  <c r="F33" i="2153"/>
  <c r="Y28" i="2153"/>
  <c r="X28" i="2153"/>
  <c r="S33" i="2153" s="1"/>
  <c r="W28" i="2153"/>
  <c r="V28" i="2153"/>
  <c r="U28" i="2153"/>
  <c r="T28" i="2153"/>
  <c r="S28" i="2153"/>
  <c r="R28" i="2153"/>
  <c r="Q28" i="2153"/>
  <c r="P28" i="2153"/>
  <c r="O28" i="2153"/>
  <c r="N28" i="2153"/>
  <c r="M28" i="2153"/>
  <c r="L28" i="2153"/>
  <c r="K28" i="2153"/>
  <c r="J28" i="2153"/>
  <c r="I28" i="2153"/>
  <c r="H28" i="2153"/>
  <c r="G28" i="2153"/>
  <c r="F28" i="2153"/>
  <c r="E28" i="2153"/>
  <c r="D28" i="2153"/>
  <c r="Y25" i="2153"/>
  <c r="X25" i="2153"/>
  <c r="W25" i="2153"/>
  <c r="V25" i="2153"/>
  <c r="U25" i="2153"/>
  <c r="T25" i="2153"/>
  <c r="S25" i="2153"/>
  <c r="R25" i="2153"/>
  <c r="Q25" i="2153"/>
  <c r="P25" i="2153"/>
  <c r="O25" i="2153"/>
  <c r="N25" i="2153"/>
  <c r="M25" i="2153"/>
  <c r="L25" i="2153"/>
  <c r="K25" i="2153"/>
  <c r="J25" i="2153"/>
  <c r="I25" i="2153"/>
  <c r="H25" i="2153"/>
  <c r="G25" i="2153"/>
  <c r="F25" i="2153"/>
  <c r="E25" i="2153"/>
  <c r="D25" i="2153"/>
  <c r="AE19" i="2153"/>
  <c r="AD19" i="2153"/>
  <c r="AC19" i="2153"/>
  <c r="AB19" i="2153"/>
  <c r="AA19" i="2153"/>
  <c r="Z19" i="2153"/>
  <c r="Y19" i="2153"/>
  <c r="X19" i="2153"/>
  <c r="T33" i="2153" s="1"/>
  <c r="W19" i="2153"/>
  <c r="V19" i="2153"/>
  <c r="U19" i="2153"/>
  <c r="T19" i="2153"/>
  <c r="S19" i="2153"/>
  <c r="R19" i="2153"/>
  <c r="Q19" i="2153"/>
  <c r="P19" i="2153"/>
  <c r="O19" i="2153"/>
  <c r="N19" i="2153"/>
  <c r="G33" i="2153" s="1"/>
  <c r="M19" i="2153"/>
  <c r="H33" i="2153" s="1"/>
  <c r="L19" i="2153"/>
  <c r="P33" i="2153" s="1"/>
  <c r="K19" i="2153"/>
  <c r="L33" i="2153" s="1"/>
  <c r="J19" i="2153"/>
  <c r="I19" i="2153"/>
  <c r="AB33" i="2153" s="1"/>
  <c r="H19" i="2153"/>
  <c r="G19" i="2153"/>
  <c r="O33" i="2153" s="1"/>
  <c r="F19" i="2153"/>
  <c r="E19" i="2153"/>
  <c r="D19" i="2153"/>
  <c r="AE16" i="2153"/>
  <c r="AD16" i="2153"/>
  <c r="AC16" i="2153"/>
  <c r="AB16" i="2153"/>
  <c r="AA16" i="2153"/>
  <c r="Z16" i="2153"/>
  <c r="X16" i="2153"/>
  <c r="W16" i="2153"/>
  <c r="V16" i="2153"/>
  <c r="U16" i="2153"/>
  <c r="T16" i="2153"/>
  <c r="S16" i="2153"/>
  <c r="R16" i="2153"/>
  <c r="Q16" i="2153"/>
  <c r="P16" i="2153"/>
  <c r="O16" i="2153"/>
  <c r="N16" i="2153"/>
  <c r="M16" i="2153"/>
  <c r="L16" i="2153"/>
  <c r="K16" i="2153"/>
  <c r="J16" i="2153"/>
  <c r="I16" i="2153"/>
  <c r="H16" i="2153"/>
  <c r="G16" i="2153"/>
  <c r="F16" i="2153"/>
  <c r="E16" i="2153"/>
  <c r="D16" i="2153"/>
  <c r="AE10" i="2153"/>
  <c r="AD10" i="2153"/>
  <c r="AC10" i="2153"/>
  <c r="AB10" i="2153"/>
  <c r="AA10" i="2153"/>
  <c r="Z10" i="2153"/>
  <c r="Y10" i="2153"/>
  <c r="X10" i="2153"/>
  <c r="W10" i="2153"/>
  <c r="V10" i="2153"/>
  <c r="U10" i="2153"/>
  <c r="T10" i="2153"/>
  <c r="S10" i="2153"/>
  <c r="R10" i="2153"/>
  <c r="Q10" i="2153"/>
  <c r="P10" i="2153"/>
  <c r="O10" i="2153"/>
  <c r="N10" i="2153"/>
  <c r="M10" i="2153"/>
  <c r="E33" i="2153" s="1"/>
  <c r="L10" i="2153"/>
  <c r="K10" i="2153"/>
  <c r="J10" i="2153"/>
  <c r="I10" i="2153"/>
  <c r="H10" i="2153"/>
  <c r="G10" i="2153"/>
  <c r="F10" i="2153"/>
  <c r="E10" i="2153"/>
  <c r="D10" i="2153"/>
  <c r="AE7" i="2153"/>
  <c r="AD7" i="2153"/>
  <c r="AC7" i="2153"/>
  <c r="AB7" i="2153"/>
  <c r="AA7" i="2153"/>
  <c r="Z7" i="2153"/>
  <c r="Y7" i="2153"/>
  <c r="X7" i="2153"/>
  <c r="W7" i="2153"/>
  <c r="V7" i="2153"/>
  <c r="U7" i="2153"/>
  <c r="T7" i="2153"/>
  <c r="S7" i="2153"/>
  <c r="R7" i="2153"/>
  <c r="Q7" i="2153"/>
  <c r="P7" i="2153"/>
  <c r="O7" i="2153"/>
  <c r="N7" i="2153"/>
  <c r="M7" i="2153"/>
  <c r="L7" i="2153"/>
  <c r="K7" i="2153"/>
  <c r="J7" i="2153"/>
  <c r="I7" i="2153"/>
  <c r="H7" i="2153"/>
  <c r="G7" i="2153"/>
  <c r="F7" i="2153"/>
  <c r="E7" i="2153"/>
  <c r="D7" i="2153"/>
  <c r="J33" i="2153" l="1"/>
  <c r="W33" i="2153"/>
  <c r="N33" i="2153"/>
  <c r="AC33" i="2153"/>
  <c r="D33" i="2153"/>
  <c r="Z33" i="2153"/>
  <c r="Y33" i="2153"/>
  <c r="K33" i="2153"/>
  <c r="Q33" i="2153"/>
  <c r="M33" i="2153"/>
  <c r="V33" i="2153"/>
  <c r="AA33" i="2152"/>
  <c r="X33" i="2152"/>
  <c r="U33" i="2152"/>
  <c r="R33" i="2152"/>
  <c r="O33" i="2152"/>
  <c r="F33" i="2152"/>
  <c r="Y28" i="2152"/>
  <c r="X28" i="2152"/>
  <c r="S33" i="2152" s="1"/>
  <c r="W28" i="2152"/>
  <c r="V28" i="2152"/>
  <c r="U28" i="2152"/>
  <c r="T28" i="2152"/>
  <c r="S28" i="2152"/>
  <c r="R28" i="2152"/>
  <c r="Q28" i="2152"/>
  <c r="P28" i="2152"/>
  <c r="O28" i="2152"/>
  <c r="N28" i="2152"/>
  <c r="M28" i="2152"/>
  <c r="L28" i="2152"/>
  <c r="K28" i="2152"/>
  <c r="J28" i="2152"/>
  <c r="I28" i="2152"/>
  <c r="H28" i="2152"/>
  <c r="G28" i="2152"/>
  <c r="F28" i="2152"/>
  <c r="E28" i="2152"/>
  <c r="D28" i="2152"/>
  <c r="Y25" i="2152"/>
  <c r="X25" i="2152"/>
  <c r="W25" i="2152"/>
  <c r="V25" i="2152"/>
  <c r="U25" i="2152"/>
  <c r="T25" i="2152"/>
  <c r="S25" i="2152"/>
  <c r="R25" i="2152"/>
  <c r="Q25" i="2152"/>
  <c r="P25" i="2152"/>
  <c r="O25" i="2152"/>
  <c r="N25" i="2152"/>
  <c r="M25" i="2152"/>
  <c r="L25" i="2152"/>
  <c r="K25" i="2152"/>
  <c r="J25" i="2152"/>
  <c r="I25" i="2152"/>
  <c r="H25" i="2152"/>
  <c r="G25" i="2152"/>
  <c r="F25" i="2152"/>
  <c r="E25" i="2152"/>
  <c r="D25" i="2152"/>
  <c r="AE19" i="2152"/>
  <c r="AD19" i="2152"/>
  <c r="AC19" i="2152"/>
  <c r="AB19" i="2152"/>
  <c r="AA19" i="2152"/>
  <c r="Z19" i="2152"/>
  <c r="Y19" i="2152"/>
  <c r="X19" i="2152"/>
  <c r="T33" i="2152" s="1"/>
  <c r="W19" i="2152"/>
  <c r="V19" i="2152"/>
  <c r="U19" i="2152"/>
  <c r="T19" i="2152"/>
  <c r="S19" i="2152"/>
  <c r="R19" i="2152"/>
  <c r="Q19" i="2152"/>
  <c r="P19" i="2152"/>
  <c r="O19" i="2152"/>
  <c r="N19" i="2152"/>
  <c r="G33" i="2152" s="1"/>
  <c r="M19" i="2152"/>
  <c r="H33" i="2152" s="1"/>
  <c r="L19" i="2152"/>
  <c r="P33" i="2152" s="1"/>
  <c r="K19" i="2152"/>
  <c r="L33" i="2152" s="1"/>
  <c r="J19" i="2152"/>
  <c r="I19" i="2152"/>
  <c r="AB33" i="2152" s="1"/>
  <c r="H19" i="2152"/>
  <c r="G19" i="2152"/>
  <c r="F19" i="2152"/>
  <c r="E19" i="2152"/>
  <c r="D19" i="2152"/>
  <c r="AE16" i="2152"/>
  <c r="AD16" i="2152"/>
  <c r="AC16" i="2152"/>
  <c r="AB16" i="2152"/>
  <c r="AA16" i="2152"/>
  <c r="Z16" i="2152"/>
  <c r="X16" i="2152"/>
  <c r="W16" i="2152"/>
  <c r="V16" i="2152"/>
  <c r="U16" i="2152"/>
  <c r="T16" i="2152"/>
  <c r="S16" i="2152"/>
  <c r="R16" i="2152"/>
  <c r="Q16" i="2152"/>
  <c r="P16" i="2152"/>
  <c r="O16" i="2152"/>
  <c r="N16" i="2152"/>
  <c r="M16" i="2152"/>
  <c r="L16" i="2152"/>
  <c r="K16" i="2152"/>
  <c r="J16" i="2152"/>
  <c r="I16" i="2152"/>
  <c r="H16" i="2152"/>
  <c r="G16" i="2152"/>
  <c r="F16" i="2152"/>
  <c r="E16" i="2152"/>
  <c r="D16" i="2152"/>
  <c r="AE10" i="2152"/>
  <c r="AD10" i="2152"/>
  <c r="AC10" i="2152"/>
  <c r="AB10" i="2152"/>
  <c r="AA10" i="2152"/>
  <c r="Z10" i="2152"/>
  <c r="Y10" i="2152"/>
  <c r="X10" i="2152"/>
  <c r="W10" i="2152"/>
  <c r="V10" i="2152"/>
  <c r="U10" i="2152"/>
  <c r="T10" i="2152"/>
  <c r="S10" i="2152"/>
  <c r="R10" i="2152"/>
  <c r="Q10" i="2152"/>
  <c r="P10" i="2152"/>
  <c r="O10" i="2152"/>
  <c r="N10" i="2152"/>
  <c r="M10" i="2152"/>
  <c r="L10" i="2152"/>
  <c r="K10" i="2152"/>
  <c r="J10" i="2152"/>
  <c r="Q33" i="2152" s="1"/>
  <c r="I10" i="2152"/>
  <c r="H10" i="2152"/>
  <c r="G10" i="2152"/>
  <c r="F10" i="2152"/>
  <c r="E10" i="2152"/>
  <c r="D10" i="2152"/>
  <c r="AE7" i="2152"/>
  <c r="AD7" i="2152"/>
  <c r="AC7" i="2152"/>
  <c r="AB7" i="2152"/>
  <c r="AA7" i="2152"/>
  <c r="Z7" i="2152"/>
  <c r="Y7" i="2152"/>
  <c r="X7" i="2152"/>
  <c r="W7" i="2152"/>
  <c r="V7" i="2152"/>
  <c r="U7" i="2152"/>
  <c r="T7" i="2152"/>
  <c r="S7" i="2152"/>
  <c r="R7" i="2152"/>
  <c r="Q7" i="2152"/>
  <c r="P7" i="2152"/>
  <c r="O7" i="2152"/>
  <c r="N7" i="2152"/>
  <c r="M7" i="2152"/>
  <c r="L7" i="2152"/>
  <c r="K7" i="2152"/>
  <c r="J7" i="2152"/>
  <c r="I7" i="2152"/>
  <c r="H7" i="2152"/>
  <c r="G7" i="2152"/>
  <c r="F7" i="2152"/>
  <c r="E7" i="2152"/>
  <c r="D7" i="2152"/>
  <c r="W33" i="2152" l="1"/>
  <c r="AC33" i="2152"/>
  <c r="D33" i="2152"/>
  <c r="Z33" i="2152"/>
  <c r="Y33" i="2152"/>
  <c r="N33" i="2152"/>
  <c r="K33" i="2152"/>
  <c r="E33" i="2152"/>
  <c r="J33" i="2152"/>
  <c r="M33" i="2152"/>
  <c r="V33" i="2152"/>
  <c r="AA33" i="2151"/>
  <c r="X33" i="2151"/>
  <c r="U33" i="2151"/>
  <c r="R33" i="2151"/>
  <c r="F33" i="2151"/>
  <c r="Y28" i="2151"/>
  <c r="X28" i="2151"/>
  <c r="S33" i="2151" s="1"/>
  <c r="W28" i="2151"/>
  <c r="V28" i="2151"/>
  <c r="U28" i="2151"/>
  <c r="T28" i="2151"/>
  <c r="S28" i="2151"/>
  <c r="R28" i="2151"/>
  <c r="Q28" i="2151"/>
  <c r="P28" i="2151"/>
  <c r="O28" i="2151"/>
  <c r="N28" i="2151"/>
  <c r="M28" i="2151"/>
  <c r="L28" i="2151"/>
  <c r="K28" i="2151"/>
  <c r="J28" i="2151"/>
  <c r="I28" i="2151"/>
  <c r="H28" i="2151"/>
  <c r="G28" i="2151"/>
  <c r="F28" i="2151"/>
  <c r="E28" i="2151"/>
  <c r="D28" i="2151"/>
  <c r="Y25" i="2151"/>
  <c r="X25" i="2151"/>
  <c r="W25" i="2151"/>
  <c r="V25" i="2151"/>
  <c r="U25" i="2151"/>
  <c r="T25" i="2151"/>
  <c r="S25" i="2151"/>
  <c r="R25" i="2151"/>
  <c r="Q25" i="2151"/>
  <c r="P25" i="2151"/>
  <c r="O25" i="2151"/>
  <c r="N25" i="2151"/>
  <c r="M25" i="2151"/>
  <c r="L25" i="2151"/>
  <c r="K25" i="2151"/>
  <c r="J25" i="2151"/>
  <c r="I25" i="2151"/>
  <c r="H25" i="2151"/>
  <c r="G25" i="2151"/>
  <c r="F25" i="2151"/>
  <c r="E25" i="2151"/>
  <c r="D25" i="2151"/>
  <c r="AE19" i="2151"/>
  <c r="AD19" i="2151"/>
  <c r="AC19" i="2151"/>
  <c r="AB19" i="2151"/>
  <c r="AA19" i="2151"/>
  <c r="Z19" i="2151"/>
  <c r="Y19" i="2151"/>
  <c r="X19" i="2151"/>
  <c r="T33" i="2151" s="1"/>
  <c r="W19" i="2151"/>
  <c r="V19" i="2151"/>
  <c r="U19" i="2151"/>
  <c r="T19" i="2151"/>
  <c r="S19" i="2151"/>
  <c r="R19" i="2151"/>
  <c r="Q19" i="2151"/>
  <c r="P19" i="2151"/>
  <c r="O19" i="2151"/>
  <c r="N19" i="2151"/>
  <c r="G33" i="2151" s="1"/>
  <c r="M19" i="2151"/>
  <c r="H33" i="2151" s="1"/>
  <c r="L19" i="2151"/>
  <c r="P33" i="2151" s="1"/>
  <c r="K19" i="2151"/>
  <c r="L33" i="2151" s="1"/>
  <c r="J19" i="2151"/>
  <c r="I19" i="2151"/>
  <c r="AB33" i="2151" s="1"/>
  <c r="H19" i="2151"/>
  <c r="G19" i="2151"/>
  <c r="O33" i="2151" s="1"/>
  <c r="F19" i="2151"/>
  <c r="E19" i="2151"/>
  <c r="D19" i="2151"/>
  <c r="AE16" i="2151"/>
  <c r="AD16" i="2151"/>
  <c r="AC16" i="2151"/>
  <c r="AB16" i="2151"/>
  <c r="AA16" i="2151"/>
  <c r="Z16" i="2151"/>
  <c r="X16" i="2151"/>
  <c r="W16" i="2151"/>
  <c r="V16" i="2151"/>
  <c r="U16" i="2151"/>
  <c r="T16" i="2151"/>
  <c r="S16" i="2151"/>
  <c r="R16" i="2151"/>
  <c r="Q16" i="2151"/>
  <c r="P16" i="2151"/>
  <c r="O16" i="2151"/>
  <c r="N16" i="2151"/>
  <c r="M16" i="2151"/>
  <c r="L16" i="2151"/>
  <c r="K16" i="2151"/>
  <c r="J16" i="2151"/>
  <c r="I16" i="2151"/>
  <c r="H16" i="2151"/>
  <c r="G16" i="2151"/>
  <c r="F16" i="2151"/>
  <c r="E16" i="2151"/>
  <c r="D16" i="2151"/>
  <c r="AE10" i="2151"/>
  <c r="AD10" i="2151"/>
  <c r="AC10" i="2151"/>
  <c r="AB10" i="2151"/>
  <c r="AA10" i="2151"/>
  <c r="Z10" i="2151"/>
  <c r="Y10" i="2151"/>
  <c r="X10" i="2151"/>
  <c r="W10" i="2151"/>
  <c r="V10" i="2151"/>
  <c r="U10" i="2151"/>
  <c r="T10" i="2151"/>
  <c r="S10" i="2151"/>
  <c r="R10" i="2151"/>
  <c r="Q10" i="2151"/>
  <c r="P10" i="2151"/>
  <c r="O10" i="2151"/>
  <c r="N10" i="2151"/>
  <c r="M10" i="2151"/>
  <c r="E33" i="2151" s="1"/>
  <c r="L10" i="2151"/>
  <c r="K10" i="2151"/>
  <c r="J10" i="2151"/>
  <c r="Q33" i="2151" s="1"/>
  <c r="I10" i="2151"/>
  <c r="H10" i="2151"/>
  <c r="G10" i="2151"/>
  <c r="F10" i="2151"/>
  <c r="E10" i="2151"/>
  <c r="D10" i="2151"/>
  <c r="AE7" i="2151"/>
  <c r="AD7" i="2151"/>
  <c r="AC7" i="2151"/>
  <c r="AB7" i="2151"/>
  <c r="AA7" i="2151"/>
  <c r="Z7" i="2151"/>
  <c r="Y7" i="2151"/>
  <c r="X7" i="2151"/>
  <c r="W7" i="2151"/>
  <c r="V7" i="2151"/>
  <c r="U7" i="2151"/>
  <c r="T7" i="2151"/>
  <c r="S7" i="2151"/>
  <c r="R7" i="2151"/>
  <c r="Q7" i="2151"/>
  <c r="P7" i="2151"/>
  <c r="O7" i="2151"/>
  <c r="N7" i="2151"/>
  <c r="M7" i="2151"/>
  <c r="L7" i="2151"/>
  <c r="K7" i="2151"/>
  <c r="J7" i="2151"/>
  <c r="I7" i="2151"/>
  <c r="H7" i="2151"/>
  <c r="G7" i="2151"/>
  <c r="F7" i="2151"/>
  <c r="E7" i="2151"/>
  <c r="D7" i="2151"/>
  <c r="J33" i="2151" l="1"/>
  <c r="N33" i="2151"/>
  <c r="W33" i="2151"/>
  <c r="AC33" i="2151"/>
  <c r="D33" i="2151"/>
  <c r="Z33" i="2151"/>
  <c r="Y33" i="2151"/>
  <c r="K33" i="2151"/>
  <c r="M33" i="2151"/>
  <c r="V33" i="2151"/>
  <c r="AA33" i="2150"/>
  <c r="X33" i="2150"/>
  <c r="U33" i="2150"/>
  <c r="R33" i="2150"/>
  <c r="F33" i="2150"/>
  <c r="Y28" i="2150"/>
  <c r="X28" i="2150"/>
  <c r="S33" i="2150" s="1"/>
  <c r="W28" i="2150"/>
  <c r="V28" i="2150"/>
  <c r="U28" i="2150"/>
  <c r="T28" i="2150"/>
  <c r="S28" i="2150"/>
  <c r="R28" i="2150"/>
  <c r="Q28" i="2150"/>
  <c r="P28" i="2150"/>
  <c r="O28" i="2150"/>
  <c r="N28" i="2150"/>
  <c r="M28" i="2150"/>
  <c r="L28" i="2150"/>
  <c r="K28" i="2150"/>
  <c r="J28" i="2150"/>
  <c r="I28" i="2150"/>
  <c r="H28" i="2150"/>
  <c r="G28" i="2150"/>
  <c r="F28" i="2150"/>
  <c r="E28" i="2150"/>
  <c r="D28" i="2150"/>
  <c r="Y25" i="2150"/>
  <c r="X25" i="2150"/>
  <c r="W25" i="2150"/>
  <c r="V25" i="2150"/>
  <c r="U25" i="2150"/>
  <c r="T25" i="2150"/>
  <c r="S25" i="2150"/>
  <c r="R25" i="2150"/>
  <c r="Q25" i="2150"/>
  <c r="P25" i="2150"/>
  <c r="O25" i="2150"/>
  <c r="N25" i="2150"/>
  <c r="M25" i="2150"/>
  <c r="L25" i="2150"/>
  <c r="K25" i="2150"/>
  <c r="J25" i="2150"/>
  <c r="I25" i="2150"/>
  <c r="H25" i="2150"/>
  <c r="G25" i="2150"/>
  <c r="F25" i="2150"/>
  <c r="E25" i="2150"/>
  <c r="D25" i="2150"/>
  <c r="AE19" i="2150"/>
  <c r="AD19" i="2150"/>
  <c r="AC19" i="2150"/>
  <c r="AB19" i="2150"/>
  <c r="AA19" i="2150"/>
  <c r="Z19" i="2150"/>
  <c r="Y19" i="2150"/>
  <c r="X19" i="2150"/>
  <c r="T33" i="2150" s="1"/>
  <c r="W19" i="2150"/>
  <c r="V19" i="2150"/>
  <c r="U19" i="2150"/>
  <c r="T19" i="2150"/>
  <c r="S19" i="2150"/>
  <c r="R19" i="2150"/>
  <c r="Q19" i="2150"/>
  <c r="P19" i="2150"/>
  <c r="O19" i="2150"/>
  <c r="N19" i="2150"/>
  <c r="G33" i="2150" s="1"/>
  <c r="M19" i="2150"/>
  <c r="H33" i="2150" s="1"/>
  <c r="L19" i="2150"/>
  <c r="P33" i="2150" s="1"/>
  <c r="K19" i="2150"/>
  <c r="L33" i="2150" s="1"/>
  <c r="J19" i="2150"/>
  <c r="I19" i="2150"/>
  <c r="AB33" i="2150" s="1"/>
  <c r="H19" i="2150"/>
  <c r="G19" i="2150"/>
  <c r="O33" i="2150" s="1"/>
  <c r="F19" i="2150"/>
  <c r="E19" i="2150"/>
  <c r="D19" i="2150"/>
  <c r="AE16" i="2150"/>
  <c r="AD16" i="2150"/>
  <c r="AC16" i="2150"/>
  <c r="AB16" i="2150"/>
  <c r="AA16" i="2150"/>
  <c r="Z16" i="2150"/>
  <c r="X16" i="2150"/>
  <c r="W16" i="2150"/>
  <c r="V16" i="2150"/>
  <c r="U16" i="2150"/>
  <c r="T16" i="2150"/>
  <c r="S16" i="2150"/>
  <c r="R16" i="2150"/>
  <c r="Q16" i="2150"/>
  <c r="P16" i="2150"/>
  <c r="O16" i="2150"/>
  <c r="N16" i="2150"/>
  <c r="M16" i="2150"/>
  <c r="L16" i="2150"/>
  <c r="K16" i="2150"/>
  <c r="J16" i="2150"/>
  <c r="I16" i="2150"/>
  <c r="H16" i="2150"/>
  <c r="G16" i="2150"/>
  <c r="F16" i="2150"/>
  <c r="E16" i="2150"/>
  <c r="D16" i="2150"/>
  <c r="AE10" i="2150"/>
  <c r="AD10" i="2150"/>
  <c r="AC10" i="2150"/>
  <c r="AB10" i="2150"/>
  <c r="AA10" i="2150"/>
  <c r="Z10" i="2150"/>
  <c r="Y10" i="2150"/>
  <c r="X10" i="2150"/>
  <c r="W10" i="2150"/>
  <c r="V10" i="2150"/>
  <c r="U10" i="2150"/>
  <c r="T10" i="2150"/>
  <c r="S10" i="2150"/>
  <c r="R10" i="2150"/>
  <c r="Q10" i="2150"/>
  <c r="P10" i="2150"/>
  <c r="O10" i="2150"/>
  <c r="N10" i="2150"/>
  <c r="M10" i="2150"/>
  <c r="E33" i="2150" s="1"/>
  <c r="L10" i="2150"/>
  <c r="K10" i="2150"/>
  <c r="J10" i="2150"/>
  <c r="I10" i="2150"/>
  <c r="H10" i="2150"/>
  <c r="G10" i="2150"/>
  <c r="F10" i="2150"/>
  <c r="E10" i="2150"/>
  <c r="D10" i="2150"/>
  <c r="AE7" i="2150"/>
  <c r="AD7" i="2150"/>
  <c r="AC7" i="2150"/>
  <c r="AB7" i="2150"/>
  <c r="AA7" i="2150"/>
  <c r="Z7" i="2150"/>
  <c r="Y7" i="2150"/>
  <c r="X7" i="2150"/>
  <c r="W7" i="2150"/>
  <c r="V7" i="2150"/>
  <c r="U7" i="2150"/>
  <c r="T7" i="2150"/>
  <c r="S7" i="2150"/>
  <c r="R7" i="2150"/>
  <c r="Q7" i="2150"/>
  <c r="P7" i="2150"/>
  <c r="O7" i="2150"/>
  <c r="N7" i="2150"/>
  <c r="M7" i="2150"/>
  <c r="L7" i="2150"/>
  <c r="K7" i="2150"/>
  <c r="J7" i="2150"/>
  <c r="I7" i="2150"/>
  <c r="H7" i="2150"/>
  <c r="G7" i="2150"/>
  <c r="F7" i="2150"/>
  <c r="E7" i="2150"/>
  <c r="D7" i="2150"/>
  <c r="J33" i="2150" l="1"/>
  <c r="W33" i="2150"/>
  <c r="N33" i="2150"/>
  <c r="AC33" i="2150"/>
  <c r="D33" i="2150"/>
  <c r="Z33" i="2150"/>
  <c r="Y33" i="2150"/>
  <c r="K33" i="2150"/>
  <c r="Q33" i="2150"/>
  <c r="M33" i="2150"/>
  <c r="V33" i="2150"/>
  <c r="AA33" i="2149"/>
  <c r="X33" i="2149"/>
  <c r="U33" i="2149"/>
  <c r="R33" i="2149"/>
  <c r="F33" i="2149"/>
  <c r="Y28" i="2149"/>
  <c r="X28" i="2149"/>
  <c r="S33" i="2149" s="1"/>
  <c r="W28" i="2149"/>
  <c r="V28" i="2149"/>
  <c r="U28" i="2149"/>
  <c r="T28" i="2149"/>
  <c r="S28" i="2149"/>
  <c r="R28" i="2149"/>
  <c r="Q28" i="2149"/>
  <c r="P28" i="2149"/>
  <c r="O28" i="2149"/>
  <c r="N28" i="2149"/>
  <c r="M28" i="2149"/>
  <c r="L28" i="2149"/>
  <c r="K28" i="2149"/>
  <c r="J28" i="2149"/>
  <c r="I28" i="2149"/>
  <c r="H28" i="2149"/>
  <c r="G28" i="2149"/>
  <c r="F28" i="2149"/>
  <c r="E28" i="2149"/>
  <c r="D28" i="2149"/>
  <c r="Y25" i="2149"/>
  <c r="X25" i="2149"/>
  <c r="W25" i="2149"/>
  <c r="V25" i="2149"/>
  <c r="U25" i="2149"/>
  <c r="T25" i="2149"/>
  <c r="S25" i="2149"/>
  <c r="R25" i="2149"/>
  <c r="Q25" i="2149"/>
  <c r="P25" i="2149"/>
  <c r="O25" i="2149"/>
  <c r="N25" i="2149"/>
  <c r="M25" i="2149"/>
  <c r="L25" i="2149"/>
  <c r="K25" i="2149"/>
  <c r="J25" i="2149"/>
  <c r="I25" i="2149"/>
  <c r="H25" i="2149"/>
  <c r="G25" i="2149"/>
  <c r="F25" i="2149"/>
  <c r="E25" i="2149"/>
  <c r="D25" i="2149"/>
  <c r="AE19" i="2149"/>
  <c r="AD19" i="2149"/>
  <c r="AC19" i="2149"/>
  <c r="AB19" i="2149"/>
  <c r="AA19" i="2149"/>
  <c r="Z19" i="2149"/>
  <c r="Y19" i="2149"/>
  <c r="X19" i="2149"/>
  <c r="T33" i="2149" s="1"/>
  <c r="W19" i="2149"/>
  <c r="V19" i="2149"/>
  <c r="U19" i="2149"/>
  <c r="T19" i="2149"/>
  <c r="S19" i="2149"/>
  <c r="R19" i="2149"/>
  <c r="Q19" i="2149"/>
  <c r="P19" i="2149"/>
  <c r="O19" i="2149"/>
  <c r="N19" i="2149"/>
  <c r="G33" i="2149" s="1"/>
  <c r="M19" i="2149"/>
  <c r="H33" i="2149" s="1"/>
  <c r="L19" i="2149"/>
  <c r="P33" i="2149" s="1"/>
  <c r="K19" i="2149"/>
  <c r="L33" i="2149" s="1"/>
  <c r="J19" i="2149"/>
  <c r="I19" i="2149"/>
  <c r="AB33" i="2149" s="1"/>
  <c r="H19" i="2149"/>
  <c r="G19" i="2149"/>
  <c r="O33" i="2149" s="1"/>
  <c r="F19" i="2149"/>
  <c r="E19" i="2149"/>
  <c r="D19" i="2149"/>
  <c r="AE16" i="2149"/>
  <c r="AD16" i="2149"/>
  <c r="AC16" i="2149"/>
  <c r="AB16" i="2149"/>
  <c r="AA16" i="2149"/>
  <c r="Z16" i="2149"/>
  <c r="X16" i="2149"/>
  <c r="W16" i="2149"/>
  <c r="V16" i="2149"/>
  <c r="U16" i="2149"/>
  <c r="T16" i="2149"/>
  <c r="S16" i="2149"/>
  <c r="R16" i="2149"/>
  <c r="Q16" i="2149"/>
  <c r="P16" i="2149"/>
  <c r="O16" i="2149"/>
  <c r="N16" i="2149"/>
  <c r="M16" i="2149"/>
  <c r="L16" i="2149"/>
  <c r="K16" i="2149"/>
  <c r="J16" i="2149"/>
  <c r="I16" i="2149"/>
  <c r="H16" i="2149"/>
  <c r="G16" i="2149"/>
  <c r="F16" i="2149"/>
  <c r="E16" i="2149"/>
  <c r="D16" i="2149"/>
  <c r="AE10" i="2149"/>
  <c r="AD10" i="2149"/>
  <c r="AC10" i="2149"/>
  <c r="AB10" i="2149"/>
  <c r="AA10" i="2149"/>
  <c r="Z10" i="2149"/>
  <c r="Y10" i="2149"/>
  <c r="X10" i="2149"/>
  <c r="W10" i="2149"/>
  <c r="V10" i="2149"/>
  <c r="U10" i="2149"/>
  <c r="T10" i="2149"/>
  <c r="S10" i="2149"/>
  <c r="R10" i="2149"/>
  <c r="Q10" i="2149"/>
  <c r="P10" i="2149"/>
  <c r="O10" i="2149"/>
  <c r="N10" i="2149"/>
  <c r="M10" i="2149"/>
  <c r="E33" i="2149" s="1"/>
  <c r="L10" i="2149"/>
  <c r="K10" i="2149"/>
  <c r="J10" i="2149"/>
  <c r="Q33" i="2149" s="1"/>
  <c r="I10" i="2149"/>
  <c r="H10" i="2149"/>
  <c r="G10" i="2149"/>
  <c r="F10" i="2149"/>
  <c r="J33" i="2149" s="1"/>
  <c r="E10" i="2149"/>
  <c r="D10" i="2149"/>
  <c r="AE7" i="2149"/>
  <c r="AD7" i="2149"/>
  <c r="AC7" i="2149"/>
  <c r="AB7" i="2149"/>
  <c r="AA7" i="2149"/>
  <c r="Z7" i="2149"/>
  <c r="Y7" i="2149"/>
  <c r="X7" i="2149"/>
  <c r="W7" i="2149"/>
  <c r="V7" i="2149"/>
  <c r="U7" i="2149"/>
  <c r="T7" i="2149"/>
  <c r="S7" i="2149"/>
  <c r="R7" i="2149"/>
  <c r="Q7" i="2149"/>
  <c r="P7" i="2149"/>
  <c r="O7" i="2149"/>
  <c r="N7" i="2149"/>
  <c r="M7" i="2149"/>
  <c r="L7" i="2149"/>
  <c r="K7" i="2149"/>
  <c r="J7" i="2149"/>
  <c r="I7" i="2149"/>
  <c r="H7" i="2149"/>
  <c r="G7" i="2149"/>
  <c r="F7" i="2149"/>
  <c r="E7" i="2149"/>
  <c r="D7" i="2149"/>
  <c r="W33" i="2149" l="1"/>
  <c r="N33" i="2149"/>
  <c r="AC33" i="2149"/>
  <c r="D33" i="2149"/>
  <c r="Z33" i="2149"/>
  <c r="Y33" i="2149"/>
  <c r="K33" i="2149"/>
  <c r="M33" i="2149"/>
  <c r="V33" i="2149"/>
  <c r="AA33" i="2148"/>
  <c r="X33" i="2148"/>
  <c r="U33" i="2148"/>
  <c r="R33" i="2148"/>
  <c r="F33" i="2148"/>
  <c r="Y28" i="2148"/>
  <c r="X28" i="2148"/>
  <c r="S33" i="2148" s="1"/>
  <c r="W28" i="2148"/>
  <c r="V28" i="2148"/>
  <c r="U28" i="2148"/>
  <c r="T28" i="2148"/>
  <c r="S28" i="2148"/>
  <c r="R28" i="2148"/>
  <c r="Q28" i="2148"/>
  <c r="P28" i="2148"/>
  <c r="O28" i="2148"/>
  <c r="N28" i="2148"/>
  <c r="M28" i="2148"/>
  <c r="L28" i="2148"/>
  <c r="K28" i="2148"/>
  <c r="J28" i="2148"/>
  <c r="I28" i="2148"/>
  <c r="H28" i="2148"/>
  <c r="G28" i="2148"/>
  <c r="F28" i="2148"/>
  <c r="E28" i="2148"/>
  <c r="D28" i="2148"/>
  <c r="Y25" i="2148"/>
  <c r="X25" i="2148"/>
  <c r="W25" i="2148"/>
  <c r="V25" i="2148"/>
  <c r="U25" i="2148"/>
  <c r="T25" i="2148"/>
  <c r="S25" i="2148"/>
  <c r="R25" i="2148"/>
  <c r="Q25" i="2148"/>
  <c r="P25" i="2148"/>
  <c r="O25" i="2148"/>
  <c r="N25" i="2148"/>
  <c r="M25" i="2148"/>
  <c r="L25" i="2148"/>
  <c r="K25" i="2148"/>
  <c r="J25" i="2148"/>
  <c r="I25" i="2148"/>
  <c r="H25" i="2148"/>
  <c r="G25" i="2148"/>
  <c r="F25" i="2148"/>
  <c r="E25" i="2148"/>
  <c r="D25" i="2148"/>
  <c r="AE19" i="2148"/>
  <c r="AD19" i="2148"/>
  <c r="AC19" i="2148"/>
  <c r="AB19" i="2148"/>
  <c r="AA19" i="2148"/>
  <c r="Z19" i="2148"/>
  <c r="Y19" i="2148"/>
  <c r="X19" i="2148"/>
  <c r="T33" i="2148" s="1"/>
  <c r="W19" i="2148"/>
  <c r="V19" i="2148"/>
  <c r="U19" i="2148"/>
  <c r="T19" i="2148"/>
  <c r="S19" i="2148"/>
  <c r="R19" i="2148"/>
  <c r="Q19" i="2148"/>
  <c r="P19" i="2148"/>
  <c r="O19" i="2148"/>
  <c r="N19" i="2148"/>
  <c r="G33" i="2148" s="1"/>
  <c r="M19" i="2148"/>
  <c r="H33" i="2148" s="1"/>
  <c r="L19" i="2148"/>
  <c r="P33" i="2148" s="1"/>
  <c r="K19" i="2148"/>
  <c r="L33" i="2148" s="1"/>
  <c r="J19" i="2148"/>
  <c r="I19" i="2148"/>
  <c r="AB33" i="2148" s="1"/>
  <c r="H19" i="2148"/>
  <c r="G19" i="2148"/>
  <c r="O33" i="2148" s="1"/>
  <c r="F19" i="2148"/>
  <c r="E19" i="2148"/>
  <c r="D19" i="2148"/>
  <c r="AE16" i="2148"/>
  <c r="AD16" i="2148"/>
  <c r="AC16" i="2148"/>
  <c r="AB16" i="2148"/>
  <c r="AA16" i="2148"/>
  <c r="Z16" i="2148"/>
  <c r="X16" i="2148"/>
  <c r="W16" i="2148"/>
  <c r="V16" i="2148"/>
  <c r="U16" i="2148"/>
  <c r="T16" i="2148"/>
  <c r="S16" i="2148"/>
  <c r="R16" i="2148"/>
  <c r="Q16" i="2148"/>
  <c r="P16" i="2148"/>
  <c r="O16" i="2148"/>
  <c r="N16" i="2148"/>
  <c r="M16" i="2148"/>
  <c r="L16" i="2148"/>
  <c r="K16" i="2148"/>
  <c r="J16" i="2148"/>
  <c r="I16" i="2148"/>
  <c r="H16" i="2148"/>
  <c r="G16" i="2148"/>
  <c r="F16" i="2148"/>
  <c r="E16" i="2148"/>
  <c r="D16" i="2148"/>
  <c r="AE10" i="2148"/>
  <c r="AD10" i="2148"/>
  <c r="AC10" i="2148"/>
  <c r="AB10" i="2148"/>
  <c r="AA10" i="2148"/>
  <c r="Z10" i="2148"/>
  <c r="Y10" i="2148"/>
  <c r="X10" i="2148"/>
  <c r="W10" i="2148"/>
  <c r="V10" i="2148"/>
  <c r="U10" i="2148"/>
  <c r="T10" i="2148"/>
  <c r="S10" i="2148"/>
  <c r="R10" i="2148"/>
  <c r="Q10" i="2148"/>
  <c r="P10" i="2148"/>
  <c r="O10" i="2148"/>
  <c r="N10" i="2148"/>
  <c r="M10" i="2148"/>
  <c r="L10" i="2148"/>
  <c r="K10" i="2148"/>
  <c r="J10" i="2148"/>
  <c r="Q33" i="2148" s="1"/>
  <c r="I10" i="2148"/>
  <c r="H10" i="2148"/>
  <c r="G10" i="2148"/>
  <c r="F10" i="2148"/>
  <c r="E10" i="2148"/>
  <c r="D10" i="2148"/>
  <c r="AE7" i="2148"/>
  <c r="AD7" i="2148"/>
  <c r="AC7" i="2148"/>
  <c r="AB7" i="2148"/>
  <c r="AA7" i="2148"/>
  <c r="Z7" i="2148"/>
  <c r="Y7" i="2148"/>
  <c r="X7" i="2148"/>
  <c r="W7" i="2148"/>
  <c r="V7" i="2148"/>
  <c r="U7" i="2148"/>
  <c r="T7" i="2148"/>
  <c r="S7" i="2148"/>
  <c r="R7" i="2148"/>
  <c r="Q7" i="2148"/>
  <c r="P7" i="2148"/>
  <c r="O7" i="2148"/>
  <c r="N7" i="2148"/>
  <c r="M7" i="2148"/>
  <c r="L7" i="2148"/>
  <c r="K7" i="2148"/>
  <c r="J7" i="2148"/>
  <c r="I7" i="2148"/>
  <c r="H7" i="2148"/>
  <c r="G7" i="2148"/>
  <c r="F7" i="2148"/>
  <c r="E7" i="2148"/>
  <c r="D7" i="2148"/>
  <c r="AC33" i="2147"/>
  <c r="AB33" i="2147"/>
  <c r="AA33" i="2147"/>
  <c r="Z33" i="2147"/>
  <c r="Y33" i="2147"/>
  <c r="X33" i="2147"/>
  <c r="W33" i="2147"/>
  <c r="U33" i="2147"/>
  <c r="T33" i="2147"/>
  <c r="S33" i="2147"/>
  <c r="R33" i="2147"/>
  <c r="Q33" i="2147"/>
  <c r="P33" i="2147"/>
  <c r="O33" i="2147"/>
  <c r="N33" i="2147"/>
  <c r="M33" i="2147"/>
  <c r="L33" i="2147"/>
  <c r="K33" i="2147"/>
  <c r="J33" i="2147"/>
  <c r="H33" i="2147"/>
  <c r="G33" i="2147"/>
  <c r="F33" i="2147"/>
  <c r="E33" i="2147"/>
  <c r="D33" i="2147"/>
  <c r="Y28" i="2147"/>
  <c r="X28" i="2147"/>
  <c r="W28" i="2147"/>
  <c r="V28" i="2147"/>
  <c r="U28" i="2147"/>
  <c r="T28" i="2147"/>
  <c r="S28" i="2147"/>
  <c r="R28" i="2147"/>
  <c r="Q28" i="2147"/>
  <c r="P28" i="2147"/>
  <c r="O28" i="2147"/>
  <c r="N28" i="2147"/>
  <c r="M28" i="2147"/>
  <c r="L28" i="2147"/>
  <c r="K28" i="2147"/>
  <c r="J28" i="2147"/>
  <c r="I28" i="2147"/>
  <c r="H28" i="2147"/>
  <c r="G28" i="2147"/>
  <c r="F28" i="2147"/>
  <c r="E28" i="2147"/>
  <c r="D28" i="2147"/>
  <c r="Y25" i="2147"/>
  <c r="X25" i="2147"/>
  <c r="W25" i="2147"/>
  <c r="V25" i="2147"/>
  <c r="U25" i="2147"/>
  <c r="T25" i="2147"/>
  <c r="S25" i="2147"/>
  <c r="R25" i="2147"/>
  <c r="Q25" i="2147"/>
  <c r="P25" i="2147"/>
  <c r="O25" i="2147"/>
  <c r="N25" i="2147"/>
  <c r="M25" i="2147"/>
  <c r="L25" i="2147"/>
  <c r="K25" i="2147"/>
  <c r="J25" i="2147"/>
  <c r="I25" i="2147"/>
  <c r="H25" i="2147"/>
  <c r="G25" i="2147"/>
  <c r="F25" i="2147"/>
  <c r="E25" i="2147"/>
  <c r="D25" i="2147"/>
  <c r="AE19" i="2147"/>
  <c r="AD19" i="2147"/>
  <c r="AC19" i="2147"/>
  <c r="AB19" i="2147"/>
  <c r="AA19" i="2147"/>
  <c r="Z19" i="2147"/>
  <c r="Y19" i="2147"/>
  <c r="X19" i="2147"/>
  <c r="W19" i="2147"/>
  <c r="V19" i="2147"/>
  <c r="U19" i="2147"/>
  <c r="T19" i="2147"/>
  <c r="S19" i="2147"/>
  <c r="R19" i="2147"/>
  <c r="Q19" i="2147"/>
  <c r="P19" i="2147"/>
  <c r="V33" i="2147" s="1"/>
  <c r="O19" i="2147"/>
  <c r="N19" i="2147"/>
  <c r="M19" i="2147"/>
  <c r="L19" i="2147"/>
  <c r="K19" i="2147"/>
  <c r="J19" i="2147"/>
  <c r="I19" i="2147"/>
  <c r="H19" i="2147"/>
  <c r="G19" i="2147"/>
  <c r="F19" i="2147"/>
  <c r="E19" i="2147"/>
  <c r="D19" i="2147"/>
  <c r="AE16" i="2147"/>
  <c r="AD16" i="2147"/>
  <c r="AC16" i="2147"/>
  <c r="AB16" i="2147"/>
  <c r="AA16" i="2147"/>
  <c r="Z16" i="2147"/>
  <c r="X16" i="2147"/>
  <c r="W16" i="2147"/>
  <c r="V16" i="2147"/>
  <c r="U16" i="2147"/>
  <c r="T16" i="2147"/>
  <c r="S16" i="2147"/>
  <c r="R16" i="2147"/>
  <c r="Q16" i="2147"/>
  <c r="P16" i="2147"/>
  <c r="O16" i="2147"/>
  <c r="N16" i="2147"/>
  <c r="M16" i="2147"/>
  <c r="L16" i="2147"/>
  <c r="K16" i="2147"/>
  <c r="J16" i="2147"/>
  <c r="I16" i="2147"/>
  <c r="H16" i="2147"/>
  <c r="G16" i="2147"/>
  <c r="F16" i="2147"/>
  <c r="E16" i="2147"/>
  <c r="D16" i="2147"/>
  <c r="AE10" i="2147"/>
  <c r="AD10" i="2147"/>
  <c r="AC10" i="2147"/>
  <c r="AB10" i="2147"/>
  <c r="AA10" i="2147"/>
  <c r="Z10" i="2147"/>
  <c r="Y10" i="2147"/>
  <c r="X10" i="2147"/>
  <c r="W10" i="2147"/>
  <c r="V10" i="2147"/>
  <c r="U10" i="2147"/>
  <c r="T10" i="2147"/>
  <c r="S10" i="2147"/>
  <c r="R10" i="2147"/>
  <c r="Q10" i="2147"/>
  <c r="P10" i="2147"/>
  <c r="O10" i="2147"/>
  <c r="N10" i="2147"/>
  <c r="M10" i="2147"/>
  <c r="L10" i="2147"/>
  <c r="K10" i="2147"/>
  <c r="J10" i="2147"/>
  <c r="I10" i="2147"/>
  <c r="H10" i="2147"/>
  <c r="G10" i="2147"/>
  <c r="F10" i="2147"/>
  <c r="E10" i="2147"/>
  <c r="D10" i="2147"/>
  <c r="AE7" i="2147"/>
  <c r="AD7" i="2147"/>
  <c r="AC7" i="2147"/>
  <c r="AB7" i="2147"/>
  <c r="AA7" i="2147"/>
  <c r="Z7" i="2147"/>
  <c r="Y7" i="2147"/>
  <c r="X7" i="2147"/>
  <c r="W7" i="2147"/>
  <c r="V7" i="2147"/>
  <c r="U7" i="2147"/>
  <c r="T7" i="2147"/>
  <c r="S7" i="2147"/>
  <c r="R7" i="2147"/>
  <c r="Q7" i="2147"/>
  <c r="P7" i="2147"/>
  <c r="O7" i="2147"/>
  <c r="N7" i="2147"/>
  <c r="M7" i="2147"/>
  <c r="L7" i="2147"/>
  <c r="K7" i="2147"/>
  <c r="J7" i="2147"/>
  <c r="I7" i="2147"/>
  <c r="H7" i="2147"/>
  <c r="G7" i="2147"/>
  <c r="F7" i="2147"/>
  <c r="E7" i="2147"/>
  <c r="D7" i="2147"/>
  <c r="AC33" i="2146"/>
  <c r="AB33" i="2146"/>
  <c r="AA33" i="2146"/>
  <c r="Z33" i="2146"/>
  <c r="Y33" i="2146"/>
  <c r="X33" i="2146"/>
  <c r="W33" i="2146"/>
  <c r="U33" i="2146"/>
  <c r="T33" i="2146"/>
  <c r="S33" i="2146"/>
  <c r="R33" i="2146"/>
  <c r="Q33" i="2146"/>
  <c r="P33" i="2146"/>
  <c r="O33" i="2146"/>
  <c r="N33" i="2146"/>
  <c r="M33" i="2146"/>
  <c r="L33" i="2146"/>
  <c r="K33" i="2146"/>
  <c r="J33" i="2146"/>
  <c r="H33" i="2146"/>
  <c r="G33" i="2146"/>
  <c r="F33" i="2146"/>
  <c r="E33" i="2146"/>
  <c r="D33" i="2146"/>
  <c r="Y28" i="2146"/>
  <c r="X28" i="2146"/>
  <c r="W28" i="2146"/>
  <c r="V28" i="2146"/>
  <c r="U28" i="2146"/>
  <c r="T28" i="2146"/>
  <c r="S28" i="2146"/>
  <c r="R28" i="2146"/>
  <c r="Q28" i="2146"/>
  <c r="P28" i="2146"/>
  <c r="O28" i="2146"/>
  <c r="N28" i="2146"/>
  <c r="M28" i="2146"/>
  <c r="L28" i="2146"/>
  <c r="K28" i="2146"/>
  <c r="J28" i="2146"/>
  <c r="I28" i="2146"/>
  <c r="H28" i="2146"/>
  <c r="G28" i="2146"/>
  <c r="F28" i="2146"/>
  <c r="E28" i="2146"/>
  <c r="D28" i="2146"/>
  <c r="Y25" i="2146"/>
  <c r="X25" i="2146"/>
  <c r="W25" i="2146"/>
  <c r="V25" i="2146"/>
  <c r="U25" i="2146"/>
  <c r="T25" i="2146"/>
  <c r="S25" i="2146"/>
  <c r="R25" i="2146"/>
  <c r="Q25" i="2146"/>
  <c r="P25" i="2146"/>
  <c r="O25" i="2146"/>
  <c r="N25" i="2146"/>
  <c r="M25" i="2146"/>
  <c r="L25" i="2146"/>
  <c r="K25" i="2146"/>
  <c r="J25" i="2146"/>
  <c r="I25" i="2146"/>
  <c r="H25" i="2146"/>
  <c r="G25" i="2146"/>
  <c r="F25" i="2146"/>
  <c r="E25" i="2146"/>
  <c r="D25" i="2146"/>
  <c r="AE19" i="2146"/>
  <c r="AD19" i="2146"/>
  <c r="AC19" i="2146"/>
  <c r="AB19" i="2146"/>
  <c r="AA19" i="2146"/>
  <c r="Z19" i="2146"/>
  <c r="Y19" i="2146"/>
  <c r="X19" i="2146"/>
  <c r="W19" i="2146"/>
  <c r="V19" i="2146"/>
  <c r="U19" i="2146"/>
  <c r="T19" i="2146"/>
  <c r="S19" i="2146"/>
  <c r="R19" i="2146"/>
  <c r="Q19" i="2146"/>
  <c r="P19" i="2146"/>
  <c r="V33" i="2146" s="1"/>
  <c r="O19" i="2146"/>
  <c r="N19" i="2146"/>
  <c r="M19" i="2146"/>
  <c r="L19" i="2146"/>
  <c r="K19" i="2146"/>
  <c r="J19" i="2146"/>
  <c r="I19" i="2146"/>
  <c r="H19" i="2146"/>
  <c r="G19" i="2146"/>
  <c r="F19" i="2146"/>
  <c r="E19" i="2146"/>
  <c r="D19" i="2146"/>
  <c r="AE16" i="2146"/>
  <c r="AD16" i="2146"/>
  <c r="AC16" i="2146"/>
  <c r="AB16" i="2146"/>
  <c r="AA16" i="2146"/>
  <c r="Z16" i="2146"/>
  <c r="X16" i="2146"/>
  <c r="W16" i="2146"/>
  <c r="V16" i="2146"/>
  <c r="U16" i="2146"/>
  <c r="T16" i="2146"/>
  <c r="S16" i="2146"/>
  <c r="R16" i="2146"/>
  <c r="Q16" i="2146"/>
  <c r="P16" i="2146"/>
  <c r="O16" i="2146"/>
  <c r="N16" i="2146"/>
  <c r="M16" i="2146"/>
  <c r="L16" i="2146"/>
  <c r="K16" i="2146"/>
  <c r="J16" i="2146"/>
  <c r="I16" i="2146"/>
  <c r="H16" i="2146"/>
  <c r="G16" i="2146"/>
  <c r="F16" i="2146"/>
  <c r="E16" i="2146"/>
  <c r="D16" i="2146"/>
  <c r="AE10" i="2146"/>
  <c r="AD10" i="2146"/>
  <c r="AC10" i="2146"/>
  <c r="AB10" i="2146"/>
  <c r="AA10" i="2146"/>
  <c r="Z10" i="2146"/>
  <c r="Y10" i="2146"/>
  <c r="X10" i="2146"/>
  <c r="W10" i="2146"/>
  <c r="V10" i="2146"/>
  <c r="U10" i="2146"/>
  <c r="T10" i="2146"/>
  <c r="S10" i="2146"/>
  <c r="R10" i="2146"/>
  <c r="Q10" i="2146"/>
  <c r="P10" i="2146"/>
  <c r="O10" i="2146"/>
  <c r="N10" i="2146"/>
  <c r="M10" i="2146"/>
  <c r="L10" i="2146"/>
  <c r="K10" i="2146"/>
  <c r="J10" i="2146"/>
  <c r="I10" i="2146"/>
  <c r="H10" i="2146"/>
  <c r="G10" i="2146"/>
  <c r="F10" i="2146"/>
  <c r="E10" i="2146"/>
  <c r="D10" i="2146"/>
  <c r="AE7" i="2146"/>
  <c r="AD7" i="2146"/>
  <c r="AC7" i="2146"/>
  <c r="AB7" i="2146"/>
  <c r="AA7" i="2146"/>
  <c r="Z7" i="2146"/>
  <c r="Y7" i="2146"/>
  <c r="X7" i="2146"/>
  <c r="W7" i="2146"/>
  <c r="V7" i="2146"/>
  <c r="U7" i="2146"/>
  <c r="T7" i="2146"/>
  <c r="S7" i="2146"/>
  <c r="R7" i="2146"/>
  <c r="Q7" i="2146"/>
  <c r="P7" i="2146"/>
  <c r="O7" i="2146"/>
  <c r="N7" i="2146"/>
  <c r="M7" i="2146"/>
  <c r="L7" i="2146"/>
  <c r="K7" i="2146"/>
  <c r="J7" i="2146"/>
  <c r="I7" i="2146"/>
  <c r="H7" i="2146"/>
  <c r="G7" i="2146"/>
  <c r="F7" i="2146"/>
  <c r="E7" i="2146"/>
  <c r="D7" i="2146"/>
  <c r="AC33" i="2145"/>
  <c r="AB33" i="2145"/>
  <c r="AA33" i="2145"/>
  <c r="Z33" i="2145"/>
  <c r="Y33" i="2145"/>
  <c r="X33" i="2145"/>
  <c r="W33" i="2145"/>
  <c r="U33" i="2145"/>
  <c r="T33" i="2145"/>
  <c r="S33" i="2145"/>
  <c r="R33" i="2145"/>
  <c r="Q33" i="2145"/>
  <c r="P33" i="2145"/>
  <c r="O33" i="2145"/>
  <c r="N33" i="2145"/>
  <c r="M33" i="2145"/>
  <c r="L33" i="2145"/>
  <c r="K33" i="2145"/>
  <c r="J33" i="2145"/>
  <c r="H33" i="2145"/>
  <c r="G33" i="2145"/>
  <c r="F33" i="2145"/>
  <c r="E33" i="2145"/>
  <c r="D33" i="2145"/>
  <c r="Y28" i="2145"/>
  <c r="X28" i="2145"/>
  <c r="W28" i="2145"/>
  <c r="V28" i="2145"/>
  <c r="U28" i="2145"/>
  <c r="T28" i="2145"/>
  <c r="S28" i="2145"/>
  <c r="R28" i="2145"/>
  <c r="Q28" i="2145"/>
  <c r="P28" i="2145"/>
  <c r="O28" i="2145"/>
  <c r="N28" i="2145"/>
  <c r="M28" i="2145"/>
  <c r="L28" i="2145"/>
  <c r="K28" i="2145"/>
  <c r="J28" i="2145"/>
  <c r="I28" i="2145"/>
  <c r="H28" i="2145"/>
  <c r="G28" i="2145"/>
  <c r="F28" i="2145"/>
  <c r="E28" i="2145"/>
  <c r="D28" i="2145"/>
  <c r="Y25" i="2145"/>
  <c r="X25" i="2145"/>
  <c r="W25" i="2145"/>
  <c r="V25" i="2145"/>
  <c r="U25" i="2145"/>
  <c r="T25" i="2145"/>
  <c r="S25" i="2145"/>
  <c r="R25" i="2145"/>
  <c r="Q25" i="2145"/>
  <c r="P25" i="2145"/>
  <c r="O25" i="2145"/>
  <c r="N25" i="2145"/>
  <c r="M25" i="2145"/>
  <c r="L25" i="2145"/>
  <c r="K25" i="2145"/>
  <c r="J25" i="2145"/>
  <c r="I25" i="2145"/>
  <c r="H25" i="2145"/>
  <c r="G25" i="2145"/>
  <c r="F25" i="2145"/>
  <c r="E25" i="2145"/>
  <c r="D25" i="2145"/>
  <c r="AE19" i="2145"/>
  <c r="AD19" i="2145"/>
  <c r="AC19" i="2145"/>
  <c r="AB19" i="2145"/>
  <c r="AA19" i="2145"/>
  <c r="Z19" i="2145"/>
  <c r="Y19" i="2145"/>
  <c r="X19" i="2145"/>
  <c r="W19" i="2145"/>
  <c r="V19" i="2145"/>
  <c r="U19" i="2145"/>
  <c r="T19" i="2145"/>
  <c r="S19" i="2145"/>
  <c r="R19" i="2145"/>
  <c r="Q19" i="2145"/>
  <c r="P19" i="2145"/>
  <c r="V33" i="2145" s="1"/>
  <c r="O19" i="2145"/>
  <c r="N19" i="2145"/>
  <c r="M19" i="2145"/>
  <c r="L19" i="2145"/>
  <c r="K19" i="2145"/>
  <c r="J19" i="2145"/>
  <c r="I19" i="2145"/>
  <c r="H19" i="2145"/>
  <c r="G19" i="2145"/>
  <c r="F19" i="2145"/>
  <c r="E19" i="2145"/>
  <c r="D19" i="2145"/>
  <c r="AE16" i="2145"/>
  <c r="AD16" i="2145"/>
  <c r="AC16" i="2145"/>
  <c r="AB16" i="2145"/>
  <c r="AA16" i="2145"/>
  <c r="Z16" i="2145"/>
  <c r="X16" i="2145"/>
  <c r="W16" i="2145"/>
  <c r="V16" i="2145"/>
  <c r="U16" i="2145"/>
  <c r="T16" i="2145"/>
  <c r="S16" i="2145"/>
  <c r="R16" i="2145"/>
  <c r="Q16" i="2145"/>
  <c r="P16" i="2145"/>
  <c r="O16" i="2145"/>
  <c r="N16" i="2145"/>
  <c r="M16" i="2145"/>
  <c r="L16" i="2145"/>
  <c r="K16" i="2145"/>
  <c r="J16" i="2145"/>
  <c r="I16" i="2145"/>
  <c r="H16" i="2145"/>
  <c r="G16" i="2145"/>
  <c r="F16" i="2145"/>
  <c r="E16" i="2145"/>
  <c r="D16" i="2145"/>
  <c r="AE10" i="2145"/>
  <c r="AD10" i="2145"/>
  <c r="AC10" i="2145"/>
  <c r="AB10" i="2145"/>
  <c r="AA10" i="2145"/>
  <c r="Z10" i="2145"/>
  <c r="Y10" i="2145"/>
  <c r="X10" i="2145"/>
  <c r="W10" i="2145"/>
  <c r="V10" i="2145"/>
  <c r="U10" i="2145"/>
  <c r="T10" i="2145"/>
  <c r="S10" i="2145"/>
  <c r="R10" i="2145"/>
  <c r="Q10" i="2145"/>
  <c r="P10" i="2145"/>
  <c r="O10" i="2145"/>
  <c r="N10" i="2145"/>
  <c r="M10" i="2145"/>
  <c r="L10" i="2145"/>
  <c r="K10" i="2145"/>
  <c r="J10" i="2145"/>
  <c r="I10" i="2145"/>
  <c r="H10" i="2145"/>
  <c r="G10" i="2145"/>
  <c r="F10" i="2145"/>
  <c r="E10" i="2145"/>
  <c r="D10" i="2145"/>
  <c r="AE7" i="2145"/>
  <c r="AD7" i="2145"/>
  <c r="AC7" i="2145"/>
  <c r="AB7" i="2145"/>
  <c r="AA7" i="2145"/>
  <c r="Z7" i="2145"/>
  <c r="Y7" i="2145"/>
  <c r="X7" i="2145"/>
  <c r="W7" i="2145"/>
  <c r="V7" i="2145"/>
  <c r="U7" i="2145"/>
  <c r="T7" i="2145"/>
  <c r="S7" i="2145"/>
  <c r="R7" i="2145"/>
  <c r="Q7" i="2145"/>
  <c r="P7" i="2145"/>
  <c r="O7" i="2145"/>
  <c r="N7" i="2145"/>
  <c r="M7" i="2145"/>
  <c r="L7" i="2145"/>
  <c r="K7" i="2145"/>
  <c r="J7" i="2145"/>
  <c r="I7" i="2145"/>
  <c r="H7" i="2145"/>
  <c r="G7" i="2145"/>
  <c r="F7" i="2145"/>
  <c r="E7" i="2145"/>
  <c r="D7" i="2145"/>
  <c r="AC33" i="2144"/>
  <c r="AB33" i="2144"/>
  <c r="AA33" i="2144"/>
  <c r="Z33" i="2144"/>
  <c r="Y33" i="2144"/>
  <c r="X33" i="2144"/>
  <c r="W33" i="2144"/>
  <c r="U33" i="2144"/>
  <c r="T33" i="2144"/>
  <c r="S33" i="2144"/>
  <c r="R33" i="2144"/>
  <c r="Q33" i="2144"/>
  <c r="P33" i="2144"/>
  <c r="O33" i="2144"/>
  <c r="N33" i="2144"/>
  <c r="M33" i="2144"/>
  <c r="L33" i="2144"/>
  <c r="K33" i="2144"/>
  <c r="J33" i="2144"/>
  <c r="H33" i="2144"/>
  <c r="G33" i="2144"/>
  <c r="F33" i="2144"/>
  <c r="E33" i="2144"/>
  <c r="D33" i="2144"/>
  <c r="Y28" i="2144"/>
  <c r="X28" i="2144"/>
  <c r="W28" i="2144"/>
  <c r="V28" i="2144"/>
  <c r="U28" i="2144"/>
  <c r="T28" i="2144"/>
  <c r="S28" i="2144"/>
  <c r="R28" i="2144"/>
  <c r="Q28" i="2144"/>
  <c r="P28" i="2144"/>
  <c r="O28" i="2144"/>
  <c r="N28" i="2144"/>
  <c r="M28" i="2144"/>
  <c r="L28" i="2144"/>
  <c r="K28" i="2144"/>
  <c r="J28" i="2144"/>
  <c r="I28" i="2144"/>
  <c r="H28" i="2144"/>
  <c r="G28" i="2144"/>
  <c r="F28" i="2144"/>
  <c r="E28" i="2144"/>
  <c r="D28" i="2144"/>
  <c r="Y25" i="2144"/>
  <c r="X25" i="2144"/>
  <c r="W25" i="2144"/>
  <c r="V25" i="2144"/>
  <c r="U25" i="2144"/>
  <c r="T25" i="2144"/>
  <c r="S25" i="2144"/>
  <c r="R25" i="2144"/>
  <c r="Q25" i="2144"/>
  <c r="P25" i="2144"/>
  <c r="O25" i="2144"/>
  <c r="N25" i="2144"/>
  <c r="M25" i="2144"/>
  <c r="L25" i="2144"/>
  <c r="K25" i="2144"/>
  <c r="J25" i="2144"/>
  <c r="I25" i="2144"/>
  <c r="H25" i="2144"/>
  <c r="G25" i="2144"/>
  <c r="F25" i="2144"/>
  <c r="E25" i="2144"/>
  <c r="D25" i="2144"/>
  <c r="AE19" i="2144"/>
  <c r="AD19" i="2144"/>
  <c r="AC19" i="2144"/>
  <c r="AB19" i="2144"/>
  <c r="AA19" i="2144"/>
  <c r="Z19" i="2144"/>
  <c r="Y19" i="2144"/>
  <c r="X19" i="2144"/>
  <c r="W19" i="2144"/>
  <c r="V19" i="2144"/>
  <c r="U19" i="2144"/>
  <c r="T19" i="2144"/>
  <c r="S19" i="2144"/>
  <c r="R19" i="2144"/>
  <c r="Q19" i="2144"/>
  <c r="P19" i="2144"/>
  <c r="V33" i="2144" s="1"/>
  <c r="O19" i="2144"/>
  <c r="N19" i="2144"/>
  <c r="M19" i="2144"/>
  <c r="L19" i="2144"/>
  <c r="K19" i="2144"/>
  <c r="J19" i="2144"/>
  <c r="I19" i="2144"/>
  <c r="H19" i="2144"/>
  <c r="G19" i="2144"/>
  <c r="F19" i="2144"/>
  <c r="E19" i="2144"/>
  <c r="D19" i="2144"/>
  <c r="AE16" i="2144"/>
  <c r="AD16" i="2144"/>
  <c r="AC16" i="2144"/>
  <c r="AB16" i="2144"/>
  <c r="AA16" i="2144"/>
  <c r="Z16" i="2144"/>
  <c r="X16" i="2144"/>
  <c r="W16" i="2144"/>
  <c r="V16" i="2144"/>
  <c r="U16" i="2144"/>
  <c r="T16" i="2144"/>
  <c r="S16" i="2144"/>
  <c r="R16" i="2144"/>
  <c r="Q16" i="2144"/>
  <c r="P16" i="2144"/>
  <c r="O16" i="2144"/>
  <c r="N16" i="2144"/>
  <c r="M16" i="2144"/>
  <c r="L16" i="2144"/>
  <c r="K16" i="2144"/>
  <c r="J16" i="2144"/>
  <c r="I16" i="2144"/>
  <c r="H16" i="2144"/>
  <c r="G16" i="2144"/>
  <c r="F16" i="2144"/>
  <c r="E16" i="2144"/>
  <c r="D16" i="2144"/>
  <c r="AE10" i="2144"/>
  <c r="AD10" i="2144"/>
  <c r="AC10" i="2144"/>
  <c r="AB10" i="2144"/>
  <c r="AA10" i="2144"/>
  <c r="Z10" i="2144"/>
  <c r="Y10" i="2144"/>
  <c r="X10" i="2144"/>
  <c r="W10" i="2144"/>
  <c r="V10" i="2144"/>
  <c r="U10" i="2144"/>
  <c r="T10" i="2144"/>
  <c r="S10" i="2144"/>
  <c r="R10" i="2144"/>
  <c r="Q10" i="2144"/>
  <c r="P10" i="2144"/>
  <c r="O10" i="2144"/>
  <c r="N10" i="2144"/>
  <c r="M10" i="2144"/>
  <c r="L10" i="2144"/>
  <c r="K10" i="2144"/>
  <c r="J10" i="2144"/>
  <c r="I10" i="2144"/>
  <c r="H10" i="2144"/>
  <c r="G10" i="2144"/>
  <c r="F10" i="2144"/>
  <c r="E10" i="2144"/>
  <c r="D10" i="2144"/>
  <c r="AE7" i="2144"/>
  <c r="AD7" i="2144"/>
  <c r="AC7" i="2144"/>
  <c r="AB7" i="2144"/>
  <c r="AA7" i="2144"/>
  <c r="Z7" i="2144"/>
  <c r="Y7" i="2144"/>
  <c r="X7" i="2144"/>
  <c r="W7" i="2144"/>
  <c r="V7" i="2144"/>
  <c r="U7" i="2144"/>
  <c r="T7" i="2144"/>
  <c r="S7" i="2144"/>
  <c r="R7" i="2144"/>
  <c r="Q7" i="2144"/>
  <c r="P7" i="2144"/>
  <c r="O7" i="2144"/>
  <c r="N7" i="2144"/>
  <c r="M7" i="2144"/>
  <c r="L7" i="2144"/>
  <c r="K7" i="2144"/>
  <c r="J7" i="2144"/>
  <c r="I7" i="2144"/>
  <c r="H7" i="2144"/>
  <c r="G7" i="2144"/>
  <c r="F7" i="2144"/>
  <c r="E7" i="2144"/>
  <c r="D7" i="2144"/>
  <c r="AC33" i="2136"/>
  <c r="AB33" i="2136"/>
  <c r="AA33" i="2136"/>
  <c r="Z33" i="2136"/>
  <c r="Y33" i="2136"/>
  <c r="X33" i="2136"/>
  <c r="W33" i="2136"/>
  <c r="U33" i="2136"/>
  <c r="T33" i="2136"/>
  <c r="S33" i="2136"/>
  <c r="R33" i="2136"/>
  <c r="Q33" i="2136"/>
  <c r="P33" i="2136"/>
  <c r="O33" i="2136"/>
  <c r="N33" i="2136"/>
  <c r="M33" i="2136"/>
  <c r="L33" i="2136"/>
  <c r="K33" i="2136"/>
  <c r="J33" i="2136"/>
  <c r="H33" i="2136"/>
  <c r="G33" i="2136"/>
  <c r="F33" i="2136"/>
  <c r="E33" i="2136"/>
  <c r="D33" i="2136"/>
  <c r="Y28" i="2136"/>
  <c r="X28" i="2136"/>
  <c r="W28" i="2136"/>
  <c r="V28" i="2136"/>
  <c r="U28" i="2136"/>
  <c r="T28" i="2136"/>
  <c r="S28" i="2136"/>
  <c r="R28" i="2136"/>
  <c r="Q28" i="2136"/>
  <c r="P28" i="2136"/>
  <c r="O28" i="2136"/>
  <c r="N28" i="2136"/>
  <c r="M28" i="2136"/>
  <c r="L28" i="2136"/>
  <c r="K28" i="2136"/>
  <c r="J28" i="2136"/>
  <c r="I28" i="2136"/>
  <c r="H28" i="2136"/>
  <c r="G28" i="2136"/>
  <c r="F28" i="2136"/>
  <c r="E28" i="2136"/>
  <c r="D28" i="2136"/>
  <c r="Y25" i="2136"/>
  <c r="X25" i="2136"/>
  <c r="W25" i="2136"/>
  <c r="V25" i="2136"/>
  <c r="U25" i="2136"/>
  <c r="T25" i="2136"/>
  <c r="S25" i="2136"/>
  <c r="R25" i="2136"/>
  <c r="Q25" i="2136"/>
  <c r="P25" i="2136"/>
  <c r="O25" i="2136"/>
  <c r="N25" i="2136"/>
  <c r="M25" i="2136"/>
  <c r="L25" i="2136"/>
  <c r="K25" i="2136"/>
  <c r="J25" i="2136"/>
  <c r="I25" i="2136"/>
  <c r="H25" i="2136"/>
  <c r="G25" i="2136"/>
  <c r="F25" i="2136"/>
  <c r="E25" i="2136"/>
  <c r="D25" i="2136"/>
  <c r="AE19" i="2136"/>
  <c r="AD19" i="2136"/>
  <c r="AC19" i="2136"/>
  <c r="AB19" i="2136"/>
  <c r="AA19" i="2136"/>
  <c r="Z19" i="2136"/>
  <c r="Y19" i="2136"/>
  <c r="X19" i="2136"/>
  <c r="W19" i="2136"/>
  <c r="V19" i="2136"/>
  <c r="U19" i="2136"/>
  <c r="T19" i="2136"/>
  <c r="S19" i="2136"/>
  <c r="R19" i="2136"/>
  <c r="Q19" i="2136"/>
  <c r="P19" i="2136"/>
  <c r="V33" i="2136" s="1"/>
  <c r="O19" i="2136"/>
  <c r="N19" i="2136"/>
  <c r="M19" i="2136"/>
  <c r="L19" i="2136"/>
  <c r="K19" i="2136"/>
  <c r="J19" i="2136"/>
  <c r="I19" i="2136"/>
  <c r="H19" i="2136"/>
  <c r="G19" i="2136"/>
  <c r="F19" i="2136"/>
  <c r="E19" i="2136"/>
  <c r="D19" i="2136"/>
  <c r="AE16" i="2136"/>
  <c r="AD16" i="2136"/>
  <c r="AC16" i="2136"/>
  <c r="AB16" i="2136"/>
  <c r="AA16" i="2136"/>
  <c r="Z16" i="2136"/>
  <c r="X16" i="2136"/>
  <c r="W16" i="2136"/>
  <c r="V16" i="2136"/>
  <c r="U16" i="2136"/>
  <c r="T16" i="2136"/>
  <c r="S16" i="2136"/>
  <c r="R16" i="2136"/>
  <c r="Q16" i="2136"/>
  <c r="P16" i="2136"/>
  <c r="O16" i="2136"/>
  <c r="N16" i="2136"/>
  <c r="M16" i="2136"/>
  <c r="L16" i="2136"/>
  <c r="K16" i="2136"/>
  <c r="J16" i="2136"/>
  <c r="I16" i="2136"/>
  <c r="H16" i="2136"/>
  <c r="G16" i="2136"/>
  <c r="F16" i="2136"/>
  <c r="E16" i="2136"/>
  <c r="D16" i="2136"/>
  <c r="AE10" i="2136"/>
  <c r="AD10" i="2136"/>
  <c r="AC10" i="2136"/>
  <c r="AB10" i="2136"/>
  <c r="AA10" i="2136"/>
  <c r="Z10" i="2136"/>
  <c r="Y10" i="2136"/>
  <c r="X10" i="2136"/>
  <c r="W10" i="2136"/>
  <c r="V10" i="2136"/>
  <c r="U10" i="2136"/>
  <c r="T10" i="2136"/>
  <c r="S10" i="2136"/>
  <c r="R10" i="2136"/>
  <c r="Q10" i="2136"/>
  <c r="P10" i="2136"/>
  <c r="O10" i="2136"/>
  <c r="N10" i="2136"/>
  <c r="M10" i="2136"/>
  <c r="L10" i="2136"/>
  <c r="K10" i="2136"/>
  <c r="J10" i="2136"/>
  <c r="I10" i="2136"/>
  <c r="H10" i="2136"/>
  <c r="G10" i="2136"/>
  <c r="F10" i="2136"/>
  <c r="E10" i="2136"/>
  <c r="D10" i="2136"/>
  <c r="AE7" i="2136"/>
  <c r="AD7" i="2136"/>
  <c r="AC7" i="2136"/>
  <c r="AB7" i="2136"/>
  <c r="AA7" i="2136"/>
  <c r="Z7" i="2136"/>
  <c r="Y7" i="2136"/>
  <c r="X7" i="2136"/>
  <c r="W7" i="2136"/>
  <c r="V7" i="2136"/>
  <c r="U7" i="2136"/>
  <c r="T7" i="2136"/>
  <c r="S7" i="2136"/>
  <c r="R7" i="2136"/>
  <c r="Q7" i="2136"/>
  <c r="P7" i="2136"/>
  <c r="O7" i="2136"/>
  <c r="N7" i="2136"/>
  <c r="M7" i="2136"/>
  <c r="L7" i="2136"/>
  <c r="K7" i="2136"/>
  <c r="J7" i="2136"/>
  <c r="I7" i="2136"/>
  <c r="H7" i="2136"/>
  <c r="G7" i="2136"/>
  <c r="F7" i="2136"/>
  <c r="E7" i="2136"/>
  <c r="D7" i="2136"/>
  <c r="AC33" i="2135"/>
  <c r="AB33" i="2135"/>
  <c r="AA33" i="2135"/>
  <c r="Z33" i="2135"/>
  <c r="Y33" i="2135"/>
  <c r="X33" i="2135"/>
  <c r="W33" i="2135"/>
  <c r="U33" i="2135"/>
  <c r="T33" i="2135"/>
  <c r="S33" i="2135"/>
  <c r="R33" i="2135"/>
  <c r="Q33" i="2135"/>
  <c r="P33" i="2135"/>
  <c r="O33" i="2135"/>
  <c r="N33" i="2135"/>
  <c r="M33" i="2135"/>
  <c r="L33" i="2135"/>
  <c r="K33" i="2135"/>
  <c r="J33" i="2135"/>
  <c r="H33" i="2135"/>
  <c r="G33" i="2135"/>
  <c r="F33" i="2135"/>
  <c r="E33" i="2135"/>
  <c r="D33" i="2135"/>
  <c r="Y28" i="2135"/>
  <c r="X28" i="2135"/>
  <c r="W28" i="2135"/>
  <c r="V28" i="2135"/>
  <c r="U28" i="2135"/>
  <c r="T28" i="2135"/>
  <c r="S28" i="2135"/>
  <c r="R28" i="2135"/>
  <c r="Q28" i="2135"/>
  <c r="P28" i="2135"/>
  <c r="O28" i="2135"/>
  <c r="N28" i="2135"/>
  <c r="M28" i="2135"/>
  <c r="L28" i="2135"/>
  <c r="K28" i="2135"/>
  <c r="J28" i="2135"/>
  <c r="I28" i="2135"/>
  <c r="H28" i="2135"/>
  <c r="G28" i="2135"/>
  <c r="F28" i="2135"/>
  <c r="E28" i="2135"/>
  <c r="D28" i="2135"/>
  <c r="Y25" i="2135"/>
  <c r="X25" i="2135"/>
  <c r="W25" i="2135"/>
  <c r="V25" i="2135"/>
  <c r="U25" i="2135"/>
  <c r="T25" i="2135"/>
  <c r="S25" i="2135"/>
  <c r="R25" i="2135"/>
  <c r="Q25" i="2135"/>
  <c r="P25" i="2135"/>
  <c r="O25" i="2135"/>
  <c r="N25" i="2135"/>
  <c r="M25" i="2135"/>
  <c r="L25" i="2135"/>
  <c r="K25" i="2135"/>
  <c r="J25" i="2135"/>
  <c r="I25" i="2135"/>
  <c r="H25" i="2135"/>
  <c r="G25" i="2135"/>
  <c r="F25" i="2135"/>
  <c r="E25" i="2135"/>
  <c r="D25" i="2135"/>
  <c r="AE19" i="2135"/>
  <c r="AD19" i="2135"/>
  <c r="AC19" i="2135"/>
  <c r="AB19" i="2135"/>
  <c r="AA19" i="2135"/>
  <c r="Z19" i="2135"/>
  <c r="Y19" i="2135"/>
  <c r="X19" i="2135"/>
  <c r="W19" i="2135"/>
  <c r="V19" i="2135"/>
  <c r="U19" i="2135"/>
  <c r="T19" i="2135"/>
  <c r="S19" i="2135"/>
  <c r="R19" i="2135"/>
  <c r="Q19" i="2135"/>
  <c r="P19" i="2135"/>
  <c r="V33" i="2135" s="1"/>
  <c r="O19" i="2135"/>
  <c r="N19" i="2135"/>
  <c r="M19" i="2135"/>
  <c r="L19" i="2135"/>
  <c r="K19" i="2135"/>
  <c r="J19" i="2135"/>
  <c r="I19" i="2135"/>
  <c r="H19" i="2135"/>
  <c r="G19" i="2135"/>
  <c r="F19" i="2135"/>
  <c r="E19" i="2135"/>
  <c r="D19" i="2135"/>
  <c r="AE16" i="2135"/>
  <c r="AD16" i="2135"/>
  <c r="AC16" i="2135"/>
  <c r="AB16" i="2135"/>
  <c r="AA16" i="2135"/>
  <c r="Z16" i="2135"/>
  <c r="X16" i="2135"/>
  <c r="W16" i="2135"/>
  <c r="V16" i="2135"/>
  <c r="U16" i="2135"/>
  <c r="T16" i="2135"/>
  <c r="S16" i="2135"/>
  <c r="R16" i="2135"/>
  <c r="Q16" i="2135"/>
  <c r="P16" i="2135"/>
  <c r="O16" i="2135"/>
  <c r="N16" i="2135"/>
  <c r="M16" i="2135"/>
  <c r="L16" i="2135"/>
  <c r="K16" i="2135"/>
  <c r="J16" i="2135"/>
  <c r="I16" i="2135"/>
  <c r="H16" i="2135"/>
  <c r="G16" i="2135"/>
  <c r="F16" i="2135"/>
  <c r="E16" i="2135"/>
  <c r="D16" i="2135"/>
  <c r="AE10" i="2135"/>
  <c r="AD10" i="2135"/>
  <c r="AC10" i="2135"/>
  <c r="AB10" i="2135"/>
  <c r="AA10" i="2135"/>
  <c r="Z10" i="2135"/>
  <c r="Y10" i="2135"/>
  <c r="X10" i="2135"/>
  <c r="W10" i="2135"/>
  <c r="V10" i="2135"/>
  <c r="U10" i="2135"/>
  <c r="T10" i="2135"/>
  <c r="S10" i="2135"/>
  <c r="R10" i="2135"/>
  <c r="Q10" i="2135"/>
  <c r="P10" i="2135"/>
  <c r="O10" i="2135"/>
  <c r="N10" i="2135"/>
  <c r="M10" i="2135"/>
  <c r="L10" i="2135"/>
  <c r="K10" i="2135"/>
  <c r="J10" i="2135"/>
  <c r="I10" i="2135"/>
  <c r="H10" i="2135"/>
  <c r="G10" i="2135"/>
  <c r="F10" i="2135"/>
  <c r="E10" i="2135"/>
  <c r="D10" i="2135"/>
  <c r="AE7" i="2135"/>
  <c r="AD7" i="2135"/>
  <c r="AC7" i="2135"/>
  <c r="AB7" i="2135"/>
  <c r="AA7" i="2135"/>
  <c r="Z7" i="2135"/>
  <c r="Y7" i="2135"/>
  <c r="X7" i="2135"/>
  <c r="W7" i="2135"/>
  <c r="V7" i="2135"/>
  <c r="U7" i="2135"/>
  <c r="T7" i="2135"/>
  <c r="S7" i="2135"/>
  <c r="R7" i="2135"/>
  <c r="Q7" i="2135"/>
  <c r="P7" i="2135"/>
  <c r="O7" i="2135"/>
  <c r="N7" i="2135"/>
  <c r="M7" i="2135"/>
  <c r="L7" i="2135"/>
  <c r="K7" i="2135"/>
  <c r="J7" i="2135"/>
  <c r="I7" i="2135"/>
  <c r="H7" i="2135"/>
  <c r="G7" i="2135"/>
  <c r="F7" i="2135"/>
  <c r="E7" i="2135"/>
  <c r="D7" i="2135"/>
  <c r="AC33" i="2141"/>
  <c r="AB33" i="2141"/>
  <c r="AA33" i="2141"/>
  <c r="Z33" i="2141"/>
  <c r="Y33" i="2141"/>
  <c r="X33" i="2141"/>
  <c r="W33" i="2141"/>
  <c r="U33" i="2141"/>
  <c r="T33" i="2141"/>
  <c r="S33" i="2141"/>
  <c r="R33" i="2141"/>
  <c r="Q33" i="2141"/>
  <c r="P33" i="2141"/>
  <c r="O33" i="2141"/>
  <c r="N33" i="2141"/>
  <c r="M33" i="2141"/>
  <c r="L33" i="2141"/>
  <c r="K33" i="2141"/>
  <c r="J33" i="2141"/>
  <c r="H33" i="2141"/>
  <c r="G33" i="2141"/>
  <c r="F33" i="2141"/>
  <c r="E33" i="2141"/>
  <c r="D33" i="2141"/>
  <c r="Y28" i="2141"/>
  <c r="X28" i="2141"/>
  <c r="W28" i="2141"/>
  <c r="V28" i="2141"/>
  <c r="U28" i="2141"/>
  <c r="T28" i="2141"/>
  <c r="S28" i="2141"/>
  <c r="R28" i="2141"/>
  <c r="Q28" i="2141"/>
  <c r="P28" i="2141"/>
  <c r="O28" i="2141"/>
  <c r="N28" i="2141"/>
  <c r="M28" i="2141"/>
  <c r="L28" i="2141"/>
  <c r="K28" i="2141"/>
  <c r="J28" i="2141"/>
  <c r="I28" i="2141"/>
  <c r="H28" i="2141"/>
  <c r="G28" i="2141"/>
  <c r="F28" i="2141"/>
  <c r="E28" i="2141"/>
  <c r="D28" i="2141"/>
  <c r="Y25" i="2141"/>
  <c r="X25" i="2141"/>
  <c r="W25" i="2141"/>
  <c r="V25" i="2141"/>
  <c r="U25" i="2141"/>
  <c r="T25" i="2141"/>
  <c r="S25" i="2141"/>
  <c r="R25" i="2141"/>
  <c r="Q25" i="2141"/>
  <c r="P25" i="2141"/>
  <c r="O25" i="2141"/>
  <c r="N25" i="2141"/>
  <c r="M25" i="2141"/>
  <c r="L25" i="2141"/>
  <c r="K25" i="2141"/>
  <c r="J25" i="2141"/>
  <c r="I25" i="2141"/>
  <c r="H25" i="2141"/>
  <c r="G25" i="2141"/>
  <c r="F25" i="2141"/>
  <c r="E25" i="2141"/>
  <c r="D25" i="2141"/>
  <c r="AE19" i="2141"/>
  <c r="AD19" i="2141"/>
  <c r="AC19" i="2141"/>
  <c r="AB19" i="2141"/>
  <c r="AA19" i="2141"/>
  <c r="Z19" i="2141"/>
  <c r="Y19" i="2141"/>
  <c r="X19" i="2141"/>
  <c r="W19" i="2141"/>
  <c r="V19" i="2141"/>
  <c r="U19" i="2141"/>
  <c r="T19" i="2141"/>
  <c r="S19" i="2141"/>
  <c r="R19" i="2141"/>
  <c r="Q19" i="2141"/>
  <c r="P19" i="2141"/>
  <c r="V33" i="2141" s="1"/>
  <c r="O19" i="2141"/>
  <c r="N19" i="2141"/>
  <c r="M19" i="2141"/>
  <c r="L19" i="2141"/>
  <c r="K19" i="2141"/>
  <c r="J19" i="2141"/>
  <c r="I19" i="2141"/>
  <c r="H19" i="2141"/>
  <c r="G19" i="2141"/>
  <c r="F19" i="2141"/>
  <c r="E19" i="2141"/>
  <c r="D19" i="2141"/>
  <c r="AE16" i="2141"/>
  <c r="AD16" i="2141"/>
  <c r="AC16" i="2141"/>
  <c r="AB16" i="2141"/>
  <c r="AA16" i="2141"/>
  <c r="Z16" i="2141"/>
  <c r="X16" i="2141"/>
  <c r="W16" i="2141"/>
  <c r="V16" i="2141"/>
  <c r="U16" i="2141"/>
  <c r="T16" i="2141"/>
  <c r="S16" i="2141"/>
  <c r="R16" i="2141"/>
  <c r="Q16" i="2141"/>
  <c r="P16" i="2141"/>
  <c r="O16" i="2141"/>
  <c r="N16" i="2141"/>
  <c r="M16" i="2141"/>
  <c r="L16" i="2141"/>
  <c r="K16" i="2141"/>
  <c r="J16" i="2141"/>
  <c r="I16" i="2141"/>
  <c r="H16" i="2141"/>
  <c r="G16" i="2141"/>
  <c r="F16" i="2141"/>
  <c r="E16" i="2141"/>
  <c r="D16" i="2141"/>
  <c r="AE10" i="2141"/>
  <c r="AD10" i="2141"/>
  <c r="AC10" i="2141"/>
  <c r="AB10" i="2141"/>
  <c r="AA10" i="2141"/>
  <c r="Z10" i="2141"/>
  <c r="Y10" i="2141"/>
  <c r="X10" i="2141"/>
  <c r="W10" i="2141"/>
  <c r="V10" i="2141"/>
  <c r="U10" i="2141"/>
  <c r="T10" i="2141"/>
  <c r="S10" i="2141"/>
  <c r="R10" i="2141"/>
  <c r="Q10" i="2141"/>
  <c r="P10" i="2141"/>
  <c r="O10" i="2141"/>
  <c r="N10" i="2141"/>
  <c r="M10" i="2141"/>
  <c r="L10" i="2141"/>
  <c r="K10" i="2141"/>
  <c r="J10" i="2141"/>
  <c r="I10" i="2141"/>
  <c r="H10" i="2141"/>
  <c r="G10" i="2141"/>
  <c r="F10" i="2141"/>
  <c r="E10" i="2141"/>
  <c r="D10" i="2141"/>
  <c r="AE7" i="2141"/>
  <c r="AD7" i="2141"/>
  <c r="AC7" i="2141"/>
  <c r="AB7" i="2141"/>
  <c r="AA7" i="2141"/>
  <c r="Z7" i="2141"/>
  <c r="Y7" i="2141"/>
  <c r="X7" i="2141"/>
  <c r="W7" i="2141"/>
  <c r="V7" i="2141"/>
  <c r="U7" i="2141"/>
  <c r="T7" i="2141"/>
  <c r="S7" i="2141"/>
  <c r="R7" i="2141"/>
  <c r="Q7" i="2141"/>
  <c r="P7" i="2141"/>
  <c r="O7" i="2141"/>
  <c r="N7" i="2141"/>
  <c r="M7" i="2141"/>
  <c r="L7" i="2141"/>
  <c r="K7" i="2141"/>
  <c r="J7" i="2141"/>
  <c r="I7" i="2141"/>
  <c r="H7" i="2141"/>
  <c r="G7" i="2141"/>
  <c r="F7" i="2141"/>
  <c r="E7" i="2141"/>
  <c r="D7" i="2141"/>
  <c r="AC33" i="2134"/>
  <c r="AB33" i="2134"/>
  <c r="AA33" i="2134"/>
  <c r="Z33" i="2134"/>
  <c r="Y33" i="2134"/>
  <c r="X33" i="2134"/>
  <c r="W33" i="2134"/>
  <c r="U33" i="2134"/>
  <c r="T33" i="2134"/>
  <c r="S33" i="2134"/>
  <c r="R33" i="2134"/>
  <c r="Q33" i="2134"/>
  <c r="P33" i="2134"/>
  <c r="O33" i="2134"/>
  <c r="N33" i="2134"/>
  <c r="M33" i="2134"/>
  <c r="L33" i="2134"/>
  <c r="K33" i="2134"/>
  <c r="J33" i="2134"/>
  <c r="H33" i="2134"/>
  <c r="G33" i="2134"/>
  <c r="F33" i="2134"/>
  <c r="E33" i="2134"/>
  <c r="D33" i="2134"/>
  <c r="Y28" i="2134"/>
  <c r="X28" i="2134"/>
  <c r="W28" i="2134"/>
  <c r="V28" i="2134"/>
  <c r="U28" i="2134"/>
  <c r="T28" i="2134"/>
  <c r="S28" i="2134"/>
  <c r="R28" i="2134"/>
  <c r="Q28" i="2134"/>
  <c r="P28" i="2134"/>
  <c r="O28" i="2134"/>
  <c r="N28" i="2134"/>
  <c r="M28" i="2134"/>
  <c r="L28" i="2134"/>
  <c r="K28" i="2134"/>
  <c r="J28" i="2134"/>
  <c r="I28" i="2134"/>
  <c r="H28" i="2134"/>
  <c r="G28" i="2134"/>
  <c r="F28" i="2134"/>
  <c r="E28" i="2134"/>
  <c r="D28" i="2134"/>
  <c r="Y25" i="2134"/>
  <c r="X25" i="2134"/>
  <c r="W25" i="2134"/>
  <c r="V25" i="2134"/>
  <c r="U25" i="2134"/>
  <c r="T25" i="2134"/>
  <c r="S25" i="2134"/>
  <c r="R25" i="2134"/>
  <c r="Q25" i="2134"/>
  <c r="P25" i="2134"/>
  <c r="O25" i="2134"/>
  <c r="N25" i="2134"/>
  <c r="M25" i="2134"/>
  <c r="L25" i="2134"/>
  <c r="K25" i="2134"/>
  <c r="J25" i="2134"/>
  <c r="I25" i="2134"/>
  <c r="H25" i="2134"/>
  <c r="G25" i="2134"/>
  <c r="F25" i="2134"/>
  <c r="E25" i="2134"/>
  <c r="D25" i="2134"/>
  <c r="AE19" i="2134"/>
  <c r="AD19" i="2134"/>
  <c r="AC19" i="2134"/>
  <c r="AB19" i="2134"/>
  <c r="AA19" i="2134"/>
  <c r="Z19" i="2134"/>
  <c r="Y19" i="2134"/>
  <c r="X19" i="2134"/>
  <c r="W19" i="2134"/>
  <c r="V19" i="2134"/>
  <c r="U19" i="2134"/>
  <c r="T19" i="2134"/>
  <c r="S19" i="2134"/>
  <c r="R19" i="2134"/>
  <c r="Q19" i="2134"/>
  <c r="P19" i="2134"/>
  <c r="V33" i="2134" s="1"/>
  <c r="O19" i="2134"/>
  <c r="N19" i="2134"/>
  <c r="M19" i="2134"/>
  <c r="L19" i="2134"/>
  <c r="K19" i="2134"/>
  <c r="J19" i="2134"/>
  <c r="I19" i="2134"/>
  <c r="H19" i="2134"/>
  <c r="G19" i="2134"/>
  <c r="F19" i="2134"/>
  <c r="E19" i="2134"/>
  <c r="D19" i="2134"/>
  <c r="AE16" i="2134"/>
  <c r="AD16" i="2134"/>
  <c r="AC16" i="2134"/>
  <c r="AB16" i="2134"/>
  <c r="AA16" i="2134"/>
  <c r="Z16" i="2134"/>
  <c r="X16" i="2134"/>
  <c r="W16" i="2134"/>
  <c r="V16" i="2134"/>
  <c r="U16" i="2134"/>
  <c r="T16" i="2134"/>
  <c r="S16" i="2134"/>
  <c r="R16" i="2134"/>
  <c r="Q16" i="2134"/>
  <c r="P16" i="2134"/>
  <c r="O16" i="2134"/>
  <c r="N16" i="2134"/>
  <c r="M16" i="2134"/>
  <c r="L16" i="2134"/>
  <c r="K16" i="2134"/>
  <c r="J16" i="2134"/>
  <c r="I16" i="2134"/>
  <c r="H16" i="2134"/>
  <c r="G16" i="2134"/>
  <c r="F16" i="2134"/>
  <c r="E16" i="2134"/>
  <c r="D16" i="2134"/>
  <c r="AE10" i="2134"/>
  <c r="AD10" i="2134"/>
  <c r="AC10" i="2134"/>
  <c r="AB10" i="2134"/>
  <c r="AA10" i="2134"/>
  <c r="Z10" i="2134"/>
  <c r="Y10" i="2134"/>
  <c r="X10" i="2134"/>
  <c r="W10" i="2134"/>
  <c r="V10" i="2134"/>
  <c r="U10" i="2134"/>
  <c r="T10" i="2134"/>
  <c r="S10" i="2134"/>
  <c r="R10" i="2134"/>
  <c r="Q10" i="2134"/>
  <c r="P10" i="2134"/>
  <c r="O10" i="2134"/>
  <c r="N10" i="2134"/>
  <c r="M10" i="2134"/>
  <c r="L10" i="2134"/>
  <c r="K10" i="2134"/>
  <c r="J10" i="2134"/>
  <c r="I10" i="2134"/>
  <c r="H10" i="2134"/>
  <c r="G10" i="2134"/>
  <c r="F10" i="2134"/>
  <c r="E10" i="2134"/>
  <c r="D10" i="2134"/>
  <c r="AE7" i="2134"/>
  <c r="AD7" i="2134"/>
  <c r="AC7" i="2134"/>
  <c r="AB7" i="2134"/>
  <c r="AA7" i="2134"/>
  <c r="Z7" i="2134"/>
  <c r="Y7" i="2134"/>
  <c r="X7" i="2134"/>
  <c r="W7" i="2134"/>
  <c r="V7" i="2134"/>
  <c r="U7" i="2134"/>
  <c r="T7" i="2134"/>
  <c r="S7" i="2134"/>
  <c r="R7" i="2134"/>
  <c r="Q7" i="2134"/>
  <c r="P7" i="2134"/>
  <c r="O7" i="2134"/>
  <c r="N7" i="2134"/>
  <c r="M7" i="2134"/>
  <c r="L7" i="2134"/>
  <c r="K7" i="2134"/>
  <c r="J7" i="2134"/>
  <c r="I7" i="2134"/>
  <c r="H7" i="2134"/>
  <c r="G7" i="2134"/>
  <c r="F7" i="2134"/>
  <c r="E7" i="2134"/>
  <c r="D7" i="2134"/>
  <c r="AC33" i="2126"/>
  <c r="AB33" i="2126"/>
  <c r="AA33" i="2126"/>
  <c r="Z33" i="2126"/>
  <c r="Y33" i="2126"/>
  <c r="X33" i="2126"/>
  <c r="W33" i="2126"/>
  <c r="U33" i="2126"/>
  <c r="T33" i="2126"/>
  <c r="S33" i="2126"/>
  <c r="R33" i="2126"/>
  <c r="Q33" i="2126"/>
  <c r="P33" i="2126"/>
  <c r="O33" i="2126"/>
  <c r="N33" i="2126"/>
  <c r="M33" i="2126"/>
  <c r="L33" i="2126"/>
  <c r="K33" i="2126"/>
  <c r="J33" i="2126"/>
  <c r="H33" i="2126"/>
  <c r="G33" i="2126"/>
  <c r="F33" i="2126"/>
  <c r="E33" i="2126"/>
  <c r="D33" i="2126"/>
  <c r="Y28" i="2126"/>
  <c r="X28" i="2126"/>
  <c r="W28" i="2126"/>
  <c r="V28" i="2126"/>
  <c r="U28" i="2126"/>
  <c r="T28" i="2126"/>
  <c r="S28" i="2126"/>
  <c r="R28" i="2126"/>
  <c r="Q28" i="2126"/>
  <c r="P28" i="2126"/>
  <c r="O28" i="2126"/>
  <c r="N28" i="2126"/>
  <c r="M28" i="2126"/>
  <c r="L28" i="2126"/>
  <c r="K28" i="2126"/>
  <c r="J28" i="2126"/>
  <c r="I28" i="2126"/>
  <c r="H28" i="2126"/>
  <c r="G28" i="2126"/>
  <c r="F28" i="2126"/>
  <c r="E28" i="2126"/>
  <c r="D28" i="2126"/>
  <c r="Y25" i="2126"/>
  <c r="X25" i="2126"/>
  <c r="W25" i="2126"/>
  <c r="V25" i="2126"/>
  <c r="U25" i="2126"/>
  <c r="T25" i="2126"/>
  <c r="S25" i="2126"/>
  <c r="R25" i="2126"/>
  <c r="Q25" i="2126"/>
  <c r="P25" i="2126"/>
  <c r="O25" i="2126"/>
  <c r="N25" i="2126"/>
  <c r="M25" i="2126"/>
  <c r="L25" i="2126"/>
  <c r="K25" i="2126"/>
  <c r="J25" i="2126"/>
  <c r="I25" i="2126"/>
  <c r="H25" i="2126"/>
  <c r="G25" i="2126"/>
  <c r="F25" i="2126"/>
  <c r="E25" i="2126"/>
  <c r="D25" i="2126"/>
  <c r="AE19" i="2126"/>
  <c r="AD19" i="2126"/>
  <c r="AC19" i="2126"/>
  <c r="AB19" i="2126"/>
  <c r="AA19" i="2126"/>
  <c r="Z19" i="2126"/>
  <c r="Y19" i="2126"/>
  <c r="X19" i="2126"/>
  <c r="W19" i="2126"/>
  <c r="V19" i="2126"/>
  <c r="U19" i="2126"/>
  <c r="T19" i="2126"/>
  <c r="S19" i="2126"/>
  <c r="R19" i="2126"/>
  <c r="Q19" i="2126"/>
  <c r="P19" i="2126"/>
  <c r="V33" i="2126" s="1"/>
  <c r="O19" i="2126"/>
  <c r="N19" i="2126"/>
  <c r="M19" i="2126"/>
  <c r="L19" i="2126"/>
  <c r="K19" i="2126"/>
  <c r="J19" i="2126"/>
  <c r="I19" i="2126"/>
  <c r="H19" i="2126"/>
  <c r="G19" i="2126"/>
  <c r="F19" i="2126"/>
  <c r="E19" i="2126"/>
  <c r="D19" i="2126"/>
  <c r="AE16" i="2126"/>
  <c r="AD16" i="2126"/>
  <c r="AC16" i="2126"/>
  <c r="AB16" i="2126"/>
  <c r="AA16" i="2126"/>
  <c r="Z16" i="2126"/>
  <c r="X16" i="2126"/>
  <c r="W16" i="2126"/>
  <c r="V16" i="2126"/>
  <c r="U16" i="2126"/>
  <c r="T16" i="2126"/>
  <c r="S16" i="2126"/>
  <c r="R16" i="2126"/>
  <c r="Q16" i="2126"/>
  <c r="P16" i="2126"/>
  <c r="O16" i="2126"/>
  <c r="N16" i="2126"/>
  <c r="M16" i="2126"/>
  <c r="L16" i="2126"/>
  <c r="K16" i="2126"/>
  <c r="J16" i="2126"/>
  <c r="I16" i="2126"/>
  <c r="H16" i="2126"/>
  <c r="G16" i="2126"/>
  <c r="F16" i="2126"/>
  <c r="E16" i="2126"/>
  <c r="D16" i="2126"/>
  <c r="AE10" i="2126"/>
  <c r="AD10" i="2126"/>
  <c r="AC10" i="2126"/>
  <c r="AB10" i="2126"/>
  <c r="AA10" i="2126"/>
  <c r="Z10" i="2126"/>
  <c r="Y10" i="2126"/>
  <c r="X10" i="2126"/>
  <c r="W10" i="2126"/>
  <c r="V10" i="2126"/>
  <c r="U10" i="2126"/>
  <c r="T10" i="2126"/>
  <c r="S10" i="2126"/>
  <c r="R10" i="2126"/>
  <c r="Q10" i="2126"/>
  <c r="P10" i="2126"/>
  <c r="O10" i="2126"/>
  <c r="N10" i="2126"/>
  <c r="M10" i="2126"/>
  <c r="L10" i="2126"/>
  <c r="K10" i="2126"/>
  <c r="J10" i="2126"/>
  <c r="I10" i="2126"/>
  <c r="H10" i="2126"/>
  <c r="G10" i="2126"/>
  <c r="F10" i="2126"/>
  <c r="E10" i="2126"/>
  <c r="D10" i="2126"/>
  <c r="AE7" i="2126"/>
  <c r="AD7" i="2126"/>
  <c r="AC7" i="2126"/>
  <c r="AB7" i="2126"/>
  <c r="AA7" i="2126"/>
  <c r="Z7" i="2126"/>
  <c r="Y7" i="2126"/>
  <c r="X7" i="2126"/>
  <c r="W7" i="2126"/>
  <c r="V7" i="2126"/>
  <c r="U7" i="2126"/>
  <c r="T7" i="2126"/>
  <c r="S7" i="2126"/>
  <c r="R7" i="2126"/>
  <c r="Q7" i="2126"/>
  <c r="P7" i="2126"/>
  <c r="O7" i="2126"/>
  <c r="N7" i="2126"/>
  <c r="M7" i="2126"/>
  <c r="L7" i="2126"/>
  <c r="K7" i="2126"/>
  <c r="J7" i="2126"/>
  <c r="I7" i="2126"/>
  <c r="H7" i="2126"/>
  <c r="G7" i="2126"/>
  <c r="F7" i="2126"/>
  <c r="E7" i="2126"/>
  <c r="D7" i="2126"/>
  <c r="AC33" i="2125"/>
  <c r="AB33" i="2125"/>
  <c r="AA33" i="2125"/>
  <c r="Z33" i="2125"/>
  <c r="Y33" i="2125"/>
  <c r="X33" i="2125"/>
  <c r="W33" i="2125"/>
  <c r="U33" i="2125"/>
  <c r="T33" i="2125"/>
  <c r="S33" i="2125"/>
  <c r="R33" i="2125"/>
  <c r="Q33" i="2125"/>
  <c r="P33" i="2125"/>
  <c r="O33" i="2125"/>
  <c r="N33" i="2125"/>
  <c r="M33" i="2125"/>
  <c r="L33" i="2125"/>
  <c r="K33" i="2125"/>
  <c r="J33" i="2125"/>
  <c r="H33" i="2125"/>
  <c r="G33" i="2125"/>
  <c r="F33" i="2125"/>
  <c r="E33" i="2125"/>
  <c r="D33" i="2125"/>
  <c r="Y28" i="2125"/>
  <c r="X28" i="2125"/>
  <c r="W28" i="2125"/>
  <c r="V28" i="2125"/>
  <c r="U28" i="2125"/>
  <c r="T28" i="2125"/>
  <c r="S28" i="2125"/>
  <c r="R28" i="2125"/>
  <c r="Q28" i="2125"/>
  <c r="P28" i="2125"/>
  <c r="O28" i="2125"/>
  <c r="N28" i="2125"/>
  <c r="M28" i="2125"/>
  <c r="L28" i="2125"/>
  <c r="K28" i="2125"/>
  <c r="J28" i="2125"/>
  <c r="I28" i="2125"/>
  <c r="H28" i="2125"/>
  <c r="G28" i="2125"/>
  <c r="F28" i="2125"/>
  <c r="E28" i="2125"/>
  <c r="D28" i="2125"/>
  <c r="Y25" i="2125"/>
  <c r="X25" i="2125"/>
  <c r="W25" i="2125"/>
  <c r="V25" i="2125"/>
  <c r="U25" i="2125"/>
  <c r="T25" i="2125"/>
  <c r="S25" i="2125"/>
  <c r="R25" i="2125"/>
  <c r="Q25" i="2125"/>
  <c r="P25" i="2125"/>
  <c r="O25" i="2125"/>
  <c r="N25" i="2125"/>
  <c r="M25" i="2125"/>
  <c r="L25" i="2125"/>
  <c r="K25" i="2125"/>
  <c r="J25" i="2125"/>
  <c r="I25" i="2125"/>
  <c r="H25" i="2125"/>
  <c r="G25" i="2125"/>
  <c r="F25" i="2125"/>
  <c r="E25" i="2125"/>
  <c r="D25" i="2125"/>
  <c r="AE19" i="2125"/>
  <c r="AD19" i="2125"/>
  <c r="AC19" i="2125"/>
  <c r="AB19" i="2125"/>
  <c r="AA19" i="2125"/>
  <c r="Z19" i="2125"/>
  <c r="Y19" i="2125"/>
  <c r="X19" i="2125"/>
  <c r="W19" i="2125"/>
  <c r="V19" i="2125"/>
  <c r="U19" i="2125"/>
  <c r="T19" i="2125"/>
  <c r="S19" i="2125"/>
  <c r="R19" i="2125"/>
  <c r="Q19" i="2125"/>
  <c r="P19" i="2125"/>
  <c r="V33" i="2125" s="1"/>
  <c r="O19" i="2125"/>
  <c r="N19" i="2125"/>
  <c r="M19" i="2125"/>
  <c r="L19" i="2125"/>
  <c r="K19" i="2125"/>
  <c r="J19" i="2125"/>
  <c r="I19" i="2125"/>
  <c r="H19" i="2125"/>
  <c r="G19" i="2125"/>
  <c r="F19" i="2125"/>
  <c r="E19" i="2125"/>
  <c r="D19" i="2125"/>
  <c r="AE16" i="2125"/>
  <c r="AD16" i="2125"/>
  <c r="AC16" i="2125"/>
  <c r="AB16" i="2125"/>
  <c r="AA16" i="2125"/>
  <c r="Z16" i="2125"/>
  <c r="X16" i="2125"/>
  <c r="W16" i="2125"/>
  <c r="V16" i="2125"/>
  <c r="U16" i="2125"/>
  <c r="T16" i="2125"/>
  <c r="S16" i="2125"/>
  <c r="R16" i="2125"/>
  <c r="Q16" i="2125"/>
  <c r="P16" i="2125"/>
  <c r="O16" i="2125"/>
  <c r="N16" i="2125"/>
  <c r="M16" i="2125"/>
  <c r="L16" i="2125"/>
  <c r="K16" i="2125"/>
  <c r="J16" i="2125"/>
  <c r="I16" i="2125"/>
  <c r="H16" i="2125"/>
  <c r="G16" i="2125"/>
  <c r="F16" i="2125"/>
  <c r="E16" i="2125"/>
  <c r="D16" i="2125"/>
  <c r="AE10" i="2125"/>
  <c r="AD10" i="2125"/>
  <c r="AC10" i="2125"/>
  <c r="AB10" i="2125"/>
  <c r="AA10" i="2125"/>
  <c r="Z10" i="2125"/>
  <c r="Y10" i="2125"/>
  <c r="X10" i="2125"/>
  <c r="W10" i="2125"/>
  <c r="V10" i="2125"/>
  <c r="U10" i="2125"/>
  <c r="T10" i="2125"/>
  <c r="S10" i="2125"/>
  <c r="R10" i="2125"/>
  <c r="Q10" i="2125"/>
  <c r="P10" i="2125"/>
  <c r="O10" i="2125"/>
  <c r="N10" i="2125"/>
  <c r="M10" i="2125"/>
  <c r="L10" i="2125"/>
  <c r="K10" i="2125"/>
  <c r="J10" i="2125"/>
  <c r="I10" i="2125"/>
  <c r="H10" i="2125"/>
  <c r="G10" i="2125"/>
  <c r="F10" i="2125"/>
  <c r="E10" i="2125"/>
  <c r="D10" i="2125"/>
  <c r="AE7" i="2125"/>
  <c r="AD7" i="2125"/>
  <c r="AC7" i="2125"/>
  <c r="AB7" i="2125"/>
  <c r="AA7" i="2125"/>
  <c r="Z7" i="2125"/>
  <c r="Y7" i="2125"/>
  <c r="X7" i="2125"/>
  <c r="W7" i="2125"/>
  <c r="V7" i="2125"/>
  <c r="U7" i="2125"/>
  <c r="T7" i="2125"/>
  <c r="S7" i="2125"/>
  <c r="R7" i="2125"/>
  <c r="Q7" i="2125"/>
  <c r="P7" i="2125"/>
  <c r="O7" i="2125"/>
  <c r="N7" i="2125"/>
  <c r="M7" i="2125"/>
  <c r="L7" i="2125"/>
  <c r="K7" i="2125"/>
  <c r="J7" i="2125"/>
  <c r="I7" i="2125"/>
  <c r="H7" i="2125"/>
  <c r="G7" i="2125"/>
  <c r="F7" i="2125"/>
  <c r="E7" i="2125"/>
  <c r="D7" i="2125"/>
  <c r="S51" i="13"/>
  <c r="S50" i="13"/>
  <c r="S49" i="13"/>
  <c r="S48" i="13"/>
  <c r="S47" i="13"/>
  <c r="S46" i="13"/>
  <c r="S45" i="13"/>
  <c r="S44" i="13"/>
  <c r="S43" i="13"/>
  <c r="S42" i="13"/>
  <c r="S41" i="13"/>
  <c r="S40" i="13"/>
  <c r="S39" i="13"/>
  <c r="S38" i="13"/>
  <c r="S37" i="13"/>
  <c r="S36" i="13"/>
  <c r="S35" i="13"/>
  <c r="J33" i="2148" l="1"/>
  <c r="E33" i="2148"/>
  <c r="W33" i="2148"/>
  <c r="K33" i="2148"/>
  <c r="N33" i="2148"/>
  <c r="AC33" i="2148"/>
  <c r="Z33" i="2148"/>
  <c r="D33" i="2148"/>
  <c r="Y33" i="2148"/>
  <c r="M33" i="2148"/>
  <c r="V33" i="2148"/>
</calcChain>
</file>

<file path=xl/connections.xml><?xml version="1.0" encoding="utf-8"?>
<connections xmlns="http://schemas.openxmlformats.org/spreadsheetml/2006/main">
  <connection id="1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0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3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4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2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5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3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6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4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7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5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8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6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9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7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0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8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1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9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2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3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0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4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4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5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3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6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4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7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5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8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6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9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7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0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8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1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9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</connections>
</file>

<file path=xl/sharedStrings.xml><?xml version="1.0" encoding="utf-8"?>
<sst xmlns="http://schemas.openxmlformats.org/spreadsheetml/2006/main" count="29240" uniqueCount="645">
  <si>
    <t>空</t>
    <phoneticPr fontId="3" type="noConversion"/>
  </si>
  <si>
    <t>EG</t>
    <phoneticPr fontId="3" type="noConversion"/>
  </si>
  <si>
    <t>GAA</t>
    <phoneticPr fontId="3" type="noConversion"/>
  </si>
  <si>
    <t>EBR</t>
    <phoneticPr fontId="3" type="noConversion"/>
  </si>
  <si>
    <t>原料</t>
    <phoneticPr fontId="3" type="noConversion"/>
  </si>
  <si>
    <t>成品</t>
    <phoneticPr fontId="3" type="noConversion"/>
  </si>
  <si>
    <r>
      <rPr>
        <sz val="12"/>
        <rFont val="細明體"/>
        <family val="3"/>
        <charset val="136"/>
      </rPr>
      <t>產</t>
    </r>
    <r>
      <rPr>
        <sz val="12"/>
        <rFont val="DotumChe"/>
        <family val="3"/>
        <charset val="129"/>
      </rPr>
      <t>品</t>
    </r>
    <r>
      <rPr>
        <sz val="12"/>
        <rFont val="細明體"/>
        <family val="3"/>
        <charset val="136"/>
      </rPr>
      <t xml:space="preserve">      </t>
    </r>
    <r>
      <rPr>
        <sz val="12"/>
        <rFont val="DotumChe"/>
        <family val="3"/>
        <charset val="129"/>
      </rPr>
      <t>比重</t>
    </r>
    <r>
      <rPr>
        <sz val="12"/>
        <rFont val="細明體"/>
        <family val="3"/>
        <charset val="136"/>
      </rPr>
      <t xml:space="preserve">    </t>
    </r>
    <r>
      <rPr>
        <sz val="12"/>
        <rFont val="DotumChe"/>
        <family val="3"/>
        <charset val="129"/>
      </rPr>
      <t>溫度</t>
    </r>
    <phoneticPr fontId="3" type="noConversion"/>
  </si>
  <si>
    <t>IPA</t>
    <phoneticPr fontId="3" type="noConversion"/>
  </si>
  <si>
    <t>EG</t>
    <phoneticPr fontId="3" type="noConversion"/>
  </si>
  <si>
    <t>NMP</t>
    <phoneticPr fontId="3" type="noConversion"/>
  </si>
  <si>
    <t>Acetone</t>
    <phoneticPr fontId="3" type="noConversion"/>
  </si>
  <si>
    <t>SEP05</t>
    <phoneticPr fontId="3" type="noConversion"/>
  </si>
  <si>
    <t>PMA</t>
    <phoneticPr fontId="3" type="noConversion"/>
  </si>
  <si>
    <t>PM</t>
    <phoneticPr fontId="3" type="noConversion"/>
  </si>
  <si>
    <t>GAA</t>
    <phoneticPr fontId="3" type="noConversion"/>
  </si>
  <si>
    <r>
      <t>BDG+MEA
澄</t>
    </r>
    <r>
      <rPr>
        <sz val="14"/>
        <rFont val="細明體"/>
        <family val="3"/>
        <charset val="136"/>
      </rPr>
      <t>清</t>
    </r>
    <r>
      <rPr>
        <sz val="14"/>
        <rFont val="DotumChe"/>
        <family val="3"/>
        <charset val="129"/>
      </rPr>
      <t>液</t>
    </r>
    <phoneticPr fontId="3" type="noConversion"/>
  </si>
  <si>
    <t>ANONE</t>
    <phoneticPr fontId="3" type="noConversion"/>
  </si>
  <si>
    <t>EBR</t>
    <phoneticPr fontId="3" type="noConversion"/>
  </si>
  <si>
    <t>NBAC</t>
    <phoneticPr fontId="3" type="noConversion"/>
  </si>
  <si>
    <t>EBRUPS</t>
    <phoneticPr fontId="3" type="noConversion"/>
  </si>
  <si>
    <t>2SEP73(EBR)</t>
    <phoneticPr fontId="3" type="noConversion"/>
  </si>
  <si>
    <t>SEP11</t>
    <phoneticPr fontId="3" type="noConversion"/>
  </si>
  <si>
    <t>ETOH</t>
    <phoneticPr fontId="3" type="noConversion"/>
  </si>
  <si>
    <t>PG2</t>
    <phoneticPr fontId="3" type="noConversion"/>
  </si>
  <si>
    <t>EEP</t>
    <phoneticPr fontId="3" type="noConversion"/>
  </si>
  <si>
    <t>HEA     DPM</t>
    <phoneticPr fontId="3" type="noConversion"/>
  </si>
  <si>
    <t>C02</t>
  </si>
  <si>
    <t>C03</t>
  </si>
  <si>
    <t>C04</t>
  </si>
  <si>
    <t>C05</t>
  </si>
  <si>
    <t>C06</t>
  </si>
  <si>
    <t>槽號</t>
    <phoneticPr fontId="3" type="noConversion"/>
  </si>
  <si>
    <t>液位</t>
    <phoneticPr fontId="3" type="noConversion"/>
  </si>
  <si>
    <t>溫度</t>
    <phoneticPr fontId="3" type="noConversion"/>
  </si>
  <si>
    <t>DPM</t>
    <phoneticPr fontId="3" type="noConversion"/>
  </si>
  <si>
    <t xml:space="preserve"> </t>
    <phoneticPr fontId="2" type="noConversion"/>
  </si>
  <si>
    <t>品名</t>
    <phoneticPr fontId="3" type="noConversion"/>
  </si>
  <si>
    <t>時間</t>
    <phoneticPr fontId="3" type="noConversion"/>
  </si>
  <si>
    <t>TPM</t>
    <phoneticPr fontId="3" type="noConversion"/>
  </si>
  <si>
    <t>TK-603</t>
    <phoneticPr fontId="4" type="noConversion"/>
  </si>
  <si>
    <t>TK-641</t>
    <phoneticPr fontId="4" type="noConversion"/>
  </si>
  <si>
    <t>ACETONE</t>
    <phoneticPr fontId="3" type="noConversion"/>
  </si>
  <si>
    <t>HEA</t>
    <phoneticPr fontId="3" type="noConversion"/>
  </si>
  <si>
    <t>待處理品</t>
    <phoneticPr fontId="3" type="noConversion"/>
  </si>
  <si>
    <t>TK-601</t>
    <phoneticPr fontId="4" type="noConversion"/>
  </si>
  <si>
    <t>TK-602</t>
    <phoneticPr fontId="4" type="noConversion"/>
  </si>
  <si>
    <t>TK-604A</t>
    <phoneticPr fontId="4" type="noConversion"/>
  </si>
  <si>
    <t>TK-604B</t>
    <phoneticPr fontId="4" type="noConversion"/>
  </si>
  <si>
    <t>TK-612</t>
    <phoneticPr fontId="4" type="noConversion"/>
  </si>
  <si>
    <t>TK-621</t>
    <phoneticPr fontId="4" type="noConversion"/>
  </si>
  <si>
    <t>TK-622</t>
    <phoneticPr fontId="4" type="noConversion"/>
  </si>
  <si>
    <t>TK-631</t>
    <phoneticPr fontId="4" type="noConversion"/>
  </si>
  <si>
    <t>TK-643</t>
    <phoneticPr fontId="3" type="noConversion"/>
  </si>
  <si>
    <t>TK-645</t>
    <phoneticPr fontId="3" type="noConversion"/>
  </si>
  <si>
    <t>NMP-2</t>
    <phoneticPr fontId="3" type="noConversion"/>
  </si>
  <si>
    <t>TK-656</t>
    <phoneticPr fontId="3" type="noConversion"/>
  </si>
  <si>
    <t>TK-660</t>
    <phoneticPr fontId="3" type="noConversion"/>
  </si>
  <si>
    <t>TK-651</t>
    <phoneticPr fontId="3" type="noConversion"/>
  </si>
  <si>
    <t>TK-652</t>
    <phoneticPr fontId="3" type="noConversion"/>
  </si>
  <si>
    <t>TK-654</t>
    <phoneticPr fontId="3" type="noConversion"/>
  </si>
  <si>
    <t>TK-657</t>
    <phoneticPr fontId="3" type="noConversion"/>
  </si>
  <si>
    <t>TK-658</t>
    <phoneticPr fontId="3" type="noConversion"/>
  </si>
  <si>
    <t>TK-661</t>
    <phoneticPr fontId="3" type="noConversion"/>
  </si>
  <si>
    <t>TK-662</t>
    <phoneticPr fontId="3" type="noConversion"/>
  </si>
  <si>
    <t>TK-663</t>
    <phoneticPr fontId="3" type="noConversion"/>
  </si>
  <si>
    <t>TK-664</t>
    <phoneticPr fontId="3" type="noConversion"/>
  </si>
  <si>
    <t>TK-665</t>
    <phoneticPr fontId="3" type="noConversion"/>
  </si>
  <si>
    <t>TK-666</t>
    <phoneticPr fontId="3" type="noConversion"/>
  </si>
  <si>
    <t>TK-670</t>
    <phoneticPr fontId="3" type="noConversion"/>
  </si>
  <si>
    <t>記事欄</t>
    <phoneticPr fontId="3" type="noConversion"/>
  </si>
  <si>
    <r>
      <t>CPN環戊</t>
    </r>
    <r>
      <rPr>
        <sz val="14"/>
        <rFont val="細明體"/>
        <family val="3"/>
        <charset val="136"/>
      </rPr>
      <t>酮</t>
    </r>
    <phoneticPr fontId="3" type="noConversion"/>
  </si>
  <si>
    <t>CPN</t>
    <phoneticPr fontId="3" type="noConversion"/>
  </si>
  <si>
    <t>DPM-B1</t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</si>
  <si>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2" type="noConversion"/>
  </si>
  <si>
    <t>TK-671</t>
    <phoneticPr fontId="3" type="noConversion"/>
  </si>
  <si>
    <t>MIBC</t>
    <phoneticPr fontId="3" type="noConversion"/>
  </si>
  <si>
    <t>C08</t>
  </si>
  <si>
    <t>C09</t>
  </si>
  <si>
    <t>604A</t>
  </si>
  <si>
    <t>604B</t>
  </si>
  <si>
    <t>C01</t>
  </si>
  <si>
    <t>C07</t>
  </si>
  <si>
    <t>儲槽作業日報表</t>
    <phoneticPr fontId="3" type="noConversion"/>
  </si>
  <si>
    <t>待處理品</t>
    <phoneticPr fontId="2" type="noConversion"/>
  </si>
  <si>
    <t>成品</t>
    <phoneticPr fontId="2" type="noConversion"/>
  </si>
  <si>
    <t>原料</t>
    <phoneticPr fontId="2" type="noConversion"/>
  </si>
  <si>
    <t>TK-677</t>
  </si>
  <si>
    <t>TK-678</t>
  </si>
  <si>
    <t>TK-680</t>
  </si>
  <si>
    <t>TK-681</t>
  </si>
  <si>
    <t>TK-682</t>
  </si>
  <si>
    <t>TK-683</t>
  </si>
  <si>
    <t>TK-684</t>
  </si>
  <si>
    <t>TK-685</t>
  </si>
  <si>
    <t>TK-686</t>
  </si>
  <si>
    <t>TK-687</t>
  </si>
  <si>
    <t>TK-688</t>
  </si>
  <si>
    <t>TK-689</t>
  </si>
  <si>
    <t>TK-690</t>
  </si>
  <si>
    <t>TK-691</t>
  </si>
  <si>
    <t>TK-692</t>
  </si>
  <si>
    <t>TK-693</t>
  </si>
  <si>
    <t>TK-694</t>
  </si>
  <si>
    <t>TK-695</t>
  </si>
  <si>
    <t>TK-696</t>
  </si>
  <si>
    <t>TK-697</t>
  </si>
  <si>
    <t>TK-698</t>
  </si>
  <si>
    <t>EGE4</t>
    <phoneticPr fontId="2" type="noConversion"/>
  </si>
  <si>
    <t>TK-699</t>
  </si>
  <si>
    <t>CPNE4</t>
    <phoneticPr fontId="2" type="noConversion"/>
  </si>
  <si>
    <t>TK-611</t>
    <phoneticPr fontId="4" type="noConversion"/>
  </si>
  <si>
    <t>TK-613</t>
    <phoneticPr fontId="4" type="noConversion"/>
  </si>
  <si>
    <t>TK614</t>
    <phoneticPr fontId="4" type="noConversion"/>
  </si>
  <si>
    <t>TK-623</t>
    <phoneticPr fontId="4" type="noConversion"/>
  </si>
  <si>
    <t>TK-624</t>
    <phoneticPr fontId="4" type="noConversion"/>
  </si>
  <si>
    <t>TK-C01</t>
    <phoneticPr fontId="4" type="noConversion"/>
  </si>
  <si>
    <t>TK-C02</t>
    <phoneticPr fontId="4" type="noConversion"/>
  </si>
  <si>
    <t>TK-C03</t>
    <phoneticPr fontId="4" type="noConversion"/>
  </si>
  <si>
    <t>TK-C04</t>
    <phoneticPr fontId="4" type="noConversion"/>
  </si>
  <si>
    <t>TK-C05</t>
    <phoneticPr fontId="4" type="noConversion"/>
  </si>
  <si>
    <t>TK-C06</t>
    <phoneticPr fontId="4" type="noConversion"/>
  </si>
  <si>
    <t>TK-C07</t>
    <phoneticPr fontId="4" type="noConversion"/>
  </si>
  <si>
    <t>TK-C08</t>
    <phoneticPr fontId="4" type="noConversion"/>
  </si>
  <si>
    <t>TK-C09</t>
    <phoneticPr fontId="4" type="noConversion"/>
  </si>
  <si>
    <t>TK-632</t>
    <phoneticPr fontId="4" type="noConversion"/>
  </si>
  <si>
    <t>TK-633</t>
    <phoneticPr fontId="4" type="noConversion"/>
  </si>
  <si>
    <t>TK-634</t>
    <phoneticPr fontId="4" type="noConversion"/>
  </si>
  <si>
    <t>TK-642</t>
    <phoneticPr fontId="4" type="noConversion"/>
  </si>
  <si>
    <t>TK-653</t>
    <phoneticPr fontId="3" type="noConversion"/>
  </si>
  <si>
    <t>TK-655</t>
    <phoneticPr fontId="3" type="noConversion"/>
  </si>
  <si>
    <t>TK-659</t>
    <phoneticPr fontId="3" type="noConversion"/>
  </si>
  <si>
    <t>TK-667</t>
    <phoneticPr fontId="3" type="noConversion"/>
  </si>
  <si>
    <t>TK-668</t>
    <phoneticPr fontId="3" type="noConversion"/>
  </si>
  <si>
    <t>TK-669</t>
    <phoneticPr fontId="3" type="noConversion"/>
  </si>
  <si>
    <t>TK-672</t>
    <phoneticPr fontId="3" type="noConversion"/>
  </si>
  <si>
    <t xml:space="preserve"> TK-673</t>
    <phoneticPr fontId="3" type="noConversion"/>
  </si>
  <si>
    <t>TK-674</t>
    <phoneticPr fontId="3" type="noConversion"/>
  </si>
  <si>
    <t>TK-675</t>
    <phoneticPr fontId="3" type="noConversion"/>
  </si>
  <si>
    <t>TK-676</t>
    <phoneticPr fontId="3" type="noConversion"/>
  </si>
  <si>
    <t>底面積</t>
    <phoneticPr fontId="2" type="noConversion"/>
  </si>
  <si>
    <t>現為公升還要*密度=公斤KG</t>
    <phoneticPr fontId="2" type="noConversion"/>
  </si>
  <si>
    <t>最高液位</t>
    <phoneticPr fontId="2" type="noConversion"/>
  </si>
  <si>
    <t>675-678</t>
    <phoneticPr fontId="2" type="noConversion"/>
  </si>
  <si>
    <t>1mm</t>
    <phoneticPr fontId="2" type="noConversion"/>
  </si>
  <si>
    <t>4.6L</t>
    <phoneticPr fontId="2" type="noConversion"/>
  </si>
  <si>
    <t>桶底 1566L</t>
    <phoneticPr fontId="2" type="noConversion"/>
  </si>
  <si>
    <t>681-689,691</t>
    <phoneticPr fontId="2" type="noConversion"/>
  </si>
  <si>
    <t>18.322L</t>
    <phoneticPr fontId="2" type="noConversion"/>
  </si>
  <si>
    <t>桶底87L</t>
    <phoneticPr fontId="2" type="noConversion"/>
  </si>
  <si>
    <t>11.702L</t>
    <phoneticPr fontId="2" type="noConversion"/>
  </si>
  <si>
    <t>692-695</t>
    <phoneticPr fontId="2" type="noConversion"/>
  </si>
  <si>
    <t>35.891L</t>
    <phoneticPr fontId="2" type="noConversion"/>
  </si>
  <si>
    <t>696-699</t>
    <phoneticPr fontId="2" type="noConversion"/>
  </si>
  <si>
    <t>47.051L</t>
    <phoneticPr fontId="2" type="noConversion"/>
  </si>
  <si>
    <t>268.26L</t>
    <phoneticPr fontId="2" type="noConversion"/>
  </si>
  <si>
    <t>1026L</t>
    <phoneticPr fontId="2" type="noConversion"/>
  </si>
  <si>
    <t>514.88L</t>
    <phoneticPr fontId="2" type="noConversion"/>
  </si>
  <si>
    <t>2512.3L</t>
    <phoneticPr fontId="2" type="noConversion"/>
  </si>
  <si>
    <t>5453.1L</t>
    <phoneticPr fontId="2" type="noConversion"/>
  </si>
  <si>
    <t>液位</t>
    <phoneticPr fontId="2" type="noConversion"/>
  </si>
  <si>
    <t>CPNE3-R</t>
    <phoneticPr fontId="3" type="noConversion"/>
  </si>
  <si>
    <t xml:space="preserve">鴻勝化學科技股份有限公司                                    </t>
    <phoneticPr fontId="3" type="noConversion"/>
  </si>
  <si>
    <t xml:space="preserve">                                  </t>
    <phoneticPr fontId="2" type="noConversion"/>
  </si>
  <si>
    <t>500KL</t>
    <phoneticPr fontId="2" type="noConversion"/>
  </si>
  <si>
    <t>51.53L</t>
    <phoneticPr fontId="2" type="noConversion"/>
  </si>
  <si>
    <t>250KL</t>
    <phoneticPr fontId="2" type="noConversion"/>
  </si>
  <si>
    <t>33.183L</t>
    <phoneticPr fontId="2" type="noConversion"/>
  </si>
  <si>
    <t>125KL</t>
    <phoneticPr fontId="2" type="noConversion"/>
  </si>
  <si>
    <t>20.428L</t>
    <phoneticPr fontId="2" type="noConversion"/>
  </si>
  <si>
    <t>70KL</t>
    <phoneticPr fontId="2" type="noConversion"/>
  </si>
  <si>
    <t>50KL</t>
    <phoneticPr fontId="2" type="noConversion"/>
  </si>
  <si>
    <t>50KL
C01~C09
643,645</t>
    <phoneticPr fontId="2" type="noConversion"/>
  </si>
  <si>
    <t>上午:</t>
    <phoneticPr fontId="3" type="noConversion"/>
  </si>
  <si>
    <t>年       月       日</t>
    <phoneticPr fontId="3" type="noConversion"/>
  </si>
  <si>
    <t>備    註</t>
    <phoneticPr fontId="3" type="noConversion"/>
  </si>
  <si>
    <t>年         月         日</t>
    <phoneticPr fontId="3" type="noConversion"/>
  </si>
  <si>
    <t>槽　別</t>
    <phoneticPr fontId="3" type="noConversion"/>
  </si>
  <si>
    <t>液位(mm/%)</t>
    <phoneticPr fontId="3" type="noConversion"/>
  </si>
  <si>
    <t>數量(kg)</t>
    <phoneticPr fontId="4" type="noConversion"/>
  </si>
  <si>
    <t>溫度( ℃)</t>
    <phoneticPr fontId="3" type="noConversion"/>
  </si>
  <si>
    <r>
      <t>液位(</t>
    </r>
    <r>
      <rPr>
        <vertAlign val="superscript"/>
        <sz val="8"/>
        <rFont val="微軟正黑體"/>
        <family val="2"/>
        <charset val="136"/>
      </rPr>
      <t>mm</t>
    </r>
    <r>
      <rPr>
        <sz val="8"/>
        <rFont val="微軟正黑體"/>
        <family val="2"/>
        <charset val="136"/>
      </rPr>
      <t>/</t>
    </r>
    <r>
      <rPr>
        <vertAlign val="subscript"/>
        <sz val="8"/>
        <rFont val="微軟正黑體"/>
        <family val="2"/>
        <charset val="136"/>
      </rPr>
      <t>%</t>
    </r>
    <r>
      <rPr>
        <sz val="8"/>
        <rFont val="微軟正黑體"/>
        <family val="2"/>
        <charset val="136"/>
      </rPr>
      <t>)</t>
    </r>
    <phoneticPr fontId="4" type="noConversion"/>
  </si>
  <si>
    <t>總數量
(kg)</t>
    <phoneticPr fontId="3" type="noConversion"/>
  </si>
  <si>
    <t>經(副)理:</t>
    <phoneticPr fontId="4" type="noConversion"/>
  </si>
  <si>
    <t>課長:</t>
    <phoneticPr fontId="4" type="noConversion"/>
  </si>
  <si>
    <t>組(副)長:</t>
    <phoneticPr fontId="4" type="noConversion"/>
  </si>
  <si>
    <t>記錄員:</t>
    <phoneticPr fontId="4" type="noConversion"/>
  </si>
  <si>
    <t>EGHW</t>
    <phoneticPr fontId="3" type="noConversion"/>
  </si>
  <si>
    <t>GAA</t>
    <phoneticPr fontId="2" type="noConversion"/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</si>
  <si>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</si>
  <si>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</si>
  <si>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</si>
  <si>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</si>
  <si>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</si>
  <si>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</si>
  <si>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</si>
  <si>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</si>
  <si>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</si>
  <si>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</si>
  <si>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</si>
  <si>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</si>
  <si>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</si>
  <si>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</si>
  <si>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</si>
  <si>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</si>
  <si>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</si>
  <si>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F20</t>
  </si>
  <si>
    <t>F21</t>
  </si>
  <si>
    <t>F23</t>
  </si>
  <si>
    <t>品名</t>
  </si>
  <si>
    <t>編號</t>
  </si>
  <si>
    <t>日期</t>
  </si>
  <si>
    <t>重量</t>
  </si>
  <si>
    <t>來源</t>
  </si>
  <si>
    <t>小計</t>
  </si>
  <si>
    <t>IPA-R1</t>
  </si>
  <si>
    <t>備註</t>
  </si>
  <si>
    <t>總量</t>
  </si>
  <si>
    <t xml:space="preserve"> </t>
  </si>
  <si>
    <t>20170627</t>
  </si>
  <si>
    <t>80</t>
  </si>
  <si>
    <t>320</t>
  </si>
  <si>
    <t>BDGE</t>
  </si>
  <si>
    <t>50</t>
  </si>
  <si>
    <t>170</t>
  </si>
  <si>
    <t>160</t>
  </si>
  <si>
    <t>30</t>
  </si>
  <si>
    <t>20161229</t>
  </si>
  <si>
    <t>90</t>
  </si>
  <si>
    <t>60</t>
  </si>
  <si>
    <t>150</t>
  </si>
  <si>
    <t>20170126</t>
  </si>
  <si>
    <t>40</t>
  </si>
  <si>
    <t>GAAHW</t>
  </si>
  <si>
    <t>TK-602</t>
  </si>
  <si>
    <t>420</t>
  </si>
  <si>
    <t>ANONEHW</t>
  </si>
  <si>
    <t>220</t>
  </si>
  <si>
    <t>100</t>
  </si>
  <si>
    <t>ACTHW</t>
  </si>
  <si>
    <t>110</t>
  </si>
  <si>
    <t>180</t>
  </si>
  <si>
    <t>GBLHW</t>
  </si>
  <si>
    <t>3/19</t>
  </si>
  <si>
    <t>E-12</t>
  </si>
  <si>
    <t>8/26</t>
  </si>
  <si>
    <t>6/26</t>
  </si>
  <si>
    <t>53GL(20150916送驗)</t>
  </si>
  <si>
    <t>2/10</t>
  </si>
  <si>
    <t>115</t>
  </si>
  <si>
    <t>GB8704</t>
  </si>
  <si>
    <t>9/15</t>
  </si>
  <si>
    <t>6/22</t>
  </si>
  <si>
    <t>11/18</t>
  </si>
  <si>
    <t>5/27</t>
  </si>
  <si>
    <t>10</t>
  </si>
  <si>
    <t>9/27</t>
  </si>
  <si>
    <t>470</t>
  </si>
  <si>
    <t>20160223</t>
  </si>
  <si>
    <t>161126</t>
  </si>
  <si>
    <t>E-39</t>
  </si>
  <si>
    <t>20131211破桶換桶 970(20150916送驗)</t>
  </si>
  <si>
    <t>GB8705</t>
  </si>
  <si>
    <t>5/6</t>
  </si>
  <si>
    <t>230</t>
  </si>
  <si>
    <t>6/9</t>
  </si>
  <si>
    <t>10/15</t>
  </si>
  <si>
    <t>11/15</t>
  </si>
  <si>
    <t>20140409</t>
  </si>
  <si>
    <t>20150304</t>
  </si>
  <si>
    <t>20150511</t>
  </si>
  <si>
    <t>20150709</t>
  </si>
  <si>
    <t>20151214</t>
  </si>
  <si>
    <t>70</t>
  </si>
  <si>
    <t>(20150916送驗)</t>
  </si>
  <si>
    <t>20140521</t>
  </si>
  <si>
    <t>20141030</t>
  </si>
  <si>
    <t>1GAL</t>
  </si>
  <si>
    <t>20141222</t>
  </si>
  <si>
    <t>20141231</t>
  </si>
  <si>
    <t>20160324</t>
  </si>
  <si>
    <t>20160530</t>
  </si>
  <si>
    <t>20160831</t>
  </si>
  <si>
    <t>130</t>
  </si>
  <si>
    <t>GB8706-1</t>
  </si>
  <si>
    <t>GB8706-2</t>
  </si>
  <si>
    <t>53GL*2(20150916送驗)</t>
  </si>
  <si>
    <t>GB8707</t>
  </si>
  <si>
    <t>E39</t>
  </si>
  <si>
    <t>20170223</t>
  </si>
  <si>
    <t>GB8708</t>
  </si>
  <si>
    <t>NMPHW</t>
  </si>
  <si>
    <t>1010</t>
  </si>
  <si>
    <t>670</t>
  </si>
  <si>
    <t>MEK</t>
  </si>
  <si>
    <t>20</t>
  </si>
  <si>
    <t>EGHW</t>
  </si>
  <si>
    <t>140</t>
  </si>
  <si>
    <t>EEP</t>
  </si>
  <si>
    <t>400</t>
  </si>
  <si>
    <t>190</t>
  </si>
  <si>
    <t>120</t>
  </si>
  <si>
    <t>PG</t>
  </si>
  <si>
    <t>-30</t>
  </si>
  <si>
    <t>-20</t>
  </si>
  <si>
    <t>270</t>
  </si>
  <si>
    <t>1DPM-1
(DPM HAV)</t>
  </si>
  <si>
    <t>總量統計</t>
  </si>
  <si>
    <t>IPA</t>
  </si>
  <si>
    <t>EBR</t>
  </si>
  <si>
    <t>SEP05(E2)</t>
  </si>
  <si>
    <t>GAA</t>
  </si>
  <si>
    <t>ANONE</t>
  </si>
  <si>
    <t>#REF!</t>
  </si>
  <si>
    <t>5,609.0</t>
  </si>
  <si>
    <t>50.0</t>
  </si>
  <si>
    <t>ACT</t>
  </si>
  <si>
    <t>GBL</t>
  </si>
  <si>
    <t>NMP</t>
  </si>
  <si>
    <t>EG</t>
  </si>
  <si>
    <t>DPM HAV</t>
  </si>
  <si>
    <t>Sulfolane</t>
  </si>
  <si>
    <t>83.0</t>
  </si>
  <si>
    <t>4,050.0</t>
  </si>
  <si>
    <t>897.0</t>
  </si>
  <si>
    <t>103.0</t>
  </si>
  <si>
    <t>請直接以10進位，謝謝</t>
  </si>
  <si>
    <t>F19</t>
  </si>
  <si>
    <t>F24</t>
  </si>
  <si>
    <t>F25</t>
  </si>
  <si>
    <t>F26</t>
  </si>
  <si>
    <t>F27</t>
  </si>
  <si>
    <t>F28</t>
  </si>
  <si>
    <t>水份</t>
  </si>
  <si>
    <t>I9101</t>
  </si>
  <si>
    <t>20240326</t>
  </si>
  <si>
    <t>TK-604</t>
  </si>
  <si>
    <t>20240424</t>
  </si>
  <si>
    <t>I9102</t>
  </si>
  <si>
    <t>I9103</t>
  </si>
  <si>
    <t>C41</t>
  </si>
  <si>
    <t>I9104</t>
  </si>
  <si>
    <t>I9105</t>
  </si>
  <si>
    <t xml:space="preserve">1EBRHW
</t>
  </si>
  <si>
    <t>I9106</t>
  </si>
  <si>
    <t>I9107</t>
  </si>
  <si>
    <t>I9108</t>
  </si>
  <si>
    <t>I9109</t>
  </si>
  <si>
    <t>I9110</t>
  </si>
  <si>
    <t>I9111</t>
  </si>
  <si>
    <t>I9112</t>
  </si>
  <si>
    <t>I9113</t>
  </si>
  <si>
    <t>I9114</t>
  </si>
  <si>
    <t>I9115</t>
  </si>
  <si>
    <t>CPNE3</t>
  </si>
  <si>
    <t>I9116</t>
  </si>
  <si>
    <t>I9117</t>
  </si>
  <si>
    <t>CPNHW
(OEM)</t>
  </si>
  <si>
    <t>I9118</t>
  </si>
  <si>
    <t>I9119</t>
  </si>
  <si>
    <t>I9120</t>
  </si>
  <si>
    <t>I9121</t>
  </si>
  <si>
    <t>M
I
B
C
H
W</t>
  </si>
  <si>
    <t>R9101</t>
  </si>
  <si>
    <t>TK-601</t>
  </si>
  <si>
    <t>R9102</t>
  </si>
  <si>
    <t>290</t>
  </si>
  <si>
    <t>R9103</t>
  </si>
  <si>
    <t>0</t>
  </si>
  <si>
    <t>R9104</t>
  </si>
  <si>
    <t>R9105</t>
  </si>
  <si>
    <t>R9106</t>
  </si>
  <si>
    <t>R9107</t>
  </si>
  <si>
    <t>R9108</t>
  </si>
  <si>
    <t>R9109</t>
  </si>
  <si>
    <t>R9110</t>
  </si>
  <si>
    <t>G9101</t>
  </si>
  <si>
    <t>G9102</t>
  </si>
  <si>
    <t>G9103</t>
  </si>
  <si>
    <t>G9104</t>
  </si>
  <si>
    <t>G9105</t>
  </si>
  <si>
    <t>G9106</t>
  </si>
  <si>
    <t>G9107</t>
  </si>
  <si>
    <t>G9108</t>
  </si>
  <si>
    <t>AN9101</t>
  </si>
  <si>
    <t>AN9102</t>
  </si>
  <si>
    <t>-</t>
  </si>
  <si>
    <t>A9101</t>
  </si>
  <si>
    <t>20240425</t>
  </si>
  <si>
    <t>690</t>
  </si>
  <si>
    <t>A9102</t>
  </si>
  <si>
    <t>A9103</t>
  </si>
  <si>
    <t>A9104</t>
  </si>
  <si>
    <t>A9105</t>
  </si>
  <si>
    <t>A9106</t>
  </si>
  <si>
    <t>A9107</t>
  </si>
  <si>
    <t>A9108</t>
  </si>
  <si>
    <t>S208</t>
  </si>
  <si>
    <t>GB9101</t>
  </si>
  <si>
    <t>20210315</t>
  </si>
  <si>
    <t>-50</t>
  </si>
  <si>
    <t>換桶</t>
  </si>
  <si>
    <t>910</t>
  </si>
  <si>
    <t>1140</t>
  </si>
  <si>
    <t>20200818</t>
  </si>
  <si>
    <t>1130</t>
  </si>
  <si>
    <t>20161126</t>
  </si>
  <si>
    <t>2020/7/16</t>
  </si>
  <si>
    <t>研發取用</t>
  </si>
  <si>
    <t>1110</t>
  </si>
  <si>
    <t>20170728</t>
  </si>
  <si>
    <t>20170829</t>
  </si>
  <si>
    <t>20170927</t>
  </si>
  <si>
    <t>20171030</t>
  </si>
  <si>
    <t>20171129</t>
  </si>
  <si>
    <t>20171228</t>
  </si>
  <si>
    <t>20180129</t>
  </si>
  <si>
    <t>20180205</t>
  </si>
  <si>
    <t>-40</t>
  </si>
  <si>
    <t>20180328</t>
  </si>
  <si>
    <t>20180426</t>
  </si>
  <si>
    <t>20180530</t>
  </si>
  <si>
    <t>20180628</t>
  </si>
  <si>
    <t>20181130</t>
  </si>
  <si>
    <t>1150</t>
  </si>
  <si>
    <t>20180730</t>
  </si>
  <si>
    <t>20180890</t>
  </si>
  <si>
    <t>20180927</t>
  </si>
  <si>
    <t>20181030</t>
  </si>
  <si>
    <t>20181227</t>
  </si>
  <si>
    <t>20190130</t>
  </si>
  <si>
    <t>20190226</t>
  </si>
  <si>
    <t>20190328</t>
  </si>
  <si>
    <t>20190429</t>
  </si>
  <si>
    <t>20190530</t>
  </si>
  <si>
    <t>20190628</t>
  </si>
  <si>
    <t>20190730</t>
  </si>
  <si>
    <t>20190816</t>
  </si>
  <si>
    <t>GB8709</t>
  </si>
  <si>
    <t>20190829</t>
  </si>
  <si>
    <t>20190927</t>
  </si>
  <si>
    <t>20191029</t>
  </si>
  <si>
    <t>20191128</t>
  </si>
  <si>
    <t>20191226</t>
  </si>
  <si>
    <t>20200130</t>
  </si>
  <si>
    <t>20200226</t>
  </si>
  <si>
    <t>20200326</t>
  </si>
  <si>
    <t>20200430</t>
  </si>
  <si>
    <t>20200529</t>
  </si>
  <si>
    <t>20200629</t>
  </si>
  <si>
    <t>20200730</t>
  </si>
  <si>
    <t>20200827</t>
  </si>
  <si>
    <t>20200928</t>
  </si>
  <si>
    <t>20201028</t>
  </si>
  <si>
    <t>20201127</t>
  </si>
  <si>
    <t>GB9110</t>
  </si>
  <si>
    <t>20201225</t>
  </si>
  <si>
    <t>20210129</t>
  </si>
  <si>
    <t>20210224</t>
  </si>
  <si>
    <t>20210326</t>
  </si>
  <si>
    <t>1090</t>
  </si>
  <si>
    <t>20210427</t>
  </si>
  <si>
    <t>20210527</t>
  </si>
  <si>
    <t>20210629</t>
  </si>
  <si>
    <t>20210728</t>
  </si>
  <si>
    <t>20210826</t>
  </si>
  <si>
    <t>20210928</t>
  </si>
  <si>
    <t>20211027</t>
  </si>
  <si>
    <t>20211130</t>
  </si>
  <si>
    <t>20211229</t>
  </si>
  <si>
    <t>20220117</t>
  </si>
  <si>
    <t>GB9111</t>
  </si>
  <si>
    <t>20220126</t>
  </si>
  <si>
    <t>20220223</t>
  </si>
  <si>
    <t>20220329</t>
  </si>
  <si>
    <t>20220427</t>
  </si>
  <si>
    <t>20220629</t>
  </si>
  <si>
    <t>1080</t>
  </si>
  <si>
    <t>20220725</t>
  </si>
  <si>
    <t>20220826</t>
  </si>
  <si>
    <t>20220928</t>
  </si>
  <si>
    <t>20221025</t>
  </si>
  <si>
    <t>20221229</t>
  </si>
  <si>
    <t>20230130</t>
  </si>
  <si>
    <t>20230222</t>
  </si>
  <si>
    <t>20230327</t>
  </si>
  <si>
    <t>20230425</t>
  </si>
  <si>
    <t>20230529</t>
  </si>
  <si>
    <t>20230628</t>
  </si>
  <si>
    <t>20230725</t>
  </si>
  <si>
    <t>20230828</t>
  </si>
  <si>
    <t>20230926</t>
  </si>
  <si>
    <t>20231025</t>
  </si>
  <si>
    <t>GB9112</t>
  </si>
  <si>
    <t>20231122</t>
  </si>
  <si>
    <t>20231226</t>
  </si>
  <si>
    <t>8,920</t>
  </si>
  <si>
    <t>E9101</t>
  </si>
  <si>
    <t>E9102</t>
  </si>
  <si>
    <t>20240226</t>
  </si>
  <si>
    <t>350</t>
  </si>
  <si>
    <t>TK603</t>
  </si>
  <si>
    <t>E9103</t>
  </si>
  <si>
    <t>E9104</t>
  </si>
  <si>
    <t>E9105</t>
  </si>
  <si>
    <t>990</t>
  </si>
  <si>
    <t>285</t>
  </si>
  <si>
    <t>20240124</t>
  </si>
  <si>
    <t>20240202</t>
  </si>
  <si>
    <t>E9107</t>
  </si>
  <si>
    <t>E9108</t>
  </si>
  <si>
    <t>E9109</t>
  </si>
  <si>
    <t>E9110</t>
  </si>
  <si>
    <t>E9111</t>
  </si>
  <si>
    <t>C9101</t>
  </si>
  <si>
    <t>C9102</t>
  </si>
  <si>
    <t>C9103</t>
  </si>
  <si>
    <t>C9104</t>
  </si>
  <si>
    <t>20240426</t>
  </si>
  <si>
    <t>870</t>
  </si>
  <si>
    <t>C9105</t>
  </si>
  <si>
    <t>C9106</t>
  </si>
  <si>
    <t>C9107</t>
  </si>
  <si>
    <t>C9108</t>
  </si>
  <si>
    <t>C9109</t>
  </si>
  <si>
    <t>C9110</t>
  </si>
  <si>
    <t>C9111</t>
  </si>
  <si>
    <t>C9112</t>
  </si>
  <si>
    <t>C9113</t>
  </si>
  <si>
    <t>C9114</t>
  </si>
  <si>
    <t>C9115</t>
  </si>
  <si>
    <t>N9101</t>
  </si>
  <si>
    <t>20240320</t>
  </si>
  <si>
    <t>930</t>
  </si>
  <si>
    <t>N9102</t>
  </si>
  <si>
    <t>N9103</t>
  </si>
  <si>
    <t>TK611</t>
  </si>
  <si>
    <t>20240401</t>
  </si>
  <si>
    <t>N9104</t>
  </si>
  <si>
    <t>940</t>
  </si>
  <si>
    <t>N9105</t>
  </si>
  <si>
    <t>N9106</t>
  </si>
  <si>
    <t>N9107</t>
  </si>
  <si>
    <t>N9108</t>
  </si>
  <si>
    <t>N9109</t>
  </si>
  <si>
    <t>N9110</t>
  </si>
  <si>
    <t>N9111</t>
  </si>
  <si>
    <t>N9112</t>
  </si>
  <si>
    <t>N9113</t>
  </si>
  <si>
    <t>N9114</t>
  </si>
  <si>
    <t>N9115</t>
  </si>
  <si>
    <t>N9116</t>
  </si>
  <si>
    <t>N
S
E
H
W</t>
  </si>
  <si>
    <t>NS9101</t>
  </si>
  <si>
    <t>NS9102</t>
  </si>
  <si>
    <t>M9101</t>
  </si>
  <si>
    <t>20220407</t>
  </si>
  <si>
    <t>20230428</t>
  </si>
  <si>
    <t>TK667</t>
  </si>
  <si>
    <t>M9102</t>
  </si>
  <si>
    <t>M9103</t>
  </si>
  <si>
    <t>M9104</t>
  </si>
  <si>
    <t>M9105</t>
  </si>
  <si>
    <t>2,030</t>
  </si>
  <si>
    <t>D9101</t>
  </si>
  <si>
    <t>D9102</t>
  </si>
  <si>
    <t>D9103</t>
  </si>
  <si>
    <t>D9104</t>
  </si>
  <si>
    <t>D9105</t>
  </si>
  <si>
    <t>c</t>
  </si>
  <si>
    <t xml:space="preserve"> </t>
    <phoneticPr fontId="3" type="noConversion"/>
  </si>
  <si>
    <t>20240528</t>
  </si>
  <si>
    <t>250</t>
  </si>
  <si>
    <t>20240516</t>
  </si>
  <si>
    <t>840</t>
  </si>
  <si>
    <t>(回收液)</t>
  </si>
  <si>
    <t>1,440</t>
  </si>
  <si>
    <t>310</t>
  </si>
  <si>
    <t>730</t>
  </si>
  <si>
    <t>200</t>
  </si>
  <si>
    <t>890</t>
  </si>
  <si>
    <t>1030</t>
  </si>
  <si>
    <t>E9106
(5/30重驗)</t>
  </si>
  <si>
    <t>360</t>
  </si>
  <si>
    <t>20240523</t>
  </si>
  <si>
    <t>850</t>
  </si>
  <si>
    <t>880</t>
  </si>
  <si>
    <t>630</t>
  </si>
  <si>
    <t>202406XX</t>
  </si>
  <si>
    <t>TK675等單</t>
  </si>
  <si>
    <t>20240619</t>
  </si>
  <si>
    <t>530</t>
  </si>
  <si>
    <t>2024/6/24 14:52</t>
  </si>
  <si>
    <t>標記1</t>
  </si>
  <si>
    <t>標記2</t>
  </si>
  <si>
    <t>960</t>
  </si>
  <si>
    <t>1020</t>
  </si>
  <si>
    <t>7,100</t>
  </si>
  <si>
    <t>20240624</t>
  </si>
  <si>
    <t>810</t>
  </si>
  <si>
    <t>860</t>
  </si>
  <si>
    <t>9310</t>
  </si>
  <si>
    <t>830</t>
  </si>
  <si>
    <t>3,880</t>
  </si>
  <si>
    <t>2,270.0</t>
  </si>
  <si>
    <t>CPNE4R</t>
    <phoneticPr fontId="2" type="noConversion"/>
  </si>
  <si>
    <t>PMUPS</t>
    <phoneticPr fontId="3" type="noConversion"/>
  </si>
  <si>
    <t>待處理廢水</t>
    <phoneticPr fontId="2" type="noConversion"/>
  </si>
  <si>
    <t>EBR-P1R</t>
  </si>
  <si>
    <t>NMPUPS</t>
    <phoneticPr fontId="3" type="noConversion"/>
  </si>
  <si>
    <t>ACTUPS</t>
    <phoneticPr fontId="3" type="noConversion"/>
  </si>
  <si>
    <t>EGUPS</t>
  </si>
  <si>
    <t>EGUPS</t>
    <phoneticPr fontId="3" type="noConversion"/>
  </si>
  <si>
    <t>IPAUPS</t>
  </si>
  <si>
    <t>IPAUPS</t>
    <phoneticPr fontId="3" type="noConversion"/>
  </si>
  <si>
    <t>EBR-P1</t>
    <phoneticPr fontId="3" type="noConversion"/>
  </si>
  <si>
    <t>CPN-P1</t>
    <phoneticPr fontId="3" type="noConversion"/>
  </si>
  <si>
    <t>CPN-P1R</t>
  </si>
  <si>
    <t>IPAHW</t>
    <phoneticPr fontId="3" type="noConversion"/>
  </si>
  <si>
    <t>HEAVY ENDS</t>
    <phoneticPr fontId="3" type="noConversion"/>
  </si>
  <si>
    <t>CPN-R</t>
    <phoneticPr fontId="3" type="noConversion"/>
  </si>
  <si>
    <t>NBAC-P1</t>
    <phoneticPr fontId="3" type="noConversion"/>
  </si>
  <si>
    <t>NBAC-P1R</t>
    <phoneticPr fontId="3" type="noConversion"/>
  </si>
  <si>
    <t>CPNE3</t>
    <phoneticPr fontId="3" type="noConversion"/>
  </si>
  <si>
    <t>CPN</t>
  </si>
  <si>
    <t>SEP73E3</t>
    <phoneticPr fontId="3" type="noConversion"/>
  </si>
  <si>
    <t>GAAUPS</t>
    <phoneticPr fontId="3" type="noConversion"/>
  </si>
  <si>
    <t>IPAHQ</t>
    <phoneticPr fontId="2" type="noConversion"/>
  </si>
  <si>
    <t>CPNE3(T)</t>
    <phoneticPr fontId="2" type="noConversion"/>
  </si>
  <si>
    <t>CPN</t>
    <phoneticPr fontId="2" type="noConversion"/>
  </si>
  <si>
    <t>IPA</t>
    <phoneticPr fontId="2" type="noConversion"/>
  </si>
  <si>
    <t>EBR-P1</t>
    <phoneticPr fontId="2" type="noConversion"/>
  </si>
  <si>
    <t>C50110-INV-01(01)</t>
    <phoneticPr fontId="3" type="noConversion"/>
  </si>
  <si>
    <t>DPM-1</t>
    <phoneticPr fontId="3" type="noConversion"/>
  </si>
  <si>
    <t>CPNE3</t>
    <phoneticPr fontId="2" type="noConversion"/>
  </si>
  <si>
    <t xml:space="preserve"> 液位</t>
  </si>
  <si>
    <t>待處理廢水</t>
    <phoneticPr fontId="3" type="noConversion"/>
  </si>
  <si>
    <r>
      <t>EBR</t>
    </r>
    <r>
      <rPr>
        <sz val="7"/>
        <color rgb="FFC00000"/>
        <rFont val="微軟正黑體"/>
        <family val="2"/>
        <charset val="136"/>
      </rPr>
      <t>廢溶劑</t>
    </r>
    <phoneticPr fontId="3" type="noConversion"/>
  </si>
  <si>
    <t xml:space="preserve">  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24
蒸氣壓力 ______ (最低氣溫低於16度開啟)</t>
    <phoneticPr fontId="3" type="noConversion"/>
  </si>
  <si>
    <t>江承河</t>
    <phoneticPr fontId="2" type="noConversion"/>
  </si>
  <si>
    <t>EBR95</t>
    <phoneticPr fontId="3" type="noConversion"/>
  </si>
  <si>
    <t xml:space="preserve">  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23
蒸氣壓力 ______ (最低氣溫低於16度開啟)</t>
    <phoneticPr fontId="3" type="noConversion"/>
  </si>
  <si>
    <t xml:space="preserve">  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21
蒸氣壓力 ______ (最低氣溫低於16度開啟)</t>
    <phoneticPr fontId="3" type="noConversion"/>
  </si>
  <si>
    <t xml:space="preserve">  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22
蒸氣壓力 ______ (最低氣溫低於16度開啟)</t>
    <phoneticPr fontId="3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</si>
  <si>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22
蒸氣壓力 ______ (最低氣溫低於16度開啟)</t>
    <phoneticPr fontId="3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</si>
  <si>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21
蒸氣壓力 ______ (最低氣溫低於16度開啟)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</si>
</sst>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_);[Red]\(0\)"/>
    <numFmt numFmtId="179" formatCode="0_ "/>
    <numFmt numFmtId="180" formatCode="#,##0.0000"/>
    <numFmt numFmtId="181" formatCode="0.0000_ "/>
    <numFmt numFmtId="182" formatCode="0.0000"/>
    <numFmt numFmtId="183" formatCode="[&lt;0]&quot;0&quot;;0"/>
    <numFmt numFmtId="184" formatCode="m&quot;月&quot;d&quot;日&quot;"/>
  </numFmts>
  <fonts count="36">
    <font>
      <sz val="12"/>
      <color theme="1"/>
      <name val="新細明體"/>
      <family val="2"/>
      <scheme val="minor"/>
    </font>
    <font>
      <sz val="12"/>
      <name val="新細明體"/>
      <family val="1"/>
      <charset val="136"/>
    </font>
    <font>
      <sz val="9"/>
      <name val="新細明體"/>
      <family val="3"/>
      <charset val="136"/>
      <scheme val="minor"/>
    </font>
    <font>
      <sz val="9"/>
      <name val="新細明體"/>
      <family val="1"/>
      <charset val="136"/>
    </font>
    <font>
      <sz val="9"/>
      <name val="細明體"/>
      <family val="3"/>
      <charset val="136"/>
    </font>
    <font>
      <sz val="12"/>
      <color theme="1"/>
      <name val="新細明體"/>
      <family val="1"/>
      <charset val="136"/>
      <scheme val="minor"/>
    </font>
    <font>
      <sz val="12"/>
      <name val="DotumChe"/>
      <family val="3"/>
      <charset val="129"/>
    </font>
    <font>
      <sz val="12"/>
      <name val="細明體"/>
      <family val="3"/>
      <charset val="136"/>
    </font>
    <font>
      <sz val="14"/>
      <name val="DotumChe"/>
      <family val="3"/>
      <charset val="129"/>
    </font>
    <font>
      <b/>
      <sz val="14"/>
      <color rgb="FF0000FF"/>
      <name val="DotumChe"/>
      <family val="3"/>
      <charset val="129"/>
    </font>
    <font>
      <sz val="14"/>
      <name val="細明體"/>
      <family val="3"/>
      <charset val="136"/>
    </font>
    <font>
      <sz val="18"/>
      <color rgb="FFFF0000"/>
      <name val="微軟正黑體"/>
      <family val="2"/>
      <charset val="136"/>
    </font>
    <font>
      <b/>
      <sz val="12"/>
      <name val="微軟正黑體"/>
      <family val="2"/>
      <charset val="136"/>
    </font>
    <font>
      <sz val="12"/>
      <name val="微軟正黑體"/>
      <family val="2"/>
      <charset val="136"/>
    </font>
    <font>
      <sz val="14"/>
      <name val="微軟正黑體"/>
      <family val="2"/>
      <charset val="136"/>
    </font>
    <font>
      <sz val="6"/>
      <name val="微軟正黑體"/>
      <family val="2"/>
      <charset val="136"/>
    </font>
    <font>
      <sz val="16"/>
      <name val="微軟正黑體"/>
      <family val="2"/>
      <charset val="136"/>
    </font>
    <font>
      <sz val="10"/>
      <name val="微軟正黑體"/>
      <family val="2"/>
      <charset val="136"/>
    </font>
    <font>
      <sz val="11"/>
      <name val="微軟正黑體"/>
      <family val="2"/>
      <charset val="136"/>
    </font>
    <font>
      <sz val="14"/>
      <color rgb="FFFF0000"/>
      <name val="微軟正黑體"/>
      <family val="2"/>
      <charset val="136"/>
    </font>
    <font>
      <sz val="8"/>
      <name val="微軟正黑體"/>
      <family val="2"/>
      <charset val="136"/>
    </font>
    <font>
      <u/>
      <sz val="16"/>
      <name val="微軟正黑體"/>
      <family val="2"/>
      <charset val="136"/>
    </font>
    <font>
      <sz val="9"/>
      <name val="微軟正黑體"/>
      <family val="2"/>
      <charset val="136"/>
    </font>
    <font>
      <vertAlign val="superscript"/>
      <sz val="8"/>
      <name val="微軟正黑體"/>
      <family val="2"/>
      <charset val="136"/>
    </font>
    <font>
      <vertAlign val="subscript"/>
      <sz val="8"/>
      <name val="微軟正黑體"/>
      <family val="2"/>
      <charset val="136"/>
    </font>
    <font>
      <u/>
      <sz val="9"/>
      <name val="微軟正黑體"/>
      <family val="2"/>
      <charset val="136"/>
    </font>
    <font>
      <sz val="7"/>
      <name val="微軟正黑體"/>
      <family val="2"/>
      <charset val="136"/>
    </font>
    <font>
      <sz val="9"/>
      <color theme="1"/>
      <name val="微軟正黑體"/>
      <family val="2"/>
      <charset val="136"/>
    </font>
    <font>
      <sz val="7.5"/>
      <name val="微軟正黑體"/>
      <family val="2"/>
      <charset val="136"/>
    </font>
    <font>
      <u/>
      <sz val="9"/>
      <color theme="7" tint="-0.499984740745262"/>
      <name val="微軟正黑體"/>
      <family val="2"/>
      <charset val="136"/>
    </font>
    <font>
      <sz val="9"/>
      <color theme="7" tint="-0.499984740745262"/>
      <name val="微軟正黑體"/>
      <family val="2"/>
      <charset val="136"/>
    </font>
    <font>
      <sz val="8.5"/>
      <name val="微軟正黑體"/>
      <family val="2"/>
      <charset val="136"/>
    </font>
    <font>
      <b/>
      <sz val="22"/>
      <name val="微軟正黑體"/>
      <family val="2"/>
      <charset val="136"/>
    </font>
    <font>
      <sz val="8"/>
      <color rgb="FFC00000"/>
      <name val="微軟正黑體"/>
      <family val="2"/>
      <charset val="136"/>
    </font>
    <font>
      <sz val="7"/>
      <color rgb="FFC00000"/>
      <name val="微軟正黑體"/>
      <family val="2"/>
      <charset val="136"/>
    </font>
    <font>
      <sz val="12"/>
      <color rgb="FF000000"/>
      <name val="新細明體"/>
      <family val="1"/>
      <charset val="136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0.59999389629810485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dashed">
        <color indexed="64"/>
      </left>
      <right style="dashed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dotted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tted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/>
      <right style="dashed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/>
      <diagonal/>
    </border>
  </borders>
  <cellStyleXfs count="23">
    <xf numFmtId="0" fontId="0" fillId="0" borderId="0"/>
    <xf numFmtId="0" fontId="1" fillId="0" borderId="0"/>
    <xf numFmtId="0" fontId="1" fillId="0" borderId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>
      <alignment vertical="center"/>
    </xf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</cellStyleXfs>
  <cellXfs count="239">
    <xf numFmtId="0" fontId="0" fillId="0" borderId="0" xfId="0"/>
    <xf numFmtId="0" fontId="6" fillId="3" borderId="5" xfId="1" applyFont="1" applyFill="1" applyBorder="1" applyAlignment="1">
      <alignment horizontal="left" vertical="center" wrapText="1"/>
    </xf>
    <xf numFmtId="0" fontId="8" fillId="3" borderId="17" xfId="1" applyFont="1" applyFill="1" applyBorder="1" applyAlignment="1">
      <alignment horizontal="center" vertical="center"/>
    </xf>
    <xf numFmtId="49" fontId="9" fillId="4" borderId="17" xfId="1" applyNumberFormat="1" applyFont="1" applyFill="1" applyBorder="1" applyAlignment="1">
      <alignment horizontal="center" vertical="center"/>
    </xf>
    <xf numFmtId="0" fontId="8" fillId="3" borderId="17" xfId="1" applyFont="1" applyFill="1" applyBorder="1" applyAlignment="1">
      <alignment horizontal="center" vertical="center" wrapText="1"/>
    </xf>
    <xf numFmtId="180" fontId="9" fillId="4" borderId="17" xfId="1" applyNumberFormat="1" applyFont="1" applyFill="1" applyBorder="1" applyAlignment="1">
      <alignment horizontal="center" vertical="center" wrapText="1"/>
    </xf>
    <xf numFmtId="0" fontId="8" fillId="0" borderId="0" xfId="1" applyFont="1" applyAlignment="1">
      <alignment vertical="center"/>
    </xf>
    <xf numFmtId="0" fontId="8" fillId="0" borderId="18" xfId="1" applyFont="1" applyFill="1" applyBorder="1" applyAlignment="1">
      <alignment horizontal="center" vertical="center" wrapText="1"/>
    </xf>
    <xf numFmtId="0" fontId="8" fillId="0" borderId="19" xfId="1" applyFont="1" applyFill="1" applyBorder="1" applyAlignment="1">
      <alignment horizontal="center" vertical="center"/>
    </xf>
    <xf numFmtId="0" fontId="8" fillId="4" borderId="19" xfId="1" applyFont="1" applyFill="1" applyBorder="1" applyAlignment="1">
      <alignment horizontal="center" vertical="center"/>
    </xf>
    <xf numFmtId="0" fontId="8" fillId="0" borderId="19" xfId="1" applyFont="1" applyFill="1" applyBorder="1" applyAlignment="1">
      <alignment horizontal="center" vertical="center" wrapText="1"/>
    </xf>
    <xf numFmtId="181" fontId="8" fillId="0" borderId="19" xfId="1" applyNumberFormat="1" applyFont="1" applyFill="1" applyBorder="1" applyAlignment="1">
      <alignment horizontal="center" vertical="center"/>
    </xf>
    <xf numFmtId="0" fontId="8" fillId="0" borderId="0" xfId="1" applyFont="1" applyFill="1" applyBorder="1" applyAlignment="1">
      <alignment horizontal="center" vertical="center"/>
    </xf>
    <xf numFmtId="0" fontId="8" fillId="0" borderId="0" xfId="1" applyFont="1" applyFill="1" applyAlignment="1">
      <alignment vertical="center"/>
    </xf>
    <xf numFmtId="0" fontId="8" fillId="0" borderId="19" xfId="1" applyNumberFormat="1" applyFont="1" applyFill="1" applyBorder="1" applyAlignment="1">
      <alignment horizontal="center" vertical="center"/>
    </xf>
    <xf numFmtId="0" fontId="8" fillId="0" borderId="20" xfId="1" applyFont="1" applyBorder="1" applyAlignment="1">
      <alignment horizontal="center" vertical="center"/>
    </xf>
    <xf numFmtId="180" fontId="8" fillId="0" borderId="21" xfId="1" applyNumberFormat="1" applyFont="1" applyBorder="1" applyAlignment="1">
      <alignment horizontal="center" vertical="center"/>
    </xf>
    <xf numFmtId="180" fontId="8" fillId="4" borderId="21" xfId="1" applyNumberFormat="1" applyFont="1" applyFill="1" applyBorder="1" applyAlignment="1">
      <alignment horizontal="center" vertical="center"/>
    </xf>
    <xf numFmtId="180" fontId="8" fillId="0" borderId="22" xfId="1" applyNumberFormat="1" applyFont="1" applyBorder="1" applyAlignment="1">
      <alignment horizontal="center" vertical="center"/>
    </xf>
    <xf numFmtId="180" fontId="8" fillId="4" borderId="22" xfId="1" applyNumberFormat="1" applyFont="1" applyFill="1" applyBorder="1" applyAlignment="1">
      <alignment horizontal="center" vertical="center"/>
    </xf>
    <xf numFmtId="180" fontId="8" fillId="0" borderId="23" xfId="1" applyNumberFormat="1" applyFont="1" applyBorder="1" applyAlignment="1">
      <alignment horizontal="center" vertical="center"/>
    </xf>
    <xf numFmtId="0" fontId="8" fillId="0" borderId="24" xfId="1" applyFont="1" applyBorder="1" applyAlignment="1">
      <alignment horizontal="center" vertical="center"/>
    </xf>
    <xf numFmtId="180" fontId="8" fillId="0" borderId="25" xfId="1" applyNumberFormat="1" applyFont="1" applyBorder="1" applyAlignment="1">
      <alignment horizontal="center" vertical="center"/>
    </xf>
    <xf numFmtId="180" fontId="8" fillId="0" borderId="19" xfId="1" applyNumberFormat="1" applyFont="1" applyBorder="1" applyAlignment="1">
      <alignment horizontal="center" vertical="center"/>
    </xf>
    <xf numFmtId="180" fontId="8" fillId="4" borderId="19" xfId="1" applyNumberFormat="1" applyFont="1" applyFill="1" applyBorder="1" applyAlignment="1">
      <alignment horizontal="center" vertical="center"/>
    </xf>
    <xf numFmtId="180" fontId="8" fillId="0" borderId="0" xfId="1" applyNumberFormat="1" applyFont="1" applyAlignment="1">
      <alignment horizontal="center" vertical="center"/>
    </xf>
    <xf numFmtId="0" fontId="8" fillId="0" borderId="26" xfId="1" applyFont="1" applyBorder="1" applyAlignment="1">
      <alignment horizontal="center" vertical="center"/>
    </xf>
    <xf numFmtId="180" fontId="8" fillId="0" borderId="27" xfId="1" applyNumberFormat="1" applyFont="1" applyBorder="1" applyAlignment="1">
      <alignment horizontal="center" vertical="center"/>
    </xf>
    <xf numFmtId="180" fontId="8" fillId="0" borderId="28" xfId="1" applyNumberFormat="1" applyFont="1" applyBorder="1" applyAlignment="1">
      <alignment horizontal="center" vertical="center"/>
    </xf>
    <xf numFmtId="180" fontId="8" fillId="4" borderId="28" xfId="1" applyNumberFormat="1" applyFont="1" applyFill="1" applyBorder="1" applyAlignment="1">
      <alignment horizontal="center" vertical="center"/>
    </xf>
    <xf numFmtId="180" fontId="8" fillId="4" borderId="27" xfId="1" applyNumberFormat="1" applyFont="1" applyFill="1" applyBorder="1" applyAlignment="1">
      <alignment horizontal="center" vertical="center"/>
    </xf>
    <xf numFmtId="180" fontId="8" fillId="0" borderId="25" xfId="1" applyNumberFormat="1" applyFont="1" applyFill="1" applyBorder="1" applyAlignment="1">
      <alignment horizontal="center" vertical="center"/>
    </xf>
    <xf numFmtId="0" fontId="8" fillId="0" borderId="29" xfId="1" applyFont="1" applyBorder="1" applyAlignment="1">
      <alignment horizontal="center" vertical="center"/>
    </xf>
    <xf numFmtId="180" fontId="8" fillId="0" borderId="30" xfId="1" applyNumberFormat="1" applyFont="1" applyBorder="1" applyAlignment="1">
      <alignment horizontal="center" vertical="center"/>
    </xf>
    <xf numFmtId="180" fontId="8" fillId="0" borderId="21" xfId="1" applyNumberFormat="1" applyFont="1" applyBorder="1" applyAlignment="1">
      <alignment horizontal="center" vertical="center" wrapText="1"/>
    </xf>
    <xf numFmtId="180" fontId="8" fillId="0" borderId="25" xfId="1" applyNumberFormat="1" applyFont="1" applyBorder="1" applyAlignment="1">
      <alignment horizontal="center" vertical="center" wrapText="1"/>
    </xf>
    <xf numFmtId="180" fontId="8" fillId="0" borderId="27" xfId="1" applyNumberFormat="1" applyFont="1" applyBorder="1" applyAlignment="1">
      <alignment horizontal="center" vertical="center" wrapText="1"/>
    </xf>
    <xf numFmtId="180" fontId="8" fillId="0" borderId="27" xfId="1" applyNumberFormat="1" applyFont="1" applyFill="1" applyBorder="1" applyAlignment="1">
      <alignment horizontal="center" vertical="center"/>
    </xf>
    <xf numFmtId="0" fontId="8" fillId="0" borderId="31" xfId="1" applyFont="1" applyBorder="1" applyAlignment="1">
      <alignment horizontal="center" vertical="center"/>
    </xf>
    <xf numFmtId="180" fontId="8" fillId="0" borderId="22" xfId="1" applyNumberFormat="1" applyFont="1" applyBorder="1" applyAlignment="1">
      <alignment horizontal="center" vertical="center" wrapText="1"/>
    </xf>
    <xf numFmtId="180" fontId="8" fillId="0" borderId="22" xfId="1" applyNumberFormat="1" applyFont="1" applyBorder="1" applyAlignment="1">
      <alignment horizontal="center" wrapText="1"/>
    </xf>
    <xf numFmtId="180" fontId="8" fillId="0" borderId="22" xfId="1" applyNumberFormat="1" applyFont="1" applyFill="1" applyBorder="1" applyAlignment="1">
      <alignment horizontal="center" vertical="center"/>
    </xf>
    <xf numFmtId="0" fontId="8" fillId="0" borderId="32" xfId="1" applyFont="1" applyBorder="1" applyAlignment="1">
      <alignment horizontal="center" vertical="center"/>
    </xf>
    <xf numFmtId="180" fontId="8" fillId="0" borderId="33" xfId="1" applyNumberFormat="1" applyFont="1" applyBorder="1" applyAlignment="1">
      <alignment horizontal="center" vertical="center"/>
    </xf>
    <xf numFmtId="180" fontId="8" fillId="0" borderId="25" xfId="1" applyNumberFormat="1" applyFont="1" applyBorder="1" applyAlignment="1">
      <alignment horizontal="center" wrapText="1"/>
    </xf>
    <xf numFmtId="180" fontId="8" fillId="0" borderId="27" xfId="1" applyNumberFormat="1" applyFont="1" applyBorder="1" applyAlignment="1">
      <alignment horizontal="center" wrapText="1"/>
    </xf>
    <xf numFmtId="0" fontId="8" fillId="0" borderId="34" xfId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35" xfId="1" applyFont="1" applyBorder="1" applyAlignment="1">
      <alignment horizontal="center" vertical="center"/>
    </xf>
    <xf numFmtId="181" fontId="8" fillId="0" borderId="0" xfId="1" applyNumberFormat="1" applyFont="1" applyAlignment="1">
      <alignment horizontal="center" vertical="center"/>
    </xf>
    <xf numFmtId="0" fontId="8" fillId="0" borderId="36" xfId="1" applyFont="1" applyBorder="1" applyAlignment="1">
      <alignment vertical="center"/>
    </xf>
    <xf numFmtId="180" fontId="8" fillId="0" borderId="0" xfId="1" applyNumberFormat="1" applyFont="1" applyAlignment="1">
      <alignment vertical="center"/>
    </xf>
    <xf numFmtId="182" fontId="8" fillId="0" borderId="19" xfId="1" applyNumberFormat="1" applyFont="1" applyFill="1" applyBorder="1" applyAlignment="1">
      <alignment horizontal="center" vertical="center"/>
    </xf>
    <xf numFmtId="0" fontId="13" fillId="0" borderId="0" xfId="1" applyFont="1" applyAlignment="1">
      <alignment vertical="center"/>
    </xf>
    <xf numFmtId="0" fontId="13" fillId="0" borderId="0" xfId="1" applyFont="1"/>
    <xf numFmtId="0" fontId="13" fillId="0" borderId="0" xfId="1" applyFont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16" fillId="0" borderId="0" xfId="1" applyFont="1" applyAlignment="1">
      <alignment horizontal="center" vertical="center"/>
    </xf>
    <xf numFmtId="0" fontId="17" fillId="0" borderId="0" xfId="1" applyFont="1" applyAlignment="1">
      <alignment vertical="center" wrapText="1"/>
    </xf>
    <xf numFmtId="0" fontId="15" fillId="0" borderId="0" xfId="1" applyFont="1" applyAlignment="1">
      <alignment vertical="center"/>
    </xf>
    <xf numFmtId="0" fontId="18" fillId="0" borderId="0" xfId="1" applyFont="1" applyAlignment="1">
      <alignment horizontal="right" vertical="center"/>
    </xf>
    <xf numFmtId="0" fontId="19" fillId="0" borderId="0" xfId="1" applyFont="1" applyAlignment="1">
      <alignment vertical="center"/>
    </xf>
    <xf numFmtId="3" fontId="11" fillId="0" borderId="0" xfId="1" applyNumberFormat="1" applyFont="1" applyAlignment="1">
      <alignment horizontal="center" vertical="center"/>
    </xf>
    <xf numFmtId="0" fontId="13" fillId="0" borderId="0" xfId="1" applyFont="1" applyAlignment="1">
      <alignment horizontal="center"/>
    </xf>
    <xf numFmtId="0" fontId="13" fillId="2" borderId="0" xfId="1" applyFont="1" applyFill="1"/>
    <xf numFmtId="0" fontId="13" fillId="2" borderId="0" xfId="1" applyFont="1" applyFill="1" applyBorder="1"/>
    <xf numFmtId="0" fontId="14" fillId="2" borderId="0" xfId="1" applyFont="1" applyFill="1"/>
    <xf numFmtId="0" fontId="17" fillId="2" borderId="3" xfId="1" applyFont="1" applyFill="1" applyBorder="1" applyAlignment="1">
      <alignment horizontal="center" vertical="center"/>
    </xf>
    <xf numFmtId="0" fontId="22" fillId="2" borderId="3" xfId="1" applyFont="1" applyFill="1" applyBorder="1" applyAlignment="1">
      <alignment horizontal="center" vertical="center"/>
    </xf>
    <xf numFmtId="0" fontId="13" fillId="2" borderId="3" xfId="1" applyFont="1" applyFill="1" applyBorder="1"/>
    <xf numFmtId="0" fontId="20" fillId="2" borderId="3" xfId="1" applyFont="1" applyFill="1" applyBorder="1" applyAlignment="1">
      <alignment horizontal="center" vertical="top" wrapText="1"/>
    </xf>
    <xf numFmtId="183" fontId="22" fillId="2" borderId="3" xfId="2" applyNumberFormat="1" applyFont="1" applyFill="1" applyBorder="1" applyAlignment="1">
      <alignment horizontal="center" vertical="center"/>
    </xf>
    <xf numFmtId="0" fontId="20" fillId="2" borderId="0" xfId="1" applyFont="1" applyFill="1"/>
    <xf numFmtId="179" fontId="22" fillId="2" borderId="3" xfId="1" applyNumberFormat="1" applyFont="1" applyFill="1" applyBorder="1" applyAlignment="1">
      <alignment horizontal="center" vertical="center"/>
    </xf>
    <xf numFmtId="0" fontId="22" fillId="2" borderId="3" xfId="0" applyFont="1" applyFill="1" applyBorder="1" applyAlignment="1">
      <alignment horizontal="center" vertical="center"/>
    </xf>
    <xf numFmtId="178" fontId="13" fillId="2" borderId="0" xfId="1" applyNumberFormat="1" applyFont="1" applyFill="1"/>
    <xf numFmtId="0" fontId="25" fillId="2" borderId="3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top"/>
    </xf>
    <xf numFmtId="183" fontId="22" fillId="2" borderId="4" xfId="2" applyNumberFormat="1" applyFont="1" applyFill="1" applyBorder="1" applyAlignment="1">
      <alignment horizontal="center" vertical="center"/>
    </xf>
    <xf numFmtId="0" fontId="20" fillId="2" borderId="7" xfId="1" applyFont="1" applyFill="1" applyBorder="1" applyAlignment="1">
      <alignment horizontal="center" vertical="center"/>
    </xf>
    <xf numFmtId="0" fontId="20" fillId="2" borderId="39" xfId="1" applyFont="1" applyFill="1" applyBorder="1" applyAlignment="1">
      <alignment horizontal="center" vertical="center"/>
    </xf>
    <xf numFmtId="0" fontId="22" fillId="2" borderId="2" xfId="0" applyFont="1" applyFill="1" applyBorder="1" applyAlignment="1">
      <alignment horizontal="center" vertical="center"/>
    </xf>
    <xf numFmtId="20" fontId="17" fillId="2" borderId="8" xfId="1" applyNumberFormat="1" applyFont="1" applyFill="1" applyBorder="1" applyAlignment="1">
      <alignment horizontal="center" vertical="center"/>
    </xf>
    <xf numFmtId="0" fontId="20" fillId="2" borderId="8" xfId="1" applyFont="1" applyFill="1" applyBorder="1" applyAlignment="1">
      <alignment horizontal="center" vertical="center"/>
    </xf>
    <xf numFmtId="0" fontId="22" fillId="2" borderId="8" xfId="0" applyFont="1" applyFill="1" applyBorder="1" applyAlignment="1">
      <alignment horizontal="center" vertical="center"/>
    </xf>
    <xf numFmtId="0" fontId="17" fillId="2" borderId="4" xfId="1" applyFont="1" applyFill="1" applyBorder="1" applyAlignment="1">
      <alignment horizontal="center" vertical="center"/>
    </xf>
    <xf numFmtId="0" fontId="22" fillId="2" borderId="40" xfId="1" applyFont="1" applyFill="1" applyBorder="1" applyAlignment="1">
      <alignment horizontal="center" vertical="center"/>
    </xf>
    <xf numFmtId="0" fontId="27" fillId="2" borderId="40" xfId="1" applyFont="1" applyFill="1" applyBorder="1" applyAlignment="1">
      <alignment horizontal="center" vertical="center"/>
    </xf>
    <xf numFmtId="0" fontId="22" fillId="2" borderId="3" xfId="1" applyFont="1" applyFill="1" applyBorder="1" applyAlignment="1">
      <alignment horizontal="center" vertical="top"/>
    </xf>
    <xf numFmtId="0" fontId="27" fillId="2" borderId="3" xfId="1" applyFont="1" applyFill="1" applyBorder="1" applyAlignment="1">
      <alignment horizontal="center" vertical="top"/>
    </xf>
    <xf numFmtId="183" fontId="27" fillId="2" borderId="3" xfId="2" applyNumberFormat="1" applyFont="1" applyFill="1" applyBorder="1" applyAlignment="1">
      <alignment horizontal="center" vertical="center"/>
    </xf>
    <xf numFmtId="183" fontId="22" fillId="2" borderId="3" xfId="1" applyNumberFormat="1" applyFont="1" applyFill="1" applyBorder="1" applyAlignment="1">
      <alignment horizontal="center" vertical="center" wrapText="1"/>
    </xf>
    <xf numFmtId="183" fontId="27" fillId="2" borderId="3" xfId="1" applyNumberFormat="1" applyFont="1" applyFill="1" applyBorder="1" applyAlignment="1">
      <alignment horizontal="center" vertical="center" wrapText="1"/>
    </xf>
    <xf numFmtId="0" fontId="27" fillId="2" borderId="3" xfId="0" applyFont="1" applyFill="1" applyBorder="1" applyAlignment="1">
      <alignment horizontal="center" vertical="center"/>
    </xf>
    <xf numFmtId="0" fontId="28" fillId="2" borderId="1" xfId="1" applyFont="1" applyFill="1" applyBorder="1" applyAlignment="1">
      <alignment horizontal="center" vertical="center"/>
    </xf>
    <xf numFmtId="178" fontId="13" fillId="2" borderId="0" xfId="1" applyNumberFormat="1" applyFont="1" applyFill="1" applyAlignment="1">
      <alignment wrapText="1"/>
    </xf>
    <xf numFmtId="0" fontId="20" fillId="2" borderId="3" xfId="1" applyFont="1" applyFill="1" applyBorder="1" applyAlignment="1">
      <alignment horizontal="center" vertical="center" wrapText="1"/>
    </xf>
    <xf numFmtId="0" fontId="20" fillId="2" borderId="11" xfId="1" applyFont="1" applyFill="1" applyBorder="1" applyAlignment="1">
      <alignment horizontal="center" vertical="center" wrapText="1"/>
    </xf>
    <xf numFmtId="0" fontId="20" fillId="2" borderId="5" xfId="1" applyFont="1" applyFill="1" applyBorder="1" applyAlignment="1">
      <alignment horizontal="center" vertical="center"/>
    </xf>
    <xf numFmtId="0" fontId="15" fillId="2" borderId="12" xfId="1" applyFont="1" applyFill="1" applyBorder="1" applyAlignment="1">
      <alignment horizontal="center" vertical="center" wrapText="1"/>
    </xf>
    <xf numFmtId="178" fontId="20" fillId="2" borderId="11" xfId="1" applyNumberFormat="1" applyFont="1" applyFill="1" applyBorder="1" applyAlignment="1">
      <alignment horizontal="center" vertical="center" wrapText="1"/>
    </xf>
    <xf numFmtId="179" fontId="13" fillId="2" borderId="0" xfId="1" applyNumberFormat="1" applyFont="1" applyFill="1"/>
    <xf numFmtId="9" fontId="13" fillId="2" borderId="0" xfId="5" applyFont="1" applyFill="1"/>
    <xf numFmtId="0" fontId="13" fillId="2" borderId="0" xfId="1" applyFont="1" applyFill="1" applyAlignment="1">
      <alignment horizontal="left" vertical="center"/>
    </xf>
    <xf numFmtId="0" fontId="26" fillId="2" borderId="3" xfId="1" applyFont="1" applyFill="1" applyBorder="1" applyAlignment="1">
      <alignment horizontal="center" vertical="top"/>
    </xf>
    <xf numFmtId="0" fontId="29" fillId="2" borderId="3" xfId="1" applyFont="1" applyFill="1" applyBorder="1" applyAlignment="1">
      <alignment horizontal="center" vertical="center" wrapText="1"/>
    </xf>
    <xf numFmtId="183" fontId="30" fillId="2" borderId="4" xfId="2" applyNumberFormat="1" applyFont="1" applyFill="1" applyBorder="1" applyAlignment="1">
      <alignment horizontal="center" vertical="center"/>
    </xf>
    <xf numFmtId="179" fontId="30" fillId="2" borderId="3" xfId="1" applyNumberFormat="1" applyFont="1" applyFill="1" applyBorder="1" applyAlignment="1">
      <alignment horizontal="center" vertical="center"/>
    </xf>
    <xf numFmtId="0" fontId="30" fillId="2" borderId="3" xfId="0" applyFont="1" applyFill="1" applyBorder="1" applyAlignment="1">
      <alignment horizontal="center" vertical="center"/>
    </xf>
    <xf numFmtId="183" fontId="30" fillId="2" borderId="3" xfId="2" applyNumberFormat="1" applyFont="1" applyFill="1" applyBorder="1" applyAlignment="1">
      <alignment horizontal="center" vertical="center"/>
    </xf>
    <xf numFmtId="0" fontId="30" fillId="2" borderId="2" xfId="0" applyFont="1" applyFill="1" applyBorder="1" applyAlignment="1">
      <alignment horizontal="center" vertical="center"/>
    </xf>
    <xf numFmtId="0" fontId="13" fillId="0" borderId="0" xfId="1" applyFont="1" applyAlignment="1" applyProtection="1">
      <alignment vertical="center"/>
      <protection locked="0"/>
    </xf>
    <xf numFmtId="0" fontId="13" fillId="0" borderId="0" xfId="1" applyFont="1" applyProtection="1">
      <protection locked="0"/>
    </xf>
    <xf numFmtId="0" fontId="12" fillId="0" borderId="23" xfId="1" applyFont="1" applyBorder="1" applyAlignment="1" applyProtection="1">
      <alignment vertical="center"/>
      <protection locked="0"/>
    </xf>
    <xf numFmtId="0" fontId="13" fillId="0" borderId="46" xfId="1" applyFont="1" applyBorder="1" applyAlignment="1" applyProtection="1">
      <alignment horizontal="center" vertical="center"/>
      <protection locked="0"/>
    </xf>
    <xf numFmtId="0" fontId="13" fillId="0" borderId="47" xfId="1" applyFont="1" applyBorder="1" applyAlignment="1" applyProtection="1">
      <alignment horizontal="center" vertical="center"/>
      <protection locked="0"/>
    </xf>
    <xf numFmtId="0" fontId="13" fillId="0" borderId="48" xfId="1" applyFont="1" applyBorder="1" applyAlignment="1" applyProtection="1">
      <alignment horizontal="center" vertical="center"/>
      <protection locked="0"/>
    </xf>
    <xf numFmtId="0" fontId="13" fillId="0" borderId="49" xfId="1" applyFont="1" applyBorder="1" applyAlignment="1" applyProtection="1">
      <alignment horizontal="center" vertical="center"/>
      <protection locked="0"/>
    </xf>
    <xf numFmtId="0" fontId="14" fillId="0" borderId="50" xfId="1" applyFont="1" applyBorder="1" applyAlignment="1" applyProtection="1">
      <alignment horizontal="center" vertical="center"/>
      <protection locked="0"/>
    </xf>
    <xf numFmtId="0" fontId="18" fillId="0" borderId="51" xfId="1" applyFont="1" applyBorder="1" applyAlignment="1" applyProtection="1">
      <alignment horizontal="center" vertical="center"/>
      <protection locked="0"/>
    </xf>
    <xf numFmtId="0" fontId="18" fillId="0" borderId="52" xfId="1" applyFont="1" applyBorder="1" applyAlignment="1" applyProtection="1">
      <alignment vertical="center"/>
      <protection locked="0"/>
    </xf>
    <xf numFmtId="0" fontId="18" fillId="0" borderId="53" xfId="1" applyFont="1" applyBorder="1" applyAlignment="1" applyProtection="1">
      <alignment vertical="center"/>
      <protection locked="0"/>
    </xf>
    <xf numFmtId="0" fontId="18" fillId="0" borderId="51" xfId="1" applyFont="1" applyFill="1" applyBorder="1" applyAlignment="1" applyProtection="1">
      <alignment horizontal="center" vertical="center"/>
      <protection locked="0"/>
    </xf>
    <xf numFmtId="0" fontId="18" fillId="0" borderId="54" xfId="1" applyFont="1" applyBorder="1" applyAlignment="1" applyProtection="1">
      <alignment vertical="center"/>
      <protection locked="0"/>
    </xf>
    <xf numFmtId="0" fontId="18" fillId="2" borderId="54" xfId="1" applyFont="1" applyFill="1" applyBorder="1" applyAlignment="1" applyProtection="1">
      <alignment vertical="center"/>
      <protection locked="0"/>
    </xf>
    <xf numFmtId="0" fontId="18" fillId="2" borderId="52" xfId="1" applyFont="1" applyFill="1" applyBorder="1" applyAlignment="1" applyProtection="1">
      <alignment vertical="center"/>
      <protection locked="0"/>
    </xf>
    <xf numFmtId="0" fontId="18" fillId="2" borderId="53" xfId="1" applyFont="1" applyFill="1" applyBorder="1" applyAlignment="1" applyProtection="1">
      <alignment vertical="center"/>
      <protection locked="0"/>
    </xf>
    <xf numFmtId="0" fontId="18" fillId="2" borderId="51" xfId="1" applyFont="1" applyFill="1" applyBorder="1" applyAlignment="1" applyProtection="1">
      <alignment horizontal="center" vertical="center"/>
      <protection locked="0"/>
    </xf>
    <xf numFmtId="0" fontId="18" fillId="2" borderId="57" xfId="1" applyFont="1" applyFill="1" applyBorder="1" applyAlignment="1" applyProtection="1">
      <alignment horizontal="center" vertical="center"/>
      <protection locked="0"/>
    </xf>
    <xf numFmtId="0" fontId="18" fillId="0" borderId="58" xfId="1" applyFont="1" applyFill="1" applyBorder="1" applyAlignment="1" applyProtection="1">
      <alignment horizontal="center" vertical="center"/>
      <protection locked="0"/>
    </xf>
    <xf numFmtId="0" fontId="18" fillId="0" borderId="59" xfId="1" applyFont="1" applyBorder="1" applyAlignment="1" applyProtection="1">
      <alignment vertical="center"/>
      <protection locked="0"/>
    </xf>
    <xf numFmtId="0" fontId="18" fillId="0" borderId="58" xfId="1" applyFont="1" applyBorder="1" applyAlignment="1" applyProtection="1">
      <alignment horizontal="center" vertical="center"/>
      <protection locked="0"/>
    </xf>
    <xf numFmtId="0" fontId="18" fillId="0" borderId="63" xfId="1" applyFont="1" applyBorder="1" applyAlignment="1" applyProtection="1">
      <alignment vertical="center"/>
      <protection locked="0"/>
    </xf>
    <xf numFmtId="0" fontId="18" fillId="2" borderId="54" xfId="1" applyFont="1" applyFill="1" applyBorder="1" applyAlignment="1" applyProtection="1">
      <alignment vertical="center"/>
    </xf>
    <xf numFmtId="0" fontId="18" fillId="2" borderId="53" xfId="1" applyFont="1" applyFill="1" applyBorder="1" applyAlignment="1" applyProtection="1">
      <alignment vertical="center"/>
    </xf>
    <xf numFmtId="184" fontId="13" fillId="2" borderId="0" xfId="1" applyNumberFormat="1" applyFont="1" applyFill="1"/>
    <xf numFmtId="9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15" fillId="2" borderId="3" xfId="1" applyFont="1" applyFill="1" applyBorder="1" applyAlignment="1">
      <alignment horizontal="center" vertical="top"/>
    </xf>
    <xf numFmtId="0" fontId="13" fillId="0" borderId="0" xfId="1" applyFont="1" applyAlignment="1">
      <alignment horizontal="right" vertical="center"/>
    </xf>
    <xf numFmtId="0" fontId="32" fillId="0" borderId="0" xfId="1" applyFont="1"/>
    <xf numFmtId="0" fontId="22" fillId="2" borderId="3" xfId="1" applyFont="1" applyFill="1" applyBorder="1" applyAlignment="1">
      <alignment horizontal="center" vertical="top" wrapText="1"/>
    </xf>
    <xf numFmtId="0" fontId="17" fillId="2" borderId="3" xfId="1" applyFont="1" applyFill="1" applyBorder="1" applyAlignment="1">
      <alignment horizontal="center" vertical="top" wrapText="1"/>
    </xf>
    <xf numFmtId="0" fontId="17" fillId="2" borderId="3" xfId="1" applyFont="1" applyFill="1" applyBorder="1" applyAlignment="1">
      <alignment horizontal="center" vertical="top"/>
    </xf>
    <xf numFmtId="0" fontId="33" fillId="2" borderId="3" xfId="1" applyFont="1" applyFill="1" applyBorder="1" applyAlignment="1">
      <alignment horizontal="center" vertical="top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19" fillId="0" borderId="0" xfId="1" applyFont="1" applyAlignment="1">
      <alignment horizontal="left" vertical="center"/>
    </xf>
    <xf numFmtId="0" fontId="13" fillId="0" borderId="0" xfId="1" applyFont="1" applyAlignment="1">
      <alignment horizontal="right" vertical="center"/>
    </xf>
    <xf numFmtId="0" fontId="12" fillId="0" borderId="0" xfId="1" applyFont="1" applyBorder="1" applyAlignment="1" applyProtection="1">
      <alignment horizontal="center" vertical="center"/>
      <protection locked="0"/>
    </xf>
    <xf numFmtId="0" fontId="20" fillId="0" borderId="55" xfId="1" applyFont="1" applyBorder="1" applyAlignment="1" applyProtection="1">
      <alignment horizontal="left" vertical="top" wrapText="1"/>
      <protection locked="0"/>
    </xf>
    <xf numFmtId="0" fontId="20" fillId="0" borderId="56" xfId="1" applyFont="1" applyBorder="1" applyAlignment="1" applyProtection="1">
      <alignment horizontal="left" vertical="top" wrapText="1"/>
      <protection locked="0"/>
    </xf>
    <xf numFmtId="0" fontId="20" fillId="0" borderId="60" xfId="1" applyFont="1" applyBorder="1" applyAlignment="1" applyProtection="1">
      <alignment horizontal="left" vertical="top" wrapText="1"/>
      <protection locked="0"/>
    </xf>
    <xf numFmtId="49" fontId="11" fillId="0" borderId="64" xfId="1" applyNumberFormat="1" applyFont="1" applyBorder="1" applyAlignment="1">
      <alignment horizontal="center" vertical="center" wrapText="1"/>
    </xf>
    <xf numFmtId="9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17" fillId="2" borderId="40" xfId="1" applyFont="1" applyFill="1" applyBorder="1" applyAlignment="1">
      <alignment horizontal="center" vertical="center"/>
    </xf>
    <xf numFmtId="0" fontId="17" fillId="2" borderId="1" xfId="1" applyFont="1" applyFill="1" applyBorder="1" applyAlignment="1">
      <alignment horizontal="center" vertical="center"/>
    </xf>
    <xf numFmtId="0" fontId="17" fillId="2" borderId="41" xfId="1" applyFont="1" applyFill="1" applyBorder="1" applyAlignment="1">
      <alignment horizontal="center" vertical="center"/>
    </xf>
    <xf numFmtId="0" fontId="20" fillId="2" borderId="37" xfId="1" applyNumberFormat="1" applyFont="1" applyFill="1" applyBorder="1" applyAlignment="1">
      <alignment horizontal="left" vertical="top" wrapText="1"/>
    </xf>
    <xf numFmtId="0" fontId="31" fillId="2" borderId="38" xfId="1" applyNumberFormat="1" applyFont="1" applyFill="1" applyBorder="1" applyAlignment="1">
      <alignment horizontal="left" vertical="top" wrapText="1"/>
    </xf>
    <xf numFmtId="0" fontId="31" fillId="2" borderId="39" xfId="1" applyNumberFormat="1" applyFont="1" applyFill="1" applyBorder="1" applyAlignment="1">
      <alignment horizontal="left" vertical="top" wrapText="1"/>
    </xf>
    <xf numFmtId="0" fontId="31" fillId="2" borderId="18" xfId="1" applyNumberFormat="1" applyFont="1" applyFill="1" applyBorder="1" applyAlignment="1">
      <alignment horizontal="left" vertical="top" wrapText="1"/>
    </xf>
    <xf numFmtId="0" fontId="31" fillId="2" borderId="0" xfId="1" applyNumberFormat="1" applyFont="1" applyFill="1" applyBorder="1" applyAlignment="1">
      <alignment horizontal="left" vertical="top" wrapText="1"/>
    </xf>
    <xf numFmtId="0" fontId="31" fillId="2" borderId="36" xfId="1" applyNumberFormat="1" applyFont="1" applyFill="1" applyBorder="1" applyAlignment="1">
      <alignment horizontal="left" vertical="top" wrapText="1"/>
    </xf>
    <xf numFmtId="0" fontId="31" fillId="2" borderId="40" xfId="1" applyNumberFormat="1" applyFont="1" applyFill="1" applyBorder="1" applyAlignment="1">
      <alignment horizontal="left" vertical="top" wrapText="1"/>
    </xf>
    <xf numFmtId="0" fontId="31" fillId="2" borderId="1" xfId="1" applyNumberFormat="1" applyFont="1" applyFill="1" applyBorder="1" applyAlignment="1">
      <alignment horizontal="left" vertical="top" wrapText="1"/>
    </xf>
    <xf numFmtId="0" fontId="31" fillId="2" borderId="41" xfId="1" applyNumberFormat="1" applyFont="1" applyFill="1" applyBorder="1" applyAlignment="1">
      <alignment horizontal="left" vertical="top" wrapText="1"/>
    </xf>
    <xf numFmtId="20" fontId="17" fillId="2" borderId="3" xfId="1" applyNumberFormat="1" applyFont="1" applyFill="1" applyBorder="1" applyAlignment="1">
      <alignment horizontal="center" vertical="center"/>
    </xf>
    <xf numFmtId="0" fontId="16" fillId="2" borderId="0" xfId="1" applyFont="1" applyFill="1" applyAlignment="1">
      <alignment horizontal="center"/>
    </xf>
    <xf numFmtId="0" fontId="21" fillId="2" borderId="0" xfId="1" applyFont="1" applyFill="1" applyBorder="1" applyAlignment="1">
      <alignment horizontal="center"/>
    </xf>
    <xf numFmtId="31" fontId="13" fillId="2" borderId="1" xfId="1" applyNumberFormat="1" applyFont="1" applyFill="1" applyBorder="1" applyAlignment="1">
      <alignment horizontal="right"/>
    </xf>
    <xf numFmtId="0" fontId="20" fillId="2" borderId="3" xfId="1" applyFont="1" applyFill="1" applyBorder="1" applyAlignment="1">
      <alignment horizontal="center" vertical="center"/>
    </xf>
    <xf numFmtId="0" fontId="14" fillId="2" borderId="10" xfId="1" applyFont="1" applyFill="1" applyBorder="1" applyAlignment="1">
      <alignment horizontal="center" vertical="center"/>
    </xf>
    <xf numFmtId="0" fontId="14" fillId="2" borderId="8" xfId="1" applyFont="1" applyFill="1" applyBorder="1" applyAlignment="1">
      <alignment horizontal="center" vertical="center"/>
    </xf>
    <xf numFmtId="0" fontId="14" fillId="2" borderId="9" xfId="1" applyFont="1" applyFill="1" applyBorder="1" applyAlignment="1">
      <alignment horizontal="center" vertical="center"/>
    </xf>
    <xf numFmtId="0" fontId="20" fillId="2" borderId="2" xfId="1" applyFont="1" applyFill="1" applyBorder="1" applyAlignment="1">
      <alignment horizontal="center" vertical="center"/>
    </xf>
    <xf numFmtId="0" fontId="20" fillId="2" borderId="4" xfId="1" applyFont="1" applyFill="1" applyBorder="1" applyAlignment="1">
      <alignment horizontal="center" vertical="center"/>
    </xf>
    <xf numFmtId="20" fontId="17" fillId="2" borderId="2" xfId="1" applyNumberFormat="1" applyFont="1" applyFill="1" applyBorder="1" applyAlignment="1">
      <alignment horizontal="center" vertical="center"/>
    </xf>
    <xf numFmtId="20" fontId="17" fillId="2" borderId="6" xfId="1" applyNumberFormat="1" applyFont="1" applyFill="1" applyBorder="1" applyAlignment="1">
      <alignment horizontal="center" vertical="center"/>
    </xf>
    <xf numFmtId="20" fontId="17" fillId="2" borderId="4" xfId="1" applyNumberFormat="1" applyFont="1" applyFill="1" applyBorder="1" applyAlignment="1">
      <alignment horizontal="center" vertical="center"/>
    </xf>
    <xf numFmtId="0" fontId="13" fillId="2" borderId="42" xfId="1" applyFont="1" applyFill="1" applyBorder="1" applyAlignment="1">
      <alignment horizontal="center"/>
    </xf>
    <xf numFmtId="0" fontId="13" fillId="2" borderId="43" xfId="1" applyFont="1" applyFill="1" applyBorder="1" applyAlignment="1">
      <alignment horizontal="center"/>
    </xf>
    <xf numFmtId="0" fontId="13" fillId="2" borderId="44" xfId="1" applyFont="1" applyFill="1" applyBorder="1" applyAlignment="1">
      <alignment horizontal="center"/>
    </xf>
    <xf numFmtId="0" fontId="13" fillId="2" borderId="45" xfId="1" applyFont="1" applyFill="1" applyBorder="1" applyAlignment="1">
      <alignment horizontal="center"/>
    </xf>
    <xf numFmtId="0" fontId="14" fillId="2" borderId="5" xfId="1" applyFont="1" applyFill="1" applyBorder="1" applyAlignment="1">
      <alignment horizontal="center" vertical="center"/>
    </xf>
    <xf numFmtId="0" fontId="14" fillId="2" borderId="37" xfId="1" applyFont="1" applyFill="1" applyBorder="1" applyAlignment="1">
      <alignment horizontal="center" vertical="center" wrapText="1"/>
    </xf>
    <xf numFmtId="0" fontId="14" fillId="2" borderId="39" xfId="1" applyFont="1" applyFill="1" applyBorder="1" applyAlignment="1">
      <alignment horizontal="center" vertical="center" wrapText="1"/>
    </xf>
    <xf numFmtId="0" fontId="14" fillId="2" borderId="40" xfId="1" applyFont="1" applyFill="1" applyBorder="1" applyAlignment="1">
      <alignment horizontal="center" vertical="center" wrapText="1"/>
    </xf>
    <xf numFmtId="0" fontId="14" fillId="2" borderId="41" xfId="1" applyFont="1" applyFill="1" applyBorder="1" applyAlignment="1">
      <alignment horizontal="center" vertical="center" wrapText="1"/>
    </xf>
    <xf numFmtId="179" fontId="20" fillId="2" borderId="2" xfId="1" applyNumberFormat="1" applyFont="1" applyFill="1" applyBorder="1" applyAlignment="1">
      <alignment horizontal="center" vertical="center" wrapText="1"/>
    </xf>
    <xf numFmtId="179" fontId="20" fillId="2" borderId="4" xfId="1" applyNumberFormat="1" applyFont="1" applyFill="1" applyBorder="1" applyAlignment="1">
      <alignment horizontal="center" vertical="center" wrapText="1"/>
    </xf>
    <xf numFmtId="178" fontId="20" fillId="2" borderId="13" xfId="3" applyNumberFormat="1" applyFont="1" applyFill="1" applyBorder="1" applyAlignment="1">
      <alignment horizontal="center" vertical="center"/>
    </xf>
    <xf numFmtId="178" fontId="20" fillId="2" borderId="15" xfId="3" applyNumberFormat="1" applyFont="1" applyFill="1" applyBorder="1" applyAlignment="1">
      <alignment horizontal="center" vertical="center"/>
    </xf>
    <xf numFmtId="178" fontId="20" fillId="2" borderId="14" xfId="3" applyNumberFormat="1" applyFont="1" applyFill="1" applyBorder="1" applyAlignment="1">
      <alignment horizontal="center" vertical="center"/>
    </xf>
    <xf numFmtId="178" fontId="20" fillId="2" borderId="16" xfId="3" applyNumberFormat="1" applyFont="1" applyFill="1" applyBorder="1" applyAlignment="1">
      <alignment horizontal="center" vertical="center"/>
    </xf>
    <xf numFmtId="0" fontId="13" fillId="2" borderId="10" xfId="1" applyFont="1" applyFill="1" applyBorder="1" applyAlignment="1">
      <alignment horizontal="center"/>
    </xf>
    <xf numFmtId="0" fontId="13" fillId="2" borderId="8" xfId="1" applyFont="1" applyFill="1" applyBorder="1" applyAlignment="1">
      <alignment horizontal="center"/>
    </xf>
    <xf numFmtId="0" fontId="13" fillId="2" borderId="9" xfId="1" applyFont="1" applyFill="1" applyBorder="1" applyAlignment="1">
      <alignment horizontal="center"/>
    </xf>
    <xf numFmtId="0" fontId="15" fillId="2" borderId="5" xfId="1" applyFont="1" applyFill="1" applyBorder="1" applyAlignment="1">
      <alignment horizontal="center" vertical="center" wrapText="1"/>
    </xf>
    <xf numFmtId="0" fontId="15" fillId="2" borderId="9" xfId="1" applyFont="1" applyFill="1" applyBorder="1" applyAlignment="1">
      <alignment horizontal="center" vertical="center" wrapText="1"/>
    </xf>
    <xf numFmtId="179" fontId="20" fillId="2" borderId="14" xfId="1" applyNumberFormat="1" applyFont="1" applyFill="1" applyBorder="1" applyAlignment="1">
      <alignment horizontal="center" vertical="center" wrapText="1"/>
    </xf>
    <xf numFmtId="179" fontId="20" fillId="2" borderId="16" xfId="1" applyNumberFormat="1" applyFont="1" applyFill="1" applyBorder="1" applyAlignment="1">
      <alignment horizontal="center" vertical="center" wrapText="1"/>
    </xf>
    <xf numFmtId="179" fontId="20" fillId="2" borderId="13" xfId="1" applyNumberFormat="1" applyFont="1" applyFill="1" applyBorder="1" applyAlignment="1">
      <alignment horizontal="center" vertical="center" wrapText="1"/>
    </xf>
    <xf numFmtId="179" fontId="20" fillId="2" borderId="15" xfId="1" applyNumberFormat="1" applyFont="1" applyFill="1" applyBorder="1" applyAlignment="1">
      <alignment horizontal="center" vertical="center" wrapText="1"/>
    </xf>
    <xf numFmtId="179" fontId="20" fillId="2" borderId="13" xfId="4" applyNumberFormat="1" applyFont="1" applyFill="1" applyBorder="1" applyAlignment="1">
      <alignment horizontal="center" vertical="center" wrapText="1"/>
    </xf>
    <xf numFmtId="179" fontId="20" fillId="2" borderId="15" xfId="4" applyNumberFormat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178" fontId="14" fillId="2" borderId="0" xfId="1" applyNumberFormat="1" applyFont="1" applyFill="1" applyAlignment="1">
      <alignment horizontal="center" vertical="center"/>
    </xf>
    <xf numFmtId="179" fontId="20" fillId="2" borderId="2" xfId="1" applyNumberFormat="1" applyFont="1" applyFill="1" applyBorder="1" applyAlignment="1">
      <alignment horizontal="center" vertical="center"/>
    </xf>
    <xf numFmtId="179" fontId="20" fillId="2" borderId="4" xfId="1" applyNumberFormat="1" applyFont="1" applyFill="1" applyBorder="1" applyAlignment="1">
      <alignment horizontal="center" vertical="center"/>
    </xf>
    <xf numFmtId="179" fontId="20" fillId="2" borderId="13" xfId="1" applyNumberFormat="1" applyFont="1" applyFill="1" applyBorder="1" applyAlignment="1">
      <alignment horizontal="center" vertical="center"/>
    </xf>
    <xf numFmtId="179" fontId="20" fillId="2" borderId="15" xfId="1" applyNumberFormat="1" applyFont="1" applyFill="1" applyBorder="1" applyAlignment="1">
      <alignment horizontal="center" vertical="center"/>
    </xf>
    <xf numFmtId="179" fontId="20" fillId="2" borderId="14" xfId="1" applyNumberFormat="1" applyFont="1" applyFill="1" applyBorder="1" applyAlignment="1">
      <alignment horizontal="center" vertical="center"/>
    </xf>
    <xf numFmtId="179" fontId="20" fillId="2" borderId="16" xfId="1" applyNumberFormat="1" applyFont="1" applyFill="1" applyBorder="1" applyAlignment="1">
      <alignment horizontal="center" vertical="center"/>
    </xf>
    <xf numFmtId="178" fontId="20" fillId="2" borderId="2" xfId="1" applyNumberFormat="1" applyFont="1" applyFill="1" applyBorder="1" applyAlignment="1">
      <alignment horizontal="center" vertical="center"/>
    </xf>
    <xf numFmtId="178" fontId="20" fillId="2" borderId="4" xfId="1" applyNumberFormat="1" applyFont="1" applyFill="1" applyBorder="1" applyAlignment="1">
      <alignment horizontal="center" vertical="center"/>
    </xf>
    <xf numFmtId="179" fontId="20" fillId="2" borderId="37" xfId="1" applyNumberFormat="1" applyFont="1" applyFill="1" applyBorder="1" applyAlignment="1">
      <alignment horizontal="center" vertical="center"/>
    </xf>
    <xf numFmtId="179" fontId="20" fillId="2" borderId="61" xfId="1" applyNumberFormat="1" applyFont="1" applyFill="1" applyBorder="1" applyAlignment="1">
      <alignment horizontal="center" vertical="center"/>
    </xf>
    <xf numFmtId="179" fontId="20" fillId="2" borderId="40" xfId="1" applyNumberFormat="1" applyFont="1" applyFill="1" applyBorder="1" applyAlignment="1">
      <alignment horizontal="center" vertical="center"/>
    </xf>
    <xf numFmtId="179" fontId="20" fillId="2" borderId="62" xfId="1" applyNumberFormat="1" applyFont="1" applyFill="1" applyBorder="1" applyAlignment="1">
      <alignment horizontal="center" vertical="center"/>
    </xf>
    <xf numFmtId="0" fontId="13" fillId="2" borderId="38" xfId="1" applyFont="1" applyFill="1" applyBorder="1" applyAlignment="1">
      <alignment horizontal="center"/>
    </xf>
    <xf numFmtId="178" fontId="20" fillId="2" borderId="2" xfId="1" applyNumberFormat="1" applyFont="1" applyFill="1" applyBorder="1" applyAlignment="1">
      <alignment horizontal="center" vertical="center" wrapText="1"/>
    </xf>
    <xf numFmtId="178" fontId="20" fillId="2" borderId="4" xfId="1" applyNumberFormat="1" applyFont="1" applyFill="1" applyBorder="1" applyAlignment="1">
      <alignment horizontal="center" vertical="center" wrapText="1"/>
    </xf>
    <xf numFmtId="178" fontId="20" fillId="2" borderId="14" xfId="1" applyNumberFormat="1" applyFont="1" applyFill="1" applyBorder="1" applyAlignment="1">
      <alignment horizontal="center" vertical="center"/>
    </xf>
    <xf numFmtId="178" fontId="20" fillId="2" borderId="16" xfId="1" applyNumberFormat="1" applyFont="1" applyFill="1" applyBorder="1" applyAlignment="1">
      <alignment horizontal="center" vertical="center"/>
    </xf>
  </cellXfs>
  <cellStyles count="23">
    <cellStyle name="一般" xfId="0" builtinId="0"/>
    <cellStyle name="一般 2" xfId="1"/>
    <cellStyle name="一般 2 2" xfId="6"/>
    <cellStyle name="一般 3" xfId="2"/>
    <cellStyle name="千分位 2" xfId="3"/>
    <cellStyle name="千分位 2 2" xfId="7"/>
    <cellStyle name="千分位 2 2 2" xfId="9"/>
    <cellStyle name="千分位 2 2 2 2" xfId="13"/>
    <cellStyle name="千分位 2 2 2 2 2" xfId="21"/>
    <cellStyle name="千分位 2 2 2 3" xfId="17"/>
    <cellStyle name="千分位 2 2 3" xfId="11"/>
    <cellStyle name="千分位 2 2 3 2" xfId="19"/>
    <cellStyle name="千分位 2 2 4" xfId="15"/>
    <cellStyle name="百分比 2" xfId="5"/>
    <cellStyle name="貨幣 2" xfId="4"/>
    <cellStyle name="貨幣 2 2" xfId="8"/>
    <cellStyle name="貨幣 2 2 2" xfId="10"/>
    <cellStyle name="貨幣 2 2 2 2" xfId="14"/>
    <cellStyle name="貨幣 2 2 2 2 2" xfId="22"/>
    <cellStyle name="貨幣 2 2 2 3" xfId="18"/>
    <cellStyle name="貨幣 2 2 3" xfId="12"/>
    <cellStyle name="貨幣 2 2 3 2" xfId="20"/>
    <cellStyle name="貨幣 2 2 4" xfId="16"/>
  </cellStyles>
  <dxfs count="273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30480</xdr:colOff>
          <xdr:row>15</xdr:row>
          <xdr:rowOff>198120</xdr:rowOff>
        </xdr:from>
        <xdr:to>
          <xdr:col>15</xdr:col>
          <xdr:colOff>495300</xdr:colOff>
          <xdr:row>22</xdr:row>
          <xdr:rowOff>388620</xdr:rowOff>
        </xdr:to>
        <xdr:sp macro="" textlink="">
          <xdr:nvSpPr>
            <xdr:cNvPr id="2247681" name="CommandButton1" hidden="1">
              <a:extLst>
                <a:ext uri="{63B3BB69-23CF-44E3-9099-C40C66FF867C}">
                  <a14:compatExt spid="_x0000_s2247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</xdr:colOff>
          <xdr:row>25</xdr:row>
          <xdr:rowOff>60960</xdr:rowOff>
        </xdr:from>
        <xdr:to>
          <xdr:col>15</xdr:col>
          <xdr:colOff>548640</xdr:colOff>
          <xdr:row>32</xdr:row>
          <xdr:rowOff>0</xdr:rowOff>
        </xdr:to>
        <xdr:sp macro="" textlink="">
          <xdr:nvSpPr>
            <xdr:cNvPr id="2247682" name="CommandButton2" hidden="1">
              <a:extLst>
                <a:ext uri="{63B3BB69-23CF-44E3-9099-C40C66FF867C}">
                  <a14:compatExt spid="_x0000_s2247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04737" name="Button 1" hidden="1">
              <a:extLst>
                <a:ext uri="{63B3BB69-23CF-44E3-9099-C40C66FF867C}">
                  <a14:compatExt spid="_x0000_s2804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06785" name="Button 1" hidden="1">
              <a:extLst>
                <a:ext uri="{63B3BB69-23CF-44E3-9099-C40C66FF867C}">
                  <a14:compatExt spid="_x0000_s2806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12929" name="Button 1" hidden="1">
              <a:extLst>
                <a:ext uri="{63B3BB69-23CF-44E3-9099-C40C66FF867C}">
                  <a14:compatExt spid="_x0000_s2812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19073" name="Button 1" hidden="1">
              <a:extLst>
                <a:ext uri="{63B3BB69-23CF-44E3-9099-C40C66FF867C}">
                  <a14:compatExt spid="_x0000_s2819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13953" name="Button 1" hidden="1">
              <a:extLst>
                <a:ext uri="{63B3BB69-23CF-44E3-9099-C40C66FF867C}">
                  <a14:compatExt spid="_x0000_s2813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14977" name="Button 1" hidden="1">
              <a:extLst>
                <a:ext uri="{63B3BB69-23CF-44E3-9099-C40C66FF867C}">
                  <a14:compatExt spid="_x0000_s2814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21121" name="Button 1" hidden="1">
              <a:extLst>
                <a:ext uri="{63B3BB69-23CF-44E3-9099-C40C66FF867C}">
                  <a14:compatExt spid="_x0000_s2821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22145" name="Button 1" hidden="1">
              <a:extLst>
                <a:ext uri="{63B3BB69-23CF-44E3-9099-C40C66FF867C}">
                  <a14:compatExt spid="_x0000_s2822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23169" name="Button 1" hidden="1">
              <a:extLst>
                <a:ext uri="{63B3BB69-23CF-44E3-9099-C40C66FF867C}">
                  <a14:compatExt spid="_x0000_s2823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24193" name="Button 1" hidden="1">
              <a:extLst>
                <a:ext uri="{63B3BB69-23CF-44E3-9099-C40C66FF867C}">
                  <a14:compatExt spid="_x0000_s2824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25217" name="Button 1" hidden="1">
              <a:extLst>
                <a:ext uri="{63B3BB69-23CF-44E3-9099-C40C66FF867C}">
                  <a14:compatExt spid="_x0000_s2825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28289" name="Button 1" hidden="1">
              <a:extLst>
                <a:ext uri="{63B3BB69-23CF-44E3-9099-C40C66FF867C}">
                  <a14:compatExt spid="_x0000_s2828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29313" name="Button 1" hidden="1">
              <a:extLst>
                <a:ext uri="{63B3BB69-23CF-44E3-9099-C40C66FF867C}">
                  <a14:compatExt spid="_x0000_s2829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31361" name="Button 1" hidden="1">
              <a:extLst>
                <a:ext uri="{63B3BB69-23CF-44E3-9099-C40C66FF867C}">
                  <a14:compatExt spid="_x0000_s2831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32385" name="Button 1" hidden="1">
              <a:extLst>
                <a:ext uri="{63B3BB69-23CF-44E3-9099-C40C66FF867C}">
                  <a14:compatExt spid="_x0000_s2832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33409" name="Button 1" hidden="1">
              <a:extLst>
                <a:ext uri="{63B3BB69-23CF-44E3-9099-C40C66FF867C}">
                  <a14:compatExt spid="_x0000_s2833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34433" name="Button 1" hidden="1">
              <a:extLst>
                <a:ext uri="{63B3BB69-23CF-44E3-9099-C40C66FF867C}">
                  <a14:compatExt spid="_x0000_s2834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35457" name="Button 1" hidden="1">
              <a:extLst>
                <a:ext uri="{63B3BB69-23CF-44E3-9099-C40C66FF867C}">
                  <a14:compatExt spid="_x0000_s2835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36481" name="Button 1" hidden="1">
              <a:extLst>
                <a:ext uri="{63B3BB69-23CF-44E3-9099-C40C66FF867C}">
                  <a14:compatExt spid="_x0000_s2836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37505" name="Button 1" hidden="1">
              <a:extLst>
                <a:ext uri="{63B3BB69-23CF-44E3-9099-C40C66FF867C}">
                  <a14:compatExt spid="_x0000_s2837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38529" name="Button 1" hidden="1">
              <a:extLst>
                <a:ext uri="{63B3BB69-23CF-44E3-9099-C40C66FF867C}">
                  <a14:compatExt spid="_x0000_s2838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取樣回收每月庫存表 0620更新" connectionId="14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.xml><?xml version="1.0" encoding="utf-8"?>
<queryTable xmlns="http://schemas.openxmlformats.org/spreadsheetml/2006/main" name="取樣回收每月庫存表 0620更新" connectionId="1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3.xml><?xml version="1.0" encoding="utf-8"?>
<queryTable xmlns="http://schemas.openxmlformats.org/spreadsheetml/2006/main" name="取樣回收每月庫存表 0620更新" connectionId="16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4.xml><?xml version="1.0" encoding="utf-8"?>
<queryTable xmlns="http://schemas.openxmlformats.org/spreadsheetml/2006/main" name="取樣回收每月庫存表 0620更新" connectionId="17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5.xml><?xml version="1.0" encoding="utf-8"?>
<queryTable xmlns="http://schemas.openxmlformats.org/spreadsheetml/2006/main" name="取樣回收每月庫存表 0620更新" connectionId="12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6.xml><?xml version="1.0" encoding="utf-8"?>
<queryTable xmlns="http://schemas.openxmlformats.org/spreadsheetml/2006/main" name="取樣回收每月庫存表 0620更新" connectionId="15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7.xml><?xml version="1.0" encoding="utf-8"?>
<queryTable xmlns="http://schemas.openxmlformats.org/spreadsheetml/2006/main" name="取樣回收每月庫存表 0620更新" connectionId="18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8.xml><?xml version="1.0" encoding="utf-8"?>
<queryTable xmlns="http://schemas.openxmlformats.org/spreadsheetml/2006/main" name="取樣回收每月庫存表 0620更新" connectionId="19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9.xml><?xml version="1.0" encoding="utf-8"?>
<queryTable xmlns="http://schemas.openxmlformats.org/spreadsheetml/2006/main" name="取樣回收每月庫存表 0620更新" connectionId="20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0.xml><?xml version="1.0" encoding="utf-8"?>
<queryTable xmlns="http://schemas.openxmlformats.org/spreadsheetml/2006/main" name="取樣回收每月庫存表 0620更新" connectionId="21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1.xml><?xml version="1.0" encoding="utf-8"?>
<queryTable xmlns="http://schemas.openxmlformats.org/spreadsheetml/2006/main" name="取樣回收每月庫存表 0620更新" connectionId="2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2.xml><?xml version="1.0" encoding="utf-8"?>
<queryTable xmlns="http://schemas.openxmlformats.org/spreadsheetml/2006/main" name="取樣回收每月庫存表 0620更新" connectionId="3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3.xml><?xml version="1.0" encoding="utf-8"?>
<queryTable xmlns="http://schemas.openxmlformats.org/spreadsheetml/2006/main" name="取樣回收每月庫存表 0620更新" connectionId="4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4.xml><?xml version="1.0" encoding="utf-8"?>
<queryTable xmlns="http://schemas.openxmlformats.org/spreadsheetml/2006/main" name="取樣回收每月庫存表 0620更新" connectionId="5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5.xml><?xml version="1.0" encoding="utf-8"?>
<queryTable xmlns="http://schemas.openxmlformats.org/spreadsheetml/2006/main" name="取樣回收每月庫存表 0620更新" connectionId="6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6.xml><?xml version="1.0" encoding="utf-8"?>
<queryTable xmlns="http://schemas.openxmlformats.org/spreadsheetml/2006/main" name="取樣回收每月庫存表 0620更新" connectionId="7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7.xml><?xml version="1.0" encoding="utf-8"?>
<queryTable xmlns="http://schemas.openxmlformats.org/spreadsheetml/2006/main" name="取樣回收每月庫存表 0620更新" connectionId="8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8.xml><?xml version="1.0" encoding="utf-8"?>
<queryTable xmlns="http://schemas.openxmlformats.org/spreadsheetml/2006/main" name="取樣回收每月庫存表 0620更新" connectionId="9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9.xml><?xml version="1.0" encoding="utf-8"?>
<queryTable xmlns="http://schemas.openxmlformats.org/spreadsheetml/2006/main" name="取樣回收每月庫存表 0620更新" connectionId="10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0.xml><?xml version="1.0" encoding="utf-8"?>
<queryTable xmlns="http://schemas.openxmlformats.org/spreadsheetml/2006/main" name="取樣回收每月庫存表 0620更新" connectionId="11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1.xml><?xml version="1.0" encoding="utf-8"?>
<queryTable xmlns="http://schemas.openxmlformats.org/spreadsheetml/2006/main" name="取樣回收每月庫存表 0620更新" connectionId="13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table1.xml><?xml version="1.0" encoding="utf-8"?>
<table xmlns="http://schemas.openxmlformats.org/spreadsheetml/2006/main" id="24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3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3" ref="AG13:BH189" tableType="queryTable" totalsRowShown="0" headerRowDxfId="2629" dataDxfId="2628" headerRowCellStyle="一般 2" dataCellStyle="一般 2">
  <autoFilter ref="AG13:BH189"/>
  <tableColumns count="28">
    <tableColumn id="1" uniqueName="1" name="請直接以10進位，謝謝" queryTableFieldId="1" dataDxfId="2627" dataCellStyle="一般 2"/>
    <tableColumn id="2" uniqueName="2" name="F2" queryTableFieldId="2" dataDxfId="2626" dataCellStyle="一般 2"/>
    <tableColumn id="3" uniqueName="3" name="F3" queryTableFieldId="3" dataDxfId="2625" dataCellStyle="一般 2"/>
    <tableColumn id="4" uniqueName="4" name="F4" queryTableFieldId="4" dataDxfId="2624" dataCellStyle="一般 2"/>
    <tableColumn id="5" uniqueName="5" name="F5" queryTableFieldId="5" dataDxfId="2623" dataCellStyle="一般 2"/>
    <tableColumn id="6" uniqueName="6" name="F6" queryTableFieldId="6" dataDxfId="2622" dataCellStyle="一般 2"/>
    <tableColumn id="7" uniqueName="7" name="F7" queryTableFieldId="7" dataDxfId="2621" dataCellStyle="一般 2"/>
    <tableColumn id="8" uniqueName="8" name="F8" queryTableFieldId="8" dataDxfId="2620" dataCellStyle="一般 2"/>
    <tableColumn id="9" uniqueName="9" name="F9" queryTableFieldId="9" dataDxfId="2619" dataCellStyle="一般 2"/>
    <tableColumn id="10" uniqueName="10" name="F10" queryTableFieldId="10" dataDxfId="2618" dataCellStyle="一般 2"/>
    <tableColumn id="11" uniqueName="11" name="F11" queryTableFieldId="11" dataDxfId="2617" dataCellStyle="一般 2"/>
    <tableColumn id="12" uniqueName="12" name="F12" queryTableFieldId="12" dataDxfId="2616" dataCellStyle="一般 2"/>
    <tableColumn id="13" uniqueName="13" name="F13" queryTableFieldId="13" dataDxfId="2615" dataCellStyle="一般 2"/>
    <tableColumn id="14" uniqueName="14" name="F14" queryTableFieldId="14" dataDxfId="2614" dataCellStyle="一般 2"/>
    <tableColumn id="15" uniqueName="15" name="F15" queryTableFieldId="15" dataDxfId="2613" dataCellStyle="一般 2"/>
    <tableColumn id="16" uniqueName="16" name="F16" queryTableFieldId="16" dataDxfId="2612" dataCellStyle="一般 2"/>
    <tableColumn id="17" uniqueName="17" name="F17" queryTableFieldId="17" dataDxfId="2611" dataCellStyle="一般 2"/>
    <tableColumn id="18" uniqueName="18" name="F18" queryTableFieldId="18" dataDxfId="2610" dataCellStyle="一般 2"/>
    <tableColumn id="19" uniqueName="19" name="F19" queryTableFieldId="19" dataDxfId="2609" dataCellStyle="一般 2"/>
    <tableColumn id="20" uniqueName="20" name="F20" queryTableFieldId="20" dataDxfId="2608" dataCellStyle="一般 2"/>
    <tableColumn id="21" uniqueName="21" name="F21" queryTableFieldId="21" dataDxfId="2607" dataCellStyle="一般 2"/>
    <tableColumn id="22" uniqueName="22" name="2024/6/24 14:52" queryTableFieldId="22" dataDxfId="2606" dataCellStyle="一般 2"/>
    <tableColumn id="23" uniqueName="23" name="F23" queryTableFieldId="23" dataDxfId="2605" dataCellStyle="一般 2"/>
    <tableColumn id="24" uniqueName="24" name="F24" queryTableFieldId="24" dataDxfId="2604" dataCellStyle="一般 2"/>
    <tableColumn id="25" uniqueName="25" name="F25" queryTableFieldId="25" dataDxfId="2603" dataCellStyle="一般 2"/>
    <tableColumn id="26" uniqueName="26" name="F26" queryTableFieldId="26" dataDxfId="2602" dataCellStyle="一般 2"/>
    <tableColumn id="27" uniqueName="27" name="F27" queryTableFieldId="27" dataDxfId="2601" dataCellStyle="一般 2"/>
    <tableColumn id="28" uniqueName="28" name="F28" queryTableFieldId="28" dataDxfId="2600" dataCellStyle="一般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2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2" ref="AG13:BH189" tableType="queryTable" totalsRowShown="0" headerRowDxfId="2499" dataDxfId="2498" headerRowCellStyle="一般 2" dataCellStyle="一般 2">
  <autoFilter ref="AG13:BH189"/>
  <tableColumns count="28">
    <tableColumn id="1" uniqueName="1" name="請直接以10進位，謝謝" queryTableFieldId="1" dataDxfId="2497" dataCellStyle="一般 2"/>
    <tableColumn id="2" uniqueName="2" name="F2" queryTableFieldId="2" dataDxfId="2496" dataCellStyle="一般 2"/>
    <tableColumn id="3" uniqueName="3" name="F3" queryTableFieldId="3" dataDxfId="2495" dataCellStyle="一般 2"/>
    <tableColumn id="4" uniqueName="4" name="F4" queryTableFieldId="4" dataDxfId="2494" dataCellStyle="一般 2"/>
    <tableColumn id="5" uniqueName="5" name="F5" queryTableFieldId="5" dataDxfId="2493" dataCellStyle="一般 2"/>
    <tableColumn id="6" uniqueName="6" name="F6" queryTableFieldId="6" dataDxfId="2492" dataCellStyle="一般 2"/>
    <tableColumn id="7" uniqueName="7" name="F7" queryTableFieldId="7" dataDxfId="2491" dataCellStyle="一般 2"/>
    <tableColumn id="8" uniqueName="8" name="F8" queryTableFieldId="8" dataDxfId="2490" dataCellStyle="一般 2"/>
    <tableColumn id="9" uniqueName="9" name="F9" queryTableFieldId="9" dataDxfId="2489" dataCellStyle="一般 2"/>
    <tableColumn id="10" uniqueName="10" name="F10" queryTableFieldId="10" dataDxfId="2488" dataCellStyle="一般 2"/>
    <tableColumn id="11" uniqueName="11" name="F11" queryTableFieldId="11" dataDxfId="2487" dataCellStyle="一般 2"/>
    <tableColumn id="12" uniqueName="12" name="F12" queryTableFieldId="12" dataDxfId="2486" dataCellStyle="一般 2"/>
    <tableColumn id="13" uniqueName="13" name="F13" queryTableFieldId="13" dataDxfId="2485" dataCellStyle="一般 2"/>
    <tableColumn id="14" uniqueName="14" name="F14" queryTableFieldId="14" dataDxfId="2484" dataCellStyle="一般 2"/>
    <tableColumn id="15" uniqueName="15" name="F15" queryTableFieldId="15" dataDxfId="2483" dataCellStyle="一般 2"/>
    <tableColumn id="16" uniqueName="16" name="F16" queryTableFieldId="16" dataDxfId="2482" dataCellStyle="一般 2"/>
    <tableColumn id="17" uniqueName="17" name="F17" queryTableFieldId="17" dataDxfId="2481" dataCellStyle="一般 2"/>
    <tableColumn id="18" uniqueName="18" name="F18" queryTableFieldId="18" dataDxfId="2480" dataCellStyle="一般 2"/>
    <tableColumn id="19" uniqueName="19" name="F19" queryTableFieldId="19" dataDxfId="2479" dataCellStyle="一般 2"/>
    <tableColumn id="20" uniqueName="20" name="F20" queryTableFieldId="20" dataDxfId="2478" dataCellStyle="一般 2"/>
    <tableColumn id="21" uniqueName="21" name="F21" queryTableFieldId="21" dataDxfId="2477" dataCellStyle="一般 2"/>
    <tableColumn id="22" uniqueName="22" name="2024/6/24 14:52" queryTableFieldId="22" dataDxfId="2476" dataCellStyle="一般 2"/>
    <tableColumn id="23" uniqueName="23" name="F23" queryTableFieldId="23" dataDxfId="2475" dataCellStyle="一般 2"/>
    <tableColumn id="24" uniqueName="24" name="F24" queryTableFieldId="24" dataDxfId="2474" dataCellStyle="一般 2"/>
    <tableColumn id="25" uniqueName="25" name="F25" queryTableFieldId="25" dataDxfId="2473" dataCellStyle="一般 2"/>
    <tableColumn id="26" uniqueName="26" name="F26" queryTableFieldId="26" dataDxfId="2472" dataCellStyle="一般 2"/>
    <tableColumn id="27" uniqueName="27" name="F27" queryTableFieldId="27" dataDxfId="2471" dataCellStyle="一般 2"/>
    <tableColumn id="28" uniqueName="28" name="F28" queryTableFieldId="28" dataDxfId="2470" dataCellStyle="一般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7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7" ref="AG13:BH189" tableType="queryTable" totalsRowShown="0" headerRowDxfId="2369" dataDxfId="2368" headerRowCellStyle="一般 2" dataCellStyle="一般 2">
  <autoFilter ref="AG13:BH189"/>
  <tableColumns count="28">
    <tableColumn id="1" uniqueName="1" name="請直接以10進位，謝謝" queryTableFieldId="1" dataDxfId="2367" dataCellStyle="一般 2"/>
    <tableColumn id="2" uniqueName="2" name="F2" queryTableFieldId="2" dataDxfId="2366" dataCellStyle="一般 2"/>
    <tableColumn id="3" uniqueName="3" name="F3" queryTableFieldId="3" dataDxfId="2365" dataCellStyle="一般 2"/>
    <tableColumn id="4" uniqueName="4" name="F4" queryTableFieldId="4" dataDxfId="2364" dataCellStyle="一般 2"/>
    <tableColumn id="5" uniqueName="5" name="F5" queryTableFieldId="5" dataDxfId="2363" dataCellStyle="一般 2"/>
    <tableColumn id="6" uniqueName="6" name="F6" queryTableFieldId="6" dataDxfId="2362" dataCellStyle="一般 2"/>
    <tableColumn id="7" uniqueName="7" name="F7" queryTableFieldId="7" dataDxfId="2361" dataCellStyle="一般 2"/>
    <tableColumn id="8" uniqueName="8" name="F8" queryTableFieldId="8" dataDxfId="2360" dataCellStyle="一般 2"/>
    <tableColumn id="9" uniqueName="9" name="F9" queryTableFieldId="9" dataDxfId="2359" dataCellStyle="一般 2"/>
    <tableColumn id="10" uniqueName="10" name="F10" queryTableFieldId="10" dataDxfId="2358" dataCellStyle="一般 2"/>
    <tableColumn id="11" uniqueName="11" name="F11" queryTableFieldId="11" dataDxfId="2357" dataCellStyle="一般 2"/>
    <tableColumn id="12" uniqueName="12" name="F12" queryTableFieldId="12" dataDxfId="2356" dataCellStyle="一般 2"/>
    <tableColumn id="13" uniqueName="13" name="F13" queryTableFieldId="13" dataDxfId="2355" dataCellStyle="一般 2"/>
    <tableColumn id="14" uniqueName="14" name="F14" queryTableFieldId="14" dataDxfId="2354" dataCellStyle="一般 2"/>
    <tableColumn id="15" uniqueName="15" name="F15" queryTableFieldId="15" dataDxfId="2353" dataCellStyle="一般 2"/>
    <tableColumn id="16" uniqueName="16" name="F16" queryTableFieldId="16" dataDxfId="2352" dataCellStyle="一般 2"/>
    <tableColumn id="17" uniqueName="17" name="F17" queryTableFieldId="17" dataDxfId="2351" dataCellStyle="一般 2"/>
    <tableColumn id="18" uniqueName="18" name="F18" queryTableFieldId="18" dataDxfId="2350" dataCellStyle="一般 2"/>
    <tableColumn id="19" uniqueName="19" name="F19" queryTableFieldId="19" dataDxfId="2349" dataCellStyle="一般 2"/>
    <tableColumn id="20" uniqueName="20" name="F20" queryTableFieldId="20" dataDxfId="2348" dataCellStyle="一般 2"/>
    <tableColumn id="21" uniqueName="21" name="F21" queryTableFieldId="21" dataDxfId="2347" dataCellStyle="一般 2"/>
    <tableColumn id="22" uniqueName="22" name="2024/6/24 14:52" queryTableFieldId="22" dataDxfId="2346" dataCellStyle="一般 2"/>
    <tableColumn id="23" uniqueName="23" name="F23" queryTableFieldId="23" dataDxfId="2345" dataCellStyle="一般 2"/>
    <tableColumn id="24" uniqueName="24" name="F24" queryTableFieldId="24" dataDxfId="2344" dataCellStyle="一般 2"/>
    <tableColumn id="25" uniqueName="25" name="F25" queryTableFieldId="25" dataDxfId="2343" dataCellStyle="一般 2"/>
    <tableColumn id="26" uniqueName="26" name="F26" queryTableFieldId="26" dataDxfId="2342" dataCellStyle="一般 2"/>
    <tableColumn id="27" uniqueName="27" name="F27" queryTableFieldId="27" dataDxfId="2341" dataCellStyle="一般 2"/>
    <tableColumn id="28" uniqueName="28" name="F28" queryTableFieldId="28" dataDxfId="2340" dataCellStyle="一般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2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3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3" ref="AG13:BH189" tableType="queryTable" totalsRowShown="0" headerRowDxfId="2239" dataDxfId="2238" headerRowCellStyle="一般 2" dataCellStyle="一般 2">
  <autoFilter ref="AG13:BH189"/>
  <tableColumns count="28">
    <tableColumn id="1" uniqueName="1" name="請直接以10進位，謝謝" queryTableFieldId="1" dataDxfId="2237" dataCellStyle="一般 2"/>
    <tableColumn id="2" uniqueName="2" name="F2" queryTableFieldId="2" dataDxfId="2236" dataCellStyle="一般 2"/>
    <tableColumn id="3" uniqueName="3" name="F3" queryTableFieldId="3" dataDxfId="2235" dataCellStyle="一般 2"/>
    <tableColumn id="4" uniqueName="4" name="F4" queryTableFieldId="4" dataDxfId="2234" dataCellStyle="一般 2"/>
    <tableColumn id="5" uniqueName="5" name="F5" queryTableFieldId="5" dataDxfId="2233" dataCellStyle="一般 2"/>
    <tableColumn id="6" uniqueName="6" name="F6" queryTableFieldId="6" dataDxfId="2232" dataCellStyle="一般 2"/>
    <tableColumn id="7" uniqueName="7" name="F7" queryTableFieldId="7" dataDxfId="2231" dataCellStyle="一般 2"/>
    <tableColumn id="8" uniqueName="8" name="F8" queryTableFieldId="8" dataDxfId="2230" dataCellStyle="一般 2"/>
    <tableColumn id="9" uniqueName="9" name="F9" queryTableFieldId="9" dataDxfId="2229" dataCellStyle="一般 2"/>
    <tableColumn id="10" uniqueName="10" name="F10" queryTableFieldId="10" dataDxfId="2228" dataCellStyle="一般 2"/>
    <tableColumn id="11" uniqueName="11" name="F11" queryTableFieldId="11" dataDxfId="2227" dataCellStyle="一般 2"/>
    <tableColumn id="12" uniqueName="12" name="F12" queryTableFieldId="12" dataDxfId="2226" dataCellStyle="一般 2"/>
    <tableColumn id="13" uniqueName="13" name="F13" queryTableFieldId="13" dataDxfId="2225" dataCellStyle="一般 2"/>
    <tableColumn id="14" uniqueName="14" name="F14" queryTableFieldId="14" dataDxfId="2224" dataCellStyle="一般 2"/>
    <tableColumn id="15" uniqueName="15" name="F15" queryTableFieldId="15" dataDxfId="2223" dataCellStyle="一般 2"/>
    <tableColumn id="16" uniqueName="16" name="F16" queryTableFieldId="16" dataDxfId="2222" dataCellStyle="一般 2"/>
    <tableColumn id="17" uniqueName="17" name="F17" queryTableFieldId="17" dataDxfId="2221" dataCellStyle="一般 2"/>
    <tableColumn id="18" uniqueName="18" name="F18" queryTableFieldId="18" dataDxfId="2220" dataCellStyle="一般 2"/>
    <tableColumn id="19" uniqueName="19" name="F19" queryTableFieldId="19" dataDxfId="2219" dataCellStyle="一般 2"/>
    <tableColumn id="20" uniqueName="20" name="F20" queryTableFieldId="20" dataDxfId="2218" dataCellStyle="一般 2"/>
    <tableColumn id="21" uniqueName="21" name="F21" queryTableFieldId="21" dataDxfId="2217" dataCellStyle="一般 2"/>
    <tableColumn id="22" uniqueName="22" name="2024/6/24 14:52" queryTableFieldId="22" dataDxfId="2216" dataCellStyle="一般 2"/>
    <tableColumn id="23" uniqueName="23" name="F23" queryTableFieldId="23" dataDxfId="2215" dataCellStyle="一般 2"/>
    <tableColumn id="24" uniqueName="24" name="F24" queryTableFieldId="24" dataDxfId="2214" dataCellStyle="一般 2"/>
    <tableColumn id="25" uniqueName="25" name="F25" queryTableFieldId="25" dataDxfId="2213" dataCellStyle="一般 2"/>
    <tableColumn id="26" uniqueName="26" name="F26" queryTableFieldId="26" dataDxfId="2212" dataCellStyle="一般 2"/>
    <tableColumn id="27" uniqueName="27" name="F27" queryTableFieldId="27" dataDxfId="2211" dataCellStyle="一般 2"/>
    <tableColumn id="28" uniqueName="28" name="F28" queryTableFieldId="28" dataDxfId="2210" dataCellStyle="一般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8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8" ref="AG13:BH189" tableType="queryTable" totalsRowShown="0" headerRowDxfId="2109" dataDxfId="2108" headerRowCellStyle="一般 2" dataCellStyle="一般 2">
  <autoFilter ref="AG13:BH189"/>
  <tableColumns count="28">
    <tableColumn id="1" uniqueName="1" name="請直接以10進位，謝謝" queryTableFieldId="1" dataDxfId="2107" dataCellStyle="一般 2"/>
    <tableColumn id="2" uniqueName="2" name="F2" queryTableFieldId="2" dataDxfId="2106" dataCellStyle="一般 2"/>
    <tableColumn id="3" uniqueName="3" name="F3" queryTableFieldId="3" dataDxfId="2105" dataCellStyle="一般 2"/>
    <tableColumn id="4" uniqueName="4" name="F4" queryTableFieldId="4" dataDxfId="2104" dataCellStyle="一般 2"/>
    <tableColumn id="5" uniqueName="5" name="F5" queryTableFieldId="5" dataDxfId="2103" dataCellStyle="一般 2"/>
    <tableColumn id="6" uniqueName="6" name="F6" queryTableFieldId="6" dataDxfId="2102" dataCellStyle="一般 2"/>
    <tableColumn id="7" uniqueName="7" name="F7" queryTableFieldId="7" dataDxfId="2101" dataCellStyle="一般 2"/>
    <tableColumn id="8" uniqueName="8" name="F8" queryTableFieldId="8" dataDxfId="2100" dataCellStyle="一般 2"/>
    <tableColumn id="9" uniqueName="9" name="F9" queryTableFieldId="9" dataDxfId="2099" dataCellStyle="一般 2"/>
    <tableColumn id="10" uniqueName="10" name="F10" queryTableFieldId="10" dataDxfId="2098" dataCellStyle="一般 2"/>
    <tableColumn id="11" uniqueName="11" name="F11" queryTableFieldId="11" dataDxfId="2097" dataCellStyle="一般 2"/>
    <tableColumn id="12" uniqueName="12" name="F12" queryTableFieldId="12" dataDxfId="2096" dataCellStyle="一般 2"/>
    <tableColumn id="13" uniqueName="13" name="F13" queryTableFieldId="13" dataDxfId="2095" dataCellStyle="一般 2"/>
    <tableColumn id="14" uniqueName="14" name="F14" queryTableFieldId="14" dataDxfId="2094" dataCellStyle="一般 2"/>
    <tableColumn id="15" uniqueName="15" name="F15" queryTableFieldId="15" dataDxfId="2093" dataCellStyle="一般 2"/>
    <tableColumn id="16" uniqueName="16" name="F16" queryTableFieldId="16" dataDxfId="2092" dataCellStyle="一般 2"/>
    <tableColumn id="17" uniqueName="17" name="F17" queryTableFieldId="17" dataDxfId="2091" dataCellStyle="一般 2"/>
    <tableColumn id="18" uniqueName="18" name="F18" queryTableFieldId="18" dataDxfId="2090" dataCellStyle="一般 2"/>
    <tableColumn id="19" uniqueName="19" name="F19" queryTableFieldId="19" dataDxfId="2089" dataCellStyle="一般 2"/>
    <tableColumn id="20" uniqueName="20" name="F20" queryTableFieldId="20" dataDxfId="2088" dataCellStyle="一般 2"/>
    <tableColumn id="21" uniqueName="21" name="F21" queryTableFieldId="21" dataDxfId="2087" dataCellStyle="一般 2"/>
    <tableColumn id="22" uniqueName="22" name="2024/6/24 14:52" queryTableFieldId="22" dataDxfId="2086" dataCellStyle="一般 2"/>
    <tableColumn id="23" uniqueName="23" name="F23" queryTableFieldId="23" dataDxfId="2085" dataCellStyle="一般 2"/>
    <tableColumn id="24" uniqueName="24" name="F24" queryTableFieldId="24" dataDxfId="2084" dataCellStyle="一般 2"/>
    <tableColumn id="25" uniqueName="25" name="F25" queryTableFieldId="25" dataDxfId="2083" dataCellStyle="一般 2"/>
    <tableColumn id="26" uniqueName="26" name="F26" queryTableFieldId="26" dataDxfId="2082" dataCellStyle="一般 2"/>
    <tableColumn id="27" uniqueName="27" name="F27" queryTableFieldId="27" dataDxfId="2081" dataCellStyle="一般 2"/>
    <tableColumn id="28" uniqueName="28" name="F28" queryTableFieldId="28" dataDxfId="2080" dataCellStyle="一般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9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9" ref="AG13:BH189" tableType="queryTable" totalsRowShown="0" headerRowDxfId="1979" dataDxfId="1978" headerRowCellStyle="一般 2" dataCellStyle="一般 2">
  <autoFilter ref="AG13:BH189"/>
  <tableColumns count="28">
    <tableColumn id="1" uniqueName="1" name="請直接以10進位，謝謝" queryTableFieldId="1" dataDxfId="1977" dataCellStyle="一般 2"/>
    <tableColumn id="2" uniqueName="2" name="F2" queryTableFieldId="2" dataDxfId="1976" dataCellStyle="一般 2"/>
    <tableColumn id="3" uniqueName="3" name="F3" queryTableFieldId="3" dataDxfId="1975" dataCellStyle="一般 2"/>
    <tableColumn id="4" uniqueName="4" name="F4" queryTableFieldId="4" dataDxfId="1974" dataCellStyle="一般 2"/>
    <tableColumn id="5" uniqueName="5" name="F5" queryTableFieldId="5" dataDxfId="1973" dataCellStyle="一般 2"/>
    <tableColumn id="6" uniqueName="6" name="F6" queryTableFieldId="6" dataDxfId="1972" dataCellStyle="一般 2"/>
    <tableColumn id="7" uniqueName="7" name="F7" queryTableFieldId="7" dataDxfId="1971" dataCellStyle="一般 2"/>
    <tableColumn id="8" uniqueName="8" name="F8" queryTableFieldId="8" dataDxfId="1970" dataCellStyle="一般 2"/>
    <tableColumn id="9" uniqueName="9" name="F9" queryTableFieldId="9" dataDxfId="1969" dataCellStyle="一般 2"/>
    <tableColumn id="10" uniqueName="10" name="F10" queryTableFieldId="10" dataDxfId="1968" dataCellStyle="一般 2"/>
    <tableColumn id="11" uniqueName="11" name="F11" queryTableFieldId="11" dataDxfId="1967" dataCellStyle="一般 2"/>
    <tableColumn id="12" uniqueName="12" name="F12" queryTableFieldId="12" dataDxfId="1966" dataCellStyle="一般 2"/>
    <tableColumn id="13" uniqueName="13" name="F13" queryTableFieldId="13" dataDxfId="1965" dataCellStyle="一般 2"/>
    <tableColumn id="14" uniqueName="14" name="F14" queryTableFieldId="14" dataDxfId="1964" dataCellStyle="一般 2"/>
    <tableColumn id="15" uniqueName="15" name="F15" queryTableFieldId="15" dataDxfId="1963" dataCellStyle="一般 2"/>
    <tableColumn id="16" uniqueName="16" name="F16" queryTableFieldId="16" dataDxfId="1962" dataCellStyle="一般 2"/>
    <tableColumn id="17" uniqueName="17" name="F17" queryTableFieldId="17" dataDxfId="1961" dataCellStyle="一般 2"/>
    <tableColumn id="18" uniqueName="18" name="F18" queryTableFieldId="18" dataDxfId="1960" dataCellStyle="一般 2"/>
    <tableColumn id="19" uniqueName="19" name="F19" queryTableFieldId="19" dataDxfId="1959" dataCellStyle="一般 2"/>
    <tableColumn id="20" uniqueName="20" name="F20" queryTableFieldId="20" dataDxfId="1958" dataCellStyle="一般 2"/>
    <tableColumn id="21" uniqueName="21" name="F21" queryTableFieldId="21" dataDxfId="1957" dataCellStyle="一般 2"/>
    <tableColumn id="22" uniqueName="22" name="2024/6/24 14:52" queryTableFieldId="22" dataDxfId="1956" dataCellStyle="一般 2"/>
    <tableColumn id="23" uniqueName="23" name="F23" queryTableFieldId="23" dataDxfId="1955" dataCellStyle="一般 2"/>
    <tableColumn id="24" uniqueName="24" name="F24" queryTableFieldId="24" dataDxfId="1954" dataCellStyle="一般 2"/>
    <tableColumn id="25" uniqueName="25" name="F25" queryTableFieldId="25" dataDxfId="1953" dataCellStyle="一般 2"/>
    <tableColumn id="26" uniqueName="26" name="F26" queryTableFieldId="26" dataDxfId="1952" dataCellStyle="一般 2"/>
    <tableColumn id="27" uniqueName="27" name="F27" queryTableFieldId="27" dataDxfId="1951" dataCellStyle="一般 2"/>
    <tableColumn id="28" uniqueName="28" name="F28" queryTableFieldId="28" dataDxfId="1950" dataCellStyle="一般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4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" ref="AG13:BH189" tableType="queryTable" totalsRowShown="0" headerRowDxfId="1849" dataDxfId="1848" headerRowCellStyle="一般 2" dataCellStyle="一般 2">
  <autoFilter ref="AG13:BH189"/>
  <tableColumns count="28">
    <tableColumn id="1" uniqueName="1" name="請直接以10進位，謝謝" queryTableFieldId="1" dataDxfId="1847" dataCellStyle="一般 2"/>
    <tableColumn id="2" uniqueName="2" name="F2" queryTableFieldId="2" dataDxfId="1846" dataCellStyle="一般 2"/>
    <tableColumn id="3" uniqueName="3" name="F3" queryTableFieldId="3" dataDxfId="1845" dataCellStyle="一般 2"/>
    <tableColumn id="4" uniqueName="4" name="F4" queryTableFieldId="4" dataDxfId="1844" dataCellStyle="一般 2"/>
    <tableColumn id="5" uniqueName="5" name="F5" queryTableFieldId="5" dataDxfId="1843" dataCellStyle="一般 2"/>
    <tableColumn id="6" uniqueName="6" name="F6" queryTableFieldId="6" dataDxfId="1842" dataCellStyle="一般 2"/>
    <tableColumn id="7" uniqueName="7" name="F7" queryTableFieldId="7" dataDxfId="1841" dataCellStyle="一般 2"/>
    <tableColumn id="8" uniqueName="8" name="F8" queryTableFieldId="8" dataDxfId="1840" dataCellStyle="一般 2"/>
    <tableColumn id="9" uniqueName="9" name="F9" queryTableFieldId="9" dataDxfId="1839" dataCellStyle="一般 2"/>
    <tableColumn id="10" uniqueName="10" name="F10" queryTableFieldId="10" dataDxfId="1838" dataCellStyle="一般 2"/>
    <tableColumn id="11" uniqueName="11" name="F11" queryTableFieldId="11" dataDxfId="1837" dataCellStyle="一般 2"/>
    <tableColumn id="12" uniqueName="12" name="F12" queryTableFieldId="12" dataDxfId="1836" dataCellStyle="一般 2"/>
    <tableColumn id="13" uniqueName="13" name="F13" queryTableFieldId="13" dataDxfId="1835" dataCellStyle="一般 2"/>
    <tableColumn id="14" uniqueName="14" name="F14" queryTableFieldId="14" dataDxfId="1834" dataCellStyle="一般 2"/>
    <tableColumn id="15" uniqueName="15" name="F15" queryTableFieldId="15" dataDxfId="1833" dataCellStyle="一般 2"/>
    <tableColumn id="16" uniqueName="16" name="F16" queryTableFieldId="16" dataDxfId="1832" dataCellStyle="一般 2"/>
    <tableColumn id="17" uniqueName="17" name="F17" queryTableFieldId="17" dataDxfId="1831" dataCellStyle="一般 2"/>
    <tableColumn id="18" uniqueName="18" name="F18" queryTableFieldId="18" dataDxfId="1830" dataCellStyle="一般 2"/>
    <tableColumn id="19" uniqueName="19" name="F19" queryTableFieldId="19" dataDxfId="1829" dataCellStyle="一般 2"/>
    <tableColumn id="20" uniqueName="20" name="F20" queryTableFieldId="20" dataDxfId="1828" dataCellStyle="一般 2"/>
    <tableColumn id="21" uniqueName="21" name="F21" queryTableFieldId="21" dataDxfId="1827" dataCellStyle="一般 2"/>
    <tableColumn id="22" uniqueName="22" name="2024/6/24 14:52" queryTableFieldId="22" dataDxfId="1826" dataCellStyle="一般 2"/>
    <tableColumn id="23" uniqueName="23" name="F23" queryTableFieldId="23" dataDxfId="1825" dataCellStyle="一般 2"/>
    <tableColumn id="24" uniqueName="24" name="F24" queryTableFieldId="24" dataDxfId="1824" dataCellStyle="一般 2"/>
    <tableColumn id="25" uniqueName="25" name="F25" queryTableFieldId="25" dataDxfId="1823" dataCellStyle="一般 2"/>
    <tableColumn id="26" uniqueName="26" name="F26" queryTableFieldId="26" dataDxfId="1822" dataCellStyle="一般 2"/>
    <tableColumn id="27" uniqueName="27" name="F27" queryTableFieldId="27" dataDxfId="1821" dataCellStyle="一般 2"/>
    <tableColumn id="28" uniqueName="28" name="F28" queryTableFieldId="28" dataDxfId="1820" dataCellStyle="一般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5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6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6" ref="AG13:BH189" tableType="queryTable" totalsRowShown="0" headerRowDxfId="1719" dataDxfId="1718" headerRowCellStyle="一般 2" dataCellStyle="一般 2">
  <autoFilter ref="AG13:BH189"/>
  <tableColumns count="28">
    <tableColumn id="1" uniqueName="1" name="請直接以10進位，謝謝" queryTableFieldId="1" dataDxfId="1717" dataCellStyle="一般 2"/>
    <tableColumn id="2" uniqueName="2" name="F2" queryTableFieldId="2" dataDxfId="1716" dataCellStyle="一般 2"/>
    <tableColumn id="3" uniqueName="3" name="F3" queryTableFieldId="3" dataDxfId="1715" dataCellStyle="一般 2"/>
    <tableColumn id="4" uniqueName="4" name="F4" queryTableFieldId="4" dataDxfId="1714" dataCellStyle="一般 2"/>
    <tableColumn id="5" uniqueName="5" name="F5" queryTableFieldId="5" dataDxfId="1713" dataCellStyle="一般 2"/>
    <tableColumn id="6" uniqueName="6" name="F6" queryTableFieldId="6" dataDxfId="1712" dataCellStyle="一般 2"/>
    <tableColumn id="7" uniqueName="7" name="F7" queryTableFieldId="7" dataDxfId="1711" dataCellStyle="一般 2"/>
    <tableColumn id="8" uniqueName="8" name="F8" queryTableFieldId="8" dataDxfId="1710" dataCellStyle="一般 2"/>
    <tableColumn id="9" uniqueName="9" name="F9" queryTableFieldId="9" dataDxfId="1709" dataCellStyle="一般 2"/>
    <tableColumn id="10" uniqueName="10" name="F10" queryTableFieldId="10" dataDxfId="1708" dataCellStyle="一般 2"/>
    <tableColumn id="11" uniqueName="11" name="F11" queryTableFieldId="11" dataDxfId="1707" dataCellStyle="一般 2"/>
    <tableColumn id="12" uniqueName="12" name="F12" queryTableFieldId="12" dataDxfId="1706" dataCellStyle="一般 2"/>
    <tableColumn id="13" uniqueName="13" name="F13" queryTableFieldId="13" dataDxfId="1705" dataCellStyle="一般 2"/>
    <tableColumn id="14" uniqueName="14" name="F14" queryTableFieldId="14" dataDxfId="1704" dataCellStyle="一般 2"/>
    <tableColumn id="15" uniqueName="15" name="F15" queryTableFieldId="15" dataDxfId="1703" dataCellStyle="一般 2"/>
    <tableColumn id="16" uniqueName="16" name="F16" queryTableFieldId="16" dataDxfId="1702" dataCellStyle="一般 2"/>
    <tableColumn id="17" uniqueName="17" name="F17" queryTableFieldId="17" dataDxfId="1701" dataCellStyle="一般 2"/>
    <tableColumn id="18" uniqueName="18" name="F18" queryTableFieldId="18" dataDxfId="1700" dataCellStyle="一般 2"/>
    <tableColumn id="19" uniqueName="19" name="F19" queryTableFieldId="19" dataDxfId="1699" dataCellStyle="一般 2"/>
    <tableColumn id="20" uniqueName="20" name="F20" queryTableFieldId="20" dataDxfId="1698" dataCellStyle="一般 2"/>
    <tableColumn id="21" uniqueName="21" name="F21" queryTableFieldId="21" dataDxfId="1697" dataCellStyle="一般 2"/>
    <tableColumn id="22" uniqueName="22" name="2024/6/24 14:52" queryTableFieldId="22" dataDxfId="1696" dataCellStyle="一般 2"/>
    <tableColumn id="23" uniqueName="23" name="F23" queryTableFieldId="23" dataDxfId="1695" dataCellStyle="一般 2"/>
    <tableColumn id="24" uniqueName="24" name="F24" queryTableFieldId="24" dataDxfId="1694" dataCellStyle="一般 2"/>
    <tableColumn id="25" uniqueName="25" name="F25" queryTableFieldId="25" dataDxfId="1693" dataCellStyle="一般 2"/>
    <tableColumn id="26" uniqueName="26" name="F26" queryTableFieldId="26" dataDxfId="1692" dataCellStyle="一般 2"/>
    <tableColumn id="27" uniqueName="27" name="F27" queryTableFieldId="27" dataDxfId="1691" dataCellStyle="一般 2"/>
    <tableColumn id="28" uniqueName="28" name="F28" queryTableFieldId="28" dataDxfId="1690" dataCellStyle="一般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6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" ref="AG13:BH189" tableType="queryTable" totalsRowShown="0" headerRowDxfId="1589" dataDxfId="1588" headerRowCellStyle="一般 2" dataCellStyle="一般 2">
  <autoFilter ref="AG13:BH189"/>
  <tableColumns count="28">
    <tableColumn id="1" uniqueName="1" name="請直接以10進位，謝謝" queryTableFieldId="1" dataDxfId="1587" dataCellStyle="一般 2"/>
    <tableColumn id="2" uniqueName="2" name="F2" queryTableFieldId="2" dataDxfId="1586" dataCellStyle="一般 2"/>
    <tableColumn id="3" uniqueName="3" name="F3" queryTableFieldId="3" dataDxfId="1585" dataCellStyle="一般 2"/>
    <tableColumn id="4" uniqueName="4" name="F4" queryTableFieldId="4" dataDxfId="1584" dataCellStyle="一般 2"/>
    <tableColumn id="5" uniqueName="5" name="F5" queryTableFieldId="5" dataDxfId="1583" dataCellStyle="一般 2"/>
    <tableColumn id="6" uniqueName="6" name="F6" queryTableFieldId="6" dataDxfId="1582" dataCellStyle="一般 2"/>
    <tableColumn id="7" uniqueName="7" name="F7" queryTableFieldId="7" dataDxfId="1581" dataCellStyle="一般 2"/>
    <tableColumn id="8" uniqueName="8" name="F8" queryTableFieldId="8" dataDxfId="1580" dataCellStyle="一般 2"/>
    <tableColumn id="9" uniqueName="9" name="F9" queryTableFieldId="9" dataDxfId="1579" dataCellStyle="一般 2"/>
    <tableColumn id="10" uniqueName="10" name="F10" queryTableFieldId="10" dataDxfId="1578" dataCellStyle="一般 2"/>
    <tableColumn id="11" uniqueName="11" name="F11" queryTableFieldId="11" dataDxfId="1577" dataCellStyle="一般 2"/>
    <tableColumn id="12" uniqueName="12" name="F12" queryTableFieldId="12" dataDxfId="1576" dataCellStyle="一般 2"/>
    <tableColumn id="13" uniqueName="13" name="F13" queryTableFieldId="13" dataDxfId="1575" dataCellStyle="一般 2"/>
    <tableColumn id="14" uniqueName="14" name="F14" queryTableFieldId="14" dataDxfId="1574" dataCellStyle="一般 2"/>
    <tableColumn id="15" uniqueName="15" name="F15" queryTableFieldId="15" dataDxfId="1573" dataCellStyle="一般 2"/>
    <tableColumn id="16" uniqueName="16" name="F16" queryTableFieldId="16" dataDxfId="1572" dataCellStyle="一般 2"/>
    <tableColumn id="17" uniqueName="17" name="F17" queryTableFieldId="17" dataDxfId="1571" dataCellStyle="一般 2"/>
    <tableColumn id="18" uniqueName="18" name="F18" queryTableFieldId="18" dataDxfId="1570" dataCellStyle="一般 2"/>
    <tableColumn id="19" uniqueName="19" name="F19" queryTableFieldId="19" dataDxfId="1569" dataCellStyle="一般 2"/>
    <tableColumn id="20" uniqueName="20" name="F20" queryTableFieldId="20" dataDxfId="1568" dataCellStyle="一般 2"/>
    <tableColumn id="21" uniqueName="21" name="F21" queryTableFieldId="21" dataDxfId="1567" dataCellStyle="一般 2"/>
    <tableColumn id="22" uniqueName="22" name="2024/6/24 14:52" queryTableFieldId="22" dataDxfId="1566" dataCellStyle="一般 2"/>
    <tableColumn id="23" uniqueName="23" name="F23" queryTableFieldId="23" dataDxfId="1565" dataCellStyle="一般 2"/>
    <tableColumn id="24" uniqueName="24" name="F24" queryTableFieldId="24" dataDxfId="1564" dataCellStyle="一般 2"/>
    <tableColumn id="25" uniqueName="25" name="F25" queryTableFieldId="25" dataDxfId="1563" dataCellStyle="一般 2"/>
    <tableColumn id="26" uniqueName="26" name="F26" queryTableFieldId="26" dataDxfId="1562" dataCellStyle="一般 2"/>
    <tableColumn id="27" uniqueName="27" name="F27" queryTableFieldId="27" dataDxfId="1561" dataCellStyle="一般 2"/>
    <tableColumn id="28" uniqueName="28" name="F28" queryTableFieldId="28" dataDxfId="1560" dataCellStyle="一般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7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8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8" ref="AG13:BH189" tableType="queryTable" totalsRowShown="0" headerRowDxfId="1459" dataDxfId="1458" headerRowCellStyle="一般 2" dataCellStyle="一般 2">
  <autoFilter ref="AG13:BH189"/>
  <tableColumns count="28">
    <tableColumn id="1" uniqueName="1" name="請直接以10進位，謝謝" queryTableFieldId="1" dataDxfId="1457" dataCellStyle="一般 2"/>
    <tableColumn id="2" uniqueName="2" name="F2" queryTableFieldId="2" dataDxfId="1456" dataCellStyle="一般 2"/>
    <tableColumn id="3" uniqueName="3" name="F3" queryTableFieldId="3" dataDxfId="1455" dataCellStyle="一般 2"/>
    <tableColumn id="4" uniqueName="4" name="F4" queryTableFieldId="4" dataDxfId="1454" dataCellStyle="一般 2"/>
    <tableColumn id="5" uniqueName="5" name="F5" queryTableFieldId="5" dataDxfId="1453" dataCellStyle="一般 2"/>
    <tableColumn id="6" uniqueName="6" name="F6" queryTableFieldId="6" dataDxfId="1452" dataCellStyle="一般 2"/>
    <tableColumn id="7" uniqueName="7" name="F7" queryTableFieldId="7" dataDxfId="1451" dataCellStyle="一般 2"/>
    <tableColumn id="8" uniqueName="8" name="F8" queryTableFieldId="8" dataDxfId="1450" dataCellStyle="一般 2"/>
    <tableColumn id="9" uniqueName="9" name="F9" queryTableFieldId="9" dataDxfId="1449" dataCellStyle="一般 2"/>
    <tableColumn id="10" uniqueName="10" name="F10" queryTableFieldId="10" dataDxfId="1448" dataCellStyle="一般 2"/>
    <tableColumn id="11" uniqueName="11" name="F11" queryTableFieldId="11" dataDxfId="1447" dataCellStyle="一般 2"/>
    <tableColumn id="12" uniqueName="12" name="F12" queryTableFieldId="12" dataDxfId="1446" dataCellStyle="一般 2"/>
    <tableColumn id="13" uniqueName="13" name="F13" queryTableFieldId="13" dataDxfId="1445" dataCellStyle="一般 2"/>
    <tableColumn id="14" uniqueName="14" name="F14" queryTableFieldId="14" dataDxfId="1444" dataCellStyle="一般 2"/>
    <tableColumn id="15" uniqueName="15" name="F15" queryTableFieldId="15" dataDxfId="1443" dataCellStyle="一般 2"/>
    <tableColumn id="16" uniqueName="16" name="F16" queryTableFieldId="16" dataDxfId="1442" dataCellStyle="一般 2"/>
    <tableColumn id="17" uniqueName="17" name="F17" queryTableFieldId="17" dataDxfId="1441" dataCellStyle="一般 2"/>
    <tableColumn id="18" uniqueName="18" name="F18" queryTableFieldId="18" dataDxfId="1440" dataCellStyle="一般 2"/>
    <tableColumn id="19" uniqueName="19" name="F19" queryTableFieldId="19" dataDxfId="1439" dataCellStyle="一般 2"/>
    <tableColumn id="20" uniqueName="20" name="F20" queryTableFieldId="20" dataDxfId="1438" dataCellStyle="一般 2"/>
    <tableColumn id="21" uniqueName="21" name="F21" queryTableFieldId="21" dataDxfId="1437" dataCellStyle="一般 2"/>
    <tableColumn id="22" uniqueName="22" name="2024/6/24 14:52" queryTableFieldId="22" dataDxfId="1436" dataCellStyle="一般 2"/>
    <tableColumn id="23" uniqueName="23" name="F23" queryTableFieldId="23" dataDxfId="1435" dataCellStyle="一般 2"/>
    <tableColumn id="24" uniqueName="24" name="F24" queryTableFieldId="24" dataDxfId="1434" dataCellStyle="一般 2"/>
    <tableColumn id="25" uniqueName="25" name="F25" queryTableFieldId="25" dataDxfId="1433" dataCellStyle="一般 2"/>
    <tableColumn id="26" uniqueName="26" name="F26" queryTableFieldId="26" dataDxfId="1432" dataCellStyle="一般 2"/>
    <tableColumn id="27" uniqueName="27" name="F27" queryTableFieldId="27" dataDxfId="1431" dataCellStyle="一般 2"/>
    <tableColumn id="28" uniqueName="28" name="F28" queryTableFieldId="28" dataDxfId="1430" dataCellStyle="一般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8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9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9" ref="AG13:BH189" tableType="queryTable" totalsRowShown="0" headerRowDxfId="1329" dataDxfId="1328" headerRowCellStyle="一般 2" dataCellStyle="一般 2">
  <autoFilter ref="AG13:BH189"/>
  <tableColumns count="28">
    <tableColumn id="1" uniqueName="1" name="請直接以10進位，謝謝" queryTableFieldId="1" dataDxfId="1327" dataCellStyle="一般 2"/>
    <tableColumn id="2" uniqueName="2" name="F2" queryTableFieldId="2" dataDxfId="1326" dataCellStyle="一般 2"/>
    <tableColumn id="3" uniqueName="3" name="F3" queryTableFieldId="3" dataDxfId="1325" dataCellStyle="一般 2"/>
    <tableColumn id="4" uniqueName="4" name="F4" queryTableFieldId="4" dataDxfId="1324" dataCellStyle="一般 2"/>
    <tableColumn id="5" uniqueName="5" name="F5" queryTableFieldId="5" dataDxfId="1323" dataCellStyle="一般 2"/>
    <tableColumn id="6" uniqueName="6" name="F6" queryTableFieldId="6" dataDxfId="1322" dataCellStyle="一般 2"/>
    <tableColumn id="7" uniqueName="7" name="F7" queryTableFieldId="7" dataDxfId="1321" dataCellStyle="一般 2"/>
    <tableColumn id="8" uniqueName="8" name="F8" queryTableFieldId="8" dataDxfId="1320" dataCellStyle="一般 2"/>
    <tableColumn id="9" uniqueName="9" name="F9" queryTableFieldId="9" dataDxfId="1319" dataCellStyle="一般 2"/>
    <tableColumn id="10" uniqueName="10" name="F10" queryTableFieldId="10" dataDxfId="1318" dataCellStyle="一般 2"/>
    <tableColumn id="11" uniqueName="11" name="F11" queryTableFieldId="11" dataDxfId="1317" dataCellStyle="一般 2"/>
    <tableColumn id="12" uniqueName="12" name="F12" queryTableFieldId="12" dataDxfId="1316" dataCellStyle="一般 2"/>
    <tableColumn id="13" uniqueName="13" name="F13" queryTableFieldId="13" dataDxfId="1315" dataCellStyle="一般 2"/>
    <tableColumn id="14" uniqueName="14" name="F14" queryTableFieldId="14" dataDxfId="1314" dataCellStyle="一般 2"/>
    <tableColumn id="15" uniqueName="15" name="F15" queryTableFieldId="15" dataDxfId="1313" dataCellStyle="一般 2"/>
    <tableColumn id="16" uniqueName="16" name="F16" queryTableFieldId="16" dataDxfId="1312" dataCellStyle="一般 2"/>
    <tableColumn id="17" uniqueName="17" name="F17" queryTableFieldId="17" dataDxfId="1311" dataCellStyle="一般 2"/>
    <tableColumn id="18" uniqueName="18" name="F18" queryTableFieldId="18" dataDxfId="1310" dataCellStyle="一般 2"/>
    <tableColumn id="19" uniqueName="19" name="F19" queryTableFieldId="19" dataDxfId="1309" dataCellStyle="一般 2"/>
    <tableColumn id="20" uniqueName="20" name="F20" queryTableFieldId="20" dataDxfId="1308" dataCellStyle="一般 2"/>
    <tableColumn id="21" uniqueName="21" name="F21" queryTableFieldId="21" dataDxfId="1307" dataCellStyle="一般 2"/>
    <tableColumn id="22" uniqueName="22" name="2024/6/24 14:52" queryTableFieldId="22" dataDxfId="1306" dataCellStyle="一般 2"/>
    <tableColumn id="23" uniqueName="23" name="F23" queryTableFieldId="23" dataDxfId="1305" dataCellStyle="一般 2"/>
    <tableColumn id="24" uniqueName="24" name="F24" queryTableFieldId="24" dataDxfId="1304" dataCellStyle="一般 2"/>
    <tableColumn id="25" uniqueName="25" name="F25" queryTableFieldId="25" dataDxfId="1303" dataCellStyle="一般 2"/>
    <tableColumn id="26" uniqueName="26" name="F26" queryTableFieldId="26" dataDxfId="1302" dataCellStyle="一般 2"/>
    <tableColumn id="27" uniqueName="27" name="F27" queryTableFieldId="27" dataDxfId="1301" dataCellStyle="一般 2"/>
    <tableColumn id="28" uniqueName="28" name="F28" queryTableFieldId="28" dataDxfId="1300" dataCellStyle="一般 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2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4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4" ref="AG13:BH189" tableType="queryTable" totalsRowShown="0" headerRowDxfId="1199" dataDxfId="1198" headerRowCellStyle="一般 2" dataCellStyle="一般 2">
  <autoFilter ref="AG13:BH189"/>
  <tableColumns count="28">
    <tableColumn id="1" uniqueName="1" name="請直接以10進位，謝謝" queryTableFieldId="1" dataDxfId="1197" dataCellStyle="一般 2"/>
    <tableColumn id="2" uniqueName="2" name="F2" queryTableFieldId="2" dataDxfId="1196" dataCellStyle="一般 2"/>
    <tableColumn id="3" uniqueName="3" name="F3" queryTableFieldId="3" dataDxfId="1195" dataCellStyle="一般 2"/>
    <tableColumn id="4" uniqueName="4" name="F4" queryTableFieldId="4" dataDxfId="1194" dataCellStyle="一般 2"/>
    <tableColumn id="5" uniqueName="5" name="F5" queryTableFieldId="5" dataDxfId="1193" dataCellStyle="一般 2"/>
    <tableColumn id="6" uniqueName="6" name="F6" queryTableFieldId="6" dataDxfId="1192" dataCellStyle="一般 2"/>
    <tableColumn id="7" uniqueName="7" name="F7" queryTableFieldId="7" dataDxfId="1191" dataCellStyle="一般 2"/>
    <tableColumn id="8" uniqueName="8" name="F8" queryTableFieldId="8" dataDxfId="1190" dataCellStyle="一般 2"/>
    <tableColumn id="9" uniqueName="9" name="F9" queryTableFieldId="9" dataDxfId="1189" dataCellStyle="一般 2"/>
    <tableColumn id="10" uniqueName="10" name="F10" queryTableFieldId="10" dataDxfId="1188" dataCellStyle="一般 2"/>
    <tableColumn id="11" uniqueName="11" name="F11" queryTableFieldId="11" dataDxfId="1187" dataCellStyle="一般 2"/>
    <tableColumn id="12" uniqueName="12" name="F12" queryTableFieldId="12" dataDxfId="1186" dataCellStyle="一般 2"/>
    <tableColumn id="13" uniqueName="13" name="F13" queryTableFieldId="13" dataDxfId="1185" dataCellStyle="一般 2"/>
    <tableColumn id="14" uniqueName="14" name="F14" queryTableFieldId="14" dataDxfId="1184" dataCellStyle="一般 2"/>
    <tableColumn id="15" uniqueName="15" name="F15" queryTableFieldId="15" dataDxfId="1183" dataCellStyle="一般 2"/>
    <tableColumn id="16" uniqueName="16" name="F16" queryTableFieldId="16" dataDxfId="1182" dataCellStyle="一般 2"/>
    <tableColumn id="17" uniqueName="17" name="F17" queryTableFieldId="17" dataDxfId="1181" dataCellStyle="一般 2"/>
    <tableColumn id="18" uniqueName="18" name="F18" queryTableFieldId="18" dataDxfId="1180" dataCellStyle="一般 2"/>
    <tableColumn id="19" uniqueName="19" name="F19" queryTableFieldId="19" dataDxfId="1179" dataCellStyle="一般 2"/>
    <tableColumn id="20" uniqueName="20" name="F20" queryTableFieldId="20" dataDxfId="1178" dataCellStyle="一般 2"/>
    <tableColumn id="21" uniqueName="21" name="F21" queryTableFieldId="21" dataDxfId="1177" dataCellStyle="一般 2"/>
    <tableColumn id="22" uniqueName="22" name="2024/6/24 14:52" queryTableFieldId="22" dataDxfId="1176" dataCellStyle="一般 2"/>
    <tableColumn id="23" uniqueName="23" name="F23" queryTableFieldId="23" dataDxfId="1175" dataCellStyle="一般 2"/>
    <tableColumn id="24" uniqueName="24" name="F24" queryTableFieldId="24" dataDxfId="1174" dataCellStyle="一般 2"/>
    <tableColumn id="25" uniqueName="25" name="F25" queryTableFieldId="25" dataDxfId="1173" dataCellStyle="一般 2"/>
    <tableColumn id="26" uniqueName="26" name="F26" queryTableFieldId="26" dataDxfId="1172" dataCellStyle="一般 2"/>
    <tableColumn id="27" uniqueName="27" name="F27" queryTableFieldId="27" dataDxfId="1171" dataCellStyle="一般 2"/>
    <tableColumn id="28" uniqueName="28" name="F28" queryTableFieldId="28" dataDxfId="1170" dataCellStyle="一般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3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0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0" ref="AG13:BH189" tableType="queryTable" totalsRowShown="0" headerRowDxfId="1069" dataDxfId="1068" headerRowCellStyle="一般 2" dataCellStyle="一般 2">
  <autoFilter ref="AG13:BH189"/>
  <tableColumns count="28">
    <tableColumn id="1" uniqueName="1" name="請直接以10進位，謝謝" queryTableFieldId="1" dataDxfId="1067" dataCellStyle="一般 2"/>
    <tableColumn id="2" uniqueName="2" name="F2" queryTableFieldId="2" dataDxfId="1066" dataCellStyle="一般 2"/>
    <tableColumn id="3" uniqueName="3" name="F3" queryTableFieldId="3" dataDxfId="1065" dataCellStyle="一般 2"/>
    <tableColumn id="4" uniqueName="4" name="F4" queryTableFieldId="4" dataDxfId="1064" dataCellStyle="一般 2"/>
    <tableColumn id="5" uniqueName="5" name="F5" queryTableFieldId="5" dataDxfId="1063" dataCellStyle="一般 2"/>
    <tableColumn id="6" uniqueName="6" name="F6" queryTableFieldId="6" dataDxfId="1062" dataCellStyle="一般 2"/>
    <tableColumn id="7" uniqueName="7" name="F7" queryTableFieldId="7" dataDxfId="1061" dataCellStyle="一般 2"/>
    <tableColumn id="8" uniqueName="8" name="F8" queryTableFieldId="8" dataDxfId="1060" dataCellStyle="一般 2"/>
    <tableColumn id="9" uniqueName="9" name="F9" queryTableFieldId="9" dataDxfId="1059" dataCellStyle="一般 2"/>
    <tableColumn id="10" uniqueName="10" name="F10" queryTableFieldId="10" dataDxfId="1058" dataCellStyle="一般 2"/>
    <tableColumn id="11" uniqueName="11" name="F11" queryTableFieldId="11" dataDxfId="1057" dataCellStyle="一般 2"/>
    <tableColumn id="12" uniqueName="12" name="F12" queryTableFieldId="12" dataDxfId="1056" dataCellStyle="一般 2"/>
    <tableColumn id="13" uniqueName="13" name="F13" queryTableFieldId="13" dataDxfId="1055" dataCellStyle="一般 2"/>
    <tableColumn id="14" uniqueName="14" name="F14" queryTableFieldId="14" dataDxfId="1054" dataCellStyle="一般 2"/>
    <tableColumn id="15" uniqueName="15" name="F15" queryTableFieldId="15" dataDxfId="1053" dataCellStyle="一般 2"/>
    <tableColumn id="16" uniqueName="16" name="F16" queryTableFieldId="16" dataDxfId="1052" dataCellStyle="一般 2"/>
    <tableColumn id="17" uniqueName="17" name="F17" queryTableFieldId="17" dataDxfId="1051" dataCellStyle="一般 2"/>
    <tableColumn id="18" uniqueName="18" name="F18" queryTableFieldId="18" dataDxfId="1050" dataCellStyle="一般 2"/>
    <tableColumn id="19" uniqueName="19" name="F19" queryTableFieldId="19" dataDxfId="1049" dataCellStyle="一般 2"/>
    <tableColumn id="20" uniqueName="20" name="F20" queryTableFieldId="20" dataDxfId="1048" dataCellStyle="一般 2"/>
    <tableColumn id="21" uniqueName="21" name="F21" queryTableFieldId="21" dataDxfId="1047" dataCellStyle="一般 2"/>
    <tableColumn id="22" uniqueName="22" name="2024/6/24 14:52" queryTableFieldId="22" dataDxfId="1046" dataCellStyle="一般 2"/>
    <tableColumn id="23" uniqueName="23" name="F23" queryTableFieldId="23" dataDxfId="1045" dataCellStyle="一般 2"/>
    <tableColumn id="24" uniqueName="24" name="F24" queryTableFieldId="24" dataDxfId="1044" dataCellStyle="一般 2"/>
    <tableColumn id="25" uniqueName="25" name="F25" queryTableFieldId="25" dataDxfId="1043" dataCellStyle="一般 2"/>
    <tableColumn id="26" uniqueName="26" name="F26" queryTableFieldId="26" dataDxfId="1042" dataCellStyle="一般 2"/>
    <tableColumn id="27" uniqueName="27" name="F27" queryTableFieldId="27" dataDxfId="1041" dataCellStyle="一般 2"/>
    <tableColumn id="28" uniqueName="28" name="F28" queryTableFieldId="28" dataDxfId="1040" dataCellStyle="一般 2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4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1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1" ref="AG13:BH189" tableType="queryTable" totalsRowShown="0" headerRowDxfId="939" dataDxfId="938" headerRowCellStyle="一般 2" dataCellStyle="一般 2">
  <autoFilter ref="AG13:BH189"/>
  <tableColumns count="28">
    <tableColumn id="1" uniqueName="1" name="請直接以10進位，謝謝" queryTableFieldId="1" dataDxfId="937" dataCellStyle="一般 2"/>
    <tableColumn id="2" uniqueName="2" name="F2" queryTableFieldId="2" dataDxfId="936" dataCellStyle="一般 2"/>
    <tableColumn id="3" uniqueName="3" name="F3" queryTableFieldId="3" dataDxfId="935" dataCellStyle="一般 2"/>
    <tableColumn id="4" uniqueName="4" name="F4" queryTableFieldId="4" dataDxfId="934" dataCellStyle="一般 2"/>
    <tableColumn id="5" uniqueName="5" name="F5" queryTableFieldId="5" dataDxfId="933" dataCellStyle="一般 2"/>
    <tableColumn id="6" uniqueName="6" name="F6" queryTableFieldId="6" dataDxfId="932" dataCellStyle="一般 2"/>
    <tableColumn id="7" uniqueName="7" name="F7" queryTableFieldId="7" dataDxfId="931" dataCellStyle="一般 2"/>
    <tableColumn id="8" uniqueName="8" name="F8" queryTableFieldId="8" dataDxfId="930" dataCellStyle="一般 2"/>
    <tableColumn id="9" uniqueName="9" name="F9" queryTableFieldId="9" dataDxfId="929" dataCellStyle="一般 2"/>
    <tableColumn id="10" uniqueName="10" name="F10" queryTableFieldId="10" dataDxfId="928" dataCellStyle="一般 2"/>
    <tableColumn id="11" uniqueName="11" name="F11" queryTableFieldId="11" dataDxfId="927" dataCellStyle="一般 2"/>
    <tableColumn id="12" uniqueName="12" name="F12" queryTableFieldId="12" dataDxfId="926" dataCellStyle="一般 2"/>
    <tableColumn id="13" uniqueName="13" name="F13" queryTableFieldId="13" dataDxfId="925" dataCellStyle="一般 2"/>
    <tableColumn id="14" uniqueName="14" name="F14" queryTableFieldId="14" dataDxfId="924" dataCellStyle="一般 2"/>
    <tableColumn id="15" uniqueName="15" name="F15" queryTableFieldId="15" dataDxfId="923" dataCellStyle="一般 2"/>
    <tableColumn id="16" uniqueName="16" name="F16" queryTableFieldId="16" dataDxfId="922" dataCellStyle="一般 2"/>
    <tableColumn id="17" uniqueName="17" name="F17" queryTableFieldId="17" dataDxfId="921" dataCellStyle="一般 2"/>
    <tableColumn id="18" uniqueName="18" name="F18" queryTableFieldId="18" dataDxfId="920" dataCellStyle="一般 2"/>
    <tableColumn id="19" uniqueName="19" name="F19" queryTableFieldId="19" dataDxfId="919" dataCellStyle="一般 2"/>
    <tableColumn id="20" uniqueName="20" name="F20" queryTableFieldId="20" dataDxfId="918" dataCellStyle="一般 2"/>
    <tableColumn id="21" uniqueName="21" name="F21" queryTableFieldId="21" dataDxfId="917" dataCellStyle="一般 2"/>
    <tableColumn id="22" uniqueName="22" name="2024/6/24 14:52" queryTableFieldId="22" dataDxfId="916" dataCellStyle="一般 2"/>
    <tableColumn id="23" uniqueName="23" name="F23" queryTableFieldId="23" dataDxfId="915" dataCellStyle="一般 2"/>
    <tableColumn id="24" uniqueName="24" name="F24" queryTableFieldId="24" dataDxfId="914" dataCellStyle="一般 2"/>
    <tableColumn id="25" uniqueName="25" name="F25" queryTableFieldId="25" dataDxfId="913" dataCellStyle="一般 2"/>
    <tableColumn id="26" uniqueName="26" name="F26" queryTableFieldId="26" dataDxfId="912" dataCellStyle="一般 2"/>
    <tableColumn id="27" uniqueName="27" name="F27" queryTableFieldId="27" dataDxfId="911" dataCellStyle="一般 2"/>
    <tableColumn id="28" uniqueName="28" name="F28" queryTableFieldId="28" dataDxfId="910" dataCellStyle="一般 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5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2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2" ref="AG13:BH189" tableType="queryTable" totalsRowShown="0" headerRowDxfId="809" dataDxfId="808" headerRowCellStyle="一般 2" dataCellStyle="一般 2">
  <autoFilter ref="AG13:BH189"/>
  <tableColumns count="28">
    <tableColumn id="1" uniqueName="1" name="請直接以10進位，謝謝" queryTableFieldId="1" dataDxfId="807" dataCellStyle="一般 2"/>
    <tableColumn id="2" uniqueName="2" name="F2" queryTableFieldId="2" dataDxfId="806" dataCellStyle="一般 2"/>
    <tableColumn id="3" uniqueName="3" name="F3" queryTableFieldId="3" dataDxfId="805" dataCellStyle="一般 2"/>
    <tableColumn id="4" uniqueName="4" name="F4" queryTableFieldId="4" dataDxfId="804" dataCellStyle="一般 2"/>
    <tableColumn id="5" uniqueName="5" name="F5" queryTableFieldId="5" dataDxfId="803" dataCellStyle="一般 2"/>
    <tableColumn id="6" uniqueName="6" name="F6" queryTableFieldId="6" dataDxfId="802" dataCellStyle="一般 2"/>
    <tableColumn id="7" uniqueName="7" name="F7" queryTableFieldId="7" dataDxfId="801" dataCellStyle="一般 2"/>
    <tableColumn id="8" uniqueName="8" name="F8" queryTableFieldId="8" dataDxfId="800" dataCellStyle="一般 2"/>
    <tableColumn id="9" uniqueName="9" name="F9" queryTableFieldId="9" dataDxfId="799" dataCellStyle="一般 2"/>
    <tableColumn id="10" uniqueName="10" name="F10" queryTableFieldId="10" dataDxfId="798" dataCellStyle="一般 2"/>
    <tableColumn id="11" uniqueName="11" name="F11" queryTableFieldId="11" dataDxfId="797" dataCellStyle="一般 2"/>
    <tableColumn id="12" uniqueName="12" name="F12" queryTableFieldId="12" dataDxfId="796" dataCellStyle="一般 2"/>
    <tableColumn id="13" uniqueName="13" name="F13" queryTableFieldId="13" dataDxfId="795" dataCellStyle="一般 2"/>
    <tableColumn id="14" uniqueName="14" name="F14" queryTableFieldId="14" dataDxfId="794" dataCellStyle="一般 2"/>
    <tableColumn id="15" uniqueName="15" name="F15" queryTableFieldId="15" dataDxfId="793" dataCellStyle="一般 2"/>
    <tableColumn id="16" uniqueName="16" name="F16" queryTableFieldId="16" dataDxfId="792" dataCellStyle="一般 2"/>
    <tableColumn id="17" uniqueName="17" name="F17" queryTableFieldId="17" dataDxfId="791" dataCellStyle="一般 2"/>
    <tableColumn id="18" uniqueName="18" name="F18" queryTableFieldId="18" dataDxfId="790" dataCellStyle="一般 2"/>
    <tableColumn id="19" uniqueName="19" name="F19" queryTableFieldId="19" dataDxfId="789" dataCellStyle="一般 2"/>
    <tableColumn id="20" uniqueName="20" name="F20" queryTableFieldId="20" dataDxfId="788" dataCellStyle="一般 2"/>
    <tableColumn id="21" uniqueName="21" name="F21" queryTableFieldId="21" dataDxfId="787" dataCellStyle="一般 2"/>
    <tableColumn id="22" uniqueName="22" name="2024/6/24 14:52" queryTableFieldId="22" dataDxfId="786" dataCellStyle="一般 2"/>
    <tableColumn id="23" uniqueName="23" name="F23" queryTableFieldId="23" dataDxfId="785" dataCellStyle="一般 2"/>
    <tableColumn id="24" uniqueName="24" name="F24" queryTableFieldId="24" dataDxfId="784" dataCellStyle="一般 2"/>
    <tableColumn id="25" uniqueName="25" name="F25" queryTableFieldId="25" dataDxfId="783" dataCellStyle="一般 2"/>
    <tableColumn id="26" uniqueName="26" name="F26" queryTableFieldId="26" dataDxfId="782" dataCellStyle="一般 2"/>
    <tableColumn id="27" uniqueName="27" name="F27" queryTableFieldId="27" dataDxfId="781" dataCellStyle="一般 2"/>
    <tableColumn id="28" uniqueName="28" name="F28" queryTableFieldId="28" dataDxfId="780" dataCellStyle="一般 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9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0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0" ref="AG13:BH189" tableType="queryTable" totalsRowShown="0" headerRowDxfId="679" dataDxfId="678" headerRowCellStyle="一般 2" dataCellStyle="一般 2">
  <autoFilter ref="AG13:BH189"/>
  <tableColumns count="28">
    <tableColumn id="1" uniqueName="1" name="請直接以10進位，謝謝" queryTableFieldId="1" dataDxfId="677" dataCellStyle="一般 2"/>
    <tableColumn id="2" uniqueName="2" name="F2" queryTableFieldId="2" dataDxfId="676" dataCellStyle="一般 2"/>
    <tableColumn id="3" uniqueName="3" name="F3" queryTableFieldId="3" dataDxfId="675" dataCellStyle="一般 2"/>
    <tableColumn id="4" uniqueName="4" name="F4" queryTableFieldId="4" dataDxfId="674" dataCellStyle="一般 2"/>
    <tableColumn id="5" uniqueName="5" name="F5" queryTableFieldId="5" dataDxfId="673" dataCellStyle="一般 2"/>
    <tableColumn id="6" uniqueName="6" name="F6" queryTableFieldId="6" dataDxfId="672" dataCellStyle="一般 2"/>
    <tableColumn id="7" uniqueName="7" name="F7" queryTableFieldId="7" dataDxfId="671" dataCellStyle="一般 2"/>
    <tableColumn id="8" uniqueName="8" name="F8" queryTableFieldId="8" dataDxfId="670" dataCellStyle="一般 2"/>
    <tableColumn id="9" uniqueName="9" name="F9" queryTableFieldId="9" dataDxfId="669" dataCellStyle="一般 2"/>
    <tableColumn id="10" uniqueName="10" name="F10" queryTableFieldId="10" dataDxfId="668" dataCellStyle="一般 2"/>
    <tableColumn id="11" uniqueName="11" name="F11" queryTableFieldId="11" dataDxfId="667" dataCellStyle="一般 2"/>
    <tableColumn id="12" uniqueName="12" name="F12" queryTableFieldId="12" dataDxfId="666" dataCellStyle="一般 2"/>
    <tableColumn id="13" uniqueName="13" name="F13" queryTableFieldId="13" dataDxfId="665" dataCellStyle="一般 2"/>
    <tableColumn id="14" uniqueName="14" name="F14" queryTableFieldId="14" dataDxfId="664" dataCellStyle="一般 2"/>
    <tableColumn id="15" uniqueName="15" name="F15" queryTableFieldId="15" dataDxfId="663" dataCellStyle="一般 2"/>
    <tableColumn id="16" uniqueName="16" name="F16" queryTableFieldId="16" dataDxfId="662" dataCellStyle="一般 2"/>
    <tableColumn id="17" uniqueName="17" name="F17" queryTableFieldId="17" dataDxfId="661" dataCellStyle="一般 2"/>
    <tableColumn id="18" uniqueName="18" name="F18" queryTableFieldId="18" dataDxfId="660" dataCellStyle="一般 2"/>
    <tableColumn id="19" uniqueName="19" name="F19" queryTableFieldId="19" dataDxfId="659" dataCellStyle="一般 2"/>
    <tableColumn id="20" uniqueName="20" name="F20" queryTableFieldId="20" dataDxfId="658" dataCellStyle="一般 2"/>
    <tableColumn id="21" uniqueName="21" name="F21" queryTableFieldId="21" dataDxfId="657" dataCellStyle="一般 2"/>
    <tableColumn id="22" uniqueName="22" name="2024/6/24 14:52" queryTableFieldId="22" dataDxfId="656" dataCellStyle="一般 2"/>
    <tableColumn id="23" uniqueName="23" name="F23" queryTableFieldId="23" dataDxfId="655" dataCellStyle="一般 2"/>
    <tableColumn id="24" uniqueName="24" name="F24" queryTableFieldId="24" dataDxfId="654" dataCellStyle="一般 2"/>
    <tableColumn id="25" uniqueName="25" name="F25" queryTableFieldId="25" dataDxfId="653" dataCellStyle="一般 2"/>
    <tableColumn id="26" uniqueName="26" name="F26" queryTableFieldId="26" dataDxfId="652" dataCellStyle="一般 2"/>
    <tableColumn id="27" uniqueName="27" name="F27" queryTableFieldId="27" dataDxfId="651" dataCellStyle="一般 2"/>
    <tableColumn id="28" uniqueName="28" name="F28" queryTableFieldId="28" dataDxfId="650" dataCellStyle="一般 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0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1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1" ref="AG13:BH189" tableType="queryTable" totalsRowShown="0" headerRowDxfId="549" dataDxfId="548" headerRowCellStyle="一般 2" dataCellStyle="一般 2">
  <autoFilter ref="AG13:BH189"/>
  <tableColumns count="28">
    <tableColumn id="1" uniqueName="1" name="請直接以10進位，謝謝" queryTableFieldId="1" dataDxfId="547" dataCellStyle="一般 2"/>
    <tableColumn id="2" uniqueName="2" name="F2" queryTableFieldId="2" dataDxfId="546" dataCellStyle="一般 2"/>
    <tableColumn id="3" uniqueName="3" name="F3" queryTableFieldId="3" dataDxfId="545" dataCellStyle="一般 2"/>
    <tableColumn id="4" uniqueName="4" name="F4" queryTableFieldId="4" dataDxfId="544" dataCellStyle="一般 2"/>
    <tableColumn id="5" uniqueName="5" name="F5" queryTableFieldId="5" dataDxfId="543" dataCellStyle="一般 2"/>
    <tableColumn id="6" uniqueName="6" name="F6" queryTableFieldId="6" dataDxfId="542" dataCellStyle="一般 2"/>
    <tableColumn id="7" uniqueName="7" name="F7" queryTableFieldId="7" dataDxfId="541" dataCellStyle="一般 2"/>
    <tableColumn id="8" uniqueName="8" name="F8" queryTableFieldId="8" dataDxfId="540" dataCellStyle="一般 2"/>
    <tableColumn id="9" uniqueName="9" name="F9" queryTableFieldId="9" dataDxfId="539" dataCellStyle="一般 2"/>
    <tableColumn id="10" uniqueName="10" name="F10" queryTableFieldId="10" dataDxfId="538" dataCellStyle="一般 2"/>
    <tableColumn id="11" uniqueName="11" name="F11" queryTableFieldId="11" dataDxfId="537" dataCellStyle="一般 2"/>
    <tableColumn id="12" uniqueName="12" name="F12" queryTableFieldId="12" dataDxfId="536" dataCellStyle="一般 2"/>
    <tableColumn id="13" uniqueName="13" name="F13" queryTableFieldId="13" dataDxfId="535" dataCellStyle="一般 2"/>
    <tableColumn id="14" uniqueName="14" name="F14" queryTableFieldId="14" dataDxfId="534" dataCellStyle="一般 2"/>
    <tableColumn id="15" uniqueName="15" name="F15" queryTableFieldId="15" dataDxfId="533" dataCellStyle="一般 2"/>
    <tableColumn id="16" uniqueName="16" name="F16" queryTableFieldId="16" dataDxfId="532" dataCellStyle="一般 2"/>
    <tableColumn id="17" uniqueName="17" name="F17" queryTableFieldId="17" dataDxfId="531" dataCellStyle="一般 2"/>
    <tableColumn id="18" uniqueName="18" name="F18" queryTableFieldId="18" dataDxfId="530" dataCellStyle="一般 2"/>
    <tableColumn id="19" uniqueName="19" name="F19" queryTableFieldId="19" dataDxfId="529" dataCellStyle="一般 2"/>
    <tableColumn id="20" uniqueName="20" name="F20" queryTableFieldId="20" dataDxfId="528" dataCellStyle="一般 2"/>
    <tableColumn id="21" uniqueName="21" name="F21" queryTableFieldId="21" dataDxfId="527" dataCellStyle="一般 2"/>
    <tableColumn id="22" uniqueName="22" name="2024/6/24 14:52" queryTableFieldId="22" dataDxfId="526" dataCellStyle="一般 2"/>
    <tableColumn id="23" uniqueName="23" name="F23" queryTableFieldId="23" dataDxfId="525" dataCellStyle="一般 2"/>
    <tableColumn id="24" uniqueName="24" name="F24" queryTableFieldId="24" dataDxfId="524" dataCellStyle="一般 2"/>
    <tableColumn id="25" uniqueName="25" name="F25" queryTableFieldId="25" dataDxfId="523" dataCellStyle="一般 2"/>
    <tableColumn id="26" uniqueName="26" name="F26" queryTableFieldId="26" dataDxfId="522" dataCellStyle="一般 2"/>
    <tableColumn id="27" uniqueName="27" name="F27" queryTableFieldId="27" dataDxfId="521" dataCellStyle="一般 2"/>
    <tableColumn id="28" uniqueName="28" name="F28" queryTableFieldId="28" dataDxfId="520" dataCellStyle="一般 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1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2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2" ref="AG13:BH189" tableType="queryTable" totalsRowShown="0" headerRowDxfId="419" dataDxfId="418" headerRowCellStyle="一般 2" dataCellStyle="一般 2">
  <autoFilter ref="AG13:BH189"/>
  <tableColumns count="28">
    <tableColumn id="1" uniqueName="1" name="請直接以10進位，謝謝" queryTableFieldId="1" dataDxfId="417" dataCellStyle="一般 2"/>
    <tableColumn id="2" uniqueName="2" name="F2" queryTableFieldId="2" dataDxfId="416" dataCellStyle="一般 2"/>
    <tableColumn id="3" uniqueName="3" name="F3" queryTableFieldId="3" dataDxfId="415" dataCellStyle="一般 2"/>
    <tableColumn id="4" uniqueName="4" name="F4" queryTableFieldId="4" dataDxfId="414" dataCellStyle="一般 2"/>
    <tableColumn id="5" uniqueName="5" name="F5" queryTableFieldId="5" dataDxfId="413" dataCellStyle="一般 2"/>
    <tableColumn id="6" uniqueName="6" name="F6" queryTableFieldId="6" dataDxfId="412" dataCellStyle="一般 2"/>
    <tableColumn id="7" uniqueName="7" name="F7" queryTableFieldId="7" dataDxfId="411" dataCellStyle="一般 2"/>
    <tableColumn id="8" uniqueName="8" name="F8" queryTableFieldId="8" dataDxfId="410" dataCellStyle="一般 2"/>
    <tableColumn id="9" uniqueName="9" name="F9" queryTableFieldId="9" dataDxfId="409" dataCellStyle="一般 2"/>
    <tableColumn id="10" uniqueName="10" name="F10" queryTableFieldId="10" dataDxfId="408" dataCellStyle="一般 2"/>
    <tableColumn id="11" uniqueName="11" name="F11" queryTableFieldId="11" dataDxfId="407" dataCellStyle="一般 2"/>
    <tableColumn id="12" uniqueName="12" name="F12" queryTableFieldId="12" dataDxfId="406" dataCellStyle="一般 2"/>
    <tableColumn id="13" uniqueName="13" name="F13" queryTableFieldId="13" dataDxfId="405" dataCellStyle="一般 2"/>
    <tableColumn id="14" uniqueName="14" name="F14" queryTableFieldId="14" dataDxfId="404" dataCellStyle="一般 2"/>
    <tableColumn id="15" uniqueName="15" name="F15" queryTableFieldId="15" dataDxfId="403" dataCellStyle="一般 2"/>
    <tableColumn id="16" uniqueName="16" name="F16" queryTableFieldId="16" dataDxfId="402" dataCellStyle="一般 2"/>
    <tableColumn id="17" uniqueName="17" name="F17" queryTableFieldId="17" dataDxfId="401" dataCellStyle="一般 2"/>
    <tableColumn id="18" uniqueName="18" name="F18" queryTableFieldId="18" dataDxfId="400" dataCellStyle="一般 2"/>
    <tableColumn id="19" uniqueName="19" name="F19" queryTableFieldId="19" dataDxfId="399" dataCellStyle="一般 2"/>
    <tableColumn id="20" uniqueName="20" name="F20" queryTableFieldId="20" dataDxfId="398" dataCellStyle="一般 2"/>
    <tableColumn id="21" uniqueName="21" name="F21" queryTableFieldId="21" dataDxfId="397" dataCellStyle="一般 2"/>
    <tableColumn id="22" uniqueName="22" name="2024/6/24 14:52" queryTableFieldId="22" dataDxfId="396" dataCellStyle="一般 2"/>
    <tableColumn id="23" uniqueName="23" name="F23" queryTableFieldId="23" dataDxfId="395" dataCellStyle="一般 2"/>
    <tableColumn id="24" uniqueName="24" name="F24" queryTableFieldId="24" dataDxfId="394" dataCellStyle="一般 2"/>
    <tableColumn id="25" uniqueName="25" name="F25" queryTableFieldId="25" dataDxfId="393" dataCellStyle="一般 2"/>
    <tableColumn id="26" uniqueName="26" name="F26" queryTableFieldId="26" dataDxfId="392" dataCellStyle="一般 2"/>
    <tableColumn id="27" uniqueName="27" name="F27" queryTableFieldId="27" dataDxfId="391" dataCellStyle="一般 2"/>
    <tableColumn id="28" uniqueName="28" name="F28" queryTableFieldId="28" dataDxfId="390" dataCellStyle="一般 2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3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3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3" ref="AG13:BH189" tableType="queryTable" totalsRowShown="0" headerRowDxfId="289" dataDxfId="288" headerRowCellStyle="一般 2" dataCellStyle="一般 2">
  <autoFilter ref="AG13:BH189"/>
  <tableColumns count="28">
    <tableColumn id="1" uniqueName="1" name="請直接以10進位，謝謝" queryTableFieldId="1" dataDxfId="287" dataCellStyle="一般 2"/>
    <tableColumn id="2" uniqueName="2" name="F2" queryTableFieldId="2" dataDxfId="286" dataCellStyle="一般 2"/>
    <tableColumn id="3" uniqueName="3" name="F3" queryTableFieldId="3" dataDxfId="285" dataCellStyle="一般 2"/>
    <tableColumn id="4" uniqueName="4" name="F4" queryTableFieldId="4" dataDxfId="284" dataCellStyle="一般 2"/>
    <tableColumn id="5" uniqueName="5" name="F5" queryTableFieldId="5" dataDxfId="283" dataCellStyle="一般 2"/>
    <tableColumn id="6" uniqueName="6" name="F6" queryTableFieldId="6" dataDxfId="282" dataCellStyle="一般 2"/>
    <tableColumn id="7" uniqueName="7" name="F7" queryTableFieldId="7" dataDxfId="281" dataCellStyle="一般 2"/>
    <tableColumn id="8" uniqueName="8" name="F8" queryTableFieldId="8" dataDxfId="280" dataCellStyle="一般 2"/>
    <tableColumn id="9" uniqueName="9" name="F9" queryTableFieldId="9" dataDxfId="279" dataCellStyle="一般 2"/>
    <tableColumn id="10" uniqueName="10" name="F10" queryTableFieldId="10" dataDxfId="278" dataCellStyle="一般 2"/>
    <tableColumn id="11" uniqueName="11" name="F11" queryTableFieldId="11" dataDxfId="277" dataCellStyle="一般 2"/>
    <tableColumn id="12" uniqueName="12" name="F12" queryTableFieldId="12" dataDxfId="276" dataCellStyle="一般 2"/>
    <tableColumn id="13" uniqueName="13" name="F13" queryTableFieldId="13" dataDxfId="275" dataCellStyle="一般 2"/>
    <tableColumn id="14" uniqueName="14" name="F14" queryTableFieldId="14" dataDxfId="274" dataCellStyle="一般 2"/>
    <tableColumn id="15" uniqueName="15" name="F15" queryTableFieldId="15" dataDxfId="273" dataCellStyle="一般 2"/>
    <tableColumn id="16" uniqueName="16" name="F16" queryTableFieldId="16" dataDxfId="272" dataCellStyle="一般 2"/>
    <tableColumn id="17" uniqueName="17" name="F17" queryTableFieldId="17" dataDxfId="271" dataCellStyle="一般 2"/>
    <tableColumn id="18" uniqueName="18" name="F18" queryTableFieldId="18" dataDxfId="270" dataCellStyle="一般 2"/>
    <tableColumn id="19" uniqueName="19" name="F19" queryTableFieldId="19" dataDxfId="269" dataCellStyle="一般 2"/>
    <tableColumn id="20" uniqueName="20" name="F20" queryTableFieldId="20" dataDxfId="268" dataCellStyle="一般 2"/>
    <tableColumn id="21" uniqueName="21" name="F21" queryTableFieldId="21" dataDxfId="267" dataCellStyle="一般 2"/>
    <tableColumn id="22" uniqueName="22" name="2024/6/24 14:52" queryTableFieldId="22" dataDxfId="266" dataCellStyle="一般 2"/>
    <tableColumn id="23" uniqueName="23" name="F23" queryTableFieldId="23" dataDxfId="265" dataCellStyle="一般 2"/>
    <tableColumn id="24" uniqueName="24" name="F24" queryTableFieldId="24" dataDxfId="264" dataCellStyle="一般 2"/>
    <tableColumn id="25" uniqueName="25" name="F25" queryTableFieldId="25" dataDxfId="263" dataCellStyle="一般 2"/>
    <tableColumn id="26" uniqueName="26" name="F26" queryTableFieldId="26" dataDxfId="262" dataCellStyle="一般 2"/>
    <tableColumn id="27" uniqueName="27" name="F27" queryTableFieldId="27" dataDxfId="261" dataCellStyle="一般 2"/>
    <tableColumn id="28" uniqueName="28" name="F28" queryTableFieldId="28" dataDxfId="260" dataCellStyle="一般 2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9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4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4" ref="AG13:BH189" tableType="queryTable" totalsRowShown="0" headerRowDxfId="159" dataDxfId="158" headerRowCellStyle="一般 2" dataCellStyle="一般 2">
  <autoFilter ref="AG13:BH189"/>
  <tableColumns count="28">
    <tableColumn id="1" uniqueName="1" name="請直接以10進位，謝謝" queryTableFieldId="1" dataDxfId="157" dataCellStyle="一般 2"/>
    <tableColumn id="2" uniqueName="2" name="F2" queryTableFieldId="2" dataDxfId="156" dataCellStyle="一般 2"/>
    <tableColumn id="3" uniqueName="3" name="F3" queryTableFieldId="3" dataDxfId="155" dataCellStyle="一般 2"/>
    <tableColumn id="4" uniqueName="4" name="F4" queryTableFieldId="4" dataDxfId="154" dataCellStyle="一般 2"/>
    <tableColumn id="5" uniqueName="5" name="F5" queryTableFieldId="5" dataDxfId="153" dataCellStyle="一般 2"/>
    <tableColumn id="6" uniqueName="6" name="F6" queryTableFieldId="6" dataDxfId="152" dataCellStyle="一般 2"/>
    <tableColumn id="7" uniqueName="7" name="F7" queryTableFieldId="7" dataDxfId="151" dataCellStyle="一般 2"/>
    <tableColumn id="8" uniqueName="8" name="F8" queryTableFieldId="8" dataDxfId="150" dataCellStyle="一般 2"/>
    <tableColumn id="9" uniqueName="9" name="F9" queryTableFieldId="9" dataDxfId="149" dataCellStyle="一般 2"/>
    <tableColumn id="10" uniqueName="10" name="F10" queryTableFieldId="10" dataDxfId="148" dataCellStyle="一般 2"/>
    <tableColumn id="11" uniqueName="11" name="F11" queryTableFieldId="11" dataDxfId="147" dataCellStyle="一般 2"/>
    <tableColumn id="12" uniqueName="12" name="F12" queryTableFieldId="12" dataDxfId="146" dataCellStyle="一般 2"/>
    <tableColumn id="13" uniqueName="13" name="F13" queryTableFieldId="13" dataDxfId="145" dataCellStyle="一般 2"/>
    <tableColumn id="14" uniqueName="14" name="F14" queryTableFieldId="14" dataDxfId="144" dataCellStyle="一般 2"/>
    <tableColumn id="15" uniqueName="15" name="F15" queryTableFieldId="15" dataDxfId="143" dataCellStyle="一般 2"/>
    <tableColumn id="16" uniqueName="16" name="F16" queryTableFieldId="16" dataDxfId="142" dataCellStyle="一般 2"/>
    <tableColumn id="17" uniqueName="17" name="F17" queryTableFieldId="17" dataDxfId="141" dataCellStyle="一般 2"/>
    <tableColumn id="18" uniqueName="18" name="F18" queryTableFieldId="18" dataDxfId="140" dataCellStyle="一般 2"/>
    <tableColumn id="19" uniqueName="19" name="F19" queryTableFieldId="19" dataDxfId="139" dataCellStyle="一般 2"/>
    <tableColumn id="20" uniqueName="20" name="F20" queryTableFieldId="20" dataDxfId="138" dataCellStyle="一般 2"/>
    <tableColumn id="21" uniqueName="21" name="F21" queryTableFieldId="21" dataDxfId="137" dataCellStyle="一般 2"/>
    <tableColumn id="22" uniqueName="22" name="2024/6/24 14:52" queryTableFieldId="22" dataDxfId="136" dataCellStyle="一般 2"/>
    <tableColumn id="23" uniqueName="23" name="F23" queryTableFieldId="23" dataDxfId="135" dataCellStyle="一般 2"/>
    <tableColumn id="24" uniqueName="24" name="F24" queryTableFieldId="24" dataDxfId="134" dataCellStyle="一般 2"/>
    <tableColumn id="25" uniqueName="25" name="F25" queryTableFieldId="25" dataDxfId="133" dataCellStyle="一般 2"/>
    <tableColumn id="26" uniqueName="26" name="F26" queryTableFieldId="26" dataDxfId="132" dataCellStyle="一般 2"/>
    <tableColumn id="27" uniqueName="27" name="F27" queryTableFieldId="27" dataDxfId="131" dataCellStyle="一般 2"/>
    <tableColumn id="28" uniqueName="28" name="F28" queryTableFieldId="28" dataDxfId="130" dataCellStyle="一般 2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0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5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5" ref="AG13:BH189" tableType="queryTable" totalsRowShown="0" headerRowDxfId="29" dataDxfId="28" headerRowCellStyle="一般 2" dataCellStyle="一般 2">
  <autoFilter ref="AG13:BH189"/>
  <tableColumns count="28">
    <tableColumn id="1" uniqueName="1" name="請直接以10進位，謝謝" queryTableFieldId="1" dataDxfId="27" dataCellStyle="一般 2"/>
    <tableColumn id="2" uniqueName="2" name="F2" queryTableFieldId="2" dataDxfId="26" dataCellStyle="一般 2"/>
    <tableColumn id="3" uniqueName="3" name="F3" queryTableFieldId="3" dataDxfId="25" dataCellStyle="一般 2"/>
    <tableColumn id="4" uniqueName="4" name="F4" queryTableFieldId="4" dataDxfId="24" dataCellStyle="一般 2"/>
    <tableColumn id="5" uniqueName="5" name="F5" queryTableFieldId="5" dataDxfId="23" dataCellStyle="一般 2"/>
    <tableColumn id="6" uniqueName="6" name="F6" queryTableFieldId="6" dataDxfId="22" dataCellStyle="一般 2"/>
    <tableColumn id="7" uniqueName="7" name="F7" queryTableFieldId="7" dataDxfId="21" dataCellStyle="一般 2"/>
    <tableColumn id="8" uniqueName="8" name="F8" queryTableFieldId="8" dataDxfId="20" dataCellStyle="一般 2"/>
    <tableColumn id="9" uniqueName="9" name="F9" queryTableFieldId="9" dataDxfId="19" dataCellStyle="一般 2"/>
    <tableColumn id="10" uniqueName="10" name="F10" queryTableFieldId="10" dataDxfId="18" dataCellStyle="一般 2"/>
    <tableColumn id="11" uniqueName="11" name="F11" queryTableFieldId="11" dataDxfId="17" dataCellStyle="一般 2"/>
    <tableColumn id="12" uniqueName="12" name="F12" queryTableFieldId="12" dataDxfId="16" dataCellStyle="一般 2"/>
    <tableColumn id="13" uniqueName="13" name="F13" queryTableFieldId="13" dataDxfId="15" dataCellStyle="一般 2"/>
    <tableColumn id="14" uniqueName="14" name="F14" queryTableFieldId="14" dataDxfId="14" dataCellStyle="一般 2"/>
    <tableColumn id="15" uniqueName="15" name="F15" queryTableFieldId="15" dataDxfId="13" dataCellStyle="一般 2"/>
    <tableColumn id="16" uniqueName="16" name="F16" queryTableFieldId="16" dataDxfId="12" dataCellStyle="一般 2"/>
    <tableColumn id="17" uniqueName="17" name="F17" queryTableFieldId="17" dataDxfId="11" dataCellStyle="一般 2"/>
    <tableColumn id="18" uniqueName="18" name="F18" queryTableFieldId="18" dataDxfId="10" dataCellStyle="一般 2"/>
    <tableColumn id="19" uniqueName="19" name="F19" queryTableFieldId="19" dataDxfId="9" dataCellStyle="一般 2"/>
    <tableColumn id="20" uniqueName="20" name="F20" queryTableFieldId="20" dataDxfId="8" dataCellStyle="一般 2"/>
    <tableColumn id="21" uniqueName="21" name="F21" queryTableFieldId="21" dataDxfId="7" dataCellStyle="一般 2"/>
    <tableColumn id="22" uniqueName="22" name="2024/6/24 14:52" queryTableFieldId="22" dataDxfId="6" dataCellStyle="一般 2"/>
    <tableColumn id="23" uniqueName="23" name="F23" queryTableFieldId="23" dataDxfId="5" dataCellStyle="一般 2"/>
    <tableColumn id="24" uniqueName="24" name="F24" queryTableFieldId="24" dataDxfId="4" dataCellStyle="一般 2"/>
    <tableColumn id="25" uniqueName="25" name="F25" queryTableFieldId="25" dataDxfId="3" dataCellStyle="一般 2"/>
    <tableColumn id="26" uniqueName="26" name="F26" queryTableFieldId="26" dataDxfId="2" dataCellStyle="一般 2"/>
    <tableColumn id="27" uniqueName="27" name="F27" queryTableFieldId="27" dataDxfId="1" dataCellStyle="一般 2"/>
    <tableColumn id="28" uniqueName="28" name="F28" queryTableFieldId="28" dataDxfId="0" dataCellStyle="一般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8357890-2BA6-4CC5-90A2-87AD6187BD32}">
  <we:reference id="wa104381026" version="1.2.0.0" store="zh-TW" storeType="OMEX"/>
  <we:alternateReferences>
    <we:reference id="WA104381026" version="1.2.0.0" store="WA10438102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10.xml"/><Relationship Id="rId4" Type="http://schemas.openxmlformats.org/officeDocument/2006/relationships/ctrlProp" Target="../ctrlProps/ctrlProp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5" Type="http://schemas.openxmlformats.org/officeDocument/2006/relationships/table" Target="../tables/table11.xml"/><Relationship Id="rId4" Type="http://schemas.openxmlformats.org/officeDocument/2006/relationships/ctrlProp" Target="../ctrlProps/ctrlProp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5" Type="http://schemas.openxmlformats.org/officeDocument/2006/relationships/table" Target="../tables/table12.xml"/><Relationship Id="rId4" Type="http://schemas.openxmlformats.org/officeDocument/2006/relationships/ctrlProp" Target="../ctrlProps/ctrlProp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5" Type="http://schemas.openxmlformats.org/officeDocument/2006/relationships/table" Target="../tables/table13.xml"/><Relationship Id="rId4" Type="http://schemas.openxmlformats.org/officeDocument/2006/relationships/ctrlProp" Target="../ctrlProps/ctrlProp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5" Type="http://schemas.openxmlformats.org/officeDocument/2006/relationships/table" Target="../tables/table14.xml"/><Relationship Id="rId4" Type="http://schemas.openxmlformats.org/officeDocument/2006/relationships/ctrlProp" Target="../ctrlProps/ctrlProp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5" Type="http://schemas.openxmlformats.org/officeDocument/2006/relationships/table" Target="../tables/table15.xml"/><Relationship Id="rId4" Type="http://schemas.openxmlformats.org/officeDocument/2006/relationships/ctrlProp" Target="../ctrlProps/ctrlProp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5" Type="http://schemas.openxmlformats.org/officeDocument/2006/relationships/table" Target="../tables/table16.xml"/><Relationship Id="rId4" Type="http://schemas.openxmlformats.org/officeDocument/2006/relationships/ctrlProp" Target="../ctrlProps/ctrlProp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5" Type="http://schemas.openxmlformats.org/officeDocument/2006/relationships/table" Target="../tables/table17.xml"/><Relationship Id="rId4" Type="http://schemas.openxmlformats.org/officeDocument/2006/relationships/ctrlProp" Target="../ctrlProps/ctrlProp1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5" Type="http://schemas.openxmlformats.org/officeDocument/2006/relationships/table" Target="../tables/table18.xml"/><Relationship Id="rId4" Type="http://schemas.openxmlformats.org/officeDocument/2006/relationships/ctrlProp" Target="../ctrlProps/ctrlProp1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5" Type="http://schemas.openxmlformats.org/officeDocument/2006/relationships/table" Target="../tables/table19.xml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5" Type="http://schemas.openxmlformats.org/officeDocument/2006/relationships/table" Target="../tables/table20.xml"/><Relationship Id="rId4" Type="http://schemas.openxmlformats.org/officeDocument/2006/relationships/ctrlProp" Target="../ctrlProps/ctrlProp2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5" Type="http://schemas.openxmlformats.org/officeDocument/2006/relationships/table" Target="../tables/table21.xml"/><Relationship Id="rId4" Type="http://schemas.openxmlformats.org/officeDocument/2006/relationships/ctrlProp" Target="../ctrlProps/ctrlProp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1">
    <pageSetUpPr fitToPage="1"/>
  </sheetPr>
  <dimension ref="A1:X100"/>
  <sheetViews>
    <sheetView view="pageBreakPreview" topLeftCell="A24" zoomScale="80" zoomScaleNormal="100" zoomScaleSheetLayoutView="80" workbookViewId="0">
      <selection activeCell="M26" sqref="M26:M45"/>
    </sheetView>
  </sheetViews>
  <sheetFormatPr defaultColWidth="9" defaultRowHeight="15.6"/>
  <cols>
    <col min="1" max="1" width="7.33203125" style="54" customWidth="1"/>
    <col min="2" max="2" width="8.6640625" style="54" customWidth="1"/>
    <col min="3" max="3" width="6.6640625" style="54" customWidth="1"/>
    <col min="4" max="4" width="7.33203125" style="54" customWidth="1"/>
    <col min="5" max="5" width="8.6640625" style="54" customWidth="1"/>
    <col min="6" max="6" width="6.6640625" style="54" customWidth="1"/>
    <col min="7" max="7" width="7.33203125" style="54" customWidth="1"/>
    <col min="8" max="8" width="8.6640625" style="54" customWidth="1"/>
    <col min="9" max="9" width="6.6640625" style="54" customWidth="1"/>
    <col min="10" max="10" width="7.33203125" style="54" customWidth="1"/>
    <col min="11" max="11" width="8.6640625" style="54" customWidth="1"/>
    <col min="12" max="12" width="6.6640625" style="54" customWidth="1"/>
    <col min="13" max="13" width="23.88671875" style="54" customWidth="1"/>
    <col min="14" max="14" width="17.6640625" style="54" customWidth="1"/>
    <col min="15" max="16" width="11.88671875" style="54" customWidth="1"/>
    <col min="17" max="17" width="17.44140625" style="63" customWidth="1"/>
    <col min="18" max="18" width="13.6640625" style="63" customWidth="1"/>
    <col min="19" max="19" width="14.33203125" style="63" customWidth="1"/>
    <col min="20" max="20" width="9" style="54"/>
    <col min="21" max="21" width="20.77734375" style="54" bestFit="1" customWidth="1"/>
    <col min="22" max="22" width="9" style="54"/>
    <col min="23" max="23" width="13.77734375" style="54" bestFit="1" customWidth="1"/>
    <col min="24" max="16384" width="9" style="54"/>
  </cols>
  <sheetData>
    <row r="1" spans="1:24" s="53" customFormat="1" ht="21" customHeight="1" thickBot="1">
      <c r="A1" s="162" t="s">
        <v>172</v>
      </c>
      <c r="B1" s="162"/>
      <c r="C1" s="111"/>
      <c r="D1" s="111"/>
      <c r="E1" s="112"/>
      <c r="F1" s="111"/>
      <c r="G1" s="113"/>
      <c r="H1" s="113"/>
      <c r="I1" s="113"/>
      <c r="J1" s="113"/>
      <c r="K1" s="113"/>
      <c r="L1" s="113"/>
      <c r="M1" s="113" t="s">
        <v>173</v>
      </c>
      <c r="Q1" s="55"/>
      <c r="R1" s="55"/>
      <c r="S1" s="55"/>
    </row>
    <row r="2" spans="1:24" s="59" customFormat="1" ht="25.65" customHeight="1" thickTop="1" thickBot="1">
      <c r="A2" s="114" t="s">
        <v>31</v>
      </c>
      <c r="B2" s="115" t="s">
        <v>159</v>
      </c>
      <c r="C2" s="116" t="s">
        <v>33</v>
      </c>
      <c r="D2" s="114" t="s">
        <v>31</v>
      </c>
      <c r="E2" s="115" t="s">
        <v>159</v>
      </c>
      <c r="F2" s="117" t="s">
        <v>33</v>
      </c>
      <c r="G2" s="114" t="s">
        <v>31</v>
      </c>
      <c r="H2" s="115" t="s">
        <v>32</v>
      </c>
      <c r="I2" s="117" t="s">
        <v>33</v>
      </c>
      <c r="J2" s="114" t="s">
        <v>31</v>
      </c>
      <c r="K2" s="115" t="s">
        <v>32</v>
      </c>
      <c r="L2" s="117" t="s">
        <v>33</v>
      </c>
      <c r="M2" s="118" t="s">
        <v>174</v>
      </c>
      <c r="N2" s="56"/>
      <c r="O2" s="56"/>
      <c r="P2" s="57" t="s">
        <v>139</v>
      </c>
      <c r="Q2" s="58" t="s">
        <v>140</v>
      </c>
      <c r="S2" s="60" t="s">
        <v>141</v>
      </c>
      <c r="U2" s="137" t="s">
        <v>142</v>
      </c>
      <c r="V2" s="136">
        <v>0.01</v>
      </c>
      <c r="W2" s="137" t="s">
        <v>154</v>
      </c>
      <c r="X2" s="61" t="s">
        <v>145</v>
      </c>
    </row>
    <row r="3" spans="1:24" s="53" customFormat="1" ht="22.2" customHeight="1" thickTop="1">
      <c r="A3" s="119">
        <v>601</v>
      </c>
      <c r="B3" s="120">
        <v>7087</v>
      </c>
      <c r="C3" s="121">
        <v>25</v>
      </c>
      <c r="D3" s="122" t="s">
        <v>76</v>
      </c>
      <c r="E3" s="120">
        <v>4929</v>
      </c>
      <c r="F3" s="121">
        <v>13</v>
      </c>
      <c r="G3" s="119">
        <v>661</v>
      </c>
      <c r="H3" s="120">
        <v>655</v>
      </c>
      <c r="I3" s="123">
        <v>20</v>
      </c>
      <c r="J3" s="119">
        <v>681</v>
      </c>
      <c r="K3" s="120">
        <v>3109</v>
      </c>
      <c r="L3" s="124">
        <v>25</v>
      </c>
      <c r="M3" s="163" t="s">
        <v>569</v>
      </c>
      <c r="N3" s="137" t="s">
        <v>142</v>
      </c>
      <c r="O3" s="137" t="s">
        <v>143</v>
      </c>
      <c r="P3" s="137" t="s">
        <v>144</v>
      </c>
      <c r="Q3" s="61" t="s">
        <v>145</v>
      </c>
      <c r="S3" s="53">
        <v>5900</v>
      </c>
      <c r="U3" s="137" t="s">
        <v>146</v>
      </c>
      <c r="V3" s="136">
        <v>0.01</v>
      </c>
      <c r="W3" s="137" t="s">
        <v>155</v>
      </c>
      <c r="X3" s="61" t="s">
        <v>148</v>
      </c>
    </row>
    <row r="4" spans="1:24" s="53" customFormat="1" ht="22.2" customHeight="1">
      <c r="A4" s="119">
        <v>602</v>
      </c>
      <c r="B4" s="120">
        <v>6536</v>
      </c>
      <c r="C4" s="121">
        <v>22</v>
      </c>
      <c r="D4" s="122" t="s">
        <v>77</v>
      </c>
      <c r="E4" s="120">
        <v>0</v>
      </c>
      <c r="F4" s="121">
        <v>20</v>
      </c>
      <c r="G4" s="119">
        <v>662</v>
      </c>
      <c r="H4" s="120">
        <v>983</v>
      </c>
      <c r="I4" s="123">
        <v>20</v>
      </c>
      <c r="J4" s="119">
        <v>682</v>
      </c>
      <c r="K4" s="120">
        <v>3235</v>
      </c>
      <c r="L4" s="133">
        <v>25</v>
      </c>
      <c r="M4" s="164"/>
      <c r="N4" s="137" t="s">
        <v>146</v>
      </c>
      <c r="O4" s="137" t="s">
        <v>143</v>
      </c>
      <c r="P4" s="137" t="s">
        <v>147</v>
      </c>
      <c r="Q4" s="61" t="s">
        <v>148</v>
      </c>
      <c r="S4" s="53">
        <v>5600</v>
      </c>
      <c r="U4" s="62">
        <v>680690</v>
      </c>
      <c r="V4" s="136">
        <v>0.01</v>
      </c>
      <c r="W4" s="137" t="s">
        <v>156</v>
      </c>
      <c r="X4" s="61" t="s">
        <v>148</v>
      </c>
    </row>
    <row r="5" spans="1:24" s="53" customFormat="1" ht="22.2" customHeight="1">
      <c r="A5" s="119">
        <v>603</v>
      </c>
      <c r="B5" s="120">
        <v>5830</v>
      </c>
      <c r="C5" s="121">
        <v>21</v>
      </c>
      <c r="D5" s="122">
        <v>631</v>
      </c>
      <c r="E5" s="120">
        <v>6054</v>
      </c>
      <c r="F5" s="121">
        <v>21</v>
      </c>
      <c r="G5" s="119">
        <v>663</v>
      </c>
      <c r="H5" s="120">
        <v>0</v>
      </c>
      <c r="I5" s="123">
        <v>22</v>
      </c>
      <c r="J5" s="119">
        <v>683</v>
      </c>
      <c r="K5" s="120">
        <v>405</v>
      </c>
      <c r="L5" s="133">
        <v>24</v>
      </c>
      <c r="M5" s="164"/>
      <c r="N5" s="62">
        <v>680690</v>
      </c>
      <c r="O5" s="137" t="s">
        <v>143</v>
      </c>
      <c r="P5" s="137" t="s">
        <v>149</v>
      </c>
      <c r="Q5" s="61" t="s">
        <v>148</v>
      </c>
      <c r="S5" s="53">
        <v>4100</v>
      </c>
      <c r="U5" s="137" t="s">
        <v>150</v>
      </c>
      <c r="V5" s="136">
        <v>0.01</v>
      </c>
      <c r="W5" s="137" t="s">
        <v>157</v>
      </c>
      <c r="X5" s="61" t="s">
        <v>148</v>
      </c>
    </row>
    <row r="6" spans="1:24" s="53" customFormat="1" ht="22.2" customHeight="1">
      <c r="A6" s="119" t="s">
        <v>78</v>
      </c>
      <c r="B6" s="125">
        <v>6424</v>
      </c>
      <c r="C6" s="126">
        <v>23</v>
      </c>
      <c r="D6" s="127">
        <v>632</v>
      </c>
      <c r="E6" s="125">
        <v>6563</v>
      </c>
      <c r="F6" s="126">
        <v>21</v>
      </c>
      <c r="G6" s="127">
        <v>664</v>
      </c>
      <c r="H6" s="120">
        <v>6460</v>
      </c>
      <c r="I6" s="124">
        <v>23</v>
      </c>
      <c r="J6" s="127">
        <v>684</v>
      </c>
      <c r="K6" s="125">
        <v>831</v>
      </c>
      <c r="L6" s="133">
        <v>24</v>
      </c>
      <c r="M6" s="164"/>
      <c r="N6" s="137" t="s">
        <v>150</v>
      </c>
      <c r="O6" s="137" t="s">
        <v>143</v>
      </c>
      <c r="P6" s="137" t="s">
        <v>151</v>
      </c>
      <c r="Q6" s="61" t="s">
        <v>148</v>
      </c>
      <c r="S6" s="53">
        <v>7000</v>
      </c>
      <c r="U6" s="137" t="s">
        <v>152</v>
      </c>
      <c r="V6" s="136">
        <v>0.01</v>
      </c>
      <c r="W6" s="137" t="s">
        <v>158</v>
      </c>
      <c r="X6" s="61" t="s">
        <v>148</v>
      </c>
    </row>
    <row r="7" spans="1:24" s="53" customFormat="1" ht="22.2" customHeight="1">
      <c r="A7" s="119" t="s">
        <v>79</v>
      </c>
      <c r="B7" s="125">
        <v>1241</v>
      </c>
      <c r="C7" s="126">
        <v>18</v>
      </c>
      <c r="D7" s="127">
        <v>633</v>
      </c>
      <c r="E7" s="125">
        <v>3494</v>
      </c>
      <c r="F7" s="126">
        <v>17</v>
      </c>
      <c r="G7" s="127">
        <v>665</v>
      </c>
      <c r="H7" s="125">
        <v>3790</v>
      </c>
      <c r="I7" s="124">
        <v>23</v>
      </c>
      <c r="J7" s="127">
        <v>685</v>
      </c>
      <c r="K7" s="125">
        <v>1559</v>
      </c>
      <c r="L7" s="133">
        <v>25</v>
      </c>
      <c r="M7" s="164"/>
      <c r="N7" s="137" t="s">
        <v>152</v>
      </c>
      <c r="O7" s="137" t="s">
        <v>143</v>
      </c>
      <c r="P7" s="137" t="s">
        <v>153</v>
      </c>
      <c r="Q7" s="61" t="s">
        <v>148</v>
      </c>
      <c r="S7" s="53">
        <v>11590</v>
      </c>
      <c r="X7" s="55"/>
    </row>
    <row r="8" spans="1:24" s="53" customFormat="1" ht="22.2" customHeight="1">
      <c r="A8" s="119">
        <v>611</v>
      </c>
      <c r="B8" s="125">
        <v>7.0000000000000007E-2</v>
      </c>
      <c r="C8" s="134">
        <v>25</v>
      </c>
      <c r="D8" s="127">
        <v>634</v>
      </c>
      <c r="E8" s="125">
        <v>7469</v>
      </c>
      <c r="F8" s="126">
        <v>20</v>
      </c>
      <c r="G8" s="127">
        <v>666</v>
      </c>
      <c r="H8" s="125">
        <v>1719</v>
      </c>
      <c r="I8" s="124">
        <v>20</v>
      </c>
      <c r="J8" s="127">
        <v>686</v>
      </c>
      <c r="K8" s="125">
        <v>469</v>
      </c>
      <c r="L8" s="133">
        <v>25</v>
      </c>
      <c r="M8" s="164"/>
      <c r="N8" s="137" t="s">
        <v>163</v>
      </c>
      <c r="O8" s="137" t="s">
        <v>143</v>
      </c>
      <c r="P8" s="137" t="s">
        <v>164</v>
      </c>
      <c r="Q8" s="61" t="s">
        <v>148</v>
      </c>
      <c r="S8" s="53">
        <v>9200</v>
      </c>
    </row>
    <row r="9" spans="1:24" s="53" customFormat="1" ht="22.2" customHeight="1">
      <c r="A9" s="119">
        <v>612</v>
      </c>
      <c r="B9" s="125">
        <v>6.38</v>
      </c>
      <c r="C9" s="134">
        <v>25</v>
      </c>
      <c r="D9" s="127">
        <v>641</v>
      </c>
      <c r="E9" s="125">
        <v>1800</v>
      </c>
      <c r="F9" s="126">
        <v>20</v>
      </c>
      <c r="G9" s="127">
        <v>667</v>
      </c>
      <c r="H9" s="125">
        <v>1662</v>
      </c>
      <c r="I9" s="124">
        <v>23</v>
      </c>
      <c r="J9" s="127">
        <v>687</v>
      </c>
      <c r="K9" s="125">
        <v>3229</v>
      </c>
      <c r="L9" s="133">
        <v>24</v>
      </c>
      <c r="M9" s="164"/>
      <c r="N9" s="137" t="s">
        <v>165</v>
      </c>
      <c r="O9" s="137" t="s">
        <v>143</v>
      </c>
      <c r="P9" s="137" t="s">
        <v>166</v>
      </c>
      <c r="Q9" s="61" t="s">
        <v>148</v>
      </c>
      <c r="S9" s="53">
        <v>6800</v>
      </c>
    </row>
    <row r="10" spans="1:24" s="53" customFormat="1" ht="22.2" customHeight="1">
      <c r="A10" s="119">
        <v>613</v>
      </c>
      <c r="B10" s="125">
        <v>62.69</v>
      </c>
      <c r="C10" s="134">
        <v>25</v>
      </c>
      <c r="D10" s="127">
        <v>642</v>
      </c>
      <c r="E10" s="125">
        <v>4505</v>
      </c>
      <c r="F10" s="126">
        <v>24</v>
      </c>
      <c r="G10" s="127">
        <v>668</v>
      </c>
      <c r="H10" s="125">
        <v>-172</v>
      </c>
      <c r="I10" s="124">
        <v>22</v>
      </c>
      <c r="J10" s="127">
        <v>688</v>
      </c>
      <c r="K10" s="125">
        <v>4828</v>
      </c>
      <c r="L10" s="133">
        <v>22</v>
      </c>
      <c r="M10" s="164"/>
      <c r="N10" s="137" t="s">
        <v>167</v>
      </c>
      <c r="O10" s="136" t="s">
        <v>143</v>
      </c>
      <c r="P10" s="137" t="s">
        <v>168</v>
      </c>
      <c r="Q10" s="61" t="s">
        <v>148</v>
      </c>
      <c r="S10" s="53">
        <v>5500</v>
      </c>
    </row>
    <row r="11" spans="1:24" s="53" customFormat="1" ht="22.2" customHeight="1">
      <c r="A11" s="119">
        <v>614</v>
      </c>
      <c r="B11" s="125">
        <v>8</v>
      </c>
      <c r="C11" s="134">
        <v>25</v>
      </c>
      <c r="D11" s="127">
        <v>643</v>
      </c>
      <c r="E11" s="125">
        <v>2333</v>
      </c>
      <c r="F11" s="126">
        <v>20</v>
      </c>
      <c r="G11" s="127">
        <v>669</v>
      </c>
      <c r="H11" s="125">
        <v>-143</v>
      </c>
      <c r="I11" s="124">
        <v>23</v>
      </c>
      <c r="J11" s="127">
        <v>689</v>
      </c>
      <c r="K11" s="125">
        <v>5419</v>
      </c>
      <c r="L11" s="133">
        <v>23</v>
      </c>
      <c r="M11" s="164"/>
      <c r="N11" s="137" t="s">
        <v>169</v>
      </c>
      <c r="O11" s="136" t="s">
        <v>143</v>
      </c>
      <c r="P11" s="137">
        <v>9.0746000000000002</v>
      </c>
      <c r="Q11" s="61" t="s">
        <v>148</v>
      </c>
      <c r="S11" s="53">
        <v>7100</v>
      </c>
    </row>
    <row r="12" spans="1:24" s="53" customFormat="1" ht="22.2" customHeight="1">
      <c r="A12" s="119">
        <v>621</v>
      </c>
      <c r="B12" s="125">
        <v>489</v>
      </c>
      <c r="C12" s="126">
        <v>21</v>
      </c>
      <c r="D12" s="127">
        <v>645</v>
      </c>
      <c r="E12" s="125">
        <v>124</v>
      </c>
      <c r="F12" s="126">
        <v>20</v>
      </c>
      <c r="G12" s="127">
        <v>670</v>
      </c>
      <c r="H12" s="125">
        <v>-9904</v>
      </c>
      <c r="I12" s="124">
        <v>23</v>
      </c>
      <c r="J12" s="127">
        <v>690</v>
      </c>
      <c r="K12" s="125">
        <v>1161</v>
      </c>
      <c r="L12" s="124">
        <v>23</v>
      </c>
      <c r="M12" s="164"/>
      <c r="N12" s="62" t="s">
        <v>170</v>
      </c>
      <c r="O12" s="136" t="s">
        <v>143</v>
      </c>
      <c r="P12" s="137">
        <v>9.0746000000000002</v>
      </c>
      <c r="Q12" s="61" t="s">
        <v>148</v>
      </c>
      <c r="S12" s="53">
        <v>5500</v>
      </c>
    </row>
    <row r="13" spans="1:24" s="53" customFormat="1" ht="22.2" customHeight="1">
      <c r="A13" s="119">
        <v>622</v>
      </c>
      <c r="B13" s="125">
        <v>3165</v>
      </c>
      <c r="C13" s="126">
        <v>24</v>
      </c>
      <c r="D13" s="127">
        <v>651</v>
      </c>
      <c r="E13" s="125">
        <v>2092</v>
      </c>
      <c r="F13" s="126">
        <v>24</v>
      </c>
      <c r="G13" s="127">
        <v>671</v>
      </c>
      <c r="H13" s="125">
        <v>0</v>
      </c>
      <c r="I13" s="124">
        <v>21</v>
      </c>
      <c r="J13" s="127">
        <v>691</v>
      </c>
      <c r="K13" s="125">
        <v>1927</v>
      </c>
      <c r="L13" s="133">
        <v>24</v>
      </c>
      <c r="M13" s="164"/>
      <c r="N13" s="166" t="s">
        <v>171</v>
      </c>
      <c r="O13" s="167" t="s">
        <v>143</v>
      </c>
      <c r="P13" s="168">
        <v>7.0686</v>
      </c>
      <c r="Q13" s="160" t="s">
        <v>148</v>
      </c>
      <c r="S13" s="161">
        <v>7000</v>
      </c>
    </row>
    <row r="14" spans="1:24" s="53" customFormat="1" ht="22.2" customHeight="1">
      <c r="A14" s="119">
        <v>623</v>
      </c>
      <c r="B14" s="125">
        <v>5096</v>
      </c>
      <c r="C14" s="126">
        <v>27</v>
      </c>
      <c r="D14" s="127">
        <v>652</v>
      </c>
      <c r="E14" s="125">
        <v>4170</v>
      </c>
      <c r="F14" s="126">
        <v>22</v>
      </c>
      <c r="G14" s="127">
        <v>672</v>
      </c>
      <c r="H14" s="125">
        <v>4308</v>
      </c>
      <c r="I14" s="124">
        <v>28</v>
      </c>
      <c r="J14" s="127">
        <v>692</v>
      </c>
      <c r="K14" s="125">
        <v>5193</v>
      </c>
      <c r="L14" s="133">
        <v>24</v>
      </c>
      <c r="M14" s="164"/>
      <c r="N14" s="166"/>
      <c r="O14" s="167"/>
      <c r="P14" s="168"/>
      <c r="Q14" s="160"/>
      <c r="S14" s="161"/>
    </row>
    <row r="15" spans="1:24" s="53" customFormat="1" ht="22.2" customHeight="1">
      <c r="A15" s="122">
        <v>624</v>
      </c>
      <c r="B15" s="125">
        <v>1095</v>
      </c>
      <c r="C15" s="126">
        <v>20</v>
      </c>
      <c r="D15" s="128">
        <v>653</v>
      </c>
      <c r="E15" s="125">
        <v>0</v>
      </c>
      <c r="F15" s="126">
        <v>15</v>
      </c>
      <c r="G15" s="127">
        <v>673</v>
      </c>
      <c r="H15" s="125">
        <v>1072</v>
      </c>
      <c r="I15" s="124">
        <v>21</v>
      </c>
      <c r="J15" s="127">
        <v>693</v>
      </c>
      <c r="K15" s="125">
        <v>2445</v>
      </c>
      <c r="L15" s="133">
        <v>25</v>
      </c>
      <c r="M15" s="164"/>
      <c r="N15" s="166"/>
      <c r="O15" s="167"/>
      <c r="P15" s="168"/>
      <c r="Q15" s="160"/>
      <c r="R15" s="55"/>
      <c r="S15" s="139">
        <v>6000</v>
      </c>
    </row>
    <row r="16" spans="1:24" s="53" customFormat="1" ht="22.2" customHeight="1">
      <c r="A16" s="122" t="s">
        <v>80</v>
      </c>
      <c r="B16" s="125">
        <v>129</v>
      </c>
      <c r="C16" s="126">
        <v>24</v>
      </c>
      <c r="D16" s="127">
        <v>654</v>
      </c>
      <c r="E16" s="125">
        <v>5073</v>
      </c>
      <c r="F16" s="126">
        <v>20</v>
      </c>
      <c r="G16" s="127">
        <v>674</v>
      </c>
      <c r="H16" s="125">
        <v>20</v>
      </c>
      <c r="I16" s="124">
        <v>20</v>
      </c>
      <c r="J16" s="127">
        <v>694</v>
      </c>
      <c r="K16" s="125">
        <v>1278</v>
      </c>
      <c r="L16" s="133">
        <v>23</v>
      </c>
      <c r="M16" s="164"/>
      <c r="Q16" s="55"/>
      <c r="R16" s="55"/>
      <c r="S16" s="55"/>
    </row>
    <row r="17" spans="1:19" s="53" customFormat="1" ht="22.2" customHeight="1">
      <c r="A17" s="122" t="s">
        <v>26</v>
      </c>
      <c r="B17" s="125">
        <v>7138</v>
      </c>
      <c r="C17" s="126">
        <v>28</v>
      </c>
      <c r="D17" s="128">
        <v>655</v>
      </c>
      <c r="E17" s="125">
        <v>548</v>
      </c>
      <c r="F17" s="126">
        <v>21</v>
      </c>
      <c r="G17" s="127">
        <v>675</v>
      </c>
      <c r="H17" s="125">
        <v>5.68</v>
      </c>
      <c r="I17" s="133">
        <v>25</v>
      </c>
      <c r="J17" s="127">
        <v>695</v>
      </c>
      <c r="K17" s="125">
        <v>6318</v>
      </c>
      <c r="L17" s="133">
        <v>25</v>
      </c>
      <c r="M17" s="164"/>
      <c r="Q17" s="55"/>
      <c r="R17" s="55"/>
      <c r="S17" s="55"/>
    </row>
    <row r="18" spans="1:19" s="53" customFormat="1" ht="22.2" customHeight="1">
      <c r="A18" s="122" t="s">
        <v>27</v>
      </c>
      <c r="B18" s="125">
        <v>6238</v>
      </c>
      <c r="C18" s="126">
        <v>20</v>
      </c>
      <c r="D18" s="127">
        <v>656</v>
      </c>
      <c r="E18" s="125">
        <v>5009</v>
      </c>
      <c r="F18" s="126">
        <v>22</v>
      </c>
      <c r="G18" s="127">
        <v>676</v>
      </c>
      <c r="H18" s="125">
        <v>52.54</v>
      </c>
      <c r="I18" s="133">
        <v>25</v>
      </c>
      <c r="J18" s="127">
        <v>696</v>
      </c>
      <c r="K18" s="125">
        <v>4891</v>
      </c>
      <c r="L18" s="133">
        <v>21</v>
      </c>
      <c r="M18" s="164"/>
      <c r="Q18" s="55"/>
      <c r="R18" s="55"/>
      <c r="S18" s="55"/>
    </row>
    <row r="19" spans="1:19" s="53" customFormat="1" ht="22.2" customHeight="1">
      <c r="A19" s="122" t="s">
        <v>28</v>
      </c>
      <c r="B19" s="125">
        <v>7162</v>
      </c>
      <c r="C19" s="126">
        <v>18</v>
      </c>
      <c r="D19" s="127">
        <v>657</v>
      </c>
      <c r="E19" s="125">
        <v>3199</v>
      </c>
      <c r="F19" s="126">
        <v>23</v>
      </c>
      <c r="G19" s="127">
        <v>677</v>
      </c>
      <c r="H19" s="125">
        <v>51.34</v>
      </c>
      <c r="I19" s="133">
        <v>25</v>
      </c>
      <c r="J19" s="127">
        <v>697</v>
      </c>
      <c r="K19" s="125">
        <v>9353</v>
      </c>
      <c r="L19" s="133">
        <v>24</v>
      </c>
      <c r="M19" s="164"/>
      <c r="Q19" s="55"/>
      <c r="R19" s="55"/>
      <c r="S19" s="55"/>
    </row>
    <row r="20" spans="1:19" s="53" customFormat="1" ht="22.2" customHeight="1">
      <c r="A20" s="122" t="s">
        <v>29</v>
      </c>
      <c r="B20" s="125">
        <v>7014</v>
      </c>
      <c r="C20" s="126">
        <v>24</v>
      </c>
      <c r="D20" s="128">
        <v>658</v>
      </c>
      <c r="E20" s="125">
        <v>0</v>
      </c>
      <c r="F20" s="126">
        <v>21</v>
      </c>
      <c r="G20" s="127">
        <v>678</v>
      </c>
      <c r="H20" s="125">
        <v>5.66</v>
      </c>
      <c r="I20" s="133">
        <v>25</v>
      </c>
      <c r="J20" s="127">
        <v>698</v>
      </c>
      <c r="K20" s="125">
        <v>4186</v>
      </c>
      <c r="L20" s="133">
        <v>27</v>
      </c>
      <c r="M20" s="164"/>
      <c r="Q20" s="55"/>
      <c r="R20" s="55"/>
      <c r="S20" s="55"/>
    </row>
    <row r="21" spans="1:19" s="53" customFormat="1" ht="22.2" customHeight="1">
      <c r="A21" s="122" t="s">
        <v>30</v>
      </c>
      <c r="B21" s="125">
        <v>6635</v>
      </c>
      <c r="C21" s="126">
        <v>27</v>
      </c>
      <c r="D21" s="127">
        <v>659</v>
      </c>
      <c r="E21" s="125">
        <v>264</v>
      </c>
      <c r="F21" s="126">
        <v>20</v>
      </c>
      <c r="G21" s="127">
        <v>680</v>
      </c>
      <c r="H21" s="125">
        <v>1549</v>
      </c>
      <c r="I21" s="133">
        <v>24</v>
      </c>
      <c r="J21" s="127">
        <v>699</v>
      </c>
      <c r="K21" s="125">
        <v>1174</v>
      </c>
      <c r="L21" s="133">
        <v>25</v>
      </c>
      <c r="M21" s="164"/>
      <c r="Q21" s="55"/>
      <c r="R21" s="55"/>
      <c r="S21" s="55"/>
    </row>
    <row r="22" spans="1:19" s="53" customFormat="1" ht="22.2" customHeight="1" thickBot="1">
      <c r="A22" s="129" t="s">
        <v>81</v>
      </c>
      <c r="B22" s="130">
        <v>4560</v>
      </c>
      <c r="C22" s="130">
        <v>22</v>
      </c>
      <c r="D22" s="131">
        <v>660</v>
      </c>
      <c r="E22" s="130">
        <v>4738</v>
      </c>
      <c r="F22" s="132">
        <v>24</v>
      </c>
      <c r="G22" s="131"/>
      <c r="H22" s="130"/>
      <c r="I22" s="132"/>
      <c r="J22" s="131"/>
      <c r="K22" s="130"/>
      <c r="L22" s="132"/>
      <c r="M22" s="165"/>
      <c r="Q22" s="55"/>
      <c r="R22" s="55"/>
      <c r="S22" s="55"/>
    </row>
    <row r="23" spans="1:19" ht="36.6" customHeight="1" thickTop="1">
      <c r="A23" s="112"/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</row>
    <row r="24" spans="1:19" ht="21" customHeight="1" thickBot="1">
      <c r="A24" s="162"/>
      <c r="B24" s="162"/>
      <c r="C24" s="111"/>
      <c r="D24" s="111"/>
      <c r="E24" s="111"/>
      <c r="F24" s="111"/>
      <c r="G24" s="111"/>
      <c r="H24" s="111"/>
      <c r="I24" s="113"/>
      <c r="J24" s="111"/>
      <c r="K24" s="111"/>
      <c r="L24" s="113"/>
      <c r="M24" s="113" t="s">
        <v>175</v>
      </c>
    </row>
    <row r="25" spans="1:19" ht="20.100000000000001" customHeight="1" thickTop="1" thickBot="1">
      <c r="A25" s="114" t="s">
        <v>31</v>
      </c>
      <c r="B25" s="115" t="s">
        <v>159</v>
      </c>
      <c r="C25" s="116" t="s">
        <v>33</v>
      </c>
      <c r="D25" s="114" t="s">
        <v>31</v>
      </c>
      <c r="E25" s="115" t="s">
        <v>159</v>
      </c>
      <c r="F25" s="117" t="s">
        <v>33</v>
      </c>
      <c r="G25" s="114" t="s">
        <v>31</v>
      </c>
      <c r="H25" s="115" t="s">
        <v>32</v>
      </c>
      <c r="I25" s="117" t="s">
        <v>33</v>
      </c>
      <c r="J25" s="114" t="s">
        <v>31</v>
      </c>
      <c r="K25" s="115" t="s">
        <v>32</v>
      </c>
      <c r="L25" s="117" t="s">
        <v>33</v>
      </c>
      <c r="M25" s="118" t="s">
        <v>174</v>
      </c>
    </row>
    <row r="26" spans="1:19" ht="21.75" customHeight="1" thickTop="1">
      <c r="A26" s="119">
        <v>601</v>
      </c>
      <c r="B26" s="120">
        <v>7087</v>
      </c>
      <c r="C26" s="121">
        <v>24</v>
      </c>
      <c r="D26" s="122" t="s">
        <v>76</v>
      </c>
      <c r="E26" s="120">
        <v>7073</v>
      </c>
      <c r="F26" s="121">
        <v>15</v>
      </c>
      <c r="G26" s="119">
        <v>661</v>
      </c>
      <c r="H26" s="120">
        <v>655</v>
      </c>
      <c r="I26" s="123">
        <v>22</v>
      </c>
      <c r="J26" s="119">
        <v>681</v>
      </c>
      <c r="K26" s="120">
        <v>2602</v>
      </c>
      <c r="L26" s="124">
        <v>25</v>
      </c>
      <c r="M26" s="163"/>
    </row>
    <row r="27" spans="1:19" ht="21.75" customHeight="1">
      <c r="A27" s="119">
        <v>602</v>
      </c>
      <c r="B27" s="120">
        <v>6648</v>
      </c>
      <c r="C27" s="121">
        <v>22</v>
      </c>
      <c r="D27" s="122" t="s">
        <v>77</v>
      </c>
      <c r="E27" s="120">
        <v>777</v>
      </c>
      <c r="F27" s="121">
        <v>20</v>
      </c>
      <c r="G27" s="119">
        <v>662</v>
      </c>
      <c r="H27" s="120">
        <v>981</v>
      </c>
      <c r="I27" s="123">
        <v>21</v>
      </c>
      <c r="J27" s="119">
        <v>682</v>
      </c>
      <c r="K27" s="120">
        <v>2115</v>
      </c>
      <c r="L27" s="133">
        <v>24</v>
      </c>
      <c r="M27" s="164"/>
    </row>
    <row r="28" spans="1:19" ht="21.75" customHeight="1">
      <c r="A28" s="119">
        <v>603</v>
      </c>
      <c r="B28" s="120">
        <v>5829</v>
      </c>
      <c r="C28" s="121">
        <v>21</v>
      </c>
      <c r="D28" s="122">
        <v>631</v>
      </c>
      <c r="E28" s="120">
        <v>3760</v>
      </c>
      <c r="F28" s="121">
        <v>20</v>
      </c>
      <c r="G28" s="119">
        <v>663</v>
      </c>
      <c r="H28" s="120">
        <v>0</v>
      </c>
      <c r="I28" s="123">
        <v>23</v>
      </c>
      <c r="J28" s="119">
        <v>683</v>
      </c>
      <c r="K28" s="120">
        <v>403</v>
      </c>
      <c r="L28" s="133">
        <v>24</v>
      </c>
      <c r="M28" s="164"/>
    </row>
    <row r="29" spans="1:19" ht="21.75" customHeight="1">
      <c r="A29" s="119" t="s">
        <v>78</v>
      </c>
      <c r="B29" s="125">
        <v>5458</v>
      </c>
      <c r="C29" s="126">
        <v>24</v>
      </c>
      <c r="D29" s="127">
        <v>632</v>
      </c>
      <c r="E29" s="125">
        <v>6562</v>
      </c>
      <c r="F29" s="126">
        <v>23</v>
      </c>
      <c r="G29" s="127">
        <v>664</v>
      </c>
      <c r="H29" s="120">
        <v>6458</v>
      </c>
      <c r="I29" s="124">
        <v>22</v>
      </c>
      <c r="J29" s="127">
        <v>684</v>
      </c>
      <c r="K29" s="125">
        <v>830</v>
      </c>
      <c r="L29" s="133">
        <v>23</v>
      </c>
      <c r="M29" s="164"/>
    </row>
    <row r="30" spans="1:19" ht="21.75" customHeight="1">
      <c r="A30" s="119" t="s">
        <v>79</v>
      </c>
      <c r="B30" s="125">
        <v>2917</v>
      </c>
      <c r="C30" s="126">
        <v>20</v>
      </c>
      <c r="D30" s="127">
        <v>633</v>
      </c>
      <c r="E30" s="125">
        <v>3493</v>
      </c>
      <c r="F30" s="126">
        <v>18</v>
      </c>
      <c r="G30" s="127">
        <v>665</v>
      </c>
      <c r="H30" s="125">
        <v>3787</v>
      </c>
      <c r="I30" s="124">
        <v>23</v>
      </c>
      <c r="J30" s="127">
        <v>685</v>
      </c>
      <c r="K30" s="125">
        <v>1558</v>
      </c>
      <c r="L30" s="133">
        <v>25</v>
      </c>
      <c r="M30" s="164"/>
    </row>
    <row r="31" spans="1:19" ht="21.75" customHeight="1">
      <c r="A31" s="119">
        <v>611</v>
      </c>
      <c r="B31" s="125">
        <v>7.0000000000000007E-2</v>
      </c>
      <c r="C31" s="134">
        <v>25</v>
      </c>
      <c r="D31" s="127">
        <v>634</v>
      </c>
      <c r="E31" s="125">
        <v>7572</v>
      </c>
      <c r="F31" s="126">
        <v>20</v>
      </c>
      <c r="G31" s="127">
        <v>666</v>
      </c>
      <c r="H31" s="125">
        <v>1710</v>
      </c>
      <c r="I31" s="124">
        <v>21</v>
      </c>
      <c r="J31" s="127">
        <v>686</v>
      </c>
      <c r="K31" s="125">
        <v>469</v>
      </c>
      <c r="L31" s="133">
        <v>25</v>
      </c>
      <c r="M31" s="164"/>
    </row>
    <row r="32" spans="1:19" ht="21.75" customHeight="1">
      <c r="A32" s="119">
        <v>612</v>
      </c>
      <c r="B32" s="125">
        <v>6.35</v>
      </c>
      <c r="C32" s="134">
        <v>25</v>
      </c>
      <c r="D32" s="127">
        <v>641</v>
      </c>
      <c r="E32" s="125">
        <v>1800</v>
      </c>
      <c r="F32" s="126">
        <v>21</v>
      </c>
      <c r="G32" s="127">
        <v>667</v>
      </c>
      <c r="H32" s="125">
        <v>1661</v>
      </c>
      <c r="I32" s="124">
        <v>23</v>
      </c>
      <c r="J32" s="127">
        <v>687</v>
      </c>
      <c r="K32" s="125">
        <v>2592</v>
      </c>
      <c r="L32" s="133">
        <v>24</v>
      </c>
      <c r="M32" s="164"/>
    </row>
    <row r="33" spans="1:13" ht="21.75" customHeight="1">
      <c r="A33" s="119">
        <v>613</v>
      </c>
      <c r="B33" s="125">
        <v>62.75</v>
      </c>
      <c r="C33" s="134">
        <v>25</v>
      </c>
      <c r="D33" s="127">
        <v>642</v>
      </c>
      <c r="E33" s="125">
        <v>4420</v>
      </c>
      <c r="F33" s="126">
        <v>25</v>
      </c>
      <c r="G33" s="127">
        <v>668</v>
      </c>
      <c r="H33" s="125">
        <v>-172</v>
      </c>
      <c r="I33" s="124">
        <v>22</v>
      </c>
      <c r="J33" s="127">
        <v>688</v>
      </c>
      <c r="K33" s="125">
        <v>4826</v>
      </c>
      <c r="L33" s="133">
        <v>22</v>
      </c>
      <c r="M33" s="164"/>
    </row>
    <row r="34" spans="1:13" ht="21.75" customHeight="1">
      <c r="A34" s="119">
        <v>614</v>
      </c>
      <c r="B34" s="125">
        <v>35.590000000000003</v>
      </c>
      <c r="C34" s="134">
        <v>25</v>
      </c>
      <c r="D34" s="127">
        <v>643</v>
      </c>
      <c r="E34" s="125">
        <v>1953</v>
      </c>
      <c r="F34" s="126">
        <v>22</v>
      </c>
      <c r="G34" s="127">
        <v>669</v>
      </c>
      <c r="H34" s="125">
        <v>-143</v>
      </c>
      <c r="I34" s="124">
        <v>24</v>
      </c>
      <c r="J34" s="127">
        <v>689</v>
      </c>
      <c r="K34" s="125">
        <v>5417</v>
      </c>
      <c r="L34" s="133">
        <v>22</v>
      </c>
      <c r="M34" s="164"/>
    </row>
    <row r="35" spans="1:13" ht="21.75" customHeight="1">
      <c r="A35" s="119">
        <v>621</v>
      </c>
      <c r="B35" s="125">
        <v>489</v>
      </c>
      <c r="C35" s="126">
        <v>22</v>
      </c>
      <c r="D35" s="127">
        <v>645</v>
      </c>
      <c r="E35" s="125">
        <v>62</v>
      </c>
      <c r="F35" s="126">
        <v>21</v>
      </c>
      <c r="G35" s="127">
        <v>670</v>
      </c>
      <c r="H35" s="125">
        <v>-9904</v>
      </c>
      <c r="I35" s="124">
        <v>24</v>
      </c>
      <c r="J35" s="127">
        <v>690</v>
      </c>
      <c r="K35" s="125">
        <v>1161</v>
      </c>
      <c r="L35" s="124">
        <v>23</v>
      </c>
      <c r="M35" s="164"/>
    </row>
    <row r="36" spans="1:13" ht="21.75" customHeight="1">
      <c r="A36" s="119">
        <v>622</v>
      </c>
      <c r="B36" s="125">
        <v>3165</v>
      </c>
      <c r="C36" s="126">
        <v>24</v>
      </c>
      <c r="D36" s="127">
        <v>651</v>
      </c>
      <c r="E36" s="125">
        <v>2091</v>
      </c>
      <c r="F36" s="126">
        <v>25</v>
      </c>
      <c r="G36" s="127">
        <v>671</v>
      </c>
      <c r="H36" s="125">
        <v>0</v>
      </c>
      <c r="I36" s="124">
        <v>24</v>
      </c>
      <c r="J36" s="127">
        <v>691</v>
      </c>
      <c r="K36" s="125">
        <v>2109</v>
      </c>
      <c r="L36" s="133">
        <v>25</v>
      </c>
      <c r="M36" s="164"/>
    </row>
    <row r="37" spans="1:13" ht="21.75" customHeight="1">
      <c r="A37" s="119">
        <v>623</v>
      </c>
      <c r="B37" s="125">
        <v>4300</v>
      </c>
      <c r="C37" s="126">
        <v>25</v>
      </c>
      <c r="D37" s="127">
        <v>652</v>
      </c>
      <c r="E37" s="125">
        <v>3640</v>
      </c>
      <c r="F37" s="126">
        <v>23</v>
      </c>
      <c r="G37" s="127">
        <v>672</v>
      </c>
      <c r="H37" s="125">
        <v>2730</v>
      </c>
      <c r="I37" s="124">
        <v>27</v>
      </c>
      <c r="J37" s="127">
        <v>692</v>
      </c>
      <c r="K37" s="125">
        <v>5193</v>
      </c>
      <c r="L37" s="133">
        <v>25</v>
      </c>
      <c r="M37" s="164"/>
    </row>
    <row r="38" spans="1:13" ht="21.75" customHeight="1">
      <c r="A38" s="122">
        <v>624</v>
      </c>
      <c r="B38" s="125">
        <v>506</v>
      </c>
      <c r="C38" s="126">
        <v>20</v>
      </c>
      <c r="D38" s="128">
        <v>653</v>
      </c>
      <c r="E38" s="125">
        <v>0</v>
      </c>
      <c r="F38" s="126">
        <v>17</v>
      </c>
      <c r="G38" s="127">
        <v>673</v>
      </c>
      <c r="H38" s="125">
        <v>1071</v>
      </c>
      <c r="I38" s="124">
        <v>21</v>
      </c>
      <c r="J38" s="127">
        <v>693</v>
      </c>
      <c r="K38" s="125">
        <v>2443</v>
      </c>
      <c r="L38" s="133">
        <v>25</v>
      </c>
      <c r="M38" s="164"/>
    </row>
    <row r="39" spans="1:13" ht="21.75" customHeight="1">
      <c r="A39" s="122" t="s">
        <v>80</v>
      </c>
      <c r="B39" s="125">
        <v>0</v>
      </c>
      <c r="C39" s="126">
        <v>24</v>
      </c>
      <c r="D39" s="127">
        <v>654</v>
      </c>
      <c r="E39" s="125">
        <v>5072</v>
      </c>
      <c r="F39" s="126">
        <v>21</v>
      </c>
      <c r="G39" s="127">
        <v>674</v>
      </c>
      <c r="H39" s="125">
        <v>22</v>
      </c>
      <c r="I39" s="124">
        <v>19</v>
      </c>
      <c r="J39" s="127">
        <v>694</v>
      </c>
      <c r="K39" s="125">
        <v>1278</v>
      </c>
      <c r="L39" s="133">
        <v>23</v>
      </c>
      <c r="M39" s="164"/>
    </row>
    <row r="40" spans="1:13" ht="21.75" customHeight="1">
      <c r="A40" s="122" t="s">
        <v>26</v>
      </c>
      <c r="B40" s="125">
        <v>2264</v>
      </c>
      <c r="C40" s="126">
        <v>28</v>
      </c>
      <c r="D40" s="128">
        <v>655</v>
      </c>
      <c r="E40" s="125">
        <v>548</v>
      </c>
      <c r="F40" s="126">
        <v>22</v>
      </c>
      <c r="G40" s="127">
        <v>675</v>
      </c>
      <c r="H40" s="125">
        <v>23.84</v>
      </c>
      <c r="I40" s="133">
        <v>25</v>
      </c>
      <c r="J40" s="127">
        <v>695</v>
      </c>
      <c r="K40" s="125">
        <v>6353</v>
      </c>
      <c r="L40" s="133">
        <v>25</v>
      </c>
      <c r="M40" s="164"/>
    </row>
    <row r="41" spans="1:13" ht="21.75" customHeight="1">
      <c r="A41" s="122" t="s">
        <v>27</v>
      </c>
      <c r="B41" s="125">
        <v>6235</v>
      </c>
      <c r="C41" s="126">
        <v>20</v>
      </c>
      <c r="D41" s="127">
        <v>656</v>
      </c>
      <c r="E41" s="125">
        <v>5008</v>
      </c>
      <c r="F41" s="126">
        <v>22</v>
      </c>
      <c r="G41" s="127">
        <v>676</v>
      </c>
      <c r="H41" s="125">
        <v>84.71</v>
      </c>
      <c r="I41" s="133">
        <v>25</v>
      </c>
      <c r="J41" s="127">
        <v>696</v>
      </c>
      <c r="K41" s="125">
        <v>6324</v>
      </c>
      <c r="L41" s="133">
        <v>21</v>
      </c>
      <c r="M41" s="164"/>
    </row>
    <row r="42" spans="1:13" ht="21.75" customHeight="1">
      <c r="A42" s="122" t="s">
        <v>28</v>
      </c>
      <c r="B42" s="125">
        <v>7159</v>
      </c>
      <c r="C42" s="126">
        <v>20</v>
      </c>
      <c r="D42" s="127">
        <v>657</v>
      </c>
      <c r="E42" s="125">
        <v>3197</v>
      </c>
      <c r="F42" s="126">
        <v>23</v>
      </c>
      <c r="G42" s="127">
        <v>677</v>
      </c>
      <c r="H42" s="125">
        <v>30.24</v>
      </c>
      <c r="I42" s="133">
        <v>25</v>
      </c>
      <c r="J42" s="127">
        <v>697</v>
      </c>
      <c r="K42" s="125">
        <v>9050</v>
      </c>
      <c r="L42" s="133">
        <v>25</v>
      </c>
      <c r="M42" s="164"/>
    </row>
    <row r="43" spans="1:13" ht="21.75" customHeight="1">
      <c r="A43" s="122" t="s">
        <v>29</v>
      </c>
      <c r="B43" s="125">
        <v>7010</v>
      </c>
      <c r="C43" s="126">
        <v>23</v>
      </c>
      <c r="D43" s="128">
        <v>658</v>
      </c>
      <c r="E43" s="125">
        <v>1066</v>
      </c>
      <c r="F43" s="126">
        <v>23</v>
      </c>
      <c r="G43" s="127">
        <v>678</v>
      </c>
      <c r="H43" s="125">
        <v>5.65</v>
      </c>
      <c r="I43" s="133">
        <v>25</v>
      </c>
      <c r="J43" s="127">
        <v>698</v>
      </c>
      <c r="K43" s="125">
        <v>4060</v>
      </c>
      <c r="L43" s="133">
        <v>28</v>
      </c>
      <c r="M43" s="164"/>
    </row>
    <row r="44" spans="1:13" ht="21.75" customHeight="1">
      <c r="A44" s="122" t="s">
        <v>30</v>
      </c>
      <c r="B44" s="125">
        <v>6632</v>
      </c>
      <c r="C44" s="126">
        <v>28</v>
      </c>
      <c r="D44" s="127">
        <v>659</v>
      </c>
      <c r="E44" s="125">
        <v>1595</v>
      </c>
      <c r="F44" s="126">
        <v>21</v>
      </c>
      <c r="G44" s="127">
        <v>680</v>
      </c>
      <c r="H44" s="125">
        <v>328</v>
      </c>
      <c r="I44" s="133">
        <v>23</v>
      </c>
      <c r="J44" s="127">
        <v>699</v>
      </c>
      <c r="K44" s="125">
        <v>1914</v>
      </c>
      <c r="L44" s="133">
        <v>25</v>
      </c>
      <c r="M44" s="164"/>
    </row>
    <row r="45" spans="1:13" ht="21.75" customHeight="1" thickBot="1">
      <c r="A45" s="129" t="s">
        <v>81</v>
      </c>
      <c r="B45" s="130">
        <v>7008</v>
      </c>
      <c r="C45" s="130">
        <v>22</v>
      </c>
      <c r="D45" s="131">
        <v>660</v>
      </c>
      <c r="E45" s="130">
        <v>4736</v>
      </c>
      <c r="F45" s="132">
        <v>24</v>
      </c>
      <c r="G45" s="131"/>
      <c r="H45" s="130"/>
      <c r="I45" s="132"/>
      <c r="J45" s="131"/>
      <c r="K45" s="130"/>
      <c r="L45" s="132"/>
      <c r="M45" s="165"/>
    </row>
    <row r="46" spans="1:13" ht="16.2" thickTop="1"/>
    <row r="100" spans="1:1" ht="25.5" customHeight="1">
      <c r="A100" s="140" t="s">
        <v>634</v>
      </c>
    </row>
  </sheetData>
  <sheetProtection selectLockedCells="1"/>
  <mergeCells count="9">
    <mergeCell ref="Q13:Q15"/>
    <mergeCell ref="S13:S14"/>
    <mergeCell ref="A24:B24"/>
    <mergeCell ref="M26:M45"/>
    <mergeCell ref="A1:B1"/>
    <mergeCell ref="M3:M22"/>
    <mergeCell ref="N13:N15"/>
    <mergeCell ref="O13:O15"/>
    <mergeCell ref="P13:P15"/>
  </mergeCells>
  <phoneticPr fontId="2" type="noConversion"/>
  <dataValidations count="11">
    <dataValidation type="custom" errorStyle="warning" allowBlank="1" showInputMessage="1" showErrorMessage="1" error="***你在睡喔,醒醒好嗎" sqref="E8 B6:B7 B4 B15 E31 B29:B30 B27 B38">
      <formula1>B4&lt;=9100</formula1>
    </dataValidation>
    <dataValidation type="custom" errorStyle="warning" allowBlank="1" showInputMessage="1" showErrorMessage="1" error="***你在睡喔,醒醒好嗎" sqref="B8:B11 H17:H20 B31:B34 H40:H43">
      <formula1>B8&lt;=100</formula1>
    </dataValidation>
    <dataValidation type="custom" errorStyle="warning" allowBlank="1" showInputMessage="1" showErrorMessage="1" error="***你在睡喔,醒醒好嗎" sqref="E3:E4 B16:B22 E20:E22 H3:H16 E26:E27 B39:B45 E43:E45 H26:H39 E19 E42">
      <formula1>B3&lt;=7400</formula1>
    </dataValidation>
    <dataValidation type="custom" errorStyle="warning" allowBlank="1" showInputMessage="1" showErrorMessage="1" error="***你在睡喔,醒醒好嗎" sqref="E14:E18 E37:E41">
      <formula1>E14&lt;=5500</formula1>
    </dataValidation>
    <dataValidation type="custom" errorStyle="warning" allowBlank="1" showInputMessage="1" showErrorMessage="1" error="***你在睡喔,醒醒好嗎" sqref="H21 K12 H44 K35">
      <formula1>H12&lt;=4100</formula1>
    </dataValidation>
    <dataValidation type="custom" errorStyle="warning" allowBlank="1" showInputMessage="1" showErrorMessage="1" error="***你在睡喔,醒醒好嗎" sqref="E5:E6 B5 K14:K17 B12:B13 B3 E28:E29 B28 K37:K40 B35:B36 B26">
      <formula1>B3&lt;=7000</formula1>
    </dataValidation>
    <dataValidation type="custom" errorStyle="warning" allowBlank="1" showInputMessage="1" showErrorMessage="1" error="***你在睡喔,醒醒好嗎" sqref="K18:K21 K41:K44">
      <formula1>K18&lt;=12000</formula1>
    </dataValidation>
    <dataValidation type="custom" errorStyle="warning" allowBlank="1" showInputMessage="1" showErrorMessage="1" error="***你在睡喔,醒醒好嗎" sqref="B14 E7 K13 E9:E10 E13 K3:K7 K9:K10 B37 E30 E36 K26:K30 K32:K33 K36 E32:E33">
      <formula1>B3&lt;=5600</formula1>
    </dataValidation>
    <dataValidation type="custom" errorStyle="warning" allowBlank="1" showInputMessage="1" showErrorMessage="1" error="***你在睡喔,醒醒好嗎" sqref="K11 K8 K34 K31">
      <formula1>K8&lt;=5700</formula1>
    </dataValidation>
    <dataValidation type="custom" errorStyle="warning" allowBlank="1" showInputMessage="1" showErrorMessage="1" error="***你在睡喔,醒醒好嗎" sqref="E12 E34:E35">
      <formula1>E12&lt;=6000</formula1>
    </dataValidation>
    <dataValidation type="custom" errorStyle="warning" allowBlank="1" showInputMessage="1" showErrorMessage="1" error="***你在睡喔,醒醒好嗎" sqref="E11">
      <formula1>E11&lt;=6000</formula1>
    </dataValidation>
  </dataValidations>
  <printOptions horizontalCentered="1"/>
  <pageMargins left="0.39370078740157483" right="0.19685039370078741" top="0.19685039370078741" bottom="0" header="0" footer="0"/>
  <pageSetup paperSize="9" scale="84" pageOrder="overThenDown" orientation="portrait" horizontalDpi="180" verticalDpi="18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47682" r:id="rId4" name="CommandButton2">
          <controlPr autoLine="0" r:id="rId5">
            <anchor moveWithCells="1">
              <from>
                <xdr:col>13</xdr:col>
                <xdr:colOff>22860</xdr:colOff>
                <xdr:row>25</xdr:row>
                <xdr:rowOff>60960</xdr:rowOff>
              </from>
              <to>
                <xdr:col>15</xdr:col>
                <xdr:colOff>548640</xdr:colOff>
                <xdr:row>32</xdr:row>
                <xdr:rowOff>0</xdr:rowOff>
              </to>
            </anchor>
          </controlPr>
        </control>
      </mc:Choice>
      <mc:Fallback>
        <control shapeId="2247682" r:id="rId4" name="CommandButton2"/>
      </mc:Fallback>
    </mc:AlternateContent>
    <mc:AlternateContent xmlns:mc="http://schemas.openxmlformats.org/markup-compatibility/2006">
      <mc:Choice Requires="x14">
        <control shapeId="2247681" r:id="rId6" name="CommandButton1">
          <controlPr autoLine="0" r:id="rId7">
            <anchor moveWithCells="1">
              <from>
                <xdr:col>13</xdr:col>
                <xdr:colOff>30480</xdr:colOff>
                <xdr:row>15</xdr:row>
                <xdr:rowOff>198120</xdr:rowOff>
              </from>
              <to>
                <xdr:col>15</xdr:col>
                <xdr:colOff>495300</xdr:colOff>
                <xdr:row>22</xdr:row>
                <xdr:rowOff>388620</xdr:rowOff>
              </to>
            </anchor>
          </controlPr>
        </control>
      </mc:Choice>
      <mc:Fallback>
        <control shapeId="2247681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pageSetUpPr fitToPage="1"/>
  </sheetPr>
  <dimension ref="A1:X93"/>
  <sheetViews>
    <sheetView showRuler="0" view="pageBreakPreview" zoomScale="60" zoomScaleNormal="60" workbookViewId="0">
      <pane ySplit="1" topLeftCell="A14" activePane="bottomLeft" state="frozen"/>
      <selection activeCell="AA15" sqref="AA15"/>
      <selection pane="bottomLeft" activeCell="AA15" sqref="AA15"/>
    </sheetView>
  </sheetViews>
  <sheetFormatPr defaultColWidth="9" defaultRowHeight="16.2"/>
  <cols>
    <col min="1" max="1" width="9.44140625" style="47" customWidth="1"/>
    <col min="2" max="10" width="10.6640625" style="47" customWidth="1"/>
    <col min="11" max="12" width="10.6640625" style="6" customWidth="1"/>
    <col min="13" max="13" width="10.6640625" style="50" customWidth="1"/>
    <col min="14" max="16" width="10.6640625" style="6" customWidth="1"/>
    <col min="17" max="17" width="12.88671875" style="47" customWidth="1"/>
    <col min="18" max="18" width="10.6640625" style="6" customWidth="1"/>
    <col min="19" max="19" width="10.6640625" style="47" customWidth="1"/>
    <col min="20" max="20" width="10.6640625" style="6" customWidth="1"/>
    <col min="21" max="21" width="10.6640625" style="51" customWidth="1"/>
    <col min="22" max="23" width="9.88671875" style="6" bestFit="1" customWidth="1"/>
    <col min="24" max="24" width="15.44140625" style="6" bestFit="1" customWidth="1"/>
    <col min="25" max="16384" width="9" style="6"/>
  </cols>
  <sheetData>
    <row r="1" spans="1:24" ht="49.2" customHeight="1">
      <c r="A1" s="1" t="s">
        <v>6</v>
      </c>
      <c r="B1" s="2" t="s">
        <v>7</v>
      </c>
      <c r="C1" s="2" t="s">
        <v>8</v>
      </c>
      <c r="D1" s="2" t="s">
        <v>9</v>
      </c>
      <c r="E1" s="2" t="s">
        <v>10</v>
      </c>
      <c r="F1" s="3" t="s">
        <v>11</v>
      </c>
      <c r="G1" s="2" t="s">
        <v>12</v>
      </c>
      <c r="H1" s="2" t="s">
        <v>13</v>
      </c>
      <c r="I1" s="2" t="s">
        <v>14</v>
      </c>
      <c r="J1" s="4" t="s">
        <v>15</v>
      </c>
      <c r="K1" s="2" t="s">
        <v>16</v>
      </c>
      <c r="L1" s="2" t="s">
        <v>17</v>
      </c>
      <c r="M1" s="2" t="s">
        <v>18</v>
      </c>
      <c r="N1" s="2" t="s">
        <v>19</v>
      </c>
      <c r="O1" s="4" t="s">
        <v>20</v>
      </c>
      <c r="P1" s="3" t="s">
        <v>21</v>
      </c>
      <c r="Q1" s="2" t="s">
        <v>70</v>
      </c>
      <c r="R1" s="2" t="s">
        <v>22</v>
      </c>
      <c r="S1" s="2" t="s">
        <v>23</v>
      </c>
      <c r="T1" s="2" t="s">
        <v>24</v>
      </c>
      <c r="U1" s="5" t="s">
        <v>25</v>
      </c>
      <c r="V1" s="5" t="s">
        <v>34</v>
      </c>
      <c r="W1" s="5" t="s">
        <v>38</v>
      </c>
      <c r="X1" s="5" t="s">
        <v>75</v>
      </c>
    </row>
    <row r="2" spans="1:24" s="13" customFormat="1" ht="26.4" customHeight="1" thickBot="1">
      <c r="A2" s="7">
        <v>1</v>
      </c>
      <c r="B2" s="8">
        <v>0.80020000000000002</v>
      </c>
      <c r="C2" s="8">
        <v>1.1264000000000001</v>
      </c>
      <c r="D2" s="8">
        <v>1.0450999999999999</v>
      </c>
      <c r="E2" s="8">
        <v>0.81089999999999995</v>
      </c>
      <c r="F2" s="9"/>
      <c r="G2" s="8">
        <v>0.80520000000000003</v>
      </c>
      <c r="H2" s="8">
        <v>0.93820000000000003</v>
      </c>
      <c r="I2" s="8">
        <v>1.0691999999999999</v>
      </c>
      <c r="J2" s="10">
        <v>0.98939999999999995</v>
      </c>
      <c r="K2" s="8">
        <v>0.96160000000000001</v>
      </c>
      <c r="L2" s="11">
        <v>0.95099999999999996</v>
      </c>
      <c r="M2" s="8"/>
      <c r="N2" s="11">
        <v>0.94899999999999995</v>
      </c>
      <c r="O2" s="11">
        <v>0.93500000000000005</v>
      </c>
      <c r="P2" s="9"/>
      <c r="Q2" s="27">
        <v>0.95454000000000006</v>
      </c>
      <c r="R2" s="8">
        <v>0.82220000000000004</v>
      </c>
      <c r="S2" s="12">
        <v>1.0519000000000001</v>
      </c>
      <c r="T2" s="8">
        <v>0.96960000000000002</v>
      </c>
      <c r="U2" s="8">
        <v>1.028</v>
      </c>
      <c r="V2" s="16">
        <v>0.96399999999999997</v>
      </c>
      <c r="W2" s="16">
        <v>0.97658999999999996</v>
      </c>
      <c r="X2" s="16">
        <v>0.81481000000000003</v>
      </c>
    </row>
    <row r="3" spans="1:24" s="13" customFormat="1" ht="26.4" customHeight="1" thickTop="1" thickBot="1">
      <c r="A3" s="7">
        <v>2</v>
      </c>
      <c r="B3" s="8">
        <v>0.79930000000000001</v>
      </c>
      <c r="C3" s="8">
        <v>1.1257999999999999</v>
      </c>
      <c r="D3" s="8">
        <v>1.0471999999999999</v>
      </c>
      <c r="E3" s="14">
        <v>0.81</v>
      </c>
      <c r="F3" s="9"/>
      <c r="G3" s="8">
        <v>0.80420000000000003</v>
      </c>
      <c r="H3" s="8">
        <v>0.93730000000000002</v>
      </c>
      <c r="I3" s="8">
        <v>1.0681</v>
      </c>
      <c r="J3" s="10">
        <v>0.98939999999999995</v>
      </c>
      <c r="K3" s="8">
        <v>0.9607</v>
      </c>
      <c r="L3" s="11">
        <v>0.96</v>
      </c>
      <c r="M3" s="8"/>
      <c r="N3" s="11">
        <v>0.94899999999999995</v>
      </c>
      <c r="O3" s="11">
        <v>0.93500000000000005</v>
      </c>
      <c r="P3" s="9"/>
      <c r="Q3" s="27">
        <v>0.95454000000000006</v>
      </c>
      <c r="R3" s="8">
        <v>0.82120000000000004</v>
      </c>
      <c r="S3" s="12">
        <v>1.0511999999999999</v>
      </c>
      <c r="T3" s="8">
        <v>0.96870000000000001</v>
      </c>
      <c r="U3" s="8">
        <v>1.028</v>
      </c>
      <c r="V3" s="16">
        <v>0.96399999999999997</v>
      </c>
      <c r="W3" s="16">
        <v>0.97658999999999996</v>
      </c>
      <c r="X3" s="16">
        <v>0.81481000000000003</v>
      </c>
    </row>
    <row r="4" spans="1:24" s="13" customFormat="1" ht="26.4" customHeight="1" thickTop="1" thickBot="1">
      <c r="A4" s="7">
        <v>3</v>
      </c>
      <c r="B4" s="8">
        <v>0.7984</v>
      </c>
      <c r="C4" s="8">
        <v>1.1251</v>
      </c>
      <c r="D4" s="8">
        <v>1.0463</v>
      </c>
      <c r="E4" s="8">
        <v>0.80910000000000004</v>
      </c>
      <c r="F4" s="9"/>
      <c r="G4" s="8">
        <v>0.80320000000000003</v>
      </c>
      <c r="H4" s="8">
        <v>0.93630000000000002</v>
      </c>
      <c r="I4" s="14">
        <v>1.0669999999999999</v>
      </c>
      <c r="J4" s="10">
        <v>0.98939999999999995</v>
      </c>
      <c r="K4" s="8">
        <v>0.95989999999999998</v>
      </c>
      <c r="L4" s="11">
        <v>0.95899999999999996</v>
      </c>
      <c r="M4" s="8"/>
      <c r="N4" s="11">
        <v>0.94899999999999995</v>
      </c>
      <c r="O4" s="11">
        <v>0.93500000000000005</v>
      </c>
      <c r="P4" s="9"/>
      <c r="Q4" s="27">
        <v>0.95454000000000006</v>
      </c>
      <c r="R4" s="8">
        <v>0.82020000000000004</v>
      </c>
      <c r="S4" s="12">
        <v>1.0504</v>
      </c>
      <c r="T4" s="8">
        <v>0.96789999999999998</v>
      </c>
      <c r="U4" s="8">
        <v>1.028</v>
      </c>
      <c r="V4" s="16">
        <v>0.96399999999999997</v>
      </c>
      <c r="W4" s="16">
        <v>0.97658999999999996</v>
      </c>
      <c r="X4" s="16">
        <v>0.81481000000000003</v>
      </c>
    </row>
    <row r="5" spans="1:24" s="13" customFormat="1" ht="24" customHeight="1" thickTop="1" thickBot="1">
      <c r="A5" s="7">
        <v>4</v>
      </c>
      <c r="B5" s="8">
        <v>0.79749999999999999</v>
      </c>
      <c r="C5" s="8">
        <v>1.1245000000000001</v>
      </c>
      <c r="D5" s="8">
        <v>1.0454000000000001</v>
      </c>
      <c r="E5" s="8">
        <v>0.80820000000000003</v>
      </c>
      <c r="F5" s="9"/>
      <c r="G5" s="8">
        <v>0.80220000000000002</v>
      </c>
      <c r="H5" s="8">
        <v>0.93530000000000002</v>
      </c>
      <c r="I5" s="8">
        <v>1.0658000000000001</v>
      </c>
      <c r="J5" s="10">
        <v>0.98939999999999995</v>
      </c>
      <c r="K5" s="8">
        <v>0.95899999999999996</v>
      </c>
      <c r="L5" s="11">
        <v>0.95799999999999996</v>
      </c>
      <c r="M5" s="8"/>
      <c r="N5" s="11">
        <v>0.94899999999999995</v>
      </c>
      <c r="O5" s="11">
        <v>0.93500000000000005</v>
      </c>
      <c r="P5" s="9"/>
      <c r="Q5" s="27">
        <v>0.95454000000000006</v>
      </c>
      <c r="R5" s="8">
        <v>0.81920000000000004</v>
      </c>
      <c r="S5" s="12">
        <v>1.0497000000000001</v>
      </c>
      <c r="T5" s="8">
        <v>0.96699999999999997</v>
      </c>
      <c r="U5" s="8">
        <v>1.028</v>
      </c>
      <c r="V5" s="16">
        <v>0.96399999999999997</v>
      </c>
      <c r="W5" s="16">
        <v>0.97658999999999996</v>
      </c>
      <c r="X5" s="16">
        <v>0.81481000000000003</v>
      </c>
    </row>
    <row r="6" spans="1:24" ht="22.5" customHeight="1" thickTop="1" thickBot="1">
      <c r="A6" s="15">
        <v>5</v>
      </c>
      <c r="B6" s="16">
        <v>0.79659999999999997</v>
      </c>
      <c r="C6" s="16">
        <v>1.1237999999999999</v>
      </c>
      <c r="D6" s="16">
        <v>1.0445</v>
      </c>
      <c r="E6" s="16">
        <v>0.80730000000000002</v>
      </c>
      <c r="F6" s="17"/>
      <c r="G6" s="16">
        <v>0.80120000000000002</v>
      </c>
      <c r="H6" s="16">
        <v>0.93440000000000001</v>
      </c>
      <c r="I6" s="16">
        <v>1.0647</v>
      </c>
      <c r="J6" s="16">
        <v>0.98939999999999995</v>
      </c>
      <c r="K6" s="16">
        <v>0.95820000000000005</v>
      </c>
      <c r="L6" s="16">
        <v>0.95699999999999996</v>
      </c>
      <c r="M6" s="18"/>
      <c r="N6" s="18">
        <v>0.94899999999999995</v>
      </c>
      <c r="O6" s="18">
        <v>0.93500000000000005</v>
      </c>
      <c r="P6" s="19"/>
      <c r="Q6" s="27">
        <v>0.95454000000000006</v>
      </c>
      <c r="R6" s="18">
        <v>0.81820000000000004</v>
      </c>
      <c r="S6" s="20">
        <v>1.0488</v>
      </c>
      <c r="T6" s="16">
        <v>0.96609999999999996</v>
      </c>
      <c r="U6" s="16">
        <v>1.028</v>
      </c>
      <c r="V6" s="16">
        <v>0.96399999999999997</v>
      </c>
      <c r="W6" s="16">
        <v>0.97658999999999996</v>
      </c>
      <c r="X6" s="16">
        <v>0.81481000000000003</v>
      </c>
    </row>
    <row r="7" spans="1:24" ht="22.5" customHeight="1" thickTop="1" thickBot="1">
      <c r="A7" s="21">
        <v>6</v>
      </c>
      <c r="B7" s="22">
        <v>0.79569999999999996</v>
      </c>
      <c r="C7" s="22">
        <v>1.123</v>
      </c>
      <c r="D7" s="22">
        <v>1.0436000000000001</v>
      </c>
      <c r="E7" s="22">
        <v>0.80620000000000003</v>
      </c>
      <c r="F7" s="22"/>
      <c r="G7" s="22">
        <v>0.80020000000000002</v>
      </c>
      <c r="H7" s="22">
        <v>0.93340000000000001</v>
      </c>
      <c r="I7" s="22">
        <v>1.0636000000000001</v>
      </c>
      <c r="J7" s="22">
        <v>0.98939999999999995</v>
      </c>
      <c r="K7" s="22">
        <v>0.95730000000000004</v>
      </c>
      <c r="L7" s="22">
        <v>0.95599999999999996</v>
      </c>
      <c r="M7" s="16">
        <v>0.88029999999999997</v>
      </c>
      <c r="N7" s="23">
        <v>0.94799999999999995</v>
      </c>
      <c r="O7" s="23">
        <v>0.93500000000000005</v>
      </c>
      <c r="P7" s="24"/>
      <c r="Q7" s="27">
        <v>0.95454000000000006</v>
      </c>
      <c r="R7" s="23">
        <v>0.81720000000000004</v>
      </c>
      <c r="S7" s="25">
        <v>1.0481</v>
      </c>
      <c r="T7" s="22">
        <v>0.96509999999999996</v>
      </c>
      <c r="U7" s="8">
        <v>1.028</v>
      </c>
      <c r="V7" s="16">
        <v>0.96399999999999997</v>
      </c>
      <c r="W7" s="16">
        <v>0.9758</v>
      </c>
      <c r="X7" s="16">
        <v>0.81481000000000003</v>
      </c>
    </row>
    <row r="8" spans="1:24" ht="22.5" customHeight="1" thickTop="1" thickBot="1">
      <c r="A8" s="26">
        <v>7</v>
      </c>
      <c r="B8" s="27">
        <v>0.79479999999999995</v>
      </c>
      <c r="C8" s="27">
        <v>1.1222000000000001</v>
      </c>
      <c r="D8" s="27">
        <v>1.0427</v>
      </c>
      <c r="E8" s="27">
        <v>0.80510000000000004</v>
      </c>
      <c r="F8" s="27"/>
      <c r="G8" s="28">
        <v>0.79920000000000002</v>
      </c>
      <c r="H8" s="28">
        <v>0.9325</v>
      </c>
      <c r="I8" s="28">
        <v>1.0625</v>
      </c>
      <c r="J8" s="28">
        <v>0.98939999999999995</v>
      </c>
      <c r="K8" s="28">
        <v>0.95640000000000003</v>
      </c>
      <c r="L8" s="28">
        <v>0.95499999999999996</v>
      </c>
      <c r="M8" s="22">
        <v>0.88029999999999997</v>
      </c>
      <c r="N8" s="28">
        <v>0.94799999999999995</v>
      </c>
      <c r="O8" s="28">
        <v>0.93500000000000005</v>
      </c>
      <c r="P8" s="29"/>
      <c r="Q8" s="27">
        <v>0.95454000000000006</v>
      </c>
      <c r="R8" s="28">
        <v>0.81620000000000004</v>
      </c>
      <c r="S8" s="25">
        <v>1.0472999999999999</v>
      </c>
      <c r="T8" s="22">
        <v>0.96430000000000005</v>
      </c>
      <c r="U8" s="8">
        <v>1.028</v>
      </c>
      <c r="V8" s="16">
        <v>0.96399999999999997</v>
      </c>
      <c r="W8" s="16">
        <v>0.97501000000000004</v>
      </c>
      <c r="X8" s="16">
        <v>0.81481000000000003</v>
      </c>
    </row>
    <row r="9" spans="1:24" ht="22.5" customHeight="1" thickTop="1" thickBot="1">
      <c r="A9" s="26">
        <v>8</v>
      </c>
      <c r="B9" s="27">
        <v>0.79400000000000004</v>
      </c>
      <c r="C9" s="27">
        <v>1.1214</v>
      </c>
      <c r="D9" s="27">
        <v>1.0418000000000001</v>
      </c>
      <c r="E9" s="27">
        <v>0.80389999999999995</v>
      </c>
      <c r="F9" s="27"/>
      <c r="G9" s="27">
        <v>0.79820000000000002</v>
      </c>
      <c r="H9" s="27">
        <v>0.93149999999999999</v>
      </c>
      <c r="I9" s="27">
        <v>1.0613999999999999</v>
      </c>
      <c r="J9" s="27">
        <v>0.98939999999999995</v>
      </c>
      <c r="K9" s="27">
        <v>0.9556</v>
      </c>
      <c r="L9" s="27">
        <v>0.95399999999999996</v>
      </c>
      <c r="M9" s="27">
        <v>0.88029999999999997</v>
      </c>
      <c r="N9" s="28">
        <v>0.94799999999999995</v>
      </c>
      <c r="O9" s="28">
        <v>0.93500000000000005</v>
      </c>
      <c r="P9" s="29"/>
      <c r="Q9" s="27">
        <v>0.95454000000000006</v>
      </c>
      <c r="R9" s="28">
        <v>0.81520000000000004</v>
      </c>
      <c r="S9" s="27">
        <v>1.0465</v>
      </c>
      <c r="T9" s="22">
        <v>0.96330000000000005</v>
      </c>
      <c r="U9" s="8">
        <v>1.028</v>
      </c>
      <c r="V9" s="16">
        <v>0.96399999999999997</v>
      </c>
      <c r="W9" s="16">
        <v>0.97422000000000009</v>
      </c>
      <c r="X9" s="16">
        <v>0.81481000000000003</v>
      </c>
    </row>
    <row r="10" spans="1:24" ht="22.5" customHeight="1" thickTop="1" thickBot="1">
      <c r="A10" s="26">
        <v>9</v>
      </c>
      <c r="B10" s="27">
        <v>0.79310000000000003</v>
      </c>
      <c r="C10" s="27">
        <v>1.1206</v>
      </c>
      <c r="D10" s="27">
        <v>1.0408999999999999</v>
      </c>
      <c r="E10" s="27">
        <v>0.80269999999999997</v>
      </c>
      <c r="F10" s="27"/>
      <c r="G10" s="27">
        <v>0.79720000000000002</v>
      </c>
      <c r="H10" s="27">
        <v>0.93059999999999998</v>
      </c>
      <c r="I10" s="27">
        <v>1.0602</v>
      </c>
      <c r="J10" s="27">
        <v>0.98939999999999995</v>
      </c>
      <c r="K10" s="27">
        <v>0.95469999999999999</v>
      </c>
      <c r="L10" s="27">
        <v>0.95299999999999996</v>
      </c>
      <c r="M10" s="27">
        <v>0.88029999999999997</v>
      </c>
      <c r="N10" s="27">
        <v>0.94799999999999995</v>
      </c>
      <c r="O10" s="27">
        <v>0.93400000000000005</v>
      </c>
      <c r="P10" s="30"/>
      <c r="Q10" s="27">
        <v>0.95454000000000006</v>
      </c>
      <c r="R10" s="27">
        <v>0.81420000000000003</v>
      </c>
      <c r="S10" s="27">
        <v>1.0458000000000001</v>
      </c>
      <c r="T10" s="27">
        <v>0.96230000000000004</v>
      </c>
      <c r="U10" s="8">
        <v>1.028</v>
      </c>
      <c r="V10" s="16">
        <v>0.96399999999999997</v>
      </c>
      <c r="W10" s="16">
        <v>0.97343000000000013</v>
      </c>
      <c r="X10" s="16">
        <v>0.81481000000000003</v>
      </c>
    </row>
    <row r="11" spans="1:24" ht="22.5" customHeight="1" thickTop="1" thickBot="1">
      <c r="A11" s="15">
        <v>10</v>
      </c>
      <c r="B11" s="16">
        <v>0.7923</v>
      </c>
      <c r="C11" s="16">
        <v>1.1197999999999999</v>
      </c>
      <c r="D11" s="16">
        <v>1.04</v>
      </c>
      <c r="E11" s="16">
        <v>0.80159999999999998</v>
      </c>
      <c r="F11" s="16">
        <v>0.94240000000000002</v>
      </c>
      <c r="G11" s="16">
        <v>0.97619999999999996</v>
      </c>
      <c r="H11" s="16">
        <v>0.92969999999999997</v>
      </c>
      <c r="I11" s="16">
        <v>1.0590999999999999</v>
      </c>
      <c r="J11" s="16">
        <v>0.98850000000000005</v>
      </c>
      <c r="K11" s="16">
        <v>0.95379999999999998</v>
      </c>
      <c r="L11" s="16">
        <v>0.95199999999999996</v>
      </c>
      <c r="M11" s="16">
        <v>0.88029999999999997</v>
      </c>
      <c r="N11" s="16">
        <v>0.94799999999999995</v>
      </c>
      <c r="O11" s="16">
        <v>0.93400000000000005</v>
      </c>
      <c r="P11" s="16">
        <v>0.94511999999999996</v>
      </c>
      <c r="Q11" s="27">
        <v>0.95454000000000006</v>
      </c>
      <c r="R11" s="16">
        <v>0.81320000000000003</v>
      </c>
      <c r="S11" s="16">
        <v>1.0449999999999999</v>
      </c>
      <c r="T11" s="16">
        <v>0.96140000000000003</v>
      </c>
      <c r="U11" s="16">
        <v>1.028</v>
      </c>
      <c r="V11" s="16">
        <v>0.96399999999999997</v>
      </c>
      <c r="W11" s="16">
        <v>0.97264000000000017</v>
      </c>
      <c r="X11" s="16">
        <v>0.81481000000000003</v>
      </c>
    </row>
    <row r="12" spans="1:24" ht="22.5" customHeight="1" thickTop="1" thickBot="1">
      <c r="A12" s="21">
        <v>11</v>
      </c>
      <c r="B12" s="22">
        <v>0.79139999999999999</v>
      </c>
      <c r="C12" s="22">
        <v>1.119</v>
      </c>
      <c r="D12" s="22">
        <v>1.0390999999999999</v>
      </c>
      <c r="E12" s="22">
        <v>0.8004</v>
      </c>
      <c r="F12" s="22">
        <v>0.94155</v>
      </c>
      <c r="G12" s="22">
        <v>0.97519999999999996</v>
      </c>
      <c r="H12" s="22">
        <v>0.92869999999999997</v>
      </c>
      <c r="I12" s="22">
        <v>1.0580000000000001</v>
      </c>
      <c r="J12" s="22">
        <v>0.98770000000000002</v>
      </c>
      <c r="K12" s="22">
        <v>0.95299999999999996</v>
      </c>
      <c r="L12" s="22">
        <v>0.95099999999999996</v>
      </c>
      <c r="M12" s="22">
        <v>0.88029999999999997</v>
      </c>
      <c r="N12" s="22">
        <v>0.94</v>
      </c>
      <c r="O12" s="22">
        <v>0.93400000000000005</v>
      </c>
      <c r="P12" s="22">
        <v>0.94420000000000004</v>
      </c>
      <c r="Q12" s="27">
        <v>0.95454000000000006</v>
      </c>
      <c r="R12" s="31">
        <v>0.81220000000000003</v>
      </c>
      <c r="S12" s="22">
        <v>1.0442</v>
      </c>
      <c r="T12" s="22">
        <v>0.96040000000000003</v>
      </c>
      <c r="U12" s="8">
        <v>1.028</v>
      </c>
      <c r="V12" s="16">
        <v>0.96399999999999997</v>
      </c>
      <c r="W12" s="16">
        <v>0.97192000000000012</v>
      </c>
      <c r="X12" s="16">
        <v>0.8145</v>
      </c>
    </row>
    <row r="13" spans="1:24" ht="22.5" customHeight="1" thickTop="1" thickBot="1">
      <c r="A13" s="26">
        <v>12</v>
      </c>
      <c r="B13" s="27">
        <v>0.79059999999999997</v>
      </c>
      <c r="C13" s="27">
        <v>1.1182000000000001</v>
      </c>
      <c r="D13" s="27">
        <v>1.0383</v>
      </c>
      <c r="E13" s="27">
        <v>0.79930000000000001</v>
      </c>
      <c r="F13" s="27">
        <v>0.94059999999999999</v>
      </c>
      <c r="G13" s="27">
        <v>0.97419999999999995</v>
      </c>
      <c r="H13" s="27">
        <v>0.92769999999999997</v>
      </c>
      <c r="I13" s="27">
        <v>1.0569</v>
      </c>
      <c r="J13" s="27">
        <v>0.9869</v>
      </c>
      <c r="K13" s="27">
        <v>0.95209999999999995</v>
      </c>
      <c r="L13" s="27">
        <v>0.95</v>
      </c>
      <c r="M13" s="27">
        <v>0.88029999999999997</v>
      </c>
      <c r="N13" s="27">
        <v>0.94</v>
      </c>
      <c r="O13" s="27">
        <v>0.93400000000000005</v>
      </c>
      <c r="P13" s="27">
        <v>0.94320999999999999</v>
      </c>
      <c r="Q13" s="27">
        <v>0.95454000000000006</v>
      </c>
      <c r="R13" s="27">
        <v>0.81120000000000003</v>
      </c>
      <c r="S13" s="27">
        <v>1.0434000000000001</v>
      </c>
      <c r="T13" s="22">
        <v>0.96050000000000002</v>
      </c>
      <c r="U13" s="8">
        <v>1.028</v>
      </c>
      <c r="V13" s="16">
        <v>0.96399999999999997</v>
      </c>
      <c r="W13" s="16">
        <v>0.97120000000000006</v>
      </c>
      <c r="X13" s="16">
        <v>0.81410000000000005</v>
      </c>
    </row>
    <row r="14" spans="1:24" ht="22.5" customHeight="1" thickTop="1" thickBot="1">
      <c r="A14" s="26">
        <v>13</v>
      </c>
      <c r="B14" s="27">
        <v>0.78969999999999996</v>
      </c>
      <c r="C14" s="27">
        <v>1.1173999999999999</v>
      </c>
      <c r="D14" s="27">
        <v>1.0374000000000001</v>
      </c>
      <c r="E14" s="27">
        <v>0.79810000000000003</v>
      </c>
      <c r="F14" s="27">
        <v>0.93964999999999999</v>
      </c>
      <c r="G14" s="27">
        <v>0.97319999999999995</v>
      </c>
      <c r="H14" s="27">
        <v>0.92669999999999997</v>
      </c>
      <c r="I14" s="27">
        <v>1.0558000000000001</v>
      </c>
      <c r="J14" s="27">
        <v>0.98609999999999998</v>
      </c>
      <c r="K14" s="27">
        <v>0.95130000000000003</v>
      </c>
      <c r="L14" s="27">
        <v>0.94899999999999995</v>
      </c>
      <c r="M14" s="27">
        <v>0.88029999999999997</v>
      </c>
      <c r="N14" s="27">
        <v>0.94</v>
      </c>
      <c r="O14" s="27">
        <v>0.93400000000000005</v>
      </c>
      <c r="P14" s="27">
        <v>0.94220999999999999</v>
      </c>
      <c r="Q14" s="27">
        <v>0.95454000000000006</v>
      </c>
      <c r="R14" s="27">
        <v>0.81020000000000003</v>
      </c>
      <c r="S14" s="27">
        <v>1.0427</v>
      </c>
      <c r="T14" s="22">
        <v>0.95950000000000002</v>
      </c>
      <c r="U14" s="8">
        <v>1.028</v>
      </c>
      <c r="V14" s="16">
        <v>0.96399999999999997</v>
      </c>
      <c r="W14" s="16">
        <v>0.97048000000000001</v>
      </c>
      <c r="X14" s="16">
        <v>0.81369999999999998</v>
      </c>
    </row>
    <row r="15" spans="1:24" ht="22.5" customHeight="1" thickTop="1" thickBot="1">
      <c r="A15" s="32">
        <v>14</v>
      </c>
      <c r="B15" s="33">
        <v>0.78890000000000005</v>
      </c>
      <c r="C15" s="33">
        <v>1.1166</v>
      </c>
      <c r="D15" s="33">
        <v>1.0365</v>
      </c>
      <c r="E15" s="27">
        <v>0.79700000000000004</v>
      </c>
      <c r="F15" s="27">
        <v>0.93937999999999999</v>
      </c>
      <c r="G15" s="27">
        <v>0.97219999999999995</v>
      </c>
      <c r="H15" s="27">
        <v>0.92569999999999997</v>
      </c>
      <c r="I15" s="27">
        <v>1.0546</v>
      </c>
      <c r="J15" s="27">
        <v>0.98529999999999995</v>
      </c>
      <c r="K15" s="27">
        <v>0.95040000000000002</v>
      </c>
      <c r="L15" s="27">
        <v>0.94799999999999995</v>
      </c>
      <c r="M15" s="27">
        <v>0.88029999999999997</v>
      </c>
      <c r="N15" s="27">
        <v>0.94</v>
      </c>
      <c r="O15" s="27">
        <v>0.93400000000000005</v>
      </c>
      <c r="P15" s="27">
        <v>0.94116999999999995</v>
      </c>
      <c r="Q15" s="27">
        <v>0.95454000000000006</v>
      </c>
      <c r="R15" s="27">
        <v>0.80920000000000003</v>
      </c>
      <c r="S15" s="27">
        <v>1.0419</v>
      </c>
      <c r="T15" s="27">
        <v>0.95850000000000002</v>
      </c>
      <c r="U15" s="8">
        <v>1.028</v>
      </c>
      <c r="V15" s="16">
        <v>0.96399999999999997</v>
      </c>
      <c r="W15" s="16">
        <v>0.96975999999999996</v>
      </c>
      <c r="X15" s="16">
        <v>0.81330000000000002</v>
      </c>
    </row>
    <row r="16" spans="1:24" ht="22.5" customHeight="1" thickTop="1" thickBot="1">
      <c r="A16" s="15">
        <v>15</v>
      </c>
      <c r="B16" s="16">
        <v>0.78800000000000003</v>
      </c>
      <c r="C16" s="16">
        <v>1.1157999999999999</v>
      </c>
      <c r="D16" s="16">
        <v>1.0356000000000001</v>
      </c>
      <c r="E16" s="16">
        <v>0.79469999999999996</v>
      </c>
      <c r="F16" s="16">
        <v>0.93791999999999998</v>
      </c>
      <c r="G16" s="16">
        <v>0.97119999999999995</v>
      </c>
      <c r="H16" s="16">
        <v>0.92469999999999997</v>
      </c>
      <c r="I16" s="16">
        <v>1.0535000000000001</v>
      </c>
      <c r="J16" s="16">
        <v>0.98450000000000004</v>
      </c>
      <c r="K16" s="34">
        <v>0.94950000000000001</v>
      </c>
      <c r="L16" s="16">
        <v>0.94699999999999995</v>
      </c>
      <c r="M16" s="16">
        <v>0.88029999999999997</v>
      </c>
      <c r="N16" s="16">
        <v>0.94</v>
      </c>
      <c r="O16" s="16">
        <v>0.93400000000000005</v>
      </c>
      <c r="P16" s="16">
        <v>0.94037000000000004</v>
      </c>
      <c r="Q16" s="27">
        <v>0.95454000000000006</v>
      </c>
      <c r="R16" s="16">
        <v>0.80830000000000002</v>
      </c>
      <c r="S16" s="16">
        <v>1.0411999999999999</v>
      </c>
      <c r="T16" s="16">
        <v>0.95750000000000002</v>
      </c>
      <c r="U16" s="16">
        <v>1.028</v>
      </c>
      <c r="V16" s="16">
        <v>0.96399999999999997</v>
      </c>
      <c r="W16" s="16">
        <v>0.9690399999999999</v>
      </c>
      <c r="X16" s="16">
        <v>0.81293000000000004</v>
      </c>
    </row>
    <row r="17" spans="1:24" ht="22.5" customHeight="1" thickTop="1" thickBot="1">
      <c r="A17" s="21">
        <v>16</v>
      </c>
      <c r="B17" s="22">
        <v>0.78720000000000001</v>
      </c>
      <c r="C17" s="22">
        <v>1.1152</v>
      </c>
      <c r="D17" s="22">
        <v>1.0347999999999999</v>
      </c>
      <c r="E17" s="22">
        <v>0.79359999999999997</v>
      </c>
      <c r="F17" s="22">
        <v>0.93676999999999999</v>
      </c>
      <c r="G17" s="22">
        <v>0.97</v>
      </c>
      <c r="H17" s="22">
        <v>0.92369999999999997</v>
      </c>
      <c r="I17" s="22">
        <v>1.0524</v>
      </c>
      <c r="J17" s="22">
        <v>0.98370000000000002</v>
      </c>
      <c r="K17" s="35">
        <v>0.9486</v>
      </c>
      <c r="L17" s="22">
        <v>0.94599999999999995</v>
      </c>
      <c r="M17" s="22">
        <v>0.88029999999999997</v>
      </c>
      <c r="N17" s="22">
        <v>0.94</v>
      </c>
      <c r="O17" s="22">
        <v>0.93400000000000005</v>
      </c>
      <c r="P17" s="22">
        <v>0.93915999999999999</v>
      </c>
      <c r="Q17" s="27">
        <v>0.9536</v>
      </c>
      <c r="R17" s="22">
        <v>0.80740000000000001</v>
      </c>
      <c r="S17" s="22">
        <v>1.0404</v>
      </c>
      <c r="T17" s="22">
        <v>0.95650000000000002</v>
      </c>
      <c r="U17" s="8">
        <v>1.028</v>
      </c>
      <c r="V17" s="16">
        <v>0.96399999999999997</v>
      </c>
      <c r="W17" s="16">
        <v>0.96829999999999994</v>
      </c>
      <c r="X17" s="16">
        <v>0.81200000000000006</v>
      </c>
    </row>
    <row r="18" spans="1:24" ht="22.5" customHeight="1" thickTop="1" thickBot="1">
      <c r="A18" s="26">
        <v>17</v>
      </c>
      <c r="B18" s="27">
        <v>0.78639999999999999</v>
      </c>
      <c r="C18" s="27">
        <v>1.1145</v>
      </c>
      <c r="D18" s="27">
        <v>1.0339</v>
      </c>
      <c r="E18" s="27">
        <v>0.79249999999999998</v>
      </c>
      <c r="F18" s="27">
        <v>0.93696999999999997</v>
      </c>
      <c r="G18" s="27">
        <v>0.96899999999999997</v>
      </c>
      <c r="H18" s="27">
        <v>0.92269999999999996</v>
      </c>
      <c r="I18" s="27">
        <v>1.0512999999999999</v>
      </c>
      <c r="J18" s="27">
        <v>0.98260000000000003</v>
      </c>
      <c r="K18" s="36">
        <v>0.94779999999999998</v>
      </c>
      <c r="L18" s="27">
        <v>0.94499999999999995</v>
      </c>
      <c r="M18" s="27">
        <v>0.88029999999999997</v>
      </c>
      <c r="N18" s="27">
        <v>0.94</v>
      </c>
      <c r="O18" s="27">
        <v>0.93400000000000005</v>
      </c>
      <c r="P18" s="27">
        <v>0.93815000000000004</v>
      </c>
      <c r="Q18" s="27">
        <v>0.95279999999999998</v>
      </c>
      <c r="R18" s="27">
        <v>0.80649999999999999</v>
      </c>
      <c r="S18" s="27">
        <v>1.0397000000000001</v>
      </c>
      <c r="T18" s="22">
        <v>0.95489999999999997</v>
      </c>
      <c r="U18" s="8">
        <v>1.028</v>
      </c>
      <c r="V18" s="16">
        <v>0.96399999999999997</v>
      </c>
      <c r="W18" s="16">
        <v>0.96755999999999998</v>
      </c>
      <c r="X18" s="16">
        <v>0.81110000000000004</v>
      </c>
    </row>
    <row r="19" spans="1:24" ht="22.5" customHeight="1" thickTop="1" thickBot="1">
      <c r="A19" s="26">
        <v>18</v>
      </c>
      <c r="B19" s="27">
        <v>0.78569999999999995</v>
      </c>
      <c r="C19" s="27">
        <v>1.1138999999999999</v>
      </c>
      <c r="D19" s="27">
        <v>1.0330999999999999</v>
      </c>
      <c r="E19" s="27">
        <v>0.79139999999999999</v>
      </c>
      <c r="F19" s="27">
        <v>0.93486000000000002</v>
      </c>
      <c r="G19" s="27">
        <v>0.96799999999999997</v>
      </c>
      <c r="H19" s="27">
        <v>0.92169999999999996</v>
      </c>
      <c r="I19" s="27">
        <v>1.0502</v>
      </c>
      <c r="J19" s="27">
        <v>0.98209999999999997</v>
      </c>
      <c r="K19" s="36">
        <v>0.94689999999999996</v>
      </c>
      <c r="L19" s="27">
        <v>0.94399999999999995</v>
      </c>
      <c r="M19" s="27">
        <v>0.88029999999999997</v>
      </c>
      <c r="N19" s="27">
        <v>0.94</v>
      </c>
      <c r="O19" s="27">
        <v>0.93400000000000005</v>
      </c>
      <c r="P19" s="27">
        <v>0.93713999999999997</v>
      </c>
      <c r="Q19" s="27">
        <v>0.95201000000000002</v>
      </c>
      <c r="R19" s="37">
        <v>0.80569999999999997</v>
      </c>
      <c r="S19" s="27">
        <v>1.0389999999999999</v>
      </c>
      <c r="T19" s="22">
        <v>0.95320000000000005</v>
      </c>
      <c r="U19" s="8">
        <v>1.028</v>
      </c>
      <c r="V19" s="16">
        <v>0.96399999999999997</v>
      </c>
      <c r="W19" s="16">
        <v>0.96682000000000001</v>
      </c>
      <c r="X19" s="16">
        <v>0.81020000000000003</v>
      </c>
    </row>
    <row r="20" spans="1:24" ht="22.5" customHeight="1" thickTop="1" thickBot="1">
      <c r="A20" s="26">
        <v>19</v>
      </c>
      <c r="B20" s="27">
        <v>0.78490000000000004</v>
      </c>
      <c r="C20" s="27">
        <v>1.1132</v>
      </c>
      <c r="D20" s="27">
        <v>1.0322</v>
      </c>
      <c r="E20" s="27">
        <v>0.7903</v>
      </c>
      <c r="F20" s="27">
        <v>0.93391000000000002</v>
      </c>
      <c r="G20" s="27">
        <v>0.96699999999999997</v>
      </c>
      <c r="H20" s="27">
        <v>0.92069999999999996</v>
      </c>
      <c r="I20" s="27">
        <v>1.0489999999999999</v>
      </c>
      <c r="J20" s="27">
        <v>0.98129999999999995</v>
      </c>
      <c r="K20" s="36">
        <v>0.94599999999999995</v>
      </c>
      <c r="L20" s="27">
        <v>0.94299999999999995</v>
      </c>
      <c r="M20" s="27">
        <v>0.88029999999999997</v>
      </c>
      <c r="N20" s="27">
        <v>0.94</v>
      </c>
      <c r="O20" s="27">
        <v>0.93400000000000005</v>
      </c>
      <c r="P20" s="27">
        <v>0.93613000000000002</v>
      </c>
      <c r="Q20" s="27">
        <v>0.95123000000000002</v>
      </c>
      <c r="R20" s="37">
        <v>0.80479999999999996</v>
      </c>
      <c r="S20" s="27">
        <v>1.0371999999999999</v>
      </c>
      <c r="T20" s="22">
        <v>0.9516</v>
      </c>
      <c r="U20" s="8">
        <v>1.028</v>
      </c>
      <c r="V20" s="16">
        <v>0.96399999999999997</v>
      </c>
      <c r="W20" s="16">
        <v>0.96608000000000005</v>
      </c>
      <c r="X20" s="16">
        <v>0.80920000000000003</v>
      </c>
    </row>
    <row r="21" spans="1:24" ht="22.5" customHeight="1" thickTop="1" thickBot="1">
      <c r="A21" s="38">
        <v>20</v>
      </c>
      <c r="B21" s="28">
        <v>0.78410000000000002</v>
      </c>
      <c r="C21" s="28">
        <v>1.1126</v>
      </c>
      <c r="D21" s="28">
        <v>1.0314000000000001</v>
      </c>
      <c r="E21" s="18">
        <v>0.78920000000000001</v>
      </c>
      <c r="F21" s="16">
        <v>0.93288000000000004</v>
      </c>
      <c r="G21" s="18">
        <v>0.96589999999999998</v>
      </c>
      <c r="H21" s="18">
        <v>0.91969999999999996</v>
      </c>
      <c r="I21" s="18">
        <v>1.0479000000000001</v>
      </c>
      <c r="J21" s="18">
        <v>0.98050000000000004</v>
      </c>
      <c r="K21" s="39">
        <v>0.94520000000000004</v>
      </c>
      <c r="L21" s="18">
        <v>0.94199999999999995</v>
      </c>
      <c r="M21" s="40">
        <v>0.88029999999999997</v>
      </c>
      <c r="N21" s="18">
        <v>0.94</v>
      </c>
      <c r="O21" s="18">
        <v>0.93</v>
      </c>
      <c r="P21" s="16">
        <v>0.93506</v>
      </c>
      <c r="Q21" s="27">
        <v>0.95038</v>
      </c>
      <c r="R21" s="41">
        <v>0.80369999999999997</v>
      </c>
      <c r="S21" s="18">
        <v>1.0363899999999999</v>
      </c>
      <c r="T21" s="16">
        <v>0.95</v>
      </c>
      <c r="U21" s="16">
        <v>1.028</v>
      </c>
      <c r="V21" s="16">
        <v>0.96399999999999997</v>
      </c>
      <c r="W21" s="16">
        <v>0.96534000000000009</v>
      </c>
      <c r="X21" s="16">
        <v>0.80813999999999997</v>
      </c>
    </row>
    <row r="22" spans="1:24" ht="22.5" customHeight="1" thickTop="1" thickBot="1">
      <c r="A22" s="42">
        <v>21</v>
      </c>
      <c r="B22" s="43">
        <v>0.78320000000000001</v>
      </c>
      <c r="C22" s="43">
        <v>1.1119000000000001</v>
      </c>
      <c r="D22" s="43">
        <v>1.0305</v>
      </c>
      <c r="E22" s="22">
        <v>0.78800000000000003</v>
      </c>
      <c r="F22" s="22">
        <v>0.93198000000000003</v>
      </c>
      <c r="G22" s="22">
        <v>0.96489999999999998</v>
      </c>
      <c r="H22" s="22">
        <v>0.91879999999999995</v>
      </c>
      <c r="I22" s="22">
        <v>1.0468</v>
      </c>
      <c r="J22" s="22">
        <v>0.97960000000000003</v>
      </c>
      <c r="K22" s="35">
        <v>0.94430000000000003</v>
      </c>
      <c r="L22" s="22">
        <v>0.94099999999999995</v>
      </c>
      <c r="M22" s="44">
        <v>0.87909999999999999</v>
      </c>
      <c r="N22" s="22">
        <v>0.94</v>
      </c>
      <c r="O22" s="22">
        <v>0.93</v>
      </c>
      <c r="P22" s="16">
        <v>0.93506</v>
      </c>
      <c r="Q22" s="27">
        <v>0.94969000000000003</v>
      </c>
      <c r="R22" s="31">
        <v>0.80289999999999995</v>
      </c>
      <c r="S22" s="22">
        <v>1.03566</v>
      </c>
      <c r="T22" s="22">
        <v>0.94889999999999997</v>
      </c>
      <c r="U22" s="8">
        <v>1.028</v>
      </c>
      <c r="V22" s="8">
        <v>0.96079999999999999</v>
      </c>
      <c r="W22" s="52">
        <v>0.96470000000000011</v>
      </c>
      <c r="X22" s="52">
        <v>0.80730000000000002</v>
      </c>
    </row>
    <row r="23" spans="1:24" ht="22.5" customHeight="1" thickTop="1">
      <c r="A23" s="26">
        <v>22</v>
      </c>
      <c r="B23" s="27">
        <v>0.7823</v>
      </c>
      <c r="C23" s="27">
        <v>1.1111</v>
      </c>
      <c r="D23" s="27">
        <v>1.0295000000000001</v>
      </c>
      <c r="E23" s="27">
        <v>0.78680000000000005</v>
      </c>
      <c r="F23" s="27">
        <v>0.93115999999999999</v>
      </c>
      <c r="G23" s="27">
        <v>0.96379999999999999</v>
      </c>
      <c r="H23" s="27">
        <v>0.91779999999999995</v>
      </c>
      <c r="I23" s="27">
        <v>1.0457000000000001</v>
      </c>
      <c r="J23" s="27">
        <v>0.9788</v>
      </c>
      <c r="K23" s="36">
        <v>0.94330000000000003</v>
      </c>
      <c r="L23" s="27">
        <v>0.94</v>
      </c>
      <c r="M23" s="45">
        <v>0.878</v>
      </c>
      <c r="N23" s="27">
        <v>0.93200000000000005</v>
      </c>
      <c r="O23" s="27">
        <v>0.93</v>
      </c>
      <c r="P23" s="27">
        <v>0.93327000000000004</v>
      </c>
      <c r="Q23" s="27">
        <v>0.94908999999999999</v>
      </c>
      <c r="R23" s="37">
        <v>0.80179999999999996</v>
      </c>
      <c r="S23" s="27">
        <v>1.0349299999999999</v>
      </c>
      <c r="T23" s="22">
        <v>0.94730000000000003</v>
      </c>
      <c r="U23" s="8">
        <v>1.028</v>
      </c>
      <c r="V23" s="8">
        <v>0.96079999999999999</v>
      </c>
      <c r="W23" s="52">
        <v>0.96406000000000014</v>
      </c>
      <c r="X23" s="52">
        <v>0.80669999999999997</v>
      </c>
    </row>
    <row r="24" spans="1:24" ht="22.5" customHeight="1">
      <c r="A24" s="26">
        <v>23</v>
      </c>
      <c r="B24" s="27">
        <v>0.78139999999999998</v>
      </c>
      <c r="C24" s="27">
        <v>1.1104000000000001</v>
      </c>
      <c r="D24" s="27">
        <v>1.0286</v>
      </c>
      <c r="E24" s="27">
        <v>0.78559999999999997</v>
      </c>
      <c r="F24" s="27">
        <v>0.93006999999999995</v>
      </c>
      <c r="G24" s="27">
        <v>0.96220000000000006</v>
      </c>
      <c r="H24" s="27">
        <v>0.91669999999999996</v>
      </c>
      <c r="I24" s="27">
        <v>1.0446</v>
      </c>
      <c r="J24" s="27">
        <v>0.97799999999999998</v>
      </c>
      <c r="K24" s="36">
        <v>0.94240000000000002</v>
      </c>
      <c r="L24" s="27">
        <v>0.93899999999999995</v>
      </c>
      <c r="M24" s="45">
        <v>0.877</v>
      </c>
      <c r="N24" s="27">
        <v>0.93200000000000005</v>
      </c>
      <c r="O24" s="27">
        <v>0.93</v>
      </c>
      <c r="P24" s="27">
        <v>0.93208999999999997</v>
      </c>
      <c r="Q24" s="27">
        <v>0.94820000000000004</v>
      </c>
      <c r="R24" s="37">
        <v>0.80089999999999995</v>
      </c>
      <c r="S24" s="27">
        <v>1.0341899999999999</v>
      </c>
      <c r="T24" s="22">
        <v>0.94599999999999995</v>
      </c>
      <c r="U24" s="8">
        <v>1.0269999999999999</v>
      </c>
      <c r="V24" s="8">
        <v>0.96079999999999999</v>
      </c>
      <c r="W24" s="52">
        <v>0.96342000000000017</v>
      </c>
      <c r="X24" s="52">
        <v>0.80610000000000004</v>
      </c>
    </row>
    <row r="25" spans="1:24" ht="22.5" customHeight="1">
      <c r="A25" s="26">
        <v>24</v>
      </c>
      <c r="B25" s="27">
        <v>0.78049999999999997</v>
      </c>
      <c r="C25" s="27">
        <v>1.1095999999999999</v>
      </c>
      <c r="D25" s="27">
        <v>1.0276000000000001</v>
      </c>
      <c r="E25" s="27">
        <v>0.78439999999999999</v>
      </c>
      <c r="F25" s="27">
        <v>0.92910000000000004</v>
      </c>
      <c r="G25" s="27">
        <v>0.96120000000000005</v>
      </c>
      <c r="H25" s="27">
        <v>0.91569999999999996</v>
      </c>
      <c r="I25" s="27">
        <v>1.0434000000000001</v>
      </c>
      <c r="J25" s="27">
        <v>0.97719999999999996</v>
      </c>
      <c r="K25" s="36">
        <v>0.9415</v>
      </c>
      <c r="L25" s="27">
        <v>0.93799999999999994</v>
      </c>
      <c r="M25" s="45">
        <v>0.87590000000000001</v>
      </c>
      <c r="N25" s="27">
        <v>0.93200000000000005</v>
      </c>
      <c r="O25" s="27">
        <v>0.93</v>
      </c>
      <c r="P25" s="27">
        <v>0.93159999999999998</v>
      </c>
      <c r="Q25" s="27">
        <v>0.94747000000000003</v>
      </c>
      <c r="R25" s="37">
        <v>0.8</v>
      </c>
      <c r="S25" s="27">
        <v>1.03346</v>
      </c>
      <c r="T25" s="22">
        <v>0.9446</v>
      </c>
      <c r="U25" s="8">
        <v>1.026</v>
      </c>
      <c r="V25" s="8">
        <v>0.96079999999999999</v>
      </c>
      <c r="W25" s="52">
        <v>0.96278000000000019</v>
      </c>
      <c r="X25" s="52">
        <v>0.80549999999999999</v>
      </c>
    </row>
    <row r="26" spans="1:24" ht="22.5" customHeight="1" thickBot="1">
      <c r="A26" s="46">
        <v>25</v>
      </c>
      <c r="B26" s="18">
        <v>0.77959999999999996</v>
      </c>
      <c r="C26" s="18">
        <v>1.1089</v>
      </c>
      <c r="D26" s="18">
        <v>1.0266999999999999</v>
      </c>
      <c r="E26" s="18">
        <v>0.78320000000000001</v>
      </c>
      <c r="F26" s="16">
        <v>0.92813000000000001</v>
      </c>
      <c r="G26" s="18">
        <v>0.96020000000000005</v>
      </c>
      <c r="H26" s="18">
        <v>0.91469999999999996</v>
      </c>
      <c r="I26" s="18">
        <v>1.0423</v>
      </c>
      <c r="J26" s="18">
        <v>0.97640000000000005</v>
      </c>
      <c r="K26" s="39">
        <v>0.9405</v>
      </c>
      <c r="L26" s="18">
        <v>0.93700000000000006</v>
      </c>
      <c r="M26" s="40">
        <v>0.87509999999999999</v>
      </c>
      <c r="N26" s="18">
        <v>0.93</v>
      </c>
      <c r="O26" s="18">
        <v>0.92600000000000005</v>
      </c>
      <c r="P26" s="16">
        <v>0.93084</v>
      </c>
      <c r="Q26" s="27">
        <v>0.94674000000000003</v>
      </c>
      <c r="R26" s="41">
        <v>0.79910000000000003</v>
      </c>
      <c r="S26" s="18">
        <v>1.0327299999999999</v>
      </c>
      <c r="T26" s="16">
        <v>0.94330000000000003</v>
      </c>
      <c r="U26" s="16">
        <v>1.0249999999999999</v>
      </c>
      <c r="V26" s="8">
        <v>0.96079999999999999</v>
      </c>
      <c r="W26" s="52">
        <v>0.96214000000000022</v>
      </c>
      <c r="X26" s="52">
        <v>0.80493999999999999</v>
      </c>
    </row>
    <row r="27" spans="1:24" ht="22.5" customHeight="1" thickTop="1" thickBot="1">
      <c r="A27" s="21">
        <v>26</v>
      </c>
      <c r="B27" s="22">
        <v>0.77869999999999995</v>
      </c>
      <c r="C27" s="22">
        <v>1.1081000000000001</v>
      </c>
      <c r="D27" s="22">
        <v>1.0258</v>
      </c>
      <c r="E27" s="22">
        <v>0.78210000000000002</v>
      </c>
      <c r="F27" s="22">
        <v>0.92717000000000005</v>
      </c>
      <c r="G27" s="22">
        <v>0.95899999999999996</v>
      </c>
      <c r="H27" s="22">
        <v>0.91390000000000005</v>
      </c>
      <c r="I27" s="22">
        <v>1.0411999999999999</v>
      </c>
      <c r="J27" s="22">
        <v>0.97550000000000003</v>
      </c>
      <c r="K27" s="35">
        <v>0.93959999999999999</v>
      </c>
      <c r="L27" s="22">
        <v>0.93600000000000005</v>
      </c>
      <c r="M27" s="44">
        <v>0.87409999999999999</v>
      </c>
      <c r="N27" s="22">
        <v>0.93</v>
      </c>
      <c r="O27" s="22">
        <v>0.92600000000000005</v>
      </c>
      <c r="P27" s="22">
        <v>0.92906</v>
      </c>
      <c r="Q27" s="27">
        <v>0.94603000000000004</v>
      </c>
      <c r="R27" s="31">
        <v>0.79820000000000002</v>
      </c>
      <c r="S27" s="22">
        <v>1.031998</v>
      </c>
      <c r="T27" s="22">
        <v>0.94220000000000004</v>
      </c>
      <c r="U27" s="8">
        <v>1.024</v>
      </c>
      <c r="V27" s="16">
        <v>0.95760000000000001</v>
      </c>
      <c r="W27" s="52">
        <v>0.96155000000000024</v>
      </c>
      <c r="X27" s="52">
        <v>0.80459999999999998</v>
      </c>
    </row>
    <row r="28" spans="1:24" ht="22.5" customHeight="1" thickTop="1" thickBot="1">
      <c r="A28" s="26">
        <v>27</v>
      </c>
      <c r="B28" s="27">
        <v>0.77790000000000004</v>
      </c>
      <c r="C28" s="27">
        <v>1.1073999999999999</v>
      </c>
      <c r="D28" s="27">
        <v>1.0247999999999999</v>
      </c>
      <c r="E28" s="27">
        <v>0.78100000000000003</v>
      </c>
      <c r="F28" s="27">
        <v>0.92620999999999998</v>
      </c>
      <c r="G28" s="27">
        <v>0.95799999999999996</v>
      </c>
      <c r="H28" s="27">
        <v>0.91290000000000004</v>
      </c>
      <c r="I28" s="27">
        <v>1.0401</v>
      </c>
      <c r="J28" s="27">
        <v>0.97470000000000001</v>
      </c>
      <c r="K28" s="36">
        <v>0.93869999999999998</v>
      </c>
      <c r="L28" s="27">
        <v>0.93500000000000005</v>
      </c>
      <c r="M28" s="45">
        <v>0.87309999999999999</v>
      </c>
      <c r="N28" s="27">
        <v>0.93</v>
      </c>
      <c r="O28" s="27">
        <v>0.92600000000000005</v>
      </c>
      <c r="P28" s="27">
        <v>0.92805000000000004</v>
      </c>
      <c r="Q28" s="27">
        <v>0.94532000000000005</v>
      </c>
      <c r="R28" s="37">
        <v>0.79720000000000002</v>
      </c>
      <c r="S28" s="27">
        <v>1.031266</v>
      </c>
      <c r="T28" s="22">
        <v>0.94120000000000004</v>
      </c>
      <c r="U28" s="8">
        <v>1.0229999999999999</v>
      </c>
      <c r="V28" s="16">
        <v>0.95760000000000001</v>
      </c>
      <c r="W28" s="52">
        <v>0.96096000000000026</v>
      </c>
      <c r="X28" s="52">
        <v>0.80430000000000001</v>
      </c>
    </row>
    <row r="29" spans="1:24" ht="22.5" customHeight="1" thickTop="1" thickBot="1">
      <c r="A29" s="26">
        <v>28</v>
      </c>
      <c r="B29" s="27">
        <v>0.77700000000000002</v>
      </c>
      <c r="C29" s="27">
        <v>1.1066</v>
      </c>
      <c r="D29" s="27">
        <v>1.0239</v>
      </c>
      <c r="E29" s="27">
        <v>0.77980000000000005</v>
      </c>
      <c r="F29" s="27">
        <v>0.92527000000000004</v>
      </c>
      <c r="G29" s="27">
        <v>0.95699999999999996</v>
      </c>
      <c r="H29" s="27">
        <v>0.91200000000000003</v>
      </c>
      <c r="I29" s="27">
        <v>1.0389999999999999</v>
      </c>
      <c r="J29" s="27">
        <v>0.97389999999999999</v>
      </c>
      <c r="K29" s="36">
        <v>0.93779999999999997</v>
      </c>
      <c r="L29" s="27">
        <v>0.93400000000000005</v>
      </c>
      <c r="M29" s="45">
        <v>0.872</v>
      </c>
      <c r="N29" s="27">
        <v>0.93</v>
      </c>
      <c r="O29" s="27">
        <v>0.92600000000000005</v>
      </c>
      <c r="P29" s="27">
        <v>0.92706</v>
      </c>
      <c r="Q29" s="27">
        <v>0.94462000000000002</v>
      </c>
      <c r="R29" s="37">
        <v>0.79630000000000001</v>
      </c>
      <c r="S29" s="27">
        <v>1.0305340000000001</v>
      </c>
      <c r="T29" s="22">
        <v>0.94010000000000005</v>
      </c>
      <c r="U29" s="8">
        <v>1.022</v>
      </c>
      <c r="V29" s="16">
        <v>0.95760000000000001</v>
      </c>
      <c r="W29" s="52">
        <v>0.96037000000000028</v>
      </c>
      <c r="X29" s="52">
        <v>0.80400000000000005</v>
      </c>
    </row>
    <row r="30" spans="1:24" ht="22.5" customHeight="1" thickTop="1" thickBot="1">
      <c r="A30" s="26">
        <v>29</v>
      </c>
      <c r="B30" s="27">
        <v>0.7762</v>
      </c>
      <c r="C30" s="27">
        <v>1.1059000000000001</v>
      </c>
      <c r="D30" s="27">
        <v>1.0228999999999999</v>
      </c>
      <c r="E30" s="27">
        <v>0.77869999999999995</v>
      </c>
      <c r="F30" s="27">
        <v>0.92430000000000001</v>
      </c>
      <c r="G30" s="27">
        <v>0.95589999999999997</v>
      </c>
      <c r="H30" s="27">
        <v>0.91100000000000003</v>
      </c>
      <c r="I30" s="27">
        <v>1.0378000000000001</v>
      </c>
      <c r="J30" s="27">
        <v>0.97309999999999997</v>
      </c>
      <c r="K30" s="36">
        <v>0.93689999999999996</v>
      </c>
      <c r="L30" s="27">
        <v>0.93300000000000005</v>
      </c>
      <c r="M30" s="45">
        <v>0.871</v>
      </c>
      <c r="N30" s="27">
        <v>0.93</v>
      </c>
      <c r="O30" s="27">
        <v>0.92600000000000005</v>
      </c>
      <c r="P30" s="27">
        <v>0.92603000000000002</v>
      </c>
      <c r="Q30" s="27">
        <v>0.94393000000000005</v>
      </c>
      <c r="R30" s="37">
        <v>0.79549999999999998</v>
      </c>
      <c r="S30" s="27">
        <v>1.0298020000000001</v>
      </c>
      <c r="T30" s="22">
        <v>0.93910000000000005</v>
      </c>
      <c r="U30" s="8">
        <v>1.0209999999999999</v>
      </c>
      <c r="V30" s="16">
        <v>0.95760000000000001</v>
      </c>
      <c r="W30" s="52">
        <v>0.9597800000000003</v>
      </c>
      <c r="X30" s="52">
        <v>0.80369999999999997</v>
      </c>
    </row>
    <row r="31" spans="1:24" ht="22.5" customHeight="1" thickTop="1" thickBot="1">
      <c r="A31" s="38">
        <v>30</v>
      </c>
      <c r="B31" s="28">
        <v>0.77529999999999999</v>
      </c>
      <c r="C31" s="28">
        <v>1.1051</v>
      </c>
      <c r="D31" s="28">
        <v>1.022</v>
      </c>
      <c r="E31" s="18">
        <v>0.77759999999999996</v>
      </c>
      <c r="F31" s="16">
        <v>0.92340999999999995</v>
      </c>
      <c r="G31" s="18">
        <v>0.95469999999999999</v>
      </c>
      <c r="H31" s="18">
        <v>0.91</v>
      </c>
      <c r="I31" s="18">
        <v>1.0367</v>
      </c>
      <c r="J31" s="18">
        <v>0.97230000000000005</v>
      </c>
      <c r="K31" s="39">
        <v>0.93600000000000005</v>
      </c>
      <c r="L31" s="18">
        <v>0.93200000000000005</v>
      </c>
      <c r="M31" s="40">
        <v>0.86990000000000001</v>
      </c>
      <c r="N31" s="18">
        <v>0.93</v>
      </c>
      <c r="O31" s="18">
        <v>0.92200000000000004</v>
      </c>
      <c r="P31" s="16">
        <v>0.92508999999999997</v>
      </c>
      <c r="Q31" s="27">
        <v>0.94333</v>
      </c>
      <c r="R31" s="41">
        <v>0.79459999999999997</v>
      </c>
      <c r="S31" s="18">
        <v>1.0289999999999999</v>
      </c>
      <c r="T31" s="16">
        <v>0.93810000000000004</v>
      </c>
      <c r="U31" s="16">
        <v>1.02</v>
      </c>
      <c r="V31" s="16">
        <v>0.95760000000000001</v>
      </c>
      <c r="W31" s="52">
        <v>0.95919000000000032</v>
      </c>
      <c r="X31" s="52">
        <v>0.80335999999999996</v>
      </c>
    </row>
    <row r="32" spans="1:24" ht="22.5" customHeight="1" thickTop="1" thickBot="1">
      <c r="A32" s="42">
        <v>31</v>
      </c>
      <c r="B32" s="43">
        <v>0.77439999999999998</v>
      </c>
      <c r="C32" s="43">
        <v>1.1041000000000001</v>
      </c>
      <c r="D32" s="43">
        <v>1.0210999999999999</v>
      </c>
      <c r="E32" s="22">
        <v>0.77644999999999997</v>
      </c>
      <c r="F32" s="22">
        <v>0.92235</v>
      </c>
      <c r="G32" s="22">
        <v>0.95370999999999995</v>
      </c>
      <c r="H32" s="22">
        <v>0.90905000000000002</v>
      </c>
      <c r="I32" s="22">
        <v>1.0356000000000001</v>
      </c>
      <c r="J32" s="22">
        <v>0.97140000000000004</v>
      </c>
      <c r="K32" s="35">
        <v>0.93510000000000004</v>
      </c>
      <c r="L32" s="22">
        <v>0.93100000000000005</v>
      </c>
      <c r="M32" s="44">
        <v>0.86887000000000003</v>
      </c>
      <c r="N32" s="22">
        <v>0.93</v>
      </c>
      <c r="O32" s="22">
        <v>0.92279999999999995</v>
      </c>
      <c r="P32" s="22">
        <v>0.92406999999999995</v>
      </c>
      <c r="Q32" s="27">
        <v>0.94257999999999997</v>
      </c>
      <c r="R32" s="31">
        <v>0.79379999999999995</v>
      </c>
      <c r="S32" s="22">
        <v>1.028268</v>
      </c>
      <c r="T32" s="22">
        <v>0.93710000000000004</v>
      </c>
      <c r="U32" s="8">
        <v>1.0189999999999999</v>
      </c>
      <c r="V32" s="16">
        <v>0.95760000000000001</v>
      </c>
      <c r="W32" s="52">
        <v>0.95860000000000034</v>
      </c>
      <c r="X32" s="52">
        <v>0.80249999999999999</v>
      </c>
    </row>
    <row r="33" spans="1:24" ht="22.5" customHeight="1" thickTop="1" thickBot="1">
      <c r="A33" s="26">
        <v>32</v>
      </c>
      <c r="B33" s="27">
        <v>0.77349999999999997</v>
      </c>
      <c r="C33" s="27">
        <v>1.103</v>
      </c>
      <c r="D33" s="27">
        <v>1.0202</v>
      </c>
      <c r="E33" s="27">
        <v>0.77532000000000001</v>
      </c>
      <c r="F33" s="27">
        <v>0.9214</v>
      </c>
      <c r="G33" s="27">
        <v>0.95264000000000004</v>
      </c>
      <c r="H33" s="27">
        <v>0.90808</v>
      </c>
      <c r="I33" s="27">
        <v>1.0345</v>
      </c>
      <c r="J33" s="27">
        <v>0.97060000000000002</v>
      </c>
      <c r="K33" s="36">
        <v>0.93420000000000003</v>
      </c>
      <c r="L33" s="27">
        <v>0.93</v>
      </c>
      <c r="M33" s="45">
        <v>0.86782000000000004</v>
      </c>
      <c r="N33" s="27">
        <v>0.93</v>
      </c>
      <c r="O33" s="27">
        <v>0.92200000000000004</v>
      </c>
      <c r="P33" s="27">
        <v>0.92298000000000002</v>
      </c>
      <c r="Q33" s="27">
        <v>0.94189999999999996</v>
      </c>
      <c r="R33" s="37">
        <v>0.79300000000000004</v>
      </c>
      <c r="S33" s="27">
        <v>1.027536</v>
      </c>
      <c r="T33" s="22">
        <v>0.93600000000000005</v>
      </c>
      <c r="U33" s="8">
        <v>1.018</v>
      </c>
      <c r="V33" s="16">
        <v>0.95760000000000001</v>
      </c>
      <c r="W33" s="52">
        <v>0.95801000000000036</v>
      </c>
      <c r="X33" s="52">
        <v>0.80159999999999998</v>
      </c>
    </row>
    <row r="34" spans="1:24" ht="22.5" customHeight="1" thickTop="1" thickBot="1">
      <c r="A34" s="26">
        <v>33</v>
      </c>
      <c r="B34" s="27">
        <v>0.77270000000000005</v>
      </c>
      <c r="C34" s="27">
        <v>1.1020000000000001</v>
      </c>
      <c r="D34" s="27">
        <v>1.0194000000000001</v>
      </c>
      <c r="E34" s="27">
        <v>0.77419000000000004</v>
      </c>
      <c r="F34" s="27">
        <v>0.92042999999999997</v>
      </c>
      <c r="G34" s="27">
        <v>0.95157000000000003</v>
      </c>
      <c r="H34" s="27">
        <v>0.90710999999999997</v>
      </c>
      <c r="I34" s="27">
        <v>1.0334000000000001</v>
      </c>
      <c r="J34" s="27">
        <v>0.9698</v>
      </c>
      <c r="K34" s="36">
        <v>0.93330000000000002</v>
      </c>
      <c r="L34" s="27">
        <v>0.92900000000000005</v>
      </c>
      <c r="M34" s="45">
        <v>0.86677000000000004</v>
      </c>
      <c r="N34" s="27">
        <v>0.93</v>
      </c>
      <c r="O34" s="27">
        <v>0.92120000000000002</v>
      </c>
      <c r="P34" s="27">
        <v>0.92198999999999998</v>
      </c>
      <c r="Q34" s="27">
        <v>0.94125000000000003</v>
      </c>
      <c r="R34" s="37">
        <v>0.7923</v>
      </c>
      <c r="S34" s="27">
        <v>1.0268040000000001</v>
      </c>
      <c r="T34" s="22">
        <v>0.93500000000000005</v>
      </c>
      <c r="U34" s="8">
        <v>1.0169999999999999</v>
      </c>
      <c r="V34" s="16">
        <v>0.95760000000000001</v>
      </c>
      <c r="W34" s="52">
        <v>0.95742000000000038</v>
      </c>
      <c r="X34" s="52">
        <v>0.80069999999999997</v>
      </c>
    </row>
    <row r="35" spans="1:24" ht="22.5" customHeight="1" thickTop="1" thickBot="1">
      <c r="A35" s="26">
        <v>34</v>
      </c>
      <c r="B35" s="27">
        <v>0.77180000000000004</v>
      </c>
      <c r="C35" s="27">
        <v>1.1009</v>
      </c>
      <c r="D35" s="27">
        <v>1.0185</v>
      </c>
      <c r="E35" s="27">
        <v>0.77305999999999997</v>
      </c>
      <c r="F35" s="27">
        <v>0.91946000000000006</v>
      </c>
      <c r="G35" s="27">
        <v>0.95050000000000001</v>
      </c>
      <c r="H35" s="27">
        <v>0.90613999999999995</v>
      </c>
      <c r="I35" s="27">
        <v>1.0322</v>
      </c>
      <c r="J35" s="27">
        <v>0.96899999999999997</v>
      </c>
      <c r="K35" s="36">
        <v>0.93240000000000001</v>
      </c>
      <c r="L35" s="27">
        <v>0.92800000000000005</v>
      </c>
      <c r="M35" s="45">
        <v>0.86572000000000005</v>
      </c>
      <c r="N35" s="27">
        <v>0.93</v>
      </c>
      <c r="O35" s="27">
        <v>0.9204</v>
      </c>
      <c r="P35" s="27">
        <v>0.92093999999999998</v>
      </c>
      <c r="Q35" s="27">
        <v>0.94059000000000004</v>
      </c>
      <c r="R35" s="37">
        <v>0.79159999999999997</v>
      </c>
      <c r="S35" s="27">
        <f>S34-0.000732</f>
        <v>1.0260720000000001</v>
      </c>
      <c r="T35" s="22">
        <v>0.93400000000000005</v>
      </c>
      <c r="U35" s="8">
        <v>1.016</v>
      </c>
      <c r="V35" s="16">
        <v>0.95760000000000001</v>
      </c>
      <c r="W35" s="52">
        <v>0.9568300000000004</v>
      </c>
      <c r="X35" s="52">
        <v>0.79979999999999996</v>
      </c>
    </row>
    <row r="36" spans="1:24" ht="22.5" customHeight="1" thickTop="1" thickBot="1">
      <c r="A36" s="46">
        <v>35</v>
      </c>
      <c r="B36" s="18">
        <v>0.77090000000000003</v>
      </c>
      <c r="C36" s="18">
        <v>1.0999000000000001</v>
      </c>
      <c r="D36" s="18">
        <v>1.0176000000000001</v>
      </c>
      <c r="E36" s="18">
        <v>0.77193000000000001</v>
      </c>
      <c r="F36" s="16">
        <v>0.91851000000000005</v>
      </c>
      <c r="G36" s="18">
        <v>0.94943</v>
      </c>
      <c r="H36" s="18">
        <v>0.90517000000000003</v>
      </c>
      <c r="I36" s="18">
        <v>1.0310999999999999</v>
      </c>
      <c r="J36" s="18">
        <v>0.96819999999999995</v>
      </c>
      <c r="K36" s="39">
        <v>0.93149999999999999</v>
      </c>
      <c r="L36" s="18">
        <v>0.92700000000000005</v>
      </c>
      <c r="M36" s="40">
        <v>0.86467000000000005</v>
      </c>
      <c r="N36" s="18">
        <v>0.93</v>
      </c>
      <c r="O36" s="18">
        <v>0.91959999999999997</v>
      </c>
      <c r="P36" s="16">
        <v>0.91995000000000005</v>
      </c>
      <c r="Q36" s="27">
        <v>0.93994</v>
      </c>
      <c r="R36" s="41">
        <v>0.79079999999999995</v>
      </c>
      <c r="S36" s="18">
        <f>S35-0.000732</f>
        <v>1.0253400000000001</v>
      </c>
      <c r="T36" s="16">
        <v>0.93300000000000005</v>
      </c>
      <c r="U36" s="16">
        <v>1.0149999999999999</v>
      </c>
      <c r="V36" s="16">
        <v>0.95760000000000001</v>
      </c>
      <c r="W36" s="52">
        <v>0.95624000000000042</v>
      </c>
      <c r="X36" s="52">
        <v>0.79900000000000004</v>
      </c>
    </row>
    <row r="37" spans="1:24" ht="22.5" customHeight="1" thickTop="1" thickBot="1">
      <c r="A37" s="21">
        <v>36</v>
      </c>
      <c r="B37" s="22">
        <v>0.77</v>
      </c>
      <c r="C37" s="22">
        <v>1.0988</v>
      </c>
      <c r="D37" s="22">
        <v>1.0166999999999999</v>
      </c>
      <c r="E37" s="22">
        <v>0.77080000000000004</v>
      </c>
      <c r="F37" s="22">
        <v>0.91754999999999998</v>
      </c>
      <c r="G37" s="22">
        <v>0.94835999999999998</v>
      </c>
      <c r="H37" s="22">
        <v>0.9042</v>
      </c>
      <c r="I37" s="22">
        <v>1.03</v>
      </c>
      <c r="J37" s="22">
        <v>0.96730000000000005</v>
      </c>
      <c r="K37" s="35">
        <v>0.93059999999999998</v>
      </c>
      <c r="L37" s="22">
        <v>0.92600000000000005</v>
      </c>
      <c r="M37" s="44">
        <v>0.86362000000000005</v>
      </c>
      <c r="N37" s="22">
        <v>0.93</v>
      </c>
      <c r="O37" s="22">
        <v>0.91879999999999995</v>
      </c>
      <c r="P37" s="22">
        <v>0.91888999999999998</v>
      </c>
      <c r="Q37" s="27">
        <v>0.93930000000000002</v>
      </c>
      <c r="R37" s="31">
        <v>0.79008</v>
      </c>
      <c r="S37" s="22">
        <f t="shared" ref="S37:S51" si="0">S36-0.000732</f>
        <v>1.0246080000000002</v>
      </c>
      <c r="T37" s="22">
        <v>0.93194666666666703</v>
      </c>
      <c r="U37" s="8">
        <v>1.0142</v>
      </c>
      <c r="V37" s="16">
        <v>0.95760000000000001</v>
      </c>
      <c r="W37" s="52">
        <v>0.95565000000000044</v>
      </c>
      <c r="X37" s="52">
        <v>0.7984</v>
      </c>
    </row>
    <row r="38" spans="1:24" ht="22.5" customHeight="1" thickTop="1" thickBot="1">
      <c r="A38" s="26">
        <v>37</v>
      </c>
      <c r="B38" s="27">
        <v>0.76910000000000001</v>
      </c>
      <c r="C38" s="27">
        <v>1.0978000000000001</v>
      </c>
      <c r="D38" s="27">
        <v>1.0158</v>
      </c>
      <c r="E38" s="27">
        <v>0.76929999999999998</v>
      </c>
      <c r="F38" s="27">
        <v>0.91654000000000002</v>
      </c>
      <c r="G38" s="27">
        <v>0.94699999999999995</v>
      </c>
      <c r="H38" s="27">
        <v>0.90310000000000001</v>
      </c>
      <c r="I38" s="27">
        <v>1.0288999999999999</v>
      </c>
      <c r="J38" s="27">
        <v>0.96650000000000003</v>
      </c>
      <c r="K38" s="36">
        <v>0.92979999999999996</v>
      </c>
      <c r="L38" s="27">
        <v>0.92500000000000004</v>
      </c>
      <c r="M38" s="45">
        <v>0.86270000000000002</v>
      </c>
      <c r="N38" s="27">
        <v>0.92600000000000005</v>
      </c>
      <c r="O38" s="27">
        <v>0.92200000000000004</v>
      </c>
      <c r="P38" s="27">
        <v>0.91785000000000005</v>
      </c>
      <c r="Q38" s="27">
        <v>0.93864999999999998</v>
      </c>
      <c r="R38" s="37">
        <v>0.78934000000000004</v>
      </c>
      <c r="S38" s="27">
        <f t="shared" si="0"/>
        <v>1.0238760000000002</v>
      </c>
      <c r="T38" s="22">
        <v>0.930922424242424</v>
      </c>
      <c r="U38" s="8">
        <v>1.0134000000000001</v>
      </c>
      <c r="V38" s="16">
        <v>0.95760000000000001</v>
      </c>
      <c r="W38" s="52">
        <v>0.95506000000000046</v>
      </c>
      <c r="X38" s="52">
        <v>0.79779999999999995</v>
      </c>
    </row>
    <row r="39" spans="1:24" ht="22.5" customHeight="1" thickTop="1" thickBot="1">
      <c r="A39" s="26">
        <v>38</v>
      </c>
      <c r="B39" s="27">
        <v>0.76829999999999998</v>
      </c>
      <c r="C39" s="27">
        <v>1.0967</v>
      </c>
      <c r="D39" s="27">
        <v>1.0149999999999999</v>
      </c>
      <c r="E39" s="27">
        <v>0.7681</v>
      </c>
      <c r="F39" s="27">
        <v>0.91556999999999999</v>
      </c>
      <c r="G39" s="27">
        <v>0.94589999999999996</v>
      </c>
      <c r="H39" s="27">
        <v>0.90210000000000001</v>
      </c>
      <c r="I39" s="27">
        <v>1.0278</v>
      </c>
      <c r="J39" s="27">
        <v>0.9657</v>
      </c>
      <c r="K39" s="36">
        <v>0.92889999999999995</v>
      </c>
      <c r="L39" s="27">
        <v>0.92400000000000004</v>
      </c>
      <c r="M39" s="45">
        <v>0.86170000000000002</v>
      </c>
      <c r="N39" s="27">
        <v>0.92600000000000005</v>
      </c>
      <c r="O39" s="27">
        <v>0.92200000000000004</v>
      </c>
      <c r="P39" s="27">
        <v>0.91686000000000001</v>
      </c>
      <c r="Q39" s="27">
        <v>0.93801999999999996</v>
      </c>
      <c r="R39" s="37">
        <v>0.78859999999999997</v>
      </c>
      <c r="S39" s="27">
        <f t="shared" si="0"/>
        <v>1.0231440000000003</v>
      </c>
      <c r="T39" s="22">
        <v>0.92989818181818196</v>
      </c>
      <c r="U39" s="8">
        <v>1.0125999999999999</v>
      </c>
      <c r="V39" s="16">
        <v>0.95760000000000001</v>
      </c>
      <c r="W39" s="52">
        <v>0.95447000000000048</v>
      </c>
      <c r="X39" s="52">
        <v>0.79720000000000002</v>
      </c>
    </row>
    <row r="40" spans="1:24" ht="22.5" customHeight="1" thickTop="1" thickBot="1">
      <c r="A40" s="26">
        <v>39</v>
      </c>
      <c r="B40" s="27">
        <v>0.76739999999999997</v>
      </c>
      <c r="C40" s="27">
        <v>1.0956999999999999</v>
      </c>
      <c r="D40" s="27">
        <v>1.0141</v>
      </c>
      <c r="E40" s="27">
        <v>0.76700000000000002</v>
      </c>
      <c r="F40" s="27">
        <v>0.91459999999999997</v>
      </c>
      <c r="G40" s="27">
        <v>0.94489999999999996</v>
      </c>
      <c r="H40" s="27">
        <v>0.90110000000000001</v>
      </c>
      <c r="I40" s="27">
        <v>1.0266</v>
      </c>
      <c r="J40" s="27">
        <v>0.96489999999999998</v>
      </c>
      <c r="K40" s="36">
        <v>0.92810000000000004</v>
      </c>
      <c r="L40" s="27">
        <v>0.92300000000000004</v>
      </c>
      <c r="M40" s="45">
        <v>0.86070000000000002</v>
      </c>
      <c r="N40" s="27">
        <v>0.92600000000000005</v>
      </c>
      <c r="O40" s="27">
        <v>0.92200000000000004</v>
      </c>
      <c r="P40" s="27">
        <v>0.91579999999999995</v>
      </c>
      <c r="Q40" s="27">
        <v>0.93740000000000001</v>
      </c>
      <c r="R40" s="37">
        <v>0.78786</v>
      </c>
      <c r="S40" s="27">
        <f t="shared" si="0"/>
        <v>1.0224120000000003</v>
      </c>
      <c r="T40" s="22">
        <v>0.92887393939393903</v>
      </c>
      <c r="U40" s="8">
        <v>1.0118</v>
      </c>
      <c r="V40" s="16">
        <v>0.95760000000000001</v>
      </c>
      <c r="W40" s="52">
        <v>0.95388000000000051</v>
      </c>
      <c r="X40" s="52">
        <v>0.79659999999999997</v>
      </c>
    </row>
    <row r="41" spans="1:24" ht="22.5" customHeight="1" thickTop="1" thickBot="1">
      <c r="A41" s="46">
        <v>40</v>
      </c>
      <c r="B41" s="18">
        <v>0.76649999999999996</v>
      </c>
      <c r="C41" s="18">
        <v>1.0946</v>
      </c>
      <c r="D41" s="18">
        <v>1.0132000000000001</v>
      </c>
      <c r="E41" s="18">
        <v>0.76580000000000004</v>
      </c>
      <c r="F41" s="16">
        <v>0.91366000000000003</v>
      </c>
      <c r="G41" s="18">
        <v>0.94389999999999996</v>
      </c>
      <c r="H41" s="18">
        <v>0.9002</v>
      </c>
      <c r="I41" s="18">
        <v>1.0255000000000001</v>
      </c>
      <c r="J41" s="18">
        <v>0.96409999999999996</v>
      </c>
      <c r="K41" s="39">
        <v>0.92720000000000002</v>
      </c>
      <c r="L41" s="18">
        <v>0.92200000000000004</v>
      </c>
      <c r="M41" s="40">
        <v>0.85970000000000002</v>
      </c>
      <c r="N41" s="18">
        <v>0.92600000000000005</v>
      </c>
      <c r="O41" s="18">
        <v>0.92200000000000004</v>
      </c>
      <c r="P41" s="16">
        <v>0.91478000000000004</v>
      </c>
      <c r="Q41" s="27">
        <v>0.93681999999999999</v>
      </c>
      <c r="R41" s="41">
        <v>0.78712000000000004</v>
      </c>
      <c r="S41" s="18">
        <f t="shared" si="0"/>
        <v>1.0216800000000004</v>
      </c>
      <c r="T41" s="16">
        <v>0.92784969696969699</v>
      </c>
      <c r="U41" s="16">
        <v>1.0109999999999999</v>
      </c>
      <c r="V41" s="16">
        <v>0.95760000000000001</v>
      </c>
      <c r="W41" s="52">
        <v>0.95329000000000053</v>
      </c>
      <c r="X41" s="52">
        <v>0.79620000000000002</v>
      </c>
    </row>
    <row r="42" spans="1:24" ht="22.5" customHeight="1" thickTop="1" thickBot="1">
      <c r="A42" s="21">
        <v>41</v>
      </c>
      <c r="B42" s="22">
        <v>0.76559999999999995</v>
      </c>
      <c r="C42" s="22">
        <v>1.0935999999999999</v>
      </c>
      <c r="D42" s="22">
        <v>1.0123</v>
      </c>
      <c r="E42" s="22">
        <v>0.76459999999999995</v>
      </c>
      <c r="F42" s="22">
        <v>0.91269</v>
      </c>
      <c r="G42" s="22">
        <v>0.94289999999999996</v>
      </c>
      <c r="H42" s="22">
        <v>0.8992</v>
      </c>
      <c r="I42" s="22">
        <v>1.0244</v>
      </c>
      <c r="J42" s="22">
        <v>0.96330000000000005</v>
      </c>
      <c r="K42" s="22">
        <v>0.9264</v>
      </c>
      <c r="L42" s="22">
        <v>0.92100000000000004</v>
      </c>
      <c r="M42" s="44">
        <v>0.85870000000000002</v>
      </c>
      <c r="N42" s="22">
        <v>0.92600000000000005</v>
      </c>
      <c r="O42" s="22">
        <v>0.92200000000000004</v>
      </c>
      <c r="P42" s="22">
        <v>0.91374999999999995</v>
      </c>
      <c r="Q42" s="27">
        <v>0.93681999999999999</v>
      </c>
      <c r="R42" s="31">
        <v>0.78637999999999997</v>
      </c>
      <c r="S42" s="22">
        <f t="shared" si="0"/>
        <v>1.0209480000000004</v>
      </c>
      <c r="T42" s="22">
        <v>0.92682545454545395</v>
      </c>
      <c r="U42" s="8">
        <v>1.0098</v>
      </c>
      <c r="V42" s="16">
        <v>0.95760000000000001</v>
      </c>
      <c r="W42" s="52">
        <v>0.95329000000000053</v>
      </c>
      <c r="X42" s="52">
        <v>0.79620000000000002</v>
      </c>
    </row>
    <row r="43" spans="1:24" ht="22.5" customHeight="1" thickTop="1" thickBot="1">
      <c r="A43" s="26">
        <v>42</v>
      </c>
      <c r="B43" s="27">
        <v>0.76470000000000005</v>
      </c>
      <c r="C43" s="27">
        <v>1.0925</v>
      </c>
      <c r="D43" s="27">
        <v>1.0114000000000001</v>
      </c>
      <c r="E43" s="27">
        <v>0.76349999999999996</v>
      </c>
      <c r="F43" s="27">
        <v>0.91171999999999997</v>
      </c>
      <c r="G43" s="22">
        <v>0.94189999999999996</v>
      </c>
      <c r="H43" s="22">
        <v>0.8982</v>
      </c>
      <c r="I43" s="22">
        <v>1.0233000000000001</v>
      </c>
      <c r="J43" s="27">
        <v>0.96250000000000002</v>
      </c>
      <c r="K43" s="22">
        <v>0.92549999999999999</v>
      </c>
      <c r="L43" s="22">
        <v>0.92</v>
      </c>
      <c r="M43" s="45">
        <v>0.85770000000000002</v>
      </c>
      <c r="N43" s="22">
        <v>0.92600000000000005</v>
      </c>
      <c r="O43" s="27">
        <v>0.92200000000000004</v>
      </c>
      <c r="P43" s="27">
        <v>0.91273000000000004</v>
      </c>
      <c r="Q43" s="27">
        <v>0.93681999999999999</v>
      </c>
      <c r="R43" s="37">
        <v>0.78564000000000001</v>
      </c>
      <c r="S43" s="27">
        <f t="shared" si="0"/>
        <v>1.0202160000000005</v>
      </c>
      <c r="T43" s="22">
        <v>0.92580121212121202</v>
      </c>
      <c r="U43" s="8">
        <v>1.0085999999999999</v>
      </c>
      <c r="V43" s="16">
        <v>0.95760000000000001</v>
      </c>
      <c r="W43" s="52">
        <v>0.95329000000000053</v>
      </c>
      <c r="X43" s="52">
        <v>0.79620000000000002</v>
      </c>
    </row>
    <row r="44" spans="1:24" ht="22.5" customHeight="1" thickTop="1" thickBot="1">
      <c r="A44" s="26">
        <v>43</v>
      </c>
      <c r="B44" s="27">
        <v>0.76390000000000002</v>
      </c>
      <c r="C44" s="27">
        <v>1.0914999999999999</v>
      </c>
      <c r="D44" s="27">
        <v>1.0105999999999999</v>
      </c>
      <c r="E44" s="27">
        <v>0.76229999999999998</v>
      </c>
      <c r="F44" s="27">
        <v>0.91073000000000004</v>
      </c>
      <c r="G44" s="27">
        <v>0.94089999999999996</v>
      </c>
      <c r="H44" s="27">
        <v>0.8972</v>
      </c>
      <c r="I44" s="27">
        <v>1.0222</v>
      </c>
      <c r="J44" s="27">
        <v>0.9617</v>
      </c>
      <c r="K44" s="27">
        <v>0.92459999999999998</v>
      </c>
      <c r="L44" s="27">
        <v>0.91900000000000004</v>
      </c>
      <c r="M44" s="45">
        <v>0.85670000000000002</v>
      </c>
      <c r="N44" s="22">
        <v>0.92600000000000005</v>
      </c>
      <c r="O44" s="27">
        <v>0.92200000000000004</v>
      </c>
      <c r="P44" s="27">
        <v>0.91168000000000005</v>
      </c>
      <c r="Q44" s="27">
        <v>0.93681999999999999</v>
      </c>
      <c r="R44" s="37">
        <v>0.78490000000000004</v>
      </c>
      <c r="S44" s="27">
        <f t="shared" si="0"/>
        <v>1.0194840000000005</v>
      </c>
      <c r="T44" s="22">
        <v>0.92477696969696899</v>
      </c>
      <c r="U44" s="8">
        <v>1.0074000000000001</v>
      </c>
      <c r="V44" s="16">
        <v>0.95760000000000001</v>
      </c>
      <c r="W44" s="52">
        <v>0.95329000000000053</v>
      </c>
      <c r="X44" s="52">
        <v>0.79620000000000002</v>
      </c>
    </row>
    <row r="45" spans="1:24" ht="22.5" customHeight="1" thickTop="1" thickBot="1">
      <c r="A45" s="26">
        <v>44</v>
      </c>
      <c r="B45" s="27">
        <v>0.76300000000000001</v>
      </c>
      <c r="C45" s="27">
        <v>1.0904</v>
      </c>
      <c r="D45" s="27">
        <v>1.0097</v>
      </c>
      <c r="E45" s="27">
        <v>0.76119999999999999</v>
      </c>
      <c r="F45" s="27">
        <v>0.90983999999999998</v>
      </c>
      <c r="G45" s="27">
        <v>0.93389999999999995</v>
      </c>
      <c r="H45" s="22">
        <v>0.8962</v>
      </c>
      <c r="I45" s="22">
        <v>1.0209999999999999</v>
      </c>
      <c r="J45" s="27">
        <v>0.96089999999999998</v>
      </c>
      <c r="K45" s="27">
        <v>0.92369999999999997</v>
      </c>
      <c r="L45" s="27">
        <v>0.91800000000000004</v>
      </c>
      <c r="M45" s="45">
        <v>0.85570000000000002</v>
      </c>
      <c r="N45" s="22">
        <v>0.92600000000000005</v>
      </c>
      <c r="O45" s="27">
        <v>0.92200000000000004</v>
      </c>
      <c r="P45" s="27">
        <v>0.91064999999999996</v>
      </c>
      <c r="Q45" s="27">
        <v>0.93681999999999999</v>
      </c>
      <c r="R45" s="37">
        <v>0.78415999999999997</v>
      </c>
      <c r="S45" s="27">
        <f t="shared" si="0"/>
        <v>1.0187520000000005</v>
      </c>
      <c r="T45" s="22">
        <v>0.92375272727272695</v>
      </c>
      <c r="U45" s="8">
        <v>1.0062</v>
      </c>
      <c r="V45" s="16">
        <v>0.95760000000000001</v>
      </c>
      <c r="W45" s="52">
        <v>0.95329000000000053</v>
      </c>
      <c r="X45" s="52">
        <v>0.79620000000000002</v>
      </c>
    </row>
    <row r="46" spans="1:24" ht="22.5" customHeight="1" thickTop="1" thickBot="1">
      <c r="A46" s="46">
        <v>45</v>
      </c>
      <c r="B46" s="18">
        <v>0.7621</v>
      </c>
      <c r="C46" s="18">
        <v>1.0893999999999999</v>
      </c>
      <c r="D46" s="18">
        <v>1.0087999999999999</v>
      </c>
      <c r="E46" s="18">
        <v>0.76</v>
      </c>
      <c r="F46" s="16">
        <v>0.90878000000000003</v>
      </c>
      <c r="G46" s="18">
        <v>0.93889999999999996</v>
      </c>
      <c r="H46" s="18">
        <v>0.8952</v>
      </c>
      <c r="I46" s="18">
        <v>1.0199</v>
      </c>
      <c r="J46" s="18">
        <v>0.96009999999999995</v>
      </c>
      <c r="K46" s="18">
        <v>0.92279999999999995</v>
      </c>
      <c r="L46" s="18">
        <v>0.91700000000000004</v>
      </c>
      <c r="M46" s="40">
        <v>0.85470000000000002</v>
      </c>
      <c r="N46" s="16">
        <v>0.92600000000000005</v>
      </c>
      <c r="O46" s="18">
        <v>0.92200000000000004</v>
      </c>
      <c r="P46" s="16">
        <v>0.90963000000000005</v>
      </c>
      <c r="Q46" s="27">
        <v>0.93681999999999999</v>
      </c>
      <c r="R46" s="41">
        <v>0.78342000000000001</v>
      </c>
      <c r="S46" s="18">
        <f t="shared" si="0"/>
        <v>1.0180200000000006</v>
      </c>
      <c r="T46" s="16">
        <v>0.92272848484848502</v>
      </c>
      <c r="U46" s="16">
        <v>1.0049999999999999</v>
      </c>
      <c r="V46" s="16">
        <v>0.95760000000000001</v>
      </c>
      <c r="W46" s="52">
        <v>0.95329000000000053</v>
      </c>
      <c r="X46" s="52">
        <v>0.79620000000000002</v>
      </c>
    </row>
    <row r="47" spans="1:24" ht="17.399999999999999" thickTop="1" thickBot="1">
      <c r="A47" s="47">
        <v>46</v>
      </c>
      <c r="B47" s="22">
        <v>0.76124999999999998</v>
      </c>
      <c r="C47" s="22">
        <v>1.08833</v>
      </c>
      <c r="D47" s="22">
        <v>1.0079499999999999</v>
      </c>
      <c r="E47" s="22">
        <v>0.75887000000000004</v>
      </c>
      <c r="F47" s="22">
        <v>0.90781999999999996</v>
      </c>
      <c r="G47" s="22">
        <v>0.93489999999999995</v>
      </c>
      <c r="H47" s="22">
        <v>0.89419999999999999</v>
      </c>
      <c r="I47" s="22">
        <v>1.0187999999999999</v>
      </c>
      <c r="J47" s="22">
        <v>0.95930000000000004</v>
      </c>
      <c r="K47" s="22">
        <v>0.92190000000000005</v>
      </c>
      <c r="L47" s="22">
        <v>0.91600000000000004</v>
      </c>
      <c r="M47" s="44">
        <v>0.85370000000000001</v>
      </c>
      <c r="N47" s="22">
        <v>0.92600000000000005</v>
      </c>
      <c r="O47" s="22">
        <v>0.92200000000000004</v>
      </c>
      <c r="P47" s="22">
        <v>0.90856000000000003</v>
      </c>
      <c r="Q47" s="27">
        <v>0.93681999999999999</v>
      </c>
      <c r="R47" s="31">
        <v>0.78268000000000004</v>
      </c>
      <c r="S47" s="22">
        <f t="shared" si="0"/>
        <v>1.0172880000000006</v>
      </c>
      <c r="T47" s="22">
        <v>0.92170424242424398</v>
      </c>
      <c r="U47" s="8">
        <v>1.0038</v>
      </c>
      <c r="V47" s="16">
        <v>0.95760000000000001</v>
      </c>
      <c r="W47" s="52">
        <v>0.95329000000000053</v>
      </c>
      <c r="X47" s="52">
        <v>0.79620000000000002</v>
      </c>
    </row>
    <row r="48" spans="1:24" ht="17.399999999999999" thickTop="1" thickBot="1">
      <c r="A48" s="47">
        <v>47</v>
      </c>
      <c r="B48" s="27">
        <v>0.76037999999999994</v>
      </c>
      <c r="C48" s="27">
        <v>1.08728</v>
      </c>
      <c r="D48" s="27">
        <v>1.00708</v>
      </c>
      <c r="E48" s="27">
        <v>0.75771999999999995</v>
      </c>
      <c r="F48" s="27">
        <v>0.90683000000000002</v>
      </c>
      <c r="G48" s="22">
        <v>0.93330000000000002</v>
      </c>
      <c r="H48" s="22">
        <v>0.89319999999999999</v>
      </c>
      <c r="I48" s="22">
        <v>1.0177</v>
      </c>
      <c r="J48" s="27">
        <v>0.95850000000000002</v>
      </c>
      <c r="K48" s="22">
        <v>0.92100000000000004</v>
      </c>
      <c r="L48" s="22">
        <v>0.91500000000000004</v>
      </c>
      <c r="M48" s="45">
        <v>0.85270000000000001</v>
      </c>
      <c r="N48" s="22">
        <v>0.92600000000000005</v>
      </c>
      <c r="O48" s="27">
        <v>0.92200000000000004</v>
      </c>
      <c r="P48" s="27">
        <v>0.90751999999999999</v>
      </c>
      <c r="Q48" s="27">
        <v>0.93681999999999999</v>
      </c>
      <c r="R48" s="37">
        <v>0.78193999999999997</v>
      </c>
      <c r="S48" s="27">
        <f t="shared" si="0"/>
        <v>1.0165560000000007</v>
      </c>
      <c r="T48" s="22">
        <v>0.92068000000000205</v>
      </c>
      <c r="U48" s="8">
        <v>1.0025999999999999</v>
      </c>
      <c r="V48" s="16">
        <v>0.95760000000000001</v>
      </c>
      <c r="W48" s="52">
        <v>0.95329000000000053</v>
      </c>
      <c r="X48" s="52">
        <v>0.79620000000000002</v>
      </c>
    </row>
    <row r="49" spans="1:24" ht="17.399999999999999" thickTop="1" thickBot="1">
      <c r="A49" s="47">
        <v>48</v>
      </c>
      <c r="B49" s="27">
        <v>0.75951000000000002</v>
      </c>
      <c r="C49" s="27">
        <v>1.08623</v>
      </c>
      <c r="D49" s="27">
        <v>1.00621</v>
      </c>
      <c r="E49" s="27">
        <v>0.75656999999999996</v>
      </c>
      <c r="F49" s="27">
        <v>0.90585000000000004</v>
      </c>
      <c r="G49" s="27">
        <v>0.93169999999999997</v>
      </c>
      <c r="H49" s="27">
        <v>0.89219999999999999</v>
      </c>
      <c r="I49" s="27">
        <v>1.0165999999999999</v>
      </c>
      <c r="J49" s="27">
        <v>0.9577</v>
      </c>
      <c r="K49" s="27">
        <v>0.92010000000000003</v>
      </c>
      <c r="L49" s="27">
        <v>0.91400000000000003</v>
      </c>
      <c r="M49" s="45">
        <v>0.85170000000000001</v>
      </c>
      <c r="N49" s="22">
        <v>0.92600000000000005</v>
      </c>
      <c r="O49" s="27">
        <v>0.92200000000000004</v>
      </c>
      <c r="P49" s="27">
        <v>0.90647999999999995</v>
      </c>
      <c r="Q49" s="27">
        <v>0.93681999999999999</v>
      </c>
      <c r="R49" s="37">
        <v>0.78120000000000001</v>
      </c>
      <c r="S49" s="27">
        <f t="shared" si="0"/>
        <v>1.0158240000000007</v>
      </c>
      <c r="T49" s="22">
        <v>0.91965575757576001</v>
      </c>
      <c r="U49" s="8">
        <v>1.0014000000000001</v>
      </c>
      <c r="V49" s="16">
        <v>0.95760000000000001</v>
      </c>
      <c r="W49" s="52">
        <v>0.95329000000000053</v>
      </c>
      <c r="X49" s="52">
        <v>0.79620000000000002</v>
      </c>
    </row>
    <row r="50" spans="1:24" ht="17.399999999999999" thickTop="1" thickBot="1">
      <c r="A50" s="47">
        <v>49</v>
      </c>
      <c r="B50" s="27">
        <v>0.75863999999999998</v>
      </c>
      <c r="C50" s="27">
        <v>1.08518</v>
      </c>
      <c r="D50" s="27">
        <v>1.0053399999999999</v>
      </c>
      <c r="E50" s="27">
        <v>0.75541999999999998</v>
      </c>
      <c r="F50" s="27">
        <v>0.90488000000000002</v>
      </c>
      <c r="G50" s="27">
        <v>0.93010000000000004</v>
      </c>
      <c r="H50" s="22">
        <v>0.89119999999999999</v>
      </c>
      <c r="I50" s="22">
        <v>1.0154000000000001</v>
      </c>
      <c r="J50" s="27">
        <v>0.95689999999999997</v>
      </c>
      <c r="K50" s="27">
        <v>0.91920000000000002</v>
      </c>
      <c r="L50" s="27">
        <v>0.91300000000000003</v>
      </c>
      <c r="M50" s="45">
        <v>0.85070000000000001</v>
      </c>
      <c r="N50" s="22">
        <v>0.92600000000000005</v>
      </c>
      <c r="O50" s="27">
        <v>0.92200000000000004</v>
      </c>
      <c r="P50" s="27">
        <v>0.90542999999999996</v>
      </c>
      <c r="Q50" s="27">
        <v>0.93681999999999999</v>
      </c>
      <c r="R50" s="37">
        <v>0.78046000000000004</v>
      </c>
      <c r="S50" s="27">
        <f t="shared" si="0"/>
        <v>1.0150920000000008</v>
      </c>
      <c r="T50" s="22">
        <v>0.91863151515151897</v>
      </c>
      <c r="U50" s="8">
        <v>1.0002</v>
      </c>
      <c r="V50" s="16">
        <v>0.95760000000000001</v>
      </c>
      <c r="W50" s="52">
        <v>0.95329000000000053</v>
      </c>
      <c r="X50" s="52">
        <v>0.79620000000000002</v>
      </c>
    </row>
    <row r="51" spans="1:24" ht="17.399999999999999" thickTop="1" thickBot="1">
      <c r="A51" s="48">
        <v>50</v>
      </c>
      <c r="B51" s="18">
        <v>0.75777000000000005</v>
      </c>
      <c r="C51" s="18">
        <v>1.08413</v>
      </c>
      <c r="D51" s="18">
        <v>1.00447</v>
      </c>
      <c r="E51" s="18">
        <v>0.75427</v>
      </c>
      <c r="F51" s="16">
        <v>0.90390999999999999</v>
      </c>
      <c r="G51" s="18">
        <v>0.92849999999999999</v>
      </c>
      <c r="H51" s="18">
        <v>0.89019999999999999</v>
      </c>
      <c r="I51" s="18">
        <v>1.0143</v>
      </c>
      <c r="J51" s="18">
        <v>0.95609999999999995</v>
      </c>
      <c r="K51" s="18">
        <v>0.91830000000000001</v>
      </c>
      <c r="L51" s="18">
        <v>0.91200000000000003</v>
      </c>
      <c r="M51" s="40">
        <v>0.84970000000000001</v>
      </c>
      <c r="N51" s="16">
        <v>0.92600000000000005</v>
      </c>
      <c r="O51" s="18">
        <v>0.92200000000000004</v>
      </c>
      <c r="P51" s="16">
        <v>0.90439000000000003</v>
      </c>
      <c r="Q51" s="27">
        <v>0.93681999999999999</v>
      </c>
      <c r="R51" s="41">
        <v>0.77971999999999997</v>
      </c>
      <c r="S51" s="18">
        <f t="shared" si="0"/>
        <v>1.0143600000000008</v>
      </c>
      <c r="T51" s="16">
        <v>0.91760727272727705</v>
      </c>
      <c r="U51" s="16">
        <v>0.999</v>
      </c>
      <c r="V51" s="16">
        <v>0.95760000000000001</v>
      </c>
      <c r="W51" s="52">
        <v>0.95329000000000053</v>
      </c>
      <c r="X51" s="52">
        <v>0.79620000000000002</v>
      </c>
    </row>
    <row r="52" spans="1:24" ht="17.399999999999999" thickTop="1" thickBot="1">
      <c r="A52" s="48">
        <v>51</v>
      </c>
      <c r="B52" s="49"/>
      <c r="C52" s="49"/>
      <c r="D52" s="49"/>
      <c r="E52" s="49"/>
      <c r="F52" s="49"/>
      <c r="G52" s="49"/>
      <c r="H52" s="49"/>
      <c r="I52" s="49">
        <v>1.0132000000000001</v>
      </c>
      <c r="J52" s="49"/>
      <c r="U52" s="8"/>
    </row>
    <row r="53" spans="1:24" ht="17.399999999999999" thickTop="1" thickBot="1">
      <c r="A53" s="48">
        <v>52</v>
      </c>
      <c r="I53" s="47">
        <v>1.0121</v>
      </c>
      <c r="U53" s="8"/>
    </row>
    <row r="54" spans="1:24" ht="17.399999999999999" thickTop="1" thickBot="1">
      <c r="A54" s="48">
        <v>53</v>
      </c>
      <c r="I54" s="47">
        <v>1.0109999999999999</v>
      </c>
      <c r="U54" s="8"/>
    </row>
    <row r="55" spans="1:24" ht="17.399999999999999" thickTop="1" thickBot="1">
      <c r="A55" s="48">
        <v>54</v>
      </c>
      <c r="I55" s="47">
        <v>1.0098</v>
      </c>
      <c r="U55" s="8"/>
    </row>
    <row r="56" spans="1:24" ht="17.399999999999999" thickTop="1" thickBot="1">
      <c r="A56" s="48">
        <v>55</v>
      </c>
      <c r="I56" s="47">
        <v>1.0086999999999999</v>
      </c>
      <c r="U56" s="8"/>
    </row>
    <row r="57" spans="1:24" ht="17.399999999999999" thickTop="1" thickBot="1">
      <c r="A57" s="48">
        <v>56</v>
      </c>
      <c r="I57" s="47">
        <v>1.0076000000000001</v>
      </c>
      <c r="U57" s="8"/>
    </row>
    <row r="58" spans="1:24" ht="17.399999999999999" thickTop="1" thickBot="1">
      <c r="A58" s="48">
        <v>57</v>
      </c>
      <c r="I58" s="47">
        <v>1.0065</v>
      </c>
      <c r="U58" s="8"/>
    </row>
    <row r="59" spans="1:24" ht="17.399999999999999" thickTop="1" thickBot="1">
      <c r="A59" s="48">
        <v>58</v>
      </c>
      <c r="I59" s="47">
        <v>1.0054000000000001</v>
      </c>
      <c r="U59" s="8"/>
    </row>
    <row r="60" spans="1:24" ht="17.399999999999999" thickTop="1" thickBot="1">
      <c r="A60" s="48">
        <v>59</v>
      </c>
      <c r="I60" s="47">
        <v>1.0042</v>
      </c>
      <c r="U60" s="8"/>
    </row>
    <row r="61" spans="1:24" ht="17.399999999999999" thickTop="1" thickBot="1">
      <c r="A61" s="48">
        <v>60</v>
      </c>
      <c r="I61" s="47">
        <v>1.0031000000000001</v>
      </c>
      <c r="U61" s="8"/>
    </row>
    <row r="62" spans="1:24" ht="16.8" thickTop="1">
      <c r="U62" s="8"/>
    </row>
    <row r="63" spans="1:24">
      <c r="U63" s="8"/>
    </row>
    <row r="64" spans="1:24">
      <c r="U64" s="8"/>
    </row>
    <row r="65" spans="21:21">
      <c r="U65" s="8"/>
    </row>
    <row r="66" spans="21:21">
      <c r="U66" s="8"/>
    </row>
    <row r="67" spans="21:21">
      <c r="U67" s="8"/>
    </row>
    <row r="68" spans="21:21">
      <c r="U68" s="8"/>
    </row>
    <row r="69" spans="21:21">
      <c r="U69" s="8"/>
    </row>
    <row r="70" spans="21:21">
      <c r="U70" s="8"/>
    </row>
    <row r="71" spans="21:21">
      <c r="U71" s="8"/>
    </row>
    <row r="72" spans="21:21">
      <c r="U72" s="8"/>
    </row>
    <row r="73" spans="21:21">
      <c r="U73" s="8"/>
    </row>
    <row r="74" spans="21:21">
      <c r="U74" s="8"/>
    </row>
    <row r="75" spans="21:21">
      <c r="U75" s="8"/>
    </row>
    <row r="76" spans="21:21">
      <c r="U76" s="8"/>
    </row>
    <row r="77" spans="21:21">
      <c r="U77" s="8"/>
    </row>
    <row r="78" spans="21:21">
      <c r="U78" s="8"/>
    </row>
    <row r="79" spans="21:21">
      <c r="U79" s="8"/>
    </row>
    <row r="80" spans="21:21">
      <c r="U80" s="8"/>
    </row>
    <row r="81" spans="21:21">
      <c r="U81" s="8"/>
    </row>
    <row r="82" spans="21:21">
      <c r="U82" s="8"/>
    </row>
    <row r="83" spans="21:21">
      <c r="U83" s="8"/>
    </row>
    <row r="84" spans="21:21">
      <c r="U84" s="8"/>
    </row>
    <row r="85" spans="21:21">
      <c r="U85" s="8"/>
    </row>
    <row r="86" spans="21:21">
      <c r="U86" s="8"/>
    </row>
    <row r="87" spans="21:21">
      <c r="U87" s="8"/>
    </row>
    <row r="88" spans="21:21">
      <c r="U88" s="8"/>
    </row>
    <row r="89" spans="21:21">
      <c r="U89" s="8"/>
    </row>
    <row r="90" spans="21:21">
      <c r="U90" s="8"/>
    </row>
    <row r="91" spans="21:21">
      <c r="U91" s="8"/>
    </row>
    <row r="92" spans="21:21">
      <c r="U92" s="8"/>
    </row>
    <row r="93" spans="21:21">
      <c r="U93" s="8"/>
    </row>
  </sheetData>
  <phoneticPr fontId="2" type="noConversion"/>
  <pageMargins left="0.42" right="0.2" top="0.36" bottom="0.43" header="0.5" footer="0.5"/>
  <pageSetup paperSize="9" scale="41" orientation="landscape" verticalDpi="18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56">
    <pageSetUpPr fitToPage="1"/>
  </sheetPr>
  <dimension ref="A1:CU223"/>
  <sheetViews>
    <sheetView view="pageBreakPreview" zoomScale="70" zoomScaleNormal="100" zoomScaleSheetLayoutView="70" workbookViewId="0">
      <selection activeCell="AA15" sqref="AA15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2" t="s" ph="1">
        <v>161</v>
      </c>
      <c r="C1" s="182" ph="1"/>
      <c r="D1" s="182" ph="1"/>
      <c r="E1" s="182" ph="1"/>
      <c r="F1" s="182" ph="1"/>
      <c r="G1" s="182" ph="1"/>
      <c r="H1" s="182" ph="1"/>
      <c r="I1" s="182" ph="1"/>
      <c r="J1" s="182" ph="1"/>
      <c r="K1" s="182" ph="1"/>
      <c r="L1" s="182" ph="1"/>
      <c r="M1" s="182" ph="1"/>
      <c r="N1" s="182" ph="1"/>
      <c r="O1" s="182" ph="1"/>
      <c r="P1" s="182" ph="1"/>
      <c r="Q1" s="182" ph="1"/>
      <c r="R1" s="182" ph="1"/>
      <c r="S1" s="182" ph="1"/>
      <c r="T1" s="182" ph="1"/>
      <c r="U1" s="182" ph="1"/>
      <c r="V1" s="182" ph="1"/>
      <c r="W1" s="182" ph="1"/>
      <c r="X1" s="182" ph="1"/>
      <c r="Y1" s="182" ph="1"/>
      <c r="Z1" s="182" ph="1"/>
      <c r="AA1" s="182" ph="1"/>
      <c r="AB1" s="182" ph="1"/>
      <c r="AC1" s="182" ph="1"/>
      <c r="AD1" s="182" ph="1"/>
      <c r="AE1" s="182" ph="1"/>
    </row>
    <row r="2" spans="1:99" s="66" customFormat="1" ht="24" customHeight="1" ph="1">
      <c r="B2" s="183" t="s" ph="1">
        <v>82</v>
      </c>
      <c r="C2" s="183" ph="1"/>
      <c r="D2" s="183" ph="1"/>
      <c r="E2" s="183" ph="1"/>
      <c r="F2" s="183" ph="1"/>
      <c r="G2" s="183" ph="1"/>
      <c r="H2" s="183" ph="1"/>
      <c r="I2" s="183" ph="1"/>
      <c r="J2" s="183" ph="1"/>
      <c r="K2" s="183" ph="1"/>
      <c r="L2" s="183" ph="1"/>
      <c r="M2" s="183" ph="1"/>
      <c r="N2" s="183" ph="1"/>
      <c r="O2" s="183" ph="1"/>
      <c r="P2" s="183" ph="1"/>
      <c r="Q2" s="183" ph="1"/>
      <c r="R2" s="183" ph="1"/>
      <c r="S2" s="183" ph="1"/>
      <c r="T2" s="183" ph="1"/>
      <c r="U2" s="183" ph="1"/>
      <c r="V2" s="183" ph="1"/>
      <c r="W2" s="183" ph="1"/>
      <c r="X2" s="183" ph="1"/>
      <c r="Y2" s="183" ph="1"/>
      <c r="Z2" s="183" ph="1"/>
      <c r="AA2" s="183" ph="1"/>
      <c r="AB2" s="183" ph="1"/>
      <c r="AC2" s="183" ph="1"/>
      <c r="AD2" s="183" ph="1"/>
      <c r="AE2" s="183" ph="1"/>
    </row>
    <row r="3" spans="1:99" ht="21" customHeight="1" ph="1">
      <c r="B3" s="184" ph="1">
        <v>46112</v>
      </c>
      <c r="C3" s="184"/>
      <c r="D3" s="184"/>
      <c r="E3" s="184"/>
      <c r="F3" s="184"/>
      <c r="G3" s="184"/>
      <c r="H3" s="184"/>
      <c r="I3" s="184"/>
      <c r="J3" s="184"/>
      <c r="K3" s="184"/>
      <c r="L3" s="184"/>
      <c r="M3" s="184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</row>
    <row r="4" spans="1:99" s="69" customFormat="1" ph="1">
      <c r="A4" s="65" ph="1"/>
      <c r="B4" s="185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5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1" ph="1">
        <v>0.33333333333333331</v>
      </c>
      <c r="C6" s="145" t="s" ph="1">
        <v>177</v>
      </c>
      <c r="D6" s="71">
        <v>3629</v>
      </c>
      <c r="E6" s="71">
        <v>8011</v>
      </c>
      <c r="F6" s="71">
        <v>6322</v>
      </c>
      <c r="G6" s="71">
        <v>8966</v>
      </c>
      <c r="H6" s="71">
        <v>6374</v>
      </c>
      <c r="I6" s="71">
        <v>23.37</v>
      </c>
      <c r="J6" s="71">
        <v>6.52</v>
      </c>
      <c r="K6" s="71">
        <v>7.33</v>
      </c>
      <c r="L6" s="71">
        <v>47.29</v>
      </c>
      <c r="M6" s="71">
        <v>1098</v>
      </c>
      <c r="N6" s="71">
        <v>640</v>
      </c>
      <c r="O6" s="71">
        <v>688</v>
      </c>
      <c r="P6" s="71">
        <v>0</v>
      </c>
      <c r="Q6" s="71">
        <v>1726</v>
      </c>
      <c r="R6" s="71">
        <v>7135</v>
      </c>
      <c r="S6" s="71">
        <v>6910</v>
      </c>
      <c r="T6" s="71">
        <v>6012</v>
      </c>
      <c r="U6" s="71">
        <v>2990</v>
      </c>
      <c r="V6" s="71">
        <v>0</v>
      </c>
      <c r="W6" s="71">
        <v>0</v>
      </c>
      <c r="X6" s="71">
        <v>0</v>
      </c>
      <c r="Y6" s="71">
        <v>1</v>
      </c>
      <c r="Z6" s="71">
        <v>3596</v>
      </c>
      <c r="AA6" s="71">
        <v>4233</v>
      </c>
      <c r="AB6" s="71">
        <v>2841</v>
      </c>
      <c r="AC6" s="71">
        <v>5996</v>
      </c>
      <c r="AD6" s="71">
        <v>3775</v>
      </c>
      <c r="AE6" s="71">
        <v>4048</v>
      </c>
    </row>
    <row r="7" spans="1:99" s="72" customFormat="1" ht="22.2" ph="1">
      <c r="B7" s="181" ph="1"/>
      <c r="C7" s="68" t="s" ph="1">
        <v>178</v>
      </c>
      <c r="D7" s="73" ph="1">
        <f>D6*33.183*LOOKUP(D8,密度!$A$2:$A$50,密度!$Q$2:$Q$50)</f>
        <v>114095.38624929001</v>
      </c>
      <c r="E7" s="73" ph="1">
        <f>E6*51.53*LOOKUP(E8,密度!$A$2:$A$50,密度!$B$2:$B$50)</f>
        <v>322938.78310900001</v>
      </c>
      <c r="F7" s="73" ph="1">
        <f>F6*33.183*LOOKUP(F8,密度!$A$2:$A$50,密度!$C$2:$C$50)</f>
        <v>233089.8090786</v>
      </c>
      <c r="G7" s="73" ph="1">
        <f xml:space="preserve"> (G6+2)*51.53*LOOKUP(G8,密度!$A$2:$A$50,密度!$B$2:$B$50)</f>
        <v>360685.47172000003</v>
      </c>
      <c r="H7" s="73" ph="1">
        <f>(H6)*51.53*LOOKUP(H8,密度!$A$2:$A$50,密度!$B$2:$B$50)</f>
        <v>257802.14747800003</v>
      </c>
      <c r="I7" s="73" ph="1">
        <f>I6*290.8*1.0267</f>
        <v>6977.4490932000008</v>
      </c>
      <c r="J7" s="73" ph="1">
        <f>J6*290.8*0.7892</f>
        <v>1496.3358271999998</v>
      </c>
      <c r="K7" s="73" ph="1">
        <f>K6*290.8*1.1126</f>
        <v>2371.5781064000003</v>
      </c>
      <c r="L7" s="73" ph="1">
        <f>L6*290.8*0.777</f>
        <v>10685.251164000001</v>
      </c>
      <c r="M7" s="73" ph="1">
        <f>M6*33.183*LOOKUP(M8,密度!$A$2:$A$50,密度!$D$2:$D$50)</f>
        <v>37509.764553000001</v>
      </c>
      <c r="N7" s="73" ph="1">
        <f>N6*33.183*LOOKUP(N8,密度!$A$2:$A$50,密度!$E$2:$E$50)</f>
        <v>16683.881471999997</v>
      </c>
      <c r="O7" s="73" ph="1">
        <f>O6*20.428*LOOKUP(O8,密度!$A$2:$A$50,密度!$C$2:$C$50)</f>
        <v>15573.751558400001</v>
      </c>
      <c r="P7" s="73" ph="1">
        <f>P6*51.53*LOOKUP(P8,密度!$A$2:$A$50,密度!$B$2:$B$50)</f>
        <v>0</v>
      </c>
      <c r="Q7" s="73" ph="1">
        <f>Q6*1.5*1.5*3.1416*LOOKUP(W8,密度!$A$2:$A$50,密度!$L$2:$L$50)</f>
        <v>11456.178980399998</v>
      </c>
      <c r="R7" s="73" ph="1">
        <f>R6*1.5*1.5*3.1416*LOOKUP(R8,密度!$A$2:$A$50,密度!$L$2:$L$50)</f>
        <v>47055.352113000001</v>
      </c>
      <c r="S7" s="73" ph="1">
        <f>S6*1.5*1.5*3.1416*LOOKUP(S8,密度!$A$2:$A$50,密度!$L$2:$L$50)</f>
        <v>46011.072491999992</v>
      </c>
      <c r="T7" s="73" ph="1">
        <f>T6*1.5*1.5*3.1416*LOOKUP(T8,密度!$A$2:$A$50,密度!$L$2:$L$50)</f>
        <v>40074.127077599995</v>
      </c>
      <c r="U7" s="73" ph="1">
        <f>U6*1.5*1.5*3.1416*LOOKUP(U8,密度!$A$2:$A$50,密度!$L$2:$L$50)</f>
        <v>19845.872046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6.6374153999999992</v>
      </c>
      <c r="Z7" s="73" ph="1">
        <f>Z6*33.183*LOOKUP(Z8,密度!$A$2:$A$50,密度!$L$2:$L$50)</f>
        <v>112166.50391999999</v>
      </c>
      <c r="AA7" s="73" ph="1">
        <f>AA6*33.183*LOOKUP(AA8,密度!$A$2:$A$50,密度!$D$2:$D$50)</f>
        <v>144340.4354364</v>
      </c>
      <c r="AB7" s="73" ph="1">
        <f>AB6*20.428*LOOKUP(AB8,密度!$A$2:$A$50,密度!$D$2:$D$50)</f>
        <v>60102.027748800007</v>
      </c>
      <c r="AC7" s="73" ph="1">
        <f>AC6*51.53*LOOKUP(AC8,密度!$A$2:$A$50,密度!$Q$2:$Q$50)</f>
        <v>293429.40409720002</v>
      </c>
      <c r="AD7" s="73" ph="1">
        <f>AD6*20.428*LOOKUP(AD8,密度!$A$2:$A$50,密度!$V$2:$V$50)</f>
        <v>74092.764559999996</v>
      </c>
      <c r="AE7" s="73" ph="1">
        <f>AE6*20.428</f>
        <v>82692.544000000009</v>
      </c>
    </row>
    <row r="8" spans="1:99" ph="1">
      <c r="B8" s="181" ph="1"/>
      <c r="C8" s="68" t="s" ph="1">
        <v>179</v>
      </c>
      <c r="D8" s="74">
        <v>24</v>
      </c>
      <c r="E8" s="74">
        <v>22</v>
      </c>
      <c r="F8" s="74">
        <v>22</v>
      </c>
      <c r="G8" s="74">
        <v>24</v>
      </c>
      <c r="H8" s="74">
        <v>19</v>
      </c>
      <c r="I8" s="74">
        <v>25</v>
      </c>
      <c r="J8" s="74">
        <v>25</v>
      </c>
      <c r="K8" s="74">
        <v>25</v>
      </c>
      <c r="L8" s="74">
        <v>25</v>
      </c>
      <c r="M8" s="74">
        <v>22</v>
      </c>
      <c r="N8" s="74">
        <v>23</v>
      </c>
      <c r="O8" s="74">
        <v>26</v>
      </c>
      <c r="P8" s="74">
        <v>21</v>
      </c>
      <c r="Q8" s="74">
        <v>26</v>
      </c>
      <c r="R8" s="74">
        <v>29</v>
      </c>
      <c r="S8" s="74">
        <v>20</v>
      </c>
      <c r="T8" s="74">
        <v>19</v>
      </c>
      <c r="U8" s="74">
        <v>23</v>
      </c>
      <c r="V8" s="74">
        <v>28</v>
      </c>
      <c r="W8" s="74">
        <v>23</v>
      </c>
      <c r="X8" s="74">
        <v>13</v>
      </c>
      <c r="Y8" s="74">
        <v>23</v>
      </c>
      <c r="Z8" s="74">
        <v>22</v>
      </c>
      <c r="AA8" s="74">
        <v>24</v>
      </c>
      <c r="AB8" s="74">
        <v>15</v>
      </c>
      <c r="AC8" s="74">
        <v>21</v>
      </c>
      <c r="AD8" s="74">
        <v>22</v>
      </c>
      <c r="AE8" s="74">
        <v>23</v>
      </c>
    </row>
    <row r="9" spans="1:99" ht="26.4" ph="1">
      <c r="B9" s="181" ph="1">
        <v>0.66666666666666663</v>
      </c>
      <c r="C9" s="145" t="s" ph="1">
        <v>180</v>
      </c>
      <c r="D9" s="71">
        <v>3631</v>
      </c>
      <c r="E9" s="71">
        <v>8005</v>
      </c>
      <c r="F9" s="71">
        <v>6328</v>
      </c>
      <c r="G9" s="71">
        <v>8976</v>
      </c>
      <c r="H9" s="71">
        <v>6381</v>
      </c>
      <c r="I9" s="71">
        <v>23.29</v>
      </c>
      <c r="J9" s="71">
        <v>6.54</v>
      </c>
      <c r="K9" s="71">
        <v>7.31</v>
      </c>
      <c r="L9" s="71">
        <v>47.16</v>
      </c>
      <c r="M9" s="71">
        <v>1096</v>
      </c>
      <c r="N9" s="71">
        <v>644</v>
      </c>
      <c r="O9" s="71">
        <v>686</v>
      </c>
      <c r="P9" s="71">
        <v>0</v>
      </c>
      <c r="Q9" s="71">
        <v>0</v>
      </c>
      <c r="R9" s="71">
        <v>4138</v>
      </c>
      <c r="S9" s="71">
        <v>6920</v>
      </c>
      <c r="T9" s="71">
        <v>7155</v>
      </c>
      <c r="U9" s="71">
        <v>6666</v>
      </c>
      <c r="V9" s="71">
        <v>0</v>
      </c>
      <c r="W9" s="71">
        <v>0</v>
      </c>
      <c r="X9" s="71">
        <v>0</v>
      </c>
      <c r="Y9" s="71">
        <v>0</v>
      </c>
      <c r="Z9" s="71">
        <v>4365</v>
      </c>
      <c r="AA9" s="71">
        <v>4241</v>
      </c>
      <c r="AB9" s="71">
        <v>2744</v>
      </c>
      <c r="AC9" s="71">
        <v>6334</v>
      </c>
      <c r="AD9" s="71">
        <v>3775</v>
      </c>
      <c r="AE9" s="71">
        <v>4046</v>
      </c>
    </row>
    <row r="10" spans="1:99" s="72" customFormat="1" ht="22.2" ph="1">
      <c r="B10" s="181" ph="1"/>
      <c r="C10" s="145" t="s" ph="1">
        <v>178</v>
      </c>
      <c r="D10" s="73" ph="1">
        <f>D9*33.183*LOOKUP(D11,密度!$A$2:$A$50,密度!$Q$2:$Q$50)</f>
        <v>113984.76408219</v>
      </c>
      <c r="E10" s="73" ph="1">
        <f>E9*51.53*LOOKUP(E11,密度!$A$2:$A$50,密度!$B$2:$B$50)</f>
        <v>320510.67405000003</v>
      </c>
      <c r="F10" s="73" ph="1">
        <f>F9*33.183*LOOKUP(F11,密度!$A$2:$A$50,密度!$C$2:$C$50)</f>
        <v>232996.05383039999</v>
      </c>
      <c r="G10" s="73" ph="1">
        <f xml:space="preserve"> (G9+2)*51.53*LOOKUP(G11,密度!$A$2:$A$50,密度!$B$2:$B$50)</f>
        <v>359468.43618000002</v>
      </c>
      <c r="H10" s="73" ph="1">
        <f>(H9)*51.53*LOOKUP(H11,密度!$A$2:$A$50,密度!$B$2:$B$50)</f>
        <v>255783.578247</v>
      </c>
      <c r="I10" s="73" ph="1">
        <f>I9*290.8*1.0267</f>
        <v>6953.5639443999999</v>
      </c>
      <c r="J10" s="73" ph="1">
        <f>J9*290.8*0.7892</f>
        <v>1500.9258144</v>
      </c>
      <c r="K10" s="73" ph="1">
        <f>K9*290.8*1.1126</f>
        <v>2365.1072248</v>
      </c>
      <c r="L10" s="73" ph="1">
        <f>L9*290.8*0.777</f>
        <v>10655.877456</v>
      </c>
      <c r="M10" s="73" ph="1">
        <f>M9*33.183*LOOKUP(M11,密度!$A$2:$A$50,密度!$D$2:$D$50)</f>
        <v>37135.944784799998</v>
      </c>
      <c r="N10" s="73" ph="1">
        <f>N9*33.183*LOOKUP(N11,密度!$A$2:$A$50,密度!$E$2:$E$50)</f>
        <v>16592.6215854</v>
      </c>
      <c r="O10" s="73" ph="1">
        <f>O9*20.428*LOOKUP(O11,密度!$A$2:$A$50,密度!$C$2:$C$50)</f>
        <v>15339.2953168</v>
      </c>
      <c r="P10" s="73" ph="1">
        <f>P9*51.53*LOOKUP(P11,密度!$A$2:$A$50,密度!$B$2:$B$50)</f>
        <v>0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27202.376124000002</v>
      </c>
      <c r="S10" s="73" ph="1">
        <f>S9*1.5*1.5*3.1416*LOOKUP(S11,密度!$A$2:$A$50,密度!$L$2:$L$50)</f>
        <v>45979.829279999998</v>
      </c>
      <c r="T10" s="73" ph="1">
        <f>T9*1.5*1.5*3.1416*LOOKUP(T11,密度!$A$2:$A$50,密度!$L$2:$L$50)</f>
        <v>47591.858852999998</v>
      </c>
      <c r="U10" s="73" ph="1">
        <f>U9*1.5*1.5*3.1416*LOOKUP(U11,密度!$A$2:$A$50,密度!$L$2:$L$50)</f>
        <v>44197.891768799993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135428.94832500003</v>
      </c>
      <c r="AA10" s="73" ph="1">
        <f>AA9*33.183*LOOKUP(AA11,密度!$A$2:$A$50,密度!$D$2:$D$50)</f>
        <v>143825.143266</v>
      </c>
      <c r="AB10" s="73" ph="1">
        <f>AB9*20.428*LOOKUP(AB11,密度!$A$2:$A$50,密度!$D$2:$D$50)</f>
        <v>57909.833699199997</v>
      </c>
      <c r="AC10" s="73" ph="1">
        <f>AC9*51.53*LOOKUP(AC11,密度!$A$2:$A$50,密度!$Q$2:$Q$50)</f>
        <v>308090.27550860005</v>
      </c>
      <c r="AD10" s="73" ph="1">
        <f>AD9*20.428*LOOKUP(AD11,密度!$A$2:$A$50,密度!$V$2:$V$50)</f>
        <v>73845.994319999998</v>
      </c>
      <c r="AE10" s="73" ph="1">
        <f>AE9*20.428</f>
        <v>82651.688000000009</v>
      </c>
    </row>
    <row r="11" spans="1:99" ph="1">
      <c r="A11" s="64" t="s" ph="1">
        <v>162</v>
      </c>
      <c r="B11" s="181" ph="1"/>
      <c r="C11" s="145" t="s" ph="1">
        <v>179</v>
      </c>
      <c r="D11" s="74">
        <v>26</v>
      </c>
      <c r="E11" s="74">
        <v>28</v>
      </c>
      <c r="F11" s="74">
        <v>24</v>
      </c>
      <c r="G11" s="74">
        <v>28</v>
      </c>
      <c r="H11" s="74">
        <v>27</v>
      </c>
      <c r="I11" s="74">
        <v>25</v>
      </c>
      <c r="J11" s="74">
        <v>25</v>
      </c>
      <c r="K11" s="74">
        <v>25</v>
      </c>
      <c r="L11" s="74">
        <v>25</v>
      </c>
      <c r="M11" s="74">
        <v>31</v>
      </c>
      <c r="N11" s="74">
        <v>31</v>
      </c>
      <c r="O11" s="74">
        <v>40</v>
      </c>
      <c r="P11" s="74">
        <v>34</v>
      </c>
      <c r="Q11" s="74">
        <v>38</v>
      </c>
      <c r="R11" s="74">
        <v>32</v>
      </c>
      <c r="S11" s="74">
        <v>22</v>
      </c>
      <c r="T11" s="74">
        <v>21</v>
      </c>
      <c r="U11" s="74">
        <v>24</v>
      </c>
      <c r="V11" s="74">
        <v>27</v>
      </c>
      <c r="W11" s="74">
        <v>39</v>
      </c>
      <c r="X11" s="74">
        <v>29</v>
      </c>
      <c r="Y11" s="74">
        <v>31</v>
      </c>
      <c r="Z11" s="74">
        <v>27</v>
      </c>
      <c r="AA11" s="74">
        <v>30</v>
      </c>
      <c r="AB11" s="74">
        <v>18</v>
      </c>
      <c r="AC11" s="74">
        <v>29</v>
      </c>
      <c r="AD11" s="74">
        <v>27</v>
      </c>
      <c r="AE11" s="74">
        <v>27</v>
      </c>
    </row>
    <row r="12" spans="1:99" ht="9.9" customHeight="1" ph="1"/>
    <row r="13" spans="1:99" s="72" customFormat="1" ht="29.25" customHeight="1" ph="1">
      <c r="B13" s="189" t="s" ph="1">
        <v>37</v>
      </c>
      <c r="C13" s="145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0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615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1" ph="1">
        <v>0.33333333333333331</v>
      </c>
      <c r="C15" s="145" t="s" ph="1">
        <v>177</v>
      </c>
      <c r="D15" s="78">
        <v>0</v>
      </c>
      <c r="E15" s="78">
        <v>2126</v>
      </c>
      <c r="F15" s="78">
        <v>3080</v>
      </c>
      <c r="G15" s="78">
        <v>3854</v>
      </c>
      <c r="H15" s="78">
        <v>0</v>
      </c>
      <c r="I15" s="78">
        <v>5473</v>
      </c>
      <c r="J15" s="78">
        <v>788</v>
      </c>
      <c r="K15" s="78">
        <v>3589</v>
      </c>
      <c r="L15" s="78">
        <v>4966</v>
      </c>
      <c r="M15" s="78">
        <v>6100</v>
      </c>
      <c r="N15" s="78">
        <v>472</v>
      </c>
      <c r="O15" s="78">
        <v>5000</v>
      </c>
      <c r="P15" s="78">
        <v>1105</v>
      </c>
      <c r="Q15" s="78">
        <v>1281</v>
      </c>
      <c r="R15" s="78">
        <v>7410</v>
      </c>
      <c r="S15" s="78">
        <v>0</v>
      </c>
      <c r="T15" s="78">
        <v>1357</v>
      </c>
      <c r="U15" s="78">
        <v>5770</v>
      </c>
      <c r="V15" s="78">
        <v>3704</v>
      </c>
      <c r="W15" s="71">
        <v>-172</v>
      </c>
      <c r="X15" s="78">
        <v>-21</v>
      </c>
      <c r="Y15" s="106">
        <v>-9907</v>
      </c>
      <c r="Z15" s="78">
        <v>0</v>
      </c>
      <c r="AA15" s="78">
        <v>6856</v>
      </c>
      <c r="AB15" s="78" ph="1">
        <v>7170</v>
      </c>
      <c r="AC15" s="78" ph="1">
        <v>7137</v>
      </c>
      <c r="AD15" s="78">
        <v>52.69</v>
      </c>
      <c r="AE15" s="78">
        <v>5.61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2" ph="1"/>
      <c r="C16" s="145" t="s" ph="1">
        <v>178</v>
      </c>
      <c r="D16" s="73" ph="1">
        <f>D15*7.0686*LOOKUP(D17,密度!$A$2:$A$50,密度!$L$2:$L$50)</f>
        <v>0</v>
      </c>
      <c r="E16" s="73" ph="1">
        <f>E15*7.0686*LOOKUP(E17,密度!$A$2:$A$50,密度!$L$2:$L$50)</f>
        <v>14096.117296799999</v>
      </c>
      <c r="F16" s="73" ph="1">
        <f>F15*9.0746*LOOKUP(F17,密度!$A$2:$A$50,密度!$L$2:$L$50)</f>
        <v>26160.982848000003</v>
      </c>
      <c r="G16" s="73" ph="1">
        <f>G15*9.0746*LOOKUP(G17,密度!$A$2:$A$50,密度!$B$2:$B$50)</f>
        <v>27296.823306199996</v>
      </c>
      <c r="H16" s="73" ph="1">
        <f>H15*9.0746*LOOKUP(H17,密度!$A$2:$A$50,密度!$L$2:$L$50)</f>
        <v>0</v>
      </c>
      <c r="I16" s="73" ph="1">
        <f>I15*9.0746*LOOKUP(I17,密度!$A$2:$A$50,密度!$U$2:$U$50)</f>
        <v>51055.913802399999</v>
      </c>
      <c r="J16" s="73" ph="1">
        <f>J15*9.0746*LOOKUP(J17,密度!$A$2:$A$50,密度!$L$2:$L$50)</f>
        <v>6714.5869272</v>
      </c>
      <c r="K16" s="73" ph="1">
        <f>K15*9.0746*LOOKUP(K17,密度!$A$2:$A$50,密度!$C$2:$C$50)</f>
        <v>36164.328229760002</v>
      </c>
      <c r="L16" s="73" ph="1">
        <f>L15*9.0746*LOOKUP(L17,密度!$A$2:$A$50,密度!$E$2:$E$50)</f>
        <v>35294.487891520002</v>
      </c>
      <c r="M16" s="73" ph="1">
        <f>M15*9.0746*LOOKUP(M17,密度!$A$2:$A$50,密度!$M$2:$M$50)</f>
        <v>48385.857946000004</v>
      </c>
      <c r="N16" s="73" ph="1">
        <f>N15*9.0746*LOOKUP(N17,密度!$A$2:$A$50,密度!$M$2:$M$50)</f>
        <v>3765.3709659199999</v>
      </c>
      <c r="O16" s="73" ph="1">
        <f>O15*9.0746*LOOKUP(O17,密度!$A$2:$A$50,密度!$G$2:$G$50)</f>
        <v>43567.154600000002</v>
      </c>
      <c r="P16" s="73" ph="1">
        <f ca="1">P15*9.0746*LOOKUP(P17,密度!$A$2:$A$51,密度!$Q$2:$Q$50)</f>
        <v>9516.9363859700006</v>
      </c>
      <c r="Q16" s="73" ph="1">
        <f>Q15*9.0746*LOOKUP(Q17,密度!$A$2:$A$50,密度!$Q$2:$Q$50)</f>
        <v>11022.410257320002</v>
      </c>
      <c r="R16" s="73" ph="1">
        <f>MAX(R15*9.0746*LOOKUP(R17,密度!$A$2:$A$50,密度!$B$2:$B$50),0)</f>
        <v>52308.163229400008</v>
      </c>
      <c r="S16" s="73" ph="1">
        <f>S15*9.0746*LOOKUP(S17,密度!$A$2:$A$50,密度!$Q$2:$Q$50)</f>
        <v>0</v>
      </c>
      <c r="T16" s="73" ph="1">
        <f>T15*9.0746*LOOKUP(T17,密度!$A$2:$A$50,密度!$O$2:$O$50)</f>
        <v>11452.235946000001</v>
      </c>
      <c r="U16" s="73" ph="1">
        <f>U15*9.0746*LOOKUP(U17,密度!$A$2:$A$50,密度!$H$2:$H$50)</f>
        <v>48056.413667599998</v>
      </c>
      <c r="V16" s="73" ph="1">
        <f>MAX(5600*LOOKUP(V17,密度!$A$2:$A$50,密度!$Q$2:$Q$50)+V15*9.0476*LOOKUP(V17,密度!$A$2:$A$50,密度!$Q$2:$Q$50),0)</f>
        <v>37057.740734687999</v>
      </c>
      <c r="W16" s="73" ph="1">
        <f>MAX(5600*LOOKUP(W17,密度!$A$2:$A$50,密度!$Q$2:$Q$50)+W15*9.0476*LOOKUP(W17,密度!$A$2:$A$50,密度!$Q$2:$Q$50),0)</f>
        <v>3831.3913136160004</v>
      </c>
      <c r="X16" s="73" ph="1">
        <f>MAX(5600*LOOKUP(X17,密度!$A$2:$A$50,密度!$I$2:$I$50)+X15*9.0476*LOOKUP(X17,密度!$A$2:$A$50,密度!$I$2:$I$50),0)</f>
        <v>5638.84341692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48615.158568639999</v>
      </c>
      <c r="AB16" s="73" ph="1">
        <f>AB15*9.0746*LOOKUP(AB17,密度!$A$2:$A$50,密度!$L$2:$L$50)</f>
        <v>60965.79443400001</v>
      </c>
      <c r="AC16" s="73" ph="1">
        <f>AC15*9.0746*LOOKUP(AC17,密度!$A$2:$A$50,密度!$L$2:$L$50)</f>
        <v>60879.494987999999</v>
      </c>
      <c r="AD16" s="73" ph="1">
        <f>AD15*268.68*LOOKUP(AD17,密度!$A$2:$A$50,密度!B2:B50)+IF(AD15&lt;=0,0,1566*LOOKUP(AD17,密度!$A$2:$A$50,密度!B2:B50))</f>
        <v>12257.455276320001</v>
      </c>
      <c r="AE16" s="73" ph="1">
        <f>AE15*268.68*LOOKUP(AE17,密度!$A$2:$A$50,密度!B2:B50)+IF(AE15&lt;=0,0,1566*LOOKUP(AE17,密度!$A$2:$A$50,密度!B2:B50))</f>
        <v>2395.9406260799997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3" ph="1"/>
      <c r="C17" s="79" t="s" ph="1">
        <v>179</v>
      </c>
      <c r="D17" s="74">
        <v>24</v>
      </c>
      <c r="E17" s="74">
        <v>24</v>
      </c>
      <c r="F17" s="74">
        <v>26</v>
      </c>
      <c r="G17" s="74">
        <v>24</v>
      </c>
      <c r="H17" s="74">
        <v>20</v>
      </c>
      <c r="I17" s="74">
        <v>22</v>
      </c>
      <c r="J17" s="74">
        <v>23</v>
      </c>
      <c r="K17" s="74">
        <v>23</v>
      </c>
      <c r="L17" s="74">
        <v>25</v>
      </c>
      <c r="M17" s="74">
        <v>26</v>
      </c>
      <c r="N17" s="74">
        <v>21</v>
      </c>
      <c r="O17" s="74">
        <v>25</v>
      </c>
      <c r="P17" s="74">
        <v>22</v>
      </c>
      <c r="Q17" s="74">
        <v>23</v>
      </c>
      <c r="R17" s="74">
        <v>27</v>
      </c>
      <c r="S17" s="74">
        <v>22</v>
      </c>
      <c r="T17" s="74">
        <v>24</v>
      </c>
      <c r="U17" s="74">
        <v>22</v>
      </c>
      <c r="V17" s="74">
        <v>24</v>
      </c>
      <c r="W17" s="74">
        <v>24</v>
      </c>
      <c r="X17" s="74">
        <v>25</v>
      </c>
      <c r="Y17" s="108">
        <v>25</v>
      </c>
      <c r="Z17" s="74">
        <v>23</v>
      </c>
      <c r="AA17" s="74">
        <v>23</v>
      </c>
      <c r="AB17" s="74">
        <v>25</v>
      </c>
      <c r="AC17" s="74">
        <v>22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1" ph="1">
        <v>0.66666666666666663</v>
      </c>
      <c r="C18" s="79" t="s" ph="1">
        <v>180</v>
      </c>
      <c r="D18" s="71">
        <v>0</v>
      </c>
      <c r="E18" s="71">
        <v>66</v>
      </c>
      <c r="F18" s="71">
        <v>3082</v>
      </c>
      <c r="G18" s="71">
        <v>3912</v>
      </c>
      <c r="H18" s="71">
        <v>0</v>
      </c>
      <c r="I18" s="71">
        <v>5478</v>
      </c>
      <c r="J18" s="71">
        <v>804</v>
      </c>
      <c r="K18" s="71">
        <v>3590</v>
      </c>
      <c r="L18" s="71">
        <v>4978</v>
      </c>
      <c r="M18" s="71">
        <v>6113</v>
      </c>
      <c r="N18" s="71">
        <v>2799</v>
      </c>
      <c r="O18" s="71">
        <v>5007</v>
      </c>
      <c r="P18" s="71">
        <v>1105</v>
      </c>
      <c r="Q18" s="71">
        <v>1283</v>
      </c>
      <c r="R18" s="71">
        <v>7418</v>
      </c>
      <c r="S18" s="71">
        <v>0</v>
      </c>
      <c r="T18" s="71">
        <v>1356</v>
      </c>
      <c r="U18" s="71">
        <v>5768</v>
      </c>
      <c r="V18" s="71">
        <v>3704</v>
      </c>
      <c r="W18" s="71">
        <v>-173</v>
      </c>
      <c r="X18" s="71">
        <v>-23</v>
      </c>
      <c r="Y18" s="109">
        <v>-9908</v>
      </c>
      <c r="Z18" s="71">
        <v>0</v>
      </c>
      <c r="AA18" s="71">
        <v>6864</v>
      </c>
      <c r="AB18" s="71">
        <v>7178</v>
      </c>
      <c r="AC18" s="71">
        <v>7145</v>
      </c>
      <c r="AD18" s="71">
        <v>84.34</v>
      </c>
      <c r="AE18" s="71">
        <v>21.83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2" ph="1"/>
      <c r="C19" s="145" t="s" ph="1">
        <v>178</v>
      </c>
      <c r="D19" s="73" ph="1">
        <f>D18*7.0686*LOOKUP(D20,密度!$A$2:$A$50,密度!$L$2:$L$50)</f>
        <v>0</v>
      </c>
      <c r="E19" s="73" ph="1">
        <f>E18*7.0686*LOOKUP(E20,密度!$A$2:$A$50,密度!$L$2:$L$50)</f>
        <v>432.4710852</v>
      </c>
      <c r="F19" s="73" ph="1">
        <f>F18*9.0746*LOOKUP(F20,密度!$A$2:$A$50,密度!$L$2:$L$50)</f>
        <v>26066.098830400002</v>
      </c>
      <c r="G19" s="73" ph="1">
        <f>G18*9.0746*LOOKUP(G20,密度!$A$2:$A$50,密度!$B$2:$B$50)</f>
        <v>27643.72167024</v>
      </c>
      <c r="H19" s="73" ph="1">
        <f>H18*9.0746*LOOKUP(H20,密度!$A$2:$A$50,密度!$L$2:$L$50)</f>
        <v>0</v>
      </c>
      <c r="I19" s="73" ph="1">
        <f>I18*9.0746*LOOKUP(I20,密度!$A$2:$A$50,密度!$U$2:$U$50)</f>
        <v>50605.450658400005</v>
      </c>
      <c r="J19" s="73" ph="1">
        <f>J18*9.0746*LOOKUP(J20,密度!$A$2:$A$50,密度!$L$2:$L$50)</f>
        <v>6777.9639336</v>
      </c>
      <c r="K19" s="73" ph="1">
        <f>K18*9.0746*LOOKUP(K20,密度!$A$2:$A$50,密度!$C$2:$C$50)</f>
        <v>36050.608972400005</v>
      </c>
      <c r="L19" s="73" ph="1">
        <f>L18*9.0746*LOOKUP(L20,密度!$A$2:$A$50,密度!$E$2:$E$50)</f>
        <v>35280.393222800005</v>
      </c>
      <c r="M19" s="73" ph="1">
        <f>M18*9.0746*LOOKUP(M20,密度!$A$2:$A$50,密度!$M$2:$M$50)</f>
        <v>48317.008955800004</v>
      </c>
      <c r="N19" s="73" ph="1">
        <f>N18*9.0746*LOOKUP(N20,密度!$A$2:$A$50,密度!$M$2:$M$50)</f>
        <v>22227.369705540001</v>
      </c>
      <c r="O19" s="73" ph="1">
        <f>O18*9.0746*LOOKUP(O20,密度!$A$2:$A$50,密度!$G$2:$G$50)</f>
        <v>43482.751745399997</v>
      </c>
      <c r="P19" s="73" ph="1">
        <f ca="1">P18*9.0746*LOOKUP(P20,密度!$A$2:$A$51,密度!$Q$2:$Q$50)</f>
        <v>9418.767816900001</v>
      </c>
      <c r="Q19" s="73" ph="1">
        <f>Q18*9.0746*LOOKUP(Q20,密度!$A$2:$A$50,密度!$Q$2:$Q$50)</f>
        <v>10943.450529292</v>
      </c>
      <c r="R19" s="73" ph="1">
        <f>MAX(R18*9.0746*LOOKUP(R20,密度!$A$2:$A$50,密度!$B$2:$B$50),0)</f>
        <v>52189.616284840005</v>
      </c>
      <c r="S19" s="73" ph="1">
        <f>S18*9.0746*LOOKUP(S20,密度!$A$2:$A$50,密度!$Q$2:$Q$50)</f>
        <v>0</v>
      </c>
      <c r="T19" s="73" ph="1">
        <f>T18*9.0746*LOOKUP(T20,密度!$A$2:$A$50,密度!$O$2:$O$50)</f>
        <v>11355.19943328</v>
      </c>
      <c r="U19" s="73" ph="1">
        <f>U18*9.0746*LOOKUP(U20,密度!$A$2:$A$50,密度!$H$2:$H$50)</f>
        <v>47783.279097120008</v>
      </c>
      <c r="V19" s="73" ph="1">
        <f>MAX(5600*LOOKUP(V20,密度!$A$2:$A$50,密度!$Q$2:$Q$50)+V18*9.0476*LOOKUP(V20,密度!$A$2:$A$50,密度!$Q$2:$Q$50),0)</f>
        <v>36919.283155871999</v>
      </c>
      <c r="W19" s="73" ph="1">
        <f>MAX(5600*LOOKUP(W20,密度!$A$2:$A$50,密度!$Q$2:$Q$50)+W18*9.0476*LOOKUP(W20,密度!$A$2:$A$50,密度!$Q$2:$Q$50),0)</f>
        <v>3803.0889822159997</v>
      </c>
      <c r="X19" s="73" ph="1">
        <f>MAX(5600*LOOKUP(X20,密度!$A$2:$A$50,密度!$I$2:$I$50)+X18*9.0476*LOOKUP(X20,密度!$A$2:$A$50,密度!$I$2:$I$50),0)</f>
        <v>5602.1895027999999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48559.767210239996</v>
      </c>
      <c r="AB19" s="73" ph="1">
        <f>AB18*9.0746*LOOKUP(AB20,密度!$A$2:$A$50,密度!$L$2:$L$50)</f>
        <v>60903.542678000005</v>
      </c>
      <c r="AC19" s="73" ph="1">
        <f>AC18*9.0746*LOOKUP(AC20,密度!$A$2:$A$50,密度!$L$2:$L$50)</f>
        <v>60623.545895000003</v>
      </c>
      <c r="AD19" s="73" ph="1">
        <f>AD18*268.68*LOOKUP(AD20,密度!$A$2:$A$50,密度!B5:B53)+IF(AD18&lt;=0,0,1566*LOOKUP(AD20,密度!$A$2:$A$50,密度!B5:B53))</f>
        <v>18823.968122400001</v>
      </c>
      <c r="AE19" s="73" ph="1">
        <f>AE18*268.68*LOOKUP(AE20,密度!$A$2:$A$50,密度!B5:B53)+IF(AE18&lt;=0,0,1566*LOOKUP(AE20,密度!$A$2:$A$50,密度!B5:B53))</f>
        <v>5774.1079787999997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2" ph="1"/>
      <c r="C20" s="80" t="s" ph="1">
        <v>179</v>
      </c>
      <c r="D20" s="81">
        <v>35</v>
      </c>
      <c r="E20" s="81">
        <v>35</v>
      </c>
      <c r="F20" s="81">
        <v>30</v>
      </c>
      <c r="G20" s="81">
        <v>26</v>
      </c>
      <c r="H20" s="81">
        <v>26</v>
      </c>
      <c r="I20" s="81">
        <v>32</v>
      </c>
      <c r="J20" s="81">
        <v>33</v>
      </c>
      <c r="K20" s="81">
        <v>28</v>
      </c>
      <c r="L20" s="81">
        <v>27</v>
      </c>
      <c r="M20" s="81">
        <v>29</v>
      </c>
      <c r="N20" s="81">
        <v>25</v>
      </c>
      <c r="O20" s="81">
        <v>28</v>
      </c>
      <c r="P20" s="81">
        <v>36</v>
      </c>
      <c r="Q20" s="81">
        <v>35</v>
      </c>
      <c r="R20" s="81">
        <v>30</v>
      </c>
      <c r="S20" s="81">
        <v>33</v>
      </c>
      <c r="T20" s="81">
        <v>31</v>
      </c>
      <c r="U20" s="81">
        <v>27</v>
      </c>
      <c r="V20" s="81">
        <v>29</v>
      </c>
      <c r="W20" s="81">
        <v>31</v>
      </c>
      <c r="X20" s="81">
        <v>28</v>
      </c>
      <c r="Y20" s="110">
        <v>28</v>
      </c>
      <c r="Z20" s="81">
        <v>39</v>
      </c>
      <c r="AA20" s="81">
        <v>25</v>
      </c>
      <c r="AB20" s="81">
        <v>27</v>
      </c>
      <c r="AC20" s="81">
        <v>27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0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69" t="s" ph="1">
        <v>69</v>
      </c>
      <c r="AA22" s="170"/>
      <c r="AB22" s="170"/>
      <c r="AC22" s="170"/>
      <c r="AD22" s="170"/>
      <c r="AE22" s="17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5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72" t="s" ph="1">
        <v>637</v>
      </c>
      <c r="AA23" s="173"/>
      <c r="AB23" s="173"/>
      <c r="AC23" s="173"/>
      <c r="AD23" s="173"/>
      <c r="AE23" s="17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1" ph="1">
        <v>0.33333333333333331</v>
      </c>
      <c r="C24" s="145" t="s" ph="1">
        <v>177</v>
      </c>
      <c r="D24" s="71">
        <v>56.88</v>
      </c>
      <c r="E24" s="71">
        <v>5.44</v>
      </c>
      <c r="F24" s="71">
        <v>2875</v>
      </c>
      <c r="G24" s="71">
        <v>1882</v>
      </c>
      <c r="H24" s="71">
        <v>1133</v>
      </c>
      <c r="I24" s="71">
        <v>0</v>
      </c>
      <c r="J24" s="71">
        <v>869</v>
      </c>
      <c r="K24" s="71">
        <v>581</v>
      </c>
      <c r="L24" s="71">
        <v>469</v>
      </c>
      <c r="M24" s="71">
        <v>4241</v>
      </c>
      <c r="N24" s="71">
        <v>4949</v>
      </c>
      <c r="O24" s="71">
        <v>5275</v>
      </c>
      <c r="P24" s="71">
        <v>335</v>
      </c>
      <c r="Q24" s="90">
        <v>2948</v>
      </c>
      <c r="R24" s="71">
        <v>2081</v>
      </c>
      <c r="S24" s="71">
        <v>4326</v>
      </c>
      <c r="T24" s="71">
        <v>377</v>
      </c>
      <c r="U24" s="71">
        <v>2647</v>
      </c>
      <c r="V24" s="71">
        <v>8774</v>
      </c>
      <c r="W24" s="71">
        <v>11200</v>
      </c>
      <c r="X24" s="71">
        <v>6474</v>
      </c>
      <c r="Y24" s="71">
        <v>3345</v>
      </c>
      <c r="Z24" s="175"/>
      <c r="AA24" s="176"/>
      <c r="AB24" s="176"/>
      <c r="AC24" s="176"/>
      <c r="AD24" s="176"/>
      <c r="AE24" s="17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1" ph="1"/>
      <c r="C25" s="68" t="s" ph="1">
        <v>178</v>
      </c>
      <c r="D25" s="91" ph="1">
        <f>D24*268.68*LOOKUP(D26,密度!$A$2:$A$50,密度!$Q$2:$Q$50)+IF(D24&lt;=0,0,1566*LOOKUP(D26,密度!$A$2:$A$50,密度!$Q$2:$Q$50))</f>
        <v>15951.166310016</v>
      </c>
      <c r="E25" s="91" ph="1">
        <f>E24*268.68*LOOKUP(E26,密度!$A$2:$A$50,密度!$C$2:$C$50)+IF(E24&lt;=0,0,1566*LOOKUP(E26,密度!$A$2:$A$50,密度!$C$2:$C$50))</f>
        <v>3357.32693088</v>
      </c>
      <c r="F25" s="91" ph="1">
        <f>F24*11.702*LOOKUP(F26,密度!$A$2:$A$50,密度!$Q$2:$Q$50)</f>
        <v>31950.658092500002</v>
      </c>
      <c r="G25" s="91" ph="1">
        <f>G24*18.322*LOOKUP(G26,密度!$A$2:$A$50,密度!$B$2:$B$50)</f>
        <v>26851.1365148</v>
      </c>
      <c r="H25" s="91" ph="1">
        <f>H24*18.322*LOOKUP(H26,密度!$A$2:$A$50,密度!$B$2:$B$50)</f>
        <v>16202.263692999997</v>
      </c>
      <c r="I25" s="91" ph="1">
        <f>I24*18.322*LOOKUP(I26,密度!$A$2:$A$50,密度!$Q$2:$Q$50)</f>
        <v>0</v>
      </c>
      <c r="J25" s="91" ph="1">
        <f>J24*18.322*LOOKUP(J26,密度!$A$2:$A$50,密度!$Q$2:$Q$50)</f>
        <v>15085.444900459999</v>
      </c>
      <c r="K25" s="91" ph="1">
        <f>K24*18.322*LOOKUP(K26,密度!$A$2:$A$50,密度!$Q$2:$Q$50)</f>
        <v>10070.566924460001</v>
      </c>
      <c r="L25" s="91" ph="1">
        <f>L24*18.322*LOOKUP(L26,密度!$A$2:$A$50,密度!$Q$2:$Q$50)</f>
        <v>8141.6267644600002</v>
      </c>
      <c r="M25" s="91" ph="1">
        <f>M24*18.322*LOOKUP(M26,密度!$A$2:$A$50,密度!$Q$2:$Q$50)</f>
        <v>73621.831786940005</v>
      </c>
      <c r="N25" s="91" ph="1">
        <f>N24*18.322*LOOKUP(N26,密度!$A$2:$A$50,密度!$Q$2:$Q$50)</f>
        <v>86113.689670819993</v>
      </c>
      <c r="O25" s="91" ph="1">
        <f>O24*18.322*LOOKUP(O26,密度!$A$2:$A$50,密度!$C$2:$C$50)</f>
        <v>107463.52274500001</v>
      </c>
      <c r="P25" s="91" ph="1">
        <f>P24*11.702*LOOKUP(P26,密度!$A$2:$A$50,密度!$B$2:$B$50)</f>
        <v>3070.2771440000001</v>
      </c>
      <c r="Q25" s="92" ph="1">
        <f>Q24*18.322*LOOKUP(Q26,密度!$A$2:$A$50,密度!$B$2:$B$50)</f>
        <v>42157.346307999993</v>
      </c>
      <c r="R25" s="91" ph="1">
        <f>R24*35.891*LOOKUP(R26,密度!$A$2:$A$50,密度!$C$2:$C$50)</f>
        <v>82875.104141599993</v>
      </c>
      <c r="S25" s="91" ph="1">
        <f>S24*35.891*LOOKUP(S26,密度!$A$2:$A$50,密度!$B$2:$B$50)</f>
        <v>121603.12977119999</v>
      </c>
      <c r="T25" s="91" ph="1">
        <f>T24*35.891*LOOKUP(T26,密度!$A$2:$A$50,密度!$Q$2:$Q$50)</f>
        <v>12820.12845529</v>
      </c>
      <c r="U25" s="91" ph="1">
        <f>U24*35.891</f>
        <v>95003.476999999999</v>
      </c>
      <c r="V25" s="91" ph="1">
        <f>V24*47.051*LOOKUP(V26,密度!$A$2:$A$50,密度!$B$2:$B$50)</f>
        <v>322210.28245700005</v>
      </c>
      <c r="W25" s="91" ph="1">
        <f>W24*47.051*LOOKUP(W26,密度!$A$2:$A$50,密度!$B$2:$B$50)</f>
        <v>411301.02160000004</v>
      </c>
      <c r="X25" s="91" ph="1">
        <f>X24*47.051*LOOKUP(X26,密度!$A$2:$A$61,密度!$I$2:$I$61)</f>
        <v>313411.35022859997</v>
      </c>
      <c r="Y25" s="91" ph="1">
        <f>Y24*47.051*LOOKUP(Y26,密度!$A$2:$A$50,密度!$L$2:$L$50)</f>
        <v>148099.84489499999</v>
      </c>
      <c r="Z25" s="175"/>
      <c r="AA25" s="176"/>
      <c r="AB25" s="176"/>
      <c r="AC25" s="176"/>
      <c r="AD25" s="176"/>
      <c r="AE25" s="17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1" ph="1"/>
      <c r="C26" s="68" t="s" ph="1">
        <v>179</v>
      </c>
      <c r="D26" s="74">
        <v>25</v>
      </c>
      <c r="E26" s="74">
        <v>25</v>
      </c>
      <c r="F26" s="74">
        <v>21</v>
      </c>
      <c r="G26" s="74">
        <v>26</v>
      </c>
      <c r="H26" s="74">
        <v>24</v>
      </c>
      <c r="I26" s="74">
        <v>21</v>
      </c>
      <c r="J26" s="74">
        <v>24</v>
      </c>
      <c r="K26" s="74">
        <v>26</v>
      </c>
      <c r="L26" s="74">
        <v>24</v>
      </c>
      <c r="M26" s="74">
        <v>24</v>
      </c>
      <c r="N26" s="74">
        <v>21</v>
      </c>
      <c r="O26" s="74">
        <v>21</v>
      </c>
      <c r="P26" s="74">
        <v>21</v>
      </c>
      <c r="Q26" s="93">
        <v>24</v>
      </c>
      <c r="R26" s="74">
        <v>24</v>
      </c>
      <c r="S26" s="74">
        <v>21</v>
      </c>
      <c r="T26" s="74">
        <v>24</v>
      </c>
      <c r="U26" s="74">
        <v>26</v>
      </c>
      <c r="V26" s="74">
        <v>24</v>
      </c>
      <c r="W26" s="74">
        <v>24</v>
      </c>
      <c r="X26" s="74">
        <v>37</v>
      </c>
      <c r="Y26" s="74">
        <v>21</v>
      </c>
      <c r="Z26" s="175"/>
      <c r="AA26" s="176"/>
      <c r="AB26" s="176"/>
      <c r="AC26" s="176"/>
      <c r="AD26" s="176"/>
      <c r="AE26" s="17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1" ph="1">
        <v>0.66666666666666663</v>
      </c>
      <c r="C27" s="145" t="s" ph="1">
        <v>180</v>
      </c>
      <c r="D27" s="71">
        <v>7.17</v>
      </c>
      <c r="E27" s="71">
        <v>5.4</v>
      </c>
      <c r="F27" s="71">
        <v>3431</v>
      </c>
      <c r="G27" s="71">
        <v>1438</v>
      </c>
      <c r="H27" s="71">
        <v>37</v>
      </c>
      <c r="I27" s="71">
        <v>0</v>
      </c>
      <c r="J27" s="71">
        <v>867</v>
      </c>
      <c r="K27" s="71">
        <v>577</v>
      </c>
      <c r="L27" s="71">
        <v>463</v>
      </c>
      <c r="M27" s="71">
        <v>3683</v>
      </c>
      <c r="N27" s="71">
        <v>4949</v>
      </c>
      <c r="O27" s="71">
        <v>5721</v>
      </c>
      <c r="P27" s="71">
        <v>330</v>
      </c>
      <c r="Q27" s="90">
        <v>2984</v>
      </c>
      <c r="R27" s="71">
        <v>1715</v>
      </c>
      <c r="S27" s="71">
        <v>4324</v>
      </c>
      <c r="T27" s="71">
        <v>376</v>
      </c>
      <c r="U27" s="71">
        <v>2850</v>
      </c>
      <c r="V27" s="71">
        <v>8496</v>
      </c>
      <c r="W27" s="71">
        <v>11205</v>
      </c>
      <c r="X27" s="71">
        <v>6354</v>
      </c>
      <c r="Y27" s="71">
        <v>2378</v>
      </c>
      <c r="Z27" s="175"/>
      <c r="AA27" s="176"/>
      <c r="AB27" s="176"/>
      <c r="AC27" s="176"/>
      <c r="AD27" s="176"/>
      <c r="AE27" s="17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1" ph="1"/>
      <c r="C28" s="145" t="s" ph="1">
        <v>178</v>
      </c>
      <c r="D28" s="91" ph="1">
        <f>D27*268.68*LOOKUP(D29,密度!$A$2:$A$50,密度!$Q$2:$Q$50)+IF(D27&lt;=0,0,1566*LOOKUP(D29,密度!$A$2:$A$50,密度!$Q$2:$Q$50))</f>
        <v>3306.4284799440002</v>
      </c>
      <c r="E28" s="91" ph="1">
        <f>E27*268.68*LOOKUP(E29,密度!$A$2:$A$50,密度!$C$2:$C$50)+IF(E27&lt;=0,0,1566*LOOKUP(E29,密度!$A$2:$A$50,密度!$C$2:$C$50))</f>
        <v>3345.4093608000003</v>
      </c>
      <c r="F28" s="91" ph="1">
        <f>F27*11.702*LOOKUP(F29,密度!$A$2:$A$50,密度!$Q$2:$Q$50)</f>
        <v>37982.690138860002</v>
      </c>
      <c r="G28" s="91" ph="1">
        <f>G27*18.322*LOOKUP(G29,密度!$A$2:$A$50,密度!$B$2:$B$50)</f>
        <v>20471.646972000002</v>
      </c>
      <c r="H28" s="91" ph="1">
        <f>H27*18.322*LOOKUP(H29,密度!$A$2:$A$50,密度!$B$2:$B$50)</f>
        <v>527.89163179999991</v>
      </c>
      <c r="I28" s="91" ph="1">
        <f>I27*18.322*LOOKUP(I29,密度!$A$2:$A$50,密度!$Q$2:$Q$50)</f>
        <v>0</v>
      </c>
      <c r="J28" s="91" ph="1">
        <f>J27*18.322*LOOKUP(J29,密度!$A$2:$A$50,密度!$Q$2:$Q$50)</f>
        <v>15039.129632759999</v>
      </c>
      <c r="K28" s="91" ph="1">
        <f>K27*18.322*LOOKUP(K29,密度!$A$2:$A$50,密度!$Q$2:$Q$50)</f>
        <v>9986.3280482800001</v>
      </c>
      <c r="L28" s="91" ph="1">
        <f>L27*18.322*LOOKUP(L29,密度!$A$2:$A$50,密度!$Q$2:$Q$50)</f>
        <v>8013.2926973199992</v>
      </c>
      <c r="M28" s="91" ph="1">
        <f>M27*18.322*LOOKUP(M29,密度!$A$2:$A$50,密度!$Q$2:$Q$50)</f>
        <v>63935.205487219995</v>
      </c>
      <c r="N28" s="91" ph="1">
        <f>N27*18.322*LOOKUP(N29,密度!$A$2:$A$50,密度!$Q$2:$Q$50)</f>
        <v>86113.689670819993</v>
      </c>
      <c r="O28" s="91" ph="1">
        <f>O27*18.322*LOOKUP(O29,密度!$A$2:$A$50,密度!$C$2:$C$50)</f>
        <v>116549.53812780001</v>
      </c>
      <c r="P28" s="91" ph="1">
        <f>P27*11.702*LOOKUP(P29,密度!$A$2:$A$50,密度!$B$2:$B$50)</f>
        <v>2993.9449979999999</v>
      </c>
      <c r="Q28" s="92" ph="1">
        <f>Q27*18.322*LOOKUP(Q29,密度!$A$2:$A$50,密度!$B$2:$B$50)</f>
        <v>42672.157863999993</v>
      </c>
      <c r="R28" s="91" ph="1">
        <f>R27*35.891*LOOKUP(R29,密度!$A$2:$A$50,密度!$C$2:$C$50)</f>
        <v>68299.280923999992</v>
      </c>
      <c r="S28" s="91" ph="1">
        <f>S27*35.891*LOOKUP(S29,密度!$A$2:$A$50,密度!$B$2:$B$50)</f>
        <v>120848.54303079998</v>
      </c>
      <c r="T28" s="91" ph="1">
        <f>T27*35.891*LOOKUP(T29,密度!$A$2:$A$50,密度!$Q$2:$Q$50)</f>
        <v>12738.35045288</v>
      </c>
      <c r="U28" s="91" ph="1">
        <f>U27*35.891</f>
        <v>102289.34999999999</v>
      </c>
      <c r="V28" s="91" ph="1">
        <f>V27*47.051*LOOKUP(V29,密度!$A$2:$A$50,密度!$B$2:$B$50)</f>
        <v>312001.20352800004</v>
      </c>
      <c r="W28" s="91" ph="1">
        <f>W27*47.051*LOOKUP(W29,密度!$A$2:$A$50,密度!$B$2:$B$50)</f>
        <v>411484.63812750002</v>
      </c>
      <c r="X28" s="91" ph="1">
        <f>X27*47.051*LOOKUP(X29,密度!$A$2:$A$61,密度!$I$2:$I$61)</f>
        <v>307273.19910120004</v>
      </c>
      <c r="Y28" s="91" ph="1">
        <f>Y27*47.051*LOOKUP(Y29,密度!$A$2:$A$50,密度!$L$2:$L$50)</f>
        <v>104726.49220800001</v>
      </c>
      <c r="Z28" s="175"/>
      <c r="AA28" s="176"/>
      <c r="AB28" s="176"/>
      <c r="AC28" s="176"/>
      <c r="AD28" s="176"/>
      <c r="AE28" s="17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1" ph="1"/>
      <c r="C29" s="145" t="s" ph="1">
        <v>179</v>
      </c>
      <c r="D29" s="74">
        <v>25</v>
      </c>
      <c r="E29" s="74">
        <v>25</v>
      </c>
      <c r="F29" s="74">
        <v>26</v>
      </c>
      <c r="G29" s="74">
        <v>28</v>
      </c>
      <c r="H29" s="74">
        <v>26</v>
      </c>
      <c r="I29" s="74">
        <v>24</v>
      </c>
      <c r="J29" s="74">
        <v>25</v>
      </c>
      <c r="K29" s="74">
        <v>28</v>
      </c>
      <c r="L29" s="74">
        <v>28</v>
      </c>
      <c r="M29" s="74">
        <v>24</v>
      </c>
      <c r="N29" s="74">
        <v>21</v>
      </c>
      <c r="O29" s="74">
        <v>21</v>
      </c>
      <c r="P29" s="74">
        <v>30</v>
      </c>
      <c r="Q29" s="93">
        <v>24</v>
      </c>
      <c r="R29" s="74">
        <v>24</v>
      </c>
      <c r="S29" s="74">
        <v>26</v>
      </c>
      <c r="T29" s="74">
        <v>29</v>
      </c>
      <c r="U29" s="74">
        <v>28</v>
      </c>
      <c r="V29" s="74">
        <v>24</v>
      </c>
      <c r="W29" s="74">
        <v>24</v>
      </c>
      <c r="X29" s="74">
        <v>38</v>
      </c>
      <c r="Y29" s="74">
        <v>26</v>
      </c>
      <c r="Z29" s="178"/>
      <c r="AA29" s="179"/>
      <c r="AB29" s="179"/>
      <c r="AC29" s="179"/>
      <c r="AD29" s="179"/>
      <c r="AE29" s="18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4" t="s" ph="1">
        <v>35</v>
      </c>
      <c r="C31" s="195" ph="1"/>
      <c r="D31" s="198" t="s" ph="1">
        <v>9</v>
      </c>
      <c r="E31" s="187" ph="1"/>
      <c r="F31" s="188" ph="1"/>
      <c r="G31" s="198" t="s" ph="1">
        <v>18</v>
      </c>
      <c r="H31" s="187" ph="1"/>
      <c r="I31" s="188" ph="1"/>
      <c r="J31" s="186" t="s" ph="1">
        <v>1</v>
      </c>
      <c r="K31" s="187" ph="1"/>
      <c r="L31" s="188" ph="1"/>
      <c r="M31" s="186" t="s" ph="1">
        <v>7</v>
      </c>
      <c r="N31" s="187" ph="1"/>
      <c r="O31" s="188" ph="1"/>
      <c r="P31" s="186" t="s" ph="1">
        <v>41</v>
      </c>
      <c r="Q31" s="187"/>
      <c r="R31" s="188"/>
      <c r="S31" s="186" t="s" ph="1">
        <v>2</v>
      </c>
      <c r="T31" s="187"/>
      <c r="U31" s="188"/>
      <c r="V31" s="186" t="s" ph="1">
        <v>71</v>
      </c>
      <c r="W31" s="187" ph="1"/>
      <c r="X31" s="188" ph="1"/>
      <c r="Y31" s="186" t="s" ph="1">
        <v>3</v>
      </c>
      <c r="Z31" s="187" ph="1"/>
      <c r="AA31" s="188" ph="1"/>
      <c r="AB31" s="209" t="s">
        <v>42</v>
      </c>
      <c r="AC31" s="210"/>
      <c r="AD31" s="210"/>
      <c r="AE31" s="211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6" ph="1"/>
      <c r="C32" s="197" ph="1"/>
      <c r="D32" s="96" t="s" ph="1">
        <v>4</v>
      </c>
      <c r="E32" s="145" t="s" ph="1">
        <v>5</v>
      </c>
      <c r="F32" s="146" t="s" ph="1">
        <v>43</v>
      </c>
      <c r="G32" s="97" t="s" ph="1">
        <v>4</v>
      </c>
      <c r="H32" s="145" t="s" ph="1">
        <v>5</v>
      </c>
      <c r="I32" s="146" t="s" ph="1">
        <v>43</v>
      </c>
      <c r="J32" s="97" t="s" ph="1">
        <v>4</v>
      </c>
      <c r="K32" s="145" t="s" ph="1">
        <v>5</v>
      </c>
      <c r="L32" s="146" t="s" ph="1">
        <v>43</v>
      </c>
      <c r="M32" s="97" t="s" ph="1">
        <v>4</v>
      </c>
      <c r="N32" s="145" t="s" ph="1">
        <v>5</v>
      </c>
      <c r="O32" s="146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5" t="s" ph="1">
        <v>5</v>
      </c>
      <c r="U32" s="99" t="s" ph="1">
        <v>43</v>
      </c>
      <c r="V32" s="97" t="s" ph="1">
        <v>4</v>
      </c>
      <c r="W32" s="145" t="s" ph="1">
        <v>5</v>
      </c>
      <c r="X32" s="99" t="s" ph="1">
        <v>43</v>
      </c>
      <c r="Y32" s="100" t="s" ph="1">
        <v>4</v>
      </c>
      <c r="Z32" s="145" t="s" ph="1">
        <v>5</v>
      </c>
      <c r="AA32" s="146" t="s" ph="1">
        <v>43</v>
      </c>
      <c r="AB32" s="97" t="s" ph="1">
        <v>85</v>
      </c>
      <c r="AC32" s="145" t="s" ph="1">
        <v>84</v>
      </c>
      <c r="AD32" s="212" t="s" ph="1">
        <v>83</v>
      </c>
      <c r="AE32" s="213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199" t="s" ph="1">
        <v>181</v>
      </c>
      <c r="C33" s="200" ph="1"/>
      <c r="D33" s="203" ph="1">
        <f>AA10+AB10+Z19</f>
        <v>201734.97696519998</v>
      </c>
      <c r="E33" s="203" ph="1">
        <f>M10+I10</f>
        <v>44089.508729199995</v>
      </c>
      <c r="F33" s="20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1522252632456786910111213141516171819202123456789101112131415161718192022232424356789101112131415161718192021222345678910111213141516171819202345678910111213149101516171819222123234567891012131415161711181920212224252345678910111213133[[#This Row],[F25]]</f>
        <v>3880</v>
      </c>
      <c r="G33" s="207" ph="1">
        <f>N19</f>
        <v>22227.369705540001</v>
      </c>
      <c r="H33" s="203" ph="1">
        <f>M19</f>
        <v>48317.008955800004</v>
      </c>
      <c r="I33" s="216" ph="1">
        <v>0</v>
      </c>
      <c r="J33" s="214" ph="1">
        <f>F10+O28</f>
        <v>349545.59195819998</v>
      </c>
      <c r="K33" s="203" ph="1">
        <f>O10+K10+E28+R28</f>
        <v>89349.092826399996</v>
      </c>
      <c r="L33" s="218" ph="1">
        <f>K19</f>
        <v>36050.608972400005</v>
      </c>
      <c r="M33" s="214" ph="1">
        <f>G10+H10+W28+S28+V28+E10+R19+P28+Q28</f>
        <v>1877952.7923101401</v>
      </c>
      <c r="N33" s="203" ph="1">
        <f>L10+P10++G28+H28+AD19+AE19</f>
        <v>56253.492161000009</v>
      </c>
      <c r="O33" s="216" ph="1">
        <f>G19</f>
        <v>27643.72167024</v>
      </c>
      <c r="P33" s="214" ph="1">
        <f>L19</f>
        <v>35280.393222800005</v>
      </c>
      <c r="Q33" s="203" ph="1">
        <f>J10+N10</f>
        <v>18093.547399800002</v>
      </c>
      <c r="R33" s="216" ph="1">
        <f>BE23</f>
        <v>890</v>
      </c>
      <c r="S33" s="214" ph="1">
        <f>X28</f>
        <v>307273.19910120004</v>
      </c>
      <c r="T33" s="203" ph="1">
        <f>X19</f>
        <v>5602.1895027999999</v>
      </c>
      <c r="U33" s="224" ph="1">
        <f>BE21</f>
        <v>730</v>
      </c>
      <c r="V33" s="235" ph="1">
        <f ca="1">P19+Q19+S19+M28+N28+J28+D10+AC10+D19+E19+H19+J19+O19+V19+W19+K28+L28</f>
        <v>716940.46237566997</v>
      </c>
      <c r="W33" s="235" ph="1">
        <f>D28+F28+T28+I28</f>
        <v>54027.469071683998</v>
      </c>
      <c r="X33" s="216" ph="1">
        <f>BE29+BE31</f>
        <v>10200</v>
      </c>
      <c r="Y33" s="237" ph="1">
        <f>+Q10+R10+S10+T10+U10+V10+W10+X10+Y10</f>
        <v>164971.9560258</v>
      </c>
      <c r="Z33" s="222" ph="1">
        <f>T19+U19+Y28+Z10</f>
        <v>299293.91906340001</v>
      </c>
      <c r="AA33" s="224" ph="1">
        <f>BE19</f>
        <v>1440</v>
      </c>
      <c r="AB33" s="226" ph="1">
        <f>I19</f>
        <v>50605.450658400005</v>
      </c>
      <c r="AC33" s="228" ph="1">
        <f>AD10+AB19</f>
        <v>134749.536998</v>
      </c>
      <c r="AD33" s="230" ph="1">
        <v>0</v>
      </c>
      <c r="AE33" s="231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1" ph="1"/>
      <c r="C34" s="202" ph="1"/>
      <c r="D34" s="204" ph="1"/>
      <c r="E34" s="204" ph="1"/>
      <c r="F34" s="206" ph="1"/>
      <c r="G34" s="208" ph="1"/>
      <c r="H34" s="204" ph="1"/>
      <c r="I34" s="217" ph="1"/>
      <c r="J34" s="215" ph="1"/>
      <c r="K34" s="204" ph="1"/>
      <c r="L34" s="219" ph="1"/>
      <c r="M34" s="215" ph="1"/>
      <c r="N34" s="204" ph="1"/>
      <c r="O34" s="217" ph="1"/>
      <c r="P34" s="215" ph="1"/>
      <c r="Q34" s="204" ph="1"/>
      <c r="R34" s="217" ph="1"/>
      <c r="S34" s="215" ph="1"/>
      <c r="T34" s="204"/>
      <c r="U34" s="225"/>
      <c r="V34" s="236" ph="1"/>
      <c r="W34" s="236" ph="1"/>
      <c r="X34" s="217" ph="1"/>
      <c r="Y34" s="238" ph="1"/>
      <c r="Z34" s="223" ph="1"/>
      <c r="AA34" s="225" ph="1"/>
      <c r="AB34" s="227"/>
      <c r="AC34" s="229"/>
      <c r="AD34" s="232"/>
      <c r="AE34" s="233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4" t="s" ph="1">
        <v>631</v>
      </c>
      <c r="AD35" s="234"/>
      <c r="AE35" s="234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0" t="s" ph="1">
        <v>183</v>
      </c>
      <c r="J36" s="220" ph="1"/>
      <c r="K36" s="101" ph="1"/>
      <c r="P36" s="101" ph="1"/>
      <c r="R36" s="220" t="s" ph="1">
        <v>184</v>
      </c>
      <c r="S36" s="220" ph="1"/>
      <c r="Y36" s="102" ph="1"/>
      <c r="Z36" s="147" t="s" ph="1">
        <v>185</v>
      </c>
      <c r="AA36" s="147" ph="1"/>
      <c r="AB36" s="221" t="s" ph="1">
        <v>638</v>
      </c>
      <c r="AC36" s="221" ph="1"/>
      <c r="AD36" s="221" ph="1"/>
      <c r="AE36" s="221" ph="1"/>
      <c r="BA36" s="64" ph="1">
        <v>2270</v>
      </c>
    </row>
    <row r="37" spans="1:57" s="147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7" t="s" ph="1">
        <v>342</v>
      </c>
      <c r="AI37" s="147" t="s" ph="1">
        <v>209</v>
      </c>
      <c r="AJ37" s="147" t="s" ph="1">
        <v>210</v>
      </c>
      <c r="AK37" s="147" t="s" ph="1">
        <v>211</v>
      </c>
      <c r="AM37" s="147" t="s" ph="1">
        <v>210</v>
      </c>
      <c r="AN37" s="147" t="s" ph="1">
        <v>211</v>
      </c>
      <c r="AO37" s="147" t="s" ph="1">
        <v>212</v>
      </c>
      <c r="AP37" s="147" t="s" ph="1">
        <v>210</v>
      </c>
      <c r="AQ37" s="147" t="s" ph="1">
        <v>211</v>
      </c>
      <c r="AR37" s="147" t="s" ph="1">
        <v>212</v>
      </c>
      <c r="AS37" s="147" t="s" ph="1">
        <v>210</v>
      </c>
      <c r="AT37" s="147" t="s" ph="1">
        <v>211</v>
      </c>
      <c r="AU37" s="147" t="s" ph="1">
        <v>212</v>
      </c>
      <c r="AV37" s="147" t="s" ph="1">
        <v>210</v>
      </c>
      <c r="AW37" s="147" t="s" ph="1">
        <v>211</v>
      </c>
      <c r="AX37" s="147" t="s" ph="1">
        <v>212</v>
      </c>
      <c r="AY37" s="147" t="s" ph="1">
        <v>211</v>
      </c>
      <c r="AZ37" s="147" t="s" ph="1">
        <v>213</v>
      </c>
      <c r="BD37" s="147" t="s" ph="1">
        <v>305</v>
      </c>
      <c r="BE37" s="147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729" priority="100">
      <formula>ABS(D$7-D$10)&gt;=1000</formula>
    </cfRule>
  </conditionalFormatting>
  <conditionalFormatting sqref="E4 E6:E11">
    <cfRule type="expression" dxfId="2728" priority="99">
      <formula>ABS(E$7-E$10)&gt;=1000</formula>
    </cfRule>
  </conditionalFormatting>
  <conditionalFormatting sqref="F4:F11">
    <cfRule type="expression" dxfId="2727" priority="98">
      <formula>ABS(F$7-F$10)&gt;=1000</formula>
    </cfRule>
  </conditionalFormatting>
  <conditionalFormatting sqref="G4:G11">
    <cfRule type="expression" dxfId="2726" priority="97">
      <formula>ABS(G$7-G$10)&gt;=1000</formula>
    </cfRule>
  </conditionalFormatting>
  <conditionalFormatting sqref="H4:H11">
    <cfRule type="expression" dxfId="2725" priority="96">
      <formula>ABS(H$7-H$10)&gt;=1000</formula>
    </cfRule>
  </conditionalFormatting>
  <conditionalFormatting sqref="I4:I11">
    <cfRule type="expression" dxfId="2724" priority="95">
      <formula>ABS(I$7-I$10)&gt;=1000</formula>
    </cfRule>
  </conditionalFormatting>
  <conditionalFormatting sqref="J4:J11">
    <cfRule type="expression" dxfId="2723" priority="94">
      <formula>ABS(J$7-J$10)&gt;=1000</formula>
    </cfRule>
  </conditionalFormatting>
  <conditionalFormatting sqref="K4:K11">
    <cfRule type="expression" dxfId="2722" priority="93">
      <formula>ABS(K$7-K$10)&gt;=1000</formula>
    </cfRule>
  </conditionalFormatting>
  <conditionalFormatting sqref="L4:L11">
    <cfRule type="expression" dxfId="2721" priority="92">
      <formula>ABS(L$7-L$10)&gt;=1000</formula>
    </cfRule>
  </conditionalFormatting>
  <conditionalFormatting sqref="M4 M6:M11">
    <cfRule type="expression" dxfId="2720" priority="91">
      <formula>ABS(M$7-M$10)&gt;=1000</formula>
    </cfRule>
  </conditionalFormatting>
  <conditionalFormatting sqref="N4 N6:N11">
    <cfRule type="expression" dxfId="2719" priority="90">
      <formula>ABS(N$7-N$10)&gt;=1000</formula>
    </cfRule>
  </conditionalFormatting>
  <conditionalFormatting sqref="O4 O6:O11">
    <cfRule type="expression" dxfId="2718" priority="89">
      <formula>ABS(O$7-O$10)&gt;=1000</formula>
    </cfRule>
  </conditionalFormatting>
  <conditionalFormatting sqref="P4 P6:P11">
    <cfRule type="expression" dxfId="2717" priority="88">
      <formula>ABS(P$7-P$10)&gt;=1000</formula>
    </cfRule>
  </conditionalFormatting>
  <conditionalFormatting sqref="Q4:Q11">
    <cfRule type="expression" dxfId="2716" priority="87">
      <formula>ABS(Q$7-Q$10)&gt;=1000</formula>
    </cfRule>
  </conditionalFormatting>
  <conditionalFormatting sqref="R4:R11">
    <cfRule type="expression" dxfId="2715" priority="86">
      <formula>ABS(R$7-R$10)&gt;=1000</formula>
    </cfRule>
  </conditionalFormatting>
  <conditionalFormatting sqref="S4:S11">
    <cfRule type="expression" dxfId="2714" priority="85">
      <formula>ABS(S$7-S$10)&gt;=1000</formula>
    </cfRule>
  </conditionalFormatting>
  <conditionalFormatting sqref="T4:T9 T11">
    <cfRule type="expression" dxfId="2713" priority="84">
      <formula>ABS(T$7-T$10)&gt;=1000</formula>
    </cfRule>
  </conditionalFormatting>
  <conditionalFormatting sqref="U4:U9 U11">
    <cfRule type="expression" dxfId="2712" priority="83">
      <formula>ABS(U$7-U$10)&gt;=1000</formula>
    </cfRule>
  </conditionalFormatting>
  <conditionalFormatting sqref="V4:V9 V11">
    <cfRule type="expression" dxfId="2711" priority="82">
      <formula>ABS(V$7-V$10)&gt;=1000</formula>
    </cfRule>
  </conditionalFormatting>
  <conditionalFormatting sqref="W4:W9 W11">
    <cfRule type="expression" dxfId="2710" priority="81">
      <formula>ABS(W$7-W$10)&gt;=1000</formula>
    </cfRule>
  </conditionalFormatting>
  <conditionalFormatting sqref="X4:X9 X11">
    <cfRule type="expression" dxfId="2709" priority="80">
      <formula>ABS(X$7-X$10)&gt;=1000</formula>
    </cfRule>
  </conditionalFormatting>
  <conditionalFormatting sqref="Y4:Y9 Y11">
    <cfRule type="expression" dxfId="2708" priority="79">
      <formula>ABS(Y$7-Y$10)&gt;=1000</formula>
    </cfRule>
  </conditionalFormatting>
  <conditionalFormatting sqref="Z4:Z11">
    <cfRule type="expression" dxfId="2707" priority="78">
      <formula>ABS(Z$7-Z$10)&gt;=1000</formula>
    </cfRule>
  </conditionalFormatting>
  <conditionalFormatting sqref="AA4:AA11">
    <cfRule type="expression" dxfId="2706" priority="77">
      <formula>ABS(AA$7-AA$10)&gt;=1000</formula>
    </cfRule>
  </conditionalFormatting>
  <conditionalFormatting sqref="AB4:AB11">
    <cfRule type="expression" dxfId="2705" priority="76">
      <formula>ABS(AB$7-AB$10)&gt;=1000</formula>
    </cfRule>
  </conditionalFormatting>
  <conditionalFormatting sqref="AC4 AC6:AC11">
    <cfRule type="expression" dxfId="2704" priority="75">
      <formula>ABS(AC$7-AC$10)&gt;=1000</formula>
    </cfRule>
  </conditionalFormatting>
  <conditionalFormatting sqref="AD4 AD6:AD11">
    <cfRule type="expression" dxfId="2703" priority="74">
      <formula>ABS(AD$7-AD$10)&gt;=1000</formula>
    </cfRule>
  </conditionalFormatting>
  <conditionalFormatting sqref="AE4 AE6:AE11">
    <cfRule type="expression" dxfId="2702" priority="73">
      <formula>ABS(AE$7-AE$10)&gt;=1000</formula>
    </cfRule>
  </conditionalFormatting>
  <conditionalFormatting sqref="D13:D20">
    <cfRule type="expression" dxfId="2701" priority="72">
      <formula>ABS(D$16-D$19)&gt;=1000</formula>
    </cfRule>
  </conditionalFormatting>
  <conditionalFormatting sqref="E13:E20">
    <cfRule type="expression" dxfId="2700" priority="71">
      <formula>ABS(E$16-E$19)&gt;=1000</formula>
    </cfRule>
  </conditionalFormatting>
  <conditionalFormatting sqref="F13 F15:F20">
    <cfRule type="expression" dxfId="2699" priority="70">
      <formula>ABS(F$16-F$19)&gt;=1000</formula>
    </cfRule>
  </conditionalFormatting>
  <conditionalFormatting sqref="G13:G20">
    <cfRule type="expression" dxfId="2698" priority="69">
      <formula>ABS(G$16-G$19)&gt;=1000</formula>
    </cfRule>
  </conditionalFormatting>
  <conditionalFormatting sqref="H13 H15:H20">
    <cfRule type="expression" dxfId="2697" priority="68">
      <formula>ABS(H$16-H$19)&gt;=1000</formula>
    </cfRule>
  </conditionalFormatting>
  <conditionalFormatting sqref="I13:I20">
    <cfRule type="expression" dxfId="2696" priority="67">
      <formula>ABS(I$16-I$19)&gt;=1000</formula>
    </cfRule>
  </conditionalFormatting>
  <conditionalFormatting sqref="J13:J20">
    <cfRule type="expression" dxfId="2695" priority="66">
      <formula>ABS(J$16-J$19)&gt;=1000</formula>
    </cfRule>
  </conditionalFormatting>
  <conditionalFormatting sqref="L13:L20">
    <cfRule type="expression" dxfId="2694" priority="65">
      <formula>ABS(L$16-L$19)&gt;=1000</formula>
    </cfRule>
  </conditionalFormatting>
  <conditionalFormatting sqref="M13 M15 M17:M18 M20">
    <cfRule type="expression" dxfId="2693" priority="64">
      <formula>ABS(M$16-M$19)&gt;=1000</formula>
    </cfRule>
  </conditionalFormatting>
  <conditionalFormatting sqref="N13:N20">
    <cfRule type="expression" dxfId="2692" priority="63">
      <formula>ABS(N$16-N$19)&gt;=1000</formula>
    </cfRule>
  </conditionalFormatting>
  <conditionalFormatting sqref="O13:O20">
    <cfRule type="expression" dxfId="2691" priority="62">
      <formula>ABS(O$16-O$19)&gt;=1000</formula>
    </cfRule>
  </conditionalFormatting>
  <conditionalFormatting sqref="P13:P20">
    <cfRule type="expression" dxfId="2690" priority="61">
      <formula>ABS(P$16-P$19)&gt;=1000</formula>
    </cfRule>
  </conditionalFormatting>
  <conditionalFormatting sqref="Q13 Q15:Q20">
    <cfRule type="expression" dxfId="2689" priority="60">
      <formula>ABS(Q$16-Q$19)&gt;=1000</formula>
    </cfRule>
  </conditionalFormatting>
  <conditionalFormatting sqref="R13:R20">
    <cfRule type="expression" dxfId="2688" priority="59">
      <formula>ABS(R$16-R$19)&gt;=1000</formula>
    </cfRule>
  </conditionalFormatting>
  <conditionalFormatting sqref="S13:S20">
    <cfRule type="expression" dxfId="2687" priority="58">
      <formula>ABS(S$16-S$19)&gt;=1000</formula>
    </cfRule>
  </conditionalFormatting>
  <conditionalFormatting sqref="T13:T20">
    <cfRule type="expression" dxfId="2686" priority="57">
      <formula>ABS(T$16-T$19)&gt;=1000</formula>
    </cfRule>
  </conditionalFormatting>
  <conditionalFormatting sqref="U13:U20">
    <cfRule type="expression" dxfId="2685" priority="56">
      <formula>ABS(U$16-U$19)&gt;=1000</formula>
    </cfRule>
  </conditionalFormatting>
  <conditionalFormatting sqref="V13:V20">
    <cfRule type="expression" dxfId="2684" priority="55">
      <formula>ABS(V$16-V$19)&gt;=1000</formula>
    </cfRule>
  </conditionalFormatting>
  <conditionalFormatting sqref="W13 W20 W15:W18">
    <cfRule type="expression" dxfId="2683" priority="54">
      <formula>ABS(W$16-W$19)&gt;=1000</formula>
    </cfRule>
  </conditionalFormatting>
  <conditionalFormatting sqref="X13 X15:X20 Y19">
    <cfRule type="expression" dxfId="2682" priority="53">
      <formula>ABS(X$16-X$19)&gt;=1000</formula>
    </cfRule>
  </conditionalFormatting>
  <conditionalFormatting sqref="Y13 Y15:Y18 Y20">
    <cfRule type="expression" dxfId="2681" priority="52">
      <formula>ABS(Y$16-Y$19)&gt;=1000</formula>
    </cfRule>
  </conditionalFormatting>
  <conditionalFormatting sqref="Z13:Z20">
    <cfRule type="expression" dxfId="2680" priority="51">
      <formula>ABS(Z$16-Z$19)&gt;=1000</formula>
    </cfRule>
  </conditionalFormatting>
  <conditionalFormatting sqref="AA13:AA20">
    <cfRule type="expression" dxfId="2679" priority="50">
      <formula>ABS(AA$16-AA$19)&gt;=1000</formula>
    </cfRule>
  </conditionalFormatting>
  <conditionalFormatting sqref="AB13 AB15:AB20">
    <cfRule type="expression" dxfId="2678" priority="49">
      <formula>ABS(AB$16-AB$19)&gt;=1000</formula>
    </cfRule>
  </conditionalFormatting>
  <conditionalFormatting sqref="AC13 AC15:AC20">
    <cfRule type="expression" dxfId="2677" priority="48">
      <formula>ABS(AC$16-AC$19)&gt;=1000</formula>
    </cfRule>
  </conditionalFormatting>
  <conditionalFormatting sqref="AD13:AD20">
    <cfRule type="expression" dxfId="2676" priority="47">
      <formula>ABS(AD$16-AD$19)&gt;=1000</formula>
    </cfRule>
  </conditionalFormatting>
  <conditionalFormatting sqref="AE13:AE20">
    <cfRule type="expression" dxfId="2675" priority="46">
      <formula>ABS(AE$16-AE$19)&gt;=1000</formula>
    </cfRule>
  </conditionalFormatting>
  <conditionalFormatting sqref="D22:D29">
    <cfRule type="expression" dxfId="2674" priority="45">
      <formula>ABS(D$25-D$28)&gt;=1000</formula>
    </cfRule>
  </conditionalFormatting>
  <conditionalFormatting sqref="E22:E29">
    <cfRule type="expression" dxfId="2673" priority="44">
      <formula>ABS(E$25-E$28)&gt;=1000</formula>
    </cfRule>
  </conditionalFormatting>
  <conditionalFormatting sqref="F22:F29">
    <cfRule type="expression" dxfId="2672" priority="43">
      <formula>ABS(F$25-F$28)&gt;=1000</formula>
    </cfRule>
  </conditionalFormatting>
  <conditionalFormatting sqref="G22:G29">
    <cfRule type="expression" dxfId="2671" priority="42">
      <formula>ABS(G$25-G$28)&gt;=1000</formula>
    </cfRule>
  </conditionalFormatting>
  <conditionalFormatting sqref="H22:H29">
    <cfRule type="expression" dxfId="2670" priority="41">
      <formula>ABS(H$25-H$28)&gt;=1000</formula>
    </cfRule>
  </conditionalFormatting>
  <conditionalFormatting sqref="I22 I24:I29">
    <cfRule type="expression" dxfId="2669" priority="40">
      <formula>ABS(I$25-I$28)&gt;=1000</formula>
    </cfRule>
  </conditionalFormatting>
  <conditionalFormatting sqref="J22:J29 K22">
    <cfRule type="expression" dxfId="2668" priority="39">
      <formula>ABS(J$25-J$28)&gt;=1000</formula>
    </cfRule>
  </conditionalFormatting>
  <conditionalFormatting sqref="K23:K29 L25 L28">
    <cfRule type="expression" dxfId="2667" priority="38">
      <formula>ABS(K$25-K$28)&gt;=1000</formula>
    </cfRule>
  </conditionalFormatting>
  <conditionalFormatting sqref="L22 L26:L27 L29 L24">
    <cfRule type="expression" dxfId="2666" priority="37">
      <formula>ABS(L$25-L$28)&gt;=1000</formula>
    </cfRule>
  </conditionalFormatting>
  <conditionalFormatting sqref="M22:M29">
    <cfRule type="expression" dxfId="2665" priority="36">
      <formula>ABS(M$25-M$28)&gt;=1000</formula>
    </cfRule>
  </conditionalFormatting>
  <conditionalFormatting sqref="N22:N29">
    <cfRule type="expression" dxfId="2664" priority="35">
      <formula>ABS(N$25-N$28)&gt;=1000</formula>
    </cfRule>
  </conditionalFormatting>
  <conditionalFormatting sqref="O22:O29">
    <cfRule type="expression" dxfId="2663" priority="34">
      <formula>ABS(O$25-O$28)&gt;=1000</formula>
    </cfRule>
  </conditionalFormatting>
  <conditionalFormatting sqref="P22:P29">
    <cfRule type="expression" dxfId="2662" priority="33">
      <formula>ABS(P$25-P$28)&gt;=1000</formula>
    </cfRule>
  </conditionalFormatting>
  <conditionalFormatting sqref="Q22:Q29">
    <cfRule type="expression" dxfId="2661" priority="32">
      <formula>ABS(Q$25-Q$28)&gt;=1000</formula>
    </cfRule>
  </conditionalFormatting>
  <conditionalFormatting sqref="R22:R29">
    <cfRule type="expression" dxfId="2660" priority="31">
      <formula>ABS(R$25-R$28)&gt;=1000</formula>
    </cfRule>
  </conditionalFormatting>
  <conditionalFormatting sqref="S22:S29">
    <cfRule type="expression" dxfId="2659" priority="30">
      <formula>ABS(S$25-S$28)&gt;=1000</formula>
    </cfRule>
  </conditionalFormatting>
  <conditionalFormatting sqref="T22:T29">
    <cfRule type="expression" dxfId="2658" priority="29">
      <formula>ABS(T$25-T$28)&gt;=1000</formula>
    </cfRule>
  </conditionalFormatting>
  <conditionalFormatting sqref="U22:U29">
    <cfRule type="expression" dxfId="2657" priority="28">
      <formula>ABS(U$25-U$28)&gt;=1000</formula>
    </cfRule>
  </conditionalFormatting>
  <conditionalFormatting sqref="V22:V29">
    <cfRule type="expression" dxfId="2656" priority="27">
      <formula>ABS(V$25-V$28)&gt;=1000</formula>
    </cfRule>
  </conditionalFormatting>
  <conditionalFormatting sqref="W22:W29">
    <cfRule type="expression" dxfId="2655" priority="26">
      <formula>ABS(W$25-W$28)&gt;=1000</formula>
    </cfRule>
  </conditionalFormatting>
  <conditionalFormatting sqref="X22:X29">
    <cfRule type="expression" dxfId="2654" priority="25">
      <formula>ABS(X$25-X$28)&gt;=1000</formula>
    </cfRule>
  </conditionalFormatting>
  <conditionalFormatting sqref="Y22:Y29">
    <cfRule type="expression" dxfId="2653" priority="24">
      <formula>ABS(Y$25-Y$28)&gt;=1000</formula>
    </cfRule>
  </conditionalFormatting>
  <conditionalFormatting sqref="I23">
    <cfRule type="expression" dxfId="2652" priority="23">
      <formula>ABS(I$25-I$28)&gt;=1000</formula>
    </cfRule>
  </conditionalFormatting>
  <conditionalFormatting sqref="Q14">
    <cfRule type="expression" dxfId="2651" priority="22">
      <formula>ABS(Q$16-Q$19)&gt;=1000</formula>
    </cfRule>
  </conditionalFormatting>
  <conditionalFormatting sqref="W14">
    <cfRule type="expression" dxfId="2650" priority="21">
      <formula>ABS(W$16-W$19)&gt;=1000</formula>
    </cfRule>
  </conditionalFormatting>
  <conditionalFormatting sqref="X14">
    <cfRule type="expression" dxfId="2649" priority="20">
      <formula>ABS(X$16-X$19)&gt;=1000</formula>
    </cfRule>
  </conditionalFormatting>
  <conditionalFormatting sqref="T10:Y10">
    <cfRule type="expression" dxfId="2648" priority="19">
      <formula>ABS(T$7-T$10)&gt;=1000</formula>
    </cfRule>
  </conditionalFormatting>
  <conditionalFormatting sqref="W19">
    <cfRule type="expression" dxfId="2647" priority="18">
      <formula>ABS(W$16-W$19)&gt;=1000</formula>
    </cfRule>
  </conditionalFormatting>
  <conditionalFormatting sqref="AC5">
    <cfRule type="expression" dxfId="2646" priority="17">
      <formula>ABS(AC$7-AC$10)&gt;=1000</formula>
    </cfRule>
  </conditionalFormatting>
  <conditionalFormatting sqref="M14">
    <cfRule type="expression" dxfId="2645" priority="16">
      <formula>ABS(M$16-M$19)&gt;=1000</formula>
    </cfRule>
  </conditionalFormatting>
  <conditionalFormatting sqref="M16">
    <cfRule type="expression" dxfId="2644" priority="15">
      <formula>ABS(M$16-M$19)&gt;=1000</formula>
    </cfRule>
  </conditionalFormatting>
  <conditionalFormatting sqref="M19">
    <cfRule type="expression" dxfId="2643" priority="14">
      <formula>ABS(M$16-M$19)&gt;=1000</formula>
    </cfRule>
  </conditionalFormatting>
  <conditionalFormatting sqref="K13:K20">
    <cfRule type="expression" dxfId="2642" priority="13">
      <formula>ABS(K$16-K$19)&gt;=1000</formula>
    </cfRule>
  </conditionalFormatting>
  <conditionalFormatting sqref="E5">
    <cfRule type="expression" dxfId="2641" priority="12">
      <formula>ABS(E$7-E$10)&gt;=1000</formula>
    </cfRule>
  </conditionalFormatting>
  <conditionalFormatting sqref="AB14:AC14">
    <cfRule type="expression" dxfId="2640" priority="11">
      <formula>ABS(AB$16-AB$19)&gt;=1000</formula>
    </cfRule>
  </conditionalFormatting>
  <conditionalFormatting sqref="M5">
    <cfRule type="expression" dxfId="2639" priority="10">
      <formula>ABS(M$7-M$10)&gt;=1000</formula>
    </cfRule>
  </conditionalFormatting>
  <conditionalFormatting sqref="N5">
    <cfRule type="expression" dxfId="2638" priority="9">
      <formula>ABS(N$7-N$10)&gt;=1000</formula>
    </cfRule>
  </conditionalFormatting>
  <conditionalFormatting sqref="O5">
    <cfRule type="expression" dxfId="2637" priority="8">
      <formula>ABS(O$7-O$10)&gt;=1000</formula>
    </cfRule>
  </conditionalFormatting>
  <conditionalFormatting sqref="P5">
    <cfRule type="expression" dxfId="2636" priority="7">
      <formula>ABS(P$7-P$10)&gt;=1000</formula>
    </cfRule>
  </conditionalFormatting>
  <conditionalFormatting sqref="L23">
    <cfRule type="expression" dxfId="2635" priority="6">
      <formula>ABS(L$25-L$28)&gt;=1000</formula>
    </cfRule>
  </conditionalFormatting>
  <conditionalFormatting sqref="Y14">
    <cfRule type="expression" dxfId="2634" priority="5">
      <formula>ABS(Y$16-Y$19)&gt;=1000</formula>
    </cfRule>
  </conditionalFormatting>
  <conditionalFormatting sqref="F14">
    <cfRule type="expression" dxfId="2633" priority="4">
      <formula>ABS(F$16-F$19)&gt;=1000</formula>
    </cfRule>
  </conditionalFormatting>
  <conditionalFormatting sqref="H14">
    <cfRule type="expression" dxfId="2632" priority="3">
      <formula>ABS(H$16-H$19)&gt;=1000</formula>
    </cfRule>
  </conditionalFormatting>
  <conditionalFormatting sqref="AD5">
    <cfRule type="expression" dxfId="2631" priority="2">
      <formula>ABS(AD$7-AD$10)&gt;=1000</formula>
    </cfRule>
  </conditionalFormatting>
  <conditionalFormatting sqref="AE5">
    <cfRule type="expression" dxfId="263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0473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57">
    <pageSetUpPr fitToPage="1"/>
  </sheetPr>
  <dimension ref="A1:CU223"/>
  <sheetViews>
    <sheetView view="pageBreakPreview" zoomScale="70" zoomScaleNormal="100" zoomScaleSheetLayoutView="70" workbookViewId="0">
      <selection activeCell="AA15" sqref="AA15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2" t="s" ph="1">
        <v>161</v>
      </c>
      <c r="C1" s="182" ph="1"/>
      <c r="D1" s="182" ph="1"/>
      <c r="E1" s="182" ph="1"/>
      <c r="F1" s="182" ph="1"/>
      <c r="G1" s="182" ph="1"/>
      <c r="H1" s="182" ph="1"/>
      <c r="I1" s="182" ph="1"/>
      <c r="J1" s="182" ph="1"/>
      <c r="K1" s="182" ph="1"/>
      <c r="L1" s="182" ph="1"/>
      <c r="M1" s="182" ph="1"/>
      <c r="N1" s="182" ph="1"/>
      <c r="O1" s="182" ph="1"/>
      <c r="P1" s="182" ph="1"/>
      <c r="Q1" s="182" ph="1"/>
      <c r="R1" s="182" ph="1"/>
      <c r="S1" s="182" ph="1"/>
      <c r="T1" s="182" ph="1"/>
      <c r="U1" s="182" ph="1"/>
      <c r="V1" s="182" ph="1"/>
      <c r="W1" s="182" ph="1"/>
      <c r="X1" s="182" ph="1"/>
      <c r="Y1" s="182" ph="1"/>
      <c r="Z1" s="182" ph="1"/>
      <c r="AA1" s="182" ph="1"/>
      <c r="AB1" s="182" ph="1"/>
      <c r="AC1" s="182" ph="1"/>
      <c r="AD1" s="182" ph="1"/>
      <c r="AE1" s="182" ph="1"/>
    </row>
    <row r="2" spans="1:99" s="66" customFormat="1" ht="24" customHeight="1" ph="1">
      <c r="B2" s="183" t="s" ph="1">
        <v>82</v>
      </c>
      <c r="C2" s="183" ph="1"/>
      <c r="D2" s="183" ph="1"/>
      <c r="E2" s="183" ph="1"/>
      <c r="F2" s="183" ph="1"/>
      <c r="G2" s="183" ph="1"/>
      <c r="H2" s="183" ph="1"/>
      <c r="I2" s="183" ph="1"/>
      <c r="J2" s="183" ph="1"/>
      <c r="K2" s="183" ph="1"/>
      <c r="L2" s="183" ph="1"/>
      <c r="M2" s="183" ph="1"/>
      <c r="N2" s="183" ph="1"/>
      <c r="O2" s="183" ph="1"/>
      <c r="P2" s="183" ph="1"/>
      <c r="Q2" s="183" ph="1"/>
      <c r="R2" s="183" ph="1"/>
      <c r="S2" s="183" ph="1"/>
      <c r="T2" s="183" ph="1"/>
      <c r="U2" s="183" ph="1"/>
      <c r="V2" s="183" ph="1"/>
      <c r="W2" s="183" ph="1"/>
      <c r="X2" s="183" ph="1"/>
      <c r="Y2" s="183" ph="1"/>
      <c r="Z2" s="183" ph="1"/>
      <c r="AA2" s="183" ph="1"/>
      <c r="AB2" s="183" ph="1"/>
      <c r="AC2" s="183" ph="1"/>
      <c r="AD2" s="183" ph="1"/>
      <c r="AE2" s="183" ph="1"/>
    </row>
    <row r="3" spans="1:99" ht="21" customHeight="1" ph="1">
      <c r="B3" s="184" ph="1">
        <v>46113</v>
      </c>
      <c r="C3" s="184"/>
      <c r="D3" s="184"/>
      <c r="E3" s="184"/>
      <c r="F3" s="184"/>
      <c r="G3" s="184"/>
      <c r="H3" s="184"/>
      <c r="I3" s="184"/>
      <c r="J3" s="184"/>
      <c r="K3" s="184"/>
      <c r="L3" s="184"/>
      <c r="M3" s="184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</row>
    <row r="4" spans="1:99" s="69" customFormat="1" ph="1">
      <c r="A4" s="65" ph="1"/>
      <c r="B4" s="185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5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1" ph="1">
        <v>0.33333333333333331</v>
      </c>
      <c r="C6" s="150" t="s" ph="1">
        <v>177</v>
      </c>
      <c r="D6" s="71">
        <v>3631</v>
      </c>
      <c r="E6" s="71">
        <v>7984</v>
      </c>
      <c r="F6" s="71">
        <v>6324</v>
      </c>
      <c r="G6" s="71">
        <v>8970</v>
      </c>
      <c r="H6" s="71">
        <v>6381</v>
      </c>
      <c r="I6" s="71">
        <v>23.39</v>
      </c>
      <c r="J6" s="71">
        <v>6.51</v>
      </c>
      <c r="K6" s="71">
        <v>7.37</v>
      </c>
      <c r="L6" s="71">
        <v>7.56</v>
      </c>
      <c r="M6" s="71">
        <v>1098</v>
      </c>
      <c r="N6" s="71">
        <v>643</v>
      </c>
      <c r="O6" s="71">
        <v>688</v>
      </c>
      <c r="P6" s="71">
        <v>207</v>
      </c>
      <c r="Q6" s="71">
        <v>0</v>
      </c>
      <c r="R6" s="71">
        <v>0</v>
      </c>
      <c r="S6" s="71">
        <v>3001</v>
      </c>
      <c r="T6" s="71">
        <v>7156</v>
      </c>
      <c r="U6" s="71">
        <v>6668</v>
      </c>
      <c r="V6" s="71">
        <v>0</v>
      </c>
      <c r="W6" s="71">
        <v>0</v>
      </c>
      <c r="X6" s="71">
        <v>0</v>
      </c>
      <c r="Y6" s="71">
        <v>0</v>
      </c>
      <c r="Z6" s="71">
        <v>4348</v>
      </c>
      <c r="AA6" s="71">
        <v>4237</v>
      </c>
      <c r="AB6" s="71">
        <v>2746</v>
      </c>
      <c r="AC6" s="71">
        <v>6330</v>
      </c>
      <c r="AD6" s="71">
        <v>3775</v>
      </c>
      <c r="AE6" s="71">
        <v>4050</v>
      </c>
    </row>
    <row r="7" spans="1:99" s="72" customFormat="1" ht="22.2" ph="1">
      <c r="B7" s="181" ph="1"/>
      <c r="C7" s="68" t="s" ph="1">
        <v>178</v>
      </c>
      <c r="D7" s="73" ph="1">
        <f>D6*33.183*LOOKUP(D8,密度!$A$2:$A$50,密度!$Q$2:$Q$50)</f>
        <v>114158.26604331</v>
      </c>
      <c r="E7" s="73" ph="1">
        <f>E6*51.53*LOOKUP(E8,密度!$A$2:$A$50,密度!$B$2:$B$50)</f>
        <v>321480.08732799999</v>
      </c>
      <c r="F7" s="73" ph="1">
        <f>F6*33.183*LOOKUP(F8,密度!$A$2:$A$50,密度!$C$2:$C$50)</f>
        <v>233016.65383679999</v>
      </c>
      <c r="G7" s="73" ph="1">
        <f xml:space="preserve"> (G6+2)*51.53*LOOKUP(G8,密度!$A$2:$A$50,密度!$B$2:$B$50)</f>
        <v>361262.44282400003</v>
      </c>
      <c r="H7" s="73" ph="1">
        <f>(H6)*51.53*LOOKUP(H8,密度!$A$2:$A$50,密度!$B$2:$B$50)</f>
        <v>258085.26875700001</v>
      </c>
      <c r="I7" s="73" ph="1">
        <f>I6*290.8*1.0267</f>
        <v>6983.4203804000008</v>
      </c>
      <c r="J7" s="73" ph="1">
        <f>J6*290.8*0.7892</f>
        <v>1494.0408336</v>
      </c>
      <c r="K7" s="73" ph="1">
        <f>K6*290.8*1.1126</f>
        <v>2384.5198695999998</v>
      </c>
      <c r="L7" s="73" ph="1">
        <f>L6*290.8*0.777</f>
        <v>1708.1940959999999</v>
      </c>
      <c r="M7" s="73" ph="1">
        <f>M6*33.183*LOOKUP(M8,密度!$A$2:$A$50,密度!$D$2:$D$50)</f>
        <v>37440.538178400006</v>
      </c>
      <c r="N7" s="73" ph="1">
        <f>N6*33.183*LOOKUP(N8,密度!$A$2:$A$50,密度!$E$2:$E$50)</f>
        <v>16736.483163600002</v>
      </c>
      <c r="O7" s="73" ph="1">
        <f>O6*20.428*LOOKUP(O8,密度!$A$2:$A$50,密度!$C$2:$C$50)</f>
        <v>15573.751558400001</v>
      </c>
      <c r="P7" s="73" ph="1">
        <f>P6*51.53*LOOKUP(P8,密度!$A$2:$A$50,密度!$B$2:$B$50)</f>
        <v>8354.1672720000006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19961.309352599998</v>
      </c>
      <c r="T7" s="73" ph="1">
        <f>T6*1.5*1.5*3.1416*LOOKUP(T8,密度!$A$2:$A$50,密度!$L$2:$L$50)</f>
        <v>47649.093307199997</v>
      </c>
      <c r="U7" s="73" ph="1">
        <f>U6*1.5*1.5*3.1416*LOOKUP(U8,密度!$A$2:$A$50,密度!$L$2:$L$50)</f>
        <v>44211.152462400001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135622.90296000001</v>
      </c>
      <c r="AA7" s="73" ph="1">
        <f>AA6*33.183*LOOKUP(AA8,密度!$A$2:$A$50,密度!$D$2:$D$50)</f>
        <v>144476.83083960004</v>
      </c>
      <c r="AB7" s="73" ph="1">
        <f>AB6*20.428*LOOKUP(AB8,密度!$A$2:$A$50,密度!$D$2:$D$50)</f>
        <v>58092.280252800003</v>
      </c>
      <c r="AC7" s="73" ph="1">
        <f>AC6*51.53*LOOKUP(AC8,密度!$A$2:$A$50,密度!$Q$2:$Q$50)</f>
        <v>309774.53768100002</v>
      </c>
      <c r="AD7" s="73" ph="1">
        <f>AD6*20.428*LOOKUP(AD8,密度!$A$2:$A$50,密度!$V$2:$V$50)</f>
        <v>74092.764559999996</v>
      </c>
      <c r="AE7" s="73" ph="1">
        <f>AE6*20.428</f>
        <v>82733.400000000009</v>
      </c>
    </row>
    <row r="8" spans="1:99" ph="1">
      <c r="B8" s="181" ph="1"/>
      <c r="C8" s="68" t="s" ph="1">
        <v>179</v>
      </c>
      <c r="D8" s="74">
        <v>24</v>
      </c>
      <c r="E8" s="74">
        <v>23</v>
      </c>
      <c r="F8" s="74">
        <v>23</v>
      </c>
      <c r="G8" s="74">
        <v>23</v>
      </c>
      <c r="H8" s="74">
        <v>19</v>
      </c>
      <c r="I8" s="74">
        <v>25</v>
      </c>
      <c r="J8" s="74">
        <v>25</v>
      </c>
      <c r="K8" s="74">
        <v>25</v>
      </c>
      <c r="L8" s="74">
        <v>25</v>
      </c>
      <c r="M8" s="74">
        <v>24</v>
      </c>
      <c r="N8" s="74">
        <v>24</v>
      </c>
      <c r="O8" s="74">
        <v>26</v>
      </c>
      <c r="P8" s="74">
        <v>21</v>
      </c>
      <c r="Q8" s="74">
        <v>25</v>
      </c>
      <c r="R8" s="74">
        <v>29</v>
      </c>
      <c r="S8" s="74">
        <v>21</v>
      </c>
      <c r="T8" s="74">
        <v>20</v>
      </c>
      <c r="U8" s="74">
        <v>24</v>
      </c>
      <c r="V8" s="74">
        <v>27</v>
      </c>
      <c r="W8" s="74">
        <v>23</v>
      </c>
      <c r="X8" s="74">
        <v>14</v>
      </c>
      <c r="Y8" s="74">
        <v>23</v>
      </c>
      <c r="Z8" s="74">
        <v>22</v>
      </c>
      <c r="AA8" s="74">
        <v>24</v>
      </c>
      <c r="AB8" s="74">
        <v>15</v>
      </c>
      <c r="AC8" s="74">
        <v>21</v>
      </c>
      <c r="AD8" s="74">
        <v>22</v>
      </c>
      <c r="AE8" s="74">
        <v>23</v>
      </c>
    </row>
    <row r="9" spans="1:99" ht="26.4" ph="1">
      <c r="B9" s="181" ph="1">
        <v>0.66666666666666663</v>
      </c>
      <c r="C9" s="150" t="s" ph="1">
        <v>180</v>
      </c>
      <c r="D9" s="71">
        <v>3629</v>
      </c>
      <c r="E9" s="71">
        <v>7957</v>
      </c>
      <c r="F9" s="71">
        <v>6324</v>
      </c>
      <c r="G9" s="71">
        <v>8970</v>
      </c>
      <c r="H9" s="71">
        <v>6381</v>
      </c>
      <c r="I9" s="71">
        <v>23.31</v>
      </c>
      <c r="J9" s="71">
        <v>6.61</v>
      </c>
      <c r="K9" s="71">
        <v>7.21</v>
      </c>
      <c r="L9" s="71">
        <v>7.51</v>
      </c>
      <c r="M9" s="71">
        <v>1096</v>
      </c>
      <c r="N9" s="71">
        <v>359</v>
      </c>
      <c r="O9" s="71">
        <v>688</v>
      </c>
      <c r="P9" s="71">
        <v>167</v>
      </c>
      <c r="Q9" s="71">
        <v>0</v>
      </c>
      <c r="R9" s="71">
        <v>0</v>
      </c>
      <c r="S9" s="71">
        <v>0</v>
      </c>
      <c r="T9" s="71">
        <v>5575</v>
      </c>
      <c r="U9" s="71">
        <v>7007</v>
      </c>
      <c r="V9" s="71">
        <v>2823</v>
      </c>
      <c r="W9" s="71">
        <v>2279</v>
      </c>
      <c r="X9" s="71">
        <v>0</v>
      </c>
      <c r="Y9" s="71">
        <v>0</v>
      </c>
      <c r="Z9" s="71">
        <v>2823</v>
      </c>
      <c r="AA9" s="71">
        <v>4236</v>
      </c>
      <c r="AB9" s="71">
        <v>2588</v>
      </c>
      <c r="AC9" s="71">
        <v>6326</v>
      </c>
      <c r="AD9" s="71">
        <v>3775</v>
      </c>
      <c r="AE9" s="71">
        <v>3991</v>
      </c>
    </row>
    <row r="10" spans="1:99" s="72" customFormat="1" ht="22.2" ph="1">
      <c r="B10" s="181" ph="1"/>
      <c r="C10" s="150" t="s" ph="1">
        <v>178</v>
      </c>
      <c r="D10" s="73" ph="1">
        <f>D9*33.183*LOOKUP(D11,密度!$A$2:$A$50,密度!$Q$2:$Q$50)</f>
        <v>114095.38624929001</v>
      </c>
      <c r="E10" s="73" ph="1">
        <f>E9*51.53*LOOKUP(E11,密度!$A$2:$A$50,密度!$B$2:$B$50)</f>
        <v>320761.93948300002</v>
      </c>
      <c r="F10" s="73" ph="1">
        <f>F9*33.183*LOOKUP(F11,密度!$A$2:$A$50,密度!$C$2:$C$50)</f>
        <v>233163.54834119999</v>
      </c>
      <c r="G10" s="73" ph="1">
        <f xml:space="preserve"> (G9+2)*51.53*LOOKUP(G11,密度!$A$2:$A$50,密度!$B$2:$B$50)</f>
        <v>361262.44282400003</v>
      </c>
      <c r="H10" s="73" ph="1">
        <f>(H9)*51.53*LOOKUP(H11,密度!$A$2:$A$50,密度!$B$2:$B$50)</f>
        <v>257822.218413</v>
      </c>
      <c r="I10" s="73" ph="1">
        <f>I9*290.8*1.0267</f>
        <v>6959.535231599999</v>
      </c>
      <c r="J10" s="73" ph="1">
        <f>J9*290.8*0.7892</f>
        <v>1516.9907696</v>
      </c>
      <c r="K10" s="73" ph="1">
        <f>K9*290.8*1.1126</f>
        <v>2332.7528168000003</v>
      </c>
      <c r="L10" s="73" ph="1">
        <f>L9*290.8*0.777</f>
        <v>1696.896516</v>
      </c>
      <c r="M10" s="73" ph="1">
        <f>M9*33.183*LOOKUP(M11,密度!$A$2:$A$50,密度!$D$2:$D$50)</f>
        <v>37408.709044799994</v>
      </c>
      <c r="N10" s="73" ph="1">
        <f>N9*33.183*LOOKUP(N11,密度!$A$2:$A$50,密度!$E$2:$E$50)</f>
        <v>9358.6147631999993</v>
      </c>
      <c r="O10" s="73" ph="1">
        <f>O9*20.428*LOOKUP(O11,密度!$A$2:$A$50,密度!$C$2:$C$50)</f>
        <v>15573.751558400001</v>
      </c>
      <c r="P10" s="73" ph="1">
        <f>P9*51.53*LOOKUP(P11,密度!$A$2:$A$50,密度!$B$2:$B$50)</f>
        <v>6732.0904730000002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37121.813190000001</v>
      </c>
      <c r="U10" s="73" ph="1">
        <f>U9*1.5*1.5*3.1416*LOOKUP(U11,密度!$A$2:$A$50,密度!$L$2:$L$50)</f>
        <v>46409.310347400002</v>
      </c>
      <c r="V10" s="73" ph="1">
        <f>V9*1.5*1.5*3.1416*LOOKUP(V11,密度!$A$2:$A$50,密度!$L$2:$L$50)</f>
        <v>18637.650385200002</v>
      </c>
      <c r="W10" s="73" ph="1">
        <f>W9*1.5*1.5*3.1416*LOOKUP(W11,密度!$A$2:$A$50,密度!$L$2:$L$50)</f>
        <v>15062.232339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88148.748068999994</v>
      </c>
      <c r="AA10" s="73" ph="1">
        <f>AA9*33.183*LOOKUP(AA11,密度!$A$2:$A$50,密度!$D$2:$D$50)</f>
        <v>144442.73198879999</v>
      </c>
      <c r="AB10" s="73" ph="1">
        <f>AB9*20.428*LOOKUP(AB11,密度!$A$2:$A$50,密度!$D$2:$D$50)</f>
        <v>54749.752838400011</v>
      </c>
      <c r="AC10" s="73" ph="1">
        <f>AC9*51.53*LOOKUP(AC11,密度!$A$2:$A$50,密度!$Q$2:$Q$50)</f>
        <v>309383.20031020005</v>
      </c>
      <c r="AD10" s="73" ph="1">
        <f>AD9*20.428*LOOKUP(AD11,密度!$A$2:$A$50,密度!$V$2:$V$50)</f>
        <v>74092.764559999996</v>
      </c>
      <c r="AE10" s="73" ph="1">
        <f>AE9*20.428</f>
        <v>81528.148000000001</v>
      </c>
    </row>
    <row r="11" spans="1:99" ph="1">
      <c r="A11" s="64" t="s" ph="1">
        <v>162</v>
      </c>
      <c r="B11" s="181" ph="1"/>
      <c r="C11" s="150" t="s" ph="1">
        <v>179</v>
      </c>
      <c r="D11" s="74">
        <v>24</v>
      </c>
      <c r="E11" s="74">
        <v>22</v>
      </c>
      <c r="F11" s="74">
        <v>22</v>
      </c>
      <c r="G11" s="74">
        <v>23</v>
      </c>
      <c r="H11" s="74">
        <v>20</v>
      </c>
      <c r="I11" s="74">
        <v>25</v>
      </c>
      <c r="J11" s="74">
        <v>25</v>
      </c>
      <c r="K11" s="74">
        <v>25</v>
      </c>
      <c r="L11" s="74">
        <v>25</v>
      </c>
      <c r="M11" s="74">
        <v>23</v>
      </c>
      <c r="N11" s="74">
        <v>23</v>
      </c>
      <c r="O11" s="74">
        <v>26</v>
      </c>
      <c r="P11" s="74">
        <v>22</v>
      </c>
      <c r="Q11" s="74">
        <v>25</v>
      </c>
      <c r="R11" s="74">
        <v>27</v>
      </c>
      <c r="S11" s="74">
        <v>20</v>
      </c>
      <c r="T11" s="74">
        <v>20</v>
      </c>
      <c r="U11" s="74">
        <v>25</v>
      </c>
      <c r="V11" s="74">
        <v>28</v>
      </c>
      <c r="W11" s="74">
        <v>27</v>
      </c>
      <c r="X11" s="74">
        <v>23</v>
      </c>
      <c r="Y11" s="74">
        <v>22</v>
      </c>
      <c r="Z11" s="74">
        <v>21</v>
      </c>
      <c r="AA11" s="74">
        <v>24</v>
      </c>
      <c r="AB11" s="74">
        <v>15</v>
      </c>
      <c r="AC11" s="74">
        <v>22</v>
      </c>
      <c r="AD11" s="74">
        <v>23</v>
      </c>
      <c r="AE11" s="74">
        <v>24</v>
      </c>
    </row>
    <row r="12" spans="1:99" ht="9.9" customHeight="1" ph="1"/>
    <row r="13" spans="1:99" s="72" customFormat="1" ht="29.25" customHeight="1" ph="1">
      <c r="B13" s="189" t="s" ph="1">
        <v>37</v>
      </c>
      <c r="C13" s="150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0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615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1" ph="1">
        <v>0.33333333333333331</v>
      </c>
      <c r="C15" s="150" t="s" ph="1">
        <v>177</v>
      </c>
      <c r="D15" s="78">
        <v>0</v>
      </c>
      <c r="E15" s="78">
        <v>68</v>
      </c>
      <c r="F15" s="78">
        <v>3082</v>
      </c>
      <c r="G15" s="78">
        <v>4155</v>
      </c>
      <c r="H15" s="78">
        <v>0</v>
      </c>
      <c r="I15" s="78">
        <v>5477</v>
      </c>
      <c r="J15" s="78">
        <v>943</v>
      </c>
      <c r="K15" s="78">
        <v>3591</v>
      </c>
      <c r="L15" s="78">
        <v>4972</v>
      </c>
      <c r="M15" s="78">
        <v>6105</v>
      </c>
      <c r="N15" s="78">
        <v>3320</v>
      </c>
      <c r="O15" s="78">
        <v>5005</v>
      </c>
      <c r="P15" s="78">
        <v>1106</v>
      </c>
      <c r="Q15" s="78">
        <v>1282</v>
      </c>
      <c r="R15" s="78">
        <v>7416</v>
      </c>
      <c r="S15" s="78">
        <v>0</v>
      </c>
      <c r="T15" s="78">
        <v>1358</v>
      </c>
      <c r="U15" s="78">
        <v>5767</v>
      </c>
      <c r="V15" s="78">
        <v>3704</v>
      </c>
      <c r="W15" s="71">
        <v>-172</v>
      </c>
      <c r="X15" s="78">
        <v>-21</v>
      </c>
      <c r="Y15" s="106">
        <v>-2362</v>
      </c>
      <c r="Z15" s="78">
        <v>0</v>
      </c>
      <c r="AA15" s="78">
        <v>6862</v>
      </c>
      <c r="AB15" s="78" ph="1">
        <v>7176</v>
      </c>
      <c r="AC15" s="78" ph="1">
        <v>7144</v>
      </c>
      <c r="AD15" s="78">
        <v>50.16</v>
      </c>
      <c r="AE15" s="78">
        <v>85.39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2" ph="1"/>
      <c r="C16" s="150" t="s" ph="1">
        <v>178</v>
      </c>
      <c r="D16" s="73" ph="1">
        <f>D15*7.0686*LOOKUP(D17,密度!$A$2:$A$50,密度!$L$2:$L$50)</f>
        <v>0</v>
      </c>
      <c r="E16" s="73" ph="1">
        <f>E15*7.0686*LOOKUP(E17,密度!$A$2:$A$50,密度!$L$2:$L$50)</f>
        <v>451.34424719999998</v>
      </c>
      <c r="F16" s="73" ph="1">
        <f>F15*9.0746*LOOKUP(F17,密度!$A$2:$A$50,密度!$L$2:$L$50)</f>
        <v>26177.970499200001</v>
      </c>
      <c r="G16" s="73" ph="1">
        <f>G15*9.0746*LOOKUP(G17,密度!$A$2:$A$50,密度!$B$2:$B$50)</f>
        <v>29394.789154800001</v>
      </c>
      <c r="H16" s="73" ph="1">
        <f>H15*9.0746*LOOKUP(H17,密度!$A$2:$A$50,密度!$L$2:$L$50)</f>
        <v>0</v>
      </c>
      <c r="I16" s="73" ph="1">
        <f>I15*9.0746*LOOKUP(I17,密度!$A$2:$A$50,密度!$U$2:$U$50)</f>
        <v>50993.825389200007</v>
      </c>
      <c r="J16" s="73" ph="1">
        <f>J15*9.0746*LOOKUP(J17,密度!$A$2:$A$50,密度!$L$2:$L$50)</f>
        <v>8026.7922363999987</v>
      </c>
      <c r="K16" s="73" ph="1">
        <f>K15*9.0746*LOOKUP(K17,密度!$A$2:$A$50,密度!$C$2:$C$50)</f>
        <v>36158.411590559997</v>
      </c>
      <c r="L16" s="73" ph="1">
        <f>L15*9.0746*LOOKUP(L17,密度!$A$2:$A$50,密度!$E$2:$E$50)</f>
        <v>35337.131251840001</v>
      </c>
      <c r="M16" s="73" ph="1">
        <f>M15*9.0746*LOOKUP(M17,密度!$A$2:$A$50,密度!$M$2:$M$50)</f>
        <v>48370.1180523</v>
      </c>
      <c r="N16" s="73" ph="1">
        <f>N15*9.0746*LOOKUP(N17,密度!$A$2:$A$50,密度!$M$2:$M$50)</f>
        <v>26421.968344000001</v>
      </c>
      <c r="O16" s="73" ph="1">
        <f>O15*9.0746*LOOKUP(O17,密度!$A$2:$A$50,密度!$G$2:$G$50)</f>
        <v>43556.219706999997</v>
      </c>
      <c r="P16" s="73" ph="1">
        <f ca="1">P15*9.0746*LOOKUP(P17,密度!$A$2:$A$51,密度!$Q$2:$Q$50)</f>
        <v>9525.5489980840011</v>
      </c>
      <c r="Q16" s="73" ph="1">
        <f>Q15*9.0746*LOOKUP(Q17,密度!$A$2:$A$50,密度!$Q$2:$Q$50)</f>
        <v>11022.522237884001</v>
      </c>
      <c r="R16" s="73" ph="1">
        <f>MAX(R15*9.0746*LOOKUP(R17,密度!$A$2:$A$50,密度!$B$2:$B$50),0)</f>
        <v>52404.355804320003</v>
      </c>
      <c r="S16" s="73" ph="1">
        <f>S15*9.0746*LOOKUP(S17,密度!$A$2:$A$50,密度!$Q$2:$Q$50)</f>
        <v>0</v>
      </c>
      <c r="T16" s="73" ph="1">
        <f>T15*9.0746*LOOKUP(T17,密度!$A$2:$A$50,密度!$O$2:$O$50)</f>
        <v>11411.3820968</v>
      </c>
      <c r="U16" s="73" ph="1">
        <f>U15*9.0746*LOOKUP(U17,密度!$A$2:$A$50,密度!$H$2:$H$50)</f>
        <v>48031.427663959999</v>
      </c>
      <c r="V16" s="73" ph="1">
        <f>MAX(5600*LOOKUP(V17,密度!$A$2:$A$50,密度!$Q$2:$Q$50)+V15*9.0476*LOOKUP(V17,密度!$A$2:$A$50,密度!$Q$2:$Q$50),0)</f>
        <v>37029.188748095999</v>
      </c>
      <c r="W16" s="73" ph="1">
        <f>MAX(5600*LOOKUP(W17,密度!$A$2:$A$50,密度!$Q$2:$Q$50)+W15*9.0476*LOOKUP(W17,密度!$A$2:$A$50,密度!$Q$2:$Q$50),0)</f>
        <v>3828.4393302720009</v>
      </c>
      <c r="X16" s="73" ph="1">
        <f>MAX(5600*LOOKUP(X17,密度!$A$2:$A$50,密度!$I$2:$I$50)+X15*9.0476*LOOKUP(X17,密度!$A$2:$A$50,密度!$I$2:$I$50),0)</f>
        <v>5632.8924164799992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48601.6610086</v>
      </c>
      <c r="AB16" s="73" ph="1">
        <f>AB15*9.0746*LOOKUP(AB17,密度!$A$2:$A$50,密度!$L$2:$L$50)</f>
        <v>61016.811835200009</v>
      </c>
      <c r="AC16" s="73" ph="1">
        <f>AC15*9.0746*LOOKUP(AC17,密度!$A$2:$A$50,密度!$L$2:$L$50)</f>
        <v>60874.376913599997</v>
      </c>
      <c r="AD16" s="73" ph="1">
        <f>AD15*268.68*LOOKUP(AD17,密度!$A$2:$A$50,密度!B2:B50)+IF(AD15&lt;=0,0,1566*LOOKUP(AD17,密度!$A$2:$A$50,密度!B2:B50))</f>
        <v>11727.514068479999</v>
      </c>
      <c r="AE16" s="73" ph="1">
        <f>AE15*268.68*LOOKUP(AE17,密度!$A$2:$A$50,密度!B2:B50)+IF(AE15&lt;=0,0,1566*LOOKUP(AE17,密度!$A$2:$A$50,密度!B2:B50))</f>
        <v>19106.893021919997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3" ph="1"/>
      <c r="C17" s="79" t="s" ph="1">
        <v>179</v>
      </c>
      <c r="D17" s="74">
        <v>23</v>
      </c>
      <c r="E17" s="74">
        <v>23</v>
      </c>
      <c r="F17" s="74">
        <v>26</v>
      </c>
      <c r="G17" s="74">
        <v>25</v>
      </c>
      <c r="H17" s="74">
        <v>20</v>
      </c>
      <c r="I17" s="74">
        <v>24</v>
      </c>
      <c r="J17" s="74">
        <v>24</v>
      </c>
      <c r="K17" s="74">
        <v>24</v>
      </c>
      <c r="L17" s="74">
        <v>25</v>
      </c>
      <c r="M17" s="74">
        <v>27</v>
      </c>
      <c r="N17" s="74">
        <v>23</v>
      </c>
      <c r="O17" s="74">
        <v>26</v>
      </c>
      <c r="P17" s="74">
        <v>22</v>
      </c>
      <c r="Q17" s="74">
        <v>24</v>
      </c>
      <c r="R17" s="74">
        <v>26</v>
      </c>
      <c r="S17" s="74">
        <v>23</v>
      </c>
      <c r="T17" s="74">
        <v>25</v>
      </c>
      <c r="U17" s="74">
        <v>22</v>
      </c>
      <c r="V17" s="74">
        <v>25</v>
      </c>
      <c r="W17" s="74">
        <v>25</v>
      </c>
      <c r="X17" s="74">
        <v>26</v>
      </c>
      <c r="Y17" s="108">
        <v>26</v>
      </c>
      <c r="Z17" s="74">
        <v>24</v>
      </c>
      <c r="AA17" s="74">
        <v>24</v>
      </c>
      <c r="AB17" s="74">
        <v>25</v>
      </c>
      <c r="AC17" s="74">
        <v>23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1" ph="1">
        <v>0.66666666666666663</v>
      </c>
      <c r="C18" s="79" t="s" ph="1">
        <v>180</v>
      </c>
      <c r="D18" s="71">
        <v>1735</v>
      </c>
      <c r="E18" s="71">
        <v>68</v>
      </c>
      <c r="F18" s="71">
        <v>3081</v>
      </c>
      <c r="G18" s="71">
        <v>4272</v>
      </c>
      <c r="H18" s="71">
        <v>0</v>
      </c>
      <c r="I18" s="71">
        <v>5475</v>
      </c>
      <c r="J18" s="71">
        <v>1012</v>
      </c>
      <c r="K18" s="71">
        <v>3590</v>
      </c>
      <c r="L18" s="71">
        <v>1157</v>
      </c>
      <c r="M18" s="71">
        <v>5562</v>
      </c>
      <c r="N18" s="71">
        <v>925</v>
      </c>
      <c r="O18" s="71">
        <v>5001</v>
      </c>
      <c r="P18" s="71">
        <v>1104</v>
      </c>
      <c r="Q18" s="71">
        <v>1281</v>
      </c>
      <c r="R18" s="71">
        <v>7411</v>
      </c>
      <c r="S18" s="71">
        <v>0</v>
      </c>
      <c r="T18" s="71">
        <v>1357</v>
      </c>
      <c r="U18" s="71">
        <v>5763</v>
      </c>
      <c r="V18" s="71">
        <v>3704</v>
      </c>
      <c r="W18" s="71">
        <v>-172</v>
      </c>
      <c r="X18" s="71">
        <v>-104</v>
      </c>
      <c r="Y18" s="109">
        <v>-9905</v>
      </c>
      <c r="Z18" s="71">
        <v>0</v>
      </c>
      <c r="AA18" s="71">
        <v>6857</v>
      </c>
      <c r="AB18" s="71">
        <v>7173</v>
      </c>
      <c r="AC18" s="71">
        <v>7140</v>
      </c>
      <c r="AD18" s="71">
        <v>84.61</v>
      </c>
      <c r="AE18" s="71">
        <v>25.21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2" ph="1"/>
      <c r="C19" s="150" t="s" ph="1">
        <v>178</v>
      </c>
      <c r="D19" s="73" ph="1">
        <f>D18*7.0686*LOOKUP(D20,密度!$A$2:$A$50,密度!$L$2:$L$50)</f>
        <v>11491.387677000001</v>
      </c>
      <c r="E19" s="73" ph="1">
        <f>E18*7.0686*LOOKUP(E20,密度!$A$2:$A$50,密度!$L$2:$L$50)</f>
        <v>450.38291760000004</v>
      </c>
      <c r="F19" s="73" ph="1">
        <f>F18*9.0746*LOOKUP(F20,密度!$A$2:$A$50,密度!$L$2:$L$50)</f>
        <v>26169.476673600002</v>
      </c>
      <c r="G19" s="73" ph="1">
        <f>G18*9.0746*LOOKUP(G20,密度!$A$2:$A$50,密度!$B$2:$B$50)</f>
        <v>30257.402481599998</v>
      </c>
      <c r="H19" s="73" ph="1">
        <f>H18*9.0746*LOOKUP(H20,密度!$A$2:$A$50,密度!$L$2:$L$50)</f>
        <v>0</v>
      </c>
      <c r="I19" s="73" ph="1">
        <f>I18*9.0746*LOOKUP(I20,密度!$A$2:$A$50,密度!$U$2:$U$50)</f>
        <v>50975.204310000001</v>
      </c>
      <c r="J19" s="73" ph="1">
        <f>J18*9.0746*LOOKUP(J20,密度!$A$2:$A$50,密度!$L$2:$L$50)</f>
        <v>8604.9350023999996</v>
      </c>
      <c r="K19" s="73" ph="1">
        <f>K18*9.0746*LOOKUP(K20,密度!$A$2:$A$50,密度!$C$2:$C$50)</f>
        <v>36174.404665600006</v>
      </c>
      <c r="L19" s="73" ph="1">
        <f>L18*9.0746*LOOKUP(L20,密度!$A$2:$A$50,密度!$E$2:$E$50)</f>
        <v>8223.0613150400004</v>
      </c>
      <c r="M19" s="73" ph="1">
        <f>M18*9.0746*LOOKUP(M20,密度!$A$2:$A$50,密度!$M$2:$M$50)</f>
        <v>44118.383917319996</v>
      </c>
      <c r="N19" s="73" ph="1">
        <f>N18*9.0746*LOOKUP(N20,密度!$A$2:$A$50,密度!$M$2:$M$50)</f>
        <v>7337.1997705000003</v>
      </c>
      <c r="O19" s="73" ph="1">
        <f>O18*9.0746*LOOKUP(O20,密度!$A$2:$A$50,密度!$G$2:$G$50)</f>
        <v>43575.868030919999</v>
      </c>
      <c r="P19" s="73" ph="1">
        <f ca="1">P18*9.0746*LOOKUP(P20,密度!$A$2:$A$51,密度!$Q$2:$Q$50)</f>
        <v>9484.7806316160004</v>
      </c>
      <c r="Q19" s="73" ph="1">
        <f>Q18*9.0746*LOOKUP(Q20,密度!$A$2:$A$50,密度!$Q$2:$Q$50)</f>
        <v>10997.184956478002</v>
      </c>
      <c r="R19" s="73" ph="1">
        <f>MAX(R18*9.0746*LOOKUP(R20,密度!$A$2:$A$50,密度!$B$2:$B$50),0)</f>
        <v>52369.023849219993</v>
      </c>
      <c r="S19" s="73" ph="1">
        <f>S18*9.0746*LOOKUP(S20,密度!$A$2:$A$50,密度!$Q$2:$Q$50)</f>
        <v>0</v>
      </c>
      <c r="T19" s="73" ph="1">
        <f>T18*9.0746*LOOKUP(T20,密度!$A$2:$A$50,密度!$O$2:$O$50)</f>
        <v>11402.979017200001</v>
      </c>
      <c r="U19" s="73" ph="1">
        <f>U18*9.0746*LOOKUP(U20,密度!$A$2:$A$50,密度!$H$2:$H$50)</f>
        <v>47940.586380660003</v>
      </c>
      <c r="V19" s="73" ph="1">
        <f>MAX(5600*LOOKUP(V20,密度!$A$2:$A$50,密度!$Q$2:$Q$50)+V18*9.0476*LOOKUP(V20,密度!$A$2:$A$50,密度!$Q$2:$Q$50),0)</f>
        <v>37086.292721279999</v>
      </c>
      <c r="W19" s="73" ph="1">
        <f>MAX(5600*LOOKUP(W20,密度!$A$2:$A$50,密度!$Q$2:$Q$50)+W18*9.0476*LOOKUP(W20,密度!$A$2:$A$50,密度!$Q$2:$Q$50),0)</f>
        <v>3831.3913136160004</v>
      </c>
      <c r="X19" s="73" ph="1">
        <f>MAX(5600*LOOKUP(X20,密度!$A$2:$A$50,密度!$I$2:$I$50)+X18*9.0476*LOOKUP(X20,密度!$A$2:$A$50,密度!$I$2:$I$50),0)</f>
        <v>4851.0024435199994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48510.245303119998</v>
      </c>
      <c r="AB19" s="73" ph="1">
        <f>AB18*9.0746*LOOKUP(AB20,密度!$A$2:$A$50,密度!$L$2:$L$50)</f>
        <v>60991.303134600006</v>
      </c>
      <c r="AC19" s="73" ph="1">
        <f>AC18*9.0746*LOOKUP(AC20,密度!$A$2:$A$50,密度!$L$2:$L$50)</f>
        <v>60905.085359999997</v>
      </c>
      <c r="AD19" s="73" ph="1">
        <f>AD18*268.68*LOOKUP(AD20,密度!$A$2:$A$50,密度!B5:B53)+IF(AD18&lt;=0,0,1566*LOOKUP(AD20,密度!$A$2:$A$50,密度!B5:B53))</f>
        <v>18880.334499600001</v>
      </c>
      <c r="AE19" s="73" ph="1">
        <f>AE18*268.68*LOOKUP(AE20,密度!$A$2:$A$50,密度!B5:B53)+IF(AE18&lt;=0,0,1566*LOOKUP(AE20,密度!$A$2:$A$50,密度!B5:B53))</f>
        <v>6479.7315156000004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2" ph="1"/>
      <c r="C20" s="80" t="s" ph="1">
        <v>179</v>
      </c>
      <c r="D20" s="81">
        <v>25</v>
      </c>
      <c r="E20" s="81">
        <v>25</v>
      </c>
      <c r="F20" s="81">
        <v>26</v>
      </c>
      <c r="G20" s="81">
        <v>24</v>
      </c>
      <c r="H20" s="81">
        <v>26</v>
      </c>
      <c r="I20" s="81">
        <v>24</v>
      </c>
      <c r="J20" s="81">
        <v>25</v>
      </c>
      <c r="K20" s="81">
        <v>23</v>
      </c>
      <c r="L20" s="81">
        <v>25</v>
      </c>
      <c r="M20" s="81">
        <v>26</v>
      </c>
      <c r="N20" s="81">
        <v>26</v>
      </c>
      <c r="O20" s="81">
        <v>25</v>
      </c>
      <c r="P20" s="81">
        <v>25</v>
      </c>
      <c r="Q20" s="81">
        <v>26</v>
      </c>
      <c r="R20" s="81">
        <v>26</v>
      </c>
      <c r="S20" s="81">
        <v>25</v>
      </c>
      <c r="T20" s="81">
        <v>25</v>
      </c>
      <c r="U20" s="81">
        <v>23</v>
      </c>
      <c r="V20" s="81">
        <v>23</v>
      </c>
      <c r="W20" s="81">
        <v>24</v>
      </c>
      <c r="X20" s="81">
        <v>26</v>
      </c>
      <c r="Y20" s="110">
        <v>26</v>
      </c>
      <c r="Z20" s="81">
        <v>25</v>
      </c>
      <c r="AA20" s="81">
        <v>25</v>
      </c>
      <c r="AB20" s="81">
        <v>25</v>
      </c>
      <c r="AC20" s="81">
        <v>22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0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69" t="s" ph="1">
        <v>69</v>
      </c>
      <c r="AA22" s="170"/>
      <c r="AB22" s="170"/>
      <c r="AC22" s="170"/>
      <c r="AD22" s="170"/>
      <c r="AE22" s="17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5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72" t="s" ph="1">
        <v>637</v>
      </c>
      <c r="AA23" s="173"/>
      <c r="AB23" s="173"/>
      <c r="AC23" s="173"/>
      <c r="AD23" s="173"/>
      <c r="AE23" s="17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1" ph="1">
        <v>0.33333333333333331</v>
      </c>
      <c r="C24" s="150" t="s" ph="1">
        <v>177</v>
      </c>
      <c r="D24" s="71">
        <v>54.92</v>
      </c>
      <c r="E24" s="71">
        <v>5.45</v>
      </c>
      <c r="F24" s="71">
        <v>2920</v>
      </c>
      <c r="G24" s="71">
        <v>1145</v>
      </c>
      <c r="H24" s="71">
        <v>1136</v>
      </c>
      <c r="I24" s="71">
        <v>0</v>
      </c>
      <c r="J24" s="71">
        <v>868</v>
      </c>
      <c r="K24" s="71">
        <v>582</v>
      </c>
      <c r="L24" s="71">
        <v>469</v>
      </c>
      <c r="M24" s="71">
        <v>2421</v>
      </c>
      <c r="N24" s="71">
        <v>4954</v>
      </c>
      <c r="O24" s="71">
        <v>5727</v>
      </c>
      <c r="P24" s="71">
        <v>334</v>
      </c>
      <c r="Q24" s="90">
        <v>3031</v>
      </c>
      <c r="R24" s="71">
        <v>1538</v>
      </c>
      <c r="S24" s="71">
        <v>4329</v>
      </c>
      <c r="T24" s="71">
        <v>379</v>
      </c>
      <c r="U24" s="71">
        <v>3019</v>
      </c>
      <c r="V24" s="71">
        <v>7865</v>
      </c>
      <c r="W24" s="71">
        <v>11207</v>
      </c>
      <c r="X24" s="71">
        <v>6352</v>
      </c>
      <c r="Y24" s="71">
        <v>3646</v>
      </c>
      <c r="Z24" s="175"/>
      <c r="AA24" s="176"/>
      <c r="AB24" s="176"/>
      <c r="AC24" s="176"/>
      <c r="AD24" s="176"/>
      <c r="AE24" s="17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1" ph="1"/>
      <c r="C25" s="68" t="s" ph="1">
        <v>178</v>
      </c>
      <c r="D25" s="91" ph="1">
        <f>D24*268.68*LOOKUP(D26,密度!$A$2:$A$50,密度!$Q$2:$Q$50)+IF(D24&lt;=0,0,1566*LOOKUP(D26,密度!$A$2:$A$50,密度!$Q$2:$Q$50))</f>
        <v>15452.600907743999</v>
      </c>
      <c r="E25" s="91" ph="1">
        <f>E24*268.68*LOOKUP(E26,密度!$A$2:$A$50,密度!$C$2:$C$50)+IF(E24&lt;=0,0,1566*LOOKUP(E26,密度!$A$2:$A$50,密度!$C$2:$C$50))</f>
        <v>3360.3063234000001</v>
      </c>
      <c r="F25" s="91" ph="1">
        <f>F24*11.702*LOOKUP(F26,密度!$A$2:$A$50,密度!$Q$2:$Q$50)</f>
        <v>32349.954321599998</v>
      </c>
      <c r="G25" s="91" ph="1">
        <f>G24*18.322*LOOKUP(G26,密度!$A$2:$A$50,密度!$B$2:$B$50)</f>
        <v>16319.322951</v>
      </c>
      <c r="H25" s="91" ph="1">
        <f>H24*18.322*LOOKUP(H26,密度!$A$2:$A$50,密度!$B$2:$B$50)</f>
        <v>16207.699830399997</v>
      </c>
      <c r="I25" s="91" ph="1">
        <f>I24*18.322*LOOKUP(I26,密度!$A$2:$A$50,密度!$Q$2:$Q$50)</f>
        <v>0</v>
      </c>
      <c r="J25" s="91" ph="1">
        <f>J24*18.322*LOOKUP(J26,密度!$A$2:$A$50,密度!$Q$2:$Q$50)</f>
        <v>15056.475803039999</v>
      </c>
      <c r="K25" s="91" ph="1">
        <f>K24*18.322*LOOKUP(K26,密度!$A$2:$A$50,密度!$Q$2:$Q$50)</f>
        <v>10095.471102959998</v>
      </c>
      <c r="L25" s="91" ph="1">
        <f>L24*18.322*LOOKUP(L26,密度!$A$2:$A$50,密度!$Q$2:$Q$50)</f>
        <v>8135.3538613199999</v>
      </c>
      <c r="M25" s="91" ph="1">
        <f>M24*18.322*LOOKUP(M26,密度!$A$2:$A$50,密度!$Q$2:$Q$50)</f>
        <v>41963.584378860003</v>
      </c>
      <c r="N25" s="91" ph="1">
        <f>N24*18.322*LOOKUP(N26,密度!$A$2:$A$50,密度!$Q$2:$Q$50)</f>
        <v>85868.482863640005</v>
      </c>
      <c r="O25" s="91" ph="1">
        <f>O24*18.322*LOOKUP(O26,密度!$A$2:$A$50,密度!$C$2:$C$50)</f>
        <v>116356.9812366</v>
      </c>
      <c r="P25" s="91" ph="1">
        <f>P24*11.702*LOOKUP(P26,密度!$A$2:$A$50,密度!$B$2:$B$50)</f>
        <v>3043.5240315999995</v>
      </c>
      <c r="Q25" s="92" ph="1">
        <f>Q24*18.322*LOOKUP(Q26,密度!$A$2:$A$50,密度!$B$2:$B$50)</f>
        <v>43244.311783399993</v>
      </c>
      <c r="R25" s="91" ph="1">
        <f>R24*35.891*LOOKUP(R26,密度!$A$2:$A$50,密度!$C$2:$C$50)</f>
        <v>61211.6769862</v>
      </c>
      <c r="S25" s="91" ph="1">
        <f>S24*35.891*LOOKUP(S26,密度!$A$2:$A$50,密度!$B$2:$B$50)</f>
        <v>120863.9869281</v>
      </c>
      <c r="T25" s="91" ph="1">
        <f>T24*35.891*LOOKUP(T26,密度!$A$2:$A$50,密度!$Q$2:$Q$50)</f>
        <v>12868.55187467</v>
      </c>
      <c r="U25" s="91" ph="1">
        <f>U24*35.891</f>
        <v>108354.92899999999</v>
      </c>
      <c r="V25" s="91" ph="1">
        <f>V24*47.051*LOOKUP(V26,密度!$A$2:$A$50,密度!$B$2:$B$50)</f>
        <v>288495.74725399999</v>
      </c>
      <c r="W25" s="91" ph="1">
        <f>W24*47.051*LOOKUP(W26,密度!$A$2:$A$50,密度!$B$2:$B$50)</f>
        <v>410187.10329030006</v>
      </c>
      <c r="X25" s="91" ph="1">
        <f>X24*47.051*LOOKUP(X26,密度!$A$2:$A$61,密度!$I$2:$I$61)</f>
        <v>307505.23581279995</v>
      </c>
      <c r="Y25" s="91" ph="1">
        <f>Y24*47.051*LOOKUP(Y26,密度!$A$2:$A$50,密度!$L$2:$L$50)</f>
        <v>160568.87745600002</v>
      </c>
      <c r="Z25" s="175"/>
      <c r="AA25" s="176"/>
      <c r="AB25" s="176"/>
      <c r="AC25" s="176"/>
      <c r="AD25" s="176"/>
      <c r="AE25" s="17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1" ph="1"/>
      <c r="C26" s="68" t="s" ph="1">
        <v>179</v>
      </c>
      <c r="D26" s="74">
        <v>25</v>
      </c>
      <c r="E26" s="74">
        <v>25</v>
      </c>
      <c r="F26" s="74">
        <v>25</v>
      </c>
      <c r="G26" s="74">
        <v>27</v>
      </c>
      <c r="H26" s="74">
        <v>26</v>
      </c>
      <c r="I26" s="74">
        <v>26</v>
      </c>
      <c r="J26" s="74">
        <v>25</v>
      </c>
      <c r="K26" s="74">
        <v>25</v>
      </c>
      <c r="L26" s="74">
        <v>25</v>
      </c>
      <c r="M26" s="74">
        <v>26</v>
      </c>
      <c r="N26" s="74">
        <v>26</v>
      </c>
      <c r="O26" s="74">
        <v>25</v>
      </c>
      <c r="P26" s="74">
        <v>26</v>
      </c>
      <c r="Q26" s="93">
        <v>26</v>
      </c>
      <c r="R26" s="74">
        <v>25</v>
      </c>
      <c r="S26" s="74">
        <v>27</v>
      </c>
      <c r="T26" s="74">
        <v>26</v>
      </c>
      <c r="U26" s="74">
        <v>25</v>
      </c>
      <c r="V26" s="74">
        <v>25</v>
      </c>
      <c r="W26" s="74">
        <v>27</v>
      </c>
      <c r="X26" s="74">
        <v>37</v>
      </c>
      <c r="Y26" s="74">
        <v>26</v>
      </c>
      <c r="Z26" s="175"/>
      <c r="AA26" s="176"/>
      <c r="AB26" s="176"/>
      <c r="AC26" s="176"/>
      <c r="AD26" s="176"/>
      <c r="AE26" s="17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1" ph="1">
        <v>0.66666666666666663</v>
      </c>
      <c r="C27" s="150" t="s" ph="1">
        <v>180</v>
      </c>
      <c r="D27" s="71">
        <v>24.59</v>
      </c>
      <c r="E27" s="71">
        <v>5.41</v>
      </c>
      <c r="F27" s="71">
        <v>2783</v>
      </c>
      <c r="G27" s="71">
        <v>718</v>
      </c>
      <c r="H27" s="71">
        <v>1999</v>
      </c>
      <c r="I27" s="71">
        <v>0</v>
      </c>
      <c r="J27" s="71">
        <v>863</v>
      </c>
      <c r="K27" s="71">
        <v>580</v>
      </c>
      <c r="L27" s="71">
        <v>467</v>
      </c>
      <c r="M27" s="71">
        <v>1746</v>
      </c>
      <c r="N27" s="71">
        <v>4951</v>
      </c>
      <c r="O27" s="71">
        <v>5725</v>
      </c>
      <c r="P27" s="71">
        <v>333</v>
      </c>
      <c r="Q27" s="90">
        <v>3092</v>
      </c>
      <c r="R27" s="71">
        <v>998</v>
      </c>
      <c r="S27" s="71">
        <v>4326</v>
      </c>
      <c r="T27" s="71">
        <v>378</v>
      </c>
      <c r="U27" s="71">
        <v>2908</v>
      </c>
      <c r="V27" s="71">
        <v>7541</v>
      </c>
      <c r="W27" s="71">
        <v>11205</v>
      </c>
      <c r="X27" s="71">
        <v>6211</v>
      </c>
      <c r="Y27" s="71">
        <v>4222</v>
      </c>
      <c r="Z27" s="175"/>
      <c r="AA27" s="176"/>
      <c r="AB27" s="176"/>
      <c r="AC27" s="176"/>
      <c r="AD27" s="176"/>
      <c r="AE27" s="17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1" ph="1"/>
      <c r="C28" s="150" t="s" ph="1">
        <v>178</v>
      </c>
      <c r="D28" s="91" ph="1">
        <f>D27*268.68*LOOKUP(D29,密度!$A$2:$A$50,密度!$Q$2:$Q$50)+IF(D27&lt;=0,0,1566*LOOKUP(D29,密度!$A$2:$A$50,密度!$Q$2:$Q$50))</f>
        <v>7737.5556776879994</v>
      </c>
      <c r="E28" s="91" ph="1">
        <f>E27*268.68*LOOKUP(E29,密度!$A$2:$A$50,密度!$C$2:$C$50)+IF(E27&lt;=0,0,1566*LOOKUP(E29,密度!$A$2:$A$50,密度!$C$2:$C$50))</f>
        <v>3348.38875332</v>
      </c>
      <c r="F28" s="91" ph="1">
        <f>F27*11.702*LOOKUP(F29,密度!$A$2:$A$50,密度!$Q$2:$Q$50)</f>
        <v>30809.043035980001</v>
      </c>
      <c r="G28" s="91" ph="1">
        <f>G27*18.322*LOOKUP(G29,密度!$A$2:$A$50,密度!$B$2:$B$50)</f>
        <v>10243.951125199999</v>
      </c>
      <c r="H28" s="91" ph="1">
        <f>H27*18.322*LOOKUP(H29,密度!$A$2:$A$50,密度!$B$2:$B$50)</f>
        <v>28491.1149162</v>
      </c>
      <c r="I28" s="91" ph="1">
        <f>I27*18.322*LOOKUP(I29,密度!$A$2:$A$50,密度!$Q$2:$Q$50)</f>
        <v>0</v>
      </c>
      <c r="J28" s="91" ph="1">
        <f>J27*18.322*LOOKUP(J29,密度!$A$2:$A$50,密度!$Q$2:$Q$50)</f>
        <v>14958.51851258</v>
      </c>
      <c r="K28" s="91" ph="1">
        <f>K27*18.322*LOOKUP(K29,密度!$A$2:$A$50,密度!$Q$2:$Q$50)</f>
        <v>10053.2337628</v>
      </c>
      <c r="L28" s="91" ph="1">
        <f>L27*18.322*LOOKUP(L29,密度!$A$2:$A$50,密度!$Q$2:$Q$50)</f>
        <v>8094.58649522</v>
      </c>
      <c r="M28" s="91" ph="1">
        <f>M27*18.322*LOOKUP(M29,密度!$A$2:$A$50,密度!$Q$2:$Q$50)</f>
        <v>30240.98720784</v>
      </c>
      <c r="N28" s="91" ph="1">
        <f>N27*18.322*LOOKUP(N29,密度!$A$2:$A$50,密度!$Q$2:$Q$50)</f>
        <v>85752.077701040005</v>
      </c>
      <c r="O28" s="91" ph="1">
        <f>O27*18.322*LOOKUP(O29,密度!$A$2:$A$50,密度!$C$2:$C$50)</f>
        <v>116159.00652999998</v>
      </c>
      <c r="P28" s="91" ph="1">
        <f>P27*11.702*LOOKUP(P29,密度!$A$2:$A$50,密度!$B$2:$B$50)</f>
        <v>3027.787182</v>
      </c>
      <c r="Q28" s="92" ph="1">
        <f>Q27*18.322*LOOKUP(Q29,密度!$A$2:$A$50,密度!$B$2:$B$50)</f>
        <v>44069.298309600003</v>
      </c>
      <c r="R28" s="91" ph="1">
        <f>R27*35.891*LOOKUP(R29,密度!$A$2:$A$50,密度!$C$2:$C$50)</f>
        <v>39637.546638799999</v>
      </c>
      <c r="S28" s="91" ph="1">
        <f>S27*35.891*LOOKUP(S29,密度!$A$2:$A$50,密度!$B$2:$B$50)</f>
        <v>120640.49008199999</v>
      </c>
      <c r="T28" s="91" ph="1">
        <f>T27*35.891*LOOKUP(T29,密度!$A$2:$A$50,密度!$Q$2:$Q$50)</f>
        <v>12815.468726759998</v>
      </c>
      <c r="U28" s="91" ph="1">
        <f>U27*35.891</f>
        <v>104371.02799999999</v>
      </c>
      <c r="V28" s="91" ph="1">
        <f>V27*47.051*LOOKUP(V29,密度!$A$2:$A$50,密度!$B$2:$B$50)</f>
        <v>275688.60620700003</v>
      </c>
      <c r="W28" s="91" ph="1">
        <f>W27*47.051*LOOKUP(W29,密度!$A$2:$A$50,密度!$B$2:$B$50)</f>
        <v>409639.41553500009</v>
      </c>
      <c r="X28" s="91" ph="1">
        <f>X27*47.051*LOOKUP(X29,密度!$A$2:$A$61,密度!$I$2:$I$61)</f>
        <v>300357.85955580004</v>
      </c>
      <c r="Y28" s="91" ph="1">
        <f>Y27*47.051*LOOKUP(Y29,密度!$A$2:$A$50,密度!$L$2:$L$50)</f>
        <v>185538.46674800004</v>
      </c>
      <c r="Z28" s="175"/>
      <c r="AA28" s="176"/>
      <c r="AB28" s="176"/>
      <c r="AC28" s="176"/>
      <c r="AD28" s="176"/>
      <c r="AE28" s="17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1" ph="1"/>
      <c r="C29" s="150" t="s" ph="1">
        <v>179</v>
      </c>
      <c r="D29" s="74">
        <v>25</v>
      </c>
      <c r="E29" s="74">
        <v>25</v>
      </c>
      <c r="F29" s="74">
        <v>26</v>
      </c>
      <c r="G29" s="74">
        <v>26</v>
      </c>
      <c r="H29" s="74">
        <v>27</v>
      </c>
      <c r="I29" s="74">
        <v>28</v>
      </c>
      <c r="J29" s="74">
        <v>26</v>
      </c>
      <c r="K29" s="74">
        <v>26</v>
      </c>
      <c r="L29" s="74">
        <v>26</v>
      </c>
      <c r="M29" s="74">
        <v>27</v>
      </c>
      <c r="N29" s="74">
        <v>27</v>
      </c>
      <c r="O29" s="74">
        <v>27</v>
      </c>
      <c r="P29" s="74">
        <v>28</v>
      </c>
      <c r="Q29" s="93">
        <v>27</v>
      </c>
      <c r="R29" s="74">
        <v>28</v>
      </c>
      <c r="S29" s="74">
        <v>28</v>
      </c>
      <c r="T29" s="74">
        <v>28</v>
      </c>
      <c r="U29" s="74">
        <v>27</v>
      </c>
      <c r="V29" s="74">
        <v>28</v>
      </c>
      <c r="W29" s="74">
        <v>28</v>
      </c>
      <c r="X29" s="74">
        <v>38</v>
      </c>
      <c r="Y29" s="74">
        <v>28</v>
      </c>
      <c r="Z29" s="178"/>
      <c r="AA29" s="179"/>
      <c r="AB29" s="179"/>
      <c r="AC29" s="179"/>
      <c r="AD29" s="179"/>
      <c r="AE29" s="18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4" t="s" ph="1">
        <v>35</v>
      </c>
      <c r="C31" s="195" ph="1"/>
      <c r="D31" s="198" t="s" ph="1">
        <v>9</v>
      </c>
      <c r="E31" s="187" ph="1"/>
      <c r="F31" s="188" ph="1"/>
      <c r="G31" s="198" t="s" ph="1">
        <v>18</v>
      </c>
      <c r="H31" s="187" ph="1"/>
      <c r="I31" s="188" ph="1"/>
      <c r="J31" s="186" t="s" ph="1">
        <v>1</v>
      </c>
      <c r="K31" s="187" ph="1"/>
      <c r="L31" s="188" ph="1"/>
      <c r="M31" s="186" t="s" ph="1">
        <v>7</v>
      </c>
      <c r="N31" s="187" ph="1"/>
      <c r="O31" s="188" ph="1"/>
      <c r="P31" s="186" t="s" ph="1">
        <v>41</v>
      </c>
      <c r="Q31" s="187"/>
      <c r="R31" s="188"/>
      <c r="S31" s="186" t="s" ph="1">
        <v>2</v>
      </c>
      <c r="T31" s="187"/>
      <c r="U31" s="188"/>
      <c r="V31" s="186" t="s" ph="1">
        <v>71</v>
      </c>
      <c r="W31" s="187" ph="1"/>
      <c r="X31" s="188" ph="1"/>
      <c r="Y31" s="186" t="s" ph="1">
        <v>3</v>
      </c>
      <c r="Z31" s="187" ph="1"/>
      <c r="AA31" s="188" ph="1"/>
      <c r="AB31" s="209" t="s">
        <v>42</v>
      </c>
      <c r="AC31" s="210"/>
      <c r="AD31" s="210"/>
      <c r="AE31" s="211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6" ph="1"/>
      <c r="C32" s="197" ph="1"/>
      <c r="D32" s="96" t="s" ph="1">
        <v>4</v>
      </c>
      <c r="E32" s="150" t="s" ph="1">
        <v>5</v>
      </c>
      <c r="F32" s="149" t="s" ph="1">
        <v>43</v>
      </c>
      <c r="G32" s="97" t="s" ph="1">
        <v>4</v>
      </c>
      <c r="H32" s="150" t="s" ph="1">
        <v>5</v>
      </c>
      <c r="I32" s="149" t="s" ph="1">
        <v>43</v>
      </c>
      <c r="J32" s="97" t="s" ph="1">
        <v>4</v>
      </c>
      <c r="K32" s="150" t="s" ph="1">
        <v>5</v>
      </c>
      <c r="L32" s="149" t="s" ph="1">
        <v>43</v>
      </c>
      <c r="M32" s="97" t="s" ph="1">
        <v>4</v>
      </c>
      <c r="N32" s="150" t="s" ph="1">
        <v>5</v>
      </c>
      <c r="O32" s="149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0" t="s" ph="1">
        <v>5</v>
      </c>
      <c r="U32" s="99" t="s" ph="1">
        <v>43</v>
      </c>
      <c r="V32" s="97" t="s" ph="1">
        <v>4</v>
      </c>
      <c r="W32" s="150" t="s" ph="1">
        <v>5</v>
      </c>
      <c r="X32" s="99" t="s" ph="1">
        <v>43</v>
      </c>
      <c r="Y32" s="100" t="s" ph="1">
        <v>4</v>
      </c>
      <c r="Z32" s="150" t="s" ph="1">
        <v>5</v>
      </c>
      <c r="AA32" s="149" t="s" ph="1">
        <v>43</v>
      </c>
      <c r="AB32" s="97" t="s" ph="1">
        <v>85</v>
      </c>
      <c r="AC32" s="150" t="s" ph="1">
        <v>84</v>
      </c>
      <c r="AD32" s="212" t="s" ph="1">
        <v>83</v>
      </c>
      <c r="AE32" s="213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199" t="s" ph="1">
        <v>181</v>
      </c>
      <c r="C33" s="200" ph="1"/>
      <c r="D33" s="203" ph="1">
        <f>AA10+AB10+Z19</f>
        <v>199192.48482720001</v>
      </c>
      <c r="E33" s="203" ph="1">
        <f>M10+I10</f>
        <v>44368.244276399993</v>
      </c>
      <c r="F33" s="20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1522252632456786910111213141516171819202123456789101112131415161718192022232424356789101112131415161718192021222345678910111213141516171819202345678910111213149101516171819222123234567891012131415161711181920212224252345678910111213132[[#This Row],[F25]]</f>
        <v>3880</v>
      </c>
      <c r="G33" s="207" ph="1">
        <f>N19</f>
        <v>7337.1997705000003</v>
      </c>
      <c r="H33" s="203" ph="1">
        <f>M19</f>
        <v>44118.383917319996</v>
      </c>
      <c r="I33" s="216" ph="1">
        <v>0</v>
      </c>
      <c r="J33" s="214" ph="1">
        <f>F10+O28</f>
        <v>349322.5548712</v>
      </c>
      <c r="K33" s="203" ph="1">
        <f>O10+K10+E28+R28</f>
        <v>60892.43976732</v>
      </c>
      <c r="L33" s="218" ph="1">
        <f>K19</f>
        <v>36174.404665600006</v>
      </c>
      <c r="M33" s="214" ph="1">
        <f>G10+H10+W28+S28+V28+E10+R19+P28+Q28</f>
        <v>1845281.2218848201</v>
      </c>
      <c r="N33" s="203" ph="1">
        <f>L10+P10++G28+H28+AD19+AE19</f>
        <v>72524.119045600004</v>
      </c>
      <c r="O33" s="216" ph="1">
        <f>G19</f>
        <v>30257.402481599998</v>
      </c>
      <c r="P33" s="214" ph="1">
        <f>L19</f>
        <v>8223.0613150400004</v>
      </c>
      <c r="Q33" s="203" ph="1">
        <f>J10+N10</f>
        <v>10875.6055328</v>
      </c>
      <c r="R33" s="216" ph="1">
        <f>BE23</f>
        <v>890</v>
      </c>
      <c r="S33" s="214" ph="1">
        <f>X28</f>
        <v>300357.85955580004</v>
      </c>
      <c r="T33" s="203" ph="1">
        <f>X19</f>
        <v>4851.0024435199994</v>
      </c>
      <c r="U33" s="224" ph="1">
        <f>BE21</f>
        <v>730</v>
      </c>
      <c r="V33" s="235" ph="1">
        <f ca="1">P19+Q19+S19+M28+N28+J28+D10+AC10+D19+E19+H19+J19+O19+V19+W19+K28+L28</f>
        <v>698100.21348987997</v>
      </c>
      <c r="W33" s="235" ph="1">
        <f>D28+F28+T28+I28</f>
        <v>51362.067440428</v>
      </c>
      <c r="X33" s="216" ph="1">
        <f>BE29+BE31</f>
        <v>10200</v>
      </c>
      <c r="Y33" s="237" ph="1">
        <f>+Q10+R10+S10+T10+U10+V10+W10+X10+Y10</f>
        <v>117231.00626160001</v>
      </c>
      <c r="Z33" s="222" ph="1">
        <f>T19+U19+Y28+Z10</f>
        <v>333030.78021485999</v>
      </c>
      <c r="AA33" s="224" ph="1">
        <f>BE19</f>
        <v>1440</v>
      </c>
      <c r="AB33" s="226" ph="1">
        <f>I19</f>
        <v>50975.204310000001</v>
      </c>
      <c r="AC33" s="228" ph="1">
        <f>AD10+AB19</f>
        <v>135084.0676946</v>
      </c>
      <c r="AD33" s="230" ph="1">
        <v>0</v>
      </c>
      <c r="AE33" s="231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1" ph="1"/>
      <c r="C34" s="202" ph="1"/>
      <c r="D34" s="204" ph="1"/>
      <c r="E34" s="204" ph="1"/>
      <c r="F34" s="206" ph="1"/>
      <c r="G34" s="208" ph="1"/>
      <c r="H34" s="204" ph="1"/>
      <c r="I34" s="217" ph="1"/>
      <c r="J34" s="215" ph="1"/>
      <c r="K34" s="204" ph="1"/>
      <c r="L34" s="219" ph="1"/>
      <c r="M34" s="215" ph="1"/>
      <c r="N34" s="204" ph="1"/>
      <c r="O34" s="217" ph="1"/>
      <c r="P34" s="215" ph="1"/>
      <c r="Q34" s="204" ph="1"/>
      <c r="R34" s="217" ph="1"/>
      <c r="S34" s="215" ph="1"/>
      <c r="T34" s="204"/>
      <c r="U34" s="225"/>
      <c r="V34" s="236" ph="1"/>
      <c r="W34" s="236" ph="1"/>
      <c r="X34" s="217" ph="1"/>
      <c r="Y34" s="238" ph="1"/>
      <c r="Z34" s="223" ph="1"/>
      <c r="AA34" s="225" ph="1"/>
      <c r="AB34" s="227"/>
      <c r="AC34" s="229"/>
      <c r="AD34" s="232"/>
      <c r="AE34" s="233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4" t="s" ph="1">
        <v>631</v>
      </c>
      <c r="AD35" s="234"/>
      <c r="AE35" s="234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0" t="s" ph="1">
        <v>183</v>
      </c>
      <c r="J36" s="220" ph="1"/>
      <c r="K36" s="101" ph="1"/>
      <c r="P36" s="101" ph="1"/>
      <c r="R36" s="220" t="s" ph="1">
        <v>184</v>
      </c>
      <c r="S36" s="220" ph="1"/>
      <c r="Y36" s="102" ph="1"/>
      <c r="Z36" s="148" t="s" ph="1">
        <v>185</v>
      </c>
      <c r="AA36" s="148" ph="1"/>
      <c r="AB36" s="221" t="s" ph="1">
        <v>638</v>
      </c>
      <c r="AC36" s="221" ph="1"/>
      <c r="AD36" s="221" ph="1"/>
      <c r="AE36" s="221" ph="1"/>
      <c r="BA36" s="64" ph="1">
        <v>2270</v>
      </c>
    </row>
    <row r="37" spans="1:57" s="148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8" t="s" ph="1">
        <v>342</v>
      </c>
      <c r="AI37" s="148" t="s" ph="1">
        <v>209</v>
      </c>
      <c r="AJ37" s="148" t="s" ph="1">
        <v>210</v>
      </c>
      <c r="AK37" s="148" t="s" ph="1">
        <v>211</v>
      </c>
      <c r="AM37" s="148" t="s" ph="1">
        <v>210</v>
      </c>
      <c r="AN37" s="148" t="s" ph="1">
        <v>211</v>
      </c>
      <c r="AO37" s="148" t="s" ph="1">
        <v>212</v>
      </c>
      <c r="AP37" s="148" t="s" ph="1">
        <v>210</v>
      </c>
      <c r="AQ37" s="148" t="s" ph="1">
        <v>211</v>
      </c>
      <c r="AR37" s="148" t="s" ph="1">
        <v>212</v>
      </c>
      <c r="AS37" s="148" t="s" ph="1">
        <v>210</v>
      </c>
      <c r="AT37" s="148" t="s" ph="1">
        <v>211</v>
      </c>
      <c r="AU37" s="148" t="s" ph="1">
        <v>212</v>
      </c>
      <c r="AV37" s="148" t="s" ph="1">
        <v>210</v>
      </c>
      <c r="AW37" s="148" t="s" ph="1">
        <v>211</v>
      </c>
      <c r="AX37" s="148" t="s" ph="1">
        <v>212</v>
      </c>
      <c r="AY37" s="148" t="s" ph="1">
        <v>211</v>
      </c>
      <c r="AZ37" s="148" t="s" ph="1">
        <v>213</v>
      </c>
      <c r="BD37" s="148" t="s" ph="1">
        <v>305</v>
      </c>
      <c r="BE37" s="148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599" priority="100">
      <formula>ABS(D$7-D$10)&gt;=1000</formula>
    </cfRule>
  </conditionalFormatting>
  <conditionalFormatting sqref="E4 E6:E11">
    <cfRule type="expression" dxfId="2598" priority="99">
      <formula>ABS(E$7-E$10)&gt;=1000</formula>
    </cfRule>
  </conditionalFormatting>
  <conditionalFormatting sqref="F4:F11">
    <cfRule type="expression" dxfId="2597" priority="98">
      <formula>ABS(F$7-F$10)&gt;=1000</formula>
    </cfRule>
  </conditionalFormatting>
  <conditionalFormatting sqref="G4:G11">
    <cfRule type="expression" dxfId="2596" priority="97">
      <formula>ABS(G$7-G$10)&gt;=1000</formula>
    </cfRule>
  </conditionalFormatting>
  <conditionalFormatting sqref="H4:H11">
    <cfRule type="expression" dxfId="2595" priority="96">
      <formula>ABS(H$7-H$10)&gt;=1000</formula>
    </cfRule>
  </conditionalFormatting>
  <conditionalFormatting sqref="I4:I11">
    <cfRule type="expression" dxfId="2594" priority="95">
      <formula>ABS(I$7-I$10)&gt;=1000</formula>
    </cfRule>
  </conditionalFormatting>
  <conditionalFormatting sqref="J4:J11">
    <cfRule type="expression" dxfId="2593" priority="94">
      <formula>ABS(J$7-J$10)&gt;=1000</formula>
    </cfRule>
  </conditionalFormatting>
  <conditionalFormatting sqref="K4:K11">
    <cfRule type="expression" dxfId="2592" priority="93">
      <formula>ABS(K$7-K$10)&gt;=1000</formula>
    </cfRule>
  </conditionalFormatting>
  <conditionalFormatting sqref="L4:L11">
    <cfRule type="expression" dxfId="2591" priority="92">
      <formula>ABS(L$7-L$10)&gt;=1000</formula>
    </cfRule>
  </conditionalFormatting>
  <conditionalFormatting sqref="M4 M6:M11">
    <cfRule type="expression" dxfId="2590" priority="91">
      <formula>ABS(M$7-M$10)&gt;=1000</formula>
    </cfRule>
  </conditionalFormatting>
  <conditionalFormatting sqref="N4 N6:N11">
    <cfRule type="expression" dxfId="2589" priority="90">
      <formula>ABS(N$7-N$10)&gt;=1000</formula>
    </cfRule>
  </conditionalFormatting>
  <conditionalFormatting sqref="O4 O6:O11">
    <cfRule type="expression" dxfId="2588" priority="89">
      <formula>ABS(O$7-O$10)&gt;=1000</formula>
    </cfRule>
  </conditionalFormatting>
  <conditionalFormatting sqref="P4 P6:P11">
    <cfRule type="expression" dxfId="2587" priority="88">
      <formula>ABS(P$7-P$10)&gt;=1000</formula>
    </cfRule>
  </conditionalFormatting>
  <conditionalFormatting sqref="Q4:Q11">
    <cfRule type="expression" dxfId="2586" priority="87">
      <formula>ABS(Q$7-Q$10)&gt;=1000</formula>
    </cfRule>
  </conditionalFormatting>
  <conditionalFormatting sqref="R4:R11">
    <cfRule type="expression" dxfId="2585" priority="86">
      <formula>ABS(R$7-R$10)&gt;=1000</formula>
    </cfRule>
  </conditionalFormatting>
  <conditionalFormatting sqref="S4:S11">
    <cfRule type="expression" dxfId="2584" priority="85">
      <formula>ABS(S$7-S$10)&gt;=1000</formula>
    </cfRule>
  </conditionalFormatting>
  <conditionalFormatting sqref="T4:T9 T11">
    <cfRule type="expression" dxfId="2583" priority="84">
      <formula>ABS(T$7-T$10)&gt;=1000</formula>
    </cfRule>
  </conditionalFormatting>
  <conditionalFormatting sqref="U4:U9 U11">
    <cfRule type="expression" dxfId="2582" priority="83">
      <formula>ABS(U$7-U$10)&gt;=1000</formula>
    </cfRule>
  </conditionalFormatting>
  <conditionalFormatting sqref="V4:V9 V11">
    <cfRule type="expression" dxfId="2581" priority="82">
      <formula>ABS(V$7-V$10)&gt;=1000</formula>
    </cfRule>
  </conditionalFormatting>
  <conditionalFormatting sqref="W4:W9 W11">
    <cfRule type="expression" dxfId="2580" priority="81">
      <formula>ABS(W$7-W$10)&gt;=1000</formula>
    </cfRule>
  </conditionalFormatting>
  <conditionalFormatting sqref="X4:X9 X11">
    <cfRule type="expression" dxfId="2579" priority="80">
      <formula>ABS(X$7-X$10)&gt;=1000</formula>
    </cfRule>
  </conditionalFormatting>
  <conditionalFormatting sqref="Y4:Y9 Y11">
    <cfRule type="expression" dxfId="2578" priority="79">
      <formula>ABS(Y$7-Y$10)&gt;=1000</formula>
    </cfRule>
  </conditionalFormatting>
  <conditionalFormatting sqref="Z4:Z11">
    <cfRule type="expression" dxfId="2577" priority="78">
      <formula>ABS(Z$7-Z$10)&gt;=1000</formula>
    </cfRule>
  </conditionalFormatting>
  <conditionalFormatting sqref="AA4:AA11">
    <cfRule type="expression" dxfId="2576" priority="77">
      <formula>ABS(AA$7-AA$10)&gt;=1000</formula>
    </cfRule>
  </conditionalFormatting>
  <conditionalFormatting sqref="AB4:AB11">
    <cfRule type="expression" dxfId="2575" priority="76">
      <formula>ABS(AB$7-AB$10)&gt;=1000</formula>
    </cfRule>
  </conditionalFormatting>
  <conditionalFormatting sqref="AC4 AC6:AC11">
    <cfRule type="expression" dxfId="2574" priority="75">
      <formula>ABS(AC$7-AC$10)&gt;=1000</formula>
    </cfRule>
  </conditionalFormatting>
  <conditionalFormatting sqref="AD4 AD6:AD11">
    <cfRule type="expression" dxfId="2573" priority="74">
      <formula>ABS(AD$7-AD$10)&gt;=1000</formula>
    </cfRule>
  </conditionalFormatting>
  <conditionalFormatting sqref="AE4 AE6:AE11">
    <cfRule type="expression" dxfId="2572" priority="73">
      <formula>ABS(AE$7-AE$10)&gt;=1000</formula>
    </cfRule>
  </conditionalFormatting>
  <conditionalFormatting sqref="D13:D20">
    <cfRule type="expression" dxfId="2571" priority="72">
      <formula>ABS(D$16-D$19)&gt;=1000</formula>
    </cfRule>
  </conditionalFormatting>
  <conditionalFormatting sqref="E13:E20">
    <cfRule type="expression" dxfId="2570" priority="71">
      <formula>ABS(E$16-E$19)&gt;=1000</formula>
    </cfRule>
  </conditionalFormatting>
  <conditionalFormatting sqref="F13 F15:F20">
    <cfRule type="expression" dxfId="2569" priority="70">
      <formula>ABS(F$16-F$19)&gt;=1000</formula>
    </cfRule>
  </conditionalFormatting>
  <conditionalFormatting sqref="G13:G20">
    <cfRule type="expression" dxfId="2568" priority="69">
      <formula>ABS(G$16-G$19)&gt;=1000</formula>
    </cfRule>
  </conditionalFormatting>
  <conditionalFormatting sqref="H13 H15:H20">
    <cfRule type="expression" dxfId="2567" priority="68">
      <formula>ABS(H$16-H$19)&gt;=1000</formula>
    </cfRule>
  </conditionalFormatting>
  <conditionalFormatting sqref="I13:I20">
    <cfRule type="expression" dxfId="2566" priority="67">
      <formula>ABS(I$16-I$19)&gt;=1000</formula>
    </cfRule>
  </conditionalFormatting>
  <conditionalFormatting sqref="J13:J20">
    <cfRule type="expression" dxfId="2565" priority="66">
      <formula>ABS(J$16-J$19)&gt;=1000</formula>
    </cfRule>
  </conditionalFormatting>
  <conditionalFormatting sqref="L13:L20">
    <cfRule type="expression" dxfId="2564" priority="65">
      <formula>ABS(L$16-L$19)&gt;=1000</formula>
    </cfRule>
  </conditionalFormatting>
  <conditionalFormatting sqref="M13 M15 M17:M18 M20">
    <cfRule type="expression" dxfId="2563" priority="64">
      <formula>ABS(M$16-M$19)&gt;=1000</formula>
    </cfRule>
  </conditionalFormatting>
  <conditionalFormatting sqref="N13:N20">
    <cfRule type="expression" dxfId="2562" priority="63">
      <formula>ABS(N$16-N$19)&gt;=1000</formula>
    </cfRule>
  </conditionalFormatting>
  <conditionalFormatting sqref="O13:O20">
    <cfRule type="expression" dxfId="2561" priority="62">
      <formula>ABS(O$16-O$19)&gt;=1000</formula>
    </cfRule>
  </conditionalFormatting>
  <conditionalFormatting sqref="P13:P20">
    <cfRule type="expression" dxfId="2560" priority="61">
      <formula>ABS(P$16-P$19)&gt;=1000</formula>
    </cfRule>
  </conditionalFormatting>
  <conditionalFormatting sqref="Q13 Q15:Q20">
    <cfRule type="expression" dxfId="2559" priority="60">
      <formula>ABS(Q$16-Q$19)&gt;=1000</formula>
    </cfRule>
  </conditionalFormatting>
  <conditionalFormatting sqref="R13:R20">
    <cfRule type="expression" dxfId="2558" priority="59">
      <formula>ABS(R$16-R$19)&gt;=1000</formula>
    </cfRule>
  </conditionalFormatting>
  <conditionalFormatting sqref="S13:S20">
    <cfRule type="expression" dxfId="2557" priority="58">
      <formula>ABS(S$16-S$19)&gt;=1000</formula>
    </cfRule>
  </conditionalFormatting>
  <conditionalFormatting sqref="T13:T20">
    <cfRule type="expression" dxfId="2556" priority="57">
      <formula>ABS(T$16-T$19)&gt;=1000</formula>
    </cfRule>
  </conditionalFormatting>
  <conditionalFormatting sqref="U13:U20">
    <cfRule type="expression" dxfId="2555" priority="56">
      <formula>ABS(U$16-U$19)&gt;=1000</formula>
    </cfRule>
  </conditionalFormatting>
  <conditionalFormatting sqref="V13:V20">
    <cfRule type="expression" dxfId="2554" priority="55">
      <formula>ABS(V$16-V$19)&gt;=1000</formula>
    </cfRule>
  </conditionalFormatting>
  <conditionalFormatting sqref="W13 W20 W15:W18">
    <cfRule type="expression" dxfId="2553" priority="54">
      <formula>ABS(W$16-W$19)&gt;=1000</formula>
    </cfRule>
  </conditionalFormatting>
  <conditionalFormatting sqref="X13 X15:X20 Y19">
    <cfRule type="expression" dxfId="2552" priority="53">
      <formula>ABS(X$16-X$19)&gt;=1000</formula>
    </cfRule>
  </conditionalFormatting>
  <conditionalFormatting sqref="Y13 Y15:Y18 Y20">
    <cfRule type="expression" dxfId="2551" priority="52">
      <formula>ABS(Y$16-Y$19)&gt;=1000</formula>
    </cfRule>
  </conditionalFormatting>
  <conditionalFormatting sqref="Z13:Z20">
    <cfRule type="expression" dxfId="2550" priority="51">
      <formula>ABS(Z$16-Z$19)&gt;=1000</formula>
    </cfRule>
  </conditionalFormatting>
  <conditionalFormatting sqref="AA13:AA20">
    <cfRule type="expression" dxfId="2549" priority="50">
      <formula>ABS(AA$16-AA$19)&gt;=1000</formula>
    </cfRule>
  </conditionalFormatting>
  <conditionalFormatting sqref="AB13 AB15:AB20">
    <cfRule type="expression" dxfId="2548" priority="49">
      <formula>ABS(AB$16-AB$19)&gt;=1000</formula>
    </cfRule>
  </conditionalFormatting>
  <conditionalFormatting sqref="AC13 AC15:AC20">
    <cfRule type="expression" dxfId="2547" priority="48">
      <formula>ABS(AC$16-AC$19)&gt;=1000</formula>
    </cfRule>
  </conditionalFormatting>
  <conditionalFormatting sqref="AD13:AD20">
    <cfRule type="expression" dxfId="2546" priority="47">
      <formula>ABS(AD$16-AD$19)&gt;=1000</formula>
    </cfRule>
  </conditionalFormatting>
  <conditionalFormatting sqref="AE13:AE20">
    <cfRule type="expression" dxfId="2545" priority="46">
      <formula>ABS(AE$16-AE$19)&gt;=1000</formula>
    </cfRule>
  </conditionalFormatting>
  <conditionalFormatting sqref="D22:D29">
    <cfRule type="expression" dxfId="2544" priority="45">
      <formula>ABS(D$25-D$28)&gt;=1000</formula>
    </cfRule>
  </conditionalFormatting>
  <conditionalFormatting sqref="E22:E29">
    <cfRule type="expression" dxfId="2543" priority="44">
      <formula>ABS(E$25-E$28)&gt;=1000</formula>
    </cfRule>
  </conditionalFormatting>
  <conditionalFormatting sqref="F22:F29">
    <cfRule type="expression" dxfId="2542" priority="43">
      <formula>ABS(F$25-F$28)&gt;=1000</formula>
    </cfRule>
  </conditionalFormatting>
  <conditionalFormatting sqref="G22:G29">
    <cfRule type="expression" dxfId="2541" priority="42">
      <formula>ABS(G$25-G$28)&gt;=1000</formula>
    </cfRule>
  </conditionalFormatting>
  <conditionalFormatting sqref="H22:H29">
    <cfRule type="expression" dxfId="2540" priority="41">
      <formula>ABS(H$25-H$28)&gt;=1000</formula>
    </cfRule>
  </conditionalFormatting>
  <conditionalFormatting sqref="I22 I24:I29">
    <cfRule type="expression" dxfId="2539" priority="40">
      <formula>ABS(I$25-I$28)&gt;=1000</formula>
    </cfRule>
  </conditionalFormatting>
  <conditionalFormatting sqref="J22:J29 K22">
    <cfRule type="expression" dxfId="2538" priority="39">
      <formula>ABS(J$25-J$28)&gt;=1000</formula>
    </cfRule>
  </conditionalFormatting>
  <conditionalFormatting sqref="K23:K29 L25 L28">
    <cfRule type="expression" dxfId="2537" priority="38">
      <formula>ABS(K$25-K$28)&gt;=1000</formula>
    </cfRule>
  </conditionalFormatting>
  <conditionalFormatting sqref="L22 L26:L27 L29 L24">
    <cfRule type="expression" dxfId="2536" priority="37">
      <formula>ABS(L$25-L$28)&gt;=1000</formula>
    </cfRule>
  </conditionalFormatting>
  <conditionalFormatting sqref="M22:M29">
    <cfRule type="expression" dxfId="2535" priority="36">
      <formula>ABS(M$25-M$28)&gt;=1000</formula>
    </cfRule>
  </conditionalFormatting>
  <conditionalFormatting sqref="N22:N29">
    <cfRule type="expression" dxfId="2534" priority="35">
      <formula>ABS(N$25-N$28)&gt;=1000</formula>
    </cfRule>
  </conditionalFormatting>
  <conditionalFormatting sqref="O22:O29">
    <cfRule type="expression" dxfId="2533" priority="34">
      <formula>ABS(O$25-O$28)&gt;=1000</formula>
    </cfRule>
  </conditionalFormatting>
  <conditionalFormatting sqref="P22:P29">
    <cfRule type="expression" dxfId="2532" priority="33">
      <formula>ABS(P$25-P$28)&gt;=1000</formula>
    </cfRule>
  </conditionalFormatting>
  <conditionalFormatting sqref="Q22:Q29">
    <cfRule type="expression" dxfId="2531" priority="32">
      <formula>ABS(Q$25-Q$28)&gt;=1000</formula>
    </cfRule>
  </conditionalFormatting>
  <conditionalFormatting sqref="R22:R29">
    <cfRule type="expression" dxfId="2530" priority="31">
      <formula>ABS(R$25-R$28)&gt;=1000</formula>
    </cfRule>
  </conditionalFormatting>
  <conditionalFormatting sqref="S22:S29">
    <cfRule type="expression" dxfId="2529" priority="30">
      <formula>ABS(S$25-S$28)&gt;=1000</formula>
    </cfRule>
  </conditionalFormatting>
  <conditionalFormatting sqref="T22:T29">
    <cfRule type="expression" dxfId="2528" priority="29">
      <formula>ABS(T$25-T$28)&gt;=1000</formula>
    </cfRule>
  </conditionalFormatting>
  <conditionalFormatting sqref="U22:U29">
    <cfRule type="expression" dxfId="2527" priority="28">
      <formula>ABS(U$25-U$28)&gt;=1000</formula>
    </cfRule>
  </conditionalFormatting>
  <conditionalFormatting sqref="V22:V29">
    <cfRule type="expression" dxfId="2526" priority="27">
      <formula>ABS(V$25-V$28)&gt;=1000</formula>
    </cfRule>
  </conditionalFormatting>
  <conditionalFormatting sqref="W22:W29">
    <cfRule type="expression" dxfId="2525" priority="26">
      <formula>ABS(W$25-W$28)&gt;=1000</formula>
    </cfRule>
  </conditionalFormatting>
  <conditionalFormatting sqref="X22:X29">
    <cfRule type="expression" dxfId="2524" priority="25">
      <formula>ABS(X$25-X$28)&gt;=1000</formula>
    </cfRule>
  </conditionalFormatting>
  <conditionalFormatting sqref="Y22:Y29">
    <cfRule type="expression" dxfId="2523" priority="24">
      <formula>ABS(Y$25-Y$28)&gt;=1000</formula>
    </cfRule>
  </conditionalFormatting>
  <conditionalFormatting sqref="I23">
    <cfRule type="expression" dxfId="2522" priority="23">
      <formula>ABS(I$25-I$28)&gt;=1000</formula>
    </cfRule>
  </conditionalFormatting>
  <conditionalFormatting sqref="Q14">
    <cfRule type="expression" dxfId="2521" priority="22">
      <formula>ABS(Q$16-Q$19)&gt;=1000</formula>
    </cfRule>
  </conditionalFormatting>
  <conditionalFormatting sqref="W14">
    <cfRule type="expression" dxfId="2520" priority="21">
      <formula>ABS(W$16-W$19)&gt;=1000</formula>
    </cfRule>
  </conditionalFormatting>
  <conditionalFormatting sqref="X14">
    <cfRule type="expression" dxfId="2519" priority="20">
      <formula>ABS(X$16-X$19)&gt;=1000</formula>
    </cfRule>
  </conditionalFormatting>
  <conditionalFormatting sqref="T10:Y10">
    <cfRule type="expression" dxfId="2518" priority="19">
      <formula>ABS(T$7-T$10)&gt;=1000</formula>
    </cfRule>
  </conditionalFormatting>
  <conditionalFormatting sqref="W19">
    <cfRule type="expression" dxfId="2517" priority="18">
      <formula>ABS(W$16-W$19)&gt;=1000</formula>
    </cfRule>
  </conditionalFormatting>
  <conditionalFormatting sqref="AC5">
    <cfRule type="expression" dxfId="2516" priority="17">
      <formula>ABS(AC$7-AC$10)&gt;=1000</formula>
    </cfRule>
  </conditionalFormatting>
  <conditionalFormatting sqref="M14">
    <cfRule type="expression" dxfId="2515" priority="16">
      <formula>ABS(M$16-M$19)&gt;=1000</formula>
    </cfRule>
  </conditionalFormatting>
  <conditionalFormatting sqref="M16">
    <cfRule type="expression" dxfId="2514" priority="15">
      <formula>ABS(M$16-M$19)&gt;=1000</formula>
    </cfRule>
  </conditionalFormatting>
  <conditionalFormatting sqref="M19">
    <cfRule type="expression" dxfId="2513" priority="14">
      <formula>ABS(M$16-M$19)&gt;=1000</formula>
    </cfRule>
  </conditionalFormatting>
  <conditionalFormatting sqref="K13:K20">
    <cfRule type="expression" dxfId="2512" priority="13">
      <formula>ABS(K$16-K$19)&gt;=1000</formula>
    </cfRule>
  </conditionalFormatting>
  <conditionalFormatting sqref="E5">
    <cfRule type="expression" dxfId="2511" priority="12">
      <formula>ABS(E$7-E$10)&gt;=1000</formula>
    </cfRule>
  </conditionalFormatting>
  <conditionalFormatting sqref="AB14:AC14">
    <cfRule type="expression" dxfId="2510" priority="11">
      <formula>ABS(AB$16-AB$19)&gt;=1000</formula>
    </cfRule>
  </conditionalFormatting>
  <conditionalFormatting sqref="M5">
    <cfRule type="expression" dxfId="2509" priority="10">
      <formula>ABS(M$7-M$10)&gt;=1000</formula>
    </cfRule>
  </conditionalFormatting>
  <conditionalFormatting sqref="N5">
    <cfRule type="expression" dxfId="2508" priority="9">
      <formula>ABS(N$7-N$10)&gt;=1000</formula>
    </cfRule>
  </conditionalFormatting>
  <conditionalFormatting sqref="O5">
    <cfRule type="expression" dxfId="2507" priority="8">
      <formula>ABS(O$7-O$10)&gt;=1000</formula>
    </cfRule>
  </conditionalFormatting>
  <conditionalFormatting sqref="P5">
    <cfRule type="expression" dxfId="2506" priority="7">
      <formula>ABS(P$7-P$10)&gt;=1000</formula>
    </cfRule>
  </conditionalFormatting>
  <conditionalFormatting sqref="L23">
    <cfRule type="expression" dxfId="2505" priority="6">
      <formula>ABS(L$25-L$28)&gt;=1000</formula>
    </cfRule>
  </conditionalFormatting>
  <conditionalFormatting sqref="Y14">
    <cfRule type="expression" dxfId="2504" priority="5">
      <formula>ABS(Y$16-Y$19)&gt;=1000</formula>
    </cfRule>
  </conditionalFormatting>
  <conditionalFormatting sqref="F14">
    <cfRule type="expression" dxfId="2503" priority="4">
      <formula>ABS(F$16-F$19)&gt;=1000</formula>
    </cfRule>
  </conditionalFormatting>
  <conditionalFormatting sqref="H14">
    <cfRule type="expression" dxfId="2502" priority="3">
      <formula>ABS(H$16-H$19)&gt;=1000</formula>
    </cfRule>
  </conditionalFormatting>
  <conditionalFormatting sqref="AD5">
    <cfRule type="expression" dxfId="2501" priority="2">
      <formula>ABS(AD$7-AD$10)&gt;=1000</formula>
    </cfRule>
  </conditionalFormatting>
  <conditionalFormatting sqref="AE5">
    <cfRule type="expression" dxfId="250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0678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60">
    <pageSetUpPr fitToPage="1"/>
  </sheetPr>
  <dimension ref="A1:CU223"/>
  <sheetViews>
    <sheetView view="pageBreakPreview" topLeftCell="A12" zoomScale="70" zoomScaleNormal="100" zoomScaleSheetLayoutView="70" workbookViewId="0">
      <selection activeCell="Y29" sqref="Y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2" t="s" ph="1">
        <v>161</v>
      </c>
      <c r="C1" s="182" ph="1"/>
      <c r="D1" s="182" ph="1"/>
      <c r="E1" s="182" ph="1"/>
      <c r="F1" s="182" ph="1"/>
      <c r="G1" s="182" ph="1"/>
      <c r="H1" s="182" ph="1"/>
      <c r="I1" s="182" ph="1"/>
      <c r="J1" s="182" ph="1"/>
      <c r="K1" s="182" ph="1"/>
      <c r="L1" s="182" ph="1"/>
      <c r="M1" s="182" ph="1"/>
      <c r="N1" s="182" ph="1"/>
      <c r="O1" s="182" ph="1"/>
      <c r="P1" s="182" ph="1"/>
      <c r="Q1" s="182" ph="1"/>
      <c r="R1" s="182" ph="1"/>
      <c r="S1" s="182" ph="1"/>
      <c r="T1" s="182" ph="1"/>
      <c r="U1" s="182" ph="1"/>
      <c r="V1" s="182" ph="1"/>
      <c r="W1" s="182" ph="1"/>
      <c r="X1" s="182" ph="1"/>
      <c r="Y1" s="182" ph="1"/>
      <c r="Z1" s="182" ph="1"/>
      <c r="AA1" s="182" ph="1"/>
      <c r="AB1" s="182" ph="1"/>
      <c r="AC1" s="182" ph="1"/>
      <c r="AD1" s="182" ph="1"/>
      <c r="AE1" s="182" ph="1"/>
    </row>
    <row r="2" spans="1:99" s="66" customFormat="1" ht="24" customHeight="1" ph="1">
      <c r="B2" s="183" t="s" ph="1">
        <v>82</v>
      </c>
      <c r="C2" s="183" ph="1"/>
      <c r="D2" s="183" ph="1"/>
      <c r="E2" s="183" ph="1"/>
      <c r="F2" s="183" ph="1"/>
      <c r="G2" s="183" ph="1"/>
      <c r="H2" s="183" ph="1"/>
      <c r="I2" s="183" ph="1"/>
      <c r="J2" s="183" ph="1"/>
      <c r="K2" s="183" ph="1"/>
      <c r="L2" s="183" ph="1"/>
      <c r="M2" s="183" ph="1"/>
      <c r="N2" s="183" ph="1"/>
      <c r="O2" s="183" ph="1"/>
      <c r="P2" s="183" ph="1"/>
      <c r="Q2" s="183" ph="1"/>
      <c r="R2" s="183" ph="1"/>
      <c r="S2" s="183" ph="1"/>
      <c r="T2" s="183" ph="1"/>
      <c r="U2" s="183" ph="1"/>
      <c r="V2" s="183" ph="1"/>
      <c r="W2" s="183" ph="1"/>
      <c r="X2" s="183" ph="1"/>
      <c r="Y2" s="183" ph="1"/>
      <c r="Z2" s="183" ph="1"/>
      <c r="AA2" s="183" ph="1"/>
      <c r="AB2" s="183" ph="1"/>
      <c r="AC2" s="183" ph="1"/>
      <c r="AD2" s="183" ph="1"/>
      <c r="AE2" s="183" ph="1"/>
    </row>
    <row r="3" spans="1:99" ht="21" customHeight="1" ph="1">
      <c r="B3" s="184" ph="1">
        <v>46114</v>
      </c>
      <c r="C3" s="184"/>
      <c r="D3" s="184"/>
      <c r="E3" s="184"/>
      <c r="F3" s="184"/>
      <c r="G3" s="184"/>
      <c r="H3" s="184"/>
      <c r="I3" s="184"/>
      <c r="J3" s="184"/>
      <c r="K3" s="184"/>
      <c r="L3" s="184"/>
      <c r="M3" s="184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</row>
    <row r="4" spans="1:99" s="69" customFormat="1" ph="1">
      <c r="A4" s="65" ph="1"/>
      <c r="B4" s="185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5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1" ph="1">
        <v>0.33333333333333331</v>
      </c>
      <c r="C6" s="151" t="s" ph="1">
        <v>177</v>
      </c>
      <c r="D6" s="71">
        <v>3622</v>
      </c>
      <c r="E6" s="71">
        <v>7954</v>
      </c>
      <c r="F6" s="71">
        <v>6324</v>
      </c>
      <c r="G6" s="71">
        <v>8962</v>
      </c>
      <c r="H6" s="71">
        <v>6379</v>
      </c>
      <c r="I6" s="71">
        <v>23.32</v>
      </c>
      <c r="J6" s="71">
        <v>6.55</v>
      </c>
      <c r="K6" s="71">
        <v>7.3</v>
      </c>
      <c r="L6" s="71">
        <v>7.55</v>
      </c>
      <c r="M6" s="71">
        <v>1095</v>
      </c>
      <c r="N6" s="71">
        <v>356</v>
      </c>
      <c r="O6" s="71">
        <v>687</v>
      </c>
      <c r="P6" s="71">
        <v>165</v>
      </c>
      <c r="Q6" s="71">
        <v>0</v>
      </c>
      <c r="R6" s="71">
        <v>0</v>
      </c>
      <c r="S6" s="71">
        <v>0</v>
      </c>
      <c r="T6" s="71">
        <v>0</v>
      </c>
      <c r="U6" s="71">
        <v>5620</v>
      </c>
      <c r="V6" s="71">
        <v>2819</v>
      </c>
      <c r="W6" s="71">
        <v>4772</v>
      </c>
      <c r="X6" s="71">
        <v>0</v>
      </c>
      <c r="Y6" s="71">
        <v>0</v>
      </c>
      <c r="Z6" s="71">
        <v>2781</v>
      </c>
      <c r="AA6" s="71">
        <v>4233</v>
      </c>
      <c r="AB6" s="71">
        <v>2586</v>
      </c>
      <c r="AC6" s="71">
        <v>6322</v>
      </c>
      <c r="AD6" s="71">
        <v>3775</v>
      </c>
      <c r="AE6" s="71">
        <v>4000</v>
      </c>
    </row>
    <row r="7" spans="1:99" s="72" customFormat="1" ht="22.2" ph="1">
      <c r="B7" s="181" ph="1"/>
      <c r="C7" s="68" t="s" ph="1">
        <v>178</v>
      </c>
      <c r="D7" s="73" ph="1">
        <f>D6*33.183*LOOKUP(D8,密度!$A$2:$A$50,密度!$Q$2:$Q$50)</f>
        <v>114070.01286834</v>
      </c>
      <c r="E7" s="73" ph="1">
        <f>E6*51.53*LOOKUP(E8,密度!$A$2:$A$50,密度!$B$2:$B$50)</f>
        <v>321009.88638400001</v>
      </c>
      <c r="F7" s="73" ph="1">
        <f>F6*33.183*LOOKUP(F8,密度!$A$2:$A$50,密度!$C$2:$C$50)</f>
        <v>233478.32227919999</v>
      </c>
      <c r="G7" s="73" ph="1">
        <f xml:space="preserve"> (G6+2)*51.53*LOOKUP(G8,密度!$A$2:$A$50,密度!$B$2:$B$50)</f>
        <v>364774.21232399996</v>
      </c>
      <c r="H7" s="73" ph="1">
        <f>(H6)*51.53*LOOKUP(H8,密度!$A$2:$A$50,密度!$B$2:$B$50)</f>
        <v>258267.34485899998</v>
      </c>
      <c r="I7" s="73" ph="1">
        <f>I6*290.8*1.0267</f>
        <v>6962.5208751999999</v>
      </c>
      <c r="J7" s="73" ph="1">
        <f>J6*290.8*0.7892</f>
        <v>1503.220808</v>
      </c>
      <c r="K7" s="73" ph="1">
        <f>K6*290.8*1.1126</f>
        <v>2361.8717840000004</v>
      </c>
      <c r="L7" s="73" ph="1">
        <f>L6*290.8*0.777</f>
        <v>1705.9345800000001</v>
      </c>
      <c r="M7" s="73" ph="1">
        <f>M6*33.183*LOOKUP(M8,密度!$A$2:$A$50,密度!$D$2:$D$50)</f>
        <v>37476.316089000007</v>
      </c>
      <c r="N7" s="73" ph="1">
        <f>N6*33.183*LOOKUP(N8,密度!$A$2:$A$50,密度!$E$2:$E$50)</f>
        <v>9308.7606240000005</v>
      </c>
      <c r="O7" s="73" ph="1">
        <f>O6*20.428*LOOKUP(O8,密度!$A$2:$A$50,密度!$C$2:$C$50)</f>
        <v>15572.166345599999</v>
      </c>
      <c r="P7" s="73" ph="1">
        <f>P6*51.53*LOOKUP(P8,密度!$A$2:$A$50,密度!$B$2:$B$50)</f>
        <v>6680.374965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37342.000079999998</v>
      </c>
      <c r="V7" s="73" ph="1">
        <f>V6*1.5*1.5*3.1416*LOOKUP(V8,密度!$A$2:$A$50,密度!$L$2:$L$50)</f>
        <v>18631.168479</v>
      </c>
      <c r="W7" s="73" ph="1">
        <f>W6*1.5*1.5*3.1416*LOOKUP(W8,密度!$A$2:$A$50,密度!$L$2:$L$50)</f>
        <v>31741.209007199996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87114.135311999984</v>
      </c>
      <c r="AA7" s="73" ph="1">
        <f>AA6*33.183*LOOKUP(AA8,密度!$A$2:$A$50,密度!$D$2:$D$50)</f>
        <v>144747.77998949998</v>
      </c>
      <c r="AB7" s="73" ph="1">
        <f>AB6*20.428*LOOKUP(AB8,密度!$A$2:$A$50,密度!$D$2:$D$50)</f>
        <v>54754.986492000004</v>
      </c>
      <c r="AC7" s="73" ph="1">
        <f>AC6*51.53*LOOKUP(AC8,密度!$A$2:$A$50,密度!$Q$2:$Q$50)</f>
        <v>309884.72737180005</v>
      </c>
      <c r="AD7" s="73" ph="1">
        <f>AD6*20.428*LOOKUP(AD8,密度!$A$2:$A$50,密度!$V$2:$V$50)</f>
        <v>74092.764559999996</v>
      </c>
      <c r="AE7" s="73" ph="1">
        <f>AE6*20.428</f>
        <v>81712</v>
      </c>
    </row>
    <row r="8" spans="1:99" ph="1">
      <c r="B8" s="181" ph="1"/>
      <c r="C8" s="68" t="s" ph="1">
        <v>179</v>
      </c>
      <c r="D8" s="74">
        <v>22</v>
      </c>
      <c r="E8" s="74">
        <v>21</v>
      </c>
      <c r="F8" s="74">
        <v>20</v>
      </c>
      <c r="G8" s="74">
        <v>13</v>
      </c>
      <c r="H8" s="74">
        <v>18</v>
      </c>
      <c r="I8" s="74">
        <v>25</v>
      </c>
      <c r="J8" s="74">
        <v>25</v>
      </c>
      <c r="K8" s="74">
        <v>25</v>
      </c>
      <c r="L8" s="74">
        <v>25</v>
      </c>
      <c r="M8" s="74">
        <v>20</v>
      </c>
      <c r="N8" s="74">
        <v>21</v>
      </c>
      <c r="O8" s="74">
        <v>24</v>
      </c>
      <c r="P8" s="74">
        <v>18</v>
      </c>
      <c r="Q8" s="74">
        <v>21</v>
      </c>
      <c r="R8" s="74">
        <v>26</v>
      </c>
      <c r="S8" s="74">
        <v>17</v>
      </c>
      <c r="T8" s="74">
        <v>16</v>
      </c>
      <c r="U8" s="74">
        <v>22</v>
      </c>
      <c r="V8" s="74">
        <v>27</v>
      </c>
      <c r="W8" s="74">
        <v>21</v>
      </c>
      <c r="X8" s="74">
        <v>11</v>
      </c>
      <c r="Y8" s="74">
        <v>21</v>
      </c>
      <c r="Z8" s="74">
        <v>18</v>
      </c>
      <c r="AA8" s="74">
        <v>21</v>
      </c>
      <c r="AB8" s="74">
        <v>14</v>
      </c>
      <c r="AC8" s="74">
        <v>19</v>
      </c>
      <c r="AD8" s="74">
        <v>21</v>
      </c>
      <c r="AE8" s="74">
        <v>22</v>
      </c>
    </row>
    <row r="9" spans="1:99" ht="26.4" ph="1">
      <c r="B9" s="181" ph="1">
        <v>0.66666666666666663</v>
      </c>
      <c r="C9" s="151" t="s" ph="1">
        <v>180</v>
      </c>
      <c r="D9" s="71">
        <v>3625</v>
      </c>
      <c r="E9" s="71">
        <v>7913</v>
      </c>
      <c r="F9" s="71">
        <v>6326</v>
      </c>
      <c r="G9" s="71">
        <v>8559</v>
      </c>
      <c r="H9" s="71">
        <v>6382</v>
      </c>
      <c r="I9" s="71">
        <v>10.17</v>
      </c>
      <c r="J9" s="71">
        <v>6.55</v>
      </c>
      <c r="K9" s="71">
        <v>7.25</v>
      </c>
      <c r="L9" s="71">
        <v>7.51</v>
      </c>
      <c r="M9" s="71">
        <v>1096</v>
      </c>
      <c r="N9" s="71">
        <v>359</v>
      </c>
      <c r="O9" s="71">
        <v>687</v>
      </c>
      <c r="P9" s="71">
        <v>163</v>
      </c>
      <c r="Q9" s="71">
        <v>0</v>
      </c>
      <c r="R9" s="71">
        <v>0</v>
      </c>
      <c r="S9" s="71">
        <v>0</v>
      </c>
      <c r="T9" s="71">
        <v>0</v>
      </c>
      <c r="U9" s="71">
        <v>560</v>
      </c>
      <c r="V9" s="71">
        <v>6610</v>
      </c>
      <c r="W9" s="71">
        <v>7017</v>
      </c>
      <c r="X9" s="71">
        <v>0</v>
      </c>
      <c r="Y9" s="71">
        <v>2805</v>
      </c>
      <c r="Z9" s="71">
        <v>0</v>
      </c>
      <c r="AA9" s="71">
        <v>1264</v>
      </c>
      <c r="AB9" s="71">
        <v>4237</v>
      </c>
      <c r="AC9" s="71">
        <v>2432</v>
      </c>
      <c r="AD9" s="71">
        <v>6403</v>
      </c>
      <c r="AE9" s="71">
        <v>3775</v>
      </c>
    </row>
    <row r="10" spans="1:99" s="72" customFormat="1" ht="22.2" ph="1">
      <c r="B10" s="181" ph="1"/>
      <c r="C10" s="151" t="s" ph="1">
        <v>178</v>
      </c>
      <c r="D10" s="73" ph="1">
        <f>D9*33.183*LOOKUP(D11,密度!$A$2:$A$50,密度!$Q$2:$Q$50)</f>
        <v>113969.62666125</v>
      </c>
      <c r="E10" s="73" ph="1">
        <f>E9*51.53*LOOKUP(E11,密度!$A$2:$A$50,密度!$B$2:$B$50)</f>
        <v>317887.27144400001</v>
      </c>
      <c r="F10" s="73" ph="1">
        <f>F9*33.183*LOOKUP(F11,密度!$A$2:$A$50,密度!$C$2:$C$50)</f>
        <v>233090.3466432</v>
      </c>
      <c r="G10" s="73" ph="1">
        <f xml:space="preserve"> (G9+2)*51.53*LOOKUP(G11,密度!$A$2:$A$50,密度!$B$2:$B$50)</f>
        <v>343919.23806800001</v>
      </c>
      <c r="H10" s="73" ph="1">
        <f>(H9)*51.53*LOOKUP(H11,密度!$A$2:$A$50,密度!$B$2:$B$50)</f>
        <v>257270.66705800002</v>
      </c>
      <c r="I10" s="73" ph="1">
        <f>I9*290.8*1.0267</f>
        <v>3036.3995411999999</v>
      </c>
      <c r="J10" s="73" ph="1">
        <f>J9*290.8*0.7892</f>
        <v>1503.220808</v>
      </c>
      <c r="K10" s="73" ph="1">
        <f>K9*290.8*1.1126</f>
        <v>2345.6945800000003</v>
      </c>
      <c r="L10" s="73" ph="1">
        <f>L9*290.8*0.777</f>
        <v>1696.896516</v>
      </c>
      <c r="M10" s="73" ph="1">
        <f>M9*33.183*LOOKUP(M11,密度!$A$2:$A$50,密度!$D$2:$D$50)</f>
        <v>37306.8770544</v>
      </c>
      <c r="N10" s="73" ph="1">
        <f>N9*33.183*LOOKUP(N11,密度!$A$2:$A$50,密度!$E$2:$E$50)</f>
        <v>9316.9203237000002</v>
      </c>
      <c r="O10" s="73" ph="1">
        <f>O9*20.428*LOOKUP(O11,密度!$A$2:$A$50,密度!$C$2:$C$50)</f>
        <v>15479.541708000001</v>
      </c>
      <c r="P10" s="73" ph="1">
        <f>P9*51.53*LOOKUP(P11,密度!$A$2:$A$50,密度!$B$2:$B$50)</f>
        <v>6540.604992999999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3709.0357920000001</v>
      </c>
      <c r="V10" s="73" ph="1">
        <f>V9*1.5*1.5*3.1416*LOOKUP(V11,密度!$A$2:$A$50,密度!$L$2:$L$50)</f>
        <v>43639.698563999998</v>
      </c>
      <c r="W10" s="73" ph="1">
        <f>W9*1.5*1.5*3.1416*LOOKUP(W11,密度!$A$2:$A$50,密度!$L$2:$L$50)</f>
        <v>46574.743861799994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18558.467927999998</v>
      </c>
      <c r="Z10" s="73" ph="1">
        <f>Z9*33.183*LOOKUP(Z11,密度!$A$2:$A$50,密度!$L$2:$L$50)</f>
        <v>0</v>
      </c>
      <c r="AA10" s="73" ph="1">
        <f>AA9*33.183*LOOKUP(AA11,密度!$A$2:$A$50,密度!$D$2:$D$50)</f>
        <v>43025.449449599997</v>
      </c>
      <c r="AB10" s="73" ph="1">
        <f>AB9*20.428*LOOKUP(AB11,密度!$A$2:$A$50,密度!$D$2:$D$50)</f>
        <v>89565.495572799991</v>
      </c>
      <c r="AC10" s="73" ph="1">
        <f>AC9*51.53*LOOKUP(AC11,密度!$A$2:$A$50,密度!$Q$2:$Q$50)</f>
        <v>118737.8499712</v>
      </c>
      <c r="AD10" s="73" ph="1">
        <f>AD9*20.428*LOOKUP(AD11,密度!$A$2:$A$50,密度!$V$2:$V$50)</f>
        <v>125673.10502720001</v>
      </c>
      <c r="AE10" s="73" ph="1">
        <f>AE9*20.428</f>
        <v>77115.7</v>
      </c>
    </row>
    <row r="11" spans="1:99" ph="1">
      <c r="A11" s="64" t="s" ph="1">
        <v>162</v>
      </c>
      <c r="B11" s="181" ph="1"/>
      <c r="C11" s="151" t="s" ph="1">
        <v>179</v>
      </c>
      <c r="D11" s="74">
        <v>24</v>
      </c>
      <c r="E11" s="74">
        <v>25</v>
      </c>
      <c r="F11" s="74">
        <v>23</v>
      </c>
      <c r="G11" s="74">
        <v>25</v>
      </c>
      <c r="H11" s="74">
        <v>22</v>
      </c>
      <c r="I11" s="74">
        <v>25</v>
      </c>
      <c r="J11" s="74">
        <v>25</v>
      </c>
      <c r="K11" s="74">
        <v>25</v>
      </c>
      <c r="L11" s="74">
        <v>25</v>
      </c>
      <c r="M11" s="74">
        <v>26</v>
      </c>
      <c r="N11" s="74">
        <v>26</v>
      </c>
      <c r="O11" s="74">
        <v>32</v>
      </c>
      <c r="P11" s="74">
        <v>26</v>
      </c>
      <c r="Q11" s="74">
        <v>28</v>
      </c>
      <c r="R11" s="74">
        <v>32</v>
      </c>
      <c r="S11" s="74">
        <v>23</v>
      </c>
      <c r="T11" s="74">
        <v>25</v>
      </c>
      <c r="U11" s="74">
        <v>25</v>
      </c>
      <c r="V11" s="74">
        <v>28</v>
      </c>
      <c r="W11" s="74">
        <v>23</v>
      </c>
      <c r="X11" s="74">
        <v>14</v>
      </c>
      <c r="Y11" s="74">
        <v>26</v>
      </c>
      <c r="Z11" s="74">
        <v>22</v>
      </c>
      <c r="AA11" s="74">
        <v>26</v>
      </c>
      <c r="AB11" s="74">
        <v>16</v>
      </c>
      <c r="AC11" s="74">
        <v>24</v>
      </c>
      <c r="AD11" s="74">
        <v>24</v>
      </c>
      <c r="AE11" s="74">
        <v>26</v>
      </c>
    </row>
    <row r="12" spans="1:99" ht="9.9" customHeight="1" ph="1"/>
    <row r="13" spans="1:99" s="72" customFormat="1" ht="29.25" customHeight="1" ph="1">
      <c r="B13" s="189" t="s" ph="1">
        <v>37</v>
      </c>
      <c r="C13" s="151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0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615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1" ph="1">
        <v>0.33333333333333331</v>
      </c>
      <c r="C15" s="151" t="s" ph="1">
        <v>177</v>
      </c>
      <c r="D15" s="78">
        <v>1733</v>
      </c>
      <c r="E15" s="78">
        <v>68</v>
      </c>
      <c r="F15" s="78">
        <v>3079</v>
      </c>
      <c r="G15" s="78">
        <v>4487</v>
      </c>
      <c r="H15" s="78">
        <v>0</v>
      </c>
      <c r="I15" s="78">
        <v>5469</v>
      </c>
      <c r="J15" s="78">
        <v>1074</v>
      </c>
      <c r="K15" s="78">
        <v>3588</v>
      </c>
      <c r="L15" s="78">
        <v>359</v>
      </c>
      <c r="M15" s="78">
        <v>5898</v>
      </c>
      <c r="N15" s="78">
        <v>1539</v>
      </c>
      <c r="O15" s="78">
        <v>4993</v>
      </c>
      <c r="P15" s="78">
        <v>1104</v>
      </c>
      <c r="Q15" s="78">
        <v>1279</v>
      </c>
      <c r="R15" s="78">
        <v>7399</v>
      </c>
      <c r="S15" s="78">
        <v>0</v>
      </c>
      <c r="T15" s="78">
        <v>1355</v>
      </c>
      <c r="U15" s="78">
        <v>5754</v>
      </c>
      <c r="V15" s="78">
        <v>3703</v>
      </c>
      <c r="W15" s="71">
        <v>-172</v>
      </c>
      <c r="X15" s="78">
        <v>-103</v>
      </c>
      <c r="Y15" s="106">
        <v>-9903</v>
      </c>
      <c r="Z15" s="78">
        <v>0</v>
      </c>
      <c r="AA15" s="78">
        <v>6845</v>
      </c>
      <c r="AB15" s="78" ph="1">
        <v>7162</v>
      </c>
      <c r="AC15" s="78" ph="1">
        <v>7129</v>
      </c>
      <c r="AD15" s="78">
        <v>48.03</v>
      </c>
      <c r="AE15" s="78">
        <v>5.42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2" ph="1"/>
      <c r="C16" s="151" t="s" ph="1">
        <v>178</v>
      </c>
      <c r="D16" s="73" ph="1">
        <f>D15*7.0686*LOOKUP(D17,密度!$A$2:$A$50,密度!$L$2:$L$50)</f>
        <v>11527.1406558</v>
      </c>
      <c r="E16" s="73" ph="1">
        <f>E15*7.0686*LOOKUP(E17,密度!$A$2:$A$50,密度!$L$2:$L$50)</f>
        <v>452.30557679999998</v>
      </c>
      <c r="F16" s="73" ph="1">
        <f>F15*9.0746*LOOKUP(F17,密度!$A$2:$A$50,密度!$L$2:$L$50)</f>
        <v>26180.429715800001</v>
      </c>
      <c r="G16" s="73" ph="1">
        <f>G15*9.0746*LOOKUP(G17,密度!$A$2:$A$50,密度!$B$2:$B$50)</f>
        <v>31816.834378279997</v>
      </c>
      <c r="H16" s="73" ph="1">
        <f>H15*9.0746*LOOKUP(H17,密度!$A$2:$A$50,密度!$L$2:$L$50)</f>
        <v>0</v>
      </c>
      <c r="I16" s="73" ph="1">
        <f>I15*9.0746*LOOKUP(I17,密度!$A$2:$A$50,密度!$U$2:$U$50)</f>
        <v>51018.599047199998</v>
      </c>
      <c r="J16" s="73" ph="1">
        <f>J15*9.0746*LOOKUP(J17,密度!$A$2:$A$50,密度!$L$2:$L$50)</f>
        <v>9171.0992963999997</v>
      </c>
      <c r="K16" s="73" ph="1">
        <f>K15*9.0746*LOOKUP(K17,密度!$A$2:$A$50,密度!$C$2:$C$50)</f>
        <v>36203.091291120007</v>
      </c>
      <c r="L16" s="73" ph="1">
        <f>L15*9.0746*LOOKUP(L17,密度!$A$2:$A$50,密度!$E$2:$E$50)</f>
        <v>2571.0410808800002</v>
      </c>
      <c r="M16" s="73" ph="1">
        <f>M15*9.0746*LOOKUP(M17,密度!$A$2:$A$50,密度!$M$2:$M$50)</f>
        <v>46992.307922400003</v>
      </c>
      <c r="N16" s="73" ph="1">
        <f>N15*9.0746*LOOKUP(N17,密度!$A$2:$A$50,密度!$M$2:$M$50)</f>
        <v>12294.10201482</v>
      </c>
      <c r="O16" s="73" ph="1">
        <f>O15*9.0746*LOOKUP(O17,密度!$A$2:$A$50,密度!$G$2:$G$50)</f>
        <v>43669.274703640003</v>
      </c>
      <c r="P16" s="73" ph="1">
        <f ca="1">P15*9.0746*LOOKUP(P17,密度!$A$2:$A$51,密度!$Q$2:$Q$50)</f>
        <v>9521.2474561920008</v>
      </c>
      <c r="Q16" s="73" ph="1">
        <f>Q15*9.0746*LOOKUP(Q17,密度!$A$2:$A$50,密度!$Q$2:$Q$50)</f>
        <v>11030.503167092</v>
      </c>
      <c r="R16" s="73" ph="1">
        <f>MAX(R15*9.0746*LOOKUP(R17,密度!$A$2:$A$50,密度!$B$2:$B$50),0)</f>
        <v>52344.655825839996</v>
      </c>
      <c r="S16" s="73" ph="1">
        <f>S15*9.0746*LOOKUP(S17,密度!$A$2:$A$50,密度!$Q$2:$Q$50)</f>
        <v>0</v>
      </c>
      <c r="T16" s="73" ph="1">
        <f>T15*9.0746*LOOKUP(T17,密度!$A$2:$A$50,密度!$O$2:$O$50)</f>
        <v>11435.357190000001</v>
      </c>
      <c r="U16" s="73" ph="1">
        <f>U15*9.0746*LOOKUP(U17,密度!$A$2:$A$50,密度!$H$2:$H$50)</f>
        <v>48022.363953480002</v>
      </c>
      <c r="V16" s="73" ph="1">
        <f>MAX(5600*LOOKUP(V17,密度!$A$2:$A$50,密度!$Q$2:$Q$50)+V15*9.0476*LOOKUP(V17,密度!$A$2:$A$50,密度!$Q$2:$Q$50),0)</f>
        <v>37077.713786959997</v>
      </c>
      <c r="W16" s="73" ph="1">
        <f>MAX(5600*LOOKUP(W17,密度!$A$2:$A$50,密度!$Q$2:$Q$50)+W15*9.0476*LOOKUP(W17,密度!$A$2:$A$50,密度!$Q$2:$Q$50),0)</f>
        <v>3837.9422903519999</v>
      </c>
      <c r="X16" s="73" ph="1">
        <f>MAX(5600*LOOKUP(X17,密度!$A$2:$A$50,密度!$I$2:$I$50)+X15*9.0476*LOOKUP(X17,密度!$A$2:$A$50,密度!$I$2:$I$50),0)</f>
        <v>4865.5577115599999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48648.966898400002</v>
      </c>
      <c r="AB16" s="73" ph="1">
        <f>AB15*9.0746*LOOKUP(AB17,密度!$A$2:$A$50,密度!$L$2:$L$50)</f>
        <v>61027.755802799998</v>
      </c>
      <c r="AC16" s="73" ph="1">
        <f>AC15*9.0746*LOOKUP(AC17,密度!$A$2:$A$50,密度!$L$2:$L$50)</f>
        <v>60940.639642800001</v>
      </c>
      <c r="AD16" s="73" ph="1">
        <f>AD15*268.68*LOOKUP(AD17,密度!$A$2:$A$50,密度!B2:B50)+IF(AD15&lt;=0,0,1566*LOOKUP(AD17,密度!$A$2:$A$50,密度!B2:B50))</f>
        <v>11281.358031840002</v>
      </c>
      <c r="AE16" s="73" ph="1">
        <f>AE15*268.68*LOOKUP(AE17,密度!$A$2:$A$50,密度!B2:B50)+IF(AE15&lt;=0,0,1566*LOOKUP(AE17,密度!$A$2:$A$50,密度!B2:B50))</f>
        <v>2356.14266976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3" ph="1"/>
      <c r="C17" s="79" t="s" ph="1">
        <v>179</v>
      </c>
      <c r="D17" s="74">
        <v>21</v>
      </c>
      <c r="E17" s="74">
        <v>21</v>
      </c>
      <c r="F17" s="74">
        <v>25</v>
      </c>
      <c r="G17" s="74">
        <v>23</v>
      </c>
      <c r="H17" s="74">
        <v>16</v>
      </c>
      <c r="I17" s="74">
        <v>20</v>
      </c>
      <c r="J17" s="74">
        <v>21</v>
      </c>
      <c r="K17" s="74">
        <v>21</v>
      </c>
      <c r="L17" s="74">
        <v>20</v>
      </c>
      <c r="M17" s="74">
        <v>22</v>
      </c>
      <c r="N17" s="74">
        <v>20</v>
      </c>
      <c r="O17" s="74">
        <v>22</v>
      </c>
      <c r="P17" s="74">
        <v>20</v>
      </c>
      <c r="Q17" s="74">
        <v>20</v>
      </c>
      <c r="R17" s="74">
        <v>25</v>
      </c>
      <c r="S17" s="74">
        <v>20</v>
      </c>
      <c r="T17" s="74">
        <v>22</v>
      </c>
      <c r="U17" s="74">
        <v>20</v>
      </c>
      <c r="V17" s="74">
        <v>23</v>
      </c>
      <c r="W17" s="74">
        <v>22</v>
      </c>
      <c r="X17" s="74">
        <v>25</v>
      </c>
      <c r="Y17" s="108">
        <v>25</v>
      </c>
      <c r="Z17" s="74">
        <v>20</v>
      </c>
      <c r="AA17" s="74">
        <v>21</v>
      </c>
      <c r="AB17" s="74">
        <v>23</v>
      </c>
      <c r="AC17" s="74">
        <v>20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1" ph="1">
        <v>0.66666666666666663</v>
      </c>
      <c r="C18" s="79" t="s" ph="1">
        <v>180</v>
      </c>
      <c r="D18" s="71">
        <v>2492</v>
      </c>
      <c r="E18" s="71">
        <v>68</v>
      </c>
      <c r="F18" s="71">
        <v>3080</v>
      </c>
      <c r="G18" s="71">
        <v>1267</v>
      </c>
      <c r="H18" s="71">
        <v>0</v>
      </c>
      <c r="I18" s="71">
        <v>5474</v>
      </c>
      <c r="J18" s="71">
        <v>1142</v>
      </c>
      <c r="K18" s="71">
        <v>3589</v>
      </c>
      <c r="L18" s="71">
        <v>411</v>
      </c>
      <c r="M18" s="71">
        <v>2945</v>
      </c>
      <c r="N18" s="71">
        <v>1540</v>
      </c>
      <c r="O18" s="71">
        <v>4999</v>
      </c>
      <c r="P18" s="71">
        <v>1103</v>
      </c>
      <c r="Q18" s="71">
        <v>1282</v>
      </c>
      <c r="R18" s="71">
        <v>7406</v>
      </c>
      <c r="S18" s="71">
        <v>0</v>
      </c>
      <c r="T18" s="71">
        <v>1355</v>
      </c>
      <c r="U18" s="71">
        <v>5758</v>
      </c>
      <c r="V18" s="71">
        <v>3704</v>
      </c>
      <c r="W18" s="71">
        <v>-173</v>
      </c>
      <c r="X18" s="71">
        <v>-103</v>
      </c>
      <c r="Y18" s="109">
        <v>-9905</v>
      </c>
      <c r="Z18" s="71">
        <v>0</v>
      </c>
      <c r="AA18" s="71">
        <v>6850</v>
      </c>
      <c r="AB18" s="71">
        <v>7169</v>
      </c>
      <c r="AC18" s="71">
        <v>7137</v>
      </c>
      <c r="AD18" s="71">
        <v>84.48</v>
      </c>
      <c r="AE18" s="71">
        <v>20.89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2" ph="1"/>
      <c r="C19" s="151" t="s" ph="1">
        <v>178</v>
      </c>
      <c r="D19" s="73" ph="1">
        <f>D18*7.0686*LOOKUP(D20,密度!$A$2:$A$50,密度!$L$2:$L$50)</f>
        <v>16434.749469599999</v>
      </c>
      <c r="E19" s="73" ph="1">
        <f>E18*7.0686*LOOKUP(E20,密度!$A$2:$A$50,密度!$L$2:$L$50)</f>
        <v>448.46025840000004</v>
      </c>
      <c r="F19" s="73" ph="1">
        <f>F18*9.0746*LOOKUP(F20,密度!$A$2:$A$50,密度!$L$2:$L$50)</f>
        <v>26105.083312000002</v>
      </c>
      <c r="G19" s="73" ph="1">
        <f>G18*9.0746*LOOKUP(G20,密度!$A$2:$A$50,密度!$B$2:$B$50)</f>
        <v>8953.1174223399994</v>
      </c>
      <c r="H19" s="73" ph="1">
        <f>H18*9.0746*LOOKUP(H20,密度!$A$2:$A$50,密度!$L$2:$L$50)</f>
        <v>0</v>
      </c>
      <c r="I19" s="73" ph="1">
        <f>I18*9.0746*LOOKUP(I20,密度!$A$2:$A$50,密度!$U$2:$U$50)</f>
        <v>50767.196328799997</v>
      </c>
      <c r="J19" s="73" ph="1">
        <f>J18*9.0746*LOOKUP(J20,密度!$A$2:$A$50,密度!$L$2:$L$50)</f>
        <v>9689.585642</v>
      </c>
      <c r="K19" s="73" ph="1">
        <f>K18*9.0746*LOOKUP(K20,密度!$A$2:$A$50,密度!$C$2:$C$50)</f>
        <v>36089.420129140002</v>
      </c>
      <c r="L19" s="73" ph="1">
        <f>L18*9.0746*LOOKUP(L20,密度!$A$2:$A$50,密度!$E$2:$E$50)</f>
        <v>2908.3893358800001</v>
      </c>
      <c r="M19" s="73" ph="1">
        <f>M18*9.0746*LOOKUP(M20,密度!$A$2:$A$50,密度!$M$2:$M$50)</f>
        <v>23333.332950699998</v>
      </c>
      <c r="N19" s="73" ph="1">
        <f>N18*9.0746*LOOKUP(N20,密度!$A$2:$A$50,密度!$M$2:$M$50)</f>
        <v>12269.948152000001</v>
      </c>
      <c r="O19" s="73" ph="1">
        <f>O18*9.0746*LOOKUP(O20,密度!$A$2:$A$50,密度!$G$2:$G$50)</f>
        <v>43504.0044586</v>
      </c>
      <c r="P19" s="73" ph="1">
        <f ca="1">P18*9.0746*LOOKUP(P20,密度!$A$2:$A$51,密度!$Q$2:$Q$50)</f>
        <v>9442.0576870540008</v>
      </c>
      <c r="Q19" s="73" ph="1">
        <f>Q18*9.0746*LOOKUP(Q20,密度!$A$2:$A$50,密度!$Q$2:$Q$50)</f>
        <v>10981.339162196002</v>
      </c>
      <c r="R19" s="73" ph="1">
        <f>MAX(R18*9.0746*LOOKUP(R20,密度!$A$2:$A$50,密度!$B$2:$B$50),0)</f>
        <v>52333.691894120006</v>
      </c>
      <c r="S19" s="73" ph="1">
        <f>S18*9.0746*LOOKUP(S20,密度!$A$2:$A$50,密度!$Q$2:$Q$50)</f>
        <v>0</v>
      </c>
      <c r="T19" s="73" ph="1">
        <f>T18*9.0746*LOOKUP(T20,密度!$A$2:$A$50,密度!$O$2:$O$50)</f>
        <v>11386.172858000002</v>
      </c>
      <c r="U19" s="73" ph="1">
        <f>U18*9.0746*LOOKUP(U20,密度!$A$2:$A$50,密度!$H$2:$H$50)</f>
        <v>47794.489857959998</v>
      </c>
      <c r="V19" s="73" ph="1">
        <f>MAX(5600*LOOKUP(V20,密度!$A$2:$A$50,密度!$Q$2:$Q$50)+V18*9.0476*LOOKUP(V20,密度!$A$2:$A$50,密度!$Q$2:$Q$50),0)</f>
        <v>37001.419007712</v>
      </c>
      <c r="W19" s="73" ph="1">
        <f>MAX(5600*LOOKUP(W20,密度!$A$2:$A$50,密度!$Q$2:$Q$50)+W18*9.0476*LOOKUP(W20,密度!$A$2:$A$50,密度!$Q$2:$Q$50),0)</f>
        <v>3817.0089221560002</v>
      </c>
      <c r="X19" s="73" ph="1">
        <f>MAX(5600*LOOKUP(X20,密度!$A$2:$A$50,密度!$I$2:$I$50)+X18*9.0476*LOOKUP(X20,密度!$A$2:$A$50,密度!$I$2:$I$50),0)</f>
        <v>4860.4228046399994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48572.613213999997</v>
      </c>
      <c r="AB19" s="73" ph="1">
        <f>AB18*9.0746*LOOKUP(AB20,密度!$A$2:$A$50,密度!$L$2:$L$50)</f>
        <v>60957.291533800009</v>
      </c>
      <c r="AC19" s="73" ph="1">
        <f>AC18*9.0746*LOOKUP(AC20,密度!$A$2:$A$50,密度!$L$2:$L$50)</f>
        <v>60749.964147599996</v>
      </c>
      <c r="AD19" s="73" ph="1">
        <f>AD18*268.68*LOOKUP(AD20,密度!$A$2:$A$50,密度!B5:B53)+IF(AD18&lt;=0,0,1566*LOOKUP(AD20,密度!$A$2:$A$50,密度!B5:B53))</f>
        <v>18853.1951328</v>
      </c>
      <c r="AE19" s="73" ph="1">
        <f>AE18*268.68*LOOKUP(AE20,密度!$A$2:$A$50,密度!B5:B53)+IF(AE18&lt;=0,0,1566*LOOKUP(AE20,密度!$A$2:$A$50,密度!B5:B53))</f>
        <v>5577.8694804000006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2" ph="1"/>
      <c r="C20" s="80" t="s" ph="1">
        <v>179</v>
      </c>
      <c r="D20" s="81">
        <v>29</v>
      </c>
      <c r="E20" s="81">
        <v>29</v>
      </c>
      <c r="F20" s="81">
        <v>28</v>
      </c>
      <c r="G20" s="81">
        <v>26</v>
      </c>
      <c r="H20" s="81">
        <v>23</v>
      </c>
      <c r="I20" s="81">
        <v>28</v>
      </c>
      <c r="J20" s="81">
        <v>27</v>
      </c>
      <c r="K20" s="81">
        <v>26</v>
      </c>
      <c r="L20" s="81">
        <v>28</v>
      </c>
      <c r="M20" s="81">
        <v>27</v>
      </c>
      <c r="N20" s="81">
        <v>22</v>
      </c>
      <c r="O20" s="81">
        <v>26</v>
      </c>
      <c r="P20" s="81">
        <v>30</v>
      </c>
      <c r="Q20" s="81">
        <v>29</v>
      </c>
      <c r="R20" s="81">
        <v>26</v>
      </c>
      <c r="S20" s="81">
        <v>27</v>
      </c>
      <c r="T20" s="81">
        <v>27</v>
      </c>
      <c r="U20" s="81">
        <v>25</v>
      </c>
      <c r="V20" s="81">
        <v>26</v>
      </c>
      <c r="W20" s="81">
        <v>26</v>
      </c>
      <c r="X20" s="81">
        <v>26</v>
      </c>
      <c r="Y20" s="110">
        <v>26</v>
      </c>
      <c r="Z20" s="81">
        <v>28</v>
      </c>
      <c r="AA20" s="81">
        <v>23</v>
      </c>
      <c r="AB20" s="81">
        <v>25</v>
      </c>
      <c r="AC20" s="81">
        <v>24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0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69" t="s" ph="1">
        <v>69</v>
      </c>
      <c r="AA22" s="170"/>
      <c r="AB22" s="170"/>
      <c r="AC22" s="170"/>
      <c r="AD22" s="170"/>
      <c r="AE22" s="17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5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72" t="s" ph="1">
        <v>637</v>
      </c>
      <c r="AA23" s="173"/>
      <c r="AB23" s="173"/>
      <c r="AC23" s="173"/>
      <c r="AD23" s="173"/>
      <c r="AE23" s="17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1" ph="1">
        <v>0.33333333333333331</v>
      </c>
      <c r="C24" s="151" t="s" ph="1">
        <v>177</v>
      </c>
      <c r="D24" s="71">
        <v>48.84</v>
      </c>
      <c r="E24" s="71">
        <v>5.43</v>
      </c>
      <c r="F24" s="71">
        <v>3162</v>
      </c>
      <c r="G24" s="71">
        <v>1522</v>
      </c>
      <c r="H24" s="71">
        <v>3043</v>
      </c>
      <c r="I24" s="71">
        <v>0</v>
      </c>
      <c r="J24" s="71">
        <v>858</v>
      </c>
      <c r="K24" s="71">
        <v>581</v>
      </c>
      <c r="L24" s="71">
        <v>469</v>
      </c>
      <c r="M24" s="71">
        <v>500</v>
      </c>
      <c r="N24" s="71">
        <v>4949</v>
      </c>
      <c r="O24" s="71">
        <v>5724</v>
      </c>
      <c r="P24" s="71">
        <v>335</v>
      </c>
      <c r="Q24" s="90">
        <v>3093</v>
      </c>
      <c r="R24" s="71">
        <v>999</v>
      </c>
      <c r="S24" s="71">
        <v>4326</v>
      </c>
      <c r="T24" s="71">
        <v>379</v>
      </c>
      <c r="U24" s="71">
        <v>3039</v>
      </c>
      <c r="V24" s="71">
        <v>6930</v>
      </c>
      <c r="W24" s="71">
        <v>11199</v>
      </c>
      <c r="X24" s="71">
        <v>6209</v>
      </c>
      <c r="Y24" s="71">
        <v>5270</v>
      </c>
      <c r="Z24" s="175"/>
      <c r="AA24" s="176"/>
      <c r="AB24" s="176"/>
      <c r="AC24" s="176"/>
      <c r="AD24" s="176"/>
      <c r="AE24" s="17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1" ph="1"/>
      <c r="C25" s="68" t="s" ph="1">
        <v>178</v>
      </c>
      <c r="D25" s="91" ph="1">
        <f>D24*268.68*LOOKUP(D26,密度!$A$2:$A$50,密度!$Q$2:$Q$50)+IF(D24&lt;=0,0,1566*LOOKUP(D26,密度!$A$2:$A$50,密度!$Q$2:$Q$50))</f>
        <v>13906.030680288</v>
      </c>
      <c r="E25" s="91" ph="1">
        <f>E24*268.68*LOOKUP(E26,密度!$A$2:$A$50,密度!$C$2:$C$50)+IF(E24&lt;=0,0,1566*LOOKUP(E26,密度!$A$2:$A$50,密度!$C$2:$C$50))</f>
        <v>3354.3475383599998</v>
      </c>
      <c r="F25" s="91" ph="1">
        <f>F24*11.702*LOOKUP(F26,密度!$A$2:$A$50,密度!$Q$2:$Q$50)</f>
        <v>35085.034696800001</v>
      </c>
      <c r="G25" s="91" ph="1">
        <f>G24*18.322*LOOKUP(G26,密度!$A$2:$A$50,密度!$B$2:$B$50)</f>
        <v>21790.1860376</v>
      </c>
      <c r="H25" s="91" ph="1">
        <f>H24*18.322*LOOKUP(H26,密度!$A$2:$A$50,密度!$B$2:$B$50)</f>
        <v>43616.233725799997</v>
      </c>
      <c r="I25" s="91" ph="1">
        <f>I24*18.322*LOOKUP(I26,密度!$A$2:$A$50,密度!$Q$2:$Q$50)</f>
        <v>0</v>
      </c>
      <c r="J25" s="91" ph="1">
        <f>J24*18.322*LOOKUP(J26,密度!$A$2:$A$50,密度!$Q$2:$Q$50)</f>
        <v>14919.956748839999</v>
      </c>
      <c r="K25" s="91" ph="1">
        <f>K24*18.322*LOOKUP(K26,密度!$A$2:$A$50,密度!$Q$2:$Q$50)</f>
        <v>10116.873031160001</v>
      </c>
      <c r="L25" s="91" ph="1">
        <f>L24*18.322*LOOKUP(L26,密度!$A$2:$A$50,密度!$Q$2:$Q$50)</f>
        <v>8155.5474536199999</v>
      </c>
      <c r="M25" s="91" ph="1">
        <f>M24*18.322*LOOKUP(M26,密度!$A$2:$A$50,密度!$Q$2:$Q$50)</f>
        <v>8700.1100900000001</v>
      </c>
      <c r="N25" s="91" ph="1">
        <f>N24*18.322*LOOKUP(N26,密度!$A$2:$A$50,密度!$Q$2:$Q$50)</f>
        <v>86176.255819639991</v>
      </c>
      <c r="O25" s="91" ph="1">
        <f>O24*18.322*LOOKUP(O26,密度!$A$2:$A$50,密度!$C$2:$C$50)</f>
        <v>116610.65482320001</v>
      </c>
      <c r="P25" s="91" ph="1">
        <f>P24*11.702*LOOKUP(P26,密度!$A$2:$A$50,密度!$B$2:$B$50)</f>
        <v>3073.8052970000003</v>
      </c>
      <c r="Q25" s="92" ph="1">
        <f>Q24*18.322*LOOKUP(Q26,密度!$A$2:$A$50,密度!$B$2:$B$50)</f>
        <v>44332.898755799994</v>
      </c>
      <c r="R25" s="91" ph="1">
        <f>R24*35.891*LOOKUP(R26,密度!$A$2:$A$50,密度!$C$2:$C$50)</f>
        <v>39784.82894639999</v>
      </c>
      <c r="S25" s="91" ph="1">
        <f>S24*35.891*LOOKUP(S26,密度!$A$2:$A$50,密度!$B$2:$B$50)</f>
        <v>121463.39175179999</v>
      </c>
      <c r="T25" s="91" ph="1">
        <f>T24*35.891*LOOKUP(T26,密度!$A$2:$A$50,密度!$Q$2:$Q$50)</f>
        <v>12927.723571819999</v>
      </c>
      <c r="U25" s="91" ph="1">
        <f>U24*35.891</f>
        <v>109072.749</v>
      </c>
      <c r="V25" s="91" ph="1">
        <f>V24*47.051*LOOKUP(V26,密度!$A$2:$A$50,密度!$B$2:$B$50)</f>
        <v>255079.42128899999</v>
      </c>
      <c r="W25" s="91" ph="1">
        <f>W24*47.051*LOOKUP(W26,密度!$A$2:$A$50,密度!$B$2:$B$50)</f>
        <v>411264.29829449998</v>
      </c>
      <c r="X25" s="91" ph="1">
        <f>X24*47.051*LOOKUP(X26,密度!$A$2:$A$61,密度!$I$2:$I$61)</f>
        <v>300582.49514509994</v>
      </c>
      <c r="Y25" s="91" ph="1">
        <f>Y24*47.051*LOOKUP(Y26,密度!$A$2:$A$50,密度!$L$2:$L$50)</f>
        <v>232585.32626</v>
      </c>
      <c r="Z25" s="175"/>
      <c r="AA25" s="176"/>
      <c r="AB25" s="176"/>
      <c r="AC25" s="176"/>
      <c r="AD25" s="176"/>
      <c r="AE25" s="17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1" ph="1"/>
      <c r="C26" s="68" t="s" ph="1">
        <v>179</v>
      </c>
      <c r="D26" s="74">
        <v>25</v>
      </c>
      <c r="E26" s="74">
        <v>25</v>
      </c>
      <c r="F26" s="74">
        <v>23</v>
      </c>
      <c r="G26" s="74">
        <v>23</v>
      </c>
      <c r="H26" s="74">
        <v>22</v>
      </c>
      <c r="I26" s="74">
        <v>22</v>
      </c>
      <c r="J26" s="74">
        <v>22</v>
      </c>
      <c r="K26" s="74">
        <v>20</v>
      </c>
      <c r="L26" s="74">
        <v>22</v>
      </c>
      <c r="M26" s="74">
        <v>21</v>
      </c>
      <c r="N26" s="74">
        <v>20</v>
      </c>
      <c r="O26" s="74">
        <v>21</v>
      </c>
      <c r="P26" s="74">
        <v>20</v>
      </c>
      <c r="Q26" s="93">
        <v>22</v>
      </c>
      <c r="R26" s="74">
        <v>24</v>
      </c>
      <c r="S26" s="74">
        <v>22</v>
      </c>
      <c r="T26" s="74">
        <v>20</v>
      </c>
      <c r="U26" s="74">
        <v>24</v>
      </c>
      <c r="V26" s="74">
        <v>22</v>
      </c>
      <c r="W26" s="74">
        <v>24</v>
      </c>
      <c r="X26" s="74">
        <v>37</v>
      </c>
      <c r="Y26" s="74">
        <v>24</v>
      </c>
      <c r="Z26" s="175"/>
      <c r="AA26" s="176"/>
      <c r="AB26" s="176"/>
      <c r="AC26" s="176"/>
      <c r="AD26" s="176"/>
      <c r="AE26" s="17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1" ph="1">
        <v>0.66666666666666663</v>
      </c>
      <c r="C27" s="151" t="s" ph="1">
        <v>180</v>
      </c>
      <c r="D27" s="71">
        <v>27.9</v>
      </c>
      <c r="E27" s="71">
        <v>5.42</v>
      </c>
      <c r="F27" s="71">
        <v>1405</v>
      </c>
      <c r="G27" s="71">
        <v>1516</v>
      </c>
      <c r="H27" s="71">
        <v>1971</v>
      </c>
      <c r="I27" s="71">
        <v>0</v>
      </c>
      <c r="J27" s="71">
        <v>856</v>
      </c>
      <c r="K27" s="71">
        <v>2610</v>
      </c>
      <c r="L27" s="71">
        <v>466</v>
      </c>
      <c r="M27" s="71">
        <v>1611</v>
      </c>
      <c r="N27" s="71">
        <v>5438</v>
      </c>
      <c r="O27" s="71">
        <v>5723</v>
      </c>
      <c r="P27" s="71">
        <v>332</v>
      </c>
      <c r="Q27" s="90">
        <v>3110</v>
      </c>
      <c r="R27" s="71">
        <v>490</v>
      </c>
      <c r="S27" s="71">
        <v>4323</v>
      </c>
      <c r="T27" s="71">
        <v>378</v>
      </c>
      <c r="U27" s="71">
        <v>2943</v>
      </c>
      <c r="V27" s="71">
        <v>6628</v>
      </c>
      <c r="W27" s="71">
        <v>11199</v>
      </c>
      <c r="X27" s="71">
        <v>5836</v>
      </c>
      <c r="Y27" s="71">
        <v>6009</v>
      </c>
      <c r="Z27" s="175"/>
      <c r="AA27" s="176"/>
      <c r="AB27" s="176"/>
      <c r="AC27" s="176"/>
      <c r="AD27" s="176"/>
      <c r="AE27" s="17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1" ph="1"/>
      <c r="C28" s="151" t="s" ph="1">
        <v>178</v>
      </c>
      <c r="D28" s="91" ph="1">
        <f>D27*268.68*LOOKUP(D29,密度!$A$2:$A$50,密度!$Q$2:$Q$50)+IF(D27&lt;=0,0,1566*LOOKUP(D29,密度!$A$2:$A$50,密度!$Q$2:$Q$50))</f>
        <v>8579.5207192800008</v>
      </c>
      <c r="E28" s="91" ph="1">
        <f>E27*268.68*LOOKUP(E29,密度!$A$2:$A$50,密度!$C$2:$C$50)+IF(E27&lt;=0,0,1566*LOOKUP(E29,密度!$A$2:$A$50,密度!$C$2:$C$50))</f>
        <v>3351.3681458399997</v>
      </c>
      <c r="F28" s="91" ph="1">
        <f>F27*11.702*LOOKUP(F29,密度!$A$2:$A$50,密度!$Q$2:$Q$50)</f>
        <v>15589.650142000002</v>
      </c>
      <c r="G28" s="91" ph="1">
        <f>G27*18.322*LOOKUP(G29,密度!$A$2:$A$50,密度!$B$2:$B$50)</f>
        <v>21704.285172799999</v>
      </c>
      <c r="H28" s="91" ph="1">
        <f>H27*18.322*LOOKUP(H29,密度!$A$2:$A$50,密度!$B$2:$B$50)</f>
        <v>28250.935482599998</v>
      </c>
      <c r="I28" s="91" ph="1">
        <f>I27*18.322*LOOKUP(I29,密度!$A$2:$A$50,密度!$Q$2:$Q$50)</f>
        <v>0</v>
      </c>
      <c r="J28" s="91" ph="1">
        <f>J27*18.322*LOOKUP(J29,密度!$A$2:$A$50,密度!$Q$2:$Q$50)</f>
        <v>14885.178294879999</v>
      </c>
      <c r="K28" s="91" ph="1">
        <f>K27*18.322*LOOKUP(K29,密度!$A$2:$A$50,密度!$Q$2:$Q$50)</f>
        <v>45414.5746698</v>
      </c>
      <c r="L28" s="91" ph="1">
        <f>L27*18.322*LOOKUP(L29,密度!$A$2:$A$50,密度!$Q$2:$Q$50)</f>
        <v>8095.7809064000003</v>
      </c>
      <c r="M28" s="91" ph="1">
        <f>M27*18.322*LOOKUP(M29,密度!$A$2:$A$50,密度!$Q$2:$Q$50)</f>
        <v>28052.121261959997</v>
      </c>
      <c r="N28" s="91" ph="1">
        <f>N27*18.322*LOOKUP(N29,密度!$A$2:$A$50,密度!$Q$2:$Q$50)</f>
        <v>94622.39733883999</v>
      </c>
      <c r="O28" s="91" ph="1">
        <f>O27*18.322*LOOKUP(O29,密度!$A$2:$A$50,密度!$C$2:$C$50)</f>
        <v>116590.28259140001</v>
      </c>
      <c r="P28" s="91" ph="1">
        <f>P27*11.702*LOOKUP(P29,密度!$A$2:$A$50,密度!$B$2:$B$50)</f>
        <v>3039.2855672000001</v>
      </c>
      <c r="Q28" s="92" ph="1">
        <f>Q27*18.322*LOOKUP(Q29,密度!$A$2:$A$50,密度!$B$2:$B$50)</f>
        <v>44576.564866000001</v>
      </c>
      <c r="R28" s="91" ph="1">
        <f>R27*35.891*LOOKUP(R29,密度!$A$2:$A$50,密度!$C$2:$C$50)</f>
        <v>19528.149536000001</v>
      </c>
      <c r="S28" s="91" ph="1">
        <f>S27*35.891*LOOKUP(S29,密度!$A$2:$A$50,密度!$B$2:$B$50)</f>
        <v>121239.5180502</v>
      </c>
      <c r="T28" s="91" ph="1">
        <f>T27*35.891*LOOKUP(T29,密度!$A$2:$A$50,密度!$Q$2:$Q$50)</f>
        <v>12876.112313819998</v>
      </c>
      <c r="U28" s="91" ph="1">
        <f>U27*35.891</f>
        <v>105627.21299999999</v>
      </c>
      <c r="V28" s="91" ph="1">
        <f>V27*47.051*LOOKUP(V29,密度!$A$2:$A$50,密度!$B$2:$B$50)</f>
        <v>244244.07472959999</v>
      </c>
      <c r="W28" s="91" ph="1">
        <f>W27*47.051*LOOKUP(W29,密度!$A$2:$A$50,密度!$B$2:$B$50)</f>
        <v>412212.76176269999</v>
      </c>
      <c r="X28" s="91" ph="1">
        <f>X27*47.051*LOOKUP(X29,密度!$A$2:$A$61,密度!$I$2:$I$61)</f>
        <v>282223.22788080003</v>
      </c>
      <c r="Y28" s="91" ph="1">
        <f>Y27*47.051*LOOKUP(Y29,密度!$A$2:$A$50,密度!$L$2:$L$50)</f>
        <v>265482.96200100001</v>
      </c>
      <c r="Z28" s="175"/>
      <c r="AA28" s="176"/>
      <c r="AB28" s="176"/>
      <c r="AC28" s="176"/>
      <c r="AD28" s="176"/>
      <c r="AE28" s="17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1" ph="1"/>
      <c r="C29" s="151" t="s" ph="1">
        <v>179</v>
      </c>
      <c r="D29" s="74">
        <v>25</v>
      </c>
      <c r="E29" s="74">
        <v>25</v>
      </c>
      <c r="F29" s="74">
        <v>23</v>
      </c>
      <c r="G29" s="74">
        <v>23</v>
      </c>
      <c r="H29" s="74">
        <v>22</v>
      </c>
      <c r="I29" s="74">
        <v>21</v>
      </c>
      <c r="J29" s="74">
        <v>22</v>
      </c>
      <c r="K29" s="74">
        <v>21</v>
      </c>
      <c r="L29" s="74">
        <v>23</v>
      </c>
      <c r="M29" s="74">
        <v>20</v>
      </c>
      <c r="N29" s="74">
        <v>21</v>
      </c>
      <c r="O29" s="74">
        <v>21</v>
      </c>
      <c r="P29" s="74">
        <v>22</v>
      </c>
      <c r="Q29" s="93">
        <v>22</v>
      </c>
      <c r="R29" s="74">
        <v>23</v>
      </c>
      <c r="S29" s="74">
        <v>23</v>
      </c>
      <c r="T29" s="74">
        <v>22</v>
      </c>
      <c r="U29" s="74">
        <v>21</v>
      </c>
      <c r="V29" s="74">
        <v>21</v>
      </c>
      <c r="W29" s="74">
        <v>22</v>
      </c>
      <c r="X29" s="74">
        <v>38</v>
      </c>
      <c r="Y29" s="74">
        <v>23</v>
      </c>
      <c r="Z29" s="178"/>
      <c r="AA29" s="179"/>
      <c r="AB29" s="179"/>
      <c r="AC29" s="179"/>
      <c r="AD29" s="179"/>
      <c r="AE29" s="18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4" t="s" ph="1">
        <v>35</v>
      </c>
      <c r="C31" s="195" ph="1"/>
      <c r="D31" s="198" t="s" ph="1">
        <v>9</v>
      </c>
      <c r="E31" s="187" ph="1"/>
      <c r="F31" s="188" ph="1"/>
      <c r="G31" s="198" t="s" ph="1">
        <v>18</v>
      </c>
      <c r="H31" s="187" ph="1"/>
      <c r="I31" s="188" ph="1"/>
      <c r="J31" s="186" t="s" ph="1">
        <v>1</v>
      </c>
      <c r="K31" s="187" ph="1"/>
      <c r="L31" s="188" ph="1"/>
      <c r="M31" s="186" t="s" ph="1">
        <v>7</v>
      </c>
      <c r="N31" s="187" ph="1"/>
      <c r="O31" s="188" ph="1"/>
      <c r="P31" s="186" t="s" ph="1">
        <v>41</v>
      </c>
      <c r="Q31" s="187"/>
      <c r="R31" s="188"/>
      <c r="S31" s="186" t="s" ph="1">
        <v>2</v>
      </c>
      <c r="T31" s="187"/>
      <c r="U31" s="188"/>
      <c r="V31" s="186" t="s" ph="1">
        <v>71</v>
      </c>
      <c r="W31" s="187" ph="1"/>
      <c r="X31" s="188" ph="1"/>
      <c r="Y31" s="186" t="s" ph="1">
        <v>3</v>
      </c>
      <c r="Z31" s="187" ph="1"/>
      <c r="AA31" s="188" ph="1"/>
      <c r="AB31" s="209" t="s">
        <v>42</v>
      </c>
      <c r="AC31" s="210"/>
      <c r="AD31" s="210"/>
      <c r="AE31" s="211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6" ph="1"/>
      <c r="C32" s="197" ph="1"/>
      <c r="D32" s="96" t="s" ph="1">
        <v>4</v>
      </c>
      <c r="E32" s="151" t="s" ph="1">
        <v>5</v>
      </c>
      <c r="F32" s="152" t="s" ph="1">
        <v>43</v>
      </c>
      <c r="G32" s="97" t="s" ph="1">
        <v>4</v>
      </c>
      <c r="H32" s="151" t="s" ph="1">
        <v>5</v>
      </c>
      <c r="I32" s="152" t="s" ph="1">
        <v>43</v>
      </c>
      <c r="J32" s="97" t="s" ph="1">
        <v>4</v>
      </c>
      <c r="K32" s="151" t="s" ph="1">
        <v>5</v>
      </c>
      <c r="L32" s="152" t="s" ph="1">
        <v>43</v>
      </c>
      <c r="M32" s="97" t="s" ph="1">
        <v>4</v>
      </c>
      <c r="N32" s="151" t="s" ph="1">
        <v>5</v>
      </c>
      <c r="O32" s="152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1" t="s" ph="1">
        <v>5</v>
      </c>
      <c r="U32" s="99" t="s" ph="1">
        <v>43</v>
      </c>
      <c r="V32" s="97" t="s" ph="1">
        <v>4</v>
      </c>
      <c r="W32" s="151" t="s" ph="1">
        <v>5</v>
      </c>
      <c r="X32" s="99" t="s" ph="1">
        <v>43</v>
      </c>
      <c r="Y32" s="100" t="s" ph="1">
        <v>4</v>
      </c>
      <c r="Z32" s="151" t="s" ph="1">
        <v>5</v>
      </c>
      <c r="AA32" s="152" t="s" ph="1">
        <v>43</v>
      </c>
      <c r="AB32" s="97" t="s" ph="1">
        <v>85</v>
      </c>
      <c r="AC32" s="151" t="s" ph="1">
        <v>84</v>
      </c>
      <c r="AD32" s="212" t="s" ph="1">
        <v>83</v>
      </c>
      <c r="AE32" s="213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199" t="s" ph="1">
        <v>181</v>
      </c>
      <c r="C33" s="200" ph="1"/>
      <c r="D33" s="203" ph="1">
        <f>AA10+AB10+Z19</f>
        <v>132590.9450224</v>
      </c>
      <c r="E33" s="203" ph="1">
        <f>M10+I10</f>
        <v>40343.2765956</v>
      </c>
      <c r="F33" s="20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1522252632456786910111213141516171819202123456789101112131415161718192022232424356789101112131415161718192021222345678910111213141516171819202345678910111213149101516171819222123234567891012131415161711181920212224252345678910111213137[[#This Row],[F25]]</f>
        <v>3880</v>
      </c>
      <c r="G33" s="207" ph="1">
        <f>N19</f>
        <v>12269.948152000001</v>
      </c>
      <c r="H33" s="203" ph="1">
        <f>M19</f>
        <v>23333.332950699998</v>
      </c>
      <c r="I33" s="216" ph="1">
        <v>0</v>
      </c>
      <c r="J33" s="214" ph="1">
        <f>F10+O28</f>
        <v>349680.6292346</v>
      </c>
      <c r="K33" s="203" ph="1">
        <f>O10+K10+E28+R28</f>
        <v>40704.75396984</v>
      </c>
      <c r="L33" s="218" ph="1">
        <f>K19</f>
        <v>36089.420129140002</v>
      </c>
      <c r="M33" s="214" ph="1">
        <f>G10+H10+W28+S28+V28+E10+R19+P28+Q28</f>
        <v>1796723.0734398204</v>
      </c>
      <c r="N33" s="203" ph="1">
        <f>L10+P10++G28+H28+AD19+AE19</f>
        <v>82623.786777599991</v>
      </c>
      <c r="O33" s="216" ph="1">
        <f>G19</f>
        <v>8953.1174223399994</v>
      </c>
      <c r="P33" s="214" ph="1">
        <f>L19</f>
        <v>2908.3893358800001</v>
      </c>
      <c r="Q33" s="203" ph="1">
        <f>J10+N10</f>
        <v>10820.1411317</v>
      </c>
      <c r="R33" s="216" ph="1">
        <f>BE23</f>
        <v>890</v>
      </c>
      <c r="S33" s="214" ph="1">
        <f>X28</f>
        <v>282223.22788080003</v>
      </c>
      <c r="T33" s="203" ph="1">
        <f>X19</f>
        <v>4860.4228046399994</v>
      </c>
      <c r="U33" s="224" ph="1">
        <f>BE21</f>
        <v>730</v>
      </c>
      <c r="V33" s="235" ph="1">
        <f ca="1">P19+Q19+S19+M28+N28+J28+D10+AC10+D19+E19+H19+J19+O19+V19+W19+K28+L28</f>
        <v>555096.15371204796</v>
      </c>
      <c r="W33" s="235" ph="1">
        <f>D28+F28+T28+I28</f>
        <v>37045.283175100005</v>
      </c>
      <c r="X33" s="216" ph="1">
        <f>BE29+BE31</f>
        <v>10200</v>
      </c>
      <c r="Y33" s="237" ph="1">
        <f>+Q10+R10+S10+T10+U10+V10+W10+X10+Y10</f>
        <v>112481.9461458</v>
      </c>
      <c r="Z33" s="222" ph="1">
        <f>T19+U19+Y28+Z10</f>
        <v>324663.62471696001</v>
      </c>
      <c r="AA33" s="224" ph="1">
        <f>BE19</f>
        <v>1440</v>
      </c>
      <c r="AB33" s="226" ph="1">
        <f>I19</f>
        <v>50767.196328799997</v>
      </c>
      <c r="AC33" s="228" ph="1">
        <f>AD10+AB19</f>
        <v>186630.39656100003</v>
      </c>
      <c r="AD33" s="230" ph="1">
        <v>0</v>
      </c>
      <c r="AE33" s="231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1" ph="1"/>
      <c r="C34" s="202" ph="1"/>
      <c r="D34" s="204" ph="1"/>
      <c r="E34" s="204" ph="1"/>
      <c r="F34" s="206" ph="1"/>
      <c r="G34" s="208" ph="1"/>
      <c r="H34" s="204" ph="1"/>
      <c r="I34" s="217" ph="1"/>
      <c r="J34" s="215" ph="1"/>
      <c r="K34" s="204" ph="1"/>
      <c r="L34" s="219" ph="1"/>
      <c r="M34" s="215" ph="1"/>
      <c r="N34" s="204" ph="1"/>
      <c r="O34" s="217" ph="1"/>
      <c r="P34" s="215" ph="1"/>
      <c r="Q34" s="204" ph="1"/>
      <c r="R34" s="217" ph="1"/>
      <c r="S34" s="215" ph="1"/>
      <c r="T34" s="204"/>
      <c r="U34" s="225"/>
      <c r="V34" s="236" ph="1"/>
      <c r="W34" s="236" ph="1"/>
      <c r="X34" s="217" ph="1"/>
      <c r="Y34" s="238" ph="1"/>
      <c r="Z34" s="223" ph="1"/>
      <c r="AA34" s="225" ph="1"/>
      <c r="AB34" s="227"/>
      <c r="AC34" s="229"/>
      <c r="AD34" s="232"/>
      <c r="AE34" s="233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4" t="s" ph="1">
        <v>631</v>
      </c>
      <c r="AD35" s="234"/>
      <c r="AE35" s="234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0" t="s" ph="1">
        <v>183</v>
      </c>
      <c r="J36" s="220" ph="1"/>
      <c r="K36" s="101" ph="1"/>
      <c r="P36" s="101" ph="1"/>
      <c r="R36" s="220" t="s" ph="1">
        <v>184</v>
      </c>
      <c r="S36" s="220" ph="1"/>
      <c r="Y36" s="102" ph="1"/>
      <c r="Z36" s="153" t="s" ph="1">
        <v>185</v>
      </c>
      <c r="AA36" s="153" ph="1"/>
      <c r="AB36" s="221" t="s" ph="1">
        <v>638</v>
      </c>
      <c r="AC36" s="221" ph="1"/>
      <c r="AD36" s="221" ph="1"/>
      <c r="AE36" s="221" ph="1"/>
      <c r="BA36" s="64" ph="1">
        <v>2270</v>
      </c>
    </row>
    <row r="37" spans="1:57" s="153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3" t="s" ph="1">
        <v>342</v>
      </c>
      <c r="AI37" s="153" t="s" ph="1">
        <v>209</v>
      </c>
      <c r="AJ37" s="153" t="s" ph="1">
        <v>210</v>
      </c>
      <c r="AK37" s="153" t="s" ph="1">
        <v>211</v>
      </c>
      <c r="AM37" s="153" t="s" ph="1">
        <v>210</v>
      </c>
      <c r="AN37" s="153" t="s" ph="1">
        <v>211</v>
      </c>
      <c r="AO37" s="153" t="s" ph="1">
        <v>212</v>
      </c>
      <c r="AP37" s="153" t="s" ph="1">
        <v>210</v>
      </c>
      <c r="AQ37" s="153" t="s" ph="1">
        <v>211</v>
      </c>
      <c r="AR37" s="153" t="s" ph="1">
        <v>212</v>
      </c>
      <c r="AS37" s="153" t="s" ph="1">
        <v>210</v>
      </c>
      <c r="AT37" s="153" t="s" ph="1">
        <v>211</v>
      </c>
      <c r="AU37" s="153" t="s" ph="1">
        <v>212</v>
      </c>
      <c r="AV37" s="153" t="s" ph="1">
        <v>210</v>
      </c>
      <c r="AW37" s="153" t="s" ph="1">
        <v>211</v>
      </c>
      <c r="AX37" s="153" t="s" ph="1">
        <v>212</v>
      </c>
      <c r="AY37" s="153" t="s" ph="1">
        <v>211</v>
      </c>
      <c r="AZ37" s="153" t="s" ph="1">
        <v>213</v>
      </c>
      <c r="BD37" s="153" t="s" ph="1">
        <v>305</v>
      </c>
      <c r="BE37" s="153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469" priority="100">
      <formula>ABS(D$7-D$10)&gt;=1000</formula>
    </cfRule>
  </conditionalFormatting>
  <conditionalFormatting sqref="E4 E6:E11">
    <cfRule type="expression" dxfId="2468" priority="99">
      <formula>ABS(E$7-E$10)&gt;=1000</formula>
    </cfRule>
  </conditionalFormatting>
  <conditionalFormatting sqref="F4:F11">
    <cfRule type="expression" dxfId="2467" priority="98">
      <formula>ABS(F$7-F$10)&gt;=1000</formula>
    </cfRule>
  </conditionalFormatting>
  <conditionalFormatting sqref="G4:G11">
    <cfRule type="expression" dxfId="2466" priority="97">
      <formula>ABS(G$7-G$10)&gt;=1000</formula>
    </cfRule>
  </conditionalFormatting>
  <conditionalFormatting sqref="H4:H11">
    <cfRule type="expression" dxfId="2465" priority="96">
      <formula>ABS(H$7-H$10)&gt;=1000</formula>
    </cfRule>
  </conditionalFormatting>
  <conditionalFormatting sqref="I4:I11">
    <cfRule type="expression" dxfId="2464" priority="95">
      <formula>ABS(I$7-I$10)&gt;=1000</formula>
    </cfRule>
  </conditionalFormatting>
  <conditionalFormatting sqref="J4:J11">
    <cfRule type="expression" dxfId="2463" priority="94">
      <formula>ABS(J$7-J$10)&gt;=1000</formula>
    </cfRule>
  </conditionalFormatting>
  <conditionalFormatting sqref="K4:K11">
    <cfRule type="expression" dxfId="2462" priority="93">
      <formula>ABS(K$7-K$10)&gt;=1000</formula>
    </cfRule>
  </conditionalFormatting>
  <conditionalFormatting sqref="L4:L11">
    <cfRule type="expression" dxfId="2461" priority="92">
      <formula>ABS(L$7-L$10)&gt;=1000</formula>
    </cfRule>
  </conditionalFormatting>
  <conditionalFormatting sqref="M4 M6:M11">
    <cfRule type="expression" dxfId="2460" priority="91">
      <formula>ABS(M$7-M$10)&gt;=1000</formula>
    </cfRule>
  </conditionalFormatting>
  <conditionalFormatting sqref="N4 N6:N11">
    <cfRule type="expression" dxfId="2459" priority="90">
      <formula>ABS(N$7-N$10)&gt;=1000</formula>
    </cfRule>
  </conditionalFormatting>
  <conditionalFormatting sqref="O4 O6:O11">
    <cfRule type="expression" dxfId="2458" priority="89">
      <formula>ABS(O$7-O$10)&gt;=1000</formula>
    </cfRule>
  </conditionalFormatting>
  <conditionalFormatting sqref="P4 P6:P11">
    <cfRule type="expression" dxfId="2457" priority="88">
      <formula>ABS(P$7-P$10)&gt;=1000</formula>
    </cfRule>
  </conditionalFormatting>
  <conditionalFormatting sqref="Q4:Q11">
    <cfRule type="expression" dxfId="2456" priority="87">
      <formula>ABS(Q$7-Q$10)&gt;=1000</formula>
    </cfRule>
  </conditionalFormatting>
  <conditionalFormatting sqref="R4:R11">
    <cfRule type="expression" dxfId="2455" priority="86">
      <formula>ABS(R$7-R$10)&gt;=1000</formula>
    </cfRule>
  </conditionalFormatting>
  <conditionalFormatting sqref="S4:S11">
    <cfRule type="expression" dxfId="2454" priority="85">
      <formula>ABS(S$7-S$10)&gt;=1000</formula>
    </cfRule>
  </conditionalFormatting>
  <conditionalFormatting sqref="T4:T9 T11">
    <cfRule type="expression" dxfId="2453" priority="84">
      <formula>ABS(T$7-T$10)&gt;=1000</formula>
    </cfRule>
  </conditionalFormatting>
  <conditionalFormatting sqref="U4:U9 U11">
    <cfRule type="expression" dxfId="2452" priority="83">
      <formula>ABS(U$7-U$10)&gt;=1000</formula>
    </cfRule>
  </conditionalFormatting>
  <conditionalFormatting sqref="V4:V9 V11">
    <cfRule type="expression" dxfId="2451" priority="82">
      <formula>ABS(V$7-V$10)&gt;=1000</formula>
    </cfRule>
  </conditionalFormatting>
  <conditionalFormatting sqref="W4:W9 W11">
    <cfRule type="expression" dxfId="2450" priority="81">
      <formula>ABS(W$7-W$10)&gt;=1000</formula>
    </cfRule>
  </conditionalFormatting>
  <conditionalFormatting sqref="X4:X9 X11">
    <cfRule type="expression" dxfId="2449" priority="80">
      <formula>ABS(X$7-X$10)&gt;=1000</formula>
    </cfRule>
  </conditionalFormatting>
  <conditionalFormatting sqref="Y4:Y9 Y11">
    <cfRule type="expression" dxfId="2448" priority="79">
      <formula>ABS(Y$7-Y$10)&gt;=1000</formula>
    </cfRule>
  </conditionalFormatting>
  <conditionalFormatting sqref="Z4:Z11">
    <cfRule type="expression" dxfId="2447" priority="78">
      <formula>ABS(Z$7-Z$10)&gt;=1000</formula>
    </cfRule>
  </conditionalFormatting>
  <conditionalFormatting sqref="AA4:AA11">
    <cfRule type="expression" dxfId="2446" priority="77">
      <formula>ABS(AA$7-AA$10)&gt;=1000</formula>
    </cfRule>
  </conditionalFormatting>
  <conditionalFormatting sqref="AB4:AB11">
    <cfRule type="expression" dxfId="2445" priority="76">
      <formula>ABS(AB$7-AB$10)&gt;=1000</formula>
    </cfRule>
  </conditionalFormatting>
  <conditionalFormatting sqref="AC4 AC6:AC11">
    <cfRule type="expression" dxfId="2444" priority="75">
      <formula>ABS(AC$7-AC$10)&gt;=1000</formula>
    </cfRule>
  </conditionalFormatting>
  <conditionalFormatting sqref="AD4 AD6:AD11">
    <cfRule type="expression" dxfId="2443" priority="74">
      <formula>ABS(AD$7-AD$10)&gt;=1000</formula>
    </cfRule>
  </conditionalFormatting>
  <conditionalFormatting sqref="AE4 AE6:AE11">
    <cfRule type="expression" dxfId="2442" priority="73">
      <formula>ABS(AE$7-AE$10)&gt;=1000</formula>
    </cfRule>
  </conditionalFormatting>
  <conditionalFormatting sqref="D13:D20">
    <cfRule type="expression" dxfId="2441" priority="72">
      <formula>ABS(D$16-D$19)&gt;=1000</formula>
    </cfRule>
  </conditionalFormatting>
  <conditionalFormatting sqref="E13:E20">
    <cfRule type="expression" dxfId="2440" priority="71">
      <formula>ABS(E$16-E$19)&gt;=1000</formula>
    </cfRule>
  </conditionalFormatting>
  <conditionalFormatting sqref="F13 F15:F20">
    <cfRule type="expression" dxfId="2439" priority="70">
      <formula>ABS(F$16-F$19)&gt;=1000</formula>
    </cfRule>
  </conditionalFormatting>
  <conditionalFormatting sqref="G13:G20">
    <cfRule type="expression" dxfId="2438" priority="69">
      <formula>ABS(G$16-G$19)&gt;=1000</formula>
    </cfRule>
  </conditionalFormatting>
  <conditionalFormatting sqref="H13 H15:H20">
    <cfRule type="expression" dxfId="2437" priority="68">
      <formula>ABS(H$16-H$19)&gt;=1000</formula>
    </cfRule>
  </conditionalFormatting>
  <conditionalFormatting sqref="I13:I20">
    <cfRule type="expression" dxfId="2436" priority="67">
      <formula>ABS(I$16-I$19)&gt;=1000</formula>
    </cfRule>
  </conditionalFormatting>
  <conditionalFormatting sqref="J13:J20">
    <cfRule type="expression" dxfId="2435" priority="66">
      <formula>ABS(J$16-J$19)&gt;=1000</formula>
    </cfRule>
  </conditionalFormatting>
  <conditionalFormatting sqref="L13:L20">
    <cfRule type="expression" dxfId="2434" priority="65">
      <formula>ABS(L$16-L$19)&gt;=1000</formula>
    </cfRule>
  </conditionalFormatting>
  <conditionalFormatting sqref="M13 M15 M17:M18 M20">
    <cfRule type="expression" dxfId="2433" priority="64">
      <formula>ABS(M$16-M$19)&gt;=1000</formula>
    </cfRule>
  </conditionalFormatting>
  <conditionalFormatting sqref="N13:N20">
    <cfRule type="expression" dxfId="2432" priority="63">
      <formula>ABS(N$16-N$19)&gt;=1000</formula>
    </cfRule>
  </conditionalFormatting>
  <conditionalFormatting sqref="O13:O20">
    <cfRule type="expression" dxfId="2431" priority="62">
      <formula>ABS(O$16-O$19)&gt;=1000</formula>
    </cfRule>
  </conditionalFormatting>
  <conditionalFormatting sqref="P13:P20">
    <cfRule type="expression" dxfId="2430" priority="61">
      <formula>ABS(P$16-P$19)&gt;=1000</formula>
    </cfRule>
  </conditionalFormatting>
  <conditionalFormatting sqref="Q13 Q15:Q20">
    <cfRule type="expression" dxfId="2429" priority="60">
      <formula>ABS(Q$16-Q$19)&gt;=1000</formula>
    </cfRule>
  </conditionalFormatting>
  <conditionalFormatting sqref="R13:R20">
    <cfRule type="expression" dxfId="2428" priority="59">
      <formula>ABS(R$16-R$19)&gt;=1000</formula>
    </cfRule>
  </conditionalFormatting>
  <conditionalFormatting sqref="S13:S20">
    <cfRule type="expression" dxfId="2427" priority="58">
      <formula>ABS(S$16-S$19)&gt;=1000</formula>
    </cfRule>
  </conditionalFormatting>
  <conditionalFormatting sqref="T13:T20">
    <cfRule type="expression" dxfId="2426" priority="57">
      <formula>ABS(T$16-T$19)&gt;=1000</formula>
    </cfRule>
  </conditionalFormatting>
  <conditionalFormatting sqref="U13:U20">
    <cfRule type="expression" dxfId="2425" priority="56">
      <formula>ABS(U$16-U$19)&gt;=1000</formula>
    </cfRule>
  </conditionalFormatting>
  <conditionalFormatting sqref="V13:V20">
    <cfRule type="expression" dxfId="2424" priority="55">
      <formula>ABS(V$16-V$19)&gt;=1000</formula>
    </cfRule>
  </conditionalFormatting>
  <conditionalFormatting sqref="W13 W20 W15:W18">
    <cfRule type="expression" dxfId="2423" priority="54">
      <formula>ABS(W$16-W$19)&gt;=1000</formula>
    </cfRule>
  </conditionalFormatting>
  <conditionalFormatting sqref="X13 X15:X20 Y19">
    <cfRule type="expression" dxfId="2422" priority="53">
      <formula>ABS(X$16-X$19)&gt;=1000</formula>
    </cfRule>
  </conditionalFormatting>
  <conditionalFormatting sqref="Y13 Y15:Y18 Y20">
    <cfRule type="expression" dxfId="2421" priority="52">
      <formula>ABS(Y$16-Y$19)&gt;=1000</formula>
    </cfRule>
  </conditionalFormatting>
  <conditionalFormatting sqref="Z13:Z20">
    <cfRule type="expression" dxfId="2420" priority="51">
      <formula>ABS(Z$16-Z$19)&gt;=1000</formula>
    </cfRule>
  </conditionalFormatting>
  <conditionalFormatting sqref="AA13:AA20">
    <cfRule type="expression" dxfId="2419" priority="50">
      <formula>ABS(AA$16-AA$19)&gt;=1000</formula>
    </cfRule>
  </conditionalFormatting>
  <conditionalFormatting sqref="AB13 AB15:AB20">
    <cfRule type="expression" dxfId="2418" priority="49">
      <formula>ABS(AB$16-AB$19)&gt;=1000</formula>
    </cfRule>
  </conditionalFormatting>
  <conditionalFormatting sqref="AC13 AC15:AC20">
    <cfRule type="expression" dxfId="2417" priority="48">
      <formula>ABS(AC$16-AC$19)&gt;=1000</formula>
    </cfRule>
  </conditionalFormatting>
  <conditionalFormatting sqref="AD13:AD20">
    <cfRule type="expression" dxfId="2416" priority="47">
      <formula>ABS(AD$16-AD$19)&gt;=1000</formula>
    </cfRule>
  </conditionalFormatting>
  <conditionalFormatting sqref="AE13:AE20">
    <cfRule type="expression" dxfId="2415" priority="46">
      <formula>ABS(AE$16-AE$19)&gt;=1000</formula>
    </cfRule>
  </conditionalFormatting>
  <conditionalFormatting sqref="D22:D29">
    <cfRule type="expression" dxfId="2414" priority="45">
      <formula>ABS(D$25-D$28)&gt;=1000</formula>
    </cfRule>
  </conditionalFormatting>
  <conditionalFormatting sqref="E22:E29">
    <cfRule type="expression" dxfId="2413" priority="44">
      <formula>ABS(E$25-E$28)&gt;=1000</formula>
    </cfRule>
  </conditionalFormatting>
  <conditionalFormatting sqref="F22:F29">
    <cfRule type="expression" dxfId="2412" priority="43">
      <formula>ABS(F$25-F$28)&gt;=1000</formula>
    </cfRule>
  </conditionalFormatting>
  <conditionalFormatting sqref="G22:G29">
    <cfRule type="expression" dxfId="2411" priority="42">
      <formula>ABS(G$25-G$28)&gt;=1000</formula>
    </cfRule>
  </conditionalFormatting>
  <conditionalFormatting sqref="H22:H29">
    <cfRule type="expression" dxfId="2410" priority="41">
      <formula>ABS(H$25-H$28)&gt;=1000</formula>
    </cfRule>
  </conditionalFormatting>
  <conditionalFormatting sqref="I22 I24:I29">
    <cfRule type="expression" dxfId="2409" priority="40">
      <formula>ABS(I$25-I$28)&gt;=1000</formula>
    </cfRule>
  </conditionalFormatting>
  <conditionalFormatting sqref="J22:J29 K22">
    <cfRule type="expression" dxfId="2408" priority="39">
      <formula>ABS(J$25-J$28)&gt;=1000</formula>
    </cfRule>
  </conditionalFormatting>
  <conditionalFormatting sqref="K23:K29 L25 L28">
    <cfRule type="expression" dxfId="2407" priority="38">
      <formula>ABS(K$25-K$28)&gt;=1000</formula>
    </cfRule>
  </conditionalFormatting>
  <conditionalFormatting sqref="L22 L26:L27 L29 L24">
    <cfRule type="expression" dxfId="2406" priority="37">
      <formula>ABS(L$25-L$28)&gt;=1000</formula>
    </cfRule>
  </conditionalFormatting>
  <conditionalFormatting sqref="M22:M29">
    <cfRule type="expression" dxfId="2405" priority="36">
      <formula>ABS(M$25-M$28)&gt;=1000</formula>
    </cfRule>
  </conditionalFormatting>
  <conditionalFormatting sqref="N22:N29">
    <cfRule type="expression" dxfId="2404" priority="35">
      <formula>ABS(N$25-N$28)&gt;=1000</formula>
    </cfRule>
  </conditionalFormatting>
  <conditionalFormatting sqref="O22:O29">
    <cfRule type="expression" dxfId="2403" priority="34">
      <formula>ABS(O$25-O$28)&gt;=1000</formula>
    </cfRule>
  </conditionalFormatting>
  <conditionalFormatting sqref="P22:P29">
    <cfRule type="expression" dxfId="2402" priority="33">
      <formula>ABS(P$25-P$28)&gt;=1000</formula>
    </cfRule>
  </conditionalFormatting>
  <conditionalFormatting sqref="Q22:Q29">
    <cfRule type="expression" dxfId="2401" priority="32">
      <formula>ABS(Q$25-Q$28)&gt;=1000</formula>
    </cfRule>
  </conditionalFormatting>
  <conditionalFormatting sqref="R22:R29">
    <cfRule type="expression" dxfId="2400" priority="31">
      <formula>ABS(R$25-R$28)&gt;=1000</formula>
    </cfRule>
  </conditionalFormatting>
  <conditionalFormatting sqref="S22:S29">
    <cfRule type="expression" dxfId="2399" priority="30">
      <formula>ABS(S$25-S$28)&gt;=1000</formula>
    </cfRule>
  </conditionalFormatting>
  <conditionalFormatting sqref="T22:T29">
    <cfRule type="expression" dxfId="2398" priority="29">
      <formula>ABS(T$25-T$28)&gt;=1000</formula>
    </cfRule>
  </conditionalFormatting>
  <conditionalFormatting sqref="U22:U29">
    <cfRule type="expression" dxfId="2397" priority="28">
      <formula>ABS(U$25-U$28)&gt;=1000</formula>
    </cfRule>
  </conditionalFormatting>
  <conditionalFormatting sqref="V22:V29">
    <cfRule type="expression" dxfId="2396" priority="27">
      <formula>ABS(V$25-V$28)&gt;=1000</formula>
    </cfRule>
  </conditionalFormatting>
  <conditionalFormatting sqref="W22:W29">
    <cfRule type="expression" dxfId="2395" priority="26">
      <formula>ABS(W$25-W$28)&gt;=1000</formula>
    </cfRule>
  </conditionalFormatting>
  <conditionalFormatting sqref="X22:X29">
    <cfRule type="expression" dxfId="2394" priority="25">
      <formula>ABS(X$25-X$28)&gt;=1000</formula>
    </cfRule>
  </conditionalFormatting>
  <conditionalFormatting sqref="Y22:Y29">
    <cfRule type="expression" dxfId="2393" priority="24">
      <formula>ABS(Y$25-Y$28)&gt;=1000</formula>
    </cfRule>
  </conditionalFormatting>
  <conditionalFormatting sqref="I23">
    <cfRule type="expression" dxfId="2392" priority="23">
      <formula>ABS(I$25-I$28)&gt;=1000</formula>
    </cfRule>
  </conditionalFormatting>
  <conditionalFormatting sqref="Q14">
    <cfRule type="expression" dxfId="2391" priority="22">
      <formula>ABS(Q$16-Q$19)&gt;=1000</formula>
    </cfRule>
  </conditionalFormatting>
  <conditionalFormatting sqref="W14">
    <cfRule type="expression" dxfId="2390" priority="21">
      <formula>ABS(W$16-W$19)&gt;=1000</formula>
    </cfRule>
  </conditionalFormatting>
  <conditionalFormatting sqref="X14">
    <cfRule type="expression" dxfId="2389" priority="20">
      <formula>ABS(X$16-X$19)&gt;=1000</formula>
    </cfRule>
  </conditionalFormatting>
  <conditionalFormatting sqref="T10:Y10">
    <cfRule type="expression" dxfId="2388" priority="19">
      <formula>ABS(T$7-T$10)&gt;=1000</formula>
    </cfRule>
  </conditionalFormatting>
  <conditionalFormatting sqref="W19">
    <cfRule type="expression" dxfId="2387" priority="18">
      <formula>ABS(W$16-W$19)&gt;=1000</formula>
    </cfRule>
  </conditionalFormatting>
  <conditionalFormatting sqref="AC5">
    <cfRule type="expression" dxfId="2386" priority="17">
      <formula>ABS(AC$7-AC$10)&gt;=1000</formula>
    </cfRule>
  </conditionalFormatting>
  <conditionalFormatting sqref="M14">
    <cfRule type="expression" dxfId="2385" priority="16">
      <formula>ABS(M$16-M$19)&gt;=1000</formula>
    </cfRule>
  </conditionalFormatting>
  <conditionalFormatting sqref="M16">
    <cfRule type="expression" dxfId="2384" priority="15">
      <formula>ABS(M$16-M$19)&gt;=1000</formula>
    </cfRule>
  </conditionalFormatting>
  <conditionalFormatting sqref="M19">
    <cfRule type="expression" dxfId="2383" priority="14">
      <formula>ABS(M$16-M$19)&gt;=1000</formula>
    </cfRule>
  </conditionalFormatting>
  <conditionalFormatting sqref="K13:K20">
    <cfRule type="expression" dxfId="2382" priority="13">
      <formula>ABS(K$16-K$19)&gt;=1000</formula>
    </cfRule>
  </conditionalFormatting>
  <conditionalFormatting sqref="E5">
    <cfRule type="expression" dxfId="2381" priority="12">
      <formula>ABS(E$7-E$10)&gt;=1000</formula>
    </cfRule>
  </conditionalFormatting>
  <conditionalFormatting sqref="AB14:AC14">
    <cfRule type="expression" dxfId="2380" priority="11">
      <formula>ABS(AB$16-AB$19)&gt;=1000</formula>
    </cfRule>
  </conditionalFormatting>
  <conditionalFormatting sqref="M5">
    <cfRule type="expression" dxfId="2379" priority="10">
      <formula>ABS(M$7-M$10)&gt;=1000</formula>
    </cfRule>
  </conditionalFormatting>
  <conditionalFormatting sqref="N5">
    <cfRule type="expression" dxfId="2378" priority="9">
      <formula>ABS(N$7-N$10)&gt;=1000</formula>
    </cfRule>
  </conditionalFormatting>
  <conditionalFormatting sqref="O5">
    <cfRule type="expression" dxfId="2377" priority="8">
      <formula>ABS(O$7-O$10)&gt;=1000</formula>
    </cfRule>
  </conditionalFormatting>
  <conditionalFormatting sqref="P5">
    <cfRule type="expression" dxfId="2376" priority="7">
      <formula>ABS(P$7-P$10)&gt;=1000</formula>
    </cfRule>
  </conditionalFormatting>
  <conditionalFormatting sqref="L23">
    <cfRule type="expression" dxfId="2375" priority="6">
      <formula>ABS(L$25-L$28)&gt;=1000</formula>
    </cfRule>
  </conditionalFormatting>
  <conditionalFormatting sqref="Y14">
    <cfRule type="expression" dxfId="2374" priority="5">
      <formula>ABS(Y$16-Y$19)&gt;=1000</formula>
    </cfRule>
  </conditionalFormatting>
  <conditionalFormatting sqref="F14">
    <cfRule type="expression" dxfId="2373" priority="4">
      <formula>ABS(F$16-F$19)&gt;=1000</formula>
    </cfRule>
  </conditionalFormatting>
  <conditionalFormatting sqref="H14">
    <cfRule type="expression" dxfId="2372" priority="3">
      <formula>ABS(H$16-H$19)&gt;=1000</formula>
    </cfRule>
  </conditionalFormatting>
  <conditionalFormatting sqref="AD5">
    <cfRule type="expression" dxfId="2371" priority="2">
      <formula>ABS(AD$7-AD$10)&gt;=1000</formula>
    </cfRule>
  </conditionalFormatting>
  <conditionalFormatting sqref="AE5">
    <cfRule type="expression" dxfId="237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1292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63">
    <pageSetUpPr fitToPage="1"/>
  </sheetPr>
  <dimension ref="A1:CU223"/>
  <sheetViews>
    <sheetView view="pageBreakPreview" topLeftCell="A4" zoomScale="70" zoomScaleNormal="100" zoomScaleSheetLayoutView="70" workbookViewId="0">
      <selection activeCell="B4" sqref="B4:B5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2" t="s" ph="1">
        <v>161</v>
      </c>
      <c r="C1" s="182" ph="1"/>
      <c r="D1" s="182" ph="1"/>
      <c r="E1" s="182" ph="1"/>
      <c r="F1" s="182" ph="1"/>
      <c r="G1" s="182" ph="1"/>
      <c r="H1" s="182" ph="1"/>
      <c r="I1" s="182" ph="1"/>
      <c r="J1" s="182" ph="1"/>
      <c r="K1" s="182" ph="1"/>
      <c r="L1" s="182" ph="1"/>
      <c r="M1" s="182" ph="1"/>
      <c r="N1" s="182" ph="1"/>
      <c r="O1" s="182" ph="1"/>
      <c r="P1" s="182" ph="1"/>
      <c r="Q1" s="182" ph="1"/>
      <c r="R1" s="182" ph="1"/>
      <c r="S1" s="182" ph="1"/>
      <c r="T1" s="182" ph="1"/>
      <c r="U1" s="182" ph="1"/>
      <c r="V1" s="182" ph="1"/>
      <c r="W1" s="182" ph="1"/>
      <c r="X1" s="182" ph="1"/>
      <c r="Y1" s="182" ph="1"/>
      <c r="Z1" s="182" ph="1"/>
      <c r="AA1" s="182" ph="1"/>
      <c r="AB1" s="182" ph="1"/>
      <c r="AC1" s="182" ph="1"/>
      <c r="AD1" s="182" ph="1"/>
      <c r="AE1" s="182" ph="1"/>
    </row>
    <row r="2" spans="1:99" s="66" customFormat="1" ht="24" customHeight="1" ph="1">
      <c r="B2" s="183" t="s" ph="1">
        <v>82</v>
      </c>
      <c r="C2" s="183" ph="1"/>
      <c r="D2" s="183" ph="1"/>
      <c r="E2" s="183" ph="1"/>
      <c r="F2" s="183" ph="1"/>
      <c r="G2" s="183" ph="1"/>
      <c r="H2" s="183" ph="1"/>
      <c r="I2" s="183" ph="1"/>
      <c r="J2" s="183" ph="1"/>
      <c r="K2" s="183" ph="1"/>
      <c r="L2" s="183" ph="1"/>
      <c r="M2" s="183" ph="1"/>
      <c r="N2" s="183" ph="1"/>
      <c r="O2" s="183" ph="1"/>
      <c r="P2" s="183" ph="1"/>
      <c r="Q2" s="183" ph="1"/>
      <c r="R2" s="183" ph="1"/>
      <c r="S2" s="183" ph="1"/>
      <c r="T2" s="183" ph="1"/>
      <c r="U2" s="183" ph="1"/>
      <c r="V2" s="183" ph="1"/>
      <c r="W2" s="183" ph="1"/>
      <c r="X2" s="183" ph="1"/>
      <c r="Y2" s="183" ph="1"/>
      <c r="Z2" s="183" ph="1"/>
      <c r="AA2" s="183" ph="1"/>
      <c r="AB2" s="183" ph="1"/>
      <c r="AC2" s="183" ph="1"/>
      <c r="AD2" s="183" ph="1"/>
      <c r="AE2" s="183" ph="1"/>
    </row>
    <row r="3" spans="1:99" ht="21" customHeight="1" ph="1">
      <c r="B3" s="184" ph="1">
        <v>46119</v>
      </c>
      <c r="C3" s="184"/>
      <c r="D3" s="184"/>
      <c r="E3" s="184"/>
      <c r="F3" s="184"/>
      <c r="G3" s="184"/>
      <c r="H3" s="184"/>
      <c r="I3" s="184"/>
      <c r="J3" s="184"/>
      <c r="K3" s="184"/>
      <c r="L3" s="184"/>
      <c r="M3" s="184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</row>
    <row r="4" spans="1:99" s="69" customFormat="1" ph="1">
      <c r="A4" s="65" ph="1"/>
      <c r="B4" s="185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5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1" ph="1">
        <v>0.33333333333333331</v>
      </c>
      <c r="C6" s="151" t="s" ph="1">
        <v>177</v>
      </c>
      <c r="D6" s="71">
        <v>3622</v>
      </c>
      <c r="E6" s="71">
        <v>6964</v>
      </c>
      <c r="F6" s="71">
        <v>6322</v>
      </c>
      <c r="G6" s="71">
        <v>9232</v>
      </c>
      <c r="H6" s="71">
        <v>6491</v>
      </c>
      <c r="I6" s="71">
        <v>10.220000000000001</v>
      </c>
      <c r="J6" s="71">
        <v>6.52</v>
      </c>
      <c r="K6" s="71">
        <v>62.78</v>
      </c>
      <c r="L6" s="71">
        <v>9.1199999999999992</v>
      </c>
      <c r="M6" s="71">
        <v>1095</v>
      </c>
      <c r="N6" s="71">
        <v>357</v>
      </c>
      <c r="O6" s="71">
        <v>102</v>
      </c>
      <c r="P6" s="71">
        <v>0</v>
      </c>
      <c r="Q6" s="71">
        <v>6528</v>
      </c>
      <c r="R6" s="71">
        <v>6902</v>
      </c>
      <c r="S6" s="71">
        <v>6507</v>
      </c>
      <c r="T6" s="71">
        <v>7133</v>
      </c>
      <c r="U6" s="71">
        <v>1187</v>
      </c>
      <c r="V6" s="71">
        <v>0</v>
      </c>
      <c r="W6" s="71">
        <v>0</v>
      </c>
      <c r="X6" s="71">
        <v>0</v>
      </c>
      <c r="Y6" s="71">
        <v>417</v>
      </c>
      <c r="Z6" s="71">
        <v>2125</v>
      </c>
      <c r="AA6" s="71">
        <v>4232</v>
      </c>
      <c r="AB6" s="71">
        <v>2430</v>
      </c>
      <c r="AC6" s="71">
        <v>7308</v>
      </c>
      <c r="AD6" s="71">
        <v>3775</v>
      </c>
      <c r="AE6" s="71">
        <v>3850</v>
      </c>
    </row>
    <row r="7" spans="1:99" s="72" customFormat="1" ht="22.2" ph="1">
      <c r="B7" s="181" ph="1"/>
      <c r="C7" s="68" t="s" ph="1">
        <v>178</v>
      </c>
      <c r="D7" s="73" ph="1">
        <f>D6*33.183*LOOKUP(D8,密度!$A$2:$A$50,密度!$Q$2:$Q$50)</f>
        <v>113875.30697022</v>
      </c>
      <c r="E7" s="73" ph="1">
        <f>E6*51.53*LOOKUP(E8,密度!$A$2:$A$50,密度!$B$2:$B$50)</f>
        <v>280409.23448799999</v>
      </c>
      <c r="F7" s="73" ph="1">
        <f>F6*33.183*LOOKUP(F8,密度!$A$2:$A$50,密度!$C$2:$C$50)</f>
        <v>233089.8090786</v>
      </c>
      <c r="G7" s="73" ph="1">
        <f xml:space="preserve"> (G6+2)*51.53*LOOKUP(G8,密度!$A$2:$A$50,密度!$B$2:$B$50)</f>
        <v>371812.01482799998</v>
      </c>
      <c r="H7" s="73" ph="1">
        <f>(H6)*51.53*LOOKUP(H8,密度!$A$2:$A$50,密度!$B$2:$B$50)</f>
        <v>262266.73244300002</v>
      </c>
      <c r="I7" s="73" ph="1">
        <f>I6*290.8*1.0267</f>
        <v>3051.3277591999999</v>
      </c>
      <c r="J7" s="73" ph="1">
        <f>J6*290.8*0.7892</f>
        <v>1496.3358271999998</v>
      </c>
      <c r="K7" s="73" ph="1">
        <f>K6*290.8*1.1126</f>
        <v>20312.097342400004</v>
      </c>
      <c r="L7" s="73" ph="1">
        <f>L6*290.8*0.777</f>
        <v>2060.6785920000002</v>
      </c>
      <c r="M7" s="73" ph="1">
        <f>M6*33.183*LOOKUP(M8,密度!$A$2:$A$50,密度!$D$2:$D$50)</f>
        <v>37338.241626000003</v>
      </c>
      <c r="N7" s="73" ph="1">
        <f>N6*33.183*LOOKUP(N8,密度!$A$2:$A$50,密度!$E$2:$E$50)</f>
        <v>9278.0464391999994</v>
      </c>
      <c r="O7" s="73" ph="1">
        <f>O6*20.428*LOOKUP(O8,密度!$A$2:$A$50,密度!$C$2:$C$50)</f>
        <v>2308.8992136000002</v>
      </c>
      <c r="P7" s="73" ph="1">
        <f>P6*51.53*LOOKUP(P8,密度!$A$2:$A$50,密度!$B$2:$B$50)</f>
        <v>0</v>
      </c>
      <c r="Q7" s="73" ph="1">
        <f>Q6*1.5*1.5*3.1416*LOOKUP(W8,密度!$A$2:$A$50,密度!$L$2:$L$50)</f>
        <v>43282.903910399997</v>
      </c>
      <c r="R7" s="73" ph="1">
        <f>R6*1.5*1.5*3.1416*LOOKUP(R8,密度!$A$2:$A$50,密度!$L$2:$L$50)</f>
        <v>45518.716227600002</v>
      </c>
      <c r="S7" s="73" ph="1">
        <f>S6*1.5*1.5*3.1416*LOOKUP(S8,密度!$A$2:$A$50,密度!$L$2:$L$50)</f>
        <v>43327.648148399996</v>
      </c>
      <c r="T7" s="73" ph="1">
        <f>T6*1.5*1.5*3.1416*LOOKUP(T8,密度!$A$2:$A$50,密度!$L$2:$L$50)</f>
        <v>47495.945019599996</v>
      </c>
      <c r="U7" s="73" ph="1">
        <f>U6*1.5*1.5*3.1416*LOOKUP(U8,密度!$A$2:$A$50,密度!$L$2:$L$50)</f>
        <v>7870.2216515999999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2767.8022218000001</v>
      </c>
      <c r="Z7" s="73" ph="1">
        <f>Z6*33.183*LOOKUP(Z8,密度!$A$2:$A$50,密度!$L$2:$L$50)</f>
        <v>66353.556375</v>
      </c>
      <c r="AA7" s="73" ph="1">
        <f>AA6*33.183*LOOKUP(AA8,密度!$A$2:$A$50,密度!$D$2:$D$50)</f>
        <v>144306.33658560002</v>
      </c>
      <c r="AB7" s="73" ph="1">
        <f>AB6*20.428*LOOKUP(AB8,密度!$A$2:$A$50,密度!$D$2:$D$50)</f>
        <v>51407.225424000004</v>
      </c>
      <c r="AC7" s="73" ph="1">
        <f>AC6*51.53*LOOKUP(AC8,密度!$A$2:$A$50,密度!$Q$2:$Q$50)</f>
        <v>357635.43781560002</v>
      </c>
      <c r="AD7" s="73" ph="1">
        <f>AD6*20.428*LOOKUP(AD8,密度!$A$2:$A$50,密度!$V$2:$V$50)</f>
        <v>74092.764559999996</v>
      </c>
      <c r="AE7" s="73" ph="1">
        <f>AE6*20.428</f>
        <v>78647.8</v>
      </c>
    </row>
    <row r="8" spans="1:99" ph="1">
      <c r="B8" s="181" ph="1"/>
      <c r="C8" s="68" t="s" ph="1">
        <v>179</v>
      </c>
      <c r="D8" s="74">
        <v>24</v>
      </c>
      <c r="E8" s="74">
        <v>23</v>
      </c>
      <c r="F8" s="74">
        <v>22</v>
      </c>
      <c r="G8" s="74">
        <v>23</v>
      </c>
      <c r="H8" s="74">
        <v>20</v>
      </c>
      <c r="I8" s="74">
        <v>25</v>
      </c>
      <c r="J8" s="74">
        <v>25</v>
      </c>
      <c r="K8" s="74">
        <v>25</v>
      </c>
      <c r="L8" s="74">
        <v>25</v>
      </c>
      <c r="M8" s="74">
        <v>24</v>
      </c>
      <c r="N8" s="74">
        <v>25</v>
      </c>
      <c r="O8" s="74">
        <v>26</v>
      </c>
      <c r="P8" s="74">
        <v>22</v>
      </c>
      <c r="Q8" s="74">
        <v>25</v>
      </c>
      <c r="R8" s="74">
        <v>29</v>
      </c>
      <c r="S8" s="74">
        <v>20</v>
      </c>
      <c r="T8" s="74">
        <v>20</v>
      </c>
      <c r="U8" s="74">
        <v>24</v>
      </c>
      <c r="V8" s="74">
        <v>27</v>
      </c>
      <c r="W8" s="74">
        <v>24</v>
      </c>
      <c r="X8" s="74">
        <v>15</v>
      </c>
      <c r="Y8" s="74">
        <v>23</v>
      </c>
      <c r="Z8" s="74">
        <v>21</v>
      </c>
      <c r="AA8" s="74">
        <v>24</v>
      </c>
      <c r="AB8" s="74">
        <v>15</v>
      </c>
      <c r="AC8" s="74">
        <v>21</v>
      </c>
      <c r="AD8" s="74">
        <v>21</v>
      </c>
      <c r="AE8" s="74">
        <v>23</v>
      </c>
    </row>
    <row r="9" spans="1:99" ht="26.4" ph="1">
      <c r="B9" s="181" ph="1">
        <v>0.66666666666666663</v>
      </c>
      <c r="C9" s="151" t="s" ph="1">
        <v>180</v>
      </c>
      <c r="D9" s="71">
        <v>3621</v>
      </c>
      <c r="E9" s="71">
        <v>6946</v>
      </c>
      <c r="F9" s="71">
        <v>6324</v>
      </c>
      <c r="G9" s="71">
        <v>9231</v>
      </c>
      <c r="H9" s="71">
        <v>6493</v>
      </c>
      <c r="I9" s="71">
        <v>10.23</v>
      </c>
      <c r="J9" s="71">
        <v>6.54</v>
      </c>
      <c r="K9" s="71">
        <v>45.74</v>
      </c>
      <c r="L9" s="71">
        <v>9.16</v>
      </c>
      <c r="M9" s="71">
        <v>1097</v>
      </c>
      <c r="N9" s="71">
        <v>133</v>
      </c>
      <c r="O9" s="71">
        <v>891</v>
      </c>
      <c r="P9" s="71">
        <v>0</v>
      </c>
      <c r="Q9" s="71">
        <v>2923</v>
      </c>
      <c r="R9" s="71">
        <v>6903</v>
      </c>
      <c r="S9" s="71">
        <v>6307</v>
      </c>
      <c r="T9" s="71">
        <v>7133</v>
      </c>
      <c r="U9" s="71">
        <v>5794</v>
      </c>
      <c r="V9" s="71">
        <v>0</v>
      </c>
      <c r="W9" s="71">
        <v>0</v>
      </c>
      <c r="X9" s="71">
        <v>0</v>
      </c>
      <c r="Y9" s="71">
        <v>0</v>
      </c>
      <c r="Z9" s="71">
        <v>2851</v>
      </c>
      <c r="AA9" s="71">
        <v>4207</v>
      </c>
      <c r="AB9" s="71">
        <v>2272</v>
      </c>
      <c r="AC9" s="71">
        <v>7484</v>
      </c>
      <c r="AD9" s="71">
        <v>3775</v>
      </c>
      <c r="AE9" s="71">
        <v>3752</v>
      </c>
    </row>
    <row r="10" spans="1:99" s="72" customFormat="1" ht="22.2" ph="1">
      <c r="B10" s="181" ph="1"/>
      <c r="C10" s="151" t="s" ph="1">
        <v>178</v>
      </c>
      <c r="D10" s="73" ph="1">
        <f>D9*33.183*LOOKUP(D11,密度!$A$2:$A$50,密度!$Q$2:$Q$50)</f>
        <v>114038.51921487</v>
      </c>
      <c r="E10" s="73" ph="1">
        <f>E9*51.53*LOOKUP(E11,密度!$A$2:$A$50,密度!$B$2:$B$50)</f>
        <v>280328.72401599999</v>
      </c>
      <c r="F10" s="73" ph="1">
        <f>F9*33.183*LOOKUP(F11,密度!$A$2:$A$50,密度!$C$2:$C$50)</f>
        <v>233478.32227919999</v>
      </c>
      <c r="G10" s="73" ph="1">
        <f xml:space="preserve"> (G9+2)*51.53*LOOKUP(G11,密度!$A$2:$A$50,密度!$B$2:$B$50)</f>
        <v>372199.94812700001</v>
      </c>
      <c r="H10" s="73" ph="1">
        <f>(H9)*51.53*LOOKUP(H11,密度!$A$2:$A$50,密度!$B$2:$B$50)</f>
        <v>262882.87665299996</v>
      </c>
      <c r="I10" s="73" ph="1">
        <f>I9*290.8*1.0267</f>
        <v>3054.3134027999999</v>
      </c>
      <c r="J10" s="73" ph="1">
        <f>J9*290.8*0.7892</f>
        <v>1500.9258144</v>
      </c>
      <c r="K10" s="73" ph="1">
        <f>K9*290.8*1.1126</f>
        <v>14798.906219200002</v>
      </c>
      <c r="L10" s="73" ph="1">
        <f>L9*290.8*0.777</f>
        <v>2069.7166560000001</v>
      </c>
      <c r="M10" s="73" ph="1">
        <f>M9*33.183*LOOKUP(M11,密度!$A$2:$A$50,密度!$D$2:$D$50)</f>
        <v>37512.004405499996</v>
      </c>
      <c r="N10" s="73" ph="1">
        <f>N9*33.183*LOOKUP(N11,密度!$A$2:$A$50,密度!$E$2:$E$50)</f>
        <v>3472.4151252000001</v>
      </c>
      <c r="O10" s="73" ph="1">
        <f>O9*20.428*LOOKUP(O11,密度!$A$2:$A$50,密度!$C$2:$C$50)</f>
        <v>20196.215740800002</v>
      </c>
      <c r="P10" s="73" ph="1">
        <f>P9*51.53*LOOKUP(P11,密度!$A$2:$A$50,密度!$B$2:$B$50)</f>
        <v>0</v>
      </c>
      <c r="Q10" s="73" ph="1">
        <f>Q9*1.5*1.5*3.1416*LOOKUP(W11,密度!$A$2:$A$50,密度!$L$2:$L$50)</f>
        <v>19421.826732000001</v>
      </c>
      <c r="R10" s="73" ph="1">
        <f>R9*1.5*1.5*3.1416*LOOKUP(R11,密度!$A$2:$A$50,密度!$L$2:$L$50)</f>
        <v>45574.105777200006</v>
      </c>
      <c r="S10" s="73" ph="1">
        <f>S9*1.5*1.5*3.1416*LOOKUP(S11,密度!$A$2:$A$50,密度!$L$2:$L$50)</f>
        <v>41995.923908399993</v>
      </c>
      <c r="T10" s="73" ph="1">
        <f>T9*1.5*1.5*3.1416*LOOKUP(T11,密度!$A$2:$A$50,密度!$L$2:$L$50)</f>
        <v>47596.785667199998</v>
      </c>
      <c r="U10" s="73" ph="1">
        <f>U9*1.5*1.5*3.1416*LOOKUP(U11,密度!$A$2:$A$50,密度!$L$2:$L$50)</f>
        <v>38457.184827599995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89306.867951999986</v>
      </c>
      <c r="AA10" s="73" ph="1">
        <f>AA9*33.183*LOOKUP(AA11,密度!$A$2:$A$50,密度!$D$2:$D$50)</f>
        <v>143858.70787049999</v>
      </c>
      <c r="AB10" s="73" ph="1">
        <f>AB9*20.428*LOOKUP(AB11,密度!$A$2:$A$50,密度!$D$2:$D$50)</f>
        <v>48106.469184000001</v>
      </c>
      <c r="AC10" s="73" ph="1">
        <f>AC9*51.53*LOOKUP(AC11,密度!$A$2:$A$50,密度!$Q$2:$Q$50)</f>
        <v>366842.3441396</v>
      </c>
      <c r="AD10" s="73" ph="1">
        <f>AD9*20.428*LOOKUP(AD11,密度!$A$2:$A$50,密度!$V$2:$V$50)</f>
        <v>74339.534799999994</v>
      </c>
      <c r="AE10" s="73" ph="1">
        <f>AE9*20.428</f>
        <v>76645.856</v>
      </c>
    </row>
    <row r="11" spans="1:99" ph="1">
      <c r="A11" s="64" t="s" ph="1">
        <v>162</v>
      </c>
      <c r="B11" s="181" ph="1"/>
      <c r="C11" s="151" t="s" ph="1">
        <v>179</v>
      </c>
      <c r="D11" s="74">
        <v>22</v>
      </c>
      <c r="E11" s="74">
        <v>21</v>
      </c>
      <c r="F11" s="74">
        <v>20</v>
      </c>
      <c r="G11" s="74">
        <v>22</v>
      </c>
      <c r="H11" s="74">
        <v>18</v>
      </c>
      <c r="I11" s="74">
        <v>25</v>
      </c>
      <c r="J11" s="74">
        <v>25</v>
      </c>
      <c r="K11" s="74">
        <v>25</v>
      </c>
      <c r="L11" s="74">
        <v>25</v>
      </c>
      <c r="M11" s="74">
        <v>21</v>
      </c>
      <c r="N11" s="74">
        <v>22</v>
      </c>
      <c r="O11" s="74">
        <v>24</v>
      </c>
      <c r="P11" s="74">
        <v>20</v>
      </c>
      <c r="Q11" s="74">
        <v>24</v>
      </c>
      <c r="R11" s="74">
        <v>28</v>
      </c>
      <c r="S11" s="74">
        <v>20</v>
      </c>
      <c r="T11" s="74">
        <v>18</v>
      </c>
      <c r="U11" s="74">
        <v>23</v>
      </c>
      <c r="V11" s="74">
        <v>27</v>
      </c>
      <c r="W11" s="74">
        <v>22</v>
      </c>
      <c r="X11" s="74">
        <v>13</v>
      </c>
      <c r="Y11" s="74">
        <v>21</v>
      </c>
      <c r="Z11" s="74">
        <v>18</v>
      </c>
      <c r="AA11" s="74">
        <v>21</v>
      </c>
      <c r="AB11" s="74">
        <v>14</v>
      </c>
      <c r="AC11" s="74">
        <v>19</v>
      </c>
      <c r="AD11" s="74">
        <v>20</v>
      </c>
      <c r="AE11" s="74">
        <v>22</v>
      </c>
    </row>
    <row r="12" spans="1:99" ht="9.9" customHeight="1" ph="1"/>
    <row r="13" spans="1:99" s="72" customFormat="1" ht="29.25" customHeight="1" ph="1">
      <c r="B13" s="189" t="s" ph="1">
        <v>37</v>
      </c>
      <c r="C13" s="151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0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639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1" ph="1">
        <v>0.33333333333333331</v>
      </c>
      <c r="C15" s="151" t="s" ph="1">
        <v>177</v>
      </c>
      <c r="D15" s="78">
        <v>0</v>
      </c>
      <c r="E15" s="78">
        <v>2725</v>
      </c>
      <c r="F15" s="78">
        <v>4175</v>
      </c>
      <c r="G15" s="78">
        <v>4011</v>
      </c>
      <c r="H15" s="78">
        <v>0</v>
      </c>
      <c r="I15" s="78">
        <v>5469</v>
      </c>
      <c r="J15" s="78">
        <v>1798</v>
      </c>
      <c r="K15" s="78">
        <v>3587</v>
      </c>
      <c r="L15" s="78">
        <v>6988</v>
      </c>
      <c r="M15" s="78">
        <v>6812</v>
      </c>
      <c r="N15" s="78">
        <v>3711</v>
      </c>
      <c r="O15" s="78">
        <v>4994</v>
      </c>
      <c r="P15" s="78">
        <v>1104</v>
      </c>
      <c r="Q15" s="78">
        <v>1281</v>
      </c>
      <c r="R15" s="78">
        <v>7398</v>
      </c>
      <c r="S15" s="78">
        <v>0</v>
      </c>
      <c r="T15" s="78">
        <v>1355</v>
      </c>
      <c r="U15" s="78">
        <v>5753</v>
      </c>
      <c r="V15" s="78">
        <v>3704</v>
      </c>
      <c r="W15" s="71">
        <v>-171</v>
      </c>
      <c r="X15" s="78">
        <v>-104</v>
      </c>
      <c r="Y15" s="106">
        <v>-9906</v>
      </c>
      <c r="Z15" s="78">
        <v>0</v>
      </c>
      <c r="AA15" s="78">
        <v>6844</v>
      </c>
      <c r="AB15" s="78" ph="1">
        <v>7163</v>
      </c>
      <c r="AC15" s="78" ph="1">
        <v>7133</v>
      </c>
      <c r="AD15" s="78">
        <v>38.22</v>
      </c>
      <c r="AE15" s="78">
        <v>5.43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2" ph="1"/>
      <c r="C16" s="151" t="s" ph="1">
        <v>178</v>
      </c>
      <c r="D16" s="73" ph="1">
        <f>D15*7.0686*LOOKUP(D17,密度!$A$2:$A$50,密度!$L$2:$L$50)</f>
        <v>0</v>
      </c>
      <c r="E16" s="73" ph="1">
        <f>E15*7.0686*LOOKUP(E17,密度!$A$2:$A$50,密度!$L$2:$L$50)</f>
        <v>18067.695029999999</v>
      </c>
      <c r="F16" s="73" ph="1">
        <f>F15*9.0746*LOOKUP(F17,密度!$A$2:$A$50,密度!$L$2:$L$50)</f>
        <v>35423.835425000005</v>
      </c>
      <c r="G16" s="73" ph="1">
        <f>G15*9.0746*LOOKUP(G17,密度!$A$2:$A$50,密度!$B$2:$B$50)</f>
        <v>28281.417406200002</v>
      </c>
      <c r="H16" s="73" ph="1">
        <f>H15*9.0746*LOOKUP(H17,密度!$A$2:$A$50,密度!$L$2:$L$50)</f>
        <v>0</v>
      </c>
      <c r="I16" s="73" ph="1">
        <f>I15*9.0746*LOOKUP(I17,密度!$A$2:$A$50,密度!$U$2:$U$50)</f>
        <v>50968.970059799991</v>
      </c>
      <c r="J16" s="73" ph="1">
        <f>J15*9.0746*LOOKUP(J17,密度!$A$2:$A$50,密度!$L$2:$L$50)</f>
        <v>15304.530690399999</v>
      </c>
      <c r="K16" s="73" ph="1">
        <f>K15*9.0746*LOOKUP(K17,密度!$A$2:$A$50,密度!$C$2:$C$50)</f>
        <v>36144.175358080007</v>
      </c>
      <c r="L16" s="73" ph="1">
        <f>L15*9.0746*LOOKUP(L17,密度!$A$2:$A$50,密度!$E$2:$E$50)</f>
        <v>49893.588216640004</v>
      </c>
      <c r="M16" s="73" ph="1">
        <f>M15*9.0746*LOOKUP(M17,密度!$A$2:$A$50,密度!$M$2:$M$50)</f>
        <v>54095.334917520006</v>
      </c>
      <c r="N16" s="73" ph="1">
        <f>N15*9.0746*LOOKUP(N17,密度!$A$2:$A$50,密度!$M$2:$M$50)</f>
        <v>29604.431471460004</v>
      </c>
      <c r="O16" s="73" ph="1">
        <f>O15*9.0746*LOOKUP(O17,密度!$A$2:$A$50,密度!$G$2:$G$50)</f>
        <v>43514.874014480003</v>
      </c>
      <c r="P16" s="73" ph="1">
        <f ca="1">P15*9.0746*LOOKUP(P17,密度!$A$2:$A$51,密度!$Q$2:$Q$50)</f>
        <v>9499.4074348800023</v>
      </c>
      <c r="Q16" s="73" ph="1">
        <f>Q15*9.0746*LOOKUP(Q17,密度!$A$2:$A$50,密度!$Q$2:$Q$50)</f>
        <v>11013.924326622002</v>
      </c>
      <c r="R16" s="73" ph="1">
        <f>MAX(R15*9.0746*LOOKUP(R17,密度!$A$2:$A$50,密度!$B$2:$B$50),0)</f>
        <v>52337.581267680005</v>
      </c>
      <c r="S16" s="73" ph="1">
        <f>S15*9.0746*LOOKUP(S17,密度!$A$2:$A$50,密度!$Q$2:$Q$50)</f>
        <v>0</v>
      </c>
      <c r="T16" s="73" ph="1">
        <f>T15*9.0746*LOOKUP(T17,密度!$A$2:$A$50,密度!$O$2:$O$50)</f>
        <v>11435.357190000001</v>
      </c>
      <c r="U16" s="73" ph="1">
        <f>U15*9.0746*LOOKUP(U17,密度!$A$2:$A$50,密度!$H$2:$H$50)</f>
        <v>47914.826313639998</v>
      </c>
      <c r="V16" s="73" ph="1">
        <f>MAX(5600*LOOKUP(V17,密度!$A$2:$A$50,密度!$Q$2:$Q$50)+V15*9.0476*LOOKUP(V17,密度!$A$2:$A$50,密度!$Q$2:$Q$50),0)</f>
        <v>37029.188748095999</v>
      </c>
      <c r="W16" s="73" ph="1">
        <f>MAX(5600*LOOKUP(W17,密度!$A$2:$A$50,密度!$Q$2:$Q$50)+W15*9.0476*LOOKUP(W17,密度!$A$2:$A$50,密度!$Q$2:$Q$50),0)</f>
        <v>3837.0050550960004</v>
      </c>
      <c r="X16" s="73" ph="1">
        <f>MAX(5600*LOOKUP(X17,密度!$A$2:$A$50,密度!$I$2:$I$50)+X15*9.0476*LOOKUP(X17,密度!$A$2:$A$50,密度!$I$2:$I$50),0)</f>
        <v>4861.2523526400009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48585.963765519999</v>
      </c>
      <c r="AB16" s="73" ph="1">
        <f>AB15*9.0746*LOOKUP(AB17,密度!$A$2:$A$50,密度!$L$2:$L$50)</f>
        <v>60971.275492399996</v>
      </c>
      <c r="AC16" s="73" ph="1">
        <f>AC15*9.0746*LOOKUP(AC17,密度!$A$2:$A$50,密度!$L$2:$L$50)</f>
        <v>60845.374491999995</v>
      </c>
      <c r="AD16" s="73" ph="1">
        <f>AD15*268.68*LOOKUP(AD17,密度!$A$2:$A$50,密度!B2:B50)+IF(AD15&lt;=0,0,1566*LOOKUP(AD17,密度!$A$2:$A$50,密度!B2:B50))</f>
        <v>9226.5267081599995</v>
      </c>
      <c r="AE16" s="73" ph="1">
        <f>AE15*268.68*LOOKUP(AE17,密度!$A$2:$A$50,密度!B2:B50)+IF(AE15&lt;=0,0,1566*LOOKUP(AE17,密度!$A$2:$A$50,密度!B2:B50))</f>
        <v>2358.2372990399999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3" ph="1"/>
      <c r="C17" s="79" t="s" ph="1">
        <v>179</v>
      </c>
      <c r="D17" s="74">
        <v>23</v>
      </c>
      <c r="E17" s="74">
        <v>24</v>
      </c>
      <c r="F17" s="74">
        <v>27</v>
      </c>
      <c r="G17" s="74">
        <v>28</v>
      </c>
      <c r="H17" s="74">
        <v>20</v>
      </c>
      <c r="I17" s="74">
        <v>23</v>
      </c>
      <c r="J17" s="74">
        <v>24</v>
      </c>
      <c r="K17" s="74">
        <v>23</v>
      </c>
      <c r="L17" s="74">
        <v>22</v>
      </c>
      <c r="M17" s="74">
        <v>25</v>
      </c>
      <c r="N17" s="74">
        <v>21</v>
      </c>
      <c r="O17" s="74">
        <v>25</v>
      </c>
      <c r="P17" s="74">
        <v>23</v>
      </c>
      <c r="Q17" s="74">
        <v>24</v>
      </c>
      <c r="R17" s="74">
        <v>25</v>
      </c>
      <c r="S17" s="74">
        <v>23</v>
      </c>
      <c r="T17" s="74">
        <v>23</v>
      </c>
      <c r="U17" s="74">
        <v>22</v>
      </c>
      <c r="V17" s="74">
        <v>25</v>
      </c>
      <c r="W17" s="74">
        <v>25</v>
      </c>
      <c r="X17" s="74">
        <v>24</v>
      </c>
      <c r="Y17" s="108">
        <v>24</v>
      </c>
      <c r="Z17" s="74">
        <v>21</v>
      </c>
      <c r="AA17" s="74">
        <v>22</v>
      </c>
      <c r="AB17" s="74">
        <v>24</v>
      </c>
      <c r="AC17" s="74">
        <v>22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1" ph="1">
        <v>0.66666666666666663</v>
      </c>
      <c r="C18" s="79" t="s" ph="1">
        <v>180</v>
      </c>
      <c r="D18" s="71">
        <v>27</v>
      </c>
      <c r="E18" s="71">
        <v>2076</v>
      </c>
      <c r="F18" s="71">
        <v>1893</v>
      </c>
      <c r="G18" s="71">
        <v>4190</v>
      </c>
      <c r="H18" s="71">
        <v>0</v>
      </c>
      <c r="I18" s="71">
        <v>5469</v>
      </c>
      <c r="J18" s="71">
        <v>1827</v>
      </c>
      <c r="K18" s="71">
        <v>3588</v>
      </c>
      <c r="L18" s="71">
        <v>6988</v>
      </c>
      <c r="M18" s="71">
        <v>4750</v>
      </c>
      <c r="N18" s="71">
        <v>2840</v>
      </c>
      <c r="O18" s="71">
        <v>4994</v>
      </c>
      <c r="P18" s="71">
        <v>1104</v>
      </c>
      <c r="Q18" s="71">
        <v>1280</v>
      </c>
      <c r="R18" s="71">
        <v>7398</v>
      </c>
      <c r="S18" s="71">
        <v>0</v>
      </c>
      <c r="T18" s="71">
        <v>765</v>
      </c>
      <c r="U18" s="71">
        <v>5753</v>
      </c>
      <c r="V18" s="71">
        <v>3704</v>
      </c>
      <c r="W18" s="71">
        <v>-172</v>
      </c>
      <c r="X18" s="71">
        <v>-102</v>
      </c>
      <c r="Y18" s="109">
        <v>-99045</v>
      </c>
      <c r="Z18" s="71">
        <v>0</v>
      </c>
      <c r="AA18" s="71">
        <v>5882</v>
      </c>
      <c r="AB18" s="71">
        <v>7162</v>
      </c>
      <c r="AC18" s="71">
        <v>4820</v>
      </c>
      <c r="AD18" s="71">
        <v>84.49</v>
      </c>
      <c r="AE18" s="71">
        <v>13.94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2" ph="1"/>
      <c r="C19" s="151" t="s" ph="1">
        <v>178</v>
      </c>
      <c r="D19" s="73" ph="1">
        <f>D18*7.0686*LOOKUP(D20,密度!$A$2:$A$50,密度!$L$2:$L$50)</f>
        <v>179.40106800000001</v>
      </c>
      <c r="E19" s="73" ph="1">
        <f>E18*7.0686*LOOKUP(E20,密度!$A$2:$A$50,密度!$L$2:$L$50)</f>
        <v>13793.948783999998</v>
      </c>
      <c r="F19" s="73" ph="1">
        <f>F18*9.0746*LOOKUP(F20,密度!$A$2:$A$50,密度!$L$2:$L$50)</f>
        <v>16113.168296400001</v>
      </c>
      <c r="G19" s="73" ph="1">
        <f>G18*9.0746*LOOKUP(G20,密度!$A$2:$A$50,密度!$B$2:$B$50)</f>
        <v>29608.178373799998</v>
      </c>
      <c r="H19" s="73" ph="1">
        <f>H18*9.0746*LOOKUP(H20,密度!$A$2:$A$50,密度!$L$2:$L$50)</f>
        <v>0</v>
      </c>
      <c r="I19" s="73" ph="1">
        <f>I18*9.0746*LOOKUP(I20,密度!$A$2:$A$50,密度!$U$2:$U$50)</f>
        <v>51018.599047199998</v>
      </c>
      <c r="J19" s="73" ph="1">
        <f>J18*9.0746*LOOKUP(J20,密度!$A$2:$A$50,密度!$L$2:$L$50)</f>
        <v>15567.957253799999</v>
      </c>
      <c r="K19" s="73" ph="1">
        <f>K18*9.0746*LOOKUP(K20,密度!$A$2:$A$50,密度!$C$2:$C$50)</f>
        <v>36177.043559279999</v>
      </c>
      <c r="L19" s="73" ph="1">
        <f>L18*9.0746*LOOKUP(L20,密度!$A$2:$A$50,密度!$E$2:$E$50)</f>
        <v>49969.6841824</v>
      </c>
      <c r="M19" s="73" ph="1">
        <f>M18*9.0746*LOOKUP(M20,密度!$A$2:$A$50,密度!$M$2:$M$50)</f>
        <v>37802.514949999997</v>
      </c>
      <c r="N19" s="73" ph="1">
        <f>N18*9.0746*LOOKUP(N20,密度!$A$2:$A$50,密度!$M$2:$M$50)</f>
        <v>22656.0456424</v>
      </c>
      <c r="O19" s="73" ph="1">
        <f>O18*9.0746*LOOKUP(O20,密度!$A$2:$A$50,密度!$G$2:$G$50)</f>
        <v>43678.020803120002</v>
      </c>
      <c r="P19" s="73" ph="1">
        <f ca="1">P18*9.0746*LOOKUP(P20,密度!$A$2:$A$51,密度!$Q$2:$Q$50)</f>
        <v>9514.3347888960016</v>
      </c>
      <c r="Q19" s="73" ph="1">
        <f>Q18*9.0746*LOOKUP(Q20,密度!$A$2:$A$50,密度!$Q$2:$Q$50)</f>
        <v>11087.447915520002</v>
      </c>
      <c r="R19" s="73" ph="1">
        <f>MAX(R18*9.0746*LOOKUP(R20,密度!$A$2:$A$50,密度!$B$2:$B$50),0)</f>
        <v>52337.581267680005</v>
      </c>
      <c r="S19" s="73" ph="1">
        <f>S18*9.0746*LOOKUP(S20,密度!$A$2:$A$50,密度!$Q$2:$Q$50)</f>
        <v>0</v>
      </c>
      <c r="T19" s="73" ph="1">
        <f>T18*9.0746*LOOKUP(T20,密度!$A$2:$A$50,密度!$O$2:$O$50)</f>
        <v>6456.124170000001</v>
      </c>
      <c r="U19" s="73" ph="1">
        <f>U18*9.0746*LOOKUP(U20,密度!$A$2:$A$50,密度!$H$2:$H$50)</f>
        <v>48014.01804386</v>
      </c>
      <c r="V19" s="73" ph="1">
        <f>MAX(5600*LOOKUP(V20,密度!$A$2:$A$50,密度!$Q$2:$Q$50)+V18*9.0476*LOOKUP(V20,密度!$A$2:$A$50,密度!$Q$2:$Q$50),0)</f>
        <v>37121.102677535993</v>
      </c>
      <c r="W19" s="73" ph="1">
        <f>MAX(5600*LOOKUP(W20,密度!$A$2:$A$50,密度!$Q$2:$Q$50)+W18*9.0476*LOOKUP(W20,密度!$A$2:$A$50,密度!$Q$2:$Q$50),0)</f>
        <v>3837.9422903519999</v>
      </c>
      <c r="X19" s="73" ph="1">
        <f>MAX(5600*LOOKUP(X20,密度!$A$2:$A$50,密度!$I$2:$I$50)+X18*9.0476*LOOKUP(X20,密度!$A$2:$A$50,密度!$I$2:$I$50),0)</f>
        <v>4874.9880250400001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41756.668449559998</v>
      </c>
      <c r="AB19" s="73" ph="1">
        <f>AB18*9.0746*LOOKUP(AB20,密度!$A$2:$A$50,密度!$L$2:$L$50)</f>
        <v>60962.763517599997</v>
      </c>
      <c r="AC19" s="73" ph="1">
        <f>AC18*9.0746*LOOKUP(AC20,密度!$A$2:$A$50,密度!$L$2:$L$50)</f>
        <v>41158.937251999996</v>
      </c>
      <c r="AD19" s="73" ph="1">
        <f>AD18*268.68*LOOKUP(AD20,密度!$A$2:$A$50,密度!B5:B53)+IF(AD18&lt;=0,0,1566*LOOKUP(AD20,密度!$A$2:$A$50,密度!B5:B53))</f>
        <v>18855.282776399999</v>
      </c>
      <c r="AE19" s="73" ph="1">
        <f>AE18*268.68*LOOKUP(AE20,密度!$A$2:$A$50,密度!B5:B53)+IF(AE18&lt;=0,0,1566*LOOKUP(AE20,密度!$A$2:$A$50,密度!B5:B53))</f>
        <v>4126.9571784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2" ph="1"/>
      <c r="C20" s="80" t="s" ph="1">
        <v>179</v>
      </c>
      <c r="D20" s="81">
        <v>22</v>
      </c>
      <c r="E20" s="81">
        <v>22</v>
      </c>
      <c r="F20" s="81">
        <v>24</v>
      </c>
      <c r="G20" s="81">
        <v>26</v>
      </c>
      <c r="H20" s="81">
        <v>18</v>
      </c>
      <c r="I20" s="81">
        <v>22</v>
      </c>
      <c r="J20" s="81">
        <v>23</v>
      </c>
      <c r="K20" s="81">
        <v>22</v>
      </c>
      <c r="L20" s="81">
        <v>21</v>
      </c>
      <c r="M20" s="81">
        <v>23</v>
      </c>
      <c r="N20" s="81">
        <v>21</v>
      </c>
      <c r="O20" s="81">
        <v>22</v>
      </c>
      <c r="P20" s="81">
        <v>21</v>
      </c>
      <c r="Q20" s="81">
        <v>2</v>
      </c>
      <c r="R20" s="81">
        <v>25</v>
      </c>
      <c r="S20" s="81">
        <v>21</v>
      </c>
      <c r="T20" s="81">
        <v>22</v>
      </c>
      <c r="U20" s="81">
        <v>20</v>
      </c>
      <c r="V20" s="81">
        <v>22</v>
      </c>
      <c r="W20" s="81">
        <v>22</v>
      </c>
      <c r="X20" s="81">
        <v>25</v>
      </c>
      <c r="Y20" s="110">
        <v>25</v>
      </c>
      <c r="Z20" s="81">
        <v>22</v>
      </c>
      <c r="AA20" s="81">
        <v>22</v>
      </c>
      <c r="AB20" s="81">
        <v>24</v>
      </c>
      <c r="AC20" s="81">
        <v>21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0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69" t="s" ph="1">
        <v>69</v>
      </c>
      <c r="AA22" s="170"/>
      <c r="AB22" s="170"/>
      <c r="AC22" s="170"/>
      <c r="AD22" s="170"/>
      <c r="AE22" s="17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5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72" t="s" ph="1">
        <v>637</v>
      </c>
      <c r="AA23" s="173"/>
      <c r="AB23" s="173"/>
      <c r="AC23" s="173"/>
      <c r="AD23" s="173"/>
      <c r="AE23" s="17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1" ph="1">
        <v>0.33333333333333331</v>
      </c>
      <c r="C24" s="151" t="s" ph="1">
        <v>177</v>
      </c>
      <c r="D24" s="71">
        <v>51.72</v>
      </c>
      <c r="E24" s="71">
        <v>66.400000000000006</v>
      </c>
      <c r="F24" s="71">
        <v>2898</v>
      </c>
      <c r="G24" s="71">
        <v>3182</v>
      </c>
      <c r="H24" s="71">
        <v>3893</v>
      </c>
      <c r="I24" s="71">
        <v>0</v>
      </c>
      <c r="J24" s="71">
        <v>842</v>
      </c>
      <c r="K24" s="71">
        <v>2282</v>
      </c>
      <c r="L24" s="71">
        <v>468</v>
      </c>
      <c r="M24" s="71">
        <v>360</v>
      </c>
      <c r="N24" s="71">
        <v>592</v>
      </c>
      <c r="O24" s="71">
        <v>5723</v>
      </c>
      <c r="P24" s="71">
        <v>334</v>
      </c>
      <c r="Q24" s="90">
        <v>3501</v>
      </c>
      <c r="R24" s="71">
        <v>934</v>
      </c>
      <c r="S24" s="71">
        <v>4325</v>
      </c>
      <c r="T24" s="71">
        <v>1271</v>
      </c>
      <c r="U24" s="71">
        <v>3557</v>
      </c>
      <c r="V24" s="71">
        <v>2326</v>
      </c>
      <c r="W24" s="71">
        <v>11193</v>
      </c>
      <c r="X24" s="71">
        <v>5823</v>
      </c>
      <c r="Y24" s="71">
        <v>9762</v>
      </c>
      <c r="Z24" s="175"/>
      <c r="AA24" s="176"/>
      <c r="AB24" s="176"/>
      <c r="AC24" s="176"/>
      <c r="AD24" s="176"/>
      <c r="AE24" s="17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1" ph="1"/>
      <c r="C25" s="68" t="s" ph="1">
        <v>178</v>
      </c>
      <c r="D25" s="91" ph="1">
        <f>D24*268.68*LOOKUP(D26,密度!$A$2:$A$50,密度!$Q$2:$Q$50)+IF(D24&lt;=0,0,1566*LOOKUP(D26,密度!$A$2:$A$50,密度!$Q$2:$Q$50))</f>
        <v>14638.616577504001</v>
      </c>
      <c r="E25" s="91" ph="1">
        <f>E24*268.68*LOOKUP(E26,密度!$A$2:$A$50,密度!$C$2:$C$50)+IF(E24&lt;=0,0,1566*LOOKUP(E26,密度!$A$2:$A$50,密度!$C$2:$C$50))</f>
        <v>21519.703732800004</v>
      </c>
      <c r="F25" s="91" ph="1">
        <f>F24*11.702*LOOKUP(F26,密度!$A$2:$A$50,密度!$Q$2:$Q$50)</f>
        <v>32155.733887200004</v>
      </c>
      <c r="G25" s="91" ph="1">
        <f>G24*18.322*LOOKUP(G26,密度!$A$2:$A$50,密度!$B$2:$B$50)</f>
        <v>45451.150878399996</v>
      </c>
      <c r="H25" s="91" ph="1">
        <f>H24*18.322*LOOKUP(H26,密度!$A$2:$A$50,密度!$B$2:$B$50)</f>
        <v>55799.539235800003</v>
      </c>
      <c r="I25" s="91" ph="1">
        <f>I24*18.322*LOOKUP(I26,密度!$A$2:$A$50,密度!$Q$2:$Q$50)</f>
        <v>0</v>
      </c>
      <c r="J25" s="91" ph="1">
        <f>J24*18.322*LOOKUP(J26,密度!$A$2:$A$50,密度!$Q$2:$Q$50)</f>
        <v>14627.9989768</v>
      </c>
      <c r="K25" s="91" ph="1">
        <f>K24*18.322*LOOKUP(K26,密度!$A$2:$A$50,密度!$Q$2:$Q$50)</f>
        <v>39614.482465879999</v>
      </c>
      <c r="L25" s="91" ph="1">
        <f>L24*18.322*LOOKUP(L26,密度!$A$2:$A$50,密度!$Q$2:$Q$50)</f>
        <v>8118.0076910400003</v>
      </c>
      <c r="M25" s="91" ph="1">
        <f>M24*18.322*LOOKUP(M26,密度!$A$2:$A$50,密度!$Q$2:$Q$50)</f>
        <v>6260.1217127999998</v>
      </c>
      <c r="N25" s="91" ph="1">
        <f>N24*18.322*LOOKUP(N26,密度!$A$2:$A$50,密度!$Q$2:$Q$50)</f>
        <v>10300.930346560001</v>
      </c>
      <c r="O25" s="91" ph="1">
        <f>O24*18.322*LOOKUP(O26,密度!$A$2:$A$50,密度!$C$2:$C$50)</f>
        <v>116663.6823556</v>
      </c>
      <c r="P25" s="91" ph="1">
        <f>P24*11.702*LOOKUP(P26,密度!$A$2:$A$50,密度!$B$2:$B$50)</f>
        <v>3047.0416527999996</v>
      </c>
      <c r="Q25" s="92" ph="1">
        <f>Q24*18.322*LOOKUP(Q26,密度!$A$2:$A$50,密度!$B$2:$B$50)</f>
        <v>50065.423820999997</v>
      </c>
      <c r="R25" s="91" ph="1">
        <f>R24*35.891*LOOKUP(R26,密度!$A$2:$A$50,密度!$C$2:$C$50)</f>
        <v>37172.760926599993</v>
      </c>
      <c r="S25" s="91" ph="1">
        <f>S24*35.891*LOOKUP(S26,密度!$A$2:$A$50,密度!$B$2:$B$50)</f>
        <v>121155.90278749999</v>
      </c>
      <c r="T25" s="91" ph="1">
        <f>T24*35.891*LOOKUP(T26,密度!$A$2:$A$50,密度!$Q$2:$Q$50)</f>
        <v>43187.875027139999</v>
      </c>
      <c r="U25" s="91" ph="1">
        <f>U24*35.891</f>
        <v>127664.287</v>
      </c>
      <c r="V25" s="91" ph="1">
        <f>V24*47.051*LOOKUP(V26,密度!$A$2:$A$50,密度!$B$2:$B$50)</f>
        <v>85418.408593</v>
      </c>
      <c r="W25" s="91" ph="1">
        <f>W24*47.051*LOOKUP(W26,密度!$A$2:$A$50,密度!$B$2:$B$50)</f>
        <v>411517.93612019997</v>
      </c>
      <c r="X25" s="91" ph="1">
        <f>X24*47.051*LOOKUP(X26,密度!$A$2:$A$61,密度!$I$2:$I$61)</f>
        <v>281895.93641969998</v>
      </c>
      <c r="Y25" s="91" ph="1">
        <f>Y24*47.051*LOOKUP(Y26,密度!$A$2:$A$50,密度!$L$2:$L$50)</f>
        <v>430834.526556</v>
      </c>
      <c r="Z25" s="175"/>
      <c r="AA25" s="176"/>
      <c r="AB25" s="176"/>
      <c r="AC25" s="176"/>
      <c r="AD25" s="176"/>
      <c r="AE25" s="17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1" ph="1"/>
      <c r="C26" s="68" t="s" ph="1">
        <v>179</v>
      </c>
      <c r="D26" s="74">
        <v>25</v>
      </c>
      <c r="E26" s="74">
        <v>25</v>
      </c>
      <c r="F26" s="74">
        <v>23</v>
      </c>
      <c r="G26" s="74">
        <v>25</v>
      </c>
      <c r="H26" s="74">
        <v>22</v>
      </c>
      <c r="I26" s="74">
        <v>23</v>
      </c>
      <c r="J26" s="74">
        <v>23</v>
      </c>
      <c r="K26" s="74">
        <v>24</v>
      </c>
      <c r="L26" s="74">
        <v>25</v>
      </c>
      <c r="M26" s="74">
        <v>22</v>
      </c>
      <c r="N26" s="74">
        <v>21</v>
      </c>
      <c r="O26" s="74">
        <v>20</v>
      </c>
      <c r="P26" s="74">
        <v>25</v>
      </c>
      <c r="Q26" s="93">
        <v>24</v>
      </c>
      <c r="R26" s="74">
        <v>25</v>
      </c>
      <c r="S26" s="74">
        <v>24</v>
      </c>
      <c r="T26" s="74">
        <v>25</v>
      </c>
      <c r="U26" s="74">
        <v>24</v>
      </c>
      <c r="V26" s="74">
        <v>24</v>
      </c>
      <c r="W26" s="74">
        <v>23</v>
      </c>
      <c r="X26" s="74">
        <v>37</v>
      </c>
      <c r="Y26" s="74">
        <v>24</v>
      </c>
      <c r="Z26" s="175"/>
      <c r="AA26" s="176"/>
      <c r="AB26" s="176"/>
      <c r="AC26" s="176"/>
      <c r="AD26" s="176"/>
      <c r="AE26" s="17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1" ph="1">
        <v>0.66666666666666663</v>
      </c>
      <c r="C27" s="151" t="s" ph="1">
        <v>180</v>
      </c>
      <c r="D27" s="71">
        <v>48.8</v>
      </c>
      <c r="E27" s="71">
        <v>65.64</v>
      </c>
      <c r="F27" s="71">
        <v>1973</v>
      </c>
      <c r="G27" s="71">
        <v>2761</v>
      </c>
      <c r="H27" s="71">
        <v>309</v>
      </c>
      <c r="I27" s="71">
        <v>0</v>
      </c>
      <c r="J27" s="71">
        <v>842</v>
      </c>
      <c r="K27" s="71">
        <v>1644</v>
      </c>
      <c r="L27" s="71">
        <v>470</v>
      </c>
      <c r="M27" s="71">
        <v>2606</v>
      </c>
      <c r="N27" s="71">
        <v>2641</v>
      </c>
      <c r="O27" s="71">
        <v>5724</v>
      </c>
      <c r="P27" s="71">
        <v>335</v>
      </c>
      <c r="Q27" s="90">
        <v>3792</v>
      </c>
      <c r="R27" s="71">
        <v>858</v>
      </c>
      <c r="S27" s="71">
        <v>4327</v>
      </c>
      <c r="T27" s="71">
        <v>1272</v>
      </c>
      <c r="U27" s="71">
        <v>3729</v>
      </c>
      <c r="V27" s="71">
        <v>2005</v>
      </c>
      <c r="W27" s="71">
        <v>11194</v>
      </c>
      <c r="X27" s="71">
        <v>5697</v>
      </c>
      <c r="Y27" s="71">
        <v>8144</v>
      </c>
      <c r="Z27" s="175"/>
      <c r="AA27" s="176"/>
      <c r="AB27" s="176"/>
      <c r="AC27" s="176"/>
      <c r="AD27" s="176"/>
      <c r="AE27" s="17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1" ph="1"/>
      <c r="C28" s="151" t="s" ph="1">
        <v>178</v>
      </c>
      <c r="D28" s="91" ph="1">
        <f>D27*268.68*LOOKUP(D29,密度!$A$2:$A$50,密度!$Q$2:$Q$50)+IF(D27&lt;=0,0,1566*LOOKUP(D29,密度!$A$2:$A$50,密度!$Q$2:$Q$50))</f>
        <v>13895.85587616</v>
      </c>
      <c r="E28" s="91" ph="1">
        <f>E27*268.68*LOOKUP(E29,密度!$A$2:$A$50,密度!$C$2:$C$50)+IF(E27&lt;=0,0,1566*LOOKUP(E29,密度!$A$2:$A$50,密度!$C$2:$C$50))</f>
        <v>21293.269901280004</v>
      </c>
      <c r="F28" s="91" ph="1">
        <f>F27*11.702*LOOKUP(F29,密度!$A$2:$A$50,密度!$Q$2:$Q$50)</f>
        <v>21892.085217199998</v>
      </c>
      <c r="G28" s="91" ph="1">
        <f>G27*18.322*LOOKUP(G29,密度!$A$2:$A$50,密度!$B$2:$B$50)</f>
        <v>39437.6579432</v>
      </c>
      <c r="H28" s="91" ph="1">
        <f>H27*18.322*LOOKUP(H29,密度!$A$2:$A$50,密度!$B$2:$B$50)</f>
        <v>4418.7991889999994</v>
      </c>
      <c r="I28" s="91" ph="1">
        <f>I27*18.322*LOOKUP(I29,密度!$A$2:$A$50,密度!$Q$2:$Q$50)</f>
        <v>0</v>
      </c>
      <c r="J28" s="91" ph="1">
        <f>J27*18.322*LOOKUP(J29,密度!$A$2:$A$50,密度!$Q$2:$Q$50)</f>
        <v>14627.9989768</v>
      </c>
      <c r="K28" s="91" ph="1">
        <f>K27*18.322*LOOKUP(K29,密度!$A$2:$A$50,密度!$Q$2:$Q$50)</f>
        <v>28539.092538959998</v>
      </c>
      <c r="L28" s="91" ph="1">
        <f>L27*18.322*LOOKUP(L29,密度!$A$2:$A$50,密度!$Q$2:$Q$50)</f>
        <v>8158.9863098000005</v>
      </c>
      <c r="M28" s="91" ph="1">
        <f>M27*18.322*LOOKUP(M29,密度!$A$2:$A$50,密度!$Q$2:$Q$50)</f>
        <v>45377.919310159996</v>
      </c>
      <c r="N28" s="91" ph="1">
        <f>N27*18.322*LOOKUP(N29,密度!$A$2:$A$50,密度!$Q$2:$Q$50)</f>
        <v>45881.882776399994</v>
      </c>
      <c r="O28" s="91" ph="1">
        <f>O27*18.322*LOOKUP(O29,密度!$A$2:$A$50,密度!$C$2:$C$50)</f>
        <v>116453.3421312</v>
      </c>
      <c r="P28" s="91" ph="1">
        <f>P27*11.702*LOOKUP(P29,密度!$A$2:$A$50,密度!$B$2:$B$50)</f>
        <v>3059.692685</v>
      </c>
      <c r="Q28" s="92" ph="1">
        <f>Q27*18.322*LOOKUP(Q29,密度!$A$2:$A$50,密度!$B$2:$B$50)</f>
        <v>54226.817231999994</v>
      </c>
      <c r="R28" s="91" ph="1">
        <f>R27*35.891*LOOKUP(R29,密度!$A$2:$A$50,密度!$C$2:$C$50)</f>
        <v>34261.936222800003</v>
      </c>
      <c r="S28" s="91" ph="1">
        <f>S27*35.891*LOOKUP(S29,密度!$A$2:$A$50,密度!$B$2:$B$50)</f>
        <v>121072.15831719998</v>
      </c>
      <c r="T28" s="91" ph="1">
        <f>T27*35.891*LOOKUP(T29,密度!$A$2:$A$50,密度!$Q$2:$Q$50)</f>
        <v>43221.854472480001</v>
      </c>
      <c r="U28" s="91" ph="1">
        <f>U27*35.891</f>
        <v>133837.53899999999</v>
      </c>
      <c r="V28" s="91" ph="1">
        <f>V27*47.051*LOOKUP(V29,密度!$A$2:$A$50,密度!$B$2:$B$50)</f>
        <v>73715.131057000006</v>
      </c>
      <c r="W28" s="91" ph="1">
        <f>W27*47.051*LOOKUP(W29,密度!$A$2:$A$50,密度!$B$2:$B$50)</f>
        <v>411080.68176699994</v>
      </c>
      <c r="X28" s="91" ph="1">
        <f>X27*47.051*LOOKUP(X29,密度!$A$2:$A$61,密度!$I$2:$I$61)</f>
        <v>276091.03341000003</v>
      </c>
      <c r="Y28" s="91" ph="1">
        <f>Y27*47.051*LOOKUP(Y29,密度!$A$2:$A$50,密度!$L$2:$L$50)</f>
        <v>359425.97667200002</v>
      </c>
      <c r="Z28" s="175"/>
      <c r="AA28" s="176"/>
      <c r="AB28" s="176"/>
      <c r="AC28" s="176"/>
      <c r="AD28" s="176"/>
      <c r="AE28" s="17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1" ph="1"/>
      <c r="C29" s="151" t="s" ph="1">
        <v>179</v>
      </c>
      <c r="D29" s="74">
        <v>25</v>
      </c>
      <c r="E29" s="74">
        <v>25</v>
      </c>
      <c r="F29" s="74">
        <v>23</v>
      </c>
      <c r="G29" s="74">
        <v>25</v>
      </c>
      <c r="H29" s="74">
        <v>24</v>
      </c>
      <c r="I29" s="74">
        <v>23</v>
      </c>
      <c r="J29" s="74">
        <v>23</v>
      </c>
      <c r="K29" s="74">
        <v>24</v>
      </c>
      <c r="L29" s="74">
        <v>24</v>
      </c>
      <c r="M29" s="74">
        <v>20</v>
      </c>
      <c r="N29" s="74">
        <v>23</v>
      </c>
      <c r="O29" s="74">
        <v>23</v>
      </c>
      <c r="P29" s="74">
        <v>24</v>
      </c>
      <c r="Q29" s="93">
        <v>24</v>
      </c>
      <c r="R29" s="74">
        <v>20</v>
      </c>
      <c r="S29" s="74">
        <v>25</v>
      </c>
      <c r="T29" s="74">
        <v>25</v>
      </c>
      <c r="U29" s="74">
        <v>23</v>
      </c>
      <c r="V29" s="74">
        <v>23</v>
      </c>
      <c r="W29" s="74">
        <v>24</v>
      </c>
      <c r="X29" s="74">
        <v>36</v>
      </c>
      <c r="Y29" s="74">
        <v>24</v>
      </c>
      <c r="Z29" s="178"/>
      <c r="AA29" s="179"/>
      <c r="AB29" s="179"/>
      <c r="AC29" s="179"/>
      <c r="AD29" s="179"/>
      <c r="AE29" s="18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4" t="s" ph="1">
        <v>35</v>
      </c>
      <c r="C31" s="195" ph="1"/>
      <c r="D31" s="198" t="s" ph="1">
        <v>9</v>
      </c>
      <c r="E31" s="187" ph="1"/>
      <c r="F31" s="188" ph="1"/>
      <c r="G31" s="198" t="s" ph="1">
        <v>18</v>
      </c>
      <c r="H31" s="187" ph="1"/>
      <c r="I31" s="188" ph="1"/>
      <c r="J31" s="186" t="s" ph="1">
        <v>1</v>
      </c>
      <c r="K31" s="187" ph="1"/>
      <c r="L31" s="188" ph="1"/>
      <c r="M31" s="186" t="s" ph="1">
        <v>7</v>
      </c>
      <c r="N31" s="187" ph="1"/>
      <c r="O31" s="188" ph="1"/>
      <c r="P31" s="186" t="s" ph="1">
        <v>41</v>
      </c>
      <c r="Q31" s="187"/>
      <c r="R31" s="188"/>
      <c r="S31" s="186" t="s" ph="1">
        <v>2</v>
      </c>
      <c r="T31" s="187"/>
      <c r="U31" s="188"/>
      <c r="V31" s="186" t="s" ph="1">
        <v>71</v>
      </c>
      <c r="W31" s="187" ph="1"/>
      <c r="X31" s="188" ph="1"/>
      <c r="Y31" s="186" t="s" ph="1">
        <v>3</v>
      </c>
      <c r="Z31" s="187" ph="1"/>
      <c r="AA31" s="188" ph="1"/>
      <c r="AB31" s="209" t="s">
        <v>42</v>
      </c>
      <c r="AC31" s="210"/>
      <c r="AD31" s="210"/>
      <c r="AE31" s="211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6" ph="1"/>
      <c r="C32" s="197" ph="1"/>
      <c r="D32" s="96" t="s" ph="1">
        <v>4</v>
      </c>
      <c r="E32" s="151" t="s" ph="1">
        <v>5</v>
      </c>
      <c r="F32" s="152" t="s" ph="1">
        <v>43</v>
      </c>
      <c r="G32" s="97" t="s" ph="1">
        <v>4</v>
      </c>
      <c r="H32" s="151" t="s" ph="1">
        <v>5</v>
      </c>
      <c r="I32" s="152" t="s" ph="1">
        <v>43</v>
      </c>
      <c r="J32" s="97" t="s" ph="1">
        <v>4</v>
      </c>
      <c r="K32" s="151" t="s" ph="1">
        <v>5</v>
      </c>
      <c r="L32" s="152" t="s" ph="1">
        <v>43</v>
      </c>
      <c r="M32" s="97" t="s" ph="1">
        <v>4</v>
      </c>
      <c r="N32" s="151" t="s" ph="1">
        <v>5</v>
      </c>
      <c r="O32" s="152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1" t="s" ph="1">
        <v>5</v>
      </c>
      <c r="U32" s="99" t="s" ph="1">
        <v>43</v>
      </c>
      <c r="V32" s="97" t="s" ph="1">
        <v>4</v>
      </c>
      <c r="W32" s="151" t="s" ph="1">
        <v>5</v>
      </c>
      <c r="X32" s="99" t="s" ph="1">
        <v>43</v>
      </c>
      <c r="Y32" s="100" t="s" ph="1">
        <v>4</v>
      </c>
      <c r="Z32" s="151" t="s" ph="1">
        <v>5</v>
      </c>
      <c r="AA32" s="152" t="s" ph="1">
        <v>43</v>
      </c>
      <c r="AB32" s="97" t="s" ph="1">
        <v>85</v>
      </c>
      <c r="AC32" s="151" t="s" ph="1">
        <v>84</v>
      </c>
      <c r="AD32" s="212" t="s" ph="1">
        <v>83</v>
      </c>
      <c r="AE32" s="213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199" t="s" ph="1">
        <v>181</v>
      </c>
      <c r="C33" s="200" ph="1"/>
      <c r="D33" s="203" ph="1">
        <f>AA10+AB10+Z19</f>
        <v>191965.17705449997</v>
      </c>
      <c r="E33" s="203" ph="1">
        <f>M10+I10</f>
        <v>40566.317808299995</v>
      </c>
      <c r="F33" s="20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1522252632456786910111213141516171819202123456789101112131415161718192022232424356789101112131415161718192021222345678910111213141516171819202345678910111213149101516171819222123234567891012131415161711181920212224252345678910111213113[[#This Row],[F25]]</f>
        <v>3880</v>
      </c>
      <c r="G33" s="207" ph="1">
        <f>N19</f>
        <v>22656.0456424</v>
      </c>
      <c r="H33" s="203" ph="1">
        <f>M19</f>
        <v>37802.514949999997</v>
      </c>
      <c r="I33" s="216" ph="1">
        <v>0</v>
      </c>
      <c r="J33" s="214" ph="1">
        <f>F10+O28</f>
        <v>349931.66441039997</v>
      </c>
      <c r="K33" s="203" ph="1">
        <f>O10+K10+E28+R28</f>
        <v>90550.328084080014</v>
      </c>
      <c r="L33" s="218" ph="1">
        <f>K19</f>
        <v>36177.043559279999</v>
      </c>
      <c r="M33" s="214" ph="1">
        <f>G10+H10+W28+S28+V28+E10+R19+P28+Q28</f>
        <v>1630903.6111218797</v>
      </c>
      <c r="N33" s="203" ph="1">
        <f>L10+P10++G28+H28+AD19+AE19</f>
        <v>68908.413742999997</v>
      </c>
      <c r="O33" s="216" ph="1">
        <f>G19</f>
        <v>29608.178373799998</v>
      </c>
      <c r="P33" s="214" ph="1">
        <f>L19</f>
        <v>49969.6841824</v>
      </c>
      <c r="Q33" s="203" ph="1">
        <f>J10+N10</f>
        <v>4973.3409396000006</v>
      </c>
      <c r="R33" s="216" ph="1">
        <f>BE23</f>
        <v>890</v>
      </c>
      <c r="S33" s="214" ph="1">
        <f>X28</f>
        <v>276091.03341000003</v>
      </c>
      <c r="T33" s="203" ph="1">
        <f>X19</f>
        <v>4874.9880250400001</v>
      </c>
      <c r="U33" s="224" ph="1">
        <f>BE21</f>
        <v>730</v>
      </c>
      <c r="V33" s="235" ph="1">
        <f ca="1">P19+Q19+S19+M28+N28+J28+D10+AC10+D19+E19+H19+J19+O19+V19+W19+K28+L28</f>
        <v>758246.89884781395</v>
      </c>
      <c r="W33" s="235" ph="1">
        <f>D28+F28+T28+I28</f>
        <v>79009.795565840002</v>
      </c>
      <c r="X33" s="216" ph="1">
        <f>BE29+BE31</f>
        <v>10200</v>
      </c>
      <c r="Y33" s="237" ph="1">
        <f>+Q10+R10+S10+T10+U10+V10+W10+X10+Y10</f>
        <v>193045.82691239999</v>
      </c>
      <c r="Z33" s="222" ph="1">
        <f>T19+U19+Y28+Z10</f>
        <v>503202.98683786002</v>
      </c>
      <c r="AA33" s="224" ph="1">
        <f>BE19</f>
        <v>1440</v>
      </c>
      <c r="AB33" s="226" ph="1">
        <f>I19</f>
        <v>51018.599047199998</v>
      </c>
      <c r="AC33" s="228" ph="1">
        <f>AD10+AB19</f>
        <v>135302.29831759998</v>
      </c>
      <c r="AD33" s="230" ph="1">
        <v>0</v>
      </c>
      <c r="AE33" s="231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1" ph="1"/>
      <c r="C34" s="202" ph="1"/>
      <c r="D34" s="204" ph="1"/>
      <c r="E34" s="204" ph="1"/>
      <c r="F34" s="206" ph="1"/>
      <c r="G34" s="208" ph="1"/>
      <c r="H34" s="204" ph="1"/>
      <c r="I34" s="217" ph="1"/>
      <c r="J34" s="215" ph="1"/>
      <c r="K34" s="204" ph="1"/>
      <c r="L34" s="219" ph="1"/>
      <c r="M34" s="215" ph="1"/>
      <c r="N34" s="204" ph="1"/>
      <c r="O34" s="217" ph="1"/>
      <c r="P34" s="215" ph="1"/>
      <c r="Q34" s="204" ph="1"/>
      <c r="R34" s="217" ph="1"/>
      <c r="S34" s="215" ph="1"/>
      <c r="T34" s="204"/>
      <c r="U34" s="225"/>
      <c r="V34" s="236" ph="1"/>
      <c r="W34" s="236" ph="1"/>
      <c r="X34" s="217" ph="1"/>
      <c r="Y34" s="238" ph="1"/>
      <c r="Z34" s="223" ph="1"/>
      <c r="AA34" s="225" ph="1"/>
      <c r="AB34" s="227"/>
      <c r="AC34" s="229"/>
      <c r="AD34" s="232"/>
      <c r="AE34" s="233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4" t="s" ph="1">
        <v>631</v>
      </c>
      <c r="AD35" s="234"/>
      <c r="AE35" s="234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0" t="s" ph="1">
        <v>183</v>
      </c>
      <c r="J36" s="220" ph="1"/>
      <c r="K36" s="101" ph="1"/>
      <c r="P36" s="101" ph="1"/>
      <c r="R36" s="220" t="s" ph="1">
        <v>184</v>
      </c>
      <c r="S36" s="220" ph="1"/>
      <c r="Y36" s="102" ph="1"/>
      <c r="Z36" s="153" t="s" ph="1">
        <v>185</v>
      </c>
      <c r="AA36" s="153" ph="1"/>
      <c r="AB36" s="221" t="s" ph="1">
        <v>638</v>
      </c>
      <c r="AC36" s="221" ph="1"/>
      <c r="AD36" s="221" ph="1"/>
      <c r="AE36" s="221" ph="1"/>
      <c r="BA36" s="64" ph="1">
        <v>2270</v>
      </c>
    </row>
    <row r="37" spans="1:57" s="153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3" t="s" ph="1">
        <v>342</v>
      </c>
      <c r="AI37" s="153" t="s" ph="1">
        <v>209</v>
      </c>
      <c r="AJ37" s="153" t="s" ph="1">
        <v>210</v>
      </c>
      <c r="AK37" s="153" t="s" ph="1">
        <v>211</v>
      </c>
      <c r="AM37" s="153" t="s" ph="1">
        <v>210</v>
      </c>
      <c r="AN37" s="153" t="s" ph="1">
        <v>211</v>
      </c>
      <c r="AO37" s="153" t="s" ph="1">
        <v>212</v>
      </c>
      <c r="AP37" s="153" t="s" ph="1">
        <v>210</v>
      </c>
      <c r="AQ37" s="153" t="s" ph="1">
        <v>211</v>
      </c>
      <c r="AR37" s="153" t="s" ph="1">
        <v>212</v>
      </c>
      <c r="AS37" s="153" t="s" ph="1">
        <v>210</v>
      </c>
      <c r="AT37" s="153" t="s" ph="1">
        <v>211</v>
      </c>
      <c r="AU37" s="153" t="s" ph="1">
        <v>212</v>
      </c>
      <c r="AV37" s="153" t="s" ph="1">
        <v>210</v>
      </c>
      <c r="AW37" s="153" t="s" ph="1">
        <v>211</v>
      </c>
      <c r="AX37" s="153" t="s" ph="1">
        <v>212</v>
      </c>
      <c r="AY37" s="153" t="s" ph="1">
        <v>211</v>
      </c>
      <c r="AZ37" s="153" t="s" ph="1">
        <v>213</v>
      </c>
      <c r="BD37" s="153" t="s" ph="1">
        <v>305</v>
      </c>
      <c r="BE37" s="153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339" priority="100">
      <formula>ABS(D$7-D$10)&gt;=1000</formula>
    </cfRule>
  </conditionalFormatting>
  <conditionalFormatting sqref="E4 E6:E11">
    <cfRule type="expression" dxfId="2338" priority="99">
      <formula>ABS(E$7-E$10)&gt;=1000</formula>
    </cfRule>
  </conditionalFormatting>
  <conditionalFormatting sqref="F4:F11">
    <cfRule type="expression" dxfId="2337" priority="98">
      <formula>ABS(F$7-F$10)&gt;=1000</formula>
    </cfRule>
  </conditionalFormatting>
  <conditionalFormatting sqref="G4:G11">
    <cfRule type="expression" dxfId="2336" priority="97">
      <formula>ABS(G$7-G$10)&gt;=1000</formula>
    </cfRule>
  </conditionalFormatting>
  <conditionalFormatting sqref="H4:H11">
    <cfRule type="expression" dxfId="2335" priority="96">
      <formula>ABS(H$7-H$10)&gt;=1000</formula>
    </cfRule>
  </conditionalFormatting>
  <conditionalFormatting sqref="I4:I11">
    <cfRule type="expression" dxfId="2334" priority="95">
      <formula>ABS(I$7-I$10)&gt;=1000</formula>
    </cfRule>
  </conditionalFormatting>
  <conditionalFormatting sqref="J4:J11">
    <cfRule type="expression" dxfId="2333" priority="94">
      <formula>ABS(J$7-J$10)&gt;=1000</formula>
    </cfRule>
  </conditionalFormatting>
  <conditionalFormatting sqref="K4:K11">
    <cfRule type="expression" dxfId="2332" priority="93">
      <formula>ABS(K$7-K$10)&gt;=1000</formula>
    </cfRule>
  </conditionalFormatting>
  <conditionalFormatting sqref="L4:L11">
    <cfRule type="expression" dxfId="2331" priority="92">
      <formula>ABS(L$7-L$10)&gt;=1000</formula>
    </cfRule>
  </conditionalFormatting>
  <conditionalFormatting sqref="M4 M6:M11">
    <cfRule type="expression" dxfId="2330" priority="91">
      <formula>ABS(M$7-M$10)&gt;=1000</formula>
    </cfRule>
  </conditionalFormatting>
  <conditionalFormatting sqref="N4 N6:N11">
    <cfRule type="expression" dxfId="2329" priority="90">
      <formula>ABS(N$7-N$10)&gt;=1000</formula>
    </cfRule>
  </conditionalFormatting>
  <conditionalFormatting sqref="O4 O6:O11">
    <cfRule type="expression" dxfId="2328" priority="89">
      <formula>ABS(O$7-O$10)&gt;=1000</formula>
    </cfRule>
  </conditionalFormatting>
  <conditionalFormatting sqref="P4 P6:P11">
    <cfRule type="expression" dxfId="2327" priority="88">
      <formula>ABS(P$7-P$10)&gt;=1000</formula>
    </cfRule>
  </conditionalFormatting>
  <conditionalFormatting sqref="Q4:Q11">
    <cfRule type="expression" dxfId="2326" priority="87">
      <formula>ABS(Q$7-Q$10)&gt;=1000</formula>
    </cfRule>
  </conditionalFormatting>
  <conditionalFormatting sqref="R4:R11">
    <cfRule type="expression" dxfId="2325" priority="86">
      <formula>ABS(R$7-R$10)&gt;=1000</formula>
    </cfRule>
  </conditionalFormatting>
  <conditionalFormatting sqref="S4:S11">
    <cfRule type="expression" dxfId="2324" priority="85">
      <formula>ABS(S$7-S$10)&gt;=1000</formula>
    </cfRule>
  </conditionalFormatting>
  <conditionalFormatting sqref="T4:T9 T11">
    <cfRule type="expression" dxfId="2323" priority="84">
      <formula>ABS(T$7-T$10)&gt;=1000</formula>
    </cfRule>
  </conditionalFormatting>
  <conditionalFormatting sqref="U4:U9 U11">
    <cfRule type="expression" dxfId="2322" priority="83">
      <formula>ABS(U$7-U$10)&gt;=1000</formula>
    </cfRule>
  </conditionalFormatting>
  <conditionalFormatting sqref="V4:V9 V11">
    <cfRule type="expression" dxfId="2321" priority="82">
      <formula>ABS(V$7-V$10)&gt;=1000</formula>
    </cfRule>
  </conditionalFormatting>
  <conditionalFormatting sqref="W4:W9 W11">
    <cfRule type="expression" dxfId="2320" priority="81">
      <formula>ABS(W$7-W$10)&gt;=1000</formula>
    </cfRule>
  </conditionalFormatting>
  <conditionalFormatting sqref="X4:X9 X11">
    <cfRule type="expression" dxfId="2319" priority="80">
      <formula>ABS(X$7-X$10)&gt;=1000</formula>
    </cfRule>
  </conditionalFormatting>
  <conditionalFormatting sqref="Y4:Y9 Y11">
    <cfRule type="expression" dxfId="2318" priority="79">
      <formula>ABS(Y$7-Y$10)&gt;=1000</formula>
    </cfRule>
  </conditionalFormatting>
  <conditionalFormatting sqref="Z4:Z11">
    <cfRule type="expression" dxfId="2317" priority="78">
      <formula>ABS(Z$7-Z$10)&gt;=1000</formula>
    </cfRule>
  </conditionalFormatting>
  <conditionalFormatting sqref="AA4:AA11">
    <cfRule type="expression" dxfId="2316" priority="77">
      <formula>ABS(AA$7-AA$10)&gt;=1000</formula>
    </cfRule>
  </conditionalFormatting>
  <conditionalFormatting sqref="AB4:AB11">
    <cfRule type="expression" dxfId="2315" priority="76">
      <formula>ABS(AB$7-AB$10)&gt;=1000</formula>
    </cfRule>
  </conditionalFormatting>
  <conditionalFormatting sqref="AC4 AC6:AC11">
    <cfRule type="expression" dxfId="2314" priority="75">
      <formula>ABS(AC$7-AC$10)&gt;=1000</formula>
    </cfRule>
  </conditionalFormatting>
  <conditionalFormatting sqref="AD4 AD6:AD11">
    <cfRule type="expression" dxfId="2313" priority="74">
      <formula>ABS(AD$7-AD$10)&gt;=1000</formula>
    </cfRule>
  </conditionalFormatting>
  <conditionalFormatting sqref="AE4 AE6:AE11">
    <cfRule type="expression" dxfId="2312" priority="73">
      <formula>ABS(AE$7-AE$10)&gt;=1000</formula>
    </cfRule>
  </conditionalFormatting>
  <conditionalFormatting sqref="D13:D20">
    <cfRule type="expression" dxfId="2311" priority="72">
      <formula>ABS(D$16-D$19)&gt;=1000</formula>
    </cfRule>
  </conditionalFormatting>
  <conditionalFormatting sqref="E13:E20">
    <cfRule type="expression" dxfId="2310" priority="71">
      <formula>ABS(E$16-E$19)&gt;=1000</formula>
    </cfRule>
  </conditionalFormatting>
  <conditionalFormatting sqref="F13 F15:F20">
    <cfRule type="expression" dxfId="2309" priority="70">
      <formula>ABS(F$16-F$19)&gt;=1000</formula>
    </cfRule>
  </conditionalFormatting>
  <conditionalFormatting sqref="G13:G20">
    <cfRule type="expression" dxfId="2308" priority="69">
      <formula>ABS(G$16-G$19)&gt;=1000</formula>
    </cfRule>
  </conditionalFormatting>
  <conditionalFormatting sqref="H13 H15:H20">
    <cfRule type="expression" dxfId="2307" priority="68">
      <formula>ABS(H$16-H$19)&gt;=1000</formula>
    </cfRule>
  </conditionalFormatting>
  <conditionalFormatting sqref="I13:I20">
    <cfRule type="expression" dxfId="2306" priority="67">
      <formula>ABS(I$16-I$19)&gt;=1000</formula>
    </cfRule>
  </conditionalFormatting>
  <conditionalFormatting sqref="J13:J20">
    <cfRule type="expression" dxfId="2305" priority="66">
      <formula>ABS(J$16-J$19)&gt;=1000</formula>
    </cfRule>
  </conditionalFormatting>
  <conditionalFormatting sqref="L13:L20">
    <cfRule type="expression" dxfId="2304" priority="65">
      <formula>ABS(L$16-L$19)&gt;=1000</formula>
    </cfRule>
  </conditionalFormatting>
  <conditionalFormatting sqref="M13 M15 M17:M18 M20">
    <cfRule type="expression" dxfId="2303" priority="64">
      <formula>ABS(M$16-M$19)&gt;=1000</formula>
    </cfRule>
  </conditionalFormatting>
  <conditionalFormatting sqref="N13:N20">
    <cfRule type="expression" dxfId="2302" priority="63">
      <formula>ABS(N$16-N$19)&gt;=1000</formula>
    </cfRule>
  </conditionalFormatting>
  <conditionalFormatting sqref="O13:O20">
    <cfRule type="expression" dxfId="2301" priority="62">
      <formula>ABS(O$16-O$19)&gt;=1000</formula>
    </cfRule>
  </conditionalFormatting>
  <conditionalFormatting sqref="P13:P20">
    <cfRule type="expression" dxfId="2300" priority="61">
      <formula>ABS(P$16-P$19)&gt;=1000</formula>
    </cfRule>
  </conditionalFormatting>
  <conditionalFormatting sqref="Q13 Q15:Q20">
    <cfRule type="expression" dxfId="2299" priority="60">
      <formula>ABS(Q$16-Q$19)&gt;=1000</formula>
    </cfRule>
  </conditionalFormatting>
  <conditionalFormatting sqref="R13:R20">
    <cfRule type="expression" dxfId="2298" priority="59">
      <formula>ABS(R$16-R$19)&gt;=1000</formula>
    </cfRule>
  </conditionalFormatting>
  <conditionalFormatting sqref="S13:S20">
    <cfRule type="expression" dxfId="2297" priority="58">
      <formula>ABS(S$16-S$19)&gt;=1000</formula>
    </cfRule>
  </conditionalFormatting>
  <conditionalFormatting sqref="T13:T20">
    <cfRule type="expression" dxfId="2296" priority="57">
      <formula>ABS(T$16-T$19)&gt;=1000</formula>
    </cfRule>
  </conditionalFormatting>
  <conditionalFormatting sqref="U13:U20">
    <cfRule type="expression" dxfId="2295" priority="56">
      <formula>ABS(U$16-U$19)&gt;=1000</formula>
    </cfRule>
  </conditionalFormatting>
  <conditionalFormatting sqref="V13:V20">
    <cfRule type="expression" dxfId="2294" priority="55">
      <formula>ABS(V$16-V$19)&gt;=1000</formula>
    </cfRule>
  </conditionalFormatting>
  <conditionalFormatting sqref="W13 W20 W15:W18">
    <cfRule type="expression" dxfId="2293" priority="54">
      <formula>ABS(W$16-W$19)&gt;=1000</formula>
    </cfRule>
  </conditionalFormatting>
  <conditionalFormatting sqref="X13 X15:X20 Y19">
    <cfRule type="expression" dxfId="2292" priority="53">
      <formula>ABS(X$16-X$19)&gt;=1000</formula>
    </cfRule>
  </conditionalFormatting>
  <conditionalFormatting sqref="Y13 Y15:Y18 Y20">
    <cfRule type="expression" dxfId="2291" priority="52">
      <formula>ABS(Y$16-Y$19)&gt;=1000</formula>
    </cfRule>
  </conditionalFormatting>
  <conditionalFormatting sqref="Z13:Z20">
    <cfRule type="expression" dxfId="2290" priority="51">
      <formula>ABS(Z$16-Z$19)&gt;=1000</formula>
    </cfRule>
  </conditionalFormatting>
  <conditionalFormatting sqref="AA13:AA20">
    <cfRule type="expression" dxfId="2289" priority="50">
      <formula>ABS(AA$16-AA$19)&gt;=1000</formula>
    </cfRule>
  </conditionalFormatting>
  <conditionalFormatting sqref="AB13 AB15:AB20">
    <cfRule type="expression" dxfId="2288" priority="49">
      <formula>ABS(AB$16-AB$19)&gt;=1000</formula>
    </cfRule>
  </conditionalFormatting>
  <conditionalFormatting sqref="AC13 AC15:AC20">
    <cfRule type="expression" dxfId="2287" priority="48">
      <formula>ABS(AC$16-AC$19)&gt;=1000</formula>
    </cfRule>
  </conditionalFormatting>
  <conditionalFormatting sqref="AD13:AD20">
    <cfRule type="expression" dxfId="2286" priority="47">
      <formula>ABS(AD$16-AD$19)&gt;=1000</formula>
    </cfRule>
  </conditionalFormatting>
  <conditionalFormatting sqref="AE13:AE20">
    <cfRule type="expression" dxfId="2285" priority="46">
      <formula>ABS(AE$16-AE$19)&gt;=1000</formula>
    </cfRule>
  </conditionalFormatting>
  <conditionalFormatting sqref="D22:D29">
    <cfRule type="expression" dxfId="2284" priority="45">
      <formula>ABS(D$25-D$28)&gt;=1000</formula>
    </cfRule>
  </conditionalFormatting>
  <conditionalFormatting sqref="E22:E29">
    <cfRule type="expression" dxfId="2283" priority="44">
      <formula>ABS(E$25-E$28)&gt;=1000</formula>
    </cfRule>
  </conditionalFormatting>
  <conditionalFormatting sqref="F22:F29">
    <cfRule type="expression" dxfId="2282" priority="43">
      <formula>ABS(F$25-F$28)&gt;=1000</formula>
    </cfRule>
  </conditionalFormatting>
  <conditionalFormatting sqref="G22:G29">
    <cfRule type="expression" dxfId="2281" priority="42">
      <formula>ABS(G$25-G$28)&gt;=1000</formula>
    </cfRule>
  </conditionalFormatting>
  <conditionalFormatting sqref="H22:H29">
    <cfRule type="expression" dxfId="2280" priority="41">
      <formula>ABS(H$25-H$28)&gt;=1000</formula>
    </cfRule>
  </conditionalFormatting>
  <conditionalFormatting sqref="I22 I24:I29">
    <cfRule type="expression" dxfId="2279" priority="40">
      <formula>ABS(I$25-I$28)&gt;=1000</formula>
    </cfRule>
  </conditionalFormatting>
  <conditionalFormatting sqref="J22:J29 K22">
    <cfRule type="expression" dxfId="2278" priority="39">
      <formula>ABS(J$25-J$28)&gt;=1000</formula>
    </cfRule>
  </conditionalFormatting>
  <conditionalFormatting sqref="K23:K29 L25 L28">
    <cfRule type="expression" dxfId="2277" priority="38">
      <formula>ABS(K$25-K$28)&gt;=1000</formula>
    </cfRule>
  </conditionalFormatting>
  <conditionalFormatting sqref="L22 L26:L27 L29 L24">
    <cfRule type="expression" dxfId="2276" priority="37">
      <formula>ABS(L$25-L$28)&gt;=1000</formula>
    </cfRule>
  </conditionalFormatting>
  <conditionalFormatting sqref="M22:M29">
    <cfRule type="expression" dxfId="2275" priority="36">
      <formula>ABS(M$25-M$28)&gt;=1000</formula>
    </cfRule>
  </conditionalFormatting>
  <conditionalFormatting sqref="N22:N29">
    <cfRule type="expression" dxfId="2274" priority="35">
      <formula>ABS(N$25-N$28)&gt;=1000</formula>
    </cfRule>
  </conditionalFormatting>
  <conditionalFormatting sqref="O22:O29">
    <cfRule type="expression" dxfId="2273" priority="34">
      <formula>ABS(O$25-O$28)&gt;=1000</formula>
    </cfRule>
  </conditionalFormatting>
  <conditionalFormatting sqref="P22:P29">
    <cfRule type="expression" dxfId="2272" priority="33">
      <formula>ABS(P$25-P$28)&gt;=1000</formula>
    </cfRule>
  </conditionalFormatting>
  <conditionalFormatting sqref="Q22:Q29">
    <cfRule type="expression" dxfId="2271" priority="32">
      <formula>ABS(Q$25-Q$28)&gt;=1000</formula>
    </cfRule>
  </conditionalFormatting>
  <conditionalFormatting sqref="R22:R29">
    <cfRule type="expression" dxfId="2270" priority="31">
      <formula>ABS(R$25-R$28)&gt;=1000</formula>
    </cfRule>
  </conditionalFormatting>
  <conditionalFormatting sqref="S22:S29">
    <cfRule type="expression" dxfId="2269" priority="30">
      <formula>ABS(S$25-S$28)&gt;=1000</formula>
    </cfRule>
  </conditionalFormatting>
  <conditionalFormatting sqref="T22:T29">
    <cfRule type="expression" dxfId="2268" priority="29">
      <formula>ABS(T$25-T$28)&gt;=1000</formula>
    </cfRule>
  </conditionalFormatting>
  <conditionalFormatting sqref="U22:U29">
    <cfRule type="expression" dxfId="2267" priority="28">
      <formula>ABS(U$25-U$28)&gt;=1000</formula>
    </cfRule>
  </conditionalFormatting>
  <conditionalFormatting sqref="V22:V29">
    <cfRule type="expression" dxfId="2266" priority="27">
      <formula>ABS(V$25-V$28)&gt;=1000</formula>
    </cfRule>
  </conditionalFormatting>
  <conditionalFormatting sqref="W22:W29">
    <cfRule type="expression" dxfId="2265" priority="26">
      <formula>ABS(W$25-W$28)&gt;=1000</formula>
    </cfRule>
  </conditionalFormatting>
  <conditionalFormatting sqref="X22:X29">
    <cfRule type="expression" dxfId="2264" priority="25">
      <formula>ABS(X$25-X$28)&gt;=1000</formula>
    </cfRule>
  </conditionalFormatting>
  <conditionalFormatting sqref="Y22:Y29">
    <cfRule type="expression" dxfId="2263" priority="24">
      <formula>ABS(Y$25-Y$28)&gt;=1000</formula>
    </cfRule>
  </conditionalFormatting>
  <conditionalFormatting sqref="I23">
    <cfRule type="expression" dxfId="2262" priority="23">
      <formula>ABS(I$25-I$28)&gt;=1000</formula>
    </cfRule>
  </conditionalFormatting>
  <conditionalFormatting sqref="Q14">
    <cfRule type="expression" dxfId="2261" priority="22">
      <formula>ABS(Q$16-Q$19)&gt;=1000</formula>
    </cfRule>
  </conditionalFormatting>
  <conditionalFormatting sqref="W14">
    <cfRule type="expression" dxfId="2260" priority="21">
      <formula>ABS(W$16-W$19)&gt;=1000</formula>
    </cfRule>
  </conditionalFormatting>
  <conditionalFormatting sqref="X14">
    <cfRule type="expression" dxfId="2259" priority="20">
      <formula>ABS(X$16-X$19)&gt;=1000</formula>
    </cfRule>
  </conditionalFormatting>
  <conditionalFormatting sqref="T10:Y10">
    <cfRule type="expression" dxfId="2258" priority="19">
      <formula>ABS(T$7-T$10)&gt;=1000</formula>
    </cfRule>
  </conditionalFormatting>
  <conditionalFormatting sqref="W19">
    <cfRule type="expression" dxfId="2257" priority="18">
      <formula>ABS(W$16-W$19)&gt;=1000</formula>
    </cfRule>
  </conditionalFormatting>
  <conditionalFormatting sqref="AC5">
    <cfRule type="expression" dxfId="2256" priority="17">
      <formula>ABS(AC$7-AC$10)&gt;=1000</formula>
    </cfRule>
  </conditionalFormatting>
  <conditionalFormatting sqref="M14">
    <cfRule type="expression" dxfId="2255" priority="16">
      <formula>ABS(M$16-M$19)&gt;=1000</formula>
    </cfRule>
  </conditionalFormatting>
  <conditionalFormatting sqref="M16">
    <cfRule type="expression" dxfId="2254" priority="15">
      <formula>ABS(M$16-M$19)&gt;=1000</formula>
    </cfRule>
  </conditionalFormatting>
  <conditionalFormatting sqref="M19">
    <cfRule type="expression" dxfId="2253" priority="14">
      <formula>ABS(M$16-M$19)&gt;=1000</formula>
    </cfRule>
  </conditionalFormatting>
  <conditionalFormatting sqref="K13:K20">
    <cfRule type="expression" dxfId="2252" priority="13">
      <formula>ABS(K$16-K$19)&gt;=1000</formula>
    </cfRule>
  </conditionalFormatting>
  <conditionalFormatting sqref="E5">
    <cfRule type="expression" dxfId="2251" priority="12">
      <formula>ABS(E$7-E$10)&gt;=1000</formula>
    </cfRule>
  </conditionalFormatting>
  <conditionalFormatting sqref="AB14:AC14">
    <cfRule type="expression" dxfId="2250" priority="11">
      <formula>ABS(AB$16-AB$19)&gt;=1000</formula>
    </cfRule>
  </conditionalFormatting>
  <conditionalFormatting sqref="M5">
    <cfRule type="expression" dxfId="2249" priority="10">
      <formula>ABS(M$7-M$10)&gt;=1000</formula>
    </cfRule>
  </conditionalFormatting>
  <conditionalFormatting sqref="N5">
    <cfRule type="expression" dxfId="2248" priority="9">
      <formula>ABS(N$7-N$10)&gt;=1000</formula>
    </cfRule>
  </conditionalFormatting>
  <conditionalFormatting sqref="O5">
    <cfRule type="expression" dxfId="2247" priority="8">
      <formula>ABS(O$7-O$10)&gt;=1000</formula>
    </cfRule>
  </conditionalFormatting>
  <conditionalFormatting sqref="P5">
    <cfRule type="expression" dxfId="2246" priority="7">
      <formula>ABS(P$7-P$10)&gt;=1000</formula>
    </cfRule>
  </conditionalFormatting>
  <conditionalFormatting sqref="L23">
    <cfRule type="expression" dxfId="2245" priority="6">
      <formula>ABS(L$25-L$28)&gt;=1000</formula>
    </cfRule>
  </conditionalFormatting>
  <conditionalFormatting sqref="Y14">
    <cfRule type="expression" dxfId="2244" priority="5">
      <formula>ABS(Y$16-Y$19)&gt;=1000</formula>
    </cfRule>
  </conditionalFormatting>
  <conditionalFormatting sqref="F14">
    <cfRule type="expression" dxfId="2243" priority="4">
      <formula>ABS(F$16-F$19)&gt;=1000</formula>
    </cfRule>
  </conditionalFormatting>
  <conditionalFormatting sqref="H14">
    <cfRule type="expression" dxfId="2242" priority="3">
      <formula>ABS(H$16-H$19)&gt;=1000</formula>
    </cfRule>
  </conditionalFormatting>
  <conditionalFormatting sqref="AD5">
    <cfRule type="expression" dxfId="2241" priority="2">
      <formula>ABS(AD$7-AD$10)&gt;=1000</formula>
    </cfRule>
  </conditionalFormatting>
  <conditionalFormatting sqref="AE5">
    <cfRule type="expression" dxfId="224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1907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61">
    <pageSetUpPr fitToPage="1"/>
  </sheetPr>
  <dimension ref="A1:CU223"/>
  <sheetViews>
    <sheetView view="pageBreakPreview" zoomScale="70" zoomScaleNormal="100" zoomScaleSheetLayoutView="70" workbookViewId="0">
      <selection activeCell="H14" sqref="H14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2" t="s" ph="1">
        <v>161</v>
      </c>
      <c r="C1" s="182" ph="1"/>
      <c r="D1" s="182" ph="1"/>
      <c r="E1" s="182" ph="1"/>
      <c r="F1" s="182" ph="1"/>
      <c r="G1" s="182" ph="1"/>
      <c r="H1" s="182" ph="1"/>
      <c r="I1" s="182" ph="1"/>
      <c r="J1" s="182" ph="1"/>
      <c r="K1" s="182" ph="1"/>
      <c r="L1" s="182" ph="1"/>
      <c r="M1" s="182" ph="1"/>
      <c r="N1" s="182" ph="1"/>
      <c r="O1" s="182" ph="1"/>
      <c r="P1" s="182" ph="1"/>
      <c r="Q1" s="182" ph="1"/>
      <c r="R1" s="182" ph="1"/>
      <c r="S1" s="182" ph="1"/>
      <c r="T1" s="182" ph="1"/>
      <c r="U1" s="182" ph="1"/>
      <c r="V1" s="182" ph="1"/>
      <c r="W1" s="182" ph="1"/>
      <c r="X1" s="182" ph="1"/>
      <c r="Y1" s="182" ph="1"/>
      <c r="Z1" s="182" ph="1"/>
      <c r="AA1" s="182" ph="1"/>
      <c r="AB1" s="182" ph="1"/>
      <c r="AC1" s="182" ph="1"/>
      <c r="AD1" s="182" ph="1"/>
      <c r="AE1" s="182" ph="1"/>
    </row>
    <row r="2" spans="1:99" s="66" customFormat="1" ht="24" customHeight="1" ph="1">
      <c r="B2" s="183" t="s" ph="1">
        <v>82</v>
      </c>
      <c r="C2" s="183" ph="1"/>
      <c r="D2" s="183" ph="1"/>
      <c r="E2" s="183" ph="1"/>
      <c r="F2" s="183" ph="1"/>
      <c r="G2" s="183" ph="1"/>
      <c r="H2" s="183" ph="1"/>
      <c r="I2" s="183" ph="1"/>
      <c r="J2" s="183" ph="1"/>
      <c r="K2" s="183" ph="1"/>
      <c r="L2" s="183" ph="1"/>
      <c r="M2" s="183" ph="1"/>
      <c r="N2" s="183" ph="1"/>
      <c r="O2" s="183" ph="1"/>
      <c r="P2" s="183" ph="1"/>
      <c r="Q2" s="183" ph="1"/>
      <c r="R2" s="183" ph="1"/>
      <c r="S2" s="183" ph="1"/>
      <c r="T2" s="183" ph="1"/>
      <c r="U2" s="183" ph="1"/>
      <c r="V2" s="183" ph="1"/>
      <c r="W2" s="183" ph="1"/>
      <c r="X2" s="183" ph="1"/>
      <c r="Y2" s="183" ph="1"/>
      <c r="Z2" s="183" ph="1"/>
      <c r="AA2" s="183" ph="1"/>
      <c r="AB2" s="183" ph="1"/>
      <c r="AC2" s="183" ph="1"/>
      <c r="AD2" s="183" ph="1"/>
      <c r="AE2" s="183" ph="1"/>
    </row>
    <row r="3" spans="1:99" ht="21" customHeight="1" ph="1">
      <c r="B3" s="184" ph="1">
        <v>46120</v>
      </c>
      <c r="C3" s="184"/>
      <c r="D3" s="184"/>
      <c r="E3" s="184"/>
      <c r="F3" s="184"/>
      <c r="G3" s="184"/>
      <c r="H3" s="184"/>
      <c r="I3" s="184"/>
      <c r="J3" s="184"/>
      <c r="K3" s="184"/>
      <c r="L3" s="184"/>
      <c r="M3" s="184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</row>
    <row r="4" spans="1:99" s="69" customFormat="1" ph="1">
      <c r="A4" s="65" ph="1"/>
      <c r="B4" s="185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5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1" ph="1">
        <v>0.33333333333333331</v>
      </c>
      <c r="C6" s="151" t="s" ph="1">
        <v>177</v>
      </c>
      <c r="D6" s="71">
        <v>3618</v>
      </c>
      <c r="E6" s="71">
        <v>6943</v>
      </c>
      <c r="F6" s="71">
        <v>6321</v>
      </c>
      <c r="G6" s="71">
        <v>9223</v>
      </c>
      <c r="H6" s="71">
        <v>6489</v>
      </c>
      <c r="I6" s="71">
        <v>10.199999999999999</v>
      </c>
      <c r="J6" s="71">
        <v>6.53</v>
      </c>
      <c r="K6" s="71">
        <v>6.87</v>
      </c>
      <c r="L6" s="71">
        <v>16.64</v>
      </c>
      <c r="M6" s="71">
        <v>1095</v>
      </c>
      <c r="N6" s="71">
        <v>131</v>
      </c>
      <c r="O6" s="71">
        <v>1680</v>
      </c>
      <c r="P6" s="71">
        <v>0</v>
      </c>
      <c r="Q6" s="71">
        <v>0</v>
      </c>
      <c r="R6" s="71">
        <v>95</v>
      </c>
      <c r="S6" s="71">
        <v>6499</v>
      </c>
      <c r="T6" s="71">
        <v>7125</v>
      </c>
      <c r="U6" s="71">
        <v>5788</v>
      </c>
      <c r="V6" s="71">
        <v>0</v>
      </c>
      <c r="W6" s="71">
        <v>0</v>
      </c>
      <c r="X6" s="71">
        <v>0</v>
      </c>
      <c r="Y6" s="71">
        <v>0</v>
      </c>
      <c r="Z6" s="71">
        <v>4882</v>
      </c>
      <c r="AA6" s="71">
        <v>4202</v>
      </c>
      <c r="AB6" s="71">
        <v>2270</v>
      </c>
      <c r="AC6" s="71">
        <v>7480</v>
      </c>
      <c r="AD6" s="71">
        <v>3775</v>
      </c>
      <c r="AE6" s="71">
        <v>3753</v>
      </c>
    </row>
    <row r="7" spans="1:99" s="72" customFormat="1" ht="22.2" ph="1">
      <c r="B7" s="181" ph="1"/>
      <c r="C7" s="68" t="s" ph="1">
        <v>178</v>
      </c>
      <c r="D7" s="73" ph="1">
        <f>D6*33.183*LOOKUP(D8,密度!$A$2:$A$50,密度!$Q$2:$Q$50)</f>
        <v>113944.03825446</v>
      </c>
      <c r="E7" s="73" ph="1">
        <f>E6*51.53*LOOKUP(E8,密度!$A$2:$A$50,密度!$B$2:$B$50)</f>
        <v>280207.64912799996</v>
      </c>
      <c r="F7" s="73" ph="1">
        <f>F6*33.183*LOOKUP(F8,密度!$A$2:$A$50,密度!$C$2:$C$50)</f>
        <v>233220.73924170001</v>
      </c>
      <c r="G7" s="73" ph="1">
        <f xml:space="preserve"> (G6+2)*51.53*LOOKUP(G8,密度!$A$2:$A$50,密度!$B$2:$B$50)</f>
        <v>371877.45277500001</v>
      </c>
      <c r="H7" s="73" ph="1">
        <f>(H6)*51.53*LOOKUP(H8,密度!$A$2:$A$50,密度!$B$2:$B$50)</f>
        <v>262954.99288799998</v>
      </c>
      <c r="I7" s="73" ph="1">
        <f>I6*290.8*1.0267</f>
        <v>3045.3564719999995</v>
      </c>
      <c r="J7" s="73" ph="1">
        <f>J6*290.8*0.7892</f>
        <v>1498.6308208000003</v>
      </c>
      <c r="K7" s="73" ph="1">
        <f>K6*290.8*1.1126</f>
        <v>2222.7478295999999</v>
      </c>
      <c r="L7" s="73" ph="1">
        <f>L6*290.8*0.777</f>
        <v>3759.8346240000005</v>
      </c>
      <c r="M7" s="73" ph="1">
        <f>M6*33.183*LOOKUP(M8,密度!$A$2:$A$50,密度!$D$2:$D$50)</f>
        <v>37443.6142425</v>
      </c>
      <c r="N7" s="73" ph="1">
        <f>N6*33.183*LOOKUP(N8,密度!$A$2:$A$50,密度!$E$2:$E$50)</f>
        <v>3420.1983564000002</v>
      </c>
      <c r="O7" s="73" ph="1">
        <f>O6*20.428*LOOKUP(O8,密度!$A$2:$A$50,密度!$C$2:$C$50)</f>
        <v>38028.928224000003</v>
      </c>
      <c r="P7" s="73" ph="1">
        <f>P6*51.53*LOOKUP(P8,密度!$A$2:$A$50,密度!$B$2:$B$50)</f>
        <v>0</v>
      </c>
      <c r="Q7" s="73" ph="1">
        <f>Q6*1.5*1.5*3.1416*LOOKUP(W8,密度!$A$2:$A$50,密度!$L$2:$L$50)</f>
        <v>0</v>
      </c>
      <c r="R7" s="73" ph="1">
        <f>R6*1.5*1.5*3.1416*LOOKUP(R8,密度!$A$2:$A$50,密度!$L$2:$L$50)</f>
        <v>627.19687799999997</v>
      </c>
      <c r="S7" s="73" ph="1">
        <f>S6*1.5*1.5*3.1416*LOOKUP(S8,密度!$A$2:$A$50,密度!$L$2:$L$50)</f>
        <v>43366.256841599999</v>
      </c>
      <c r="T7" s="73" ph="1">
        <f>T6*1.5*1.5*3.1416*LOOKUP(T8,密度!$A$2:$A$50,密度!$L$2:$L$50)</f>
        <v>47543.403599999998</v>
      </c>
      <c r="U7" s="73" ph="1">
        <f>U6*1.5*1.5*3.1416*LOOKUP(U8,密度!$A$2:$A$50,密度!$L$2:$L$50)</f>
        <v>38417.360335199999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152927.43926399999</v>
      </c>
      <c r="AA7" s="73" ph="1">
        <f>AA6*33.183*LOOKUP(AA8,密度!$A$2:$A$50,密度!$D$2:$D$50)</f>
        <v>143687.73246299999</v>
      </c>
      <c r="AB7" s="73" ph="1">
        <f>AB6*20.428*LOOKUP(AB8,密度!$A$2:$A$50,密度!$D$2:$D$50)</f>
        <v>48105.856344000007</v>
      </c>
      <c r="AC7" s="73" ph="1">
        <f>AC6*51.53*LOOKUP(AC8,密度!$A$2:$A$50,密度!$Q$2:$Q$50)</f>
        <v>366646.27661200002</v>
      </c>
      <c r="AD7" s="73" ph="1">
        <f>AD6*20.428*LOOKUP(AD8,密度!$A$2:$A$50,密度!$V$2:$V$50)</f>
        <v>74339.534799999994</v>
      </c>
      <c r="AE7" s="73" ph="1">
        <f>AE6*20.428</f>
        <v>76666.284</v>
      </c>
    </row>
    <row r="8" spans="1:99" ph="1">
      <c r="B8" s="181" ph="1"/>
      <c r="C8" s="68" t="s" ph="1">
        <v>179</v>
      </c>
      <c r="D8" s="74">
        <v>22</v>
      </c>
      <c r="E8" s="74">
        <v>21</v>
      </c>
      <c r="F8" s="74">
        <v>21</v>
      </c>
      <c r="G8" s="74">
        <v>22</v>
      </c>
      <c r="H8" s="74">
        <v>17</v>
      </c>
      <c r="I8" s="74">
        <v>25</v>
      </c>
      <c r="J8" s="74">
        <v>25</v>
      </c>
      <c r="K8" s="74">
        <v>25</v>
      </c>
      <c r="L8" s="74">
        <v>25</v>
      </c>
      <c r="M8" s="74">
        <v>21</v>
      </c>
      <c r="N8" s="74">
        <v>22</v>
      </c>
      <c r="O8" s="74">
        <v>26</v>
      </c>
      <c r="P8" s="74">
        <v>19</v>
      </c>
      <c r="Q8" s="74">
        <v>22</v>
      </c>
      <c r="R8" s="74">
        <v>28</v>
      </c>
      <c r="S8" s="74">
        <v>18</v>
      </c>
      <c r="T8" s="74">
        <v>18</v>
      </c>
      <c r="U8" s="74">
        <v>23</v>
      </c>
      <c r="V8" s="74">
        <v>27</v>
      </c>
      <c r="W8" s="74">
        <v>21</v>
      </c>
      <c r="X8" s="74">
        <v>12</v>
      </c>
      <c r="Y8" s="74">
        <v>21</v>
      </c>
      <c r="Z8" s="74">
        <v>18</v>
      </c>
      <c r="AA8" s="74">
        <v>21</v>
      </c>
      <c r="AB8" s="74">
        <v>13</v>
      </c>
      <c r="AC8" s="74">
        <v>19</v>
      </c>
      <c r="AD8" s="74">
        <v>20</v>
      </c>
      <c r="AE8" s="74">
        <v>22</v>
      </c>
    </row>
    <row r="9" spans="1:99" ht="26.4" ph="1">
      <c r="B9" s="181" ph="1">
        <v>0.66666666666666663</v>
      </c>
      <c r="C9" s="151" t="s" ph="1">
        <v>180</v>
      </c>
      <c r="D9" s="71">
        <v>3618</v>
      </c>
      <c r="E9" s="71">
        <v>6943</v>
      </c>
      <c r="F9" s="71">
        <v>6324</v>
      </c>
      <c r="G9" s="71">
        <v>9229</v>
      </c>
      <c r="H9" s="71">
        <v>6491</v>
      </c>
      <c r="I9" s="71">
        <v>10.15</v>
      </c>
      <c r="J9" s="71">
        <v>6.53</v>
      </c>
      <c r="K9" s="71">
        <v>7.77</v>
      </c>
      <c r="L9" s="71">
        <v>16.52</v>
      </c>
      <c r="M9" s="71">
        <v>1094</v>
      </c>
      <c r="N9" s="71">
        <v>132</v>
      </c>
      <c r="O9" s="71">
        <v>1677</v>
      </c>
      <c r="P9" s="71">
        <v>0</v>
      </c>
      <c r="Q9" s="71">
        <v>0</v>
      </c>
      <c r="R9" s="71">
        <v>0</v>
      </c>
      <c r="S9" s="71">
        <v>2069</v>
      </c>
      <c r="T9" s="71">
        <v>7130</v>
      </c>
      <c r="U9" s="71">
        <v>7011</v>
      </c>
      <c r="V9" s="71">
        <v>1357</v>
      </c>
      <c r="W9" s="71">
        <v>2793</v>
      </c>
      <c r="X9" s="71">
        <v>3830</v>
      </c>
      <c r="Y9" s="71">
        <v>0</v>
      </c>
      <c r="Z9" s="71">
        <v>5865</v>
      </c>
      <c r="AA9" s="71">
        <v>4207</v>
      </c>
      <c r="AB9" s="71">
        <v>2111</v>
      </c>
      <c r="AC9" s="71">
        <v>7480</v>
      </c>
      <c r="AD9" s="71">
        <v>2812</v>
      </c>
      <c r="AE9" s="71">
        <v>3338</v>
      </c>
    </row>
    <row r="10" spans="1:99" s="72" customFormat="1" ht="22.2" ph="1">
      <c r="B10" s="181" ph="1"/>
      <c r="C10" s="151" t="s" ph="1">
        <v>178</v>
      </c>
      <c r="D10" s="73" ph="1">
        <f>D9*33.183*LOOKUP(D11,密度!$A$2:$A$50,密度!$Q$2:$Q$50)</f>
        <v>113837.1883308</v>
      </c>
      <c r="E10" s="73" ph="1">
        <f>E9*51.53*LOOKUP(E11,密度!$A$2:$A$50,密度!$B$2:$B$50)</f>
        <v>278919.66708399996</v>
      </c>
      <c r="F10" s="73" ph="1">
        <f>F9*33.183*LOOKUP(F11,密度!$A$2:$A$50,密度!$C$2:$C$50)</f>
        <v>233163.54834119999</v>
      </c>
      <c r="G10" s="73" ph="1">
        <f xml:space="preserve"> (G9+2)*51.53*LOOKUP(G11,密度!$A$2:$A$50,密度!$B$2:$B$50)</f>
        <v>370835.00602799997</v>
      </c>
      <c r="H10" s="73" ph="1">
        <f>(H9)*51.53*LOOKUP(H11,密度!$A$2:$A$50,密度!$B$2:$B$50)</f>
        <v>261664.66622899999</v>
      </c>
      <c r="I10" s="73" ph="1">
        <f>I9*290.8*1.0267</f>
        <v>3030.4282540000004</v>
      </c>
      <c r="J10" s="73" ph="1">
        <f>J9*290.8*0.7892</f>
        <v>1498.6308208000003</v>
      </c>
      <c r="K10" s="73" ph="1">
        <f>K9*290.8*1.1126</f>
        <v>2513.9375016000004</v>
      </c>
      <c r="L10" s="73" ph="1">
        <f>L9*290.8*0.777</f>
        <v>3732.7204319999996</v>
      </c>
      <c r="M10" s="73" ph="1">
        <f>M9*33.183*LOOKUP(M11,密度!$A$2:$A$50,密度!$D$2:$D$50)</f>
        <v>37238.798811599998</v>
      </c>
      <c r="N10" s="73" ph="1">
        <f>N9*33.183*LOOKUP(N11,密度!$A$2:$A$50,密度!$E$2:$E$50)</f>
        <v>3425.7200075999999</v>
      </c>
      <c r="O10" s="73" ph="1">
        <f>O9*20.428*LOOKUP(O11,密度!$A$2:$A$50,密度!$C$2:$C$50)</f>
        <v>37885.652360400003</v>
      </c>
      <c r="P10" s="73" ph="1">
        <f>P9*51.53*LOOKUP(P11,密度!$A$2:$A$50,密度!$B$2:$B$50)</f>
        <v>0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13762.0623294</v>
      </c>
      <c r="T10" s="73" ph="1">
        <f>T9*1.5*1.5*3.1416*LOOKUP(T11,密度!$A$2:$A$50,密度!$L$2:$L$50)</f>
        <v>47526.368274</v>
      </c>
      <c r="U10" s="73" ph="1">
        <f>U9*1.5*1.5*3.1416*LOOKUP(U11,密度!$A$2:$A$50,密度!$L$2:$L$50)</f>
        <v>46534.919369399991</v>
      </c>
      <c r="V10" s="73" ph="1">
        <f>V9*1.5*1.5*3.1416*LOOKUP(V11,密度!$A$2:$A$50,密度!$L$2:$L$50)</f>
        <v>8968.6043370000007</v>
      </c>
      <c r="W10" s="73" ph="1">
        <f>W9*1.5*1.5*3.1416*LOOKUP(W11,密度!$A$2:$A$50,密度!$L$2:$L$50)</f>
        <v>18558.043812</v>
      </c>
      <c r="X10" s="73" ph="1">
        <f>X9*1.5*1.5*3.1416*LOOKUP(X11,密度!$A$2:$A$50,密度!$L$2:$L$50)</f>
        <v>25637.882885999999</v>
      </c>
      <c r="Y10" s="73" ph="1">
        <f>Y9*1.5*1.5*3.1416*LOOKUP(Y11,密度!$A$2:$A$50,密度!$L$2:$L$50)</f>
        <v>0</v>
      </c>
      <c r="Z10" s="73" ph="1">
        <f>Z9*33.183*LOOKUP(Z11,密度!$A$2:$A$50,密度!$L$2:$L$50)</f>
        <v>182746.57900500001</v>
      </c>
      <c r="AA10" s="73" ph="1">
        <f>AA9*33.183*LOOKUP(AA11,密度!$A$2:$A$50,密度!$D$2:$D$50)</f>
        <v>143202.58372980001</v>
      </c>
      <c r="AB10" s="73" ph="1">
        <f>AB9*20.428*LOOKUP(AB11,密度!$A$2:$A$50,密度!$D$2:$D$50)</f>
        <v>44658.704884800005</v>
      </c>
      <c r="AC10" s="73" ph="1">
        <f>AC9*51.53*LOOKUP(AC11,密度!$A$2:$A$50,密度!$Q$2:$Q$50)</f>
        <v>365478.38008000003</v>
      </c>
      <c r="AD10" s="73" ph="1">
        <f>AD9*20.428*LOOKUP(AD11,密度!$A$2:$A$50,密度!$V$2:$V$50)</f>
        <v>55191.749388800003</v>
      </c>
      <c r="AE10" s="73" ph="1">
        <f>AE9*20.428</f>
        <v>68188.664000000004</v>
      </c>
    </row>
    <row r="11" spans="1:99" ph="1">
      <c r="A11" s="64" t="s" ph="1">
        <v>162</v>
      </c>
      <c r="B11" s="181" ph="1"/>
      <c r="C11" s="151" t="s" ph="1">
        <v>179</v>
      </c>
      <c r="D11" s="74">
        <v>23</v>
      </c>
      <c r="E11" s="74">
        <v>25</v>
      </c>
      <c r="F11" s="74">
        <v>22</v>
      </c>
      <c r="G11" s="74">
        <v>25</v>
      </c>
      <c r="H11" s="74">
        <v>22</v>
      </c>
      <c r="I11" s="74">
        <v>25</v>
      </c>
      <c r="J11" s="74">
        <v>25</v>
      </c>
      <c r="K11" s="74">
        <v>25</v>
      </c>
      <c r="L11" s="74">
        <v>25</v>
      </c>
      <c r="M11" s="74">
        <v>26</v>
      </c>
      <c r="N11" s="74">
        <v>26</v>
      </c>
      <c r="O11" s="74">
        <v>29</v>
      </c>
      <c r="P11" s="74">
        <v>26</v>
      </c>
      <c r="Q11" s="74">
        <v>29</v>
      </c>
      <c r="R11" s="74">
        <v>32</v>
      </c>
      <c r="S11" s="74">
        <v>21</v>
      </c>
      <c r="T11" s="74">
        <v>19</v>
      </c>
      <c r="U11" s="74">
        <v>23</v>
      </c>
      <c r="V11" s="74">
        <v>27</v>
      </c>
      <c r="W11" s="74">
        <v>22</v>
      </c>
      <c r="X11" s="74">
        <v>15</v>
      </c>
      <c r="Y11" s="74">
        <v>27</v>
      </c>
      <c r="Z11" s="74">
        <v>23</v>
      </c>
      <c r="AA11" s="74">
        <v>26</v>
      </c>
      <c r="AB11" s="74">
        <v>15</v>
      </c>
      <c r="AC11" s="74">
        <v>23</v>
      </c>
      <c r="AD11" s="74">
        <v>23</v>
      </c>
      <c r="AE11" s="74">
        <v>25</v>
      </c>
    </row>
    <row r="12" spans="1:99" ht="9.9" customHeight="1" ph="1"/>
    <row r="13" spans="1:99" s="72" customFormat="1" ht="29.25" customHeight="1" ph="1">
      <c r="B13" s="189" t="s" ph="1">
        <v>37</v>
      </c>
      <c r="C13" s="151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0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639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1" ph="1">
        <v>0.33333333333333331</v>
      </c>
      <c r="C15" s="151" t="s" ph="1">
        <v>177</v>
      </c>
      <c r="D15" s="78">
        <v>27</v>
      </c>
      <c r="E15" s="78">
        <v>2073</v>
      </c>
      <c r="F15" s="78">
        <v>1892</v>
      </c>
      <c r="G15" s="78">
        <v>4843</v>
      </c>
      <c r="H15" s="78">
        <v>723</v>
      </c>
      <c r="I15" s="78">
        <v>5465</v>
      </c>
      <c r="J15" s="78">
        <v>1825</v>
      </c>
      <c r="K15" s="78">
        <v>3586</v>
      </c>
      <c r="L15" s="78">
        <v>6976</v>
      </c>
      <c r="M15" s="78">
        <v>6560</v>
      </c>
      <c r="N15" s="78">
        <v>986</v>
      </c>
      <c r="O15" s="78">
        <v>4989</v>
      </c>
      <c r="P15" s="78">
        <v>1102</v>
      </c>
      <c r="Q15" s="78">
        <v>1277</v>
      </c>
      <c r="R15" s="78">
        <v>7389</v>
      </c>
      <c r="S15" s="78">
        <v>0</v>
      </c>
      <c r="T15" s="78">
        <v>765</v>
      </c>
      <c r="U15" s="78">
        <v>5747</v>
      </c>
      <c r="V15" s="78">
        <v>3703</v>
      </c>
      <c r="W15" s="71">
        <v>-171</v>
      </c>
      <c r="X15" s="78">
        <v>-103</v>
      </c>
      <c r="Y15" s="106">
        <v>-9902</v>
      </c>
      <c r="Z15" s="78">
        <v>0</v>
      </c>
      <c r="AA15" s="78">
        <v>5583</v>
      </c>
      <c r="AB15" s="78" ph="1">
        <v>7155</v>
      </c>
      <c r="AC15" s="78" ph="1">
        <v>2499</v>
      </c>
      <c r="AD15" s="78">
        <v>48.48</v>
      </c>
      <c r="AE15" s="78">
        <v>5.27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2" ph="1"/>
      <c r="C16" s="151" t="s" ph="1">
        <v>178</v>
      </c>
      <c r="D16" s="73" ph="1">
        <f>D15*7.0686*LOOKUP(D17,密度!$A$2:$A$50,密度!$L$2:$L$50)</f>
        <v>179.5919202</v>
      </c>
      <c r="E16" s="73" ph="1">
        <f>E15*7.0686*LOOKUP(E17,密度!$A$2:$A$50,密度!$L$2:$L$50)</f>
        <v>13788.668539799999</v>
      </c>
      <c r="F16" s="73" ph="1">
        <f>F15*9.0746*LOOKUP(F17,密度!$A$2:$A$50,密度!$L$2:$L$50)</f>
        <v>16121.825464799998</v>
      </c>
      <c r="G16" s="73" ph="1">
        <f>G15*9.0746*LOOKUP(G17,密度!$A$2:$A$50,密度!$B$2:$B$50)</f>
        <v>34262.085168879996</v>
      </c>
      <c r="H16" s="73" ph="1">
        <f>H15*9.0746*LOOKUP(H17,密度!$A$2:$A$50,密度!$L$2:$L$50)</f>
        <v>6206.6452668000002</v>
      </c>
      <c r="I16" s="73" ph="1">
        <f>I15*9.0746*LOOKUP(I17,密度!$A$2:$A$50,密度!$U$2:$U$50)</f>
        <v>50981.284291999997</v>
      </c>
      <c r="J16" s="73" ph="1">
        <f>J15*9.0746*LOOKUP(J17,密度!$A$2:$A$50,密度!$L$2:$L$50)</f>
        <v>15567.4763</v>
      </c>
      <c r="K16" s="73" ph="1">
        <f>K15*9.0746*LOOKUP(K17,密度!$A$2:$A$50,密度!$C$2:$C$50)</f>
        <v>36182.911195640008</v>
      </c>
      <c r="L16" s="73" ph="1">
        <f>L15*9.0746*LOOKUP(L17,密度!$A$2:$A$50,密度!$E$2:$E$50)</f>
        <v>49883.874764799999</v>
      </c>
      <c r="M16" s="73" ph="1">
        <f>M15*9.0746*LOOKUP(M17,密度!$A$2:$A$50,密度!$M$2:$M$50)</f>
        <v>52266.792128000001</v>
      </c>
      <c r="N16" s="73" ph="1">
        <f>N15*9.0746*LOOKUP(N17,密度!$A$2:$A$50,密度!$M$2:$M$50)</f>
        <v>7876.5331946799997</v>
      </c>
      <c r="O16" s="73" ph="1">
        <f>O15*9.0746*LOOKUP(O17,密度!$A$2:$A$50,密度!$G$2:$G$50)</f>
        <v>43634.290305720002</v>
      </c>
      <c r="P16" s="73" ph="1">
        <f ca="1">P15*9.0746*LOOKUP(P17,密度!$A$2:$A$51,密度!$Q$2:$Q$50)</f>
        <v>9497.0986751480013</v>
      </c>
      <c r="Q16" s="73" ph="1">
        <f>Q15*9.0746*LOOKUP(Q17,密度!$A$2:$A$50,密度!$Q$2:$Q$50)</f>
        <v>11005.258628097999</v>
      </c>
      <c r="R16" s="73" ph="1">
        <f>MAX(R15*9.0746*LOOKUP(R17,密度!$A$2:$A$50,密度!$B$2:$B$50),0)</f>
        <v>52394.604239159999</v>
      </c>
      <c r="S16" s="73" ph="1">
        <f>S15*9.0746*LOOKUP(S17,密度!$A$2:$A$50,密度!$Q$2:$Q$50)</f>
        <v>0</v>
      </c>
      <c r="T16" s="73" ph="1">
        <f>T15*9.0746*LOOKUP(T17,密度!$A$2:$A$50,密度!$O$2:$O$50)</f>
        <v>6456.124170000001</v>
      </c>
      <c r="U16" s="73" ph="1">
        <f>U15*9.0746*LOOKUP(U17,密度!$A$2:$A$50,密度!$H$2:$H$50)</f>
        <v>47963.942586140001</v>
      </c>
      <c r="V16" s="73" ph="1">
        <f>MAX(5600*LOOKUP(V17,密度!$A$2:$A$50,密度!$Q$2:$Q$50)+V15*9.0476*LOOKUP(V17,密度!$A$2:$A$50,密度!$Q$2:$Q$50),0)</f>
        <v>37112.515690852</v>
      </c>
      <c r="W16" s="73" ph="1">
        <f>MAX(5600*LOOKUP(W17,密度!$A$2:$A$50,密度!$Q$2:$Q$50)+W15*9.0476*LOOKUP(W17,密度!$A$2:$A$50,密度!$Q$2:$Q$50),0)</f>
        <v>3846.5292770359993</v>
      </c>
      <c r="X16" s="73" ph="1">
        <f>MAX(5600*LOOKUP(X17,密度!$A$2:$A$50,密度!$I$2:$I$50)+X15*9.0476*LOOKUP(X17,密度!$A$2:$A$50,密度!$I$2:$I$50),0)</f>
        <v>4876.2943351200001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39679.646777760005</v>
      </c>
      <c r="AB16" s="73" ph="1">
        <f>AB15*9.0746*LOOKUP(AB17,密度!$A$2:$A$50,密度!$L$2:$L$50)</f>
        <v>61033.037219999998</v>
      </c>
      <c r="AC16" s="73" ph="1">
        <f>AC15*9.0746*LOOKUP(AC17,密度!$A$2:$A$50,密度!$L$2:$L$50)</f>
        <v>21362.134726799999</v>
      </c>
      <c r="AD16" s="73" ph="1">
        <f>AD15*268.68*LOOKUP(AD17,密度!$A$2:$A$50,密度!B2:B50)+IF(AD15&lt;=0,0,1566*LOOKUP(AD17,密度!$A$2:$A$50,密度!B2:B50))</f>
        <v>11375.616349439999</v>
      </c>
      <c r="AE16" s="73" ph="1">
        <f>AE15*268.68*LOOKUP(AE17,密度!$A$2:$A$50,密度!B2:B50)+IF(AE15&lt;=0,0,1566*LOOKUP(AE17,密度!$A$2:$A$50,密度!B2:B50))</f>
        <v>2324.72323056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3" ph="1"/>
      <c r="C17" s="79" t="s" ph="1">
        <v>179</v>
      </c>
      <c r="D17" s="74">
        <v>21</v>
      </c>
      <c r="E17" s="74">
        <v>21</v>
      </c>
      <c r="F17" s="74">
        <v>23</v>
      </c>
      <c r="G17" s="74">
        <v>25</v>
      </c>
      <c r="H17" s="74">
        <v>16</v>
      </c>
      <c r="I17" s="74">
        <v>20</v>
      </c>
      <c r="J17" s="74">
        <v>22</v>
      </c>
      <c r="K17" s="74">
        <v>21</v>
      </c>
      <c r="L17" s="74">
        <v>21</v>
      </c>
      <c r="M17" s="74">
        <v>22</v>
      </c>
      <c r="N17" s="74">
        <v>20</v>
      </c>
      <c r="O17" s="74">
        <v>22</v>
      </c>
      <c r="P17" s="74">
        <v>21</v>
      </c>
      <c r="Q17" s="74">
        <v>21</v>
      </c>
      <c r="R17" s="74">
        <v>23</v>
      </c>
      <c r="S17" s="74">
        <v>21</v>
      </c>
      <c r="T17" s="74">
        <v>20</v>
      </c>
      <c r="U17" s="74">
        <v>20</v>
      </c>
      <c r="V17" s="74">
        <v>22</v>
      </c>
      <c r="W17" s="74">
        <v>22</v>
      </c>
      <c r="X17" s="74">
        <v>23</v>
      </c>
      <c r="Y17" s="108">
        <v>23</v>
      </c>
      <c r="Z17" s="74">
        <v>21</v>
      </c>
      <c r="AA17" s="74">
        <v>21</v>
      </c>
      <c r="AB17" s="74">
        <v>22</v>
      </c>
      <c r="AC17" s="74">
        <v>20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1" ph="1">
        <v>0.66666666666666663</v>
      </c>
      <c r="C18" s="79" t="s" ph="1">
        <v>180</v>
      </c>
      <c r="D18" s="71">
        <v>26</v>
      </c>
      <c r="E18" s="71">
        <v>4000</v>
      </c>
      <c r="F18" s="71">
        <v>1891</v>
      </c>
      <c r="G18" s="71">
        <v>4900</v>
      </c>
      <c r="H18" s="71">
        <v>1900</v>
      </c>
      <c r="I18" s="71">
        <v>5468</v>
      </c>
      <c r="J18" s="71">
        <v>1850</v>
      </c>
      <c r="K18" s="71">
        <v>3586</v>
      </c>
      <c r="L18" s="71">
        <v>6985</v>
      </c>
      <c r="M18" s="71">
        <v>644</v>
      </c>
      <c r="N18" s="71">
        <v>2416</v>
      </c>
      <c r="O18" s="71">
        <v>4992</v>
      </c>
      <c r="P18" s="71">
        <v>1100</v>
      </c>
      <c r="Q18" s="71">
        <v>1281</v>
      </c>
      <c r="R18" s="71">
        <v>7396</v>
      </c>
      <c r="S18" s="71">
        <v>0</v>
      </c>
      <c r="T18" s="71">
        <v>6508</v>
      </c>
      <c r="U18" s="71">
        <v>1717</v>
      </c>
      <c r="V18" s="71">
        <v>3702</v>
      </c>
      <c r="W18" s="71">
        <v>-173</v>
      </c>
      <c r="X18" s="71">
        <v>-106</v>
      </c>
      <c r="Y18" s="109">
        <v>-9907</v>
      </c>
      <c r="Z18" s="71">
        <v>0</v>
      </c>
      <c r="AA18" s="71">
        <v>4668</v>
      </c>
      <c r="AB18" s="71">
        <v>4848</v>
      </c>
      <c r="AC18" s="71">
        <v>2499</v>
      </c>
      <c r="AD18" s="71">
        <v>84.41</v>
      </c>
      <c r="AE18" s="71">
        <v>21.36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2" ph="1"/>
      <c r="C19" s="151" t="s" ph="1">
        <v>178</v>
      </c>
      <c r="D19" s="73" ph="1">
        <f>D18*7.0686*LOOKUP(D20,密度!$A$2:$A$50,密度!$L$2:$L$50)</f>
        <v>171.28631520000002</v>
      </c>
      <c r="E19" s="73" ph="1">
        <f>E18*7.0686*LOOKUP(E20,密度!$A$2:$A$50,密度!$L$2:$L$50)</f>
        <v>26351.740800000003</v>
      </c>
      <c r="F19" s="73" ph="1">
        <f>F18*9.0746*LOOKUP(F20,密度!$A$2:$A$50,密度!$L$2:$L$50)</f>
        <v>16010.344003799999</v>
      </c>
      <c r="G19" s="73" ph="1">
        <f>G18*9.0746*LOOKUP(G20,密度!$A$2:$A$50,密度!$B$2:$B$50)</f>
        <v>34625.315997999998</v>
      </c>
      <c r="H19" s="73" ph="1">
        <f>H18*9.0746*LOOKUP(H20,密度!$A$2:$A$50,密度!$L$2:$L$50)</f>
        <v>16086.543420000002</v>
      </c>
      <c r="I19" s="73" ph="1">
        <f>I18*9.0746*LOOKUP(I20,密度!$A$2:$A$50,密度!$U$2:$U$50)</f>
        <v>50661.930968799992</v>
      </c>
      <c r="J19" s="73" ph="1">
        <f>J18*9.0746*LOOKUP(J20,密度!$A$2:$A$50,密度!$L$2:$L$50)</f>
        <v>15713.577360000003</v>
      </c>
      <c r="K19" s="73" ph="1">
        <f>K18*9.0746*LOOKUP(K20,密度!$A$2:$A$50,密度!$C$2:$C$50)</f>
        <v>36085.286648840003</v>
      </c>
      <c r="L19" s="73" ph="1">
        <f>L18*9.0746*LOOKUP(L20,密度!$A$2:$A$50,密度!$E$2:$E$50)</f>
        <v>49720.041936399997</v>
      </c>
      <c r="M19" s="73" ph="1">
        <f>M18*9.0746*LOOKUP(M20,密度!$A$2:$A$50,密度!$M$2:$M$50)</f>
        <v>5090.1609304000003</v>
      </c>
      <c r="N19" s="73" ph="1">
        <f>N18*9.0746*LOOKUP(N20,密度!$A$2:$A$50,密度!$M$2:$M$50)</f>
        <v>19273.593757759998</v>
      </c>
      <c r="O19" s="73" ph="1">
        <f>O18*9.0746*LOOKUP(O20,密度!$A$2:$A$50,密度!$G$2:$G$50)</f>
        <v>43443.086668800002</v>
      </c>
      <c r="P19" s="73" ph="1">
        <f ca="1">P18*9.0746*LOOKUP(P20,密度!$A$2:$A$51,密度!$Q$2:$Q$50)</f>
        <v>9408.8901147999986</v>
      </c>
      <c r="Q19" s="73" ph="1">
        <f>Q18*9.0746*LOOKUP(Q20,密度!$A$2:$A$50,密度!$Q$2:$Q$50)</f>
        <v>10972.773375018001</v>
      </c>
      <c r="R19" s="73" ph="1">
        <f>MAX(R18*9.0746*LOOKUP(R20,密度!$A$2:$A$50,密度!$B$2:$B$50),0)</f>
        <v>52263.027983920001</v>
      </c>
      <c r="S19" s="73" ph="1">
        <f>S18*9.0746*LOOKUP(S20,密度!$A$2:$A$50,密度!$Q$2:$Q$50)</f>
        <v>0</v>
      </c>
      <c r="T19" s="73" ph="1">
        <f>T18*9.0746*LOOKUP(T20,密度!$A$2:$A$50,密度!$O$2:$O$50)</f>
        <v>54923.472024000002</v>
      </c>
      <c r="U19" s="73" ph="1">
        <f>U18*9.0746*LOOKUP(U20,密度!$A$2:$A$50,密度!$H$2:$H$50)</f>
        <v>14283.18355294</v>
      </c>
      <c r="V19" s="73" ph="1">
        <f>MAX(5600*LOOKUP(V20,密度!$A$2:$A$50,密度!$Q$2:$Q$50)+V18*9.0476*LOOKUP(V20,密度!$A$2:$A$50,密度!$Q$2:$Q$50),0)</f>
        <v>36956.543512864002</v>
      </c>
      <c r="W19" s="73" ph="1">
        <f>MAX(5600*LOOKUP(W20,密度!$A$2:$A$50,密度!$Q$2:$Q$50)+W18*9.0476*LOOKUP(W20,密度!$A$2:$A$50,密度!$Q$2:$Q$50),0)</f>
        <v>3811.3199032240004</v>
      </c>
      <c r="X19" s="73" ph="1">
        <f>MAX(5600*LOOKUP(X20,密度!$A$2:$A$50,密度!$I$2:$I$50)+X18*9.0476*LOOKUP(X20,密度!$A$2:$A$50,密度!$I$2:$I$50),0)</f>
        <v>4827.0566714400002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33100.28590992</v>
      </c>
      <c r="AB19" s="73" ph="1">
        <f>AB18*9.0746*LOOKUP(AB20,密度!$A$2:$A$50,密度!$L$2:$L$50)</f>
        <v>41266.053830399993</v>
      </c>
      <c r="AC19" s="73" ph="1">
        <f>AC18*9.0746*LOOKUP(AC20,密度!$A$2:$A$50,密度!$L$2:$L$50)</f>
        <v>21271.425025199998</v>
      </c>
      <c r="AD19" s="73" ph="1">
        <f>AD18*268.68*LOOKUP(AD20,密度!$A$2:$A$50,密度!B5:B53)+IF(AD18&lt;=0,0,1566*LOOKUP(AD20,密度!$A$2:$A$50,密度!B5:B53))</f>
        <v>18838.581627600001</v>
      </c>
      <c r="AE19" s="73" ph="1">
        <f>AE18*268.68*LOOKUP(AE20,密度!$A$2:$A$50,密度!B5:B53)+IF(AE18&lt;=0,0,1566*LOOKUP(AE20,密度!$A$2:$A$50,密度!B5:B53))</f>
        <v>5675.9887295999997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2" ph="1"/>
      <c r="C20" s="80" t="s" ph="1">
        <v>179</v>
      </c>
      <c r="D20" s="81">
        <v>30</v>
      </c>
      <c r="E20" s="81">
        <v>30</v>
      </c>
      <c r="F20" s="81">
        <v>29</v>
      </c>
      <c r="G20" s="81">
        <v>26</v>
      </c>
      <c r="H20" s="81">
        <v>29</v>
      </c>
      <c r="I20" s="81">
        <v>29</v>
      </c>
      <c r="J20" s="81">
        <v>26</v>
      </c>
      <c r="K20" s="81">
        <v>25</v>
      </c>
      <c r="L20" s="81">
        <v>24</v>
      </c>
      <c r="M20" s="81">
        <v>29</v>
      </c>
      <c r="N20" s="81">
        <v>21</v>
      </c>
      <c r="O20" s="81">
        <v>26</v>
      </c>
      <c r="P20" s="81">
        <v>31</v>
      </c>
      <c r="Q20" s="81">
        <v>29</v>
      </c>
      <c r="R20" s="81">
        <v>26</v>
      </c>
      <c r="S20" s="81">
        <v>29</v>
      </c>
      <c r="T20" s="81">
        <v>23</v>
      </c>
      <c r="U20" s="81">
        <v>23</v>
      </c>
      <c r="V20" s="81">
        <v>27</v>
      </c>
      <c r="W20" s="81">
        <v>28</v>
      </c>
      <c r="X20" s="81">
        <v>27</v>
      </c>
      <c r="Y20" s="110">
        <v>27</v>
      </c>
      <c r="Z20" s="81">
        <v>28</v>
      </c>
      <c r="AA20" s="81">
        <v>23</v>
      </c>
      <c r="AB20" s="81">
        <v>24</v>
      </c>
      <c r="AC20" s="81">
        <v>24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0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69" t="s" ph="1">
        <v>69</v>
      </c>
      <c r="AA22" s="170"/>
      <c r="AB22" s="170"/>
      <c r="AC22" s="170"/>
      <c r="AD22" s="170"/>
      <c r="AE22" s="17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5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72" t="s" ph="1">
        <v>637</v>
      </c>
      <c r="AA23" s="173"/>
      <c r="AB23" s="173"/>
      <c r="AC23" s="173"/>
      <c r="AD23" s="173"/>
      <c r="AE23" s="17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1" ph="1">
        <v>0.33333333333333331</v>
      </c>
      <c r="C24" s="151" t="s" ph="1">
        <v>177</v>
      </c>
      <c r="D24" s="71">
        <v>55.6</v>
      </c>
      <c r="E24" s="71">
        <v>4.32</v>
      </c>
      <c r="F24" s="71">
        <v>2964</v>
      </c>
      <c r="G24" s="71">
        <v>3893</v>
      </c>
      <c r="H24" s="71">
        <v>3722</v>
      </c>
      <c r="I24" s="71">
        <v>0</v>
      </c>
      <c r="J24" s="71">
        <v>837</v>
      </c>
      <c r="K24" s="71">
        <v>441</v>
      </c>
      <c r="L24" s="71">
        <v>469</v>
      </c>
      <c r="M24" s="71">
        <v>2554</v>
      </c>
      <c r="N24" s="71">
        <v>2635</v>
      </c>
      <c r="O24" s="71">
        <v>5722</v>
      </c>
      <c r="P24" s="71">
        <v>334</v>
      </c>
      <c r="Q24" s="90">
        <v>3796</v>
      </c>
      <c r="R24" s="71">
        <v>1760</v>
      </c>
      <c r="S24" s="71">
        <v>4325</v>
      </c>
      <c r="T24" s="71">
        <v>1272</v>
      </c>
      <c r="U24" s="71">
        <v>3905</v>
      </c>
      <c r="V24" s="71">
        <v>1406</v>
      </c>
      <c r="W24" s="71">
        <v>11189</v>
      </c>
      <c r="X24" s="71">
        <v>5693</v>
      </c>
      <c r="Y24" s="71">
        <v>8135</v>
      </c>
      <c r="Z24" s="175"/>
      <c r="AA24" s="176"/>
      <c r="AB24" s="176"/>
      <c r="AC24" s="176"/>
      <c r="AD24" s="176"/>
      <c r="AE24" s="17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1" ph="1"/>
      <c r="C25" s="68" t="s" ph="1">
        <v>178</v>
      </c>
      <c r="D25" s="91" ph="1">
        <f>D24*268.68*LOOKUP(D26,密度!$A$2:$A$50,密度!$Q$2:$Q$50)+IF(D24&lt;=0,0,1566*LOOKUP(D26,密度!$A$2:$A$50,密度!$Q$2:$Q$50))</f>
        <v>15625.57257792</v>
      </c>
      <c r="E25" s="91" ph="1">
        <f>E24*268.68*LOOKUP(E26,密度!$A$2:$A$50,密度!$C$2:$C$50)+IF(E24&lt;=0,0,1566*LOOKUP(E26,密度!$A$2:$A$50,密度!$C$2:$C$50))</f>
        <v>3023.6349686399999</v>
      </c>
      <c r="F25" s="91" ph="1">
        <f>F24*11.702*LOOKUP(F26,密度!$A$2:$A$50,密度!$Q$2:$Q$50)</f>
        <v>32888.059089600007</v>
      </c>
      <c r="G25" s="91" ph="1">
        <f>G24*18.322*LOOKUP(G26,密度!$A$2:$A$50,密度!$B$2:$B$50)</f>
        <v>55735.344444399998</v>
      </c>
      <c r="H25" s="91" ph="1">
        <f>H24*18.322*LOOKUP(H26,密度!$A$2:$A$50,密度!$B$2:$B$50)</f>
        <v>53348.544833199994</v>
      </c>
      <c r="I25" s="91" ph="1">
        <f>I24*18.322*LOOKUP(I26,密度!$A$2:$A$50,密度!$Q$2:$Q$50)</f>
        <v>0</v>
      </c>
      <c r="J25" s="91" ph="1">
        <f>J24*18.322*LOOKUP(J26,密度!$A$2:$A$50,密度!$Q$2:$Q$50)</f>
        <v>14554.78298226</v>
      </c>
      <c r="K25" s="91" ph="1">
        <f>K24*18.322*LOOKUP(K26,密度!$A$2:$A$50,密度!$Q$2:$Q$50)</f>
        <v>7668.6490981799998</v>
      </c>
      <c r="L25" s="91" ph="1">
        <f>L24*18.322*LOOKUP(L26,密度!$A$2:$A$50,密度!$Q$2:$Q$50)</f>
        <v>8141.6267644600002</v>
      </c>
      <c r="M25" s="91" ph="1">
        <f>M24*18.322*LOOKUP(M26,密度!$A$2:$A$50,密度!$Q$2:$Q$50)</f>
        <v>44472.450467440001</v>
      </c>
      <c r="N25" s="91" ph="1">
        <f>N24*18.322*LOOKUP(N26,密度!$A$2:$A$50,密度!$Q$2:$Q$50)</f>
        <v>45849.580174300005</v>
      </c>
      <c r="O25" s="91" ph="1">
        <f>O24*18.322*LOOKUP(O26,密度!$A$2:$A$50,密度!$C$2:$C$50)</f>
        <v>116643.29729839999</v>
      </c>
      <c r="P25" s="91" ph="1">
        <f>P24*11.702*LOOKUP(P26,密度!$A$2:$A$50,密度!$B$2:$B$50)</f>
        <v>3061.1121376000001</v>
      </c>
      <c r="Q25" s="92" ph="1">
        <f>Q24*18.322*LOOKUP(Q26,密度!$A$2:$A$50,密度!$B$2:$B$50)</f>
        <v>54284.018515999989</v>
      </c>
      <c r="R25" s="91" ph="1">
        <f>R24*35.891*LOOKUP(R26,密度!$A$2:$A$50,密度!$C$2:$C$50)</f>
        <v>70141.924864000001</v>
      </c>
      <c r="S25" s="91" ph="1">
        <f>S24*35.891*LOOKUP(S26,密度!$A$2:$A$50,密度!$B$2:$B$50)</f>
        <v>121295.60850499998</v>
      </c>
      <c r="T25" s="91" ph="1">
        <f>T24*35.891*LOOKUP(T26,密度!$A$2:$A$50,密度!$Q$2:$Q$50)</f>
        <v>43329.139849679996</v>
      </c>
      <c r="U25" s="91" ph="1">
        <f>U24*35.891</f>
        <v>140154.35499999998</v>
      </c>
      <c r="V25" s="91" ph="1">
        <f>V24*47.051*LOOKUP(V26,密度!$A$2:$A$50,密度!$B$2:$B$50)</f>
        <v>51811.582539200004</v>
      </c>
      <c r="W25" s="91" ph="1">
        <f>W24*47.051*LOOKUP(W26,密度!$A$2:$A$50,密度!$B$2:$B$50)</f>
        <v>410897.06523949996</v>
      </c>
      <c r="X25" s="91" ph="1">
        <f>X24*47.051*LOOKUP(X26,密度!$A$2:$A$61,密度!$I$2:$I$61)</f>
        <v>276807.91185620002</v>
      </c>
      <c r="Y25" s="91" ph="1">
        <f>Y24*47.051*LOOKUP(Y26,密度!$A$2:$A$50,密度!$L$2:$L$50)</f>
        <v>359794.29190000001</v>
      </c>
      <c r="Z25" s="175"/>
      <c r="AA25" s="176"/>
      <c r="AB25" s="176"/>
      <c r="AC25" s="176"/>
      <c r="AD25" s="176"/>
      <c r="AE25" s="17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1" ph="1"/>
      <c r="C26" s="68" t="s" ph="1">
        <v>179</v>
      </c>
      <c r="D26" s="74">
        <v>25</v>
      </c>
      <c r="E26" s="74">
        <v>25</v>
      </c>
      <c r="F26" s="74">
        <v>23</v>
      </c>
      <c r="G26" s="74">
        <v>23</v>
      </c>
      <c r="H26" s="74">
        <v>22</v>
      </c>
      <c r="I26" s="74">
        <v>24</v>
      </c>
      <c r="J26" s="74">
        <v>22</v>
      </c>
      <c r="K26" s="74">
        <v>22</v>
      </c>
      <c r="L26" s="74">
        <v>24</v>
      </c>
      <c r="M26" s="74">
        <v>20</v>
      </c>
      <c r="N26" s="74">
        <v>21</v>
      </c>
      <c r="O26" s="74">
        <v>20</v>
      </c>
      <c r="P26" s="74">
        <v>21</v>
      </c>
      <c r="Q26" s="93">
        <v>24</v>
      </c>
      <c r="R26" s="74">
        <v>23</v>
      </c>
      <c r="S26" s="74">
        <v>23</v>
      </c>
      <c r="T26" s="74">
        <v>22</v>
      </c>
      <c r="U26" s="74">
        <v>24</v>
      </c>
      <c r="V26" s="74">
        <v>21</v>
      </c>
      <c r="W26" s="74">
        <v>24</v>
      </c>
      <c r="X26" s="74">
        <v>33</v>
      </c>
      <c r="Y26" s="74">
        <v>22</v>
      </c>
      <c r="Z26" s="175"/>
      <c r="AA26" s="176"/>
      <c r="AB26" s="176"/>
      <c r="AC26" s="176"/>
      <c r="AD26" s="176"/>
      <c r="AE26" s="17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1" ph="1">
        <v>0.66666666666666663</v>
      </c>
      <c r="C27" s="151" t="s" ph="1">
        <v>180</v>
      </c>
      <c r="D27" s="71">
        <v>21.96</v>
      </c>
      <c r="E27" s="71">
        <v>64.64</v>
      </c>
      <c r="F27" s="71">
        <v>1922</v>
      </c>
      <c r="G27" s="71">
        <v>3196</v>
      </c>
      <c r="H27" s="71">
        <v>2657</v>
      </c>
      <c r="I27" s="71">
        <v>0</v>
      </c>
      <c r="J27" s="71">
        <v>833</v>
      </c>
      <c r="K27" s="71">
        <v>438</v>
      </c>
      <c r="L27" s="71">
        <v>464</v>
      </c>
      <c r="M27" s="71">
        <v>1941</v>
      </c>
      <c r="N27" s="71">
        <v>4021</v>
      </c>
      <c r="O27" s="71">
        <v>5719</v>
      </c>
      <c r="P27" s="71">
        <v>330</v>
      </c>
      <c r="Q27" s="90">
        <v>4031</v>
      </c>
      <c r="R27" s="71">
        <v>1315</v>
      </c>
      <c r="S27" s="71">
        <v>4322</v>
      </c>
      <c r="T27" s="71">
        <v>1269</v>
      </c>
      <c r="U27" s="71">
        <v>3882</v>
      </c>
      <c r="V27" s="71">
        <v>1094</v>
      </c>
      <c r="W27" s="71">
        <v>11188</v>
      </c>
      <c r="X27" s="71">
        <v>5569</v>
      </c>
      <c r="Y27" s="71">
        <v>6517</v>
      </c>
      <c r="Z27" s="175"/>
      <c r="AA27" s="176"/>
      <c r="AB27" s="176"/>
      <c r="AC27" s="176"/>
      <c r="AD27" s="176"/>
      <c r="AE27" s="17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1" ph="1"/>
      <c r="C28" s="151" t="s" ph="1">
        <v>178</v>
      </c>
      <c r="D28" s="91" ph="1">
        <f>D27*268.68*LOOKUP(D29,密度!$A$2:$A$50,密度!$Q$2:$Q$50)+IF(D27&lt;=0,0,1566*LOOKUP(D29,密度!$A$2:$A$50,密度!$Q$2:$Q$50))</f>
        <v>7068.5623062720006</v>
      </c>
      <c r="E28" s="91" ph="1">
        <f>E27*268.68*LOOKUP(E29,密度!$A$2:$A$50,密度!$C$2:$C$50)+IF(E27&lt;=0,0,1566*LOOKUP(E29,密度!$A$2:$A$50,密度!$C$2:$C$50))</f>
        <v>20995.33064928</v>
      </c>
      <c r="F28" s="91" ph="1">
        <f>F27*11.702*LOOKUP(F29,密度!$A$2:$A$50,密度!$Q$2:$Q$50)</f>
        <v>21326.197560799999</v>
      </c>
      <c r="G28" s="91" ph="1">
        <f>G27*18.322*LOOKUP(G29,密度!$A$2:$A$50,密度!$B$2:$B$50)</f>
        <v>45703.825916000002</v>
      </c>
      <c r="H28" s="91" ph="1">
        <f>H27*18.322*LOOKUP(H29,密度!$A$2:$A$50,密度!$B$2:$B$50)</f>
        <v>38039.766295599999</v>
      </c>
      <c r="I28" s="91" ph="1">
        <f>I27*18.322*LOOKUP(I29,密度!$A$2:$A$50,密度!$Q$2:$Q$50)</f>
        <v>0</v>
      </c>
      <c r="J28" s="91" ph="1">
        <f>J27*18.322*LOOKUP(J29,密度!$A$2:$A$50,密度!$Q$2:$Q$50)</f>
        <v>14485.226074339998</v>
      </c>
      <c r="K28" s="91" ph="1">
        <f>K27*18.322*LOOKUP(K29,密度!$A$2:$A$50,密度!$Q$2:$Q$50)</f>
        <v>7609.3391352000008</v>
      </c>
      <c r="L28" s="91" ph="1">
        <f>L27*18.322*LOOKUP(L29,密度!$A$2:$A$50,密度!$Q$2:$Q$50)</f>
        <v>8054.8290377599997</v>
      </c>
      <c r="M28" s="91" ph="1">
        <f>M27*18.322*LOOKUP(M29,密度!$A$2:$A$50,密度!$Q$2:$Q$50)</f>
        <v>33773.82736938</v>
      </c>
      <c r="N28" s="91" ph="1">
        <f>N27*18.322*LOOKUP(N29,密度!$A$2:$A$50,密度!$Q$2:$Q$50)</f>
        <v>69922.081686580001</v>
      </c>
      <c r="O28" s="91" ph="1">
        <f>O27*18.322*LOOKUP(O29,密度!$A$2:$A$50,密度!$C$2:$C$50)</f>
        <v>116508.79366420001</v>
      </c>
      <c r="P28" s="91" ph="1">
        <f>P27*11.702*LOOKUP(P29,密度!$A$2:$A$50,密度!$B$2:$B$50)</f>
        <v>3014.0256299999996</v>
      </c>
      <c r="Q28" s="92" ph="1">
        <f>Q27*18.322*LOOKUP(Q29,密度!$A$2:$A$50,密度!$B$2:$B$50)</f>
        <v>57644.593951000003</v>
      </c>
      <c r="R28" s="91" ph="1">
        <f>R27*35.891*LOOKUP(R29,密度!$A$2:$A$50,密度!$C$2:$C$50)</f>
        <v>52407.176816000007</v>
      </c>
      <c r="S28" s="91" ph="1">
        <f>S27*35.891*LOOKUP(S29,密度!$A$2:$A$50,密度!$B$2:$B$50)</f>
        <v>121351.08163460001</v>
      </c>
      <c r="T28" s="91" ph="1">
        <f>T27*35.891*LOOKUP(T29,密度!$A$2:$A$50,密度!$Q$2:$Q$50)</f>
        <v>43226.948482109998</v>
      </c>
      <c r="U28" s="91" ph="1">
        <f>U27*35.891</f>
        <v>139328.86199999999</v>
      </c>
      <c r="V28" s="91" ph="1">
        <f>V27*47.051*LOOKUP(V29,密度!$A$2:$A$50,密度!$B$2:$B$50)</f>
        <v>40175.296217000003</v>
      </c>
      <c r="W28" s="91" ph="1">
        <f>W27*47.051*LOOKUP(W29,密度!$A$2:$A$50,密度!$B$2:$B$50)</f>
        <v>411334.10786319996</v>
      </c>
      <c r="X28" s="91" ph="1">
        <f>X27*47.051*LOOKUP(X29,密度!$A$2:$A$61,密度!$I$2:$I$61)</f>
        <v>270176.05929089995</v>
      </c>
      <c r="Y28" s="91" ph="1">
        <f>Y27*47.051*LOOKUP(Y29,密度!$A$2:$A$50,密度!$L$2:$L$50)</f>
        <v>287620.22224600002</v>
      </c>
      <c r="Z28" s="175"/>
      <c r="AA28" s="176"/>
      <c r="AB28" s="176"/>
      <c r="AC28" s="176"/>
      <c r="AD28" s="176"/>
      <c r="AE28" s="17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1" ph="1"/>
      <c r="C29" s="151" t="s" ph="1">
        <v>179</v>
      </c>
      <c r="D29" s="74">
        <v>25</v>
      </c>
      <c r="E29" s="74">
        <v>25</v>
      </c>
      <c r="F29" s="74">
        <v>23</v>
      </c>
      <c r="G29" s="74">
        <v>24</v>
      </c>
      <c r="H29" s="74">
        <v>23</v>
      </c>
      <c r="I29" s="74">
        <v>23</v>
      </c>
      <c r="J29" s="74">
        <v>22</v>
      </c>
      <c r="K29" s="74">
        <v>23</v>
      </c>
      <c r="L29" s="74">
        <v>24</v>
      </c>
      <c r="M29" s="74">
        <v>21</v>
      </c>
      <c r="N29" s="74">
        <v>22</v>
      </c>
      <c r="O29" s="74">
        <v>21</v>
      </c>
      <c r="P29" s="74">
        <v>24</v>
      </c>
      <c r="Q29" s="93">
        <v>24</v>
      </c>
      <c r="R29" s="74">
        <v>23</v>
      </c>
      <c r="S29" s="74">
        <v>22</v>
      </c>
      <c r="T29" s="74">
        <v>22</v>
      </c>
      <c r="U29" s="74">
        <v>23</v>
      </c>
      <c r="V29" s="74">
        <v>24</v>
      </c>
      <c r="W29" s="74">
        <v>23</v>
      </c>
      <c r="X29" s="74">
        <v>35</v>
      </c>
      <c r="Y29" s="74">
        <v>24</v>
      </c>
      <c r="Z29" s="178"/>
      <c r="AA29" s="179"/>
      <c r="AB29" s="179"/>
      <c r="AC29" s="179"/>
      <c r="AD29" s="179"/>
      <c r="AE29" s="18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4" t="s" ph="1">
        <v>35</v>
      </c>
      <c r="C31" s="195" ph="1"/>
      <c r="D31" s="198" t="s" ph="1">
        <v>9</v>
      </c>
      <c r="E31" s="187" ph="1"/>
      <c r="F31" s="188" ph="1"/>
      <c r="G31" s="198" t="s" ph="1">
        <v>18</v>
      </c>
      <c r="H31" s="187" ph="1"/>
      <c r="I31" s="188" ph="1"/>
      <c r="J31" s="186" t="s" ph="1">
        <v>1</v>
      </c>
      <c r="K31" s="187" ph="1"/>
      <c r="L31" s="188" ph="1"/>
      <c r="M31" s="186" t="s" ph="1">
        <v>7</v>
      </c>
      <c r="N31" s="187" ph="1"/>
      <c r="O31" s="188" ph="1"/>
      <c r="P31" s="186" t="s" ph="1">
        <v>41</v>
      </c>
      <c r="Q31" s="187"/>
      <c r="R31" s="188"/>
      <c r="S31" s="186" t="s" ph="1">
        <v>2</v>
      </c>
      <c r="T31" s="187"/>
      <c r="U31" s="188"/>
      <c r="V31" s="186" t="s" ph="1">
        <v>71</v>
      </c>
      <c r="W31" s="187" ph="1"/>
      <c r="X31" s="188" ph="1"/>
      <c r="Y31" s="186" t="s" ph="1">
        <v>3</v>
      </c>
      <c r="Z31" s="187" ph="1"/>
      <c r="AA31" s="188" ph="1"/>
      <c r="AB31" s="209" t="s">
        <v>42</v>
      </c>
      <c r="AC31" s="210"/>
      <c r="AD31" s="210"/>
      <c r="AE31" s="211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6" ph="1"/>
      <c r="C32" s="197" ph="1"/>
      <c r="D32" s="96" t="s" ph="1">
        <v>4</v>
      </c>
      <c r="E32" s="151" t="s" ph="1">
        <v>5</v>
      </c>
      <c r="F32" s="152" t="s" ph="1">
        <v>43</v>
      </c>
      <c r="G32" s="97" t="s" ph="1">
        <v>4</v>
      </c>
      <c r="H32" s="151" t="s" ph="1">
        <v>5</v>
      </c>
      <c r="I32" s="152" t="s" ph="1">
        <v>43</v>
      </c>
      <c r="J32" s="97" t="s" ph="1">
        <v>4</v>
      </c>
      <c r="K32" s="151" t="s" ph="1">
        <v>5</v>
      </c>
      <c r="L32" s="152" t="s" ph="1">
        <v>43</v>
      </c>
      <c r="M32" s="97" t="s" ph="1">
        <v>4</v>
      </c>
      <c r="N32" s="151" t="s" ph="1">
        <v>5</v>
      </c>
      <c r="O32" s="152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1" t="s" ph="1">
        <v>5</v>
      </c>
      <c r="U32" s="99" t="s" ph="1">
        <v>43</v>
      </c>
      <c r="V32" s="97" t="s" ph="1">
        <v>4</v>
      </c>
      <c r="W32" s="151" t="s" ph="1">
        <v>5</v>
      </c>
      <c r="X32" s="99" t="s" ph="1">
        <v>43</v>
      </c>
      <c r="Y32" s="100" t="s" ph="1">
        <v>4</v>
      </c>
      <c r="Z32" s="151" t="s" ph="1">
        <v>5</v>
      </c>
      <c r="AA32" s="152" t="s" ph="1">
        <v>43</v>
      </c>
      <c r="AB32" s="97" t="s" ph="1">
        <v>85</v>
      </c>
      <c r="AC32" s="151" t="s" ph="1">
        <v>84</v>
      </c>
      <c r="AD32" s="212" t="s" ph="1">
        <v>83</v>
      </c>
      <c r="AE32" s="213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199" t="s" ph="1">
        <v>181</v>
      </c>
      <c r="C33" s="200" ph="1"/>
      <c r="D33" s="203" ph="1">
        <f>AA10+AB10+Z19</f>
        <v>187861.28861460002</v>
      </c>
      <c r="E33" s="203" ph="1">
        <f>M10+I10</f>
        <v>40269.227065599996</v>
      </c>
      <c r="F33" s="20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1522252632456786910111213141516171819202123456789101112131415161718192022232424356789101112131415161718192021222345678910111213141516171819202345678910111213149101516171819222123234567891012131415161711181920212224252345678910111213138[[#This Row],[F25]]</f>
        <v>3880</v>
      </c>
      <c r="G33" s="207" ph="1">
        <f>N19</f>
        <v>19273.593757759998</v>
      </c>
      <c r="H33" s="203" ph="1">
        <f>M19</f>
        <v>5090.1609304000003</v>
      </c>
      <c r="I33" s="216" ph="1">
        <v>0</v>
      </c>
      <c r="J33" s="214" ph="1">
        <f>F10+O28</f>
        <v>349672.34200539999</v>
      </c>
      <c r="K33" s="203" ph="1">
        <f>O10+K10+E28+R28</f>
        <v>113802.09732728</v>
      </c>
      <c r="L33" s="218" ph="1">
        <f>K19</f>
        <v>36085.286648840003</v>
      </c>
      <c r="M33" s="214" ph="1">
        <f>G10+H10+W28+S28+V28+E10+R19+P28+Q28</f>
        <v>1597201.4726207198</v>
      </c>
      <c r="N33" s="203" ph="1">
        <f>L10+P10++G28+H28+AD19+AE19</f>
        <v>111990.88300079999</v>
      </c>
      <c r="O33" s="216" ph="1">
        <f>G19</f>
        <v>34625.315997999998</v>
      </c>
      <c r="P33" s="214" ph="1">
        <f>L19</f>
        <v>49720.041936399997</v>
      </c>
      <c r="Q33" s="203" ph="1">
        <f>J10+N10</f>
        <v>4924.3508284</v>
      </c>
      <c r="R33" s="216" ph="1">
        <f>BE23</f>
        <v>890</v>
      </c>
      <c r="S33" s="214" ph="1">
        <f>X28</f>
        <v>270176.05929089995</v>
      </c>
      <c r="T33" s="203" ph="1">
        <f>X19</f>
        <v>4827.0566714400002</v>
      </c>
      <c r="U33" s="224" ph="1">
        <f>BE21</f>
        <v>730</v>
      </c>
      <c r="V33" s="235" ph="1">
        <f ca="1">P19+Q19+S19+M28+N28+J28+D10+AC10+D19+E19+H19+J19+O19+V19+W19+K28+L28</f>
        <v>776076.63318396616</v>
      </c>
      <c r="W33" s="235" ph="1">
        <f>D28+F28+T28+I28</f>
        <v>71621.708349181994</v>
      </c>
      <c r="X33" s="216" ph="1">
        <f>BE29+BE31</f>
        <v>10200</v>
      </c>
      <c r="Y33" s="237" ph="1">
        <f>+Q10+R10+S10+T10+U10+V10+W10+X10+Y10</f>
        <v>160987.8810078</v>
      </c>
      <c r="Z33" s="222" ph="1">
        <f>T19+U19+Y28+Z10</f>
        <v>539573.45682793995</v>
      </c>
      <c r="AA33" s="224" ph="1">
        <f>BE19</f>
        <v>1440</v>
      </c>
      <c r="AB33" s="226" ph="1">
        <f>I19</f>
        <v>50661.930968799992</v>
      </c>
      <c r="AC33" s="228" ph="1">
        <f>AD10+AB19</f>
        <v>96457.803219199996</v>
      </c>
      <c r="AD33" s="230" ph="1">
        <v>0</v>
      </c>
      <c r="AE33" s="231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1" ph="1"/>
      <c r="C34" s="202" ph="1"/>
      <c r="D34" s="204" ph="1"/>
      <c r="E34" s="204" ph="1"/>
      <c r="F34" s="206" ph="1"/>
      <c r="G34" s="208" ph="1"/>
      <c r="H34" s="204" ph="1"/>
      <c r="I34" s="217" ph="1"/>
      <c r="J34" s="215" ph="1"/>
      <c r="K34" s="204" ph="1"/>
      <c r="L34" s="219" ph="1"/>
      <c r="M34" s="215" ph="1"/>
      <c r="N34" s="204" ph="1"/>
      <c r="O34" s="217" ph="1"/>
      <c r="P34" s="215" ph="1"/>
      <c r="Q34" s="204" ph="1"/>
      <c r="R34" s="217" ph="1"/>
      <c r="S34" s="215" ph="1"/>
      <c r="T34" s="204"/>
      <c r="U34" s="225"/>
      <c r="V34" s="236" ph="1"/>
      <c r="W34" s="236" ph="1"/>
      <c r="X34" s="217" ph="1"/>
      <c r="Y34" s="238" ph="1"/>
      <c r="Z34" s="223" ph="1"/>
      <c r="AA34" s="225" ph="1"/>
      <c r="AB34" s="227"/>
      <c r="AC34" s="229"/>
      <c r="AD34" s="232"/>
      <c r="AE34" s="233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4" t="s" ph="1">
        <v>631</v>
      </c>
      <c r="AD35" s="234"/>
      <c r="AE35" s="234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0" t="s" ph="1">
        <v>183</v>
      </c>
      <c r="J36" s="220" ph="1"/>
      <c r="K36" s="101" ph="1"/>
      <c r="P36" s="101" ph="1"/>
      <c r="R36" s="220" t="s" ph="1">
        <v>184</v>
      </c>
      <c r="S36" s="220" ph="1"/>
      <c r="Y36" s="102" ph="1"/>
      <c r="Z36" s="153" t="s" ph="1">
        <v>185</v>
      </c>
      <c r="AA36" s="153" ph="1"/>
      <c r="AB36" s="221" t="s" ph="1">
        <v>638</v>
      </c>
      <c r="AC36" s="221" ph="1"/>
      <c r="AD36" s="221" ph="1"/>
      <c r="AE36" s="221" ph="1"/>
      <c r="BA36" s="64" ph="1">
        <v>2270</v>
      </c>
    </row>
    <row r="37" spans="1:57" s="153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3" t="s" ph="1">
        <v>342</v>
      </c>
      <c r="AI37" s="153" t="s" ph="1">
        <v>209</v>
      </c>
      <c r="AJ37" s="153" t="s" ph="1">
        <v>210</v>
      </c>
      <c r="AK37" s="153" t="s" ph="1">
        <v>211</v>
      </c>
      <c r="AM37" s="153" t="s" ph="1">
        <v>210</v>
      </c>
      <c r="AN37" s="153" t="s" ph="1">
        <v>211</v>
      </c>
      <c r="AO37" s="153" t="s" ph="1">
        <v>212</v>
      </c>
      <c r="AP37" s="153" t="s" ph="1">
        <v>210</v>
      </c>
      <c r="AQ37" s="153" t="s" ph="1">
        <v>211</v>
      </c>
      <c r="AR37" s="153" t="s" ph="1">
        <v>212</v>
      </c>
      <c r="AS37" s="153" t="s" ph="1">
        <v>210</v>
      </c>
      <c r="AT37" s="153" t="s" ph="1">
        <v>211</v>
      </c>
      <c r="AU37" s="153" t="s" ph="1">
        <v>212</v>
      </c>
      <c r="AV37" s="153" t="s" ph="1">
        <v>210</v>
      </c>
      <c r="AW37" s="153" t="s" ph="1">
        <v>211</v>
      </c>
      <c r="AX37" s="153" t="s" ph="1">
        <v>212</v>
      </c>
      <c r="AY37" s="153" t="s" ph="1">
        <v>211</v>
      </c>
      <c r="AZ37" s="153" t="s" ph="1">
        <v>213</v>
      </c>
      <c r="BD37" s="153" t="s" ph="1">
        <v>305</v>
      </c>
      <c r="BE37" s="153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209" priority="100">
      <formula>ABS(D$7-D$10)&gt;=1000</formula>
    </cfRule>
  </conditionalFormatting>
  <conditionalFormatting sqref="E4 E6:E11">
    <cfRule type="expression" dxfId="2208" priority="99">
      <formula>ABS(E$7-E$10)&gt;=1000</formula>
    </cfRule>
  </conditionalFormatting>
  <conditionalFormatting sqref="F4:F11">
    <cfRule type="expression" dxfId="2207" priority="98">
      <formula>ABS(F$7-F$10)&gt;=1000</formula>
    </cfRule>
  </conditionalFormatting>
  <conditionalFormatting sqref="G4:G11">
    <cfRule type="expression" dxfId="2206" priority="97">
      <formula>ABS(G$7-G$10)&gt;=1000</formula>
    </cfRule>
  </conditionalFormatting>
  <conditionalFormatting sqref="H4:H11">
    <cfRule type="expression" dxfId="2205" priority="96">
      <formula>ABS(H$7-H$10)&gt;=1000</formula>
    </cfRule>
  </conditionalFormatting>
  <conditionalFormatting sqref="I4:I11">
    <cfRule type="expression" dxfId="2204" priority="95">
      <formula>ABS(I$7-I$10)&gt;=1000</formula>
    </cfRule>
  </conditionalFormatting>
  <conditionalFormatting sqref="J4:J11">
    <cfRule type="expression" dxfId="2203" priority="94">
      <formula>ABS(J$7-J$10)&gt;=1000</formula>
    </cfRule>
  </conditionalFormatting>
  <conditionalFormatting sqref="K4:K11">
    <cfRule type="expression" dxfId="2202" priority="93">
      <formula>ABS(K$7-K$10)&gt;=1000</formula>
    </cfRule>
  </conditionalFormatting>
  <conditionalFormatting sqref="L4:L11">
    <cfRule type="expression" dxfId="2201" priority="92">
      <formula>ABS(L$7-L$10)&gt;=1000</formula>
    </cfRule>
  </conditionalFormatting>
  <conditionalFormatting sqref="M4 M6:M11">
    <cfRule type="expression" dxfId="2200" priority="91">
      <formula>ABS(M$7-M$10)&gt;=1000</formula>
    </cfRule>
  </conditionalFormatting>
  <conditionalFormatting sqref="N4 N6:N11">
    <cfRule type="expression" dxfId="2199" priority="90">
      <formula>ABS(N$7-N$10)&gt;=1000</formula>
    </cfRule>
  </conditionalFormatting>
  <conditionalFormatting sqref="O4 O6:O11">
    <cfRule type="expression" dxfId="2198" priority="89">
      <formula>ABS(O$7-O$10)&gt;=1000</formula>
    </cfRule>
  </conditionalFormatting>
  <conditionalFormatting sqref="P4 P6:P11">
    <cfRule type="expression" dxfId="2197" priority="88">
      <formula>ABS(P$7-P$10)&gt;=1000</formula>
    </cfRule>
  </conditionalFormatting>
  <conditionalFormatting sqref="Q4:Q11">
    <cfRule type="expression" dxfId="2196" priority="87">
      <formula>ABS(Q$7-Q$10)&gt;=1000</formula>
    </cfRule>
  </conditionalFormatting>
  <conditionalFormatting sqref="R4:R11">
    <cfRule type="expression" dxfId="2195" priority="86">
      <formula>ABS(R$7-R$10)&gt;=1000</formula>
    </cfRule>
  </conditionalFormatting>
  <conditionalFormatting sqref="S4:S11">
    <cfRule type="expression" dxfId="2194" priority="85">
      <formula>ABS(S$7-S$10)&gt;=1000</formula>
    </cfRule>
  </conditionalFormatting>
  <conditionalFormatting sqref="T4:T9 T11">
    <cfRule type="expression" dxfId="2193" priority="84">
      <formula>ABS(T$7-T$10)&gt;=1000</formula>
    </cfRule>
  </conditionalFormatting>
  <conditionalFormatting sqref="U4:U9 U11">
    <cfRule type="expression" dxfId="2192" priority="83">
      <formula>ABS(U$7-U$10)&gt;=1000</formula>
    </cfRule>
  </conditionalFormatting>
  <conditionalFormatting sqref="V4:V9 V11">
    <cfRule type="expression" dxfId="2191" priority="82">
      <formula>ABS(V$7-V$10)&gt;=1000</formula>
    </cfRule>
  </conditionalFormatting>
  <conditionalFormatting sqref="W4:W9 W11">
    <cfRule type="expression" dxfId="2190" priority="81">
      <formula>ABS(W$7-W$10)&gt;=1000</formula>
    </cfRule>
  </conditionalFormatting>
  <conditionalFormatting sqref="X4:X9 X11">
    <cfRule type="expression" dxfId="2189" priority="80">
      <formula>ABS(X$7-X$10)&gt;=1000</formula>
    </cfRule>
  </conditionalFormatting>
  <conditionalFormatting sqref="Y4:Y9 Y11">
    <cfRule type="expression" dxfId="2188" priority="79">
      <formula>ABS(Y$7-Y$10)&gt;=1000</formula>
    </cfRule>
  </conditionalFormatting>
  <conditionalFormatting sqref="Z4:Z11">
    <cfRule type="expression" dxfId="2187" priority="78">
      <formula>ABS(Z$7-Z$10)&gt;=1000</formula>
    </cfRule>
  </conditionalFormatting>
  <conditionalFormatting sqref="AA4:AA11">
    <cfRule type="expression" dxfId="2186" priority="77">
      <formula>ABS(AA$7-AA$10)&gt;=1000</formula>
    </cfRule>
  </conditionalFormatting>
  <conditionalFormatting sqref="AB4:AB11">
    <cfRule type="expression" dxfId="2185" priority="76">
      <formula>ABS(AB$7-AB$10)&gt;=1000</formula>
    </cfRule>
  </conditionalFormatting>
  <conditionalFormatting sqref="AC4 AC6:AC11">
    <cfRule type="expression" dxfId="2184" priority="75">
      <formula>ABS(AC$7-AC$10)&gt;=1000</formula>
    </cfRule>
  </conditionalFormatting>
  <conditionalFormatting sqref="AD4 AD6:AD11">
    <cfRule type="expression" dxfId="2183" priority="74">
      <formula>ABS(AD$7-AD$10)&gt;=1000</formula>
    </cfRule>
  </conditionalFormatting>
  <conditionalFormatting sqref="AE4 AE6:AE11">
    <cfRule type="expression" dxfId="2182" priority="73">
      <formula>ABS(AE$7-AE$10)&gt;=1000</formula>
    </cfRule>
  </conditionalFormatting>
  <conditionalFormatting sqref="D13:D20">
    <cfRule type="expression" dxfId="2181" priority="72">
      <formula>ABS(D$16-D$19)&gt;=1000</formula>
    </cfRule>
  </conditionalFormatting>
  <conditionalFormatting sqref="E13:E20">
    <cfRule type="expression" dxfId="2180" priority="71">
      <formula>ABS(E$16-E$19)&gt;=1000</formula>
    </cfRule>
  </conditionalFormatting>
  <conditionalFormatting sqref="F13 F15:F20">
    <cfRule type="expression" dxfId="2179" priority="70">
      <formula>ABS(F$16-F$19)&gt;=1000</formula>
    </cfRule>
  </conditionalFormatting>
  <conditionalFormatting sqref="G13:G20">
    <cfRule type="expression" dxfId="2178" priority="69">
      <formula>ABS(G$16-G$19)&gt;=1000</formula>
    </cfRule>
  </conditionalFormatting>
  <conditionalFormatting sqref="H13 H15:H20">
    <cfRule type="expression" dxfId="2177" priority="68">
      <formula>ABS(H$16-H$19)&gt;=1000</formula>
    </cfRule>
  </conditionalFormatting>
  <conditionalFormatting sqref="I13:I20">
    <cfRule type="expression" dxfId="2176" priority="67">
      <formula>ABS(I$16-I$19)&gt;=1000</formula>
    </cfRule>
  </conditionalFormatting>
  <conditionalFormatting sqref="J13:J20">
    <cfRule type="expression" dxfId="2175" priority="66">
      <formula>ABS(J$16-J$19)&gt;=1000</formula>
    </cfRule>
  </conditionalFormatting>
  <conditionalFormatting sqref="L13:L20">
    <cfRule type="expression" dxfId="2174" priority="65">
      <formula>ABS(L$16-L$19)&gt;=1000</formula>
    </cfRule>
  </conditionalFormatting>
  <conditionalFormatting sqref="M13 M15 M17:M18 M20">
    <cfRule type="expression" dxfId="2173" priority="64">
      <formula>ABS(M$16-M$19)&gt;=1000</formula>
    </cfRule>
  </conditionalFormatting>
  <conditionalFormatting sqref="N13:N20">
    <cfRule type="expression" dxfId="2172" priority="63">
      <formula>ABS(N$16-N$19)&gt;=1000</formula>
    </cfRule>
  </conditionalFormatting>
  <conditionalFormatting sqref="O13:O20">
    <cfRule type="expression" dxfId="2171" priority="62">
      <formula>ABS(O$16-O$19)&gt;=1000</formula>
    </cfRule>
  </conditionalFormatting>
  <conditionalFormatting sqref="P13:P20">
    <cfRule type="expression" dxfId="2170" priority="61">
      <formula>ABS(P$16-P$19)&gt;=1000</formula>
    </cfRule>
  </conditionalFormatting>
  <conditionalFormatting sqref="Q13 Q15:Q20">
    <cfRule type="expression" dxfId="2169" priority="60">
      <formula>ABS(Q$16-Q$19)&gt;=1000</formula>
    </cfRule>
  </conditionalFormatting>
  <conditionalFormatting sqref="R13:R20">
    <cfRule type="expression" dxfId="2168" priority="59">
      <formula>ABS(R$16-R$19)&gt;=1000</formula>
    </cfRule>
  </conditionalFormatting>
  <conditionalFormatting sqref="S13:S20">
    <cfRule type="expression" dxfId="2167" priority="58">
      <formula>ABS(S$16-S$19)&gt;=1000</formula>
    </cfRule>
  </conditionalFormatting>
  <conditionalFormatting sqref="T13:T20">
    <cfRule type="expression" dxfId="2166" priority="57">
      <formula>ABS(T$16-T$19)&gt;=1000</formula>
    </cfRule>
  </conditionalFormatting>
  <conditionalFormatting sqref="U13:U20">
    <cfRule type="expression" dxfId="2165" priority="56">
      <formula>ABS(U$16-U$19)&gt;=1000</formula>
    </cfRule>
  </conditionalFormatting>
  <conditionalFormatting sqref="V13:V20">
    <cfRule type="expression" dxfId="2164" priority="55">
      <formula>ABS(V$16-V$19)&gt;=1000</formula>
    </cfRule>
  </conditionalFormatting>
  <conditionalFormatting sqref="W13 W20 W15:W18">
    <cfRule type="expression" dxfId="2163" priority="54">
      <formula>ABS(W$16-W$19)&gt;=1000</formula>
    </cfRule>
  </conditionalFormatting>
  <conditionalFormatting sqref="X13 X15:X20 Y19">
    <cfRule type="expression" dxfId="2162" priority="53">
      <formula>ABS(X$16-X$19)&gt;=1000</formula>
    </cfRule>
  </conditionalFormatting>
  <conditionalFormatting sqref="Y13 Y15:Y18 Y20">
    <cfRule type="expression" dxfId="2161" priority="52">
      <formula>ABS(Y$16-Y$19)&gt;=1000</formula>
    </cfRule>
  </conditionalFormatting>
  <conditionalFormatting sqref="Z13:Z20">
    <cfRule type="expression" dxfId="2160" priority="51">
      <formula>ABS(Z$16-Z$19)&gt;=1000</formula>
    </cfRule>
  </conditionalFormatting>
  <conditionalFormatting sqref="AA13:AA20">
    <cfRule type="expression" dxfId="2159" priority="50">
      <formula>ABS(AA$16-AA$19)&gt;=1000</formula>
    </cfRule>
  </conditionalFormatting>
  <conditionalFormatting sqref="AB13 AB15:AB20">
    <cfRule type="expression" dxfId="2158" priority="49">
      <formula>ABS(AB$16-AB$19)&gt;=1000</formula>
    </cfRule>
  </conditionalFormatting>
  <conditionalFormatting sqref="AC13 AC15:AC20">
    <cfRule type="expression" dxfId="2157" priority="48">
      <formula>ABS(AC$16-AC$19)&gt;=1000</formula>
    </cfRule>
  </conditionalFormatting>
  <conditionalFormatting sqref="AD13:AD20">
    <cfRule type="expression" dxfId="2156" priority="47">
      <formula>ABS(AD$16-AD$19)&gt;=1000</formula>
    </cfRule>
  </conditionalFormatting>
  <conditionalFormatting sqref="AE13:AE20">
    <cfRule type="expression" dxfId="2155" priority="46">
      <formula>ABS(AE$16-AE$19)&gt;=1000</formula>
    </cfRule>
  </conditionalFormatting>
  <conditionalFormatting sqref="D22:D29">
    <cfRule type="expression" dxfId="2154" priority="45">
      <formula>ABS(D$25-D$28)&gt;=1000</formula>
    </cfRule>
  </conditionalFormatting>
  <conditionalFormatting sqref="E22:E29">
    <cfRule type="expression" dxfId="2153" priority="44">
      <formula>ABS(E$25-E$28)&gt;=1000</formula>
    </cfRule>
  </conditionalFormatting>
  <conditionalFormatting sqref="F22:F29">
    <cfRule type="expression" dxfId="2152" priority="43">
      <formula>ABS(F$25-F$28)&gt;=1000</formula>
    </cfRule>
  </conditionalFormatting>
  <conditionalFormatting sqref="G22:G29">
    <cfRule type="expression" dxfId="2151" priority="42">
      <formula>ABS(G$25-G$28)&gt;=1000</formula>
    </cfRule>
  </conditionalFormatting>
  <conditionalFormatting sqref="H22:H29">
    <cfRule type="expression" dxfId="2150" priority="41">
      <formula>ABS(H$25-H$28)&gt;=1000</formula>
    </cfRule>
  </conditionalFormatting>
  <conditionalFormatting sqref="I22 I24:I29">
    <cfRule type="expression" dxfId="2149" priority="40">
      <formula>ABS(I$25-I$28)&gt;=1000</formula>
    </cfRule>
  </conditionalFormatting>
  <conditionalFormatting sqref="J22:J29 K22">
    <cfRule type="expression" dxfId="2148" priority="39">
      <formula>ABS(J$25-J$28)&gt;=1000</formula>
    </cfRule>
  </conditionalFormatting>
  <conditionalFormatting sqref="K23:K29 L25 L28">
    <cfRule type="expression" dxfId="2147" priority="38">
      <formula>ABS(K$25-K$28)&gt;=1000</formula>
    </cfRule>
  </conditionalFormatting>
  <conditionalFormatting sqref="L22 L26:L27 L29 L24">
    <cfRule type="expression" dxfId="2146" priority="37">
      <formula>ABS(L$25-L$28)&gt;=1000</formula>
    </cfRule>
  </conditionalFormatting>
  <conditionalFormatting sqref="M22:M29">
    <cfRule type="expression" dxfId="2145" priority="36">
      <formula>ABS(M$25-M$28)&gt;=1000</formula>
    </cfRule>
  </conditionalFormatting>
  <conditionalFormatting sqref="N22:N29">
    <cfRule type="expression" dxfId="2144" priority="35">
      <formula>ABS(N$25-N$28)&gt;=1000</formula>
    </cfRule>
  </conditionalFormatting>
  <conditionalFormatting sqref="O22:O29">
    <cfRule type="expression" dxfId="2143" priority="34">
      <formula>ABS(O$25-O$28)&gt;=1000</formula>
    </cfRule>
  </conditionalFormatting>
  <conditionalFormatting sqref="P22:P29">
    <cfRule type="expression" dxfId="2142" priority="33">
      <formula>ABS(P$25-P$28)&gt;=1000</formula>
    </cfRule>
  </conditionalFormatting>
  <conditionalFormatting sqref="Q22:Q29">
    <cfRule type="expression" dxfId="2141" priority="32">
      <formula>ABS(Q$25-Q$28)&gt;=1000</formula>
    </cfRule>
  </conditionalFormatting>
  <conditionalFormatting sqref="R22:R29">
    <cfRule type="expression" dxfId="2140" priority="31">
      <formula>ABS(R$25-R$28)&gt;=1000</formula>
    </cfRule>
  </conditionalFormatting>
  <conditionalFormatting sqref="S22:S29">
    <cfRule type="expression" dxfId="2139" priority="30">
      <formula>ABS(S$25-S$28)&gt;=1000</formula>
    </cfRule>
  </conditionalFormatting>
  <conditionalFormatting sqref="T22:T29">
    <cfRule type="expression" dxfId="2138" priority="29">
      <formula>ABS(T$25-T$28)&gt;=1000</formula>
    </cfRule>
  </conditionalFormatting>
  <conditionalFormatting sqref="U22:U29">
    <cfRule type="expression" dxfId="2137" priority="28">
      <formula>ABS(U$25-U$28)&gt;=1000</formula>
    </cfRule>
  </conditionalFormatting>
  <conditionalFormatting sqref="V22:V29">
    <cfRule type="expression" dxfId="2136" priority="27">
      <formula>ABS(V$25-V$28)&gt;=1000</formula>
    </cfRule>
  </conditionalFormatting>
  <conditionalFormatting sqref="W22:W29">
    <cfRule type="expression" dxfId="2135" priority="26">
      <formula>ABS(W$25-W$28)&gt;=1000</formula>
    </cfRule>
  </conditionalFormatting>
  <conditionalFormatting sqref="X22:X29">
    <cfRule type="expression" dxfId="2134" priority="25">
      <formula>ABS(X$25-X$28)&gt;=1000</formula>
    </cfRule>
  </conditionalFormatting>
  <conditionalFormatting sqref="Y22:Y29">
    <cfRule type="expression" dxfId="2133" priority="24">
      <formula>ABS(Y$25-Y$28)&gt;=1000</formula>
    </cfRule>
  </conditionalFormatting>
  <conditionalFormatting sqref="I23">
    <cfRule type="expression" dxfId="2132" priority="23">
      <formula>ABS(I$25-I$28)&gt;=1000</formula>
    </cfRule>
  </conditionalFormatting>
  <conditionalFormatting sqref="Q14">
    <cfRule type="expression" dxfId="2131" priority="22">
      <formula>ABS(Q$16-Q$19)&gt;=1000</formula>
    </cfRule>
  </conditionalFormatting>
  <conditionalFormatting sqref="W14">
    <cfRule type="expression" dxfId="2130" priority="21">
      <formula>ABS(W$16-W$19)&gt;=1000</formula>
    </cfRule>
  </conditionalFormatting>
  <conditionalFormatting sqref="X14">
    <cfRule type="expression" dxfId="2129" priority="20">
      <formula>ABS(X$16-X$19)&gt;=1000</formula>
    </cfRule>
  </conditionalFormatting>
  <conditionalFormatting sqref="T10:Y10">
    <cfRule type="expression" dxfId="2128" priority="19">
      <formula>ABS(T$7-T$10)&gt;=1000</formula>
    </cfRule>
  </conditionalFormatting>
  <conditionalFormatting sqref="W19">
    <cfRule type="expression" dxfId="2127" priority="18">
      <formula>ABS(W$16-W$19)&gt;=1000</formula>
    </cfRule>
  </conditionalFormatting>
  <conditionalFormatting sqref="AC5">
    <cfRule type="expression" dxfId="2126" priority="17">
      <formula>ABS(AC$7-AC$10)&gt;=1000</formula>
    </cfRule>
  </conditionalFormatting>
  <conditionalFormatting sqref="M14">
    <cfRule type="expression" dxfId="2125" priority="16">
      <formula>ABS(M$16-M$19)&gt;=1000</formula>
    </cfRule>
  </conditionalFormatting>
  <conditionalFormatting sqref="M16">
    <cfRule type="expression" dxfId="2124" priority="15">
      <formula>ABS(M$16-M$19)&gt;=1000</formula>
    </cfRule>
  </conditionalFormatting>
  <conditionalFormatting sqref="M19">
    <cfRule type="expression" dxfId="2123" priority="14">
      <formula>ABS(M$16-M$19)&gt;=1000</formula>
    </cfRule>
  </conditionalFormatting>
  <conditionalFormatting sqref="K13:K20">
    <cfRule type="expression" dxfId="2122" priority="13">
      <formula>ABS(K$16-K$19)&gt;=1000</formula>
    </cfRule>
  </conditionalFormatting>
  <conditionalFormatting sqref="E5">
    <cfRule type="expression" dxfId="2121" priority="12">
      <formula>ABS(E$7-E$10)&gt;=1000</formula>
    </cfRule>
  </conditionalFormatting>
  <conditionalFormatting sqref="AB14:AC14">
    <cfRule type="expression" dxfId="2120" priority="11">
      <formula>ABS(AB$16-AB$19)&gt;=1000</formula>
    </cfRule>
  </conditionalFormatting>
  <conditionalFormatting sqref="M5">
    <cfRule type="expression" dxfId="2119" priority="10">
      <formula>ABS(M$7-M$10)&gt;=1000</formula>
    </cfRule>
  </conditionalFormatting>
  <conditionalFormatting sqref="N5">
    <cfRule type="expression" dxfId="2118" priority="9">
      <formula>ABS(N$7-N$10)&gt;=1000</formula>
    </cfRule>
  </conditionalFormatting>
  <conditionalFormatting sqref="O5">
    <cfRule type="expression" dxfId="2117" priority="8">
      <formula>ABS(O$7-O$10)&gt;=1000</formula>
    </cfRule>
  </conditionalFormatting>
  <conditionalFormatting sqref="P5">
    <cfRule type="expression" dxfId="2116" priority="7">
      <formula>ABS(P$7-P$10)&gt;=1000</formula>
    </cfRule>
  </conditionalFormatting>
  <conditionalFormatting sqref="L23">
    <cfRule type="expression" dxfId="2115" priority="6">
      <formula>ABS(L$25-L$28)&gt;=1000</formula>
    </cfRule>
  </conditionalFormatting>
  <conditionalFormatting sqref="Y14">
    <cfRule type="expression" dxfId="2114" priority="5">
      <formula>ABS(Y$16-Y$19)&gt;=1000</formula>
    </cfRule>
  </conditionalFormatting>
  <conditionalFormatting sqref="F14">
    <cfRule type="expression" dxfId="2113" priority="4">
      <formula>ABS(F$16-F$19)&gt;=1000</formula>
    </cfRule>
  </conditionalFormatting>
  <conditionalFormatting sqref="H14">
    <cfRule type="expression" dxfId="2112" priority="3">
      <formula>ABS(H$16-H$19)&gt;=1000</formula>
    </cfRule>
  </conditionalFormatting>
  <conditionalFormatting sqref="AD5">
    <cfRule type="expression" dxfId="2111" priority="2">
      <formula>ABS(AD$7-AD$10)&gt;=1000</formula>
    </cfRule>
  </conditionalFormatting>
  <conditionalFormatting sqref="AE5">
    <cfRule type="expression" dxfId="211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1395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62">
    <pageSetUpPr fitToPage="1"/>
  </sheetPr>
  <dimension ref="A1:CU223"/>
  <sheetViews>
    <sheetView view="pageBreakPreview" zoomScale="70" zoomScaleNormal="100" zoomScaleSheetLayoutView="70" workbookViewId="0">
      <selection activeCell="H14" sqref="H14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2" t="s" ph="1">
        <v>161</v>
      </c>
      <c r="C1" s="182" ph="1"/>
      <c r="D1" s="182" ph="1"/>
      <c r="E1" s="182" ph="1"/>
      <c r="F1" s="182" ph="1"/>
      <c r="G1" s="182" ph="1"/>
      <c r="H1" s="182" ph="1"/>
      <c r="I1" s="182" ph="1"/>
      <c r="J1" s="182" ph="1"/>
      <c r="K1" s="182" ph="1"/>
      <c r="L1" s="182" ph="1"/>
      <c r="M1" s="182" ph="1"/>
      <c r="N1" s="182" ph="1"/>
      <c r="O1" s="182" ph="1"/>
      <c r="P1" s="182" ph="1"/>
      <c r="Q1" s="182" ph="1"/>
      <c r="R1" s="182" ph="1"/>
      <c r="S1" s="182" ph="1"/>
      <c r="T1" s="182" ph="1"/>
      <c r="U1" s="182" ph="1"/>
      <c r="V1" s="182" ph="1"/>
      <c r="W1" s="182" ph="1"/>
      <c r="X1" s="182" ph="1"/>
      <c r="Y1" s="182" ph="1"/>
      <c r="Z1" s="182" ph="1"/>
      <c r="AA1" s="182" ph="1"/>
      <c r="AB1" s="182" ph="1"/>
      <c r="AC1" s="182" ph="1"/>
      <c r="AD1" s="182" ph="1"/>
      <c r="AE1" s="182" ph="1"/>
    </row>
    <row r="2" spans="1:99" s="66" customFormat="1" ht="24" customHeight="1" ph="1">
      <c r="B2" s="183" t="s" ph="1">
        <v>82</v>
      </c>
      <c r="C2" s="183" ph="1"/>
      <c r="D2" s="183" ph="1"/>
      <c r="E2" s="183" ph="1"/>
      <c r="F2" s="183" ph="1"/>
      <c r="G2" s="183" ph="1"/>
      <c r="H2" s="183" ph="1"/>
      <c r="I2" s="183" ph="1"/>
      <c r="J2" s="183" ph="1"/>
      <c r="K2" s="183" ph="1"/>
      <c r="L2" s="183" ph="1"/>
      <c r="M2" s="183" ph="1"/>
      <c r="N2" s="183" ph="1"/>
      <c r="O2" s="183" ph="1"/>
      <c r="P2" s="183" ph="1"/>
      <c r="Q2" s="183" ph="1"/>
      <c r="R2" s="183" ph="1"/>
      <c r="S2" s="183" ph="1"/>
      <c r="T2" s="183" ph="1"/>
      <c r="U2" s="183" ph="1"/>
      <c r="V2" s="183" ph="1"/>
      <c r="W2" s="183" ph="1"/>
      <c r="X2" s="183" ph="1"/>
      <c r="Y2" s="183" ph="1"/>
      <c r="Z2" s="183" ph="1"/>
      <c r="AA2" s="183" ph="1"/>
      <c r="AB2" s="183" ph="1"/>
      <c r="AC2" s="183" ph="1"/>
      <c r="AD2" s="183" ph="1"/>
      <c r="AE2" s="183" ph="1"/>
    </row>
    <row r="3" spans="1:99" ht="21" customHeight="1" ph="1">
      <c r="B3" s="184" ph="1">
        <v>46121</v>
      </c>
      <c r="C3" s="184"/>
      <c r="D3" s="184"/>
      <c r="E3" s="184"/>
      <c r="F3" s="184"/>
      <c r="G3" s="184"/>
      <c r="H3" s="184"/>
      <c r="I3" s="184"/>
      <c r="J3" s="184"/>
      <c r="K3" s="184"/>
      <c r="L3" s="184"/>
      <c r="M3" s="184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</row>
    <row r="4" spans="1:99" s="69" customFormat="1" ph="1">
      <c r="A4" s="65" ph="1"/>
      <c r="B4" s="185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5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1" ph="1">
        <v>0.33333333333333331</v>
      </c>
      <c r="C6" s="151" t="s" ph="1">
        <v>177</v>
      </c>
      <c r="D6" s="71">
        <v>3620</v>
      </c>
      <c r="E6" s="71">
        <v>6945</v>
      </c>
      <c r="F6" s="71">
        <v>6321</v>
      </c>
      <c r="G6" s="71">
        <v>9223</v>
      </c>
      <c r="H6" s="71">
        <v>6491</v>
      </c>
      <c r="I6" s="71">
        <v>10.199999999999999</v>
      </c>
      <c r="J6" s="71">
        <v>6.49</v>
      </c>
      <c r="K6" s="71">
        <v>6.84</v>
      </c>
      <c r="L6" s="71">
        <v>16.559999999999999</v>
      </c>
      <c r="M6" s="71">
        <v>1095</v>
      </c>
      <c r="N6" s="71">
        <v>131</v>
      </c>
      <c r="O6" s="71">
        <v>2463</v>
      </c>
      <c r="P6" s="71">
        <v>0</v>
      </c>
      <c r="Q6" s="71">
        <v>0</v>
      </c>
      <c r="R6" s="71">
        <v>0</v>
      </c>
      <c r="S6" s="71">
        <v>0</v>
      </c>
      <c r="T6" s="71">
        <v>0</v>
      </c>
      <c r="U6" s="71">
        <v>6942</v>
      </c>
      <c r="V6" s="71">
        <v>4383</v>
      </c>
      <c r="W6" s="71">
        <v>2794</v>
      </c>
      <c r="X6" s="71">
        <v>3831</v>
      </c>
      <c r="Y6" s="71">
        <v>0</v>
      </c>
      <c r="Z6" s="71">
        <v>6347</v>
      </c>
      <c r="AA6" s="71">
        <v>4204</v>
      </c>
      <c r="AB6" s="71">
        <v>2111</v>
      </c>
      <c r="AC6" s="71">
        <v>7480</v>
      </c>
      <c r="AD6" s="71">
        <v>2810</v>
      </c>
      <c r="AE6" s="71">
        <v>4157</v>
      </c>
    </row>
    <row r="7" spans="1:99" s="72" customFormat="1" ht="22.2" ph="1">
      <c r="B7" s="181" ph="1"/>
      <c r="C7" s="68" t="s" ph="1">
        <v>178</v>
      </c>
      <c r="D7" s="73" ph="1">
        <f>D6*33.183*LOOKUP(D8,密度!$A$2:$A$50,密度!$Q$2:$Q$50)</f>
        <v>113900.11657200001</v>
      </c>
      <c r="E7" s="73" ph="1">
        <f>E6*51.53*LOOKUP(E8,密度!$A$2:$A$50,密度!$B$2:$B$50)</f>
        <v>279966.27745500003</v>
      </c>
      <c r="F7" s="73" ph="1">
        <f>F6*33.183*LOOKUP(F8,密度!$A$2:$A$50,密度!$C$2:$C$50)</f>
        <v>233220.73924170001</v>
      </c>
      <c r="G7" s="73" ph="1">
        <f xml:space="preserve"> (G6+2)*51.53*LOOKUP(G8,密度!$A$2:$A$50,密度!$B$2:$B$50)</f>
        <v>371877.45277500001</v>
      </c>
      <c r="H7" s="73" ph="1">
        <f>(H6)*51.53*LOOKUP(H8,密度!$A$2:$A$50,密度!$B$2:$B$50)</f>
        <v>262266.73244300002</v>
      </c>
      <c r="I7" s="73" ph="1">
        <f>I6*290.8*1.0267</f>
        <v>3045.3564719999995</v>
      </c>
      <c r="J7" s="73" ph="1">
        <f>J6*290.8*0.7892</f>
        <v>1489.4508464</v>
      </c>
      <c r="K7" s="73" ph="1">
        <f>K6*290.8*1.1126</f>
        <v>2213.0415072000001</v>
      </c>
      <c r="L7" s="73" ph="1">
        <f>L6*290.8*0.777</f>
        <v>3741.7584960000004</v>
      </c>
      <c r="M7" s="73" ph="1">
        <f>M6*33.183*LOOKUP(M8,密度!$A$2:$A$50,密度!$D$2:$D$50)</f>
        <v>37338.241626000003</v>
      </c>
      <c r="N7" s="73" ph="1">
        <f>N6*33.183*LOOKUP(N8,密度!$A$2:$A$50,密度!$E$2:$E$50)</f>
        <v>3414.9819887999997</v>
      </c>
      <c r="O7" s="73" ph="1">
        <f>O6*20.428*LOOKUP(O8,密度!$A$2:$A$50,密度!$C$2:$C$50)</f>
        <v>55717.905213600003</v>
      </c>
      <c r="P7" s="73" ph="1">
        <f>P6*51.53*LOOKUP(P8,密度!$A$2:$A$50,密度!$B$2:$B$50)</f>
        <v>0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46076.937706799996</v>
      </c>
      <c r="V7" s="73" ph="1">
        <f>V6*1.5*1.5*3.1416*LOOKUP(V8,密度!$A$2:$A$50,密度!$L$2:$L$50)</f>
        <v>28967.865003000003</v>
      </c>
      <c r="W7" s="73" ph="1">
        <f>W6*1.5*1.5*3.1416*LOOKUP(W8,密度!$A$2:$A$50,密度!$L$2:$L$50)</f>
        <v>18584.437964399996</v>
      </c>
      <c r="X7" s="73" ph="1">
        <f>X6*1.5*1.5*3.1416*LOOKUP(X8,密度!$A$2:$A$50,密度!$L$2:$L$50)</f>
        <v>25644.576850199999</v>
      </c>
      <c r="Y7" s="73" ph="1">
        <f>Y6*1.5*1.5*3.1416*LOOKUP(Y8,密度!$A$2:$A$50,密度!$L$2:$L$50)</f>
        <v>0</v>
      </c>
      <c r="Z7" s="73" ph="1">
        <f>Z6*33.183*LOOKUP(Z8,密度!$A$2:$A$50,密度!$L$2:$L$50)</f>
        <v>198186.36344099996</v>
      </c>
      <c r="AA7" s="73" ph="1">
        <f>AA6*33.183*LOOKUP(AA8,密度!$A$2:$A$50,密度!$D$2:$D$50)</f>
        <v>143491.07009519998</v>
      </c>
      <c r="AB7" s="73" ph="1">
        <f>AB6*20.428*LOOKUP(AB8,密度!$A$2:$A$50,密度!$D$2:$D$50)</f>
        <v>44697.516042000003</v>
      </c>
      <c r="AC7" s="73" ph="1">
        <f>AC6*51.53*LOOKUP(AC8,密度!$A$2:$A$50,密度!$Q$2:$Q$50)</f>
        <v>366318.64887200005</v>
      </c>
      <c r="AD7" s="73" ph="1">
        <f>AD6*20.428*LOOKUP(AD8,密度!$A$2:$A$50,密度!$V$2:$V$50)</f>
        <v>55152.494943999998</v>
      </c>
      <c r="AE7" s="73" ph="1">
        <f>AE6*20.428</f>
        <v>84919.195999999996</v>
      </c>
    </row>
    <row r="8" spans="1:99" ph="1">
      <c r="B8" s="181" ph="1"/>
      <c r="C8" s="68" t="s" ph="1">
        <v>179</v>
      </c>
      <c r="D8" s="74">
        <v>23</v>
      </c>
      <c r="E8" s="74">
        <v>22</v>
      </c>
      <c r="F8" s="74">
        <v>21</v>
      </c>
      <c r="G8" s="74">
        <v>22</v>
      </c>
      <c r="H8" s="74">
        <v>20</v>
      </c>
      <c r="I8" s="74">
        <v>25</v>
      </c>
      <c r="J8" s="74">
        <v>25</v>
      </c>
      <c r="K8" s="74">
        <v>25</v>
      </c>
      <c r="L8" s="74">
        <v>25</v>
      </c>
      <c r="M8" s="74">
        <v>24</v>
      </c>
      <c r="N8" s="74">
        <v>23</v>
      </c>
      <c r="O8" s="74">
        <v>27</v>
      </c>
      <c r="P8" s="74">
        <v>21</v>
      </c>
      <c r="Q8" s="74">
        <v>24</v>
      </c>
      <c r="R8" s="74">
        <v>22</v>
      </c>
      <c r="S8" s="74">
        <v>20</v>
      </c>
      <c r="T8" s="74">
        <v>23</v>
      </c>
      <c r="U8" s="74">
        <v>23</v>
      </c>
      <c r="V8" s="74">
        <v>27</v>
      </c>
      <c r="W8" s="74">
        <v>21</v>
      </c>
      <c r="X8" s="74">
        <v>15</v>
      </c>
      <c r="Y8" s="74">
        <v>22</v>
      </c>
      <c r="Z8" s="74">
        <v>21</v>
      </c>
      <c r="AA8" s="74">
        <v>23</v>
      </c>
      <c r="AB8" s="74">
        <v>14</v>
      </c>
      <c r="AC8" s="74">
        <v>20</v>
      </c>
      <c r="AD8" s="74">
        <v>21</v>
      </c>
      <c r="AE8" s="74">
        <v>24</v>
      </c>
    </row>
    <row r="9" spans="1:99" ht="26.4" ph="1">
      <c r="B9" s="181" ph="1">
        <v>0.66666666666666663</v>
      </c>
      <c r="C9" s="151" t="s" ph="1">
        <v>180</v>
      </c>
      <c r="D9" s="71">
        <v>3621</v>
      </c>
      <c r="E9" s="71">
        <v>6945</v>
      </c>
      <c r="F9" s="71">
        <v>6324</v>
      </c>
      <c r="G9" s="71">
        <v>9235</v>
      </c>
      <c r="H9" s="71">
        <v>6495</v>
      </c>
      <c r="I9" s="71">
        <v>10.14</v>
      </c>
      <c r="J9" s="71">
        <v>6.5</v>
      </c>
      <c r="K9" s="71">
        <v>62.73</v>
      </c>
      <c r="L9" s="71">
        <v>16.5</v>
      </c>
      <c r="M9" s="71">
        <v>1095</v>
      </c>
      <c r="N9" s="71">
        <v>133</v>
      </c>
      <c r="O9" s="71">
        <v>1530</v>
      </c>
      <c r="P9" s="71">
        <v>0</v>
      </c>
      <c r="Q9" s="71">
        <v>0</v>
      </c>
      <c r="R9" s="71">
        <v>0</v>
      </c>
      <c r="S9" s="71">
        <v>0</v>
      </c>
      <c r="T9" s="71">
        <v>0</v>
      </c>
      <c r="U9" s="71">
        <v>2316</v>
      </c>
      <c r="V9" s="71">
        <v>4389</v>
      </c>
      <c r="W9" s="71">
        <v>5069</v>
      </c>
      <c r="X9" s="71">
        <v>5391</v>
      </c>
      <c r="Y9" s="71">
        <v>0</v>
      </c>
      <c r="Z9" s="71">
        <v>4056</v>
      </c>
      <c r="AA9" s="71">
        <v>4211</v>
      </c>
      <c r="AB9" s="71">
        <v>2011</v>
      </c>
      <c r="AC9" s="71">
        <v>7482</v>
      </c>
      <c r="AD9" s="71">
        <v>2810</v>
      </c>
      <c r="AE9" s="71">
        <v>4068</v>
      </c>
    </row>
    <row r="10" spans="1:99" s="72" customFormat="1" ht="22.2" ph="1">
      <c r="B10" s="181" ph="1"/>
      <c r="C10" s="151" t="s" ph="1">
        <v>178</v>
      </c>
      <c r="D10" s="73" ph="1">
        <f>D9*33.183*LOOKUP(D11,密度!$A$2:$A$50,密度!$Q$2:$Q$50)</f>
        <v>113756.15345382001</v>
      </c>
      <c r="E10" s="73" ph="1">
        <f>E9*51.53*LOOKUP(E11,密度!$A$2:$A$50,密度!$B$2:$B$50)</f>
        <v>278069.53545000002</v>
      </c>
      <c r="F10" s="73" ph="1">
        <f>F9*33.183*LOOKUP(F11,密度!$A$2:$A$50,密度!$C$2:$C$50)</f>
        <v>232848.77440319996</v>
      </c>
      <c r="G10" s="73" ph="1">
        <f xml:space="preserve"> (G9+2)*51.53*LOOKUP(G11,密度!$A$2:$A$50,密度!$B$2:$B$50)</f>
        <v>370266.87231900002</v>
      </c>
      <c r="H10" s="73" ph="1">
        <f>(H9)*51.53*LOOKUP(H11,密度!$A$2:$A$50,密度!$B$2:$B$50)</f>
        <v>260353.28956500004</v>
      </c>
      <c r="I10" s="73" ph="1">
        <f>I9*290.8*1.0267</f>
        <v>3027.4426104000004</v>
      </c>
      <c r="J10" s="73" ph="1">
        <f>J9*290.8*0.7892</f>
        <v>1491.74584</v>
      </c>
      <c r="K10" s="73" ph="1">
        <f>K9*290.8*1.1126</f>
        <v>20295.920138399997</v>
      </c>
      <c r="L10" s="73" ph="1">
        <f>L9*290.8*0.777</f>
        <v>3728.2013999999999</v>
      </c>
      <c r="M10" s="73" ph="1">
        <f>M9*33.183*LOOKUP(M11,密度!$A$2:$A$50,密度!$D$2:$D$50)</f>
        <v>37069.359777000005</v>
      </c>
      <c r="N10" s="73" ph="1">
        <f>N9*33.183*LOOKUP(N11,密度!$A$2:$A$50,密度!$E$2:$E$50)</f>
        <v>3421.7499934799998</v>
      </c>
      <c r="O10" s="73" ph="1">
        <f>O9*20.428*LOOKUP(O11,密度!$A$2:$A$50,密度!$C$2:$C$50)</f>
        <v>34474.088519999998</v>
      </c>
      <c r="P10" s="73" ph="1">
        <f>P9*51.53*LOOKUP(P11,密度!$A$2:$A$50,密度!$B$2:$B$50)</f>
        <v>0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15355.883188799999</v>
      </c>
      <c r="V10" s="73" ph="1">
        <f>V9*1.5*1.5*3.1416*LOOKUP(V11,密度!$A$2:$A$50,密度!$L$2:$L$50)</f>
        <v>29007.519849</v>
      </c>
      <c r="W10" s="73" ph="1">
        <f>W9*1.5*1.5*3.1416*LOOKUP(W11,密度!$A$2:$A$50,密度!$L$2:$L$50)</f>
        <v>33573.397195799997</v>
      </c>
      <c r="X10" s="73" ph="1">
        <f>X9*1.5*1.5*3.1416*LOOKUP(X11,密度!$A$2:$A$50,密度!$L$2:$L$50)</f>
        <v>36087.161002199995</v>
      </c>
      <c r="Y10" s="73" ph="1">
        <f>Y9*1.5*1.5*3.1416*LOOKUP(Y11,密度!$A$2:$A$50,密度!$L$2:$L$50)</f>
        <v>0</v>
      </c>
      <c r="Z10" s="73" ph="1">
        <f>Z9*33.183*LOOKUP(Z11,密度!$A$2:$A$50,密度!$L$2:$L$50)</f>
        <v>125976.47212799999</v>
      </c>
      <c r="AA10" s="73" ph="1">
        <f>AA9*33.183*LOOKUP(AA11,密度!$A$2:$A$50,密度!$D$2:$D$50)</f>
        <v>142807.75248600001</v>
      </c>
      <c r="AB10" s="73" ph="1">
        <f>AB9*20.428*LOOKUP(AB11,密度!$A$2:$A$50,密度!$D$2:$D$50)</f>
        <v>42440.479434799992</v>
      </c>
      <c r="AC10" s="73" ph="1">
        <f>AC9*51.53*LOOKUP(AC11,密度!$A$2:$A$50,密度!$Q$2:$Q$50)</f>
        <v>364465.72488720005</v>
      </c>
      <c r="AD10" s="73" ph="1">
        <f>AD9*20.428*LOOKUP(AD11,密度!$A$2:$A$50,密度!$V$2:$V$50)</f>
        <v>54968.806367999998</v>
      </c>
      <c r="AE10" s="73" ph="1">
        <f>AE9*20.428</f>
        <v>83101.104000000007</v>
      </c>
    </row>
    <row r="11" spans="1:99" ph="1">
      <c r="A11" s="64" t="s" ph="1">
        <v>162</v>
      </c>
      <c r="B11" s="181" ph="1"/>
      <c r="C11" s="151" t="s" ph="1">
        <v>179</v>
      </c>
      <c r="D11" s="74">
        <v>25</v>
      </c>
      <c r="E11" s="74">
        <v>28</v>
      </c>
      <c r="F11" s="74">
        <v>24</v>
      </c>
      <c r="G11" s="74">
        <v>27</v>
      </c>
      <c r="H11" s="74">
        <v>27</v>
      </c>
      <c r="I11" s="74">
        <v>25</v>
      </c>
      <c r="J11" s="74">
        <v>25</v>
      </c>
      <c r="K11" s="74">
        <v>25</v>
      </c>
      <c r="L11" s="74">
        <v>25</v>
      </c>
      <c r="M11" s="74">
        <v>32</v>
      </c>
      <c r="N11" s="74">
        <v>32</v>
      </c>
      <c r="O11" s="74">
        <v>32</v>
      </c>
      <c r="P11" s="74">
        <v>32</v>
      </c>
      <c r="Q11" s="74">
        <v>35</v>
      </c>
      <c r="R11" s="74">
        <v>36</v>
      </c>
      <c r="S11" s="74">
        <v>26</v>
      </c>
      <c r="T11" s="74">
        <v>31</v>
      </c>
      <c r="U11" s="74">
        <v>24</v>
      </c>
      <c r="V11" s="74">
        <v>27</v>
      </c>
      <c r="W11" s="74">
        <v>25</v>
      </c>
      <c r="X11" s="74">
        <v>15</v>
      </c>
      <c r="Y11" s="74">
        <v>31</v>
      </c>
      <c r="Z11" s="74">
        <v>26</v>
      </c>
      <c r="AA11" s="74">
        <v>30</v>
      </c>
      <c r="AB11" s="74">
        <v>18</v>
      </c>
      <c r="AC11" s="74">
        <v>27</v>
      </c>
      <c r="AD11" s="74">
        <v>26</v>
      </c>
      <c r="AE11" s="74">
        <v>27</v>
      </c>
    </row>
    <row r="12" spans="1:99" ht="9.9" customHeight="1" ph="1"/>
    <row r="13" spans="1:99" s="72" customFormat="1" ht="29.25" customHeight="1" ph="1">
      <c r="B13" s="189" t="s" ph="1">
        <v>37</v>
      </c>
      <c r="C13" s="151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0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639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1" ph="1">
        <v>0.33333333333333331</v>
      </c>
      <c r="C15" s="151" t="s" ph="1">
        <v>177</v>
      </c>
      <c r="D15" s="78">
        <v>27</v>
      </c>
      <c r="E15" s="78">
        <v>4000</v>
      </c>
      <c r="F15" s="78">
        <v>1891</v>
      </c>
      <c r="G15" s="78">
        <v>5024</v>
      </c>
      <c r="H15" s="78">
        <v>1896</v>
      </c>
      <c r="I15" s="78">
        <v>5467</v>
      </c>
      <c r="J15" s="78">
        <v>1947</v>
      </c>
      <c r="K15" s="78">
        <v>4413</v>
      </c>
      <c r="L15" s="78">
        <v>6982</v>
      </c>
      <c r="M15" s="78">
        <v>644</v>
      </c>
      <c r="N15" s="78">
        <v>4272</v>
      </c>
      <c r="O15" s="78">
        <v>4991</v>
      </c>
      <c r="P15" s="78">
        <v>1103</v>
      </c>
      <c r="Q15" s="78">
        <v>1280</v>
      </c>
      <c r="R15" s="78">
        <v>7394</v>
      </c>
      <c r="S15" s="78">
        <v>0</v>
      </c>
      <c r="T15" s="78">
        <v>6513</v>
      </c>
      <c r="U15" s="78">
        <v>1717</v>
      </c>
      <c r="V15" s="78">
        <v>3703</v>
      </c>
      <c r="W15" s="71">
        <v>-172</v>
      </c>
      <c r="X15" s="78">
        <v>-104</v>
      </c>
      <c r="Y15" s="106">
        <v>-9906</v>
      </c>
      <c r="Z15" s="78">
        <v>0</v>
      </c>
      <c r="AA15" s="78">
        <v>4388</v>
      </c>
      <c r="AB15" s="78" ph="1">
        <v>2590</v>
      </c>
      <c r="AC15" s="78" ph="1">
        <v>2498</v>
      </c>
      <c r="AD15" s="78">
        <v>50.59</v>
      </c>
      <c r="AE15" s="78">
        <v>5.44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2" ph="1"/>
      <c r="C16" s="151" t="s" ph="1">
        <v>178</v>
      </c>
      <c r="D16" s="73" ph="1">
        <f>D15*7.0686*LOOKUP(D17,密度!$A$2:$A$50,密度!$L$2:$L$50)</f>
        <v>179.21021579999999</v>
      </c>
      <c r="E16" s="73" ph="1">
        <f>E15*7.0686*LOOKUP(E17,密度!$A$2:$A$50,密度!$L$2:$L$50)</f>
        <v>26549.661599999999</v>
      </c>
      <c r="F16" s="73" ph="1">
        <f>F15*9.0746*LOOKUP(F17,密度!$A$2:$A$50,密度!$L$2:$L$50)</f>
        <v>16078.9842782</v>
      </c>
      <c r="G16" s="73" ph="1">
        <f>G15*9.0746*LOOKUP(G17,密度!$A$2:$A$50,密度!$B$2:$B$50)</f>
        <v>35501.548484479994</v>
      </c>
      <c r="H16" s="73" ph="1">
        <f>H15*9.0746*LOOKUP(H17,密度!$A$2:$A$50,密度!$L$2:$L$50)</f>
        <v>16138.7042208</v>
      </c>
      <c r="I16" s="73" ph="1">
        <f>I15*9.0746*LOOKUP(I17,密度!$A$2:$A$50,密度!$U$2:$U$50)</f>
        <v>50999.941669599997</v>
      </c>
      <c r="J16" s="73" ph="1">
        <f>J15*9.0746*LOOKUP(J17,密度!$A$2:$A$50,密度!$L$2:$L$50)</f>
        <v>16590.483181800002</v>
      </c>
      <c r="K16" s="73" ph="1">
        <f>K15*9.0746*LOOKUP(K17,密度!$A$2:$A$50,密度!$C$2:$C$50)</f>
        <v>44495.343708780005</v>
      </c>
      <c r="L16" s="73" ph="1">
        <f>L15*9.0746*LOOKUP(L17,密度!$A$2:$A$50,密度!$E$2:$E$50)</f>
        <v>49850.748844960006</v>
      </c>
      <c r="M16" s="73" ph="1">
        <f>M15*9.0746*LOOKUP(M17,密度!$A$2:$A$50,密度!$M$2:$M$50)</f>
        <v>5131.0692272000006</v>
      </c>
      <c r="N16" s="73" ph="1">
        <f>N15*9.0746*LOOKUP(N17,密度!$A$2:$A$50,密度!$M$2:$M$50)</f>
        <v>34079.798233920003</v>
      </c>
      <c r="O16" s="73" ph="1">
        <f>O15*9.0746*LOOKUP(O17,密度!$A$2:$A$50,密度!$G$2:$G$50)</f>
        <v>43488.733721720004</v>
      </c>
      <c r="P16" s="73" ph="1">
        <f ca="1">P15*9.0746*LOOKUP(P17,密度!$A$2:$A$51,密度!$Q$2:$Q$50)</f>
        <v>9499.7111617420014</v>
      </c>
      <c r="Q16" s="73" ph="1">
        <f>Q15*9.0746*LOOKUP(Q17,密度!$A$2:$A$50,密度!$Q$2:$Q$50)</f>
        <v>11013.805721600002</v>
      </c>
      <c r="R16" s="73" ph="1">
        <f>MAX(R15*9.0746*LOOKUP(R17,密度!$A$2:$A$50,密度!$B$2:$B$50),0)</f>
        <v>52369.670868200003</v>
      </c>
      <c r="S16" s="73" ph="1">
        <f>S15*9.0746*LOOKUP(S17,密度!$A$2:$A$50,密度!$Q$2:$Q$50)</f>
        <v>0</v>
      </c>
      <c r="T16" s="73" ph="1">
        <f>T15*9.0746*LOOKUP(T17,密度!$A$2:$A$50,密度!$O$2:$O$50)</f>
        <v>54965.668914000002</v>
      </c>
      <c r="U16" s="73" ph="1">
        <f>U15*9.0746*LOOKUP(U17,密度!$A$2:$A$50,密度!$H$2:$H$50)</f>
        <v>14329.926817539999</v>
      </c>
      <c r="V16" s="73" ph="1">
        <f>MAX(5600*LOOKUP(V17,密度!$A$2:$A$50,密度!$Q$2:$Q$50)+V15*9.0476*LOOKUP(V17,密度!$A$2:$A$50,密度!$Q$2:$Q$50),0)</f>
        <v>37049.168405115997</v>
      </c>
      <c r="W16" s="73" ph="1">
        <f>MAX(5600*LOOKUP(W17,密度!$A$2:$A$50,密度!$Q$2:$Q$50)+W15*9.0476*LOOKUP(W17,密度!$A$2:$A$50,密度!$Q$2:$Q$50),0)</f>
        <v>3834.3432969599999</v>
      </c>
      <c r="X16" s="73" ph="1">
        <f>MAX(5600*LOOKUP(X17,密度!$A$2:$A$50,密度!$I$2:$I$50)+X15*9.0476*LOOKUP(X17,密度!$A$2:$A$50,密度!$I$2:$I$50),0)</f>
        <v>4861.2523526400009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31150.673437039997</v>
      </c>
      <c r="AB16" s="73" ph="1">
        <f>AB15*9.0746*LOOKUP(AB17,密度!$A$2:$A$50,密度!$L$2:$L$50)</f>
        <v>22046.014732</v>
      </c>
      <c r="AC16" s="73" ph="1">
        <f>AC15*9.0746*LOOKUP(AC17,密度!$A$2:$A$50,密度!$L$2:$L$50)</f>
        <v>21330.918102799998</v>
      </c>
      <c r="AD16" s="73" ph="1">
        <f>AD15*268.68*LOOKUP(AD17,密度!$A$2:$A$50,密度!B2:B50)+IF(AD15&lt;=0,0,1566*LOOKUP(AD17,密度!$A$2:$A$50,密度!B2:B50))</f>
        <v>11817.58312752</v>
      </c>
      <c r="AE16" s="73" ph="1">
        <f>AE15*268.68*LOOKUP(AE17,密度!$A$2:$A$50,密度!B2:B50)+IF(AE15&lt;=0,0,1566*LOOKUP(AE17,密度!$A$2:$A$50,密度!B2:B50))</f>
        <v>2360.3319283199999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3" ph="1"/>
      <c r="C17" s="79" t="s" ph="1">
        <v>179</v>
      </c>
      <c r="D17" s="74">
        <v>23</v>
      </c>
      <c r="E17" s="74">
        <v>23</v>
      </c>
      <c r="F17" s="74">
        <v>25</v>
      </c>
      <c r="G17" s="74">
        <v>26</v>
      </c>
      <c r="H17" s="74">
        <v>24</v>
      </c>
      <c r="I17" s="74">
        <v>22</v>
      </c>
      <c r="J17" s="74">
        <v>23</v>
      </c>
      <c r="K17" s="74">
        <v>22</v>
      </c>
      <c r="L17" s="74">
        <v>22</v>
      </c>
      <c r="M17" s="74">
        <v>22</v>
      </c>
      <c r="N17" s="74">
        <v>21</v>
      </c>
      <c r="O17" s="74">
        <v>25</v>
      </c>
      <c r="P17" s="74">
        <v>22</v>
      </c>
      <c r="Q17" s="74">
        <v>23</v>
      </c>
      <c r="R17" s="74">
        <v>24</v>
      </c>
      <c r="S17" s="74">
        <v>22</v>
      </c>
      <c r="T17" s="74">
        <v>22</v>
      </c>
      <c r="U17" s="74">
        <v>20</v>
      </c>
      <c r="V17" s="74">
        <v>24</v>
      </c>
      <c r="W17" s="74">
        <v>23</v>
      </c>
      <c r="X17" s="74">
        <v>24</v>
      </c>
      <c r="Y17" s="108">
        <v>24</v>
      </c>
      <c r="Z17" s="74">
        <v>22</v>
      </c>
      <c r="AA17" s="74">
        <v>22</v>
      </c>
      <c r="AB17" s="74">
        <v>24</v>
      </c>
      <c r="AC17" s="74">
        <v>21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1" ph="1">
        <v>0.66666666666666663</v>
      </c>
      <c r="C18" s="79" t="s" ph="1">
        <v>180</v>
      </c>
      <c r="D18" s="71">
        <v>3580</v>
      </c>
      <c r="E18" s="71">
        <v>4007</v>
      </c>
      <c r="F18" s="71">
        <v>1890</v>
      </c>
      <c r="G18" s="71">
        <v>5084</v>
      </c>
      <c r="H18" s="71">
        <v>2315</v>
      </c>
      <c r="I18" s="71">
        <v>5472</v>
      </c>
      <c r="J18" s="71">
        <v>1990</v>
      </c>
      <c r="K18" s="71">
        <v>5006</v>
      </c>
      <c r="L18" s="71">
        <v>7000</v>
      </c>
      <c r="M18" s="71">
        <v>3680</v>
      </c>
      <c r="N18" s="71">
        <v>1276</v>
      </c>
      <c r="O18" s="71">
        <v>4998</v>
      </c>
      <c r="P18" s="71">
        <v>1102</v>
      </c>
      <c r="Q18" s="71">
        <v>1280</v>
      </c>
      <c r="R18" s="71">
        <v>7404</v>
      </c>
      <c r="S18" s="71">
        <v>0</v>
      </c>
      <c r="T18" s="71">
        <v>5913</v>
      </c>
      <c r="U18" s="71">
        <v>1717</v>
      </c>
      <c r="V18" s="71">
        <v>3701</v>
      </c>
      <c r="W18" s="71">
        <v>-173</v>
      </c>
      <c r="X18" s="71">
        <v>-107</v>
      </c>
      <c r="Y18" s="109">
        <v>-9907</v>
      </c>
      <c r="Z18" s="71">
        <v>0</v>
      </c>
      <c r="AA18" s="71">
        <v>4060</v>
      </c>
      <c r="AB18" s="71">
        <v>402</v>
      </c>
      <c r="AC18" s="71">
        <v>2500</v>
      </c>
      <c r="AD18" s="71">
        <v>84.64</v>
      </c>
      <c r="AE18" s="71">
        <v>20.09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2" ph="1"/>
      <c r="C19" s="151" t="s" ph="1">
        <v>178</v>
      </c>
      <c r="D19" s="73" ph="1">
        <f>D18*7.0686*LOOKUP(D20,密度!$A$2:$A$50,密度!$L$2:$L$50)</f>
        <v>23508.891252000001</v>
      </c>
      <c r="E19" s="73" ph="1">
        <f>E18*7.0686*LOOKUP(E20,密度!$A$2:$A$50,密度!$L$2:$L$50)</f>
        <v>26312.884705799999</v>
      </c>
      <c r="F19" s="73" ph="1">
        <f>F18*9.0746*LOOKUP(F20,密度!$A$2:$A$50,密度!$L$2:$L$50)</f>
        <v>15967.575413999999</v>
      </c>
      <c r="G19" s="73" ph="1">
        <f>G18*9.0746*LOOKUP(G20,密度!$A$2:$A$50,密度!$B$2:$B$50)</f>
        <v>35925.531945679999</v>
      </c>
      <c r="H19" s="73" ph="1">
        <f>H18*9.0746*LOOKUP(H20,密度!$A$2:$A$50,密度!$L$2:$L$50)</f>
        <v>19642.198565000002</v>
      </c>
      <c r="I19" s="73" ph="1">
        <f>I18*9.0746*LOOKUP(I20,密度!$A$2:$A$50,密度!$U$2:$U$50)</f>
        <v>50500.366790399996</v>
      </c>
      <c r="J19" s="73" ph="1">
        <f>J18*9.0746*LOOKUP(J20,密度!$A$2:$A$50,密度!$L$2:$L$50)</f>
        <v>16830.479128000003</v>
      </c>
      <c r="K19" s="73" ph="1">
        <f>K18*9.0746*LOOKUP(K20,密度!$A$2:$A$50,密度!$C$2:$C$50)</f>
        <v>50270.013514160004</v>
      </c>
      <c r="L19" s="73" ph="1">
        <f>L18*9.0746*LOOKUP(L20,密度!$A$2:$A$50,密度!$E$2:$E$50)</f>
        <v>49680.712620000006</v>
      </c>
      <c r="M19" s="73" ph="1">
        <f>M18*9.0746*LOOKUP(M20,密度!$A$2:$A$50,密度!$M$2:$M$50)</f>
        <v>29120.028415999997</v>
      </c>
      <c r="N19" s="73" ph="1">
        <f>N18*9.0746*LOOKUP(N20,密度!$A$2:$A$50,密度!$M$2:$M$50)</f>
        <v>10121.369629359999</v>
      </c>
      <c r="O19" s="73" ph="1">
        <f>O18*9.0746*LOOKUP(O20,密度!$A$2:$A$50,密度!$G$2:$G$50)</f>
        <v>43449.947066399996</v>
      </c>
      <c r="P19" s="73" ph="1">
        <f ca="1">P18*9.0746*LOOKUP(P20,密度!$A$2:$A$51,密度!$Q$2:$Q$50)</f>
        <v>9399.5966354480006</v>
      </c>
      <c r="Q19" s="73" ph="1">
        <f>Q18*9.0746*LOOKUP(Q20,密度!$A$2:$A$50,密度!$Q$2:$Q$50)</f>
        <v>10940.628147200001</v>
      </c>
      <c r="R19" s="73" ph="1">
        <f>MAX(R18*9.0746*LOOKUP(R20,密度!$A$2:$A$50,密度!$B$2:$B$50),0)</f>
        <v>52205.338936800006</v>
      </c>
      <c r="S19" s="73" ph="1">
        <f>S18*9.0746*LOOKUP(S20,密度!$A$2:$A$50,密度!$Q$2:$Q$50)</f>
        <v>0</v>
      </c>
      <c r="T19" s="73" ph="1">
        <f>T18*9.0746*LOOKUP(T20,密度!$A$2:$A$50,密度!$O$2:$O$50)</f>
        <v>49687.409674800001</v>
      </c>
      <c r="U19" s="73" ph="1">
        <f>U18*9.0746*LOOKUP(U20,密度!$A$2:$A$50,密度!$H$2:$H$50)</f>
        <v>14252.02137654</v>
      </c>
      <c r="V19" s="73" ph="1">
        <f>MAX(5600*LOOKUP(V20,密度!$A$2:$A$50,密度!$Q$2:$Q$50)+V18*9.0476*LOOKUP(V20,密度!$A$2:$A$50,密度!$Q$2:$Q$50),0)</f>
        <v>36893.662252667993</v>
      </c>
      <c r="W19" s="73" ph="1">
        <f>MAX(5600*LOOKUP(W20,密度!$A$2:$A$50,密度!$Q$2:$Q$50)+W18*9.0476*LOOKUP(W20,密度!$A$2:$A$50,密度!$Q$2:$Q$50),0)</f>
        <v>3803.0889822159997</v>
      </c>
      <c r="X19" s="73" ph="1">
        <f>MAX(5600*LOOKUP(X20,密度!$A$2:$A$50,密度!$I$2:$I$50)+X18*9.0476*LOOKUP(X20,密度!$A$2:$A$50,密度!$I$2:$I$50),0)</f>
        <v>4806.9928770400002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28722.706129600003</v>
      </c>
      <c r="AB19" s="73" ph="1">
        <f>AB18*9.0746*LOOKUP(AB20,密度!$A$2:$A$50,密度!$L$2:$L$50)</f>
        <v>3385.3339776000003</v>
      </c>
      <c r="AC19" s="73" ph="1">
        <f>AC18*9.0746*LOOKUP(AC20,密度!$A$2:$A$50,密度!$L$2:$L$50)</f>
        <v>21234.564000000002</v>
      </c>
      <c r="AD19" s="73" ph="1">
        <f>AD18*268.68*LOOKUP(AD20,密度!$A$2:$A$50,密度!B5:B53)+IF(AD18&lt;=0,0,1566*LOOKUP(AD20,密度!$A$2:$A$50,密度!B5:B53))</f>
        <v>18886.597430400001</v>
      </c>
      <c r="AE19" s="73" ph="1">
        <f>AE18*268.68*LOOKUP(AE20,密度!$A$2:$A$50,密度!B5:B53)+IF(AE18&lt;=0,0,1566*LOOKUP(AE20,密度!$A$2:$A$50,密度!B5:B53))</f>
        <v>5410.8579924000005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2" ph="1"/>
      <c r="C20" s="80" t="s" ph="1">
        <v>179</v>
      </c>
      <c r="D20" s="81">
        <v>33</v>
      </c>
      <c r="E20" s="81">
        <v>33</v>
      </c>
      <c r="F20" s="81">
        <v>31</v>
      </c>
      <c r="G20" s="81">
        <v>26</v>
      </c>
      <c r="H20" s="81">
        <v>27</v>
      </c>
      <c r="I20" s="81">
        <v>33</v>
      </c>
      <c r="J20" s="81">
        <v>30</v>
      </c>
      <c r="K20" s="81">
        <v>28</v>
      </c>
      <c r="L20" s="81">
        <v>26</v>
      </c>
      <c r="M20" s="81">
        <v>28</v>
      </c>
      <c r="N20" s="81">
        <v>26</v>
      </c>
      <c r="O20" s="81">
        <v>27</v>
      </c>
      <c r="P20" s="81">
        <v>35</v>
      </c>
      <c r="Q20" s="81">
        <v>32</v>
      </c>
      <c r="R20" s="81">
        <v>28</v>
      </c>
      <c r="S20" s="81">
        <v>32</v>
      </c>
      <c r="T20" s="81">
        <v>26</v>
      </c>
      <c r="U20" s="81">
        <v>25</v>
      </c>
      <c r="V20" s="81">
        <v>29</v>
      </c>
      <c r="W20" s="81">
        <v>31</v>
      </c>
      <c r="X20" s="81">
        <v>29</v>
      </c>
      <c r="Y20" s="110">
        <v>29</v>
      </c>
      <c r="Z20" s="81">
        <v>33</v>
      </c>
      <c r="AA20" s="81">
        <v>25</v>
      </c>
      <c r="AB20" s="81">
        <v>34</v>
      </c>
      <c r="AC20" s="81">
        <v>26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0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69" t="s" ph="1">
        <v>69</v>
      </c>
      <c r="AA22" s="170"/>
      <c r="AB22" s="170"/>
      <c r="AC22" s="170"/>
      <c r="AD22" s="170"/>
      <c r="AE22" s="17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5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72" t="s" ph="1">
        <v>637</v>
      </c>
      <c r="AA23" s="173"/>
      <c r="AB23" s="173"/>
      <c r="AC23" s="173"/>
      <c r="AD23" s="173"/>
      <c r="AE23" s="17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1" ph="1">
        <v>0.33333333333333331</v>
      </c>
      <c r="C24" s="151" t="s" ph="1">
        <v>177</v>
      </c>
      <c r="D24" s="71">
        <v>52.02</v>
      </c>
      <c r="E24" s="71">
        <v>5.13</v>
      </c>
      <c r="F24" s="71">
        <v>3192</v>
      </c>
      <c r="G24" s="71">
        <v>3825</v>
      </c>
      <c r="H24" s="71">
        <v>3792</v>
      </c>
      <c r="I24" s="71">
        <v>0</v>
      </c>
      <c r="J24" s="71">
        <v>833</v>
      </c>
      <c r="K24" s="71">
        <v>441</v>
      </c>
      <c r="L24" s="71">
        <v>468</v>
      </c>
      <c r="M24" s="71">
        <v>665</v>
      </c>
      <c r="N24" s="71">
        <v>4894</v>
      </c>
      <c r="O24" s="71">
        <v>5723</v>
      </c>
      <c r="P24" s="71">
        <v>334</v>
      </c>
      <c r="Q24" s="90">
        <v>4056</v>
      </c>
      <c r="R24" s="71">
        <v>2194</v>
      </c>
      <c r="S24" s="71">
        <v>3921</v>
      </c>
      <c r="T24" s="71">
        <v>1271</v>
      </c>
      <c r="U24" s="71">
        <v>4046</v>
      </c>
      <c r="V24" s="71">
        <v>794</v>
      </c>
      <c r="W24" s="71">
        <v>11189</v>
      </c>
      <c r="X24" s="71">
        <v>5568</v>
      </c>
      <c r="Y24" s="71">
        <v>7374</v>
      </c>
      <c r="Z24" s="175"/>
      <c r="AA24" s="176"/>
      <c r="AB24" s="176"/>
      <c r="AC24" s="176"/>
      <c r="AD24" s="176"/>
      <c r="AE24" s="17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1" ph="1"/>
      <c r="C25" s="68" t="s" ph="1">
        <v>178</v>
      </c>
      <c r="D25" s="91" ph="1">
        <f>D24*268.68*LOOKUP(D26,密度!$A$2:$A$50,密度!$Q$2:$Q$50)+IF(D24&lt;=0,0,1566*LOOKUP(D26,密度!$A$2:$A$50,密度!$Q$2:$Q$50))</f>
        <v>14714.927608464002</v>
      </c>
      <c r="E25" s="91" ph="1">
        <f>E24*268.68*LOOKUP(E26,密度!$A$2:$A$50,密度!$C$2:$C$50)+IF(E24&lt;=0,0,1566*LOOKUP(E26,密度!$A$2:$A$50,密度!$C$2:$C$50))</f>
        <v>3264.96576276</v>
      </c>
      <c r="F25" s="91" ph="1">
        <f>F24*11.702*LOOKUP(F26,密度!$A$2:$A$50,密度!$Q$2:$Q$50)</f>
        <v>35417.909788800003</v>
      </c>
      <c r="G25" s="91" ph="1">
        <f>G24*18.322*LOOKUP(G26,密度!$A$2:$A$50,密度!$B$2:$B$50)</f>
        <v>54698.727824999994</v>
      </c>
      <c r="H25" s="91" ph="1">
        <f>H24*18.322*LOOKUP(H26,密度!$A$2:$A$50,密度!$B$2:$B$50)</f>
        <v>54289.346553599993</v>
      </c>
      <c r="I25" s="91" ph="1">
        <f>I24*18.322*LOOKUP(I26,密度!$A$2:$A$50,密度!$Q$2:$Q$50)</f>
        <v>0</v>
      </c>
      <c r="J25" s="91" ph="1">
        <f>J24*18.322*LOOKUP(J26,密度!$A$2:$A$50,密度!$Q$2:$Q$50)</f>
        <v>14471.642693199999</v>
      </c>
      <c r="K25" s="91" ph="1">
        <f>K24*18.322*LOOKUP(K26,密度!$A$2:$A$50,密度!$Q$2:$Q$50)</f>
        <v>7655.5594949400001</v>
      </c>
      <c r="L25" s="91" ph="1">
        <f>L24*18.322*LOOKUP(L26,密度!$A$2:$A$50,密度!$Q$2:$Q$50)</f>
        <v>8124.2672191199999</v>
      </c>
      <c r="M25" s="91" ph="1">
        <f>M24*18.322*LOOKUP(M26,密度!$A$2:$A$50,密度!$Q$2:$Q$50)</f>
        <v>11563.835941699999</v>
      </c>
      <c r="N25" s="91" ph="1">
        <f>N24*18.322*LOOKUP(N26,密度!$A$2:$A$50,密度!$Q$2:$Q$50)</f>
        <v>85218.548389839998</v>
      </c>
      <c r="O25" s="91" ph="1">
        <f>O24*18.322*LOOKUP(O26,密度!$A$2:$A$50,密度!$C$2:$C$50)</f>
        <v>116590.28259140001</v>
      </c>
      <c r="P25" s="91" ph="1">
        <f>P24*11.702*LOOKUP(P26,密度!$A$2:$A$50,密度!$B$2:$B$50)</f>
        <v>3057.5945164</v>
      </c>
      <c r="Q25" s="92" ph="1">
        <f>Q24*18.322*LOOKUP(Q26,密度!$A$2:$A$50,密度!$B$2:$B$50)</f>
        <v>58202.749862399993</v>
      </c>
      <c r="R25" s="91" ph="1">
        <f>R24*35.891*LOOKUP(R26,密度!$A$2:$A$50,密度!$C$2:$C$50)</f>
        <v>87493.407279399995</v>
      </c>
      <c r="S25" s="91" ph="1">
        <f>S24*35.891*LOOKUP(S26,密度!$A$2:$A$50,密度!$B$2:$B$50)</f>
        <v>109838.6808855</v>
      </c>
      <c r="T25" s="91" ph="1">
        <f>T24*35.891*LOOKUP(T26,密度!$A$2:$A$50,密度!$Q$2:$Q$50)</f>
        <v>43295.076060489999</v>
      </c>
      <c r="U25" s="91" ph="1">
        <f>U24*35.891</f>
        <v>145214.986</v>
      </c>
      <c r="V25" s="91" ph="1">
        <f>V24*47.051*LOOKUP(V26,密度!$A$2:$A$50,密度!$B$2:$B$50)</f>
        <v>29259.172500799999</v>
      </c>
      <c r="W25" s="91" ph="1">
        <f>W24*47.051*LOOKUP(W26,密度!$A$2:$A$50,密度!$B$2:$B$50)</f>
        <v>410897.06523949996</v>
      </c>
      <c r="X25" s="91" ph="1">
        <f>X24*47.051*LOOKUP(X26,密度!$A$2:$A$61,密度!$I$2:$I$61)</f>
        <v>270415.7229696</v>
      </c>
      <c r="Y25" s="91" ph="1">
        <f>Y24*47.051*LOOKUP(Y26,密度!$A$2:$A$50,密度!$L$2:$L$50)</f>
        <v>326136.82955999998</v>
      </c>
      <c r="Z25" s="175"/>
      <c r="AA25" s="176"/>
      <c r="AB25" s="176"/>
      <c r="AC25" s="176"/>
      <c r="AD25" s="176"/>
      <c r="AE25" s="17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1" ph="1"/>
      <c r="C26" s="68" t="s" ph="1">
        <v>179</v>
      </c>
      <c r="D26" s="74">
        <v>25</v>
      </c>
      <c r="E26" s="74">
        <v>25</v>
      </c>
      <c r="F26" s="74">
        <v>23</v>
      </c>
      <c r="G26" s="74">
        <v>24</v>
      </c>
      <c r="H26" s="74">
        <v>23</v>
      </c>
      <c r="I26" s="74">
        <v>22</v>
      </c>
      <c r="J26" s="74">
        <v>23</v>
      </c>
      <c r="K26" s="74">
        <v>24</v>
      </c>
      <c r="L26" s="74">
        <v>24</v>
      </c>
      <c r="M26" s="74">
        <v>22</v>
      </c>
      <c r="N26" s="74">
        <v>20</v>
      </c>
      <c r="O26" s="74">
        <v>21</v>
      </c>
      <c r="P26" s="74">
        <v>22</v>
      </c>
      <c r="Q26" s="93">
        <v>21</v>
      </c>
      <c r="R26" s="74">
        <v>22</v>
      </c>
      <c r="S26" s="74">
        <v>24</v>
      </c>
      <c r="T26" s="74">
        <v>22</v>
      </c>
      <c r="U26" s="74">
        <v>22</v>
      </c>
      <c r="V26" s="74">
        <v>21</v>
      </c>
      <c r="W26" s="74">
        <v>24</v>
      </c>
      <c r="X26" s="74">
        <v>34</v>
      </c>
      <c r="Y26" s="74">
        <v>22</v>
      </c>
      <c r="Z26" s="175"/>
      <c r="AA26" s="176"/>
      <c r="AB26" s="176"/>
      <c r="AC26" s="176"/>
      <c r="AD26" s="176"/>
      <c r="AE26" s="17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1" ph="1">
        <v>0.66666666666666663</v>
      </c>
      <c r="C27" s="151" t="s" ph="1">
        <v>180</v>
      </c>
      <c r="D27" s="71">
        <v>21.31</v>
      </c>
      <c r="E27" s="71">
        <v>5.08</v>
      </c>
      <c r="F27" s="71">
        <v>3403</v>
      </c>
      <c r="G27" s="71">
        <v>2739</v>
      </c>
      <c r="H27" s="71">
        <v>3332</v>
      </c>
      <c r="I27" s="71">
        <v>0</v>
      </c>
      <c r="J27" s="71">
        <v>828</v>
      </c>
      <c r="K27" s="71">
        <v>437</v>
      </c>
      <c r="L27" s="71">
        <v>463</v>
      </c>
      <c r="M27" s="71">
        <v>415</v>
      </c>
      <c r="N27" s="71">
        <v>4520</v>
      </c>
      <c r="O27" s="71">
        <v>5719</v>
      </c>
      <c r="P27" s="71">
        <v>330</v>
      </c>
      <c r="Q27" s="90">
        <v>4214</v>
      </c>
      <c r="R27" s="71">
        <v>2191</v>
      </c>
      <c r="S27" s="71">
        <v>3540</v>
      </c>
      <c r="T27" s="71">
        <v>1270</v>
      </c>
      <c r="U27" s="71">
        <v>3962</v>
      </c>
      <c r="V27" s="71">
        <v>1222</v>
      </c>
      <c r="W27" s="71">
        <v>11194</v>
      </c>
      <c r="X27" s="71">
        <v>5566</v>
      </c>
      <c r="Y27" s="71">
        <v>8078</v>
      </c>
      <c r="Z27" s="175"/>
      <c r="AA27" s="176"/>
      <c r="AB27" s="176"/>
      <c r="AC27" s="176"/>
      <c r="AD27" s="176"/>
      <c r="AE27" s="17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1" ph="1"/>
      <c r="C28" s="151" t="s" ph="1">
        <v>178</v>
      </c>
      <c r="D28" s="91" ph="1">
        <f>D27*268.68*LOOKUP(D29,密度!$A$2:$A$50,密度!$Q$2:$Q$50)+IF(D27&lt;=0,0,1566*LOOKUP(D29,密度!$A$2:$A$50,密度!$Q$2:$Q$50))</f>
        <v>6903.2217391919994</v>
      </c>
      <c r="E28" s="91" ph="1">
        <f>E27*268.68*LOOKUP(E29,密度!$A$2:$A$50,密度!$C$2:$C$50)+IF(E27&lt;=0,0,1566*LOOKUP(E29,密度!$A$2:$A$50,密度!$C$2:$C$50))</f>
        <v>3250.0688001600001</v>
      </c>
      <c r="F28" s="91" ph="1">
        <f>F27*11.702*LOOKUP(F29,密度!$A$2:$A$50,密度!$Q$2:$Q$50)</f>
        <v>37644.444179920007</v>
      </c>
      <c r="G28" s="91" ph="1">
        <f>G27*18.322*LOOKUP(G29,密度!$A$2:$A$50,密度!$B$2:$B$50)</f>
        <v>39078.2480946</v>
      </c>
      <c r="H28" s="91" ph="1">
        <f>H27*18.322*LOOKUP(H29,密度!$A$2:$A$50,密度!$B$2:$B$50)</f>
        <v>47593.725558399994</v>
      </c>
      <c r="I28" s="91" ph="1">
        <f>I27*18.322*LOOKUP(I29,密度!$A$2:$A$50,密度!$Q$2:$Q$50)</f>
        <v>0</v>
      </c>
      <c r="J28" s="91" ph="1">
        <f>J27*18.322*LOOKUP(J29,密度!$A$2:$A$50,密度!$Q$2:$Q$50)</f>
        <v>14373.703541520001</v>
      </c>
      <c r="K28" s="91" ph="1">
        <f>K27*18.322*LOOKUP(K29,密度!$A$2:$A$50,密度!$Q$2:$Q$50)</f>
        <v>7574.5916454200005</v>
      </c>
      <c r="L28" s="91" ph="1">
        <f>L27*18.322*LOOKUP(L29,密度!$A$2:$A$50,密度!$Q$2:$Q$50)</f>
        <v>8031.2768396399997</v>
      </c>
      <c r="M28" s="91" ph="1">
        <f>M27*18.322*LOOKUP(M29,密度!$A$2:$A$50,密度!$Q$2:$Q$50)</f>
        <v>7187.8635116000005</v>
      </c>
      <c r="N28" s="91" ph="1">
        <f>N27*18.322*LOOKUP(N29,密度!$A$2:$A$50,密度!$Q$2:$Q$50)</f>
        <v>78648.995213600007</v>
      </c>
      <c r="O28" s="91" ph="1">
        <f>O27*18.322*LOOKUP(O29,密度!$A$2:$A$50,密度!$C$2:$C$50)</f>
        <v>116508.79366420001</v>
      </c>
      <c r="P28" s="91" ph="1">
        <f>P27*11.702*LOOKUP(P29,密度!$A$2:$A$50,密度!$B$2:$B$50)</f>
        <v>3007.0746419999996</v>
      </c>
      <c r="Q28" s="92" ph="1">
        <f>Q27*18.322*LOOKUP(Q29,密度!$A$2:$A$50,密度!$B$2:$B$50)</f>
        <v>60122.576659599996</v>
      </c>
      <c r="R28" s="91" ph="1">
        <f>R27*35.891*LOOKUP(R29,密度!$A$2:$A$50,密度!$C$2:$C$50)</f>
        <v>87200.7700109</v>
      </c>
      <c r="S28" s="91" ph="1">
        <f>S27*35.891*LOOKUP(S29,密度!$A$2:$A$50,密度!$B$2:$B$50)</f>
        <v>99165.756269999998</v>
      </c>
      <c r="T28" s="91" ph="1">
        <f>T27*35.891*LOOKUP(T29,密度!$A$2:$A$50,密度!$Q$2:$Q$50)</f>
        <v>43187.170127900004</v>
      </c>
      <c r="U28" s="91" ph="1">
        <f>U27*35.891</f>
        <v>142200.14199999999</v>
      </c>
      <c r="V28" s="91" ph="1">
        <f>V27*47.051*LOOKUP(V29,密度!$A$2:$A$50,密度!$B$2:$B$50)</f>
        <v>44772.385941399996</v>
      </c>
      <c r="W28" s="91" ph="1">
        <f>W27*47.051*LOOKUP(W29,密度!$A$2:$A$50,密度!$B$2:$B$50)</f>
        <v>411080.68176699994</v>
      </c>
      <c r="X28" s="91" ph="1">
        <f>X27*47.051*LOOKUP(X29,密度!$A$2:$A$61,密度!$I$2:$I$61)</f>
        <v>270030.51643259998</v>
      </c>
      <c r="Y28" s="91" ph="1">
        <f>Y27*47.051*LOOKUP(Y29,密度!$A$2:$A$50,密度!$L$2:$L$50)</f>
        <v>355752.98740800004</v>
      </c>
      <c r="Z28" s="175"/>
      <c r="AA28" s="176"/>
      <c r="AB28" s="176"/>
      <c r="AC28" s="176"/>
      <c r="AD28" s="176"/>
      <c r="AE28" s="17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1" ph="1"/>
      <c r="C29" s="151" t="s" ph="1">
        <v>179</v>
      </c>
      <c r="D29" s="74">
        <v>25</v>
      </c>
      <c r="E29" s="74">
        <v>25</v>
      </c>
      <c r="F29" s="74">
        <v>27</v>
      </c>
      <c r="G29" s="74">
        <v>26</v>
      </c>
      <c r="H29" s="74">
        <v>25</v>
      </c>
      <c r="I29" s="74">
        <v>25</v>
      </c>
      <c r="J29" s="74">
        <v>24</v>
      </c>
      <c r="K29" s="74">
        <v>26</v>
      </c>
      <c r="L29" s="74">
        <v>25</v>
      </c>
      <c r="M29" s="74">
        <v>27</v>
      </c>
      <c r="N29" s="74">
        <v>21</v>
      </c>
      <c r="O29" s="74">
        <v>21</v>
      </c>
      <c r="P29" s="74">
        <v>26</v>
      </c>
      <c r="Q29" s="93">
        <v>26</v>
      </c>
      <c r="R29" s="74">
        <v>25</v>
      </c>
      <c r="S29" s="74">
        <v>24</v>
      </c>
      <c r="T29" s="74">
        <v>24</v>
      </c>
      <c r="U29" s="74">
        <v>25</v>
      </c>
      <c r="V29" s="74">
        <v>26</v>
      </c>
      <c r="W29" s="74">
        <v>24</v>
      </c>
      <c r="X29" s="74">
        <v>35</v>
      </c>
      <c r="Y29" s="74">
        <v>26</v>
      </c>
      <c r="Z29" s="178"/>
      <c r="AA29" s="179"/>
      <c r="AB29" s="179"/>
      <c r="AC29" s="179"/>
      <c r="AD29" s="179"/>
      <c r="AE29" s="18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4" t="s" ph="1">
        <v>35</v>
      </c>
      <c r="C31" s="195" ph="1"/>
      <c r="D31" s="198" t="s" ph="1">
        <v>9</v>
      </c>
      <c r="E31" s="187" ph="1"/>
      <c r="F31" s="188" ph="1"/>
      <c r="G31" s="198" t="s" ph="1">
        <v>18</v>
      </c>
      <c r="H31" s="187" ph="1"/>
      <c r="I31" s="188" ph="1"/>
      <c r="J31" s="186" t="s" ph="1">
        <v>1</v>
      </c>
      <c r="K31" s="187" ph="1"/>
      <c r="L31" s="188" ph="1"/>
      <c r="M31" s="186" t="s" ph="1">
        <v>7</v>
      </c>
      <c r="N31" s="187" ph="1"/>
      <c r="O31" s="188" ph="1"/>
      <c r="P31" s="186" t="s" ph="1">
        <v>41</v>
      </c>
      <c r="Q31" s="187"/>
      <c r="R31" s="188"/>
      <c r="S31" s="186" t="s" ph="1">
        <v>2</v>
      </c>
      <c r="T31" s="187"/>
      <c r="U31" s="188"/>
      <c r="V31" s="186" t="s" ph="1">
        <v>71</v>
      </c>
      <c r="W31" s="187" ph="1"/>
      <c r="X31" s="188" ph="1"/>
      <c r="Y31" s="186" t="s" ph="1">
        <v>3</v>
      </c>
      <c r="Z31" s="187" ph="1"/>
      <c r="AA31" s="188" ph="1"/>
      <c r="AB31" s="209" t="s">
        <v>42</v>
      </c>
      <c r="AC31" s="210"/>
      <c r="AD31" s="210"/>
      <c r="AE31" s="211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6" ph="1"/>
      <c r="C32" s="197" ph="1"/>
      <c r="D32" s="96" t="s" ph="1">
        <v>4</v>
      </c>
      <c r="E32" s="151" t="s" ph="1">
        <v>5</v>
      </c>
      <c r="F32" s="152" t="s" ph="1">
        <v>43</v>
      </c>
      <c r="G32" s="97" t="s" ph="1">
        <v>4</v>
      </c>
      <c r="H32" s="151" t="s" ph="1">
        <v>5</v>
      </c>
      <c r="I32" s="152" t="s" ph="1">
        <v>43</v>
      </c>
      <c r="J32" s="97" t="s" ph="1">
        <v>4</v>
      </c>
      <c r="K32" s="151" t="s" ph="1">
        <v>5</v>
      </c>
      <c r="L32" s="152" t="s" ph="1">
        <v>43</v>
      </c>
      <c r="M32" s="97" t="s" ph="1">
        <v>4</v>
      </c>
      <c r="N32" s="151" t="s" ph="1">
        <v>5</v>
      </c>
      <c r="O32" s="152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1" t="s" ph="1">
        <v>5</v>
      </c>
      <c r="U32" s="99" t="s" ph="1">
        <v>43</v>
      </c>
      <c r="V32" s="97" t="s" ph="1">
        <v>4</v>
      </c>
      <c r="W32" s="151" t="s" ph="1">
        <v>5</v>
      </c>
      <c r="X32" s="99" t="s" ph="1">
        <v>43</v>
      </c>
      <c r="Y32" s="100" t="s" ph="1">
        <v>4</v>
      </c>
      <c r="Z32" s="151" t="s" ph="1">
        <v>5</v>
      </c>
      <c r="AA32" s="152" t="s" ph="1">
        <v>43</v>
      </c>
      <c r="AB32" s="97" t="s" ph="1">
        <v>85</v>
      </c>
      <c r="AC32" s="151" t="s" ph="1">
        <v>84</v>
      </c>
      <c r="AD32" s="212" t="s" ph="1">
        <v>83</v>
      </c>
      <c r="AE32" s="213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199" t="s" ph="1">
        <v>181</v>
      </c>
      <c r="C33" s="200" ph="1"/>
      <c r="D33" s="203" ph="1">
        <f>AA10+AB10+Z19</f>
        <v>185248.2319208</v>
      </c>
      <c r="E33" s="203" ph="1">
        <f>M10+I10</f>
        <v>40096.802387400006</v>
      </c>
      <c r="F33" s="20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1522252632456786910111213141516171819202123456789101112131415161718192022232424356789101112131415161718192021222345678910111213141516171819202345678910111213149101516171819222123234567891012131415161711181920212224252345678910111213139[[#This Row],[F25]]</f>
        <v>3880</v>
      </c>
      <c r="G33" s="207" ph="1">
        <f>N19</f>
        <v>10121.369629359999</v>
      </c>
      <c r="H33" s="203" ph="1">
        <f>M19</f>
        <v>29120.028415999997</v>
      </c>
      <c r="I33" s="216" ph="1">
        <v>0</v>
      </c>
      <c r="J33" s="214" ph="1">
        <f>F10+O28</f>
        <v>349357.56806739996</v>
      </c>
      <c r="K33" s="203" ph="1">
        <f>O10+K10+E28+R28</f>
        <v>145220.84746945999</v>
      </c>
      <c r="L33" s="218" ph="1">
        <f>K19</f>
        <v>50270.013514160004</v>
      </c>
      <c r="M33" s="214" ph="1">
        <f>G10+H10+W28+S28+V28+E10+R19+P28+Q28</f>
        <v>1579043.5115507999</v>
      </c>
      <c r="N33" s="203" ph="1">
        <f>L10+P10++G28+H28+AD19+AE19</f>
        <v>114697.63047579999</v>
      </c>
      <c r="O33" s="216" ph="1">
        <f>G19</f>
        <v>35925.531945679999</v>
      </c>
      <c r="P33" s="214" ph="1">
        <f>L19</f>
        <v>49680.712620000006</v>
      </c>
      <c r="Q33" s="203" ph="1">
        <f>J10+N10</f>
        <v>4913.4958334799994</v>
      </c>
      <c r="R33" s="216" ph="1">
        <f>BE23</f>
        <v>890</v>
      </c>
      <c r="S33" s="214" ph="1">
        <f>X28</f>
        <v>270030.51643259998</v>
      </c>
      <c r="T33" s="203" ph="1">
        <f>X19</f>
        <v>4806.9928770400002</v>
      </c>
      <c r="U33" s="224" ph="1">
        <f>BE21</f>
        <v>730</v>
      </c>
      <c r="V33" s="235" ph="1">
        <f ca="1">P19+Q19+S19+M28+N28+J28+D10+AC10+D19+E19+H19+J19+O19+V19+W19+K28+L28</f>
        <v>784819.68582753185</v>
      </c>
      <c r="W33" s="235" ph="1">
        <f>D28+F28+T28+I28</f>
        <v>87734.83604701201</v>
      </c>
      <c r="X33" s="216" ph="1">
        <f>BE29+BE31</f>
        <v>10200</v>
      </c>
      <c r="Y33" s="237" ph="1">
        <f>+Q10+R10+S10+T10+U10+V10+W10+X10+Y10</f>
        <v>114023.96123579999</v>
      </c>
      <c r="Z33" s="222" ph="1">
        <f>T19+U19+Y28+Z10</f>
        <v>545668.89058734011</v>
      </c>
      <c r="AA33" s="224" ph="1">
        <f>BE19</f>
        <v>1440</v>
      </c>
      <c r="AB33" s="226" ph="1">
        <f>I19</f>
        <v>50500.366790399996</v>
      </c>
      <c r="AC33" s="228" ph="1">
        <f>AD10+AB19</f>
        <v>58354.140345599997</v>
      </c>
      <c r="AD33" s="230" ph="1">
        <v>0</v>
      </c>
      <c r="AE33" s="231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1" ph="1"/>
      <c r="C34" s="202" ph="1"/>
      <c r="D34" s="204" ph="1"/>
      <c r="E34" s="204" ph="1"/>
      <c r="F34" s="206" ph="1"/>
      <c r="G34" s="208" ph="1"/>
      <c r="H34" s="204" ph="1"/>
      <c r="I34" s="217" ph="1"/>
      <c r="J34" s="215" ph="1"/>
      <c r="K34" s="204" ph="1"/>
      <c r="L34" s="219" ph="1"/>
      <c r="M34" s="215" ph="1"/>
      <c r="N34" s="204" ph="1"/>
      <c r="O34" s="217" ph="1"/>
      <c r="P34" s="215" ph="1"/>
      <c r="Q34" s="204" ph="1"/>
      <c r="R34" s="217" ph="1"/>
      <c r="S34" s="215" ph="1"/>
      <c r="T34" s="204"/>
      <c r="U34" s="225"/>
      <c r="V34" s="236" ph="1"/>
      <c r="W34" s="236" ph="1"/>
      <c r="X34" s="217" ph="1"/>
      <c r="Y34" s="238" ph="1"/>
      <c r="Z34" s="223" ph="1"/>
      <c r="AA34" s="225" ph="1"/>
      <c r="AB34" s="227"/>
      <c r="AC34" s="229"/>
      <c r="AD34" s="232"/>
      <c r="AE34" s="233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4" t="s" ph="1">
        <v>631</v>
      </c>
      <c r="AD35" s="234"/>
      <c r="AE35" s="234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0" t="s" ph="1">
        <v>183</v>
      </c>
      <c r="J36" s="220" ph="1"/>
      <c r="K36" s="101" ph="1"/>
      <c r="P36" s="101" ph="1"/>
      <c r="R36" s="220" t="s" ph="1">
        <v>184</v>
      </c>
      <c r="S36" s="220" ph="1"/>
      <c r="Y36" s="102" ph="1"/>
      <c r="Z36" s="153" t="s" ph="1">
        <v>185</v>
      </c>
      <c r="AA36" s="153" ph="1"/>
      <c r="AB36" s="221" t="s" ph="1">
        <v>638</v>
      </c>
      <c r="AC36" s="221" ph="1"/>
      <c r="AD36" s="221" ph="1"/>
      <c r="AE36" s="221" ph="1"/>
      <c r="BA36" s="64" ph="1">
        <v>2270</v>
      </c>
    </row>
    <row r="37" spans="1:57" s="153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3" t="s" ph="1">
        <v>342</v>
      </c>
      <c r="AI37" s="153" t="s" ph="1">
        <v>209</v>
      </c>
      <c r="AJ37" s="153" t="s" ph="1">
        <v>210</v>
      </c>
      <c r="AK37" s="153" t="s" ph="1">
        <v>211</v>
      </c>
      <c r="AM37" s="153" t="s" ph="1">
        <v>210</v>
      </c>
      <c r="AN37" s="153" t="s" ph="1">
        <v>211</v>
      </c>
      <c r="AO37" s="153" t="s" ph="1">
        <v>212</v>
      </c>
      <c r="AP37" s="153" t="s" ph="1">
        <v>210</v>
      </c>
      <c r="AQ37" s="153" t="s" ph="1">
        <v>211</v>
      </c>
      <c r="AR37" s="153" t="s" ph="1">
        <v>212</v>
      </c>
      <c r="AS37" s="153" t="s" ph="1">
        <v>210</v>
      </c>
      <c r="AT37" s="153" t="s" ph="1">
        <v>211</v>
      </c>
      <c r="AU37" s="153" t="s" ph="1">
        <v>212</v>
      </c>
      <c r="AV37" s="153" t="s" ph="1">
        <v>210</v>
      </c>
      <c r="AW37" s="153" t="s" ph="1">
        <v>211</v>
      </c>
      <c r="AX37" s="153" t="s" ph="1">
        <v>212</v>
      </c>
      <c r="AY37" s="153" t="s" ph="1">
        <v>211</v>
      </c>
      <c r="AZ37" s="153" t="s" ph="1">
        <v>213</v>
      </c>
      <c r="BD37" s="153" t="s" ph="1">
        <v>305</v>
      </c>
      <c r="BE37" s="153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079" priority="100">
      <formula>ABS(D$7-D$10)&gt;=1000</formula>
    </cfRule>
  </conditionalFormatting>
  <conditionalFormatting sqref="E4 E6:E11">
    <cfRule type="expression" dxfId="2078" priority="99">
      <formula>ABS(E$7-E$10)&gt;=1000</formula>
    </cfRule>
  </conditionalFormatting>
  <conditionalFormatting sqref="F4:F11">
    <cfRule type="expression" dxfId="2077" priority="98">
      <formula>ABS(F$7-F$10)&gt;=1000</formula>
    </cfRule>
  </conditionalFormatting>
  <conditionalFormatting sqref="G4:G11">
    <cfRule type="expression" dxfId="2076" priority="97">
      <formula>ABS(G$7-G$10)&gt;=1000</formula>
    </cfRule>
  </conditionalFormatting>
  <conditionalFormatting sqref="H4:H11">
    <cfRule type="expression" dxfId="2075" priority="96">
      <formula>ABS(H$7-H$10)&gt;=1000</formula>
    </cfRule>
  </conditionalFormatting>
  <conditionalFormatting sqref="I4:I11">
    <cfRule type="expression" dxfId="2074" priority="95">
      <formula>ABS(I$7-I$10)&gt;=1000</formula>
    </cfRule>
  </conditionalFormatting>
  <conditionalFormatting sqref="J4:J11">
    <cfRule type="expression" dxfId="2073" priority="94">
      <formula>ABS(J$7-J$10)&gt;=1000</formula>
    </cfRule>
  </conditionalFormatting>
  <conditionalFormatting sqref="K4:K11">
    <cfRule type="expression" dxfId="2072" priority="93">
      <formula>ABS(K$7-K$10)&gt;=1000</formula>
    </cfRule>
  </conditionalFormatting>
  <conditionalFormatting sqref="L4:L11">
    <cfRule type="expression" dxfId="2071" priority="92">
      <formula>ABS(L$7-L$10)&gt;=1000</formula>
    </cfRule>
  </conditionalFormatting>
  <conditionalFormatting sqref="M4 M6:M11">
    <cfRule type="expression" dxfId="2070" priority="91">
      <formula>ABS(M$7-M$10)&gt;=1000</formula>
    </cfRule>
  </conditionalFormatting>
  <conditionalFormatting sqref="N4 N6:N11">
    <cfRule type="expression" dxfId="2069" priority="90">
      <formula>ABS(N$7-N$10)&gt;=1000</formula>
    </cfRule>
  </conditionalFormatting>
  <conditionalFormatting sqref="O4 O6:O11">
    <cfRule type="expression" dxfId="2068" priority="89">
      <formula>ABS(O$7-O$10)&gt;=1000</formula>
    </cfRule>
  </conditionalFormatting>
  <conditionalFormatting sqref="P4 P6:P11">
    <cfRule type="expression" dxfId="2067" priority="88">
      <formula>ABS(P$7-P$10)&gt;=1000</formula>
    </cfRule>
  </conditionalFormatting>
  <conditionalFormatting sqref="Q4:Q11">
    <cfRule type="expression" dxfId="2066" priority="87">
      <formula>ABS(Q$7-Q$10)&gt;=1000</formula>
    </cfRule>
  </conditionalFormatting>
  <conditionalFormatting sqref="R4:R11">
    <cfRule type="expression" dxfId="2065" priority="86">
      <formula>ABS(R$7-R$10)&gt;=1000</formula>
    </cfRule>
  </conditionalFormatting>
  <conditionalFormatting sqref="S4:S11">
    <cfRule type="expression" dxfId="2064" priority="85">
      <formula>ABS(S$7-S$10)&gt;=1000</formula>
    </cfRule>
  </conditionalFormatting>
  <conditionalFormatting sqref="T4:T9 T11">
    <cfRule type="expression" dxfId="2063" priority="84">
      <formula>ABS(T$7-T$10)&gt;=1000</formula>
    </cfRule>
  </conditionalFormatting>
  <conditionalFormatting sqref="U4:U9 U11">
    <cfRule type="expression" dxfId="2062" priority="83">
      <formula>ABS(U$7-U$10)&gt;=1000</formula>
    </cfRule>
  </conditionalFormatting>
  <conditionalFormatting sqref="V4:V9 V11">
    <cfRule type="expression" dxfId="2061" priority="82">
      <formula>ABS(V$7-V$10)&gt;=1000</formula>
    </cfRule>
  </conditionalFormatting>
  <conditionalFormatting sqref="W4:W9 W11">
    <cfRule type="expression" dxfId="2060" priority="81">
      <formula>ABS(W$7-W$10)&gt;=1000</formula>
    </cfRule>
  </conditionalFormatting>
  <conditionalFormatting sqref="X4:X9 X11">
    <cfRule type="expression" dxfId="2059" priority="80">
      <formula>ABS(X$7-X$10)&gt;=1000</formula>
    </cfRule>
  </conditionalFormatting>
  <conditionalFormatting sqref="Y4:Y9 Y11">
    <cfRule type="expression" dxfId="2058" priority="79">
      <formula>ABS(Y$7-Y$10)&gt;=1000</formula>
    </cfRule>
  </conditionalFormatting>
  <conditionalFormatting sqref="Z4:Z11">
    <cfRule type="expression" dxfId="2057" priority="78">
      <formula>ABS(Z$7-Z$10)&gt;=1000</formula>
    </cfRule>
  </conditionalFormatting>
  <conditionalFormatting sqref="AA4:AA11">
    <cfRule type="expression" dxfId="2056" priority="77">
      <formula>ABS(AA$7-AA$10)&gt;=1000</formula>
    </cfRule>
  </conditionalFormatting>
  <conditionalFormatting sqref="AB4:AB11">
    <cfRule type="expression" dxfId="2055" priority="76">
      <formula>ABS(AB$7-AB$10)&gt;=1000</formula>
    </cfRule>
  </conditionalFormatting>
  <conditionalFormatting sqref="AC4 AC6:AC11">
    <cfRule type="expression" dxfId="2054" priority="75">
      <formula>ABS(AC$7-AC$10)&gt;=1000</formula>
    </cfRule>
  </conditionalFormatting>
  <conditionalFormatting sqref="AD4 AD6:AD11">
    <cfRule type="expression" dxfId="2053" priority="74">
      <formula>ABS(AD$7-AD$10)&gt;=1000</formula>
    </cfRule>
  </conditionalFormatting>
  <conditionalFormatting sqref="AE4 AE6:AE11">
    <cfRule type="expression" dxfId="2052" priority="73">
      <formula>ABS(AE$7-AE$10)&gt;=1000</formula>
    </cfRule>
  </conditionalFormatting>
  <conditionalFormatting sqref="D13:D20">
    <cfRule type="expression" dxfId="2051" priority="72">
      <formula>ABS(D$16-D$19)&gt;=1000</formula>
    </cfRule>
  </conditionalFormatting>
  <conditionalFormatting sqref="E13:E20">
    <cfRule type="expression" dxfId="2050" priority="71">
      <formula>ABS(E$16-E$19)&gt;=1000</formula>
    </cfRule>
  </conditionalFormatting>
  <conditionalFormatting sqref="F13 F15:F20">
    <cfRule type="expression" dxfId="2049" priority="70">
      <formula>ABS(F$16-F$19)&gt;=1000</formula>
    </cfRule>
  </conditionalFormatting>
  <conditionalFormatting sqref="G13:G20">
    <cfRule type="expression" dxfId="2048" priority="69">
      <formula>ABS(G$16-G$19)&gt;=1000</formula>
    </cfRule>
  </conditionalFormatting>
  <conditionalFormatting sqref="H13 H15:H20">
    <cfRule type="expression" dxfId="2047" priority="68">
      <formula>ABS(H$16-H$19)&gt;=1000</formula>
    </cfRule>
  </conditionalFormatting>
  <conditionalFormatting sqref="I13:I20">
    <cfRule type="expression" dxfId="2046" priority="67">
      <formula>ABS(I$16-I$19)&gt;=1000</formula>
    </cfRule>
  </conditionalFormatting>
  <conditionalFormatting sqref="J13:J20">
    <cfRule type="expression" dxfId="2045" priority="66">
      <formula>ABS(J$16-J$19)&gt;=1000</formula>
    </cfRule>
  </conditionalFormatting>
  <conditionalFormatting sqref="L13:L20">
    <cfRule type="expression" dxfId="2044" priority="65">
      <formula>ABS(L$16-L$19)&gt;=1000</formula>
    </cfRule>
  </conditionalFormatting>
  <conditionalFormatting sqref="M13 M15 M17:M18 M20">
    <cfRule type="expression" dxfId="2043" priority="64">
      <formula>ABS(M$16-M$19)&gt;=1000</formula>
    </cfRule>
  </conditionalFormatting>
  <conditionalFormatting sqref="N13:N20">
    <cfRule type="expression" dxfId="2042" priority="63">
      <formula>ABS(N$16-N$19)&gt;=1000</formula>
    </cfRule>
  </conditionalFormatting>
  <conditionalFormatting sqref="O13:O20">
    <cfRule type="expression" dxfId="2041" priority="62">
      <formula>ABS(O$16-O$19)&gt;=1000</formula>
    </cfRule>
  </conditionalFormatting>
  <conditionalFormatting sqref="P13:P20">
    <cfRule type="expression" dxfId="2040" priority="61">
      <formula>ABS(P$16-P$19)&gt;=1000</formula>
    </cfRule>
  </conditionalFormatting>
  <conditionalFormatting sqref="Q13 Q15:Q20">
    <cfRule type="expression" dxfId="2039" priority="60">
      <formula>ABS(Q$16-Q$19)&gt;=1000</formula>
    </cfRule>
  </conditionalFormatting>
  <conditionalFormatting sqref="R13:R20">
    <cfRule type="expression" dxfId="2038" priority="59">
      <formula>ABS(R$16-R$19)&gt;=1000</formula>
    </cfRule>
  </conditionalFormatting>
  <conditionalFormatting sqref="S13:S20">
    <cfRule type="expression" dxfId="2037" priority="58">
      <formula>ABS(S$16-S$19)&gt;=1000</formula>
    </cfRule>
  </conditionalFormatting>
  <conditionalFormatting sqref="T13:T20">
    <cfRule type="expression" dxfId="2036" priority="57">
      <formula>ABS(T$16-T$19)&gt;=1000</formula>
    </cfRule>
  </conditionalFormatting>
  <conditionalFormatting sqref="U13:U20">
    <cfRule type="expression" dxfId="2035" priority="56">
      <formula>ABS(U$16-U$19)&gt;=1000</formula>
    </cfRule>
  </conditionalFormatting>
  <conditionalFormatting sqref="V13:V20">
    <cfRule type="expression" dxfId="2034" priority="55">
      <formula>ABS(V$16-V$19)&gt;=1000</formula>
    </cfRule>
  </conditionalFormatting>
  <conditionalFormatting sqref="W13 W20 W15:W18">
    <cfRule type="expression" dxfId="2033" priority="54">
      <formula>ABS(W$16-W$19)&gt;=1000</formula>
    </cfRule>
  </conditionalFormatting>
  <conditionalFormatting sqref="X13 X15:X20 Y19">
    <cfRule type="expression" dxfId="2032" priority="53">
      <formula>ABS(X$16-X$19)&gt;=1000</formula>
    </cfRule>
  </conditionalFormatting>
  <conditionalFormatting sqref="Y13 Y15:Y18 Y20">
    <cfRule type="expression" dxfId="2031" priority="52">
      <formula>ABS(Y$16-Y$19)&gt;=1000</formula>
    </cfRule>
  </conditionalFormatting>
  <conditionalFormatting sqref="Z13:Z20">
    <cfRule type="expression" dxfId="2030" priority="51">
      <formula>ABS(Z$16-Z$19)&gt;=1000</formula>
    </cfRule>
  </conditionalFormatting>
  <conditionalFormatting sqref="AA13:AA20">
    <cfRule type="expression" dxfId="2029" priority="50">
      <formula>ABS(AA$16-AA$19)&gt;=1000</formula>
    </cfRule>
  </conditionalFormatting>
  <conditionalFormatting sqref="AB13 AB15:AB20">
    <cfRule type="expression" dxfId="2028" priority="49">
      <formula>ABS(AB$16-AB$19)&gt;=1000</formula>
    </cfRule>
  </conditionalFormatting>
  <conditionalFormatting sqref="AC13 AC15:AC20">
    <cfRule type="expression" dxfId="2027" priority="48">
      <formula>ABS(AC$16-AC$19)&gt;=1000</formula>
    </cfRule>
  </conditionalFormatting>
  <conditionalFormatting sqref="AD13:AD20">
    <cfRule type="expression" dxfId="2026" priority="47">
      <formula>ABS(AD$16-AD$19)&gt;=1000</formula>
    </cfRule>
  </conditionalFormatting>
  <conditionalFormatting sqref="AE13:AE20">
    <cfRule type="expression" dxfId="2025" priority="46">
      <formula>ABS(AE$16-AE$19)&gt;=1000</formula>
    </cfRule>
  </conditionalFormatting>
  <conditionalFormatting sqref="D22:D29">
    <cfRule type="expression" dxfId="2024" priority="45">
      <formula>ABS(D$25-D$28)&gt;=1000</formula>
    </cfRule>
  </conditionalFormatting>
  <conditionalFormatting sqref="E22:E29">
    <cfRule type="expression" dxfId="2023" priority="44">
      <formula>ABS(E$25-E$28)&gt;=1000</formula>
    </cfRule>
  </conditionalFormatting>
  <conditionalFormatting sqref="F22:F29">
    <cfRule type="expression" dxfId="2022" priority="43">
      <formula>ABS(F$25-F$28)&gt;=1000</formula>
    </cfRule>
  </conditionalFormatting>
  <conditionalFormatting sqref="G22:G29">
    <cfRule type="expression" dxfId="2021" priority="42">
      <formula>ABS(G$25-G$28)&gt;=1000</formula>
    </cfRule>
  </conditionalFormatting>
  <conditionalFormatting sqref="H22:H29">
    <cfRule type="expression" dxfId="2020" priority="41">
      <formula>ABS(H$25-H$28)&gt;=1000</formula>
    </cfRule>
  </conditionalFormatting>
  <conditionalFormatting sqref="I22 I24:I29">
    <cfRule type="expression" dxfId="2019" priority="40">
      <formula>ABS(I$25-I$28)&gt;=1000</formula>
    </cfRule>
  </conditionalFormatting>
  <conditionalFormatting sqref="J22:J29 K22">
    <cfRule type="expression" dxfId="2018" priority="39">
      <formula>ABS(J$25-J$28)&gt;=1000</formula>
    </cfRule>
  </conditionalFormatting>
  <conditionalFormatting sqref="K23:K29 L25 L28">
    <cfRule type="expression" dxfId="2017" priority="38">
      <formula>ABS(K$25-K$28)&gt;=1000</formula>
    </cfRule>
  </conditionalFormatting>
  <conditionalFormatting sqref="L22 L26:L27 L29 L24">
    <cfRule type="expression" dxfId="2016" priority="37">
      <formula>ABS(L$25-L$28)&gt;=1000</formula>
    </cfRule>
  </conditionalFormatting>
  <conditionalFormatting sqref="M22:M29">
    <cfRule type="expression" dxfId="2015" priority="36">
      <formula>ABS(M$25-M$28)&gt;=1000</formula>
    </cfRule>
  </conditionalFormatting>
  <conditionalFormatting sqref="N22:N29">
    <cfRule type="expression" dxfId="2014" priority="35">
      <formula>ABS(N$25-N$28)&gt;=1000</formula>
    </cfRule>
  </conditionalFormatting>
  <conditionalFormatting sqref="O22:O29">
    <cfRule type="expression" dxfId="2013" priority="34">
      <formula>ABS(O$25-O$28)&gt;=1000</formula>
    </cfRule>
  </conditionalFormatting>
  <conditionalFormatting sqref="P22:P29">
    <cfRule type="expression" dxfId="2012" priority="33">
      <formula>ABS(P$25-P$28)&gt;=1000</formula>
    </cfRule>
  </conditionalFormatting>
  <conditionalFormatting sqref="Q22:Q29">
    <cfRule type="expression" dxfId="2011" priority="32">
      <formula>ABS(Q$25-Q$28)&gt;=1000</formula>
    </cfRule>
  </conditionalFormatting>
  <conditionalFormatting sqref="R22:R29">
    <cfRule type="expression" dxfId="2010" priority="31">
      <formula>ABS(R$25-R$28)&gt;=1000</formula>
    </cfRule>
  </conditionalFormatting>
  <conditionalFormatting sqref="S22:S29">
    <cfRule type="expression" dxfId="2009" priority="30">
      <formula>ABS(S$25-S$28)&gt;=1000</formula>
    </cfRule>
  </conditionalFormatting>
  <conditionalFormatting sqref="T22:T29">
    <cfRule type="expression" dxfId="2008" priority="29">
      <formula>ABS(T$25-T$28)&gt;=1000</formula>
    </cfRule>
  </conditionalFormatting>
  <conditionalFormatting sqref="U22:U29">
    <cfRule type="expression" dxfId="2007" priority="28">
      <formula>ABS(U$25-U$28)&gt;=1000</formula>
    </cfRule>
  </conditionalFormatting>
  <conditionalFormatting sqref="V22:V29">
    <cfRule type="expression" dxfId="2006" priority="27">
      <formula>ABS(V$25-V$28)&gt;=1000</formula>
    </cfRule>
  </conditionalFormatting>
  <conditionalFormatting sqref="W22:W29">
    <cfRule type="expression" dxfId="2005" priority="26">
      <formula>ABS(W$25-W$28)&gt;=1000</formula>
    </cfRule>
  </conditionalFormatting>
  <conditionalFormatting sqref="X22:X29">
    <cfRule type="expression" dxfId="2004" priority="25">
      <formula>ABS(X$25-X$28)&gt;=1000</formula>
    </cfRule>
  </conditionalFormatting>
  <conditionalFormatting sqref="Y22:Y29">
    <cfRule type="expression" dxfId="2003" priority="24">
      <formula>ABS(Y$25-Y$28)&gt;=1000</formula>
    </cfRule>
  </conditionalFormatting>
  <conditionalFormatting sqref="I23">
    <cfRule type="expression" dxfId="2002" priority="23">
      <formula>ABS(I$25-I$28)&gt;=1000</formula>
    </cfRule>
  </conditionalFormatting>
  <conditionalFormatting sqref="Q14">
    <cfRule type="expression" dxfId="2001" priority="22">
      <formula>ABS(Q$16-Q$19)&gt;=1000</formula>
    </cfRule>
  </conditionalFormatting>
  <conditionalFormatting sqref="W14">
    <cfRule type="expression" dxfId="2000" priority="21">
      <formula>ABS(W$16-W$19)&gt;=1000</formula>
    </cfRule>
  </conditionalFormatting>
  <conditionalFormatting sqref="X14">
    <cfRule type="expression" dxfId="1999" priority="20">
      <formula>ABS(X$16-X$19)&gt;=1000</formula>
    </cfRule>
  </conditionalFormatting>
  <conditionalFormatting sqref="T10:Y10">
    <cfRule type="expression" dxfId="1998" priority="19">
      <formula>ABS(T$7-T$10)&gt;=1000</formula>
    </cfRule>
  </conditionalFormatting>
  <conditionalFormatting sqref="W19">
    <cfRule type="expression" dxfId="1997" priority="18">
      <formula>ABS(W$16-W$19)&gt;=1000</formula>
    </cfRule>
  </conditionalFormatting>
  <conditionalFormatting sqref="AC5">
    <cfRule type="expression" dxfId="1996" priority="17">
      <formula>ABS(AC$7-AC$10)&gt;=1000</formula>
    </cfRule>
  </conditionalFormatting>
  <conditionalFormatting sqref="M14">
    <cfRule type="expression" dxfId="1995" priority="16">
      <formula>ABS(M$16-M$19)&gt;=1000</formula>
    </cfRule>
  </conditionalFormatting>
  <conditionalFormatting sqref="M16">
    <cfRule type="expression" dxfId="1994" priority="15">
      <formula>ABS(M$16-M$19)&gt;=1000</formula>
    </cfRule>
  </conditionalFormatting>
  <conditionalFormatting sqref="M19">
    <cfRule type="expression" dxfId="1993" priority="14">
      <formula>ABS(M$16-M$19)&gt;=1000</formula>
    </cfRule>
  </conditionalFormatting>
  <conditionalFormatting sqref="K13:K20">
    <cfRule type="expression" dxfId="1992" priority="13">
      <formula>ABS(K$16-K$19)&gt;=1000</formula>
    </cfRule>
  </conditionalFormatting>
  <conditionalFormatting sqref="E5">
    <cfRule type="expression" dxfId="1991" priority="12">
      <formula>ABS(E$7-E$10)&gt;=1000</formula>
    </cfRule>
  </conditionalFormatting>
  <conditionalFormatting sqref="AB14:AC14">
    <cfRule type="expression" dxfId="1990" priority="11">
      <formula>ABS(AB$16-AB$19)&gt;=1000</formula>
    </cfRule>
  </conditionalFormatting>
  <conditionalFormatting sqref="M5">
    <cfRule type="expression" dxfId="1989" priority="10">
      <formula>ABS(M$7-M$10)&gt;=1000</formula>
    </cfRule>
  </conditionalFormatting>
  <conditionalFormatting sqref="N5">
    <cfRule type="expression" dxfId="1988" priority="9">
      <formula>ABS(N$7-N$10)&gt;=1000</formula>
    </cfRule>
  </conditionalFormatting>
  <conditionalFormatting sqref="O5">
    <cfRule type="expression" dxfId="1987" priority="8">
      <formula>ABS(O$7-O$10)&gt;=1000</formula>
    </cfRule>
  </conditionalFormatting>
  <conditionalFormatting sqref="P5">
    <cfRule type="expression" dxfId="1986" priority="7">
      <formula>ABS(P$7-P$10)&gt;=1000</formula>
    </cfRule>
  </conditionalFormatting>
  <conditionalFormatting sqref="L23">
    <cfRule type="expression" dxfId="1985" priority="6">
      <formula>ABS(L$25-L$28)&gt;=1000</formula>
    </cfRule>
  </conditionalFormatting>
  <conditionalFormatting sqref="Y14">
    <cfRule type="expression" dxfId="1984" priority="5">
      <formula>ABS(Y$16-Y$19)&gt;=1000</formula>
    </cfRule>
  </conditionalFormatting>
  <conditionalFormatting sqref="F14">
    <cfRule type="expression" dxfId="1983" priority="4">
      <formula>ABS(F$16-F$19)&gt;=1000</formula>
    </cfRule>
  </conditionalFormatting>
  <conditionalFormatting sqref="H14">
    <cfRule type="expression" dxfId="1982" priority="3">
      <formula>ABS(H$16-H$19)&gt;=1000</formula>
    </cfRule>
  </conditionalFormatting>
  <conditionalFormatting sqref="AD5">
    <cfRule type="expression" dxfId="1981" priority="2">
      <formula>ABS(AD$7-AD$10)&gt;=1000</formula>
    </cfRule>
  </conditionalFormatting>
  <conditionalFormatting sqref="AE5">
    <cfRule type="expression" dxfId="198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1497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64">
    <pageSetUpPr fitToPage="1"/>
  </sheetPr>
  <dimension ref="A1:CU223"/>
  <sheetViews>
    <sheetView view="pageBreakPreview" topLeftCell="A7" zoomScale="70" zoomScaleNormal="100" zoomScaleSheetLayoutView="70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2" t="s" ph="1">
        <v>161</v>
      </c>
      <c r="C1" s="182" ph="1"/>
      <c r="D1" s="182" ph="1"/>
      <c r="E1" s="182" ph="1"/>
      <c r="F1" s="182" ph="1"/>
      <c r="G1" s="182" ph="1"/>
      <c r="H1" s="182" ph="1"/>
      <c r="I1" s="182" ph="1"/>
      <c r="J1" s="182" ph="1"/>
      <c r="K1" s="182" ph="1"/>
      <c r="L1" s="182" ph="1"/>
      <c r="M1" s="182" ph="1"/>
      <c r="N1" s="182" ph="1"/>
      <c r="O1" s="182" ph="1"/>
      <c r="P1" s="182" ph="1"/>
      <c r="Q1" s="182" ph="1"/>
      <c r="R1" s="182" ph="1"/>
      <c r="S1" s="182" ph="1"/>
      <c r="T1" s="182" ph="1"/>
      <c r="U1" s="182" ph="1"/>
      <c r="V1" s="182" ph="1"/>
      <c r="W1" s="182" ph="1"/>
      <c r="X1" s="182" ph="1"/>
      <c r="Y1" s="182" ph="1"/>
      <c r="Z1" s="182" ph="1"/>
      <c r="AA1" s="182" ph="1"/>
      <c r="AB1" s="182" ph="1"/>
      <c r="AC1" s="182" ph="1"/>
      <c r="AD1" s="182" ph="1"/>
      <c r="AE1" s="182" ph="1"/>
    </row>
    <row r="2" spans="1:99" s="66" customFormat="1" ht="24" customHeight="1" ph="1">
      <c r="B2" s="183" t="s" ph="1">
        <v>82</v>
      </c>
      <c r="C2" s="183" ph="1"/>
      <c r="D2" s="183" ph="1"/>
      <c r="E2" s="183" ph="1"/>
      <c r="F2" s="183" ph="1"/>
      <c r="G2" s="183" ph="1"/>
      <c r="H2" s="183" ph="1"/>
      <c r="I2" s="183" ph="1"/>
      <c r="J2" s="183" ph="1"/>
      <c r="K2" s="183" ph="1"/>
      <c r="L2" s="183" ph="1"/>
      <c r="M2" s="183" ph="1"/>
      <c r="N2" s="183" ph="1"/>
      <c r="O2" s="183" ph="1"/>
      <c r="P2" s="183" ph="1"/>
      <c r="Q2" s="183" ph="1"/>
      <c r="R2" s="183" ph="1"/>
      <c r="S2" s="183" ph="1"/>
      <c r="T2" s="183" ph="1"/>
      <c r="U2" s="183" ph="1"/>
      <c r="V2" s="183" ph="1"/>
      <c r="W2" s="183" ph="1"/>
      <c r="X2" s="183" ph="1"/>
      <c r="Y2" s="183" ph="1"/>
      <c r="Z2" s="183" ph="1"/>
      <c r="AA2" s="183" ph="1"/>
      <c r="AB2" s="183" ph="1"/>
      <c r="AC2" s="183" ph="1"/>
      <c r="AD2" s="183" ph="1"/>
      <c r="AE2" s="183" ph="1"/>
    </row>
    <row r="3" spans="1:99" ht="21" customHeight="1" ph="1">
      <c r="B3" s="184" ph="1">
        <v>46122</v>
      </c>
      <c r="C3" s="184"/>
      <c r="D3" s="184"/>
      <c r="E3" s="184"/>
      <c r="F3" s="184"/>
      <c r="G3" s="184"/>
      <c r="H3" s="184"/>
      <c r="I3" s="184"/>
      <c r="J3" s="184"/>
      <c r="K3" s="184"/>
      <c r="L3" s="184"/>
      <c r="M3" s="184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</row>
    <row r="4" spans="1:99" s="69" customFormat="1" ph="1">
      <c r="A4" s="65" ph="1"/>
      <c r="B4" s="185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5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1" ph="1">
        <v>0.33333333333333331</v>
      </c>
      <c r="C6" s="151" t="s" ph="1">
        <v>177</v>
      </c>
      <c r="D6" s="71">
        <v>3622</v>
      </c>
      <c r="E6" s="71">
        <v>6948</v>
      </c>
      <c r="F6" s="71">
        <v>6324</v>
      </c>
      <c r="G6" s="71">
        <v>9232</v>
      </c>
      <c r="H6" s="71">
        <v>6498</v>
      </c>
      <c r="I6" s="71">
        <v>10.210000000000001</v>
      </c>
      <c r="J6" s="71">
        <v>25.76</v>
      </c>
      <c r="K6" s="71">
        <v>7.27</v>
      </c>
      <c r="L6" s="71">
        <v>16.55</v>
      </c>
      <c r="M6" s="71">
        <v>1097</v>
      </c>
      <c r="N6" s="71">
        <v>130</v>
      </c>
      <c r="O6" s="71">
        <v>2321</v>
      </c>
      <c r="P6" s="71">
        <v>0</v>
      </c>
      <c r="Q6" s="71">
        <v>0</v>
      </c>
      <c r="R6" s="71">
        <v>0</v>
      </c>
      <c r="S6" s="71">
        <v>0</v>
      </c>
      <c r="T6" s="71">
        <v>0</v>
      </c>
      <c r="U6" s="71">
        <v>0</v>
      </c>
      <c r="V6" s="71">
        <v>0</v>
      </c>
      <c r="W6" s="71">
        <v>5743</v>
      </c>
      <c r="X6" s="71">
        <v>6250</v>
      </c>
      <c r="Y6" s="71">
        <v>0</v>
      </c>
      <c r="Z6" s="71">
        <v>4050</v>
      </c>
      <c r="AA6" s="71">
        <v>4209</v>
      </c>
      <c r="AB6" s="71">
        <v>2012</v>
      </c>
      <c r="AC6" s="71">
        <v>7488</v>
      </c>
      <c r="AD6" s="71">
        <v>2810</v>
      </c>
      <c r="AE6" s="71">
        <v>4068</v>
      </c>
    </row>
    <row r="7" spans="1:99" s="72" customFormat="1" ht="22.2" ph="1">
      <c r="B7" s="181" ph="1"/>
      <c r="C7" s="68" t="s" ph="1">
        <v>178</v>
      </c>
      <c r="D7" s="73" ph="1">
        <f>D6*33.183*LOOKUP(D8,密度!$A$2:$A$50,密度!$Q$2:$Q$50)</f>
        <v>113875.30697022</v>
      </c>
      <c r="E7" s="73" ph="1">
        <f>E6*51.53*LOOKUP(E8,密度!$A$2:$A$50,密度!$B$2:$B$50)</f>
        <v>279764.98581599997</v>
      </c>
      <c r="F7" s="73" ph="1">
        <f>F6*33.183*LOOKUP(F8,密度!$A$2:$A$50,密度!$C$2:$C$50)</f>
        <v>233016.65383679999</v>
      </c>
      <c r="G7" s="73" ph="1">
        <f xml:space="preserve"> (G6+2)*51.53*LOOKUP(G8,密度!$A$2:$A$50,密度!$B$2:$B$50)</f>
        <v>371383.76961000002</v>
      </c>
      <c r="H7" s="73" ph="1">
        <f>(H6)*51.53*LOOKUP(H8,密度!$A$2:$A$50,密度!$B$2:$B$50)</f>
        <v>262549.56515400001</v>
      </c>
      <c r="I7" s="73" ph="1">
        <f>I6*290.8*1.0267</f>
        <v>3048.3421155999999</v>
      </c>
      <c r="J7" s="73" ph="1">
        <f>J6*290.8*0.7892</f>
        <v>5911.9035136000002</v>
      </c>
      <c r="K7" s="73" ph="1">
        <f>K6*290.8*1.1126</f>
        <v>2352.1654616000001</v>
      </c>
      <c r="L7" s="73" ph="1">
        <f>L6*290.8*0.777</f>
        <v>3739.4989800000008</v>
      </c>
      <c r="M7" s="73" ph="1">
        <f>M6*33.183*LOOKUP(M8,密度!$A$2:$A$50,密度!$D$2:$D$50)</f>
        <v>37373.677751699994</v>
      </c>
      <c r="N7" s="73" ph="1">
        <f>N6*33.183*LOOKUP(N8,密度!$A$2:$A$50,密度!$E$2:$E$50)</f>
        <v>3378.560328</v>
      </c>
      <c r="O7" s="73" ph="1">
        <f>O6*20.428*LOOKUP(O8,密度!$A$2:$A$50,密度!$C$2:$C$50)</f>
        <v>52396.5350788</v>
      </c>
      <c r="P7" s="73" ph="1">
        <f>P6*51.53*LOOKUP(P8,密度!$A$2:$A$50,密度!$B$2:$B$50)</f>
        <v>0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38078.081672399996</v>
      </c>
      <c r="X7" s="73" ph="1">
        <f>X6*1.5*1.5*3.1416*LOOKUP(X8,密度!$A$2:$A$50,密度!$L$2:$L$50)</f>
        <v>41837.276249999995</v>
      </c>
      <c r="Y7" s="73" ph="1">
        <f>Y6*1.5*1.5*3.1416*LOOKUP(Y8,密度!$A$2:$A$50,密度!$L$2:$L$50)</f>
        <v>0</v>
      </c>
      <c r="Z7" s="73" ph="1">
        <f>Z6*33.183*LOOKUP(Z8,密度!$A$2:$A$50,密度!$L$2:$L$50)</f>
        <v>126462.07214999999</v>
      </c>
      <c r="AA7" s="73" ph="1">
        <f>AA6*33.183*LOOKUP(AA8,密度!$A$2:$A$50,密度!$D$2:$D$50)</f>
        <v>143522.06301720001</v>
      </c>
      <c r="AB7" s="73" ph="1">
        <f>AB6*20.428*LOOKUP(AB8,密度!$A$2:$A$50,密度!$D$2:$D$50)</f>
        <v>42531.455532799999</v>
      </c>
      <c r="AC7" s="73" ph="1">
        <f>AC6*51.53*LOOKUP(AC8,密度!$A$2:$A$50,密度!$Q$2:$Q$50)</f>
        <v>366212.67845760001</v>
      </c>
      <c r="AD7" s="73" ph="1">
        <f>AD6*20.428*LOOKUP(AD8,密度!$A$2:$A$50,密度!$V$2:$V$50)</f>
        <v>55152.494943999998</v>
      </c>
      <c r="AE7" s="73" ph="1">
        <f>AE6*20.428</f>
        <v>83101.104000000007</v>
      </c>
    </row>
    <row r="8" spans="1:99" ph="1">
      <c r="B8" s="181" ph="1"/>
      <c r="C8" s="68" t="s" ph="1">
        <v>179</v>
      </c>
      <c r="D8" s="74">
        <v>24</v>
      </c>
      <c r="E8" s="74">
        <v>23</v>
      </c>
      <c r="F8" s="74">
        <v>23</v>
      </c>
      <c r="G8" s="74">
        <v>24</v>
      </c>
      <c r="H8" s="74">
        <v>20</v>
      </c>
      <c r="I8" s="74">
        <v>25</v>
      </c>
      <c r="J8" s="74">
        <v>25</v>
      </c>
      <c r="K8" s="74">
        <v>25</v>
      </c>
      <c r="L8" s="74">
        <v>25</v>
      </c>
      <c r="M8" s="74">
        <v>25</v>
      </c>
      <c r="N8" s="74">
        <v>25</v>
      </c>
      <c r="O8" s="74">
        <v>30</v>
      </c>
      <c r="P8" s="74">
        <v>22</v>
      </c>
      <c r="Q8" s="74">
        <v>25</v>
      </c>
      <c r="R8" s="74">
        <v>30</v>
      </c>
      <c r="S8" s="74">
        <v>21</v>
      </c>
      <c r="T8" s="74">
        <v>20</v>
      </c>
      <c r="U8" s="74">
        <v>24</v>
      </c>
      <c r="V8" s="74">
        <v>27</v>
      </c>
      <c r="W8" s="74">
        <v>24</v>
      </c>
      <c r="X8" s="74">
        <v>15</v>
      </c>
      <c r="Y8" s="74">
        <v>24</v>
      </c>
      <c r="Z8" s="74">
        <v>21</v>
      </c>
      <c r="AA8" s="74">
        <v>24</v>
      </c>
      <c r="AB8" s="74">
        <v>16</v>
      </c>
      <c r="AC8" s="74">
        <v>22</v>
      </c>
      <c r="AD8" s="74">
        <v>22</v>
      </c>
      <c r="AE8" s="74">
        <v>24</v>
      </c>
    </row>
    <row r="9" spans="1:99" ht="26.4" ph="1">
      <c r="B9" s="181" ph="1">
        <v>0.66666666666666663</v>
      </c>
      <c r="C9" s="151" t="s" ph="1">
        <v>180</v>
      </c>
      <c r="D9" s="71">
        <v>3625</v>
      </c>
      <c r="E9" s="71">
        <v>6952</v>
      </c>
      <c r="F9" s="71">
        <v>6328</v>
      </c>
      <c r="G9" s="71">
        <v>9242</v>
      </c>
      <c r="H9" s="71">
        <v>6589</v>
      </c>
      <c r="I9" s="71">
        <v>10.14</v>
      </c>
      <c r="J9" s="71">
        <v>12.71</v>
      </c>
      <c r="K9" s="71">
        <v>7.38</v>
      </c>
      <c r="L9" s="71">
        <v>-1.28</v>
      </c>
      <c r="M9" s="71">
        <v>1096</v>
      </c>
      <c r="N9" s="71">
        <v>449</v>
      </c>
      <c r="O9" s="71">
        <v>1402</v>
      </c>
      <c r="P9" s="71">
        <v>0</v>
      </c>
      <c r="Q9" s="71">
        <v>0</v>
      </c>
      <c r="R9" s="71">
        <v>0</v>
      </c>
      <c r="S9" s="71">
        <v>0</v>
      </c>
      <c r="T9" s="71">
        <v>0</v>
      </c>
      <c r="U9" s="71">
        <v>0</v>
      </c>
      <c r="V9" s="71">
        <v>0</v>
      </c>
      <c r="W9" s="71">
        <v>973</v>
      </c>
      <c r="X9" s="71">
        <v>6259</v>
      </c>
      <c r="Y9" s="71">
        <v>2463</v>
      </c>
      <c r="Z9" s="71">
        <v>1759</v>
      </c>
      <c r="AA9" s="71">
        <v>4215</v>
      </c>
      <c r="AB9" s="71">
        <v>1911</v>
      </c>
      <c r="AC9" s="71">
        <v>7490</v>
      </c>
      <c r="AD9" s="71">
        <v>2810</v>
      </c>
      <c r="AE9" s="71">
        <v>4085</v>
      </c>
    </row>
    <row r="10" spans="1:99" s="72" customFormat="1" ht="22.2" ph="1">
      <c r="B10" s="181" ph="1"/>
      <c r="C10" s="151" t="s" ph="1">
        <v>178</v>
      </c>
      <c r="D10" s="73" ph="1">
        <f>D9*33.183*LOOKUP(D11,密度!$A$2:$A$50,密度!$Q$2:$Q$50)</f>
        <v>113796.41140125001</v>
      </c>
      <c r="E10" s="73" ph="1">
        <f>E9*51.53*LOOKUP(E11,密度!$A$2:$A$50,密度!$B$2:$B$50)</f>
        <v>277740.80496799998</v>
      </c>
      <c r="F10" s="73" ph="1">
        <f>F9*33.183*LOOKUP(F11,密度!$A$2:$A$50,密度!$C$2:$C$50)</f>
        <v>232849.0664136</v>
      </c>
      <c r="G10" s="73" ph="1">
        <f xml:space="preserve"> (G9+2)*51.53*LOOKUP(G11,密度!$A$2:$A$50,密度!$B$2:$B$50)</f>
        <v>369308.97599599999</v>
      </c>
      <c r="H10" s="73" ph="1">
        <f>(H9)*51.53*LOOKUP(H11,密度!$A$2:$A$50,密度!$B$2:$B$50)</f>
        <v>263238.51610099996</v>
      </c>
      <c r="I10" s="73" ph="1">
        <f>I9*290.8*1.0267</f>
        <v>3027.4426104000004</v>
      </c>
      <c r="J10" s="73" ph="1">
        <f>J9*290.8*0.7892</f>
        <v>2916.9368656000001</v>
      </c>
      <c r="K10" s="73" ph="1">
        <f>K9*290.8*1.1126</f>
        <v>2387.7553104000003</v>
      </c>
      <c r="L10" s="73" ph="1">
        <f>L9*290.8*0.777</f>
        <v>-289.21804800000007</v>
      </c>
      <c r="M10" s="73" ph="1">
        <f>M9*33.183*LOOKUP(M11,密度!$A$2:$A$50,密度!$D$2:$D$50)</f>
        <v>37135.944784799998</v>
      </c>
      <c r="N10" s="73" ph="1">
        <f>N9*33.183*LOOKUP(N11,密度!$A$2:$A$50,密度!$E$2:$E$50)</f>
        <v>11551.622158439999</v>
      </c>
      <c r="O10" s="73" ph="1">
        <f>O9*20.428*LOOKUP(O11,密度!$A$2:$A$50,密度!$C$2:$C$50)</f>
        <v>31501.197594400004</v>
      </c>
      <c r="P10" s="73" ph="1">
        <f>P9*51.53*LOOKUP(P11,密度!$A$2:$A$50,密度!$B$2:$B$50)</f>
        <v>0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6430.6941930000003</v>
      </c>
      <c r="X10" s="73" ph="1">
        <f>X9*1.5*1.5*3.1416*LOOKUP(X11,密度!$A$2:$A$50,密度!$L$2:$L$50)</f>
        <v>41764.794825600002</v>
      </c>
      <c r="Y10" s="73" ph="1">
        <f>Y9*1.5*1.5*3.1416*LOOKUP(Y11,密度!$A$2:$A$50,密度!$L$2:$L$50)</f>
        <v>16313.134206600002</v>
      </c>
      <c r="Z10" s="73" ph="1">
        <f>Z9*33.183*LOOKUP(Z11,密度!$A$2:$A$50,密度!$L$2:$L$50)</f>
        <v>54633.287592000001</v>
      </c>
      <c r="AA10" s="73" ph="1">
        <f>AA9*33.183*LOOKUP(AA11,密度!$A$2:$A$50,密度!$D$2:$D$50)</f>
        <v>142943.40458999999</v>
      </c>
      <c r="AB10" s="73" ph="1">
        <f>AB9*20.428*LOOKUP(AB11,密度!$A$2:$A$50,密度!$D$2:$D$50)</f>
        <v>40263.698311200009</v>
      </c>
      <c r="AC10" s="73" ph="1">
        <f>AC9*51.53*LOOKUP(AC11,密度!$A$2:$A$50,密度!$Q$2:$Q$50)</f>
        <v>364585.25181400002</v>
      </c>
      <c r="AD10" s="73" ph="1">
        <f>AD9*20.428*LOOKUP(AD11,密度!$A$2:$A$50,密度!$V$2:$V$50)</f>
        <v>54968.806367999998</v>
      </c>
      <c r="AE10" s="73" ph="1">
        <f>AE9*20.428</f>
        <v>83448.38</v>
      </c>
    </row>
    <row r="11" spans="1:99" ph="1">
      <c r="A11" s="64" t="s" ph="1">
        <v>162</v>
      </c>
      <c r="B11" s="181" ph="1"/>
      <c r="C11" s="151" t="s" ph="1">
        <v>179</v>
      </c>
      <c r="D11" s="74">
        <v>26</v>
      </c>
      <c r="E11" s="74">
        <v>30</v>
      </c>
      <c r="F11" s="74">
        <v>25</v>
      </c>
      <c r="G11" s="74">
        <v>30</v>
      </c>
      <c r="H11" s="74">
        <v>30</v>
      </c>
      <c r="I11" s="74">
        <v>25</v>
      </c>
      <c r="J11" s="74">
        <v>25</v>
      </c>
      <c r="K11" s="74">
        <v>25</v>
      </c>
      <c r="L11" s="74">
        <v>25</v>
      </c>
      <c r="M11" s="74">
        <v>31</v>
      </c>
      <c r="N11" s="74">
        <v>32</v>
      </c>
      <c r="O11" s="74">
        <v>35</v>
      </c>
      <c r="P11" s="74">
        <v>33</v>
      </c>
      <c r="Q11" s="74">
        <v>38</v>
      </c>
      <c r="R11" s="74">
        <v>36</v>
      </c>
      <c r="S11" s="74">
        <v>27</v>
      </c>
      <c r="T11" s="74">
        <v>36</v>
      </c>
      <c r="U11" s="74">
        <v>22</v>
      </c>
      <c r="V11" s="74">
        <v>28</v>
      </c>
      <c r="W11" s="74">
        <v>27</v>
      </c>
      <c r="X11" s="74">
        <v>18</v>
      </c>
      <c r="Y11" s="74">
        <v>25</v>
      </c>
      <c r="Z11" s="74">
        <v>26</v>
      </c>
      <c r="AA11" s="74">
        <v>30</v>
      </c>
      <c r="AB11" s="74">
        <v>20</v>
      </c>
      <c r="AC11" s="74">
        <v>28</v>
      </c>
      <c r="AD11" s="74">
        <v>29</v>
      </c>
      <c r="AE11" s="74">
        <v>28</v>
      </c>
    </row>
    <row r="12" spans="1:99" ht="9.9" customHeight="1" ph="1"/>
    <row r="13" spans="1:99" s="72" customFormat="1" ht="29.25" customHeight="1" ph="1">
      <c r="B13" s="189" t="s" ph="1">
        <v>37</v>
      </c>
      <c r="C13" s="151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0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639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1" ph="1">
        <v>0.33333333333333331</v>
      </c>
      <c r="C15" s="151" t="s" ph="1">
        <v>177</v>
      </c>
      <c r="D15" s="78">
        <v>3580</v>
      </c>
      <c r="E15" s="78">
        <v>4009</v>
      </c>
      <c r="F15" s="78">
        <v>1891</v>
      </c>
      <c r="G15" s="78">
        <v>5211</v>
      </c>
      <c r="H15" s="78">
        <v>3560</v>
      </c>
      <c r="I15" s="78">
        <v>5473</v>
      </c>
      <c r="J15" s="78">
        <v>2042</v>
      </c>
      <c r="K15" s="78">
        <v>5007</v>
      </c>
      <c r="L15" s="78">
        <v>5525</v>
      </c>
      <c r="M15" s="78">
        <v>4482</v>
      </c>
      <c r="N15" s="78">
        <v>441</v>
      </c>
      <c r="O15" s="78">
        <v>5000</v>
      </c>
      <c r="P15" s="78">
        <v>1105</v>
      </c>
      <c r="Q15" s="78">
        <v>1280</v>
      </c>
      <c r="R15" s="78">
        <v>7405</v>
      </c>
      <c r="S15" s="78">
        <v>0</v>
      </c>
      <c r="T15" s="78">
        <v>5916</v>
      </c>
      <c r="U15" s="78">
        <v>1719</v>
      </c>
      <c r="V15" s="78">
        <v>3702</v>
      </c>
      <c r="W15" s="71">
        <v>-171</v>
      </c>
      <c r="X15" s="78">
        <v>-103</v>
      </c>
      <c r="Y15" s="106">
        <v>-9907</v>
      </c>
      <c r="Z15" s="78">
        <v>0</v>
      </c>
      <c r="AA15" s="78">
        <v>3755</v>
      </c>
      <c r="AB15" s="78" ph="1">
        <v>402</v>
      </c>
      <c r="AC15" s="78" ph="1">
        <v>2501</v>
      </c>
      <c r="AD15" s="78">
        <v>48.08</v>
      </c>
      <c r="AE15" s="78">
        <v>5.4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2" ph="1"/>
      <c r="C16" s="151" t="s" ph="1">
        <v>178</v>
      </c>
      <c r="D16" s="73" ph="1">
        <f>D15*7.0686*LOOKUP(D17,密度!$A$2:$A$50,密度!$L$2:$L$50)</f>
        <v>23736.641543999998</v>
      </c>
      <c r="E16" s="73" ph="1">
        <f>E15*7.0686*LOOKUP(E17,密度!$A$2:$A$50,密度!$L$2:$L$50)</f>
        <v>26581.060321199999</v>
      </c>
      <c r="F16" s="73" ph="1">
        <f>F15*9.0746*LOOKUP(F17,密度!$A$2:$A$50,密度!$L$2:$L$50)</f>
        <v>16061.824209599999</v>
      </c>
      <c r="G16" s="73" ph="1">
        <f>G15*9.0746*LOOKUP(G17,密度!$A$2:$A$50,密度!$B$2:$B$50)</f>
        <v>36865.522571760004</v>
      </c>
      <c r="H16" s="73" ph="1">
        <f>H15*9.0746*LOOKUP(H17,密度!$A$2:$A$50,密度!$L$2:$L$50)</f>
        <v>30205.713560000004</v>
      </c>
      <c r="I16" s="73" ph="1">
        <f>I15*9.0746*LOOKUP(I17,密度!$A$2:$A$50,密度!$U$2:$U$50)</f>
        <v>51006.248516599997</v>
      </c>
      <c r="J16" s="73" ph="1">
        <f>J15*9.0746*LOOKUP(J17,密度!$A$2:$A$50,密度!$L$2:$L$50)</f>
        <v>17325.861542000002</v>
      </c>
      <c r="K16" s="73" ph="1">
        <f>K15*9.0746*LOOKUP(K17,密度!$A$2:$A$50,密度!$C$2:$C$50)</f>
        <v>50416.365033119997</v>
      </c>
      <c r="L16" s="73" ph="1">
        <f>L15*9.0746*LOOKUP(L17,密度!$A$2:$A$50,密度!$E$2:$E$50)</f>
        <v>39267.427627999998</v>
      </c>
      <c r="M16" s="73" ph="1">
        <f>M15*9.0746*LOOKUP(M17,密度!$A$2:$A$50,密度!$M$2:$M$50)</f>
        <v>35511.035071319995</v>
      </c>
      <c r="N16" s="73" ph="1">
        <f>N15*9.0746*LOOKUP(N17,密度!$A$2:$A$50,密度!$M$2:$M$50)</f>
        <v>3513.6669707999999</v>
      </c>
      <c r="O16" s="73" ph="1">
        <f>O15*9.0746*LOOKUP(O17,密度!$A$2:$A$50,密度!$G$2:$G$50)</f>
        <v>43512.706999999995</v>
      </c>
      <c r="P16" s="73" ph="1">
        <f ca="1">P15*9.0746*LOOKUP(P17,密度!$A$2:$A$51,密度!$Q$2:$Q$50)</f>
        <v>9493.3719184200017</v>
      </c>
      <c r="Q16" s="73" ph="1">
        <f>Q15*9.0746*LOOKUP(Q17,密度!$A$2:$A$50,密度!$Q$2:$Q$50)</f>
        <v>11005.326415360001</v>
      </c>
      <c r="R16" s="73" ph="1">
        <f>MAX(R15*9.0746*LOOKUP(R17,密度!$A$2:$A$50,密度!$B$2:$B$50),0)</f>
        <v>52387.103174799995</v>
      </c>
      <c r="S16" s="73" ph="1">
        <f>S15*9.0746*LOOKUP(S17,密度!$A$2:$A$50,密度!$Q$2:$Q$50)</f>
        <v>0</v>
      </c>
      <c r="T16" s="73" ph="1">
        <f>T15*9.0746*LOOKUP(T17,密度!$A$2:$A$50,密度!$O$2:$O$50)</f>
        <v>49927.360248000005</v>
      </c>
      <c r="U16" s="73" ph="1">
        <f>U15*9.0746*LOOKUP(U17,密度!$A$2:$A$50,密度!$H$2:$H$50)</f>
        <v>14316.980085719999</v>
      </c>
      <c r="V16" s="73" ph="1">
        <f>MAX(5600*LOOKUP(V17,密度!$A$2:$A$50,密度!$Q$2:$Q$50)+V15*9.0476*LOOKUP(V17,密度!$A$2:$A$50,密度!$Q$2:$Q$50),0)</f>
        <v>36984.300405656002</v>
      </c>
      <c r="W16" s="73" ph="1">
        <f>MAX(5600*LOOKUP(W17,密度!$A$2:$A$50,密度!$Q$2:$Q$50)+W15*9.0476*LOOKUP(W17,密度!$A$2:$A$50,密度!$Q$2:$Q$50),0)</f>
        <v>3834.127524212</v>
      </c>
      <c r="X16" s="73" ph="1">
        <f>MAX(5600*LOOKUP(X17,密度!$A$2:$A$50,密度!$I$2:$I$50)+X15*9.0476*LOOKUP(X17,密度!$A$2:$A$50,密度!$I$2:$I$50),0)</f>
        <v>4855.2878977200007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26595.6335015</v>
      </c>
      <c r="AB16" s="73" ph="1">
        <f>AB15*9.0746*LOOKUP(AB17,密度!$A$2:$A$50,密度!$L$2:$L$50)</f>
        <v>3421.8138695999996</v>
      </c>
      <c r="AC16" s="73" ph="1">
        <f>AC15*9.0746*LOOKUP(AC17,密度!$A$2:$A$50,密度!$L$2:$L$50)</f>
        <v>21333.840123999998</v>
      </c>
      <c r="AD16" s="73" ph="1">
        <f>AD15*268.68*LOOKUP(AD17,密度!$A$2:$A$50,密度!B2:B50)+IF(AD15&lt;=0,0,1566*LOOKUP(AD17,密度!$A$2:$A$50,密度!B2:B50))</f>
        <v>11291.83117824</v>
      </c>
      <c r="AE16" s="73" ph="1">
        <f>AE15*268.68*LOOKUP(AE17,密度!$A$2:$A$50,密度!B2:B50)+IF(AE15&lt;=0,0,1566*LOOKUP(AE17,密度!$A$2:$A$50,密度!B2:B50))</f>
        <v>2351.9534112000001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3" ph="1"/>
      <c r="C17" s="79" t="s" ph="1">
        <v>179</v>
      </c>
      <c r="D17" s="74">
        <v>24</v>
      </c>
      <c r="E17" s="74">
        <v>24</v>
      </c>
      <c r="F17" s="74">
        <v>26</v>
      </c>
      <c r="G17" s="74">
        <v>25</v>
      </c>
      <c r="H17" s="74">
        <v>27</v>
      </c>
      <c r="I17" s="74">
        <v>23</v>
      </c>
      <c r="J17" s="74">
        <v>27</v>
      </c>
      <c r="K17" s="74">
        <v>24</v>
      </c>
      <c r="L17" s="74">
        <v>25</v>
      </c>
      <c r="M17" s="74">
        <v>27</v>
      </c>
      <c r="N17" s="74">
        <v>22</v>
      </c>
      <c r="O17" s="74">
        <v>26</v>
      </c>
      <c r="P17" s="74">
        <v>25</v>
      </c>
      <c r="Q17" s="74">
        <v>24</v>
      </c>
      <c r="R17" s="74">
        <v>25</v>
      </c>
      <c r="S17" s="74">
        <v>24</v>
      </c>
      <c r="T17" s="74">
        <v>24</v>
      </c>
      <c r="U17" s="74">
        <v>22</v>
      </c>
      <c r="V17" s="74">
        <v>26</v>
      </c>
      <c r="W17" s="74">
        <v>26</v>
      </c>
      <c r="X17" s="74">
        <v>27</v>
      </c>
      <c r="Y17" s="108">
        <v>27</v>
      </c>
      <c r="Z17" s="74">
        <v>24</v>
      </c>
      <c r="AA17" s="74">
        <v>24</v>
      </c>
      <c r="AB17" s="74">
        <v>24</v>
      </c>
      <c r="AC17" s="74">
        <v>22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1" ph="1">
        <v>0.66666666666666663</v>
      </c>
      <c r="C18" s="79" t="s" ph="1">
        <v>180</v>
      </c>
      <c r="D18" s="71">
        <v>3586</v>
      </c>
      <c r="E18" s="71">
        <v>5294</v>
      </c>
      <c r="F18" s="71">
        <v>2274</v>
      </c>
      <c r="G18" s="71">
        <v>5259</v>
      </c>
      <c r="H18" s="71">
        <v>4121</v>
      </c>
      <c r="I18" s="71">
        <v>5479</v>
      </c>
      <c r="J18" s="71">
        <v>2097</v>
      </c>
      <c r="K18" s="71">
        <v>5010</v>
      </c>
      <c r="L18" s="71">
        <v>4527</v>
      </c>
      <c r="M18" s="71">
        <v>1516</v>
      </c>
      <c r="N18" s="71">
        <v>2729</v>
      </c>
      <c r="O18" s="71">
        <v>5007</v>
      </c>
      <c r="P18" s="71">
        <v>1105</v>
      </c>
      <c r="Q18" s="71">
        <v>1281</v>
      </c>
      <c r="R18" s="71">
        <v>7416</v>
      </c>
      <c r="S18" s="71">
        <v>0</v>
      </c>
      <c r="T18" s="71">
        <v>5924</v>
      </c>
      <c r="U18" s="71">
        <v>1720</v>
      </c>
      <c r="V18" s="71">
        <v>3703</v>
      </c>
      <c r="W18" s="71">
        <v>-173</v>
      </c>
      <c r="X18" s="71">
        <v>-107</v>
      </c>
      <c r="Y18" s="109">
        <v>-9908</v>
      </c>
      <c r="Z18" s="71">
        <v>0</v>
      </c>
      <c r="AA18" s="71">
        <v>2730</v>
      </c>
      <c r="AB18" s="71">
        <v>399</v>
      </c>
      <c r="AC18" s="71">
        <v>2503</v>
      </c>
      <c r="AD18" s="71">
        <v>84.5</v>
      </c>
      <c r="AE18" s="71">
        <v>20.22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2" ph="1"/>
      <c r="C19" s="151" t="s" ph="1">
        <v>178</v>
      </c>
      <c r="D19" s="73" ph="1">
        <f>D18*7.0686*LOOKUP(D20,密度!$A$2:$A$50,密度!$L$2:$L$50)</f>
        <v>23522.9436288</v>
      </c>
      <c r="E19" s="73" ph="1">
        <f>E18*7.0686*LOOKUP(E20,密度!$A$2:$A$50,密度!$L$2:$L$50)</f>
        <v>34726.844275200005</v>
      </c>
      <c r="F19" s="73" ph="1">
        <f>F18*9.0746*LOOKUP(F20,密度!$A$2:$A$50,密度!$L$2:$L$50)</f>
        <v>19170.509931600001</v>
      </c>
      <c r="G19" s="73" ph="1">
        <f>G18*9.0746*LOOKUP(G20,密度!$A$2:$A$50,密度!$B$2:$B$50)</f>
        <v>37081.020727800002</v>
      </c>
      <c r="H19" s="73" ph="1">
        <f>H18*9.0746*LOOKUP(H20,密度!$A$2:$A$50,密度!$L$2:$L$50)</f>
        <v>34928.262444400003</v>
      </c>
      <c r="I19" s="73" ph="1">
        <f>I18*9.0746*LOOKUP(I20,密度!$A$2:$A$50,密度!$U$2:$U$50)</f>
        <v>50614.688601200003</v>
      </c>
      <c r="J19" s="73" ph="1">
        <f>J18*9.0746*LOOKUP(J20,密度!$A$2:$A$50,密度!$L$2:$L$50)</f>
        <v>17735.434538400001</v>
      </c>
      <c r="K19" s="73" ph="1">
        <f>K18*9.0746*LOOKUP(K20,密度!$A$2:$A$50,密度!$C$2:$C$50)</f>
        <v>50310.181323600002</v>
      </c>
      <c r="L19" s="73" ph="1">
        <f>L18*9.0746*LOOKUP(L20,密度!$A$2:$A$50,密度!$E$2:$E$50)</f>
        <v>32084.037790200004</v>
      </c>
      <c r="M19" s="73" ph="1">
        <f>M18*9.0746*LOOKUP(M20,密度!$A$2:$A$50,密度!$M$2:$M$50)</f>
        <v>11982.4285256</v>
      </c>
      <c r="N19" s="73" ph="1">
        <f>N18*9.0746*LOOKUP(N20,密度!$A$2:$A$50,密度!$M$2:$M$50)</f>
        <v>21594.716724800001</v>
      </c>
      <c r="O19" s="73" ph="1">
        <f>O18*9.0746*LOOKUP(O20,密度!$A$2:$A$50,密度!$G$2:$G$50)</f>
        <v>43528.188267599995</v>
      </c>
      <c r="P19" s="73" ph="1">
        <f ca="1">P18*9.0746*LOOKUP(P20,密度!$A$2:$A$51,密度!$Q$2:$Q$50)</f>
        <v>9425.1853740200004</v>
      </c>
      <c r="Q19" s="73" ph="1">
        <f>Q18*9.0746*LOOKUP(Q20,密度!$A$2:$A$50,密度!$Q$2:$Q$50)</f>
        <v>10941.619547250002</v>
      </c>
      <c r="R19" s="73" ph="1">
        <f>MAX(R18*9.0746*LOOKUP(R20,密度!$A$2:$A$50,密度!$B$2:$B$50),0)</f>
        <v>52289.95050720001</v>
      </c>
      <c r="S19" s="73" ph="1">
        <f>S18*9.0746*LOOKUP(S20,密度!$A$2:$A$50,密度!$Q$2:$Q$50)</f>
        <v>0</v>
      </c>
      <c r="T19" s="73" ph="1">
        <f>T18*9.0746*LOOKUP(T20,密度!$A$2:$A$50,密度!$O$2:$O$50)</f>
        <v>49779.843550400008</v>
      </c>
      <c r="U19" s="73" ph="1">
        <f>U18*9.0746*LOOKUP(U20,密度!$A$2:$A$50,密度!$H$2:$H$50)</f>
        <v>14264.436336800001</v>
      </c>
      <c r="V19" s="73" ph="1">
        <f>MAX(5600*LOOKUP(V20,密度!$A$2:$A$50,密度!$Q$2:$Q$50)+V18*9.0476*LOOKUP(V20,密度!$A$2:$A$50,密度!$Q$2:$Q$50),0)</f>
        <v>36910.742854803997</v>
      </c>
      <c r="W19" s="73" ph="1">
        <f>MAX(5600*LOOKUP(W20,密度!$A$2:$A$50,密度!$Q$2:$Q$50)+W18*9.0476*LOOKUP(W20,密度!$A$2:$A$50,密度!$Q$2:$Q$50),0)</f>
        <v>3800.3453418799995</v>
      </c>
      <c r="X19" s="73" ph="1">
        <f>MAX(5600*LOOKUP(X20,密度!$A$2:$A$50,密度!$I$2:$I$50)+X18*9.0476*LOOKUP(X20,密度!$A$2:$A$50,密度!$I$2:$I$50),0)</f>
        <v>4801.8977795599994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19271.428558200001</v>
      </c>
      <c r="AB19" s="73" ph="1">
        <f>AB18*9.0746*LOOKUP(AB20,密度!$A$2:$A$50,密度!$L$2:$L$50)</f>
        <v>3360.0702912000002</v>
      </c>
      <c r="AC19" s="73" ph="1">
        <f>AC18*9.0746*LOOKUP(AC20,密度!$A$2:$A$50,密度!$L$2:$L$50)</f>
        <v>21237.331753000002</v>
      </c>
      <c r="AD19" s="73" ph="1">
        <f>AD18*268.68*LOOKUP(AD20,密度!$A$2:$A$50,密度!B5:B53)+IF(AD18&lt;=0,0,1566*LOOKUP(AD20,密度!$A$2:$A$50,密度!B5:B53))</f>
        <v>18857.370419999999</v>
      </c>
      <c r="AE19" s="73" ph="1">
        <f>AE18*268.68*LOOKUP(AE20,密度!$A$2:$A$50,密度!B5:B53)+IF(AE18&lt;=0,0,1566*LOOKUP(AE20,密度!$A$2:$A$50,密度!B5:B53))</f>
        <v>5437.9973592000006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2" ph="1"/>
      <c r="C20" s="80" t="s" ph="1">
        <v>179</v>
      </c>
      <c r="D20" s="81">
        <v>34</v>
      </c>
      <c r="E20" s="81">
        <v>34</v>
      </c>
      <c r="F20" s="81">
        <v>33</v>
      </c>
      <c r="G20" s="81">
        <v>28</v>
      </c>
      <c r="H20" s="81">
        <v>28</v>
      </c>
      <c r="I20" s="81">
        <v>32</v>
      </c>
      <c r="J20" s="81">
        <v>30</v>
      </c>
      <c r="K20" s="81">
        <v>28</v>
      </c>
      <c r="L20" s="81">
        <v>27</v>
      </c>
      <c r="M20" s="81">
        <v>29</v>
      </c>
      <c r="N20" s="81">
        <v>28</v>
      </c>
      <c r="O20" s="81">
        <v>27</v>
      </c>
      <c r="P20" s="81">
        <v>35</v>
      </c>
      <c r="Q20" s="81">
        <v>33</v>
      </c>
      <c r="R20" s="81">
        <v>28</v>
      </c>
      <c r="S20" s="81">
        <v>32</v>
      </c>
      <c r="T20" s="81">
        <v>27</v>
      </c>
      <c r="U20" s="81">
        <v>26</v>
      </c>
      <c r="V20" s="81">
        <v>29</v>
      </c>
      <c r="W20" s="81">
        <v>32</v>
      </c>
      <c r="X20" s="81">
        <v>30</v>
      </c>
      <c r="Y20" s="110">
        <v>30</v>
      </c>
      <c r="Z20" s="81">
        <v>34</v>
      </c>
      <c r="AA20" s="81">
        <v>27</v>
      </c>
      <c r="AB20" s="81">
        <v>34</v>
      </c>
      <c r="AC20" s="81">
        <v>27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0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69" t="s" ph="1">
        <v>69</v>
      </c>
      <c r="AA22" s="170"/>
      <c r="AB22" s="170"/>
      <c r="AC22" s="170"/>
      <c r="AD22" s="170"/>
      <c r="AE22" s="17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5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72" t="s" ph="1">
        <v>640</v>
      </c>
      <c r="AA23" s="173"/>
      <c r="AB23" s="173"/>
      <c r="AC23" s="173"/>
      <c r="AD23" s="173"/>
      <c r="AE23" s="17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1" ph="1">
        <v>0.33333333333333331</v>
      </c>
      <c r="C24" s="151" t="s" ph="1">
        <v>177</v>
      </c>
      <c r="D24" s="71">
        <v>49.67</v>
      </c>
      <c r="E24" s="71">
        <v>4.72</v>
      </c>
      <c r="F24" s="71">
        <v>3397</v>
      </c>
      <c r="G24" s="71">
        <v>3546</v>
      </c>
      <c r="H24" s="71">
        <v>3787</v>
      </c>
      <c r="I24" s="71">
        <v>0</v>
      </c>
      <c r="J24" s="71">
        <v>833</v>
      </c>
      <c r="K24" s="71">
        <v>441</v>
      </c>
      <c r="L24" s="71">
        <v>469</v>
      </c>
      <c r="M24" s="71">
        <v>419</v>
      </c>
      <c r="N24" s="71">
        <v>3245</v>
      </c>
      <c r="O24" s="71">
        <v>5725</v>
      </c>
      <c r="P24" s="71">
        <v>334</v>
      </c>
      <c r="Q24" s="90">
        <v>4265</v>
      </c>
      <c r="R24" s="71">
        <v>2648</v>
      </c>
      <c r="S24" s="71">
        <v>2716</v>
      </c>
      <c r="T24" s="71">
        <v>1273</v>
      </c>
      <c r="U24" s="71">
        <v>4123</v>
      </c>
      <c r="V24" s="71">
        <v>1747</v>
      </c>
      <c r="W24" s="71">
        <v>11198</v>
      </c>
      <c r="X24" s="71">
        <v>5566</v>
      </c>
      <c r="Y24" s="71">
        <v>9233</v>
      </c>
      <c r="Z24" s="175"/>
      <c r="AA24" s="176"/>
      <c r="AB24" s="176"/>
      <c r="AC24" s="176"/>
      <c r="AD24" s="176"/>
      <c r="AE24" s="17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1" ph="1"/>
      <c r="C25" s="68" t="s" ph="1">
        <v>178</v>
      </c>
      <c r="D25" s="91" ph="1">
        <f>D24*268.68*LOOKUP(D26,密度!$A$2:$A$50,密度!$Q$2:$Q$50)+IF(D24&lt;=0,0,1566*LOOKUP(D26,密度!$A$2:$A$50,密度!$Q$2:$Q$50))</f>
        <v>14117.157865944</v>
      </c>
      <c r="E25" s="91" ph="1">
        <f>E24*268.68*LOOKUP(E26,密度!$A$2:$A$50,密度!$C$2:$C$50)+IF(E24&lt;=0,0,1566*LOOKUP(E26,密度!$A$2:$A$50,密度!$C$2:$C$50))</f>
        <v>3142.8106694399999</v>
      </c>
      <c r="F25" s="91" ph="1">
        <f>F24*11.702*LOOKUP(F26,密度!$A$2:$A$50,密度!$Q$2:$Q$50)</f>
        <v>37606.295074820002</v>
      </c>
      <c r="G25" s="91" ph="1">
        <f>G24*18.322*LOOKUP(G26,密度!$A$2:$A$50,密度!$B$2:$B$50)</f>
        <v>50591.992604399995</v>
      </c>
      <c r="H25" s="91" ph="1">
        <f>H24*18.322*LOOKUP(H26,密度!$A$2:$A$50,密度!$B$2:$B$50)</f>
        <v>54030.421881799986</v>
      </c>
      <c r="I25" s="91" ph="1">
        <f>I24*18.322*LOOKUP(I26,密度!$A$2:$A$50,密度!$Q$2:$Q$50)</f>
        <v>0</v>
      </c>
      <c r="J25" s="91" ph="1">
        <f>J24*18.322*LOOKUP(J26,密度!$A$2:$A$50,密度!$Q$2:$Q$50)</f>
        <v>14460.501268219999</v>
      </c>
      <c r="K25" s="91" ph="1">
        <f>K24*18.322*LOOKUP(K26,密度!$A$2:$A$50,密度!$Q$2:$Q$50)</f>
        <v>7661.4578964000002</v>
      </c>
      <c r="L25" s="91" ph="1">
        <f>L24*18.322*LOOKUP(L26,密度!$A$2:$A$50,密度!$Q$2:$Q$50)</f>
        <v>8129.2528185400006</v>
      </c>
      <c r="M25" s="91" ph="1">
        <f>M24*18.322*LOOKUP(M26,密度!$A$2:$A$50,密度!$Q$2:$Q$50)</f>
        <v>7279.2536475999996</v>
      </c>
      <c r="N25" s="91" ph="1">
        <f>N24*18.322*LOOKUP(N26,密度!$A$2:$A$50,密度!$Q$2:$Q$50)</f>
        <v>56463.714484100004</v>
      </c>
      <c r="O25" s="91" ph="1">
        <f>O24*18.322*LOOKUP(O26,密度!$A$2:$A$50,密度!$C$2:$C$50)</f>
        <v>116631.02705500001</v>
      </c>
      <c r="P25" s="91" ph="1">
        <f>P24*11.702*LOOKUP(P26,密度!$A$2:$A$50,密度!$B$2:$B$50)</f>
        <v>3050.5592739999997</v>
      </c>
      <c r="Q25" s="92" ph="1">
        <f>Q24*18.322*LOOKUP(Q26,密度!$A$2:$A$50,密度!$B$2:$B$50)</f>
        <v>60990.869064999999</v>
      </c>
      <c r="R25" s="91" ph="1">
        <f>R24*35.891*LOOKUP(R26,密度!$A$2:$A$50,密度!$C$2:$C$50)</f>
        <v>105455.68273279999</v>
      </c>
      <c r="S25" s="91" ph="1">
        <f>S24*35.891*LOOKUP(S26,密度!$A$2:$A$50,密度!$B$2:$B$50)</f>
        <v>76083.105657999986</v>
      </c>
      <c r="T25" s="91" ph="1">
        <f>T24*35.891*LOOKUP(T26,密度!$A$2:$A$50,密度!$Q$2:$Q$50)</f>
        <v>43322.540212599997</v>
      </c>
      <c r="U25" s="91" ph="1">
        <f>U24*35.891</f>
        <v>147978.59299999999</v>
      </c>
      <c r="V25" s="91" ph="1">
        <f>V24*47.051*LOOKUP(V26,密度!$A$2:$A$50,密度!$B$2:$B$50)</f>
        <v>64155.614708500005</v>
      </c>
      <c r="W25" s="91" ph="1">
        <f>W24*47.051*LOOKUP(W26,密度!$A$2:$A$50,密度!$B$2:$B$50)</f>
        <v>411701.76437719999</v>
      </c>
      <c r="X25" s="91" ph="1">
        <f>X24*47.051*LOOKUP(X26,密度!$A$2:$A$61,密度!$I$2:$I$61)</f>
        <v>269742.44198</v>
      </c>
      <c r="Y25" s="91" ph="1">
        <f>Y24*47.051*LOOKUP(Y26,密度!$A$2:$A$50,密度!$L$2:$L$50)</f>
        <v>407487.72625399998</v>
      </c>
      <c r="Z25" s="175"/>
      <c r="AA25" s="176"/>
      <c r="AB25" s="176"/>
      <c r="AC25" s="176"/>
      <c r="AD25" s="176"/>
      <c r="AE25" s="17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1" ph="1"/>
      <c r="C26" s="68" t="s" ph="1">
        <v>179</v>
      </c>
      <c r="D26" s="74">
        <v>25</v>
      </c>
      <c r="E26" s="74">
        <v>25</v>
      </c>
      <c r="F26" s="74">
        <v>26</v>
      </c>
      <c r="G26" s="74">
        <v>26</v>
      </c>
      <c r="H26" s="74">
        <v>26</v>
      </c>
      <c r="I26" s="74">
        <v>23</v>
      </c>
      <c r="J26" s="74">
        <v>24</v>
      </c>
      <c r="K26" s="74">
        <v>23</v>
      </c>
      <c r="L26" s="74">
        <v>26</v>
      </c>
      <c r="M26" s="74">
        <v>23</v>
      </c>
      <c r="N26" s="74">
        <v>21</v>
      </c>
      <c r="O26" s="74">
        <v>21</v>
      </c>
      <c r="P26" s="74">
        <v>24</v>
      </c>
      <c r="Q26" s="93">
        <v>24</v>
      </c>
      <c r="R26" s="74">
        <v>24</v>
      </c>
      <c r="S26" s="74">
        <v>24</v>
      </c>
      <c r="T26" s="74">
        <v>23</v>
      </c>
      <c r="U26" s="74">
        <v>21</v>
      </c>
      <c r="V26" s="74">
        <v>24</v>
      </c>
      <c r="W26" s="74">
        <v>23</v>
      </c>
      <c r="X26" s="74">
        <v>36</v>
      </c>
      <c r="Y26" s="74">
        <v>24</v>
      </c>
      <c r="Z26" s="175"/>
      <c r="AA26" s="176"/>
      <c r="AB26" s="176"/>
      <c r="AC26" s="176"/>
      <c r="AD26" s="176"/>
      <c r="AE26" s="17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1" ph="1">
        <v>0.66666666666666663</v>
      </c>
      <c r="C27" s="151" t="s" ph="1">
        <v>180</v>
      </c>
      <c r="D27" s="71">
        <v>22.66</v>
      </c>
      <c r="E27" s="71">
        <v>65.41</v>
      </c>
      <c r="F27" s="71">
        <v>2236</v>
      </c>
      <c r="G27" s="71">
        <v>3125</v>
      </c>
      <c r="H27" s="71">
        <v>3129</v>
      </c>
      <c r="I27" s="71">
        <v>0</v>
      </c>
      <c r="J27" s="71">
        <v>829</v>
      </c>
      <c r="K27" s="71">
        <v>438</v>
      </c>
      <c r="L27" s="71">
        <v>464</v>
      </c>
      <c r="M27" s="71">
        <v>3800</v>
      </c>
      <c r="N27" s="71">
        <v>2619</v>
      </c>
      <c r="O27" s="71">
        <v>5722</v>
      </c>
      <c r="P27" s="71">
        <v>330</v>
      </c>
      <c r="Q27" s="90">
        <v>4427</v>
      </c>
      <c r="R27" s="71">
        <v>2645</v>
      </c>
      <c r="S27" s="71">
        <v>2324</v>
      </c>
      <c r="T27" s="71">
        <v>1271</v>
      </c>
      <c r="U27" s="71">
        <v>4028</v>
      </c>
      <c r="V27" s="71">
        <v>2776</v>
      </c>
      <c r="W27" s="71">
        <v>11204</v>
      </c>
      <c r="X27" s="71">
        <v>5565</v>
      </c>
      <c r="Y27" s="71">
        <v>9922</v>
      </c>
      <c r="Z27" s="175"/>
      <c r="AA27" s="176"/>
      <c r="AB27" s="176"/>
      <c r="AC27" s="176"/>
      <c r="AD27" s="176"/>
      <c r="AE27" s="17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1" ph="1"/>
      <c r="C28" s="151" t="s" ph="1">
        <v>178</v>
      </c>
      <c r="D28" s="91" ph="1">
        <f>D27*268.68*LOOKUP(D29,密度!$A$2:$A$50,密度!$Q$2:$Q$50)+IF(D27&lt;=0,0,1566*LOOKUP(D29,密度!$A$2:$A$50,密度!$Q$2:$Q$50))</f>
        <v>7246.6213785119999</v>
      </c>
      <c r="E28" s="91" ph="1">
        <f>E27*268.68*LOOKUP(E29,密度!$A$2:$A$50,密度!$C$2:$C$50)+IF(E27&lt;=0,0,1566*LOOKUP(E29,密度!$A$2:$A$50,密度!$C$2:$C$50))</f>
        <v>21224.74387332</v>
      </c>
      <c r="F28" s="91" ph="1">
        <f>F27*11.702*LOOKUP(F29,密度!$A$2:$A$50,密度!$Q$2:$Q$50)</f>
        <v>24734.933055040001</v>
      </c>
      <c r="G28" s="91" ph="1">
        <f>G27*18.322*LOOKUP(G29,密度!$A$2:$A$50,密度!$B$2:$B$50)</f>
        <v>44488.106250000004</v>
      </c>
      <c r="H28" s="91" ph="1">
        <f>H27*18.322*LOOKUP(H29,密度!$A$2:$A$50,密度!$B$2:$B$50)</f>
        <v>44745.704408999998</v>
      </c>
      <c r="I28" s="91" ph="1">
        <f>I27*18.322*LOOKUP(I29,密度!$A$2:$A$50,密度!$Q$2:$Q$50)</f>
        <v>0</v>
      </c>
      <c r="J28" s="91" ph="1">
        <f>J27*18.322*LOOKUP(J29,密度!$A$2:$A$50,密度!$Q$2:$Q$50)</f>
        <v>14369.191016140001</v>
      </c>
      <c r="K28" s="91" ph="1">
        <f>K27*18.322*LOOKUP(K29,密度!$A$2:$A$50,密度!$Q$2:$Q$50)</f>
        <v>7591.9248070800004</v>
      </c>
      <c r="L28" s="91" ph="1">
        <f>L27*18.322*LOOKUP(L29,密度!$A$2:$A$50,密度!$Q$2:$Q$50)</f>
        <v>8054.8290377599997</v>
      </c>
      <c r="M28" s="91" ph="1">
        <f>M27*18.322*LOOKUP(M29,密度!$A$2:$A$50,密度!$Q$2:$Q$50)</f>
        <v>66017.097519999996</v>
      </c>
      <c r="N28" s="91" ph="1">
        <f>N27*18.322*LOOKUP(N29,密度!$A$2:$A$50,密度!$Q$2:$Q$50)</f>
        <v>45464.649245460001</v>
      </c>
      <c r="O28" s="91" ph="1">
        <f>O27*18.322*LOOKUP(O29,密度!$A$2:$A$50,密度!$C$2:$C$50)</f>
        <v>116569.91035960001</v>
      </c>
      <c r="P28" s="91" ph="1">
        <f>P27*11.702*LOOKUP(P29,密度!$A$2:$A$50,密度!$B$2:$B$50)</f>
        <v>3014.0256299999996</v>
      </c>
      <c r="Q28" s="92" ph="1">
        <f>Q27*18.322*LOOKUP(Q29,密度!$A$2:$A$50,密度!$B$2:$B$50)</f>
        <v>63307.521066999994</v>
      </c>
      <c r="R28" s="91" ph="1">
        <f>R27*35.891*LOOKUP(R29,密度!$A$2:$A$50,密度!$C$2:$C$50)</f>
        <v>105412.15412799999</v>
      </c>
      <c r="S28" s="91" ph="1">
        <f>S27*35.891*LOOKUP(S29,密度!$A$2:$A$50,密度!$B$2:$B$50)</f>
        <v>65026.969246399989</v>
      </c>
      <c r="T28" s="91" ph="1">
        <f>T27*35.891*LOOKUP(T29,密度!$A$2:$A$50,密度!$Q$2:$Q$50)</f>
        <v>43254.476520199998</v>
      </c>
      <c r="U28" s="91" ph="1">
        <f>U27*35.891</f>
        <v>144568.948</v>
      </c>
      <c r="V28" s="91" ph="1">
        <f>V27*47.051*LOOKUP(V29,密度!$A$2:$A$50,密度!$B$2:$B$50)</f>
        <v>102296.5527232</v>
      </c>
      <c r="W28" s="91" ph="1">
        <f>W27*47.051*LOOKUP(W29,密度!$A$2:$A$50,密度!$B$2:$B$50)</f>
        <v>411447.91482199996</v>
      </c>
      <c r="X28" s="91" ph="1">
        <f>X27*47.051*LOOKUP(X29,密度!$A$2:$A$61,密度!$I$2:$I$61)</f>
        <v>269693.97944999998</v>
      </c>
      <c r="Y28" s="91" ph="1">
        <f>Y27*47.051*LOOKUP(Y29,密度!$A$2:$A$50,密度!$L$2:$L$50)</f>
        <v>435094.90050400002</v>
      </c>
      <c r="Z28" s="175"/>
      <c r="AA28" s="176"/>
      <c r="AB28" s="176"/>
      <c r="AC28" s="176"/>
      <c r="AD28" s="176"/>
      <c r="AE28" s="17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1" ph="1"/>
      <c r="C29" s="151" t="s" ph="1">
        <v>179</v>
      </c>
      <c r="D29" s="74">
        <v>25</v>
      </c>
      <c r="E29" s="74">
        <v>25</v>
      </c>
      <c r="F29" s="74">
        <v>27</v>
      </c>
      <c r="G29" s="74">
        <v>28</v>
      </c>
      <c r="H29" s="74">
        <v>24</v>
      </c>
      <c r="I29" s="74">
        <v>27</v>
      </c>
      <c r="J29" s="74">
        <v>26</v>
      </c>
      <c r="K29" s="74">
        <v>26</v>
      </c>
      <c r="L29" s="74">
        <v>24</v>
      </c>
      <c r="M29" s="74">
        <v>23</v>
      </c>
      <c r="N29" s="74">
        <v>24</v>
      </c>
      <c r="O29" s="74">
        <v>21</v>
      </c>
      <c r="P29" s="74">
        <v>24</v>
      </c>
      <c r="Q29" s="93">
        <v>24</v>
      </c>
      <c r="R29" s="74">
        <v>23</v>
      </c>
      <c r="S29" s="74">
        <v>25</v>
      </c>
      <c r="T29" s="74">
        <v>23</v>
      </c>
      <c r="U29" s="74">
        <v>25</v>
      </c>
      <c r="V29" s="74">
        <v>21</v>
      </c>
      <c r="W29" s="74">
        <v>24</v>
      </c>
      <c r="X29" s="74">
        <v>36</v>
      </c>
      <c r="Y29" s="74">
        <v>30</v>
      </c>
      <c r="Z29" s="178"/>
      <c r="AA29" s="179"/>
      <c r="AB29" s="179"/>
      <c r="AC29" s="179"/>
      <c r="AD29" s="179"/>
      <c r="AE29" s="18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4" t="s" ph="1">
        <v>35</v>
      </c>
      <c r="C31" s="195" ph="1"/>
      <c r="D31" s="198" t="s" ph="1">
        <v>9</v>
      </c>
      <c r="E31" s="187" ph="1"/>
      <c r="F31" s="188" ph="1"/>
      <c r="G31" s="198" t="s" ph="1">
        <v>18</v>
      </c>
      <c r="H31" s="187" ph="1"/>
      <c r="I31" s="188" ph="1"/>
      <c r="J31" s="186" t="s" ph="1">
        <v>1</v>
      </c>
      <c r="K31" s="187" ph="1"/>
      <c r="L31" s="188" ph="1"/>
      <c r="M31" s="186" t="s" ph="1">
        <v>7</v>
      </c>
      <c r="N31" s="187" ph="1"/>
      <c r="O31" s="188" ph="1"/>
      <c r="P31" s="186" t="s" ph="1">
        <v>41</v>
      </c>
      <c r="Q31" s="187"/>
      <c r="R31" s="188"/>
      <c r="S31" s="186" t="s" ph="1">
        <v>2</v>
      </c>
      <c r="T31" s="187"/>
      <c r="U31" s="188"/>
      <c r="V31" s="186" t="s" ph="1">
        <v>71</v>
      </c>
      <c r="W31" s="187" ph="1"/>
      <c r="X31" s="188" ph="1"/>
      <c r="Y31" s="186" t="s" ph="1">
        <v>3</v>
      </c>
      <c r="Z31" s="187" ph="1"/>
      <c r="AA31" s="188" ph="1"/>
      <c r="AB31" s="209" t="s">
        <v>42</v>
      </c>
      <c r="AC31" s="210"/>
      <c r="AD31" s="210"/>
      <c r="AE31" s="211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6" ph="1"/>
      <c r="C32" s="197" ph="1"/>
      <c r="D32" s="96" t="s" ph="1">
        <v>4</v>
      </c>
      <c r="E32" s="151" t="s" ph="1">
        <v>5</v>
      </c>
      <c r="F32" s="152" t="s" ph="1">
        <v>43</v>
      </c>
      <c r="G32" s="97" t="s" ph="1">
        <v>4</v>
      </c>
      <c r="H32" s="151" t="s" ph="1">
        <v>5</v>
      </c>
      <c r="I32" s="152" t="s" ph="1">
        <v>43</v>
      </c>
      <c r="J32" s="97" t="s" ph="1">
        <v>4</v>
      </c>
      <c r="K32" s="151" t="s" ph="1">
        <v>5</v>
      </c>
      <c r="L32" s="152" t="s" ph="1">
        <v>43</v>
      </c>
      <c r="M32" s="97" t="s" ph="1">
        <v>4</v>
      </c>
      <c r="N32" s="151" t="s" ph="1">
        <v>5</v>
      </c>
      <c r="O32" s="152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1" t="s" ph="1">
        <v>5</v>
      </c>
      <c r="U32" s="99" t="s" ph="1">
        <v>43</v>
      </c>
      <c r="V32" s="97" t="s" ph="1">
        <v>4</v>
      </c>
      <c r="W32" s="151" t="s" ph="1">
        <v>5</v>
      </c>
      <c r="X32" s="99" t="s" ph="1">
        <v>43</v>
      </c>
      <c r="Y32" s="100" t="s" ph="1">
        <v>4</v>
      </c>
      <c r="Z32" s="151" t="s" ph="1">
        <v>5</v>
      </c>
      <c r="AA32" s="152" t="s" ph="1">
        <v>43</v>
      </c>
      <c r="AB32" s="97" t="s" ph="1">
        <v>85</v>
      </c>
      <c r="AC32" s="151" t="s" ph="1">
        <v>84</v>
      </c>
      <c r="AD32" s="212" t="s" ph="1">
        <v>83</v>
      </c>
      <c r="AE32" s="213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199" t="s" ph="1">
        <v>181</v>
      </c>
      <c r="C33" s="200" ph="1"/>
      <c r="D33" s="203" ph="1">
        <f>AA10+AB10+Z19</f>
        <v>183207.10290120001</v>
      </c>
      <c r="E33" s="203" ph="1">
        <f>M10+I10</f>
        <v>40163.387395199999</v>
      </c>
      <c r="F33" s="20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[[#This Row],[F25]]</f>
        <v>3880</v>
      </c>
      <c r="G33" s="207" ph="1">
        <f>N19</f>
        <v>21594.716724800001</v>
      </c>
      <c r="H33" s="203" ph="1">
        <f>M19</f>
        <v>11982.4285256</v>
      </c>
      <c r="I33" s="216" ph="1">
        <v>0</v>
      </c>
      <c r="J33" s="214" ph="1">
        <f>F10+O28</f>
        <v>349418.97677319997</v>
      </c>
      <c r="K33" s="203" ph="1">
        <f>O10+K10+E28+R28</f>
        <v>160525.85090612</v>
      </c>
      <c r="L33" s="218" ph="1">
        <f>K19</f>
        <v>50310.181323600002</v>
      </c>
      <c r="M33" s="214" ph="1">
        <f>G10+H10+W28+S28+V28+E10+R19+P28+Q28</f>
        <v>1607671.2310607999</v>
      </c>
      <c r="N33" s="203" ph="1">
        <f>L10+P10++G28+H28+AD19+AE19</f>
        <v>113239.96039019999</v>
      </c>
      <c r="O33" s="216" ph="1">
        <f>G19</f>
        <v>37081.020727800002</v>
      </c>
      <c r="P33" s="214" ph="1">
        <f>L19</f>
        <v>32084.037790200004</v>
      </c>
      <c r="Q33" s="203" ph="1">
        <f>J10+N10</f>
        <v>14468.55902404</v>
      </c>
      <c r="R33" s="216" ph="1">
        <f>BE23</f>
        <v>890</v>
      </c>
      <c r="S33" s="214" ph="1">
        <f>X28</f>
        <v>269693.97944999998</v>
      </c>
      <c r="T33" s="203" ph="1">
        <f>X19</f>
        <v>4801.8977795599994</v>
      </c>
      <c r="U33" s="224" ph="1">
        <f>BE21</f>
        <v>730</v>
      </c>
      <c r="V33" s="235" ph="1">
        <f ca="1">P19+Q19+S19+M28+N28+J28+D10+AC10+D19+E19+H19+J19+O19+V19+W19+K28+L28</f>
        <v>835398.92111404403</v>
      </c>
      <c r="W33" s="235" ph="1">
        <f>D28+F28+T28+I28</f>
        <v>75236.030953751993</v>
      </c>
      <c r="X33" s="216" ph="1">
        <f>BE29+BE31</f>
        <v>10200</v>
      </c>
      <c r="Y33" s="237" ph="1">
        <f>+Q10+R10+S10+T10+U10+V10+W10+X10+Y10</f>
        <v>64508.623225200005</v>
      </c>
      <c r="Z33" s="222" ph="1">
        <f>T19+U19+Y28+Z10</f>
        <v>553772.46798319998</v>
      </c>
      <c r="AA33" s="224" ph="1">
        <f>BE19</f>
        <v>1440</v>
      </c>
      <c r="AB33" s="226" ph="1">
        <f>I19</f>
        <v>50614.688601200003</v>
      </c>
      <c r="AC33" s="228" ph="1">
        <f>AD10+AB19</f>
        <v>58328.876659199996</v>
      </c>
      <c r="AD33" s="230" ph="1">
        <v>0</v>
      </c>
      <c r="AE33" s="231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1" ph="1"/>
      <c r="C34" s="202" ph="1"/>
      <c r="D34" s="204" ph="1"/>
      <c r="E34" s="204" ph="1"/>
      <c r="F34" s="206" ph="1"/>
      <c r="G34" s="208" ph="1"/>
      <c r="H34" s="204" ph="1"/>
      <c r="I34" s="217" ph="1"/>
      <c r="J34" s="215" ph="1"/>
      <c r="K34" s="204" ph="1"/>
      <c r="L34" s="219" ph="1"/>
      <c r="M34" s="215" ph="1"/>
      <c r="N34" s="204" ph="1"/>
      <c r="O34" s="217" ph="1"/>
      <c r="P34" s="215" ph="1"/>
      <c r="Q34" s="204" ph="1"/>
      <c r="R34" s="217" ph="1"/>
      <c r="S34" s="215" ph="1"/>
      <c r="T34" s="204"/>
      <c r="U34" s="225"/>
      <c r="V34" s="236" ph="1"/>
      <c r="W34" s="236" ph="1"/>
      <c r="X34" s="217" ph="1"/>
      <c r="Y34" s="238" ph="1"/>
      <c r="Z34" s="223" ph="1"/>
      <c r="AA34" s="225" ph="1"/>
      <c r="AB34" s="227"/>
      <c r="AC34" s="229"/>
      <c r="AD34" s="232"/>
      <c r="AE34" s="233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4" t="s" ph="1">
        <v>631</v>
      </c>
      <c r="AD35" s="234"/>
      <c r="AE35" s="234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0" t="s" ph="1">
        <v>183</v>
      </c>
      <c r="J36" s="220" ph="1"/>
      <c r="K36" s="101" ph="1"/>
      <c r="P36" s="101" ph="1"/>
      <c r="R36" s="220" t="s" ph="1">
        <v>184</v>
      </c>
      <c r="S36" s="220" ph="1"/>
      <c r="Y36" s="102" ph="1"/>
      <c r="Z36" s="153" t="s" ph="1">
        <v>185</v>
      </c>
      <c r="AA36" s="153" ph="1"/>
      <c r="AB36" s="221" t="s" ph="1">
        <v>638</v>
      </c>
      <c r="AC36" s="221" ph="1"/>
      <c r="AD36" s="221" ph="1"/>
      <c r="AE36" s="221" ph="1"/>
      <c r="BA36" s="64" ph="1">
        <v>2270</v>
      </c>
    </row>
    <row r="37" spans="1:57" s="153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3" t="s" ph="1">
        <v>342</v>
      </c>
      <c r="AI37" s="153" t="s" ph="1">
        <v>209</v>
      </c>
      <c r="AJ37" s="153" t="s" ph="1">
        <v>210</v>
      </c>
      <c r="AK37" s="153" t="s" ph="1">
        <v>211</v>
      </c>
      <c r="AM37" s="153" t="s" ph="1">
        <v>210</v>
      </c>
      <c r="AN37" s="153" t="s" ph="1">
        <v>211</v>
      </c>
      <c r="AO37" s="153" t="s" ph="1">
        <v>212</v>
      </c>
      <c r="AP37" s="153" t="s" ph="1">
        <v>210</v>
      </c>
      <c r="AQ37" s="153" t="s" ph="1">
        <v>211</v>
      </c>
      <c r="AR37" s="153" t="s" ph="1">
        <v>212</v>
      </c>
      <c r="AS37" s="153" t="s" ph="1">
        <v>210</v>
      </c>
      <c r="AT37" s="153" t="s" ph="1">
        <v>211</v>
      </c>
      <c r="AU37" s="153" t="s" ph="1">
        <v>212</v>
      </c>
      <c r="AV37" s="153" t="s" ph="1">
        <v>210</v>
      </c>
      <c r="AW37" s="153" t="s" ph="1">
        <v>211</v>
      </c>
      <c r="AX37" s="153" t="s" ph="1">
        <v>212</v>
      </c>
      <c r="AY37" s="153" t="s" ph="1">
        <v>211</v>
      </c>
      <c r="AZ37" s="153" t="s" ph="1">
        <v>213</v>
      </c>
      <c r="BD37" s="153" t="s" ph="1">
        <v>305</v>
      </c>
      <c r="BE37" s="153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949" priority="100">
      <formula>ABS(D$7-D$10)&gt;=1000</formula>
    </cfRule>
  </conditionalFormatting>
  <conditionalFormatting sqref="E4 E6:E11">
    <cfRule type="expression" dxfId="1948" priority="99">
      <formula>ABS(E$7-E$10)&gt;=1000</formula>
    </cfRule>
  </conditionalFormatting>
  <conditionalFormatting sqref="F4:F11">
    <cfRule type="expression" dxfId="1947" priority="98">
      <formula>ABS(F$7-F$10)&gt;=1000</formula>
    </cfRule>
  </conditionalFormatting>
  <conditionalFormatting sqref="G4:G11">
    <cfRule type="expression" dxfId="1946" priority="97">
      <formula>ABS(G$7-G$10)&gt;=1000</formula>
    </cfRule>
  </conditionalFormatting>
  <conditionalFormatting sqref="H4:H11">
    <cfRule type="expression" dxfId="1945" priority="96">
      <formula>ABS(H$7-H$10)&gt;=1000</formula>
    </cfRule>
  </conditionalFormatting>
  <conditionalFormatting sqref="I4:I11">
    <cfRule type="expression" dxfId="1944" priority="95">
      <formula>ABS(I$7-I$10)&gt;=1000</formula>
    </cfRule>
  </conditionalFormatting>
  <conditionalFormatting sqref="J4:J11">
    <cfRule type="expression" dxfId="1943" priority="94">
      <formula>ABS(J$7-J$10)&gt;=1000</formula>
    </cfRule>
  </conditionalFormatting>
  <conditionalFormatting sqref="K4:K11">
    <cfRule type="expression" dxfId="1942" priority="93">
      <formula>ABS(K$7-K$10)&gt;=1000</formula>
    </cfRule>
  </conditionalFormatting>
  <conditionalFormatting sqref="L4:L11">
    <cfRule type="expression" dxfId="1941" priority="92">
      <formula>ABS(L$7-L$10)&gt;=1000</formula>
    </cfRule>
  </conditionalFormatting>
  <conditionalFormatting sqref="M4 M6:M11">
    <cfRule type="expression" dxfId="1940" priority="91">
      <formula>ABS(M$7-M$10)&gt;=1000</formula>
    </cfRule>
  </conditionalFormatting>
  <conditionalFormatting sqref="N4 N6:N11">
    <cfRule type="expression" dxfId="1939" priority="90">
      <formula>ABS(N$7-N$10)&gt;=1000</formula>
    </cfRule>
  </conditionalFormatting>
  <conditionalFormatting sqref="O4 O6:O11">
    <cfRule type="expression" dxfId="1938" priority="89">
      <formula>ABS(O$7-O$10)&gt;=1000</formula>
    </cfRule>
  </conditionalFormatting>
  <conditionalFormatting sqref="P4 P6:P11">
    <cfRule type="expression" dxfId="1937" priority="88">
      <formula>ABS(P$7-P$10)&gt;=1000</formula>
    </cfRule>
  </conditionalFormatting>
  <conditionalFormatting sqref="Q4:Q11">
    <cfRule type="expression" dxfId="1936" priority="87">
      <formula>ABS(Q$7-Q$10)&gt;=1000</formula>
    </cfRule>
  </conditionalFormatting>
  <conditionalFormatting sqref="R4:R11">
    <cfRule type="expression" dxfId="1935" priority="86">
      <formula>ABS(R$7-R$10)&gt;=1000</formula>
    </cfRule>
  </conditionalFormatting>
  <conditionalFormatting sqref="S4:S11">
    <cfRule type="expression" dxfId="1934" priority="85">
      <formula>ABS(S$7-S$10)&gt;=1000</formula>
    </cfRule>
  </conditionalFormatting>
  <conditionalFormatting sqref="T4:T9 T11">
    <cfRule type="expression" dxfId="1933" priority="84">
      <formula>ABS(T$7-T$10)&gt;=1000</formula>
    </cfRule>
  </conditionalFormatting>
  <conditionalFormatting sqref="U4:U9 U11">
    <cfRule type="expression" dxfId="1932" priority="83">
      <formula>ABS(U$7-U$10)&gt;=1000</formula>
    </cfRule>
  </conditionalFormatting>
  <conditionalFormatting sqref="V4:V9 V11">
    <cfRule type="expression" dxfId="1931" priority="82">
      <formula>ABS(V$7-V$10)&gt;=1000</formula>
    </cfRule>
  </conditionalFormatting>
  <conditionalFormatting sqref="W4:W9 W11">
    <cfRule type="expression" dxfId="1930" priority="81">
      <formula>ABS(W$7-W$10)&gt;=1000</formula>
    </cfRule>
  </conditionalFormatting>
  <conditionalFormatting sqref="X4:X9 X11">
    <cfRule type="expression" dxfId="1929" priority="80">
      <formula>ABS(X$7-X$10)&gt;=1000</formula>
    </cfRule>
  </conditionalFormatting>
  <conditionalFormatting sqref="Y4:Y9 Y11">
    <cfRule type="expression" dxfId="1928" priority="79">
      <formula>ABS(Y$7-Y$10)&gt;=1000</formula>
    </cfRule>
  </conditionalFormatting>
  <conditionalFormatting sqref="Z4:Z11">
    <cfRule type="expression" dxfId="1927" priority="78">
      <formula>ABS(Z$7-Z$10)&gt;=1000</formula>
    </cfRule>
  </conditionalFormatting>
  <conditionalFormatting sqref="AA4:AA11">
    <cfRule type="expression" dxfId="1926" priority="77">
      <formula>ABS(AA$7-AA$10)&gt;=1000</formula>
    </cfRule>
  </conditionalFormatting>
  <conditionalFormatting sqref="AB4:AB11">
    <cfRule type="expression" dxfId="1925" priority="76">
      <formula>ABS(AB$7-AB$10)&gt;=1000</formula>
    </cfRule>
  </conditionalFormatting>
  <conditionalFormatting sqref="AC4 AC6:AC11">
    <cfRule type="expression" dxfId="1924" priority="75">
      <formula>ABS(AC$7-AC$10)&gt;=1000</formula>
    </cfRule>
  </conditionalFormatting>
  <conditionalFormatting sqref="AD4 AD6:AD11">
    <cfRule type="expression" dxfId="1923" priority="74">
      <formula>ABS(AD$7-AD$10)&gt;=1000</formula>
    </cfRule>
  </conditionalFormatting>
  <conditionalFormatting sqref="AE4 AE6:AE11">
    <cfRule type="expression" dxfId="1922" priority="73">
      <formula>ABS(AE$7-AE$10)&gt;=1000</formula>
    </cfRule>
  </conditionalFormatting>
  <conditionalFormatting sqref="D13:D20">
    <cfRule type="expression" dxfId="1921" priority="72">
      <formula>ABS(D$16-D$19)&gt;=1000</formula>
    </cfRule>
  </conditionalFormatting>
  <conditionalFormatting sqref="E13:E20">
    <cfRule type="expression" dxfId="1920" priority="71">
      <formula>ABS(E$16-E$19)&gt;=1000</formula>
    </cfRule>
  </conditionalFormatting>
  <conditionalFormatting sqref="F13 F15:F20">
    <cfRule type="expression" dxfId="1919" priority="70">
      <formula>ABS(F$16-F$19)&gt;=1000</formula>
    </cfRule>
  </conditionalFormatting>
  <conditionalFormatting sqref="G13:G20">
    <cfRule type="expression" dxfId="1918" priority="69">
      <formula>ABS(G$16-G$19)&gt;=1000</formula>
    </cfRule>
  </conditionalFormatting>
  <conditionalFormatting sqref="H13 H15:H20">
    <cfRule type="expression" dxfId="1917" priority="68">
      <formula>ABS(H$16-H$19)&gt;=1000</formula>
    </cfRule>
  </conditionalFormatting>
  <conditionalFormatting sqref="I13:I20">
    <cfRule type="expression" dxfId="1916" priority="67">
      <formula>ABS(I$16-I$19)&gt;=1000</formula>
    </cfRule>
  </conditionalFormatting>
  <conditionalFormatting sqref="J13:J20">
    <cfRule type="expression" dxfId="1915" priority="66">
      <formula>ABS(J$16-J$19)&gt;=1000</formula>
    </cfRule>
  </conditionalFormatting>
  <conditionalFormatting sqref="L13:L20">
    <cfRule type="expression" dxfId="1914" priority="65">
      <formula>ABS(L$16-L$19)&gt;=1000</formula>
    </cfRule>
  </conditionalFormatting>
  <conditionalFormatting sqref="M13 M15 M17:M18 M20">
    <cfRule type="expression" dxfId="1913" priority="64">
      <formula>ABS(M$16-M$19)&gt;=1000</formula>
    </cfRule>
  </conditionalFormatting>
  <conditionalFormatting sqref="N13:N20">
    <cfRule type="expression" dxfId="1912" priority="63">
      <formula>ABS(N$16-N$19)&gt;=1000</formula>
    </cfRule>
  </conditionalFormatting>
  <conditionalFormatting sqref="O13:O20">
    <cfRule type="expression" dxfId="1911" priority="62">
      <formula>ABS(O$16-O$19)&gt;=1000</formula>
    </cfRule>
  </conditionalFormatting>
  <conditionalFormatting sqref="P13:P20">
    <cfRule type="expression" dxfId="1910" priority="61">
      <formula>ABS(P$16-P$19)&gt;=1000</formula>
    </cfRule>
  </conditionalFormatting>
  <conditionalFormatting sqref="Q13 Q15:Q20">
    <cfRule type="expression" dxfId="1909" priority="60">
      <formula>ABS(Q$16-Q$19)&gt;=1000</formula>
    </cfRule>
  </conditionalFormatting>
  <conditionalFormatting sqref="R13:R20">
    <cfRule type="expression" dxfId="1908" priority="59">
      <formula>ABS(R$16-R$19)&gt;=1000</formula>
    </cfRule>
  </conditionalFormatting>
  <conditionalFormatting sqref="S13:S20">
    <cfRule type="expression" dxfId="1907" priority="58">
      <formula>ABS(S$16-S$19)&gt;=1000</formula>
    </cfRule>
  </conditionalFormatting>
  <conditionalFormatting sqref="T13:T20">
    <cfRule type="expression" dxfId="1906" priority="57">
      <formula>ABS(T$16-T$19)&gt;=1000</formula>
    </cfRule>
  </conditionalFormatting>
  <conditionalFormatting sqref="U13:U20">
    <cfRule type="expression" dxfId="1905" priority="56">
      <formula>ABS(U$16-U$19)&gt;=1000</formula>
    </cfRule>
  </conditionalFormatting>
  <conditionalFormatting sqref="V13:V20">
    <cfRule type="expression" dxfId="1904" priority="55">
      <formula>ABS(V$16-V$19)&gt;=1000</formula>
    </cfRule>
  </conditionalFormatting>
  <conditionalFormatting sqref="W13 W20 W15:W18">
    <cfRule type="expression" dxfId="1903" priority="54">
      <formula>ABS(W$16-W$19)&gt;=1000</formula>
    </cfRule>
  </conditionalFormatting>
  <conditionalFormatting sqref="X13 X15:X20 Y19">
    <cfRule type="expression" dxfId="1902" priority="53">
      <formula>ABS(X$16-X$19)&gt;=1000</formula>
    </cfRule>
  </conditionalFormatting>
  <conditionalFormatting sqref="Y13 Y15:Y18 Y20">
    <cfRule type="expression" dxfId="1901" priority="52">
      <formula>ABS(Y$16-Y$19)&gt;=1000</formula>
    </cfRule>
  </conditionalFormatting>
  <conditionalFormatting sqref="Z13:Z20">
    <cfRule type="expression" dxfId="1900" priority="51">
      <formula>ABS(Z$16-Z$19)&gt;=1000</formula>
    </cfRule>
  </conditionalFormatting>
  <conditionalFormatting sqref="AA13:AA20">
    <cfRule type="expression" dxfId="1899" priority="50">
      <formula>ABS(AA$16-AA$19)&gt;=1000</formula>
    </cfRule>
  </conditionalFormatting>
  <conditionalFormatting sqref="AB13 AB15:AB20">
    <cfRule type="expression" dxfId="1898" priority="49">
      <formula>ABS(AB$16-AB$19)&gt;=1000</formula>
    </cfRule>
  </conditionalFormatting>
  <conditionalFormatting sqref="AC13 AC15:AC20">
    <cfRule type="expression" dxfId="1897" priority="48">
      <formula>ABS(AC$16-AC$19)&gt;=1000</formula>
    </cfRule>
  </conditionalFormatting>
  <conditionalFormatting sqref="AD13:AD20">
    <cfRule type="expression" dxfId="1896" priority="47">
      <formula>ABS(AD$16-AD$19)&gt;=1000</formula>
    </cfRule>
  </conditionalFormatting>
  <conditionalFormatting sqref="AE13:AE20">
    <cfRule type="expression" dxfId="1895" priority="46">
      <formula>ABS(AE$16-AE$19)&gt;=1000</formula>
    </cfRule>
  </conditionalFormatting>
  <conditionalFormatting sqref="D22:D29">
    <cfRule type="expression" dxfId="1894" priority="45">
      <formula>ABS(D$25-D$28)&gt;=1000</formula>
    </cfRule>
  </conditionalFormatting>
  <conditionalFormatting sqref="E22:E29">
    <cfRule type="expression" dxfId="1893" priority="44">
      <formula>ABS(E$25-E$28)&gt;=1000</formula>
    </cfRule>
  </conditionalFormatting>
  <conditionalFormatting sqref="F22:F29">
    <cfRule type="expression" dxfId="1892" priority="43">
      <formula>ABS(F$25-F$28)&gt;=1000</formula>
    </cfRule>
  </conditionalFormatting>
  <conditionalFormatting sqref="G22:G29">
    <cfRule type="expression" dxfId="1891" priority="42">
      <formula>ABS(G$25-G$28)&gt;=1000</formula>
    </cfRule>
  </conditionalFormatting>
  <conditionalFormatting sqref="H22:H29">
    <cfRule type="expression" dxfId="1890" priority="41">
      <formula>ABS(H$25-H$28)&gt;=1000</formula>
    </cfRule>
  </conditionalFormatting>
  <conditionalFormatting sqref="I22 I24:I29">
    <cfRule type="expression" dxfId="1889" priority="40">
      <formula>ABS(I$25-I$28)&gt;=1000</formula>
    </cfRule>
  </conditionalFormatting>
  <conditionalFormatting sqref="J22:J29 K22">
    <cfRule type="expression" dxfId="1888" priority="39">
      <formula>ABS(J$25-J$28)&gt;=1000</formula>
    </cfRule>
  </conditionalFormatting>
  <conditionalFormatting sqref="K23:K29 L25 L28">
    <cfRule type="expression" dxfId="1887" priority="38">
      <formula>ABS(K$25-K$28)&gt;=1000</formula>
    </cfRule>
  </conditionalFormatting>
  <conditionalFormatting sqref="L22 L26:L27 L29 L24">
    <cfRule type="expression" dxfId="1886" priority="37">
      <formula>ABS(L$25-L$28)&gt;=1000</formula>
    </cfRule>
  </conditionalFormatting>
  <conditionalFormatting sqref="M22:M29">
    <cfRule type="expression" dxfId="1885" priority="36">
      <formula>ABS(M$25-M$28)&gt;=1000</formula>
    </cfRule>
  </conditionalFormatting>
  <conditionalFormatting sqref="N22:N29">
    <cfRule type="expression" dxfId="1884" priority="35">
      <formula>ABS(N$25-N$28)&gt;=1000</formula>
    </cfRule>
  </conditionalFormatting>
  <conditionalFormatting sqref="O22:O29">
    <cfRule type="expression" dxfId="1883" priority="34">
      <formula>ABS(O$25-O$28)&gt;=1000</formula>
    </cfRule>
  </conditionalFormatting>
  <conditionalFormatting sqref="P22:P29">
    <cfRule type="expression" dxfId="1882" priority="33">
      <formula>ABS(P$25-P$28)&gt;=1000</formula>
    </cfRule>
  </conditionalFormatting>
  <conditionalFormatting sqref="Q22:Q29">
    <cfRule type="expression" dxfId="1881" priority="32">
      <formula>ABS(Q$25-Q$28)&gt;=1000</formula>
    </cfRule>
  </conditionalFormatting>
  <conditionalFormatting sqref="R22:R29">
    <cfRule type="expression" dxfId="1880" priority="31">
      <formula>ABS(R$25-R$28)&gt;=1000</formula>
    </cfRule>
  </conditionalFormatting>
  <conditionalFormatting sqref="S22:S29">
    <cfRule type="expression" dxfId="1879" priority="30">
      <formula>ABS(S$25-S$28)&gt;=1000</formula>
    </cfRule>
  </conditionalFormatting>
  <conditionalFormatting sqref="T22:T29">
    <cfRule type="expression" dxfId="1878" priority="29">
      <formula>ABS(T$25-T$28)&gt;=1000</formula>
    </cfRule>
  </conditionalFormatting>
  <conditionalFormatting sqref="U22:U29">
    <cfRule type="expression" dxfId="1877" priority="28">
      <formula>ABS(U$25-U$28)&gt;=1000</formula>
    </cfRule>
  </conditionalFormatting>
  <conditionalFormatting sqref="V22:V29">
    <cfRule type="expression" dxfId="1876" priority="27">
      <formula>ABS(V$25-V$28)&gt;=1000</formula>
    </cfRule>
  </conditionalFormatting>
  <conditionalFormatting sqref="W22:W29">
    <cfRule type="expression" dxfId="1875" priority="26">
      <formula>ABS(W$25-W$28)&gt;=1000</formula>
    </cfRule>
  </conditionalFormatting>
  <conditionalFormatting sqref="X22:X29">
    <cfRule type="expression" dxfId="1874" priority="25">
      <formula>ABS(X$25-X$28)&gt;=1000</formula>
    </cfRule>
  </conditionalFormatting>
  <conditionalFormatting sqref="Y22:Y29">
    <cfRule type="expression" dxfId="1873" priority="24">
      <formula>ABS(Y$25-Y$28)&gt;=1000</formula>
    </cfRule>
  </conditionalFormatting>
  <conditionalFormatting sqref="I23">
    <cfRule type="expression" dxfId="1872" priority="23">
      <formula>ABS(I$25-I$28)&gt;=1000</formula>
    </cfRule>
  </conditionalFormatting>
  <conditionalFormatting sqref="Q14">
    <cfRule type="expression" dxfId="1871" priority="22">
      <formula>ABS(Q$16-Q$19)&gt;=1000</formula>
    </cfRule>
  </conditionalFormatting>
  <conditionalFormatting sqref="W14">
    <cfRule type="expression" dxfId="1870" priority="21">
      <formula>ABS(W$16-W$19)&gt;=1000</formula>
    </cfRule>
  </conditionalFormatting>
  <conditionalFormatting sqref="X14">
    <cfRule type="expression" dxfId="1869" priority="20">
      <formula>ABS(X$16-X$19)&gt;=1000</formula>
    </cfRule>
  </conditionalFormatting>
  <conditionalFormatting sqref="T10:Y10">
    <cfRule type="expression" dxfId="1868" priority="19">
      <formula>ABS(T$7-T$10)&gt;=1000</formula>
    </cfRule>
  </conditionalFormatting>
  <conditionalFormatting sqref="W19">
    <cfRule type="expression" dxfId="1867" priority="18">
      <formula>ABS(W$16-W$19)&gt;=1000</formula>
    </cfRule>
  </conditionalFormatting>
  <conditionalFormatting sqref="AC5">
    <cfRule type="expression" dxfId="1866" priority="17">
      <formula>ABS(AC$7-AC$10)&gt;=1000</formula>
    </cfRule>
  </conditionalFormatting>
  <conditionalFormatting sqref="M14">
    <cfRule type="expression" dxfId="1865" priority="16">
      <formula>ABS(M$16-M$19)&gt;=1000</formula>
    </cfRule>
  </conditionalFormatting>
  <conditionalFormatting sqref="M16">
    <cfRule type="expression" dxfId="1864" priority="15">
      <formula>ABS(M$16-M$19)&gt;=1000</formula>
    </cfRule>
  </conditionalFormatting>
  <conditionalFormatting sqref="M19">
    <cfRule type="expression" dxfId="1863" priority="14">
      <formula>ABS(M$16-M$19)&gt;=1000</formula>
    </cfRule>
  </conditionalFormatting>
  <conditionalFormatting sqref="K13:K20">
    <cfRule type="expression" dxfId="1862" priority="13">
      <formula>ABS(K$16-K$19)&gt;=1000</formula>
    </cfRule>
  </conditionalFormatting>
  <conditionalFormatting sqref="E5">
    <cfRule type="expression" dxfId="1861" priority="12">
      <formula>ABS(E$7-E$10)&gt;=1000</formula>
    </cfRule>
  </conditionalFormatting>
  <conditionalFormatting sqref="AB14:AC14">
    <cfRule type="expression" dxfId="1860" priority="11">
      <formula>ABS(AB$16-AB$19)&gt;=1000</formula>
    </cfRule>
  </conditionalFormatting>
  <conditionalFormatting sqref="M5">
    <cfRule type="expression" dxfId="1859" priority="10">
      <formula>ABS(M$7-M$10)&gt;=1000</formula>
    </cfRule>
  </conditionalFormatting>
  <conditionalFormatting sqref="N5">
    <cfRule type="expression" dxfId="1858" priority="9">
      <formula>ABS(N$7-N$10)&gt;=1000</formula>
    </cfRule>
  </conditionalFormatting>
  <conditionalFormatting sqref="O5">
    <cfRule type="expression" dxfId="1857" priority="8">
      <formula>ABS(O$7-O$10)&gt;=1000</formula>
    </cfRule>
  </conditionalFormatting>
  <conditionalFormatting sqref="P5">
    <cfRule type="expression" dxfId="1856" priority="7">
      <formula>ABS(P$7-P$10)&gt;=1000</formula>
    </cfRule>
  </conditionalFormatting>
  <conditionalFormatting sqref="L23">
    <cfRule type="expression" dxfId="1855" priority="6">
      <formula>ABS(L$25-L$28)&gt;=1000</formula>
    </cfRule>
  </conditionalFormatting>
  <conditionalFormatting sqref="Y14">
    <cfRule type="expression" dxfId="1854" priority="5">
      <formula>ABS(Y$16-Y$19)&gt;=1000</formula>
    </cfRule>
  </conditionalFormatting>
  <conditionalFormatting sqref="F14">
    <cfRule type="expression" dxfId="1853" priority="4">
      <formula>ABS(F$16-F$19)&gt;=1000</formula>
    </cfRule>
  </conditionalFormatting>
  <conditionalFormatting sqref="H14">
    <cfRule type="expression" dxfId="1852" priority="3">
      <formula>ABS(H$16-H$19)&gt;=1000</formula>
    </cfRule>
  </conditionalFormatting>
  <conditionalFormatting sqref="AD5">
    <cfRule type="expression" dxfId="1851" priority="2">
      <formula>ABS(AD$7-AD$10)&gt;=1000</formula>
    </cfRule>
  </conditionalFormatting>
  <conditionalFormatting sqref="AE5">
    <cfRule type="expression" dxfId="185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2112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65">
    <pageSetUpPr fitToPage="1"/>
  </sheetPr>
  <dimension ref="A1:CU223"/>
  <sheetViews>
    <sheetView view="pageBreakPreview" topLeftCell="A7" zoomScale="70" zoomScaleNormal="100" zoomScaleSheetLayoutView="70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2" t="s" ph="1">
        <v>161</v>
      </c>
      <c r="C1" s="182" ph="1"/>
      <c r="D1" s="182" ph="1"/>
      <c r="E1" s="182" ph="1"/>
      <c r="F1" s="182" ph="1"/>
      <c r="G1" s="182" ph="1"/>
      <c r="H1" s="182" ph="1"/>
      <c r="I1" s="182" ph="1"/>
      <c r="J1" s="182" ph="1"/>
      <c r="K1" s="182" ph="1"/>
      <c r="L1" s="182" ph="1"/>
      <c r="M1" s="182" ph="1"/>
      <c r="N1" s="182" ph="1"/>
      <c r="O1" s="182" ph="1"/>
      <c r="P1" s="182" ph="1"/>
      <c r="Q1" s="182" ph="1"/>
      <c r="R1" s="182" ph="1"/>
      <c r="S1" s="182" ph="1"/>
      <c r="T1" s="182" ph="1"/>
      <c r="U1" s="182" ph="1"/>
      <c r="V1" s="182" ph="1"/>
      <c r="W1" s="182" ph="1"/>
      <c r="X1" s="182" ph="1"/>
      <c r="Y1" s="182" ph="1"/>
      <c r="Z1" s="182" ph="1"/>
      <c r="AA1" s="182" ph="1"/>
      <c r="AB1" s="182" ph="1"/>
      <c r="AC1" s="182" ph="1"/>
      <c r="AD1" s="182" ph="1"/>
      <c r="AE1" s="182" ph="1"/>
    </row>
    <row r="2" spans="1:99" s="66" customFormat="1" ht="24" customHeight="1" ph="1">
      <c r="B2" s="183" t="s" ph="1">
        <v>82</v>
      </c>
      <c r="C2" s="183" ph="1"/>
      <c r="D2" s="183" ph="1"/>
      <c r="E2" s="183" ph="1"/>
      <c r="F2" s="183" ph="1"/>
      <c r="G2" s="183" ph="1"/>
      <c r="H2" s="183" ph="1"/>
      <c r="I2" s="183" ph="1"/>
      <c r="J2" s="183" ph="1"/>
      <c r="K2" s="183" ph="1"/>
      <c r="L2" s="183" ph="1"/>
      <c r="M2" s="183" ph="1"/>
      <c r="N2" s="183" ph="1"/>
      <c r="O2" s="183" ph="1"/>
      <c r="P2" s="183" ph="1"/>
      <c r="Q2" s="183" ph="1"/>
      <c r="R2" s="183" ph="1"/>
      <c r="S2" s="183" ph="1"/>
      <c r="T2" s="183" ph="1"/>
      <c r="U2" s="183" ph="1"/>
      <c r="V2" s="183" ph="1"/>
      <c r="W2" s="183" ph="1"/>
      <c r="X2" s="183" ph="1"/>
      <c r="Y2" s="183" ph="1"/>
      <c r="Z2" s="183" ph="1"/>
      <c r="AA2" s="183" ph="1"/>
      <c r="AB2" s="183" ph="1"/>
      <c r="AC2" s="183" ph="1"/>
      <c r="AD2" s="183" ph="1"/>
      <c r="AE2" s="183" ph="1"/>
    </row>
    <row r="3" spans="1:99" ht="21" customHeight="1" ph="1">
      <c r="B3" s="184" ph="1">
        <v>46125</v>
      </c>
      <c r="C3" s="184"/>
      <c r="D3" s="184"/>
      <c r="E3" s="184"/>
      <c r="F3" s="184"/>
      <c r="G3" s="184"/>
      <c r="H3" s="184"/>
      <c r="I3" s="184"/>
      <c r="J3" s="184"/>
      <c r="K3" s="184"/>
      <c r="L3" s="184"/>
      <c r="M3" s="184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</row>
    <row r="4" spans="1:99" s="69" customFormat="1" ph="1">
      <c r="A4" s="65" ph="1"/>
      <c r="B4" s="185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5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1" ph="1">
        <v>0.33333333333333331</v>
      </c>
      <c r="C6" s="151" t="s" ph="1">
        <v>177</v>
      </c>
      <c r="D6" s="71">
        <v>3629</v>
      </c>
      <c r="E6" s="71">
        <v>6962</v>
      </c>
      <c r="F6" s="71">
        <v>5831</v>
      </c>
      <c r="G6" s="71">
        <v>9242</v>
      </c>
      <c r="H6" s="71">
        <v>6597</v>
      </c>
      <c r="I6" s="71">
        <v>10.220000000000001</v>
      </c>
      <c r="J6" s="71">
        <v>54.32</v>
      </c>
      <c r="K6" s="71">
        <v>7.47</v>
      </c>
      <c r="L6" s="71">
        <v>55.6</v>
      </c>
      <c r="M6" s="71">
        <v>1099</v>
      </c>
      <c r="N6" s="71">
        <v>3081</v>
      </c>
      <c r="O6" s="71">
        <v>2988</v>
      </c>
      <c r="P6" s="71">
        <v>0</v>
      </c>
      <c r="Q6" s="71">
        <v>6090</v>
      </c>
      <c r="R6" s="71">
        <v>3299</v>
      </c>
      <c r="S6" s="71">
        <v>0</v>
      </c>
      <c r="T6" s="71">
        <v>0</v>
      </c>
      <c r="U6" s="71">
        <v>0</v>
      </c>
      <c r="V6" s="71">
        <v>0</v>
      </c>
      <c r="W6" s="71">
        <v>0</v>
      </c>
      <c r="X6" s="71">
        <v>0</v>
      </c>
      <c r="Y6" s="71">
        <v>0</v>
      </c>
      <c r="Z6" s="71">
        <v>2781</v>
      </c>
      <c r="AA6" s="71">
        <v>4213</v>
      </c>
      <c r="AB6" s="71">
        <v>1914</v>
      </c>
      <c r="AC6" s="71">
        <v>8127</v>
      </c>
      <c r="AD6" s="71">
        <v>2810</v>
      </c>
      <c r="AE6" s="71">
        <v>3995</v>
      </c>
    </row>
    <row r="7" spans="1:99" s="72" customFormat="1" ht="22.2" ph="1">
      <c r="B7" s="181" ph="1"/>
      <c r="C7" s="68" t="s" ph="1">
        <v>178</v>
      </c>
      <c r="D7" s="73" ph="1">
        <f>D6*33.183*LOOKUP(D8,密度!$A$2:$A$50,密度!$Q$2:$Q$50)</f>
        <v>113921.97985521001</v>
      </c>
      <c r="E7" s="73" ph="1">
        <f>E6*51.53*LOOKUP(E8,密度!$A$2:$A$50,密度!$B$2:$B$50)</f>
        <v>280005.82672999997</v>
      </c>
      <c r="F7" s="73" ph="1">
        <f>F6*33.183*LOOKUP(F8,密度!$A$2:$A$50,密度!$C$2:$C$50)</f>
        <v>214696.5850008</v>
      </c>
      <c r="G7" s="73" ph="1">
        <f xml:space="preserve"> (G6+2)*51.53*LOOKUP(G8,密度!$A$2:$A$50,密度!$B$2:$B$50)</f>
        <v>371357.25227200001</v>
      </c>
      <c r="H7" s="73" ph="1">
        <f>(H6)*51.53*LOOKUP(H8,密度!$A$2:$A$50,密度!$B$2:$B$50)</f>
        <v>266549.62778100005</v>
      </c>
      <c r="I7" s="73" ph="1">
        <f>I6*290.8*1.0267</f>
        <v>3051.3277591999999</v>
      </c>
      <c r="J7" s="73" ph="1">
        <f>J6*290.8*0.7892</f>
        <v>12466.405235200002</v>
      </c>
      <c r="K7" s="73" ph="1">
        <f>K6*290.8*1.1126</f>
        <v>2416.8742775999999</v>
      </c>
      <c r="L7" s="73" ph="1">
        <f>L6*290.8*0.777</f>
        <v>12562.908960000001</v>
      </c>
      <c r="M7" s="73" ph="1">
        <f>M6*33.183*LOOKUP(M8,密度!$A$2:$A$50,密度!$D$2:$D$50)</f>
        <v>37408.994418599999</v>
      </c>
      <c r="N7" s="73" ph="1">
        <f>N6*33.183*LOOKUP(N8,密度!$A$2:$A$50,密度!$E$2:$E$50)</f>
        <v>79846.958763000002</v>
      </c>
      <c r="O7" s="73" ph="1">
        <f>O6*20.428*LOOKUP(O8,密度!$A$2:$A$50,密度!$C$2:$C$50)</f>
        <v>67454.0486064</v>
      </c>
      <c r="P7" s="73" ph="1">
        <f>P6*51.53*LOOKUP(P8,密度!$A$2:$A$50,密度!$B$2:$B$50)</f>
        <v>0</v>
      </c>
      <c r="Q7" s="73" ph="1">
        <f>Q6*1.5*1.5*3.1416*LOOKUP(W8,密度!$A$2:$A$50,密度!$L$2:$L$50)</f>
        <v>40378.812011999995</v>
      </c>
      <c r="R7" s="73" ph="1">
        <f>R6*1.5*1.5*3.1416*LOOKUP(R8,密度!$A$2:$A$50,密度!$L$2:$L$50)</f>
        <v>21733.5982248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86745.007619999989</v>
      </c>
      <c r="AA7" s="73" ph="1">
        <f>AA6*33.183*LOOKUP(AA8,密度!$A$2:$A$50,密度!$D$2:$D$50)</f>
        <v>143532.63843929998</v>
      </c>
      <c r="AB7" s="73" ph="1">
        <f>AB6*20.428*LOOKUP(AB8,密度!$A$2:$A$50,密度!$D$2:$D$50)</f>
        <v>40393.375255200001</v>
      </c>
      <c r="AC7" s="73" ph="1">
        <f>AC6*51.53*LOOKUP(AC8,密度!$A$2:$A$50,密度!$Q$2:$Q$50)</f>
        <v>397091.28274200001</v>
      </c>
      <c r="AD7" s="73" ph="1">
        <f>AD6*20.428*LOOKUP(AD8,密度!$A$2:$A$50,密度!$V$2:$V$50)</f>
        <v>55152.494943999998</v>
      </c>
      <c r="AE7" s="73" ph="1">
        <f>AE6*20.428</f>
        <v>81609.86</v>
      </c>
    </row>
    <row r="8" spans="1:99" ph="1">
      <c r="B8" s="181" ph="1"/>
      <c r="C8" s="68" t="s" ph="1">
        <v>179</v>
      </c>
      <c r="D8" s="74">
        <v>26</v>
      </c>
      <c r="E8" s="74">
        <v>24</v>
      </c>
      <c r="F8" s="74">
        <v>24</v>
      </c>
      <c r="G8" s="74">
        <v>25</v>
      </c>
      <c r="H8" s="74">
        <v>20</v>
      </c>
      <c r="I8" s="74">
        <v>25</v>
      </c>
      <c r="J8" s="74">
        <v>25</v>
      </c>
      <c r="K8" s="74">
        <v>25</v>
      </c>
      <c r="L8" s="74">
        <v>25</v>
      </c>
      <c r="M8" s="74">
        <v>26</v>
      </c>
      <c r="N8" s="74">
        <v>27</v>
      </c>
      <c r="O8" s="74">
        <v>30</v>
      </c>
      <c r="P8" s="74">
        <v>22</v>
      </c>
      <c r="Q8" s="74">
        <v>27</v>
      </c>
      <c r="R8" s="74">
        <v>30</v>
      </c>
      <c r="S8" s="74">
        <v>20</v>
      </c>
      <c r="T8" s="74">
        <v>20</v>
      </c>
      <c r="U8" s="74">
        <v>24</v>
      </c>
      <c r="V8" s="74">
        <v>28</v>
      </c>
      <c r="W8" s="74">
        <v>24</v>
      </c>
      <c r="X8" s="74">
        <v>15</v>
      </c>
      <c r="Y8" s="74">
        <v>23</v>
      </c>
      <c r="Z8" s="74">
        <v>22</v>
      </c>
      <c r="AA8" s="74">
        <v>25</v>
      </c>
      <c r="AB8" s="74">
        <v>18</v>
      </c>
      <c r="AC8" s="74">
        <v>23</v>
      </c>
      <c r="AD8" s="74">
        <v>23</v>
      </c>
      <c r="AE8" s="74">
        <v>25</v>
      </c>
    </row>
    <row r="9" spans="1:99" ht="26.4" ph="1">
      <c r="B9" s="181" ph="1">
        <v>0.66666666666666663</v>
      </c>
      <c r="C9" s="151" t="s" ph="1">
        <v>180</v>
      </c>
      <c r="D9" s="71">
        <v>3631</v>
      </c>
      <c r="E9" s="71">
        <v>6964</v>
      </c>
      <c r="F9" s="71">
        <v>5837</v>
      </c>
      <c r="G9" s="71">
        <v>9251</v>
      </c>
      <c r="H9" s="71">
        <v>6604</v>
      </c>
      <c r="I9" s="71">
        <v>10.130000000000001</v>
      </c>
      <c r="J9" s="71">
        <v>28.93</v>
      </c>
      <c r="K9" s="71">
        <v>60.91</v>
      </c>
      <c r="L9" s="71">
        <v>25.45</v>
      </c>
      <c r="M9" s="71">
        <v>1098</v>
      </c>
      <c r="N9" s="71">
        <v>3455</v>
      </c>
      <c r="O9" s="71">
        <v>2989</v>
      </c>
      <c r="P9" s="71">
        <v>251</v>
      </c>
      <c r="Q9" s="71">
        <v>7171</v>
      </c>
      <c r="R9" s="71">
        <v>4402</v>
      </c>
      <c r="S9" s="71">
        <v>2712</v>
      </c>
      <c r="T9" s="71">
        <v>0</v>
      </c>
      <c r="U9" s="71">
        <v>0</v>
      </c>
      <c r="V9" s="71">
        <v>0</v>
      </c>
      <c r="W9" s="71">
        <v>0</v>
      </c>
      <c r="X9" s="71">
        <v>0</v>
      </c>
      <c r="Y9" s="71">
        <v>0</v>
      </c>
      <c r="Z9" s="71">
        <v>2820</v>
      </c>
      <c r="AA9" s="71">
        <v>4220</v>
      </c>
      <c r="AB9" s="71">
        <v>1865</v>
      </c>
      <c r="AC9" s="71">
        <v>8576</v>
      </c>
      <c r="AD9" s="71">
        <v>2810</v>
      </c>
      <c r="AE9" s="71">
        <v>3830</v>
      </c>
    </row>
    <row r="10" spans="1:99" s="72" customFormat="1" ht="22.2" ph="1">
      <c r="B10" s="181" ph="1"/>
      <c r="C10" s="151" t="s" ph="1">
        <v>178</v>
      </c>
      <c r="D10" s="73" ph="1">
        <f>D9*33.183*LOOKUP(D11,密度!$A$2:$A$50,密度!$Q$2:$Q$50)</f>
        <v>113899.21797636</v>
      </c>
      <c r="E10" s="73" ph="1">
        <f>E9*51.53*LOOKUP(E11,密度!$A$2:$A$50,密度!$B$2:$B$50)</f>
        <v>277897.25004799996</v>
      </c>
      <c r="F10" s="73" ph="1">
        <f>F9*33.183*LOOKUP(F11,密度!$A$2:$A$50,密度!$C$2:$C$50)</f>
        <v>214626.97038510002</v>
      </c>
      <c r="G10" s="73" ph="1">
        <f xml:space="preserve"> (G9+2)*51.53*LOOKUP(G11,密度!$A$2:$A$50,密度!$B$2:$B$50)</f>
        <v>369239.41049600003</v>
      </c>
      <c r="H10" s="73" ph="1">
        <f>(H9)*51.53*LOOKUP(H11,密度!$A$2:$A$50,密度!$B$2:$B$50)</f>
        <v>262952.99352399999</v>
      </c>
      <c r="I10" s="73" ph="1">
        <f>I9*290.8*1.0267</f>
        <v>3024.4569668000004</v>
      </c>
      <c r="J10" s="73" ph="1">
        <f>J9*290.8*0.7892</f>
        <v>6639.4164848000009</v>
      </c>
      <c r="K10" s="73" ph="1">
        <f>K9*290.8*1.1126</f>
        <v>19707.069912800001</v>
      </c>
      <c r="L10" s="73" ph="1">
        <f>L9*290.8*0.777</f>
        <v>5750.4682199999997</v>
      </c>
      <c r="M10" s="73" ph="1">
        <f>M9*33.183*LOOKUP(M11,密度!$A$2:$A$50,密度!$D$2:$D$50)</f>
        <v>37170.9196668</v>
      </c>
      <c r="N10" s="73" ph="1">
        <f>N9*33.183*LOOKUP(N11,密度!$A$2:$A$50,密度!$E$2:$E$50)</f>
        <v>89149.713263999991</v>
      </c>
      <c r="O10" s="73" ph="1">
        <f>O9*20.428*LOOKUP(O11,密度!$A$2:$A$50,密度!$C$2:$C$50)</f>
        <v>67159.115270800001</v>
      </c>
      <c r="P10" s="73" ph="1">
        <f>P9*51.53*LOOKUP(P11,密度!$A$2:$A$50,密度!$B$2:$B$50)</f>
        <v>10004.472205</v>
      </c>
      <c r="Q10" s="73" ph="1">
        <f>Q9*1.5*1.5*3.1416*LOOKUP(W11,密度!$A$2:$A$50,密度!$L$2:$L$50)</f>
        <v>46532.438290800004</v>
      </c>
      <c r="R10" s="73" ph="1">
        <f>R9*1.5*1.5*3.1416*LOOKUP(R11,密度!$A$2:$A$50,密度!$L$2:$L$50)</f>
        <v>28906.742818800001</v>
      </c>
      <c r="S10" s="73" ph="1">
        <f>S9*1.5*1.5*3.1416*LOOKUP(S11,密度!$A$2:$A$50,密度!$L$2:$L$50)</f>
        <v>18019.840607999999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87587.192160000006</v>
      </c>
      <c r="AA10" s="73" ph="1">
        <f>AA9*33.183*LOOKUP(AA11,密度!$A$2:$A$50,密度!$D$2:$D$50)</f>
        <v>143112.96972000002</v>
      </c>
      <c r="AB10" s="73" ph="1">
        <f>AB9*20.428*LOOKUP(AB11,密度!$A$2:$A$50,密度!$D$2:$D$50)</f>
        <v>39222.117490000004</v>
      </c>
      <c r="AC10" s="73" ph="1">
        <f>AC9*51.53*LOOKUP(AC11,密度!$A$2:$A$50,密度!$Q$2:$Q$50)</f>
        <v>417142.75383040006</v>
      </c>
      <c r="AD10" s="73" ph="1">
        <f>AD9*20.428*LOOKUP(AD11,密度!$A$2:$A$50,密度!$V$2:$V$50)</f>
        <v>54968.806367999998</v>
      </c>
      <c r="AE10" s="73" ph="1">
        <f>AE9*20.428</f>
        <v>78239.240000000005</v>
      </c>
    </row>
    <row r="11" spans="1:99" ph="1">
      <c r="A11" s="64" t="s" ph="1">
        <v>162</v>
      </c>
      <c r="B11" s="181" ph="1"/>
      <c r="C11" s="151" t="s" ph="1">
        <v>179</v>
      </c>
      <c r="D11" s="74">
        <v>27</v>
      </c>
      <c r="E11" s="74">
        <v>31</v>
      </c>
      <c r="F11" s="74">
        <v>26</v>
      </c>
      <c r="G11" s="74">
        <v>31</v>
      </c>
      <c r="H11" s="74">
        <v>33</v>
      </c>
      <c r="I11" s="74">
        <v>25</v>
      </c>
      <c r="J11" s="74">
        <v>25</v>
      </c>
      <c r="K11" s="74">
        <v>25</v>
      </c>
      <c r="L11" s="74">
        <v>25</v>
      </c>
      <c r="M11" s="74">
        <v>32</v>
      </c>
      <c r="N11" s="74">
        <v>30</v>
      </c>
      <c r="O11" s="74">
        <v>35</v>
      </c>
      <c r="P11" s="74">
        <v>32</v>
      </c>
      <c r="Q11" s="74">
        <v>29</v>
      </c>
      <c r="R11" s="74">
        <v>33</v>
      </c>
      <c r="S11" s="74">
        <v>22</v>
      </c>
      <c r="T11" s="74">
        <v>36</v>
      </c>
      <c r="U11" s="74">
        <v>35</v>
      </c>
      <c r="V11" s="74">
        <v>28</v>
      </c>
      <c r="W11" s="74">
        <v>44</v>
      </c>
      <c r="X11" s="74">
        <v>28</v>
      </c>
      <c r="Y11" s="74">
        <v>31</v>
      </c>
      <c r="Z11" s="74">
        <v>26</v>
      </c>
      <c r="AA11" s="74">
        <v>30</v>
      </c>
      <c r="AB11" s="74">
        <v>22</v>
      </c>
      <c r="AC11" s="74">
        <v>29</v>
      </c>
      <c r="AD11" s="74">
        <v>30</v>
      </c>
      <c r="AE11" s="74">
        <v>29</v>
      </c>
    </row>
    <row r="12" spans="1:99" ht="9.9" customHeight="1" ph="1"/>
    <row r="13" spans="1:99" s="72" customFormat="1" ht="29.25" customHeight="1" ph="1">
      <c r="B13" s="189" t="s" ph="1">
        <v>37</v>
      </c>
      <c r="C13" s="151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0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639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1" ph="1">
        <v>0.33333333333333331</v>
      </c>
      <c r="C15" s="151" t="s" ph="1">
        <v>177</v>
      </c>
      <c r="D15" s="78">
        <v>3586</v>
      </c>
      <c r="E15" s="78">
        <v>1464</v>
      </c>
      <c r="F15" s="78">
        <v>2570</v>
      </c>
      <c r="G15" s="78">
        <v>5381</v>
      </c>
      <c r="H15" s="78">
        <v>4101</v>
      </c>
      <c r="I15" s="78">
        <v>5483</v>
      </c>
      <c r="J15" s="78">
        <v>2347</v>
      </c>
      <c r="K15" s="78">
        <v>5013</v>
      </c>
      <c r="L15" s="78">
        <v>1568</v>
      </c>
      <c r="M15" s="78">
        <v>3911</v>
      </c>
      <c r="N15" s="78">
        <v>3844</v>
      </c>
      <c r="O15" s="78">
        <v>5010</v>
      </c>
      <c r="P15" s="78">
        <v>1106</v>
      </c>
      <c r="Q15" s="78">
        <v>1279</v>
      </c>
      <c r="R15" s="78">
        <v>7418</v>
      </c>
      <c r="S15" s="78">
        <v>0</v>
      </c>
      <c r="T15" s="78">
        <v>5929</v>
      </c>
      <c r="U15" s="78">
        <v>1722</v>
      </c>
      <c r="V15" s="78">
        <v>3705</v>
      </c>
      <c r="W15" s="71">
        <v>-172</v>
      </c>
      <c r="X15" s="78">
        <v>-105</v>
      </c>
      <c r="Y15" s="106">
        <v>-9906</v>
      </c>
      <c r="Z15" s="78">
        <v>0</v>
      </c>
      <c r="AA15" s="78">
        <v>1882</v>
      </c>
      <c r="AB15" s="78" ph="1">
        <v>402</v>
      </c>
      <c r="AC15" s="78" ph="1">
        <v>2505</v>
      </c>
      <c r="AD15" s="78">
        <v>48.78</v>
      </c>
      <c r="AE15" s="78">
        <v>5.86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2" ph="1"/>
      <c r="C16" s="151" t="s" ph="1">
        <v>178</v>
      </c>
      <c r="D16" s="73" ph="1">
        <f>D15*7.0686*LOOKUP(D17,密度!$A$2:$A$50,密度!$L$2:$L$50)</f>
        <v>23776.423624799998</v>
      </c>
      <c r="E16" s="73" ph="1">
        <f>E15*7.0686*LOOKUP(E17,密度!$A$2:$A$50,密度!$L$2:$L$50)</f>
        <v>9706.8277151999991</v>
      </c>
      <c r="F16" s="73" ph="1">
        <f>F15*9.0746*LOOKUP(F17,密度!$A$2:$A$50,密度!$L$2:$L$50)</f>
        <v>21735.844904000001</v>
      </c>
      <c r="G16" s="73" ph="1">
        <f>G15*9.0746*LOOKUP(G17,密度!$A$2:$A$50,密度!$B$2:$B$50)</f>
        <v>38068.197458959999</v>
      </c>
      <c r="H16" s="73" ph="1">
        <f>H15*9.0746*LOOKUP(H17,密度!$A$2:$A$50,密度!$L$2:$L$50)</f>
        <v>34944.823589399995</v>
      </c>
      <c r="I16" s="73" ph="1">
        <f>I15*9.0746*LOOKUP(I17,密度!$A$2:$A$50,密度!$U$2:$U$50)</f>
        <v>51049.688626800009</v>
      </c>
      <c r="J16" s="73" ph="1">
        <f>J15*9.0746*LOOKUP(J17,密度!$A$2:$A$50,密度!$L$2:$L$50)</f>
        <v>19935.008683200002</v>
      </c>
      <c r="K16" s="73" ph="1">
        <f>K15*9.0746*LOOKUP(K17,密度!$A$2:$A$50,密度!$C$2:$C$50)</f>
        <v>50444.936411219998</v>
      </c>
      <c r="L16" s="73" ph="1">
        <f>L15*9.0746*LOOKUP(L17,密度!$A$2:$A$50,密度!$E$2:$E$50)</f>
        <v>11128.47962688</v>
      </c>
      <c r="M16" s="73" ph="1">
        <f>M15*9.0746*LOOKUP(M17,密度!$A$2:$A$50,密度!$M$2:$M$50)</f>
        <v>30986.983079860001</v>
      </c>
      <c r="N16" s="73" ph="1">
        <f>N15*9.0746*LOOKUP(N17,密度!$A$2:$A$50,密度!$M$2:$M$50)</f>
        <v>30592.1826248</v>
      </c>
      <c r="O16" s="73" ph="1">
        <f>O15*9.0746*LOOKUP(O17,密度!$A$2:$A$50,密度!$G$2:$G$50)</f>
        <v>43508.804921999996</v>
      </c>
      <c r="P16" s="73" ph="1">
        <f ca="1">P15*9.0746*LOOKUP(P17,密度!$A$2:$A$51,密度!$Q$2:$Q$50)</f>
        <v>9509.2898557720018</v>
      </c>
      <c r="Q16" s="73" ph="1">
        <f>Q15*9.0746*LOOKUP(Q17,密度!$A$2:$A$50,密度!$Q$2:$Q$50)</f>
        <v>10996.728504098</v>
      </c>
      <c r="R16" s="73" ph="1">
        <f>MAX(R15*9.0746*LOOKUP(R17,密度!$A$2:$A$50,密度!$B$2:$B$50),0)</f>
        <v>52364.636280120008</v>
      </c>
      <c r="S16" s="73" ph="1">
        <f>S15*9.0746*LOOKUP(S17,密度!$A$2:$A$50,密度!$Q$2:$Q$50)</f>
        <v>0</v>
      </c>
      <c r="T16" s="73" ph="1">
        <f>T15*9.0746*LOOKUP(T17,密度!$A$2:$A$50,密度!$O$2:$O$50)</f>
        <v>49821.858948400004</v>
      </c>
      <c r="U16" s="73" ph="1">
        <f>U15*9.0746*LOOKUP(U17,密度!$A$2:$A$50,密度!$H$2:$H$50)</f>
        <v>14324.776982039999</v>
      </c>
      <c r="V16" s="73" ph="1">
        <f>MAX(5600*LOOKUP(V17,密度!$A$2:$A$50,密度!$Q$2:$Q$50)+V15*9.0476*LOOKUP(V17,密度!$A$2:$A$50,密度!$Q$2:$Q$50),0)</f>
        <v>36982.202144560004</v>
      </c>
      <c r="W16" s="73" ph="1">
        <f>MAX(5600*LOOKUP(W17,密度!$A$2:$A$50,密度!$Q$2:$Q$50)+W15*9.0476*LOOKUP(W17,密度!$A$2:$A$50,密度!$Q$2:$Q$50),0)</f>
        <v>3825.5682231840001</v>
      </c>
      <c r="X16" s="73" ph="1">
        <f>MAX(5600*LOOKUP(X17,密度!$A$2:$A$50,密度!$I$2:$I$50)+X15*9.0476*LOOKUP(X17,密度!$A$2:$A$50,密度!$I$2:$I$50),0)</f>
        <v>4841.5820823999993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13314.318457119998</v>
      </c>
      <c r="AB16" s="73" ph="1">
        <f>AB15*9.0746*LOOKUP(AB17,密度!$A$2:$A$50,密度!$L$2:$L$50)</f>
        <v>3421.8138695999996</v>
      </c>
      <c r="AC16" s="73" ph="1">
        <f>AC15*9.0746*LOOKUP(AC17,密度!$A$2:$A$50,密度!$L$2:$L$50)</f>
        <v>21322.496873999997</v>
      </c>
      <c r="AD16" s="73" ph="1">
        <f>AD15*268.68*LOOKUP(AD17,密度!$A$2:$A$50,密度!B2:B50)+IF(AD15&lt;=0,0,1566*LOOKUP(AD17,密度!$A$2:$A$50,密度!B2:B50))</f>
        <v>11438.455227840001</v>
      </c>
      <c r="AE16" s="73" ph="1">
        <f>AE15*268.68*LOOKUP(AE17,密度!$A$2:$A$50,密度!B2:B50)+IF(AE15&lt;=0,0,1566*LOOKUP(AE17,密度!$A$2:$A$50,密度!B2:B50))</f>
        <v>2448.3063580799999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3" ph="1"/>
      <c r="C17" s="79" t="s" ph="1">
        <v>179</v>
      </c>
      <c r="D17" s="74">
        <v>24</v>
      </c>
      <c r="E17" s="74">
        <v>24</v>
      </c>
      <c r="F17" s="74">
        <v>30</v>
      </c>
      <c r="G17" s="74">
        <v>25</v>
      </c>
      <c r="H17" s="74">
        <v>23</v>
      </c>
      <c r="I17" s="74">
        <v>24</v>
      </c>
      <c r="J17" s="74">
        <v>26</v>
      </c>
      <c r="K17" s="74">
        <v>25</v>
      </c>
      <c r="L17" s="74">
        <v>26</v>
      </c>
      <c r="M17" s="74">
        <v>27</v>
      </c>
      <c r="N17" s="74">
        <v>23</v>
      </c>
      <c r="O17" s="74">
        <v>28</v>
      </c>
      <c r="P17" s="74">
        <v>24</v>
      </c>
      <c r="Q17" s="74">
        <v>24</v>
      </c>
      <c r="R17" s="74">
        <v>27</v>
      </c>
      <c r="S17" s="74">
        <v>23</v>
      </c>
      <c r="T17" s="74">
        <v>25</v>
      </c>
      <c r="U17" s="74">
        <v>23</v>
      </c>
      <c r="V17" s="74">
        <v>27</v>
      </c>
      <c r="W17" s="74">
        <v>26</v>
      </c>
      <c r="X17" s="74">
        <v>26</v>
      </c>
      <c r="Y17" s="108">
        <v>26</v>
      </c>
      <c r="Z17" s="74">
        <v>24</v>
      </c>
      <c r="AA17" s="74">
        <v>25</v>
      </c>
      <c r="AB17" s="74">
        <v>24</v>
      </c>
      <c r="AC17" s="74">
        <v>24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1" ph="1">
        <v>0.66666666666666663</v>
      </c>
      <c r="C18" s="79" t="s" ph="1">
        <v>180</v>
      </c>
      <c r="D18" s="71">
        <v>759</v>
      </c>
      <c r="E18" s="71">
        <v>3204</v>
      </c>
      <c r="F18" s="71">
        <v>2860</v>
      </c>
      <c r="G18" s="71">
        <v>3188</v>
      </c>
      <c r="H18" s="71">
        <v>4103</v>
      </c>
      <c r="I18" s="71">
        <v>5488</v>
      </c>
      <c r="J18" s="71">
        <v>2395</v>
      </c>
      <c r="K18" s="71">
        <v>5017</v>
      </c>
      <c r="L18" s="71">
        <v>3437</v>
      </c>
      <c r="M18" s="71">
        <v>5811</v>
      </c>
      <c r="N18" s="71">
        <v>1981</v>
      </c>
      <c r="O18" s="71">
        <v>5016</v>
      </c>
      <c r="P18" s="71">
        <v>1105</v>
      </c>
      <c r="Q18" s="71">
        <v>1282</v>
      </c>
      <c r="R18" s="71">
        <v>7427</v>
      </c>
      <c r="S18" s="71">
        <v>0</v>
      </c>
      <c r="T18" s="71">
        <v>5408</v>
      </c>
      <c r="U18" s="71">
        <v>1721</v>
      </c>
      <c r="V18" s="71">
        <v>2713</v>
      </c>
      <c r="W18" s="71">
        <v>-173</v>
      </c>
      <c r="X18" s="71">
        <v>-180</v>
      </c>
      <c r="Y18" s="109">
        <v>-9909</v>
      </c>
      <c r="Z18" s="71">
        <v>0</v>
      </c>
      <c r="AA18" s="71">
        <v>1042</v>
      </c>
      <c r="AB18" s="71">
        <v>399</v>
      </c>
      <c r="AC18" s="71">
        <v>2508</v>
      </c>
      <c r="AD18" s="71">
        <v>84.73</v>
      </c>
      <c r="AE18" s="71">
        <v>22.03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2" ph="1"/>
      <c r="C19" s="151" t="s" ph="1">
        <v>178</v>
      </c>
      <c r="D19" s="73" ph="1">
        <f>D18*7.0686*LOOKUP(D20,密度!$A$2:$A$50,密度!$L$2:$L$50)</f>
        <v>4978.7825472000004</v>
      </c>
      <c r="E19" s="73" ph="1">
        <f>E18*7.0686*LOOKUP(E20,密度!$A$2:$A$50,密度!$L$2:$L$50)</f>
        <v>21017.1532032</v>
      </c>
      <c r="F19" s="73" ph="1">
        <f>F18*9.0746*LOOKUP(F20,密度!$A$2:$A$50,密度!$L$2:$L$50)</f>
        <v>23980.900944000001</v>
      </c>
      <c r="G19" s="73" ph="1">
        <f>G18*9.0746*LOOKUP(G20,密度!$A$2:$A$50,密度!$B$2:$B$50)</f>
        <v>22478.473869600002</v>
      </c>
      <c r="H19" s="73" ph="1">
        <f>H18*9.0746*LOOKUP(H20,密度!$A$2:$A$50,密度!$L$2:$L$50)</f>
        <v>34887.399520600004</v>
      </c>
      <c r="I19" s="73" ph="1">
        <f>I18*9.0746*LOOKUP(I20,密度!$A$2:$A$50,密度!$U$2:$U$50)</f>
        <v>50697.830086400005</v>
      </c>
      <c r="J19" s="73" ph="1">
        <f>J18*9.0746*LOOKUP(J20,密度!$A$2:$A$50,密度!$L$2:$L$50)</f>
        <v>20255.777644000002</v>
      </c>
      <c r="K19" s="73" ph="1">
        <f>K18*9.0746*LOOKUP(K20,密度!$A$2:$A$50,密度!$C$2:$C$50)</f>
        <v>50348.605902380004</v>
      </c>
      <c r="L19" s="73" ph="1">
        <f>L18*9.0746*LOOKUP(L20,密度!$A$2:$A$50,密度!$E$2:$E$50)</f>
        <v>24321.494275960002</v>
      </c>
      <c r="M19" s="73" ph="1">
        <f>M18*9.0746*LOOKUP(M20,密度!$A$2:$A$50,密度!$M$2:$M$50)</f>
        <v>45872.00227194</v>
      </c>
      <c r="N19" s="73" ph="1">
        <f>N18*9.0746*LOOKUP(N20,密度!$A$2:$A$50,密度!$M$2:$M$50)</f>
        <v>15713.505670659999</v>
      </c>
      <c r="O19" s="73" ph="1">
        <f>O18*9.0746*LOOKUP(O20,密度!$A$2:$A$50,密度!$G$2:$G$50)</f>
        <v>43510.841262239999</v>
      </c>
      <c r="P19" s="73" ph="1">
        <f ca="1">P18*9.0746*LOOKUP(P20,密度!$A$2:$A$51,密度!$Q$2:$Q$50)</f>
        <v>9425.1853740200004</v>
      </c>
      <c r="Q19" s="73" ph="1">
        <f>Q18*9.0746*LOOKUP(Q20,密度!$A$2:$A$50,密度!$Q$2:$Q$50)</f>
        <v>10950.161014500001</v>
      </c>
      <c r="R19" s="73" ph="1">
        <f>MAX(R18*9.0746*LOOKUP(R20,密度!$A$2:$A$50,密度!$B$2:$B$50),0)</f>
        <v>52252.936121259998</v>
      </c>
      <c r="S19" s="73" ph="1">
        <f>S18*9.0746*LOOKUP(S20,密度!$A$2:$A$50,密度!$Q$2:$Q$50)</f>
        <v>0</v>
      </c>
      <c r="T19" s="73" ph="1">
        <f>T18*9.0746*LOOKUP(T20,密度!$A$2:$A$50,密度!$O$2:$O$50)</f>
        <v>45443.854476800007</v>
      </c>
      <c r="U19" s="73" ph="1">
        <f>U18*9.0746*LOOKUP(U20,密度!$A$2:$A$50,密度!$H$2:$H$50)</f>
        <v>14243.0565792</v>
      </c>
      <c r="V19" s="73" ph="1">
        <f>MAX(5600*LOOKUP(V20,密度!$A$2:$A$50,密度!$Q$2:$Q$50)+V18*9.0476*LOOKUP(V20,密度!$A$2:$A$50,密度!$Q$2:$Q$50),0)</f>
        <v>28455.844797483995</v>
      </c>
      <c r="W19" s="73" ph="1">
        <f>MAX(5600*LOOKUP(W20,密度!$A$2:$A$50,密度!$Q$2:$Q$50)+W18*9.0476*LOOKUP(W20,密度!$A$2:$A$50,密度!$Q$2:$Q$50),0)</f>
        <v>3797.7227444999999</v>
      </c>
      <c r="X19" s="73" ph="1">
        <f>MAX(5600*LOOKUP(X20,密度!$A$2:$A$50,密度!$I$2:$I$50)+X18*9.0476*LOOKUP(X20,密度!$A$2:$A$50,密度!$I$2:$I$50),0)</f>
        <v>4112.8149792000004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7331.0299499600005</v>
      </c>
      <c r="AB19" s="73" ph="1">
        <f>AB18*9.0746*LOOKUP(AB20,密度!$A$2:$A$50,密度!$L$2:$L$50)</f>
        <v>3356.4495258000002</v>
      </c>
      <c r="AC19" s="73" ph="1">
        <f>AC18*9.0746*LOOKUP(AC20,密度!$A$2:$A$50,密度!$L$2:$L$50)</f>
        <v>21234.237314400001</v>
      </c>
      <c r="AD19" s="73" ph="1">
        <f>AD18*268.68*LOOKUP(AD20,密度!$A$2:$A$50,密度!B5:B53)+IF(AD18&lt;=0,0,1566*LOOKUP(AD20,密度!$A$2:$A$50,密度!B5:B53))</f>
        <v>18905.3862228</v>
      </c>
      <c r="AE19" s="73" ph="1">
        <f>AE18*268.68*LOOKUP(AE20,密度!$A$2:$A$50,密度!B5:B53)+IF(AE18&lt;=0,0,1566*LOOKUP(AE20,密度!$A$2:$A$50,密度!B5:B53))</f>
        <v>5815.8608508000007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2" ph="1"/>
      <c r="C20" s="80" t="s" ph="1">
        <v>179</v>
      </c>
      <c r="D20" s="81">
        <v>34</v>
      </c>
      <c r="E20" s="81">
        <v>34</v>
      </c>
      <c r="F20" s="81">
        <v>38</v>
      </c>
      <c r="G20" s="81">
        <v>28</v>
      </c>
      <c r="H20" s="81">
        <v>25</v>
      </c>
      <c r="I20" s="81">
        <v>32</v>
      </c>
      <c r="J20" s="81">
        <v>30</v>
      </c>
      <c r="K20" s="81">
        <v>29</v>
      </c>
      <c r="L20" s="81">
        <v>28</v>
      </c>
      <c r="M20" s="81">
        <v>30</v>
      </c>
      <c r="N20" s="81">
        <v>26</v>
      </c>
      <c r="O20" s="81">
        <v>29</v>
      </c>
      <c r="P20" s="81">
        <v>35</v>
      </c>
      <c r="Q20" s="81">
        <v>33</v>
      </c>
      <c r="R20" s="81">
        <v>30</v>
      </c>
      <c r="S20" s="81">
        <v>32</v>
      </c>
      <c r="T20" s="81">
        <v>28</v>
      </c>
      <c r="U20" s="81">
        <v>28</v>
      </c>
      <c r="V20" s="81">
        <v>29</v>
      </c>
      <c r="W20" s="81">
        <v>33</v>
      </c>
      <c r="X20" s="81">
        <v>31</v>
      </c>
      <c r="Y20" s="110">
        <v>31</v>
      </c>
      <c r="Z20" s="81">
        <v>35</v>
      </c>
      <c r="AA20" s="81">
        <v>30</v>
      </c>
      <c r="AB20" s="81">
        <v>35</v>
      </c>
      <c r="AC20" s="81">
        <v>29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0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69" t="s" ph="1">
        <v>69</v>
      </c>
      <c r="AA22" s="170"/>
      <c r="AB22" s="170"/>
      <c r="AC22" s="170"/>
      <c r="AD22" s="170"/>
      <c r="AE22" s="17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5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72" t="s" ph="1">
        <v>640</v>
      </c>
      <c r="AA23" s="173"/>
      <c r="AB23" s="173"/>
      <c r="AC23" s="173"/>
      <c r="AD23" s="173"/>
      <c r="AE23" s="17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1" ph="1">
        <v>0.33333333333333331</v>
      </c>
      <c r="C24" s="151" t="s" ph="1">
        <v>177</v>
      </c>
      <c r="D24" s="71">
        <v>61.35</v>
      </c>
      <c r="E24" s="71">
        <v>5.77</v>
      </c>
      <c r="F24" s="71">
        <v>3670</v>
      </c>
      <c r="G24" s="71">
        <v>3661</v>
      </c>
      <c r="H24" s="71">
        <v>3902</v>
      </c>
      <c r="I24" s="71">
        <v>0</v>
      </c>
      <c r="J24" s="71">
        <v>827</v>
      </c>
      <c r="K24" s="71">
        <v>442</v>
      </c>
      <c r="L24" s="71">
        <v>469</v>
      </c>
      <c r="M24" s="71">
        <v>1447</v>
      </c>
      <c r="N24" s="71">
        <v>332</v>
      </c>
      <c r="O24" s="71">
        <v>5731</v>
      </c>
      <c r="P24" s="71">
        <v>334</v>
      </c>
      <c r="Q24" s="90">
        <v>585</v>
      </c>
      <c r="R24" s="71">
        <v>4883</v>
      </c>
      <c r="S24" s="71">
        <v>1355</v>
      </c>
      <c r="T24" s="71">
        <v>1276</v>
      </c>
      <c r="U24" s="71">
        <v>4338</v>
      </c>
      <c r="V24" s="71">
        <v>3185</v>
      </c>
      <c r="W24" s="71">
        <v>11218</v>
      </c>
      <c r="X24" s="71">
        <v>5090</v>
      </c>
      <c r="Y24" s="71">
        <v>11141</v>
      </c>
      <c r="Z24" s="175"/>
      <c r="AA24" s="176"/>
      <c r="AB24" s="176"/>
      <c r="AC24" s="176"/>
      <c r="AD24" s="176"/>
      <c r="AE24" s="17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1" ph="1"/>
      <c r="C25" s="68" t="s" ph="1">
        <v>178</v>
      </c>
      <c r="D25" s="91" ph="1">
        <f>D24*268.68*LOOKUP(D26,密度!$A$2:$A$50,密度!$Q$2:$Q$50)+IF(D24&lt;=0,0,1566*LOOKUP(D26,密度!$A$2:$A$50,密度!$Q$2:$Q$50))</f>
        <v>17088.200671320003</v>
      </c>
      <c r="E25" s="91" ph="1">
        <f>E24*268.68*LOOKUP(E26,密度!$A$2:$A$50,密度!$C$2:$C$50)+IF(E24&lt;=0,0,1566*LOOKUP(E26,密度!$A$2:$A$50,密度!$C$2:$C$50))</f>
        <v>3455.6468840399998</v>
      </c>
      <c r="F25" s="91" ph="1">
        <f>F24*11.702*LOOKUP(F26,密度!$A$2:$A$50,密度!$Q$2:$Q$50)</f>
        <v>40659.017931599999</v>
      </c>
      <c r="G25" s="91" ph="1">
        <f>G24*18.322*LOOKUP(G26,密度!$A$2:$A$50,密度!$B$2:$B$50)</f>
        <v>52179.075391800005</v>
      </c>
      <c r="H25" s="91" ph="1">
        <f>H24*18.322*LOOKUP(H26,密度!$A$2:$A$50,密度!$B$2:$B$50)</f>
        <v>55735.509342400001</v>
      </c>
      <c r="I25" s="91" ph="1">
        <f>I24*18.322*LOOKUP(I26,密度!$A$2:$A$50,密度!$Q$2:$Q$50)</f>
        <v>0</v>
      </c>
      <c r="J25" s="91" ph="1">
        <f>J24*18.322*LOOKUP(J26,密度!$A$2:$A$50,密度!$Q$2:$Q$50)</f>
        <v>14334.524692820001</v>
      </c>
      <c r="K25" s="91" ph="1">
        <f>K24*18.322*LOOKUP(K26,密度!$A$2:$A$50,密度!$Q$2:$Q$50)</f>
        <v>7667.0072637599997</v>
      </c>
      <c r="L25" s="91" ph="1">
        <f>L24*18.322*LOOKUP(L26,密度!$A$2:$A$50,密度!$Q$2:$Q$50)</f>
        <v>8129.2528185400006</v>
      </c>
      <c r="M25" s="91" ph="1">
        <f>M24*18.322*LOOKUP(M26,密度!$A$2:$A$50,密度!$Q$2:$Q$50)</f>
        <v>25099.908395159997</v>
      </c>
      <c r="N25" s="91" ph="1">
        <f>N24*18.322*LOOKUP(N26,密度!$A$2:$A$50,密度!$Q$2:$Q$50)</f>
        <v>5776.8730997599996</v>
      </c>
      <c r="O25" s="91" ph="1">
        <f>O24*18.322*LOOKUP(O26,密度!$A$2:$A$50,密度!$C$2:$C$50)</f>
        <v>116669.25774019999</v>
      </c>
      <c r="P25" s="91" ph="1">
        <f>P24*11.702*LOOKUP(P26,密度!$A$2:$A$50,密度!$B$2:$B$50)</f>
        <v>3057.5945164</v>
      </c>
      <c r="Q25" s="92" ph="1">
        <f>Q24*18.322*LOOKUP(Q26,密度!$A$2:$A$50,密度!$B$2:$B$50)</f>
        <v>8365.6877849999983</v>
      </c>
      <c r="R25" s="91" ph="1">
        <f>R24*35.891*LOOKUP(R26,密度!$A$2:$A$50,密度!$C$2:$C$50)</f>
        <v>194603.98813119999</v>
      </c>
      <c r="S25" s="91" ph="1">
        <f>S24*35.891*LOOKUP(S26,密度!$A$2:$A$50,密度!$B$2:$B$50)</f>
        <v>37957.514052500002</v>
      </c>
      <c r="T25" s="91" ph="1">
        <f>T24*35.891*LOOKUP(T26,密度!$A$2:$A$50,密度!$Q$2:$Q$50)</f>
        <v>43391.204002519997</v>
      </c>
      <c r="U25" s="91" ph="1">
        <f>U24*35.891</f>
        <v>155695.158</v>
      </c>
      <c r="V25" s="91" ph="1">
        <f>V24*47.051*LOOKUP(V26,密度!$A$2:$A$50,密度!$B$2:$B$50)</f>
        <v>117098.599709</v>
      </c>
      <c r="W25" s="91" ph="1">
        <f>W24*47.051*LOOKUP(W26,密度!$A$2:$A$50,密度!$B$2:$B$50)</f>
        <v>411962.04109900002</v>
      </c>
      <c r="X25" s="91" ph="1">
        <f>X24*47.051*LOOKUP(X26,密度!$A$2:$A$61,密度!$I$2:$I$61)</f>
        <v>247201.154798</v>
      </c>
      <c r="Y25" s="91" ph="1">
        <f>Y24*47.051*LOOKUP(Y26,密度!$A$2:$A$50,密度!$L$2:$L$50)</f>
        <v>491695.08915800002</v>
      </c>
      <c r="Z25" s="175"/>
      <c r="AA25" s="176"/>
      <c r="AB25" s="176"/>
      <c r="AC25" s="176"/>
      <c r="AD25" s="176"/>
      <c r="AE25" s="17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1" ph="1"/>
      <c r="C26" s="68" t="s" ph="1">
        <v>179</v>
      </c>
      <c r="D26" s="74">
        <v>25</v>
      </c>
      <c r="E26" s="74">
        <v>25</v>
      </c>
      <c r="F26" s="74">
        <v>25</v>
      </c>
      <c r="G26" s="74">
        <v>27</v>
      </c>
      <c r="H26" s="74">
        <v>25</v>
      </c>
      <c r="I26" s="74">
        <v>25</v>
      </c>
      <c r="J26" s="74">
        <v>26</v>
      </c>
      <c r="K26" s="74">
        <v>25</v>
      </c>
      <c r="L26" s="74">
        <v>26</v>
      </c>
      <c r="M26" s="74">
        <v>25</v>
      </c>
      <c r="N26" s="74">
        <v>21</v>
      </c>
      <c r="O26" s="74">
        <v>22</v>
      </c>
      <c r="P26" s="74">
        <v>22</v>
      </c>
      <c r="Q26" s="93">
        <v>24</v>
      </c>
      <c r="R26" s="74">
        <v>23</v>
      </c>
      <c r="S26" s="74">
        <v>24</v>
      </c>
      <c r="T26" s="74">
        <v>24</v>
      </c>
      <c r="U26" s="74">
        <v>23</v>
      </c>
      <c r="V26" s="74">
        <v>23</v>
      </c>
      <c r="W26" s="74">
        <v>24</v>
      </c>
      <c r="X26" s="74">
        <v>34</v>
      </c>
      <c r="Y26" s="74">
        <v>24</v>
      </c>
      <c r="Z26" s="175"/>
      <c r="AA26" s="176"/>
      <c r="AB26" s="176"/>
      <c r="AC26" s="176"/>
      <c r="AD26" s="176"/>
      <c r="AE26" s="17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1" ph="1">
        <v>0.66666666666666663</v>
      </c>
      <c r="C27" s="151" t="s" ph="1">
        <v>180</v>
      </c>
      <c r="D27" s="71">
        <v>60.93</v>
      </c>
      <c r="E27" s="71">
        <v>32.53</v>
      </c>
      <c r="F27" s="71">
        <v>3680</v>
      </c>
      <c r="G27" s="71">
        <v>3212</v>
      </c>
      <c r="H27" s="71">
        <v>3244</v>
      </c>
      <c r="I27" s="71">
        <v>426</v>
      </c>
      <c r="J27" s="71">
        <v>824</v>
      </c>
      <c r="K27" s="71">
        <v>438</v>
      </c>
      <c r="L27" s="71">
        <v>464</v>
      </c>
      <c r="M27" s="71">
        <v>2581</v>
      </c>
      <c r="N27" s="71">
        <v>326</v>
      </c>
      <c r="O27" s="71">
        <v>5728</v>
      </c>
      <c r="P27" s="71">
        <v>330</v>
      </c>
      <c r="Q27" s="90">
        <v>782</v>
      </c>
      <c r="R27" s="71">
        <v>4607</v>
      </c>
      <c r="S27" s="71">
        <v>953</v>
      </c>
      <c r="T27" s="71">
        <v>1274</v>
      </c>
      <c r="U27" s="71">
        <v>4140</v>
      </c>
      <c r="V27" s="71">
        <v>4622</v>
      </c>
      <c r="W27" s="71">
        <v>11221</v>
      </c>
      <c r="X27" s="71">
        <v>4964</v>
      </c>
      <c r="Y27" s="71">
        <v>10082</v>
      </c>
      <c r="Z27" s="175"/>
      <c r="AA27" s="176"/>
      <c r="AB27" s="176"/>
      <c r="AC27" s="176"/>
      <c r="AD27" s="176"/>
      <c r="AE27" s="17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1" ph="1"/>
      <c r="C28" s="151" t="s" ph="1">
        <v>178</v>
      </c>
      <c r="D28" s="91" ph="1">
        <f>D27*268.68*LOOKUP(D29,密度!$A$2:$A$50,密度!$Q$2:$Q$50)+IF(D27&lt;=0,0,1566*LOOKUP(D29,密度!$A$2:$A$50,密度!$Q$2:$Q$50))</f>
        <v>16981.365227975999</v>
      </c>
      <c r="E28" s="91" ph="1">
        <f>E27*268.68*LOOKUP(E29,密度!$A$2:$A$50,密度!$C$2:$C$50)+IF(E27&lt;=0,0,1566*LOOKUP(E29,密度!$A$2:$A$50,密度!$C$2:$C$50))</f>
        <v>11428.501267559999</v>
      </c>
      <c r="F28" s="91" ph="1">
        <f>F27*11.702*LOOKUP(F29,密度!$A$2:$A$50,密度!$Q$2:$Q$50)</f>
        <v>40708.655475200001</v>
      </c>
      <c r="G28" s="91" ph="1">
        <f>G27*18.322*LOOKUP(G29,密度!$A$2:$A$50,密度!$B$2:$B$50)</f>
        <v>45679.574916799997</v>
      </c>
      <c r="H28" s="91" ph="1">
        <f>H27*18.322*LOOKUP(H29,密度!$A$2:$A$50,密度!$B$2:$B$50)</f>
        <v>46235.706247200003</v>
      </c>
      <c r="I28" s="91" ph="1">
        <f>I27*18.322*LOOKUP(I29,密度!$A$2:$A$50,密度!$Q$2:$Q$50)</f>
        <v>7389.4685392800002</v>
      </c>
      <c r="J28" s="91" ph="1">
        <f>J27*18.322*LOOKUP(J29,密度!$A$2:$A$50,密度!$Q$2:$Q$50)</f>
        <v>14261.23797536</v>
      </c>
      <c r="K28" s="91" ph="1">
        <f>K27*18.322*LOOKUP(K29,密度!$A$2:$A$50,密度!$Q$2:$Q$50)</f>
        <v>7597.6225826400005</v>
      </c>
      <c r="L28" s="91" ph="1">
        <f>L27*18.322*LOOKUP(L29,密度!$A$2:$A$50,密度!$Q$2:$Q$50)</f>
        <v>8042.5870102399995</v>
      </c>
      <c r="M28" s="91" ph="1">
        <f>M27*18.322*LOOKUP(M29,密度!$A$2:$A$50,密度!$Q$2:$Q$50)</f>
        <v>44736.890244459995</v>
      </c>
      <c r="N28" s="91" ph="1">
        <f>N27*18.322*LOOKUP(N29,密度!$A$2:$A$50,密度!$Q$2:$Q$50)</f>
        <v>5634.48367676</v>
      </c>
      <c r="O28" s="91" ph="1">
        <f>O27*18.322*LOOKUP(O29,密度!$A$2:$A$50,密度!$C$2:$C$50)</f>
        <v>116534.72112640001</v>
      </c>
      <c r="P28" s="91" ph="1">
        <f>P27*11.702*LOOKUP(P29,密度!$A$2:$A$50,密度!$B$2:$B$50)</f>
        <v>2990.4695039999997</v>
      </c>
      <c r="Q28" s="92" ph="1">
        <f>Q27*18.322*LOOKUP(Q29,密度!$A$2:$A$50,密度!$B$2:$B$50)</f>
        <v>11169.955998399999</v>
      </c>
      <c r="R28" s="91" ph="1">
        <f>R27*35.891*LOOKUP(R29,密度!$A$2:$A$50,密度!$C$2:$C$50)</f>
        <v>183472.17913519999</v>
      </c>
      <c r="S28" s="91" ph="1">
        <f>S27*35.891*LOOKUP(S29,密度!$A$2:$A$50,密度!$B$2:$B$50)</f>
        <v>26696.3180015</v>
      </c>
      <c r="T28" s="91" ph="1">
        <f>T27*35.891*LOOKUP(T29,密度!$A$2:$A$50,密度!$Q$2:$Q$50)</f>
        <v>43289.813363159999</v>
      </c>
      <c r="U28" s="91" ph="1">
        <f>U27*35.891</f>
        <v>148588.74</v>
      </c>
      <c r="V28" s="91" ph="1">
        <f>V27*47.051*LOOKUP(V29,密度!$A$2:$A$50,密度!$B$2:$B$50)</f>
        <v>169930.84077080002</v>
      </c>
      <c r="W28" s="91" ph="1">
        <f>W27*47.051*LOOKUP(W29,密度!$A$2:$A$50,密度!$B$2:$B$50)</f>
        <v>412072.21101550001</v>
      </c>
      <c r="X28" s="91" ph="1">
        <f>X27*47.051*LOOKUP(X29,密度!$A$2:$A$61,密度!$I$2:$I$61)</f>
        <v>241081.83348080001</v>
      </c>
      <c r="Y28" s="91" ph="1">
        <f>Y27*47.051*LOOKUP(Y29,密度!$A$2:$A$50,密度!$L$2:$L$50)</f>
        <v>444957.35471600003</v>
      </c>
      <c r="Z28" s="175"/>
      <c r="AA28" s="176"/>
      <c r="AB28" s="176"/>
      <c r="AC28" s="176"/>
      <c r="AD28" s="176"/>
      <c r="AE28" s="17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1" ph="1"/>
      <c r="C29" s="151" t="s" ph="1">
        <v>179</v>
      </c>
      <c r="D29" s="74">
        <v>25</v>
      </c>
      <c r="E29" s="74">
        <v>25</v>
      </c>
      <c r="F29" s="74">
        <v>27</v>
      </c>
      <c r="G29" s="74">
        <v>29</v>
      </c>
      <c r="H29" s="74">
        <v>27</v>
      </c>
      <c r="I29" s="74">
        <v>25</v>
      </c>
      <c r="J29" s="74">
        <v>28</v>
      </c>
      <c r="K29" s="74">
        <v>25</v>
      </c>
      <c r="L29" s="74">
        <v>26</v>
      </c>
      <c r="M29" s="74">
        <v>26</v>
      </c>
      <c r="N29" s="74">
        <v>30</v>
      </c>
      <c r="O29" s="74">
        <v>23</v>
      </c>
      <c r="P29" s="74">
        <v>31</v>
      </c>
      <c r="Q29" s="93">
        <v>25</v>
      </c>
      <c r="R29" s="74">
        <v>24</v>
      </c>
      <c r="S29" s="74">
        <v>24</v>
      </c>
      <c r="T29" s="74">
        <v>25</v>
      </c>
      <c r="U29" s="74">
        <v>24</v>
      </c>
      <c r="V29" s="74">
        <v>23</v>
      </c>
      <c r="W29" s="74">
        <v>24</v>
      </c>
      <c r="X29" s="74">
        <v>34</v>
      </c>
      <c r="Y29" s="74">
        <v>24</v>
      </c>
      <c r="Z29" s="178"/>
      <c r="AA29" s="179"/>
      <c r="AB29" s="179"/>
      <c r="AC29" s="179"/>
      <c r="AD29" s="179"/>
      <c r="AE29" s="18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4" t="s" ph="1">
        <v>35</v>
      </c>
      <c r="C31" s="195" ph="1"/>
      <c r="D31" s="198" t="s" ph="1">
        <v>9</v>
      </c>
      <c r="E31" s="187" ph="1"/>
      <c r="F31" s="188" ph="1"/>
      <c r="G31" s="198" t="s" ph="1">
        <v>18</v>
      </c>
      <c r="H31" s="187" ph="1"/>
      <c r="I31" s="188" ph="1"/>
      <c r="J31" s="186" t="s" ph="1">
        <v>1</v>
      </c>
      <c r="K31" s="187" ph="1"/>
      <c r="L31" s="188" ph="1"/>
      <c r="M31" s="186" t="s" ph="1">
        <v>7</v>
      </c>
      <c r="N31" s="187" ph="1"/>
      <c r="O31" s="188" ph="1"/>
      <c r="P31" s="186" t="s" ph="1">
        <v>41</v>
      </c>
      <c r="Q31" s="187"/>
      <c r="R31" s="188"/>
      <c r="S31" s="186" t="s" ph="1">
        <v>2</v>
      </c>
      <c r="T31" s="187"/>
      <c r="U31" s="188"/>
      <c r="V31" s="186" t="s" ph="1">
        <v>71</v>
      </c>
      <c r="W31" s="187" ph="1"/>
      <c r="X31" s="188" ph="1"/>
      <c r="Y31" s="186" t="s" ph="1">
        <v>3</v>
      </c>
      <c r="Z31" s="187" ph="1"/>
      <c r="AA31" s="188" ph="1"/>
      <c r="AB31" s="209" t="s">
        <v>42</v>
      </c>
      <c r="AC31" s="210"/>
      <c r="AD31" s="210"/>
      <c r="AE31" s="211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6" ph="1"/>
      <c r="C32" s="197" ph="1"/>
      <c r="D32" s="96" t="s" ph="1">
        <v>4</v>
      </c>
      <c r="E32" s="151" t="s" ph="1">
        <v>5</v>
      </c>
      <c r="F32" s="152" t="s" ph="1">
        <v>43</v>
      </c>
      <c r="G32" s="97" t="s" ph="1">
        <v>4</v>
      </c>
      <c r="H32" s="151" t="s" ph="1">
        <v>5</v>
      </c>
      <c r="I32" s="152" t="s" ph="1">
        <v>43</v>
      </c>
      <c r="J32" s="97" t="s" ph="1">
        <v>4</v>
      </c>
      <c r="K32" s="151" t="s" ph="1">
        <v>5</v>
      </c>
      <c r="L32" s="152" t="s" ph="1">
        <v>43</v>
      </c>
      <c r="M32" s="97" t="s" ph="1">
        <v>4</v>
      </c>
      <c r="N32" s="151" t="s" ph="1">
        <v>5</v>
      </c>
      <c r="O32" s="152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1" t="s" ph="1">
        <v>5</v>
      </c>
      <c r="U32" s="99" t="s" ph="1">
        <v>43</v>
      </c>
      <c r="V32" s="97" t="s" ph="1">
        <v>4</v>
      </c>
      <c r="W32" s="151" t="s" ph="1">
        <v>5</v>
      </c>
      <c r="X32" s="99" t="s" ph="1">
        <v>43</v>
      </c>
      <c r="Y32" s="100" t="s" ph="1">
        <v>4</v>
      </c>
      <c r="Z32" s="151" t="s" ph="1">
        <v>5</v>
      </c>
      <c r="AA32" s="152" t="s" ph="1">
        <v>43</v>
      </c>
      <c r="AB32" s="97" t="s" ph="1">
        <v>85</v>
      </c>
      <c r="AC32" s="151" t="s" ph="1">
        <v>84</v>
      </c>
      <c r="AD32" s="212" t="s" ph="1">
        <v>83</v>
      </c>
      <c r="AE32" s="213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199" t="s" ph="1">
        <v>181</v>
      </c>
      <c r="C33" s="200" ph="1"/>
      <c r="D33" s="203" ph="1">
        <f>AA10+AB10+Z19</f>
        <v>182335.08721000003</v>
      </c>
      <c r="E33" s="203" ph="1">
        <f>M10+I10</f>
        <v>40195.376633599997</v>
      </c>
      <c r="F33" s="20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1522252632456786910111213141516171819202123456789101112131415161718192022232424356789101112131415161718192021222345678910111213141516171819202345678910111213149101516171819222123234567891012131415161711181920212224252345678910111213116[[#This Row],[F25]]</f>
        <v>3880</v>
      </c>
      <c r="G33" s="207" ph="1">
        <f>N19</f>
        <v>15713.505670659999</v>
      </c>
      <c r="H33" s="203" ph="1">
        <f>M19</f>
        <v>45872.00227194</v>
      </c>
      <c r="I33" s="216" ph="1">
        <v>0</v>
      </c>
      <c r="J33" s="214" ph="1">
        <f>F10+O28</f>
        <v>331161.69151150004</v>
      </c>
      <c r="K33" s="203" ph="1">
        <f>O10+K10+E28+R28</f>
        <v>281766.86558635999</v>
      </c>
      <c r="L33" s="218" ph="1">
        <f>K19</f>
        <v>50348.605902380004</v>
      </c>
      <c r="M33" s="214" ph="1">
        <f>G10+H10+W28+S28+V28+E10+R19+P28+Q28</f>
        <v>1585202.3854794598</v>
      </c>
      <c r="N33" s="203" ph="1">
        <f>L10+P10++G28+H28+AD19+AE19</f>
        <v>132391.4686626</v>
      </c>
      <c r="O33" s="216" ph="1">
        <f>G19</f>
        <v>22478.473869600002</v>
      </c>
      <c r="P33" s="214" ph="1">
        <f>L19</f>
        <v>24321.494275960002</v>
      </c>
      <c r="Q33" s="203" ph="1">
        <f>J10+N10</f>
        <v>95789.129748799998</v>
      </c>
      <c r="R33" s="216" ph="1">
        <f>BE23</f>
        <v>890</v>
      </c>
      <c r="S33" s="214" ph="1">
        <f>X28</f>
        <v>241081.83348080001</v>
      </c>
      <c r="T33" s="203" ph="1">
        <f>X19</f>
        <v>4112.8149792000004</v>
      </c>
      <c r="U33" s="224" ph="1">
        <f>BE21</f>
        <v>730</v>
      </c>
      <c r="V33" s="235" ph="1">
        <f ca="1">P19+Q19+S19+M28+N28+J28+D10+AC10+D19+E19+H19+J19+O19+V19+W19+K28+L28</f>
        <v>788593.66140396392</v>
      </c>
      <c r="W33" s="235" ph="1">
        <f>D28+F28+T28+I28</f>
        <v>108369.302605616</v>
      </c>
      <c r="X33" s="216" ph="1">
        <f>BE29+BE31</f>
        <v>10200</v>
      </c>
      <c r="Y33" s="237" ph="1">
        <f>+Q10+R10+S10+T10+U10+V10+W10+X10+Y10</f>
        <v>93459.021717600001</v>
      </c>
      <c r="Z33" s="222" ph="1">
        <f>T19+U19+Y28+Z10</f>
        <v>592231.45793200005</v>
      </c>
      <c r="AA33" s="224" ph="1">
        <f>BE19</f>
        <v>1440</v>
      </c>
      <c r="AB33" s="226" ph="1">
        <f>I19</f>
        <v>50697.830086400005</v>
      </c>
      <c r="AC33" s="228" ph="1">
        <f>AD10+AB19</f>
        <v>58325.2558938</v>
      </c>
      <c r="AD33" s="230" ph="1">
        <v>0</v>
      </c>
      <c r="AE33" s="231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1" ph="1"/>
      <c r="C34" s="202" ph="1"/>
      <c r="D34" s="204" ph="1"/>
      <c r="E34" s="204" ph="1"/>
      <c r="F34" s="206" ph="1"/>
      <c r="G34" s="208" ph="1"/>
      <c r="H34" s="204" ph="1"/>
      <c r="I34" s="217" ph="1"/>
      <c r="J34" s="215" ph="1"/>
      <c r="K34" s="204" ph="1"/>
      <c r="L34" s="219" ph="1"/>
      <c r="M34" s="215" ph="1"/>
      <c r="N34" s="204" ph="1"/>
      <c r="O34" s="217" ph="1"/>
      <c r="P34" s="215" ph="1"/>
      <c r="Q34" s="204" ph="1"/>
      <c r="R34" s="217" ph="1"/>
      <c r="S34" s="215" ph="1"/>
      <c r="T34" s="204"/>
      <c r="U34" s="225"/>
      <c r="V34" s="236" ph="1"/>
      <c r="W34" s="236" ph="1"/>
      <c r="X34" s="217" ph="1"/>
      <c r="Y34" s="238" ph="1"/>
      <c r="Z34" s="223" ph="1"/>
      <c r="AA34" s="225" ph="1"/>
      <c r="AB34" s="227"/>
      <c r="AC34" s="229"/>
      <c r="AD34" s="232"/>
      <c r="AE34" s="233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4" t="s" ph="1">
        <v>631</v>
      </c>
      <c r="AD35" s="234"/>
      <c r="AE35" s="234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0" t="s" ph="1">
        <v>183</v>
      </c>
      <c r="J36" s="220" ph="1"/>
      <c r="K36" s="101" ph="1"/>
      <c r="P36" s="101" ph="1"/>
      <c r="R36" s="220" t="s" ph="1">
        <v>184</v>
      </c>
      <c r="S36" s="220" ph="1"/>
      <c r="Y36" s="102" ph="1"/>
      <c r="Z36" s="153" t="s" ph="1">
        <v>185</v>
      </c>
      <c r="AA36" s="153" ph="1"/>
      <c r="AB36" s="221" t="s" ph="1">
        <v>638</v>
      </c>
      <c r="AC36" s="221" ph="1"/>
      <c r="AD36" s="221" ph="1"/>
      <c r="AE36" s="221" ph="1"/>
      <c r="BA36" s="64" ph="1">
        <v>2270</v>
      </c>
    </row>
    <row r="37" spans="1:57" s="153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3" t="s" ph="1">
        <v>342</v>
      </c>
      <c r="AI37" s="153" t="s" ph="1">
        <v>209</v>
      </c>
      <c r="AJ37" s="153" t="s" ph="1">
        <v>210</v>
      </c>
      <c r="AK37" s="153" t="s" ph="1">
        <v>211</v>
      </c>
      <c r="AM37" s="153" t="s" ph="1">
        <v>210</v>
      </c>
      <c r="AN37" s="153" t="s" ph="1">
        <v>211</v>
      </c>
      <c r="AO37" s="153" t="s" ph="1">
        <v>212</v>
      </c>
      <c r="AP37" s="153" t="s" ph="1">
        <v>210</v>
      </c>
      <c r="AQ37" s="153" t="s" ph="1">
        <v>211</v>
      </c>
      <c r="AR37" s="153" t="s" ph="1">
        <v>212</v>
      </c>
      <c r="AS37" s="153" t="s" ph="1">
        <v>210</v>
      </c>
      <c r="AT37" s="153" t="s" ph="1">
        <v>211</v>
      </c>
      <c r="AU37" s="153" t="s" ph="1">
        <v>212</v>
      </c>
      <c r="AV37" s="153" t="s" ph="1">
        <v>210</v>
      </c>
      <c r="AW37" s="153" t="s" ph="1">
        <v>211</v>
      </c>
      <c r="AX37" s="153" t="s" ph="1">
        <v>212</v>
      </c>
      <c r="AY37" s="153" t="s" ph="1">
        <v>211</v>
      </c>
      <c r="AZ37" s="153" t="s" ph="1">
        <v>213</v>
      </c>
      <c r="BD37" s="153" t="s" ph="1">
        <v>305</v>
      </c>
      <c r="BE37" s="153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819" priority="100">
      <formula>ABS(D$7-D$10)&gt;=1000</formula>
    </cfRule>
  </conditionalFormatting>
  <conditionalFormatting sqref="E4 E6:E11">
    <cfRule type="expression" dxfId="1818" priority="99">
      <formula>ABS(E$7-E$10)&gt;=1000</formula>
    </cfRule>
  </conditionalFormatting>
  <conditionalFormatting sqref="F4:F11">
    <cfRule type="expression" dxfId="1817" priority="98">
      <formula>ABS(F$7-F$10)&gt;=1000</formula>
    </cfRule>
  </conditionalFormatting>
  <conditionalFormatting sqref="G4:G11">
    <cfRule type="expression" dxfId="1816" priority="97">
      <formula>ABS(G$7-G$10)&gt;=1000</formula>
    </cfRule>
  </conditionalFormatting>
  <conditionalFormatting sqref="H4:H11">
    <cfRule type="expression" dxfId="1815" priority="96">
      <formula>ABS(H$7-H$10)&gt;=1000</formula>
    </cfRule>
  </conditionalFormatting>
  <conditionalFormatting sqref="I4:I11">
    <cfRule type="expression" dxfId="1814" priority="95">
      <formula>ABS(I$7-I$10)&gt;=1000</formula>
    </cfRule>
  </conditionalFormatting>
  <conditionalFormatting sqref="J4:J11">
    <cfRule type="expression" dxfId="1813" priority="94">
      <formula>ABS(J$7-J$10)&gt;=1000</formula>
    </cfRule>
  </conditionalFormatting>
  <conditionalFormatting sqref="K4:K11">
    <cfRule type="expression" dxfId="1812" priority="93">
      <formula>ABS(K$7-K$10)&gt;=1000</formula>
    </cfRule>
  </conditionalFormatting>
  <conditionalFormatting sqref="L4:L11">
    <cfRule type="expression" dxfId="1811" priority="92">
      <formula>ABS(L$7-L$10)&gt;=1000</formula>
    </cfRule>
  </conditionalFormatting>
  <conditionalFormatting sqref="M4 M6:M11">
    <cfRule type="expression" dxfId="1810" priority="91">
      <formula>ABS(M$7-M$10)&gt;=1000</formula>
    </cfRule>
  </conditionalFormatting>
  <conditionalFormatting sqref="N4 N6:N11">
    <cfRule type="expression" dxfId="1809" priority="90">
      <formula>ABS(N$7-N$10)&gt;=1000</formula>
    </cfRule>
  </conditionalFormatting>
  <conditionalFormatting sqref="O4 O6:O11">
    <cfRule type="expression" dxfId="1808" priority="89">
      <formula>ABS(O$7-O$10)&gt;=1000</formula>
    </cfRule>
  </conditionalFormatting>
  <conditionalFormatting sqref="P4 P6:P11">
    <cfRule type="expression" dxfId="1807" priority="88">
      <formula>ABS(P$7-P$10)&gt;=1000</formula>
    </cfRule>
  </conditionalFormatting>
  <conditionalFormatting sqref="Q4:Q11">
    <cfRule type="expression" dxfId="1806" priority="87">
      <formula>ABS(Q$7-Q$10)&gt;=1000</formula>
    </cfRule>
  </conditionalFormatting>
  <conditionalFormatting sqref="R4:R11">
    <cfRule type="expression" dxfId="1805" priority="86">
      <formula>ABS(R$7-R$10)&gt;=1000</formula>
    </cfRule>
  </conditionalFormatting>
  <conditionalFormatting sqref="S4:S11">
    <cfRule type="expression" dxfId="1804" priority="85">
      <formula>ABS(S$7-S$10)&gt;=1000</formula>
    </cfRule>
  </conditionalFormatting>
  <conditionalFormatting sqref="T4:T9 T11">
    <cfRule type="expression" dxfId="1803" priority="84">
      <formula>ABS(T$7-T$10)&gt;=1000</formula>
    </cfRule>
  </conditionalFormatting>
  <conditionalFormatting sqref="U4:U9 U11">
    <cfRule type="expression" dxfId="1802" priority="83">
      <formula>ABS(U$7-U$10)&gt;=1000</formula>
    </cfRule>
  </conditionalFormatting>
  <conditionalFormatting sqref="V4:V9 V11">
    <cfRule type="expression" dxfId="1801" priority="82">
      <formula>ABS(V$7-V$10)&gt;=1000</formula>
    </cfRule>
  </conditionalFormatting>
  <conditionalFormatting sqref="W4:W9 W11">
    <cfRule type="expression" dxfId="1800" priority="81">
      <formula>ABS(W$7-W$10)&gt;=1000</formula>
    </cfRule>
  </conditionalFormatting>
  <conditionalFormatting sqref="X4:X9 X11">
    <cfRule type="expression" dxfId="1799" priority="80">
      <formula>ABS(X$7-X$10)&gt;=1000</formula>
    </cfRule>
  </conditionalFormatting>
  <conditionalFormatting sqref="Y4:Y9 Y11">
    <cfRule type="expression" dxfId="1798" priority="79">
      <formula>ABS(Y$7-Y$10)&gt;=1000</formula>
    </cfRule>
  </conditionalFormatting>
  <conditionalFormatting sqref="Z4:Z11">
    <cfRule type="expression" dxfId="1797" priority="78">
      <formula>ABS(Z$7-Z$10)&gt;=1000</formula>
    </cfRule>
  </conditionalFormatting>
  <conditionalFormatting sqref="AA4:AA11">
    <cfRule type="expression" dxfId="1796" priority="77">
      <formula>ABS(AA$7-AA$10)&gt;=1000</formula>
    </cfRule>
  </conditionalFormatting>
  <conditionalFormatting sqref="AB4:AB11">
    <cfRule type="expression" dxfId="1795" priority="76">
      <formula>ABS(AB$7-AB$10)&gt;=1000</formula>
    </cfRule>
  </conditionalFormatting>
  <conditionalFormatting sqref="AC4 AC6:AC11">
    <cfRule type="expression" dxfId="1794" priority="75">
      <formula>ABS(AC$7-AC$10)&gt;=1000</formula>
    </cfRule>
  </conditionalFormatting>
  <conditionalFormatting sqref="AD4 AD6:AD11">
    <cfRule type="expression" dxfId="1793" priority="74">
      <formula>ABS(AD$7-AD$10)&gt;=1000</formula>
    </cfRule>
  </conditionalFormatting>
  <conditionalFormatting sqref="AE4 AE6:AE11">
    <cfRule type="expression" dxfId="1792" priority="73">
      <formula>ABS(AE$7-AE$10)&gt;=1000</formula>
    </cfRule>
  </conditionalFormatting>
  <conditionalFormatting sqref="D13:D20">
    <cfRule type="expression" dxfId="1791" priority="72">
      <formula>ABS(D$16-D$19)&gt;=1000</formula>
    </cfRule>
  </conditionalFormatting>
  <conditionalFormatting sqref="E13:E20">
    <cfRule type="expression" dxfId="1790" priority="71">
      <formula>ABS(E$16-E$19)&gt;=1000</formula>
    </cfRule>
  </conditionalFormatting>
  <conditionalFormatting sqref="F13 F15:F20">
    <cfRule type="expression" dxfId="1789" priority="70">
      <formula>ABS(F$16-F$19)&gt;=1000</formula>
    </cfRule>
  </conditionalFormatting>
  <conditionalFormatting sqref="G13:G20">
    <cfRule type="expression" dxfId="1788" priority="69">
      <formula>ABS(G$16-G$19)&gt;=1000</formula>
    </cfRule>
  </conditionalFormatting>
  <conditionalFormatting sqref="H13 H15:H20">
    <cfRule type="expression" dxfId="1787" priority="68">
      <formula>ABS(H$16-H$19)&gt;=1000</formula>
    </cfRule>
  </conditionalFormatting>
  <conditionalFormatting sqref="I13:I20">
    <cfRule type="expression" dxfId="1786" priority="67">
      <formula>ABS(I$16-I$19)&gt;=1000</formula>
    </cfRule>
  </conditionalFormatting>
  <conditionalFormatting sqref="J13:J20">
    <cfRule type="expression" dxfId="1785" priority="66">
      <formula>ABS(J$16-J$19)&gt;=1000</formula>
    </cfRule>
  </conditionalFormatting>
  <conditionalFormatting sqref="L13:L20">
    <cfRule type="expression" dxfId="1784" priority="65">
      <formula>ABS(L$16-L$19)&gt;=1000</formula>
    </cfRule>
  </conditionalFormatting>
  <conditionalFormatting sqref="M13 M15 M17:M18 M20">
    <cfRule type="expression" dxfId="1783" priority="64">
      <formula>ABS(M$16-M$19)&gt;=1000</formula>
    </cfRule>
  </conditionalFormatting>
  <conditionalFormatting sqref="N13:N20">
    <cfRule type="expression" dxfId="1782" priority="63">
      <formula>ABS(N$16-N$19)&gt;=1000</formula>
    </cfRule>
  </conditionalFormatting>
  <conditionalFormatting sqref="O13:O20">
    <cfRule type="expression" dxfId="1781" priority="62">
      <formula>ABS(O$16-O$19)&gt;=1000</formula>
    </cfRule>
  </conditionalFormatting>
  <conditionalFormatting sqref="P13:P20">
    <cfRule type="expression" dxfId="1780" priority="61">
      <formula>ABS(P$16-P$19)&gt;=1000</formula>
    </cfRule>
  </conditionalFormatting>
  <conditionalFormatting sqref="Q13 Q15:Q20">
    <cfRule type="expression" dxfId="1779" priority="60">
      <formula>ABS(Q$16-Q$19)&gt;=1000</formula>
    </cfRule>
  </conditionalFormatting>
  <conditionalFormatting sqref="R13:R20">
    <cfRule type="expression" dxfId="1778" priority="59">
      <formula>ABS(R$16-R$19)&gt;=1000</formula>
    </cfRule>
  </conditionalFormatting>
  <conditionalFormatting sqref="S13:S20">
    <cfRule type="expression" dxfId="1777" priority="58">
      <formula>ABS(S$16-S$19)&gt;=1000</formula>
    </cfRule>
  </conditionalFormatting>
  <conditionalFormatting sqref="T13:T20">
    <cfRule type="expression" dxfId="1776" priority="57">
      <formula>ABS(T$16-T$19)&gt;=1000</formula>
    </cfRule>
  </conditionalFormatting>
  <conditionalFormatting sqref="U13:U20">
    <cfRule type="expression" dxfId="1775" priority="56">
      <formula>ABS(U$16-U$19)&gt;=1000</formula>
    </cfRule>
  </conditionalFormatting>
  <conditionalFormatting sqref="V13:V20">
    <cfRule type="expression" dxfId="1774" priority="55">
      <formula>ABS(V$16-V$19)&gt;=1000</formula>
    </cfRule>
  </conditionalFormatting>
  <conditionalFormatting sqref="W13 W20 W15:W18">
    <cfRule type="expression" dxfId="1773" priority="54">
      <formula>ABS(W$16-W$19)&gt;=1000</formula>
    </cfRule>
  </conditionalFormatting>
  <conditionalFormatting sqref="X13 X15:X20 Y19">
    <cfRule type="expression" dxfId="1772" priority="53">
      <formula>ABS(X$16-X$19)&gt;=1000</formula>
    </cfRule>
  </conditionalFormatting>
  <conditionalFormatting sqref="Y13 Y15:Y18 Y20">
    <cfRule type="expression" dxfId="1771" priority="52">
      <formula>ABS(Y$16-Y$19)&gt;=1000</formula>
    </cfRule>
  </conditionalFormatting>
  <conditionalFormatting sqref="Z13:Z20">
    <cfRule type="expression" dxfId="1770" priority="51">
      <formula>ABS(Z$16-Z$19)&gt;=1000</formula>
    </cfRule>
  </conditionalFormatting>
  <conditionalFormatting sqref="AA13:AA20">
    <cfRule type="expression" dxfId="1769" priority="50">
      <formula>ABS(AA$16-AA$19)&gt;=1000</formula>
    </cfRule>
  </conditionalFormatting>
  <conditionalFormatting sqref="AB13 AB15:AB20">
    <cfRule type="expression" dxfId="1768" priority="49">
      <formula>ABS(AB$16-AB$19)&gt;=1000</formula>
    </cfRule>
  </conditionalFormatting>
  <conditionalFormatting sqref="AC13 AC15:AC20">
    <cfRule type="expression" dxfId="1767" priority="48">
      <formula>ABS(AC$16-AC$19)&gt;=1000</formula>
    </cfRule>
  </conditionalFormatting>
  <conditionalFormatting sqref="AD13:AD20">
    <cfRule type="expression" dxfId="1766" priority="47">
      <formula>ABS(AD$16-AD$19)&gt;=1000</formula>
    </cfRule>
  </conditionalFormatting>
  <conditionalFormatting sqref="AE13:AE20">
    <cfRule type="expression" dxfId="1765" priority="46">
      <formula>ABS(AE$16-AE$19)&gt;=1000</formula>
    </cfRule>
  </conditionalFormatting>
  <conditionalFormatting sqref="D22:D29">
    <cfRule type="expression" dxfId="1764" priority="45">
      <formula>ABS(D$25-D$28)&gt;=1000</formula>
    </cfRule>
  </conditionalFormatting>
  <conditionalFormatting sqref="E22:E29">
    <cfRule type="expression" dxfId="1763" priority="44">
      <formula>ABS(E$25-E$28)&gt;=1000</formula>
    </cfRule>
  </conditionalFormatting>
  <conditionalFormatting sqref="F22:F29">
    <cfRule type="expression" dxfId="1762" priority="43">
      <formula>ABS(F$25-F$28)&gt;=1000</formula>
    </cfRule>
  </conditionalFormatting>
  <conditionalFormatting sqref="G22:G29">
    <cfRule type="expression" dxfId="1761" priority="42">
      <formula>ABS(G$25-G$28)&gt;=1000</formula>
    </cfRule>
  </conditionalFormatting>
  <conditionalFormatting sqref="H22:H29">
    <cfRule type="expression" dxfId="1760" priority="41">
      <formula>ABS(H$25-H$28)&gt;=1000</formula>
    </cfRule>
  </conditionalFormatting>
  <conditionalFormatting sqref="I22 I24:I29">
    <cfRule type="expression" dxfId="1759" priority="40">
      <formula>ABS(I$25-I$28)&gt;=1000</formula>
    </cfRule>
  </conditionalFormatting>
  <conditionalFormatting sqref="J22:J29 K22">
    <cfRule type="expression" dxfId="1758" priority="39">
      <formula>ABS(J$25-J$28)&gt;=1000</formula>
    </cfRule>
  </conditionalFormatting>
  <conditionalFormatting sqref="K23:K29 L25 L28">
    <cfRule type="expression" dxfId="1757" priority="38">
      <formula>ABS(K$25-K$28)&gt;=1000</formula>
    </cfRule>
  </conditionalFormatting>
  <conditionalFormatting sqref="L22 L26:L27 L29 L24">
    <cfRule type="expression" dxfId="1756" priority="37">
      <formula>ABS(L$25-L$28)&gt;=1000</formula>
    </cfRule>
  </conditionalFormatting>
  <conditionalFormatting sqref="M22:M29">
    <cfRule type="expression" dxfId="1755" priority="36">
      <formula>ABS(M$25-M$28)&gt;=1000</formula>
    </cfRule>
  </conditionalFormatting>
  <conditionalFormatting sqref="N22:N29">
    <cfRule type="expression" dxfId="1754" priority="35">
      <formula>ABS(N$25-N$28)&gt;=1000</formula>
    </cfRule>
  </conditionalFormatting>
  <conditionalFormatting sqref="O22:O29">
    <cfRule type="expression" dxfId="1753" priority="34">
      <formula>ABS(O$25-O$28)&gt;=1000</formula>
    </cfRule>
  </conditionalFormatting>
  <conditionalFormatting sqref="P22:P29">
    <cfRule type="expression" dxfId="1752" priority="33">
      <formula>ABS(P$25-P$28)&gt;=1000</formula>
    </cfRule>
  </conditionalFormatting>
  <conditionalFormatting sqref="Q22:Q29">
    <cfRule type="expression" dxfId="1751" priority="32">
      <formula>ABS(Q$25-Q$28)&gt;=1000</formula>
    </cfRule>
  </conditionalFormatting>
  <conditionalFormatting sqref="R22:R29">
    <cfRule type="expression" dxfId="1750" priority="31">
      <formula>ABS(R$25-R$28)&gt;=1000</formula>
    </cfRule>
  </conditionalFormatting>
  <conditionalFormatting sqref="S22:S29">
    <cfRule type="expression" dxfId="1749" priority="30">
      <formula>ABS(S$25-S$28)&gt;=1000</formula>
    </cfRule>
  </conditionalFormatting>
  <conditionalFormatting sqref="T22:T29">
    <cfRule type="expression" dxfId="1748" priority="29">
      <formula>ABS(T$25-T$28)&gt;=1000</formula>
    </cfRule>
  </conditionalFormatting>
  <conditionalFormatting sqref="U22:U29">
    <cfRule type="expression" dxfId="1747" priority="28">
      <formula>ABS(U$25-U$28)&gt;=1000</formula>
    </cfRule>
  </conditionalFormatting>
  <conditionalFormatting sqref="V22:V29">
    <cfRule type="expression" dxfId="1746" priority="27">
      <formula>ABS(V$25-V$28)&gt;=1000</formula>
    </cfRule>
  </conditionalFormatting>
  <conditionalFormatting sqref="W22:W29">
    <cfRule type="expression" dxfId="1745" priority="26">
      <formula>ABS(W$25-W$28)&gt;=1000</formula>
    </cfRule>
  </conditionalFormatting>
  <conditionalFormatting sqref="X22:X29">
    <cfRule type="expression" dxfId="1744" priority="25">
      <formula>ABS(X$25-X$28)&gt;=1000</formula>
    </cfRule>
  </conditionalFormatting>
  <conditionalFormatting sqref="Y22:Y29">
    <cfRule type="expression" dxfId="1743" priority="24">
      <formula>ABS(Y$25-Y$28)&gt;=1000</formula>
    </cfRule>
  </conditionalFormatting>
  <conditionalFormatting sqref="I23">
    <cfRule type="expression" dxfId="1742" priority="23">
      <formula>ABS(I$25-I$28)&gt;=1000</formula>
    </cfRule>
  </conditionalFormatting>
  <conditionalFormatting sqref="Q14">
    <cfRule type="expression" dxfId="1741" priority="22">
      <formula>ABS(Q$16-Q$19)&gt;=1000</formula>
    </cfRule>
  </conditionalFormatting>
  <conditionalFormatting sqref="W14">
    <cfRule type="expression" dxfId="1740" priority="21">
      <formula>ABS(W$16-W$19)&gt;=1000</formula>
    </cfRule>
  </conditionalFormatting>
  <conditionalFormatting sqref="X14">
    <cfRule type="expression" dxfId="1739" priority="20">
      <formula>ABS(X$16-X$19)&gt;=1000</formula>
    </cfRule>
  </conditionalFormatting>
  <conditionalFormatting sqref="T10:Y10">
    <cfRule type="expression" dxfId="1738" priority="19">
      <formula>ABS(T$7-T$10)&gt;=1000</formula>
    </cfRule>
  </conditionalFormatting>
  <conditionalFormatting sqref="W19">
    <cfRule type="expression" dxfId="1737" priority="18">
      <formula>ABS(W$16-W$19)&gt;=1000</formula>
    </cfRule>
  </conditionalFormatting>
  <conditionalFormatting sqref="AC5">
    <cfRule type="expression" dxfId="1736" priority="17">
      <formula>ABS(AC$7-AC$10)&gt;=1000</formula>
    </cfRule>
  </conditionalFormatting>
  <conditionalFormatting sqref="M14">
    <cfRule type="expression" dxfId="1735" priority="16">
      <formula>ABS(M$16-M$19)&gt;=1000</formula>
    </cfRule>
  </conditionalFormatting>
  <conditionalFormatting sqref="M16">
    <cfRule type="expression" dxfId="1734" priority="15">
      <formula>ABS(M$16-M$19)&gt;=1000</formula>
    </cfRule>
  </conditionalFormatting>
  <conditionalFormatting sqref="M19">
    <cfRule type="expression" dxfId="1733" priority="14">
      <formula>ABS(M$16-M$19)&gt;=1000</formula>
    </cfRule>
  </conditionalFormatting>
  <conditionalFormatting sqref="K13:K20">
    <cfRule type="expression" dxfId="1732" priority="13">
      <formula>ABS(K$16-K$19)&gt;=1000</formula>
    </cfRule>
  </conditionalFormatting>
  <conditionalFormatting sqref="E5">
    <cfRule type="expression" dxfId="1731" priority="12">
      <formula>ABS(E$7-E$10)&gt;=1000</formula>
    </cfRule>
  </conditionalFormatting>
  <conditionalFormatting sqref="AB14:AC14">
    <cfRule type="expression" dxfId="1730" priority="11">
      <formula>ABS(AB$16-AB$19)&gt;=1000</formula>
    </cfRule>
  </conditionalFormatting>
  <conditionalFormatting sqref="M5">
    <cfRule type="expression" dxfId="1729" priority="10">
      <formula>ABS(M$7-M$10)&gt;=1000</formula>
    </cfRule>
  </conditionalFormatting>
  <conditionalFormatting sqref="N5">
    <cfRule type="expression" dxfId="1728" priority="9">
      <formula>ABS(N$7-N$10)&gt;=1000</formula>
    </cfRule>
  </conditionalFormatting>
  <conditionalFormatting sqref="O5">
    <cfRule type="expression" dxfId="1727" priority="8">
      <formula>ABS(O$7-O$10)&gt;=1000</formula>
    </cfRule>
  </conditionalFormatting>
  <conditionalFormatting sqref="P5">
    <cfRule type="expression" dxfId="1726" priority="7">
      <formula>ABS(P$7-P$10)&gt;=1000</formula>
    </cfRule>
  </conditionalFormatting>
  <conditionalFormatting sqref="L23">
    <cfRule type="expression" dxfId="1725" priority="6">
      <formula>ABS(L$25-L$28)&gt;=1000</formula>
    </cfRule>
  </conditionalFormatting>
  <conditionalFormatting sqref="Y14">
    <cfRule type="expression" dxfId="1724" priority="5">
      <formula>ABS(Y$16-Y$19)&gt;=1000</formula>
    </cfRule>
  </conditionalFormatting>
  <conditionalFormatting sqref="F14">
    <cfRule type="expression" dxfId="1723" priority="4">
      <formula>ABS(F$16-F$19)&gt;=1000</formula>
    </cfRule>
  </conditionalFormatting>
  <conditionalFormatting sqref="H14">
    <cfRule type="expression" dxfId="1722" priority="3">
      <formula>ABS(H$16-H$19)&gt;=1000</formula>
    </cfRule>
  </conditionalFormatting>
  <conditionalFormatting sqref="AD5">
    <cfRule type="expression" dxfId="1721" priority="2">
      <formula>ABS(AD$7-AD$10)&gt;=1000</formula>
    </cfRule>
  </conditionalFormatting>
  <conditionalFormatting sqref="AE5">
    <cfRule type="expression" dxfId="172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2214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66">
    <pageSetUpPr fitToPage="1"/>
  </sheetPr>
  <dimension ref="A1:CU223"/>
  <sheetViews>
    <sheetView view="pageBreakPreview" topLeftCell="A7" zoomScale="70" zoomScaleNormal="100" zoomScaleSheetLayoutView="70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2" t="s" ph="1">
        <v>161</v>
      </c>
      <c r="C1" s="182" ph="1"/>
      <c r="D1" s="182" ph="1"/>
      <c r="E1" s="182" ph="1"/>
      <c r="F1" s="182" ph="1"/>
      <c r="G1" s="182" ph="1"/>
      <c r="H1" s="182" ph="1"/>
      <c r="I1" s="182" ph="1"/>
      <c r="J1" s="182" ph="1"/>
      <c r="K1" s="182" ph="1"/>
      <c r="L1" s="182" ph="1"/>
      <c r="M1" s="182" ph="1"/>
      <c r="N1" s="182" ph="1"/>
      <c r="O1" s="182" ph="1"/>
      <c r="P1" s="182" ph="1"/>
      <c r="Q1" s="182" ph="1"/>
      <c r="R1" s="182" ph="1"/>
      <c r="S1" s="182" ph="1"/>
      <c r="T1" s="182" ph="1"/>
      <c r="U1" s="182" ph="1"/>
      <c r="V1" s="182" ph="1"/>
      <c r="W1" s="182" ph="1"/>
      <c r="X1" s="182" ph="1"/>
      <c r="Y1" s="182" ph="1"/>
      <c r="Z1" s="182" ph="1"/>
      <c r="AA1" s="182" ph="1"/>
      <c r="AB1" s="182" ph="1"/>
      <c r="AC1" s="182" ph="1"/>
      <c r="AD1" s="182" ph="1"/>
      <c r="AE1" s="182" ph="1"/>
    </row>
    <row r="2" spans="1:99" s="66" customFormat="1" ht="24" customHeight="1" ph="1">
      <c r="B2" s="183" t="s" ph="1">
        <v>82</v>
      </c>
      <c r="C2" s="183" ph="1"/>
      <c r="D2" s="183" ph="1"/>
      <c r="E2" s="183" ph="1"/>
      <c r="F2" s="183" ph="1"/>
      <c r="G2" s="183" ph="1"/>
      <c r="H2" s="183" ph="1"/>
      <c r="I2" s="183" ph="1"/>
      <c r="J2" s="183" ph="1"/>
      <c r="K2" s="183" ph="1"/>
      <c r="L2" s="183" ph="1"/>
      <c r="M2" s="183" ph="1"/>
      <c r="N2" s="183" ph="1"/>
      <c r="O2" s="183" ph="1"/>
      <c r="P2" s="183" ph="1"/>
      <c r="Q2" s="183" ph="1"/>
      <c r="R2" s="183" ph="1"/>
      <c r="S2" s="183" ph="1"/>
      <c r="T2" s="183" ph="1"/>
      <c r="U2" s="183" ph="1"/>
      <c r="V2" s="183" ph="1"/>
      <c r="W2" s="183" ph="1"/>
      <c r="X2" s="183" ph="1"/>
      <c r="Y2" s="183" ph="1"/>
      <c r="Z2" s="183" ph="1"/>
      <c r="AA2" s="183" ph="1"/>
      <c r="AB2" s="183" ph="1"/>
      <c r="AC2" s="183" ph="1"/>
      <c r="AD2" s="183" ph="1"/>
      <c r="AE2" s="183" ph="1"/>
    </row>
    <row r="3" spans="1:99" ht="21" customHeight="1" ph="1">
      <c r="B3" s="184" ph="1">
        <v>46126</v>
      </c>
      <c r="C3" s="184"/>
      <c r="D3" s="184"/>
      <c r="E3" s="184"/>
      <c r="F3" s="184"/>
      <c r="G3" s="184"/>
      <c r="H3" s="184"/>
      <c r="I3" s="184"/>
      <c r="J3" s="184"/>
      <c r="K3" s="184"/>
      <c r="L3" s="184"/>
      <c r="M3" s="184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</row>
    <row r="4" spans="1:99" s="69" customFormat="1" ph="1">
      <c r="A4" s="65" ph="1"/>
      <c r="B4" s="185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5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1" ph="1">
        <v>0.33333333333333331</v>
      </c>
      <c r="C6" s="151" t="s" ph="1">
        <v>177</v>
      </c>
      <c r="D6" s="71">
        <v>3631</v>
      </c>
      <c r="E6" s="71">
        <v>6967</v>
      </c>
      <c r="F6" s="71">
        <v>5833</v>
      </c>
      <c r="G6" s="71">
        <v>9244</v>
      </c>
      <c r="H6" s="71">
        <v>6600</v>
      </c>
      <c r="I6" s="71">
        <v>10.199999999999999</v>
      </c>
      <c r="J6" s="71">
        <v>22.8</v>
      </c>
      <c r="K6" s="71">
        <v>62.86</v>
      </c>
      <c r="L6" s="71">
        <v>25.43</v>
      </c>
      <c r="M6" s="71">
        <v>1099</v>
      </c>
      <c r="N6" s="71">
        <v>3988</v>
      </c>
      <c r="O6" s="71">
        <v>2988</v>
      </c>
      <c r="P6" s="71">
        <v>249</v>
      </c>
      <c r="Q6" s="71">
        <v>7168</v>
      </c>
      <c r="R6" s="71">
        <v>4784</v>
      </c>
      <c r="S6" s="71">
        <v>2710</v>
      </c>
      <c r="T6" s="71">
        <v>0</v>
      </c>
      <c r="U6" s="71">
        <v>0</v>
      </c>
      <c r="V6" s="71">
        <v>0</v>
      </c>
      <c r="W6" s="71">
        <v>0</v>
      </c>
      <c r="X6" s="71">
        <v>0</v>
      </c>
      <c r="Y6" s="71">
        <v>0</v>
      </c>
      <c r="Z6" s="71">
        <v>2816</v>
      </c>
      <c r="AA6" s="71">
        <v>4216</v>
      </c>
      <c r="AB6" s="71">
        <v>1866</v>
      </c>
      <c r="AC6" s="71">
        <v>8751</v>
      </c>
      <c r="AD6" s="71">
        <v>2810</v>
      </c>
      <c r="AE6" s="71">
        <v>3870</v>
      </c>
    </row>
    <row r="7" spans="1:99" s="72" customFormat="1" ht="22.2" ph="1">
      <c r="B7" s="181" ph="1"/>
      <c r="C7" s="68" t="s" ph="1">
        <v>178</v>
      </c>
      <c r="D7" s="73" ph="1">
        <f>D6*33.183*LOOKUP(D8,密度!$A$2:$A$50,密度!$Q$2:$Q$50)</f>
        <v>113984.76408219</v>
      </c>
      <c r="E7" s="73" ph="1">
        <f>E6*51.53*LOOKUP(E8,密度!$A$2:$A$50,密度!$B$2:$B$50)</f>
        <v>280206.922555</v>
      </c>
      <c r="F7" s="73" ph="1">
        <f>F6*33.183*LOOKUP(F8,密度!$A$2:$A$50,密度!$C$2:$C$50)</f>
        <v>214770.22471439998</v>
      </c>
      <c r="G7" s="73" ph="1">
        <f xml:space="preserve"> (G6+2)*51.53*LOOKUP(G8,密度!$A$2:$A$50,密度!$B$2:$B$50)</f>
        <v>371437.597848</v>
      </c>
      <c r="H7" s="73" ph="1">
        <f>(H6)*51.53*LOOKUP(H8,密度!$A$2:$A$50,密度!$B$2:$B$50)</f>
        <v>266364.7536</v>
      </c>
      <c r="I7" s="73" ph="1">
        <f>I6*290.8*1.0267</f>
        <v>3045.3564719999995</v>
      </c>
      <c r="J7" s="73" ph="1">
        <f>J6*290.8*0.7892</f>
        <v>5232.5854080000008</v>
      </c>
      <c r="K7" s="73" ph="1">
        <f>K6*290.8*1.1126</f>
        <v>20337.980868800001</v>
      </c>
      <c r="L7" s="73" ph="1">
        <f>L6*290.8*0.777</f>
        <v>5745.9491880000005</v>
      </c>
      <c r="M7" s="73" ph="1">
        <f>M6*33.183*LOOKUP(M8,密度!$A$2:$A$50,密度!$D$2:$D$50)</f>
        <v>37408.994418599999</v>
      </c>
      <c r="N7" s="73" ph="1">
        <f>N6*33.183*LOOKUP(N8,密度!$A$2:$A$50,密度!$E$2:$E$50)</f>
        <v>103193.90035920001</v>
      </c>
      <c r="O7" s="73" ph="1">
        <f>O6*20.428*LOOKUP(O8,密度!$A$2:$A$50,密度!$C$2:$C$50)</f>
        <v>67454.0486064</v>
      </c>
      <c r="P7" s="73" ph="1">
        <f>P6*51.53*LOOKUP(P8,密度!$A$2:$A$50,密度!$B$2:$B$50)</f>
        <v>10037.667831000001</v>
      </c>
      <c r="Q7" s="73" ph="1">
        <f>Q6*1.5*1.5*3.1416*LOOKUP(W8,密度!$A$2:$A$50,密度!$L$2:$L$50)</f>
        <v>47526.325862399994</v>
      </c>
      <c r="R7" s="73" ph="1">
        <f>R6*1.5*1.5*3.1416*LOOKUP(R8,密度!$A$2:$A$50,密度!$L$2:$L$50)</f>
        <v>31482.8658144</v>
      </c>
      <c r="S7" s="73" ph="1">
        <f>S6*1.5*1.5*3.1416*LOOKUP(S8,密度!$A$2:$A$50,密度!$L$2:$L$50)</f>
        <v>18025.707545999998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87836.728319999995</v>
      </c>
      <c r="AA7" s="73" ph="1">
        <f>AA6*33.183*LOOKUP(AA8,密度!$A$2:$A$50,密度!$D$2:$D$50)</f>
        <v>143634.84539759997</v>
      </c>
      <c r="AB7" s="73" ph="1">
        <f>AB6*20.428*LOOKUP(AB8,密度!$A$2:$A$50,密度!$D$2:$D$50)</f>
        <v>39346.068465600001</v>
      </c>
      <c r="AC7" s="73" ph="1">
        <f>AC6*51.53*LOOKUP(AC8,密度!$A$2:$A$50,密度!$Q$2:$Q$50)</f>
        <v>427251.20275410003</v>
      </c>
      <c r="AD7" s="73" ph="1">
        <f>AD6*20.428*LOOKUP(AD8,密度!$A$2:$A$50,密度!$V$2:$V$50)</f>
        <v>55152.494943999998</v>
      </c>
      <c r="AE7" s="73" ph="1">
        <f>AE6*20.428</f>
        <v>79056.36</v>
      </c>
    </row>
    <row r="8" spans="1:99" ph="1">
      <c r="B8" s="181" ph="1"/>
      <c r="C8" s="68" t="s" ph="1">
        <v>179</v>
      </c>
      <c r="D8" s="74">
        <v>26</v>
      </c>
      <c r="E8" s="74">
        <v>24</v>
      </c>
      <c r="F8" s="74">
        <v>24</v>
      </c>
      <c r="G8" s="74">
        <v>25</v>
      </c>
      <c r="H8" s="74">
        <v>21</v>
      </c>
      <c r="I8" s="74">
        <v>25</v>
      </c>
      <c r="J8" s="74">
        <v>25</v>
      </c>
      <c r="K8" s="74">
        <v>25</v>
      </c>
      <c r="L8" s="74">
        <v>25</v>
      </c>
      <c r="M8" s="74">
        <v>26</v>
      </c>
      <c r="N8" s="74">
        <v>28</v>
      </c>
      <c r="O8" s="74">
        <v>30</v>
      </c>
      <c r="P8" s="74">
        <v>22</v>
      </c>
      <c r="Q8" s="74">
        <v>27</v>
      </c>
      <c r="R8" s="74">
        <v>31</v>
      </c>
      <c r="S8" s="74">
        <v>21</v>
      </c>
      <c r="T8" s="74">
        <v>20</v>
      </c>
      <c r="U8" s="74">
        <v>24</v>
      </c>
      <c r="V8" s="74">
        <v>28</v>
      </c>
      <c r="W8" s="74">
        <v>24</v>
      </c>
      <c r="X8" s="74">
        <v>15</v>
      </c>
      <c r="Y8" s="74">
        <v>23</v>
      </c>
      <c r="Z8" s="74">
        <v>22</v>
      </c>
      <c r="AA8" s="74">
        <v>25</v>
      </c>
      <c r="AB8" s="74">
        <v>19</v>
      </c>
      <c r="AC8" s="74">
        <v>24</v>
      </c>
      <c r="AD8" s="74">
        <v>23</v>
      </c>
      <c r="AE8" s="74">
        <v>25</v>
      </c>
    </row>
    <row r="9" spans="1:99" ht="26.4" ph="1">
      <c r="B9" s="181" ph="1">
        <v>0.66666666666666663</v>
      </c>
      <c r="C9" s="151" t="s" ph="1">
        <v>180</v>
      </c>
      <c r="D9" s="71">
        <v>3631</v>
      </c>
      <c r="E9" s="71">
        <v>6967</v>
      </c>
      <c r="F9" s="71">
        <v>5837</v>
      </c>
      <c r="G9" s="71">
        <v>9254</v>
      </c>
      <c r="H9" s="71">
        <v>6607</v>
      </c>
      <c r="I9" s="71">
        <v>10.17</v>
      </c>
      <c r="J9" s="71">
        <v>6.43</v>
      </c>
      <c r="K9" s="71">
        <v>57.87</v>
      </c>
      <c r="L9" s="71">
        <v>48.22</v>
      </c>
      <c r="M9" s="71">
        <v>1097</v>
      </c>
      <c r="N9" s="71">
        <v>4138</v>
      </c>
      <c r="O9" s="71">
        <v>3789</v>
      </c>
      <c r="P9" s="71">
        <v>240</v>
      </c>
      <c r="Q9" s="71">
        <v>2707</v>
      </c>
      <c r="R9" s="71">
        <v>6744</v>
      </c>
      <c r="S9" s="71">
        <v>2715</v>
      </c>
      <c r="T9" s="71">
        <v>2671</v>
      </c>
      <c r="U9" s="71">
        <v>2576</v>
      </c>
      <c r="V9" s="71">
        <v>0</v>
      </c>
      <c r="W9" s="71">
        <v>0</v>
      </c>
      <c r="X9" s="71">
        <v>0</v>
      </c>
      <c r="Y9" s="71">
        <v>0</v>
      </c>
      <c r="Z9" s="71">
        <v>3500</v>
      </c>
      <c r="AA9" s="71">
        <v>4223</v>
      </c>
      <c r="AB9" s="71">
        <v>1633</v>
      </c>
      <c r="AC9" s="71">
        <v>8758</v>
      </c>
      <c r="AD9" s="71">
        <v>2810</v>
      </c>
      <c r="AE9" s="71">
        <v>3843</v>
      </c>
    </row>
    <row r="10" spans="1:99" s="72" customFormat="1" ht="22.2" ph="1">
      <c r="B10" s="181" ph="1"/>
      <c r="C10" s="151" t="s" ph="1">
        <v>178</v>
      </c>
      <c r="D10" s="73" ph="1">
        <f>D9*33.183*LOOKUP(D11,密度!$A$2:$A$50,密度!$Q$2:$Q$50)</f>
        <v>113899.21797636</v>
      </c>
      <c r="E10" s="73" ph="1">
        <f>E9*51.53*LOOKUP(E11,密度!$A$2:$A$50,密度!$B$2:$B$50)</f>
        <v>278016.96454399999</v>
      </c>
      <c r="F10" s="73" ph="1">
        <f>F9*33.183*LOOKUP(F11,密度!$A$2:$A$50,密度!$C$2:$C$50)</f>
        <v>214626.97038510002</v>
      </c>
      <c r="G10" s="73" ph="1">
        <f xml:space="preserve"> (G9+2)*51.53*LOOKUP(G11,密度!$A$2:$A$50,密度!$B$2:$B$50)</f>
        <v>369788.39050400001</v>
      </c>
      <c r="H10" s="73" ph="1">
        <f>(H9)*51.53*LOOKUP(H11,密度!$A$2:$A$50,密度!$B$2:$B$50)</f>
        <v>263651.22502399998</v>
      </c>
      <c r="I10" s="73" ph="1">
        <f>I9*290.8*1.0267</f>
        <v>3036.3995411999999</v>
      </c>
      <c r="J10" s="73" ph="1">
        <f>J9*290.8*0.7892</f>
        <v>1475.6808848000001</v>
      </c>
      <c r="K10" s="73" ph="1">
        <f>K9*290.8*1.1126</f>
        <v>18723.495909600002</v>
      </c>
      <c r="L10" s="73" ph="1">
        <f>L9*290.8*0.777</f>
        <v>10895.386152000001</v>
      </c>
      <c r="M10" s="73" ph="1">
        <f>M9*33.183*LOOKUP(M11,密度!$A$2:$A$50,密度!$D$2:$D$50)</f>
        <v>37137.066370199995</v>
      </c>
      <c r="N10" s="73" ph="1">
        <f>N9*33.183*LOOKUP(N11,密度!$A$2:$A$50,密度!$E$2:$E$50)</f>
        <v>106773.23111039998</v>
      </c>
      <c r="O10" s="73" ph="1">
        <f>O9*20.428*LOOKUP(O11,密度!$A$2:$A$50,密度!$C$2:$C$50)</f>
        <v>85134.121030800015</v>
      </c>
      <c r="P10" s="73" ph="1">
        <f>P9*51.53*LOOKUP(P11,密度!$A$2:$A$50,密度!$B$2:$B$50)</f>
        <v>9556.1354400000018</v>
      </c>
      <c r="Q10" s="73" ph="1">
        <f>Q9*1.5*1.5*3.1416*LOOKUP(W11,密度!$A$2:$A$50,密度!$L$2:$L$50)</f>
        <v>17661.3282846</v>
      </c>
      <c r="R10" s="73" ph="1">
        <f>R9*1.5*1.5*3.1416*LOOKUP(R11,密度!$A$2:$A$50,密度!$L$2:$L$50)</f>
        <v>44286.023073600001</v>
      </c>
      <c r="S10" s="73" ph="1">
        <f>S9*1.5*1.5*3.1416*LOOKUP(S11,密度!$A$2:$A$50,密度!$L$2:$L$50)</f>
        <v>18020.582811</v>
      </c>
      <c r="T10" s="73" ph="1">
        <f>T9*1.5*1.5*3.1416*LOOKUP(T11,密度!$A$2:$A$50,密度!$L$2:$L$50)</f>
        <v>17766.296994599998</v>
      </c>
      <c r="U10" s="73" ph="1">
        <f>U9*1.5*1.5*3.1416*LOOKUP(U11,密度!$A$2:$A$50,密度!$L$2:$L$50)</f>
        <v>17043.355929599998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108591.36750000001</v>
      </c>
      <c r="AA10" s="73" ph="1">
        <f>AA9*33.183*LOOKUP(AA11,密度!$A$2:$A$50,密度!$D$2:$D$50)</f>
        <v>142962.47154180001</v>
      </c>
      <c r="AB10" s="73" ph="1">
        <f>AB9*20.428*LOOKUP(AB11,密度!$A$2:$A$50,密度!$D$2:$D$50)</f>
        <v>34312.989226400001</v>
      </c>
      <c r="AC10" s="73" ph="1">
        <f>AC9*51.53*LOOKUP(AC11,密度!$A$2:$A$50,密度!$Q$2:$Q$50)</f>
        <v>425995.36357819999</v>
      </c>
      <c r="AD10" s="73" ph="1">
        <f>AD9*20.428*LOOKUP(AD11,密度!$A$2:$A$50,密度!$V$2:$V$50)</f>
        <v>54968.806367999998</v>
      </c>
      <c r="AE10" s="73" ph="1">
        <f>AE9*20.428</f>
        <v>78504.804000000004</v>
      </c>
    </row>
    <row r="11" spans="1:99" ph="1">
      <c r="A11" s="64" t="s" ph="1">
        <v>162</v>
      </c>
      <c r="B11" s="181" ph="1"/>
      <c r="C11" s="151" t="s" ph="1">
        <v>179</v>
      </c>
      <c r="D11" s="74">
        <v>27</v>
      </c>
      <c r="E11" s="74">
        <v>31</v>
      </c>
      <c r="F11" s="74">
        <v>26</v>
      </c>
      <c r="G11" s="74">
        <v>30</v>
      </c>
      <c r="H11" s="74">
        <v>31</v>
      </c>
      <c r="I11" s="74">
        <v>25</v>
      </c>
      <c r="J11" s="74">
        <v>25</v>
      </c>
      <c r="K11" s="74">
        <v>25</v>
      </c>
      <c r="L11" s="74">
        <v>25</v>
      </c>
      <c r="M11" s="74">
        <v>32</v>
      </c>
      <c r="N11" s="74">
        <v>30</v>
      </c>
      <c r="O11" s="74">
        <v>35</v>
      </c>
      <c r="P11" s="74">
        <v>33</v>
      </c>
      <c r="Q11" s="74">
        <v>31</v>
      </c>
      <c r="R11" s="74">
        <v>33</v>
      </c>
      <c r="S11" s="74">
        <v>23</v>
      </c>
      <c r="T11" s="74">
        <v>21</v>
      </c>
      <c r="U11" s="74">
        <v>26</v>
      </c>
      <c r="V11" s="74">
        <v>28</v>
      </c>
      <c r="W11" s="74">
        <v>39</v>
      </c>
      <c r="X11" s="74">
        <v>27</v>
      </c>
      <c r="Y11" s="74">
        <v>31</v>
      </c>
      <c r="Z11" s="74">
        <v>27</v>
      </c>
      <c r="AA11" s="74">
        <v>32</v>
      </c>
      <c r="AB11" s="74">
        <v>23</v>
      </c>
      <c r="AC11" s="74">
        <v>29</v>
      </c>
      <c r="AD11" s="74">
        <v>30</v>
      </c>
      <c r="AE11" s="74">
        <v>29</v>
      </c>
    </row>
    <row r="12" spans="1:99" ht="9.9" customHeight="1" ph="1"/>
    <row r="13" spans="1:99" s="72" customFormat="1" ht="29.25" customHeight="1" ph="1">
      <c r="B13" s="189" t="s" ph="1">
        <v>37</v>
      </c>
      <c r="C13" s="151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0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639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1" ph="1">
        <v>0.33333333333333331</v>
      </c>
      <c r="C15" s="151" t="s" ph="1">
        <v>177</v>
      </c>
      <c r="D15" s="78">
        <v>0</v>
      </c>
      <c r="E15" s="78">
        <v>2571</v>
      </c>
      <c r="F15" s="78">
        <v>3483</v>
      </c>
      <c r="G15" s="78">
        <v>3662</v>
      </c>
      <c r="H15" s="78">
        <v>4099</v>
      </c>
      <c r="I15" s="78">
        <v>4639</v>
      </c>
      <c r="J15" s="78">
        <v>2483</v>
      </c>
      <c r="K15" s="78">
        <v>5015</v>
      </c>
      <c r="L15" s="78">
        <v>1844</v>
      </c>
      <c r="M15" s="78">
        <v>7194</v>
      </c>
      <c r="N15" s="78">
        <v>571</v>
      </c>
      <c r="O15" s="78">
        <v>5011</v>
      </c>
      <c r="P15" s="78">
        <v>1106</v>
      </c>
      <c r="Q15" s="78">
        <v>1280</v>
      </c>
      <c r="R15" s="78">
        <v>7421</v>
      </c>
      <c r="S15" s="78">
        <v>0</v>
      </c>
      <c r="T15" s="78">
        <v>5404</v>
      </c>
      <c r="U15" s="78">
        <v>1723</v>
      </c>
      <c r="V15" s="78">
        <v>1632</v>
      </c>
      <c r="W15" s="71">
        <v>-172</v>
      </c>
      <c r="X15" s="78">
        <v>-142</v>
      </c>
      <c r="Y15" s="106">
        <v>-9905</v>
      </c>
      <c r="Z15" s="78">
        <v>0</v>
      </c>
      <c r="AA15" s="78">
        <v>379</v>
      </c>
      <c r="AB15" s="78" ph="1">
        <v>403</v>
      </c>
      <c r="AC15" s="78" ph="1">
        <v>2506</v>
      </c>
      <c r="AD15" s="78">
        <v>55.64</v>
      </c>
      <c r="AE15" s="78">
        <v>5.8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2" ph="1"/>
      <c r="C16" s="151" t="s" ph="1">
        <v>178</v>
      </c>
      <c r="D16" s="73" ph="1">
        <f>D15*7.0686*LOOKUP(D17,密度!$A$2:$A$50,密度!$L$2:$L$50)</f>
        <v>0</v>
      </c>
      <c r="E16" s="73" ph="1">
        <f>E15*7.0686*LOOKUP(E17,密度!$A$2:$A$50,密度!$L$2:$L$50)</f>
        <v>17064.794993399999</v>
      </c>
      <c r="F16" s="73" ph="1">
        <f>F15*9.0746*LOOKUP(F17,密度!$A$2:$A$50,密度!$L$2:$L$50)</f>
        <v>29299.533078600001</v>
      </c>
      <c r="G16" s="73" ph="1">
        <f>G15*9.0746*LOOKUP(G17,密度!$A$2:$A$50,密度!$B$2:$B$50)</f>
        <v>25907.031981919998</v>
      </c>
      <c r="H16" s="73" ph="1">
        <f>H15*9.0746*LOOKUP(H17,密度!$A$2:$A$50,密度!$L$2:$L$50)</f>
        <v>34964.978276000002</v>
      </c>
      <c r="I16" s="73" ph="1">
        <f>I15*9.0746*LOOKUP(I17,密度!$A$2:$A$50,密度!$U$2:$U$50)</f>
        <v>43191.5932044</v>
      </c>
      <c r="J16" s="73" ph="1">
        <f>J15*9.0746*LOOKUP(J17,密度!$A$2:$A$50,密度!$L$2:$L$50)</f>
        <v>21090.168964800003</v>
      </c>
      <c r="K16" s="73" ph="1">
        <f>K15*9.0746*LOOKUP(K17,密度!$A$2:$A$50,密度!$C$2:$C$50)</f>
        <v>50465.062059099997</v>
      </c>
      <c r="L16" s="73" ph="1">
        <f>L15*9.0746*LOOKUP(L17,密度!$A$2:$A$50,密度!$E$2:$E$50)</f>
        <v>13087.31915304</v>
      </c>
      <c r="M16" s="73" ph="1">
        <f>M15*9.0746*LOOKUP(M17,密度!$A$2:$A$50,密度!$M$2:$M$50)</f>
        <v>56998.301272440003</v>
      </c>
      <c r="N16" s="73" ph="1">
        <f>N15*9.0746*LOOKUP(N17,密度!$A$2:$A$50,密度!$M$2:$M$50)</f>
        <v>4549.4418147999995</v>
      </c>
      <c r="O16" s="73" ph="1">
        <f>O15*9.0746*LOOKUP(O17,密度!$A$2:$A$50,密度!$G$2:$G$50)</f>
        <v>43608.4349554</v>
      </c>
      <c r="P16" s="73" ph="1">
        <f ca="1">P15*9.0746*LOOKUP(P17,密度!$A$2:$A$51,密度!$Q$2:$Q$50)</f>
        <v>9516.6165063200006</v>
      </c>
      <c r="Q16" s="73" ph="1">
        <f>Q15*9.0746*LOOKUP(Q17,密度!$A$2:$A$50,密度!$Q$2:$Q$50)</f>
        <v>11005.326415360001</v>
      </c>
      <c r="R16" s="73" ph="1">
        <f>MAX(R15*9.0746*LOOKUP(R17,密度!$A$2:$A$50,密度!$B$2:$B$50),0)</f>
        <v>52439.687759419998</v>
      </c>
      <c r="S16" s="73" ph="1">
        <f>S15*9.0746*LOOKUP(S17,密度!$A$2:$A$50,密度!$Q$2:$Q$50)</f>
        <v>0</v>
      </c>
      <c r="T16" s="73" ph="1">
        <f>T15*9.0746*LOOKUP(T17,密度!$A$2:$A$50,密度!$O$2:$O$50)</f>
        <v>45410.242158400004</v>
      </c>
      <c r="U16" s="73" ph="1">
        <f>U15*9.0746*LOOKUP(U17,密度!$A$2:$A$50,密度!$H$2:$H$50)</f>
        <v>14317.46013206</v>
      </c>
      <c r="V16" s="73" ph="1">
        <f>MAX(5600*LOOKUP(V17,密度!$A$2:$A$50,密度!$Q$2:$Q$50)+V15*9.0476*LOOKUP(V17,密度!$A$2:$A$50,密度!$Q$2:$Q$50),0)</f>
        <v>19252.087642623999</v>
      </c>
      <c r="W16" s="73" ph="1">
        <f>MAX(5600*LOOKUP(W17,密度!$A$2:$A$50,密度!$Q$2:$Q$50)+W15*9.0476*LOOKUP(W17,密度!$A$2:$A$50,密度!$Q$2:$Q$50),0)</f>
        <v>3825.5682231840001</v>
      </c>
      <c r="X16" s="73" ph="1">
        <f>MAX(5600*LOOKUP(X17,密度!$A$2:$A$50,密度!$I$2:$I$50)+X15*9.0476*LOOKUP(X17,密度!$A$2:$A$50,密度!$I$2:$I$50),0)</f>
        <v>4488.2819560799999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2687.4482347600001</v>
      </c>
      <c r="AB16" s="73" ph="1">
        <f>AB15*9.0746*LOOKUP(AB17,密度!$A$2:$A$50,密度!$L$2:$L$50)</f>
        <v>3430.3258443999998</v>
      </c>
      <c r="AC16" s="73" ph="1">
        <f>AC15*9.0746*LOOKUP(AC17,密度!$A$2:$A$50,密度!$L$2:$L$50)</f>
        <v>21308.267901200001</v>
      </c>
      <c r="AD16" s="73" ph="1">
        <f>AD15*268.68*LOOKUP(AD17,密度!$A$2:$A$50,密度!B2:B50)+IF(AD15&lt;=0,0,1566*LOOKUP(AD17,密度!$A$2:$A$50,密度!B2:B50))</f>
        <v>12875.37091392</v>
      </c>
      <c r="AE16" s="73" ph="1">
        <f>AE15*268.68*LOOKUP(AE17,密度!$A$2:$A$50,密度!B2:B50)+IF(AE15&lt;=0,0,1566*LOOKUP(AE17,密度!$A$2:$A$50,密度!B2:B50))</f>
        <v>2435.7385823999998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3" ph="1"/>
      <c r="C17" s="79" t="s" ph="1">
        <v>179</v>
      </c>
      <c r="D17" s="74">
        <v>23</v>
      </c>
      <c r="E17" s="74">
        <v>23</v>
      </c>
      <c r="F17" s="74">
        <v>35</v>
      </c>
      <c r="G17" s="74">
        <v>25</v>
      </c>
      <c r="H17" s="74">
        <v>22</v>
      </c>
      <c r="I17" s="74">
        <v>24</v>
      </c>
      <c r="J17" s="74">
        <v>26</v>
      </c>
      <c r="K17" s="74">
        <v>25</v>
      </c>
      <c r="L17" s="74">
        <v>26</v>
      </c>
      <c r="M17" s="74">
        <v>27</v>
      </c>
      <c r="N17" s="74">
        <v>22</v>
      </c>
      <c r="O17" s="74">
        <v>26</v>
      </c>
      <c r="P17" s="74">
        <v>23</v>
      </c>
      <c r="Q17" s="74">
        <v>24</v>
      </c>
      <c r="R17" s="74">
        <v>26</v>
      </c>
      <c r="S17" s="74">
        <v>23</v>
      </c>
      <c r="T17" s="74">
        <v>25</v>
      </c>
      <c r="U17" s="74">
        <v>24</v>
      </c>
      <c r="V17" s="74">
        <v>27</v>
      </c>
      <c r="W17" s="74">
        <v>26</v>
      </c>
      <c r="X17" s="74">
        <v>27</v>
      </c>
      <c r="Y17" s="108">
        <v>27</v>
      </c>
      <c r="Z17" s="74">
        <v>24</v>
      </c>
      <c r="AA17" s="74">
        <v>23</v>
      </c>
      <c r="AB17" s="74">
        <v>24</v>
      </c>
      <c r="AC17" s="74">
        <v>25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1" ph="1">
        <v>0.66666666666666663</v>
      </c>
      <c r="C18" s="79" t="s" ph="1">
        <v>180</v>
      </c>
      <c r="D18" s="71">
        <v>0</v>
      </c>
      <c r="E18" s="71">
        <v>4802</v>
      </c>
      <c r="F18" s="71">
        <v>3481</v>
      </c>
      <c r="G18" s="71">
        <v>3749</v>
      </c>
      <c r="H18" s="71">
        <v>4101</v>
      </c>
      <c r="I18" s="71">
        <v>2723</v>
      </c>
      <c r="J18" s="71">
        <v>2535</v>
      </c>
      <c r="K18" s="71">
        <v>5018</v>
      </c>
      <c r="L18" s="71">
        <v>5112</v>
      </c>
      <c r="M18" s="71">
        <v>6203</v>
      </c>
      <c r="N18" s="71">
        <v>1358</v>
      </c>
      <c r="O18" s="71">
        <v>5017</v>
      </c>
      <c r="P18" s="71">
        <v>1105</v>
      </c>
      <c r="Q18" s="71">
        <v>1283</v>
      </c>
      <c r="R18" s="71">
        <v>7429</v>
      </c>
      <c r="S18" s="71">
        <v>0</v>
      </c>
      <c r="T18" s="71">
        <v>5408</v>
      </c>
      <c r="U18" s="71">
        <v>1722</v>
      </c>
      <c r="V18" s="71">
        <v>643</v>
      </c>
      <c r="W18" s="71">
        <v>-173</v>
      </c>
      <c r="X18" s="71">
        <v>-145</v>
      </c>
      <c r="Y18" s="109">
        <v>-9908</v>
      </c>
      <c r="Z18" s="71">
        <v>0</v>
      </c>
      <c r="AA18" s="71">
        <v>0</v>
      </c>
      <c r="AB18" s="71">
        <v>400</v>
      </c>
      <c r="AC18" s="71">
        <v>4790</v>
      </c>
      <c r="AD18" s="71">
        <v>84.68</v>
      </c>
      <c r="AE18" s="71">
        <v>28.94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2" ph="1"/>
      <c r="C19" s="151" t="s" ph="1">
        <v>178</v>
      </c>
      <c r="D19" s="73" ph="1">
        <f>D18*7.0686*LOOKUP(D20,密度!$A$2:$A$50,密度!$L$2:$L$50)</f>
        <v>0</v>
      </c>
      <c r="E19" s="73" ph="1">
        <f>E18*7.0686*LOOKUP(E20,密度!$A$2:$A$50,密度!$L$2:$L$50)</f>
        <v>31533.434578800006</v>
      </c>
      <c r="F19" s="73" ph="1">
        <f>F18*9.0746*LOOKUP(F20,密度!$A$2:$A$50,密度!$L$2:$L$50)</f>
        <v>29503.829548400001</v>
      </c>
      <c r="G19" s="73" ph="1">
        <f>G18*9.0746*LOOKUP(G20,密度!$A$2:$A$50,密度!$B$2:$B$50)</f>
        <v>26434.064785800001</v>
      </c>
      <c r="H19" s="73" ph="1">
        <f>H18*9.0746*LOOKUP(H20,密度!$A$2:$A$50,密度!$L$2:$L$50)</f>
        <v>34870.393720200002</v>
      </c>
      <c r="I19" s="73" ph="1">
        <f>I18*9.0746*LOOKUP(I20,密度!$A$2:$A$50,密度!$U$2:$U$50)</f>
        <v>25105.4979728</v>
      </c>
      <c r="J19" s="73" ph="1">
        <f>J18*9.0746*LOOKUP(J20,密度!$A$2:$A$50,密度!$L$2:$L$50)</f>
        <v>21393.823230000002</v>
      </c>
      <c r="K19" s="73" ph="1">
        <f>K18*9.0746*LOOKUP(K20,密度!$A$2:$A$50,密度!$C$2:$C$50)</f>
        <v>50322.21242828</v>
      </c>
      <c r="L19" s="73" ph="1">
        <f>L18*9.0746*LOOKUP(L20,密度!$A$2:$A$50,密度!$E$2:$E$50)</f>
        <v>36174.419184960003</v>
      </c>
      <c r="M19" s="73" ph="1">
        <f>M18*9.0746*LOOKUP(M20,密度!$A$2:$A$50,密度!$M$2:$M$50)</f>
        <v>48908.469695506006</v>
      </c>
      <c r="N19" s="73" ph="1">
        <f>N18*9.0746*LOOKUP(N20,密度!$A$2:$A$50,密度!$M$2:$M$50)</f>
        <v>10771.80247388</v>
      </c>
      <c r="O19" s="73" ph="1">
        <f>O18*9.0746*LOOKUP(O20,密度!$A$2:$A$50,密度!$G$2:$G$50)</f>
        <v>43464.882950539999</v>
      </c>
      <c r="P19" s="73" ph="1">
        <f ca="1">P18*9.0746*LOOKUP(P20,密度!$A$2:$A$51,密度!$Q$2:$Q$50)</f>
        <v>9425.1853740200004</v>
      </c>
      <c r="Q19" s="73" ph="1">
        <f>Q18*9.0746*LOOKUP(Q20,密度!$A$2:$A$50,密度!$Q$2:$Q$50)</f>
        <v>10966.27024442</v>
      </c>
      <c r="R19" s="73" ph="1">
        <f>MAX(R18*9.0746*LOOKUP(R20,密度!$A$2:$A$50,密度!$B$2:$B$50),0)</f>
        <v>52267.00719602</v>
      </c>
      <c r="S19" s="73" ph="1">
        <f>S18*9.0746*LOOKUP(S20,密度!$A$2:$A$50,密度!$Q$2:$Q$50)</f>
        <v>0</v>
      </c>
      <c r="T19" s="73" ph="1">
        <f>T18*9.0746*LOOKUP(T20,密度!$A$2:$A$50,密度!$O$2:$O$50)</f>
        <v>45443.854476800007</v>
      </c>
      <c r="U19" s="73" ph="1">
        <f>U18*9.0746*LOOKUP(U20,密度!$A$2:$A$50,密度!$H$2:$H$50)</f>
        <v>14235.706153200001</v>
      </c>
      <c r="V19" s="73" ph="1">
        <f>MAX(5600*LOOKUP(V20,密度!$A$2:$A$50,密度!$Q$2:$Q$50)+V18*9.0476*LOOKUP(V20,密度!$A$2:$A$50,密度!$Q$2:$Q$50),0)</f>
        <v>10762.007817543999</v>
      </c>
      <c r="W19" s="73" ph="1">
        <f>MAX(5600*LOOKUP(W20,密度!$A$2:$A$50,密度!$Q$2:$Q$50)+W18*9.0476*LOOKUP(W20,密度!$A$2:$A$50,密度!$Q$2:$Q$50),0)</f>
        <v>3800.3453418799995</v>
      </c>
      <c r="X19" s="73" ph="1">
        <f>MAX(5600*LOOKUP(X20,密度!$A$2:$A$50,密度!$I$2:$I$50)+X18*9.0476*LOOKUP(X20,密度!$A$2:$A$50,密度!$I$2:$I$50),0)</f>
        <v>4440.7542888000007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0</v>
      </c>
      <c r="AB19" s="73" ph="1">
        <f>AB18*9.0746*LOOKUP(AB20,密度!$A$2:$A$50,密度!$L$2:$L$50)</f>
        <v>3368.4915200000005</v>
      </c>
      <c r="AC19" s="73" ph="1">
        <f>AC18*9.0746*LOOKUP(AC20,密度!$A$2:$A$50,密度!$L$2:$L$50)</f>
        <v>40381.153286000008</v>
      </c>
      <c r="AD19" s="73" ph="1">
        <f>AD18*268.68*LOOKUP(AD20,密度!$A$2:$A$50,密度!B5:B53)+IF(AD18&lt;=0,0,1566*LOOKUP(AD20,密度!$A$2:$A$50,密度!B5:B53))</f>
        <v>18894.9480048</v>
      </c>
      <c r="AE19" s="73" ph="1">
        <f>AE18*268.68*LOOKUP(AE20,密度!$A$2:$A$50,密度!B5:B53)+IF(AE18&lt;=0,0,1566*LOOKUP(AE20,密度!$A$2:$A$50,密度!B5:B53))</f>
        <v>7258.4225784000009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2" ph="1"/>
      <c r="C20" s="80" t="s" ph="1">
        <v>179</v>
      </c>
      <c r="D20" s="81">
        <v>33</v>
      </c>
      <c r="E20" s="81">
        <v>33</v>
      </c>
      <c r="F20" s="81">
        <v>28</v>
      </c>
      <c r="G20" s="81">
        <v>28</v>
      </c>
      <c r="H20" s="81">
        <v>25</v>
      </c>
      <c r="I20" s="81">
        <v>34</v>
      </c>
      <c r="J20" s="81">
        <v>32</v>
      </c>
      <c r="K20" s="81">
        <v>30</v>
      </c>
      <c r="L20" s="81">
        <v>28</v>
      </c>
      <c r="M20" s="81">
        <v>31</v>
      </c>
      <c r="N20" s="81">
        <v>26</v>
      </c>
      <c r="O20" s="81">
        <v>30</v>
      </c>
      <c r="P20" s="81">
        <v>35</v>
      </c>
      <c r="Q20" s="81">
        <v>32</v>
      </c>
      <c r="R20" s="81">
        <v>30</v>
      </c>
      <c r="S20" s="81">
        <v>32</v>
      </c>
      <c r="T20" s="81">
        <v>29</v>
      </c>
      <c r="U20" s="81">
        <v>29</v>
      </c>
      <c r="V20" s="81">
        <v>31</v>
      </c>
      <c r="W20" s="81">
        <v>32</v>
      </c>
      <c r="X20" s="81">
        <v>31</v>
      </c>
      <c r="Y20" s="110">
        <v>31</v>
      </c>
      <c r="Z20" s="81">
        <v>34</v>
      </c>
      <c r="AA20" s="81">
        <v>32</v>
      </c>
      <c r="AB20" s="81">
        <v>34</v>
      </c>
      <c r="AC20" s="81">
        <v>33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0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69" t="s" ph="1">
        <v>69</v>
      </c>
      <c r="AA22" s="170"/>
      <c r="AB22" s="170"/>
      <c r="AC22" s="170"/>
      <c r="AD22" s="170"/>
      <c r="AE22" s="17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5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72" t="s" ph="1">
        <v>637</v>
      </c>
      <c r="AA23" s="173"/>
      <c r="AB23" s="173"/>
      <c r="AC23" s="173"/>
      <c r="AD23" s="173"/>
      <c r="AE23" s="17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1" ph="1">
        <v>0.33333333333333331</v>
      </c>
      <c r="C24" s="151" t="s" ph="1">
        <v>177</v>
      </c>
      <c r="D24" s="71">
        <v>60.59</v>
      </c>
      <c r="E24" s="71">
        <v>5.75</v>
      </c>
      <c r="F24" s="71">
        <v>3681</v>
      </c>
      <c r="G24" s="71">
        <v>3703</v>
      </c>
      <c r="H24" s="71">
        <v>3900</v>
      </c>
      <c r="I24" s="71">
        <v>913</v>
      </c>
      <c r="J24" s="71">
        <v>830</v>
      </c>
      <c r="K24" s="71">
        <v>442</v>
      </c>
      <c r="L24" s="71">
        <v>470</v>
      </c>
      <c r="M24" s="71">
        <v>3718</v>
      </c>
      <c r="N24" s="71">
        <v>332</v>
      </c>
      <c r="O24" s="71">
        <v>5732</v>
      </c>
      <c r="P24" s="71">
        <v>334</v>
      </c>
      <c r="Q24" s="90">
        <v>849</v>
      </c>
      <c r="R24" s="71">
        <v>4800</v>
      </c>
      <c r="S24" s="71">
        <v>359</v>
      </c>
      <c r="T24" s="71">
        <v>1276</v>
      </c>
      <c r="U24" s="71">
        <v>4312</v>
      </c>
      <c r="V24" s="71">
        <v>4622</v>
      </c>
      <c r="W24" s="71">
        <v>11067</v>
      </c>
      <c r="X24" s="71">
        <v>4963</v>
      </c>
      <c r="Y24" s="71">
        <v>9542</v>
      </c>
      <c r="Z24" s="175"/>
      <c r="AA24" s="176"/>
      <c r="AB24" s="176"/>
      <c r="AC24" s="176"/>
      <c r="AD24" s="176"/>
      <c r="AE24" s="17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1" ph="1"/>
      <c r="C25" s="68" t="s" ph="1">
        <v>178</v>
      </c>
      <c r="D25" s="91" ph="1">
        <f>D24*268.68*LOOKUP(D26,密度!$A$2:$A$50,密度!$Q$2:$Q$50)+IF(D24&lt;=0,0,1566*LOOKUP(D26,密度!$A$2:$A$50,密度!$Q$2:$Q$50))</f>
        <v>16894.879392888004</v>
      </c>
      <c r="E25" s="91" ph="1">
        <f>E24*268.68*LOOKUP(E26,密度!$A$2:$A$50,密度!$C$2:$C$50)+IF(E24&lt;=0,0,1566*LOOKUP(E26,密度!$A$2:$A$50,密度!$C$2:$C$50))</f>
        <v>3449.688099</v>
      </c>
      <c r="F25" s="91" ph="1">
        <f>F24*11.702*LOOKUP(F26,密度!$A$2:$A$50,密度!$Q$2:$Q$50)</f>
        <v>40750.300903859999</v>
      </c>
      <c r="G25" s="91" ph="1">
        <f>G24*18.322*LOOKUP(G26,密度!$A$2:$A$50,密度!$B$2:$B$50)</f>
        <v>52716.626381999995</v>
      </c>
      <c r="H25" s="91" ph="1">
        <f>H24*18.322*LOOKUP(H26,密度!$A$2:$A$50,密度!$B$2:$B$50)</f>
        <v>55706.941679999996</v>
      </c>
      <c r="I25" s="91" ph="1">
        <f>I24*18.322*LOOKUP(I26,密度!$A$2:$A$50,密度!$Q$2:$Q$50)</f>
        <v>15837.053465640001</v>
      </c>
      <c r="J25" s="91" ph="1">
        <f>J24*18.322*LOOKUP(J26,密度!$A$2:$A$50,密度!$Q$2:$Q$50)</f>
        <v>14386.5241778</v>
      </c>
      <c r="K25" s="91" ph="1">
        <f>K24*18.322*LOOKUP(K26,密度!$A$2:$A$50,密度!$Q$2:$Q$50)</f>
        <v>7678.8308168000003</v>
      </c>
      <c r="L25" s="91" ph="1">
        <f>L24*18.322*LOOKUP(L26,密度!$A$2:$A$50,密度!$Q$2:$Q$50)</f>
        <v>8165.2725880000007</v>
      </c>
      <c r="M25" s="91" ph="1">
        <f>M24*18.322*LOOKUP(M26,密度!$A$2:$A$50,密度!$Q$2:$Q$50)</f>
        <v>64493.061101039995</v>
      </c>
      <c r="N25" s="91" ph="1">
        <f>N24*18.322*LOOKUP(N26,密度!$A$2:$A$50,密度!$Q$2:$Q$50)</f>
        <v>5773.2233573599997</v>
      </c>
      <c r="O25" s="91" ph="1">
        <f>O24*18.322*LOOKUP(O26,密度!$A$2:$A$50,密度!$C$2:$C$50)</f>
        <v>116616.1001216</v>
      </c>
      <c r="P25" s="91" ph="1">
        <f>P24*11.702*LOOKUP(P26,密度!$A$2:$A$50,密度!$B$2:$B$50)</f>
        <v>3047.0416527999996</v>
      </c>
      <c r="Q25" s="92" ph="1">
        <f>Q24*18.322*LOOKUP(Q26,密度!$A$2:$A$50,密度!$B$2:$B$50)</f>
        <v>12112.972848599999</v>
      </c>
      <c r="R25" s="91" ph="1">
        <f>R24*35.891*LOOKUP(R26,密度!$A$2:$A$50,密度!$C$2:$C$50)</f>
        <v>191037.74351999999</v>
      </c>
      <c r="S25" s="91" ph="1">
        <f>S24*35.891*LOOKUP(S26,密度!$A$2:$A$50,密度!$B$2:$B$50)</f>
        <v>10045.043872399998</v>
      </c>
      <c r="T25" s="91" ph="1">
        <f>T24*35.891*LOOKUP(T26,密度!$A$2:$A$50,密度!$Q$2:$Q$50)</f>
        <v>43325.256443480001</v>
      </c>
      <c r="U25" s="91" ph="1">
        <f>U24*35.891</f>
        <v>154761.992</v>
      </c>
      <c r="V25" s="91" ph="1">
        <f>V24*47.051*LOOKUP(V26,密度!$A$2:$A$50,密度!$B$2:$B$50)</f>
        <v>169930.84077080002</v>
      </c>
      <c r="W25" s="91" ph="1">
        <f>W24*47.051*LOOKUP(W26,密度!$A$2:$A$50,密度!$B$2:$B$50)</f>
        <v>406885.46404380002</v>
      </c>
      <c r="X25" s="91" ph="1">
        <f>X24*47.051*LOOKUP(X26,密度!$A$2:$A$61,密度!$I$2:$I$61)</f>
        <v>240776.40191429999</v>
      </c>
      <c r="Y25" s="91" ph="1">
        <f>Y24*47.051*LOOKUP(Y26,密度!$A$2:$A$50,密度!$L$2:$L$50)</f>
        <v>420676.12155400001</v>
      </c>
      <c r="Z25" s="175"/>
      <c r="AA25" s="176"/>
      <c r="AB25" s="176"/>
      <c r="AC25" s="176"/>
      <c r="AD25" s="176"/>
      <c r="AE25" s="17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1" ph="1"/>
      <c r="C26" s="68" t="s" ph="1">
        <v>179</v>
      </c>
      <c r="D26" s="74">
        <v>25</v>
      </c>
      <c r="E26" s="74">
        <v>25</v>
      </c>
      <c r="F26" s="74">
        <v>26</v>
      </c>
      <c r="G26" s="74">
        <v>28</v>
      </c>
      <c r="H26" s="74">
        <v>25</v>
      </c>
      <c r="I26" s="74">
        <v>25</v>
      </c>
      <c r="J26" s="74">
        <v>26</v>
      </c>
      <c r="K26" s="74">
        <v>23</v>
      </c>
      <c r="L26" s="74">
        <v>23</v>
      </c>
      <c r="M26" s="74">
        <v>25</v>
      </c>
      <c r="N26" s="74">
        <v>22</v>
      </c>
      <c r="O26" s="74">
        <v>23</v>
      </c>
      <c r="P26" s="74">
        <v>25</v>
      </c>
      <c r="Q26" s="93">
        <v>26</v>
      </c>
      <c r="R26" s="74">
        <v>25</v>
      </c>
      <c r="S26" s="74">
        <v>25</v>
      </c>
      <c r="T26" s="74">
        <v>26</v>
      </c>
      <c r="U26" s="74">
        <v>26</v>
      </c>
      <c r="V26" s="74">
        <v>23</v>
      </c>
      <c r="W26" s="74">
        <v>23</v>
      </c>
      <c r="X26" s="74">
        <v>35</v>
      </c>
      <c r="Y26" s="74">
        <v>25</v>
      </c>
      <c r="Z26" s="175"/>
      <c r="AA26" s="176"/>
      <c r="AB26" s="176"/>
      <c r="AC26" s="176"/>
      <c r="AD26" s="176"/>
      <c r="AE26" s="17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1" ph="1">
        <v>0.66666666666666663</v>
      </c>
      <c r="C27" s="151" t="s" ph="1">
        <v>180</v>
      </c>
      <c r="D27" s="71">
        <v>60.6</v>
      </c>
      <c r="E27" s="71">
        <v>67.13</v>
      </c>
      <c r="F27" s="71">
        <v>3683</v>
      </c>
      <c r="G27" s="71">
        <v>2570</v>
      </c>
      <c r="H27" s="71">
        <v>3497</v>
      </c>
      <c r="I27" s="71">
        <v>1353</v>
      </c>
      <c r="J27" s="71">
        <v>827</v>
      </c>
      <c r="K27" s="71">
        <v>438</v>
      </c>
      <c r="L27" s="71">
        <v>464</v>
      </c>
      <c r="M27" s="71">
        <v>3713</v>
      </c>
      <c r="N27" s="71">
        <v>326</v>
      </c>
      <c r="O27" s="71">
        <v>5729</v>
      </c>
      <c r="P27" s="71">
        <v>330</v>
      </c>
      <c r="Q27" s="90">
        <v>986</v>
      </c>
      <c r="R27" s="71">
        <v>4314</v>
      </c>
      <c r="S27" s="71">
        <v>354</v>
      </c>
      <c r="T27" s="71">
        <v>1274</v>
      </c>
      <c r="U27" s="71">
        <v>4361</v>
      </c>
      <c r="V27" s="71">
        <v>4175</v>
      </c>
      <c r="W27" s="71">
        <v>10759</v>
      </c>
      <c r="X27" s="71">
        <v>4588</v>
      </c>
      <c r="Y27" s="71">
        <v>7388</v>
      </c>
      <c r="Z27" s="175"/>
      <c r="AA27" s="176"/>
      <c r="AB27" s="176"/>
      <c r="AC27" s="176"/>
      <c r="AD27" s="176"/>
      <c r="AE27" s="17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1" ph="1"/>
      <c r="C28" s="151" t="s" ph="1">
        <v>178</v>
      </c>
      <c r="D28" s="91" ph="1">
        <f>D27*268.68*LOOKUP(D29,密度!$A$2:$A$50,密度!$Q$2:$Q$50)+IF(D27&lt;=0,0,1566*LOOKUP(D29,密度!$A$2:$A$50,密度!$Q$2:$Q$50))</f>
        <v>16897.423093920002</v>
      </c>
      <c r="E28" s="91" ph="1">
        <f>E27*268.68*LOOKUP(E29,密度!$A$2:$A$50,密度!$C$2:$C$50)+IF(E27&lt;=0,0,1566*LOOKUP(E29,密度!$A$2:$A$50,密度!$C$2:$C$50))</f>
        <v>21737.199386759999</v>
      </c>
      <c r="F28" s="91" ph="1">
        <f>F27*11.702*LOOKUP(F29,密度!$A$2:$A$50,密度!$Q$2:$Q$50)</f>
        <v>40711.672952920002</v>
      </c>
      <c r="G28" s="91" ph="1">
        <f>G27*18.322*LOOKUP(G29,密度!$A$2:$A$50,密度!$B$2:$B$50)</f>
        <v>36549.348548000002</v>
      </c>
      <c r="H28" s="91" ph="1">
        <f>H27*18.322*LOOKUP(H29,密度!$A$2:$A$50,密度!$B$2:$B$50)</f>
        <v>49892.892875799997</v>
      </c>
      <c r="I28" s="91" ph="1">
        <f>I27*18.322*LOOKUP(I29,密度!$A$2:$A$50,密度!$Q$2:$Q$50)</f>
        <v>23451.76772598</v>
      </c>
      <c r="J28" s="91" ph="1">
        <f>J27*18.322*LOOKUP(J29,密度!$A$2:$A$50,密度!$Q$2:$Q$50)</f>
        <v>14313.159958280001</v>
      </c>
      <c r="K28" s="91" ph="1">
        <f>K27*18.322*LOOKUP(K29,密度!$A$2:$A$50,密度!$Q$2:$Q$50)</f>
        <v>7597.6225826400005</v>
      </c>
      <c r="L28" s="91" ph="1">
        <f>L27*18.322*LOOKUP(L29,密度!$A$2:$A$50,密度!$Q$2:$Q$50)</f>
        <v>8048.6230099199993</v>
      </c>
      <c r="M28" s="91" ph="1">
        <f>M27*18.322*LOOKUP(M29,密度!$A$2:$A$50,密度!$Q$2:$Q$50)</f>
        <v>64358.02924358</v>
      </c>
      <c r="N28" s="91" ph="1">
        <f>N27*18.322*LOOKUP(N29,密度!$A$2:$A$50,密度!$Q$2:$Q$50)</f>
        <v>5642.1888106400002</v>
      </c>
      <c r="O28" s="91" ph="1">
        <f>O27*18.322*LOOKUP(O29,密度!$A$2:$A$50,密度!$C$2:$C$50)</f>
        <v>116397.61576819999</v>
      </c>
      <c r="P28" s="91" ph="1">
        <f>P27*11.702*LOOKUP(P29,密度!$A$2:$A$50,密度!$B$2:$B$50)</f>
        <v>3010.5501359999998</v>
      </c>
      <c r="Q28" s="92" ph="1">
        <f>Q27*18.322*LOOKUP(Q29,密度!$A$2:$A$50,密度!$B$2:$B$50)</f>
        <v>14067.598620399998</v>
      </c>
      <c r="R28" s="91" ph="1">
        <f>R27*35.891*LOOKUP(R29,密度!$A$2:$A$50,密度!$C$2:$C$50)</f>
        <v>171339.05430840002</v>
      </c>
      <c r="S28" s="91" ph="1">
        <f>S27*35.891*LOOKUP(S29,密度!$A$2:$A$50,密度!$B$2:$B$50)</f>
        <v>9861.9423467999986</v>
      </c>
      <c r="T28" s="91" ph="1">
        <f>T27*35.891*LOOKUP(T29,密度!$A$2:$A$50,密度!$Q$2:$Q$50)</f>
        <v>43192.876079080001</v>
      </c>
      <c r="U28" s="91" ph="1">
        <f>U27*35.891</f>
        <v>156520.65099999998</v>
      </c>
      <c r="V28" s="91" ph="1">
        <f>V27*47.051*LOOKUP(V29,密度!$A$2:$A$50,密度!$B$2:$B$50)</f>
        <v>152966.21219749999</v>
      </c>
      <c r="W28" s="91" ph="1">
        <f>W27*47.051*LOOKUP(W29,密度!$A$2:$A$50,密度!$B$2:$B$50)</f>
        <v>394650.44433640002</v>
      </c>
      <c r="X28" s="91" ph="1">
        <f>X27*47.051*LOOKUP(X29,密度!$A$2:$A$61,密度!$I$2:$I$61)</f>
        <v>222583.54462679999</v>
      </c>
      <c r="Y28" s="91" ph="1">
        <f>Y27*47.051*LOOKUP(Y29,密度!$A$2:$A$50,密度!$L$2:$L$50)</f>
        <v>325365.56956800004</v>
      </c>
      <c r="Z28" s="175"/>
      <c r="AA28" s="176"/>
      <c r="AB28" s="176"/>
      <c r="AC28" s="176"/>
      <c r="AD28" s="176"/>
      <c r="AE28" s="17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1" ph="1"/>
      <c r="C29" s="151" t="s" ph="1">
        <v>179</v>
      </c>
      <c r="D29" s="74">
        <v>25</v>
      </c>
      <c r="E29" s="74">
        <v>25</v>
      </c>
      <c r="F29" s="74">
        <v>28</v>
      </c>
      <c r="G29" s="74">
        <v>29</v>
      </c>
      <c r="H29" s="74">
        <v>26</v>
      </c>
      <c r="I29" s="74">
        <v>26</v>
      </c>
      <c r="J29" s="74">
        <v>28</v>
      </c>
      <c r="K29" s="74">
        <v>25</v>
      </c>
      <c r="L29" s="74">
        <v>25</v>
      </c>
      <c r="M29" s="74">
        <v>26</v>
      </c>
      <c r="N29" s="74">
        <v>28</v>
      </c>
      <c r="O29" s="74">
        <v>25</v>
      </c>
      <c r="P29" s="74">
        <v>25</v>
      </c>
      <c r="Q29" s="93">
        <v>26</v>
      </c>
      <c r="R29" s="74">
        <v>28</v>
      </c>
      <c r="S29" s="74">
        <v>29</v>
      </c>
      <c r="T29" s="74">
        <v>28</v>
      </c>
      <c r="U29" s="74">
        <v>26</v>
      </c>
      <c r="V29" s="74">
        <v>26</v>
      </c>
      <c r="W29" s="74">
        <v>25</v>
      </c>
      <c r="X29" s="74">
        <v>35</v>
      </c>
      <c r="Y29" s="74">
        <v>26</v>
      </c>
      <c r="Z29" s="178"/>
      <c r="AA29" s="179"/>
      <c r="AB29" s="179"/>
      <c r="AC29" s="179"/>
      <c r="AD29" s="179"/>
      <c r="AE29" s="18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4" t="s" ph="1">
        <v>35</v>
      </c>
      <c r="C31" s="195" ph="1"/>
      <c r="D31" s="198" t="s" ph="1">
        <v>9</v>
      </c>
      <c r="E31" s="187" ph="1"/>
      <c r="F31" s="188" ph="1"/>
      <c r="G31" s="198" t="s" ph="1">
        <v>18</v>
      </c>
      <c r="H31" s="187" ph="1"/>
      <c r="I31" s="188" ph="1"/>
      <c r="J31" s="186" t="s" ph="1">
        <v>1</v>
      </c>
      <c r="K31" s="187" ph="1"/>
      <c r="L31" s="188" ph="1"/>
      <c r="M31" s="186" t="s" ph="1">
        <v>7</v>
      </c>
      <c r="N31" s="187" ph="1"/>
      <c r="O31" s="188" ph="1"/>
      <c r="P31" s="186" t="s" ph="1">
        <v>41</v>
      </c>
      <c r="Q31" s="187"/>
      <c r="R31" s="188"/>
      <c r="S31" s="186" t="s" ph="1">
        <v>2</v>
      </c>
      <c r="T31" s="187"/>
      <c r="U31" s="188"/>
      <c r="V31" s="186" t="s" ph="1">
        <v>71</v>
      </c>
      <c r="W31" s="187" ph="1"/>
      <c r="X31" s="188" ph="1"/>
      <c r="Y31" s="186" t="s" ph="1">
        <v>3</v>
      </c>
      <c r="Z31" s="187" ph="1"/>
      <c r="AA31" s="188" ph="1"/>
      <c r="AB31" s="209" t="s">
        <v>42</v>
      </c>
      <c r="AC31" s="210"/>
      <c r="AD31" s="210"/>
      <c r="AE31" s="211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6" ph="1"/>
      <c r="C32" s="197" ph="1"/>
      <c r="D32" s="96" t="s" ph="1">
        <v>4</v>
      </c>
      <c r="E32" s="151" t="s" ph="1">
        <v>5</v>
      </c>
      <c r="F32" s="152" t="s" ph="1">
        <v>43</v>
      </c>
      <c r="G32" s="97" t="s" ph="1">
        <v>4</v>
      </c>
      <c r="H32" s="151" t="s" ph="1">
        <v>5</v>
      </c>
      <c r="I32" s="152" t="s" ph="1">
        <v>43</v>
      </c>
      <c r="J32" s="97" t="s" ph="1">
        <v>4</v>
      </c>
      <c r="K32" s="151" t="s" ph="1">
        <v>5</v>
      </c>
      <c r="L32" s="152" t="s" ph="1">
        <v>43</v>
      </c>
      <c r="M32" s="97" t="s" ph="1">
        <v>4</v>
      </c>
      <c r="N32" s="151" t="s" ph="1">
        <v>5</v>
      </c>
      <c r="O32" s="152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1" t="s" ph="1">
        <v>5</v>
      </c>
      <c r="U32" s="99" t="s" ph="1">
        <v>43</v>
      </c>
      <c r="V32" s="97" t="s" ph="1">
        <v>4</v>
      </c>
      <c r="W32" s="151" t="s" ph="1">
        <v>5</v>
      </c>
      <c r="X32" s="99" t="s" ph="1">
        <v>43</v>
      </c>
      <c r="Y32" s="100" t="s" ph="1">
        <v>4</v>
      </c>
      <c r="Z32" s="151" t="s" ph="1">
        <v>5</v>
      </c>
      <c r="AA32" s="152" t="s" ph="1">
        <v>43</v>
      </c>
      <c r="AB32" s="97" t="s" ph="1">
        <v>85</v>
      </c>
      <c r="AC32" s="151" t="s" ph="1">
        <v>84</v>
      </c>
      <c r="AD32" s="212" t="s" ph="1">
        <v>83</v>
      </c>
      <c r="AE32" s="213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199" t="s" ph="1">
        <v>181</v>
      </c>
      <c r="C33" s="200" ph="1"/>
      <c r="D33" s="203" ph="1">
        <f>AA10+AB10+Z19</f>
        <v>177275.46076820002</v>
      </c>
      <c r="E33" s="203" ph="1">
        <f>M10+I10</f>
        <v>40173.465911399995</v>
      </c>
      <c r="F33" s="20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[[#This Row],[F25]]</f>
        <v>3880</v>
      </c>
      <c r="G33" s="207" ph="1">
        <f>N19</f>
        <v>10771.80247388</v>
      </c>
      <c r="H33" s="203" ph="1">
        <f>M19</f>
        <v>48908.469695506006</v>
      </c>
      <c r="I33" s="216" ph="1">
        <v>0</v>
      </c>
      <c r="J33" s="214" ph="1">
        <f>F10+O28</f>
        <v>331024.58615330001</v>
      </c>
      <c r="K33" s="203" ph="1">
        <f>O10+K10+E28+R28</f>
        <v>296933.87063556002</v>
      </c>
      <c r="L33" s="218" ph="1">
        <f>K19</f>
        <v>50322.21242828</v>
      </c>
      <c r="M33" s="214" ph="1">
        <f>G10+H10+W28+S28+V28+E10+R19+P28+Q28</f>
        <v>1538280.3349051201</v>
      </c>
      <c r="N33" s="203" ph="1">
        <f>L10+P10++G28+H28+AD19+AE19</f>
        <v>133047.13359899999</v>
      </c>
      <c r="O33" s="216" ph="1">
        <f>G19</f>
        <v>26434.064785800001</v>
      </c>
      <c r="P33" s="214" ph="1">
        <f>L19</f>
        <v>36174.419184960003</v>
      </c>
      <c r="Q33" s="203" ph="1">
        <f>J10+N10</f>
        <v>108248.91199519997</v>
      </c>
      <c r="R33" s="216" ph="1">
        <f>BE23</f>
        <v>890</v>
      </c>
      <c r="S33" s="214" ph="1">
        <f>X28</f>
        <v>222583.54462679999</v>
      </c>
      <c r="T33" s="203" ph="1">
        <f>X19</f>
        <v>4440.7542888000007</v>
      </c>
      <c r="U33" s="224" ph="1">
        <f>BE21</f>
        <v>730</v>
      </c>
      <c r="V33" s="235" ph="1">
        <f ca="1">P19+Q19+S19+M28+N28+J28+D10+AC10+D19+E19+H19+J19+O19+V19+W19+K28+L28</f>
        <v>806070.54841702408</v>
      </c>
      <c r="W33" s="235" ph="1">
        <f>D28+F28+T28+I28</f>
        <v>124253.7398519</v>
      </c>
      <c r="X33" s="216" ph="1">
        <f>BE29+BE31</f>
        <v>10200</v>
      </c>
      <c r="Y33" s="237" ph="1">
        <f>+Q10+R10+S10+T10+U10+V10+W10+X10+Y10</f>
        <v>114777.5870934</v>
      </c>
      <c r="Z33" s="222" ph="1">
        <f>T19+U19+Y28+Z10</f>
        <v>493636.49769800005</v>
      </c>
      <c r="AA33" s="224" ph="1">
        <f>BE19</f>
        <v>1440</v>
      </c>
      <c r="AB33" s="226" ph="1">
        <f>I19</f>
        <v>25105.4979728</v>
      </c>
      <c r="AC33" s="228" ph="1">
        <f>AD10+AB19</f>
        <v>58337.297888000001</v>
      </c>
      <c r="AD33" s="230" ph="1">
        <v>0</v>
      </c>
      <c r="AE33" s="231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1" ph="1"/>
      <c r="C34" s="202" ph="1"/>
      <c r="D34" s="204" ph="1"/>
      <c r="E34" s="204" ph="1"/>
      <c r="F34" s="206" ph="1"/>
      <c r="G34" s="208" ph="1"/>
      <c r="H34" s="204" ph="1"/>
      <c r="I34" s="217" ph="1"/>
      <c r="J34" s="215" ph="1"/>
      <c r="K34" s="204" ph="1"/>
      <c r="L34" s="219" ph="1"/>
      <c r="M34" s="215" ph="1"/>
      <c r="N34" s="204" ph="1"/>
      <c r="O34" s="217" ph="1"/>
      <c r="P34" s="215" ph="1"/>
      <c r="Q34" s="204" ph="1"/>
      <c r="R34" s="217" ph="1"/>
      <c r="S34" s="215" ph="1"/>
      <c r="T34" s="204"/>
      <c r="U34" s="225"/>
      <c r="V34" s="236" ph="1"/>
      <c r="W34" s="236" ph="1"/>
      <c r="X34" s="217" ph="1"/>
      <c r="Y34" s="238" ph="1"/>
      <c r="Z34" s="223" ph="1"/>
      <c r="AA34" s="225" ph="1"/>
      <c r="AB34" s="227"/>
      <c r="AC34" s="229"/>
      <c r="AD34" s="232"/>
      <c r="AE34" s="233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4" t="s" ph="1">
        <v>631</v>
      </c>
      <c r="AD35" s="234"/>
      <c r="AE35" s="234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0" t="s" ph="1">
        <v>183</v>
      </c>
      <c r="J36" s="220" ph="1"/>
      <c r="K36" s="101" ph="1"/>
      <c r="P36" s="101" ph="1"/>
      <c r="R36" s="220" t="s" ph="1">
        <v>184</v>
      </c>
      <c r="S36" s="220" ph="1"/>
      <c r="Y36" s="102" ph="1"/>
      <c r="Z36" s="153" t="s" ph="1">
        <v>185</v>
      </c>
      <c r="AA36" s="153" ph="1"/>
      <c r="AB36" s="221" t="s" ph="1">
        <v>638</v>
      </c>
      <c r="AC36" s="221" ph="1"/>
      <c r="AD36" s="221" ph="1"/>
      <c r="AE36" s="221" ph="1"/>
      <c r="BA36" s="64" ph="1">
        <v>2270</v>
      </c>
    </row>
    <row r="37" spans="1:57" s="153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3" t="s" ph="1">
        <v>342</v>
      </c>
      <c r="AI37" s="153" t="s" ph="1">
        <v>209</v>
      </c>
      <c r="AJ37" s="153" t="s" ph="1">
        <v>210</v>
      </c>
      <c r="AK37" s="153" t="s" ph="1">
        <v>211</v>
      </c>
      <c r="AM37" s="153" t="s" ph="1">
        <v>210</v>
      </c>
      <c r="AN37" s="153" t="s" ph="1">
        <v>211</v>
      </c>
      <c r="AO37" s="153" t="s" ph="1">
        <v>212</v>
      </c>
      <c r="AP37" s="153" t="s" ph="1">
        <v>210</v>
      </c>
      <c r="AQ37" s="153" t="s" ph="1">
        <v>211</v>
      </c>
      <c r="AR37" s="153" t="s" ph="1">
        <v>212</v>
      </c>
      <c r="AS37" s="153" t="s" ph="1">
        <v>210</v>
      </c>
      <c r="AT37" s="153" t="s" ph="1">
        <v>211</v>
      </c>
      <c r="AU37" s="153" t="s" ph="1">
        <v>212</v>
      </c>
      <c r="AV37" s="153" t="s" ph="1">
        <v>210</v>
      </c>
      <c r="AW37" s="153" t="s" ph="1">
        <v>211</v>
      </c>
      <c r="AX37" s="153" t="s" ph="1">
        <v>212</v>
      </c>
      <c r="AY37" s="153" t="s" ph="1">
        <v>211</v>
      </c>
      <c r="AZ37" s="153" t="s" ph="1">
        <v>213</v>
      </c>
      <c r="BD37" s="153" t="s" ph="1">
        <v>305</v>
      </c>
      <c r="BE37" s="153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689" priority="100">
      <formula>ABS(D$7-D$10)&gt;=1000</formula>
    </cfRule>
  </conditionalFormatting>
  <conditionalFormatting sqref="E4 E6:E11">
    <cfRule type="expression" dxfId="1688" priority="99">
      <formula>ABS(E$7-E$10)&gt;=1000</formula>
    </cfRule>
  </conditionalFormatting>
  <conditionalFormatting sqref="F4:F11">
    <cfRule type="expression" dxfId="1687" priority="98">
      <formula>ABS(F$7-F$10)&gt;=1000</formula>
    </cfRule>
  </conditionalFormatting>
  <conditionalFormatting sqref="G4:G11">
    <cfRule type="expression" dxfId="1686" priority="97">
      <formula>ABS(G$7-G$10)&gt;=1000</formula>
    </cfRule>
  </conditionalFormatting>
  <conditionalFormatting sqref="H4:H11">
    <cfRule type="expression" dxfId="1685" priority="96">
      <formula>ABS(H$7-H$10)&gt;=1000</formula>
    </cfRule>
  </conditionalFormatting>
  <conditionalFormatting sqref="I4:I11">
    <cfRule type="expression" dxfId="1684" priority="95">
      <formula>ABS(I$7-I$10)&gt;=1000</formula>
    </cfRule>
  </conditionalFormatting>
  <conditionalFormatting sqref="J4:J11">
    <cfRule type="expression" dxfId="1683" priority="94">
      <formula>ABS(J$7-J$10)&gt;=1000</formula>
    </cfRule>
  </conditionalFormatting>
  <conditionalFormatting sqref="K4:K11">
    <cfRule type="expression" dxfId="1682" priority="93">
      <formula>ABS(K$7-K$10)&gt;=1000</formula>
    </cfRule>
  </conditionalFormatting>
  <conditionalFormatting sqref="L4:L11">
    <cfRule type="expression" dxfId="1681" priority="92">
      <formula>ABS(L$7-L$10)&gt;=1000</formula>
    </cfRule>
  </conditionalFormatting>
  <conditionalFormatting sqref="M4 M6:M11">
    <cfRule type="expression" dxfId="1680" priority="91">
      <formula>ABS(M$7-M$10)&gt;=1000</formula>
    </cfRule>
  </conditionalFormatting>
  <conditionalFormatting sqref="N4 N6:N11">
    <cfRule type="expression" dxfId="1679" priority="90">
      <formula>ABS(N$7-N$10)&gt;=1000</formula>
    </cfRule>
  </conditionalFormatting>
  <conditionalFormatting sqref="O4 O6:O11">
    <cfRule type="expression" dxfId="1678" priority="89">
      <formula>ABS(O$7-O$10)&gt;=1000</formula>
    </cfRule>
  </conditionalFormatting>
  <conditionalFormatting sqref="P4 P6:P11">
    <cfRule type="expression" dxfId="1677" priority="88">
      <formula>ABS(P$7-P$10)&gt;=1000</formula>
    </cfRule>
  </conditionalFormatting>
  <conditionalFormatting sqref="Q4:Q11">
    <cfRule type="expression" dxfId="1676" priority="87">
      <formula>ABS(Q$7-Q$10)&gt;=1000</formula>
    </cfRule>
  </conditionalFormatting>
  <conditionalFormatting sqref="R4:R11">
    <cfRule type="expression" dxfId="1675" priority="86">
      <formula>ABS(R$7-R$10)&gt;=1000</formula>
    </cfRule>
  </conditionalFormatting>
  <conditionalFormatting sqref="S4:S11">
    <cfRule type="expression" dxfId="1674" priority="85">
      <formula>ABS(S$7-S$10)&gt;=1000</formula>
    </cfRule>
  </conditionalFormatting>
  <conditionalFormatting sqref="T4:T9 T11">
    <cfRule type="expression" dxfId="1673" priority="84">
      <formula>ABS(T$7-T$10)&gt;=1000</formula>
    </cfRule>
  </conditionalFormatting>
  <conditionalFormatting sqref="U4:U9 U11">
    <cfRule type="expression" dxfId="1672" priority="83">
      <formula>ABS(U$7-U$10)&gt;=1000</formula>
    </cfRule>
  </conditionalFormatting>
  <conditionalFormatting sqref="V4:V9 V11">
    <cfRule type="expression" dxfId="1671" priority="82">
      <formula>ABS(V$7-V$10)&gt;=1000</formula>
    </cfRule>
  </conditionalFormatting>
  <conditionalFormatting sqref="W4:W9 W11">
    <cfRule type="expression" dxfId="1670" priority="81">
      <formula>ABS(W$7-W$10)&gt;=1000</formula>
    </cfRule>
  </conditionalFormatting>
  <conditionalFormatting sqref="X4:X9 X11">
    <cfRule type="expression" dxfId="1669" priority="80">
      <formula>ABS(X$7-X$10)&gt;=1000</formula>
    </cfRule>
  </conditionalFormatting>
  <conditionalFormatting sqref="Y4:Y9 Y11">
    <cfRule type="expression" dxfId="1668" priority="79">
      <formula>ABS(Y$7-Y$10)&gt;=1000</formula>
    </cfRule>
  </conditionalFormatting>
  <conditionalFormatting sqref="Z4:Z11">
    <cfRule type="expression" dxfId="1667" priority="78">
      <formula>ABS(Z$7-Z$10)&gt;=1000</formula>
    </cfRule>
  </conditionalFormatting>
  <conditionalFormatting sqref="AA4:AA11">
    <cfRule type="expression" dxfId="1666" priority="77">
      <formula>ABS(AA$7-AA$10)&gt;=1000</formula>
    </cfRule>
  </conditionalFormatting>
  <conditionalFormatting sqref="AB4:AB11">
    <cfRule type="expression" dxfId="1665" priority="76">
      <formula>ABS(AB$7-AB$10)&gt;=1000</formula>
    </cfRule>
  </conditionalFormatting>
  <conditionalFormatting sqref="AC4 AC6:AC11">
    <cfRule type="expression" dxfId="1664" priority="75">
      <formula>ABS(AC$7-AC$10)&gt;=1000</formula>
    </cfRule>
  </conditionalFormatting>
  <conditionalFormatting sqref="AD4 AD6:AD11">
    <cfRule type="expression" dxfId="1663" priority="74">
      <formula>ABS(AD$7-AD$10)&gt;=1000</formula>
    </cfRule>
  </conditionalFormatting>
  <conditionalFormatting sqref="AE4 AE6:AE11">
    <cfRule type="expression" dxfId="1662" priority="73">
      <formula>ABS(AE$7-AE$10)&gt;=1000</formula>
    </cfRule>
  </conditionalFormatting>
  <conditionalFormatting sqref="D13:D20">
    <cfRule type="expression" dxfId="1661" priority="72">
      <formula>ABS(D$16-D$19)&gt;=1000</formula>
    </cfRule>
  </conditionalFormatting>
  <conditionalFormatting sqref="E13:E20">
    <cfRule type="expression" dxfId="1660" priority="71">
      <formula>ABS(E$16-E$19)&gt;=1000</formula>
    </cfRule>
  </conditionalFormatting>
  <conditionalFormatting sqref="F13 F15:F20">
    <cfRule type="expression" dxfId="1659" priority="70">
      <formula>ABS(F$16-F$19)&gt;=1000</formula>
    </cfRule>
  </conditionalFormatting>
  <conditionalFormatting sqref="G13:G20">
    <cfRule type="expression" dxfId="1658" priority="69">
      <formula>ABS(G$16-G$19)&gt;=1000</formula>
    </cfRule>
  </conditionalFormatting>
  <conditionalFormatting sqref="H13 H15:H20">
    <cfRule type="expression" dxfId="1657" priority="68">
      <formula>ABS(H$16-H$19)&gt;=1000</formula>
    </cfRule>
  </conditionalFormatting>
  <conditionalFormatting sqref="I13:I20">
    <cfRule type="expression" dxfId="1656" priority="67">
      <formula>ABS(I$16-I$19)&gt;=1000</formula>
    </cfRule>
  </conditionalFormatting>
  <conditionalFormatting sqref="J13:J20">
    <cfRule type="expression" dxfId="1655" priority="66">
      <formula>ABS(J$16-J$19)&gt;=1000</formula>
    </cfRule>
  </conditionalFormatting>
  <conditionalFormatting sqref="L13:L20">
    <cfRule type="expression" dxfId="1654" priority="65">
      <formula>ABS(L$16-L$19)&gt;=1000</formula>
    </cfRule>
  </conditionalFormatting>
  <conditionalFormatting sqref="M13 M15 M17:M18 M20">
    <cfRule type="expression" dxfId="1653" priority="64">
      <formula>ABS(M$16-M$19)&gt;=1000</formula>
    </cfRule>
  </conditionalFormatting>
  <conditionalFormatting sqref="N13:N20">
    <cfRule type="expression" dxfId="1652" priority="63">
      <formula>ABS(N$16-N$19)&gt;=1000</formula>
    </cfRule>
  </conditionalFormatting>
  <conditionalFormatting sqref="O13:O20">
    <cfRule type="expression" dxfId="1651" priority="62">
      <formula>ABS(O$16-O$19)&gt;=1000</formula>
    </cfRule>
  </conditionalFormatting>
  <conditionalFormatting sqref="P13:P20">
    <cfRule type="expression" dxfId="1650" priority="61">
      <formula>ABS(P$16-P$19)&gt;=1000</formula>
    </cfRule>
  </conditionalFormatting>
  <conditionalFormatting sqref="Q13 Q15:Q20">
    <cfRule type="expression" dxfId="1649" priority="60">
      <formula>ABS(Q$16-Q$19)&gt;=1000</formula>
    </cfRule>
  </conditionalFormatting>
  <conditionalFormatting sqref="R13:R20">
    <cfRule type="expression" dxfId="1648" priority="59">
      <formula>ABS(R$16-R$19)&gt;=1000</formula>
    </cfRule>
  </conditionalFormatting>
  <conditionalFormatting sqref="S13:S20">
    <cfRule type="expression" dxfId="1647" priority="58">
      <formula>ABS(S$16-S$19)&gt;=1000</formula>
    </cfRule>
  </conditionalFormatting>
  <conditionalFormatting sqref="T13:T20">
    <cfRule type="expression" dxfId="1646" priority="57">
      <formula>ABS(T$16-T$19)&gt;=1000</formula>
    </cfRule>
  </conditionalFormatting>
  <conditionalFormatting sqref="U13:U20">
    <cfRule type="expression" dxfId="1645" priority="56">
      <formula>ABS(U$16-U$19)&gt;=1000</formula>
    </cfRule>
  </conditionalFormatting>
  <conditionalFormatting sqref="V13:V20">
    <cfRule type="expression" dxfId="1644" priority="55">
      <formula>ABS(V$16-V$19)&gt;=1000</formula>
    </cfRule>
  </conditionalFormatting>
  <conditionalFormatting sqref="W13 W20 W15:W18">
    <cfRule type="expression" dxfId="1643" priority="54">
      <formula>ABS(W$16-W$19)&gt;=1000</formula>
    </cfRule>
  </conditionalFormatting>
  <conditionalFormatting sqref="X13 X15:X20 Y19">
    <cfRule type="expression" dxfId="1642" priority="53">
      <formula>ABS(X$16-X$19)&gt;=1000</formula>
    </cfRule>
  </conditionalFormatting>
  <conditionalFormatting sqref="Y13 Y15:Y18 Y20">
    <cfRule type="expression" dxfId="1641" priority="52">
      <formula>ABS(Y$16-Y$19)&gt;=1000</formula>
    </cfRule>
  </conditionalFormatting>
  <conditionalFormatting sqref="Z13:Z20">
    <cfRule type="expression" dxfId="1640" priority="51">
      <formula>ABS(Z$16-Z$19)&gt;=1000</formula>
    </cfRule>
  </conditionalFormatting>
  <conditionalFormatting sqref="AA13:AA20">
    <cfRule type="expression" dxfId="1639" priority="50">
      <formula>ABS(AA$16-AA$19)&gt;=1000</formula>
    </cfRule>
  </conditionalFormatting>
  <conditionalFormatting sqref="AB13 AB15:AB20">
    <cfRule type="expression" dxfId="1638" priority="49">
      <formula>ABS(AB$16-AB$19)&gt;=1000</formula>
    </cfRule>
  </conditionalFormatting>
  <conditionalFormatting sqref="AC13 AC15:AC20">
    <cfRule type="expression" dxfId="1637" priority="48">
      <formula>ABS(AC$16-AC$19)&gt;=1000</formula>
    </cfRule>
  </conditionalFormatting>
  <conditionalFormatting sqref="AD13:AD20">
    <cfRule type="expression" dxfId="1636" priority="47">
      <formula>ABS(AD$16-AD$19)&gt;=1000</formula>
    </cfRule>
  </conditionalFormatting>
  <conditionalFormatting sqref="AE13:AE20">
    <cfRule type="expression" dxfId="1635" priority="46">
      <formula>ABS(AE$16-AE$19)&gt;=1000</formula>
    </cfRule>
  </conditionalFormatting>
  <conditionalFormatting sqref="D22:D29">
    <cfRule type="expression" dxfId="1634" priority="45">
      <formula>ABS(D$25-D$28)&gt;=1000</formula>
    </cfRule>
  </conditionalFormatting>
  <conditionalFormatting sqref="E22:E29">
    <cfRule type="expression" dxfId="1633" priority="44">
      <formula>ABS(E$25-E$28)&gt;=1000</formula>
    </cfRule>
  </conditionalFormatting>
  <conditionalFormatting sqref="F22:F29">
    <cfRule type="expression" dxfId="1632" priority="43">
      <formula>ABS(F$25-F$28)&gt;=1000</formula>
    </cfRule>
  </conditionalFormatting>
  <conditionalFormatting sqref="G22:G29">
    <cfRule type="expression" dxfId="1631" priority="42">
      <formula>ABS(G$25-G$28)&gt;=1000</formula>
    </cfRule>
  </conditionalFormatting>
  <conditionalFormatting sqref="H22:H29">
    <cfRule type="expression" dxfId="1630" priority="41">
      <formula>ABS(H$25-H$28)&gt;=1000</formula>
    </cfRule>
  </conditionalFormatting>
  <conditionalFormatting sqref="I22 I24:I29">
    <cfRule type="expression" dxfId="1629" priority="40">
      <formula>ABS(I$25-I$28)&gt;=1000</formula>
    </cfRule>
  </conditionalFormatting>
  <conditionalFormatting sqref="J22:J29 K22">
    <cfRule type="expression" dxfId="1628" priority="39">
      <formula>ABS(J$25-J$28)&gt;=1000</formula>
    </cfRule>
  </conditionalFormatting>
  <conditionalFormatting sqref="K23:K29 L25 L28">
    <cfRule type="expression" dxfId="1627" priority="38">
      <formula>ABS(K$25-K$28)&gt;=1000</formula>
    </cfRule>
  </conditionalFormatting>
  <conditionalFormatting sqref="L22 L26:L27 L29 L24">
    <cfRule type="expression" dxfId="1626" priority="37">
      <formula>ABS(L$25-L$28)&gt;=1000</formula>
    </cfRule>
  </conditionalFormatting>
  <conditionalFormatting sqref="M22:M29">
    <cfRule type="expression" dxfId="1625" priority="36">
      <formula>ABS(M$25-M$28)&gt;=1000</formula>
    </cfRule>
  </conditionalFormatting>
  <conditionalFormatting sqref="N22:N29">
    <cfRule type="expression" dxfId="1624" priority="35">
      <formula>ABS(N$25-N$28)&gt;=1000</formula>
    </cfRule>
  </conditionalFormatting>
  <conditionalFormatting sqref="O22:O29">
    <cfRule type="expression" dxfId="1623" priority="34">
      <formula>ABS(O$25-O$28)&gt;=1000</formula>
    </cfRule>
  </conditionalFormatting>
  <conditionalFormatting sqref="P22:P29">
    <cfRule type="expression" dxfId="1622" priority="33">
      <formula>ABS(P$25-P$28)&gt;=1000</formula>
    </cfRule>
  </conditionalFormatting>
  <conditionalFormatting sqref="Q22:Q29">
    <cfRule type="expression" dxfId="1621" priority="32">
      <formula>ABS(Q$25-Q$28)&gt;=1000</formula>
    </cfRule>
  </conditionalFormatting>
  <conditionalFormatting sqref="R22:R29">
    <cfRule type="expression" dxfId="1620" priority="31">
      <formula>ABS(R$25-R$28)&gt;=1000</formula>
    </cfRule>
  </conditionalFormatting>
  <conditionalFormatting sqref="S22:S29">
    <cfRule type="expression" dxfId="1619" priority="30">
      <formula>ABS(S$25-S$28)&gt;=1000</formula>
    </cfRule>
  </conditionalFormatting>
  <conditionalFormatting sqref="T22:T29">
    <cfRule type="expression" dxfId="1618" priority="29">
      <formula>ABS(T$25-T$28)&gt;=1000</formula>
    </cfRule>
  </conditionalFormatting>
  <conditionalFormatting sqref="U22:U29">
    <cfRule type="expression" dxfId="1617" priority="28">
      <formula>ABS(U$25-U$28)&gt;=1000</formula>
    </cfRule>
  </conditionalFormatting>
  <conditionalFormatting sqref="V22:V29">
    <cfRule type="expression" dxfId="1616" priority="27">
      <formula>ABS(V$25-V$28)&gt;=1000</formula>
    </cfRule>
  </conditionalFormatting>
  <conditionalFormatting sqref="W22:W29">
    <cfRule type="expression" dxfId="1615" priority="26">
      <formula>ABS(W$25-W$28)&gt;=1000</formula>
    </cfRule>
  </conditionalFormatting>
  <conditionalFormatting sqref="X22:X29">
    <cfRule type="expression" dxfId="1614" priority="25">
      <formula>ABS(X$25-X$28)&gt;=1000</formula>
    </cfRule>
  </conditionalFormatting>
  <conditionalFormatting sqref="Y22:Y29">
    <cfRule type="expression" dxfId="1613" priority="24">
      <formula>ABS(Y$25-Y$28)&gt;=1000</formula>
    </cfRule>
  </conditionalFormatting>
  <conditionalFormatting sqref="I23">
    <cfRule type="expression" dxfId="1612" priority="23">
      <formula>ABS(I$25-I$28)&gt;=1000</formula>
    </cfRule>
  </conditionalFormatting>
  <conditionalFormatting sqref="Q14">
    <cfRule type="expression" dxfId="1611" priority="22">
      <formula>ABS(Q$16-Q$19)&gt;=1000</formula>
    </cfRule>
  </conditionalFormatting>
  <conditionalFormatting sqref="W14">
    <cfRule type="expression" dxfId="1610" priority="21">
      <formula>ABS(W$16-W$19)&gt;=1000</formula>
    </cfRule>
  </conditionalFormatting>
  <conditionalFormatting sqref="X14">
    <cfRule type="expression" dxfId="1609" priority="20">
      <formula>ABS(X$16-X$19)&gt;=1000</formula>
    </cfRule>
  </conditionalFormatting>
  <conditionalFormatting sqref="T10:Y10">
    <cfRule type="expression" dxfId="1608" priority="19">
      <formula>ABS(T$7-T$10)&gt;=1000</formula>
    </cfRule>
  </conditionalFormatting>
  <conditionalFormatting sqref="W19">
    <cfRule type="expression" dxfId="1607" priority="18">
      <formula>ABS(W$16-W$19)&gt;=1000</formula>
    </cfRule>
  </conditionalFormatting>
  <conditionalFormatting sqref="AC5">
    <cfRule type="expression" dxfId="1606" priority="17">
      <formula>ABS(AC$7-AC$10)&gt;=1000</formula>
    </cfRule>
  </conditionalFormatting>
  <conditionalFormatting sqref="M14">
    <cfRule type="expression" dxfId="1605" priority="16">
      <formula>ABS(M$16-M$19)&gt;=1000</formula>
    </cfRule>
  </conditionalFormatting>
  <conditionalFormatting sqref="M16">
    <cfRule type="expression" dxfId="1604" priority="15">
      <formula>ABS(M$16-M$19)&gt;=1000</formula>
    </cfRule>
  </conditionalFormatting>
  <conditionalFormatting sqref="M19">
    <cfRule type="expression" dxfId="1603" priority="14">
      <formula>ABS(M$16-M$19)&gt;=1000</formula>
    </cfRule>
  </conditionalFormatting>
  <conditionalFormatting sqref="K13:K20">
    <cfRule type="expression" dxfId="1602" priority="13">
      <formula>ABS(K$16-K$19)&gt;=1000</formula>
    </cfRule>
  </conditionalFormatting>
  <conditionalFormatting sqref="E5">
    <cfRule type="expression" dxfId="1601" priority="12">
      <formula>ABS(E$7-E$10)&gt;=1000</formula>
    </cfRule>
  </conditionalFormatting>
  <conditionalFormatting sqref="AB14:AC14">
    <cfRule type="expression" dxfId="1600" priority="11">
      <formula>ABS(AB$16-AB$19)&gt;=1000</formula>
    </cfRule>
  </conditionalFormatting>
  <conditionalFormatting sqref="M5">
    <cfRule type="expression" dxfId="1599" priority="10">
      <formula>ABS(M$7-M$10)&gt;=1000</formula>
    </cfRule>
  </conditionalFormatting>
  <conditionalFormatting sqref="N5">
    <cfRule type="expression" dxfId="1598" priority="9">
      <formula>ABS(N$7-N$10)&gt;=1000</formula>
    </cfRule>
  </conditionalFormatting>
  <conditionalFormatting sqref="O5">
    <cfRule type="expression" dxfId="1597" priority="8">
      <formula>ABS(O$7-O$10)&gt;=1000</formula>
    </cfRule>
  </conditionalFormatting>
  <conditionalFormatting sqref="P5">
    <cfRule type="expression" dxfId="1596" priority="7">
      <formula>ABS(P$7-P$10)&gt;=1000</formula>
    </cfRule>
  </conditionalFormatting>
  <conditionalFormatting sqref="L23">
    <cfRule type="expression" dxfId="1595" priority="6">
      <formula>ABS(L$25-L$28)&gt;=1000</formula>
    </cfRule>
  </conditionalFormatting>
  <conditionalFormatting sqref="Y14">
    <cfRule type="expression" dxfId="1594" priority="5">
      <formula>ABS(Y$16-Y$19)&gt;=1000</formula>
    </cfRule>
  </conditionalFormatting>
  <conditionalFormatting sqref="F14">
    <cfRule type="expression" dxfId="1593" priority="4">
      <formula>ABS(F$16-F$19)&gt;=1000</formula>
    </cfRule>
  </conditionalFormatting>
  <conditionalFormatting sqref="H14">
    <cfRule type="expression" dxfId="1592" priority="3">
      <formula>ABS(H$16-H$19)&gt;=1000</formula>
    </cfRule>
  </conditionalFormatting>
  <conditionalFormatting sqref="AD5">
    <cfRule type="expression" dxfId="1591" priority="2">
      <formula>ABS(AD$7-AD$10)&gt;=1000</formula>
    </cfRule>
  </conditionalFormatting>
  <conditionalFormatting sqref="AE5">
    <cfRule type="expression" dxfId="159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2316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67">
    <pageSetUpPr fitToPage="1"/>
  </sheetPr>
  <dimension ref="A1:CU223"/>
  <sheetViews>
    <sheetView view="pageBreakPreview" topLeftCell="A7" zoomScale="70" zoomScaleNormal="100" zoomScaleSheetLayoutView="70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2" t="s" ph="1">
        <v>161</v>
      </c>
      <c r="C1" s="182" ph="1"/>
      <c r="D1" s="182" ph="1"/>
      <c r="E1" s="182" ph="1"/>
      <c r="F1" s="182" ph="1"/>
      <c r="G1" s="182" ph="1"/>
      <c r="H1" s="182" ph="1"/>
      <c r="I1" s="182" ph="1"/>
      <c r="J1" s="182" ph="1"/>
      <c r="K1" s="182" ph="1"/>
      <c r="L1" s="182" ph="1"/>
      <c r="M1" s="182" ph="1"/>
      <c r="N1" s="182" ph="1"/>
      <c r="O1" s="182" ph="1"/>
      <c r="P1" s="182" ph="1"/>
      <c r="Q1" s="182" ph="1"/>
      <c r="R1" s="182" ph="1"/>
      <c r="S1" s="182" ph="1"/>
      <c r="T1" s="182" ph="1"/>
      <c r="U1" s="182" ph="1"/>
      <c r="V1" s="182" ph="1"/>
      <c r="W1" s="182" ph="1"/>
      <c r="X1" s="182" ph="1"/>
      <c r="Y1" s="182" ph="1"/>
      <c r="Z1" s="182" ph="1"/>
      <c r="AA1" s="182" ph="1"/>
      <c r="AB1" s="182" ph="1"/>
      <c r="AC1" s="182" ph="1"/>
      <c r="AD1" s="182" ph="1"/>
      <c r="AE1" s="182" ph="1"/>
    </row>
    <row r="2" spans="1:99" s="66" customFormat="1" ht="24" customHeight="1" ph="1">
      <c r="B2" s="183" t="s" ph="1">
        <v>82</v>
      </c>
      <c r="C2" s="183" ph="1"/>
      <c r="D2" s="183" ph="1"/>
      <c r="E2" s="183" ph="1"/>
      <c r="F2" s="183" ph="1"/>
      <c r="G2" s="183" ph="1"/>
      <c r="H2" s="183" ph="1"/>
      <c r="I2" s="183" ph="1"/>
      <c r="J2" s="183" ph="1"/>
      <c r="K2" s="183" ph="1"/>
      <c r="L2" s="183" ph="1"/>
      <c r="M2" s="183" ph="1"/>
      <c r="N2" s="183" ph="1"/>
      <c r="O2" s="183" ph="1"/>
      <c r="P2" s="183" ph="1"/>
      <c r="Q2" s="183" ph="1"/>
      <c r="R2" s="183" ph="1"/>
      <c r="S2" s="183" ph="1"/>
      <c r="T2" s="183" ph="1"/>
      <c r="U2" s="183" ph="1"/>
      <c r="V2" s="183" ph="1"/>
      <c r="W2" s="183" ph="1"/>
      <c r="X2" s="183" ph="1"/>
      <c r="Y2" s="183" ph="1"/>
      <c r="Z2" s="183" ph="1"/>
      <c r="AA2" s="183" ph="1"/>
      <c r="AB2" s="183" ph="1"/>
      <c r="AC2" s="183" ph="1"/>
      <c r="AD2" s="183" ph="1"/>
      <c r="AE2" s="183" ph="1"/>
    </row>
    <row r="3" spans="1:99" ht="21" customHeight="1" ph="1">
      <c r="B3" s="184" ph="1">
        <v>46127</v>
      </c>
      <c r="C3" s="184"/>
      <c r="D3" s="184"/>
      <c r="E3" s="184"/>
      <c r="F3" s="184"/>
      <c r="G3" s="184"/>
      <c r="H3" s="184"/>
      <c r="I3" s="184"/>
      <c r="J3" s="184"/>
      <c r="K3" s="184"/>
      <c r="L3" s="184"/>
      <c r="M3" s="184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</row>
    <row r="4" spans="1:99" s="69" customFormat="1" ph="1">
      <c r="A4" s="65" ph="1"/>
      <c r="B4" s="185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5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1" ph="1">
        <v>0.33333333333333331</v>
      </c>
      <c r="C6" s="151" t="s" ph="1">
        <v>177</v>
      </c>
      <c r="D6" s="71">
        <v>3631</v>
      </c>
      <c r="E6" s="71">
        <v>6969</v>
      </c>
      <c r="F6" s="71">
        <v>5835</v>
      </c>
      <c r="G6" s="71">
        <v>9248</v>
      </c>
      <c r="H6" s="71">
        <v>6606</v>
      </c>
      <c r="I6" s="71">
        <v>10.220000000000001</v>
      </c>
      <c r="J6" s="71">
        <v>6.33</v>
      </c>
      <c r="K6" s="71">
        <v>7.49</v>
      </c>
      <c r="L6" s="71">
        <v>62.6</v>
      </c>
      <c r="M6" s="71">
        <v>1099</v>
      </c>
      <c r="N6" s="71">
        <v>4134</v>
      </c>
      <c r="O6" s="71">
        <v>4576</v>
      </c>
      <c r="P6" s="71">
        <v>244</v>
      </c>
      <c r="Q6" s="71">
        <v>0</v>
      </c>
      <c r="R6" s="71">
        <v>4726</v>
      </c>
      <c r="S6" s="71">
        <v>2713</v>
      </c>
      <c r="T6" s="71">
        <v>2673</v>
      </c>
      <c r="U6" s="71">
        <v>2576</v>
      </c>
      <c r="V6" s="71">
        <v>0</v>
      </c>
      <c r="W6" s="71">
        <v>0</v>
      </c>
      <c r="X6" s="71">
        <v>0</v>
      </c>
      <c r="Y6" s="71">
        <v>0</v>
      </c>
      <c r="Z6" s="71">
        <v>4468</v>
      </c>
      <c r="AA6" s="71">
        <v>4217</v>
      </c>
      <c r="AB6" s="71">
        <v>1634</v>
      </c>
      <c r="AC6" s="71">
        <v>8756</v>
      </c>
      <c r="AD6" s="71">
        <v>2810</v>
      </c>
      <c r="AE6" s="71">
        <v>3042</v>
      </c>
    </row>
    <row r="7" spans="1:99" s="72" customFormat="1" ht="22.2" ph="1">
      <c r="B7" s="181" ph="1"/>
      <c r="C7" s="68" t="s" ph="1">
        <v>178</v>
      </c>
      <c r="D7" s="73" ph="1">
        <f>D6*33.183*LOOKUP(D8,密度!$A$2:$A$50,密度!$Q$2:$Q$50)</f>
        <v>113984.76408219</v>
      </c>
      <c r="E7" s="73" ph="1">
        <f>E6*51.53*LOOKUP(E8,密度!$A$2:$A$50,密度!$B$2:$B$50)</f>
        <v>279964.15957199998</v>
      </c>
      <c r="F7" s="73" ph="1">
        <f>F6*33.183*LOOKUP(F8,密度!$A$2:$A$50,密度!$C$2:$C$50)</f>
        <v>214843.86442799997</v>
      </c>
      <c r="G7" s="73" ph="1">
        <f xml:space="preserve"> (G6+2)*51.53*LOOKUP(G8,密度!$A$2:$A$50,密度!$B$2:$B$50)</f>
        <v>371169.30174999998</v>
      </c>
      <c r="H7" s="73" ph="1">
        <f>(H6)*51.53*LOOKUP(H8,密度!$A$2:$A$50,密度!$B$2:$B$50)</f>
        <v>266606.903376</v>
      </c>
      <c r="I7" s="73" ph="1">
        <f>I6*290.8*1.0267</f>
        <v>3051.3277591999999</v>
      </c>
      <c r="J7" s="73" ph="1">
        <f>J6*290.8*0.7892</f>
        <v>1452.7309488000001</v>
      </c>
      <c r="K7" s="73" ph="1">
        <f>K6*290.8*1.1126</f>
        <v>2423.3451592000001</v>
      </c>
      <c r="L7" s="73" ph="1">
        <f>L6*290.8*0.777</f>
        <v>14144.570160000001</v>
      </c>
      <c r="M7" s="73" ph="1">
        <f>M6*33.183*LOOKUP(M8,密度!$A$2:$A$50,密度!$D$2:$D$50)</f>
        <v>37408.994418599999</v>
      </c>
      <c r="N7" s="73" ph="1">
        <f>N6*33.183*LOOKUP(N8,密度!$A$2:$A$50,密度!$E$2:$E$50)</f>
        <v>106971.81145560001</v>
      </c>
      <c r="O7" s="73" ph="1">
        <f>O6*20.428*LOOKUP(O8,密度!$A$2:$A$50,密度!$C$2:$C$50)</f>
        <v>103106.81638400001</v>
      </c>
      <c r="P7" s="73" ph="1">
        <f>P6*51.53*LOOKUP(P8,密度!$A$2:$A$50,密度!$B$2:$B$50)</f>
        <v>9824.7922479999997</v>
      </c>
      <c r="Q7" s="73" ph="1">
        <f>Q6*1.5*1.5*3.1416*LOOKUP(W8,密度!$A$2:$A$50,密度!$L$2:$L$50)</f>
        <v>0</v>
      </c>
      <c r="R7" s="73" ph="1">
        <f>R6*1.5*1.5*3.1416*LOOKUP(R8,密度!$A$2:$A$50,密度!$L$2:$L$50)</f>
        <v>31101.175551600001</v>
      </c>
      <c r="S7" s="73" ph="1">
        <f>S6*1.5*1.5*3.1416*LOOKUP(S8,密度!$A$2:$A$50,密度!$L$2:$L$50)</f>
        <v>18026.485091999999</v>
      </c>
      <c r="T7" s="73" ph="1">
        <f>T6*1.5*1.5*3.1416*LOOKUP(T8,密度!$A$2:$A$50,密度!$L$2:$L$50)</f>
        <v>17798.494467599998</v>
      </c>
      <c r="U7" s="73" ph="1">
        <f>U6*1.5*1.5*3.1416*LOOKUP(U8,密度!$A$2:$A$50,密度!$L$2:$L$50)</f>
        <v>17043.355929599998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139069.42207199999</v>
      </c>
      <c r="AA7" s="73" ph="1">
        <f>AA6*33.183*LOOKUP(AA8,密度!$A$2:$A$50,密度!$D$2:$D$50)</f>
        <v>143542.97494380001</v>
      </c>
      <c r="AB7" s="73" ph="1">
        <f>AB6*20.428*LOOKUP(AB8,密度!$A$2:$A$50,密度!$D$2:$D$50)</f>
        <v>34454.167134399999</v>
      </c>
      <c r="AC7" s="73" ph="1">
        <f>AC6*51.53*LOOKUP(AC8,密度!$A$2:$A$50,密度!$Q$2:$Q$50)</f>
        <v>428226.25702119997</v>
      </c>
      <c r="AD7" s="73" ph="1">
        <f>AD6*20.428*LOOKUP(AD8,密度!$A$2:$A$50,密度!$V$2:$V$50)</f>
        <v>55152.494943999998</v>
      </c>
      <c r="AE7" s="73" ph="1">
        <f>AE6*20.428</f>
        <v>62141.976000000002</v>
      </c>
    </row>
    <row r="8" spans="1:99" ph="1">
      <c r="B8" s="181" ph="1"/>
      <c r="C8" s="68" t="s" ph="1">
        <v>179</v>
      </c>
      <c r="D8" s="74">
        <v>26</v>
      </c>
      <c r="E8" s="74">
        <v>25</v>
      </c>
      <c r="F8" s="74">
        <v>24</v>
      </c>
      <c r="G8" s="74">
        <v>26</v>
      </c>
      <c r="H8" s="74">
        <v>21</v>
      </c>
      <c r="I8" s="74">
        <v>25</v>
      </c>
      <c r="J8" s="74">
        <v>25</v>
      </c>
      <c r="K8" s="74">
        <v>25</v>
      </c>
      <c r="L8" s="74">
        <v>25</v>
      </c>
      <c r="M8" s="74">
        <v>26</v>
      </c>
      <c r="N8" s="74">
        <v>28</v>
      </c>
      <c r="O8" s="74">
        <v>32</v>
      </c>
      <c r="P8" s="74">
        <v>23</v>
      </c>
      <c r="Q8" s="74">
        <v>26</v>
      </c>
      <c r="R8" s="74">
        <v>31</v>
      </c>
      <c r="S8" s="74">
        <v>22</v>
      </c>
      <c r="T8" s="74">
        <v>20</v>
      </c>
      <c r="U8" s="74">
        <v>26</v>
      </c>
      <c r="V8" s="74">
        <v>28</v>
      </c>
      <c r="W8" s="74">
        <v>24</v>
      </c>
      <c r="X8" s="74">
        <v>15</v>
      </c>
      <c r="Y8" s="74">
        <v>24</v>
      </c>
      <c r="Z8" s="74">
        <v>24</v>
      </c>
      <c r="AA8" s="74">
        <v>26</v>
      </c>
      <c r="AB8" s="74">
        <v>19</v>
      </c>
      <c r="AC8" s="74">
        <v>22</v>
      </c>
      <c r="AD8" s="74">
        <v>24</v>
      </c>
      <c r="AE8" s="74">
        <v>27</v>
      </c>
    </row>
    <row r="9" spans="1:99" ht="26.4" ph="1">
      <c r="B9" s="181" ph="1">
        <v>0.66666666666666663</v>
      </c>
      <c r="C9" s="151" t="s" ph="1">
        <v>180</v>
      </c>
      <c r="D9" s="71">
        <v>3633</v>
      </c>
      <c r="E9" s="71">
        <v>6969</v>
      </c>
      <c r="F9" s="71">
        <v>5838</v>
      </c>
      <c r="G9" s="71">
        <v>9133</v>
      </c>
      <c r="H9" s="71">
        <v>6610</v>
      </c>
      <c r="I9" s="71">
        <v>10.17</v>
      </c>
      <c r="J9" s="71">
        <v>6.32</v>
      </c>
      <c r="K9" s="71">
        <v>7.51</v>
      </c>
      <c r="L9" s="71">
        <v>37.44</v>
      </c>
      <c r="M9" s="71">
        <v>1098</v>
      </c>
      <c r="N9" s="71">
        <v>4136</v>
      </c>
      <c r="O9" s="71">
        <v>4576</v>
      </c>
      <c r="P9" s="71">
        <v>470</v>
      </c>
      <c r="Q9" s="71">
        <v>0</v>
      </c>
      <c r="R9" s="71">
        <v>755</v>
      </c>
      <c r="S9" s="71">
        <v>4585</v>
      </c>
      <c r="T9" s="71">
        <v>5221</v>
      </c>
      <c r="U9" s="71">
        <v>5174</v>
      </c>
      <c r="V9" s="71">
        <v>0</v>
      </c>
      <c r="W9" s="71">
        <v>0</v>
      </c>
      <c r="X9" s="71">
        <v>0</v>
      </c>
      <c r="Y9" s="71">
        <v>0</v>
      </c>
      <c r="Z9" s="71">
        <v>4526</v>
      </c>
      <c r="AA9" s="71">
        <v>4224</v>
      </c>
      <c r="AB9" s="71">
        <v>1296</v>
      </c>
      <c r="AC9" s="71">
        <v>8760</v>
      </c>
      <c r="AD9" s="71">
        <v>2810</v>
      </c>
      <c r="AE9" s="71">
        <v>4233</v>
      </c>
    </row>
    <row r="10" spans="1:99" s="72" customFormat="1" ht="22.2" ph="1">
      <c r="B10" s="181" ph="1"/>
      <c r="C10" s="151" t="s" ph="1">
        <v>178</v>
      </c>
      <c r="D10" s="73" ph="1">
        <f>D9*33.183*LOOKUP(D11,密度!$A$2:$A$50,密度!$Q$2:$Q$50)</f>
        <v>113961.95508348</v>
      </c>
      <c r="E10" s="73" ph="1">
        <f>E9*51.53*LOOKUP(E11,密度!$A$2:$A$50,密度!$B$2:$B$50)</f>
        <v>279353.66820300004</v>
      </c>
      <c r="F10" s="73" ph="1">
        <f>F9*33.183*LOOKUP(F11,密度!$A$2:$A$50,密度!$C$2:$C$50)</f>
        <v>214663.7404674</v>
      </c>
      <c r="G10" s="73" ph="1">
        <f xml:space="preserve"> (G9+2)*51.53*LOOKUP(G11,密度!$A$2:$A$50,密度!$B$2:$B$50)</f>
        <v>365754.52935000003</v>
      </c>
      <c r="H10" s="73" ph="1">
        <f>(H9)*51.53*LOOKUP(H11,密度!$A$2:$A$50,密度!$B$2:$B$50)</f>
        <v>264963.08607000002</v>
      </c>
      <c r="I10" s="73" ph="1">
        <f>I9*290.8*1.0267</f>
        <v>3036.3995411999999</v>
      </c>
      <c r="J10" s="73" ph="1">
        <f>J9*290.8*0.7892</f>
        <v>1450.4359552000003</v>
      </c>
      <c r="K10" s="73" ph="1">
        <f>K9*290.8*1.1126</f>
        <v>2429.8160407999999</v>
      </c>
      <c r="L10" s="73" ph="1">
        <f>L9*290.8*0.777</f>
        <v>8459.6279040000009</v>
      </c>
      <c r="M10" s="73" ph="1">
        <f>M9*33.183*LOOKUP(M11,密度!$A$2:$A$50,密度!$D$2:$D$50)</f>
        <v>37203.711107399999</v>
      </c>
      <c r="N10" s="73" ph="1">
        <f>N9*33.183*LOOKUP(N11,密度!$A$2:$A$50,密度!$E$2:$E$50)</f>
        <v>106721.6249088</v>
      </c>
      <c r="O10" s="73" ph="1">
        <f>O9*20.428*LOOKUP(O11,密度!$A$2:$A$50,密度!$C$2:$C$50)</f>
        <v>103013.33785600001</v>
      </c>
      <c r="P10" s="73" ph="1">
        <f>P9*51.53*LOOKUP(P11,密度!$A$2:$A$50,密度!$B$2:$B$50)</f>
        <v>18755.27104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4941.8703180000002</v>
      </c>
      <c r="S10" s="73" ph="1">
        <f>S9*1.5*1.5*3.1416*LOOKUP(S11,密度!$A$2:$A$50,密度!$L$2:$L$50)</f>
        <v>30400.140077999997</v>
      </c>
      <c r="T10" s="73" ph="1">
        <f>T9*1.5*1.5*3.1416*LOOKUP(T11,密度!$A$2:$A$50,密度!$L$2:$L$50)</f>
        <v>34727.756124600004</v>
      </c>
      <c r="U10" s="73" ph="1">
        <f>U9*1.5*1.5*3.1416*LOOKUP(U11,密度!$A$2:$A$50,密度!$L$2:$L$50)</f>
        <v>34195.695533999999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140424.15123000002</v>
      </c>
      <c r="AA10" s="73" ph="1">
        <f>AA9*33.183*LOOKUP(AA11,密度!$A$2:$A$50,密度!$D$2:$D$50)</f>
        <v>143122.47333119999</v>
      </c>
      <c r="AB10" s="73" ph="1">
        <f>AB9*20.428*LOOKUP(AB11,密度!$A$2:$A$50,密度!$D$2:$D$50)</f>
        <v>27282.165984000003</v>
      </c>
      <c r="AC10" s="73" ph="1">
        <f>AC9*51.53*LOOKUP(AC11,密度!$A$2:$A$50,密度!$Q$2:$Q$50)</f>
        <v>425821.80332399998</v>
      </c>
      <c r="AD10" s="73" ph="1">
        <f>AD9*20.428*LOOKUP(AD11,密度!$A$2:$A$50,密度!$V$2:$V$50)</f>
        <v>54968.806367999998</v>
      </c>
      <c r="AE10" s="73" ph="1">
        <f>AE9*20.428</f>
        <v>86471.724000000002</v>
      </c>
    </row>
    <row r="11" spans="1:99" ph="1">
      <c r="A11" s="64" t="s" ph="1">
        <v>162</v>
      </c>
      <c r="B11" s="181" ph="1"/>
      <c r="C11" s="151" t="s" ph="1">
        <v>179</v>
      </c>
      <c r="D11" s="74">
        <v>27</v>
      </c>
      <c r="E11" s="74">
        <v>27</v>
      </c>
      <c r="F11" s="74">
        <v>26</v>
      </c>
      <c r="G11" s="74">
        <v>28</v>
      </c>
      <c r="H11" s="74">
        <v>27</v>
      </c>
      <c r="I11" s="74">
        <v>25</v>
      </c>
      <c r="J11" s="74">
        <v>25</v>
      </c>
      <c r="K11" s="74">
        <v>25</v>
      </c>
      <c r="L11" s="74">
        <v>25</v>
      </c>
      <c r="M11" s="74">
        <v>31</v>
      </c>
      <c r="N11" s="74">
        <v>30</v>
      </c>
      <c r="O11" s="74">
        <v>33</v>
      </c>
      <c r="P11" s="74">
        <v>31</v>
      </c>
      <c r="Q11" s="74">
        <v>33</v>
      </c>
      <c r="R11" s="74">
        <v>36</v>
      </c>
      <c r="S11" s="74">
        <v>24</v>
      </c>
      <c r="T11" s="74">
        <v>21</v>
      </c>
      <c r="U11" s="74">
        <v>27</v>
      </c>
      <c r="V11" s="74">
        <v>28</v>
      </c>
      <c r="W11" s="74">
        <v>33</v>
      </c>
      <c r="X11" s="74">
        <v>26</v>
      </c>
      <c r="Y11" s="74">
        <v>32</v>
      </c>
      <c r="Z11" s="74">
        <v>27</v>
      </c>
      <c r="AA11" s="74">
        <v>31</v>
      </c>
      <c r="AB11" s="74">
        <v>21</v>
      </c>
      <c r="AC11" s="74">
        <v>30</v>
      </c>
      <c r="AD11" s="74">
        <v>28</v>
      </c>
      <c r="AE11" s="74">
        <v>29</v>
      </c>
    </row>
    <row r="12" spans="1:99" ht="9.9" customHeight="1" ph="1"/>
    <row r="13" spans="1:99" s="72" customFormat="1" ht="29.25" customHeight="1" ph="1">
      <c r="B13" s="189" t="s" ph="1">
        <v>37</v>
      </c>
      <c r="C13" s="151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0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639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1" ph="1">
        <v>0.33333333333333331</v>
      </c>
      <c r="C15" s="151" t="s" ph="1">
        <v>177</v>
      </c>
      <c r="D15" s="78">
        <v>0</v>
      </c>
      <c r="E15" s="78">
        <v>4799</v>
      </c>
      <c r="F15" s="78">
        <v>3474</v>
      </c>
      <c r="G15" s="78">
        <v>3866</v>
      </c>
      <c r="H15" s="78">
        <v>4098</v>
      </c>
      <c r="I15" s="78">
        <v>1027</v>
      </c>
      <c r="J15" s="78">
        <v>2638</v>
      </c>
      <c r="K15" s="78">
        <v>5016</v>
      </c>
      <c r="L15" s="78">
        <v>5097</v>
      </c>
      <c r="M15" s="78">
        <v>6869</v>
      </c>
      <c r="N15" s="78">
        <v>652</v>
      </c>
      <c r="O15" s="78">
        <v>5013</v>
      </c>
      <c r="P15" s="78">
        <v>1107</v>
      </c>
      <c r="Q15" s="78">
        <v>82</v>
      </c>
      <c r="R15" s="78">
        <v>7423</v>
      </c>
      <c r="S15" s="78">
        <v>0</v>
      </c>
      <c r="T15" s="78">
        <v>5405</v>
      </c>
      <c r="U15" s="78">
        <v>1724</v>
      </c>
      <c r="V15" s="78">
        <v>-817</v>
      </c>
      <c r="W15" s="71">
        <v>-171</v>
      </c>
      <c r="X15" s="78">
        <v>-143</v>
      </c>
      <c r="Y15" s="106">
        <v>-2363</v>
      </c>
      <c r="Z15" s="78">
        <v>0</v>
      </c>
      <c r="AA15" s="78">
        <v>0</v>
      </c>
      <c r="AB15" s="78" ph="1">
        <v>404</v>
      </c>
      <c r="AC15" s="78" ph="1">
        <v>6006</v>
      </c>
      <c r="AD15" s="78">
        <v>55.92</v>
      </c>
      <c r="AE15" s="78">
        <v>10.97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2" ph="1"/>
      <c r="C16" s="151" t="s" ph="1">
        <v>178</v>
      </c>
      <c r="D16" s="73" ph="1">
        <f>D15*7.0686*LOOKUP(D17,密度!$A$2:$A$50,密度!$L$2:$L$50)</f>
        <v>0</v>
      </c>
      <c r="E16" s="73" ph="1">
        <f>E15*7.0686*LOOKUP(E17,密度!$A$2:$A$50,密度!$L$2:$L$50)</f>
        <v>31819.034293199999</v>
      </c>
      <c r="F16" s="73" ph="1">
        <f>F15*9.0746*LOOKUP(F17,密度!$A$2:$A$50,密度!$L$2:$L$50)</f>
        <v>29286.874011600001</v>
      </c>
      <c r="G16" s="73" ph="1">
        <f>G15*9.0746*LOOKUP(G17,密度!$A$2:$A$50,密度!$B$2:$B$50)</f>
        <v>27318.667683319996</v>
      </c>
      <c r="H16" s="73" ph="1">
        <f>H15*9.0746*LOOKUP(H17,密度!$A$2:$A$50,密度!$L$2:$L$50)</f>
        <v>34993.635862800002</v>
      </c>
      <c r="I16" s="73" ph="1">
        <f>I15*9.0746*LOOKUP(I17,密度!$A$2:$A$50,密度!$U$2:$U$50)</f>
        <v>9571.2437833999993</v>
      </c>
      <c r="J16" s="73" ph="1">
        <f>J15*9.0746*LOOKUP(J17,密度!$A$2:$A$50,密度!$L$2:$L$50)</f>
        <v>22406.711932800001</v>
      </c>
      <c r="K16" s="73" ph="1">
        <f>K15*9.0746*LOOKUP(K17,密度!$A$2:$A$50,密度!$C$2:$C$50)</f>
        <v>50475.12488304</v>
      </c>
      <c r="L16" s="73" ph="1">
        <f>L15*9.0746*LOOKUP(L17,密度!$A$2:$A$50,密度!$E$2:$E$50)</f>
        <v>36174.656032020001</v>
      </c>
      <c r="M16" s="73" ph="1">
        <f>M15*9.0746*LOOKUP(M17,密度!$A$2:$A$50,密度!$M$2:$M$50)</f>
        <v>54354.7486928</v>
      </c>
      <c r="N16" s="73" ph="1">
        <f>N15*9.0746*LOOKUP(N17,密度!$A$2:$A$50,密度!$M$2:$M$50)</f>
        <v>5194.8092176000009</v>
      </c>
      <c r="O16" s="73" ph="1">
        <f>O15*9.0746*LOOKUP(O17,密度!$A$2:$A$50,密度!$G$2:$G$50)</f>
        <v>43625.840038199996</v>
      </c>
      <c r="P16" s="73" ph="1">
        <f ca="1">P15*9.0746*LOOKUP(P17,密度!$A$2:$A$51,密度!$Q$2:$Q$50)</f>
        <v>9525.2210420400006</v>
      </c>
      <c r="Q16" s="73" ph="1">
        <f>Q15*9.0746*LOOKUP(Q17,密度!$A$2:$A$50,密度!$Q$2:$Q$50)</f>
        <v>705.02872348400001</v>
      </c>
      <c r="R16" s="73" ph="1">
        <f>MAX(R15*9.0746*LOOKUP(R17,密度!$A$2:$A$50,密度!$B$2:$B$50),0)</f>
        <v>52399.931936820001</v>
      </c>
      <c r="S16" s="73" ph="1">
        <f>S15*9.0746*LOOKUP(S17,密度!$A$2:$A$50,密度!$Q$2:$Q$50)</f>
        <v>0</v>
      </c>
      <c r="T16" s="73" ph="1">
        <f>T15*9.0746*LOOKUP(T17,密度!$A$2:$A$50,密度!$O$2:$O$50)</f>
        <v>45418.645238000005</v>
      </c>
      <c r="U16" s="73" ph="1">
        <f>U15*9.0746*LOOKUP(U17,密度!$A$2:$A$50,密度!$H$2:$H$50)</f>
        <v>14341.414353679998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3834.127524212</v>
      </c>
      <c r="X16" s="73" ph="1">
        <f>MAX(5600*LOOKUP(X17,密度!$A$2:$A$50,密度!$I$2:$I$50)+X15*9.0476*LOOKUP(X17,密度!$A$2:$A$50,密度!$I$2:$I$50),0)</f>
        <v>4478.8715473200009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0</v>
      </c>
      <c r="AB16" s="73" ph="1">
        <f>AB15*9.0746*LOOKUP(AB17,密度!$A$2:$A$50,密度!$L$2:$L$50)</f>
        <v>3438.8378192</v>
      </c>
      <c r="AC16" s="73" ph="1">
        <f>AC15*9.0746*LOOKUP(AC17,密度!$A$2:$A$50,密度!$L$2:$L$50)</f>
        <v>50795.908363200004</v>
      </c>
      <c r="AD16" s="73" ph="1">
        <f>AD15*268.68*LOOKUP(AD17,密度!$A$2:$A$50,密度!B2:B50)+IF(AD15&lt;=0,0,1566*LOOKUP(AD17,密度!$A$2:$A$50,密度!B2:B50))</f>
        <v>12934.02053376</v>
      </c>
      <c r="AE16" s="73" ph="1">
        <f>AE15*268.68*LOOKUP(AE17,密度!$A$2:$A$50,密度!B2:B50)+IF(AE15&lt;=0,0,1566*LOOKUP(AE17,密度!$A$2:$A$50,密度!B2:B50))</f>
        <v>3518.6619201600001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3" ph="1"/>
      <c r="C17" s="79" t="s" ph="1">
        <v>179</v>
      </c>
      <c r="D17" s="74">
        <v>24</v>
      </c>
      <c r="E17" s="74">
        <v>24</v>
      </c>
      <c r="F17" s="74">
        <v>33</v>
      </c>
      <c r="G17" s="74">
        <v>26</v>
      </c>
      <c r="H17" s="74">
        <v>21</v>
      </c>
      <c r="I17" s="74">
        <v>23</v>
      </c>
      <c r="J17" s="74">
        <v>26</v>
      </c>
      <c r="K17" s="74">
        <v>25</v>
      </c>
      <c r="L17" s="74">
        <v>26</v>
      </c>
      <c r="M17" s="74">
        <v>28</v>
      </c>
      <c r="N17" s="74">
        <v>22</v>
      </c>
      <c r="O17" s="74">
        <v>26</v>
      </c>
      <c r="P17" s="74">
        <v>23</v>
      </c>
      <c r="Q17" s="74">
        <v>24</v>
      </c>
      <c r="R17" s="74">
        <v>27</v>
      </c>
      <c r="S17" s="74">
        <v>25</v>
      </c>
      <c r="T17" s="74">
        <v>26</v>
      </c>
      <c r="U17" s="74">
        <v>23</v>
      </c>
      <c r="V17" s="74">
        <v>25</v>
      </c>
      <c r="W17" s="74">
        <v>26</v>
      </c>
      <c r="X17" s="74">
        <v>27</v>
      </c>
      <c r="Y17" s="108">
        <v>27</v>
      </c>
      <c r="Z17" s="74">
        <v>25</v>
      </c>
      <c r="AA17" s="74">
        <v>23</v>
      </c>
      <c r="AB17" s="74">
        <v>24</v>
      </c>
      <c r="AC17" s="74">
        <v>30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1" ph="1">
        <v>0.66666666666666663</v>
      </c>
      <c r="C18" s="79" t="s" ph="1">
        <v>180</v>
      </c>
      <c r="D18" s="71">
        <v>1853</v>
      </c>
      <c r="E18" s="71">
        <v>4804</v>
      </c>
      <c r="F18" s="71">
        <v>3473</v>
      </c>
      <c r="G18" s="71">
        <v>3924</v>
      </c>
      <c r="H18" s="71">
        <v>4099</v>
      </c>
      <c r="I18" s="71">
        <v>38</v>
      </c>
      <c r="J18" s="71">
        <v>2676</v>
      </c>
      <c r="K18" s="71">
        <v>5018</v>
      </c>
      <c r="L18" s="71">
        <v>5105</v>
      </c>
      <c r="M18" s="71">
        <v>3904</v>
      </c>
      <c r="N18" s="71">
        <v>651</v>
      </c>
      <c r="O18" s="71">
        <v>5017</v>
      </c>
      <c r="P18" s="71">
        <v>122</v>
      </c>
      <c r="Q18" s="71">
        <v>0</v>
      </c>
      <c r="R18" s="71">
        <v>7428</v>
      </c>
      <c r="S18" s="71">
        <v>0</v>
      </c>
      <c r="T18" s="71">
        <v>5408</v>
      </c>
      <c r="U18" s="71">
        <v>1723</v>
      </c>
      <c r="V18" s="71">
        <v>-817</v>
      </c>
      <c r="W18" s="71">
        <v>-173</v>
      </c>
      <c r="X18" s="71">
        <v>-144</v>
      </c>
      <c r="Y18" s="109">
        <v>-9907</v>
      </c>
      <c r="Z18" s="71">
        <v>0</v>
      </c>
      <c r="AA18" s="71">
        <v>0</v>
      </c>
      <c r="AB18" s="71">
        <v>964</v>
      </c>
      <c r="AC18" s="71">
        <v>6957</v>
      </c>
      <c r="AD18" s="71">
        <v>84.62</v>
      </c>
      <c r="AE18" s="71">
        <v>30.87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2" ph="1"/>
      <c r="C19" s="151" t="s" ph="1">
        <v>178</v>
      </c>
      <c r="D19" s="73" ph="1">
        <f>D18*7.0686*LOOKUP(D20,密度!$A$2:$A$50,密度!$L$2:$L$50)</f>
        <v>12168.1495782</v>
      </c>
      <c r="E19" s="73" ph="1">
        <f>E18*7.0686*LOOKUP(E20,密度!$A$2:$A$50,密度!$L$2:$L$50)</f>
        <v>31512.610483200002</v>
      </c>
      <c r="F19" s="73" ph="1">
        <f>F18*9.0746*LOOKUP(F20,密度!$A$2:$A$50,密度!$L$2:$L$50)</f>
        <v>29215.411536600001</v>
      </c>
      <c r="G19" s="73" ph="1">
        <f>G18*9.0746*LOOKUP(G20,密度!$A$2:$A$50,密度!$B$2:$B$50)</f>
        <v>27667.9835208</v>
      </c>
      <c r="H19" s="73" ph="1">
        <f>H18*9.0746*LOOKUP(H20,密度!$A$2:$A$50,密度!$L$2:$L$50)</f>
        <v>34890.584705199995</v>
      </c>
      <c r="I19" s="73" ph="1">
        <f>I18*9.0746*LOOKUP(I20,密度!$A$2:$A$50,密度!$U$2:$U$50)</f>
        <v>349.73145416000006</v>
      </c>
      <c r="J19" s="73" ph="1">
        <f>J18*9.0746*LOOKUP(J20,密度!$A$2:$A$50,密度!$L$2:$L$50)</f>
        <v>22608.059157600001</v>
      </c>
      <c r="K19" s="73" ph="1">
        <f>K18*9.0746*LOOKUP(K20,密度!$A$2:$A$50,密度!$C$2:$C$50)</f>
        <v>50358.641502520004</v>
      </c>
      <c r="L19" s="73" ph="1">
        <f>L18*9.0746*LOOKUP(L20,密度!$A$2:$A$50,密度!$E$2:$E$50)</f>
        <v>36124.884573399999</v>
      </c>
      <c r="M19" s="73" ph="1">
        <f>M18*9.0746*LOOKUP(M20,密度!$A$2:$A$50,密度!$M$2:$M$50)</f>
        <v>30781.664628608003</v>
      </c>
      <c r="N19" s="73" ph="1">
        <f>N18*9.0746*LOOKUP(N20,密度!$A$2:$A$50,密度!$M$2:$M$50)</f>
        <v>5151.3963311999996</v>
      </c>
      <c r="O19" s="73" ph="1">
        <f>O18*9.0746*LOOKUP(O20,密度!$A$2:$A$50,密度!$G$2:$G$50)</f>
        <v>43519.515672379996</v>
      </c>
      <c r="P19" s="73" ph="1">
        <f ca="1">P18*9.0746*LOOKUP(P20,密度!$A$2:$A$51,密度!$Q$2:$Q$50)</f>
        <v>1042.77862028</v>
      </c>
      <c r="Q19" s="73" ph="1">
        <f>Q18*9.0746*LOOKUP(Q20,密度!$A$2:$A$50,密度!$Q$2:$Q$50)</f>
        <v>0</v>
      </c>
      <c r="R19" s="73" ph="1">
        <f>MAX(R18*9.0746*LOOKUP(R20,密度!$A$2:$A$50,密度!$B$2:$B$50),0)</f>
        <v>52259.971658640003</v>
      </c>
      <c r="S19" s="73" ph="1">
        <f>S18*9.0746*LOOKUP(S20,密度!$A$2:$A$50,密度!$Q$2:$Q$50)</f>
        <v>0</v>
      </c>
      <c r="T19" s="73" ph="1">
        <f>T18*9.0746*LOOKUP(T20,密度!$A$2:$A$50,密度!$O$2:$O$50)</f>
        <v>45443.854476800007</v>
      </c>
      <c r="U19" s="73" ph="1">
        <f>U18*9.0746*LOOKUP(U20,密度!$A$2:$A$50,密度!$H$2:$H$50)</f>
        <v>14243.973113800001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3803.0889822159997</v>
      </c>
      <c r="X19" s="73" ph="1">
        <f>MAX(5600*LOOKUP(X20,密度!$A$2:$A$50,密度!$I$2:$I$50)+X18*9.0476*LOOKUP(X20,密度!$A$2:$A$50,密度!$I$2:$I$50),0)</f>
        <v>4445.3971232000004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0</v>
      </c>
      <c r="AB19" s="73" ph="1">
        <f>AB18*9.0746*LOOKUP(AB20,密度!$A$2:$A$50,密度!$L$2:$L$50)</f>
        <v>8109.3166487999997</v>
      </c>
      <c r="AC19" s="73" ph="1">
        <f>AC18*9.0746*LOOKUP(AC20,密度!$A$2:$A$50,密度!$L$2:$L$50)</f>
        <v>58649.620753800002</v>
      </c>
      <c r="AD19" s="73" ph="1">
        <f>AD18*268.68*LOOKUP(AD20,密度!$A$2:$A$50,密度!B5:B53)+IF(AD18&lt;=0,0,1566*LOOKUP(AD20,密度!$A$2:$A$50,密度!B5:B53))</f>
        <v>18882.422143200001</v>
      </c>
      <c r="AE19" s="73" ph="1">
        <f>AE18*268.68*LOOKUP(AE20,密度!$A$2:$A$50,密度!B5:B53)+IF(AE18&lt;=0,0,1566*LOOKUP(AE20,密度!$A$2:$A$50,密度!B5:B53))</f>
        <v>7661.3377932000012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2" ph="1"/>
      <c r="C20" s="80" t="s" ph="1">
        <v>179</v>
      </c>
      <c r="D20" s="81">
        <v>33</v>
      </c>
      <c r="E20" s="81">
        <v>34</v>
      </c>
      <c r="F20" s="81">
        <v>35</v>
      </c>
      <c r="G20" s="81">
        <v>28</v>
      </c>
      <c r="H20" s="81">
        <v>24</v>
      </c>
      <c r="I20" s="81">
        <v>36</v>
      </c>
      <c r="J20" s="81">
        <v>31</v>
      </c>
      <c r="K20" s="81">
        <v>29</v>
      </c>
      <c r="L20" s="81">
        <v>28</v>
      </c>
      <c r="M20" s="81">
        <v>31</v>
      </c>
      <c r="N20" s="81">
        <v>28</v>
      </c>
      <c r="O20" s="81">
        <v>29</v>
      </c>
      <c r="P20" s="81">
        <v>32</v>
      </c>
      <c r="Q20" s="81">
        <v>35</v>
      </c>
      <c r="R20" s="81">
        <v>30</v>
      </c>
      <c r="S20" s="81">
        <v>34</v>
      </c>
      <c r="T20" s="81">
        <v>29</v>
      </c>
      <c r="U20" s="81">
        <v>29</v>
      </c>
      <c r="V20" s="81">
        <v>30</v>
      </c>
      <c r="W20" s="81">
        <v>31</v>
      </c>
      <c r="X20" s="81">
        <v>32</v>
      </c>
      <c r="Y20" s="110">
        <v>32</v>
      </c>
      <c r="Z20" s="81">
        <v>35</v>
      </c>
      <c r="AA20" s="81">
        <v>32</v>
      </c>
      <c r="AB20" s="81">
        <v>35</v>
      </c>
      <c r="AC20" s="81">
        <v>33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0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69" t="s" ph="1">
        <v>69</v>
      </c>
      <c r="AA22" s="170"/>
      <c r="AB22" s="170"/>
      <c r="AC22" s="170"/>
      <c r="AD22" s="170"/>
      <c r="AE22" s="17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5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72" t="s" ph="1">
        <v>637</v>
      </c>
      <c r="AA23" s="173"/>
      <c r="AB23" s="173"/>
      <c r="AC23" s="173"/>
      <c r="AD23" s="173"/>
      <c r="AE23" s="17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1" ph="1">
        <v>0.33333333333333331</v>
      </c>
      <c r="C24" s="151" t="s" ph="1">
        <v>177</v>
      </c>
      <c r="D24" s="71">
        <v>60.57</v>
      </c>
      <c r="E24" s="71">
        <v>3.45</v>
      </c>
      <c r="F24" s="71">
        <v>3681</v>
      </c>
      <c r="G24" s="71">
        <v>2990</v>
      </c>
      <c r="H24" s="71">
        <v>3918</v>
      </c>
      <c r="I24" s="71">
        <v>2512</v>
      </c>
      <c r="J24" s="71">
        <v>830</v>
      </c>
      <c r="K24" s="71">
        <v>442</v>
      </c>
      <c r="L24" s="71">
        <v>470</v>
      </c>
      <c r="M24" s="71">
        <v>3720</v>
      </c>
      <c r="N24" s="71">
        <v>332</v>
      </c>
      <c r="O24" s="71">
        <v>5733</v>
      </c>
      <c r="P24" s="71">
        <v>334</v>
      </c>
      <c r="Q24" s="90">
        <v>1043</v>
      </c>
      <c r="R24" s="71">
        <v>4788</v>
      </c>
      <c r="S24" s="71">
        <v>359</v>
      </c>
      <c r="T24" s="71">
        <v>1276</v>
      </c>
      <c r="U24" s="71">
        <v>4495</v>
      </c>
      <c r="V24" s="71">
        <v>4176</v>
      </c>
      <c r="W24" s="71">
        <v>10140</v>
      </c>
      <c r="X24" s="71">
        <v>4586</v>
      </c>
      <c r="Y24" s="71">
        <v>7386</v>
      </c>
      <c r="Z24" s="175"/>
      <c r="AA24" s="176"/>
      <c r="AB24" s="176"/>
      <c r="AC24" s="176"/>
      <c r="AD24" s="176"/>
      <c r="AE24" s="17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1" ph="1"/>
      <c r="C25" s="68" t="s" ph="1">
        <v>178</v>
      </c>
      <c r="D25" s="91" ph="1">
        <f>D24*268.68*LOOKUP(D26,密度!$A$2:$A$50,密度!$Q$2:$Q$50)+IF(D24&lt;=0,0,1566*LOOKUP(D26,密度!$A$2:$A$50,密度!$Q$2:$Q$50))</f>
        <v>16889.791990824004</v>
      </c>
      <c r="E25" s="91" ph="1">
        <f>E24*268.68*LOOKUP(E26,密度!$A$2:$A$50,密度!$C$2:$C$50)+IF(E24&lt;=0,0,1566*LOOKUP(E26,密度!$A$2:$A$50,密度!$C$2:$C$50))</f>
        <v>2764.4278193999999</v>
      </c>
      <c r="F25" s="91" ph="1">
        <f>F24*11.702*LOOKUP(F26,密度!$A$2:$A$50,密度!$Q$2:$Q$50)</f>
        <v>40750.300903859999</v>
      </c>
      <c r="G25" s="91" ph="1">
        <f>G24*18.322*LOOKUP(G26,密度!$A$2:$A$50,密度!$B$2:$B$50)</f>
        <v>42659.350785999995</v>
      </c>
      <c r="H25" s="91" ph="1">
        <f>H24*18.322*LOOKUP(H26,密度!$A$2:$A$50,密度!$B$2:$B$50)</f>
        <v>55899.443605199987</v>
      </c>
      <c r="I25" s="91" ph="1">
        <f>I24*18.322*LOOKUP(I26,密度!$A$2:$A$50,密度!$Q$2:$Q$50)</f>
        <v>43573.579743360002</v>
      </c>
      <c r="J25" s="91" ph="1">
        <f>J24*18.322*LOOKUP(J26,密度!$A$2:$A$50,密度!$Q$2:$Q$50)</f>
        <v>14375.727023200001</v>
      </c>
      <c r="K25" s="91" ph="1">
        <f>K24*18.322*LOOKUP(K26,密度!$A$2:$A$50,密度!$Q$2:$Q$50)</f>
        <v>7661.2574537199998</v>
      </c>
      <c r="L25" s="91" ph="1">
        <f>L24*18.322*LOOKUP(L26,密度!$A$2:$A$50,密度!$Q$2:$Q$50)</f>
        <v>8152.7000316000003</v>
      </c>
      <c r="M25" s="91" ph="1">
        <f>M24*18.322*LOOKUP(M26,密度!$A$2:$A$50,密度!$Q$2:$Q$50)</f>
        <v>64527.753441599998</v>
      </c>
      <c r="N25" s="91" ph="1">
        <f>N24*18.322*LOOKUP(N26,密度!$A$2:$A$50,密度!$Q$2:$Q$50)</f>
        <v>5773.2233573599997</v>
      </c>
      <c r="O25" s="91" ph="1">
        <f>O24*18.322*LOOKUP(O26,密度!$A$2:$A$50,密度!$C$2:$C$50)</f>
        <v>116636.44487040001</v>
      </c>
      <c r="P25" s="91" ph="1">
        <f>P24*11.702*LOOKUP(P26,密度!$A$2:$A$50,密度!$B$2:$B$50)</f>
        <v>3043.5240315999995</v>
      </c>
      <c r="Q25" s="92" ph="1">
        <f>Q24*18.322*LOOKUP(Q26,密度!$A$2:$A$50,密度!$B$2:$B$50)</f>
        <v>14898.035941599997</v>
      </c>
      <c r="R25" s="91" ph="1">
        <f>R24*35.891*LOOKUP(R26,密度!$A$2:$A$50,密度!$C$2:$C$50)</f>
        <v>190560.14916119998</v>
      </c>
      <c r="S25" s="91" ph="1">
        <f>S24*35.891*LOOKUP(S26,密度!$A$2:$A$50,密度!$B$2:$B$50)</f>
        <v>10023.139595099999</v>
      </c>
      <c r="T25" s="91" ph="1">
        <f>T24*35.891*LOOKUP(T26,密度!$A$2:$A$50,密度!$Q$2:$Q$50)</f>
        <v>43325.256443480001</v>
      </c>
      <c r="U25" s="91" ph="1">
        <f>U24*35.891</f>
        <v>161330.04499999998</v>
      </c>
      <c r="V25" s="91" ph="1">
        <f>V24*47.051*LOOKUP(V26,密度!$A$2:$A$50,密度!$B$2:$B$50)</f>
        <v>153533.3602464</v>
      </c>
      <c r="W25" s="91" ph="1">
        <f>W24*47.051*LOOKUP(W26,密度!$A$2:$A$50,密度!$B$2:$B$50)</f>
        <v>371515.54291799996</v>
      </c>
      <c r="X25" s="91" ph="1">
        <f>X24*47.051*LOOKUP(X26,密度!$A$2:$A$61,密度!$I$2:$I$61)</f>
        <v>222486.51605459998</v>
      </c>
      <c r="Y25" s="91" ph="1">
        <f>Y24*47.051*LOOKUP(Y26,密度!$A$2:$A$50,密度!$L$2:$L$50)</f>
        <v>325625.00878199999</v>
      </c>
      <c r="Z25" s="175"/>
      <c r="AA25" s="176"/>
      <c r="AB25" s="176"/>
      <c r="AC25" s="176"/>
      <c r="AD25" s="176"/>
      <c r="AE25" s="17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1" ph="1"/>
      <c r="C26" s="68" t="s" ph="1">
        <v>179</v>
      </c>
      <c r="D26" s="74">
        <v>25</v>
      </c>
      <c r="E26" s="74">
        <v>25</v>
      </c>
      <c r="F26" s="74">
        <v>26</v>
      </c>
      <c r="G26" s="74">
        <v>26</v>
      </c>
      <c r="H26" s="74">
        <v>26</v>
      </c>
      <c r="I26" s="74">
        <v>25</v>
      </c>
      <c r="J26" s="74">
        <v>27</v>
      </c>
      <c r="K26" s="74">
        <v>26</v>
      </c>
      <c r="L26" s="74">
        <v>25</v>
      </c>
      <c r="M26" s="74">
        <v>25</v>
      </c>
      <c r="N26" s="74">
        <v>22</v>
      </c>
      <c r="O26" s="74">
        <v>23</v>
      </c>
      <c r="P26" s="74">
        <v>26</v>
      </c>
      <c r="Q26" s="93">
        <v>25</v>
      </c>
      <c r="R26" s="74">
        <v>25</v>
      </c>
      <c r="S26" s="74">
        <v>27</v>
      </c>
      <c r="T26" s="74">
        <v>26</v>
      </c>
      <c r="U26" s="74">
        <v>23</v>
      </c>
      <c r="V26" s="74">
        <v>23</v>
      </c>
      <c r="W26" s="74">
        <v>26</v>
      </c>
      <c r="X26" s="74">
        <v>35</v>
      </c>
      <c r="Y26" s="74">
        <v>25</v>
      </c>
      <c r="Z26" s="175"/>
      <c r="AA26" s="176"/>
      <c r="AB26" s="176"/>
      <c r="AC26" s="176"/>
      <c r="AD26" s="176"/>
      <c r="AE26" s="17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1" ph="1">
        <v>0.66666666666666663</v>
      </c>
      <c r="C27" s="151" t="s" ph="1">
        <v>180</v>
      </c>
      <c r="D27" s="71">
        <v>60.62</v>
      </c>
      <c r="E27" s="71">
        <v>10.01</v>
      </c>
      <c r="F27" s="71">
        <v>920</v>
      </c>
      <c r="G27" s="71">
        <v>2565</v>
      </c>
      <c r="H27" s="71">
        <v>2845</v>
      </c>
      <c r="I27" s="71">
        <v>3046</v>
      </c>
      <c r="J27" s="71">
        <v>827</v>
      </c>
      <c r="K27" s="71">
        <v>440</v>
      </c>
      <c r="L27" s="71">
        <v>466</v>
      </c>
      <c r="M27" s="71">
        <v>3719</v>
      </c>
      <c r="N27" s="71">
        <v>328</v>
      </c>
      <c r="O27" s="71">
        <v>5621</v>
      </c>
      <c r="P27" s="71">
        <v>331</v>
      </c>
      <c r="Q27" s="90">
        <v>1192</v>
      </c>
      <c r="R27" s="71">
        <v>5219</v>
      </c>
      <c r="S27" s="71">
        <v>355</v>
      </c>
      <c r="T27" s="71">
        <v>1275</v>
      </c>
      <c r="U27" s="71">
        <v>4534</v>
      </c>
      <c r="V27" s="71">
        <v>4175</v>
      </c>
      <c r="W27" s="71">
        <v>9854</v>
      </c>
      <c r="X27" s="71">
        <v>4459</v>
      </c>
      <c r="Y27" s="71">
        <v>5767</v>
      </c>
      <c r="Z27" s="175"/>
      <c r="AA27" s="176"/>
      <c r="AB27" s="176"/>
      <c r="AC27" s="176"/>
      <c r="AD27" s="176"/>
      <c r="AE27" s="17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1" ph="1"/>
      <c r="C28" s="151" t="s" ph="1">
        <v>178</v>
      </c>
      <c r="D28" s="91" ph="1">
        <f>D27*268.68*LOOKUP(D29,密度!$A$2:$A$50,密度!$Q$2:$Q$50)+IF(D27&lt;=0,0,1566*LOOKUP(D29,密度!$A$2:$A$50,密度!$Q$2:$Q$50))</f>
        <v>16902.510495984003</v>
      </c>
      <c r="E28" s="91" ph="1">
        <f>E27*268.68*LOOKUP(E29,密度!$A$2:$A$50,密度!$C$2:$C$50)+IF(E27&lt;=0,0,1566*LOOKUP(E29,密度!$A$2:$A$50,密度!$C$2:$C$50))</f>
        <v>4718.9093125199997</v>
      </c>
      <c r="F28" s="91" ph="1">
        <f>F27*11.702*LOOKUP(F29,密度!$A$2:$A$50,密度!$Q$2:$Q$50)</f>
        <v>10192.4513616</v>
      </c>
      <c r="G28" s="91" ph="1">
        <f>G27*18.322*LOOKUP(G29,密度!$A$2:$A$50,密度!$B$2:$B$50)</f>
        <v>36478.240866</v>
      </c>
      <c r="H28" s="91" ph="1">
        <f>H27*18.322*LOOKUP(H29,密度!$A$2:$A$50,密度!$B$2:$B$50)</f>
        <v>40590.586282999997</v>
      </c>
      <c r="I28" s="91" ph="1">
        <f>I27*18.322*LOOKUP(I29,密度!$A$2:$A$50,密度!$Q$2:$Q$50)</f>
        <v>52836.434672880001</v>
      </c>
      <c r="J28" s="91" ph="1">
        <f>J27*18.322*LOOKUP(J29,密度!$A$2:$A$50,密度!$Q$2:$Q$50)</f>
        <v>14323.766564080001</v>
      </c>
      <c r="K28" s="91" ph="1">
        <f>K27*18.322*LOOKUP(K29,密度!$A$2:$A$50,密度!$Q$2:$Q$50)</f>
        <v>7632.3149231999996</v>
      </c>
      <c r="L28" s="91" ph="1">
        <f>L27*18.322*LOOKUP(L29,密度!$A$2:$A$50,密度!$Q$2:$Q$50)</f>
        <v>8083.3153504800002</v>
      </c>
      <c r="M28" s="91" ph="1">
        <f>M27*18.322*LOOKUP(M29,密度!$A$2:$A$50,密度!$Q$2:$Q$50)</f>
        <v>64462.028213539998</v>
      </c>
      <c r="N28" s="91" ph="1">
        <f>N27*18.322*LOOKUP(N29,密度!$A$2:$A$50,密度!$Q$2:$Q$50)</f>
        <v>5676.8034659200002</v>
      </c>
      <c r="O28" s="91" ph="1">
        <f>O27*18.322*LOOKUP(O29,密度!$A$2:$A$50,密度!$C$2:$C$50)</f>
        <v>114357.83300480001</v>
      </c>
      <c r="P28" s="91" ph="1">
        <f>P27*11.702*LOOKUP(P29,密度!$A$2:$A$50,密度!$B$2:$B$50)</f>
        <v>3019.6730152</v>
      </c>
      <c r="Q28" s="92" ph="1">
        <f>Q27*18.322*LOOKUP(Q29,密度!$A$2:$A$50,密度!$B$2:$B$50)</f>
        <v>17006.670948799998</v>
      </c>
      <c r="R28" s="91" ph="1">
        <f>R27*35.891*LOOKUP(R29,密度!$A$2:$A$50,密度!$C$2:$C$50)</f>
        <v>207563.89444490001</v>
      </c>
      <c r="S28" s="91" ph="1">
        <f>S27*35.891*LOOKUP(S29,密度!$A$2:$A$50,密度!$B$2:$B$50)</f>
        <v>9899.9939849999992</v>
      </c>
      <c r="T28" s="91" ph="1">
        <f>T27*35.891*LOOKUP(T29,密度!$A$2:$A$50,密度!$Q$2:$Q$50)</f>
        <v>43258.812152999999</v>
      </c>
      <c r="U28" s="91" ph="1">
        <f>U27*35.891</f>
        <v>162729.79399999999</v>
      </c>
      <c r="V28" s="91" ph="1">
        <f>V27*47.051*LOOKUP(V29,密度!$A$2:$A$50,密度!$B$2:$B$50)</f>
        <v>153143.00633</v>
      </c>
      <c r="W28" s="91" ph="1">
        <f>W27*47.051*LOOKUP(W29,密度!$A$2:$A$50,密度!$B$2:$B$50)</f>
        <v>361036.89939979999</v>
      </c>
      <c r="X28" s="91" ph="1">
        <f>X27*47.051*LOOKUP(X29,密度!$A$2:$A$61,密度!$I$2:$I$61)</f>
        <v>216325.20171989998</v>
      </c>
      <c r="Y28" s="91" ph="1">
        <f>Y27*47.051*LOOKUP(Y29,密度!$A$2:$A$50,密度!$L$2:$L$50)</f>
        <v>253977.15751200003</v>
      </c>
      <c r="Z28" s="175"/>
      <c r="AA28" s="176"/>
      <c r="AB28" s="176"/>
      <c r="AC28" s="176"/>
      <c r="AD28" s="176"/>
      <c r="AE28" s="17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1" ph="1"/>
      <c r="C29" s="151" t="s" ph="1">
        <v>179</v>
      </c>
      <c r="D29" s="74">
        <v>25</v>
      </c>
      <c r="E29" s="74">
        <v>25</v>
      </c>
      <c r="F29" s="74">
        <v>25</v>
      </c>
      <c r="G29" s="74">
        <v>29</v>
      </c>
      <c r="H29" s="74">
        <v>26</v>
      </c>
      <c r="I29" s="74">
        <v>25</v>
      </c>
      <c r="J29" s="74">
        <v>27</v>
      </c>
      <c r="K29" s="74">
        <v>25</v>
      </c>
      <c r="L29" s="74">
        <v>25</v>
      </c>
      <c r="M29" s="74">
        <v>26</v>
      </c>
      <c r="N29" s="74">
        <v>28</v>
      </c>
      <c r="O29" s="74">
        <v>23</v>
      </c>
      <c r="P29" s="74">
        <v>25</v>
      </c>
      <c r="Q29" s="93">
        <v>26</v>
      </c>
      <c r="R29" s="74">
        <v>26</v>
      </c>
      <c r="S29" s="74">
        <v>28</v>
      </c>
      <c r="T29" s="74">
        <v>27</v>
      </c>
      <c r="U29" s="74">
        <v>27</v>
      </c>
      <c r="V29" s="74">
        <v>25</v>
      </c>
      <c r="W29" s="74">
        <v>26</v>
      </c>
      <c r="X29" s="74">
        <v>35</v>
      </c>
      <c r="Y29" s="74">
        <v>26</v>
      </c>
      <c r="Z29" s="178"/>
      <c r="AA29" s="179"/>
      <c r="AB29" s="179"/>
      <c r="AC29" s="179"/>
      <c r="AD29" s="179"/>
      <c r="AE29" s="18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4" t="s" ph="1">
        <v>35</v>
      </c>
      <c r="C31" s="195" ph="1"/>
      <c r="D31" s="198" t="s" ph="1">
        <v>9</v>
      </c>
      <c r="E31" s="187" ph="1"/>
      <c r="F31" s="188" ph="1"/>
      <c r="G31" s="198" t="s" ph="1">
        <v>18</v>
      </c>
      <c r="H31" s="187" ph="1"/>
      <c r="I31" s="188" ph="1"/>
      <c r="J31" s="186" t="s" ph="1">
        <v>1</v>
      </c>
      <c r="K31" s="187" ph="1"/>
      <c r="L31" s="188" ph="1"/>
      <c r="M31" s="186" t="s" ph="1">
        <v>7</v>
      </c>
      <c r="N31" s="187" ph="1"/>
      <c r="O31" s="188" ph="1"/>
      <c r="P31" s="186" t="s" ph="1">
        <v>41</v>
      </c>
      <c r="Q31" s="187"/>
      <c r="R31" s="188"/>
      <c r="S31" s="186" t="s" ph="1">
        <v>2</v>
      </c>
      <c r="T31" s="187"/>
      <c r="U31" s="188"/>
      <c r="V31" s="186" t="s" ph="1">
        <v>71</v>
      </c>
      <c r="W31" s="187" ph="1"/>
      <c r="X31" s="188" ph="1"/>
      <c r="Y31" s="186" t="s" ph="1">
        <v>3</v>
      </c>
      <c r="Z31" s="187" ph="1"/>
      <c r="AA31" s="188" ph="1"/>
      <c r="AB31" s="209" t="s">
        <v>42</v>
      </c>
      <c r="AC31" s="210"/>
      <c r="AD31" s="210"/>
      <c r="AE31" s="211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6" ph="1"/>
      <c r="C32" s="197" ph="1"/>
      <c r="D32" s="96" t="s" ph="1">
        <v>4</v>
      </c>
      <c r="E32" s="151" t="s" ph="1">
        <v>5</v>
      </c>
      <c r="F32" s="152" t="s" ph="1">
        <v>43</v>
      </c>
      <c r="G32" s="97" t="s" ph="1">
        <v>4</v>
      </c>
      <c r="H32" s="151" t="s" ph="1">
        <v>5</v>
      </c>
      <c r="I32" s="152" t="s" ph="1">
        <v>43</v>
      </c>
      <c r="J32" s="97" t="s" ph="1">
        <v>4</v>
      </c>
      <c r="K32" s="151" t="s" ph="1">
        <v>5</v>
      </c>
      <c r="L32" s="152" t="s" ph="1">
        <v>43</v>
      </c>
      <c r="M32" s="97" t="s" ph="1">
        <v>4</v>
      </c>
      <c r="N32" s="151" t="s" ph="1">
        <v>5</v>
      </c>
      <c r="O32" s="152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1" t="s" ph="1">
        <v>5</v>
      </c>
      <c r="U32" s="99" t="s" ph="1">
        <v>43</v>
      </c>
      <c r="V32" s="97" t="s" ph="1">
        <v>4</v>
      </c>
      <c r="W32" s="151" t="s" ph="1">
        <v>5</v>
      </c>
      <c r="X32" s="99" t="s" ph="1">
        <v>43</v>
      </c>
      <c r="Y32" s="100" t="s" ph="1">
        <v>4</v>
      </c>
      <c r="Z32" s="151" t="s" ph="1">
        <v>5</v>
      </c>
      <c r="AA32" s="152" t="s" ph="1">
        <v>43</v>
      </c>
      <c r="AB32" s="97" t="s" ph="1">
        <v>85</v>
      </c>
      <c r="AC32" s="151" t="s" ph="1">
        <v>84</v>
      </c>
      <c r="AD32" s="212" t="s" ph="1">
        <v>83</v>
      </c>
      <c r="AE32" s="213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199" t="s" ph="1">
        <v>181</v>
      </c>
      <c r="C33" s="200" ph="1"/>
      <c r="D33" s="203" ph="1">
        <f>AA10+AB10+Z19</f>
        <v>170404.63931519998</v>
      </c>
      <c r="E33" s="203" ph="1">
        <f>M10+I10</f>
        <v>40240.110648599999</v>
      </c>
      <c r="F33" s="20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1522252632456786910111213141516171819202123456789101112131415161718192022232424356789101112131415161718192021222345678910111213141516171819202345678910111213149101516171819222123234567891012131415161711181920212224252345678910111213118[[#This Row],[F25]]</f>
        <v>3880</v>
      </c>
      <c r="G33" s="207" ph="1">
        <f>N19</f>
        <v>5151.3963311999996</v>
      </c>
      <c r="H33" s="203" ph="1">
        <f>M19</f>
        <v>30781.664628608003</v>
      </c>
      <c r="I33" s="216" ph="1">
        <v>0</v>
      </c>
      <c r="J33" s="214" ph="1">
        <f>F10+O28</f>
        <v>329021.57347220002</v>
      </c>
      <c r="K33" s="203" ph="1">
        <f>O10+K10+E28+R28</f>
        <v>317725.95765422005</v>
      </c>
      <c r="L33" s="218" ph="1">
        <f>K19</f>
        <v>50358.641502520004</v>
      </c>
      <c r="M33" s="214" ph="1">
        <f>G10+H10+W28+S28+V28+E10+R19+P28+Q28</f>
        <v>1506437.49896044</v>
      </c>
      <c r="N33" s="203" ph="1">
        <f>L10+P10++G28+H28+AD19+AE19</f>
        <v>130827.48602940001</v>
      </c>
      <c r="O33" s="216" ph="1">
        <f>G19</f>
        <v>27667.9835208</v>
      </c>
      <c r="P33" s="214" ph="1">
        <f>L19</f>
        <v>36124.884573399999</v>
      </c>
      <c r="Q33" s="203" ph="1">
        <f>J10+N10</f>
        <v>108172.060864</v>
      </c>
      <c r="R33" s="216" ph="1">
        <f>BE23</f>
        <v>890</v>
      </c>
      <c r="S33" s="214" ph="1">
        <f>X28</f>
        <v>216325.20171989998</v>
      </c>
      <c r="T33" s="203" ph="1">
        <f>X19</f>
        <v>4445.3971232000004</v>
      </c>
      <c r="U33" s="224" ph="1">
        <f>BE21</f>
        <v>730</v>
      </c>
      <c r="V33" s="235" ph="1">
        <f ca="1">P19+Q19+S19+M28+N28+J28+D10+AC10+D19+E19+H19+J19+O19+V19+W19+K28+L28</f>
        <v>789506.77412377612</v>
      </c>
      <c r="W33" s="235" ph="1">
        <f>D28+F28+T28+I28</f>
        <v>123190.20868346401</v>
      </c>
      <c r="X33" s="216" ph="1">
        <f>BE29+BE31</f>
        <v>10200</v>
      </c>
      <c r="Y33" s="237" ph="1">
        <f>+Q10+R10+S10+T10+U10+V10+W10+X10+Y10</f>
        <v>104265.46205460001</v>
      </c>
      <c r="Z33" s="222" ph="1">
        <f>T19+U19+Y28+Z10</f>
        <v>454089.13633260009</v>
      </c>
      <c r="AA33" s="224" ph="1">
        <f>BE19</f>
        <v>1440</v>
      </c>
      <c r="AB33" s="226" ph="1">
        <f>I19</f>
        <v>349.73145416000006</v>
      </c>
      <c r="AC33" s="228" ph="1">
        <f>AD10+AB19</f>
        <v>63078.123016799997</v>
      </c>
      <c r="AD33" s="230" ph="1">
        <v>0</v>
      </c>
      <c r="AE33" s="231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1" ph="1"/>
      <c r="C34" s="202" ph="1"/>
      <c r="D34" s="204" ph="1"/>
      <c r="E34" s="204" ph="1"/>
      <c r="F34" s="206" ph="1"/>
      <c r="G34" s="208" ph="1"/>
      <c r="H34" s="204" ph="1"/>
      <c r="I34" s="217" ph="1"/>
      <c r="J34" s="215" ph="1"/>
      <c r="K34" s="204" ph="1"/>
      <c r="L34" s="219" ph="1"/>
      <c r="M34" s="215" ph="1"/>
      <c r="N34" s="204" ph="1"/>
      <c r="O34" s="217" ph="1"/>
      <c r="P34" s="215" ph="1"/>
      <c r="Q34" s="204" ph="1"/>
      <c r="R34" s="217" ph="1"/>
      <c r="S34" s="215" ph="1"/>
      <c r="T34" s="204"/>
      <c r="U34" s="225"/>
      <c r="V34" s="236" ph="1"/>
      <c r="W34" s="236" ph="1"/>
      <c r="X34" s="217" ph="1"/>
      <c r="Y34" s="238" ph="1"/>
      <c r="Z34" s="223" ph="1"/>
      <c r="AA34" s="225" ph="1"/>
      <c r="AB34" s="227"/>
      <c r="AC34" s="229"/>
      <c r="AD34" s="232"/>
      <c r="AE34" s="233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4" t="s" ph="1">
        <v>631</v>
      </c>
      <c r="AD35" s="234"/>
      <c r="AE35" s="234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0" t="s" ph="1">
        <v>183</v>
      </c>
      <c r="J36" s="220" ph="1"/>
      <c r="K36" s="101" ph="1"/>
      <c r="P36" s="101" ph="1"/>
      <c r="R36" s="220" t="s" ph="1">
        <v>184</v>
      </c>
      <c r="S36" s="220" ph="1"/>
      <c r="Y36" s="102" ph="1"/>
      <c r="Z36" s="153" t="s" ph="1">
        <v>185</v>
      </c>
      <c r="AA36" s="153" ph="1"/>
      <c r="AB36" s="221" t="s" ph="1">
        <v>638</v>
      </c>
      <c r="AC36" s="221" ph="1"/>
      <c r="AD36" s="221" ph="1"/>
      <c r="AE36" s="221" ph="1"/>
      <c r="BA36" s="64" ph="1">
        <v>2270</v>
      </c>
    </row>
    <row r="37" spans="1:57" s="153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3" t="s" ph="1">
        <v>342</v>
      </c>
      <c r="AI37" s="153" t="s" ph="1">
        <v>209</v>
      </c>
      <c r="AJ37" s="153" t="s" ph="1">
        <v>210</v>
      </c>
      <c r="AK37" s="153" t="s" ph="1">
        <v>211</v>
      </c>
      <c r="AM37" s="153" t="s" ph="1">
        <v>210</v>
      </c>
      <c r="AN37" s="153" t="s" ph="1">
        <v>211</v>
      </c>
      <c r="AO37" s="153" t="s" ph="1">
        <v>212</v>
      </c>
      <c r="AP37" s="153" t="s" ph="1">
        <v>210</v>
      </c>
      <c r="AQ37" s="153" t="s" ph="1">
        <v>211</v>
      </c>
      <c r="AR37" s="153" t="s" ph="1">
        <v>212</v>
      </c>
      <c r="AS37" s="153" t="s" ph="1">
        <v>210</v>
      </c>
      <c r="AT37" s="153" t="s" ph="1">
        <v>211</v>
      </c>
      <c r="AU37" s="153" t="s" ph="1">
        <v>212</v>
      </c>
      <c r="AV37" s="153" t="s" ph="1">
        <v>210</v>
      </c>
      <c r="AW37" s="153" t="s" ph="1">
        <v>211</v>
      </c>
      <c r="AX37" s="153" t="s" ph="1">
        <v>212</v>
      </c>
      <c r="AY37" s="153" t="s" ph="1">
        <v>211</v>
      </c>
      <c r="AZ37" s="153" t="s" ph="1">
        <v>213</v>
      </c>
      <c r="BD37" s="153" t="s" ph="1">
        <v>305</v>
      </c>
      <c r="BE37" s="153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559" priority="100">
      <formula>ABS(D$7-D$10)&gt;=1000</formula>
    </cfRule>
  </conditionalFormatting>
  <conditionalFormatting sqref="E4 E6:E11">
    <cfRule type="expression" dxfId="1558" priority="99">
      <formula>ABS(E$7-E$10)&gt;=1000</formula>
    </cfRule>
  </conditionalFormatting>
  <conditionalFormatting sqref="F4:F11">
    <cfRule type="expression" dxfId="1557" priority="98">
      <formula>ABS(F$7-F$10)&gt;=1000</formula>
    </cfRule>
  </conditionalFormatting>
  <conditionalFormatting sqref="G4:G11">
    <cfRule type="expression" dxfId="1556" priority="97">
      <formula>ABS(G$7-G$10)&gt;=1000</formula>
    </cfRule>
  </conditionalFormatting>
  <conditionalFormatting sqref="H4:H11">
    <cfRule type="expression" dxfId="1555" priority="96">
      <formula>ABS(H$7-H$10)&gt;=1000</formula>
    </cfRule>
  </conditionalFormatting>
  <conditionalFormatting sqref="I4:I11">
    <cfRule type="expression" dxfId="1554" priority="95">
      <formula>ABS(I$7-I$10)&gt;=1000</formula>
    </cfRule>
  </conditionalFormatting>
  <conditionalFormatting sqref="J4:J11">
    <cfRule type="expression" dxfId="1553" priority="94">
      <formula>ABS(J$7-J$10)&gt;=1000</formula>
    </cfRule>
  </conditionalFormatting>
  <conditionalFormatting sqref="K4:K11">
    <cfRule type="expression" dxfId="1552" priority="93">
      <formula>ABS(K$7-K$10)&gt;=1000</formula>
    </cfRule>
  </conditionalFormatting>
  <conditionalFormatting sqref="L4:L11">
    <cfRule type="expression" dxfId="1551" priority="92">
      <formula>ABS(L$7-L$10)&gt;=1000</formula>
    </cfRule>
  </conditionalFormatting>
  <conditionalFormatting sqref="M4 M6:M11">
    <cfRule type="expression" dxfId="1550" priority="91">
      <formula>ABS(M$7-M$10)&gt;=1000</formula>
    </cfRule>
  </conditionalFormatting>
  <conditionalFormatting sqref="N4 N6:N11">
    <cfRule type="expression" dxfId="1549" priority="90">
      <formula>ABS(N$7-N$10)&gt;=1000</formula>
    </cfRule>
  </conditionalFormatting>
  <conditionalFormatting sqref="O4 O6:O11">
    <cfRule type="expression" dxfId="1548" priority="89">
      <formula>ABS(O$7-O$10)&gt;=1000</formula>
    </cfRule>
  </conditionalFormatting>
  <conditionalFormatting sqref="P4 P6:P11">
    <cfRule type="expression" dxfId="1547" priority="88">
      <formula>ABS(P$7-P$10)&gt;=1000</formula>
    </cfRule>
  </conditionalFormatting>
  <conditionalFormatting sqref="Q4:Q11">
    <cfRule type="expression" dxfId="1546" priority="87">
      <formula>ABS(Q$7-Q$10)&gt;=1000</formula>
    </cfRule>
  </conditionalFormatting>
  <conditionalFormatting sqref="R4:R11">
    <cfRule type="expression" dxfId="1545" priority="86">
      <formula>ABS(R$7-R$10)&gt;=1000</formula>
    </cfRule>
  </conditionalFormatting>
  <conditionalFormatting sqref="S4:S11">
    <cfRule type="expression" dxfId="1544" priority="85">
      <formula>ABS(S$7-S$10)&gt;=1000</formula>
    </cfRule>
  </conditionalFormatting>
  <conditionalFormatting sqref="T4:T9 T11">
    <cfRule type="expression" dxfId="1543" priority="84">
      <formula>ABS(T$7-T$10)&gt;=1000</formula>
    </cfRule>
  </conditionalFormatting>
  <conditionalFormatting sqref="U4:U9 U11">
    <cfRule type="expression" dxfId="1542" priority="83">
      <formula>ABS(U$7-U$10)&gt;=1000</formula>
    </cfRule>
  </conditionalFormatting>
  <conditionalFormatting sqref="V4:V9 V11">
    <cfRule type="expression" dxfId="1541" priority="82">
      <formula>ABS(V$7-V$10)&gt;=1000</formula>
    </cfRule>
  </conditionalFormatting>
  <conditionalFormatting sqref="W4:W9 W11">
    <cfRule type="expression" dxfId="1540" priority="81">
      <formula>ABS(W$7-W$10)&gt;=1000</formula>
    </cfRule>
  </conditionalFormatting>
  <conditionalFormatting sqref="X4:X9 X11">
    <cfRule type="expression" dxfId="1539" priority="80">
      <formula>ABS(X$7-X$10)&gt;=1000</formula>
    </cfRule>
  </conditionalFormatting>
  <conditionalFormatting sqref="Y4:Y9 Y11">
    <cfRule type="expression" dxfId="1538" priority="79">
      <formula>ABS(Y$7-Y$10)&gt;=1000</formula>
    </cfRule>
  </conditionalFormatting>
  <conditionalFormatting sqref="Z4:Z11">
    <cfRule type="expression" dxfId="1537" priority="78">
      <formula>ABS(Z$7-Z$10)&gt;=1000</formula>
    </cfRule>
  </conditionalFormatting>
  <conditionalFormatting sqref="AA4:AA11">
    <cfRule type="expression" dxfId="1536" priority="77">
      <formula>ABS(AA$7-AA$10)&gt;=1000</formula>
    </cfRule>
  </conditionalFormatting>
  <conditionalFormatting sqref="AB4:AB11">
    <cfRule type="expression" dxfId="1535" priority="76">
      <formula>ABS(AB$7-AB$10)&gt;=1000</formula>
    </cfRule>
  </conditionalFormatting>
  <conditionalFormatting sqref="AC4 AC6:AC11">
    <cfRule type="expression" dxfId="1534" priority="75">
      <formula>ABS(AC$7-AC$10)&gt;=1000</formula>
    </cfRule>
  </conditionalFormatting>
  <conditionalFormatting sqref="AD4 AD6:AD11">
    <cfRule type="expression" dxfId="1533" priority="74">
      <formula>ABS(AD$7-AD$10)&gt;=1000</formula>
    </cfRule>
  </conditionalFormatting>
  <conditionalFormatting sqref="AE4 AE6:AE11">
    <cfRule type="expression" dxfId="1532" priority="73">
      <formula>ABS(AE$7-AE$10)&gt;=1000</formula>
    </cfRule>
  </conditionalFormatting>
  <conditionalFormatting sqref="D13:D20">
    <cfRule type="expression" dxfId="1531" priority="72">
      <formula>ABS(D$16-D$19)&gt;=1000</formula>
    </cfRule>
  </conditionalFormatting>
  <conditionalFormatting sqref="E13:E20">
    <cfRule type="expression" dxfId="1530" priority="71">
      <formula>ABS(E$16-E$19)&gt;=1000</formula>
    </cfRule>
  </conditionalFormatting>
  <conditionalFormatting sqref="F13 F15:F20">
    <cfRule type="expression" dxfId="1529" priority="70">
      <formula>ABS(F$16-F$19)&gt;=1000</formula>
    </cfRule>
  </conditionalFormatting>
  <conditionalFormatting sqref="G13:G20">
    <cfRule type="expression" dxfId="1528" priority="69">
      <formula>ABS(G$16-G$19)&gt;=1000</formula>
    </cfRule>
  </conditionalFormatting>
  <conditionalFormatting sqref="H13 H15:H20">
    <cfRule type="expression" dxfId="1527" priority="68">
      <formula>ABS(H$16-H$19)&gt;=1000</formula>
    </cfRule>
  </conditionalFormatting>
  <conditionalFormatting sqref="I13:I20">
    <cfRule type="expression" dxfId="1526" priority="67">
      <formula>ABS(I$16-I$19)&gt;=1000</formula>
    </cfRule>
  </conditionalFormatting>
  <conditionalFormatting sqref="J13:J20">
    <cfRule type="expression" dxfId="1525" priority="66">
      <formula>ABS(J$16-J$19)&gt;=1000</formula>
    </cfRule>
  </conditionalFormatting>
  <conditionalFormatting sqref="L13:L20">
    <cfRule type="expression" dxfId="1524" priority="65">
      <formula>ABS(L$16-L$19)&gt;=1000</formula>
    </cfRule>
  </conditionalFormatting>
  <conditionalFormatting sqref="M13 M15 M17:M18 M20">
    <cfRule type="expression" dxfId="1523" priority="64">
      <formula>ABS(M$16-M$19)&gt;=1000</formula>
    </cfRule>
  </conditionalFormatting>
  <conditionalFormatting sqref="N13:N20">
    <cfRule type="expression" dxfId="1522" priority="63">
      <formula>ABS(N$16-N$19)&gt;=1000</formula>
    </cfRule>
  </conditionalFormatting>
  <conditionalFormatting sqref="O13:O20">
    <cfRule type="expression" dxfId="1521" priority="62">
      <formula>ABS(O$16-O$19)&gt;=1000</formula>
    </cfRule>
  </conditionalFormatting>
  <conditionalFormatting sqref="P13:P20">
    <cfRule type="expression" dxfId="1520" priority="61">
      <formula>ABS(P$16-P$19)&gt;=1000</formula>
    </cfRule>
  </conditionalFormatting>
  <conditionalFormatting sqref="Q13 Q15:Q20">
    <cfRule type="expression" dxfId="1519" priority="60">
      <formula>ABS(Q$16-Q$19)&gt;=1000</formula>
    </cfRule>
  </conditionalFormatting>
  <conditionalFormatting sqref="R13:R20">
    <cfRule type="expression" dxfId="1518" priority="59">
      <formula>ABS(R$16-R$19)&gt;=1000</formula>
    </cfRule>
  </conditionalFormatting>
  <conditionalFormatting sqref="S13:S20">
    <cfRule type="expression" dxfId="1517" priority="58">
      <formula>ABS(S$16-S$19)&gt;=1000</formula>
    </cfRule>
  </conditionalFormatting>
  <conditionalFormatting sqref="T13:T20">
    <cfRule type="expression" dxfId="1516" priority="57">
      <formula>ABS(T$16-T$19)&gt;=1000</formula>
    </cfRule>
  </conditionalFormatting>
  <conditionalFormatting sqref="U13:U20">
    <cfRule type="expression" dxfId="1515" priority="56">
      <formula>ABS(U$16-U$19)&gt;=1000</formula>
    </cfRule>
  </conditionalFormatting>
  <conditionalFormatting sqref="V13:V20">
    <cfRule type="expression" dxfId="1514" priority="55">
      <formula>ABS(V$16-V$19)&gt;=1000</formula>
    </cfRule>
  </conditionalFormatting>
  <conditionalFormatting sqref="W13 W20 W15:W18">
    <cfRule type="expression" dxfId="1513" priority="54">
      <formula>ABS(W$16-W$19)&gt;=1000</formula>
    </cfRule>
  </conditionalFormatting>
  <conditionalFormatting sqref="X13 X15:X20 Y19">
    <cfRule type="expression" dxfId="1512" priority="53">
      <formula>ABS(X$16-X$19)&gt;=1000</formula>
    </cfRule>
  </conditionalFormatting>
  <conditionalFormatting sqref="Y13 Y15:Y18 Y20">
    <cfRule type="expression" dxfId="1511" priority="52">
      <formula>ABS(Y$16-Y$19)&gt;=1000</formula>
    </cfRule>
  </conditionalFormatting>
  <conditionalFormatting sqref="Z13:Z20">
    <cfRule type="expression" dxfId="1510" priority="51">
      <formula>ABS(Z$16-Z$19)&gt;=1000</formula>
    </cfRule>
  </conditionalFormatting>
  <conditionalFormatting sqref="AA13:AA20">
    <cfRule type="expression" dxfId="1509" priority="50">
      <formula>ABS(AA$16-AA$19)&gt;=1000</formula>
    </cfRule>
  </conditionalFormatting>
  <conditionalFormatting sqref="AB13 AB15:AB20">
    <cfRule type="expression" dxfId="1508" priority="49">
      <formula>ABS(AB$16-AB$19)&gt;=1000</formula>
    </cfRule>
  </conditionalFormatting>
  <conditionalFormatting sqref="AC13 AC15:AC20">
    <cfRule type="expression" dxfId="1507" priority="48">
      <formula>ABS(AC$16-AC$19)&gt;=1000</formula>
    </cfRule>
  </conditionalFormatting>
  <conditionalFormatting sqref="AD13:AD20">
    <cfRule type="expression" dxfId="1506" priority="47">
      <formula>ABS(AD$16-AD$19)&gt;=1000</formula>
    </cfRule>
  </conditionalFormatting>
  <conditionalFormatting sqref="AE13:AE20">
    <cfRule type="expression" dxfId="1505" priority="46">
      <formula>ABS(AE$16-AE$19)&gt;=1000</formula>
    </cfRule>
  </conditionalFormatting>
  <conditionalFormatting sqref="D22:D29">
    <cfRule type="expression" dxfId="1504" priority="45">
      <formula>ABS(D$25-D$28)&gt;=1000</formula>
    </cfRule>
  </conditionalFormatting>
  <conditionalFormatting sqref="E22:E29">
    <cfRule type="expression" dxfId="1503" priority="44">
      <formula>ABS(E$25-E$28)&gt;=1000</formula>
    </cfRule>
  </conditionalFormatting>
  <conditionalFormatting sqref="F22:F29">
    <cfRule type="expression" dxfId="1502" priority="43">
      <formula>ABS(F$25-F$28)&gt;=1000</formula>
    </cfRule>
  </conditionalFormatting>
  <conditionalFormatting sqref="G22:G29">
    <cfRule type="expression" dxfId="1501" priority="42">
      <formula>ABS(G$25-G$28)&gt;=1000</formula>
    </cfRule>
  </conditionalFormatting>
  <conditionalFormatting sqref="H22:H29">
    <cfRule type="expression" dxfId="1500" priority="41">
      <formula>ABS(H$25-H$28)&gt;=1000</formula>
    </cfRule>
  </conditionalFormatting>
  <conditionalFormatting sqref="I22 I24:I29">
    <cfRule type="expression" dxfId="1499" priority="40">
      <formula>ABS(I$25-I$28)&gt;=1000</formula>
    </cfRule>
  </conditionalFormatting>
  <conditionalFormatting sqref="J22:J29 K22">
    <cfRule type="expression" dxfId="1498" priority="39">
      <formula>ABS(J$25-J$28)&gt;=1000</formula>
    </cfRule>
  </conditionalFormatting>
  <conditionalFormatting sqref="K23:K29 L25 L28">
    <cfRule type="expression" dxfId="1497" priority="38">
      <formula>ABS(K$25-K$28)&gt;=1000</formula>
    </cfRule>
  </conditionalFormatting>
  <conditionalFormatting sqref="L22 L26:L27 L29 L24">
    <cfRule type="expression" dxfId="1496" priority="37">
      <formula>ABS(L$25-L$28)&gt;=1000</formula>
    </cfRule>
  </conditionalFormatting>
  <conditionalFormatting sqref="M22:M29">
    <cfRule type="expression" dxfId="1495" priority="36">
      <formula>ABS(M$25-M$28)&gt;=1000</formula>
    </cfRule>
  </conditionalFormatting>
  <conditionalFormatting sqref="N22:N29">
    <cfRule type="expression" dxfId="1494" priority="35">
      <formula>ABS(N$25-N$28)&gt;=1000</formula>
    </cfRule>
  </conditionalFormatting>
  <conditionalFormatting sqref="O22:O29">
    <cfRule type="expression" dxfId="1493" priority="34">
      <formula>ABS(O$25-O$28)&gt;=1000</formula>
    </cfRule>
  </conditionalFormatting>
  <conditionalFormatting sqref="P22:P29">
    <cfRule type="expression" dxfId="1492" priority="33">
      <formula>ABS(P$25-P$28)&gt;=1000</formula>
    </cfRule>
  </conditionalFormatting>
  <conditionalFormatting sqref="Q22:Q29">
    <cfRule type="expression" dxfId="1491" priority="32">
      <formula>ABS(Q$25-Q$28)&gt;=1000</formula>
    </cfRule>
  </conditionalFormatting>
  <conditionalFormatting sqref="R22:R29">
    <cfRule type="expression" dxfId="1490" priority="31">
      <formula>ABS(R$25-R$28)&gt;=1000</formula>
    </cfRule>
  </conditionalFormatting>
  <conditionalFormatting sqref="S22:S29">
    <cfRule type="expression" dxfId="1489" priority="30">
      <formula>ABS(S$25-S$28)&gt;=1000</formula>
    </cfRule>
  </conditionalFormatting>
  <conditionalFormatting sqref="T22:T29">
    <cfRule type="expression" dxfId="1488" priority="29">
      <formula>ABS(T$25-T$28)&gt;=1000</formula>
    </cfRule>
  </conditionalFormatting>
  <conditionalFormatting sqref="U22:U29">
    <cfRule type="expression" dxfId="1487" priority="28">
      <formula>ABS(U$25-U$28)&gt;=1000</formula>
    </cfRule>
  </conditionalFormatting>
  <conditionalFormatting sqref="V22:V29">
    <cfRule type="expression" dxfId="1486" priority="27">
      <formula>ABS(V$25-V$28)&gt;=1000</formula>
    </cfRule>
  </conditionalFormatting>
  <conditionalFormatting sqref="W22:W29">
    <cfRule type="expression" dxfId="1485" priority="26">
      <formula>ABS(W$25-W$28)&gt;=1000</formula>
    </cfRule>
  </conditionalFormatting>
  <conditionalFormatting sqref="X22:X29">
    <cfRule type="expression" dxfId="1484" priority="25">
      <formula>ABS(X$25-X$28)&gt;=1000</formula>
    </cfRule>
  </conditionalFormatting>
  <conditionalFormatting sqref="Y22:Y29">
    <cfRule type="expression" dxfId="1483" priority="24">
      <formula>ABS(Y$25-Y$28)&gt;=1000</formula>
    </cfRule>
  </conditionalFormatting>
  <conditionalFormatting sqref="I23">
    <cfRule type="expression" dxfId="1482" priority="23">
      <formula>ABS(I$25-I$28)&gt;=1000</formula>
    </cfRule>
  </conditionalFormatting>
  <conditionalFormatting sqref="Q14">
    <cfRule type="expression" dxfId="1481" priority="22">
      <formula>ABS(Q$16-Q$19)&gt;=1000</formula>
    </cfRule>
  </conditionalFormatting>
  <conditionalFormatting sqref="W14">
    <cfRule type="expression" dxfId="1480" priority="21">
      <formula>ABS(W$16-W$19)&gt;=1000</formula>
    </cfRule>
  </conditionalFormatting>
  <conditionalFormatting sqref="X14">
    <cfRule type="expression" dxfId="1479" priority="20">
      <formula>ABS(X$16-X$19)&gt;=1000</formula>
    </cfRule>
  </conditionalFormatting>
  <conditionalFormatting sqref="T10:Y10">
    <cfRule type="expression" dxfId="1478" priority="19">
      <formula>ABS(T$7-T$10)&gt;=1000</formula>
    </cfRule>
  </conditionalFormatting>
  <conditionalFormatting sqref="W19">
    <cfRule type="expression" dxfId="1477" priority="18">
      <formula>ABS(W$16-W$19)&gt;=1000</formula>
    </cfRule>
  </conditionalFormatting>
  <conditionalFormatting sqref="AC5">
    <cfRule type="expression" dxfId="1476" priority="17">
      <formula>ABS(AC$7-AC$10)&gt;=1000</formula>
    </cfRule>
  </conditionalFormatting>
  <conditionalFormatting sqref="M14">
    <cfRule type="expression" dxfId="1475" priority="16">
      <formula>ABS(M$16-M$19)&gt;=1000</formula>
    </cfRule>
  </conditionalFormatting>
  <conditionalFormatting sqref="M16">
    <cfRule type="expression" dxfId="1474" priority="15">
      <formula>ABS(M$16-M$19)&gt;=1000</formula>
    </cfRule>
  </conditionalFormatting>
  <conditionalFormatting sqref="M19">
    <cfRule type="expression" dxfId="1473" priority="14">
      <formula>ABS(M$16-M$19)&gt;=1000</formula>
    </cfRule>
  </conditionalFormatting>
  <conditionalFormatting sqref="K13:K20">
    <cfRule type="expression" dxfId="1472" priority="13">
      <formula>ABS(K$16-K$19)&gt;=1000</formula>
    </cfRule>
  </conditionalFormatting>
  <conditionalFormatting sqref="E5">
    <cfRule type="expression" dxfId="1471" priority="12">
      <formula>ABS(E$7-E$10)&gt;=1000</formula>
    </cfRule>
  </conditionalFormatting>
  <conditionalFormatting sqref="AB14:AC14">
    <cfRule type="expression" dxfId="1470" priority="11">
      <formula>ABS(AB$16-AB$19)&gt;=1000</formula>
    </cfRule>
  </conditionalFormatting>
  <conditionalFormatting sqref="M5">
    <cfRule type="expression" dxfId="1469" priority="10">
      <formula>ABS(M$7-M$10)&gt;=1000</formula>
    </cfRule>
  </conditionalFormatting>
  <conditionalFormatting sqref="N5">
    <cfRule type="expression" dxfId="1468" priority="9">
      <formula>ABS(N$7-N$10)&gt;=1000</formula>
    </cfRule>
  </conditionalFormatting>
  <conditionalFormatting sqref="O5">
    <cfRule type="expression" dxfId="1467" priority="8">
      <formula>ABS(O$7-O$10)&gt;=1000</formula>
    </cfRule>
  </conditionalFormatting>
  <conditionalFormatting sqref="P5">
    <cfRule type="expression" dxfId="1466" priority="7">
      <formula>ABS(P$7-P$10)&gt;=1000</formula>
    </cfRule>
  </conditionalFormatting>
  <conditionalFormatting sqref="L23">
    <cfRule type="expression" dxfId="1465" priority="6">
      <formula>ABS(L$25-L$28)&gt;=1000</formula>
    </cfRule>
  </conditionalFormatting>
  <conditionalFormatting sqref="Y14">
    <cfRule type="expression" dxfId="1464" priority="5">
      <formula>ABS(Y$16-Y$19)&gt;=1000</formula>
    </cfRule>
  </conditionalFormatting>
  <conditionalFormatting sqref="F14">
    <cfRule type="expression" dxfId="1463" priority="4">
      <formula>ABS(F$16-F$19)&gt;=1000</formula>
    </cfRule>
  </conditionalFormatting>
  <conditionalFormatting sqref="H14">
    <cfRule type="expression" dxfId="1462" priority="3">
      <formula>ABS(H$16-H$19)&gt;=1000</formula>
    </cfRule>
  </conditionalFormatting>
  <conditionalFormatting sqref="AD5">
    <cfRule type="expression" dxfId="1461" priority="2">
      <formula>ABS(AD$7-AD$10)&gt;=1000</formula>
    </cfRule>
  </conditionalFormatting>
  <conditionalFormatting sqref="AE5">
    <cfRule type="expression" dxfId="146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2419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68">
    <pageSetUpPr fitToPage="1"/>
  </sheetPr>
  <dimension ref="A1:CU223"/>
  <sheetViews>
    <sheetView view="pageBreakPreview" topLeftCell="A7" zoomScale="70" zoomScaleNormal="100" zoomScaleSheetLayoutView="70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2" t="s" ph="1">
        <v>161</v>
      </c>
      <c r="C1" s="182" ph="1"/>
      <c r="D1" s="182" ph="1"/>
      <c r="E1" s="182" ph="1"/>
      <c r="F1" s="182" ph="1"/>
      <c r="G1" s="182" ph="1"/>
      <c r="H1" s="182" ph="1"/>
      <c r="I1" s="182" ph="1"/>
      <c r="J1" s="182" ph="1"/>
      <c r="K1" s="182" ph="1"/>
      <c r="L1" s="182" ph="1"/>
      <c r="M1" s="182" ph="1"/>
      <c r="N1" s="182" ph="1"/>
      <c r="O1" s="182" ph="1"/>
      <c r="P1" s="182" ph="1"/>
      <c r="Q1" s="182" ph="1"/>
      <c r="R1" s="182" ph="1"/>
      <c r="S1" s="182" ph="1"/>
      <c r="T1" s="182" ph="1"/>
      <c r="U1" s="182" ph="1"/>
      <c r="V1" s="182" ph="1"/>
      <c r="W1" s="182" ph="1"/>
      <c r="X1" s="182" ph="1"/>
      <c r="Y1" s="182" ph="1"/>
      <c r="Z1" s="182" ph="1"/>
      <c r="AA1" s="182" ph="1"/>
      <c r="AB1" s="182" ph="1"/>
      <c r="AC1" s="182" ph="1"/>
      <c r="AD1" s="182" ph="1"/>
      <c r="AE1" s="182" ph="1"/>
    </row>
    <row r="2" spans="1:99" s="66" customFormat="1" ht="24" customHeight="1" ph="1">
      <c r="B2" s="183" t="s" ph="1">
        <v>82</v>
      </c>
      <c r="C2" s="183" ph="1"/>
      <c r="D2" s="183" ph="1"/>
      <c r="E2" s="183" ph="1"/>
      <c r="F2" s="183" ph="1"/>
      <c r="G2" s="183" ph="1"/>
      <c r="H2" s="183" ph="1"/>
      <c r="I2" s="183" ph="1"/>
      <c r="J2" s="183" ph="1"/>
      <c r="K2" s="183" ph="1"/>
      <c r="L2" s="183" ph="1"/>
      <c r="M2" s="183" ph="1"/>
      <c r="N2" s="183" ph="1"/>
      <c r="O2" s="183" ph="1"/>
      <c r="P2" s="183" ph="1"/>
      <c r="Q2" s="183" ph="1"/>
      <c r="R2" s="183" ph="1"/>
      <c r="S2" s="183" ph="1"/>
      <c r="T2" s="183" ph="1"/>
      <c r="U2" s="183" ph="1"/>
      <c r="V2" s="183" ph="1"/>
      <c r="W2" s="183" ph="1"/>
      <c r="X2" s="183" ph="1"/>
      <c r="Y2" s="183" ph="1"/>
      <c r="Z2" s="183" ph="1"/>
      <c r="AA2" s="183" ph="1"/>
      <c r="AB2" s="183" ph="1"/>
      <c r="AC2" s="183" ph="1"/>
      <c r="AD2" s="183" ph="1"/>
      <c r="AE2" s="183" ph="1"/>
    </row>
    <row r="3" spans="1:99" ht="21" customHeight="1" ph="1">
      <c r="B3" s="184" ph="1">
        <v>46128</v>
      </c>
      <c r="C3" s="184"/>
      <c r="D3" s="184"/>
      <c r="E3" s="184"/>
      <c r="F3" s="184"/>
      <c r="G3" s="184"/>
      <c r="H3" s="184"/>
      <c r="I3" s="184"/>
      <c r="J3" s="184"/>
      <c r="K3" s="184"/>
      <c r="L3" s="184"/>
      <c r="M3" s="184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</row>
    <row r="4" spans="1:99" s="69" customFormat="1" ph="1">
      <c r="A4" s="65" ph="1"/>
      <c r="B4" s="185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5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1" ph="1">
        <v>0.33333333333333331</v>
      </c>
      <c r="C6" s="151" t="s" ph="1">
        <v>177</v>
      </c>
      <c r="D6" s="71">
        <v>2575</v>
      </c>
      <c r="E6" s="71">
        <v>6969</v>
      </c>
      <c r="F6" s="71">
        <v>5835</v>
      </c>
      <c r="G6" s="71">
        <v>9128</v>
      </c>
      <c r="H6" s="71">
        <v>6607</v>
      </c>
      <c r="I6" s="71">
        <v>10.19</v>
      </c>
      <c r="J6" s="71">
        <v>6.31</v>
      </c>
      <c r="K6" s="71">
        <v>7.41</v>
      </c>
      <c r="L6" s="71">
        <v>7.42</v>
      </c>
      <c r="M6" s="71">
        <v>1099</v>
      </c>
      <c r="N6" s="71">
        <v>4132</v>
      </c>
      <c r="O6" s="71">
        <v>4573</v>
      </c>
      <c r="P6" s="71">
        <v>812</v>
      </c>
      <c r="Q6" s="71">
        <v>0</v>
      </c>
      <c r="R6" s="71">
        <v>0</v>
      </c>
      <c r="S6" s="71">
        <v>1277</v>
      </c>
      <c r="T6" s="71">
        <v>7174</v>
      </c>
      <c r="U6" s="71">
        <v>6254</v>
      </c>
      <c r="V6" s="71">
        <v>1535</v>
      </c>
      <c r="W6" s="71">
        <v>0</v>
      </c>
      <c r="X6" s="71">
        <v>0</v>
      </c>
      <c r="Y6" s="71">
        <v>0</v>
      </c>
      <c r="Z6" s="71">
        <v>4878</v>
      </c>
      <c r="AA6" s="71">
        <v>4219</v>
      </c>
      <c r="AB6" s="71">
        <v>1296</v>
      </c>
      <c r="AC6" s="71">
        <v>8755</v>
      </c>
      <c r="AD6" s="71">
        <v>2810</v>
      </c>
      <c r="AE6" s="71">
        <v>4260</v>
      </c>
    </row>
    <row r="7" spans="1:99" s="72" customFormat="1" ht="22.2" ph="1">
      <c r="B7" s="181" ph="1"/>
      <c r="C7" s="68" t="s" ph="1">
        <v>178</v>
      </c>
      <c r="D7" s="73" ph="1">
        <f>D6*33.183*LOOKUP(D8,密度!$A$2:$A$50,密度!$Q$2:$Q$50)</f>
        <v>80834.692236750008</v>
      </c>
      <c r="E7" s="73" ph="1">
        <f>E6*51.53*LOOKUP(E8,密度!$A$2:$A$50,密度!$B$2:$B$50)</f>
        <v>279964.15957199998</v>
      </c>
      <c r="F7" s="73" ph="1">
        <f>F6*33.183*LOOKUP(F8,密度!$A$2:$A$50,密度!$C$2:$C$50)</f>
        <v>214843.86442799997</v>
      </c>
      <c r="G7" s="73" ph="1">
        <f xml:space="preserve"> (G6+2)*51.53*LOOKUP(G8,密度!$A$2:$A$50,密度!$B$2:$B$50)</f>
        <v>366354.13243</v>
      </c>
      <c r="H7" s="73" ph="1">
        <f>(H6)*51.53*LOOKUP(H8,密度!$A$2:$A$50,密度!$B$2:$B$50)</f>
        <v>266647.26167199999</v>
      </c>
      <c r="I7" s="73" ph="1">
        <f>I6*290.8*1.0267</f>
        <v>3042.3708283999999</v>
      </c>
      <c r="J7" s="73" ph="1">
        <f>J6*290.8*0.7892</f>
        <v>1448.1409615999999</v>
      </c>
      <c r="K7" s="73" ph="1">
        <f>K6*290.8*1.1126</f>
        <v>2397.4616328000002</v>
      </c>
      <c r="L7" s="73" ph="1">
        <f>L6*290.8*0.777</f>
        <v>1676.560872</v>
      </c>
      <c r="M7" s="73" ph="1">
        <f>M6*33.183*LOOKUP(M8,密度!$A$2:$A$50,密度!$D$2:$D$50)</f>
        <v>37474.637029199999</v>
      </c>
      <c r="N7" s="73" ph="1">
        <f>N6*33.183*LOOKUP(N8,密度!$A$2:$A$50,密度!$E$2:$E$50)</f>
        <v>107084.593836</v>
      </c>
      <c r="O7" s="73" ph="1">
        <f>O6*20.428*LOOKUP(O8,密度!$A$2:$A$50,密度!$C$2:$C$50)</f>
        <v>103141.97910040001</v>
      </c>
      <c r="P7" s="73" ph="1">
        <f>P6*51.53*LOOKUP(P8,密度!$A$2:$A$50,密度!$B$2:$B$50)</f>
        <v>32695.620104000001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8485.0060679999988</v>
      </c>
      <c r="T7" s="73" ph="1">
        <f>T6*1.5*1.5*3.1416*LOOKUP(T8,密度!$A$2:$A$50,密度!$L$2:$L$50)</f>
        <v>47718.238352399996</v>
      </c>
      <c r="U7" s="73" ph="1">
        <f>U6*1.5*1.5*3.1416*LOOKUP(U8,密度!$A$2:$A$50,密度!$L$2:$L$50)</f>
        <v>41421.981862800007</v>
      </c>
      <c r="V7" s="73" ph="1">
        <f>V6*1.5*1.5*3.1416*LOOKUP(V8,密度!$A$2:$A$50,密度!$L$2:$L$50)</f>
        <v>10134.181134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151992.80688599998</v>
      </c>
      <c r="AA7" s="73" ph="1">
        <f>AA6*33.183*LOOKUP(AA8,密度!$A$2:$A$50,密度!$D$2:$D$50)</f>
        <v>143611.05318660001</v>
      </c>
      <c r="AB7" s="73" ph="1">
        <f>AB6*20.428*LOOKUP(AB8,密度!$A$2:$A$50,密度!$D$2:$D$50)</f>
        <v>27327.172953600002</v>
      </c>
      <c r="AC7" s="73" ph="1">
        <f>AC6*51.53*LOOKUP(AC8,密度!$A$2:$A$50,密度!$Q$2:$Q$50)</f>
        <v>427775.83123000007</v>
      </c>
      <c r="AD7" s="73" ph="1">
        <f>AD6*20.428*LOOKUP(AD8,密度!$A$2:$A$50,密度!$V$2:$V$50)</f>
        <v>54968.806367999998</v>
      </c>
      <c r="AE7" s="73" ph="1">
        <f>AE6*20.428</f>
        <v>87023.28</v>
      </c>
    </row>
    <row r="8" spans="1:99" ph="1">
      <c r="B8" s="181" ph="1"/>
      <c r="C8" s="68" t="s" ph="1">
        <v>179</v>
      </c>
      <c r="D8" s="74">
        <v>26</v>
      </c>
      <c r="E8" s="74">
        <v>25</v>
      </c>
      <c r="F8" s="74">
        <v>24</v>
      </c>
      <c r="G8" s="74">
        <v>26</v>
      </c>
      <c r="H8" s="74">
        <v>21</v>
      </c>
      <c r="I8" s="74">
        <v>25</v>
      </c>
      <c r="J8" s="74">
        <v>25</v>
      </c>
      <c r="K8" s="74">
        <v>25</v>
      </c>
      <c r="L8" s="74">
        <v>25</v>
      </c>
      <c r="M8" s="74">
        <v>24</v>
      </c>
      <c r="N8" s="74">
        <v>27</v>
      </c>
      <c r="O8" s="74">
        <v>31</v>
      </c>
      <c r="P8" s="74">
        <v>23</v>
      </c>
      <c r="Q8" s="74">
        <v>26</v>
      </c>
      <c r="R8" s="74">
        <v>31</v>
      </c>
      <c r="S8" s="74">
        <v>22</v>
      </c>
      <c r="T8" s="74">
        <v>21</v>
      </c>
      <c r="U8" s="74">
        <v>25</v>
      </c>
      <c r="V8" s="74">
        <v>28</v>
      </c>
      <c r="W8" s="74">
        <v>25</v>
      </c>
      <c r="X8" s="74">
        <v>16</v>
      </c>
      <c r="Y8" s="74">
        <v>24</v>
      </c>
      <c r="Z8" s="74">
        <v>23</v>
      </c>
      <c r="AA8" s="74">
        <v>26</v>
      </c>
      <c r="AB8" s="74">
        <v>19</v>
      </c>
      <c r="AC8" s="74">
        <v>23</v>
      </c>
      <c r="AD8" s="74">
        <v>28</v>
      </c>
      <c r="AE8" s="74">
        <v>26</v>
      </c>
    </row>
    <row r="9" spans="1:99" ht="26.4" ph="1">
      <c r="B9" s="181" ph="1">
        <v>0.66666666666666663</v>
      </c>
      <c r="C9" s="151" t="s" ph="1">
        <v>180</v>
      </c>
      <c r="D9" s="71">
        <v>2147</v>
      </c>
      <c r="E9" s="71">
        <v>6969</v>
      </c>
      <c r="F9" s="71">
        <v>5835</v>
      </c>
      <c r="G9" s="71">
        <v>8969</v>
      </c>
      <c r="H9" s="71">
        <v>6607</v>
      </c>
      <c r="I9" s="71">
        <v>10.18</v>
      </c>
      <c r="J9" s="71">
        <v>6.31</v>
      </c>
      <c r="K9" s="71">
        <v>19.87</v>
      </c>
      <c r="L9" s="71">
        <v>53.64</v>
      </c>
      <c r="M9" s="71">
        <v>1097</v>
      </c>
      <c r="N9" s="71">
        <v>4128</v>
      </c>
      <c r="O9" s="71">
        <v>3649</v>
      </c>
      <c r="P9" s="71">
        <v>717</v>
      </c>
      <c r="Q9" s="71">
        <v>0</v>
      </c>
      <c r="R9" s="71">
        <v>0</v>
      </c>
      <c r="S9" s="71">
        <v>0</v>
      </c>
      <c r="T9" s="71">
        <v>4712</v>
      </c>
      <c r="U9" s="71">
        <v>7013</v>
      </c>
      <c r="V9" s="71">
        <v>5911</v>
      </c>
      <c r="W9" s="71">
        <v>0</v>
      </c>
      <c r="X9" s="71">
        <v>0</v>
      </c>
      <c r="Y9" s="71">
        <v>0</v>
      </c>
      <c r="Z9" s="71">
        <v>1946</v>
      </c>
      <c r="AA9" s="71">
        <v>4220</v>
      </c>
      <c r="AB9" s="71">
        <v>1295</v>
      </c>
      <c r="AC9" s="71">
        <v>8945</v>
      </c>
      <c r="AD9" s="71">
        <v>2810</v>
      </c>
      <c r="AE9" s="71">
        <v>4474</v>
      </c>
    </row>
    <row r="10" spans="1:99" s="72" customFormat="1" ht="22.2" ph="1">
      <c r="B10" s="181" ph="1"/>
      <c r="C10" s="151" t="s" ph="1">
        <v>178</v>
      </c>
      <c r="D10" s="73" ph="1">
        <f>D9*33.183*LOOKUP(D11,密度!$A$2:$A$50,密度!$Q$2:$Q$50)</f>
        <v>67398.867663030003</v>
      </c>
      <c r="E10" s="73" ph="1">
        <f>E9*51.53*LOOKUP(E11,密度!$A$2:$A$50,密度!$B$2:$B$50)</f>
        <v>279353.66820300004</v>
      </c>
      <c r="F10" s="73" ph="1">
        <f>F9*33.183*LOOKUP(F11,密度!$A$2:$A$50,密度!$C$2:$C$50)</f>
        <v>214843.86442799997</v>
      </c>
      <c r="G10" s="73" ph="1">
        <f xml:space="preserve"> (G9+2)*51.53*LOOKUP(G11,密度!$A$2:$A$50,密度!$B$2:$B$50)</f>
        <v>359604.21257700003</v>
      </c>
      <c r="H10" s="73" ph="1">
        <f>(H9)*51.53*LOOKUP(H11,密度!$A$2:$A$50,密度!$B$2:$B$50)</f>
        <v>266034.435994</v>
      </c>
      <c r="I10" s="73" ph="1">
        <f>I9*290.8*1.0267</f>
        <v>3039.3851847999999</v>
      </c>
      <c r="J10" s="73" ph="1">
        <f>J9*290.8*0.7892</f>
        <v>1448.1409615999999</v>
      </c>
      <c r="K10" s="73" ph="1">
        <f>K9*290.8*1.1126</f>
        <v>6428.8208696000011</v>
      </c>
      <c r="L10" s="73" ph="1">
        <f>L9*290.8*0.777</f>
        <v>12120.043824</v>
      </c>
      <c r="M10" s="73" ph="1">
        <f>M9*33.183*LOOKUP(M11,密度!$A$2:$A$50,密度!$D$2:$D$50)</f>
        <v>37340.916175799997</v>
      </c>
      <c r="N10" s="73" ph="1">
        <f>N9*33.183*LOOKUP(N11,密度!$A$2:$A$50,密度!$E$2:$E$50)</f>
        <v>106980.930144</v>
      </c>
      <c r="O10" s="73" ph="1">
        <f>O9*20.428*LOOKUP(O11,密度!$A$2:$A$50,密度!$C$2:$C$50)</f>
        <v>82376.112237199995</v>
      </c>
      <c r="P10" s="73" ph="1">
        <f>P9*51.53*LOOKUP(P11,密度!$A$2:$A$50,密度!$B$2:$B$50)</f>
        <v>28770.636686999998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31308.808607999996</v>
      </c>
      <c r="U10" s="73" ph="1">
        <f>U9*1.5*1.5*3.1416*LOOKUP(U11,密度!$A$2:$A$50,密度!$L$2:$L$50)</f>
        <v>46399.477924800005</v>
      </c>
      <c r="V10" s="73" ph="1">
        <f>V9*1.5*1.5*3.1416*LOOKUP(V11,密度!$A$2:$A$50,密度!$L$2:$L$50)</f>
        <v>39066.632450999998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60570.522683999996</v>
      </c>
      <c r="AA10" s="73" ph="1">
        <f>AA9*33.183*LOOKUP(AA11,密度!$A$2:$A$50,密度!$D$2:$D$50)</f>
        <v>143379.03101400001</v>
      </c>
      <c r="AB10" s="73" ph="1">
        <f>AB9*20.428*LOOKUP(AB11,密度!$A$2:$A$50,密度!$D$2:$D$50)</f>
        <v>27284.923764000003</v>
      </c>
      <c r="AC10" s="73" ph="1">
        <f>AC9*51.53*LOOKUP(AC11,密度!$A$2:$A$50,密度!$Q$2:$Q$50)</f>
        <v>436386.40662900003</v>
      </c>
      <c r="AD10" s="73" ph="1">
        <f>AD9*20.428*LOOKUP(AD11,密度!$A$2:$A$50,密度!$V$2:$V$50)</f>
        <v>54968.806367999998</v>
      </c>
      <c r="AE10" s="73" ph="1">
        <f>AE9*20.428</f>
        <v>91394.872000000003</v>
      </c>
    </row>
    <row r="11" spans="1:99" ph="1">
      <c r="A11" s="64" t="s" ph="1">
        <v>162</v>
      </c>
      <c r="B11" s="181" ph="1"/>
      <c r="C11" s="151" t="s" ph="1">
        <v>179</v>
      </c>
      <c r="D11" s="74">
        <v>26</v>
      </c>
      <c r="E11" s="74">
        <v>27</v>
      </c>
      <c r="F11" s="74">
        <v>24</v>
      </c>
      <c r="G11" s="74">
        <v>27</v>
      </c>
      <c r="H11" s="74">
        <v>23</v>
      </c>
      <c r="I11" s="74">
        <v>25</v>
      </c>
      <c r="J11" s="74">
        <v>25</v>
      </c>
      <c r="K11" s="74">
        <v>25</v>
      </c>
      <c r="L11" s="74">
        <v>25</v>
      </c>
      <c r="M11" s="74">
        <v>26</v>
      </c>
      <c r="N11" s="74">
        <v>27</v>
      </c>
      <c r="O11" s="74">
        <v>30</v>
      </c>
      <c r="P11" s="74">
        <v>26</v>
      </c>
      <c r="Q11" s="74">
        <v>30</v>
      </c>
      <c r="R11" s="74">
        <v>33</v>
      </c>
      <c r="S11" s="74">
        <v>25</v>
      </c>
      <c r="T11" s="74">
        <v>22</v>
      </c>
      <c r="U11" s="74">
        <v>26</v>
      </c>
      <c r="V11" s="74">
        <v>27</v>
      </c>
      <c r="W11" s="74">
        <v>27</v>
      </c>
      <c r="X11" s="74">
        <v>20</v>
      </c>
      <c r="Y11" s="74">
        <v>28</v>
      </c>
      <c r="Z11" s="74">
        <v>24</v>
      </c>
      <c r="AA11" s="74">
        <v>28</v>
      </c>
      <c r="AB11" s="74">
        <v>20</v>
      </c>
      <c r="AC11" s="74">
        <v>25</v>
      </c>
      <c r="AD11" s="74">
        <v>30</v>
      </c>
      <c r="AE11" s="74">
        <v>29</v>
      </c>
    </row>
    <row r="12" spans="1:99" ht="9.9" customHeight="1" ph="1"/>
    <row r="13" spans="1:99" s="72" customFormat="1" ht="29.25" customHeight="1" ph="1">
      <c r="B13" s="189" t="s" ph="1">
        <v>37</v>
      </c>
      <c r="C13" s="151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0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639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1" ph="1">
        <v>0.33333333333333331</v>
      </c>
      <c r="C15" s="151" t="s" ph="1">
        <v>177</v>
      </c>
      <c r="D15" s="78">
        <v>1853</v>
      </c>
      <c r="E15" s="78">
        <v>4802</v>
      </c>
      <c r="F15" s="78">
        <v>3755</v>
      </c>
      <c r="G15" s="78">
        <v>4080</v>
      </c>
      <c r="H15" s="78">
        <v>4097</v>
      </c>
      <c r="I15" s="78">
        <v>40</v>
      </c>
      <c r="J15" s="78">
        <v>3176</v>
      </c>
      <c r="K15" s="78">
        <v>5017</v>
      </c>
      <c r="L15" s="78">
        <v>5096</v>
      </c>
      <c r="M15" s="78">
        <v>3898</v>
      </c>
      <c r="N15" s="78">
        <v>652</v>
      </c>
      <c r="O15" s="78">
        <v>5014</v>
      </c>
      <c r="P15" s="78">
        <v>125</v>
      </c>
      <c r="Q15" s="78">
        <v>2217</v>
      </c>
      <c r="R15" s="78">
        <v>7423</v>
      </c>
      <c r="S15" s="78">
        <v>0</v>
      </c>
      <c r="T15" s="78">
        <v>5405</v>
      </c>
      <c r="U15" s="78">
        <v>1723</v>
      </c>
      <c r="V15" s="78">
        <v>483</v>
      </c>
      <c r="W15" s="71">
        <v>-171</v>
      </c>
      <c r="X15" s="78">
        <v>-143</v>
      </c>
      <c r="Y15" s="106">
        <v>-2363</v>
      </c>
      <c r="Z15" s="78">
        <v>0</v>
      </c>
      <c r="AA15" s="78">
        <v>0</v>
      </c>
      <c r="AB15" s="78" ph="1">
        <v>995</v>
      </c>
      <c r="AC15" s="78" ph="1">
        <v>6943</v>
      </c>
      <c r="AD15" s="78">
        <v>61.19</v>
      </c>
      <c r="AE15" s="78">
        <v>7.63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2" ph="1"/>
      <c r="C16" s="151" t="s" ph="1">
        <v>178</v>
      </c>
      <c r="D16" s="73" ph="1">
        <f>D15*7.0686*LOOKUP(D17,密度!$A$2:$A$50,密度!$L$2:$L$50)</f>
        <v>12259.8363888</v>
      </c>
      <c r="E16" s="73" ph="1">
        <f>E15*7.0686*LOOKUP(E17,密度!$A$2:$A$50,密度!$L$2:$L$50)</f>
        <v>31771.038499200004</v>
      </c>
      <c r="F16" s="73" ph="1">
        <f>F15*9.0746*LOOKUP(F17,密度!$A$2:$A$50,密度!$L$2:$L$50)</f>
        <v>31689.864390000002</v>
      </c>
      <c r="G16" s="73" ph="1">
        <f>G15*9.0746*LOOKUP(G17,密度!$A$2:$A$50,密度!$B$2:$B$50)</f>
        <v>28830.875361599999</v>
      </c>
      <c r="H16" s="73" ph="1">
        <f>H15*9.0746*LOOKUP(H17,密度!$A$2:$A$50,密度!$L$2:$L$50)</f>
        <v>34947.918028</v>
      </c>
      <c r="I16" s="73" ph="1">
        <f>I15*9.0746*LOOKUP(I17,密度!$A$2:$A$50,密度!$U$2:$U$50)</f>
        <v>372.42158400000005</v>
      </c>
      <c r="J16" s="73" ph="1">
        <f>J15*9.0746*LOOKUP(J17,密度!$A$2:$A$50,密度!$L$2:$L$50)</f>
        <v>26976.3901056</v>
      </c>
      <c r="K16" s="73" ph="1">
        <f>K15*9.0746*LOOKUP(K17,密度!$A$2:$A$50,密度!$C$2:$C$50)</f>
        <v>50448.76589242</v>
      </c>
      <c r="L16" s="73" ph="1">
        <f>L15*9.0746*LOOKUP(L17,密度!$A$2:$A$50,密度!$E$2:$E$50)</f>
        <v>36116.690209599998</v>
      </c>
      <c r="M16" s="73" ph="1">
        <f>M15*9.0746*LOOKUP(M17,密度!$A$2:$A$50,密度!$M$2:$M$50)</f>
        <v>30845.073577600004</v>
      </c>
      <c r="N16" s="73" ph="1">
        <f>N15*9.0746*LOOKUP(N17,密度!$A$2:$A$50,密度!$M$2:$M$50)</f>
        <v>5194.8092176000009</v>
      </c>
      <c r="O16" s="73" ph="1">
        <f>O15*9.0746*LOOKUP(O17,密度!$A$2:$A$50,密度!$G$2:$G$50)</f>
        <v>43634.542579599998</v>
      </c>
      <c r="P16" s="73" ph="1">
        <f ca="1">P15*9.0746*LOOKUP(P17,密度!$A$2:$A$51,密度!$Q$2:$Q$50)</f>
        <v>1073.9108505000002</v>
      </c>
      <c r="Q16" s="73" ph="1">
        <f>Q15*9.0746*LOOKUP(Q17,密度!$A$2:$A$50,密度!$Q$2:$Q$50)</f>
        <v>18978.279140705999</v>
      </c>
      <c r="R16" s="73" ph="1">
        <f>MAX(R15*9.0746*LOOKUP(R17,密度!$A$2:$A$50,密度!$B$2:$B$50),0)</f>
        <v>52339.307256599997</v>
      </c>
      <c r="S16" s="73" ph="1">
        <f>S15*9.0746*LOOKUP(S17,密度!$A$2:$A$50,密度!$Q$2:$Q$50)</f>
        <v>0</v>
      </c>
      <c r="T16" s="73" ph="1">
        <f>T15*9.0746*LOOKUP(T17,密度!$A$2:$A$50,密度!$O$2:$O$50)</f>
        <v>45418.645238000005</v>
      </c>
      <c r="U16" s="73" ph="1">
        <f>U15*9.0746*LOOKUP(U17,密度!$A$2:$A$50,密度!$H$2:$H$50)</f>
        <v>14317.46013206</v>
      </c>
      <c r="V16" s="73" ph="1">
        <f>MAX(5600*LOOKUP(V17,密度!$A$2:$A$50,密度!$Q$2:$Q$50)+V15*9.0476*LOOKUP(V17,密度!$A$2:$A$50,密度!$Q$2:$Q$50),0)</f>
        <v>9431.9103965239992</v>
      </c>
      <c r="W16" s="73" ph="1">
        <f>MAX(5600*LOOKUP(W17,密度!$A$2:$A$50,密度!$Q$2:$Q$50)+W15*9.0476*LOOKUP(W17,密度!$A$2:$A$50,密度!$Q$2:$Q$50),0)</f>
        <v>3834.127524212</v>
      </c>
      <c r="X16" s="73" ph="1">
        <f>MAX(5600*LOOKUP(X17,密度!$A$2:$A$50,密度!$I$2:$I$50)+X15*9.0476*LOOKUP(X17,密度!$A$2:$A$50,密度!$I$2:$I$50),0)</f>
        <v>4478.8715473200009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0</v>
      </c>
      <c r="AB16" s="73" ph="1">
        <f>AB15*9.0746*LOOKUP(AB17,密度!$A$2:$A$50,密度!$L$2:$L$50)</f>
        <v>8460.3856990000004</v>
      </c>
      <c r="AC16" s="73" ph="1">
        <f>AC15*9.0746*LOOKUP(AC17,密度!$A$2:$A$50,密度!$L$2:$L$50)</f>
        <v>58783.616297400004</v>
      </c>
      <c r="AD16" s="73" ph="1">
        <f>AD15*268.68*LOOKUP(AD17,密度!$A$2:$A$50,密度!B2:B50)+IF(AD15&lt;=0,0,1566*LOOKUP(AD17,密度!$A$2:$A$50,密度!B2:B50))</f>
        <v>14037.890164320001</v>
      </c>
      <c r="AE16" s="73" ph="1">
        <f>AE15*268.68*LOOKUP(AE17,密度!$A$2:$A$50,密度!B2:B50)+IF(AE15&lt;=0,0,1566*LOOKUP(AE17,密度!$A$2:$A$50,密度!B2:B50))</f>
        <v>2819.0557406399998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3" ph="1"/>
      <c r="C17" s="79" t="s" ph="1">
        <v>179</v>
      </c>
      <c r="D17" s="74">
        <v>26</v>
      </c>
      <c r="E17" s="74">
        <v>26</v>
      </c>
      <c r="F17" s="74">
        <v>32</v>
      </c>
      <c r="G17" s="74">
        <v>26</v>
      </c>
      <c r="H17" s="74">
        <v>22</v>
      </c>
      <c r="I17" s="74">
        <v>24</v>
      </c>
      <c r="J17" s="74">
        <v>26</v>
      </c>
      <c r="K17" s="74">
        <v>26</v>
      </c>
      <c r="L17" s="74">
        <v>27</v>
      </c>
      <c r="M17" s="74">
        <v>28</v>
      </c>
      <c r="N17" s="74">
        <v>22</v>
      </c>
      <c r="O17" s="74">
        <v>26</v>
      </c>
      <c r="P17" s="74">
        <v>25</v>
      </c>
      <c r="Q17" s="74">
        <v>30</v>
      </c>
      <c r="R17" s="74">
        <v>28</v>
      </c>
      <c r="S17" s="74">
        <v>25</v>
      </c>
      <c r="T17" s="74">
        <v>26</v>
      </c>
      <c r="U17" s="74">
        <v>24</v>
      </c>
      <c r="V17" s="74">
        <v>26</v>
      </c>
      <c r="W17" s="74">
        <v>26</v>
      </c>
      <c r="X17" s="74">
        <v>27</v>
      </c>
      <c r="Y17" s="108">
        <v>27</v>
      </c>
      <c r="Z17" s="74">
        <v>25</v>
      </c>
      <c r="AA17" s="74">
        <v>23</v>
      </c>
      <c r="AB17" s="74">
        <v>25</v>
      </c>
      <c r="AC17" s="74">
        <v>29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1" ph="1">
        <v>0.66666666666666663</v>
      </c>
      <c r="C18" s="79" t="s" ph="1">
        <v>180</v>
      </c>
      <c r="D18" s="71">
        <v>4682</v>
      </c>
      <c r="E18" s="71">
        <v>2128</v>
      </c>
      <c r="F18" s="71">
        <v>3769</v>
      </c>
      <c r="G18" s="71">
        <v>4136</v>
      </c>
      <c r="H18" s="71">
        <v>4096</v>
      </c>
      <c r="I18" s="71">
        <v>37</v>
      </c>
      <c r="J18" s="71">
        <v>3279</v>
      </c>
      <c r="K18" s="71">
        <v>5017</v>
      </c>
      <c r="L18" s="71">
        <v>5096</v>
      </c>
      <c r="M18" s="71">
        <v>2598</v>
      </c>
      <c r="N18" s="71">
        <v>2765</v>
      </c>
      <c r="O18" s="71">
        <v>5016</v>
      </c>
      <c r="P18" s="71">
        <v>125</v>
      </c>
      <c r="Q18" s="71">
        <v>1175</v>
      </c>
      <c r="R18" s="71">
        <v>7424</v>
      </c>
      <c r="S18" s="71">
        <v>764</v>
      </c>
      <c r="T18" s="71">
        <v>5404</v>
      </c>
      <c r="U18" s="71">
        <v>1722</v>
      </c>
      <c r="V18" s="71">
        <v>481</v>
      </c>
      <c r="W18" s="71">
        <v>-172</v>
      </c>
      <c r="X18" s="71">
        <v>-144</v>
      </c>
      <c r="Y18" s="109">
        <v>-2364</v>
      </c>
      <c r="Z18" s="71">
        <v>0</v>
      </c>
      <c r="AA18" s="71">
        <v>0</v>
      </c>
      <c r="AB18" s="71">
        <v>994</v>
      </c>
      <c r="AC18" s="71">
        <v>6939</v>
      </c>
      <c r="AD18" s="71">
        <v>84.56</v>
      </c>
      <c r="AE18" s="71">
        <v>33.67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2" ph="1"/>
      <c r="C19" s="151" t="s" ph="1">
        <v>178</v>
      </c>
      <c r="D19" s="73" ph="1">
        <f>D18*7.0686*LOOKUP(D20,密度!$A$2:$A$50,密度!$L$2:$L$50)</f>
        <v>30844.7126064</v>
      </c>
      <c r="E19" s="73" ph="1">
        <f>E18*7.0686*LOOKUP(E20,密度!$A$2:$A$50,密度!$L$2:$L$50)</f>
        <v>14034.168086400001</v>
      </c>
      <c r="F19" s="73" ph="1">
        <f>F18*9.0746*LOOKUP(F20,密度!$A$2:$A$50,密度!$L$2:$L$50)</f>
        <v>31808.015682000001</v>
      </c>
      <c r="G19" s="73" ph="1">
        <f>G18*9.0746*LOOKUP(G20,密度!$A$2:$A$50,密度!$B$2:$B$50)</f>
        <v>29226.593258719997</v>
      </c>
      <c r="H19" s="73" ph="1">
        <f>H18*9.0746*LOOKUP(H20,密度!$A$2:$A$50,密度!$L$2:$L$50)</f>
        <v>34865.048780799996</v>
      </c>
      <c r="I19" s="73" ph="1">
        <f>I18*9.0746*LOOKUP(I20,密度!$A$2:$A$50,密度!$U$2:$U$50)</f>
        <v>342.81116419999995</v>
      </c>
      <c r="J19" s="73" ph="1">
        <f>J18*9.0746*LOOKUP(J20,密度!$A$2:$A$50,密度!$L$2:$L$50)</f>
        <v>27791.742915600003</v>
      </c>
      <c r="K19" s="73" ph="1">
        <f>K18*9.0746*LOOKUP(K20,密度!$A$2:$A$50,密度!$C$2:$C$50)</f>
        <v>50448.76589242</v>
      </c>
      <c r="L19" s="73" ph="1">
        <f>L18*9.0746*LOOKUP(L20,密度!$A$2:$A$50,密度!$E$2:$E$50)</f>
        <v>36116.690209599998</v>
      </c>
      <c r="M19" s="73" ph="1">
        <f>M18*9.0746*LOOKUP(M20,密度!$A$2:$A$50,密度!$M$2:$M$50)</f>
        <v>20558.107017599999</v>
      </c>
      <c r="N19" s="73" ph="1">
        <f>N18*9.0746*LOOKUP(N20,密度!$A$2:$A$50,密度!$M$2:$M$50)</f>
        <v>21957.369501900001</v>
      </c>
      <c r="O19" s="73" ph="1">
        <f>O18*9.0746*LOOKUP(O20,密度!$A$2:$A$50,密度!$G$2:$G$50)</f>
        <v>43560.9112752</v>
      </c>
      <c r="P19" s="73" ph="1">
        <f ca="1">P18*9.0746*LOOKUP(P20,密度!$A$2:$A$51,密度!$Q$2:$Q$50)</f>
        <v>1070.04280225</v>
      </c>
      <c r="Q19" s="73" ph="1">
        <f>Q18*9.0746*LOOKUP(Q20,密度!$A$2:$A$50,密度!$Q$2:$Q$50)</f>
        <v>10064.799934150002</v>
      </c>
      <c r="R19" s="73" ph="1">
        <f>MAX(R18*9.0746*LOOKUP(R20,密度!$A$2:$A$50,密度!$B$2:$B$50),0)</f>
        <v>52231.829509120005</v>
      </c>
      <c r="S19" s="73" ph="1">
        <f>S18*9.0746*LOOKUP(S20,密度!$A$2:$A$50,密度!$Q$2:$Q$50)</f>
        <v>6540.1016073520004</v>
      </c>
      <c r="T19" s="73" ph="1">
        <f>T18*9.0746*LOOKUP(T20,密度!$A$2:$A$50,密度!$O$2:$O$50)</f>
        <v>45410.242158400004</v>
      </c>
      <c r="U19" s="73" ph="1">
        <f>U18*9.0746*LOOKUP(U20,密度!$A$2:$A$50,密度!$H$2:$H$50)</f>
        <v>14281.02289068</v>
      </c>
      <c r="V19" s="73" ph="1">
        <f>MAX(5600*LOOKUP(V20,密度!$A$2:$A$50,密度!$Q$2:$Q$50)+V18*9.0476*LOOKUP(V20,密度!$A$2:$A$50,密度!$Q$2:$Q$50),0)</f>
        <v>9393.8928137080002</v>
      </c>
      <c r="W19" s="73" ph="1">
        <f>MAX(5600*LOOKUP(W20,密度!$A$2:$A$50,密度!$Q$2:$Q$50)+W18*9.0476*LOOKUP(W20,密度!$A$2:$A$50,密度!$Q$2:$Q$50),0)</f>
        <v>3817.0762163039999</v>
      </c>
      <c r="X19" s="73" ph="1">
        <f>MAX(5600*LOOKUP(X20,密度!$A$2:$A$50,密度!$I$2:$I$50)+X18*9.0476*LOOKUP(X20,密度!$A$2:$A$50,密度!$I$2:$I$50),0)</f>
        <v>4464.7342783999993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0</v>
      </c>
      <c r="AB19" s="73" ph="1">
        <f>AB18*9.0746*LOOKUP(AB20,密度!$A$2:$A$50,密度!$L$2:$L$50)</f>
        <v>8424.8223416000019</v>
      </c>
      <c r="AC19" s="73" ph="1">
        <f>AC18*9.0746*LOOKUP(AC20,密度!$A$2:$A$50,密度!$L$2:$L$50)</f>
        <v>58812.718539600006</v>
      </c>
      <c r="AD19" s="73" ph="1">
        <f>AD18*268.68*LOOKUP(AD20,密度!$A$2:$A$50,密度!B5:B53)+IF(AD18&lt;=0,0,1566*LOOKUP(AD20,密度!$A$2:$A$50,密度!B5:B53))</f>
        <v>18869.896281599998</v>
      </c>
      <c r="AE19" s="73" ph="1">
        <f>AE18*268.68*LOOKUP(AE20,密度!$A$2:$A$50,密度!B5:B53)+IF(AE18&lt;=0,0,1566*LOOKUP(AE20,密度!$A$2:$A$50,密度!B5:B53))</f>
        <v>8245.8780012000007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2" ph="1"/>
      <c r="C20" s="80" t="s" ph="1">
        <v>179</v>
      </c>
      <c r="D20" s="81">
        <v>30</v>
      </c>
      <c r="E20" s="81">
        <v>29</v>
      </c>
      <c r="F20" s="81">
        <v>32</v>
      </c>
      <c r="G20" s="81">
        <v>26</v>
      </c>
      <c r="H20" s="81">
        <v>24</v>
      </c>
      <c r="I20" s="81">
        <v>29</v>
      </c>
      <c r="J20" s="81">
        <v>28</v>
      </c>
      <c r="K20" s="81">
        <v>26</v>
      </c>
      <c r="L20" s="81">
        <v>27</v>
      </c>
      <c r="M20" s="81">
        <v>28</v>
      </c>
      <c r="N20" s="81">
        <v>25</v>
      </c>
      <c r="O20" s="81">
        <v>28</v>
      </c>
      <c r="P20" s="81">
        <v>30</v>
      </c>
      <c r="Q20" s="81">
        <v>29</v>
      </c>
      <c r="R20" s="81">
        <v>30</v>
      </c>
      <c r="S20" s="81">
        <v>30</v>
      </c>
      <c r="T20" s="81">
        <v>28</v>
      </c>
      <c r="U20" s="81">
        <v>26</v>
      </c>
      <c r="V20" s="81">
        <v>29</v>
      </c>
      <c r="W20" s="81">
        <v>29</v>
      </c>
      <c r="X20" s="81">
        <v>28</v>
      </c>
      <c r="Y20" s="110">
        <v>28</v>
      </c>
      <c r="Z20" s="81">
        <v>29</v>
      </c>
      <c r="AA20" s="81">
        <v>27</v>
      </c>
      <c r="AB20" s="81">
        <v>28</v>
      </c>
      <c r="AC20" s="81">
        <v>28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0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69" t="s" ph="1">
        <v>69</v>
      </c>
      <c r="AA22" s="170"/>
      <c r="AB22" s="170"/>
      <c r="AC22" s="170"/>
      <c r="AD22" s="170"/>
      <c r="AE22" s="17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5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72" t="s" ph="1">
        <v>637</v>
      </c>
      <c r="AA23" s="173"/>
      <c r="AB23" s="173"/>
      <c r="AC23" s="173"/>
      <c r="AD23" s="173"/>
      <c r="AE23" s="17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1" ph="1">
        <v>0.33333333333333331</v>
      </c>
      <c r="C24" s="151" t="s" ph="1">
        <v>177</v>
      </c>
      <c r="D24" s="71">
        <v>60.51</v>
      </c>
      <c r="E24" s="71">
        <v>5.82</v>
      </c>
      <c r="F24" s="71">
        <v>919</v>
      </c>
      <c r="G24" s="71">
        <v>1916</v>
      </c>
      <c r="H24" s="71">
        <v>3925</v>
      </c>
      <c r="I24" s="71">
        <v>3044</v>
      </c>
      <c r="J24" s="71">
        <v>830</v>
      </c>
      <c r="K24" s="71">
        <v>442</v>
      </c>
      <c r="L24" s="71">
        <v>469</v>
      </c>
      <c r="M24" s="71">
        <v>3720</v>
      </c>
      <c r="N24" s="71">
        <v>332</v>
      </c>
      <c r="O24" s="71">
        <v>5623</v>
      </c>
      <c r="P24" s="71">
        <v>334</v>
      </c>
      <c r="Q24" s="90">
        <v>1296</v>
      </c>
      <c r="R24" s="71">
        <v>5673</v>
      </c>
      <c r="S24" s="71">
        <v>358</v>
      </c>
      <c r="T24" s="71">
        <v>1277</v>
      </c>
      <c r="U24" s="71">
        <v>4695</v>
      </c>
      <c r="V24" s="71">
        <v>3560</v>
      </c>
      <c r="W24" s="71">
        <v>9833</v>
      </c>
      <c r="X24" s="71">
        <v>4460</v>
      </c>
      <c r="Y24" s="71">
        <v>6138</v>
      </c>
      <c r="Z24" s="175"/>
      <c r="AA24" s="176"/>
      <c r="AB24" s="176"/>
      <c r="AC24" s="176"/>
      <c r="AD24" s="176"/>
      <c r="AE24" s="17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1" ph="1"/>
      <c r="C25" s="68" t="s" ph="1">
        <v>178</v>
      </c>
      <c r="D25" s="91" ph="1">
        <f>D24*268.68*LOOKUP(D26,密度!$A$2:$A$50,密度!$Q$2:$Q$50)+IF(D24&lt;=0,0,1566*LOOKUP(D26,密度!$A$2:$A$50,密度!$Q$2:$Q$50))</f>
        <v>16874.529784632003</v>
      </c>
      <c r="E25" s="91" ph="1">
        <f>E24*268.68*LOOKUP(E26,密度!$A$2:$A$50,密度!$C$2:$C$50)+IF(E24&lt;=0,0,1566*LOOKUP(E26,密度!$A$2:$A$50,密度!$C$2:$C$50))</f>
        <v>3470.5438466400001</v>
      </c>
      <c r="F25" s="91" ph="1">
        <f>F24*11.702*LOOKUP(F26,密度!$A$2:$A$50,密度!$Q$2:$Q$50)</f>
        <v>10181.372610120001</v>
      </c>
      <c r="G25" s="91" ph="1">
        <f>G24*18.322*LOOKUP(G26,密度!$A$2:$A$50,密度!$B$2:$B$50)</f>
        <v>27308.142160799998</v>
      </c>
      <c r="H25" s="91" ph="1">
        <f>H24*18.322*LOOKUP(H26,密度!$A$2:$A$50,密度!$B$2:$B$50)</f>
        <v>56193.48238999999</v>
      </c>
      <c r="I25" s="91" ph="1">
        <f>I24*18.322*LOOKUP(I26,密度!$A$2:$A$50,密度!$Q$2:$Q$50)</f>
        <v>52801.742332319998</v>
      </c>
      <c r="J25" s="91" ph="1">
        <f>J24*18.322*LOOKUP(J26,密度!$A$2:$A$50,密度!$Q$2:$Q$50)</f>
        <v>14386.5241778</v>
      </c>
      <c r="K25" s="91" ph="1">
        <f>K24*18.322*LOOKUP(K26,密度!$A$2:$A$50,密度!$Q$2:$Q$50)</f>
        <v>7672.9190402799995</v>
      </c>
      <c r="L25" s="91" ph="1">
        <f>L24*18.322*LOOKUP(L26,密度!$A$2:$A$50,密度!$Q$2:$Q$50)</f>
        <v>8141.6267644600002</v>
      </c>
      <c r="M25" s="91" ph="1">
        <f>M24*18.322*LOOKUP(M26,密度!$A$2:$A$50,密度!$Q$2:$Q$50)</f>
        <v>64527.753441599998</v>
      </c>
      <c r="N25" s="91" ph="1">
        <f>N24*18.322*LOOKUP(N26,密度!$A$2:$A$50,密度!$Q$2:$Q$50)</f>
        <v>5767.8095727999998</v>
      </c>
      <c r="O25" s="91" ph="1">
        <f>O24*18.322*LOOKUP(O26,密度!$A$2:$A$50,密度!$C$2:$C$50)</f>
        <v>114398.52250240001</v>
      </c>
      <c r="P25" s="91" ph="1">
        <f>P24*11.702*LOOKUP(P26,密度!$A$2:$A$50,密度!$B$2:$B$50)</f>
        <v>3050.5592739999997</v>
      </c>
      <c r="Q25" s="92" ph="1">
        <f>Q24*18.322*LOOKUP(Q26,密度!$A$2:$A$50,密度!$B$2:$B$50)</f>
        <v>18511.845235199999</v>
      </c>
      <c r="R25" s="91" ph="1">
        <f>R24*35.891*LOOKUP(R26,密度!$A$2:$A$50,密度!$C$2:$C$50)</f>
        <v>225782.73312269998</v>
      </c>
      <c r="S25" s="91" ph="1">
        <f>S24*35.891*LOOKUP(S26,密度!$A$2:$A$50,密度!$B$2:$B$50)</f>
        <v>10017.063248799999</v>
      </c>
      <c r="T25" s="91" ph="1">
        <f>T24*35.891*LOOKUP(T26,密度!$A$2:$A$50,密度!$Q$2:$Q$50)</f>
        <v>43425.209648290001</v>
      </c>
      <c r="U25" s="91" ph="1">
        <f>U24*35.891</f>
        <v>168508.245</v>
      </c>
      <c r="V25" s="91" ph="1">
        <f>V24*47.051*LOOKUP(V26,密度!$A$2:$A$50,密度!$B$2:$B$50)</f>
        <v>130734.96758</v>
      </c>
      <c r="W25" s="91" ph="1">
        <f>W24*47.051*LOOKUP(W26,密度!$A$2:$A$50,密度!$B$2:$B$50)</f>
        <v>361100.26298150001</v>
      </c>
      <c r="X25" s="91" ph="1">
        <f>X24*47.051*LOOKUP(X26,密度!$A$2:$A$61,密度!$I$2:$I$61)</f>
        <v>216856.36516400005</v>
      </c>
      <c r="Y25" s="91" ph="1">
        <f>Y24*47.051*LOOKUP(Y26,密度!$A$2:$A$50,密度!$L$2:$L$50)</f>
        <v>270893.49764399999</v>
      </c>
      <c r="Z25" s="175"/>
      <c r="AA25" s="176"/>
      <c r="AB25" s="176"/>
      <c r="AC25" s="176"/>
      <c r="AD25" s="176"/>
      <c r="AE25" s="17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1" ph="1"/>
      <c r="C26" s="68" t="s" ph="1">
        <v>179</v>
      </c>
      <c r="D26" s="74">
        <v>25</v>
      </c>
      <c r="E26" s="74">
        <v>25</v>
      </c>
      <c r="F26" s="74">
        <v>25</v>
      </c>
      <c r="G26" s="74">
        <v>27</v>
      </c>
      <c r="H26" s="74">
        <v>23</v>
      </c>
      <c r="I26" s="74">
        <v>25</v>
      </c>
      <c r="J26" s="74">
        <v>26</v>
      </c>
      <c r="K26" s="74">
        <v>24</v>
      </c>
      <c r="L26" s="74">
        <v>24</v>
      </c>
      <c r="M26" s="74">
        <v>25</v>
      </c>
      <c r="N26" s="74">
        <v>23</v>
      </c>
      <c r="O26" s="74">
        <v>23</v>
      </c>
      <c r="P26" s="74">
        <v>24</v>
      </c>
      <c r="Q26" s="93">
        <v>25</v>
      </c>
      <c r="R26" s="74">
        <v>25</v>
      </c>
      <c r="S26" s="74">
        <v>25</v>
      </c>
      <c r="T26" s="74">
        <v>24</v>
      </c>
      <c r="U26" s="74">
        <v>25</v>
      </c>
      <c r="V26" s="74">
        <v>24</v>
      </c>
      <c r="W26" s="74">
        <v>24</v>
      </c>
      <c r="X26" s="74">
        <v>33</v>
      </c>
      <c r="Y26" s="74">
        <v>24</v>
      </c>
      <c r="Z26" s="175"/>
      <c r="AA26" s="176"/>
      <c r="AB26" s="176"/>
      <c r="AC26" s="176"/>
      <c r="AD26" s="176"/>
      <c r="AE26" s="17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1" ph="1">
        <v>0.66666666666666663</v>
      </c>
      <c r="C27" s="151" t="s" ph="1">
        <v>180</v>
      </c>
      <c r="D27" s="71">
        <v>60.49</v>
      </c>
      <c r="E27" s="71">
        <v>38.090000000000003</v>
      </c>
      <c r="F27" s="71">
        <v>918</v>
      </c>
      <c r="G27" s="71">
        <v>800</v>
      </c>
      <c r="H27" s="71">
        <v>3543</v>
      </c>
      <c r="I27" s="71">
        <v>3042</v>
      </c>
      <c r="J27" s="71">
        <v>828</v>
      </c>
      <c r="K27" s="71">
        <v>441</v>
      </c>
      <c r="L27" s="71">
        <v>467</v>
      </c>
      <c r="M27" s="71">
        <v>4840</v>
      </c>
      <c r="N27" s="71">
        <v>2559</v>
      </c>
      <c r="O27" s="71">
        <v>5620</v>
      </c>
      <c r="P27" s="71">
        <v>332</v>
      </c>
      <c r="Q27" s="90">
        <v>1773</v>
      </c>
      <c r="R27" s="71">
        <v>5887</v>
      </c>
      <c r="S27" s="71">
        <v>356</v>
      </c>
      <c r="T27" s="71">
        <v>1276</v>
      </c>
      <c r="U27" s="71">
        <v>4618</v>
      </c>
      <c r="V27" s="71">
        <v>3265</v>
      </c>
      <c r="W27" s="71">
        <v>9830</v>
      </c>
      <c r="X27" s="71">
        <v>3607</v>
      </c>
      <c r="Y27" s="71">
        <v>6521</v>
      </c>
      <c r="Z27" s="175"/>
      <c r="AA27" s="176"/>
      <c r="AB27" s="176"/>
      <c r="AC27" s="176"/>
      <c r="AD27" s="176"/>
      <c r="AE27" s="17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1" ph="1"/>
      <c r="C28" s="151" t="s" ph="1">
        <v>178</v>
      </c>
      <c r="D28" s="91" ph="1">
        <f>D27*268.68*LOOKUP(D29,密度!$A$2:$A$50,密度!$Q$2:$Q$50)+IF(D27&lt;=0,0,1566*LOOKUP(D29,密度!$A$2:$A$50,密度!$Q$2:$Q$50))</f>
        <v>16869.442382568002</v>
      </c>
      <c r="E28" s="91" ph="1">
        <f>E27*268.68*LOOKUP(E29,密度!$A$2:$A$50,密度!$C$2:$C$50)+IF(E27&lt;=0,0,1566*LOOKUP(E29,密度!$A$2:$A$50,密度!$C$2:$C$50))</f>
        <v>13085.043508680001</v>
      </c>
      <c r="F28" s="91" ph="1">
        <f>F27*11.702*LOOKUP(F29,密度!$A$2:$A$50,密度!$Q$2:$Q$50)</f>
        <v>10162.66672908</v>
      </c>
      <c r="G28" s="91" ph="1">
        <f>G27*18.322*LOOKUP(G29,密度!$A$2:$A$50,密度!$B$2:$B$50)</f>
        <v>11388.955199999999</v>
      </c>
      <c r="H28" s="91" ph="1">
        <f>H27*18.322*LOOKUP(H29,密度!$A$2:$A$50,密度!$B$2:$B$50)</f>
        <v>50666.037302999997</v>
      </c>
      <c r="I28" s="91" ph="1">
        <f>I27*18.322*LOOKUP(I29,密度!$A$2:$A$50,密度!$Q$2:$Q$50)</f>
        <v>52807.736924279998</v>
      </c>
      <c r="J28" s="91" ph="1">
        <f>J27*18.322*LOOKUP(J29,密度!$A$2:$A$50,密度!$Q$2:$Q$50)</f>
        <v>14351.85785448</v>
      </c>
      <c r="K28" s="91" ph="1">
        <f>K27*18.322*LOOKUP(K29,密度!$A$2:$A$50,密度!$Q$2:$Q$50)</f>
        <v>7649.6610934800001</v>
      </c>
      <c r="L28" s="91" ph="1">
        <f>L27*18.322*LOOKUP(L29,密度!$A$2:$A$50,密度!$Q$2:$Q$50)</f>
        <v>8113.1538268000004</v>
      </c>
      <c r="M28" s="91" ph="1">
        <f>M27*18.322*LOOKUP(M29,密度!$A$2:$A$50,密度!$Q$2:$Q$50)</f>
        <v>84020.199445599996</v>
      </c>
      <c r="N28" s="91" ph="1">
        <f>N27*18.322*LOOKUP(N29,密度!$A$2:$A$50,密度!$Q$2:$Q$50)</f>
        <v>44527.163440620003</v>
      </c>
      <c r="O28" s="91" ph="1">
        <f>O27*18.322*LOOKUP(O29,密度!$A$2:$A$50,密度!$C$2:$C$50)</f>
        <v>114337.48825600001</v>
      </c>
      <c r="P28" s="91" ph="1">
        <f>P27*11.702*LOOKUP(P29,密度!$A$2:$A$50,密度!$B$2:$B$50)</f>
        <v>3025.2993367999998</v>
      </c>
      <c r="Q28" s="92" ph="1">
        <f>Q27*18.322*LOOKUP(Q29,密度!$A$2:$A$50,密度!$B$2:$B$50)</f>
        <v>25325.232717599996</v>
      </c>
      <c r="R28" s="91" ph="1">
        <f>R27*35.891*LOOKUP(R29,密度!$A$2:$A$50,密度!$C$2:$C$50)</f>
        <v>234299.83252129998</v>
      </c>
      <c r="S28" s="91" ph="1">
        <f>S27*35.891*LOOKUP(S29,密度!$A$2:$A$50,密度!$B$2:$B$50)</f>
        <v>9972.6014779999987</v>
      </c>
      <c r="T28" s="91" ph="1">
        <f>T27*35.891*LOOKUP(T29,密度!$A$2:$A$50,密度!$Q$2:$Q$50)</f>
        <v>43424.635751200003</v>
      </c>
      <c r="U28" s="91" ph="1">
        <f>U27*35.891</f>
        <v>165744.63800000001</v>
      </c>
      <c r="V28" s="91" ph="1">
        <f>V27*47.051*LOOKUP(V29,密度!$A$2:$A$50,密度!$B$2:$B$50)</f>
        <v>119901.59245750001</v>
      </c>
      <c r="W28" s="91" ph="1">
        <f>W27*47.051*LOOKUP(W29,密度!$A$2:$A$50,密度!$B$2:$B$50)</f>
        <v>360990.09306500002</v>
      </c>
      <c r="X28" s="91" ph="1">
        <f>X27*47.051*LOOKUP(X29,密度!$A$2:$A$61,密度!$I$2:$I$61)</f>
        <v>175177.71421539999</v>
      </c>
      <c r="Y28" s="91" ph="1">
        <f>Y27*47.051*LOOKUP(Y29,密度!$A$2:$A$50,密度!$L$2:$L$50)</f>
        <v>287183.118456</v>
      </c>
      <c r="Z28" s="175"/>
      <c r="AA28" s="176"/>
      <c r="AB28" s="176"/>
      <c r="AC28" s="176"/>
      <c r="AD28" s="176"/>
      <c r="AE28" s="17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1" ph="1"/>
      <c r="C29" s="151" t="s" ph="1">
        <v>179</v>
      </c>
      <c r="D29" s="74">
        <v>25</v>
      </c>
      <c r="E29" s="74">
        <v>25</v>
      </c>
      <c r="F29" s="74">
        <v>26</v>
      </c>
      <c r="G29" s="74">
        <v>28</v>
      </c>
      <c r="H29" s="74">
        <v>24</v>
      </c>
      <c r="I29" s="74">
        <v>24</v>
      </c>
      <c r="J29" s="74">
        <v>26</v>
      </c>
      <c r="K29" s="74">
        <v>25</v>
      </c>
      <c r="L29" s="74">
        <v>23</v>
      </c>
      <c r="M29" s="74">
        <v>24</v>
      </c>
      <c r="N29" s="74">
        <v>21</v>
      </c>
      <c r="O29" s="74">
        <v>23</v>
      </c>
      <c r="P29" s="74">
        <v>26</v>
      </c>
      <c r="Q29" s="93">
        <v>25</v>
      </c>
      <c r="R29" s="74">
        <v>25</v>
      </c>
      <c r="S29" s="74">
        <v>24</v>
      </c>
      <c r="T29" s="74">
        <v>23</v>
      </c>
      <c r="U29" s="74">
        <v>25</v>
      </c>
      <c r="V29" s="74">
        <v>24</v>
      </c>
      <c r="W29" s="74">
        <v>24</v>
      </c>
      <c r="X29" s="74">
        <v>34</v>
      </c>
      <c r="Y29" s="74">
        <v>26</v>
      </c>
      <c r="Z29" s="178"/>
      <c r="AA29" s="179"/>
      <c r="AB29" s="179"/>
      <c r="AC29" s="179"/>
      <c r="AD29" s="179"/>
      <c r="AE29" s="18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4" t="s" ph="1">
        <v>35</v>
      </c>
      <c r="C31" s="195" ph="1"/>
      <c r="D31" s="198" t="s" ph="1">
        <v>9</v>
      </c>
      <c r="E31" s="187" ph="1"/>
      <c r="F31" s="188" ph="1"/>
      <c r="G31" s="198" t="s" ph="1">
        <v>18</v>
      </c>
      <c r="H31" s="187" ph="1"/>
      <c r="I31" s="188" ph="1"/>
      <c r="J31" s="186" t="s" ph="1">
        <v>1</v>
      </c>
      <c r="K31" s="187" ph="1"/>
      <c r="L31" s="188" ph="1"/>
      <c r="M31" s="186" t="s" ph="1">
        <v>7</v>
      </c>
      <c r="N31" s="187" ph="1"/>
      <c r="O31" s="188" ph="1"/>
      <c r="P31" s="186" t="s" ph="1">
        <v>41</v>
      </c>
      <c r="Q31" s="187"/>
      <c r="R31" s="188"/>
      <c r="S31" s="186" t="s" ph="1">
        <v>2</v>
      </c>
      <c r="T31" s="187"/>
      <c r="U31" s="188"/>
      <c r="V31" s="186" t="s" ph="1">
        <v>71</v>
      </c>
      <c r="W31" s="187" ph="1"/>
      <c r="X31" s="188" ph="1"/>
      <c r="Y31" s="186" t="s" ph="1">
        <v>3</v>
      </c>
      <c r="Z31" s="187" ph="1"/>
      <c r="AA31" s="188" ph="1"/>
      <c r="AB31" s="209" t="s">
        <v>42</v>
      </c>
      <c r="AC31" s="210"/>
      <c r="AD31" s="210"/>
      <c r="AE31" s="211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6" ph="1"/>
      <c r="C32" s="197" ph="1"/>
      <c r="D32" s="96" t="s" ph="1">
        <v>4</v>
      </c>
      <c r="E32" s="151" t="s" ph="1">
        <v>5</v>
      </c>
      <c r="F32" s="152" t="s" ph="1">
        <v>43</v>
      </c>
      <c r="G32" s="97" t="s" ph="1">
        <v>4</v>
      </c>
      <c r="H32" s="151" t="s" ph="1">
        <v>5</v>
      </c>
      <c r="I32" s="152" t="s" ph="1">
        <v>43</v>
      </c>
      <c r="J32" s="97" t="s" ph="1">
        <v>4</v>
      </c>
      <c r="K32" s="151" t="s" ph="1">
        <v>5</v>
      </c>
      <c r="L32" s="152" t="s" ph="1">
        <v>43</v>
      </c>
      <c r="M32" s="97" t="s" ph="1">
        <v>4</v>
      </c>
      <c r="N32" s="151" t="s" ph="1">
        <v>5</v>
      </c>
      <c r="O32" s="152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1" t="s" ph="1">
        <v>5</v>
      </c>
      <c r="U32" s="99" t="s" ph="1">
        <v>43</v>
      </c>
      <c r="V32" s="97" t="s" ph="1">
        <v>4</v>
      </c>
      <c r="W32" s="151" t="s" ph="1">
        <v>5</v>
      </c>
      <c r="X32" s="99" t="s" ph="1">
        <v>43</v>
      </c>
      <c r="Y32" s="100" t="s" ph="1">
        <v>4</v>
      </c>
      <c r="Z32" s="151" t="s" ph="1">
        <v>5</v>
      </c>
      <c r="AA32" s="152" t="s" ph="1">
        <v>43</v>
      </c>
      <c r="AB32" s="97" t="s" ph="1">
        <v>85</v>
      </c>
      <c r="AC32" s="151" t="s" ph="1">
        <v>84</v>
      </c>
      <c r="AD32" s="212" t="s" ph="1">
        <v>83</v>
      </c>
      <c r="AE32" s="213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199" t="s" ph="1">
        <v>181</v>
      </c>
      <c r="C33" s="200" ph="1"/>
      <c r="D33" s="203" ph="1">
        <f>AA10+AB10+Z19</f>
        <v>170663.95477800001</v>
      </c>
      <c r="E33" s="203" ph="1">
        <f>M10+I10</f>
        <v>40380.301360599995</v>
      </c>
      <c r="F33" s="20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1522252632456786910111213141516171819202123456789101112131415161718192022232424356789101112131415161718192021222345678910111213141516171819202345678910111213149101516171819222123234567891012131415161711181920212224252345678910111213119[[#This Row],[F25]]</f>
        <v>3880</v>
      </c>
      <c r="G33" s="207" ph="1">
        <f>N19</f>
        <v>21957.369501900001</v>
      </c>
      <c r="H33" s="203" ph="1">
        <f>M19</f>
        <v>20558.107017599999</v>
      </c>
      <c r="I33" s="216" ph="1">
        <v>0</v>
      </c>
      <c r="J33" s="214" ph="1">
        <f>F10+O28</f>
        <v>329181.35268399998</v>
      </c>
      <c r="K33" s="203" ph="1">
        <f>O10+K10+E28+R28</f>
        <v>336189.80913677998</v>
      </c>
      <c r="L33" s="218" ph="1">
        <f>K19</f>
        <v>50448.76589242</v>
      </c>
      <c r="M33" s="214" ph="1">
        <f>G10+H10+W28+S28+V28+E10+R19+P28+Q28</f>
        <v>1476438.9653380199</v>
      </c>
      <c r="N33" s="203" ph="1">
        <f>L10+P10++G28+H28+AD19+AE19</f>
        <v>130061.4472968</v>
      </c>
      <c r="O33" s="216" ph="1">
        <f>G19</f>
        <v>29226.593258719997</v>
      </c>
      <c r="P33" s="214" ph="1">
        <f>L19</f>
        <v>36116.690209599998</v>
      </c>
      <c r="Q33" s="203" ph="1">
        <f>J10+N10</f>
        <v>108429.0711056</v>
      </c>
      <c r="R33" s="216" ph="1">
        <f>BE23</f>
        <v>890</v>
      </c>
      <c r="S33" s="214" ph="1">
        <f>X28</f>
        <v>175177.71421539999</v>
      </c>
      <c r="T33" s="203" ph="1">
        <f>X19</f>
        <v>4464.7342783999993</v>
      </c>
      <c r="U33" s="224" ph="1">
        <f>BE21</f>
        <v>730</v>
      </c>
      <c r="V33" s="235" ph="1">
        <f ca="1">P19+Q19+S19+M28+N28+J28+D10+AC10+D19+E19+H19+J19+O19+V19+W19+K28+L28</f>
        <v>844429.80699117389</v>
      </c>
      <c r="W33" s="235" ph="1">
        <f>D28+F28+T28+I28</f>
        <v>123264.481787128</v>
      </c>
      <c r="X33" s="216" ph="1">
        <f>BE29+BE31</f>
        <v>10200</v>
      </c>
      <c r="Y33" s="237" ph="1">
        <f>+Q10+R10+S10+T10+U10+V10+W10+X10+Y10</f>
        <v>116774.9189838</v>
      </c>
      <c r="Z33" s="222" ph="1">
        <f>T19+U19+Y28+Z10</f>
        <v>407444.90618907998</v>
      </c>
      <c r="AA33" s="224" ph="1">
        <f>BE19</f>
        <v>1440</v>
      </c>
      <c r="AB33" s="226" ph="1">
        <f>I19</f>
        <v>342.81116419999995</v>
      </c>
      <c r="AC33" s="228" ph="1">
        <f>AD10+AB19</f>
        <v>63393.628709600001</v>
      </c>
      <c r="AD33" s="230" ph="1">
        <v>0</v>
      </c>
      <c r="AE33" s="231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1" ph="1"/>
      <c r="C34" s="202" ph="1"/>
      <c r="D34" s="204" ph="1"/>
      <c r="E34" s="204" ph="1"/>
      <c r="F34" s="206" ph="1"/>
      <c r="G34" s="208" ph="1"/>
      <c r="H34" s="204" ph="1"/>
      <c r="I34" s="217" ph="1"/>
      <c r="J34" s="215" ph="1"/>
      <c r="K34" s="204" ph="1"/>
      <c r="L34" s="219" ph="1"/>
      <c r="M34" s="215" ph="1"/>
      <c r="N34" s="204" ph="1"/>
      <c r="O34" s="217" ph="1"/>
      <c r="P34" s="215" ph="1"/>
      <c r="Q34" s="204" ph="1"/>
      <c r="R34" s="217" ph="1"/>
      <c r="S34" s="215" ph="1"/>
      <c r="T34" s="204"/>
      <c r="U34" s="225"/>
      <c r="V34" s="236" ph="1"/>
      <c r="W34" s="236" ph="1"/>
      <c r="X34" s="217" ph="1"/>
      <c r="Y34" s="238" ph="1"/>
      <c r="Z34" s="223" ph="1"/>
      <c r="AA34" s="225" ph="1"/>
      <c r="AB34" s="227"/>
      <c r="AC34" s="229"/>
      <c r="AD34" s="232"/>
      <c r="AE34" s="233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4" t="s" ph="1">
        <v>631</v>
      </c>
      <c r="AD35" s="234"/>
      <c r="AE35" s="234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0" t="s" ph="1">
        <v>183</v>
      </c>
      <c r="J36" s="220" ph="1"/>
      <c r="K36" s="101" ph="1"/>
      <c r="P36" s="101" ph="1"/>
      <c r="R36" s="220" t="s" ph="1">
        <v>184</v>
      </c>
      <c r="S36" s="220" ph="1"/>
      <c r="Y36" s="102" ph="1"/>
      <c r="Z36" s="153" t="s" ph="1">
        <v>185</v>
      </c>
      <c r="AA36" s="153" ph="1"/>
      <c r="AB36" s="221" t="s" ph="1">
        <v>638</v>
      </c>
      <c r="AC36" s="221" ph="1"/>
      <c r="AD36" s="221" ph="1"/>
      <c r="AE36" s="221" ph="1"/>
      <c r="BA36" s="64" ph="1">
        <v>2270</v>
      </c>
    </row>
    <row r="37" spans="1:57" s="153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3" t="s" ph="1">
        <v>342</v>
      </c>
      <c r="AI37" s="153" t="s" ph="1">
        <v>209</v>
      </c>
      <c r="AJ37" s="153" t="s" ph="1">
        <v>210</v>
      </c>
      <c r="AK37" s="153" t="s" ph="1">
        <v>211</v>
      </c>
      <c r="AM37" s="153" t="s" ph="1">
        <v>210</v>
      </c>
      <c r="AN37" s="153" t="s" ph="1">
        <v>211</v>
      </c>
      <c r="AO37" s="153" t="s" ph="1">
        <v>212</v>
      </c>
      <c r="AP37" s="153" t="s" ph="1">
        <v>210</v>
      </c>
      <c r="AQ37" s="153" t="s" ph="1">
        <v>211</v>
      </c>
      <c r="AR37" s="153" t="s" ph="1">
        <v>212</v>
      </c>
      <c r="AS37" s="153" t="s" ph="1">
        <v>210</v>
      </c>
      <c r="AT37" s="153" t="s" ph="1">
        <v>211</v>
      </c>
      <c r="AU37" s="153" t="s" ph="1">
        <v>212</v>
      </c>
      <c r="AV37" s="153" t="s" ph="1">
        <v>210</v>
      </c>
      <c r="AW37" s="153" t="s" ph="1">
        <v>211</v>
      </c>
      <c r="AX37" s="153" t="s" ph="1">
        <v>212</v>
      </c>
      <c r="AY37" s="153" t="s" ph="1">
        <v>211</v>
      </c>
      <c r="AZ37" s="153" t="s" ph="1">
        <v>213</v>
      </c>
      <c r="BD37" s="153" t="s" ph="1">
        <v>305</v>
      </c>
      <c r="BE37" s="153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429" priority="100">
      <formula>ABS(D$7-D$10)&gt;=1000</formula>
    </cfRule>
  </conditionalFormatting>
  <conditionalFormatting sqref="E4 E6:E11">
    <cfRule type="expression" dxfId="1428" priority="99">
      <formula>ABS(E$7-E$10)&gt;=1000</formula>
    </cfRule>
  </conditionalFormatting>
  <conditionalFormatting sqref="F4:F11">
    <cfRule type="expression" dxfId="1427" priority="98">
      <formula>ABS(F$7-F$10)&gt;=1000</formula>
    </cfRule>
  </conditionalFormatting>
  <conditionalFormatting sqref="G4:G11">
    <cfRule type="expression" dxfId="1426" priority="97">
      <formula>ABS(G$7-G$10)&gt;=1000</formula>
    </cfRule>
  </conditionalFormatting>
  <conditionalFormatting sqref="H4:H11">
    <cfRule type="expression" dxfId="1425" priority="96">
      <formula>ABS(H$7-H$10)&gt;=1000</formula>
    </cfRule>
  </conditionalFormatting>
  <conditionalFormatting sqref="I4:I11">
    <cfRule type="expression" dxfId="1424" priority="95">
      <formula>ABS(I$7-I$10)&gt;=1000</formula>
    </cfRule>
  </conditionalFormatting>
  <conditionalFormatting sqref="J4:J11">
    <cfRule type="expression" dxfId="1423" priority="94">
      <formula>ABS(J$7-J$10)&gt;=1000</formula>
    </cfRule>
  </conditionalFormatting>
  <conditionalFormatting sqref="K4:K11">
    <cfRule type="expression" dxfId="1422" priority="93">
      <formula>ABS(K$7-K$10)&gt;=1000</formula>
    </cfRule>
  </conditionalFormatting>
  <conditionalFormatting sqref="L4:L11">
    <cfRule type="expression" dxfId="1421" priority="92">
      <formula>ABS(L$7-L$10)&gt;=1000</formula>
    </cfRule>
  </conditionalFormatting>
  <conditionalFormatting sqref="M4 M6:M11">
    <cfRule type="expression" dxfId="1420" priority="91">
      <formula>ABS(M$7-M$10)&gt;=1000</formula>
    </cfRule>
  </conditionalFormatting>
  <conditionalFormatting sqref="N4 N6:N11">
    <cfRule type="expression" dxfId="1419" priority="90">
      <formula>ABS(N$7-N$10)&gt;=1000</formula>
    </cfRule>
  </conditionalFormatting>
  <conditionalFormatting sqref="O4 O6:O11">
    <cfRule type="expression" dxfId="1418" priority="89">
      <formula>ABS(O$7-O$10)&gt;=1000</formula>
    </cfRule>
  </conditionalFormatting>
  <conditionalFormatting sqref="P4 P6:P11">
    <cfRule type="expression" dxfId="1417" priority="88">
      <formula>ABS(P$7-P$10)&gt;=1000</formula>
    </cfRule>
  </conditionalFormatting>
  <conditionalFormatting sqref="Q4:Q11">
    <cfRule type="expression" dxfId="1416" priority="87">
      <formula>ABS(Q$7-Q$10)&gt;=1000</formula>
    </cfRule>
  </conditionalFormatting>
  <conditionalFormatting sqref="R4:R11">
    <cfRule type="expression" dxfId="1415" priority="86">
      <formula>ABS(R$7-R$10)&gt;=1000</formula>
    </cfRule>
  </conditionalFormatting>
  <conditionalFormatting sqref="S4:S11">
    <cfRule type="expression" dxfId="1414" priority="85">
      <formula>ABS(S$7-S$10)&gt;=1000</formula>
    </cfRule>
  </conditionalFormatting>
  <conditionalFormatting sqref="T4:T9 T11">
    <cfRule type="expression" dxfId="1413" priority="84">
      <formula>ABS(T$7-T$10)&gt;=1000</formula>
    </cfRule>
  </conditionalFormatting>
  <conditionalFormatting sqref="U4:U9 U11">
    <cfRule type="expression" dxfId="1412" priority="83">
      <formula>ABS(U$7-U$10)&gt;=1000</formula>
    </cfRule>
  </conditionalFormatting>
  <conditionalFormatting sqref="V4:V9 V11">
    <cfRule type="expression" dxfId="1411" priority="82">
      <formula>ABS(V$7-V$10)&gt;=1000</formula>
    </cfRule>
  </conditionalFormatting>
  <conditionalFormatting sqref="W4:W9 W11">
    <cfRule type="expression" dxfId="1410" priority="81">
      <formula>ABS(W$7-W$10)&gt;=1000</formula>
    </cfRule>
  </conditionalFormatting>
  <conditionalFormatting sqref="X4:X9 X11">
    <cfRule type="expression" dxfId="1409" priority="80">
      <formula>ABS(X$7-X$10)&gt;=1000</formula>
    </cfRule>
  </conditionalFormatting>
  <conditionalFormatting sqref="Y4:Y9 Y11">
    <cfRule type="expression" dxfId="1408" priority="79">
      <formula>ABS(Y$7-Y$10)&gt;=1000</formula>
    </cfRule>
  </conditionalFormatting>
  <conditionalFormatting sqref="Z4:Z11">
    <cfRule type="expression" dxfId="1407" priority="78">
      <formula>ABS(Z$7-Z$10)&gt;=1000</formula>
    </cfRule>
  </conditionalFormatting>
  <conditionalFormatting sqref="AA4:AA11">
    <cfRule type="expression" dxfId="1406" priority="77">
      <formula>ABS(AA$7-AA$10)&gt;=1000</formula>
    </cfRule>
  </conditionalFormatting>
  <conditionalFormatting sqref="AB4:AB11">
    <cfRule type="expression" dxfId="1405" priority="76">
      <formula>ABS(AB$7-AB$10)&gt;=1000</formula>
    </cfRule>
  </conditionalFormatting>
  <conditionalFormatting sqref="AC4 AC6:AC11">
    <cfRule type="expression" dxfId="1404" priority="75">
      <formula>ABS(AC$7-AC$10)&gt;=1000</formula>
    </cfRule>
  </conditionalFormatting>
  <conditionalFormatting sqref="AD4 AD6:AD11">
    <cfRule type="expression" dxfId="1403" priority="74">
      <formula>ABS(AD$7-AD$10)&gt;=1000</formula>
    </cfRule>
  </conditionalFormatting>
  <conditionalFormatting sqref="AE4 AE6:AE11">
    <cfRule type="expression" dxfId="1402" priority="73">
      <formula>ABS(AE$7-AE$10)&gt;=1000</formula>
    </cfRule>
  </conditionalFormatting>
  <conditionalFormatting sqref="D13:D20">
    <cfRule type="expression" dxfId="1401" priority="72">
      <formula>ABS(D$16-D$19)&gt;=1000</formula>
    </cfRule>
  </conditionalFormatting>
  <conditionalFormatting sqref="E13:E20">
    <cfRule type="expression" dxfId="1400" priority="71">
      <formula>ABS(E$16-E$19)&gt;=1000</formula>
    </cfRule>
  </conditionalFormatting>
  <conditionalFormatting sqref="F13 F15:F20">
    <cfRule type="expression" dxfId="1399" priority="70">
      <formula>ABS(F$16-F$19)&gt;=1000</formula>
    </cfRule>
  </conditionalFormatting>
  <conditionalFormatting sqref="G13:G20">
    <cfRule type="expression" dxfId="1398" priority="69">
      <formula>ABS(G$16-G$19)&gt;=1000</formula>
    </cfRule>
  </conditionalFormatting>
  <conditionalFormatting sqref="H13 H15:H20">
    <cfRule type="expression" dxfId="1397" priority="68">
      <formula>ABS(H$16-H$19)&gt;=1000</formula>
    </cfRule>
  </conditionalFormatting>
  <conditionalFormatting sqref="I13:I20">
    <cfRule type="expression" dxfId="1396" priority="67">
      <formula>ABS(I$16-I$19)&gt;=1000</formula>
    </cfRule>
  </conditionalFormatting>
  <conditionalFormatting sqref="J13:J20">
    <cfRule type="expression" dxfId="1395" priority="66">
      <formula>ABS(J$16-J$19)&gt;=1000</formula>
    </cfRule>
  </conditionalFormatting>
  <conditionalFormatting sqref="L13:L20">
    <cfRule type="expression" dxfId="1394" priority="65">
      <formula>ABS(L$16-L$19)&gt;=1000</formula>
    </cfRule>
  </conditionalFormatting>
  <conditionalFormatting sqref="M13 M15 M17:M18 M20">
    <cfRule type="expression" dxfId="1393" priority="64">
      <formula>ABS(M$16-M$19)&gt;=1000</formula>
    </cfRule>
  </conditionalFormatting>
  <conditionalFormatting sqref="N13:N20">
    <cfRule type="expression" dxfId="1392" priority="63">
      <formula>ABS(N$16-N$19)&gt;=1000</formula>
    </cfRule>
  </conditionalFormatting>
  <conditionalFormatting sqref="O13:O20">
    <cfRule type="expression" dxfId="1391" priority="62">
      <formula>ABS(O$16-O$19)&gt;=1000</formula>
    </cfRule>
  </conditionalFormatting>
  <conditionalFormatting sqref="P13:P20">
    <cfRule type="expression" dxfId="1390" priority="61">
      <formula>ABS(P$16-P$19)&gt;=1000</formula>
    </cfRule>
  </conditionalFormatting>
  <conditionalFormatting sqref="Q13 Q15:Q20">
    <cfRule type="expression" dxfId="1389" priority="60">
      <formula>ABS(Q$16-Q$19)&gt;=1000</formula>
    </cfRule>
  </conditionalFormatting>
  <conditionalFormatting sqref="R13:R20">
    <cfRule type="expression" dxfId="1388" priority="59">
      <formula>ABS(R$16-R$19)&gt;=1000</formula>
    </cfRule>
  </conditionalFormatting>
  <conditionalFormatting sqref="S13:S20">
    <cfRule type="expression" dxfId="1387" priority="58">
      <formula>ABS(S$16-S$19)&gt;=1000</formula>
    </cfRule>
  </conditionalFormatting>
  <conditionalFormatting sqref="T13:T20">
    <cfRule type="expression" dxfId="1386" priority="57">
      <formula>ABS(T$16-T$19)&gt;=1000</formula>
    </cfRule>
  </conditionalFormatting>
  <conditionalFormatting sqref="U13:U20">
    <cfRule type="expression" dxfId="1385" priority="56">
      <formula>ABS(U$16-U$19)&gt;=1000</formula>
    </cfRule>
  </conditionalFormatting>
  <conditionalFormatting sqref="V13:V20">
    <cfRule type="expression" dxfId="1384" priority="55">
      <formula>ABS(V$16-V$19)&gt;=1000</formula>
    </cfRule>
  </conditionalFormatting>
  <conditionalFormatting sqref="W13 W20 W15:W18">
    <cfRule type="expression" dxfId="1383" priority="54">
      <formula>ABS(W$16-W$19)&gt;=1000</formula>
    </cfRule>
  </conditionalFormatting>
  <conditionalFormatting sqref="X13 X15:X20 Y19">
    <cfRule type="expression" dxfId="1382" priority="53">
      <formula>ABS(X$16-X$19)&gt;=1000</formula>
    </cfRule>
  </conditionalFormatting>
  <conditionalFormatting sqref="Y13 Y15:Y18 Y20">
    <cfRule type="expression" dxfId="1381" priority="52">
      <formula>ABS(Y$16-Y$19)&gt;=1000</formula>
    </cfRule>
  </conditionalFormatting>
  <conditionalFormatting sqref="Z13:Z20">
    <cfRule type="expression" dxfId="1380" priority="51">
      <formula>ABS(Z$16-Z$19)&gt;=1000</formula>
    </cfRule>
  </conditionalFormatting>
  <conditionalFormatting sqref="AA13:AA20">
    <cfRule type="expression" dxfId="1379" priority="50">
      <formula>ABS(AA$16-AA$19)&gt;=1000</formula>
    </cfRule>
  </conditionalFormatting>
  <conditionalFormatting sqref="AB13 AB15:AB20">
    <cfRule type="expression" dxfId="1378" priority="49">
      <formula>ABS(AB$16-AB$19)&gt;=1000</formula>
    </cfRule>
  </conditionalFormatting>
  <conditionalFormatting sqref="AC13 AC15:AC20">
    <cfRule type="expression" dxfId="1377" priority="48">
      <formula>ABS(AC$16-AC$19)&gt;=1000</formula>
    </cfRule>
  </conditionalFormatting>
  <conditionalFormatting sqref="AD13:AD20">
    <cfRule type="expression" dxfId="1376" priority="47">
      <formula>ABS(AD$16-AD$19)&gt;=1000</formula>
    </cfRule>
  </conditionalFormatting>
  <conditionalFormatting sqref="AE13:AE20">
    <cfRule type="expression" dxfId="1375" priority="46">
      <formula>ABS(AE$16-AE$19)&gt;=1000</formula>
    </cfRule>
  </conditionalFormatting>
  <conditionalFormatting sqref="D22:D29">
    <cfRule type="expression" dxfId="1374" priority="45">
      <formula>ABS(D$25-D$28)&gt;=1000</formula>
    </cfRule>
  </conditionalFormatting>
  <conditionalFormatting sqref="E22:E29">
    <cfRule type="expression" dxfId="1373" priority="44">
      <formula>ABS(E$25-E$28)&gt;=1000</formula>
    </cfRule>
  </conditionalFormatting>
  <conditionalFormatting sqref="F22:F29">
    <cfRule type="expression" dxfId="1372" priority="43">
      <formula>ABS(F$25-F$28)&gt;=1000</formula>
    </cfRule>
  </conditionalFormatting>
  <conditionalFormatting sqref="G22:G29">
    <cfRule type="expression" dxfId="1371" priority="42">
      <formula>ABS(G$25-G$28)&gt;=1000</formula>
    </cfRule>
  </conditionalFormatting>
  <conditionalFormatting sqref="H22:H29">
    <cfRule type="expression" dxfId="1370" priority="41">
      <formula>ABS(H$25-H$28)&gt;=1000</formula>
    </cfRule>
  </conditionalFormatting>
  <conditionalFormatting sqref="I22 I24:I29">
    <cfRule type="expression" dxfId="1369" priority="40">
      <formula>ABS(I$25-I$28)&gt;=1000</formula>
    </cfRule>
  </conditionalFormatting>
  <conditionalFormatting sqref="J22:J29 K22">
    <cfRule type="expression" dxfId="1368" priority="39">
      <formula>ABS(J$25-J$28)&gt;=1000</formula>
    </cfRule>
  </conditionalFormatting>
  <conditionalFormatting sqref="K23:K29 L25 L28">
    <cfRule type="expression" dxfId="1367" priority="38">
      <formula>ABS(K$25-K$28)&gt;=1000</formula>
    </cfRule>
  </conditionalFormatting>
  <conditionalFormatting sqref="L22 L26:L27 L29 L24">
    <cfRule type="expression" dxfId="1366" priority="37">
      <formula>ABS(L$25-L$28)&gt;=1000</formula>
    </cfRule>
  </conditionalFormatting>
  <conditionalFormatting sqref="M22:M29">
    <cfRule type="expression" dxfId="1365" priority="36">
      <formula>ABS(M$25-M$28)&gt;=1000</formula>
    </cfRule>
  </conditionalFormatting>
  <conditionalFormatting sqref="N22:N29">
    <cfRule type="expression" dxfId="1364" priority="35">
      <formula>ABS(N$25-N$28)&gt;=1000</formula>
    </cfRule>
  </conditionalFormatting>
  <conditionalFormatting sqref="O22:O29">
    <cfRule type="expression" dxfId="1363" priority="34">
      <formula>ABS(O$25-O$28)&gt;=1000</formula>
    </cfRule>
  </conditionalFormatting>
  <conditionalFormatting sqref="P22:P29">
    <cfRule type="expression" dxfId="1362" priority="33">
      <formula>ABS(P$25-P$28)&gt;=1000</formula>
    </cfRule>
  </conditionalFormatting>
  <conditionalFormatting sqref="Q22:Q29">
    <cfRule type="expression" dxfId="1361" priority="32">
      <formula>ABS(Q$25-Q$28)&gt;=1000</formula>
    </cfRule>
  </conditionalFormatting>
  <conditionalFormatting sqref="R22:R29">
    <cfRule type="expression" dxfId="1360" priority="31">
      <formula>ABS(R$25-R$28)&gt;=1000</formula>
    </cfRule>
  </conditionalFormatting>
  <conditionalFormatting sqref="S22:S29">
    <cfRule type="expression" dxfId="1359" priority="30">
      <formula>ABS(S$25-S$28)&gt;=1000</formula>
    </cfRule>
  </conditionalFormatting>
  <conditionalFormatting sqref="T22:T29">
    <cfRule type="expression" dxfId="1358" priority="29">
      <formula>ABS(T$25-T$28)&gt;=1000</formula>
    </cfRule>
  </conditionalFormatting>
  <conditionalFormatting sqref="U22:U29">
    <cfRule type="expression" dxfId="1357" priority="28">
      <formula>ABS(U$25-U$28)&gt;=1000</formula>
    </cfRule>
  </conditionalFormatting>
  <conditionalFormatting sqref="V22:V29">
    <cfRule type="expression" dxfId="1356" priority="27">
      <formula>ABS(V$25-V$28)&gt;=1000</formula>
    </cfRule>
  </conditionalFormatting>
  <conditionalFormatting sqref="W22:W29">
    <cfRule type="expression" dxfId="1355" priority="26">
      <formula>ABS(W$25-W$28)&gt;=1000</formula>
    </cfRule>
  </conditionalFormatting>
  <conditionalFormatting sqref="X22:X29">
    <cfRule type="expression" dxfId="1354" priority="25">
      <formula>ABS(X$25-X$28)&gt;=1000</formula>
    </cfRule>
  </conditionalFormatting>
  <conditionalFormatting sqref="Y22:Y29">
    <cfRule type="expression" dxfId="1353" priority="24">
      <formula>ABS(Y$25-Y$28)&gt;=1000</formula>
    </cfRule>
  </conditionalFormatting>
  <conditionalFormatting sqref="I23">
    <cfRule type="expression" dxfId="1352" priority="23">
      <formula>ABS(I$25-I$28)&gt;=1000</formula>
    </cfRule>
  </conditionalFormatting>
  <conditionalFormatting sqref="Q14">
    <cfRule type="expression" dxfId="1351" priority="22">
      <formula>ABS(Q$16-Q$19)&gt;=1000</formula>
    </cfRule>
  </conditionalFormatting>
  <conditionalFormatting sqref="W14">
    <cfRule type="expression" dxfId="1350" priority="21">
      <formula>ABS(W$16-W$19)&gt;=1000</formula>
    </cfRule>
  </conditionalFormatting>
  <conditionalFormatting sqref="X14">
    <cfRule type="expression" dxfId="1349" priority="20">
      <formula>ABS(X$16-X$19)&gt;=1000</formula>
    </cfRule>
  </conditionalFormatting>
  <conditionalFormatting sqref="T10:Y10">
    <cfRule type="expression" dxfId="1348" priority="19">
      <formula>ABS(T$7-T$10)&gt;=1000</formula>
    </cfRule>
  </conditionalFormatting>
  <conditionalFormatting sqref="W19">
    <cfRule type="expression" dxfId="1347" priority="18">
      <formula>ABS(W$16-W$19)&gt;=1000</formula>
    </cfRule>
  </conditionalFormatting>
  <conditionalFormatting sqref="AC5">
    <cfRule type="expression" dxfId="1346" priority="17">
      <formula>ABS(AC$7-AC$10)&gt;=1000</formula>
    </cfRule>
  </conditionalFormatting>
  <conditionalFormatting sqref="M14">
    <cfRule type="expression" dxfId="1345" priority="16">
      <formula>ABS(M$16-M$19)&gt;=1000</formula>
    </cfRule>
  </conditionalFormatting>
  <conditionalFormatting sqref="M16">
    <cfRule type="expression" dxfId="1344" priority="15">
      <formula>ABS(M$16-M$19)&gt;=1000</formula>
    </cfRule>
  </conditionalFormatting>
  <conditionalFormatting sqref="M19">
    <cfRule type="expression" dxfId="1343" priority="14">
      <formula>ABS(M$16-M$19)&gt;=1000</formula>
    </cfRule>
  </conditionalFormatting>
  <conditionalFormatting sqref="K13:K20">
    <cfRule type="expression" dxfId="1342" priority="13">
      <formula>ABS(K$16-K$19)&gt;=1000</formula>
    </cfRule>
  </conditionalFormatting>
  <conditionalFormatting sqref="E5">
    <cfRule type="expression" dxfId="1341" priority="12">
      <formula>ABS(E$7-E$10)&gt;=1000</formula>
    </cfRule>
  </conditionalFormatting>
  <conditionalFormatting sqref="AB14:AC14">
    <cfRule type="expression" dxfId="1340" priority="11">
      <formula>ABS(AB$16-AB$19)&gt;=1000</formula>
    </cfRule>
  </conditionalFormatting>
  <conditionalFormatting sqref="M5">
    <cfRule type="expression" dxfId="1339" priority="10">
      <formula>ABS(M$7-M$10)&gt;=1000</formula>
    </cfRule>
  </conditionalFormatting>
  <conditionalFormatting sqref="N5">
    <cfRule type="expression" dxfId="1338" priority="9">
      <formula>ABS(N$7-N$10)&gt;=1000</formula>
    </cfRule>
  </conditionalFormatting>
  <conditionalFormatting sqref="O5">
    <cfRule type="expression" dxfId="1337" priority="8">
      <formula>ABS(O$7-O$10)&gt;=1000</formula>
    </cfRule>
  </conditionalFormatting>
  <conditionalFormatting sqref="P5">
    <cfRule type="expression" dxfId="1336" priority="7">
      <formula>ABS(P$7-P$10)&gt;=1000</formula>
    </cfRule>
  </conditionalFormatting>
  <conditionalFormatting sqref="L23">
    <cfRule type="expression" dxfId="1335" priority="6">
      <formula>ABS(L$25-L$28)&gt;=1000</formula>
    </cfRule>
  </conditionalFormatting>
  <conditionalFormatting sqref="Y14">
    <cfRule type="expression" dxfId="1334" priority="5">
      <formula>ABS(Y$16-Y$19)&gt;=1000</formula>
    </cfRule>
  </conditionalFormatting>
  <conditionalFormatting sqref="F14">
    <cfRule type="expression" dxfId="1333" priority="4">
      <formula>ABS(F$16-F$19)&gt;=1000</formula>
    </cfRule>
  </conditionalFormatting>
  <conditionalFormatting sqref="H14">
    <cfRule type="expression" dxfId="1332" priority="3">
      <formula>ABS(H$16-H$19)&gt;=1000</formula>
    </cfRule>
  </conditionalFormatting>
  <conditionalFormatting sqref="AD5">
    <cfRule type="expression" dxfId="1331" priority="2">
      <formula>ABS(AD$7-AD$10)&gt;=1000</formula>
    </cfRule>
  </conditionalFormatting>
  <conditionalFormatting sqref="AE5">
    <cfRule type="expression" dxfId="133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2521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69">
    <pageSetUpPr fitToPage="1"/>
  </sheetPr>
  <dimension ref="A1:CU223"/>
  <sheetViews>
    <sheetView view="pageBreakPreview" topLeftCell="A4" zoomScale="70" zoomScaleNormal="100" zoomScaleSheetLayoutView="70" workbookViewId="0">
      <selection activeCell="AD7" sqref="AD7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2" t="s" ph="1">
        <v>161</v>
      </c>
      <c r="C1" s="182" ph="1"/>
      <c r="D1" s="182" ph="1"/>
      <c r="E1" s="182" ph="1"/>
      <c r="F1" s="182" ph="1"/>
      <c r="G1" s="182" ph="1"/>
      <c r="H1" s="182" ph="1"/>
      <c r="I1" s="182" ph="1"/>
      <c r="J1" s="182" ph="1"/>
      <c r="K1" s="182" ph="1"/>
      <c r="L1" s="182" ph="1"/>
      <c r="M1" s="182" ph="1"/>
      <c r="N1" s="182" ph="1"/>
      <c r="O1" s="182" ph="1"/>
      <c r="P1" s="182" ph="1"/>
      <c r="Q1" s="182" ph="1"/>
      <c r="R1" s="182" ph="1"/>
      <c r="S1" s="182" ph="1"/>
      <c r="T1" s="182" ph="1"/>
      <c r="U1" s="182" ph="1"/>
      <c r="V1" s="182" ph="1"/>
      <c r="W1" s="182" ph="1"/>
      <c r="X1" s="182" ph="1"/>
      <c r="Y1" s="182" ph="1"/>
      <c r="Z1" s="182" ph="1"/>
      <c r="AA1" s="182" ph="1"/>
      <c r="AB1" s="182" ph="1"/>
      <c r="AC1" s="182" ph="1"/>
      <c r="AD1" s="182" ph="1"/>
      <c r="AE1" s="182" ph="1"/>
    </row>
    <row r="2" spans="1:99" s="66" customFormat="1" ht="24" customHeight="1" ph="1">
      <c r="B2" s="183" t="s" ph="1">
        <v>82</v>
      </c>
      <c r="C2" s="183" ph="1"/>
      <c r="D2" s="183" ph="1"/>
      <c r="E2" s="183" ph="1"/>
      <c r="F2" s="183" ph="1"/>
      <c r="G2" s="183" ph="1"/>
      <c r="H2" s="183" ph="1"/>
      <c r="I2" s="183" ph="1"/>
      <c r="J2" s="183" ph="1"/>
      <c r="K2" s="183" ph="1"/>
      <c r="L2" s="183" ph="1"/>
      <c r="M2" s="183" ph="1"/>
      <c r="N2" s="183" ph="1"/>
      <c r="O2" s="183" ph="1"/>
      <c r="P2" s="183" ph="1"/>
      <c r="Q2" s="183" ph="1"/>
      <c r="R2" s="183" ph="1"/>
      <c r="S2" s="183" ph="1"/>
      <c r="T2" s="183" ph="1"/>
      <c r="U2" s="183" ph="1"/>
      <c r="V2" s="183" ph="1"/>
      <c r="W2" s="183" ph="1"/>
      <c r="X2" s="183" ph="1"/>
      <c r="Y2" s="183" ph="1"/>
      <c r="Z2" s="183" ph="1"/>
      <c r="AA2" s="183" ph="1"/>
      <c r="AB2" s="183" ph="1"/>
      <c r="AC2" s="183" ph="1"/>
      <c r="AD2" s="183" ph="1"/>
      <c r="AE2" s="183" ph="1"/>
    </row>
    <row r="3" spans="1:99" ht="21" customHeight="1" ph="1">
      <c r="B3" s="184" ph="1">
        <v>46129</v>
      </c>
      <c r="C3" s="184"/>
      <c r="D3" s="184"/>
      <c r="E3" s="184"/>
      <c r="F3" s="184"/>
      <c r="G3" s="184"/>
      <c r="H3" s="184"/>
      <c r="I3" s="184"/>
      <c r="J3" s="184"/>
      <c r="K3" s="184"/>
      <c r="L3" s="184"/>
      <c r="M3" s="184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</row>
    <row r="4" spans="1:99" s="69" customFormat="1" ph="1">
      <c r="A4" s="65" ph="1"/>
      <c r="B4" s="185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5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1" ph="1">
        <v>0.33333333333333331</v>
      </c>
      <c r="C6" s="154" t="s" ph="1">
        <v>177</v>
      </c>
      <c r="D6" s="71">
        <v>1022</v>
      </c>
      <c r="E6" s="71">
        <v>6966</v>
      </c>
      <c r="F6" s="71">
        <v>5834</v>
      </c>
      <c r="G6" s="71">
        <v>8900</v>
      </c>
      <c r="H6" s="71">
        <v>6606</v>
      </c>
      <c r="I6" s="71">
        <v>10.220000000000001</v>
      </c>
      <c r="J6" s="71">
        <v>6.33</v>
      </c>
      <c r="K6" s="71">
        <v>6.9</v>
      </c>
      <c r="L6" s="71">
        <v>10.55</v>
      </c>
      <c r="M6" s="71">
        <v>1098</v>
      </c>
      <c r="N6" s="71">
        <v>4124</v>
      </c>
      <c r="O6" s="71">
        <v>3546</v>
      </c>
      <c r="P6" s="71">
        <v>1032</v>
      </c>
      <c r="Q6" s="71">
        <v>0</v>
      </c>
      <c r="R6" s="71">
        <v>0</v>
      </c>
      <c r="S6" s="71">
        <v>0</v>
      </c>
      <c r="T6" s="71">
        <v>0</v>
      </c>
      <c r="U6" s="71">
        <v>7000</v>
      </c>
      <c r="V6" s="71">
        <v>5910</v>
      </c>
      <c r="W6" s="71">
        <v>2370</v>
      </c>
      <c r="X6" s="71">
        <v>0</v>
      </c>
      <c r="Y6" s="71">
        <v>0</v>
      </c>
      <c r="Z6" s="71">
        <v>2937</v>
      </c>
      <c r="AA6" s="71">
        <v>4216</v>
      </c>
      <c r="AB6" s="71">
        <v>1294</v>
      </c>
      <c r="AC6" s="71">
        <v>8947</v>
      </c>
      <c r="AD6" s="71">
        <v>2810</v>
      </c>
      <c r="AE6" s="71">
        <v>4471</v>
      </c>
    </row>
    <row r="7" spans="1:99" s="72" customFormat="1" ht="22.2" ph="1">
      <c r="B7" s="181" ph="1"/>
      <c r="C7" s="68" t="s" ph="1">
        <v>178</v>
      </c>
      <c r="D7" s="73" ph="1">
        <f>D6*33.183*LOOKUP(D8,密度!$A$2:$A$50,密度!$Q$2:$Q$50)</f>
        <v>32106.81823524</v>
      </c>
      <c r="E7" s="73" ph="1">
        <f>E6*51.53*LOOKUP(E8,密度!$A$2:$A$50,密度!$B$2:$B$50)</f>
        <v>280166.70338999998</v>
      </c>
      <c r="F7" s="73" ph="1">
        <f>F6*33.183*LOOKUP(F8,密度!$A$2:$A$50,密度!$C$2:$C$50)</f>
        <v>214807.04457119998</v>
      </c>
      <c r="G7" s="73" ph="1">
        <f xml:space="preserve"> (G6+2)*51.53*LOOKUP(G8,密度!$A$2:$A$50,密度!$B$2:$B$50)</f>
        <v>357618.15877599997</v>
      </c>
      <c r="H7" s="73" ph="1">
        <f>(H6)*51.53*LOOKUP(H8,密度!$A$2:$A$50,密度!$B$2:$B$50)</f>
        <v>266913.26983800001</v>
      </c>
      <c r="I7" s="73" ph="1">
        <f>I6*290.8*1.0267</f>
        <v>3051.3277591999999</v>
      </c>
      <c r="J7" s="73" ph="1">
        <f>J6*290.8*0.7892</f>
        <v>1452.7309488000001</v>
      </c>
      <c r="K7" s="73" ph="1">
        <f>K6*290.8*1.1126</f>
        <v>2232.4541520000002</v>
      </c>
      <c r="L7" s="73" ph="1">
        <f>L6*290.8*0.777</f>
        <v>2383.7893800000006</v>
      </c>
      <c r="M7" s="73" ph="1">
        <f>M6*33.183*LOOKUP(M8,密度!$A$2:$A$50,密度!$D$2:$D$50)</f>
        <v>37407.7467378</v>
      </c>
      <c r="N7" s="73" ph="1">
        <f>N6*33.183*LOOKUP(N8,密度!$A$2:$A$50,密度!$E$2:$E$50)</f>
        <v>106877.26645200001</v>
      </c>
      <c r="O7" s="73" ph="1">
        <f>O6*20.428*LOOKUP(O8,密度!$A$2:$A$50,密度!$C$2:$C$50)</f>
        <v>80050.889008800004</v>
      </c>
      <c r="P7" s="73" ph="1">
        <f>P6*51.53*LOOKUP(P8,密度!$A$2:$A$50,密度!$B$2:$B$50)</f>
        <v>41601.900408000001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46412.427599999995</v>
      </c>
      <c r="V7" s="73" ph="1">
        <f>V6*1.5*1.5*3.1416*LOOKUP(V8,密度!$A$2:$A$50,密度!$L$2:$L$50)</f>
        <v>39060.023310000004</v>
      </c>
      <c r="W7" s="73" ph="1">
        <f>W6*1.5*1.5*3.1416*LOOKUP(W8,密度!$A$2:$A$50,密度!$L$2:$L$50)</f>
        <v>15713.921915999998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91513.504268999997</v>
      </c>
      <c r="AA7" s="73" ph="1">
        <f>AA6*33.183*LOOKUP(AA8,密度!$A$2:$A$50,密度!$D$2:$D$50)</f>
        <v>143634.84539759997</v>
      </c>
      <c r="AB7" s="73" ph="1">
        <f>AB6*20.428*LOOKUP(AB8,密度!$A$2:$A$50,密度!$D$2:$D$50)</f>
        <v>27308.791839199999</v>
      </c>
      <c r="AC7" s="73" ph="1">
        <f>AC6*51.53*LOOKUP(AC8,密度!$A$2:$A$50,密度!$Q$2:$Q$50)</f>
        <v>437567.41909190005</v>
      </c>
      <c r="AD7" s="73" ph="1">
        <f>AD6*20.428*LOOKUP(AD8,密度!$A$2:$A$50,密度!$V$2:$V$50)</f>
        <v>54968.806367999998</v>
      </c>
      <c r="AE7" s="73" ph="1">
        <f>AE6*20.428</f>
        <v>91333.588000000003</v>
      </c>
    </row>
    <row r="8" spans="1:99" ph="1">
      <c r="B8" s="181" ph="1"/>
      <c r="C8" s="68" t="s" ph="1">
        <v>179</v>
      </c>
      <c r="D8" s="74">
        <v>25</v>
      </c>
      <c r="E8" s="74">
        <v>24</v>
      </c>
      <c r="F8" s="74">
        <v>24</v>
      </c>
      <c r="G8" s="74">
        <v>25</v>
      </c>
      <c r="H8" s="74">
        <v>20</v>
      </c>
      <c r="I8" s="74">
        <v>25</v>
      </c>
      <c r="J8" s="74">
        <v>25</v>
      </c>
      <c r="K8" s="74">
        <v>25</v>
      </c>
      <c r="L8" s="74">
        <v>25</v>
      </c>
      <c r="M8" s="74">
        <v>25</v>
      </c>
      <c r="N8" s="74">
        <v>27</v>
      </c>
      <c r="O8" s="74">
        <v>30</v>
      </c>
      <c r="P8" s="74">
        <v>22</v>
      </c>
      <c r="Q8" s="74">
        <v>25</v>
      </c>
      <c r="R8" s="74">
        <v>29</v>
      </c>
      <c r="S8" s="74">
        <v>20</v>
      </c>
      <c r="T8" s="74">
        <v>20</v>
      </c>
      <c r="U8" s="74">
        <v>24</v>
      </c>
      <c r="V8" s="74">
        <v>27</v>
      </c>
      <c r="W8" s="74">
        <v>24</v>
      </c>
      <c r="X8" s="74">
        <v>15</v>
      </c>
      <c r="Y8" s="74">
        <v>24</v>
      </c>
      <c r="Z8" s="74">
        <v>23</v>
      </c>
      <c r="AA8" s="74">
        <v>25</v>
      </c>
      <c r="AB8" s="74">
        <v>18</v>
      </c>
      <c r="AC8" s="74">
        <v>22</v>
      </c>
      <c r="AD8" s="74">
        <v>26</v>
      </c>
      <c r="AE8" s="74">
        <v>27</v>
      </c>
    </row>
    <row r="9" spans="1:99" ht="26.4" ph="1">
      <c r="B9" s="181" ph="1">
        <v>0.66666666666666663</v>
      </c>
      <c r="C9" s="154" t="s" ph="1">
        <v>180</v>
      </c>
      <c r="D9" s="71">
        <v>509</v>
      </c>
      <c r="E9" s="71">
        <v>6967</v>
      </c>
      <c r="F9" s="71">
        <v>5838</v>
      </c>
      <c r="G9" s="71">
        <v>8908</v>
      </c>
      <c r="H9" s="71">
        <v>6607</v>
      </c>
      <c r="I9" s="71">
        <v>10.18</v>
      </c>
      <c r="J9" s="71">
        <v>6.36</v>
      </c>
      <c r="K9" s="71">
        <v>48.32</v>
      </c>
      <c r="L9" s="71">
        <v>67.03</v>
      </c>
      <c r="M9" s="71">
        <v>986</v>
      </c>
      <c r="N9" s="71">
        <v>4126</v>
      </c>
      <c r="O9" s="71">
        <v>3547</v>
      </c>
      <c r="P9" s="71">
        <v>1029</v>
      </c>
      <c r="Q9" s="71">
        <v>0</v>
      </c>
      <c r="R9" s="71">
        <v>0</v>
      </c>
      <c r="S9" s="71">
        <v>0</v>
      </c>
      <c r="T9" s="71">
        <v>0</v>
      </c>
      <c r="U9" s="71">
        <v>2928</v>
      </c>
      <c r="V9" s="71">
        <v>5917</v>
      </c>
      <c r="W9" s="71">
        <v>5078</v>
      </c>
      <c r="X9" s="71">
        <v>2851</v>
      </c>
      <c r="Y9" s="71">
        <v>0</v>
      </c>
      <c r="Z9" s="71">
        <v>3834</v>
      </c>
      <c r="AA9" s="71">
        <v>4221</v>
      </c>
      <c r="AB9" s="71">
        <v>1293</v>
      </c>
      <c r="AC9" s="71">
        <v>9344</v>
      </c>
      <c r="AD9" s="71">
        <v>2810</v>
      </c>
      <c r="AE9" s="71">
        <v>4406</v>
      </c>
    </row>
    <row r="10" spans="1:99" s="72" customFormat="1" ht="22.2" ph="1">
      <c r="B10" s="181" ph="1"/>
      <c r="C10" s="154" t="s" ph="1">
        <v>178</v>
      </c>
      <c r="D10" s="73" ph="1">
        <f>D9*33.183*LOOKUP(D11,密度!$A$2:$A$50,密度!$Q$2:$Q$50)</f>
        <v>15966.593762040002</v>
      </c>
      <c r="E10" s="73" ph="1">
        <f>E9*51.53*LOOKUP(E11,密度!$A$2:$A$50,密度!$B$2:$B$50)</f>
        <v>278340.073103</v>
      </c>
      <c r="F10" s="73" ph="1">
        <f>F9*33.183*LOOKUP(F11,密度!$A$2:$A$50,密度!$C$2:$C$50)</f>
        <v>214954.32399839998</v>
      </c>
      <c r="G10" s="73" ph="1">
        <f xml:space="preserve"> (G9+2)*51.53*LOOKUP(G11,密度!$A$2:$A$50,密度!$B$2:$B$50)</f>
        <v>355552.05312</v>
      </c>
      <c r="H10" s="73" ph="1">
        <f>(H9)*51.53*LOOKUP(H11,密度!$A$2:$A$50,密度!$B$2:$B$50)</f>
        <v>264264.05070200004</v>
      </c>
      <c r="I10" s="73" ph="1">
        <f>I9*290.8*1.0267</f>
        <v>3039.3851847999999</v>
      </c>
      <c r="J10" s="73" ph="1">
        <f>J9*290.8*0.7892</f>
        <v>1459.6159296000001</v>
      </c>
      <c r="K10" s="73" ph="1">
        <f>K9*290.8*1.1126</f>
        <v>15633.6499456</v>
      </c>
      <c r="L10" s="73" ph="1">
        <f>L9*290.8*0.777</f>
        <v>15145.535748</v>
      </c>
      <c r="M10" s="73" ph="1">
        <f>M9*33.183*LOOKUP(M11,密度!$A$2:$A$50,密度!$D$2:$D$50)</f>
        <v>33500.408668199998</v>
      </c>
      <c r="N10" s="73" ph="1">
        <f>N9*33.183*LOOKUP(N11,密度!$A$2:$A$50,密度!$E$2:$E$50)</f>
        <v>106764.80262839999</v>
      </c>
      <c r="O10" s="73" ph="1">
        <f>O9*20.428*LOOKUP(O11,密度!$A$2:$A$50,密度!$C$2:$C$50)</f>
        <v>79848.843832000013</v>
      </c>
      <c r="P10" s="73" ph="1">
        <f>P9*51.53*LOOKUP(P11,密度!$A$2:$A$50,密度!$B$2:$B$50)</f>
        <v>41157.515994000001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19372.261708800001</v>
      </c>
      <c r="V10" s="73" ph="1">
        <f>V9*1.5*1.5*3.1416*LOOKUP(V11,密度!$A$2:$A$50,密度!$L$2:$L$50)</f>
        <v>39064.462390799999</v>
      </c>
      <c r="W10" s="73" ph="1">
        <f>W9*1.5*1.5*3.1416*LOOKUP(W11,密度!$A$2:$A$50,密度!$L$2:$L$50)</f>
        <v>33633.006699600002</v>
      </c>
      <c r="X10" s="73" ph="1">
        <f>X9*1.5*1.5*3.1416*LOOKUP(X11,密度!$A$2:$A$50,密度!$L$2:$L$50)</f>
        <v>19084.491934199999</v>
      </c>
      <c r="Y10" s="73" ph="1">
        <f>Y9*1.5*1.5*3.1416*LOOKUP(Y11,密度!$A$2:$A$50,密度!$L$2:$L$50)</f>
        <v>0</v>
      </c>
      <c r="Z10" s="73" ph="1">
        <f>Z9*33.183*LOOKUP(Z11,密度!$A$2:$A$50,密度!$L$2:$L$50)</f>
        <v>119208.53381400001</v>
      </c>
      <c r="AA10" s="73" ph="1">
        <f>AA9*33.183*LOOKUP(AA11,密度!$A$2:$A$50,密度!$D$2:$D$50)</f>
        <v>143272.94164469998</v>
      </c>
      <c r="AB10" s="73" ph="1">
        <f>AB9*20.428*LOOKUP(AB11,密度!$A$2:$A$50,密度!$D$2:$D$50)</f>
        <v>27219.012822000001</v>
      </c>
      <c r="AC10" s="73" ph="1">
        <f>AC9*51.53*LOOKUP(AC11,密度!$A$2:$A$50,密度!$Q$2:$Q$50)</f>
        <v>455509.96360960003</v>
      </c>
      <c r="AD10" s="73" ph="1">
        <f>AD9*20.428*LOOKUP(AD11,密度!$A$2:$A$50,密度!$V$2:$V$50)</f>
        <v>54968.806367999998</v>
      </c>
      <c r="AE10" s="73" ph="1">
        <f>AE9*20.428</f>
        <v>90005.767999999996</v>
      </c>
    </row>
    <row r="11" spans="1:99" ph="1">
      <c r="A11" s="64" t="s" ph="1">
        <v>162</v>
      </c>
      <c r="B11" s="181" ph="1"/>
      <c r="C11" s="154" t="s" ph="1">
        <v>179</v>
      </c>
      <c r="D11" s="74">
        <v>27</v>
      </c>
      <c r="E11" s="74">
        <v>30</v>
      </c>
      <c r="F11" s="74">
        <v>24</v>
      </c>
      <c r="G11" s="74">
        <v>31</v>
      </c>
      <c r="H11" s="74">
        <v>29</v>
      </c>
      <c r="I11" s="74">
        <v>25</v>
      </c>
      <c r="J11" s="74">
        <v>25</v>
      </c>
      <c r="K11" s="74">
        <v>25</v>
      </c>
      <c r="L11" s="74">
        <v>25</v>
      </c>
      <c r="M11" s="74">
        <v>28</v>
      </c>
      <c r="N11" s="74">
        <v>28</v>
      </c>
      <c r="O11" s="74">
        <v>33</v>
      </c>
      <c r="P11" s="74">
        <v>29</v>
      </c>
      <c r="Q11" s="74">
        <v>34</v>
      </c>
      <c r="R11" s="74">
        <v>34</v>
      </c>
      <c r="S11" s="74">
        <v>25</v>
      </c>
      <c r="T11" s="74">
        <v>29</v>
      </c>
      <c r="U11" s="74">
        <v>26</v>
      </c>
      <c r="V11" s="74">
        <v>28</v>
      </c>
      <c r="W11" s="74">
        <v>25</v>
      </c>
      <c r="X11" s="74">
        <v>15</v>
      </c>
      <c r="Y11" s="74">
        <v>29</v>
      </c>
      <c r="Z11" s="74">
        <v>25</v>
      </c>
      <c r="AA11" s="74">
        <v>29</v>
      </c>
      <c r="AB11" s="74">
        <v>21</v>
      </c>
      <c r="AC11" s="74">
        <v>26</v>
      </c>
      <c r="AD11" s="74">
        <v>31</v>
      </c>
      <c r="AE11" s="74">
        <v>29</v>
      </c>
    </row>
    <row r="12" spans="1:99" ht="9.9" customHeight="1" ph="1"/>
    <row r="13" spans="1:99" s="72" customFormat="1" ht="29.25" customHeight="1" ph="1">
      <c r="B13" s="189" t="s" ph="1">
        <v>37</v>
      </c>
      <c r="C13" s="154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0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639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1" ph="1">
        <v>0.33333333333333331</v>
      </c>
      <c r="C15" s="154" t="s" ph="1">
        <v>177</v>
      </c>
      <c r="D15" s="78">
        <v>4680</v>
      </c>
      <c r="E15" s="78">
        <v>1867</v>
      </c>
      <c r="F15" s="78">
        <v>4403</v>
      </c>
      <c r="G15" s="78">
        <v>4660</v>
      </c>
      <c r="H15" s="78">
        <v>4093</v>
      </c>
      <c r="I15" s="78">
        <v>38</v>
      </c>
      <c r="J15" s="78">
        <v>3658</v>
      </c>
      <c r="K15" s="78">
        <v>5014</v>
      </c>
      <c r="L15" s="78">
        <v>5086</v>
      </c>
      <c r="M15" s="78">
        <v>4996</v>
      </c>
      <c r="N15" s="78">
        <v>339</v>
      </c>
      <c r="O15" s="78">
        <v>5011</v>
      </c>
      <c r="P15" s="78">
        <v>128</v>
      </c>
      <c r="Q15" s="78">
        <v>3840</v>
      </c>
      <c r="R15" s="78">
        <v>7416</v>
      </c>
      <c r="S15" s="78">
        <v>1147</v>
      </c>
      <c r="T15" s="78">
        <v>5399</v>
      </c>
      <c r="U15" s="78">
        <v>1722</v>
      </c>
      <c r="V15" s="78">
        <v>480</v>
      </c>
      <c r="W15" s="71">
        <v>-172</v>
      </c>
      <c r="X15" s="78">
        <v>-143</v>
      </c>
      <c r="Y15" s="106">
        <v>-9906</v>
      </c>
      <c r="Z15" s="78">
        <v>0</v>
      </c>
      <c r="AA15" s="78">
        <v>0</v>
      </c>
      <c r="AB15" s="78" ph="1">
        <v>993</v>
      </c>
      <c r="AC15" s="78" ph="1">
        <v>6926</v>
      </c>
      <c r="AD15" s="78">
        <v>62.58</v>
      </c>
      <c r="AE15" s="78">
        <v>5.49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2" ph="1"/>
      <c r="C16" s="154" t="s" ph="1">
        <v>178</v>
      </c>
      <c r="D16" s="73" ph="1">
        <f>D15*7.0686*LOOKUP(D17,密度!$A$2:$A$50,密度!$L$2:$L$50)</f>
        <v>31096.185120000002</v>
      </c>
      <c r="E16" s="73" ph="1">
        <f>E15*7.0686*LOOKUP(E17,密度!$A$2:$A$50,密度!$L$2:$L$50)</f>
        <v>12365.6603994</v>
      </c>
      <c r="F16" s="73" ph="1">
        <f>F15*9.0746*LOOKUP(F17,密度!$A$2:$A$50,密度!$L$2:$L$50)</f>
        <v>37238.492261599997</v>
      </c>
      <c r="G16" s="73" ph="1">
        <f>G15*9.0746*LOOKUP(G17,密度!$A$2:$A$50,密度!$B$2:$B$50)</f>
        <v>32967.441025599997</v>
      </c>
      <c r="H16" s="73" ph="1">
        <f>H15*9.0746*LOOKUP(H17,密度!$A$2:$A$50,密度!$L$2:$L$50)</f>
        <v>34950.9398698</v>
      </c>
      <c r="I16" s="73" ph="1">
        <f>I15*9.0746*LOOKUP(I17,密度!$A$2:$A$50,密度!$U$2:$U$50)</f>
        <v>354.1453396</v>
      </c>
      <c r="J16" s="73" ph="1">
        <f>J15*9.0746*LOOKUP(J17,密度!$A$2:$A$50,密度!$L$2:$L$50)</f>
        <v>31103.608931600003</v>
      </c>
      <c r="K16" s="73" ph="1">
        <f>K15*9.0746*LOOKUP(K17,密度!$A$2:$A$50,密度!$C$2:$C$50)</f>
        <v>50454.999235160001</v>
      </c>
      <c r="L16" s="73" ph="1">
        <f>L15*9.0746*LOOKUP(L17,密度!$A$2:$A$50,密度!$E$2:$E$50)</f>
        <v>36096.586340760005</v>
      </c>
      <c r="M16" s="73" ph="1">
        <f>M15*9.0746*LOOKUP(M17,密度!$A$2:$A$50,密度!$M$2:$M$50)</f>
        <v>39674.147570159999</v>
      </c>
      <c r="N16" s="73" ph="1">
        <f>N15*9.0746*LOOKUP(N17,密度!$A$2:$A$50,密度!$M$2:$M$50)</f>
        <v>2704.3660115400003</v>
      </c>
      <c r="O16" s="73" ph="1">
        <f>O15*9.0746*LOOKUP(O17,密度!$A$2:$A$50,密度!$G$2:$G$50)</f>
        <v>43608.4349554</v>
      </c>
      <c r="P16" s="73" ph="1">
        <f ca="1">P15*9.0746*LOOKUP(P17,密度!$A$2:$A$51,密度!$Q$2:$Q$50)</f>
        <v>1102.4143505920001</v>
      </c>
      <c r="Q16" s="73" ph="1">
        <f>Q15*9.0746*LOOKUP(Q17,密度!$A$2:$A$50,密度!$Q$2:$Q$50)</f>
        <v>32871.714885120004</v>
      </c>
      <c r="R16" s="73" ph="1">
        <f>MAX(R15*9.0746*LOOKUP(R17,密度!$A$2:$A$50,密度!$B$2:$B$50),0)</f>
        <v>52350.518017440008</v>
      </c>
      <c r="S16" s="73" ph="1">
        <f>S15*9.0746*LOOKUP(S17,密度!$A$2:$A$50,密度!$Q$2:$Q$50)</f>
        <v>9861.8042175140017</v>
      </c>
      <c r="T16" s="73" ph="1">
        <f>T15*9.0746*LOOKUP(T17,密度!$A$2:$A$50,密度!$O$2:$O$50)</f>
        <v>45368.226760400008</v>
      </c>
      <c r="U16" s="73" ph="1">
        <f>U15*9.0746*LOOKUP(U17,密度!$A$2:$A$50,密度!$H$2:$H$50)</f>
        <v>14309.150520839999</v>
      </c>
      <c r="V16" s="73" ph="1">
        <f>MAX(5600*LOOKUP(V17,密度!$A$2:$A$50,密度!$Q$2:$Q$50)+V15*9.0476*LOOKUP(V17,密度!$A$2:$A$50,密度!$Q$2:$Q$50),0)</f>
        <v>9406.2324934400003</v>
      </c>
      <c r="W16" s="73" ph="1">
        <f>MAX(5600*LOOKUP(W17,密度!$A$2:$A$50,密度!$Q$2:$Q$50)+W15*9.0476*LOOKUP(W17,密度!$A$2:$A$50,密度!$Q$2:$Q$50),0)</f>
        <v>3828.4393302720009</v>
      </c>
      <c r="X16" s="73" ph="1">
        <f>MAX(5600*LOOKUP(X17,密度!$A$2:$A$50,密度!$I$2:$I$50)+X15*9.0476*LOOKUP(X17,密度!$A$2:$A$50,密度!$I$2:$I$50),0)</f>
        <v>4488.3451723600001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0</v>
      </c>
      <c r="AB16" s="73" ph="1">
        <f>AB15*9.0746*LOOKUP(AB17,密度!$A$2:$A$50,密度!$L$2:$L$50)</f>
        <v>8452.3909764</v>
      </c>
      <c r="AC16" s="73" ph="1">
        <f>AC15*9.0746*LOOKUP(AC17,密度!$A$2:$A$50,密度!$L$2:$L$50)</f>
        <v>58891.086785200008</v>
      </c>
      <c r="AD16" s="73" ph="1">
        <f>AD15*268.68*LOOKUP(AD17,密度!$A$2:$A$50,密度!B2:B50)+IF(AD15&lt;=0,0,1566*LOOKUP(AD17,密度!$A$2:$A$50,密度!B2:B50))</f>
        <v>14329.043634239999</v>
      </c>
      <c r="AE16" s="73" ph="1">
        <f>AE15*268.68*LOOKUP(AE17,密度!$A$2:$A$50,密度!B2:B50)+IF(AE15&lt;=0,0,1566*LOOKUP(AE17,密度!$A$2:$A$50,密度!B2:B50))</f>
        <v>2370.80507472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3" ph="1"/>
      <c r="C17" s="79" t="s" ph="1">
        <v>179</v>
      </c>
      <c r="D17" s="74">
        <v>22</v>
      </c>
      <c r="E17" s="74">
        <v>25</v>
      </c>
      <c r="F17" s="74">
        <v>30</v>
      </c>
      <c r="G17" s="74">
        <v>25</v>
      </c>
      <c r="H17" s="74">
        <v>21</v>
      </c>
      <c r="I17" s="74">
        <v>23</v>
      </c>
      <c r="J17" s="74">
        <v>25</v>
      </c>
      <c r="K17" s="74">
        <v>25</v>
      </c>
      <c r="L17" s="74">
        <v>26</v>
      </c>
      <c r="M17" s="74">
        <v>25</v>
      </c>
      <c r="N17" s="74">
        <v>21</v>
      </c>
      <c r="O17" s="74">
        <v>26</v>
      </c>
      <c r="P17" s="74">
        <v>22</v>
      </c>
      <c r="Q17" s="74">
        <v>30</v>
      </c>
      <c r="R17" s="74">
        <v>27</v>
      </c>
      <c r="S17" s="74">
        <v>24</v>
      </c>
      <c r="T17" s="74">
        <v>25</v>
      </c>
      <c r="U17" s="74">
        <v>24</v>
      </c>
      <c r="V17" s="74">
        <v>26</v>
      </c>
      <c r="W17" s="74">
        <v>25</v>
      </c>
      <c r="X17" s="74">
        <v>25</v>
      </c>
      <c r="Y17" s="108">
        <v>25</v>
      </c>
      <c r="Z17" s="74">
        <v>24</v>
      </c>
      <c r="AA17" s="74">
        <v>22</v>
      </c>
      <c r="AB17" s="74">
        <v>24</v>
      </c>
      <c r="AC17" s="74">
        <v>25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1" ph="1">
        <v>0.66666666666666663</v>
      </c>
      <c r="C18" s="79" t="s" ph="1">
        <v>180</v>
      </c>
      <c r="D18" s="71">
        <v>2366</v>
      </c>
      <c r="E18" s="71">
        <v>5034</v>
      </c>
      <c r="F18" s="71">
        <v>4610</v>
      </c>
      <c r="G18" s="71">
        <v>1391</v>
      </c>
      <c r="H18" s="71">
        <v>2009</v>
      </c>
      <c r="I18" s="71">
        <v>35</v>
      </c>
      <c r="J18" s="71">
        <v>3863</v>
      </c>
      <c r="K18" s="71">
        <v>5016</v>
      </c>
      <c r="L18" s="71">
        <v>5095</v>
      </c>
      <c r="M18" s="71">
        <v>5005</v>
      </c>
      <c r="N18" s="71">
        <v>337</v>
      </c>
      <c r="O18" s="71">
        <v>5016</v>
      </c>
      <c r="P18" s="71">
        <v>810</v>
      </c>
      <c r="Q18" s="71">
        <v>2746</v>
      </c>
      <c r="R18" s="71">
        <v>7421</v>
      </c>
      <c r="S18" s="71">
        <v>578</v>
      </c>
      <c r="T18" s="71">
        <v>5402</v>
      </c>
      <c r="U18" s="71">
        <v>1721</v>
      </c>
      <c r="V18" s="71">
        <v>1043</v>
      </c>
      <c r="W18" s="71">
        <v>-173</v>
      </c>
      <c r="X18" s="71">
        <v>-144</v>
      </c>
      <c r="Y18" s="109">
        <v>-9908</v>
      </c>
      <c r="Z18" s="71">
        <v>0</v>
      </c>
      <c r="AA18" s="71">
        <v>0</v>
      </c>
      <c r="AB18" s="71">
        <v>992</v>
      </c>
      <c r="AC18" s="71">
        <v>6928</v>
      </c>
      <c r="AD18" s="71">
        <v>84.75</v>
      </c>
      <c r="AE18" s="71">
        <v>32.81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2" ph="1"/>
      <c r="C19" s="154" t="s" ph="1">
        <v>178</v>
      </c>
      <c r="D19" s="73" ph="1">
        <f>D18*7.0686*LOOKUP(D20,密度!$A$2:$A$50,密度!$L$2:$L$50)</f>
        <v>15520.1574528</v>
      </c>
      <c r="E19" s="73" ph="1">
        <f>E18*7.0686*LOOKUP(E20,密度!$A$2:$A$50,密度!$L$2:$L$50)</f>
        <v>33021.332467200002</v>
      </c>
      <c r="F19" s="73" ph="1">
        <f>F18*9.0746*LOOKUP(F20,密度!$A$2:$A$50,密度!$L$2:$L$50)</f>
        <v>38947.366486000006</v>
      </c>
      <c r="G19" s="73" ph="1">
        <f>G18*9.0746*LOOKUP(G20,密度!$A$2:$A$50,密度!$B$2:$B$50)</f>
        <v>9807.8912022000004</v>
      </c>
      <c r="H19" s="73" ph="1">
        <f>H18*9.0746*LOOKUP(H20,密度!$A$2:$A$50,密度!$L$2:$L$50)</f>
        <v>17100.557373199998</v>
      </c>
      <c r="I19" s="73" ph="1">
        <f>I18*9.0746*LOOKUP(I20,密度!$A$2:$A$50,密度!$U$2:$U$50)</f>
        <v>323.96321999999998</v>
      </c>
      <c r="J19" s="73" ph="1">
        <f>J18*9.0746*LOOKUP(J20,密度!$A$2:$A$50,密度!$L$2:$L$50)</f>
        <v>32706.4827534</v>
      </c>
      <c r="K19" s="73" ph="1">
        <f>K18*9.0746*LOOKUP(K20,密度!$A$2:$A$50,密度!$C$2:$C$50)</f>
        <v>50406.847592639999</v>
      </c>
      <c r="L19" s="73" ph="1">
        <f>L18*9.0746*LOOKUP(L20,密度!$A$2:$A$50,密度!$E$2:$E$50)</f>
        <v>36054.120842600001</v>
      </c>
      <c r="M19" s="73" ph="1">
        <f>M18*9.0746*LOOKUP(M20,密度!$A$2:$A$50,密度!$M$2:$M$50)</f>
        <v>39604.821256000003</v>
      </c>
      <c r="N19" s="73" ph="1">
        <f>N18*9.0746*LOOKUP(N20,密度!$A$2:$A$50,密度!$M$2:$M$50)</f>
        <v>2663.6401142000004</v>
      </c>
      <c r="O19" s="73" ph="1">
        <f>O18*9.0746*LOOKUP(O20,密度!$A$2:$A$50,密度!$G$2:$G$50)</f>
        <v>43560.9112752</v>
      </c>
      <c r="P19" s="73" ph="1">
        <f ca="1">P18*9.0746*LOOKUP(P20,密度!$A$2:$A$51,密度!$Q$2:$Q$50)</f>
        <v>6908.9594144400007</v>
      </c>
      <c r="Q19" s="73" ph="1">
        <f>Q18*9.0746*LOOKUP(Q20,密度!$A$2:$A$50,密度!$Q$2:$Q$50)</f>
        <v>23471.066322040002</v>
      </c>
      <c r="R19" s="73" ph="1">
        <f>MAX(R18*9.0746*LOOKUP(R20,密度!$A$2:$A$50,密度!$B$2:$B$50),0)</f>
        <v>52210.722896979998</v>
      </c>
      <c r="S19" s="73" ph="1">
        <f>S18*9.0746*LOOKUP(S20,密度!$A$2:$A$50,密度!$Q$2:$Q$50)</f>
        <v>4943.9440785039997</v>
      </c>
      <c r="T19" s="73" ph="1">
        <f>T18*9.0746*LOOKUP(T20,密度!$A$2:$A$50,密度!$O$2:$O$50)</f>
        <v>45393.435999200003</v>
      </c>
      <c r="U19" s="73" ph="1">
        <f>U18*9.0746*LOOKUP(U20,密度!$A$2:$A$50,密度!$H$2:$H$50)</f>
        <v>14257.11222714</v>
      </c>
      <c r="V19" s="73" ph="1">
        <f>MAX(5600*LOOKUP(V20,密度!$A$2:$A$50,密度!$Q$2:$Q$50)+V18*9.0476*LOOKUP(V20,密度!$A$2:$A$50,密度!$Q$2:$Q$50),0)</f>
        <v>14184.520025843998</v>
      </c>
      <c r="W19" s="73" ph="1">
        <f>MAX(5600*LOOKUP(W20,密度!$A$2:$A$50,密度!$Q$2:$Q$50)+W18*9.0476*LOOKUP(W20,密度!$A$2:$A$50,密度!$Q$2:$Q$50),0)</f>
        <v>3800.3453418799995</v>
      </c>
      <c r="X19" s="73" ph="1">
        <f>MAX(5600*LOOKUP(X20,密度!$A$2:$A$50,密度!$I$2:$I$50)+X18*9.0476*LOOKUP(X20,密度!$A$2:$A$50,密度!$I$2:$I$50),0)</f>
        <v>4454.8508435200001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0</v>
      </c>
      <c r="AB19" s="73" ph="1">
        <f>AB18*9.0746*LOOKUP(AB20,密度!$A$2:$A$50,密度!$L$2:$L$50)</f>
        <v>8380.8649792000015</v>
      </c>
      <c r="AC19" s="73" ph="1">
        <f>AC18*9.0746*LOOKUP(AC20,密度!$A$2:$A$50,密度!$L$2:$L$50)</f>
        <v>58656.617270400006</v>
      </c>
      <c r="AD19" s="73" ph="1">
        <f>AD18*268.68*LOOKUP(AD20,密度!$A$2:$A$50,密度!B5:B53)+IF(AD18&lt;=0,0,1566*LOOKUP(AD20,密度!$A$2:$A$50,密度!B5:B53))</f>
        <v>18909.56151</v>
      </c>
      <c r="AE19" s="73" ph="1">
        <f>AE18*268.68*LOOKUP(AE20,密度!$A$2:$A$50,密度!B5:B53)+IF(AE18&lt;=0,0,1566*LOOKUP(AE20,密度!$A$2:$A$50,密度!B5:B53))</f>
        <v>8066.3406516000014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2" ph="1"/>
      <c r="C20" s="80" t="s" ph="1">
        <v>179</v>
      </c>
      <c r="D20" s="81">
        <v>34</v>
      </c>
      <c r="E20" s="81">
        <v>34</v>
      </c>
      <c r="F20" s="81">
        <v>31</v>
      </c>
      <c r="G20" s="81">
        <v>28</v>
      </c>
      <c r="H20" s="81">
        <v>24</v>
      </c>
      <c r="I20" s="81">
        <v>30</v>
      </c>
      <c r="J20" s="81">
        <v>29</v>
      </c>
      <c r="K20" s="81">
        <v>27</v>
      </c>
      <c r="L20" s="81">
        <v>28</v>
      </c>
      <c r="M20" s="81">
        <v>28</v>
      </c>
      <c r="N20" s="81">
        <v>29</v>
      </c>
      <c r="O20" s="81">
        <v>28</v>
      </c>
      <c r="P20" s="81">
        <v>35</v>
      </c>
      <c r="Q20" s="81">
        <v>32</v>
      </c>
      <c r="R20" s="81">
        <v>30</v>
      </c>
      <c r="S20" s="81">
        <v>31</v>
      </c>
      <c r="T20" s="81">
        <v>28</v>
      </c>
      <c r="U20" s="81">
        <v>27</v>
      </c>
      <c r="V20" s="81">
        <v>30</v>
      </c>
      <c r="W20" s="81">
        <v>32</v>
      </c>
      <c r="X20" s="81">
        <v>30</v>
      </c>
      <c r="Y20" s="110">
        <v>30</v>
      </c>
      <c r="Z20" s="81">
        <v>31</v>
      </c>
      <c r="AA20" s="81">
        <v>29</v>
      </c>
      <c r="AB20" s="81">
        <v>31</v>
      </c>
      <c r="AC20" s="81">
        <v>29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0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69" t="s" ph="1">
        <v>69</v>
      </c>
      <c r="AA22" s="170"/>
      <c r="AB22" s="170"/>
      <c r="AC22" s="170"/>
      <c r="AD22" s="170"/>
      <c r="AE22" s="17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5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72" t="s" ph="1">
        <v>637</v>
      </c>
      <c r="AA23" s="173"/>
      <c r="AB23" s="173"/>
      <c r="AC23" s="173"/>
      <c r="AD23" s="173"/>
      <c r="AE23" s="17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1" ph="1">
        <v>0.33333333333333331</v>
      </c>
      <c r="C24" s="154" t="s" ph="1">
        <v>177</v>
      </c>
      <c r="D24" s="71">
        <v>60.41</v>
      </c>
      <c r="E24" s="71">
        <v>5.78</v>
      </c>
      <c r="F24" s="71">
        <v>918</v>
      </c>
      <c r="G24" s="71">
        <v>2263</v>
      </c>
      <c r="H24" s="71">
        <v>2851</v>
      </c>
      <c r="I24" s="71">
        <v>3040</v>
      </c>
      <c r="J24" s="71">
        <v>829</v>
      </c>
      <c r="K24" s="71">
        <v>442</v>
      </c>
      <c r="L24" s="71">
        <v>470</v>
      </c>
      <c r="M24" s="71">
        <v>4841</v>
      </c>
      <c r="N24" s="71">
        <v>2568</v>
      </c>
      <c r="O24" s="71">
        <v>5523</v>
      </c>
      <c r="P24" s="71">
        <v>334</v>
      </c>
      <c r="Q24" s="90">
        <v>1862</v>
      </c>
      <c r="R24" s="71">
        <v>6123</v>
      </c>
      <c r="S24" s="71">
        <v>359</v>
      </c>
      <c r="T24" s="71">
        <v>1277</v>
      </c>
      <c r="U24" s="71">
        <v>4769</v>
      </c>
      <c r="V24" s="71">
        <v>2637</v>
      </c>
      <c r="W24" s="71">
        <v>9829</v>
      </c>
      <c r="X24" s="71">
        <v>3605</v>
      </c>
      <c r="Y24" s="71">
        <v>6520</v>
      </c>
      <c r="Z24" s="175"/>
      <c r="AA24" s="176"/>
      <c r="AB24" s="176"/>
      <c r="AC24" s="176"/>
      <c r="AD24" s="176"/>
      <c r="AE24" s="17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1" ph="1"/>
      <c r="C25" s="68" t="s" ph="1">
        <v>178</v>
      </c>
      <c r="D25" s="91" ph="1">
        <f>D24*268.68*LOOKUP(D26,密度!$A$2:$A$50,密度!$Q$2:$Q$50)+IF(D24&lt;=0,0,1566*LOOKUP(D26,密度!$A$2:$A$50,密度!$Q$2:$Q$50))</f>
        <v>16849.092774312001</v>
      </c>
      <c r="E25" s="91" ph="1">
        <f>E24*268.68*LOOKUP(E26,密度!$A$2:$A$50,密度!$C$2:$C$50)+IF(E24&lt;=0,0,1566*LOOKUP(E26,密度!$A$2:$A$50,密度!$C$2:$C$50))</f>
        <v>3458.6262765600004</v>
      </c>
      <c r="F25" s="91" ph="1">
        <f>F24*11.702*LOOKUP(F26,密度!$A$2:$A$50,密度!$Q$2:$Q$50)</f>
        <v>10170.29385864</v>
      </c>
      <c r="G25" s="91" ph="1">
        <f>G24*18.322*LOOKUP(G26,密度!$A$2:$A$50,密度!$B$2:$B$50)</f>
        <v>32253.823439400003</v>
      </c>
      <c r="H25" s="91" ph="1">
        <f>H24*18.322*LOOKUP(H26,密度!$A$2:$A$50,密度!$B$2:$B$50)</f>
        <v>40770.215170999996</v>
      </c>
      <c r="I25" s="91" ph="1">
        <f>I24*18.322*LOOKUP(I26,密度!$A$2:$A$50,密度!$Q$2:$Q$50)</f>
        <v>52773.017833600003</v>
      </c>
      <c r="J25" s="91" ph="1">
        <f>J24*18.322*LOOKUP(J26,密度!$A$2:$A$50,密度!$Q$2:$Q$50)</f>
        <v>14379.975162120001</v>
      </c>
      <c r="K25" s="91" ph="1">
        <f>K24*18.322*LOOKUP(K26,密度!$A$2:$A$50,密度!$Q$2:$Q$50)</f>
        <v>7667.0072637599997</v>
      </c>
      <c r="L25" s="91" ph="1">
        <f>L24*18.322*LOOKUP(L26,密度!$A$2:$A$50,密度!$Q$2:$Q$50)</f>
        <v>8140.4719288000006</v>
      </c>
      <c r="M25" s="91" ph="1">
        <f>M24*18.322*LOOKUP(M26,密度!$A$2:$A$50,密度!$Q$2:$Q$50)</f>
        <v>84037.558990940001</v>
      </c>
      <c r="N25" s="91" ph="1">
        <f>N24*18.322*LOOKUP(N26,密度!$A$2:$A$50,密度!$Q$2:$Q$50)</f>
        <v>44683.765422240001</v>
      </c>
      <c r="O25" s="91" ph="1">
        <f>O24*18.322*LOOKUP(O26,密度!$A$2:$A$50,密度!$C$2:$C$50)</f>
        <v>112364.0476224</v>
      </c>
      <c r="P25" s="91" ph="1">
        <f>P24*11.702*LOOKUP(P26,密度!$A$2:$A$50,密度!$B$2:$B$50)</f>
        <v>3054.0768951999999</v>
      </c>
      <c r="Q25" s="92" ph="1">
        <f>Q24*18.322*LOOKUP(Q26,密度!$A$2:$A$50,密度!$B$2:$B$50)</f>
        <v>26627.197701999998</v>
      </c>
      <c r="R25" s="91" ph="1">
        <f>R24*35.891*LOOKUP(R26,密度!$A$2:$A$50,密度!$C$2:$C$50)</f>
        <v>244022.16246720002</v>
      </c>
      <c r="S25" s="91" ph="1">
        <f>S24*35.891*LOOKUP(S26,密度!$A$2:$A$50,密度!$B$2:$B$50)</f>
        <v>10068.236636599999</v>
      </c>
      <c r="T25" s="91" ph="1">
        <f>T24*35.891*LOOKUP(T26,密度!$A$2:$A$50,密度!$Q$2:$Q$50)</f>
        <v>43425.209648290001</v>
      </c>
      <c r="U25" s="91" ph="1">
        <f>U24*35.891</f>
        <v>171164.179</v>
      </c>
      <c r="V25" s="91" ph="1">
        <f>V24*47.051*LOOKUP(V26,密度!$A$2:$A$50,密度!$B$2:$B$50)</f>
        <v>96839.356603499997</v>
      </c>
      <c r="W25" s="91" ph="1">
        <f>W24*47.051*LOOKUP(W26,密度!$A$2:$A$50,密度!$B$2:$B$50)</f>
        <v>361369.58761060005</v>
      </c>
      <c r="X25" s="91" ph="1">
        <f>X24*47.051*LOOKUP(X26,密度!$A$2:$A$61,密度!$I$2:$I$61)</f>
        <v>175470.70549750002</v>
      </c>
      <c r="Y25" s="91" ph="1">
        <f>Y24*47.051*LOOKUP(Y26,密度!$A$2:$A$50,密度!$L$2:$L$50)</f>
        <v>287752.62375999999</v>
      </c>
      <c r="Z25" s="175"/>
      <c r="AA25" s="176"/>
      <c r="AB25" s="176"/>
      <c r="AC25" s="176"/>
      <c r="AD25" s="176"/>
      <c r="AE25" s="17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1" ph="1"/>
      <c r="C26" s="68" t="s" ph="1">
        <v>179</v>
      </c>
      <c r="D26" s="74">
        <v>25</v>
      </c>
      <c r="E26" s="74">
        <v>25</v>
      </c>
      <c r="F26" s="74">
        <v>25</v>
      </c>
      <c r="G26" s="74">
        <v>27</v>
      </c>
      <c r="H26" s="74">
        <v>24</v>
      </c>
      <c r="I26" s="74">
        <v>24</v>
      </c>
      <c r="J26" s="74">
        <v>25</v>
      </c>
      <c r="K26" s="74">
        <v>25</v>
      </c>
      <c r="L26" s="74">
        <v>27</v>
      </c>
      <c r="M26" s="74">
        <v>24</v>
      </c>
      <c r="N26" s="74">
        <v>21</v>
      </c>
      <c r="O26" s="74">
        <v>23</v>
      </c>
      <c r="P26" s="74">
        <v>23</v>
      </c>
      <c r="Q26" s="93">
        <v>24</v>
      </c>
      <c r="R26" s="74">
        <v>23</v>
      </c>
      <c r="S26" s="74">
        <v>23</v>
      </c>
      <c r="T26" s="74">
        <v>24</v>
      </c>
      <c r="U26" s="74">
        <v>24</v>
      </c>
      <c r="V26" s="74">
        <v>24</v>
      </c>
      <c r="W26" s="74">
        <v>23</v>
      </c>
      <c r="X26" s="74">
        <v>32</v>
      </c>
      <c r="Y26" s="74">
        <v>24</v>
      </c>
      <c r="Z26" s="175"/>
      <c r="AA26" s="176"/>
      <c r="AB26" s="176"/>
      <c r="AC26" s="176"/>
      <c r="AD26" s="176"/>
      <c r="AE26" s="17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1" ph="1">
        <v>0.66666666666666663</v>
      </c>
      <c r="C27" s="154" t="s" ph="1">
        <v>180</v>
      </c>
      <c r="D27" s="71">
        <v>60.45</v>
      </c>
      <c r="E27" s="71">
        <v>66.709999999999994</v>
      </c>
      <c r="F27" s="71">
        <v>917</v>
      </c>
      <c r="G27" s="71">
        <v>1746</v>
      </c>
      <c r="H27" s="71">
        <v>2284</v>
      </c>
      <c r="I27" s="71">
        <v>3038</v>
      </c>
      <c r="J27" s="71">
        <v>826</v>
      </c>
      <c r="K27" s="71">
        <v>439</v>
      </c>
      <c r="L27" s="71">
        <v>465</v>
      </c>
      <c r="M27" s="71">
        <v>4842</v>
      </c>
      <c r="N27" s="71">
        <v>4810</v>
      </c>
      <c r="O27" s="71">
        <v>5470</v>
      </c>
      <c r="P27" s="71">
        <v>330</v>
      </c>
      <c r="Q27" s="90">
        <v>2071</v>
      </c>
      <c r="R27" s="71">
        <v>6119</v>
      </c>
      <c r="S27" s="71">
        <v>355</v>
      </c>
      <c r="T27" s="71">
        <v>1275</v>
      </c>
      <c r="U27" s="71">
        <v>4667</v>
      </c>
      <c r="V27" s="71">
        <v>2345</v>
      </c>
      <c r="W27" s="71">
        <v>9830</v>
      </c>
      <c r="X27" s="71">
        <v>3480</v>
      </c>
      <c r="Y27" s="71">
        <v>5430</v>
      </c>
      <c r="Z27" s="175"/>
      <c r="AA27" s="176"/>
      <c r="AB27" s="176"/>
      <c r="AC27" s="176"/>
      <c r="AD27" s="176"/>
      <c r="AE27" s="17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1" ph="1"/>
      <c r="C28" s="154" t="s" ph="1">
        <v>178</v>
      </c>
      <c r="D28" s="91" ph="1">
        <f>D27*268.68*LOOKUP(D29,密度!$A$2:$A$50,密度!$Q$2:$Q$50)+IF(D27&lt;=0,0,1566*LOOKUP(D29,密度!$A$2:$A$50,密度!$Q$2:$Q$50))</f>
        <v>16859.267578440002</v>
      </c>
      <c r="E28" s="91" ph="1">
        <f>E27*268.68*LOOKUP(E29,密度!$A$2:$A$50,密度!$C$2:$C$50)+IF(E27&lt;=0,0,1566*LOOKUP(E29,密度!$A$2:$A$50,密度!$C$2:$C$50))</f>
        <v>21612.064900919999</v>
      </c>
      <c r="F28" s="91" ph="1">
        <f>F27*11.702*LOOKUP(F29,密度!$A$2:$A$50,密度!$Q$2:$Q$50)</f>
        <v>10151.596286020002</v>
      </c>
      <c r="G28" s="91" ph="1">
        <f>G27*18.322*LOOKUP(G29,密度!$A$2:$A$50,密度!$B$2:$B$50)</f>
        <v>24885.1859148</v>
      </c>
      <c r="H28" s="91" ph="1">
        <f>H27*18.322*LOOKUP(H29,密度!$A$2:$A$50,密度!$B$2:$B$50)</f>
        <v>32624.270460799995</v>
      </c>
      <c r="I28" s="91" ph="1">
        <f>I27*18.322*LOOKUP(I29,密度!$A$2:$A$50,密度!$Q$2:$Q$50)</f>
        <v>52697.665310639997</v>
      </c>
      <c r="J28" s="91" ph="1">
        <f>J27*18.322*LOOKUP(J29,密度!$A$2:$A$50,密度!$Q$2:$Q$50)</f>
        <v>14317.191531160001</v>
      </c>
      <c r="K28" s="91" ph="1">
        <f>K27*18.322*LOOKUP(K29,密度!$A$2:$A$50,密度!$Q$2:$Q$50)</f>
        <v>7603.5471845599996</v>
      </c>
      <c r="L28" s="91" ph="1">
        <f>L27*18.322*LOOKUP(L29,密度!$A$2:$A$50,密度!$Q$2:$Q$50)</f>
        <v>8059.9201719000002</v>
      </c>
      <c r="M28" s="91" ph="1">
        <f>M27*18.322*LOOKUP(M29,密度!$A$2:$A$50,密度!$Q$2:$Q$50)</f>
        <v>83990.156495760006</v>
      </c>
      <c r="N28" s="91" ph="1">
        <f>N27*18.322*LOOKUP(N29,密度!$A$2:$A$50,密度!$Q$2:$Q$50)</f>
        <v>83372.507584599996</v>
      </c>
      <c r="O28" s="91" ph="1">
        <f>O27*18.322*LOOKUP(O29,密度!$A$2:$A$50,密度!$C$2:$C$50)</f>
        <v>110985.11191599999</v>
      </c>
      <c r="P28" s="91" ph="1">
        <f>P27*11.702*LOOKUP(P29,密度!$A$2:$A$50,密度!$B$2:$B$50)</f>
        <v>3007.0746419999996</v>
      </c>
      <c r="Q28" s="92" ph="1">
        <f>Q27*18.322*LOOKUP(Q29,密度!$A$2:$A$50,密度!$B$2:$B$50)</f>
        <v>29581.814415199999</v>
      </c>
      <c r="R28" s="91" ph="1">
        <f>R27*35.891*LOOKUP(R29,密度!$A$2:$A$50,密度!$C$2:$C$50)</f>
        <v>243533.32345809997</v>
      </c>
      <c r="S28" s="91" ph="1">
        <f>S27*35.891*LOOKUP(S29,密度!$A$2:$A$50,密度!$B$2:$B$50)</f>
        <v>9921.6542034999984</v>
      </c>
      <c r="T28" s="91" ph="1">
        <f>T27*35.891*LOOKUP(T29,密度!$A$2:$A$50,密度!$Q$2:$Q$50)</f>
        <v>43291.302480749997</v>
      </c>
      <c r="U28" s="91" ph="1">
        <f>U27*35.891</f>
        <v>167503.29699999999</v>
      </c>
      <c r="V28" s="91" ph="1">
        <f>V27*47.051*LOOKUP(V29,密度!$A$2:$A$50,密度!$B$2:$B$50)</f>
        <v>85917.549126500002</v>
      </c>
      <c r="W28" s="91" ph="1">
        <f>W27*47.051*LOOKUP(W29,密度!$A$2:$A$50,密度!$B$2:$B$50)</f>
        <v>360573.83286799997</v>
      </c>
      <c r="X28" s="91" ph="1">
        <f>X27*47.051*LOOKUP(X29,密度!$A$2:$A$61,密度!$I$2:$I$61)</f>
        <v>169206.31183200004</v>
      </c>
      <c r="Y28" s="91" ph="1">
        <f>Y27*47.051*LOOKUP(Y29,密度!$A$2:$A$50,密度!$L$2:$L$50)</f>
        <v>239391.25341000003</v>
      </c>
      <c r="Z28" s="175"/>
      <c r="AA28" s="176"/>
      <c r="AB28" s="176"/>
      <c r="AC28" s="176"/>
      <c r="AD28" s="176"/>
      <c r="AE28" s="17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1" ph="1"/>
      <c r="C29" s="154" t="s" ph="1">
        <v>179</v>
      </c>
      <c r="D29" s="74">
        <v>25</v>
      </c>
      <c r="E29" s="74">
        <v>25</v>
      </c>
      <c r="F29" s="74">
        <v>26</v>
      </c>
      <c r="G29" s="74">
        <v>27</v>
      </c>
      <c r="H29" s="74">
        <v>25</v>
      </c>
      <c r="I29" s="74">
        <v>25</v>
      </c>
      <c r="J29" s="74">
        <v>26</v>
      </c>
      <c r="K29" s="74">
        <v>27</v>
      </c>
      <c r="L29" s="74">
        <v>26</v>
      </c>
      <c r="M29" s="74">
        <v>25</v>
      </c>
      <c r="N29" s="74">
        <v>26</v>
      </c>
      <c r="O29" s="74">
        <v>27</v>
      </c>
      <c r="P29" s="74">
        <v>26</v>
      </c>
      <c r="Q29" s="93">
        <v>25</v>
      </c>
      <c r="R29" s="74">
        <v>25</v>
      </c>
      <c r="S29" s="74">
        <v>26</v>
      </c>
      <c r="T29" s="74">
        <v>26</v>
      </c>
      <c r="U29" s="74">
        <v>24</v>
      </c>
      <c r="V29" s="74">
        <v>26</v>
      </c>
      <c r="W29" s="74">
        <v>25</v>
      </c>
      <c r="X29" s="74">
        <v>33</v>
      </c>
      <c r="Y29" s="74">
        <v>25</v>
      </c>
      <c r="Z29" s="178"/>
      <c r="AA29" s="179"/>
      <c r="AB29" s="179"/>
      <c r="AC29" s="179"/>
      <c r="AD29" s="179"/>
      <c r="AE29" s="18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4" t="s" ph="1">
        <v>35</v>
      </c>
      <c r="C31" s="195" ph="1"/>
      <c r="D31" s="198" t="s" ph="1">
        <v>9</v>
      </c>
      <c r="E31" s="187" ph="1"/>
      <c r="F31" s="188" ph="1"/>
      <c r="G31" s="198" t="s" ph="1">
        <v>18</v>
      </c>
      <c r="H31" s="187" ph="1"/>
      <c r="I31" s="188" ph="1"/>
      <c r="J31" s="186" t="s" ph="1">
        <v>1</v>
      </c>
      <c r="K31" s="187" ph="1"/>
      <c r="L31" s="188" ph="1"/>
      <c r="M31" s="186" t="s" ph="1">
        <v>7</v>
      </c>
      <c r="N31" s="187" ph="1"/>
      <c r="O31" s="188" ph="1"/>
      <c r="P31" s="186" t="s" ph="1">
        <v>41</v>
      </c>
      <c r="Q31" s="187"/>
      <c r="R31" s="188"/>
      <c r="S31" s="186" t="s" ph="1">
        <v>2</v>
      </c>
      <c r="T31" s="187"/>
      <c r="U31" s="188"/>
      <c r="V31" s="186" t="s" ph="1">
        <v>71</v>
      </c>
      <c r="W31" s="187" ph="1"/>
      <c r="X31" s="188" ph="1"/>
      <c r="Y31" s="186" t="s" ph="1">
        <v>3</v>
      </c>
      <c r="Z31" s="187" ph="1"/>
      <c r="AA31" s="188" ph="1"/>
      <c r="AB31" s="209" t="s">
        <v>42</v>
      </c>
      <c r="AC31" s="210"/>
      <c r="AD31" s="210"/>
      <c r="AE31" s="211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6" ph="1"/>
      <c r="C32" s="197" ph="1"/>
      <c r="D32" s="96" t="s" ph="1">
        <v>4</v>
      </c>
      <c r="E32" s="154" t="s" ph="1">
        <v>5</v>
      </c>
      <c r="F32" s="155" t="s" ph="1">
        <v>43</v>
      </c>
      <c r="G32" s="97" t="s" ph="1">
        <v>4</v>
      </c>
      <c r="H32" s="154" t="s" ph="1">
        <v>5</v>
      </c>
      <c r="I32" s="155" t="s" ph="1">
        <v>43</v>
      </c>
      <c r="J32" s="97" t="s" ph="1">
        <v>4</v>
      </c>
      <c r="K32" s="154" t="s" ph="1">
        <v>5</v>
      </c>
      <c r="L32" s="155" t="s" ph="1">
        <v>43</v>
      </c>
      <c r="M32" s="97" t="s" ph="1">
        <v>4</v>
      </c>
      <c r="N32" s="154" t="s" ph="1">
        <v>5</v>
      </c>
      <c r="O32" s="15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4" t="s" ph="1">
        <v>5</v>
      </c>
      <c r="U32" s="99" t="s" ph="1">
        <v>43</v>
      </c>
      <c r="V32" s="97" t="s" ph="1">
        <v>4</v>
      </c>
      <c r="W32" s="154" t="s" ph="1">
        <v>5</v>
      </c>
      <c r="X32" s="99" t="s" ph="1">
        <v>43</v>
      </c>
      <c r="Y32" s="100" t="s" ph="1">
        <v>4</v>
      </c>
      <c r="Z32" s="154" t="s" ph="1">
        <v>5</v>
      </c>
      <c r="AA32" s="155" t="s" ph="1">
        <v>43</v>
      </c>
      <c r="AB32" s="97" t="s" ph="1">
        <v>85</v>
      </c>
      <c r="AC32" s="154" t="s" ph="1">
        <v>84</v>
      </c>
      <c r="AD32" s="212" t="s" ph="1">
        <v>83</v>
      </c>
      <c r="AE32" s="213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199" t="s" ph="1">
        <v>181</v>
      </c>
      <c r="C33" s="200" ph="1"/>
      <c r="D33" s="203" ph="1">
        <f>AA10+AB10+Z19</f>
        <v>170491.95446669997</v>
      </c>
      <c r="E33" s="203" ph="1">
        <f>M10+I10</f>
        <v>36539.793852999996</v>
      </c>
      <c r="F33" s="20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1522252632456786910111213141516171819202123456789101112131415161718192022232424356789101112131415161718192021222345678910111213141516171819202345678910111213149101516171819222123234567891012131415161711181920212224252345678910111213114[[#This Row],[F25]]</f>
        <v>3880</v>
      </c>
      <c r="G33" s="207" ph="1">
        <f>N19</f>
        <v>2663.6401142000004</v>
      </c>
      <c r="H33" s="203" ph="1">
        <f>M19</f>
        <v>39604.821256000003</v>
      </c>
      <c r="I33" s="216" ph="1">
        <v>0</v>
      </c>
      <c r="J33" s="214" ph="1">
        <f>F10+O28</f>
        <v>325939.43591439998</v>
      </c>
      <c r="K33" s="203" ph="1">
        <f>O10+K10+E28+R28</f>
        <v>360627.88213662</v>
      </c>
      <c r="L33" s="218" ph="1">
        <f>K19</f>
        <v>50406.847592639999</v>
      </c>
      <c r="M33" s="214" ph="1">
        <f>G10+H10+W28+S28+V28+E10+R19+P28+Q28</f>
        <v>1439368.8250771798</v>
      </c>
      <c r="N33" s="203" ph="1">
        <f>L10+P10++G28+H28+AD19+AE19</f>
        <v>140788.4102792</v>
      </c>
      <c r="O33" s="216" ph="1">
        <f>G19</f>
        <v>9807.8912022000004</v>
      </c>
      <c r="P33" s="214" ph="1">
        <f>L19</f>
        <v>36054.120842600001</v>
      </c>
      <c r="Q33" s="203" ph="1">
        <f>J10+N10</f>
        <v>108224.41855799999</v>
      </c>
      <c r="R33" s="216" ph="1">
        <f>BE23</f>
        <v>890</v>
      </c>
      <c r="S33" s="214" ph="1">
        <f>X28</f>
        <v>169206.31183200004</v>
      </c>
      <c r="T33" s="203" ph="1">
        <f>X19</f>
        <v>4454.8508435200001</v>
      </c>
      <c r="U33" s="224" ph="1">
        <f>BE21</f>
        <v>730</v>
      </c>
      <c r="V33" s="235" ph="1">
        <f ca="1">P19+Q19+S19+M28+N28+J28+D10+AC10+D19+E19+H19+J19+O19+V19+W19+K28+L28</f>
        <v>864038.15684412781</v>
      </c>
      <c r="W33" s="235" ph="1">
        <f>D28+F28+T28+I28</f>
        <v>122999.83165584999</v>
      </c>
      <c r="X33" s="216" ph="1">
        <f>BE29+BE31</f>
        <v>10200</v>
      </c>
      <c r="Y33" s="237" ph="1">
        <f>+Q10+R10+S10+T10+U10+V10+W10+X10+Y10</f>
        <v>111154.22273340001</v>
      </c>
      <c r="Z33" s="222" ph="1">
        <f>T19+U19+Y28+Z10</f>
        <v>418250.33545034006</v>
      </c>
      <c r="AA33" s="224" ph="1">
        <f>BE19</f>
        <v>1440</v>
      </c>
      <c r="AB33" s="226" ph="1">
        <f>I19</f>
        <v>323.96321999999998</v>
      </c>
      <c r="AC33" s="228" ph="1">
        <f>AD10+AB19</f>
        <v>63349.671347199997</v>
      </c>
      <c r="AD33" s="230" ph="1">
        <v>0</v>
      </c>
      <c r="AE33" s="231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1" ph="1"/>
      <c r="C34" s="202" ph="1"/>
      <c r="D34" s="204" ph="1"/>
      <c r="E34" s="204" ph="1"/>
      <c r="F34" s="206" ph="1"/>
      <c r="G34" s="208" ph="1"/>
      <c r="H34" s="204" ph="1"/>
      <c r="I34" s="217" ph="1"/>
      <c r="J34" s="215" ph="1"/>
      <c r="K34" s="204" ph="1"/>
      <c r="L34" s="219" ph="1"/>
      <c r="M34" s="215" ph="1"/>
      <c r="N34" s="204" ph="1"/>
      <c r="O34" s="217" ph="1"/>
      <c r="P34" s="215" ph="1"/>
      <c r="Q34" s="204" ph="1"/>
      <c r="R34" s="217" ph="1"/>
      <c r="S34" s="215" ph="1"/>
      <c r="T34" s="204"/>
      <c r="U34" s="225"/>
      <c r="V34" s="236" ph="1"/>
      <c r="W34" s="236" ph="1"/>
      <c r="X34" s="217" ph="1"/>
      <c r="Y34" s="238" ph="1"/>
      <c r="Z34" s="223" ph="1"/>
      <c r="AA34" s="225" ph="1"/>
      <c r="AB34" s="227"/>
      <c r="AC34" s="229"/>
      <c r="AD34" s="232"/>
      <c r="AE34" s="233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4" t="s" ph="1">
        <v>631</v>
      </c>
      <c r="AD35" s="234"/>
      <c r="AE35" s="234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0" t="s" ph="1">
        <v>183</v>
      </c>
      <c r="J36" s="220" ph="1"/>
      <c r="K36" s="101" ph="1"/>
      <c r="P36" s="101" ph="1"/>
      <c r="R36" s="220" t="s" ph="1">
        <v>184</v>
      </c>
      <c r="S36" s="220" ph="1"/>
      <c r="Y36" s="102" ph="1"/>
      <c r="Z36" s="156" t="s" ph="1">
        <v>185</v>
      </c>
      <c r="AA36" s="156" ph="1"/>
      <c r="AB36" s="221" t="s" ph="1">
        <v>638</v>
      </c>
      <c r="AC36" s="221" ph="1"/>
      <c r="AD36" s="221" ph="1"/>
      <c r="AE36" s="221" ph="1"/>
      <c r="BA36" s="64" ph="1">
        <v>2270</v>
      </c>
    </row>
    <row r="37" spans="1:57" s="156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6" t="s" ph="1">
        <v>342</v>
      </c>
      <c r="AI37" s="156" t="s" ph="1">
        <v>209</v>
      </c>
      <c r="AJ37" s="156" t="s" ph="1">
        <v>210</v>
      </c>
      <c r="AK37" s="156" t="s" ph="1">
        <v>211</v>
      </c>
      <c r="AM37" s="156" t="s" ph="1">
        <v>210</v>
      </c>
      <c r="AN37" s="156" t="s" ph="1">
        <v>211</v>
      </c>
      <c r="AO37" s="156" t="s" ph="1">
        <v>212</v>
      </c>
      <c r="AP37" s="156" t="s" ph="1">
        <v>210</v>
      </c>
      <c r="AQ37" s="156" t="s" ph="1">
        <v>211</v>
      </c>
      <c r="AR37" s="156" t="s" ph="1">
        <v>212</v>
      </c>
      <c r="AS37" s="156" t="s" ph="1">
        <v>210</v>
      </c>
      <c r="AT37" s="156" t="s" ph="1">
        <v>211</v>
      </c>
      <c r="AU37" s="156" t="s" ph="1">
        <v>212</v>
      </c>
      <c r="AV37" s="156" t="s" ph="1">
        <v>210</v>
      </c>
      <c r="AW37" s="156" t="s" ph="1">
        <v>211</v>
      </c>
      <c r="AX37" s="156" t="s" ph="1">
        <v>212</v>
      </c>
      <c r="AY37" s="156" t="s" ph="1">
        <v>211</v>
      </c>
      <c r="AZ37" s="156" t="s" ph="1">
        <v>213</v>
      </c>
      <c r="BD37" s="156" t="s" ph="1">
        <v>305</v>
      </c>
      <c r="BE37" s="156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299" priority="100">
      <formula>ABS(D$7-D$10)&gt;=1000</formula>
    </cfRule>
  </conditionalFormatting>
  <conditionalFormatting sqref="E4 E6:E11">
    <cfRule type="expression" dxfId="1298" priority="99">
      <formula>ABS(E$7-E$10)&gt;=1000</formula>
    </cfRule>
  </conditionalFormatting>
  <conditionalFormatting sqref="F4:F11">
    <cfRule type="expression" dxfId="1297" priority="98">
      <formula>ABS(F$7-F$10)&gt;=1000</formula>
    </cfRule>
  </conditionalFormatting>
  <conditionalFormatting sqref="G4:G11">
    <cfRule type="expression" dxfId="1296" priority="97">
      <formula>ABS(G$7-G$10)&gt;=1000</formula>
    </cfRule>
  </conditionalFormatting>
  <conditionalFormatting sqref="H4:H11">
    <cfRule type="expression" dxfId="1295" priority="96">
      <formula>ABS(H$7-H$10)&gt;=1000</formula>
    </cfRule>
  </conditionalFormatting>
  <conditionalFormatting sqref="I4:I11">
    <cfRule type="expression" dxfId="1294" priority="95">
      <formula>ABS(I$7-I$10)&gt;=1000</formula>
    </cfRule>
  </conditionalFormatting>
  <conditionalFormatting sqref="J4:J11">
    <cfRule type="expression" dxfId="1293" priority="94">
      <formula>ABS(J$7-J$10)&gt;=1000</formula>
    </cfRule>
  </conditionalFormatting>
  <conditionalFormatting sqref="K4:K11">
    <cfRule type="expression" dxfId="1292" priority="93">
      <formula>ABS(K$7-K$10)&gt;=1000</formula>
    </cfRule>
  </conditionalFormatting>
  <conditionalFormatting sqref="L4:L11">
    <cfRule type="expression" dxfId="1291" priority="92">
      <formula>ABS(L$7-L$10)&gt;=1000</formula>
    </cfRule>
  </conditionalFormatting>
  <conditionalFormatting sqref="M4 M6:M11">
    <cfRule type="expression" dxfId="1290" priority="91">
      <formula>ABS(M$7-M$10)&gt;=1000</formula>
    </cfRule>
  </conditionalFormatting>
  <conditionalFormatting sqref="N4 N6:N11">
    <cfRule type="expression" dxfId="1289" priority="90">
      <formula>ABS(N$7-N$10)&gt;=1000</formula>
    </cfRule>
  </conditionalFormatting>
  <conditionalFormatting sqref="O4 O6:O11">
    <cfRule type="expression" dxfId="1288" priority="89">
      <formula>ABS(O$7-O$10)&gt;=1000</formula>
    </cfRule>
  </conditionalFormatting>
  <conditionalFormatting sqref="P4 P6:P11">
    <cfRule type="expression" dxfId="1287" priority="88">
      <formula>ABS(P$7-P$10)&gt;=1000</formula>
    </cfRule>
  </conditionalFormatting>
  <conditionalFormatting sqref="Q4:Q11">
    <cfRule type="expression" dxfId="1286" priority="87">
      <formula>ABS(Q$7-Q$10)&gt;=1000</formula>
    </cfRule>
  </conditionalFormatting>
  <conditionalFormatting sqref="R4:R11">
    <cfRule type="expression" dxfId="1285" priority="86">
      <formula>ABS(R$7-R$10)&gt;=1000</formula>
    </cfRule>
  </conditionalFormatting>
  <conditionalFormatting sqref="S4:S11">
    <cfRule type="expression" dxfId="1284" priority="85">
      <formula>ABS(S$7-S$10)&gt;=1000</formula>
    </cfRule>
  </conditionalFormatting>
  <conditionalFormatting sqref="T4:T9 T11">
    <cfRule type="expression" dxfId="1283" priority="84">
      <formula>ABS(T$7-T$10)&gt;=1000</formula>
    </cfRule>
  </conditionalFormatting>
  <conditionalFormatting sqref="U4:U9 U11">
    <cfRule type="expression" dxfId="1282" priority="83">
      <formula>ABS(U$7-U$10)&gt;=1000</formula>
    </cfRule>
  </conditionalFormatting>
  <conditionalFormatting sqref="V4:V9 V11">
    <cfRule type="expression" dxfId="1281" priority="82">
      <formula>ABS(V$7-V$10)&gt;=1000</formula>
    </cfRule>
  </conditionalFormatting>
  <conditionalFormatting sqref="W4:W9 W11">
    <cfRule type="expression" dxfId="1280" priority="81">
      <formula>ABS(W$7-W$10)&gt;=1000</formula>
    </cfRule>
  </conditionalFormatting>
  <conditionalFormatting sqref="X4:X9 X11">
    <cfRule type="expression" dxfId="1279" priority="80">
      <formula>ABS(X$7-X$10)&gt;=1000</formula>
    </cfRule>
  </conditionalFormatting>
  <conditionalFormatting sqref="Y4:Y9 Y11">
    <cfRule type="expression" dxfId="1278" priority="79">
      <formula>ABS(Y$7-Y$10)&gt;=1000</formula>
    </cfRule>
  </conditionalFormatting>
  <conditionalFormatting sqref="Z4:Z11">
    <cfRule type="expression" dxfId="1277" priority="78">
      <formula>ABS(Z$7-Z$10)&gt;=1000</formula>
    </cfRule>
  </conditionalFormatting>
  <conditionalFormatting sqref="AA4:AA11">
    <cfRule type="expression" dxfId="1276" priority="77">
      <formula>ABS(AA$7-AA$10)&gt;=1000</formula>
    </cfRule>
  </conditionalFormatting>
  <conditionalFormatting sqref="AB4:AB11">
    <cfRule type="expression" dxfId="1275" priority="76">
      <formula>ABS(AB$7-AB$10)&gt;=1000</formula>
    </cfRule>
  </conditionalFormatting>
  <conditionalFormatting sqref="AC4 AC6:AC11">
    <cfRule type="expression" dxfId="1274" priority="75">
      <formula>ABS(AC$7-AC$10)&gt;=1000</formula>
    </cfRule>
  </conditionalFormatting>
  <conditionalFormatting sqref="AD4 AD6:AD11">
    <cfRule type="expression" dxfId="1273" priority="74">
      <formula>ABS(AD$7-AD$10)&gt;=1000</formula>
    </cfRule>
  </conditionalFormatting>
  <conditionalFormatting sqref="AE4 AE6:AE11">
    <cfRule type="expression" dxfId="1272" priority="73">
      <formula>ABS(AE$7-AE$10)&gt;=1000</formula>
    </cfRule>
  </conditionalFormatting>
  <conditionalFormatting sqref="D13:D20">
    <cfRule type="expression" dxfId="1271" priority="72">
      <formula>ABS(D$16-D$19)&gt;=1000</formula>
    </cfRule>
  </conditionalFormatting>
  <conditionalFormatting sqref="E13:E20">
    <cfRule type="expression" dxfId="1270" priority="71">
      <formula>ABS(E$16-E$19)&gt;=1000</formula>
    </cfRule>
  </conditionalFormatting>
  <conditionalFormatting sqref="F13 F15:F20">
    <cfRule type="expression" dxfId="1269" priority="70">
      <formula>ABS(F$16-F$19)&gt;=1000</formula>
    </cfRule>
  </conditionalFormatting>
  <conditionalFormatting sqref="G13:G20">
    <cfRule type="expression" dxfId="1268" priority="69">
      <formula>ABS(G$16-G$19)&gt;=1000</formula>
    </cfRule>
  </conditionalFormatting>
  <conditionalFormatting sqref="H13 H15:H20">
    <cfRule type="expression" dxfId="1267" priority="68">
      <formula>ABS(H$16-H$19)&gt;=1000</formula>
    </cfRule>
  </conditionalFormatting>
  <conditionalFormatting sqref="I13:I20">
    <cfRule type="expression" dxfId="1266" priority="67">
      <formula>ABS(I$16-I$19)&gt;=1000</formula>
    </cfRule>
  </conditionalFormatting>
  <conditionalFormatting sqref="J13:J20">
    <cfRule type="expression" dxfId="1265" priority="66">
      <formula>ABS(J$16-J$19)&gt;=1000</formula>
    </cfRule>
  </conditionalFormatting>
  <conditionalFormatting sqref="L13:L20">
    <cfRule type="expression" dxfId="1264" priority="65">
      <formula>ABS(L$16-L$19)&gt;=1000</formula>
    </cfRule>
  </conditionalFormatting>
  <conditionalFormatting sqref="M13 M15 M17:M18 M20">
    <cfRule type="expression" dxfId="1263" priority="64">
      <formula>ABS(M$16-M$19)&gt;=1000</formula>
    </cfRule>
  </conditionalFormatting>
  <conditionalFormatting sqref="N13:N20">
    <cfRule type="expression" dxfId="1262" priority="63">
      <formula>ABS(N$16-N$19)&gt;=1000</formula>
    </cfRule>
  </conditionalFormatting>
  <conditionalFormatting sqref="O13:O20">
    <cfRule type="expression" dxfId="1261" priority="62">
      <formula>ABS(O$16-O$19)&gt;=1000</formula>
    </cfRule>
  </conditionalFormatting>
  <conditionalFormatting sqref="P13:P20">
    <cfRule type="expression" dxfId="1260" priority="61">
      <formula>ABS(P$16-P$19)&gt;=1000</formula>
    </cfRule>
  </conditionalFormatting>
  <conditionalFormatting sqref="Q13 Q15:Q20">
    <cfRule type="expression" dxfId="1259" priority="60">
      <formula>ABS(Q$16-Q$19)&gt;=1000</formula>
    </cfRule>
  </conditionalFormatting>
  <conditionalFormatting sqref="R13:R20">
    <cfRule type="expression" dxfId="1258" priority="59">
      <formula>ABS(R$16-R$19)&gt;=1000</formula>
    </cfRule>
  </conditionalFormatting>
  <conditionalFormatting sqref="S13:S20">
    <cfRule type="expression" dxfId="1257" priority="58">
      <formula>ABS(S$16-S$19)&gt;=1000</formula>
    </cfRule>
  </conditionalFormatting>
  <conditionalFormatting sqref="T13:T20">
    <cfRule type="expression" dxfId="1256" priority="57">
      <formula>ABS(T$16-T$19)&gt;=1000</formula>
    </cfRule>
  </conditionalFormatting>
  <conditionalFormatting sqref="U13:U20">
    <cfRule type="expression" dxfId="1255" priority="56">
      <formula>ABS(U$16-U$19)&gt;=1000</formula>
    </cfRule>
  </conditionalFormatting>
  <conditionalFormatting sqref="V13:V20">
    <cfRule type="expression" dxfId="1254" priority="55">
      <formula>ABS(V$16-V$19)&gt;=1000</formula>
    </cfRule>
  </conditionalFormatting>
  <conditionalFormatting sqref="W13 W20 W15:W18">
    <cfRule type="expression" dxfId="1253" priority="54">
      <formula>ABS(W$16-W$19)&gt;=1000</formula>
    </cfRule>
  </conditionalFormatting>
  <conditionalFormatting sqref="X13 X15:X20 Y19">
    <cfRule type="expression" dxfId="1252" priority="53">
      <formula>ABS(X$16-X$19)&gt;=1000</formula>
    </cfRule>
  </conditionalFormatting>
  <conditionalFormatting sqref="Y13 Y15:Y18 Y20">
    <cfRule type="expression" dxfId="1251" priority="52">
      <formula>ABS(Y$16-Y$19)&gt;=1000</formula>
    </cfRule>
  </conditionalFormatting>
  <conditionalFormatting sqref="Z13:Z20">
    <cfRule type="expression" dxfId="1250" priority="51">
      <formula>ABS(Z$16-Z$19)&gt;=1000</formula>
    </cfRule>
  </conditionalFormatting>
  <conditionalFormatting sqref="AA13:AA20">
    <cfRule type="expression" dxfId="1249" priority="50">
      <formula>ABS(AA$16-AA$19)&gt;=1000</formula>
    </cfRule>
  </conditionalFormatting>
  <conditionalFormatting sqref="AB13 AB15:AB20">
    <cfRule type="expression" dxfId="1248" priority="49">
      <formula>ABS(AB$16-AB$19)&gt;=1000</formula>
    </cfRule>
  </conditionalFormatting>
  <conditionalFormatting sqref="AC13 AC15:AC20">
    <cfRule type="expression" dxfId="1247" priority="48">
      <formula>ABS(AC$16-AC$19)&gt;=1000</formula>
    </cfRule>
  </conditionalFormatting>
  <conditionalFormatting sqref="AD13:AD20">
    <cfRule type="expression" dxfId="1246" priority="47">
      <formula>ABS(AD$16-AD$19)&gt;=1000</formula>
    </cfRule>
  </conditionalFormatting>
  <conditionalFormatting sqref="AE13:AE20">
    <cfRule type="expression" dxfId="1245" priority="46">
      <formula>ABS(AE$16-AE$19)&gt;=1000</formula>
    </cfRule>
  </conditionalFormatting>
  <conditionalFormatting sqref="D22:D29">
    <cfRule type="expression" dxfId="1244" priority="45">
      <formula>ABS(D$25-D$28)&gt;=1000</formula>
    </cfRule>
  </conditionalFormatting>
  <conditionalFormatting sqref="E22:E29">
    <cfRule type="expression" dxfId="1243" priority="44">
      <formula>ABS(E$25-E$28)&gt;=1000</formula>
    </cfRule>
  </conditionalFormatting>
  <conditionalFormatting sqref="F22:F29">
    <cfRule type="expression" dxfId="1242" priority="43">
      <formula>ABS(F$25-F$28)&gt;=1000</formula>
    </cfRule>
  </conditionalFormatting>
  <conditionalFormatting sqref="G22:G29">
    <cfRule type="expression" dxfId="1241" priority="42">
      <formula>ABS(G$25-G$28)&gt;=1000</formula>
    </cfRule>
  </conditionalFormatting>
  <conditionalFormatting sqref="H22:H29">
    <cfRule type="expression" dxfId="1240" priority="41">
      <formula>ABS(H$25-H$28)&gt;=1000</formula>
    </cfRule>
  </conditionalFormatting>
  <conditionalFormatting sqref="I22 I24:I29">
    <cfRule type="expression" dxfId="1239" priority="40">
      <formula>ABS(I$25-I$28)&gt;=1000</formula>
    </cfRule>
  </conditionalFormatting>
  <conditionalFormatting sqref="J22:J29 K22">
    <cfRule type="expression" dxfId="1238" priority="39">
      <formula>ABS(J$25-J$28)&gt;=1000</formula>
    </cfRule>
  </conditionalFormatting>
  <conditionalFormatting sqref="K23:K29 L25 L28">
    <cfRule type="expression" dxfId="1237" priority="38">
      <formula>ABS(K$25-K$28)&gt;=1000</formula>
    </cfRule>
  </conditionalFormatting>
  <conditionalFormatting sqref="L22 L26:L27 L29 L24">
    <cfRule type="expression" dxfId="1236" priority="37">
      <formula>ABS(L$25-L$28)&gt;=1000</formula>
    </cfRule>
  </conditionalFormatting>
  <conditionalFormatting sqref="M22:M29">
    <cfRule type="expression" dxfId="1235" priority="36">
      <formula>ABS(M$25-M$28)&gt;=1000</formula>
    </cfRule>
  </conditionalFormatting>
  <conditionalFormatting sqref="N22:N29">
    <cfRule type="expression" dxfId="1234" priority="35">
      <formula>ABS(N$25-N$28)&gt;=1000</formula>
    </cfRule>
  </conditionalFormatting>
  <conditionalFormatting sqref="O22:O29">
    <cfRule type="expression" dxfId="1233" priority="34">
      <formula>ABS(O$25-O$28)&gt;=1000</formula>
    </cfRule>
  </conditionalFormatting>
  <conditionalFormatting sqref="P22:P29">
    <cfRule type="expression" dxfId="1232" priority="33">
      <formula>ABS(P$25-P$28)&gt;=1000</formula>
    </cfRule>
  </conditionalFormatting>
  <conditionalFormatting sqref="Q22:Q29">
    <cfRule type="expression" dxfId="1231" priority="32">
      <formula>ABS(Q$25-Q$28)&gt;=1000</formula>
    </cfRule>
  </conditionalFormatting>
  <conditionalFormatting sqref="R22:R29">
    <cfRule type="expression" dxfId="1230" priority="31">
      <formula>ABS(R$25-R$28)&gt;=1000</formula>
    </cfRule>
  </conditionalFormatting>
  <conditionalFormatting sqref="S22:S29">
    <cfRule type="expression" dxfId="1229" priority="30">
      <formula>ABS(S$25-S$28)&gt;=1000</formula>
    </cfRule>
  </conditionalFormatting>
  <conditionalFormatting sqref="T22:T29">
    <cfRule type="expression" dxfId="1228" priority="29">
      <formula>ABS(T$25-T$28)&gt;=1000</formula>
    </cfRule>
  </conditionalFormatting>
  <conditionalFormatting sqref="U22:U29">
    <cfRule type="expression" dxfId="1227" priority="28">
      <formula>ABS(U$25-U$28)&gt;=1000</formula>
    </cfRule>
  </conditionalFormatting>
  <conditionalFormatting sqref="V22:V29">
    <cfRule type="expression" dxfId="1226" priority="27">
      <formula>ABS(V$25-V$28)&gt;=1000</formula>
    </cfRule>
  </conditionalFormatting>
  <conditionalFormatting sqref="W22:W29">
    <cfRule type="expression" dxfId="1225" priority="26">
      <formula>ABS(W$25-W$28)&gt;=1000</formula>
    </cfRule>
  </conditionalFormatting>
  <conditionalFormatting sqref="X22:X29">
    <cfRule type="expression" dxfId="1224" priority="25">
      <formula>ABS(X$25-X$28)&gt;=1000</formula>
    </cfRule>
  </conditionalFormatting>
  <conditionalFormatting sqref="Y22:Y29">
    <cfRule type="expression" dxfId="1223" priority="24">
      <formula>ABS(Y$25-Y$28)&gt;=1000</formula>
    </cfRule>
  </conditionalFormatting>
  <conditionalFormatting sqref="I23">
    <cfRule type="expression" dxfId="1222" priority="23">
      <formula>ABS(I$25-I$28)&gt;=1000</formula>
    </cfRule>
  </conditionalFormatting>
  <conditionalFormatting sqref="Q14">
    <cfRule type="expression" dxfId="1221" priority="22">
      <formula>ABS(Q$16-Q$19)&gt;=1000</formula>
    </cfRule>
  </conditionalFormatting>
  <conditionalFormatting sqref="W14">
    <cfRule type="expression" dxfId="1220" priority="21">
      <formula>ABS(W$16-W$19)&gt;=1000</formula>
    </cfRule>
  </conditionalFormatting>
  <conditionalFormatting sqref="X14">
    <cfRule type="expression" dxfId="1219" priority="20">
      <formula>ABS(X$16-X$19)&gt;=1000</formula>
    </cfRule>
  </conditionalFormatting>
  <conditionalFormatting sqref="T10:Y10">
    <cfRule type="expression" dxfId="1218" priority="19">
      <formula>ABS(T$7-T$10)&gt;=1000</formula>
    </cfRule>
  </conditionalFormatting>
  <conditionalFormatting sqref="W19">
    <cfRule type="expression" dxfId="1217" priority="18">
      <formula>ABS(W$16-W$19)&gt;=1000</formula>
    </cfRule>
  </conditionalFormatting>
  <conditionalFormatting sqref="AC5">
    <cfRule type="expression" dxfId="1216" priority="17">
      <formula>ABS(AC$7-AC$10)&gt;=1000</formula>
    </cfRule>
  </conditionalFormatting>
  <conditionalFormatting sqref="M14">
    <cfRule type="expression" dxfId="1215" priority="16">
      <formula>ABS(M$16-M$19)&gt;=1000</formula>
    </cfRule>
  </conditionalFormatting>
  <conditionalFormatting sqref="M16">
    <cfRule type="expression" dxfId="1214" priority="15">
      <formula>ABS(M$16-M$19)&gt;=1000</formula>
    </cfRule>
  </conditionalFormatting>
  <conditionalFormatting sqref="M19">
    <cfRule type="expression" dxfId="1213" priority="14">
      <formula>ABS(M$16-M$19)&gt;=1000</formula>
    </cfRule>
  </conditionalFormatting>
  <conditionalFormatting sqref="K13:K20">
    <cfRule type="expression" dxfId="1212" priority="13">
      <formula>ABS(K$16-K$19)&gt;=1000</formula>
    </cfRule>
  </conditionalFormatting>
  <conditionalFormatting sqref="E5">
    <cfRule type="expression" dxfId="1211" priority="12">
      <formula>ABS(E$7-E$10)&gt;=1000</formula>
    </cfRule>
  </conditionalFormatting>
  <conditionalFormatting sqref="AB14:AC14">
    <cfRule type="expression" dxfId="1210" priority="11">
      <formula>ABS(AB$16-AB$19)&gt;=1000</formula>
    </cfRule>
  </conditionalFormatting>
  <conditionalFormatting sqref="M5">
    <cfRule type="expression" dxfId="1209" priority="10">
      <formula>ABS(M$7-M$10)&gt;=1000</formula>
    </cfRule>
  </conditionalFormatting>
  <conditionalFormatting sqref="N5">
    <cfRule type="expression" dxfId="1208" priority="9">
      <formula>ABS(N$7-N$10)&gt;=1000</formula>
    </cfRule>
  </conditionalFormatting>
  <conditionalFormatting sqref="O5">
    <cfRule type="expression" dxfId="1207" priority="8">
      <formula>ABS(O$7-O$10)&gt;=1000</formula>
    </cfRule>
  </conditionalFormatting>
  <conditionalFormatting sqref="P5">
    <cfRule type="expression" dxfId="1206" priority="7">
      <formula>ABS(P$7-P$10)&gt;=1000</formula>
    </cfRule>
  </conditionalFormatting>
  <conditionalFormatting sqref="L23">
    <cfRule type="expression" dxfId="1205" priority="6">
      <formula>ABS(L$25-L$28)&gt;=1000</formula>
    </cfRule>
  </conditionalFormatting>
  <conditionalFormatting sqref="Y14">
    <cfRule type="expression" dxfId="1204" priority="5">
      <formula>ABS(Y$16-Y$19)&gt;=1000</formula>
    </cfRule>
  </conditionalFormatting>
  <conditionalFormatting sqref="F14">
    <cfRule type="expression" dxfId="1203" priority="4">
      <formula>ABS(F$16-F$19)&gt;=1000</formula>
    </cfRule>
  </conditionalFormatting>
  <conditionalFormatting sqref="H14">
    <cfRule type="expression" dxfId="1202" priority="3">
      <formula>ABS(H$16-H$19)&gt;=1000</formula>
    </cfRule>
  </conditionalFormatting>
  <conditionalFormatting sqref="AD5">
    <cfRule type="expression" dxfId="1201" priority="2">
      <formula>ABS(AD$7-AD$10)&gt;=1000</formula>
    </cfRule>
  </conditionalFormatting>
  <conditionalFormatting sqref="AE5">
    <cfRule type="expression" dxfId="120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2828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70">
    <pageSetUpPr fitToPage="1"/>
  </sheetPr>
  <dimension ref="A1:CU223"/>
  <sheetViews>
    <sheetView view="pageBreakPreview" topLeftCell="A16" zoomScale="70" zoomScaleNormal="100" zoomScaleSheetLayoutView="70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2" t="s" ph="1">
        <v>161</v>
      </c>
      <c r="C1" s="182" ph="1"/>
      <c r="D1" s="182" ph="1"/>
      <c r="E1" s="182" ph="1"/>
      <c r="F1" s="182" ph="1"/>
      <c r="G1" s="182" ph="1"/>
      <c r="H1" s="182" ph="1"/>
      <c r="I1" s="182" ph="1"/>
      <c r="J1" s="182" ph="1"/>
      <c r="K1" s="182" ph="1"/>
      <c r="L1" s="182" ph="1"/>
      <c r="M1" s="182" ph="1"/>
      <c r="N1" s="182" ph="1"/>
      <c r="O1" s="182" ph="1"/>
      <c r="P1" s="182" ph="1"/>
      <c r="Q1" s="182" ph="1"/>
      <c r="R1" s="182" ph="1"/>
      <c r="S1" s="182" ph="1"/>
      <c r="T1" s="182" ph="1"/>
      <c r="U1" s="182" ph="1"/>
      <c r="V1" s="182" ph="1"/>
      <c r="W1" s="182" ph="1"/>
      <c r="X1" s="182" ph="1"/>
      <c r="Y1" s="182" ph="1"/>
      <c r="Z1" s="182" ph="1"/>
      <c r="AA1" s="182" ph="1"/>
      <c r="AB1" s="182" ph="1"/>
      <c r="AC1" s="182" ph="1"/>
      <c r="AD1" s="182" ph="1"/>
      <c r="AE1" s="182" ph="1"/>
    </row>
    <row r="2" spans="1:99" s="66" customFormat="1" ht="24" customHeight="1" ph="1">
      <c r="B2" s="183" t="s" ph="1">
        <v>82</v>
      </c>
      <c r="C2" s="183" ph="1"/>
      <c r="D2" s="183" ph="1"/>
      <c r="E2" s="183" ph="1"/>
      <c r="F2" s="183" ph="1"/>
      <c r="G2" s="183" ph="1"/>
      <c r="H2" s="183" ph="1"/>
      <c r="I2" s="183" ph="1"/>
      <c r="J2" s="183" ph="1"/>
      <c r="K2" s="183" ph="1"/>
      <c r="L2" s="183" ph="1"/>
      <c r="M2" s="183" ph="1"/>
      <c r="N2" s="183" ph="1"/>
      <c r="O2" s="183" ph="1"/>
      <c r="P2" s="183" ph="1"/>
      <c r="Q2" s="183" ph="1"/>
      <c r="R2" s="183" ph="1"/>
      <c r="S2" s="183" ph="1"/>
      <c r="T2" s="183" ph="1"/>
      <c r="U2" s="183" ph="1"/>
      <c r="V2" s="183" ph="1"/>
      <c r="W2" s="183" ph="1"/>
      <c r="X2" s="183" ph="1"/>
      <c r="Y2" s="183" ph="1"/>
      <c r="Z2" s="183" ph="1"/>
      <c r="AA2" s="183" ph="1"/>
      <c r="AB2" s="183" ph="1"/>
      <c r="AC2" s="183" ph="1"/>
      <c r="AD2" s="183" ph="1"/>
      <c r="AE2" s="183" ph="1"/>
    </row>
    <row r="3" spans="1:99" ht="21" customHeight="1" ph="1">
      <c r="B3" s="184" ph="1">
        <v>46132</v>
      </c>
      <c r="C3" s="184"/>
      <c r="D3" s="184"/>
      <c r="E3" s="184"/>
      <c r="F3" s="184"/>
      <c r="G3" s="184"/>
      <c r="H3" s="184"/>
      <c r="I3" s="184"/>
      <c r="J3" s="184"/>
      <c r="K3" s="184"/>
      <c r="L3" s="184"/>
      <c r="M3" s="184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</row>
    <row r="4" spans="1:99" s="69" customFormat="1" ph="1">
      <c r="A4" s="65" ph="1"/>
      <c r="B4" s="185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5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1" ph="1">
        <v>0.33333333333333331</v>
      </c>
      <c r="C6" s="154" t="s" ph="1">
        <v>177</v>
      </c>
      <c r="D6" s="71">
        <v>190</v>
      </c>
      <c r="E6" s="71">
        <v>6966</v>
      </c>
      <c r="F6" s="71">
        <v>5834</v>
      </c>
      <c r="G6" s="71">
        <v>7571</v>
      </c>
      <c r="H6" s="71">
        <v>6159</v>
      </c>
      <c r="I6" s="71">
        <v>10.199999999999999</v>
      </c>
      <c r="J6" s="71">
        <v>6.34</v>
      </c>
      <c r="K6" s="71">
        <v>7.44</v>
      </c>
      <c r="L6" s="71">
        <v>7.64</v>
      </c>
      <c r="M6" s="71">
        <v>489</v>
      </c>
      <c r="N6" s="71">
        <v>3949</v>
      </c>
      <c r="O6" s="71">
        <v>5106</v>
      </c>
      <c r="P6" s="71">
        <v>1787</v>
      </c>
      <c r="Q6" s="71">
        <v>4282</v>
      </c>
      <c r="R6" s="71">
        <v>0</v>
      </c>
      <c r="S6" s="71">
        <v>0</v>
      </c>
      <c r="T6" s="71">
        <v>0</v>
      </c>
      <c r="U6" s="71">
        <v>0</v>
      </c>
      <c r="V6" s="71">
        <v>2343</v>
      </c>
      <c r="W6" s="71">
        <v>5825</v>
      </c>
      <c r="X6" s="71">
        <v>7054</v>
      </c>
      <c r="Y6" s="71">
        <v>6593</v>
      </c>
      <c r="Z6" s="71">
        <v>5784</v>
      </c>
      <c r="AA6" s="71">
        <v>4215</v>
      </c>
      <c r="AB6" s="71">
        <v>1295</v>
      </c>
      <c r="AC6" s="71">
        <v>9373</v>
      </c>
      <c r="AD6" s="71">
        <v>2810</v>
      </c>
      <c r="AE6" s="71">
        <v>4312</v>
      </c>
    </row>
    <row r="7" spans="1:99" s="72" customFormat="1" ht="22.2" ph="1">
      <c r="B7" s="181" ph="1"/>
      <c r="C7" s="68" t="s" ph="1">
        <v>178</v>
      </c>
      <c r="D7" s="73" ph="1">
        <f>D6*33.183*LOOKUP(D8,密度!$A$2:$A$50,密度!$Q$2:$Q$50)</f>
        <v>5968.9779497999998</v>
      </c>
      <c r="E7" s="73" ph="1">
        <f>E6*51.53*LOOKUP(E8,密度!$A$2:$A$50,密度!$B$2:$B$50)</f>
        <v>279843.64120799996</v>
      </c>
      <c r="F7" s="73" ph="1">
        <f>F6*33.183*LOOKUP(F8,密度!$A$2:$A$50,密度!$C$2:$C$50)</f>
        <v>214671.53183580001</v>
      </c>
      <c r="G7" s="73" ph="1">
        <f xml:space="preserve"> (G6+2)*51.53*LOOKUP(G8,密度!$A$2:$A$50,密度!$B$2:$B$50)</f>
        <v>304228.52352399996</v>
      </c>
      <c r="H7" s="73" ph="1">
        <f>(H6)*51.53*LOOKUP(H8,密度!$A$2:$A$50,密度!$B$2:$B$50)</f>
        <v>248852.38100700002</v>
      </c>
      <c r="I7" s="73" ph="1">
        <f>I6*290.8*1.0267</f>
        <v>3045.3564719999995</v>
      </c>
      <c r="J7" s="73" ph="1">
        <f>J6*290.8*0.7892</f>
        <v>1455.0259424000001</v>
      </c>
      <c r="K7" s="73" ph="1">
        <f>K6*290.8*1.1126</f>
        <v>2407.1679552000001</v>
      </c>
      <c r="L7" s="73" ph="1">
        <f>L6*290.8*0.777</f>
        <v>1726.2702240000001</v>
      </c>
      <c r="M7" s="73" ph="1">
        <f>M6*33.183*LOOKUP(M8,密度!$A$2:$A$50,密度!$D$2:$D$50)</f>
        <v>16645.130364600001</v>
      </c>
      <c r="N7" s="73" ph="1">
        <f>N6*33.183*LOOKUP(N8,密度!$A$2:$A$50,密度!$E$2:$E$50)</f>
        <v>102341.97992700001</v>
      </c>
      <c r="O7" s="73" ph="1">
        <f>O6*20.428*LOOKUP(O8,密度!$A$2:$A$50,密度!$C$2:$C$50)</f>
        <v>115267.8621768</v>
      </c>
      <c r="P7" s="73" ph="1">
        <f>P6*51.53*LOOKUP(P8,密度!$A$2:$A$50,密度!$B$2:$B$50)</f>
        <v>71871.647855000003</v>
      </c>
      <c r="Q7" s="73" ph="1">
        <f>Q6*1.5*1.5*3.1416*LOOKUP(W8,密度!$A$2:$A$50,密度!$L$2:$L$50)</f>
        <v>28360.877252400001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15485.217363000002</v>
      </c>
      <c r="W7" s="73" ph="1">
        <f>W6*1.5*1.5*3.1416*LOOKUP(W8,密度!$A$2:$A$50,密度!$L$2:$L$50)</f>
        <v>38580.595515000001</v>
      </c>
      <c r="X7" s="73" ph="1">
        <f>X6*1.5*1.5*3.1416*LOOKUP(X8,密度!$A$2:$A$50,密度!$L$2:$L$50)</f>
        <v>47219.223466799995</v>
      </c>
      <c r="Y7" s="73" ph="1">
        <f>Y6*1.5*1.5*3.1416*LOOKUP(Y8,密度!$A$2:$A$50,密度!$L$2:$L$50)</f>
        <v>43667.273172599998</v>
      </c>
      <c r="Z7" s="73" ph="1">
        <f>Z6*33.183*LOOKUP(Z8,密度!$A$2:$A$50,密度!$L$2:$L$50)</f>
        <v>180222.713208</v>
      </c>
      <c r="AA7" s="73" ph="1">
        <f>AA6*33.183*LOOKUP(AA8,密度!$A$2:$A$50,密度!$D$2:$D$50)</f>
        <v>143600.7764115</v>
      </c>
      <c r="AB7" s="73" ph="1">
        <f>AB6*20.428*LOOKUP(AB8,密度!$A$2:$A$50,密度!$D$2:$D$50)</f>
        <v>27329.896005999999</v>
      </c>
      <c r="AC7" s="73" ph="1">
        <f>AC6*51.53*LOOKUP(AC8,密度!$A$2:$A$50,密度!$Q$2:$Q$50)</f>
        <v>458401.63397209998</v>
      </c>
      <c r="AD7" s="73" ph="1">
        <f>AD6*20.428*LOOKUP(AD8,密度!$A$2:$A$50,密度!$V$2:$V$50)</f>
        <v>55152.494943999998</v>
      </c>
      <c r="AE7" s="73" ph="1">
        <f>AE6*20.428</f>
        <v>88085.536000000007</v>
      </c>
    </row>
    <row r="8" spans="1:99" ph="1">
      <c r="B8" s="181" ph="1"/>
      <c r="C8" s="68" t="s" ph="1">
        <v>179</v>
      </c>
      <c r="D8" s="74">
        <v>25</v>
      </c>
      <c r="E8" s="74">
        <v>25</v>
      </c>
      <c r="F8" s="74">
        <v>25</v>
      </c>
      <c r="G8" s="74">
        <v>25</v>
      </c>
      <c r="H8" s="74">
        <v>20</v>
      </c>
      <c r="I8" s="74">
        <v>25</v>
      </c>
      <c r="J8" s="74">
        <v>25</v>
      </c>
      <c r="K8" s="74">
        <v>25</v>
      </c>
      <c r="L8" s="74">
        <v>25</v>
      </c>
      <c r="M8" s="74">
        <v>26</v>
      </c>
      <c r="N8" s="74">
        <v>27</v>
      </c>
      <c r="O8" s="74">
        <v>30</v>
      </c>
      <c r="P8" s="74">
        <v>24</v>
      </c>
      <c r="Q8" s="74">
        <v>26</v>
      </c>
      <c r="R8" s="74">
        <v>29</v>
      </c>
      <c r="S8" s="74">
        <v>21</v>
      </c>
      <c r="T8" s="74">
        <v>19</v>
      </c>
      <c r="U8" s="74">
        <v>24</v>
      </c>
      <c r="V8" s="74">
        <v>27</v>
      </c>
      <c r="W8" s="74">
        <v>25</v>
      </c>
      <c r="X8" s="74">
        <v>15</v>
      </c>
      <c r="Y8" s="74">
        <v>25</v>
      </c>
      <c r="Z8" s="74">
        <v>23</v>
      </c>
      <c r="AA8" s="74">
        <v>25</v>
      </c>
      <c r="AB8" s="74">
        <v>18</v>
      </c>
      <c r="AC8" s="74">
        <v>22</v>
      </c>
      <c r="AD8" s="74">
        <v>25</v>
      </c>
      <c r="AE8" s="74">
        <v>27</v>
      </c>
    </row>
    <row r="9" spans="1:99" ht="26.4" ph="1">
      <c r="B9" s="181" ph="1">
        <v>0.66666666666666663</v>
      </c>
      <c r="C9" s="154" t="s" ph="1">
        <v>180</v>
      </c>
      <c r="D9" s="71">
        <v>600</v>
      </c>
      <c r="E9" s="71">
        <v>7387</v>
      </c>
      <c r="F9" s="71">
        <v>5837</v>
      </c>
      <c r="G9" s="71">
        <v>7551</v>
      </c>
      <c r="H9" s="71">
        <v>6289</v>
      </c>
      <c r="I9" s="71">
        <v>10.16</v>
      </c>
      <c r="J9" s="71">
        <v>6.36</v>
      </c>
      <c r="K9" s="71">
        <v>7.43</v>
      </c>
      <c r="L9" s="71">
        <v>66.709999999999994</v>
      </c>
      <c r="M9" s="71">
        <v>488</v>
      </c>
      <c r="N9" s="71">
        <v>3727</v>
      </c>
      <c r="O9" s="71">
        <v>5107</v>
      </c>
      <c r="P9" s="71">
        <v>1404</v>
      </c>
      <c r="Q9" s="71">
        <v>6735</v>
      </c>
      <c r="R9" s="71">
        <v>2832</v>
      </c>
      <c r="S9" s="71">
        <v>3207</v>
      </c>
      <c r="T9" s="71">
        <v>1889</v>
      </c>
      <c r="U9" s="71">
        <v>0</v>
      </c>
      <c r="V9" s="71">
        <v>2346</v>
      </c>
      <c r="W9" s="71">
        <v>1084</v>
      </c>
      <c r="X9" s="71">
        <v>7061</v>
      </c>
      <c r="Y9" s="71">
        <v>6602</v>
      </c>
      <c r="Z9" s="71">
        <v>3501</v>
      </c>
      <c r="AA9" s="71">
        <v>4220</v>
      </c>
      <c r="AB9" s="71">
        <v>1273</v>
      </c>
      <c r="AC9" s="71">
        <v>9093</v>
      </c>
      <c r="AD9" s="71">
        <v>2810</v>
      </c>
      <c r="AE9" s="71">
        <v>4380</v>
      </c>
    </row>
    <row r="10" spans="1:99" s="72" customFormat="1" ht="22.2" ph="1">
      <c r="B10" s="181" ph="1"/>
      <c r="C10" s="154" t="s" ph="1">
        <v>178</v>
      </c>
      <c r="D10" s="73" ph="1">
        <f>D9*33.183*LOOKUP(D11,密度!$A$2:$A$50,密度!$Q$2:$Q$50)</f>
        <v>18793.457514000002</v>
      </c>
      <c r="E10" s="73" ph="1">
        <f>E9*51.53*LOOKUP(E11,密度!$A$2:$A$50,密度!$B$2:$B$50)</f>
        <v>295119.58088299999</v>
      </c>
      <c r="F10" s="73" ph="1">
        <f>F9*33.183*LOOKUP(F11,密度!$A$2:$A$50,密度!$C$2:$C$50)</f>
        <v>214781.9217219</v>
      </c>
      <c r="G10" s="73" ph="1">
        <f xml:space="preserve"> (G9+2)*51.53*LOOKUP(G11,密度!$A$2:$A$50,密度!$B$2:$B$50)</f>
        <v>301401.19609600003</v>
      </c>
      <c r="H10" s="73" ph="1">
        <f>(H9)*51.53*LOOKUP(H11,密度!$A$2:$A$50,密度!$B$2:$B$50)</f>
        <v>250961.48844799999</v>
      </c>
      <c r="I10" s="73" ph="1">
        <f>I9*290.8*1.0267</f>
        <v>3033.4138975999999</v>
      </c>
      <c r="J10" s="73" ph="1">
        <f>J9*290.8*0.7892</f>
        <v>1459.6159296000001</v>
      </c>
      <c r="K10" s="73" ph="1">
        <f>K9*290.8*1.1126</f>
        <v>2403.9325143999999</v>
      </c>
      <c r="L10" s="73" ph="1">
        <f>L9*290.8*0.777</f>
        <v>15073.231236</v>
      </c>
      <c r="M10" s="73" ph="1">
        <f>M9*33.183*LOOKUP(M11,密度!$A$2:$A$50,密度!$D$2:$D$50)</f>
        <v>16564.1306616</v>
      </c>
      <c r="N10" s="73" ph="1">
        <f>N9*33.183*LOOKUP(N11,密度!$A$2:$A$50,密度!$E$2:$E$50)</f>
        <v>96440.237371800002</v>
      </c>
      <c r="O10" s="73" ph="1">
        <f>O9*20.428*LOOKUP(O11,密度!$A$2:$A$50,密度!$C$2:$C$50)</f>
        <v>114852.2688164</v>
      </c>
      <c r="P10" s="73" ph="1">
        <f>P9*51.53*LOOKUP(P11,密度!$A$2:$A$50,密度!$B$2:$B$50)</f>
        <v>56279.602548000003</v>
      </c>
      <c r="Q10" s="73" ph="1">
        <f>Q9*1.5*1.5*3.1416*LOOKUP(W11,密度!$A$2:$A$50,密度!$L$2:$L$50)</f>
        <v>44464.957614000006</v>
      </c>
      <c r="R10" s="73" ph="1">
        <f>R9*1.5*1.5*3.1416*LOOKUP(R11,密度!$A$2:$A$50,密度!$L$2:$L$50)</f>
        <v>18657.032486399999</v>
      </c>
      <c r="S10" s="73" ph="1">
        <f>S9*1.5*1.5*3.1416*LOOKUP(S11,密度!$A$2:$A$50,密度!$L$2:$L$50)</f>
        <v>21308.860187999999</v>
      </c>
      <c r="T10" s="73" ph="1">
        <f>T9*1.5*1.5*3.1416*LOOKUP(T11,密度!$A$2:$A$50,密度!$L$2:$L$50)</f>
        <v>12551.430275999999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15488.461850400001</v>
      </c>
      <c r="W10" s="73" ph="1">
        <f>W9*1.5*1.5*3.1416*LOOKUP(W11,密度!$A$2:$A$50,密度!$L$2:$L$50)</f>
        <v>7156.6464816000007</v>
      </c>
      <c r="X10" s="73" ph="1">
        <f>X9*1.5*1.5*3.1416*LOOKUP(X11,密度!$A$2:$A$50,密度!$L$2:$L$50)</f>
        <v>47116.347062399997</v>
      </c>
      <c r="Y10" s="73" ph="1">
        <f>Y9*1.5*1.5*3.1416*LOOKUP(Y11,密度!$A$2:$A$50,密度!$L$2:$L$50)</f>
        <v>43680.2157792</v>
      </c>
      <c r="Z10" s="73" ph="1">
        <f>Z9*33.183*LOOKUP(Z11,密度!$A$2:$A$50,密度!$L$2:$L$50)</f>
        <v>108970.91465399999</v>
      </c>
      <c r="AA10" s="73" ph="1">
        <f>AA9*33.183*LOOKUP(AA11,密度!$A$2:$A$50,密度!$D$2:$D$50)</f>
        <v>143238.998754</v>
      </c>
      <c r="AB10" s="73" ph="1">
        <f>AB9*20.428*LOOKUP(AB11,密度!$A$2:$A$50,密度!$D$2:$D$50)</f>
        <v>26771.986898000003</v>
      </c>
      <c r="AC10" s="73" ph="1">
        <f>AC9*51.53*LOOKUP(AC11,密度!$A$2:$A$50,密度!$Q$2:$Q$50)</f>
        <v>443606.66243460006</v>
      </c>
      <c r="AD10" s="73" ph="1">
        <f>AD9*20.428*LOOKUP(AD11,密度!$A$2:$A$50,密度!$V$2:$V$50)</f>
        <v>54968.806367999998</v>
      </c>
      <c r="AE10" s="73" ph="1">
        <f>AE9*20.428</f>
        <v>89474.64</v>
      </c>
    </row>
    <row r="11" spans="1:99" ph="1">
      <c r="A11" s="64" t="s" ph="1">
        <v>162</v>
      </c>
      <c r="B11" s="181" ph="1"/>
      <c r="C11" s="154" t="s" ph="1">
        <v>179</v>
      </c>
      <c r="D11" s="74">
        <v>29</v>
      </c>
      <c r="E11" s="74">
        <v>30</v>
      </c>
      <c r="F11" s="74">
        <v>25</v>
      </c>
      <c r="G11" s="74">
        <v>31</v>
      </c>
      <c r="H11" s="74">
        <v>31</v>
      </c>
      <c r="I11" s="74">
        <v>25</v>
      </c>
      <c r="J11" s="74">
        <v>25</v>
      </c>
      <c r="K11" s="74">
        <v>25</v>
      </c>
      <c r="L11" s="74">
        <v>25</v>
      </c>
      <c r="M11" s="74">
        <v>29</v>
      </c>
      <c r="N11" s="74">
        <v>28</v>
      </c>
      <c r="O11" s="74">
        <v>34</v>
      </c>
      <c r="P11" s="74">
        <v>27</v>
      </c>
      <c r="Q11" s="74">
        <v>29</v>
      </c>
      <c r="R11" s="74">
        <v>30</v>
      </c>
      <c r="S11" s="74">
        <v>22</v>
      </c>
      <c r="T11" s="74">
        <v>22</v>
      </c>
      <c r="U11" s="74">
        <v>30</v>
      </c>
      <c r="V11" s="74">
        <v>28</v>
      </c>
      <c r="W11" s="74">
        <v>28</v>
      </c>
      <c r="X11" s="74">
        <v>18</v>
      </c>
      <c r="Y11" s="74">
        <v>26</v>
      </c>
      <c r="Z11" s="74">
        <v>24</v>
      </c>
      <c r="AA11" s="74">
        <v>29</v>
      </c>
      <c r="AB11" s="74">
        <v>22</v>
      </c>
      <c r="AC11" s="74">
        <v>25</v>
      </c>
      <c r="AD11" s="74">
        <v>31</v>
      </c>
      <c r="AE11" s="74">
        <v>29</v>
      </c>
    </row>
    <row r="12" spans="1:99" ht="9.9" customHeight="1" ph="1"/>
    <row r="13" spans="1:99" s="72" customFormat="1" ht="29.25" customHeight="1" ph="1">
      <c r="B13" s="189" t="s" ph="1">
        <v>37</v>
      </c>
      <c r="C13" s="154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0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639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1" ph="1">
        <v>0.33333333333333331</v>
      </c>
      <c r="C15" s="154" t="s" ph="1">
        <v>177</v>
      </c>
      <c r="D15" s="78">
        <v>3406</v>
      </c>
      <c r="E15" s="78">
        <v>5561</v>
      </c>
      <c r="F15" s="78">
        <v>4989</v>
      </c>
      <c r="G15" s="78">
        <v>2347</v>
      </c>
      <c r="H15" s="78">
        <v>2006</v>
      </c>
      <c r="I15" s="78">
        <v>904</v>
      </c>
      <c r="J15" s="78">
        <v>4226</v>
      </c>
      <c r="K15" s="78">
        <v>5013</v>
      </c>
      <c r="L15" s="78">
        <v>5087</v>
      </c>
      <c r="M15" s="78">
        <v>5000</v>
      </c>
      <c r="N15" s="78">
        <v>1941</v>
      </c>
      <c r="O15" s="78">
        <v>5010</v>
      </c>
      <c r="P15" s="78">
        <v>2337</v>
      </c>
      <c r="Q15" s="78">
        <v>2730</v>
      </c>
      <c r="R15" s="78">
        <v>7414</v>
      </c>
      <c r="S15" s="78">
        <v>6498</v>
      </c>
      <c r="T15" s="78">
        <v>5398</v>
      </c>
      <c r="U15" s="78">
        <v>1721</v>
      </c>
      <c r="V15" s="78">
        <v>1668</v>
      </c>
      <c r="W15" s="71">
        <v>-173</v>
      </c>
      <c r="X15" s="78">
        <v>-144</v>
      </c>
      <c r="Y15" s="106">
        <v>-9907</v>
      </c>
      <c r="Z15" s="78">
        <v>0</v>
      </c>
      <c r="AA15" s="78">
        <v>6857</v>
      </c>
      <c r="AB15" s="78" ph="1">
        <v>1800</v>
      </c>
      <c r="AC15" s="78" ph="1">
        <v>6910</v>
      </c>
      <c r="AD15" s="78">
        <v>5.13</v>
      </c>
      <c r="AE15" s="78">
        <v>60.74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2" ph="1"/>
      <c r="C16" s="154" t="s" ph="1">
        <v>178</v>
      </c>
      <c r="D16" s="73" ph="1">
        <f>D15*7.0686*LOOKUP(D17,密度!$A$2:$A$50,密度!$L$2:$L$50)</f>
        <v>22558.885549200004</v>
      </c>
      <c r="E16" s="73" ph="1">
        <f>E15*7.0686*LOOKUP(E17,密度!$A$2:$A$50,密度!$L$2:$L$50)</f>
        <v>36792.741585600008</v>
      </c>
      <c r="F16" s="73" ph="1">
        <f>F15*9.0746*LOOKUP(F17,密度!$A$2:$A$50,密度!$L$2:$L$50)</f>
        <v>42239.876380200003</v>
      </c>
      <c r="G16" s="73" ph="1">
        <f>G15*9.0746*LOOKUP(G17,密度!$A$2:$A$50,密度!$B$2:$B$50)</f>
        <v>16584.81972394</v>
      </c>
      <c r="H16" s="73" ph="1">
        <f>H15*9.0746*LOOKUP(H17,密度!$A$2:$A$50,密度!$L$2:$L$50)</f>
        <v>17129.6323916</v>
      </c>
      <c r="I16" s="73" ph="1">
        <f>I15*9.0746*LOOKUP(I17,密度!$A$2:$A$50,密度!$U$2:$U$50)</f>
        <v>8433.1346752000009</v>
      </c>
      <c r="J16" s="73" ph="1">
        <f>J15*9.0746*LOOKUP(J17,密度!$A$2:$A$50,密度!$L$2:$L$50)</f>
        <v>35933.256245199998</v>
      </c>
      <c r="K16" s="73" ph="1">
        <f>K15*9.0746*LOOKUP(K17,密度!$A$2:$A$50,密度!$C$2:$C$50)</f>
        <v>50444.936411219998</v>
      </c>
      <c r="L16" s="73" ph="1">
        <f>L15*9.0746*LOOKUP(L17,密度!$A$2:$A$50,密度!$E$2:$E$50)</f>
        <v>36154.462324640001</v>
      </c>
      <c r="M16" s="73" ph="1">
        <f>M15*9.0746*LOOKUP(M17,密度!$A$2:$A$50,密度!$M$2:$M$50)</f>
        <v>39615.166299999997</v>
      </c>
      <c r="N16" s="73" ph="1">
        <f>N15*9.0746*LOOKUP(N17,密度!$A$2:$A$50,密度!$M$2:$M$50)</f>
        <v>15447.301372200001</v>
      </c>
      <c r="O16" s="73" ph="1">
        <f>O15*9.0746*LOOKUP(O17,密度!$A$2:$A$50,密度!$G$2:$G$50)</f>
        <v>43599.732413999998</v>
      </c>
      <c r="P16" s="73" ph="1">
        <f ca="1">P15*9.0746*LOOKUP(P17,密度!$A$2:$A$51,密度!$Q$2:$Q$50)</f>
        <v>20077.837260947999</v>
      </c>
      <c r="Q16" s="73" ph="1">
        <f>Q15*9.0746*LOOKUP(Q17,密度!$A$2:$A$50,密度!$Q$2:$Q$50)</f>
        <v>23436.623677740001</v>
      </c>
      <c r="R16" s="73" ph="1">
        <f>MAX(R15*9.0746*LOOKUP(R17,密度!$A$2:$A$50,密度!$B$2:$B$50),0)</f>
        <v>52336.399754760008</v>
      </c>
      <c r="S16" s="73" ph="1">
        <f>S15*9.0746*LOOKUP(S17,密度!$A$2:$A$50,密度!$Q$2:$Q$50)</f>
        <v>55701.172140696006</v>
      </c>
      <c r="T16" s="73" ph="1">
        <f>T15*9.0746*LOOKUP(T17,密度!$A$2:$A$50,密度!$O$2:$O$50)</f>
        <v>45359.823680800007</v>
      </c>
      <c r="U16" s="73" ph="1">
        <f>U15*9.0746*LOOKUP(U17,密度!$A$2:$A$50,密度!$H$2:$H$50)</f>
        <v>14333.63742148</v>
      </c>
      <c r="V16" s="73" ph="1">
        <f>MAX(5600*LOOKUP(V17,密度!$A$2:$A$50,密度!$Q$2:$Q$50)+V15*9.0476*LOOKUP(V17,密度!$A$2:$A$50,密度!$Q$2:$Q$50),0)</f>
        <v>19559.991222976001</v>
      </c>
      <c r="W16" s="73" ph="1">
        <f>MAX(5600*LOOKUP(W17,密度!$A$2:$A$50,密度!$Q$2:$Q$50)+W15*9.0476*LOOKUP(W17,密度!$A$2:$A$50,密度!$Q$2:$Q$50),0)</f>
        <v>3817.0089221560002</v>
      </c>
      <c r="X16" s="73" ph="1">
        <f>MAX(5600*LOOKUP(X17,密度!$A$2:$A$50,密度!$I$2:$I$50)+X15*9.0476*LOOKUP(X17,密度!$A$2:$A$50,密度!$I$2:$I$50),0)</f>
        <v>4469.4611385600001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48348.4615194</v>
      </c>
      <c r="AB16" s="73" ph="1">
        <f>AB15*9.0746*LOOKUP(AB17,密度!$A$2:$A$50,密度!$L$2:$L$50)</f>
        <v>15256.217520000002</v>
      </c>
      <c r="AC16" s="73" ph="1">
        <f>AC15*9.0746*LOOKUP(AC17,密度!$A$2:$A$50,密度!$L$2:$L$50)</f>
        <v>58817.745867999998</v>
      </c>
      <c r="AD16" s="73" ph="1">
        <f>AD15*268.68*LOOKUP(AD17,密度!$A$2:$A$50,密度!B2:B50)+IF(AD15&lt;=0,0,1566*LOOKUP(AD17,密度!$A$2:$A$50,密度!B2:B50))</f>
        <v>2295.39842064</v>
      </c>
      <c r="AE16" s="73" ph="1">
        <f>AE15*268.68*LOOKUP(AE17,密度!$A$2:$A$50,密度!B2:B50)+IF(AE15&lt;=0,0,1566*LOOKUP(AE17,密度!$A$2:$A$50,密度!B2:B50))</f>
        <v>13943.631846720002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3" ph="1"/>
      <c r="C17" s="79" t="s" ph="1">
        <v>179</v>
      </c>
      <c r="D17" s="74">
        <v>25</v>
      </c>
      <c r="E17" s="74">
        <v>26</v>
      </c>
      <c r="F17" s="74">
        <v>29</v>
      </c>
      <c r="G17" s="74">
        <v>26</v>
      </c>
      <c r="H17" s="74">
        <v>21</v>
      </c>
      <c r="I17" s="74">
        <v>22</v>
      </c>
      <c r="J17" s="74">
        <v>25</v>
      </c>
      <c r="K17" s="74">
        <v>25</v>
      </c>
      <c r="L17" s="74">
        <v>25</v>
      </c>
      <c r="M17" s="74">
        <v>27</v>
      </c>
      <c r="N17" s="74">
        <v>23</v>
      </c>
      <c r="O17" s="74">
        <v>26</v>
      </c>
      <c r="P17" s="74">
        <v>25</v>
      </c>
      <c r="Q17" s="74">
        <v>26</v>
      </c>
      <c r="R17" s="74">
        <v>27</v>
      </c>
      <c r="S17" s="74">
        <v>28</v>
      </c>
      <c r="T17" s="74">
        <v>25</v>
      </c>
      <c r="U17" s="74">
        <v>22</v>
      </c>
      <c r="V17" s="74">
        <v>27</v>
      </c>
      <c r="W17" s="74">
        <v>26</v>
      </c>
      <c r="X17" s="74">
        <v>27</v>
      </c>
      <c r="Y17" s="108">
        <v>27</v>
      </c>
      <c r="Z17" s="74">
        <v>24</v>
      </c>
      <c r="AA17" s="74">
        <v>28</v>
      </c>
      <c r="AB17" s="74">
        <v>28</v>
      </c>
      <c r="AC17" s="74">
        <v>24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1" ph="1">
        <v>0.66666666666666663</v>
      </c>
      <c r="C18" s="79" t="s" ph="1">
        <v>180</v>
      </c>
      <c r="D18" s="71">
        <v>5941</v>
      </c>
      <c r="E18" s="71">
        <v>6212</v>
      </c>
      <c r="F18" s="71">
        <v>5054</v>
      </c>
      <c r="G18" s="71">
        <v>2503</v>
      </c>
      <c r="H18" s="71">
        <v>2007</v>
      </c>
      <c r="I18" s="71">
        <v>1912</v>
      </c>
      <c r="J18" s="71">
        <v>4344</v>
      </c>
      <c r="K18" s="71">
        <v>5016</v>
      </c>
      <c r="L18" s="71">
        <v>5097</v>
      </c>
      <c r="M18" s="71">
        <v>3410</v>
      </c>
      <c r="N18" s="71">
        <v>2770</v>
      </c>
      <c r="O18" s="71">
        <v>2295</v>
      </c>
      <c r="P18" s="71">
        <v>2338</v>
      </c>
      <c r="Q18" s="71">
        <v>2738</v>
      </c>
      <c r="R18" s="71">
        <v>7422</v>
      </c>
      <c r="S18" s="71">
        <v>6499</v>
      </c>
      <c r="T18" s="71">
        <v>4776</v>
      </c>
      <c r="U18" s="71">
        <v>1721</v>
      </c>
      <c r="V18" s="71">
        <v>1668</v>
      </c>
      <c r="W18" s="71">
        <v>-173</v>
      </c>
      <c r="X18" s="71">
        <v>-146</v>
      </c>
      <c r="Y18" s="109">
        <v>-9908</v>
      </c>
      <c r="Z18" s="71">
        <v>0</v>
      </c>
      <c r="AA18" s="71">
        <v>6860</v>
      </c>
      <c r="AB18" s="71">
        <v>3744</v>
      </c>
      <c r="AC18" s="71">
        <v>6916</v>
      </c>
      <c r="AD18" s="71">
        <v>25.8</v>
      </c>
      <c r="AE18" s="71">
        <v>84.88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2" ph="1"/>
      <c r="C19" s="154" t="s" ph="1">
        <v>178</v>
      </c>
      <c r="D19" s="73" ph="1">
        <f>D18*7.0686*LOOKUP(D20,密度!$A$2:$A$50,密度!$L$2:$L$50)</f>
        <v>39222.912128400007</v>
      </c>
      <c r="E19" s="73" ph="1">
        <f>E18*7.0686*LOOKUP(E20,密度!$A$2:$A$50,密度!$L$2:$L$50)</f>
        <v>40968.163605599999</v>
      </c>
      <c r="F19" s="73" ph="1">
        <f>F18*9.0746*LOOKUP(F20,密度!$A$2:$A$50,密度!$L$2:$L$50)</f>
        <v>42790.205497200004</v>
      </c>
      <c r="G19" s="73" ph="1">
        <f>G18*9.0746*LOOKUP(G20,密度!$A$2:$A$50,密度!$B$2:$B$50)</f>
        <v>17669.00574402</v>
      </c>
      <c r="H19" s="73" ph="1">
        <f>H18*9.0746*LOOKUP(H20,密度!$A$2:$A$50,密度!$L$2:$L$50)</f>
        <v>17119.958867999998</v>
      </c>
      <c r="I19" s="73" ph="1">
        <f>I18*9.0746*LOOKUP(I20,密度!$A$2:$A$50,密度!$U$2:$U$50)</f>
        <v>17714.998539199998</v>
      </c>
      <c r="J19" s="73" ph="1">
        <f>J18*9.0746*LOOKUP(J20,密度!$A$2:$A$50,密度!$L$2:$L$50)</f>
        <v>36778.918219200001</v>
      </c>
      <c r="K19" s="73" ph="1">
        <f>K18*9.0746*LOOKUP(K20,密度!$A$2:$A$50,密度!$C$2:$C$50)</f>
        <v>50438.710328159999</v>
      </c>
      <c r="L19" s="73" ph="1">
        <f>L18*9.0746*LOOKUP(L20,密度!$A$2:$A$50,密度!$E$2:$E$50)</f>
        <v>36068.273588759999</v>
      </c>
      <c r="M19" s="73" ph="1">
        <f>M18*9.0746*LOOKUP(M20,密度!$A$2:$A$50,密度!$M$2:$M$50)</f>
        <v>26952.560206000002</v>
      </c>
      <c r="N19" s="73" ph="1">
        <f>N18*9.0746*LOOKUP(N20,密度!$A$2:$A$50,密度!$M$2:$M$50)</f>
        <v>21997.075414200001</v>
      </c>
      <c r="O19" s="73" ph="1">
        <f>O18*9.0746*LOOKUP(O20,密度!$A$2:$A$50,密度!$G$2:$G$50)</f>
        <v>19951.506306000003</v>
      </c>
      <c r="P19" s="73" ph="1">
        <f ca="1">P18*9.0746*LOOKUP(P20,密度!$A$2:$A$51,密度!$Q$2:$Q$50)</f>
        <v>20041.449748376002</v>
      </c>
      <c r="Q19" s="73" ph="1">
        <f>Q18*9.0746*LOOKUP(Q20,密度!$A$2:$A$50,密度!$Q$2:$Q$50)</f>
        <v>23453.125293363999</v>
      </c>
      <c r="R19" s="73" ph="1">
        <f>MAX(R18*9.0746*LOOKUP(R20,密度!$A$2:$A$50,密度!$B$2:$B$50),0)</f>
        <v>52217.758434360003</v>
      </c>
      <c r="S19" s="73" ph="1">
        <f>S18*9.0746*LOOKUP(S20,密度!$A$2:$A$50,密度!$Q$2:$Q$50)</f>
        <v>55633.665374582</v>
      </c>
      <c r="T19" s="73" ph="1">
        <f>T18*9.0746*LOOKUP(T20,密度!$A$2:$A$50,密度!$O$2:$O$50)</f>
        <v>40133.108169600004</v>
      </c>
      <c r="U19" s="73" ph="1">
        <f>U18*9.0746*LOOKUP(U20,密度!$A$2:$A$50,密度!$H$2:$H$50)</f>
        <v>14272.729613740001</v>
      </c>
      <c r="V19" s="73" ph="1">
        <f>MAX(5600*LOOKUP(V20,密度!$A$2:$A$50,密度!$Q$2:$Q$50)+V18*9.0476*LOOKUP(V20,密度!$A$2:$A$50,密度!$Q$2:$Q$50),0)</f>
        <v>19531.230181423998</v>
      </c>
      <c r="W19" s="73" ph="1">
        <f>MAX(5600*LOOKUP(W20,密度!$A$2:$A$50,密度!$Q$2:$Q$50)+W18*9.0476*LOOKUP(W20,密度!$A$2:$A$50,密度!$Q$2:$Q$50),0)</f>
        <v>3800.3453418799995</v>
      </c>
      <c r="X19" s="73" ph="1">
        <f>MAX(5600*LOOKUP(X20,密度!$A$2:$A$50,密度!$I$2:$I$50)+X18*9.0476*LOOKUP(X20,密度!$A$2:$A$50,密度!$I$2:$I$50),0)</f>
        <v>4440.7985051200003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48369.614412000003</v>
      </c>
      <c r="AB19" s="73" ph="1">
        <f>AB18*9.0746*LOOKUP(AB20,密度!$A$2:$A$50,密度!$L$2:$L$50)</f>
        <v>31495.105324800003</v>
      </c>
      <c r="AC19" s="73" ph="1">
        <f>AC18*9.0746*LOOKUP(AC20,密度!$A$2:$A$50,密度!$L$2:$L$50)</f>
        <v>58743.297849600007</v>
      </c>
      <c r="AD19" s="73" ph="1">
        <f>AD18*268.68*LOOKUP(AD20,密度!$A$2:$A$50,密度!B5:B53)+IF(AD18&lt;=0,0,1566*LOOKUP(AD20,密度!$A$2:$A$50,密度!B5:B53))</f>
        <v>6602.9024880000006</v>
      </c>
      <c r="AE19" s="73" ph="1">
        <f>AE18*268.68*LOOKUP(AE20,密度!$A$2:$A$50,密度!B5:B53)+IF(AE18&lt;=0,0,1566*LOOKUP(AE20,密度!$A$2:$A$50,密度!B5:B53))</f>
        <v>18936.700876799998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2" ph="1"/>
      <c r="C20" s="80" t="s" ph="1">
        <v>179</v>
      </c>
      <c r="D20" s="81">
        <v>28</v>
      </c>
      <c r="E20" s="81">
        <v>29</v>
      </c>
      <c r="F20" s="81">
        <v>29</v>
      </c>
      <c r="G20" s="81">
        <v>27</v>
      </c>
      <c r="H20" s="81">
        <v>22</v>
      </c>
      <c r="I20" s="81">
        <v>29</v>
      </c>
      <c r="J20" s="81">
        <v>29</v>
      </c>
      <c r="K20" s="81">
        <v>26</v>
      </c>
      <c r="L20" s="81">
        <v>28</v>
      </c>
      <c r="M20" s="81">
        <v>29</v>
      </c>
      <c r="N20" s="81">
        <v>25</v>
      </c>
      <c r="O20" s="81">
        <v>27</v>
      </c>
      <c r="P20" s="81">
        <v>28</v>
      </c>
      <c r="Q20" s="81">
        <v>29</v>
      </c>
      <c r="R20" s="81">
        <v>30</v>
      </c>
      <c r="S20" s="81">
        <v>30</v>
      </c>
      <c r="T20" s="81">
        <v>28</v>
      </c>
      <c r="U20" s="81">
        <v>26</v>
      </c>
      <c r="V20" s="81">
        <v>29</v>
      </c>
      <c r="W20" s="81">
        <v>32</v>
      </c>
      <c r="X20" s="81">
        <v>29</v>
      </c>
      <c r="Y20" s="110">
        <v>29</v>
      </c>
      <c r="Z20" s="81">
        <v>30</v>
      </c>
      <c r="AA20" s="81">
        <v>28</v>
      </c>
      <c r="AB20" s="81">
        <v>35</v>
      </c>
      <c r="AC20" s="81">
        <v>26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0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69" t="s" ph="1">
        <v>69</v>
      </c>
      <c r="AA22" s="170"/>
      <c r="AB22" s="170"/>
      <c r="AC22" s="170"/>
      <c r="AD22" s="170"/>
      <c r="AE22" s="17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5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72" t="s" ph="1">
        <v>640</v>
      </c>
      <c r="AA23" s="173"/>
      <c r="AB23" s="173"/>
      <c r="AC23" s="173"/>
      <c r="AD23" s="173"/>
      <c r="AE23" s="17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1" ph="1">
        <v>0.33333333333333331</v>
      </c>
      <c r="C24" s="154" t="s" ph="1">
        <v>177</v>
      </c>
      <c r="D24" s="71">
        <v>60.37</v>
      </c>
      <c r="E24" s="71">
        <v>65.849999999999994</v>
      </c>
      <c r="F24" s="71">
        <v>918</v>
      </c>
      <c r="G24" s="71">
        <v>1753</v>
      </c>
      <c r="H24" s="71">
        <v>2269</v>
      </c>
      <c r="I24" s="71">
        <v>3033</v>
      </c>
      <c r="J24" s="71">
        <v>829</v>
      </c>
      <c r="K24" s="71">
        <v>1561</v>
      </c>
      <c r="L24" s="71">
        <v>469</v>
      </c>
      <c r="M24" s="71">
        <v>4847</v>
      </c>
      <c r="N24" s="71">
        <v>4828</v>
      </c>
      <c r="O24" s="71">
        <v>5474</v>
      </c>
      <c r="P24" s="71">
        <v>1045</v>
      </c>
      <c r="Q24" s="90">
        <v>2681</v>
      </c>
      <c r="R24" s="71">
        <v>6488</v>
      </c>
      <c r="S24" s="71">
        <v>359</v>
      </c>
      <c r="T24" s="71">
        <v>1278</v>
      </c>
      <c r="U24" s="71">
        <v>4896</v>
      </c>
      <c r="V24" s="71">
        <v>595</v>
      </c>
      <c r="W24" s="71">
        <v>9829</v>
      </c>
      <c r="X24" s="71">
        <v>3478</v>
      </c>
      <c r="Y24" s="71">
        <v>5425</v>
      </c>
      <c r="Z24" s="175"/>
      <c r="AA24" s="176"/>
      <c r="AB24" s="176"/>
      <c r="AC24" s="176"/>
      <c r="AD24" s="176"/>
      <c r="AE24" s="17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1" ph="1"/>
      <c r="C25" s="68" t="s" ph="1">
        <v>178</v>
      </c>
      <c r="D25" s="91" ph="1">
        <f>D24*268.68*LOOKUP(D26,密度!$A$2:$A$50,密度!$Q$2:$Q$50)+IF(D24&lt;=0,0,1566*LOOKUP(D26,密度!$A$2:$A$50,密度!$Q$2:$Q$50))</f>
        <v>16838.917970184</v>
      </c>
      <c r="E25" s="91" ph="1">
        <f>E24*268.68*LOOKUP(E26,密度!$A$2:$A$50,密度!$C$2:$C$50)+IF(E24&lt;=0,0,1566*LOOKUP(E26,密度!$A$2:$A$50,密度!$C$2:$C$50))</f>
        <v>21355.837144199999</v>
      </c>
      <c r="F25" s="91" ph="1">
        <f>F24*11.702*LOOKUP(F26,密度!$A$2:$A$50,密度!$Q$2:$Q$50)</f>
        <v>10178.135836920001</v>
      </c>
      <c r="G25" s="91" ph="1">
        <f>G24*18.322*LOOKUP(G26,密度!$A$2:$A$50,密度!$B$2:$B$50)</f>
        <v>25010.6494742</v>
      </c>
      <c r="H25" s="91" ph="1">
        <f>H24*18.322*LOOKUP(H26,密度!$A$2:$A$50,密度!$B$2:$B$50)</f>
        <v>32447.428348999994</v>
      </c>
      <c r="I25" s="91" ph="1">
        <f>I24*18.322*LOOKUP(I26,密度!$A$2:$A$50,密度!$Q$2:$Q$50)</f>
        <v>52610.934459240001</v>
      </c>
      <c r="J25" s="91" ph="1">
        <f>J24*18.322*LOOKUP(J26,密度!$A$2:$A$50,密度!$Q$2:$Q$50)</f>
        <v>14379.975162120001</v>
      </c>
      <c r="K25" s="91" ph="1">
        <f>K24*18.322*LOOKUP(K26,密度!$A$2:$A$50,密度!$Q$2:$Q$50)</f>
        <v>27077.371807080002</v>
      </c>
      <c r="L25" s="91" ph="1">
        <f>L24*18.322*LOOKUP(L26,密度!$A$2:$A$50,密度!$Q$2:$Q$50)</f>
        <v>8129.2528185400006</v>
      </c>
      <c r="M25" s="91" ph="1">
        <f>M24*18.322*LOOKUP(M26,密度!$A$2:$A$50,密度!$Q$2:$Q$50)</f>
        <v>84076.887347159995</v>
      </c>
      <c r="N25" s="91" ph="1">
        <f>N24*18.322*LOOKUP(N26,密度!$A$2:$A$50,密度!$Q$2:$Q$50)</f>
        <v>83955.18785943999</v>
      </c>
      <c r="O25" s="91" ph="1">
        <f>O24*18.322*LOOKUP(O26,密度!$A$2:$A$50,密度!$C$2:$C$50)</f>
        <v>111367.1549312</v>
      </c>
      <c r="P25" s="91" ph="1">
        <f>P24*11.702*LOOKUP(P26,密度!$A$2:$A$50,密度!$B$2:$B$50)</f>
        <v>9522.4030329999987</v>
      </c>
      <c r="Q25" s="92" ph="1">
        <f>Q24*18.322*LOOKUP(Q26,密度!$A$2:$A$50,密度!$B$2:$B$50)</f>
        <v>38294.951447200001</v>
      </c>
      <c r="R25" s="91" ph="1">
        <f>R24*35.891*LOOKUP(R26,密度!$A$2:$A$50,密度!$C$2:$C$50)</f>
        <v>258219.3499912</v>
      </c>
      <c r="S25" s="91" ph="1">
        <f>S24*35.891*LOOKUP(S26,密度!$A$2:$A$50,密度!$B$2:$B$50)</f>
        <v>10045.043872399998</v>
      </c>
      <c r="T25" s="91" ph="1">
        <f>T24*35.891*LOOKUP(T26,密度!$A$2:$A$50,密度!$Q$2:$Q$50)</f>
        <v>43425.731144519996</v>
      </c>
      <c r="U25" s="91" ph="1">
        <f>U24*35.891</f>
        <v>175722.33599999998</v>
      </c>
      <c r="V25" s="91" ph="1">
        <f>V24*47.051*LOOKUP(V26,密度!$A$2:$A$50,密度!$B$2:$B$50)</f>
        <v>21900.7583935</v>
      </c>
      <c r="W25" s="91" ph="1">
        <f>W24*47.051*LOOKUP(W26,密度!$A$2:$A$50,密度!$B$2:$B$50)</f>
        <v>361369.58761060005</v>
      </c>
      <c r="X25" s="91" ph="1">
        <f>X24*47.051*LOOKUP(X26,密度!$A$2:$A$61,密度!$I$2:$I$61)</f>
        <v>169289.07454099998</v>
      </c>
      <c r="Y25" s="91" ph="1">
        <f>Y24*47.051*LOOKUP(Y26,密度!$A$2:$A$50,密度!$L$2:$L$50)</f>
        <v>239170.81947500003</v>
      </c>
      <c r="Z25" s="175"/>
      <c r="AA25" s="176"/>
      <c r="AB25" s="176"/>
      <c r="AC25" s="176"/>
      <c r="AD25" s="176"/>
      <c r="AE25" s="17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1" ph="1"/>
      <c r="C26" s="68" t="s" ph="1">
        <v>179</v>
      </c>
      <c r="D26" s="74">
        <v>25</v>
      </c>
      <c r="E26" s="74">
        <v>25</v>
      </c>
      <c r="F26" s="74">
        <v>24</v>
      </c>
      <c r="G26" s="74">
        <v>26</v>
      </c>
      <c r="H26" s="74">
        <v>24</v>
      </c>
      <c r="I26" s="74">
        <v>25</v>
      </c>
      <c r="J26" s="74">
        <v>25</v>
      </c>
      <c r="K26" s="74">
        <v>25</v>
      </c>
      <c r="L26" s="74">
        <v>26</v>
      </c>
      <c r="M26" s="74">
        <v>25</v>
      </c>
      <c r="N26" s="74">
        <v>22</v>
      </c>
      <c r="O26" s="74">
        <v>23</v>
      </c>
      <c r="P26" s="74">
        <v>26</v>
      </c>
      <c r="Q26" s="93">
        <v>25</v>
      </c>
      <c r="R26" s="74">
        <v>25</v>
      </c>
      <c r="S26" s="74">
        <v>25</v>
      </c>
      <c r="T26" s="74">
        <v>25</v>
      </c>
      <c r="U26" s="74">
        <v>27</v>
      </c>
      <c r="V26" s="74">
        <v>22</v>
      </c>
      <c r="W26" s="74">
        <v>23</v>
      </c>
      <c r="X26" s="74">
        <v>32</v>
      </c>
      <c r="Y26" s="74">
        <v>25</v>
      </c>
      <c r="Z26" s="175"/>
      <c r="AA26" s="176"/>
      <c r="AB26" s="176"/>
      <c r="AC26" s="176"/>
      <c r="AD26" s="176"/>
      <c r="AE26" s="17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1" ph="1">
        <v>0.66666666666666663</v>
      </c>
      <c r="C27" s="154" t="s" ph="1">
        <v>180</v>
      </c>
      <c r="D27" s="71">
        <v>60.44</v>
      </c>
      <c r="E27" s="71">
        <v>65.86</v>
      </c>
      <c r="F27" s="71">
        <v>917</v>
      </c>
      <c r="G27" s="71">
        <v>1233</v>
      </c>
      <c r="H27" s="71">
        <v>1876</v>
      </c>
      <c r="I27" s="71">
        <v>3033</v>
      </c>
      <c r="J27" s="71">
        <v>826</v>
      </c>
      <c r="K27" s="71">
        <v>1559</v>
      </c>
      <c r="L27" s="71">
        <v>465</v>
      </c>
      <c r="M27" s="71">
        <v>4848</v>
      </c>
      <c r="N27" s="71">
        <v>4827</v>
      </c>
      <c r="O27" s="71">
        <v>5419</v>
      </c>
      <c r="P27" s="71">
        <v>1042</v>
      </c>
      <c r="Q27" s="90">
        <v>2867</v>
      </c>
      <c r="R27" s="71">
        <v>6486</v>
      </c>
      <c r="S27" s="71">
        <v>355</v>
      </c>
      <c r="T27" s="71">
        <v>1277</v>
      </c>
      <c r="U27" s="71">
        <v>5086</v>
      </c>
      <c r="V27" s="71">
        <v>593</v>
      </c>
      <c r="W27" s="71">
        <v>9829</v>
      </c>
      <c r="X27" s="71">
        <v>3615</v>
      </c>
      <c r="Y27" s="71">
        <v>6073</v>
      </c>
      <c r="Z27" s="175"/>
      <c r="AA27" s="176"/>
      <c r="AB27" s="176"/>
      <c r="AC27" s="176"/>
      <c r="AD27" s="176"/>
      <c r="AE27" s="17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1" ph="1"/>
      <c r="C28" s="154" t="s" ph="1">
        <v>178</v>
      </c>
      <c r="D28" s="91" ph="1">
        <f>D27*268.68*LOOKUP(D29,密度!$A$2:$A$50,密度!$Q$2:$Q$50)+IF(D27&lt;=0,0,1566*LOOKUP(D29,密度!$A$2:$A$50,密度!$Q$2:$Q$50))</f>
        <v>16856.723877408003</v>
      </c>
      <c r="E28" s="91" ph="1">
        <f>E27*268.68*LOOKUP(E29,密度!$A$2:$A$50,密度!$C$2:$C$50)+IF(E27&lt;=0,0,1566*LOOKUP(E29,密度!$A$2:$A$50,密度!$C$2:$C$50))</f>
        <v>21358.816536720002</v>
      </c>
      <c r="F28" s="91" ph="1">
        <f>F27*11.702*LOOKUP(F29,密度!$A$2:$A$50,密度!$Q$2:$Q$50)</f>
        <v>10159.21510716</v>
      </c>
      <c r="G28" s="91" ph="1">
        <f>G27*18.322*LOOKUP(G29,密度!$A$2:$A$50,密度!$B$2:$B$50)</f>
        <v>17535.154381199998</v>
      </c>
      <c r="H28" s="91" ph="1">
        <f>H27*18.322*LOOKUP(H29,密度!$A$2:$A$50,密度!$B$2:$B$50)</f>
        <v>26765.5324664</v>
      </c>
      <c r="I28" s="91" ph="1">
        <f>I27*18.322*LOOKUP(I29,密度!$A$2:$A$50,密度!$Q$2:$Q$50)</f>
        <v>52571.479314780001</v>
      </c>
      <c r="J28" s="91" ph="1">
        <f>J27*18.322*LOOKUP(J29,密度!$A$2:$A$50,密度!$Q$2:$Q$50)</f>
        <v>14306.44641104</v>
      </c>
      <c r="K28" s="91" ph="1">
        <f>K27*18.322*LOOKUP(K29,密度!$A$2:$A$50,密度!$Q$2:$Q$50)</f>
        <v>27042.67946652</v>
      </c>
      <c r="L28" s="91" ph="1">
        <f>L27*18.322*LOOKUP(L29,密度!$A$2:$A$50,密度!$Q$2:$Q$50)</f>
        <v>8065.9691801999998</v>
      </c>
      <c r="M28" s="91" ph="1">
        <f>M27*18.322*LOOKUP(M29,密度!$A$2:$A$50,密度!$Q$2:$Q$50)</f>
        <v>84031.167727680004</v>
      </c>
      <c r="N28" s="91" ph="1">
        <f>N27*18.322*LOOKUP(N29,密度!$A$2:$A$50,密度!$Q$2:$Q$50)</f>
        <v>83859.086770800001</v>
      </c>
      <c r="O28" s="91" ph="1">
        <f>O27*18.322*LOOKUP(O29,密度!$A$2:$A$50,密度!$C$2:$C$50)</f>
        <v>110248.1937472</v>
      </c>
      <c r="P28" s="91" ph="1">
        <f>P27*11.702*LOOKUP(P29,密度!$A$2:$A$50,密度!$B$2:$B$50)</f>
        <v>9485.3112036000002</v>
      </c>
      <c r="Q28" s="92" ph="1">
        <f>Q27*18.322*LOOKUP(Q29,密度!$A$2:$A$50,密度!$B$2:$B$50)</f>
        <v>40951.744050399997</v>
      </c>
      <c r="R28" s="91" ph="1">
        <f>R27*35.891*LOOKUP(R29,密度!$A$2:$A$50,密度!$C$2:$C$50)</f>
        <v>258139.75093139999</v>
      </c>
      <c r="S28" s="91" ph="1">
        <f>S27*35.891*LOOKUP(S29,密度!$A$2:$A$50,密度!$B$2:$B$50)</f>
        <v>9944.5885524999976</v>
      </c>
      <c r="T28" s="91" ph="1">
        <f>T27*35.891*LOOKUP(T29,密度!$A$2:$A$50,密度!$Q$2:$Q$50)</f>
        <v>43391.75169918</v>
      </c>
      <c r="U28" s="91" ph="1">
        <f>U27*35.891</f>
        <v>182541.62599999999</v>
      </c>
      <c r="V28" s="91" ph="1">
        <f>V27*47.051*LOOKUP(V29,密度!$A$2:$A$50,密度!$B$2:$B$50)</f>
        <v>21776.920161500002</v>
      </c>
      <c r="W28" s="91" ph="1">
        <f>W27*47.051*LOOKUP(W29,密度!$A$2:$A$50,密度!$B$2:$B$50)</f>
        <v>360953.36975950003</v>
      </c>
      <c r="X28" s="91" ph="1">
        <f>X27*47.051*LOOKUP(X29,密度!$A$2:$A$61,密度!$I$2:$I$61)</f>
        <v>175957.44809250001</v>
      </c>
      <c r="Y28" s="91" ph="1">
        <f>Y27*47.051*LOOKUP(Y29,密度!$A$2:$A$50,密度!$L$2:$L$50)</f>
        <v>267739.05745100003</v>
      </c>
      <c r="Z28" s="175"/>
      <c r="AA28" s="176"/>
      <c r="AB28" s="176"/>
      <c r="AC28" s="176"/>
      <c r="AD28" s="176"/>
      <c r="AE28" s="17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1" ph="1"/>
      <c r="C29" s="154" t="s" ph="1">
        <v>179</v>
      </c>
      <c r="D29" s="74">
        <v>25</v>
      </c>
      <c r="E29" s="74">
        <v>25</v>
      </c>
      <c r="F29" s="74">
        <v>25</v>
      </c>
      <c r="G29" s="74">
        <v>29</v>
      </c>
      <c r="H29" s="74">
        <v>26</v>
      </c>
      <c r="I29" s="74">
        <v>26</v>
      </c>
      <c r="J29" s="74">
        <v>27</v>
      </c>
      <c r="K29" s="74">
        <v>25</v>
      </c>
      <c r="L29" s="74">
        <v>25</v>
      </c>
      <c r="M29" s="74">
        <v>26</v>
      </c>
      <c r="N29" s="74">
        <v>23</v>
      </c>
      <c r="O29" s="74">
        <v>23</v>
      </c>
      <c r="P29" s="74">
        <v>27</v>
      </c>
      <c r="Q29" s="93">
        <v>25</v>
      </c>
      <c r="R29" s="74">
        <v>25</v>
      </c>
      <c r="S29" s="74">
        <v>24</v>
      </c>
      <c r="T29" s="74">
        <v>25</v>
      </c>
      <c r="U29" s="74">
        <v>24</v>
      </c>
      <c r="V29" s="74">
        <v>24</v>
      </c>
      <c r="W29" s="74">
        <v>24</v>
      </c>
      <c r="X29" s="74">
        <v>32</v>
      </c>
      <c r="Y29" s="74">
        <v>25</v>
      </c>
      <c r="Z29" s="178"/>
      <c r="AA29" s="179"/>
      <c r="AB29" s="179"/>
      <c r="AC29" s="179"/>
      <c r="AD29" s="179"/>
      <c r="AE29" s="18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4" t="s" ph="1">
        <v>35</v>
      </c>
      <c r="C31" s="195" ph="1"/>
      <c r="D31" s="198" t="s" ph="1">
        <v>9</v>
      </c>
      <c r="E31" s="187" ph="1"/>
      <c r="F31" s="188" ph="1"/>
      <c r="G31" s="198" t="s" ph="1">
        <v>18</v>
      </c>
      <c r="H31" s="187" ph="1"/>
      <c r="I31" s="188" ph="1"/>
      <c r="J31" s="186" t="s" ph="1">
        <v>1</v>
      </c>
      <c r="K31" s="187" ph="1"/>
      <c r="L31" s="188" ph="1"/>
      <c r="M31" s="186" t="s" ph="1">
        <v>7</v>
      </c>
      <c r="N31" s="187" ph="1"/>
      <c r="O31" s="188" ph="1"/>
      <c r="P31" s="186" t="s" ph="1">
        <v>41</v>
      </c>
      <c r="Q31" s="187"/>
      <c r="R31" s="188"/>
      <c r="S31" s="186" t="s" ph="1">
        <v>2</v>
      </c>
      <c r="T31" s="187"/>
      <c r="U31" s="188"/>
      <c r="V31" s="186" t="s" ph="1">
        <v>71</v>
      </c>
      <c r="W31" s="187" ph="1"/>
      <c r="X31" s="188" ph="1"/>
      <c r="Y31" s="186" t="s" ph="1">
        <v>3</v>
      </c>
      <c r="Z31" s="187" ph="1"/>
      <c r="AA31" s="188" ph="1"/>
      <c r="AB31" s="209" t="s">
        <v>42</v>
      </c>
      <c r="AC31" s="210"/>
      <c r="AD31" s="210"/>
      <c r="AE31" s="211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6" ph="1"/>
      <c r="C32" s="197" ph="1"/>
      <c r="D32" s="96" t="s" ph="1">
        <v>4</v>
      </c>
      <c r="E32" s="154" t="s" ph="1">
        <v>5</v>
      </c>
      <c r="F32" s="155" t="s" ph="1">
        <v>43</v>
      </c>
      <c r="G32" s="97" t="s" ph="1">
        <v>4</v>
      </c>
      <c r="H32" s="154" t="s" ph="1">
        <v>5</v>
      </c>
      <c r="I32" s="155" t="s" ph="1">
        <v>43</v>
      </c>
      <c r="J32" s="97" t="s" ph="1">
        <v>4</v>
      </c>
      <c r="K32" s="154" t="s" ph="1">
        <v>5</v>
      </c>
      <c r="L32" s="155" t="s" ph="1">
        <v>43</v>
      </c>
      <c r="M32" s="97" t="s" ph="1">
        <v>4</v>
      </c>
      <c r="N32" s="154" t="s" ph="1">
        <v>5</v>
      </c>
      <c r="O32" s="15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4" t="s" ph="1">
        <v>5</v>
      </c>
      <c r="U32" s="99" t="s" ph="1">
        <v>43</v>
      </c>
      <c r="V32" s="97" t="s" ph="1">
        <v>4</v>
      </c>
      <c r="W32" s="154" t="s" ph="1">
        <v>5</v>
      </c>
      <c r="X32" s="99" t="s" ph="1">
        <v>43</v>
      </c>
      <c r="Y32" s="100" t="s" ph="1">
        <v>4</v>
      </c>
      <c r="Z32" s="154" t="s" ph="1">
        <v>5</v>
      </c>
      <c r="AA32" s="155" t="s" ph="1">
        <v>43</v>
      </c>
      <c r="AB32" s="97" t="s" ph="1">
        <v>85</v>
      </c>
      <c r="AC32" s="154" t="s" ph="1">
        <v>84</v>
      </c>
      <c r="AD32" s="212" t="s" ph="1">
        <v>83</v>
      </c>
      <c r="AE32" s="213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199" t="s" ph="1">
        <v>181</v>
      </c>
      <c r="C33" s="200" ph="1"/>
      <c r="D33" s="203" ph="1">
        <f>AA10+AB10+Z19</f>
        <v>170010.985652</v>
      </c>
      <c r="E33" s="203" ph="1">
        <f>M10+I10</f>
        <v>19597.5445592</v>
      </c>
      <c r="F33" s="20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1522252632456786910111213141516171819202123456789101112131415161718192022232424356789101112131415161718192021222345678910111213141516171819202345678910111213149101516171819222123234567891012131415161711181920212224252345678910111213110[[#This Row],[F25]]</f>
        <v>3880</v>
      </c>
      <c r="G33" s="207" ph="1">
        <f>N19</f>
        <v>21997.075414200001</v>
      </c>
      <c r="H33" s="203" ph="1">
        <f>M19</f>
        <v>26952.560206000002</v>
      </c>
      <c r="I33" s="216" ph="1">
        <v>0</v>
      </c>
      <c r="J33" s="214" ph="1">
        <f>F10+O28</f>
        <v>325030.11546910001</v>
      </c>
      <c r="K33" s="203" ph="1">
        <f>O10+K10+E28+R28</f>
        <v>396754.76879891998</v>
      </c>
      <c r="L33" s="218" ph="1">
        <f>K19</f>
        <v>50438.710328159999</v>
      </c>
      <c r="M33" s="214" ph="1">
        <f>G10+H10+W28+S28+V28+E10+R19+P28+Q28</f>
        <v>1342811.9575888601</v>
      </c>
      <c r="N33" s="203" ph="1">
        <f>L10+P10++G28+H28+AD19+AE19</f>
        <v>141193.12399640001</v>
      </c>
      <c r="O33" s="216" ph="1">
        <f>G19</f>
        <v>17669.00574402</v>
      </c>
      <c r="P33" s="214" ph="1">
        <f>L19</f>
        <v>36068.273588759999</v>
      </c>
      <c r="Q33" s="203" ph="1">
        <f>J10+N10</f>
        <v>97899.853301399999</v>
      </c>
      <c r="R33" s="216" ph="1">
        <f>BE23</f>
        <v>890</v>
      </c>
      <c r="S33" s="214" ph="1">
        <f>X28</f>
        <v>175957.44809250001</v>
      </c>
      <c r="T33" s="203" ph="1">
        <f>X19</f>
        <v>4440.7985051200003</v>
      </c>
      <c r="U33" s="224" ph="1">
        <f>BE21</f>
        <v>730</v>
      </c>
      <c r="V33" s="235" ph="1">
        <f ca="1">P19+Q19+S19+M28+N28+J28+D10+AC10+D19+E19+H19+J19+O19+V19+W19+K28+L28</f>
        <v>956206.74457166612</v>
      </c>
      <c r="W33" s="235" ph="1">
        <f>D28+F28+T28+I28</f>
        <v>122979.169998528</v>
      </c>
      <c r="X33" s="216" ph="1">
        <f>BE29+BE31</f>
        <v>10200</v>
      </c>
      <c r="Y33" s="237" ph="1">
        <f>+Q10+R10+S10+T10+U10+V10+W10+X10+Y10</f>
        <v>210423.95173799997</v>
      </c>
      <c r="Z33" s="222" ph="1">
        <f>T19+U19+Y28+Z10</f>
        <v>431115.80988834007</v>
      </c>
      <c r="AA33" s="224" ph="1">
        <f>BE19</f>
        <v>1440</v>
      </c>
      <c r="AB33" s="226" ph="1">
        <f>I19</f>
        <v>17714.998539199998</v>
      </c>
      <c r="AC33" s="228" ph="1">
        <f>AD10+AB19</f>
        <v>86463.9116928</v>
      </c>
      <c r="AD33" s="230" ph="1">
        <v>0</v>
      </c>
      <c r="AE33" s="231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1" ph="1"/>
      <c r="C34" s="202" ph="1"/>
      <c r="D34" s="204" ph="1"/>
      <c r="E34" s="204" ph="1"/>
      <c r="F34" s="206" ph="1"/>
      <c r="G34" s="208" ph="1"/>
      <c r="H34" s="204" ph="1"/>
      <c r="I34" s="217" ph="1"/>
      <c r="J34" s="215" ph="1"/>
      <c r="K34" s="204" ph="1"/>
      <c r="L34" s="219" ph="1"/>
      <c r="M34" s="215" ph="1"/>
      <c r="N34" s="204" ph="1"/>
      <c r="O34" s="217" ph="1"/>
      <c r="P34" s="215" ph="1"/>
      <c r="Q34" s="204" ph="1"/>
      <c r="R34" s="217" ph="1"/>
      <c r="S34" s="215" ph="1"/>
      <c r="T34" s="204"/>
      <c r="U34" s="225"/>
      <c r="V34" s="236" ph="1"/>
      <c r="W34" s="236" ph="1"/>
      <c r="X34" s="217" ph="1"/>
      <c r="Y34" s="238" ph="1"/>
      <c r="Z34" s="223" ph="1"/>
      <c r="AA34" s="225" ph="1"/>
      <c r="AB34" s="227"/>
      <c r="AC34" s="229"/>
      <c r="AD34" s="232"/>
      <c r="AE34" s="233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4" t="s" ph="1">
        <v>631</v>
      </c>
      <c r="AD35" s="234"/>
      <c r="AE35" s="234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0" t="s" ph="1">
        <v>183</v>
      </c>
      <c r="J36" s="220" ph="1"/>
      <c r="K36" s="101" ph="1"/>
      <c r="P36" s="101" ph="1"/>
      <c r="R36" s="220" t="s" ph="1">
        <v>184</v>
      </c>
      <c r="S36" s="220" ph="1"/>
      <c r="Y36" s="102" ph="1"/>
      <c r="Z36" s="156" t="s" ph="1">
        <v>185</v>
      </c>
      <c r="AA36" s="156" ph="1"/>
      <c r="AB36" s="221" t="s" ph="1">
        <v>638</v>
      </c>
      <c r="AC36" s="221" ph="1"/>
      <c r="AD36" s="221" ph="1"/>
      <c r="AE36" s="221" ph="1"/>
      <c r="BA36" s="64" ph="1">
        <v>2270</v>
      </c>
    </row>
    <row r="37" spans="1:57" s="156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6" t="s" ph="1">
        <v>342</v>
      </c>
      <c r="AI37" s="156" t="s" ph="1">
        <v>209</v>
      </c>
      <c r="AJ37" s="156" t="s" ph="1">
        <v>210</v>
      </c>
      <c r="AK37" s="156" t="s" ph="1">
        <v>211</v>
      </c>
      <c r="AM37" s="156" t="s" ph="1">
        <v>210</v>
      </c>
      <c r="AN37" s="156" t="s" ph="1">
        <v>211</v>
      </c>
      <c r="AO37" s="156" t="s" ph="1">
        <v>212</v>
      </c>
      <c r="AP37" s="156" t="s" ph="1">
        <v>210</v>
      </c>
      <c r="AQ37" s="156" t="s" ph="1">
        <v>211</v>
      </c>
      <c r="AR37" s="156" t="s" ph="1">
        <v>212</v>
      </c>
      <c r="AS37" s="156" t="s" ph="1">
        <v>210</v>
      </c>
      <c r="AT37" s="156" t="s" ph="1">
        <v>211</v>
      </c>
      <c r="AU37" s="156" t="s" ph="1">
        <v>212</v>
      </c>
      <c r="AV37" s="156" t="s" ph="1">
        <v>210</v>
      </c>
      <c r="AW37" s="156" t="s" ph="1">
        <v>211</v>
      </c>
      <c r="AX37" s="156" t="s" ph="1">
        <v>212</v>
      </c>
      <c r="AY37" s="156" t="s" ph="1">
        <v>211</v>
      </c>
      <c r="AZ37" s="156" t="s" ph="1">
        <v>213</v>
      </c>
      <c r="BD37" s="156" t="s" ph="1">
        <v>305</v>
      </c>
      <c r="BE37" s="156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169" priority="100">
      <formula>ABS(D$7-D$10)&gt;=1000</formula>
    </cfRule>
  </conditionalFormatting>
  <conditionalFormatting sqref="E4 E6:E11">
    <cfRule type="expression" dxfId="1168" priority="99">
      <formula>ABS(E$7-E$10)&gt;=1000</formula>
    </cfRule>
  </conditionalFormatting>
  <conditionalFormatting sqref="F4:F11">
    <cfRule type="expression" dxfId="1167" priority="98">
      <formula>ABS(F$7-F$10)&gt;=1000</formula>
    </cfRule>
  </conditionalFormatting>
  <conditionalFormatting sqref="G4:G11">
    <cfRule type="expression" dxfId="1166" priority="97">
      <formula>ABS(G$7-G$10)&gt;=1000</formula>
    </cfRule>
  </conditionalFormatting>
  <conditionalFormatting sqref="H4:H11">
    <cfRule type="expression" dxfId="1165" priority="96">
      <formula>ABS(H$7-H$10)&gt;=1000</formula>
    </cfRule>
  </conditionalFormatting>
  <conditionalFormatting sqref="I4:I11">
    <cfRule type="expression" dxfId="1164" priority="95">
      <formula>ABS(I$7-I$10)&gt;=1000</formula>
    </cfRule>
  </conditionalFormatting>
  <conditionalFormatting sqref="J4:J11">
    <cfRule type="expression" dxfId="1163" priority="94">
      <formula>ABS(J$7-J$10)&gt;=1000</formula>
    </cfRule>
  </conditionalFormatting>
  <conditionalFormatting sqref="K4:K11">
    <cfRule type="expression" dxfId="1162" priority="93">
      <formula>ABS(K$7-K$10)&gt;=1000</formula>
    </cfRule>
  </conditionalFormatting>
  <conditionalFormatting sqref="L4:L11">
    <cfRule type="expression" dxfId="1161" priority="92">
      <formula>ABS(L$7-L$10)&gt;=1000</formula>
    </cfRule>
  </conditionalFormatting>
  <conditionalFormatting sqref="M4 M6:M11">
    <cfRule type="expression" dxfId="1160" priority="91">
      <formula>ABS(M$7-M$10)&gt;=1000</formula>
    </cfRule>
  </conditionalFormatting>
  <conditionalFormatting sqref="N4 N6:N11">
    <cfRule type="expression" dxfId="1159" priority="90">
      <formula>ABS(N$7-N$10)&gt;=1000</formula>
    </cfRule>
  </conditionalFormatting>
  <conditionalFormatting sqref="O4 O6:O11">
    <cfRule type="expression" dxfId="1158" priority="89">
      <formula>ABS(O$7-O$10)&gt;=1000</formula>
    </cfRule>
  </conditionalFormatting>
  <conditionalFormatting sqref="P4 P6:P11">
    <cfRule type="expression" dxfId="1157" priority="88">
      <formula>ABS(P$7-P$10)&gt;=1000</formula>
    </cfRule>
  </conditionalFormatting>
  <conditionalFormatting sqref="Q4:Q11">
    <cfRule type="expression" dxfId="1156" priority="87">
      <formula>ABS(Q$7-Q$10)&gt;=1000</formula>
    </cfRule>
  </conditionalFormatting>
  <conditionalFormatting sqref="R4:R11">
    <cfRule type="expression" dxfId="1155" priority="86">
      <formula>ABS(R$7-R$10)&gt;=1000</formula>
    </cfRule>
  </conditionalFormatting>
  <conditionalFormatting sqref="S4:S11">
    <cfRule type="expression" dxfId="1154" priority="85">
      <formula>ABS(S$7-S$10)&gt;=1000</formula>
    </cfRule>
  </conditionalFormatting>
  <conditionalFormatting sqref="T4:T9 T11">
    <cfRule type="expression" dxfId="1153" priority="84">
      <formula>ABS(T$7-T$10)&gt;=1000</formula>
    </cfRule>
  </conditionalFormatting>
  <conditionalFormatting sqref="U4:U9 U11">
    <cfRule type="expression" dxfId="1152" priority="83">
      <formula>ABS(U$7-U$10)&gt;=1000</formula>
    </cfRule>
  </conditionalFormatting>
  <conditionalFormatting sqref="V4:V9 V11">
    <cfRule type="expression" dxfId="1151" priority="82">
      <formula>ABS(V$7-V$10)&gt;=1000</formula>
    </cfRule>
  </conditionalFormatting>
  <conditionalFormatting sqref="W4:W9 W11">
    <cfRule type="expression" dxfId="1150" priority="81">
      <formula>ABS(W$7-W$10)&gt;=1000</formula>
    </cfRule>
  </conditionalFormatting>
  <conditionalFormatting sqref="X4:X9 X11">
    <cfRule type="expression" dxfId="1149" priority="80">
      <formula>ABS(X$7-X$10)&gt;=1000</formula>
    </cfRule>
  </conditionalFormatting>
  <conditionalFormatting sqref="Y4:Y9 Y11">
    <cfRule type="expression" dxfId="1148" priority="79">
      <formula>ABS(Y$7-Y$10)&gt;=1000</formula>
    </cfRule>
  </conditionalFormatting>
  <conditionalFormatting sqref="Z4:Z11">
    <cfRule type="expression" dxfId="1147" priority="78">
      <formula>ABS(Z$7-Z$10)&gt;=1000</formula>
    </cfRule>
  </conditionalFormatting>
  <conditionalFormatting sqref="AA4:AA11">
    <cfRule type="expression" dxfId="1146" priority="77">
      <formula>ABS(AA$7-AA$10)&gt;=1000</formula>
    </cfRule>
  </conditionalFormatting>
  <conditionalFormatting sqref="AB4:AB11">
    <cfRule type="expression" dxfId="1145" priority="76">
      <formula>ABS(AB$7-AB$10)&gt;=1000</formula>
    </cfRule>
  </conditionalFormatting>
  <conditionalFormatting sqref="AC4 AC6:AC11">
    <cfRule type="expression" dxfId="1144" priority="75">
      <formula>ABS(AC$7-AC$10)&gt;=1000</formula>
    </cfRule>
  </conditionalFormatting>
  <conditionalFormatting sqref="AD4 AD6:AD11">
    <cfRule type="expression" dxfId="1143" priority="74">
      <formula>ABS(AD$7-AD$10)&gt;=1000</formula>
    </cfRule>
  </conditionalFormatting>
  <conditionalFormatting sqref="AE4 AE6:AE11">
    <cfRule type="expression" dxfId="1142" priority="73">
      <formula>ABS(AE$7-AE$10)&gt;=1000</formula>
    </cfRule>
  </conditionalFormatting>
  <conditionalFormatting sqref="D13:D20">
    <cfRule type="expression" dxfId="1141" priority="72">
      <formula>ABS(D$16-D$19)&gt;=1000</formula>
    </cfRule>
  </conditionalFormatting>
  <conditionalFormatting sqref="E13:E20">
    <cfRule type="expression" dxfId="1140" priority="71">
      <formula>ABS(E$16-E$19)&gt;=1000</formula>
    </cfRule>
  </conditionalFormatting>
  <conditionalFormatting sqref="F13 F15:F20">
    <cfRule type="expression" dxfId="1139" priority="70">
      <formula>ABS(F$16-F$19)&gt;=1000</formula>
    </cfRule>
  </conditionalFormatting>
  <conditionalFormatting sqref="G13:G20">
    <cfRule type="expression" dxfId="1138" priority="69">
      <formula>ABS(G$16-G$19)&gt;=1000</formula>
    </cfRule>
  </conditionalFormatting>
  <conditionalFormatting sqref="H13 H15:H20">
    <cfRule type="expression" dxfId="1137" priority="68">
      <formula>ABS(H$16-H$19)&gt;=1000</formula>
    </cfRule>
  </conditionalFormatting>
  <conditionalFormatting sqref="I13:I20">
    <cfRule type="expression" dxfId="1136" priority="67">
      <formula>ABS(I$16-I$19)&gt;=1000</formula>
    </cfRule>
  </conditionalFormatting>
  <conditionalFormatting sqref="J13:J20">
    <cfRule type="expression" dxfId="1135" priority="66">
      <formula>ABS(J$16-J$19)&gt;=1000</formula>
    </cfRule>
  </conditionalFormatting>
  <conditionalFormatting sqref="L13:L20">
    <cfRule type="expression" dxfId="1134" priority="65">
      <formula>ABS(L$16-L$19)&gt;=1000</formula>
    </cfRule>
  </conditionalFormatting>
  <conditionalFormatting sqref="M13 M15 M17:M18 M20">
    <cfRule type="expression" dxfId="1133" priority="64">
      <formula>ABS(M$16-M$19)&gt;=1000</formula>
    </cfRule>
  </conditionalFormatting>
  <conditionalFormatting sqref="N13:N20">
    <cfRule type="expression" dxfId="1132" priority="63">
      <formula>ABS(N$16-N$19)&gt;=1000</formula>
    </cfRule>
  </conditionalFormatting>
  <conditionalFormatting sqref="O13:O20">
    <cfRule type="expression" dxfId="1131" priority="62">
      <formula>ABS(O$16-O$19)&gt;=1000</formula>
    </cfRule>
  </conditionalFormatting>
  <conditionalFormatting sqref="P13:P20">
    <cfRule type="expression" dxfId="1130" priority="61">
      <formula>ABS(P$16-P$19)&gt;=1000</formula>
    </cfRule>
  </conditionalFormatting>
  <conditionalFormatting sqref="Q13 Q15:Q20">
    <cfRule type="expression" dxfId="1129" priority="60">
      <formula>ABS(Q$16-Q$19)&gt;=1000</formula>
    </cfRule>
  </conditionalFormatting>
  <conditionalFormatting sqref="R13:R20">
    <cfRule type="expression" dxfId="1128" priority="59">
      <formula>ABS(R$16-R$19)&gt;=1000</formula>
    </cfRule>
  </conditionalFormatting>
  <conditionalFormatting sqref="S13:S20">
    <cfRule type="expression" dxfId="1127" priority="58">
      <formula>ABS(S$16-S$19)&gt;=1000</formula>
    </cfRule>
  </conditionalFormatting>
  <conditionalFormatting sqref="T13:T20">
    <cfRule type="expression" dxfId="1126" priority="57">
      <formula>ABS(T$16-T$19)&gt;=1000</formula>
    </cfRule>
  </conditionalFormatting>
  <conditionalFormatting sqref="U13:U20">
    <cfRule type="expression" dxfId="1125" priority="56">
      <formula>ABS(U$16-U$19)&gt;=1000</formula>
    </cfRule>
  </conditionalFormatting>
  <conditionalFormatting sqref="V13:V20">
    <cfRule type="expression" dxfId="1124" priority="55">
      <formula>ABS(V$16-V$19)&gt;=1000</formula>
    </cfRule>
  </conditionalFormatting>
  <conditionalFormatting sqref="W13 W20 W15:W18">
    <cfRule type="expression" dxfId="1123" priority="54">
      <formula>ABS(W$16-W$19)&gt;=1000</formula>
    </cfRule>
  </conditionalFormatting>
  <conditionalFormatting sqref="X13 X15:X20 Y19">
    <cfRule type="expression" dxfId="1122" priority="53">
      <formula>ABS(X$16-X$19)&gt;=1000</formula>
    </cfRule>
  </conditionalFormatting>
  <conditionalFormatting sqref="Y13 Y15:Y18 Y20">
    <cfRule type="expression" dxfId="1121" priority="52">
      <formula>ABS(Y$16-Y$19)&gt;=1000</formula>
    </cfRule>
  </conditionalFormatting>
  <conditionalFormatting sqref="Z13:Z20">
    <cfRule type="expression" dxfId="1120" priority="51">
      <formula>ABS(Z$16-Z$19)&gt;=1000</formula>
    </cfRule>
  </conditionalFormatting>
  <conditionalFormatting sqref="AA13:AA20">
    <cfRule type="expression" dxfId="1119" priority="50">
      <formula>ABS(AA$16-AA$19)&gt;=1000</formula>
    </cfRule>
  </conditionalFormatting>
  <conditionalFormatting sqref="AB13 AB15:AB20">
    <cfRule type="expression" dxfId="1118" priority="49">
      <formula>ABS(AB$16-AB$19)&gt;=1000</formula>
    </cfRule>
  </conditionalFormatting>
  <conditionalFormatting sqref="AC13 AC15:AC20">
    <cfRule type="expression" dxfId="1117" priority="48">
      <formula>ABS(AC$16-AC$19)&gt;=1000</formula>
    </cfRule>
  </conditionalFormatting>
  <conditionalFormatting sqref="AD13:AD20">
    <cfRule type="expression" dxfId="1116" priority="47">
      <formula>ABS(AD$16-AD$19)&gt;=1000</formula>
    </cfRule>
  </conditionalFormatting>
  <conditionalFormatting sqref="AE13:AE20">
    <cfRule type="expression" dxfId="1115" priority="46">
      <formula>ABS(AE$16-AE$19)&gt;=1000</formula>
    </cfRule>
  </conditionalFormatting>
  <conditionalFormatting sqref="D22:D29">
    <cfRule type="expression" dxfId="1114" priority="45">
      <formula>ABS(D$25-D$28)&gt;=1000</formula>
    </cfRule>
  </conditionalFormatting>
  <conditionalFormatting sqref="E22:E29">
    <cfRule type="expression" dxfId="1113" priority="44">
      <formula>ABS(E$25-E$28)&gt;=1000</formula>
    </cfRule>
  </conditionalFormatting>
  <conditionalFormatting sqref="F22:F29">
    <cfRule type="expression" dxfId="1112" priority="43">
      <formula>ABS(F$25-F$28)&gt;=1000</formula>
    </cfRule>
  </conditionalFormatting>
  <conditionalFormatting sqref="G22:G29">
    <cfRule type="expression" dxfId="1111" priority="42">
      <formula>ABS(G$25-G$28)&gt;=1000</formula>
    </cfRule>
  </conditionalFormatting>
  <conditionalFormatting sqref="H22:H29">
    <cfRule type="expression" dxfId="1110" priority="41">
      <formula>ABS(H$25-H$28)&gt;=1000</formula>
    </cfRule>
  </conditionalFormatting>
  <conditionalFormatting sqref="I22 I24:I29">
    <cfRule type="expression" dxfId="1109" priority="40">
      <formula>ABS(I$25-I$28)&gt;=1000</formula>
    </cfRule>
  </conditionalFormatting>
  <conditionalFormatting sqref="J22:J29 K22">
    <cfRule type="expression" dxfId="1108" priority="39">
      <formula>ABS(J$25-J$28)&gt;=1000</formula>
    </cfRule>
  </conditionalFormatting>
  <conditionalFormatting sqref="K23:K29 L25 L28">
    <cfRule type="expression" dxfId="1107" priority="38">
      <formula>ABS(K$25-K$28)&gt;=1000</formula>
    </cfRule>
  </conditionalFormatting>
  <conditionalFormatting sqref="L22 L26:L27 L29 L24">
    <cfRule type="expression" dxfId="1106" priority="37">
      <formula>ABS(L$25-L$28)&gt;=1000</formula>
    </cfRule>
  </conditionalFormatting>
  <conditionalFormatting sqref="M22:M29">
    <cfRule type="expression" dxfId="1105" priority="36">
      <formula>ABS(M$25-M$28)&gt;=1000</formula>
    </cfRule>
  </conditionalFormatting>
  <conditionalFormatting sqref="N22:N29">
    <cfRule type="expression" dxfId="1104" priority="35">
      <formula>ABS(N$25-N$28)&gt;=1000</formula>
    </cfRule>
  </conditionalFormatting>
  <conditionalFormatting sqref="O22:O29">
    <cfRule type="expression" dxfId="1103" priority="34">
      <formula>ABS(O$25-O$28)&gt;=1000</formula>
    </cfRule>
  </conditionalFormatting>
  <conditionalFormatting sqref="P22:P29">
    <cfRule type="expression" dxfId="1102" priority="33">
      <formula>ABS(P$25-P$28)&gt;=1000</formula>
    </cfRule>
  </conditionalFormatting>
  <conditionalFormatting sqref="Q22:Q29">
    <cfRule type="expression" dxfId="1101" priority="32">
      <formula>ABS(Q$25-Q$28)&gt;=1000</formula>
    </cfRule>
  </conditionalFormatting>
  <conditionalFormatting sqref="R22:R29">
    <cfRule type="expression" dxfId="1100" priority="31">
      <formula>ABS(R$25-R$28)&gt;=1000</formula>
    </cfRule>
  </conditionalFormatting>
  <conditionalFormatting sqref="S22:S29">
    <cfRule type="expression" dxfId="1099" priority="30">
      <formula>ABS(S$25-S$28)&gt;=1000</formula>
    </cfRule>
  </conditionalFormatting>
  <conditionalFormatting sqref="T22:T29">
    <cfRule type="expression" dxfId="1098" priority="29">
      <formula>ABS(T$25-T$28)&gt;=1000</formula>
    </cfRule>
  </conditionalFormatting>
  <conditionalFormatting sqref="U22:U29">
    <cfRule type="expression" dxfId="1097" priority="28">
      <formula>ABS(U$25-U$28)&gt;=1000</formula>
    </cfRule>
  </conditionalFormatting>
  <conditionalFormatting sqref="V22:V29">
    <cfRule type="expression" dxfId="1096" priority="27">
      <formula>ABS(V$25-V$28)&gt;=1000</formula>
    </cfRule>
  </conditionalFormatting>
  <conditionalFormatting sqref="W22:W29">
    <cfRule type="expression" dxfId="1095" priority="26">
      <formula>ABS(W$25-W$28)&gt;=1000</formula>
    </cfRule>
  </conditionalFormatting>
  <conditionalFormatting sqref="X22:X29">
    <cfRule type="expression" dxfId="1094" priority="25">
      <formula>ABS(X$25-X$28)&gt;=1000</formula>
    </cfRule>
  </conditionalFormatting>
  <conditionalFormatting sqref="Y22:Y29">
    <cfRule type="expression" dxfId="1093" priority="24">
      <formula>ABS(Y$25-Y$28)&gt;=1000</formula>
    </cfRule>
  </conditionalFormatting>
  <conditionalFormatting sqref="I23">
    <cfRule type="expression" dxfId="1092" priority="23">
      <formula>ABS(I$25-I$28)&gt;=1000</formula>
    </cfRule>
  </conditionalFormatting>
  <conditionalFormatting sqref="Q14">
    <cfRule type="expression" dxfId="1091" priority="22">
      <formula>ABS(Q$16-Q$19)&gt;=1000</formula>
    </cfRule>
  </conditionalFormatting>
  <conditionalFormatting sqref="W14">
    <cfRule type="expression" dxfId="1090" priority="21">
      <formula>ABS(W$16-W$19)&gt;=1000</formula>
    </cfRule>
  </conditionalFormatting>
  <conditionalFormatting sqref="X14">
    <cfRule type="expression" dxfId="1089" priority="20">
      <formula>ABS(X$16-X$19)&gt;=1000</formula>
    </cfRule>
  </conditionalFormatting>
  <conditionalFormatting sqref="T10:Y10">
    <cfRule type="expression" dxfId="1088" priority="19">
      <formula>ABS(T$7-T$10)&gt;=1000</formula>
    </cfRule>
  </conditionalFormatting>
  <conditionalFormatting sqref="W19">
    <cfRule type="expression" dxfId="1087" priority="18">
      <formula>ABS(W$16-W$19)&gt;=1000</formula>
    </cfRule>
  </conditionalFormatting>
  <conditionalFormatting sqref="AC5">
    <cfRule type="expression" dxfId="1086" priority="17">
      <formula>ABS(AC$7-AC$10)&gt;=1000</formula>
    </cfRule>
  </conditionalFormatting>
  <conditionalFormatting sqref="M14">
    <cfRule type="expression" dxfId="1085" priority="16">
      <formula>ABS(M$16-M$19)&gt;=1000</formula>
    </cfRule>
  </conditionalFormatting>
  <conditionalFormatting sqref="M16">
    <cfRule type="expression" dxfId="1084" priority="15">
      <formula>ABS(M$16-M$19)&gt;=1000</formula>
    </cfRule>
  </conditionalFormatting>
  <conditionalFormatting sqref="M19">
    <cfRule type="expression" dxfId="1083" priority="14">
      <formula>ABS(M$16-M$19)&gt;=1000</formula>
    </cfRule>
  </conditionalFormatting>
  <conditionalFormatting sqref="K13:K20">
    <cfRule type="expression" dxfId="1082" priority="13">
      <formula>ABS(K$16-K$19)&gt;=1000</formula>
    </cfRule>
  </conditionalFormatting>
  <conditionalFormatting sqref="E5">
    <cfRule type="expression" dxfId="1081" priority="12">
      <formula>ABS(E$7-E$10)&gt;=1000</formula>
    </cfRule>
  </conditionalFormatting>
  <conditionalFormatting sqref="AB14:AC14">
    <cfRule type="expression" dxfId="1080" priority="11">
      <formula>ABS(AB$16-AB$19)&gt;=1000</formula>
    </cfRule>
  </conditionalFormatting>
  <conditionalFormatting sqref="M5">
    <cfRule type="expression" dxfId="1079" priority="10">
      <formula>ABS(M$7-M$10)&gt;=1000</formula>
    </cfRule>
  </conditionalFormatting>
  <conditionalFormatting sqref="N5">
    <cfRule type="expression" dxfId="1078" priority="9">
      <formula>ABS(N$7-N$10)&gt;=1000</formula>
    </cfRule>
  </conditionalFormatting>
  <conditionalFormatting sqref="O5">
    <cfRule type="expression" dxfId="1077" priority="8">
      <formula>ABS(O$7-O$10)&gt;=1000</formula>
    </cfRule>
  </conditionalFormatting>
  <conditionalFormatting sqref="P5">
    <cfRule type="expression" dxfId="1076" priority="7">
      <formula>ABS(P$7-P$10)&gt;=1000</formula>
    </cfRule>
  </conditionalFormatting>
  <conditionalFormatting sqref="L23">
    <cfRule type="expression" dxfId="1075" priority="6">
      <formula>ABS(L$25-L$28)&gt;=1000</formula>
    </cfRule>
  </conditionalFormatting>
  <conditionalFormatting sqref="Y14">
    <cfRule type="expression" dxfId="1074" priority="5">
      <formula>ABS(Y$16-Y$19)&gt;=1000</formula>
    </cfRule>
  </conditionalFormatting>
  <conditionalFormatting sqref="F14">
    <cfRule type="expression" dxfId="1073" priority="4">
      <formula>ABS(F$16-F$19)&gt;=1000</formula>
    </cfRule>
  </conditionalFormatting>
  <conditionalFormatting sqref="H14">
    <cfRule type="expression" dxfId="1072" priority="3">
      <formula>ABS(H$16-H$19)&gt;=1000</formula>
    </cfRule>
  </conditionalFormatting>
  <conditionalFormatting sqref="AD5">
    <cfRule type="expression" dxfId="1071" priority="2">
      <formula>ABS(AD$7-AD$10)&gt;=1000</formula>
    </cfRule>
  </conditionalFormatting>
  <conditionalFormatting sqref="AE5">
    <cfRule type="expression" dxfId="107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2931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71">
    <pageSetUpPr fitToPage="1"/>
  </sheetPr>
  <dimension ref="A1:CU223"/>
  <sheetViews>
    <sheetView view="pageBreakPreview" zoomScale="70" zoomScaleNormal="100" zoomScaleSheetLayoutView="70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2" t="s" ph="1">
        <v>161</v>
      </c>
      <c r="C1" s="182" ph="1"/>
      <c r="D1" s="182" ph="1"/>
      <c r="E1" s="182" ph="1"/>
      <c r="F1" s="182" ph="1"/>
      <c r="G1" s="182" ph="1"/>
      <c r="H1" s="182" ph="1"/>
      <c r="I1" s="182" ph="1"/>
      <c r="J1" s="182" ph="1"/>
      <c r="K1" s="182" ph="1"/>
      <c r="L1" s="182" ph="1"/>
      <c r="M1" s="182" ph="1"/>
      <c r="N1" s="182" ph="1"/>
      <c r="O1" s="182" ph="1"/>
      <c r="P1" s="182" ph="1"/>
      <c r="Q1" s="182" ph="1"/>
      <c r="R1" s="182" ph="1"/>
      <c r="S1" s="182" ph="1"/>
      <c r="T1" s="182" ph="1"/>
      <c r="U1" s="182" ph="1"/>
      <c r="V1" s="182" ph="1"/>
      <c r="W1" s="182" ph="1"/>
      <c r="X1" s="182" ph="1"/>
      <c r="Y1" s="182" ph="1"/>
      <c r="Z1" s="182" ph="1"/>
      <c r="AA1" s="182" ph="1"/>
      <c r="AB1" s="182" ph="1"/>
      <c r="AC1" s="182" ph="1"/>
      <c r="AD1" s="182" ph="1"/>
      <c r="AE1" s="182" ph="1"/>
    </row>
    <row r="2" spans="1:99" s="66" customFormat="1" ht="24" customHeight="1" ph="1">
      <c r="B2" s="183" t="s" ph="1">
        <v>82</v>
      </c>
      <c r="C2" s="183" ph="1"/>
      <c r="D2" s="183" ph="1"/>
      <c r="E2" s="183" ph="1"/>
      <c r="F2" s="183" ph="1"/>
      <c r="G2" s="183" ph="1"/>
      <c r="H2" s="183" ph="1"/>
      <c r="I2" s="183" ph="1"/>
      <c r="J2" s="183" ph="1"/>
      <c r="K2" s="183" ph="1"/>
      <c r="L2" s="183" ph="1"/>
      <c r="M2" s="183" ph="1"/>
      <c r="N2" s="183" ph="1"/>
      <c r="O2" s="183" ph="1"/>
      <c r="P2" s="183" ph="1"/>
      <c r="Q2" s="183" ph="1"/>
      <c r="R2" s="183" ph="1"/>
      <c r="S2" s="183" ph="1"/>
      <c r="T2" s="183" ph="1"/>
      <c r="U2" s="183" ph="1"/>
      <c r="V2" s="183" ph="1"/>
      <c r="W2" s="183" ph="1"/>
      <c r="X2" s="183" ph="1"/>
      <c r="Y2" s="183" ph="1"/>
      <c r="Z2" s="183" ph="1"/>
      <c r="AA2" s="183" ph="1"/>
      <c r="AB2" s="183" ph="1"/>
      <c r="AC2" s="183" ph="1"/>
      <c r="AD2" s="183" ph="1"/>
      <c r="AE2" s="183" ph="1"/>
    </row>
    <row r="3" spans="1:99" ht="21" customHeight="1" ph="1">
      <c r="B3" s="184" ph="1">
        <v>46133</v>
      </c>
      <c r="C3" s="184"/>
      <c r="D3" s="184"/>
      <c r="E3" s="184"/>
      <c r="F3" s="184"/>
      <c r="G3" s="184"/>
      <c r="H3" s="184"/>
      <c r="I3" s="184"/>
      <c r="J3" s="184"/>
      <c r="K3" s="184"/>
      <c r="L3" s="184"/>
      <c r="M3" s="184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</row>
    <row r="4" spans="1:99" s="69" customFormat="1" ph="1">
      <c r="A4" s="65" ph="1"/>
      <c r="B4" s="185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5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1" ph="1">
        <v>0.33333333333333331</v>
      </c>
      <c r="C6" s="159" t="s" ph="1">
        <v>177</v>
      </c>
      <c r="D6" s="71">
        <v>1295</v>
      </c>
      <c r="E6" s="71">
        <v>7408</v>
      </c>
      <c r="F6" s="71">
        <v>5834</v>
      </c>
      <c r="G6" s="71">
        <v>7545</v>
      </c>
      <c r="H6" s="71">
        <v>5767</v>
      </c>
      <c r="I6" s="71">
        <v>10.19</v>
      </c>
      <c r="J6" s="71">
        <v>6.31</v>
      </c>
      <c r="K6" s="71">
        <v>7.44</v>
      </c>
      <c r="L6" s="71">
        <v>74.67</v>
      </c>
      <c r="M6" s="71">
        <v>489</v>
      </c>
      <c r="N6" s="71">
        <v>3722</v>
      </c>
      <c r="O6" s="71">
        <v>5105</v>
      </c>
      <c r="P6" s="71">
        <v>1406</v>
      </c>
      <c r="Q6" s="71">
        <v>6733</v>
      </c>
      <c r="R6" s="71">
        <v>2835</v>
      </c>
      <c r="S6" s="71">
        <v>3207</v>
      </c>
      <c r="T6" s="71">
        <v>1889</v>
      </c>
      <c r="U6" s="71">
        <v>0</v>
      </c>
      <c r="V6" s="71">
        <v>2347</v>
      </c>
      <c r="W6" s="71">
        <v>0</v>
      </c>
      <c r="X6" s="71">
        <v>3261</v>
      </c>
      <c r="Y6" s="71">
        <v>6598</v>
      </c>
      <c r="Z6" s="71">
        <v>3470</v>
      </c>
      <c r="AA6" s="71">
        <v>4216</v>
      </c>
      <c r="AB6" s="71">
        <v>1274</v>
      </c>
      <c r="AC6" s="71">
        <v>8519</v>
      </c>
      <c r="AD6" s="71">
        <v>2810</v>
      </c>
      <c r="AE6" s="71">
        <v>4288</v>
      </c>
    </row>
    <row r="7" spans="1:99" s="72" customFormat="1" ht="22.2" ph="1">
      <c r="B7" s="181" ph="1"/>
      <c r="C7" s="68" t="s" ph="1">
        <v>178</v>
      </c>
      <c r="D7" s="73" ph="1">
        <f>D6*33.183*LOOKUP(D8,密度!$A$2:$A$50,密度!$Q$2:$Q$50)</f>
        <v>40504.533621299997</v>
      </c>
      <c r="E7" s="73" ph="1">
        <f>E6*51.53*LOOKUP(E8,密度!$A$2:$A$50,密度!$B$2:$B$50)</f>
        <v>297600.01350399997</v>
      </c>
      <c r="F7" s="73" ph="1">
        <f>F6*33.183*LOOKUP(F8,密度!$A$2:$A$50,密度!$C$2:$C$50)</f>
        <v>214807.04457119998</v>
      </c>
      <c r="G7" s="73" ph="1">
        <f xml:space="preserve"> (G6+2)*51.53*LOOKUP(G8,密度!$A$2:$A$50,密度!$B$2:$B$50)</f>
        <v>303184.031036</v>
      </c>
      <c r="H7" s="73" ph="1">
        <f>(H6)*51.53*LOOKUP(H8,密度!$A$2:$A$50,密度!$B$2:$B$50)</f>
        <v>232746.29303200002</v>
      </c>
      <c r="I7" s="73" ph="1">
        <f>I6*290.8*1.0267</f>
        <v>3042.3708283999999</v>
      </c>
      <c r="J7" s="73" ph="1">
        <f>J6*290.8*0.7892</f>
        <v>1448.1409615999999</v>
      </c>
      <c r="K7" s="73" ph="1">
        <f>K6*290.8*1.1126</f>
        <v>2407.1679552000001</v>
      </c>
      <c r="L7" s="73" ph="1">
        <f>L6*290.8*0.777</f>
        <v>16871.805972000002</v>
      </c>
      <c r="M7" s="73" ph="1">
        <f>M6*33.183*LOOKUP(M8,密度!$A$2:$A$50,密度!$D$2:$D$50)</f>
        <v>16659.734202899999</v>
      </c>
      <c r="N7" s="73" ph="1">
        <f>N6*33.183*LOOKUP(N8,密度!$A$2:$A$50,密度!$E$2:$E$50)</f>
        <v>96459.065406000009</v>
      </c>
      <c r="O7" s="73" ph="1">
        <f>O6*20.428*LOOKUP(O8,密度!$A$2:$A$50,密度!$C$2:$C$50)</f>
        <v>115245.287194</v>
      </c>
      <c r="P7" s="73" ph="1">
        <f>P6*51.53*LOOKUP(P8,密度!$A$2:$A$50,密度!$B$2:$B$50)</f>
        <v>56613.352052000002</v>
      </c>
      <c r="Q7" s="73" ph="1">
        <f>Q6*1.5*1.5*3.1416*LOOKUP(W8,密度!$A$2:$A$50,密度!$L$2:$L$50)</f>
        <v>44642.125004399997</v>
      </c>
      <c r="R7" s="73" ph="1">
        <f>R6*1.5*1.5*3.1416*LOOKUP(R8,密度!$A$2:$A$50,密度!$L$2:$L$50)</f>
        <v>18696.835773000003</v>
      </c>
      <c r="S7" s="73" ph="1">
        <f>S6*1.5*1.5*3.1416*LOOKUP(S8,密度!$A$2:$A$50,密度!$L$2:$L$50)</f>
        <v>21331.529188199998</v>
      </c>
      <c r="T7" s="73" ph="1">
        <f>T6*1.5*1.5*3.1416*LOOKUP(T8,密度!$A$2:$A$50,密度!$L$2:$L$50)</f>
        <v>12564.782861399999</v>
      </c>
      <c r="U7" s="73" ph="1">
        <f>U6*1.5*1.5*3.1416*LOOKUP(U8,密度!$A$2:$A$50,密度!$L$2:$L$50)</f>
        <v>0</v>
      </c>
      <c r="V7" s="73" ph="1">
        <f>V6*1.5*1.5*3.1416*LOOKUP(V8,密度!$A$2:$A$50,密度!$L$2:$L$50)</f>
        <v>15511.653927000001</v>
      </c>
      <c r="W7" s="73" ph="1">
        <f>W6*1.5*1.5*3.1416*LOOKUP(W8,密度!$A$2:$A$50,密度!$L$2:$L$50)</f>
        <v>0</v>
      </c>
      <c r="X7" s="73" ph="1">
        <f>X6*1.5*1.5*3.1416*LOOKUP(X8,密度!$A$2:$A$50,密度!$L$2:$L$50)</f>
        <v>21805.966551599999</v>
      </c>
      <c r="Y7" s="73" ph="1">
        <f>Y6*1.5*1.5*3.1416*LOOKUP(Y8,密度!$A$2:$A$50,密度!$L$2:$L$50)</f>
        <v>43700.389563600002</v>
      </c>
      <c r="Z7" s="73" ph="1">
        <f>Z6*33.183*LOOKUP(Z8,密度!$A$2:$A$50,密度!$L$2:$L$50)</f>
        <v>108236.30939999998</v>
      </c>
      <c r="AA7" s="73" ph="1">
        <f>AA6*33.183*LOOKUP(AA8,密度!$A$2:$A$50,密度!$D$2:$D$50)</f>
        <v>143760.7549728</v>
      </c>
      <c r="AB7" s="73" ph="1">
        <f>AB6*20.428*LOOKUP(AB8,密度!$A$2:$A$50,密度!$D$2:$D$50)</f>
        <v>26863.285758400001</v>
      </c>
      <c r="AC7" s="73" ph="1">
        <f>AC6*51.53*LOOKUP(AC8,密度!$A$2:$A$50,密度!$Q$2:$Q$50)</f>
        <v>416635.39099629998</v>
      </c>
      <c r="AD7" s="73" ph="1">
        <f>AD6*20.428*LOOKUP(AD8,密度!$A$2:$A$50,密度!$V$2:$V$50)</f>
        <v>55152.494943999998</v>
      </c>
      <c r="AE7" s="73" ph="1">
        <f>AE6*20.428</f>
        <v>87595.26400000001</v>
      </c>
    </row>
    <row r="8" spans="1:99" ph="1">
      <c r="B8" s="181" ph="1"/>
      <c r="C8" s="68" t="s" ph="1">
        <v>179</v>
      </c>
      <c r="D8" s="74">
        <v>31</v>
      </c>
      <c r="E8" s="74">
        <v>25</v>
      </c>
      <c r="F8" s="74">
        <v>24</v>
      </c>
      <c r="G8" s="74">
        <v>25</v>
      </c>
      <c r="H8" s="74">
        <v>21</v>
      </c>
      <c r="I8" s="74">
        <v>25</v>
      </c>
      <c r="J8" s="74">
        <v>25</v>
      </c>
      <c r="K8" s="74">
        <v>25</v>
      </c>
      <c r="L8" s="74">
        <v>25</v>
      </c>
      <c r="M8" s="74">
        <v>25</v>
      </c>
      <c r="N8" s="74">
        <v>27</v>
      </c>
      <c r="O8" s="74">
        <v>30</v>
      </c>
      <c r="P8" s="74">
        <v>23</v>
      </c>
      <c r="Q8" s="74">
        <v>27</v>
      </c>
      <c r="R8" s="74">
        <v>29</v>
      </c>
      <c r="S8" s="74">
        <v>21</v>
      </c>
      <c r="T8" s="74">
        <v>21</v>
      </c>
      <c r="U8" s="74">
        <v>24</v>
      </c>
      <c r="V8" s="74">
        <v>27</v>
      </c>
      <c r="W8" s="74">
        <v>24</v>
      </c>
      <c r="X8" s="74">
        <v>16</v>
      </c>
      <c r="Y8" s="74">
        <v>25</v>
      </c>
      <c r="Z8" s="74">
        <v>22</v>
      </c>
      <c r="AA8" s="74">
        <v>24</v>
      </c>
      <c r="AB8" s="74">
        <v>19</v>
      </c>
      <c r="AC8" s="74">
        <v>22</v>
      </c>
      <c r="AD8" s="74">
        <v>25</v>
      </c>
      <c r="AE8" s="74">
        <v>27</v>
      </c>
    </row>
    <row r="9" spans="1:99" ht="26.4" ph="1">
      <c r="B9" s="181" ph="1">
        <v>0.66666666666666663</v>
      </c>
      <c r="C9" s="159" t="s" ph="1">
        <v>180</v>
      </c>
      <c r="D9" s="71">
        <v>1680</v>
      </c>
      <c r="E9" s="71">
        <v>7408</v>
      </c>
      <c r="F9" s="71">
        <v>5838</v>
      </c>
      <c r="G9" s="71">
        <v>8673</v>
      </c>
      <c r="H9" s="71">
        <v>5490</v>
      </c>
      <c r="I9" s="71">
        <v>10.17</v>
      </c>
      <c r="J9" s="71">
        <v>6.35</v>
      </c>
      <c r="K9" s="71">
        <v>63.22</v>
      </c>
      <c r="L9" s="71">
        <v>51.3</v>
      </c>
      <c r="M9" s="71">
        <v>487</v>
      </c>
      <c r="N9" s="71">
        <v>3656</v>
      </c>
      <c r="O9" s="71">
        <v>5107</v>
      </c>
      <c r="P9" s="71">
        <v>1399</v>
      </c>
      <c r="Q9" s="71">
        <v>6739</v>
      </c>
      <c r="R9" s="71">
        <v>5705</v>
      </c>
      <c r="S9" s="71">
        <v>5511</v>
      </c>
      <c r="T9" s="71">
        <v>3303</v>
      </c>
      <c r="U9" s="71">
        <v>613</v>
      </c>
      <c r="V9" s="71">
        <v>2348</v>
      </c>
      <c r="W9" s="71">
        <v>0</v>
      </c>
      <c r="X9" s="71">
        <v>0</v>
      </c>
      <c r="Y9" s="71">
        <v>5817</v>
      </c>
      <c r="Z9" s="71">
        <v>1980</v>
      </c>
      <c r="AA9" s="71">
        <v>4223</v>
      </c>
      <c r="AB9" s="71">
        <v>1118</v>
      </c>
      <c r="AC9" s="71">
        <v>8208</v>
      </c>
      <c r="AD9" s="71">
        <v>2810</v>
      </c>
      <c r="AE9" s="71">
        <v>4466</v>
      </c>
    </row>
    <row r="10" spans="1:99" s="72" customFormat="1" ht="22.2" ph="1">
      <c r="B10" s="181" ph="1"/>
      <c r="C10" s="159" t="s" ph="1">
        <v>178</v>
      </c>
      <c r="D10" s="73" ph="1">
        <f>D9*33.183*LOOKUP(D11,密度!$A$2:$A$50,密度!$Q$2:$Q$50)</f>
        <v>52508.513736000001</v>
      </c>
      <c r="E10" s="73" ph="1">
        <f>E9*51.53*LOOKUP(E11,密度!$A$2:$A$50,密度!$B$2:$B$50)</f>
        <v>295958.55627200002</v>
      </c>
      <c r="F10" s="73" ph="1">
        <f>F9*33.183*LOOKUP(F11,密度!$A$2:$A$50,密度!$C$2:$C$50)</f>
        <v>214818.71835059999</v>
      </c>
      <c r="G10" s="73" ph="1">
        <f xml:space="preserve"> (G9+2)*51.53*LOOKUP(G11,密度!$A$2:$A$50,密度!$B$2:$B$50)</f>
        <v>346979.05855000002</v>
      </c>
      <c r="H10" s="73" ph="1">
        <f>(H9)*51.53*LOOKUP(H11,密度!$A$2:$A$50,密度!$B$2:$B$50)</f>
        <v>219332.13741</v>
      </c>
      <c r="I10" s="73" ph="1">
        <f>I9*290.8*1.0267</f>
        <v>3036.3995411999999</v>
      </c>
      <c r="J10" s="73" ph="1">
        <f>J9*290.8*0.7892</f>
        <v>1457.3209360000001</v>
      </c>
      <c r="K10" s="73" ph="1">
        <f>K9*290.8*1.1126</f>
        <v>20454.456737600001</v>
      </c>
      <c r="L10" s="73" ph="1">
        <f>L9*290.8*0.777</f>
        <v>11591.317079999999</v>
      </c>
      <c r="M10" s="73" ph="1">
        <f>M9*33.183*LOOKUP(M11,密度!$A$2:$A$50,密度!$D$2:$D$50)</f>
        <v>16530.187770899996</v>
      </c>
      <c r="N10" s="73" ph="1">
        <f>N9*33.183*LOOKUP(N11,密度!$A$2:$A$50,密度!$E$2:$E$50)</f>
        <v>94603.034030399998</v>
      </c>
      <c r="O10" s="73" ph="1">
        <f>O9*20.428*LOOKUP(O11,密度!$A$2:$A$50,密度!$C$2:$C$50)</f>
        <v>114967.02719200001</v>
      </c>
      <c r="P10" s="73" ph="1">
        <f>P9*51.53*LOOKUP(P11,密度!$A$2:$A$50,密度!$B$2:$B$50)</f>
        <v>56079.176613000003</v>
      </c>
      <c r="Q10" s="73" ph="1">
        <f>Q9*1.5*1.5*3.1416*LOOKUP(W11,密度!$A$2:$A$50,密度!$L$2:$L$50)</f>
        <v>44157.918835800003</v>
      </c>
      <c r="R10" s="73" ph="1">
        <f>R9*1.5*1.5*3.1416*LOOKUP(R11,密度!$A$2:$A$50,密度!$L$2:$L$50)</f>
        <v>37503.517590000003</v>
      </c>
      <c r="S10" s="73" ph="1">
        <f>S9*1.5*1.5*3.1416*LOOKUP(S11,密度!$A$2:$A$50,密度!$L$2:$L$50)</f>
        <v>36578.796269399994</v>
      </c>
      <c r="T10" s="73" ph="1">
        <f>T9*1.5*1.5*3.1416*LOOKUP(T11,密度!$A$2:$A$50,密度!$L$2:$L$50)</f>
        <v>21946.730651999998</v>
      </c>
      <c r="U10" s="73" ph="1">
        <f>U9*1.5*1.5*3.1416*LOOKUP(U11,密度!$A$2:$A$50,密度!$L$2:$L$50)</f>
        <v>4038.4042776000006</v>
      </c>
      <c r="V10" s="73" ph="1">
        <f>V9*1.5*1.5*3.1416*LOOKUP(V11,密度!$A$2:$A$50,密度!$L$2:$L$50)</f>
        <v>15501.665995199999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38445.373197000001</v>
      </c>
      <c r="Z10" s="73" ph="1">
        <f>Z9*33.183*LOOKUP(Z11,密度!$A$2:$A$50,密度!$L$2:$L$50)</f>
        <v>61628.794919999993</v>
      </c>
      <c r="AA10" s="73" ph="1">
        <f>AA9*33.183*LOOKUP(AA11,密度!$A$2:$A$50,密度!$D$2:$D$50)</f>
        <v>143340.8274261</v>
      </c>
      <c r="AB10" s="73" ph="1">
        <f>AB9*20.428*LOOKUP(AB11,密度!$A$2:$A$50,密度!$D$2:$D$50)</f>
        <v>23512.239868000004</v>
      </c>
      <c r="AC10" s="73" ph="1">
        <f>AC9*51.53*LOOKUP(AC11,密度!$A$2:$A$50,密度!$Q$2:$Q$50)</f>
        <v>400131.18378720002</v>
      </c>
      <c r="AD10" s="73" ph="1">
        <f>AD9*20.428*LOOKUP(AD11,密度!$A$2:$A$50,密度!$V$2:$V$50)</f>
        <v>54968.806367999998</v>
      </c>
      <c r="AE10" s="73" ph="1">
        <f>AE9*20.428</f>
        <v>91231.448000000004</v>
      </c>
    </row>
    <row r="11" spans="1:99" ph="1">
      <c r="A11" s="64" t="s" ph="1">
        <v>162</v>
      </c>
      <c r="B11" s="181" ph="1"/>
      <c r="C11" s="159" t="s" ph="1">
        <v>179</v>
      </c>
      <c r="D11" s="74">
        <v>32</v>
      </c>
      <c r="E11" s="74">
        <v>30</v>
      </c>
      <c r="F11" s="74">
        <v>25</v>
      </c>
      <c r="G11" s="74">
        <v>29</v>
      </c>
      <c r="H11" s="74">
        <v>30</v>
      </c>
      <c r="I11" s="74">
        <v>25</v>
      </c>
      <c r="J11" s="74">
        <v>25</v>
      </c>
      <c r="K11" s="74">
        <v>25</v>
      </c>
      <c r="L11" s="74">
        <v>25</v>
      </c>
      <c r="M11" s="74">
        <v>29</v>
      </c>
      <c r="N11" s="74">
        <v>28</v>
      </c>
      <c r="O11" s="74">
        <v>33</v>
      </c>
      <c r="P11" s="74">
        <v>27</v>
      </c>
      <c r="Q11" s="74">
        <v>29</v>
      </c>
      <c r="R11" s="74">
        <v>32</v>
      </c>
      <c r="S11" s="74">
        <v>23</v>
      </c>
      <c r="T11" s="74">
        <v>22</v>
      </c>
      <c r="U11" s="74">
        <v>30</v>
      </c>
      <c r="V11" s="74">
        <v>28</v>
      </c>
      <c r="W11" s="74">
        <v>35</v>
      </c>
      <c r="X11" s="74">
        <v>23</v>
      </c>
      <c r="Y11" s="74">
        <v>27</v>
      </c>
      <c r="Z11" s="74">
        <v>24</v>
      </c>
      <c r="AA11" s="74">
        <v>29</v>
      </c>
      <c r="AB11" s="74">
        <v>22</v>
      </c>
      <c r="AC11" s="74">
        <v>26</v>
      </c>
      <c r="AD11" s="74">
        <v>31</v>
      </c>
      <c r="AE11" s="74">
        <v>30</v>
      </c>
    </row>
    <row r="12" spans="1:99" ht="9.9" customHeight="1" ph="1"/>
    <row r="13" spans="1:99" s="72" customFormat="1" ht="29.25" customHeight="1" ph="1">
      <c r="B13" s="189" t="s" ph="1">
        <v>37</v>
      </c>
      <c r="C13" s="159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0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639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1" ph="1">
        <v>0.33333333333333331</v>
      </c>
      <c r="C15" s="159" t="s" ph="1">
        <v>177</v>
      </c>
      <c r="D15" s="78">
        <v>5937</v>
      </c>
      <c r="E15" s="78">
        <v>6400</v>
      </c>
      <c r="F15" s="78">
        <v>5190</v>
      </c>
      <c r="G15" s="78">
        <v>2717</v>
      </c>
      <c r="H15" s="78">
        <v>2006</v>
      </c>
      <c r="I15" s="78">
        <v>45</v>
      </c>
      <c r="J15" s="78">
        <v>4353</v>
      </c>
      <c r="K15" s="78">
        <v>5015</v>
      </c>
      <c r="L15" s="78">
        <v>5089</v>
      </c>
      <c r="M15" s="78">
        <v>6114</v>
      </c>
      <c r="N15" s="78">
        <v>821</v>
      </c>
      <c r="O15" s="78">
        <v>2823</v>
      </c>
      <c r="P15" s="78">
        <v>2336</v>
      </c>
      <c r="Q15" s="78">
        <v>2731</v>
      </c>
      <c r="R15" s="78">
        <v>7417</v>
      </c>
      <c r="S15" s="78">
        <v>6491</v>
      </c>
      <c r="T15" s="78">
        <v>4775</v>
      </c>
      <c r="U15" s="78">
        <v>1722</v>
      </c>
      <c r="V15" s="78">
        <v>1668</v>
      </c>
      <c r="W15" s="71">
        <v>-173</v>
      </c>
      <c r="X15" s="78">
        <v>-144</v>
      </c>
      <c r="Y15" s="106">
        <v>-9906</v>
      </c>
      <c r="Z15" s="78">
        <v>0</v>
      </c>
      <c r="AA15" s="78">
        <v>6846</v>
      </c>
      <c r="AB15" s="78" ph="1">
        <v>5589</v>
      </c>
      <c r="AC15" s="78" ph="1">
        <v>6911</v>
      </c>
      <c r="AD15" s="78">
        <v>5.45</v>
      </c>
      <c r="AE15" s="78">
        <v>52.83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2" ph="1"/>
      <c r="C16" s="159" t="s" ph="1">
        <v>178</v>
      </c>
      <c r="D16" s="73" ph="1">
        <f>D15*7.0686*LOOKUP(D17,密度!$A$2:$A$50,密度!$L$2:$L$50)</f>
        <v>39280.436395200006</v>
      </c>
      <c r="E16" s="73" ph="1">
        <f>E15*7.0686*LOOKUP(E17,密度!$A$2:$A$50,密度!$L$2:$L$50)</f>
        <v>42298.502400000005</v>
      </c>
      <c r="F16" s="73" ph="1">
        <f>F15*9.0746*LOOKUP(F17,密度!$A$2:$A$50,密度!$L$2:$L$50)</f>
        <v>43988.760516000002</v>
      </c>
      <c r="G16" s="73" ph="1">
        <f>G15*9.0746*LOOKUP(G17,密度!$A$2:$A$50,密度!$B$2:$B$50)</f>
        <v>19199.384401339998</v>
      </c>
      <c r="H16" s="73" ph="1">
        <f>H15*9.0746*LOOKUP(H17,密度!$A$2:$A$50,密度!$L$2:$L$50)</f>
        <v>17129.6323916</v>
      </c>
      <c r="I16" s="73" ph="1">
        <f>I15*9.0746*LOOKUP(I17,密度!$A$2:$A$50,密度!$U$2:$U$50)</f>
        <v>419.79099600000006</v>
      </c>
      <c r="J16" s="73" ph="1">
        <f>J15*9.0746*LOOKUP(J17,密度!$A$2:$A$50,密度!$L$2:$L$50)</f>
        <v>37013.124570600005</v>
      </c>
      <c r="K16" s="73" ph="1">
        <f>K15*9.0746*LOOKUP(K17,密度!$A$2:$A$50,密度!$C$2:$C$50)</f>
        <v>50428.654763900005</v>
      </c>
      <c r="L16" s="73" ph="1">
        <f>L15*9.0746*LOOKUP(L17,密度!$A$2:$A$50,密度!$E$2:$E$50)</f>
        <v>36117.878074740001</v>
      </c>
      <c r="M16" s="73" ph="1">
        <f>M15*9.0746*LOOKUP(M17,密度!$A$2:$A$50,密度!$M$2:$M$50)</f>
        <v>48441.425351640006</v>
      </c>
      <c r="N16" s="73" ph="1">
        <f>N15*9.0746*LOOKUP(N17,密度!$A$2:$A$50,密度!$M$2:$M$50)</f>
        <v>6541.3165148000007</v>
      </c>
      <c r="O16" s="73" ph="1">
        <f>O15*9.0746*LOOKUP(O17,密度!$A$2:$A$50,密度!$G$2:$G$50)</f>
        <v>24567.274372199998</v>
      </c>
      <c r="P16" s="73" ph="1">
        <f ca="1">P15*9.0746*LOOKUP(P17,密度!$A$2:$A$51,密度!$Q$2:$Q$50)</f>
        <v>20054.195205568001</v>
      </c>
      <c r="Q16" s="73" ph="1">
        <f>Q15*9.0746*LOOKUP(Q17,密度!$A$2:$A$50,密度!$Q$2:$Q$50)</f>
        <v>23427.612781431999</v>
      </c>
      <c r="R16" s="73" ph="1">
        <f>MAX(R15*9.0746*LOOKUP(R17,密度!$A$2:$A$50,密度!$B$2:$B$50),0)</f>
        <v>52297.001471399999</v>
      </c>
      <c r="S16" s="73" ph="1">
        <f>S15*9.0746*LOOKUP(S17,密度!$A$2:$A$50,密度!$Q$2:$Q$50)</f>
        <v>55682.400060152002</v>
      </c>
      <c r="T16" s="73" ph="1">
        <f>T15*9.0746*LOOKUP(T17,密度!$A$2:$A$50,密度!$O$2:$O$50)</f>
        <v>40124.705090000003</v>
      </c>
      <c r="U16" s="73" ph="1">
        <f>U15*9.0746*LOOKUP(U17,密度!$A$2:$A$50,密度!$H$2:$H$50)</f>
        <v>14324.776982039999</v>
      </c>
      <c r="V16" s="73" ph="1">
        <f>MAX(5600*LOOKUP(V17,密度!$A$2:$A$50,密度!$Q$2:$Q$50)+V15*9.0476*LOOKUP(V17,密度!$A$2:$A$50,密度!$Q$2:$Q$50),0)</f>
        <v>19559.991222976001</v>
      </c>
      <c r="W16" s="73" ph="1">
        <f>MAX(5600*LOOKUP(W17,密度!$A$2:$A$50,密度!$Q$2:$Q$50)+W15*9.0476*LOOKUP(W17,密度!$A$2:$A$50,密度!$Q$2:$Q$50),0)</f>
        <v>3817.0089221560002</v>
      </c>
      <c r="X16" s="73" ph="1">
        <f>MAX(5600*LOOKUP(X17,密度!$A$2:$A$50,密度!$I$2:$I$50)+X15*9.0476*LOOKUP(X17,密度!$A$2:$A$50,密度!$I$2:$I$50),0)</f>
        <v>4474.1879987199991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48326.813153640003</v>
      </c>
      <c r="AB16" s="73" ph="1">
        <f>AB15*9.0746*LOOKUP(AB17,密度!$A$2:$A$50,密度!$L$2:$L$50)</f>
        <v>47116.965702600006</v>
      </c>
      <c r="AC16" s="73" ph="1">
        <f>AC15*9.0746*LOOKUP(AC17,密度!$A$2:$A$50,密度!$L$2:$L$50)</f>
        <v>58826.257842799998</v>
      </c>
      <c r="AD16" s="73" ph="1">
        <f>AD15*268.68*LOOKUP(AD17,密度!$A$2:$A$50,密度!B2:B50)+IF(AD15&lt;=0,0,1566*LOOKUP(AD17,密度!$A$2:$A$50,密度!B2:B50))</f>
        <v>2362.4265575999998</v>
      </c>
      <c r="AE16" s="73" ph="1">
        <f>AE15*268.68*LOOKUP(AE17,密度!$A$2:$A$50,密度!B2:B50)+IF(AE15&lt;=0,0,1566*LOOKUP(AE17,密度!$A$2:$A$50,密度!B2:B50))</f>
        <v>12286.78008624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3" ph="1"/>
      <c r="C17" s="79" t="s" ph="1">
        <v>179</v>
      </c>
      <c r="D17" s="74">
        <v>26</v>
      </c>
      <c r="E17" s="74">
        <v>27</v>
      </c>
      <c r="F17" s="74">
        <v>28</v>
      </c>
      <c r="G17" s="74">
        <v>26</v>
      </c>
      <c r="H17" s="74">
        <v>21</v>
      </c>
      <c r="I17" s="74">
        <v>22</v>
      </c>
      <c r="J17" s="74">
        <v>25</v>
      </c>
      <c r="K17" s="74">
        <v>26</v>
      </c>
      <c r="L17" s="74">
        <v>26</v>
      </c>
      <c r="M17" s="74">
        <v>27</v>
      </c>
      <c r="N17" s="74">
        <v>22</v>
      </c>
      <c r="O17" s="74">
        <v>26</v>
      </c>
      <c r="P17" s="74">
        <v>26</v>
      </c>
      <c r="Q17" s="74">
        <v>27</v>
      </c>
      <c r="R17" s="74">
        <v>28</v>
      </c>
      <c r="S17" s="74">
        <v>27</v>
      </c>
      <c r="T17" s="74">
        <v>25</v>
      </c>
      <c r="U17" s="74">
        <v>23</v>
      </c>
      <c r="V17" s="74">
        <v>27</v>
      </c>
      <c r="W17" s="74">
        <v>26</v>
      </c>
      <c r="X17" s="74">
        <v>26</v>
      </c>
      <c r="Y17" s="108">
        <v>26</v>
      </c>
      <c r="Z17" s="74">
        <v>25</v>
      </c>
      <c r="AA17" s="74">
        <v>27</v>
      </c>
      <c r="AB17" s="74">
        <v>33</v>
      </c>
      <c r="AC17" s="74">
        <v>24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1" ph="1">
        <v>0.66666666666666663</v>
      </c>
      <c r="C18" s="79" t="s" ph="1">
        <v>180</v>
      </c>
      <c r="D18" s="71">
        <v>5947</v>
      </c>
      <c r="E18" s="71">
        <v>5714</v>
      </c>
      <c r="F18" s="71">
        <v>5387</v>
      </c>
      <c r="G18" s="71">
        <v>2815</v>
      </c>
      <c r="H18" s="71">
        <v>2007</v>
      </c>
      <c r="I18" s="71">
        <v>2835</v>
      </c>
      <c r="J18" s="71">
        <v>4359</v>
      </c>
      <c r="K18" s="71">
        <v>5017</v>
      </c>
      <c r="L18" s="71">
        <v>5099</v>
      </c>
      <c r="M18" s="71">
        <v>3157</v>
      </c>
      <c r="N18" s="71">
        <v>821</v>
      </c>
      <c r="O18" s="71">
        <v>3173</v>
      </c>
      <c r="P18" s="71">
        <v>2337</v>
      </c>
      <c r="Q18" s="71">
        <v>2737</v>
      </c>
      <c r="R18" s="71">
        <v>7424</v>
      </c>
      <c r="S18" s="71">
        <v>6495</v>
      </c>
      <c r="T18" s="71">
        <v>4151</v>
      </c>
      <c r="U18" s="71">
        <v>1721</v>
      </c>
      <c r="V18" s="71">
        <v>1668</v>
      </c>
      <c r="W18" s="71">
        <v>-174</v>
      </c>
      <c r="X18" s="71">
        <v>-145</v>
      </c>
      <c r="Y18" s="109">
        <v>-9907</v>
      </c>
      <c r="Z18" s="71">
        <v>0</v>
      </c>
      <c r="AA18" s="71">
        <v>6846</v>
      </c>
      <c r="AB18" s="71">
        <v>5598</v>
      </c>
      <c r="AC18" s="71">
        <v>3506</v>
      </c>
      <c r="AD18" s="71">
        <v>25.29</v>
      </c>
      <c r="AE18" s="71">
        <v>84.64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2" ph="1"/>
      <c r="C19" s="159" t="s" ph="1">
        <v>178</v>
      </c>
      <c r="D19" s="73" ph="1">
        <f>D18*7.0686*LOOKUP(D20,密度!$A$2:$A$50,密度!$L$2:$L$50)</f>
        <v>39220.487598600004</v>
      </c>
      <c r="E19" s="73" ph="1">
        <f>E18*7.0686*LOOKUP(E20,密度!$A$2:$A$50,密度!$L$2:$L$50)</f>
        <v>37643.461732800002</v>
      </c>
      <c r="F19" s="73" ph="1">
        <f>F18*9.0746*LOOKUP(F20,密度!$A$2:$A$50,密度!$L$2:$L$50)</f>
        <v>45560.699026399998</v>
      </c>
      <c r="G19" s="73" ph="1">
        <f>G18*9.0746*LOOKUP(G20,密度!$A$2:$A$50,密度!$B$2:$B$50)</f>
        <v>19848.464222999999</v>
      </c>
      <c r="H19" s="73" ph="1">
        <f>H18*9.0746*LOOKUP(H20,密度!$A$2:$A$50,密度!$L$2:$L$50)</f>
        <v>17083.533423599998</v>
      </c>
      <c r="I19" s="73" ph="1">
        <f>I18*9.0746*LOOKUP(I20,密度!$A$2:$A$50,密度!$U$2:$U$50)</f>
        <v>26241.020820000002</v>
      </c>
      <c r="J19" s="73" ph="1">
        <f>J18*9.0746*LOOKUP(J20,密度!$A$2:$A$50,密度!$L$2:$L$50)</f>
        <v>36905.917246200006</v>
      </c>
      <c r="K19" s="73" ph="1">
        <f>K18*9.0746*LOOKUP(K20,密度!$A$2:$A$50,密度!$C$2:$C$50)</f>
        <v>50380.474990119998</v>
      </c>
      <c r="L19" s="73" ph="1">
        <f>L18*9.0746*LOOKUP(L20,密度!$A$2:$A$50,密度!$E$2:$E$50)</f>
        <v>36082.426334920005</v>
      </c>
      <c r="M19" s="73" ph="1">
        <f>M18*9.0746*LOOKUP(M20,密度!$A$2:$A$50,密度!$M$2:$M$50)</f>
        <v>24921.340762780001</v>
      </c>
      <c r="N19" s="73" ph="1">
        <f>N18*9.0746*LOOKUP(N20,密度!$A$2:$A$50,密度!$M$2:$M$50)</f>
        <v>6489.1647886000001</v>
      </c>
      <c r="O19" s="73" ph="1">
        <f>O18*9.0746*LOOKUP(O20,密度!$A$2:$A$50,密度!$G$2:$G$50)</f>
        <v>27523.903374219997</v>
      </c>
      <c r="P19" s="73" ph="1">
        <f ca="1">P18*9.0746*LOOKUP(P20,密度!$A$2:$A$51,密度!$Q$2:$Q$50)</f>
        <v>20018.244634986</v>
      </c>
      <c r="Q19" s="73" ph="1">
        <f>Q18*9.0746*LOOKUP(Q20,密度!$A$2:$A$50,密度!$Q$2:$Q$50)</f>
        <v>23429.657198065997</v>
      </c>
      <c r="R19" s="73" ph="1">
        <f>MAX(R18*9.0746*LOOKUP(R20,密度!$A$2:$A$50,密度!$B$2:$B$50),0)</f>
        <v>52231.829509120005</v>
      </c>
      <c r="S19" s="73" ph="1">
        <f>S18*9.0746*LOOKUP(S20,密度!$A$2:$A$50,密度!$Q$2:$Q$50)</f>
        <v>55599.424004910004</v>
      </c>
      <c r="T19" s="73" ph="1">
        <f>T18*9.0746*LOOKUP(T20,密度!$A$2:$A$50,密度!$O$2:$O$50)</f>
        <v>34881.183419600005</v>
      </c>
      <c r="U19" s="73" ph="1">
        <f>U18*9.0746*LOOKUP(U20,密度!$A$2:$A$50,密度!$H$2:$H$50)</f>
        <v>14257.11222714</v>
      </c>
      <c r="V19" s="73" ph="1">
        <f>MAX(5600*LOOKUP(V20,密度!$A$2:$A$50,密度!$Q$2:$Q$50)+V18*9.0476*LOOKUP(V20,密度!$A$2:$A$50,密度!$Q$2:$Q$50),0)</f>
        <v>19518.815343343998</v>
      </c>
      <c r="W19" s="73" ph="1">
        <f>MAX(5600*LOOKUP(W20,密度!$A$2:$A$50,密度!$Q$2:$Q$50)+W18*9.0476*LOOKUP(W20,密度!$A$2:$A$50,密度!$Q$2:$Q$50),0)</f>
        <v>3786.5497173840004</v>
      </c>
      <c r="X19" s="73" ph="1">
        <f>MAX(5600*LOOKUP(X20,密度!$A$2:$A$50,密度!$I$2:$I$50)+X18*9.0476*LOOKUP(X20,密度!$A$2:$A$50,密度!$I$2:$I$50),0)</f>
        <v>4445.4711965999995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48326.813153640003</v>
      </c>
      <c r="AB19" s="73" ph="1">
        <f>AB18*9.0746*LOOKUP(AB20,密度!$A$2:$A$50,密度!$L$2:$L$50)</f>
        <v>47142.038822400005</v>
      </c>
      <c r="AC19" s="73" ph="1">
        <f>AC18*9.0746*LOOKUP(AC20,密度!$A$2:$A$50,密度!$L$2:$L$50)</f>
        <v>29715.721458400003</v>
      </c>
      <c r="AD19" s="73" ph="1">
        <f>AD18*268.68*LOOKUP(AD20,密度!$A$2:$A$50,密度!B5:B53)+IF(AD18&lt;=0,0,1566*LOOKUP(AD20,密度!$A$2:$A$50,密度!B5:B53))</f>
        <v>6496.4326644000002</v>
      </c>
      <c r="AE19" s="73" ph="1">
        <f>AE18*268.68*LOOKUP(AE20,密度!$A$2:$A$50,密度!B5:B53)+IF(AE18&lt;=0,0,1566*LOOKUP(AE20,密度!$A$2:$A$50,密度!B5:B53))</f>
        <v>18886.597430400001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2" ph="1"/>
      <c r="C20" s="80" t="s" ph="1">
        <v>179</v>
      </c>
      <c r="D20" s="81">
        <v>29</v>
      </c>
      <c r="E20" s="81">
        <v>30</v>
      </c>
      <c r="F20" s="81">
        <v>30</v>
      </c>
      <c r="G20" s="81">
        <v>28</v>
      </c>
      <c r="H20" s="81">
        <v>24</v>
      </c>
      <c r="I20" s="81">
        <v>30</v>
      </c>
      <c r="J20" s="81">
        <v>29</v>
      </c>
      <c r="K20" s="81">
        <v>28</v>
      </c>
      <c r="L20" s="81">
        <v>28</v>
      </c>
      <c r="M20" s="81">
        <v>30</v>
      </c>
      <c r="N20" s="81">
        <v>29</v>
      </c>
      <c r="O20" s="81">
        <v>29</v>
      </c>
      <c r="P20" s="81">
        <v>29</v>
      </c>
      <c r="Q20" s="81">
        <v>30</v>
      </c>
      <c r="R20" s="81">
        <v>30</v>
      </c>
      <c r="S20" s="81">
        <v>30</v>
      </c>
      <c r="T20" s="81">
        <v>29</v>
      </c>
      <c r="U20" s="81">
        <v>27</v>
      </c>
      <c r="V20" s="81">
        <v>30</v>
      </c>
      <c r="W20" s="81">
        <v>34</v>
      </c>
      <c r="X20" s="81">
        <v>30</v>
      </c>
      <c r="Y20" s="110">
        <v>30</v>
      </c>
      <c r="Z20" s="81">
        <v>31</v>
      </c>
      <c r="AA20" s="81">
        <v>27</v>
      </c>
      <c r="AB20" s="81">
        <v>34</v>
      </c>
      <c r="AC20" s="81">
        <v>28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0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69" t="s" ph="1">
        <v>69</v>
      </c>
      <c r="AA22" s="170"/>
      <c r="AB22" s="170"/>
      <c r="AC22" s="170"/>
      <c r="AD22" s="170"/>
      <c r="AE22" s="17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5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72" t="s" ph="1">
        <v>640</v>
      </c>
      <c r="AA23" s="173"/>
      <c r="AB23" s="173"/>
      <c r="AC23" s="173"/>
      <c r="AD23" s="173"/>
      <c r="AE23" s="17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1" ph="1">
        <v>0.33333333333333331</v>
      </c>
      <c r="C24" s="159" t="s" ph="1">
        <v>177</v>
      </c>
      <c r="D24" s="71">
        <v>60.42</v>
      </c>
      <c r="E24" s="71">
        <v>65.81</v>
      </c>
      <c r="F24" s="71">
        <v>919</v>
      </c>
      <c r="G24" s="71">
        <v>2015</v>
      </c>
      <c r="H24" s="71">
        <v>2656</v>
      </c>
      <c r="I24" s="71">
        <v>3033</v>
      </c>
      <c r="J24" s="71">
        <v>830</v>
      </c>
      <c r="K24" s="71">
        <v>1561</v>
      </c>
      <c r="L24" s="71">
        <v>469</v>
      </c>
      <c r="M24" s="71">
        <v>4850</v>
      </c>
      <c r="N24" s="71">
        <v>4831</v>
      </c>
      <c r="O24" s="71">
        <v>5422</v>
      </c>
      <c r="P24" s="71">
        <v>1045</v>
      </c>
      <c r="Q24" s="90">
        <v>2897</v>
      </c>
      <c r="R24" s="71">
        <v>6488</v>
      </c>
      <c r="S24" s="71">
        <v>359</v>
      </c>
      <c r="T24" s="71">
        <v>1280</v>
      </c>
      <c r="U24" s="71">
        <v>5252</v>
      </c>
      <c r="V24" s="71">
        <v>598</v>
      </c>
      <c r="W24" s="71">
        <v>9831</v>
      </c>
      <c r="X24" s="71">
        <v>3617</v>
      </c>
      <c r="Y24" s="71">
        <v>6834</v>
      </c>
      <c r="Z24" s="175"/>
      <c r="AA24" s="176"/>
      <c r="AB24" s="176"/>
      <c r="AC24" s="176"/>
      <c r="AD24" s="176"/>
      <c r="AE24" s="17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1" ph="1"/>
      <c r="C25" s="68" t="s" ph="1">
        <v>178</v>
      </c>
      <c r="D25" s="91" ph="1">
        <f>D24*268.68*LOOKUP(D26,密度!$A$2:$A$50,密度!$Q$2:$Q$50)+IF(D24&lt;=0,0,1566*LOOKUP(D26,密度!$A$2:$A$50,密度!$Q$2:$Q$50))</f>
        <v>16851.636475344003</v>
      </c>
      <c r="E25" s="91" ph="1">
        <f>E24*268.68*LOOKUP(E26,密度!$A$2:$A$50,密度!$C$2:$C$50)+IF(E24&lt;=0,0,1566*LOOKUP(E26,密度!$A$2:$A$50,密度!$C$2:$C$50))</f>
        <v>21343.919574120002</v>
      </c>
      <c r="F25" s="91" ph="1">
        <f>F24*11.702*LOOKUP(F26,密度!$A$2:$A$50,密度!$Q$2:$Q$50)</f>
        <v>10189.22313086</v>
      </c>
      <c r="G25" s="91" ph="1">
        <f>G24*18.322*LOOKUP(G26,密度!$A$2:$A$50,密度!$B$2:$B$50)</f>
        <v>28719.157857000002</v>
      </c>
      <c r="H25" s="91" ph="1">
        <f>H24*18.322*LOOKUP(H26,密度!$A$2:$A$50,密度!$B$2:$B$50)</f>
        <v>37937.855667199998</v>
      </c>
      <c r="I25" s="91" ph="1">
        <f>I24*18.322*LOOKUP(I26,密度!$A$2:$A$50,密度!$Q$2:$Q$50)</f>
        <v>52610.934459240001</v>
      </c>
      <c r="J25" s="91" ph="1">
        <f>J24*18.322*LOOKUP(J26,密度!$A$2:$A$50,密度!$Q$2:$Q$50)</f>
        <v>14386.5241778</v>
      </c>
      <c r="K25" s="91" ph="1">
        <f>K24*18.322*LOOKUP(K26,密度!$A$2:$A$50,密度!$Q$2:$Q$50)</f>
        <v>27057.06535126</v>
      </c>
      <c r="L25" s="91" ph="1">
        <f>L24*18.322*LOOKUP(L26,密度!$A$2:$A$50,密度!$Q$2:$Q$50)</f>
        <v>8141.6267644600002</v>
      </c>
      <c r="M25" s="91" ph="1">
        <f>M24*18.322*LOOKUP(M26,密度!$A$2:$A$50,密度!$Q$2:$Q$50)</f>
        <v>84128.925858000002</v>
      </c>
      <c r="N25" s="91" ph="1">
        <f>N24*18.322*LOOKUP(N26,密度!$A$2:$A$50,密度!$Q$2:$Q$50)</f>
        <v>84007.355540379998</v>
      </c>
      <c r="O25" s="91" ph="1">
        <f>O24*18.322*LOOKUP(O26,密度!$A$2:$A$50,密度!$C$2:$C$50)</f>
        <v>110309.2279936</v>
      </c>
      <c r="P25" s="91" ph="1">
        <f>P24*11.702*LOOKUP(P26,密度!$A$2:$A$50,密度!$B$2:$B$50)</f>
        <v>9544.4144949999991</v>
      </c>
      <c r="Q25" s="92" ph="1">
        <f>Q24*18.322*LOOKUP(Q26,密度!$A$2:$A$50,密度!$B$2:$B$50)</f>
        <v>41332.488035799994</v>
      </c>
      <c r="R25" s="91" ph="1">
        <f>R24*35.891*LOOKUP(R26,密度!$A$2:$A$50,密度!$C$2:$C$50)</f>
        <v>258219.3499912</v>
      </c>
      <c r="S25" s="91" ph="1">
        <f>S24*35.891*LOOKUP(S26,密度!$A$2:$A$50,密度!$B$2:$B$50)</f>
        <v>10045.043872399998</v>
      </c>
      <c r="T25" s="91" ph="1">
        <f>T24*35.891*LOOKUP(T26,密度!$A$2:$A$50,密度!$Q$2:$Q$50)</f>
        <v>43527.226585600001</v>
      </c>
      <c r="U25" s="91" ph="1">
        <f>U24*35.891</f>
        <v>188499.53199999998</v>
      </c>
      <c r="V25" s="91" ph="1">
        <f>V24*47.051*LOOKUP(V26,密度!$A$2:$A$50,密度!$B$2:$B$50)</f>
        <v>21909.890992599998</v>
      </c>
      <c r="W25" s="91" ph="1">
        <f>W24*47.051*LOOKUP(W26,密度!$A$2:$A$50,密度!$B$2:$B$50)</f>
        <v>360610.51382759999</v>
      </c>
      <c r="X25" s="91" ph="1">
        <f>X24*47.051*LOOKUP(X26,密度!$A$2:$A$61,密度!$I$2:$I$61)</f>
        <v>176054.7966115</v>
      </c>
      <c r="Y25" s="91" ph="1">
        <f>Y24*47.051*LOOKUP(Y26,密度!$A$2:$A$50,密度!$L$2:$L$50)</f>
        <v>301289.102358</v>
      </c>
      <c r="Z25" s="175"/>
      <c r="AA25" s="176"/>
      <c r="AB25" s="176"/>
      <c r="AC25" s="176"/>
      <c r="AD25" s="176"/>
      <c r="AE25" s="17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1" ph="1"/>
      <c r="C26" s="68" t="s" ph="1">
        <v>179</v>
      </c>
      <c r="D26" s="74">
        <v>25</v>
      </c>
      <c r="E26" s="74">
        <v>25</v>
      </c>
      <c r="F26" s="74">
        <v>24</v>
      </c>
      <c r="G26" s="74">
        <v>27</v>
      </c>
      <c r="H26" s="74">
        <v>25</v>
      </c>
      <c r="I26" s="74">
        <v>25</v>
      </c>
      <c r="J26" s="74">
        <v>26</v>
      </c>
      <c r="K26" s="74">
        <v>26</v>
      </c>
      <c r="L26" s="74">
        <v>24</v>
      </c>
      <c r="M26" s="74">
        <v>25</v>
      </c>
      <c r="N26" s="74">
        <v>22</v>
      </c>
      <c r="O26" s="74">
        <v>23</v>
      </c>
      <c r="P26" s="74">
        <v>24</v>
      </c>
      <c r="Q26" s="93">
        <v>26</v>
      </c>
      <c r="R26" s="74">
        <v>25</v>
      </c>
      <c r="S26" s="74">
        <v>25</v>
      </c>
      <c r="T26" s="74">
        <v>24</v>
      </c>
      <c r="U26" s="74">
        <v>26</v>
      </c>
      <c r="V26" s="74">
        <v>26</v>
      </c>
      <c r="W26" s="74">
        <v>25</v>
      </c>
      <c r="X26" s="74">
        <v>32</v>
      </c>
      <c r="Y26" s="74">
        <v>25</v>
      </c>
      <c r="Z26" s="175"/>
      <c r="AA26" s="176"/>
      <c r="AB26" s="176"/>
      <c r="AC26" s="176"/>
      <c r="AD26" s="176"/>
      <c r="AE26" s="17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1" ph="1">
        <v>0.66666666666666663</v>
      </c>
      <c r="C27" s="159" t="s" ph="1">
        <v>180</v>
      </c>
      <c r="D27" s="71">
        <v>60.48</v>
      </c>
      <c r="E27" s="71">
        <v>65.8</v>
      </c>
      <c r="F27" s="71">
        <v>917</v>
      </c>
      <c r="G27" s="71">
        <v>1526</v>
      </c>
      <c r="H27" s="71">
        <v>2024</v>
      </c>
      <c r="I27" s="71">
        <v>3033</v>
      </c>
      <c r="J27" s="71">
        <v>827</v>
      </c>
      <c r="K27" s="71">
        <v>1559</v>
      </c>
      <c r="L27" s="71">
        <v>465</v>
      </c>
      <c r="M27" s="71">
        <v>4851</v>
      </c>
      <c r="N27" s="71">
        <v>4830</v>
      </c>
      <c r="O27" s="71">
        <v>5420</v>
      </c>
      <c r="P27" s="71">
        <v>1042</v>
      </c>
      <c r="Q27" s="90">
        <v>3166</v>
      </c>
      <c r="R27" s="71">
        <v>5957</v>
      </c>
      <c r="S27" s="71">
        <v>355</v>
      </c>
      <c r="T27" s="71">
        <v>1278</v>
      </c>
      <c r="U27" s="71">
        <v>5215</v>
      </c>
      <c r="V27" s="71">
        <v>595</v>
      </c>
      <c r="W27" s="71">
        <v>9831</v>
      </c>
      <c r="X27" s="71">
        <v>4227</v>
      </c>
      <c r="Y27" s="71">
        <v>7456</v>
      </c>
      <c r="Z27" s="175"/>
      <c r="AA27" s="176"/>
      <c r="AB27" s="176"/>
      <c r="AC27" s="176"/>
      <c r="AD27" s="176"/>
      <c r="AE27" s="17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1" ph="1"/>
      <c r="C28" s="159" t="s" ph="1">
        <v>178</v>
      </c>
      <c r="D28" s="91" ph="1">
        <f>D27*268.68*LOOKUP(D29,密度!$A$2:$A$50,密度!$Q$2:$Q$50)+IF(D27&lt;=0,0,1566*LOOKUP(D29,密度!$A$2:$A$50,密度!$Q$2:$Q$50))</f>
        <v>16866.898681536</v>
      </c>
      <c r="E28" s="91" ph="1">
        <f>E27*268.68*LOOKUP(E29,密度!$A$2:$A$50,密度!$C$2:$C$50)+IF(E27&lt;=0,0,1566*LOOKUP(E29,密度!$A$2:$A$50,密度!$C$2:$C$50))</f>
        <v>21340.940181600003</v>
      </c>
      <c r="F28" s="91" ph="1">
        <f>F27*11.702*LOOKUP(F29,密度!$A$2:$A$50,密度!$Q$2:$Q$50)</f>
        <v>10159.21510716</v>
      </c>
      <c r="G28" s="91" ph="1">
        <f>G27*18.322*LOOKUP(G29,密度!$A$2:$A$50,密度!$B$2:$B$50)</f>
        <v>21749.595478800002</v>
      </c>
      <c r="H28" s="91" ph="1">
        <f>H27*18.322*LOOKUP(H29,密度!$A$2:$A$50,密度!$B$2:$B$50)</f>
        <v>28910.474348799995</v>
      </c>
      <c r="I28" s="91" ph="1">
        <f>I27*18.322*LOOKUP(I29,密度!$A$2:$A$50,密度!$Q$2:$Q$50)</f>
        <v>52610.934459240001</v>
      </c>
      <c r="J28" s="91" ph="1">
        <f>J27*18.322*LOOKUP(J29,密度!$A$2:$A$50,密度!$Q$2:$Q$50)</f>
        <v>14334.524692820001</v>
      </c>
      <c r="K28" s="91" ph="1">
        <f>K27*18.322*LOOKUP(K29,密度!$A$2:$A$50,密度!$Q$2:$Q$50)</f>
        <v>27042.67946652</v>
      </c>
      <c r="L28" s="91" ph="1">
        <f>L27*18.322*LOOKUP(L29,密度!$A$2:$A$50,密度!$Q$2:$Q$50)</f>
        <v>8065.9691801999998</v>
      </c>
      <c r="M28" s="91" ph="1">
        <f>M27*18.322*LOOKUP(M29,密度!$A$2:$A$50,密度!$Q$2:$Q$50)</f>
        <v>84083.167212660002</v>
      </c>
      <c r="N28" s="91" ph="1">
        <f>N27*18.322*LOOKUP(N29,密度!$A$2:$A$50,密度!$Q$2:$Q$50)</f>
        <v>83846.603992199991</v>
      </c>
      <c r="O28" s="91" ph="1">
        <f>O27*18.322*LOOKUP(O29,密度!$A$2:$A$50,密度!$C$2:$C$50)</f>
        <v>110268.53849599999</v>
      </c>
      <c r="P28" s="91" ph="1">
        <f>P27*11.702*LOOKUP(P29,密度!$A$2:$A$50,密度!$B$2:$B$50)</f>
        <v>9517.0142620000006</v>
      </c>
      <c r="Q28" s="92" ph="1">
        <f>Q27*18.322*LOOKUP(Q29,密度!$A$2:$A$50,密度!$B$2:$B$50)</f>
        <v>45274.816285999994</v>
      </c>
      <c r="R28" s="91" ph="1">
        <f>R27*35.891*LOOKUP(R29,密度!$A$2:$A$50,密度!$C$2:$C$50)</f>
        <v>237235.46149519997</v>
      </c>
      <c r="S28" s="91" ph="1">
        <f>S27*35.891*LOOKUP(S29,密度!$A$2:$A$50,密度!$B$2:$B$50)</f>
        <v>9921.6542034999984</v>
      </c>
      <c r="T28" s="91" ph="1">
        <f>T27*35.891*LOOKUP(T29,密度!$A$2:$A$50,密度!$Q$2:$Q$50)</f>
        <v>43425.731144519996</v>
      </c>
      <c r="U28" s="91" ph="1">
        <f>U27*35.891</f>
        <v>187171.565</v>
      </c>
      <c r="V28" s="91" ph="1">
        <f>V27*47.051*LOOKUP(V29,密度!$A$2:$A$50,密度!$B$2:$B$50)</f>
        <v>21799.975151499999</v>
      </c>
      <c r="W28" s="91" ph="1">
        <f>W27*47.051*LOOKUP(W29,密度!$A$2:$A$50,密度!$B$2:$B$50)</f>
        <v>360610.51382759999</v>
      </c>
      <c r="X28" s="91" ph="1">
        <f>X27*47.051*LOOKUP(X29,密度!$A$2:$A$61,密度!$I$2:$I$61)</f>
        <v>205527.32187180003</v>
      </c>
      <c r="Y28" s="91" ph="1">
        <f>Y27*47.051*LOOKUP(Y29,密度!$A$2:$A$50,密度!$L$2:$L$50)</f>
        <v>328711.08387199999</v>
      </c>
      <c r="Z28" s="175"/>
      <c r="AA28" s="176"/>
      <c r="AB28" s="176"/>
      <c r="AC28" s="176"/>
      <c r="AD28" s="176"/>
      <c r="AE28" s="17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1" ph="1"/>
      <c r="C29" s="159" t="s" ph="1">
        <v>179</v>
      </c>
      <c r="D29" s="74">
        <v>25</v>
      </c>
      <c r="E29" s="74">
        <v>25</v>
      </c>
      <c r="F29" s="74">
        <v>25</v>
      </c>
      <c r="G29" s="74">
        <v>27</v>
      </c>
      <c r="H29" s="74">
        <v>25</v>
      </c>
      <c r="I29" s="74">
        <v>25</v>
      </c>
      <c r="J29" s="74">
        <v>26</v>
      </c>
      <c r="K29" s="74">
        <v>25</v>
      </c>
      <c r="L29" s="74">
        <v>25</v>
      </c>
      <c r="M29" s="74">
        <v>26</v>
      </c>
      <c r="N29" s="74">
        <v>24</v>
      </c>
      <c r="O29" s="74">
        <v>23</v>
      </c>
      <c r="P29" s="74">
        <v>24</v>
      </c>
      <c r="Q29" s="93">
        <v>24</v>
      </c>
      <c r="R29" s="74">
        <v>24</v>
      </c>
      <c r="S29" s="74">
        <v>26</v>
      </c>
      <c r="T29" s="74">
        <v>25</v>
      </c>
      <c r="U29" s="74">
        <v>25</v>
      </c>
      <c r="V29" s="74">
        <v>26</v>
      </c>
      <c r="W29" s="74">
        <v>25</v>
      </c>
      <c r="X29" s="74">
        <v>33</v>
      </c>
      <c r="Y29" s="74">
        <v>25</v>
      </c>
      <c r="Z29" s="178"/>
      <c r="AA29" s="179"/>
      <c r="AB29" s="179"/>
      <c r="AC29" s="179"/>
      <c r="AD29" s="179"/>
      <c r="AE29" s="18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4" t="s" ph="1">
        <v>35</v>
      </c>
      <c r="C31" s="195" ph="1"/>
      <c r="D31" s="198" t="s" ph="1">
        <v>9</v>
      </c>
      <c r="E31" s="187" ph="1"/>
      <c r="F31" s="188" ph="1"/>
      <c r="G31" s="198" t="s" ph="1">
        <v>18</v>
      </c>
      <c r="H31" s="187" ph="1"/>
      <c r="I31" s="188" ph="1"/>
      <c r="J31" s="186" t="s" ph="1">
        <v>1</v>
      </c>
      <c r="K31" s="187" ph="1"/>
      <c r="L31" s="188" ph="1"/>
      <c r="M31" s="186" t="s" ph="1">
        <v>7</v>
      </c>
      <c r="N31" s="187" ph="1"/>
      <c r="O31" s="188" ph="1"/>
      <c r="P31" s="186" t="s" ph="1">
        <v>41</v>
      </c>
      <c r="Q31" s="187"/>
      <c r="R31" s="188"/>
      <c r="S31" s="186" t="s" ph="1">
        <v>2</v>
      </c>
      <c r="T31" s="187"/>
      <c r="U31" s="188"/>
      <c r="V31" s="186" t="s" ph="1">
        <v>71</v>
      </c>
      <c r="W31" s="187" ph="1"/>
      <c r="X31" s="188" ph="1"/>
      <c r="Y31" s="186" t="s" ph="1">
        <v>3</v>
      </c>
      <c r="Z31" s="187" ph="1"/>
      <c r="AA31" s="188" ph="1"/>
      <c r="AB31" s="209" t="s">
        <v>42</v>
      </c>
      <c r="AC31" s="210"/>
      <c r="AD31" s="210"/>
      <c r="AE31" s="211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6" ph="1"/>
      <c r="C32" s="197" ph="1"/>
      <c r="D32" s="96" t="s" ph="1">
        <v>4</v>
      </c>
      <c r="E32" s="159" t="s" ph="1">
        <v>5</v>
      </c>
      <c r="F32" s="158" t="s" ph="1">
        <v>43</v>
      </c>
      <c r="G32" s="97" t="s" ph="1">
        <v>4</v>
      </c>
      <c r="H32" s="159" t="s" ph="1">
        <v>5</v>
      </c>
      <c r="I32" s="158" t="s" ph="1">
        <v>43</v>
      </c>
      <c r="J32" s="97" t="s" ph="1">
        <v>4</v>
      </c>
      <c r="K32" s="159" t="s" ph="1">
        <v>5</v>
      </c>
      <c r="L32" s="158" t="s" ph="1">
        <v>43</v>
      </c>
      <c r="M32" s="97" t="s" ph="1">
        <v>4</v>
      </c>
      <c r="N32" s="159" t="s" ph="1">
        <v>5</v>
      </c>
      <c r="O32" s="15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9" t="s" ph="1">
        <v>5</v>
      </c>
      <c r="U32" s="99" t="s" ph="1">
        <v>43</v>
      </c>
      <c r="V32" s="97" t="s" ph="1">
        <v>4</v>
      </c>
      <c r="W32" s="159" t="s" ph="1">
        <v>5</v>
      </c>
      <c r="X32" s="99" t="s" ph="1">
        <v>43</v>
      </c>
      <c r="Y32" s="100" t="s" ph="1">
        <v>4</v>
      </c>
      <c r="Z32" s="159" t="s" ph="1">
        <v>5</v>
      </c>
      <c r="AA32" s="158" t="s" ph="1">
        <v>43</v>
      </c>
      <c r="AB32" s="97" t="s" ph="1">
        <v>85</v>
      </c>
      <c r="AC32" s="159" t="s" ph="1">
        <v>84</v>
      </c>
      <c r="AD32" s="212" t="s" ph="1">
        <v>83</v>
      </c>
      <c r="AE32" s="213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199" t="s" ph="1">
        <v>181</v>
      </c>
      <c r="C33" s="200" ph="1"/>
      <c r="D33" s="203" ph="1">
        <f>AA10+AB10+Z19</f>
        <v>166853.06729410001</v>
      </c>
      <c r="E33" s="203" ph="1">
        <f>M10+I10</f>
        <v>19566.587312099997</v>
      </c>
      <c r="F33" s="20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1522252632456786910111213141516171819202123456789101112131415161718192022232424356789101112131415161718192021222345678910111213141516171819202345678910111213149101516171819222123234567891012131415161711181920212224252345678910111213111[[#This Row],[F25]]</f>
        <v>3880</v>
      </c>
      <c r="G33" s="207" ph="1">
        <f>N19</f>
        <v>6489.1647886000001</v>
      </c>
      <c r="H33" s="203" ph="1">
        <f>M19</f>
        <v>24921.340762780001</v>
      </c>
      <c r="I33" s="216" ph="1">
        <v>0</v>
      </c>
      <c r="J33" s="214" ph="1">
        <f>F10+O28</f>
        <v>325087.25684659998</v>
      </c>
      <c r="K33" s="203" ph="1">
        <f>O10+K10+E28+R28</f>
        <v>393997.88560639997</v>
      </c>
      <c r="L33" s="218" ph="1">
        <f>K19</f>
        <v>50380.474990119998</v>
      </c>
      <c r="M33" s="214" ph="1">
        <f>G10+H10+W28+S28+V28+E10+R19+P28+Q28</f>
        <v>1361625.5554717199</v>
      </c>
      <c r="N33" s="203" ph="1">
        <f>L10+P10++G28+H28+AD19+AE19</f>
        <v>143713.59361539999</v>
      </c>
      <c r="O33" s="216" ph="1">
        <f>G19</f>
        <v>19848.464222999999</v>
      </c>
      <c r="P33" s="214" ph="1">
        <f>L19</f>
        <v>36082.426334920005</v>
      </c>
      <c r="Q33" s="203" ph="1">
        <f>J10+N10</f>
        <v>96060.354966400002</v>
      </c>
      <c r="R33" s="216" ph="1">
        <f>BE23</f>
        <v>890</v>
      </c>
      <c r="S33" s="214" ph="1">
        <f>X28</f>
        <v>205527.32187180003</v>
      </c>
      <c r="T33" s="203" ph="1">
        <f>X19</f>
        <v>4445.4711965999995</v>
      </c>
      <c r="U33" s="224" ph="1">
        <f>BE21</f>
        <v>730</v>
      </c>
      <c r="V33" s="235" ph="1">
        <f ca="1">P19+Q19+S19+M28+N28+J28+D10+AC10+D19+E19+H19+J19+O19+V19+W19+K28+L28</f>
        <v>950742.63634170999</v>
      </c>
      <c r="W33" s="235" ph="1">
        <f>D28+F28+T28+I28</f>
        <v>123062.779392456</v>
      </c>
      <c r="X33" s="216" ph="1">
        <f>BE29+BE31</f>
        <v>10200</v>
      </c>
      <c r="Y33" s="237" ph="1">
        <f>+Q10+R10+S10+T10+U10+V10+W10+X10+Y10</f>
        <v>198172.40681699998</v>
      </c>
      <c r="Z33" s="222" ph="1">
        <f>T19+U19+Y28+Z10</f>
        <v>439478.17443874001</v>
      </c>
      <c r="AA33" s="224" ph="1">
        <f>BE19</f>
        <v>1440</v>
      </c>
      <c r="AB33" s="226" ph="1">
        <f>I19</f>
        <v>26241.020820000002</v>
      </c>
      <c r="AC33" s="228" ph="1">
        <f>AD10+AB19</f>
        <v>102110.8451904</v>
      </c>
      <c r="AD33" s="230" ph="1">
        <v>0</v>
      </c>
      <c r="AE33" s="231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1" ph="1"/>
      <c r="C34" s="202" ph="1"/>
      <c r="D34" s="204" ph="1"/>
      <c r="E34" s="204" ph="1"/>
      <c r="F34" s="206" ph="1"/>
      <c r="G34" s="208" ph="1"/>
      <c r="H34" s="204" ph="1"/>
      <c r="I34" s="217" ph="1"/>
      <c r="J34" s="215" ph="1"/>
      <c r="K34" s="204" ph="1"/>
      <c r="L34" s="219" ph="1"/>
      <c r="M34" s="215" ph="1"/>
      <c r="N34" s="204" ph="1"/>
      <c r="O34" s="217" ph="1"/>
      <c r="P34" s="215" ph="1"/>
      <c r="Q34" s="204" ph="1"/>
      <c r="R34" s="217" ph="1"/>
      <c r="S34" s="215" ph="1"/>
      <c r="T34" s="204"/>
      <c r="U34" s="225"/>
      <c r="V34" s="236" ph="1"/>
      <c r="W34" s="236" ph="1"/>
      <c r="X34" s="217" ph="1"/>
      <c r="Y34" s="238" ph="1"/>
      <c r="Z34" s="223" ph="1"/>
      <c r="AA34" s="225" ph="1"/>
      <c r="AB34" s="227"/>
      <c r="AC34" s="229"/>
      <c r="AD34" s="232"/>
      <c r="AE34" s="233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4" t="s" ph="1">
        <v>631</v>
      </c>
      <c r="AD35" s="234"/>
      <c r="AE35" s="234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0" t="s" ph="1">
        <v>183</v>
      </c>
      <c r="J36" s="220" ph="1"/>
      <c r="K36" s="101" ph="1"/>
      <c r="P36" s="101" ph="1"/>
      <c r="R36" s="220" t="s" ph="1">
        <v>184</v>
      </c>
      <c r="S36" s="220" ph="1"/>
      <c r="Y36" s="102" ph="1"/>
      <c r="Z36" s="157" t="s" ph="1">
        <v>185</v>
      </c>
      <c r="AA36" s="157" ph="1"/>
      <c r="AB36" s="221" t="s" ph="1">
        <v>638</v>
      </c>
      <c r="AC36" s="221" ph="1"/>
      <c r="AD36" s="221" ph="1"/>
      <c r="AE36" s="221" ph="1"/>
      <c r="BA36" s="64" ph="1">
        <v>2270</v>
      </c>
    </row>
    <row r="37" spans="1:57" s="157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7" t="s" ph="1">
        <v>342</v>
      </c>
      <c r="AI37" s="157" t="s" ph="1">
        <v>209</v>
      </c>
      <c r="AJ37" s="157" t="s" ph="1">
        <v>210</v>
      </c>
      <c r="AK37" s="157" t="s" ph="1">
        <v>211</v>
      </c>
      <c r="AM37" s="157" t="s" ph="1">
        <v>210</v>
      </c>
      <c r="AN37" s="157" t="s" ph="1">
        <v>211</v>
      </c>
      <c r="AO37" s="157" t="s" ph="1">
        <v>212</v>
      </c>
      <c r="AP37" s="157" t="s" ph="1">
        <v>210</v>
      </c>
      <c r="AQ37" s="157" t="s" ph="1">
        <v>211</v>
      </c>
      <c r="AR37" s="157" t="s" ph="1">
        <v>212</v>
      </c>
      <c r="AS37" s="157" t="s" ph="1">
        <v>210</v>
      </c>
      <c r="AT37" s="157" t="s" ph="1">
        <v>211</v>
      </c>
      <c r="AU37" s="157" t="s" ph="1">
        <v>212</v>
      </c>
      <c r="AV37" s="157" t="s" ph="1">
        <v>210</v>
      </c>
      <c r="AW37" s="157" t="s" ph="1">
        <v>211</v>
      </c>
      <c r="AX37" s="157" t="s" ph="1">
        <v>212</v>
      </c>
      <c r="AY37" s="157" t="s" ph="1">
        <v>211</v>
      </c>
      <c r="AZ37" s="157" t="s" ph="1">
        <v>213</v>
      </c>
      <c r="BD37" s="157" t="s" ph="1">
        <v>305</v>
      </c>
      <c r="BE37" s="157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039" priority="100">
      <formula>ABS(D$7-D$10)&gt;=1000</formula>
    </cfRule>
  </conditionalFormatting>
  <conditionalFormatting sqref="E4 E6:E11">
    <cfRule type="expression" dxfId="1038" priority="99">
      <formula>ABS(E$7-E$10)&gt;=1000</formula>
    </cfRule>
  </conditionalFormatting>
  <conditionalFormatting sqref="F4:F11">
    <cfRule type="expression" dxfId="1037" priority="98">
      <formula>ABS(F$7-F$10)&gt;=1000</formula>
    </cfRule>
  </conditionalFormatting>
  <conditionalFormatting sqref="G4:G11">
    <cfRule type="expression" dxfId="1036" priority="97">
      <formula>ABS(G$7-G$10)&gt;=1000</formula>
    </cfRule>
  </conditionalFormatting>
  <conditionalFormatting sqref="H4:H11">
    <cfRule type="expression" dxfId="1035" priority="96">
      <formula>ABS(H$7-H$10)&gt;=1000</formula>
    </cfRule>
  </conditionalFormatting>
  <conditionalFormatting sqref="I4:I11">
    <cfRule type="expression" dxfId="1034" priority="95">
      <formula>ABS(I$7-I$10)&gt;=1000</formula>
    </cfRule>
  </conditionalFormatting>
  <conditionalFormatting sqref="J4:J11">
    <cfRule type="expression" dxfId="1033" priority="94">
      <formula>ABS(J$7-J$10)&gt;=1000</formula>
    </cfRule>
  </conditionalFormatting>
  <conditionalFormatting sqref="K4:K11">
    <cfRule type="expression" dxfId="1032" priority="93">
      <formula>ABS(K$7-K$10)&gt;=1000</formula>
    </cfRule>
  </conditionalFormatting>
  <conditionalFormatting sqref="L4:L11">
    <cfRule type="expression" dxfId="1031" priority="92">
      <formula>ABS(L$7-L$10)&gt;=1000</formula>
    </cfRule>
  </conditionalFormatting>
  <conditionalFormatting sqref="M4 M6:M11">
    <cfRule type="expression" dxfId="1030" priority="91">
      <formula>ABS(M$7-M$10)&gt;=1000</formula>
    </cfRule>
  </conditionalFormatting>
  <conditionalFormatting sqref="N4 N6:N11">
    <cfRule type="expression" dxfId="1029" priority="90">
      <formula>ABS(N$7-N$10)&gt;=1000</formula>
    </cfRule>
  </conditionalFormatting>
  <conditionalFormatting sqref="O4 O6:O11">
    <cfRule type="expression" dxfId="1028" priority="89">
      <formula>ABS(O$7-O$10)&gt;=1000</formula>
    </cfRule>
  </conditionalFormatting>
  <conditionalFormatting sqref="P4 P6:P11">
    <cfRule type="expression" dxfId="1027" priority="88">
      <formula>ABS(P$7-P$10)&gt;=1000</formula>
    </cfRule>
  </conditionalFormatting>
  <conditionalFormatting sqref="Q4:Q11">
    <cfRule type="expression" dxfId="1026" priority="87">
      <formula>ABS(Q$7-Q$10)&gt;=1000</formula>
    </cfRule>
  </conditionalFormatting>
  <conditionalFormatting sqref="R4:R11">
    <cfRule type="expression" dxfId="1025" priority="86">
      <formula>ABS(R$7-R$10)&gt;=1000</formula>
    </cfRule>
  </conditionalFormatting>
  <conditionalFormatting sqref="S4:S11">
    <cfRule type="expression" dxfId="1024" priority="85">
      <formula>ABS(S$7-S$10)&gt;=1000</formula>
    </cfRule>
  </conditionalFormatting>
  <conditionalFormatting sqref="T4:T9 T11">
    <cfRule type="expression" dxfId="1023" priority="84">
      <formula>ABS(T$7-T$10)&gt;=1000</formula>
    </cfRule>
  </conditionalFormatting>
  <conditionalFormatting sqref="U4:U9 U11">
    <cfRule type="expression" dxfId="1022" priority="83">
      <formula>ABS(U$7-U$10)&gt;=1000</formula>
    </cfRule>
  </conditionalFormatting>
  <conditionalFormatting sqref="V4:V9 V11">
    <cfRule type="expression" dxfId="1021" priority="82">
      <formula>ABS(V$7-V$10)&gt;=1000</formula>
    </cfRule>
  </conditionalFormatting>
  <conditionalFormatting sqref="W4:W9 W11">
    <cfRule type="expression" dxfId="1020" priority="81">
      <formula>ABS(W$7-W$10)&gt;=1000</formula>
    </cfRule>
  </conditionalFormatting>
  <conditionalFormatting sqref="X4:X9 X11">
    <cfRule type="expression" dxfId="1019" priority="80">
      <formula>ABS(X$7-X$10)&gt;=1000</formula>
    </cfRule>
  </conditionalFormatting>
  <conditionalFormatting sqref="Y4:Y9 Y11">
    <cfRule type="expression" dxfId="1018" priority="79">
      <formula>ABS(Y$7-Y$10)&gt;=1000</formula>
    </cfRule>
  </conditionalFormatting>
  <conditionalFormatting sqref="Z4:Z11">
    <cfRule type="expression" dxfId="1017" priority="78">
      <formula>ABS(Z$7-Z$10)&gt;=1000</formula>
    </cfRule>
  </conditionalFormatting>
  <conditionalFormatting sqref="AA4:AA11">
    <cfRule type="expression" dxfId="1016" priority="77">
      <formula>ABS(AA$7-AA$10)&gt;=1000</formula>
    </cfRule>
  </conditionalFormatting>
  <conditionalFormatting sqref="AB4:AB11">
    <cfRule type="expression" dxfId="1015" priority="76">
      <formula>ABS(AB$7-AB$10)&gt;=1000</formula>
    </cfRule>
  </conditionalFormatting>
  <conditionalFormatting sqref="AC4 AC6:AC11">
    <cfRule type="expression" dxfId="1014" priority="75">
      <formula>ABS(AC$7-AC$10)&gt;=1000</formula>
    </cfRule>
  </conditionalFormatting>
  <conditionalFormatting sqref="AD4 AD6:AD11">
    <cfRule type="expression" dxfId="1013" priority="74">
      <formula>ABS(AD$7-AD$10)&gt;=1000</formula>
    </cfRule>
  </conditionalFormatting>
  <conditionalFormatting sqref="AE4 AE6:AE11">
    <cfRule type="expression" dxfId="1012" priority="73">
      <formula>ABS(AE$7-AE$10)&gt;=1000</formula>
    </cfRule>
  </conditionalFormatting>
  <conditionalFormatting sqref="D13:D20">
    <cfRule type="expression" dxfId="1011" priority="72">
      <formula>ABS(D$16-D$19)&gt;=1000</formula>
    </cfRule>
  </conditionalFormatting>
  <conditionalFormatting sqref="E13:E20">
    <cfRule type="expression" dxfId="1010" priority="71">
      <formula>ABS(E$16-E$19)&gt;=1000</formula>
    </cfRule>
  </conditionalFormatting>
  <conditionalFormatting sqref="F13 F15:F20">
    <cfRule type="expression" dxfId="1009" priority="70">
      <formula>ABS(F$16-F$19)&gt;=1000</formula>
    </cfRule>
  </conditionalFormatting>
  <conditionalFormatting sqref="G13:G20">
    <cfRule type="expression" dxfId="1008" priority="69">
      <formula>ABS(G$16-G$19)&gt;=1000</formula>
    </cfRule>
  </conditionalFormatting>
  <conditionalFormatting sqref="H13 H15:H20">
    <cfRule type="expression" dxfId="1007" priority="68">
      <formula>ABS(H$16-H$19)&gt;=1000</formula>
    </cfRule>
  </conditionalFormatting>
  <conditionalFormatting sqref="I13:I20">
    <cfRule type="expression" dxfId="1006" priority="67">
      <formula>ABS(I$16-I$19)&gt;=1000</formula>
    </cfRule>
  </conditionalFormatting>
  <conditionalFormatting sqref="J13:J20">
    <cfRule type="expression" dxfId="1005" priority="66">
      <formula>ABS(J$16-J$19)&gt;=1000</formula>
    </cfRule>
  </conditionalFormatting>
  <conditionalFormatting sqref="L13:L20">
    <cfRule type="expression" dxfId="1004" priority="65">
      <formula>ABS(L$16-L$19)&gt;=1000</formula>
    </cfRule>
  </conditionalFormatting>
  <conditionalFormatting sqref="M13 M15 M17:M18 M20">
    <cfRule type="expression" dxfId="1003" priority="64">
      <formula>ABS(M$16-M$19)&gt;=1000</formula>
    </cfRule>
  </conditionalFormatting>
  <conditionalFormatting sqref="N13:N20">
    <cfRule type="expression" dxfId="1002" priority="63">
      <formula>ABS(N$16-N$19)&gt;=1000</formula>
    </cfRule>
  </conditionalFormatting>
  <conditionalFormatting sqref="O13:O20">
    <cfRule type="expression" dxfId="1001" priority="62">
      <formula>ABS(O$16-O$19)&gt;=1000</formula>
    </cfRule>
  </conditionalFormatting>
  <conditionalFormatting sqref="P13:P20">
    <cfRule type="expression" dxfId="1000" priority="61">
      <formula>ABS(P$16-P$19)&gt;=1000</formula>
    </cfRule>
  </conditionalFormatting>
  <conditionalFormatting sqref="Q13 Q15:Q20">
    <cfRule type="expression" dxfId="999" priority="60">
      <formula>ABS(Q$16-Q$19)&gt;=1000</formula>
    </cfRule>
  </conditionalFormatting>
  <conditionalFormatting sqref="R13:R20">
    <cfRule type="expression" dxfId="998" priority="59">
      <formula>ABS(R$16-R$19)&gt;=1000</formula>
    </cfRule>
  </conditionalFormatting>
  <conditionalFormatting sqref="S13:S20">
    <cfRule type="expression" dxfId="997" priority="58">
      <formula>ABS(S$16-S$19)&gt;=1000</formula>
    </cfRule>
  </conditionalFormatting>
  <conditionalFormatting sqref="T13:T20">
    <cfRule type="expression" dxfId="996" priority="57">
      <formula>ABS(T$16-T$19)&gt;=1000</formula>
    </cfRule>
  </conditionalFormatting>
  <conditionalFormatting sqref="U13:U20">
    <cfRule type="expression" dxfId="995" priority="56">
      <formula>ABS(U$16-U$19)&gt;=1000</formula>
    </cfRule>
  </conditionalFormatting>
  <conditionalFormatting sqref="V13:V20">
    <cfRule type="expression" dxfId="994" priority="55">
      <formula>ABS(V$16-V$19)&gt;=1000</formula>
    </cfRule>
  </conditionalFormatting>
  <conditionalFormatting sqref="W13 W20 W15:W18">
    <cfRule type="expression" dxfId="993" priority="54">
      <formula>ABS(W$16-W$19)&gt;=1000</formula>
    </cfRule>
  </conditionalFormatting>
  <conditionalFormatting sqref="X13 X15:X20 Y19">
    <cfRule type="expression" dxfId="992" priority="53">
      <formula>ABS(X$16-X$19)&gt;=1000</formula>
    </cfRule>
  </conditionalFormatting>
  <conditionalFormatting sqref="Y13 Y15:Y18 Y20">
    <cfRule type="expression" dxfId="991" priority="52">
      <formula>ABS(Y$16-Y$19)&gt;=1000</formula>
    </cfRule>
  </conditionalFormatting>
  <conditionalFormatting sqref="Z13:Z20">
    <cfRule type="expression" dxfId="990" priority="51">
      <formula>ABS(Z$16-Z$19)&gt;=1000</formula>
    </cfRule>
  </conditionalFormatting>
  <conditionalFormatting sqref="AA13:AA20">
    <cfRule type="expression" dxfId="989" priority="50">
      <formula>ABS(AA$16-AA$19)&gt;=1000</formula>
    </cfRule>
  </conditionalFormatting>
  <conditionalFormatting sqref="AB13 AB15:AB20">
    <cfRule type="expression" dxfId="988" priority="49">
      <formula>ABS(AB$16-AB$19)&gt;=1000</formula>
    </cfRule>
  </conditionalFormatting>
  <conditionalFormatting sqref="AC13 AC15:AC20">
    <cfRule type="expression" dxfId="987" priority="48">
      <formula>ABS(AC$16-AC$19)&gt;=1000</formula>
    </cfRule>
  </conditionalFormatting>
  <conditionalFormatting sqref="AD13:AD20">
    <cfRule type="expression" dxfId="986" priority="47">
      <formula>ABS(AD$16-AD$19)&gt;=1000</formula>
    </cfRule>
  </conditionalFormatting>
  <conditionalFormatting sqref="AE13:AE20">
    <cfRule type="expression" dxfId="985" priority="46">
      <formula>ABS(AE$16-AE$19)&gt;=1000</formula>
    </cfRule>
  </conditionalFormatting>
  <conditionalFormatting sqref="D22:D29">
    <cfRule type="expression" dxfId="984" priority="45">
      <formula>ABS(D$25-D$28)&gt;=1000</formula>
    </cfRule>
  </conditionalFormatting>
  <conditionalFormatting sqref="E22:E29">
    <cfRule type="expression" dxfId="983" priority="44">
      <formula>ABS(E$25-E$28)&gt;=1000</formula>
    </cfRule>
  </conditionalFormatting>
  <conditionalFormatting sqref="F22:F29">
    <cfRule type="expression" dxfId="982" priority="43">
      <formula>ABS(F$25-F$28)&gt;=1000</formula>
    </cfRule>
  </conditionalFormatting>
  <conditionalFormatting sqref="G22:G29">
    <cfRule type="expression" dxfId="981" priority="42">
      <formula>ABS(G$25-G$28)&gt;=1000</formula>
    </cfRule>
  </conditionalFormatting>
  <conditionalFormatting sqref="H22:H29">
    <cfRule type="expression" dxfId="980" priority="41">
      <formula>ABS(H$25-H$28)&gt;=1000</formula>
    </cfRule>
  </conditionalFormatting>
  <conditionalFormatting sqref="I22 I24:I29">
    <cfRule type="expression" dxfId="979" priority="40">
      <formula>ABS(I$25-I$28)&gt;=1000</formula>
    </cfRule>
  </conditionalFormatting>
  <conditionalFormatting sqref="J22:J29 K22">
    <cfRule type="expression" dxfId="978" priority="39">
      <formula>ABS(J$25-J$28)&gt;=1000</formula>
    </cfRule>
  </conditionalFormatting>
  <conditionalFormatting sqref="K23:K29 L25 L28">
    <cfRule type="expression" dxfId="977" priority="38">
      <formula>ABS(K$25-K$28)&gt;=1000</formula>
    </cfRule>
  </conditionalFormatting>
  <conditionalFormatting sqref="L22 L26:L27 L29 L24">
    <cfRule type="expression" dxfId="976" priority="37">
      <formula>ABS(L$25-L$28)&gt;=1000</formula>
    </cfRule>
  </conditionalFormatting>
  <conditionalFormatting sqref="M22:M29">
    <cfRule type="expression" dxfId="975" priority="36">
      <formula>ABS(M$25-M$28)&gt;=1000</formula>
    </cfRule>
  </conditionalFormatting>
  <conditionalFormatting sqref="N22:N29">
    <cfRule type="expression" dxfId="974" priority="35">
      <formula>ABS(N$25-N$28)&gt;=1000</formula>
    </cfRule>
  </conditionalFormatting>
  <conditionalFormatting sqref="O22:O29">
    <cfRule type="expression" dxfId="973" priority="34">
      <formula>ABS(O$25-O$28)&gt;=1000</formula>
    </cfRule>
  </conditionalFormatting>
  <conditionalFormatting sqref="P22:P29">
    <cfRule type="expression" dxfId="972" priority="33">
      <formula>ABS(P$25-P$28)&gt;=1000</formula>
    </cfRule>
  </conditionalFormatting>
  <conditionalFormatting sqref="Q22:Q29">
    <cfRule type="expression" dxfId="971" priority="32">
      <formula>ABS(Q$25-Q$28)&gt;=1000</formula>
    </cfRule>
  </conditionalFormatting>
  <conditionalFormatting sqref="R22:R29">
    <cfRule type="expression" dxfId="970" priority="31">
      <formula>ABS(R$25-R$28)&gt;=1000</formula>
    </cfRule>
  </conditionalFormatting>
  <conditionalFormatting sqref="S22:S29">
    <cfRule type="expression" dxfId="969" priority="30">
      <formula>ABS(S$25-S$28)&gt;=1000</formula>
    </cfRule>
  </conditionalFormatting>
  <conditionalFormatting sqref="T22:T29">
    <cfRule type="expression" dxfId="968" priority="29">
      <formula>ABS(T$25-T$28)&gt;=1000</formula>
    </cfRule>
  </conditionalFormatting>
  <conditionalFormatting sqref="U22:U29">
    <cfRule type="expression" dxfId="967" priority="28">
      <formula>ABS(U$25-U$28)&gt;=1000</formula>
    </cfRule>
  </conditionalFormatting>
  <conditionalFormatting sqref="V22:V29">
    <cfRule type="expression" dxfId="966" priority="27">
      <formula>ABS(V$25-V$28)&gt;=1000</formula>
    </cfRule>
  </conditionalFormatting>
  <conditionalFormatting sqref="W22:W29">
    <cfRule type="expression" dxfId="965" priority="26">
      <formula>ABS(W$25-W$28)&gt;=1000</formula>
    </cfRule>
  </conditionalFormatting>
  <conditionalFormatting sqref="X22:X29">
    <cfRule type="expression" dxfId="964" priority="25">
      <formula>ABS(X$25-X$28)&gt;=1000</formula>
    </cfRule>
  </conditionalFormatting>
  <conditionalFormatting sqref="Y22:Y29">
    <cfRule type="expression" dxfId="963" priority="24">
      <formula>ABS(Y$25-Y$28)&gt;=1000</formula>
    </cfRule>
  </conditionalFormatting>
  <conditionalFormatting sqref="I23">
    <cfRule type="expression" dxfId="962" priority="23">
      <formula>ABS(I$25-I$28)&gt;=1000</formula>
    </cfRule>
  </conditionalFormatting>
  <conditionalFormatting sqref="Q14">
    <cfRule type="expression" dxfId="961" priority="22">
      <formula>ABS(Q$16-Q$19)&gt;=1000</formula>
    </cfRule>
  </conditionalFormatting>
  <conditionalFormatting sqref="W14">
    <cfRule type="expression" dxfId="960" priority="21">
      <formula>ABS(W$16-W$19)&gt;=1000</formula>
    </cfRule>
  </conditionalFormatting>
  <conditionalFormatting sqref="X14">
    <cfRule type="expression" dxfId="959" priority="20">
      <formula>ABS(X$16-X$19)&gt;=1000</formula>
    </cfRule>
  </conditionalFormatting>
  <conditionalFormatting sqref="T10:Y10">
    <cfRule type="expression" dxfId="958" priority="19">
      <formula>ABS(T$7-T$10)&gt;=1000</formula>
    </cfRule>
  </conditionalFormatting>
  <conditionalFormatting sqref="W19">
    <cfRule type="expression" dxfId="957" priority="18">
      <formula>ABS(W$16-W$19)&gt;=1000</formula>
    </cfRule>
  </conditionalFormatting>
  <conditionalFormatting sqref="AC5">
    <cfRule type="expression" dxfId="956" priority="17">
      <formula>ABS(AC$7-AC$10)&gt;=1000</formula>
    </cfRule>
  </conditionalFormatting>
  <conditionalFormatting sqref="M14">
    <cfRule type="expression" dxfId="955" priority="16">
      <formula>ABS(M$16-M$19)&gt;=1000</formula>
    </cfRule>
  </conditionalFormatting>
  <conditionalFormatting sqref="M16">
    <cfRule type="expression" dxfId="954" priority="15">
      <formula>ABS(M$16-M$19)&gt;=1000</formula>
    </cfRule>
  </conditionalFormatting>
  <conditionalFormatting sqref="M19">
    <cfRule type="expression" dxfId="953" priority="14">
      <formula>ABS(M$16-M$19)&gt;=1000</formula>
    </cfRule>
  </conditionalFormatting>
  <conditionalFormatting sqref="K13:K20">
    <cfRule type="expression" dxfId="952" priority="13">
      <formula>ABS(K$16-K$19)&gt;=1000</formula>
    </cfRule>
  </conditionalFormatting>
  <conditionalFormatting sqref="E5">
    <cfRule type="expression" dxfId="951" priority="12">
      <formula>ABS(E$7-E$10)&gt;=1000</formula>
    </cfRule>
  </conditionalFormatting>
  <conditionalFormatting sqref="AB14:AC14">
    <cfRule type="expression" dxfId="950" priority="11">
      <formula>ABS(AB$16-AB$19)&gt;=1000</formula>
    </cfRule>
  </conditionalFormatting>
  <conditionalFormatting sqref="M5">
    <cfRule type="expression" dxfId="949" priority="10">
      <formula>ABS(M$7-M$10)&gt;=1000</formula>
    </cfRule>
  </conditionalFormatting>
  <conditionalFormatting sqref="N5">
    <cfRule type="expression" dxfId="948" priority="9">
      <formula>ABS(N$7-N$10)&gt;=1000</formula>
    </cfRule>
  </conditionalFormatting>
  <conditionalFormatting sqref="O5">
    <cfRule type="expression" dxfId="947" priority="8">
      <formula>ABS(O$7-O$10)&gt;=1000</formula>
    </cfRule>
  </conditionalFormatting>
  <conditionalFormatting sqref="P5">
    <cfRule type="expression" dxfId="946" priority="7">
      <formula>ABS(P$7-P$10)&gt;=1000</formula>
    </cfRule>
  </conditionalFormatting>
  <conditionalFormatting sqref="L23">
    <cfRule type="expression" dxfId="945" priority="6">
      <formula>ABS(L$25-L$28)&gt;=1000</formula>
    </cfRule>
  </conditionalFormatting>
  <conditionalFormatting sqref="Y14">
    <cfRule type="expression" dxfId="944" priority="5">
      <formula>ABS(Y$16-Y$19)&gt;=1000</formula>
    </cfRule>
  </conditionalFormatting>
  <conditionalFormatting sqref="F14">
    <cfRule type="expression" dxfId="943" priority="4">
      <formula>ABS(F$16-F$19)&gt;=1000</formula>
    </cfRule>
  </conditionalFormatting>
  <conditionalFormatting sqref="H14">
    <cfRule type="expression" dxfId="942" priority="3">
      <formula>ABS(H$16-H$19)&gt;=1000</formula>
    </cfRule>
  </conditionalFormatting>
  <conditionalFormatting sqref="AD5">
    <cfRule type="expression" dxfId="941" priority="2">
      <formula>ABS(AD$7-AD$10)&gt;=1000</formula>
    </cfRule>
  </conditionalFormatting>
  <conditionalFormatting sqref="AE5">
    <cfRule type="expression" dxfId="94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3136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72">
    <pageSetUpPr fitToPage="1"/>
  </sheetPr>
  <dimension ref="A1:CU223"/>
  <sheetViews>
    <sheetView view="pageBreakPreview" topLeftCell="A7" zoomScale="70" zoomScaleNormal="100" zoomScaleSheetLayoutView="70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2" t="s" ph="1">
        <v>161</v>
      </c>
      <c r="C1" s="182" ph="1"/>
      <c r="D1" s="182" ph="1"/>
      <c r="E1" s="182" ph="1"/>
      <c r="F1" s="182" ph="1"/>
      <c r="G1" s="182" ph="1"/>
      <c r="H1" s="182" ph="1"/>
      <c r="I1" s="182" ph="1"/>
      <c r="J1" s="182" ph="1"/>
      <c r="K1" s="182" ph="1"/>
      <c r="L1" s="182" ph="1"/>
      <c r="M1" s="182" ph="1"/>
      <c r="N1" s="182" ph="1"/>
      <c r="O1" s="182" ph="1"/>
      <c r="P1" s="182" ph="1"/>
      <c r="Q1" s="182" ph="1"/>
      <c r="R1" s="182" ph="1"/>
      <c r="S1" s="182" ph="1"/>
      <c r="T1" s="182" ph="1"/>
      <c r="U1" s="182" ph="1"/>
      <c r="V1" s="182" ph="1"/>
      <c r="W1" s="182" ph="1"/>
      <c r="X1" s="182" ph="1"/>
      <c r="Y1" s="182" ph="1"/>
      <c r="Z1" s="182" ph="1"/>
      <c r="AA1" s="182" ph="1"/>
      <c r="AB1" s="182" ph="1"/>
      <c r="AC1" s="182" ph="1"/>
      <c r="AD1" s="182" ph="1"/>
      <c r="AE1" s="182" ph="1"/>
    </row>
    <row r="2" spans="1:99" s="66" customFormat="1" ht="24" customHeight="1" ph="1">
      <c r="B2" s="183" t="s" ph="1">
        <v>82</v>
      </c>
      <c r="C2" s="183" ph="1"/>
      <c r="D2" s="183" ph="1"/>
      <c r="E2" s="183" ph="1"/>
      <c r="F2" s="183" ph="1"/>
      <c r="G2" s="183" ph="1"/>
      <c r="H2" s="183" ph="1"/>
      <c r="I2" s="183" ph="1"/>
      <c r="J2" s="183" ph="1"/>
      <c r="K2" s="183" ph="1"/>
      <c r="L2" s="183" ph="1"/>
      <c r="M2" s="183" ph="1"/>
      <c r="N2" s="183" ph="1"/>
      <c r="O2" s="183" ph="1"/>
      <c r="P2" s="183" ph="1"/>
      <c r="Q2" s="183" ph="1"/>
      <c r="R2" s="183" ph="1"/>
      <c r="S2" s="183" ph="1"/>
      <c r="T2" s="183" ph="1"/>
      <c r="U2" s="183" ph="1"/>
      <c r="V2" s="183" ph="1"/>
      <c r="W2" s="183" ph="1"/>
      <c r="X2" s="183" ph="1"/>
      <c r="Y2" s="183" ph="1"/>
      <c r="Z2" s="183" ph="1"/>
      <c r="AA2" s="183" ph="1"/>
      <c r="AB2" s="183" ph="1"/>
      <c r="AC2" s="183" ph="1"/>
      <c r="AD2" s="183" ph="1"/>
      <c r="AE2" s="183" ph="1"/>
    </row>
    <row r="3" spans="1:99" ht="21" customHeight="1" ph="1">
      <c r="B3" s="184" ph="1">
        <v>46134</v>
      </c>
      <c r="C3" s="184"/>
      <c r="D3" s="184"/>
      <c r="E3" s="184"/>
      <c r="F3" s="184"/>
      <c r="G3" s="184"/>
      <c r="H3" s="184"/>
      <c r="I3" s="184"/>
      <c r="J3" s="184"/>
      <c r="K3" s="184"/>
      <c r="L3" s="184"/>
      <c r="M3" s="184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</row>
    <row r="4" spans="1:99" s="69" customFormat="1" ph="1">
      <c r="A4" s="65" ph="1"/>
      <c r="B4" s="185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5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1" ph="1">
        <v>0.33333333333333331</v>
      </c>
      <c r="C6" s="159" t="s" ph="1">
        <v>177</v>
      </c>
      <c r="D6" s="71">
        <v>2453</v>
      </c>
      <c r="E6" s="71">
        <v>7408</v>
      </c>
      <c r="F6" s="71">
        <v>5835</v>
      </c>
      <c r="G6" s="71">
        <v>8751</v>
      </c>
      <c r="H6" s="71">
        <v>4925</v>
      </c>
      <c r="I6" s="71">
        <v>10.19</v>
      </c>
      <c r="J6" s="71">
        <v>6.32</v>
      </c>
      <c r="K6" s="71">
        <v>62.93</v>
      </c>
      <c r="L6" s="71">
        <v>87.94</v>
      </c>
      <c r="M6" s="71">
        <v>489</v>
      </c>
      <c r="N6" s="71">
        <v>3653</v>
      </c>
      <c r="O6" s="71">
        <v>5105</v>
      </c>
      <c r="P6" s="71">
        <v>1399</v>
      </c>
      <c r="Q6" s="71">
        <v>6737</v>
      </c>
      <c r="R6" s="71">
        <v>7053</v>
      </c>
      <c r="S6" s="71">
        <v>6935</v>
      </c>
      <c r="T6" s="71">
        <v>3303</v>
      </c>
      <c r="U6" s="71">
        <v>612</v>
      </c>
      <c r="V6" s="71">
        <v>2466</v>
      </c>
      <c r="W6" s="71">
        <v>0</v>
      </c>
      <c r="X6" s="71">
        <v>0</v>
      </c>
      <c r="Y6" s="71">
        <v>856</v>
      </c>
      <c r="Z6" s="71">
        <v>1994</v>
      </c>
      <c r="AA6" s="71">
        <v>4216</v>
      </c>
      <c r="AB6" s="71">
        <v>1118</v>
      </c>
      <c r="AC6" s="71">
        <v>7787</v>
      </c>
      <c r="AD6" s="71">
        <v>2810</v>
      </c>
      <c r="AE6" s="71">
        <v>4465</v>
      </c>
    </row>
    <row r="7" spans="1:99" s="72" customFormat="1" ht="22.2" ph="1">
      <c r="B7" s="181" ph="1"/>
      <c r="C7" s="68" t="s" ph="1">
        <v>178</v>
      </c>
      <c r="D7" s="73" ph="1">
        <f>D6*33.183*LOOKUP(D8,密度!$A$2:$A$50,密度!$Q$2:$Q$50)</f>
        <v>76668.681068100006</v>
      </c>
      <c r="E7" s="73" ph="1">
        <f>E6*51.53*LOOKUP(E8,密度!$A$2:$A$50,密度!$B$2:$B$50)</f>
        <v>297600.01350399997</v>
      </c>
      <c r="F7" s="73" ph="1">
        <f>F6*33.183*LOOKUP(F8,密度!$A$2:$A$50,密度!$C$2:$C$50)</f>
        <v>214708.32846449999</v>
      </c>
      <c r="G7" s="73" ph="1">
        <f xml:space="preserve"> (G6+2)*51.53*LOOKUP(G8,密度!$A$2:$A$50,密度!$B$2:$B$50)</f>
        <v>351226.47548299999</v>
      </c>
      <c r="H7" s="73" ph="1">
        <f>(H6)*51.53*LOOKUP(H8,密度!$A$2:$A$50,密度!$B$2:$B$50)</f>
        <v>198764.6078</v>
      </c>
      <c r="I7" s="73" ph="1">
        <f>I6*290.8*1.0267</f>
        <v>3042.3708283999999</v>
      </c>
      <c r="J7" s="73" ph="1">
        <f>J6*290.8*0.7892</f>
        <v>1450.4359552000003</v>
      </c>
      <c r="K7" s="73" ph="1">
        <f>K6*290.8*1.1126</f>
        <v>20360.628954400003</v>
      </c>
      <c r="L7" s="73" ph="1">
        <f>L6*290.8*0.777</f>
        <v>19870.183704000003</v>
      </c>
      <c r="M7" s="73" ph="1">
        <f>M6*33.183*LOOKUP(M8,密度!$A$2:$A$50,密度!$D$2:$D$50)</f>
        <v>16645.130364600001</v>
      </c>
      <c r="N7" s="73" ph="1">
        <f>N6*33.183*LOOKUP(N8,密度!$A$2:$A$50,密度!$E$2:$E$50)</f>
        <v>94525.405720199997</v>
      </c>
      <c r="O7" s="73" ph="1">
        <f>O6*20.428*LOOKUP(O8,密度!$A$2:$A$50,密度!$C$2:$C$50)</f>
        <v>115245.287194</v>
      </c>
      <c r="P7" s="73" ph="1">
        <f>P6*51.53*LOOKUP(P8,密度!$A$2:$A$50,密度!$B$2:$B$50)</f>
        <v>56266.611834999996</v>
      </c>
      <c r="Q7" s="73" ph="1">
        <f>Q6*1.5*1.5*3.1416*LOOKUP(W8,密度!$A$2:$A$50,密度!$L$2:$L$50)</f>
        <v>44621.025233400003</v>
      </c>
      <c r="R7" s="73" ph="1">
        <f>R6*1.5*1.5*3.1416*LOOKUP(R8,密度!$A$2:$A$50,密度!$L$2:$L$50)</f>
        <v>46414.852129800005</v>
      </c>
      <c r="S7" s="73" ph="1">
        <f>S6*1.5*1.5*3.1416*LOOKUP(S8,密度!$A$2:$A$50,密度!$L$2:$L$50)</f>
        <v>46079.49654</v>
      </c>
      <c r="T7" s="73" ph="1">
        <f>T6*1.5*1.5*3.1416*LOOKUP(T8,密度!$A$2:$A$50,密度!$L$2:$L$50)</f>
        <v>21970.0782378</v>
      </c>
      <c r="U7" s="73" ph="1">
        <f>U6*1.5*1.5*3.1416*LOOKUP(U8,密度!$A$2:$A$50,密度!$L$2:$L$50)</f>
        <v>4053.4462583999998</v>
      </c>
      <c r="V7" s="73" ph="1">
        <f>V6*1.5*1.5*3.1416*LOOKUP(V8,密度!$A$2:$A$50,密度!$L$2:$L$50)</f>
        <v>16298.141706000002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5669.5261392000002</v>
      </c>
      <c r="Z7" s="73" ph="1">
        <f>Z6*33.183*LOOKUP(Z8,密度!$A$2:$A$50,密度!$L$2:$L$50)</f>
        <v>62130.720977999998</v>
      </c>
      <c r="AA7" s="73" ph="1">
        <f>AA6*33.183*LOOKUP(AA8,密度!$A$2:$A$50,密度!$D$2:$D$50)</f>
        <v>143508.9358224</v>
      </c>
      <c r="AB7" s="73" ph="1">
        <f>AB6*20.428*LOOKUP(AB8,密度!$A$2:$A$50,密度!$D$2:$D$50)</f>
        <v>23555.633025600004</v>
      </c>
      <c r="AC7" s="73" ph="1">
        <f>AC6*51.53*LOOKUP(AC8,密度!$A$2:$A$50,密度!$Q$2:$Q$50)</f>
        <v>380478.62910199998</v>
      </c>
      <c r="AD7" s="73" ph="1">
        <f>AD6*20.428*LOOKUP(AD8,密度!$A$2:$A$50,密度!$V$2:$V$50)</f>
        <v>54968.806367999998</v>
      </c>
      <c r="AE7" s="73" ph="1">
        <f>AE6*20.428</f>
        <v>91211.02</v>
      </c>
    </row>
    <row r="8" spans="1:99" ph="1">
      <c r="B8" s="181" ph="1"/>
      <c r="C8" s="68" t="s" ph="1">
        <v>179</v>
      </c>
      <c r="D8" s="74">
        <v>32</v>
      </c>
      <c r="E8" s="74">
        <v>25</v>
      </c>
      <c r="F8" s="74">
        <v>25</v>
      </c>
      <c r="G8" s="74">
        <v>26</v>
      </c>
      <c r="H8" s="74">
        <v>21</v>
      </c>
      <c r="I8" s="74">
        <v>25</v>
      </c>
      <c r="J8" s="74">
        <v>25</v>
      </c>
      <c r="K8" s="74">
        <v>25</v>
      </c>
      <c r="L8" s="74">
        <v>25</v>
      </c>
      <c r="M8" s="74">
        <v>26</v>
      </c>
      <c r="N8" s="74">
        <v>28</v>
      </c>
      <c r="O8" s="74">
        <v>30</v>
      </c>
      <c r="P8" s="74">
        <v>24</v>
      </c>
      <c r="Q8" s="74">
        <v>27</v>
      </c>
      <c r="R8" s="74">
        <v>31</v>
      </c>
      <c r="S8" s="74">
        <v>22</v>
      </c>
      <c r="T8" s="74">
        <v>21</v>
      </c>
      <c r="U8" s="74">
        <v>25</v>
      </c>
      <c r="V8" s="74">
        <v>27</v>
      </c>
      <c r="W8" s="74">
        <v>25</v>
      </c>
      <c r="X8" s="74">
        <v>15</v>
      </c>
      <c r="Y8" s="74">
        <v>25</v>
      </c>
      <c r="Z8" s="74">
        <v>23</v>
      </c>
      <c r="AA8" s="74">
        <v>26</v>
      </c>
      <c r="AB8" s="74">
        <v>20</v>
      </c>
      <c r="AC8" s="74">
        <v>23</v>
      </c>
      <c r="AD8" s="74">
        <v>26</v>
      </c>
      <c r="AE8" s="74">
        <v>29</v>
      </c>
    </row>
    <row r="9" spans="1:99" ht="26.4" ph="1">
      <c r="B9" s="181" ph="1">
        <v>0.66666666666666663</v>
      </c>
      <c r="C9" s="159" t="s" ph="1">
        <v>180</v>
      </c>
      <c r="D9" s="71">
        <v>2841</v>
      </c>
      <c r="E9" s="71">
        <v>7410</v>
      </c>
      <c r="F9" s="71">
        <v>5838</v>
      </c>
      <c r="G9" s="71">
        <v>8834</v>
      </c>
      <c r="H9" s="71">
        <v>4650</v>
      </c>
      <c r="I9" s="71">
        <v>3.52</v>
      </c>
      <c r="J9" s="71">
        <v>6.32</v>
      </c>
      <c r="K9" s="71">
        <v>63.31</v>
      </c>
      <c r="L9" s="71">
        <v>56.38</v>
      </c>
      <c r="M9" s="71">
        <v>487</v>
      </c>
      <c r="N9" s="71">
        <v>3658</v>
      </c>
      <c r="O9" s="71">
        <v>5106</v>
      </c>
      <c r="P9" s="71">
        <v>1393</v>
      </c>
      <c r="Q9" s="71">
        <v>4118</v>
      </c>
      <c r="R9" s="71">
        <v>7063</v>
      </c>
      <c r="S9" s="71">
        <v>6946</v>
      </c>
      <c r="T9" s="71">
        <v>6191</v>
      </c>
      <c r="U9" s="71">
        <v>3318</v>
      </c>
      <c r="V9" s="71">
        <v>5621</v>
      </c>
      <c r="W9" s="71">
        <v>0</v>
      </c>
      <c r="X9" s="71">
        <v>0</v>
      </c>
      <c r="Y9" s="71">
        <v>0</v>
      </c>
      <c r="Z9" s="71">
        <v>2640</v>
      </c>
      <c r="AA9" s="71">
        <v>4224</v>
      </c>
      <c r="AB9" s="71">
        <v>961</v>
      </c>
      <c r="AC9" s="71">
        <v>7933</v>
      </c>
      <c r="AD9" s="71">
        <v>2810</v>
      </c>
      <c r="AE9" s="71">
        <v>4416</v>
      </c>
    </row>
    <row r="10" spans="1:99" s="72" customFormat="1" ht="22.2" ph="1">
      <c r="B10" s="181" ph="1"/>
      <c r="C10" s="159" t="s" ph="1">
        <v>178</v>
      </c>
      <c r="D10" s="73" ph="1">
        <f>D9*33.183*LOOKUP(D11,密度!$A$2:$A$50,密度!$Q$2:$Q$50)</f>
        <v>88734.369948750013</v>
      </c>
      <c r="E10" s="73" ph="1">
        <f>E9*51.53*LOOKUP(E11,密度!$A$2:$A$50,密度!$B$2:$B$50)</f>
        <v>295351.15154999995</v>
      </c>
      <c r="F10" s="73" ph="1">
        <f>F9*33.183*LOOKUP(F11,密度!$A$2:$A$50,密度!$C$2:$C$50)</f>
        <v>214528.13481959997</v>
      </c>
      <c r="G10" s="73" ph="1">
        <f xml:space="preserve"> (G9+2)*51.53*LOOKUP(G11,密度!$A$2:$A$50,密度!$B$2:$B$50)</f>
        <v>352599.09555199998</v>
      </c>
      <c r="H10" s="73" ph="1">
        <f>(H9)*51.53*LOOKUP(H11,密度!$A$2:$A$50,密度!$B$2:$B$50)</f>
        <v>185557.4688</v>
      </c>
      <c r="I10" s="73" ph="1">
        <f>I9*290.8*1.0267</f>
        <v>1050.9465471999999</v>
      </c>
      <c r="J10" s="73" ph="1">
        <f>J9*290.8*0.7892</f>
        <v>1450.4359552000003</v>
      </c>
      <c r="K10" s="73" ph="1">
        <f>K9*290.8*1.1126</f>
        <v>20483.575704800005</v>
      </c>
      <c r="L10" s="73" ph="1">
        <f>L9*290.8*0.777</f>
        <v>12739.151208000001</v>
      </c>
      <c r="M10" s="73" ph="1">
        <f>M9*33.183*LOOKUP(M11,密度!$A$2:$A$50,密度!$D$2:$D$50)</f>
        <v>16459.083238499999</v>
      </c>
      <c r="N10" s="73" ph="1">
        <f>N9*33.183*LOOKUP(N11,密度!$A$2:$A$50,密度!$E$2:$E$50)</f>
        <v>94521.264481799997</v>
      </c>
      <c r="O10" s="73" ph="1">
        <f>O9*20.428*LOOKUP(O11,密度!$A$2:$A$50,密度!$C$2:$C$50)</f>
        <v>114829.7796312</v>
      </c>
      <c r="P10" s="73" ph="1">
        <f>P9*51.53*LOOKUP(P11,密度!$A$2:$A$50,密度!$B$2:$B$50)</f>
        <v>55587.430976000003</v>
      </c>
      <c r="Q10" s="73" ph="1">
        <f>Q9*1.5*1.5*3.1416*LOOKUP(W11,密度!$A$2:$A$50,密度!$L$2:$L$50)</f>
        <v>26896.249195200002</v>
      </c>
      <c r="R10" s="73" ph="1">
        <f>R9*1.5*1.5*3.1416*LOOKUP(R11,密度!$A$2:$A$50,密度!$L$2:$L$50)</f>
        <v>46380.809752200003</v>
      </c>
      <c r="S10" s="73" ph="1">
        <f>S9*1.5*1.5*3.1416*LOOKUP(S11,密度!$A$2:$A$50,密度!$L$2:$L$50)</f>
        <v>46054.388872800002</v>
      </c>
      <c r="T10" s="73" ph="1">
        <f>T9*1.5*1.5*3.1416*LOOKUP(T11,密度!$A$2:$A$50,密度!$L$2:$L$50)</f>
        <v>41092.238741399997</v>
      </c>
      <c r="U10" s="73" ph="1">
        <f>U9*1.5*1.5*3.1416*LOOKUP(U11,密度!$A$2:$A$50,密度!$L$2:$L$50)</f>
        <v>21952.583452800001</v>
      </c>
      <c r="V10" s="73" ph="1">
        <f>V9*1.5*1.5*3.1416*LOOKUP(V11,密度!$A$2:$A$50,密度!$L$2:$L$50)</f>
        <v>37110.2489604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81821.314079999996</v>
      </c>
      <c r="AA10" s="73" ph="1">
        <f>AA9*33.183*LOOKUP(AA11,密度!$A$2:$A$50,密度!$D$2:$D$50)</f>
        <v>142996.3248384</v>
      </c>
      <c r="AB10" s="73" ph="1">
        <f>AB9*20.428*LOOKUP(AB11,密度!$A$2:$A$50,密度!$D$2:$D$50)</f>
        <v>20118.164438399999</v>
      </c>
      <c r="AC10" s="73" ph="1">
        <f>AC9*51.53*LOOKUP(AC11,密度!$A$2:$A$50,密度!$Q$2:$Q$50)</f>
        <v>385621.50294169999</v>
      </c>
      <c r="AD10" s="73" ph="1">
        <f>AD9*20.428*LOOKUP(AD11,密度!$A$2:$A$50,密度!$V$2:$V$50)</f>
        <v>54968.806367999998</v>
      </c>
      <c r="AE10" s="73" ph="1">
        <f>AE9*20.428</f>
        <v>90210.04800000001</v>
      </c>
    </row>
    <row r="11" spans="1:99" ph="1">
      <c r="A11" s="64" t="s" ph="1">
        <v>162</v>
      </c>
      <c r="B11" s="181" ph="1"/>
      <c r="C11" s="159" t="s" ph="1">
        <v>179</v>
      </c>
      <c r="D11" s="74">
        <v>33</v>
      </c>
      <c r="E11" s="74">
        <v>32</v>
      </c>
      <c r="F11" s="74">
        <v>27</v>
      </c>
      <c r="G11" s="74">
        <v>31</v>
      </c>
      <c r="H11" s="74">
        <v>31</v>
      </c>
      <c r="I11" s="74">
        <v>25</v>
      </c>
      <c r="J11" s="74">
        <v>25</v>
      </c>
      <c r="K11" s="74">
        <v>25</v>
      </c>
      <c r="L11" s="74">
        <v>25</v>
      </c>
      <c r="M11" s="74">
        <v>34</v>
      </c>
      <c r="N11" s="74">
        <v>29</v>
      </c>
      <c r="O11" s="74">
        <v>34</v>
      </c>
      <c r="P11" s="74">
        <v>31</v>
      </c>
      <c r="Q11" s="74">
        <v>31</v>
      </c>
      <c r="R11" s="74">
        <v>33</v>
      </c>
      <c r="S11" s="74">
        <v>24</v>
      </c>
      <c r="T11" s="74">
        <v>23</v>
      </c>
      <c r="U11" s="74">
        <v>26</v>
      </c>
      <c r="V11" s="74">
        <v>28</v>
      </c>
      <c r="W11" s="74">
        <v>38</v>
      </c>
      <c r="X11" s="74">
        <v>26</v>
      </c>
      <c r="Y11" s="74">
        <v>32</v>
      </c>
      <c r="Z11" s="74">
        <v>28</v>
      </c>
      <c r="AA11" s="74">
        <v>32</v>
      </c>
      <c r="AB11" s="74">
        <v>27</v>
      </c>
      <c r="AC11" s="74">
        <v>30</v>
      </c>
      <c r="AD11" s="74">
        <v>33</v>
      </c>
      <c r="AE11" s="74">
        <v>31</v>
      </c>
    </row>
    <row r="12" spans="1:99" ht="9.9" customHeight="1" ph="1"/>
    <row r="13" spans="1:99" s="72" customFormat="1" ht="29.25" customHeight="1" ph="1">
      <c r="B13" s="189" t="s" ph="1">
        <v>37</v>
      </c>
      <c r="C13" s="159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0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639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1" ph="1">
        <v>0.33333333333333331</v>
      </c>
      <c r="C15" s="159" t="s" ph="1">
        <v>177</v>
      </c>
      <c r="D15" s="78">
        <v>4657</v>
      </c>
      <c r="E15" s="78">
        <v>6049</v>
      </c>
      <c r="F15" s="78">
        <v>5438</v>
      </c>
      <c r="G15" s="78">
        <v>3039</v>
      </c>
      <c r="H15" s="78">
        <v>2007</v>
      </c>
      <c r="I15" s="78">
        <v>2533</v>
      </c>
      <c r="J15" s="78">
        <v>4496</v>
      </c>
      <c r="K15" s="78">
        <v>5016</v>
      </c>
      <c r="L15" s="78">
        <v>5092</v>
      </c>
      <c r="M15" s="78">
        <v>3152</v>
      </c>
      <c r="N15" s="78">
        <v>1776</v>
      </c>
      <c r="O15" s="78">
        <v>3756</v>
      </c>
      <c r="P15" s="78">
        <v>2336</v>
      </c>
      <c r="Q15" s="78">
        <v>2731</v>
      </c>
      <c r="R15" s="78">
        <v>7419</v>
      </c>
      <c r="S15" s="78">
        <v>6488</v>
      </c>
      <c r="T15" s="78">
        <v>4149</v>
      </c>
      <c r="U15" s="78">
        <v>1722</v>
      </c>
      <c r="V15" s="78">
        <v>1668</v>
      </c>
      <c r="W15" s="71">
        <v>-173</v>
      </c>
      <c r="X15" s="78">
        <v>-144</v>
      </c>
      <c r="Y15" s="106">
        <v>-2363</v>
      </c>
      <c r="Z15" s="78">
        <v>0</v>
      </c>
      <c r="AA15" s="78">
        <v>6838</v>
      </c>
      <c r="AB15" s="78" ph="1">
        <v>5588</v>
      </c>
      <c r="AC15" s="78" ph="1">
        <v>2271</v>
      </c>
      <c r="AD15" s="78">
        <v>5.37</v>
      </c>
      <c r="AE15" s="78">
        <v>51.74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2" ph="1"/>
      <c r="C16" s="159" t="s" ph="1">
        <v>178</v>
      </c>
      <c r="D16" s="73" ph="1">
        <f>D15*7.0686*LOOKUP(D17,密度!$A$2:$A$50,密度!$L$2:$L$50)</f>
        <v>30811.688107200003</v>
      </c>
      <c r="E16" s="73" ph="1">
        <f>E15*7.0686*LOOKUP(E17,密度!$A$2:$A$50,密度!$L$2:$L$50)</f>
        <v>39978.693909000001</v>
      </c>
      <c r="F16" s="73" ph="1">
        <f>F15*9.0746*LOOKUP(F17,密度!$A$2:$A$50,密度!$L$2:$L$50)</f>
        <v>46041.380588400003</v>
      </c>
      <c r="G16" s="73" ph="1">
        <f>G15*9.0746*LOOKUP(G17,密度!$A$2:$A$50,密度!$B$2:$B$50)</f>
        <v>21474.762309779999</v>
      </c>
      <c r="H16" s="73" ph="1">
        <f>H15*9.0746*LOOKUP(H17,密度!$A$2:$A$50,密度!$L$2:$L$50)</f>
        <v>17138.1715902</v>
      </c>
      <c r="I16" s="73" ph="1">
        <f>I15*9.0746*LOOKUP(I17,密度!$A$2:$A$50,密度!$U$2:$U$50)</f>
        <v>23560.610844999999</v>
      </c>
      <c r="J16" s="73" ph="1">
        <f>J15*9.0746*LOOKUP(J17,密度!$A$2:$A$50,密度!$L$2:$L$50)</f>
        <v>38188.239897599997</v>
      </c>
      <c r="K16" s="73" ph="1">
        <f>K15*9.0746*LOOKUP(K17,密度!$A$2:$A$50,密度!$C$2:$C$50)</f>
        <v>50438.710328159999</v>
      </c>
      <c r="L16" s="73" ph="1">
        <f>L15*9.0746*LOOKUP(L17,密度!$A$2:$A$50,密度!$E$2:$E$50)</f>
        <v>36088.341159199997</v>
      </c>
      <c r="M16" s="73" ph="1">
        <f>M15*9.0746*LOOKUP(M17,密度!$A$2:$A$50,密度!$M$2:$M$50)</f>
        <v>24941.937382399999</v>
      </c>
      <c r="N16" s="73" ph="1">
        <f>N15*9.0746*LOOKUP(N17,密度!$A$2:$A$50,密度!$M$2:$M$50)</f>
        <v>14103.54004896</v>
      </c>
      <c r="O16" s="73" ph="1">
        <f>O15*9.0746*LOOKUP(O17,密度!$A$2:$A$50,密度!$G$2:$G$50)</f>
        <v>32686.7454984</v>
      </c>
      <c r="P16" s="73" ph="1">
        <f ca="1">P15*9.0746*LOOKUP(P17,密度!$A$2:$A$51,密度!$Q$2:$Q$50)</f>
        <v>20054.195205568001</v>
      </c>
      <c r="Q16" s="73" ph="1">
        <f>Q15*9.0746*LOOKUP(Q17,密度!$A$2:$A$50,密度!$Q$2:$Q$50)</f>
        <v>23427.612781431999</v>
      </c>
      <c r="R16" s="73" ph="1">
        <f>MAX(R15*9.0746*LOOKUP(R17,密度!$A$2:$A$50,密度!$B$2:$B$50),0)</f>
        <v>52311.103399799998</v>
      </c>
      <c r="S16" s="73" ph="1">
        <f>S15*9.0746*LOOKUP(S17,密度!$A$2:$A$50,密度!$Q$2:$Q$50)</f>
        <v>55656.664857536009</v>
      </c>
      <c r="T16" s="73" ph="1">
        <f>T15*9.0746*LOOKUP(T17,密度!$A$2:$A$50,密度!$O$2:$O$50)</f>
        <v>34864.377260400004</v>
      </c>
      <c r="U16" s="73" ph="1">
        <f>U15*9.0746*LOOKUP(U17,密度!$A$2:$A$50,密度!$H$2:$H$50)</f>
        <v>14293.52405964</v>
      </c>
      <c r="V16" s="73" ph="1">
        <f>MAX(5600*LOOKUP(V17,密度!$A$2:$A$50,密度!$Q$2:$Q$50)+V15*9.0476*LOOKUP(V17,密度!$A$2:$A$50,密度!$Q$2:$Q$50),0)</f>
        <v>19545.507245215998</v>
      </c>
      <c r="W16" s="73" ph="1">
        <f>MAX(5600*LOOKUP(W17,密度!$A$2:$A$50,密度!$Q$2:$Q$50)+W15*9.0476*LOOKUP(W17,密度!$A$2:$A$50,密度!$Q$2:$Q$50),0)</f>
        <v>3817.0089221560002</v>
      </c>
      <c r="X16" s="73" ph="1">
        <f>MAX(5600*LOOKUP(X17,密度!$A$2:$A$50,密度!$I$2:$I$50)+X15*9.0476*LOOKUP(X17,密度!$A$2:$A$50,密度!$I$2:$I$50),0)</f>
        <v>4469.4611385600001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48319.981794760002</v>
      </c>
      <c r="AB16" s="73" ph="1">
        <f>AB15*9.0746*LOOKUP(AB17,密度!$A$2:$A$50,密度!$L$2:$L$50)</f>
        <v>47159.244264000008</v>
      </c>
      <c r="AC16" s="73" ph="1">
        <f>AC15*9.0746*LOOKUP(AC17,密度!$A$2:$A$50,密度!$L$2:$L$50)</f>
        <v>19310.086354200001</v>
      </c>
      <c r="AD16" s="73" ph="1">
        <f>AD15*268.68*LOOKUP(AD17,密度!$A$2:$A$50,密度!B2:B50)+IF(AD15&lt;=0,0,1566*LOOKUP(AD17,密度!$A$2:$A$50,密度!B2:B50))</f>
        <v>2345.6695233599999</v>
      </c>
      <c r="AE16" s="73" ph="1">
        <f>AE15*268.68*LOOKUP(AE17,密度!$A$2:$A$50,密度!B2:B50)+IF(AE15&lt;=0,0,1566*LOOKUP(AE17,密度!$A$2:$A$50,密度!B2:B50))</f>
        <v>12058.46549472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3" ph="1"/>
      <c r="C17" s="79" t="s" ph="1">
        <v>179</v>
      </c>
      <c r="D17" s="74">
        <v>26</v>
      </c>
      <c r="E17" s="74">
        <v>27</v>
      </c>
      <c r="F17" s="74">
        <v>29</v>
      </c>
      <c r="G17" s="74">
        <v>26</v>
      </c>
      <c r="H17" s="74">
        <v>21</v>
      </c>
      <c r="I17" s="74">
        <v>25</v>
      </c>
      <c r="J17" s="74">
        <v>26</v>
      </c>
      <c r="K17" s="74">
        <v>26</v>
      </c>
      <c r="L17" s="74">
        <v>27</v>
      </c>
      <c r="M17" s="74">
        <v>28</v>
      </c>
      <c r="N17" s="74">
        <v>25</v>
      </c>
      <c r="O17" s="74">
        <v>26</v>
      </c>
      <c r="P17" s="74">
        <v>26</v>
      </c>
      <c r="Q17" s="74">
        <v>27</v>
      </c>
      <c r="R17" s="74">
        <v>28</v>
      </c>
      <c r="S17" s="74">
        <v>27</v>
      </c>
      <c r="T17" s="74">
        <v>26</v>
      </c>
      <c r="U17" s="74">
        <v>25</v>
      </c>
      <c r="V17" s="74">
        <v>28</v>
      </c>
      <c r="W17" s="74">
        <v>26</v>
      </c>
      <c r="X17" s="74">
        <v>27</v>
      </c>
      <c r="Y17" s="108">
        <v>27</v>
      </c>
      <c r="Z17" s="74">
        <v>25</v>
      </c>
      <c r="AA17" s="74">
        <v>26</v>
      </c>
      <c r="AB17" s="74">
        <v>32</v>
      </c>
      <c r="AC17" s="74">
        <v>25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1" ph="1">
        <v>0.66666666666666663</v>
      </c>
      <c r="C18" s="79" t="s" ph="1">
        <v>180</v>
      </c>
      <c r="D18" s="71">
        <v>2976</v>
      </c>
      <c r="E18" s="71">
        <v>6055</v>
      </c>
      <c r="F18" s="71">
        <v>3450</v>
      </c>
      <c r="G18" s="71">
        <v>3322</v>
      </c>
      <c r="H18" s="71">
        <v>2008</v>
      </c>
      <c r="I18" s="71">
        <v>5091</v>
      </c>
      <c r="J18" s="71">
        <v>4548</v>
      </c>
      <c r="K18" s="71">
        <v>5018</v>
      </c>
      <c r="L18" s="71">
        <v>4652</v>
      </c>
      <c r="M18" s="71">
        <v>753</v>
      </c>
      <c r="N18" s="71">
        <v>2897</v>
      </c>
      <c r="O18" s="71">
        <v>1357</v>
      </c>
      <c r="P18" s="71">
        <v>2339</v>
      </c>
      <c r="Q18" s="71">
        <v>980</v>
      </c>
      <c r="R18" s="71">
        <v>7428</v>
      </c>
      <c r="S18" s="71">
        <v>6497</v>
      </c>
      <c r="T18" s="71">
        <v>4152</v>
      </c>
      <c r="U18" s="71">
        <v>1723</v>
      </c>
      <c r="V18" s="71">
        <v>1668</v>
      </c>
      <c r="W18" s="71">
        <v>-173</v>
      </c>
      <c r="X18" s="71">
        <v>-147</v>
      </c>
      <c r="Y18" s="109">
        <v>-9909</v>
      </c>
      <c r="Z18" s="71">
        <v>0</v>
      </c>
      <c r="AA18" s="71">
        <v>5936</v>
      </c>
      <c r="AB18" s="71">
        <v>5339</v>
      </c>
      <c r="AC18" s="71">
        <v>0</v>
      </c>
      <c r="AD18" s="71">
        <v>24.23</v>
      </c>
      <c r="AE18" s="71">
        <v>84.77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2" ph="1"/>
      <c r="C19" s="159" t="s" ph="1">
        <v>178</v>
      </c>
      <c r="D19" s="73" ph="1">
        <f>D18*7.0686*LOOKUP(D20,密度!$A$2:$A$50,密度!$L$2:$L$50)</f>
        <v>19626.731308800001</v>
      </c>
      <c r="E19" s="73" ph="1">
        <f>E18*7.0686*LOOKUP(E20,密度!$A$2:$A$50,密度!$L$2:$L$50)</f>
        <v>39889.947636000004</v>
      </c>
      <c r="F19" s="73" ph="1">
        <f>F18*9.0746*LOOKUP(F20,密度!$A$2:$A$50,密度!$L$2:$L$50)</f>
        <v>29084.546730000002</v>
      </c>
      <c r="G19" s="73" ph="1">
        <f>G18*9.0746*LOOKUP(G20,密度!$A$2:$A$50,密度!$B$2:$B$50)</f>
        <v>23399.186415440003</v>
      </c>
      <c r="H19" s="73" ph="1">
        <f>H18*9.0746*LOOKUP(H20,密度!$A$2:$A$50,密度!$L$2:$L$50)</f>
        <v>17073.823601600001</v>
      </c>
      <c r="I19" s="73" ph="1">
        <f>I18*9.0746*LOOKUP(I20,密度!$A$2:$A$50,密度!$U$2:$U$50)</f>
        <v>46891.770428999997</v>
      </c>
      <c r="J19" s="73" ph="1">
        <f>J18*9.0746*LOOKUP(J20,密度!$A$2:$A$50,密度!$L$2:$L$50)</f>
        <v>38382.291144000003</v>
      </c>
      <c r="K19" s="73" ph="1">
        <f>K18*9.0746*LOOKUP(K20,密度!$A$2:$A$50,密度!$C$2:$C$50)</f>
        <v>50322.21242828</v>
      </c>
      <c r="L19" s="73" ph="1">
        <f>L18*9.0746*LOOKUP(L20,密度!$A$2:$A$50,密度!$E$2:$E$50)</f>
        <v>32872.85102504</v>
      </c>
      <c r="M19" s="73" ph="1">
        <f>M18*9.0746*LOOKUP(M20,密度!$A$2:$A$50,密度!$M$2:$M$50)</f>
        <v>5915.6152221360007</v>
      </c>
      <c r="N19" s="73" ph="1">
        <f>N18*9.0746*LOOKUP(N20,密度!$A$2:$A$50,密度!$M$2:$M$50)</f>
        <v>22979.316470419999</v>
      </c>
      <c r="O19" s="73" ph="1">
        <f>O18*9.0746*LOOKUP(O20,密度!$A$2:$A$50,密度!$G$2:$G$50)</f>
        <v>11744.206391461999</v>
      </c>
      <c r="P19" s="73" ph="1">
        <f ca="1">P18*9.0746*LOOKUP(P20,密度!$A$2:$A$51,密度!$Q$2:$Q$50)</f>
        <v>20035.376209342005</v>
      </c>
      <c r="Q19" s="73" ph="1">
        <f>Q18*9.0746*LOOKUP(Q20,密度!$A$2:$A$50,密度!$Q$2:$Q$50)</f>
        <v>8364.7684537200003</v>
      </c>
      <c r="R19" s="73" ph="1">
        <f>MAX(R18*9.0746*LOOKUP(R20,密度!$A$2:$A$50,密度!$B$2:$B$50),0)</f>
        <v>52259.971658640003</v>
      </c>
      <c r="S19" s="73" ph="1">
        <f>S18*9.0746*LOOKUP(S20,密度!$A$2:$A$50,密度!$Q$2:$Q$50)</f>
        <v>55616.544689745999</v>
      </c>
      <c r="T19" s="73" ph="1">
        <f>T18*9.0746*LOOKUP(T20,密度!$A$2:$A$50,密度!$O$2:$O$50)</f>
        <v>34889.586499200006</v>
      </c>
      <c r="U19" s="73" ph="1">
        <f>U18*9.0746*LOOKUP(U20,密度!$A$2:$A$50,密度!$H$2:$H$50)</f>
        <v>14243.973113800001</v>
      </c>
      <c r="V19" s="73" ph="1">
        <f>MAX(5600*LOOKUP(V20,密度!$A$2:$A$50,密度!$Q$2:$Q$50)+V18*9.0476*LOOKUP(V20,密度!$A$2:$A$50,密度!$Q$2:$Q$50),0)</f>
        <v>19489.226645919996</v>
      </c>
      <c r="W19" s="73" ph="1">
        <f>MAX(5600*LOOKUP(W20,密度!$A$2:$A$50,密度!$Q$2:$Q$50)+W18*9.0476*LOOKUP(W20,密度!$A$2:$A$50,密度!$Q$2:$Q$50),0)</f>
        <v>3800.3453418799995</v>
      </c>
      <c r="X19" s="73" ph="1">
        <f>MAX(5600*LOOKUP(X20,密度!$A$2:$A$50,密度!$I$2:$I$50)+X18*9.0476*LOOKUP(X20,密度!$A$2:$A$50,密度!$I$2:$I$50),0)</f>
        <v>4422.0148996800008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41854.523491200001</v>
      </c>
      <c r="AB19" s="73" ph="1">
        <f>AB18*9.0746*LOOKUP(AB20,密度!$A$2:$A$50,密度!$L$2:$L$50)</f>
        <v>45057.839142000004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6275.1424428</v>
      </c>
      <c r="AE19" s="73" ph="1">
        <f>AE18*268.68*LOOKUP(AE20,密度!$A$2:$A$50,密度!B5:B53)+IF(AE18&lt;=0,0,1566*LOOKUP(AE20,密度!$A$2:$A$50,密度!B5:B53))</f>
        <v>18913.736797199999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2" ph="1"/>
      <c r="C20" s="80" t="s" ph="1">
        <v>179</v>
      </c>
      <c r="D20" s="81">
        <v>29</v>
      </c>
      <c r="E20" s="81">
        <v>30</v>
      </c>
      <c r="F20" s="81">
        <v>33</v>
      </c>
      <c r="G20" s="81">
        <v>29</v>
      </c>
      <c r="H20" s="81">
        <v>25</v>
      </c>
      <c r="I20" s="81">
        <v>35</v>
      </c>
      <c r="J20" s="81">
        <v>32</v>
      </c>
      <c r="K20" s="81">
        <v>30</v>
      </c>
      <c r="L20" s="81">
        <v>29</v>
      </c>
      <c r="M20" s="81">
        <v>34</v>
      </c>
      <c r="N20" s="81">
        <v>26</v>
      </c>
      <c r="O20" s="81">
        <v>31</v>
      </c>
      <c r="P20" s="81">
        <v>29</v>
      </c>
      <c r="Q20" s="81">
        <v>34</v>
      </c>
      <c r="R20" s="81">
        <v>30</v>
      </c>
      <c r="S20" s="81">
        <v>30</v>
      </c>
      <c r="T20" s="81">
        <v>29</v>
      </c>
      <c r="U20" s="81">
        <v>29</v>
      </c>
      <c r="V20" s="81">
        <v>32</v>
      </c>
      <c r="W20" s="81">
        <v>32</v>
      </c>
      <c r="X20" s="81">
        <v>31</v>
      </c>
      <c r="Y20" s="110">
        <v>31</v>
      </c>
      <c r="Z20" s="81">
        <v>34</v>
      </c>
      <c r="AA20" s="81">
        <v>28</v>
      </c>
      <c r="AB20" s="81">
        <v>32</v>
      </c>
      <c r="AC20" s="81">
        <v>32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0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69" t="s" ph="1">
        <v>69</v>
      </c>
      <c r="AA22" s="170"/>
      <c r="AB22" s="170"/>
      <c r="AC22" s="170"/>
      <c r="AD22" s="170"/>
      <c r="AE22" s="17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5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72" t="s" ph="1">
        <v>641</v>
      </c>
      <c r="AA23" s="173"/>
      <c r="AB23" s="173"/>
      <c r="AC23" s="173"/>
      <c r="AD23" s="173"/>
      <c r="AE23" s="17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1" ph="1">
        <v>0.33333333333333331</v>
      </c>
      <c r="C24" s="159" t="s" ph="1">
        <v>177</v>
      </c>
      <c r="D24" s="71">
        <v>60.44</v>
      </c>
      <c r="E24" s="71">
        <v>5.59</v>
      </c>
      <c r="F24" s="71">
        <v>919</v>
      </c>
      <c r="G24" s="71">
        <v>2603</v>
      </c>
      <c r="H24" s="71">
        <v>2593</v>
      </c>
      <c r="I24" s="71">
        <v>3034</v>
      </c>
      <c r="J24" s="71">
        <v>830</v>
      </c>
      <c r="K24" s="71">
        <v>1562</v>
      </c>
      <c r="L24" s="71">
        <v>470</v>
      </c>
      <c r="M24" s="71">
        <v>4851</v>
      </c>
      <c r="N24" s="71">
        <v>4834</v>
      </c>
      <c r="O24" s="71">
        <v>5423</v>
      </c>
      <c r="P24" s="71">
        <v>1044</v>
      </c>
      <c r="Q24" s="90">
        <v>3236</v>
      </c>
      <c r="R24" s="71">
        <v>6403</v>
      </c>
      <c r="S24" s="71">
        <v>359</v>
      </c>
      <c r="T24" s="71">
        <v>1280</v>
      </c>
      <c r="U24" s="71">
        <v>5389</v>
      </c>
      <c r="V24" s="71">
        <v>600</v>
      </c>
      <c r="W24" s="71">
        <v>9833</v>
      </c>
      <c r="X24" s="71">
        <v>4227</v>
      </c>
      <c r="Y24" s="71">
        <v>8172</v>
      </c>
      <c r="Z24" s="175"/>
      <c r="AA24" s="176"/>
      <c r="AB24" s="176"/>
      <c r="AC24" s="176"/>
      <c r="AD24" s="176"/>
      <c r="AE24" s="17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1" ph="1"/>
      <c r="C25" s="68" t="s" ph="1">
        <v>178</v>
      </c>
      <c r="D25" s="91" ph="1">
        <f>D24*268.68*LOOKUP(D26,密度!$A$2:$A$50,密度!$Q$2:$Q$50)+IF(D24&lt;=0,0,1566*LOOKUP(D26,密度!$A$2:$A$50,密度!$Q$2:$Q$50))</f>
        <v>16856.723877408003</v>
      </c>
      <c r="E25" s="91" ph="1">
        <f>E24*268.68*LOOKUP(E26,密度!$A$2:$A$50,密度!$C$2:$C$50)+IF(E24&lt;=0,0,1566*LOOKUP(E26,密度!$A$2:$A$50,密度!$C$2:$C$50))</f>
        <v>3402.0178186799999</v>
      </c>
      <c r="F25" s="91" ph="1">
        <f>F24*11.702*LOOKUP(F26,密度!$A$2:$A$50,密度!$Q$2:$Q$50)</f>
        <v>10173.737172140001</v>
      </c>
      <c r="G25" s="91" ph="1">
        <f>G24*18.322*LOOKUP(G26,密度!$A$2:$A$50,密度!$B$2:$B$50)</f>
        <v>37099.735931399999</v>
      </c>
      <c r="H25" s="91" ph="1">
        <f>H24*18.322*LOOKUP(H26,密度!$A$2:$A$50,密度!$B$2:$B$50)</f>
        <v>36995.216250199992</v>
      </c>
      <c r="I25" s="91" ph="1">
        <f>I24*18.322*LOOKUP(I26,密度!$A$2:$A$50,密度!$Q$2:$Q$50)</f>
        <v>52549.344323359997</v>
      </c>
      <c r="J25" s="91" ph="1">
        <f>J24*18.322*LOOKUP(J26,密度!$A$2:$A$50,密度!$Q$2:$Q$50)</f>
        <v>14386.5241778</v>
      </c>
      <c r="K25" s="91" ph="1">
        <f>K24*18.322*LOOKUP(K26,密度!$A$2:$A$50,密度!$Q$2:$Q$50)</f>
        <v>27094.71797736</v>
      </c>
      <c r="L25" s="91" ph="1">
        <f>L24*18.322*LOOKUP(L26,密度!$A$2:$A$50,密度!$Q$2:$Q$50)</f>
        <v>8152.7000316000003</v>
      </c>
      <c r="M25" s="91" ph="1">
        <f>M24*18.322*LOOKUP(M26,密度!$A$2:$A$50,密度!$Q$2:$Q$50)</f>
        <v>84083.167212660002</v>
      </c>
      <c r="N25" s="91" ph="1">
        <f>N24*18.322*LOOKUP(N26,密度!$A$2:$A$50,密度!$Q$2:$Q$50)</f>
        <v>83725.619795360006</v>
      </c>
      <c r="O25" s="91" ph="1">
        <f>O24*18.322*LOOKUP(O26,密度!$A$2:$A$50,密度!$C$2:$C$50)</f>
        <v>110180.53243339999</v>
      </c>
      <c r="P25" s="91" ph="1">
        <f>P24*11.702*LOOKUP(P26,密度!$A$2:$A$50,密度!$B$2:$B$50)</f>
        <v>9513.2906856000009</v>
      </c>
      <c r="Q25" s="92" ph="1">
        <f>Q24*18.322*LOOKUP(Q26,密度!$A$2:$A$50,密度!$B$2:$B$50)</f>
        <v>46222.477763199997</v>
      </c>
      <c r="R25" s="91" ph="1">
        <f>R24*35.891*LOOKUP(R26,密度!$A$2:$A$50,密度!$C$2:$C$50)</f>
        <v>254491.67484019996</v>
      </c>
      <c r="S25" s="91" ph="1">
        <f>S24*35.891*LOOKUP(S26,密度!$A$2:$A$50,密度!$B$2:$B$50)</f>
        <v>10045.043872399998</v>
      </c>
      <c r="T25" s="91" ph="1">
        <f>T24*35.891*LOOKUP(T26,密度!$A$2:$A$50,密度!$Q$2:$Q$50)</f>
        <v>43461.072294400001</v>
      </c>
      <c r="U25" s="91" ph="1">
        <f>U24*35.891</f>
        <v>193416.59899999999</v>
      </c>
      <c r="V25" s="91" ph="1">
        <f>V24*47.051*LOOKUP(V26,密度!$A$2:$A$50,密度!$B$2:$B$50)</f>
        <v>22008.57576</v>
      </c>
      <c r="W25" s="91" ph="1">
        <f>W24*47.051*LOOKUP(W26,密度!$A$2:$A$50,密度!$B$2:$B$50)</f>
        <v>360267.48851209995</v>
      </c>
      <c r="X25" s="91" ph="1">
        <f>X24*47.051*LOOKUP(X26,密度!$A$2:$A$61,密度!$I$2:$I$61)</f>
        <v>205527.32187180003</v>
      </c>
      <c r="Y25" s="91" ph="1">
        <f>Y24*47.051*LOOKUP(Y26,密度!$A$2:$A$50,密度!$L$2:$L$50)</f>
        <v>359892.72259200003</v>
      </c>
      <c r="Z25" s="175"/>
      <c r="AA25" s="176"/>
      <c r="AB25" s="176"/>
      <c r="AC25" s="176"/>
      <c r="AD25" s="176"/>
      <c r="AE25" s="17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1" ph="1"/>
      <c r="C26" s="68" t="s" ph="1">
        <v>179</v>
      </c>
      <c r="D26" s="74">
        <v>25</v>
      </c>
      <c r="E26" s="74">
        <v>25</v>
      </c>
      <c r="F26" s="74">
        <v>26</v>
      </c>
      <c r="G26" s="74">
        <v>27</v>
      </c>
      <c r="H26" s="74">
        <v>26</v>
      </c>
      <c r="I26" s="74">
        <v>27</v>
      </c>
      <c r="J26" s="74">
        <v>26</v>
      </c>
      <c r="K26" s="74">
        <v>25</v>
      </c>
      <c r="L26" s="74">
        <v>25</v>
      </c>
      <c r="M26" s="74">
        <v>26</v>
      </c>
      <c r="N26" s="74">
        <v>27</v>
      </c>
      <c r="O26" s="74">
        <v>25</v>
      </c>
      <c r="P26" s="74">
        <v>26</v>
      </c>
      <c r="Q26" s="93">
        <v>25</v>
      </c>
      <c r="R26" s="74">
        <v>27</v>
      </c>
      <c r="S26" s="74">
        <v>25</v>
      </c>
      <c r="T26" s="74">
        <v>26</v>
      </c>
      <c r="U26" s="74">
        <v>25</v>
      </c>
      <c r="V26" s="74">
        <v>25</v>
      </c>
      <c r="W26" s="74">
        <v>26</v>
      </c>
      <c r="X26" s="74">
        <v>33</v>
      </c>
      <c r="Y26" s="74">
        <v>26</v>
      </c>
      <c r="Z26" s="175"/>
      <c r="AA26" s="176"/>
      <c r="AB26" s="176"/>
      <c r="AC26" s="176"/>
      <c r="AD26" s="176"/>
      <c r="AE26" s="17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1" ph="1">
        <v>0.66666666666666663</v>
      </c>
      <c r="C27" s="159" t="s" ph="1">
        <v>180</v>
      </c>
      <c r="D27" s="71">
        <v>60.54</v>
      </c>
      <c r="E27" s="71">
        <v>65.83</v>
      </c>
      <c r="F27" s="71">
        <v>918</v>
      </c>
      <c r="G27" s="71">
        <v>2176</v>
      </c>
      <c r="H27" s="71">
        <v>2164</v>
      </c>
      <c r="I27" s="71">
        <v>1277</v>
      </c>
      <c r="J27" s="71">
        <v>827</v>
      </c>
      <c r="K27" s="71">
        <v>1560</v>
      </c>
      <c r="L27" s="71">
        <v>464</v>
      </c>
      <c r="M27" s="71">
        <v>4852</v>
      </c>
      <c r="N27" s="71">
        <v>4834</v>
      </c>
      <c r="O27" s="71">
        <v>5423</v>
      </c>
      <c r="P27" s="71">
        <v>1042</v>
      </c>
      <c r="Q27" s="90">
        <v>3486</v>
      </c>
      <c r="R27" s="71">
        <v>5863</v>
      </c>
      <c r="S27" s="71">
        <v>355</v>
      </c>
      <c r="T27" s="71">
        <v>1279</v>
      </c>
      <c r="U27" s="71">
        <v>5290</v>
      </c>
      <c r="V27" s="71">
        <v>596</v>
      </c>
      <c r="W27" s="71">
        <v>9836</v>
      </c>
      <c r="X27" s="71">
        <v>4460</v>
      </c>
      <c r="Y27" s="71">
        <v>6022</v>
      </c>
      <c r="Z27" s="175"/>
      <c r="AA27" s="176"/>
      <c r="AB27" s="176"/>
      <c r="AC27" s="176"/>
      <c r="AD27" s="176"/>
      <c r="AE27" s="17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1" ph="1"/>
      <c r="C28" s="159" t="s" ph="1">
        <v>178</v>
      </c>
      <c r="D28" s="91" ph="1">
        <f>D27*268.68*LOOKUP(D29,密度!$A$2:$A$50,密度!$Q$2:$Q$50)+IF(D27&lt;=0,0,1566*LOOKUP(D29,密度!$A$2:$A$50,密度!$Q$2:$Q$50))</f>
        <v>16882.160887728001</v>
      </c>
      <c r="E28" s="91" ph="1">
        <f>E27*268.68*LOOKUP(E29,密度!$A$2:$A$50,密度!$C$2:$C$50)+IF(E27&lt;=0,0,1566*LOOKUP(E29,密度!$A$2:$A$50,密度!$C$2:$C$50))</f>
        <v>21349.87835916</v>
      </c>
      <c r="F28" s="91" ph="1">
        <f>F27*11.702*LOOKUP(F29,密度!$A$2:$A$50,密度!$Q$2:$Q$50)</f>
        <v>10162.66672908</v>
      </c>
      <c r="G28" s="91" ph="1">
        <f>G27*18.322*LOOKUP(G29,密度!$A$2:$A$50,密度!$B$2:$B$50)</f>
        <v>30946.063206399998</v>
      </c>
      <c r="H28" s="91" ph="1">
        <f>H27*18.322*LOOKUP(H29,密度!$A$2:$A$50,密度!$B$2:$B$50)</f>
        <v>30874.526789599997</v>
      </c>
      <c r="I28" s="91" ph="1">
        <f>I27*18.322*LOOKUP(I29,密度!$A$2:$A$50,密度!$Q$2:$Q$50)</f>
        <v>22134.44743982</v>
      </c>
      <c r="J28" s="91" ph="1">
        <f>J27*18.322*LOOKUP(J29,密度!$A$2:$A$50,密度!$Q$2:$Q$50)</f>
        <v>14323.766564080001</v>
      </c>
      <c r="K28" s="91" ph="1">
        <f>K27*18.322*LOOKUP(K29,密度!$A$2:$A$50,密度!$Q$2:$Q$50)</f>
        <v>27019.438742400002</v>
      </c>
      <c r="L28" s="91" ph="1">
        <f>L27*18.322*LOOKUP(L29,密度!$A$2:$A$50,密度!$Q$2:$Q$50)</f>
        <v>8042.5870102399995</v>
      </c>
      <c r="M28" s="91" ph="1">
        <f>M27*18.322*LOOKUP(M29,密度!$A$2:$A$50,密度!$Q$2:$Q$50)</f>
        <v>84100.500374320007</v>
      </c>
      <c r="N28" s="91" ph="1">
        <f>N27*18.322*LOOKUP(N29,密度!$A$2:$A$50,密度!$Q$2:$Q$50)</f>
        <v>83980.697213599997</v>
      </c>
      <c r="O28" s="91" ph="1">
        <f>O27*18.322*LOOKUP(O29,密度!$A$2:$A$50,密度!$C$2:$C$50)</f>
        <v>110250.08457759998</v>
      </c>
      <c r="P28" s="91" ph="1">
        <f>P27*11.702*LOOKUP(P29,密度!$A$2:$A$50,密度!$B$2:$B$50)</f>
        <v>9517.0142620000006</v>
      </c>
      <c r="Q28" s="92" ph="1">
        <f>Q27*18.322*LOOKUP(Q29,密度!$A$2:$A$50,密度!$B$2:$B$50)</f>
        <v>49735.952120399998</v>
      </c>
      <c r="R28" s="91" ph="1">
        <f>R27*35.891*LOOKUP(R29,密度!$A$2:$A$50,密度!$C$2:$C$50)</f>
        <v>233176.30065730002</v>
      </c>
      <c r="S28" s="91" ph="1">
        <f>S27*35.891*LOOKUP(S29,密度!$A$2:$A$50,密度!$B$2:$B$50)</f>
        <v>9911.4611594999988</v>
      </c>
      <c r="T28" s="91" ph="1">
        <f>T27*35.891*LOOKUP(T29,密度!$A$2:$A$50,密度!$Q$2:$Q$50)</f>
        <v>43427.118331670004</v>
      </c>
      <c r="U28" s="91" ph="1">
        <f>U27*35.891</f>
        <v>189863.38999999998</v>
      </c>
      <c r="V28" s="91" ph="1">
        <f>V27*47.051*LOOKUP(V29,密度!$A$2:$A$50,密度!$B$2:$B$50)</f>
        <v>21887.090078000001</v>
      </c>
      <c r="W28" s="91" ph="1">
        <f>W27*47.051*LOOKUP(W29,密度!$A$2:$A$50,密度!$B$2:$B$50)</f>
        <v>361210.432898</v>
      </c>
      <c r="X28" s="91" ph="1">
        <f>X27*47.051*LOOKUP(X29,密度!$A$2:$A$61,密度!$I$2:$I$61)</f>
        <v>217318.02957600003</v>
      </c>
      <c r="Y28" s="91" ph="1">
        <f>Y27*47.051*LOOKUP(Y29,密度!$A$2:$A$50,密度!$L$2:$L$50)</f>
        <v>264923.94907000003</v>
      </c>
      <c r="Z28" s="175"/>
      <c r="AA28" s="176"/>
      <c r="AB28" s="176"/>
      <c r="AC28" s="176"/>
      <c r="AD28" s="176"/>
      <c r="AE28" s="17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1" ph="1"/>
      <c r="C29" s="159" t="s" ph="1">
        <v>179</v>
      </c>
      <c r="D29" s="74">
        <v>25</v>
      </c>
      <c r="E29" s="74">
        <v>25</v>
      </c>
      <c r="F29" s="74">
        <v>26</v>
      </c>
      <c r="G29" s="74">
        <v>29</v>
      </c>
      <c r="H29" s="74">
        <v>26</v>
      </c>
      <c r="I29" s="74">
        <v>26</v>
      </c>
      <c r="J29" s="74">
        <v>27</v>
      </c>
      <c r="K29" s="74">
        <v>27</v>
      </c>
      <c r="L29" s="74">
        <v>26</v>
      </c>
      <c r="M29" s="74">
        <v>26</v>
      </c>
      <c r="N29" s="74">
        <v>23</v>
      </c>
      <c r="O29" s="74">
        <v>24</v>
      </c>
      <c r="P29" s="74">
        <v>24</v>
      </c>
      <c r="Q29" s="93">
        <v>26</v>
      </c>
      <c r="R29" s="74">
        <v>26</v>
      </c>
      <c r="S29" s="74">
        <v>27</v>
      </c>
      <c r="T29" s="74">
        <v>26</v>
      </c>
      <c r="U29" s="74">
        <v>27</v>
      </c>
      <c r="V29" s="74">
        <v>24</v>
      </c>
      <c r="W29" s="74">
        <v>24</v>
      </c>
      <c r="X29" s="74">
        <v>31</v>
      </c>
      <c r="Y29" s="74">
        <v>27</v>
      </c>
      <c r="Z29" s="178"/>
      <c r="AA29" s="179"/>
      <c r="AB29" s="179"/>
      <c r="AC29" s="179"/>
      <c r="AD29" s="179"/>
      <c r="AE29" s="18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4" t="s" ph="1">
        <v>35</v>
      </c>
      <c r="C31" s="195" ph="1"/>
      <c r="D31" s="198" t="s" ph="1">
        <v>9</v>
      </c>
      <c r="E31" s="187" ph="1"/>
      <c r="F31" s="188" ph="1"/>
      <c r="G31" s="198" t="s" ph="1">
        <v>18</v>
      </c>
      <c r="H31" s="187" ph="1"/>
      <c r="I31" s="188" ph="1"/>
      <c r="J31" s="186" t="s" ph="1">
        <v>1</v>
      </c>
      <c r="K31" s="187" ph="1"/>
      <c r="L31" s="188" ph="1"/>
      <c r="M31" s="186" t="s" ph="1">
        <v>7</v>
      </c>
      <c r="N31" s="187" ph="1"/>
      <c r="O31" s="188" ph="1"/>
      <c r="P31" s="186" t="s" ph="1">
        <v>41</v>
      </c>
      <c r="Q31" s="187"/>
      <c r="R31" s="188"/>
      <c r="S31" s="186" t="s" ph="1">
        <v>2</v>
      </c>
      <c r="T31" s="187"/>
      <c r="U31" s="188"/>
      <c r="V31" s="186" t="s" ph="1">
        <v>71</v>
      </c>
      <c r="W31" s="187" ph="1"/>
      <c r="X31" s="188" ph="1"/>
      <c r="Y31" s="186" t="s" ph="1">
        <v>3</v>
      </c>
      <c r="Z31" s="187" ph="1"/>
      <c r="AA31" s="188" ph="1"/>
      <c r="AB31" s="209" t="s">
        <v>42</v>
      </c>
      <c r="AC31" s="210"/>
      <c r="AD31" s="210"/>
      <c r="AE31" s="211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6" ph="1"/>
      <c r="C32" s="197" ph="1"/>
      <c r="D32" s="96" t="s" ph="1">
        <v>4</v>
      </c>
      <c r="E32" s="159" t="s" ph="1">
        <v>5</v>
      </c>
      <c r="F32" s="158" t="s" ph="1">
        <v>43</v>
      </c>
      <c r="G32" s="97" t="s" ph="1">
        <v>4</v>
      </c>
      <c r="H32" s="159" t="s" ph="1">
        <v>5</v>
      </c>
      <c r="I32" s="158" t="s" ph="1">
        <v>43</v>
      </c>
      <c r="J32" s="97" t="s" ph="1">
        <v>4</v>
      </c>
      <c r="K32" s="159" t="s" ph="1">
        <v>5</v>
      </c>
      <c r="L32" s="158" t="s" ph="1">
        <v>43</v>
      </c>
      <c r="M32" s="97" t="s" ph="1">
        <v>4</v>
      </c>
      <c r="N32" s="159" t="s" ph="1">
        <v>5</v>
      </c>
      <c r="O32" s="15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9" t="s" ph="1">
        <v>5</v>
      </c>
      <c r="U32" s="99" t="s" ph="1">
        <v>43</v>
      </c>
      <c r="V32" s="97" t="s" ph="1">
        <v>4</v>
      </c>
      <c r="W32" s="159" t="s" ph="1">
        <v>5</v>
      </c>
      <c r="X32" s="99" t="s" ph="1">
        <v>43</v>
      </c>
      <c r="Y32" s="100" t="s" ph="1">
        <v>4</v>
      </c>
      <c r="Z32" s="159" t="s" ph="1">
        <v>5</v>
      </c>
      <c r="AA32" s="158" t="s" ph="1">
        <v>43</v>
      </c>
      <c r="AB32" s="97" t="s" ph="1">
        <v>85</v>
      </c>
      <c r="AC32" s="159" t="s" ph="1">
        <v>84</v>
      </c>
      <c r="AD32" s="212" t="s" ph="1">
        <v>83</v>
      </c>
      <c r="AE32" s="213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199" t="s" ph="1">
        <v>181</v>
      </c>
      <c r="C33" s="200" ph="1"/>
      <c r="D33" s="203" ph="1">
        <f>AA10+AB10+Z19</f>
        <v>163114.48927680001</v>
      </c>
      <c r="E33" s="203" ph="1">
        <f>M10+I10</f>
        <v>17510.029785700001</v>
      </c>
      <c r="F33" s="20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1522252632456786910111213141516171819202123456789101112131415161718192022232424356789101112131415161718192021222345678910111213141516171819202345678910111213149101516171819222123234567891012131415161711181920212224252345678910111213112[[#This Row],[F25]]</f>
        <v>3880</v>
      </c>
      <c r="G33" s="207" ph="1">
        <f>N19</f>
        <v>22979.316470419999</v>
      </c>
      <c r="H33" s="203" ph="1">
        <f>M19</f>
        <v>5915.6152221360007</v>
      </c>
      <c r="I33" s="216" ph="1">
        <v>0</v>
      </c>
      <c r="J33" s="214" ph="1">
        <f>F10+O28</f>
        <v>324778.21939719992</v>
      </c>
      <c r="K33" s="203" ph="1">
        <f>O10+K10+E28+R28</f>
        <v>389839.53435246006</v>
      </c>
      <c r="L33" s="218" ph="1">
        <f>K19</f>
        <v>50322.21242828</v>
      </c>
      <c r="M33" s="214" ph="1">
        <f>G10+H10+W28+S28+V28+E10+R19+P28+Q28</f>
        <v>1338029.6380785401</v>
      </c>
      <c r="N33" s="203" ph="1">
        <f>L10+P10++G28+H28+AD19+AE19</f>
        <v>155336.05141999997</v>
      </c>
      <c r="O33" s="216" ph="1">
        <f>G19</f>
        <v>23399.186415440003</v>
      </c>
      <c r="P33" s="214" ph="1">
        <f>L19</f>
        <v>32872.85102504</v>
      </c>
      <c r="Q33" s="203" ph="1">
        <f>J10+N10</f>
        <v>95971.700436999992</v>
      </c>
      <c r="R33" s="216" ph="1">
        <f>BE23</f>
        <v>890</v>
      </c>
      <c r="S33" s="214" ph="1">
        <f>X28</f>
        <v>217318.02957600003</v>
      </c>
      <c r="T33" s="203" ph="1">
        <f>X19</f>
        <v>4422.0148996800008</v>
      </c>
      <c r="U33" s="224" ph="1">
        <f>BE21</f>
        <v>730</v>
      </c>
      <c r="V33" s="235" ph="1">
        <f ca="1">P19+Q19+S19+M28+N28+J28+D10+AC10+D19+E19+H19+J19+O19+V19+W19+K28+L28</f>
        <v>925846.12421756005</v>
      </c>
      <c r="W33" s="235" ph="1">
        <f>D28+F28+T28+I28</f>
        <v>92606.393388298005</v>
      </c>
      <c r="X33" s="216" ph="1">
        <f>BE29+BE31</f>
        <v>10200</v>
      </c>
      <c r="Y33" s="237" ph="1">
        <f>+Q10+R10+S10+T10+U10+V10+W10+X10+Y10</f>
        <v>219486.51897480001</v>
      </c>
      <c r="Z33" s="222" ph="1">
        <f>T19+U19+Y28+Z10</f>
        <v>395878.82276300003</v>
      </c>
      <c r="AA33" s="224" ph="1">
        <f>BE19</f>
        <v>1440</v>
      </c>
      <c r="AB33" s="226" ph="1">
        <f>I19</f>
        <v>46891.770428999997</v>
      </c>
      <c r="AC33" s="228" ph="1">
        <f>AD10+AB19</f>
        <v>100026.64551</v>
      </c>
      <c r="AD33" s="230" ph="1">
        <v>0</v>
      </c>
      <c r="AE33" s="231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1" ph="1"/>
      <c r="C34" s="202" ph="1"/>
      <c r="D34" s="204" ph="1"/>
      <c r="E34" s="204" ph="1"/>
      <c r="F34" s="206" ph="1"/>
      <c r="G34" s="208" ph="1"/>
      <c r="H34" s="204" ph="1"/>
      <c r="I34" s="217" ph="1"/>
      <c r="J34" s="215" ph="1"/>
      <c r="K34" s="204" ph="1"/>
      <c r="L34" s="219" ph="1"/>
      <c r="M34" s="215" ph="1"/>
      <c r="N34" s="204" ph="1"/>
      <c r="O34" s="217" ph="1"/>
      <c r="P34" s="215" ph="1"/>
      <c r="Q34" s="204" ph="1"/>
      <c r="R34" s="217" ph="1"/>
      <c r="S34" s="215" ph="1"/>
      <c r="T34" s="204"/>
      <c r="U34" s="225"/>
      <c r="V34" s="236" ph="1"/>
      <c r="W34" s="236" ph="1"/>
      <c r="X34" s="217" ph="1"/>
      <c r="Y34" s="238" ph="1"/>
      <c r="Z34" s="223" ph="1"/>
      <c r="AA34" s="225" ph="1"/>
      <c r="AB34" s="227"/>
      <c r="AC34" s="229"/>
      <c r="AD34" s="232"/>
      <c r="AE34" s="233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4" t="s" ph="1">
        <v>631</v>
      </c>
      <c r="AD35" s="234"/>
      <c r="AE35" s="234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0" t="s" ph="1">
        <v>183</v>
      </c>
      <c r="J36" s="220" ph="1"/>
      <c r="K36" s="101" ph="1"/>
      <c r="P36" s="101" ph="1"/>
      <c r="R36" s="220" t="s" ph="1">
        <v>184</v>
      </c>
      <c r="S36" s="220" ph="1"/>
      <c r="Y36" s="102" ph="1"/>
      <c r="Z36" s="157" t="s" ph="1">
        <v>185</v>
      </c>
      <c r="AA36" s="157" ph="1"/>
      <c r="AB36" s="221" t="s" ph="1">
        <v>638</v>
      </c>
      <c r="AC36" s="221" ph="1"/>
      <c r="AD36" s="221" ph="1"/>
      <c r="AE36" s="221" ph="1"/>
      <c r="BA36" s="64" ph="1">
        <v>2270</v>
      </c>
    </row>
    <row r="37" spans="1:57" s="157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7" t="s" ph="1">
        <v>342</v>
      </c>
      <c r="AI37" s="157" t="s" ph="1">
        <v>209</v>
      </c>
      <c r="AJ37" s="157" t="s" ph="1">
        <v>210</v>
      </c>
      <c r="AK37" s="157" t="s" ph="1">
        <v>211</v>
      </c>
      <c r="AM37" s="157" t="s" ph="1">
        <v>210</v>
      </c>
      <c r="AN37" s="157" t="s" ph="1">
        <v>211</v>
      </c>
      <c r="AO37" s="157" t="s" ph="1">
        <v>212</v>
      </c>
      <c r="AP37" s="157" t="s" ph="1">
        <v>210</v>
      </c>
      <c r="AQ37" s="157" t="s" ph="1">
        <v>211</v>
      </c>
      <c r="AR37" s="157" t="s" ph="1">
        <v>212</v>
      </c>
      <c r="AS37" s="157" t="s" ph="1">
        <v>210</v>
      </c>
      <c r="AT37" s="157" t="s" ph="1">
        <v>211</v>
      </c>
      <c r="AU37" s="157" t="s" ph="1">
        <v>212</v>
      </c>
      <c r="AV37" s="157" t="s" ph="1">
        <v>210</v>
      </c>
      <c r="AW37" s="157" t="s" ph="1">
        <v>211</v>
      </c>
      <c r="AX37" s="157" t="s" ph="1">
        <v>212</v>
      </c>
      <c r="AY37" s="157" t="s" ph="1">
        <v>211</v>
      </c>
      <c r="AZ37" s="157" t="s" ph="1">
        <v>213</v>
      </c>
      <c r="BD37" s="157" t="s" ph="1">
        <v>305</v>
      </c>
      <c r="BE37" s="157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909" priority="100">
      <formula>ABS(D$7-D$10)&gt;=1000</formula>
    </cfRule>
  </conditionalFormatting>
  <conditionalFormatting sqref="E4 E6:E11">
    <cfRule type="expression" dxfId="908" priority="99">
      <formula>ABS(E$7-E$10)&gt;=1000</formula>
    </cfRule>
  </conditionalFormatting>
  <conditionalFormatting sqref="F4:F11">
    <cfRule type="expression" dxfId="907" priority="98">
      <formula>ABS(F$7-F$10)&gt;=1000</formula>
    </cfRule>
  </conditionalFormatting>
  <conditionalFormatting sqref="G4:G11">
    <cfRule type="expression" dxfId="906" priority="97">
      <formula>ABS(G$7-G$10)&gt;=1000</formula>
    </cfRule>
  </conditionalFormatting>
  <conditionalFormatting sqref="H4:H11">
    <cfRule type="expression" dxfId="905" priority="96">
      <formula>ABS(H$7-H$10)&gt;=1000</formula>
    </cfRule>
  </conditionalFormatting>
  <conditionalFormatting sqref="I4:I11">
    <cfRule type="expression" dxfId="904" priority="95">
      <formula>ABS(I$7-I$10)&gt;=1000</formula>
    </cfRule>
  </conditionalFormatting>
  <conditionalFormatting sqref="J4:J11">
    <cfRule type="expression" dxfId="903" priority="94">
      <formula>ABS(J$7-J$10)&gt;=1000</formula>
    </cfRule>
  </conditionalFormatting>
  <conditionalFormatting sqref="K4:K11">
    <cfRule type="expression" dxfId="902" priority="93">
      <formula>ABS(K$7-K$10)&gt;=1000</formula>
    </cfRule>
  </conditionalFormatting>
  <conditionalFormatting sqref="L4:L11">
    <cfRule type="expression" dxfId="901" priority="92">
      <formula>ABS(L$7-L$10)&gt;=1000</formula>
    </cfRule>
  </conditionalFormatting>
  <conditionalFormatting sqref="M4 M6:M11">
    <cfRule type="expression" dxfId="900" priority="91">
      <formula>ABS(M$7-M$10)&gt;=1000</formula>
    </cfRule>
  </conditionalFormatting>
  <conditionalFormatting sqref="N4 N6:N11">
    <cfRule type="expression" dxfId="899" priority="90">
      <formula>ABS(N$7-N$10)&gt;=1000</formula>
    </cfRule>
  </conditionalFormatting>
  <conditionalFormatting sqref="O4 O6:O11">
    <cfRule type="expression" dxfId="898" priority="89">
      <formula>ABS(O$7-O$10)&gt;=1000</formula>
    </cfRule>
  </conditionalFormatting>
  <conditionalFormatting sqref="P4 P6:P11">
    <cfRule type="expression" dxfId="897" priority="88">
      <formula>ABS(P$7-P$10)&gt;=1000</formula>
    </cfRule>
  </conditionalFormatting>
  <conditionalFormatting sqref="Q4:Q11">
    <cfRule type="expression" dxfId="896" priority="87">
      <formula>ABS(Q$7-Q$10)&gt;=1000</formula>
    </cfRule>
  </conditionalFormatting>
  <conditionalFormatting sqref="R4:R11">
    <cfRule type="expression" dxfId="895" priority="86">
      <formula>ABS(R$7-R$10)&gt;=1000</formula>
    </cfRule>
  </conditionalFormatting>
  <conditionalFormatting sqref="S4:S11">
    <cfRule type="expression" dxfId="894" priority="85">
      <formula>ABS(S$7-S$10)&gt;=1000</formula>
    </cfRule>
  </conditionalFormatting>
  <conditionalFormatting sqref="T4:T9 T11">
    <cfRule type="expression" dxfId="893" priority="84">
      <formula>ABS(T$7-T$10)&gt;=1000</formula>
    </cfRule>
  </conditionalFormatting>
  <conditionalFormatting sqref="U4:U9 U11">
    <cfRule type="expression" dxfId="892" priority="83">
      <formula>ABS(U$7-U$10)&gt;=1000</formula>
    </cfRule>
  </conditionalFormatting>
  <conditionalFormatting sqref="V4:V9 V11">
    <cfRule type="expression" dxfId="891" priority="82">
      <formula>ABS(V$7-V$10)&gt;=1000</formula>
    </cfRule>
  </conditionalFormatting>
  <conditionalFormatting sqref="W4:W9 W11">
    <cfRule type="expression" dxfId="890" priority="81">
      <formula>ABS(W$7-W$10)&gt;=1000</formula>
    </cfRule>
  </conditionalFormatting>
  <conditionalFormatting sqref="X4:X9 X11">
    <cfRule type="expression" dxfId="889" priority="80">
      <formula>ABS(X$7-X$10)&gt;=1000</formula>
    </cfRule>
  </conditionalFormatting>
  <conditionalFormatting sqref="Y4:Y9 Y11">
    <cfRule type="expression" dxfId="888" priority="79">
      <formula>ABS(Y$7-Y$10)&gt;=1000</formula>
    </cfRule>
  </conditionalFormatting>
  <conditionalFormatting sqref="Z4:Z11">
    <cfRule type="expression" dxfId="887" priority="78">
      <formula>ABS(Z$7-Z$10)&gt;=1000</formula>
    </cfRule>
  </conditionalFormatting>
  <conditionalFormatting sqref="AA4:AA11">
    <cfRule type="expression" dxfId="886" priority="77">
      <formula>ABS(AA$7-AA$10)&gt;=1000</formula>
    </cfRule>
  </conditionalFormatting>
  <conditionalFormatting sqref="AB4:AB11">
    <cfRule type="expression" dxfId="885" priority="76">
      <formula>ABS(AB$7-AB$10)&gt;=1000</formula>
    </cfRule>
  </conditionalFormatting>
  <conditionalFormatting sqref="AC4 AC6:AC11">
    <cfRule type="expression" dxfId="884" priority="75">
      <formula>ABS(AC$7-AC$10)&gt;=1000</formula>
    </cfRule>
  </conditionalFormatting>
  <conditionalFormatting sqref="AD4 AD6:AD11">
    <cfRule type="expression" dxfId="883" priority="74">
      <formula>ABS(AD$7-AD$10)&gt;=1000</formula>
    </cfRule>
  </conditionalFormatting>
  <conditionalFormatting sqref="AE4 AE6:AE11">
    <cfRule type="expression" dxfId="882" priority="73">
      <formula>ABS(AE$7-AE$10)&gt;=1000</formula>
    </cfRule>
  </conditionalFormatting>
  <conditionalFormatting sqref="D13:D20">
    <cfRule type="expression" dxfId="881" priority="72">
      <formula>ABS(D$16-D$19)&gt;=1000</formula>
    </cfRule>
  </conditionalFormatting>
  <conditionalFormatting sqref="E13:E20">
    <cfRule type="expression" dxfId="880" priority="71">
      <formula>ABS(E$16-E$19)&gt;=1000</formula>
    </cfRule>
  </conditionalFormatting>
  <conditionalFormatting sqref="F13 F15:F20">
    <cfRule type="expression" dxfId="879" priority="70">
      <formula>ABS(F$16-F$19)&gt;=1000</formula>
    </cfRule>
  </conditionalFormatting>
  <conditionalFormatting sqref="G13:G20">
    <cfRule type="expression" dxfId="878" priority="69">
      <formula>ABS(G$16-G$19)&gt;=1000</formula>
    </cfRule>
  </conditionalFormatting>
  <conditionalFormatting sqref="H13 H15:H20">
    <cfRule type="expression" dxfId="877" priority="68">
      <formula>ABS(H$16-H$19)&gt;=1000</formula>
    </cfRule>
  </conditionalFormatting>
  <conditionalFormatting sqref="I13:I20">
    <cfRule type="expression" dxfId="876" priority="67">
      <formula>ABS(I$16-I$19)&gt;=1000</formula>
    </cfRule>
  </conditionalFormatting>
  <conditionalFormatting sqref="J13:J20">
    <cfRule type="expression" dxfId="875" priority="66">
      <formula>ABS(J$16-J$19)&gt;=1000</formula>
    </cfRule>
  </conditionalFormatting>
  <conditionalFormatting sqref="L13:L20">
    <cfRule type="expression" dxfId="874" priority="65">
      <formula>ABS(L$16-L$19)&gt;=1000</formula>
    </cfRule>
  </conditionalFormatting>
  <conditionalFormatting sqref="M13 M15 M17:M18 M20">
    <cfRule type="expression" dxfId="873" priority="64">
      <formula>ABS(M$16-M$19)&gt;=1000</formula>
    </cfRule>
  </conditionalFormatting>
  <conditionalFormatting sqref="N13:N20">
    <cfRule type="expression" dxfId="872" priority="63">
      <formula>ABS(N$16-N$19)&gt;=1000</formula>
    </cfRule>
  </conditionalFormatting>
  <conditionalFormatting sqref="O13:O20">
    <cfRule type="expression" dxfId="871" priority="62">
      <formula>ABS(O$16-O$19)&gt;=1000</formula>
    </cfRule>
  </conditionalFormatting>
  <conditionalFormatting sqref="P13:P20">
    <cfRule type="expression" dxfId="870" priority="61">
      <formula>ABS(P$16-P$19)&gt;=1000</formula>
    </cfRule>
  </conditionalFormatting>
  <conditionalFormatting sqref="Q13 Q15:Q20">
    <cfRule type="expression" dxfId="869" priority="60">
      <formula>ABS(Q$16-Q$19)&gt;=1000</formula>
    </cfRule>
  </conditionalFormatting>
  <conditionalFormatting sqref="R13:R20">
    <cfRule type="expression" dxfId="868" priority="59">
      <formula>ABS(R$16-R$19)&gt;=1000</formula>
    </cfRule>
  </conditionalFormatting>
  <conditionalFormatting sqref="S13:S20">
    <cfRule type="expression" dxfId="867" priority="58">
      <formula>ABS(S$16-S$19)&gt;=1000</formula>
    </cfRule>
  </conditionalFormatting>
  <conditionalFormatting sqref="T13:T20">
    <cfRule type="expression" dxfId="866" priority="57">
      <formula>ABS(T$16-T$19)&gt;=1000</formula>
    </cfRule>
  </conditionalFormatting>
  <conditionalFormatting sqref="U13:U20">
    <cfRule type="expression" dxfId="865" priority="56">
      <formula>ABS(U$16-U$19)&gt;=1000</formula>
    </cfRule>
  </conditionalFormatting>
  <conditionalFormatting sqref="V13:V20">
    <cfRule type="expression" dxfId="864" priority="55">
      <formula>ABS(V$16-V$19)&gt;=1000</formula>
    </cfRule>
  </conditionalFormatting>
  <conditionalFormatting sqref="W13 W20 W15:W18">
    <cfRule type="expression" dxfId="863" priority="54">
      <formula>ABS(W$16-W$19)&gt;=1000</formula>
    </cfRule>
  </conditionalFormatting>
  <conditionalFormatting sqref="X13 X15:X20 Y19">
    <cfRule type="expression" dxfId="862" priority="53">
      <formula>ABS(X$16-X$19)&gt;=1000</formula>
    </cfRule>
  </conditionalFormatting>
  <conditionalFormatting sqref="Y13 Y15:Y18 Y20">
    <cfRule type="expression" dxfId="861" priority="52">
      <formula>ABS(Y$16-Y$19)&gt;=1000</formula>
    </cfRule>
  </conditionalFormatting>
  <conditionalFormatting sqref="Z13:Z20">
    <cfRule type="expression" dxfId="860" priority="51">
      <formula>ABS(Z$16-Z$19)&gt;=1000</formula>
    </cfRule>
  </conditionalFormatting>
  <conditionalFormatting sqref="AA13:AA20">
    <cfRule type="expression" dxfId="859" priority="50">
      <formula>ABS(AA$16-AA$19)&gt;=1000</formula>
    </cfRule>
  </conditionalFormatting>
  <conditionalFormatting sqref="AB13 AB15:AB20">
    <cfRule type="expression" dxfId="858" priority="49">
      <formula>ABS(AB$16-AB$19)&gt;=1000</formula>
    </cfRule>
  </conditionalFormatting>
  <conditionalFormatting sqref="AC13 AC15:AC20">
    <cfRule type="expression" dxfId="857" priority="48">
      <formula>ABS(AC$16-AC$19)&gt;=1000</formula>
    </cfRule>
  </conditionalFormatting>
  <conditionalFormatting sqref="AD13:AD20">
    <cfRule type="expression" dxfId="856" priority="47">
      <formula>ABS(AD$16-AD$19)&gt;=1000</formula>
    </cfRule>
  </conditionalFormatting>
  <conditionalFormatting sqref="AE13:AE20">
    <cfRule type="expression" dxfId="855" priority="46">
      <formula>ABS(AE$16-AE$19)&gt;=1000</formula>
    </cfRule>
  </conditionalFormatting>
  <conditionalFormatting sqref="D22:D29">
    <cfRule type="expression" dxfId="854" priority="45">
      <formula>ABS(D$25-D$28)&gt;=1000</formula>
    </cfRule>
  </conditionalFormatting>
  <conditionalFormatting sqref="E22:E29">
    <cfRule type="expression" dxfId="853" priority="44">
      <formula>ABS(E$25-E$28)&gt;=1000</formula>
    </cfRule>
  </conditionalFormatting>
  <conditionalFormatting sqref="F22:F29">
    <cfRule type="expression" dxfId="852" priority="43">
      <formula>ABS(F$25-F$28)&gt;=1000</formula>
    </cfRule>
  </conditionalFormatting>
  <conditionalFormatting sqref="G22:G29">
    <cfRule type="expression" dxfId="851" priority="42">
      <formula>ABS(G$25-G$28)&gt;=1000</formula>
    </cfRule>
  </conditionalFormatting>
  <conditionalFormatting sqref="H22:H29">
    <cfRule type="expression" dxfId="850" priority="41">
      <formula>ABS(H$25-H$28)&gt;=1000</formula>
    </cfRule>
  </conditionalFormatting>
  <conditionalFormatting sqref="I22 I24:I29">
    <cfRule type="expression" dxfId="849" priority="40">
      <formula>ABS(I$25-I$28)&gt;=1000</formula>
    </cfRule>
  </conditionalFormatting>
  <conditionalFormatting sqref="J22:J29 K22">
    <cfRule type="expression" dxfId="848" priority="39">
      <formula>ABS(J$25-J$28)&gt;=1000</formula>
    </cfRule>
  </conditionalFormatting>
  <conditionalFormatting sqref="K23:K29 L25 L28">
    <cfRule type="expression" dxfId="847" priority="38">
      <formula>ABS(K$25-K$28)&gt;=1000</formula>
    </cfRule>
  </conditionalFormatting>
  <conditionalFormatting sqref="L22 L26:L27 L29 L24">
    <cfRule type="expression" dxfId="846" priority="37">
      <formula>ABS(L$25-L$28)&gt;=1000</formula>
    </cfRule>
  </conditionalFormatting>
  <conditionalFormatting sqref="M22:M29">
    <cfRule type="expression" dxfId="845" priority="36">
      <formula>ABS(M$25-M$28)&gt;=1000</formula>
    </cfRule>
  </conditionalFormatting>
  <conditionalFormatting sqref="N22:N29">
    <cfRule type="expression" dxfId="844" priority="35">
      <formula>ABS(N$25-N$28)&gt;=1000</formula>
    </cfRule>
  </conditionalFormatting>
  <conditionalFormatting sqref="O22:O29">
    <cfRule type="expression" dxfId="843" priority="34">
      <formula>ABS(O$25-O$28)&gt;=1000</formula>
    </cfRule>
  </conditionalFormatting>
  <conditionalFormatting sqref="P22:P29">
    <cfRule type="expression" dxfId="842" priority="33">
      <formula>ABS(P$25-P$28)&gt;=1000</formula>
    </cfRule>
  </conditionalFormatting>
  <conditionalFormatting sqref="Q22:Q29">
    <cfRule type="expression" dxfId="841" priority="32">
      <formula>ABS(Q$25-Q$28)&gt;=1000</formula>
    </cfRule>
  </conditionalFormatting>
  <conditionalFormatting sqref="R22:R29">
    <cfRule type="expression" dxfId="840" priority="31">
      <formula>ABS(R$25-R$28)&gt;=1000</formula>
    </cfRule>
  </conditionalFormatting>
  <conditionalFormatting sqref="S22:S29">
    <cfRule type="expression" dxfId="839" priority="30">
      <formula>ABS(S$25-S$28)&gt;=1000</formula>
    </cfRule>
  </conditionalFormatting>
  <conditionalFormatting sqref="T22:T29">
    <cfRule type="expression" dxfId="838" priority="29">
      <formula>ABS(T$25-T$28)&gt;=1000</formula>
    </cfRule>
  </conditionalFormatting>
  <conditionalFormatting sqref="U22:U29">
    <cfRule type="expression" dxfId="837" priority="28">
      <formula>ABS(U$25-U$28)&gt;=1000</formula>
    </cfRule>
  </conditionalFormatting>
  <conditionalFormatting sqref="V22:V29">
    <cfRule type="expression" dxfId="836" priority="27">
      <formula>ABS(V$25-V$28)&gt;=1000</formula>
    </cfRule>
  </conditionalFormatting>
  <conditionalFormatting sqref="W22:W29">
    <cfRule type="expression" dxfId="835" priority="26">
      <formula>ABS(W$25-W$28)&gt;=1000</formula>
    </cfRule>
  </conditionalFormatting>
  <conditionalFormatting sqref="X22:X29">
    <cfRule type="expression" dxfId="834" priority="25">
      <formula>ABS(X$25-X$28)&gt;=1000</formula>
    </cfRule>
  </conditionalFormatting>
  <conditionalFormatting sqref="Y22:Y29">
    <cfRule type="expression" dxfId="833" priority="24">
      <formula>ABS(Y$25-Y$28)&gt;=1000</formula>
    </cfRule>
  </conditionalFormatting>
  <conditionalFormatting sqref="I23">
    <cfRule type="expression" dxfId="832" priority="23">
      <formula>ABS(I$25-I$28)&gt;=1000</formula>
    </cfRule>
  </conditionalFormatting>
  <conditionalFormatting sqref="Q14">
    <cfRule type="expression" dxfId="831" priority="22">
      <formula>ABS(Q$16-Q$19)&gt;=1000</formula>
    </cfRule>
  </conditionalFormatting>
  <conditionalFormatting sqref="W14">
    <cfRule type="expression" dxfId="830" priority="21">
      <formula>ABS(W$16-W$19)&gt;=1000</formula>
    </cfRule>
  </conditionalFormatting>
  <conditionalFormatting sqref="X14">
    <cfRule type="expression" dxfId="829" priority="20">
      <formula>ABS(X$16-X$19)&gt;=1000</formula>
    </cfRule>
  </conditionalFormatting>
  <conditionalFormatting sqref="T10:Y10">
    <cfRule type="expression" dxfId="828" priority="19">
      <formula>ABS(T$7-T$10)&gt;=1000</formula>
    </cfRule>
  </conditionalFormatting>
  <conditionalFormatting sqref="W19">
    <cfRule type="expression" dxfId="827" priority="18">
      <formula>ABS(W$16-W$19)&gt;=1000</formula>
    </cfRule>
  </conditionalFormatting>
  <conditionalFormatting sqref="AC5">
    <cfRule type="expression" dxfId="826" priority="17">
      <formula>ABS(AC$7-AC$10)&gt;=1000</formula>
    </cfRule>
  </conditionalFormatting>
  <conditionalFormatting sqref="M14">
    <cfRule type="expression" dxfId="825" priority="16">
      <formula>ABS(M$16-M$19)&gt;=1000</formula>
    </cfRule>
  </conditionalFormatting>
  <conditionalFormatting sqref="M16">
    <cfRule type="expression" dxfId="824" priority="15">
      <formula>ABS(M$16-M$19)&gt;=1000</formula>
    </cfRule>
  </conditionalFormatting>
  <conditionalFormatting sqref="M19">
    <cfRule type="expression" dxfId="823" priority="14">
      <formula>ABS(M$16-M$19)&gt;=1000</formula>
    </cfRule>
  </conditionalFormatting>
  <conditionalFormatting sqref="K13:K20">
    <cfRule type="expression" dxfId="822" priority="13">
      <formula>ABS(K$16-K$19)&gt;=1000</formula>
    </cfRule>
  </conditionalFormatting>
  <conditionalFormatting sqref="E5">
    <cfRule type="expression" dxfId="821" priority="12">
      <formula>ABS(E$7-E$10)&gt;=1000</formula>
    </cfRule>
  </conditionalFormatting>
  <conditionalFormatting sqref="AB14:AC14">
    <cfRule type="expression" dxfId="820" priority="11">
      <formula>ABS(AB$16-AB$19)&gt;=1000</formula>
    </cfRule>
  </conditionalFormatting>
  <conditionalFormatting sqref="M5">
    <cfRule type="expression" dxfId="819" priority="10">
      <formula>ABS(M$7-M$10)&gt;=1000</formula>
    </cfRule>
  </conditionalFormatting>
  <conditionalFormatting sqref="N5">
    <cfRule type="expression" dxfId="818" priority="9">
      <formula>ABS(N$7-N$10)&gt;=1000</formula>
    </cfRule>
  </conditionalFormatting>
  <conditionalFormatting sqref="O5">
    <cfRule type="expression" dxfId="817" priority="8">
      <formula>ABS(O$7-O$10)&gt;=1000</formula>
    </cfRule>
  </conditionalFormatting>
  <conditionalFormatting sqref="P5">
    <cfRule type="expression" dxfId="816" priority="7">
      <formula>ABS(P$7-P$10)&gt;=1000</formula>
    </cfRule>
  </conditionalFormatting>
  <conditionalFormatting sqref="L23">
    <cfRule type="expression" dxfId="815" priority="6">
      <formula>ABS(L$25-L$28)&gt;=1000</formula>
    </cfRule>
  </conditionalFormatting>
  <conditionalFormatting sqref="Y14">
    <cfRule type="expression" dxfId="814" priority="5">
      <formula>ABS(Y$16-Y$19)&gt;=1000</formula>
    </cfRule>
  </conditionalFormatting>
  <conditionalFormatting sqref="F14">
    <cfRule type="expression" dxfId="813" priority="4">
      <formula>ABS(F$16-F$19)&gt;=1000</formula>
    </cfRule>
  </conditionalFormatting>
  <conditionalFormatting sqref="H14">
    <cfRule type="expression" dxfId="812" priority="3">
      <formula>ABS(H$16-H$19)&gt;=1000</formula>
    </cfRule>
  </conditionalFormatting>
  <conditionalFormatting sqref="AD5">
    <cfRule type="expression" dxfId="811" priority="2">
      <formula>ABS(AD$7-AD$10)&gt;=1000</formula>
    </cfRule>
  </conditionalFormatting>
  <conditionalFormatting sqref="AE5">
    <cfRule type="expression" dxfId="81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3238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73">
    <pageSetUpPr fitToPage="1"/>
  </sheetPr>
  <dimension ref="A1:CU223"/>
  <sheetViews>
    <sheetView view="pageBreakPreview" topLeftCell="A9" zoomScale="70" zoomScaleNormal="100" zoomScaleSheetLayoutView="70" workbookViewId="0">
      <selection activeCell="K18" sqref="K18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2" t="s" ph="1">
        <v>161</v>
      </c>
      <c r="C1" s="182" ph="1"/>
      <c r="D1" s="182" ph="1"/>
      <c r="E1" s="182" ph="1"/>
      <c r="F1" s="182" ph="1"/>
      <c r="G1" s="182" ph="1"/>
      <c r="H1" s="182" ph="1"/>
      <c r="I1" s="182" ph="1"/>
      <c r="J1" s="182" ph="1"/>
      <c r="K1" s="182" ph="1"/>
      <c r="L1" s="182" ph="1"/>
      <c r="M1" s="182" ph="1"/>
      <c r="N1" s="182" ph="1"/>
      <c r="O1" s="182" ph="1"/>
      <c r="P1" s="182" ph="1"/>
      <c r="Q1" s="182" ph="1"/>
      <c r="R1" s="182" ph="1"/>
      <c r="S1" s="182" ph="1"/>
      <c r="T1" s="182" ph="1"/>
      <c r="U1" s="182" ph="1"/>
      <c r="V1" s="182" ph="1"/>
      <c r="W1" s="182" ph="1"/>
      <c r="X1" s="182" ph="1"/>
      <c r="Y1" s="182" ph="1"/>
      <c r="Z1" s="182" ph="1"/>
      <c r="AA1" s="182" ph="1"/>
      <c r="AB1" s="182" ph="1"/>
      <c r="AC1" s="182" ph="1"/>
      <c r="AD1" s="182" ph="1"/>
      <c r="AE1" s="182" ph="1"/>
    </row>
    <row r="2" spans="1:99" s="66" customFormat="1" ht="24" customHeight="1" ph="1">
      <c r="B2" s="183" t="s" ph="1">
        <v>82</v>
      </c>
      <c r="C2" s="183" ph="1"/>
      <c r="D2" s="183" ph="1"/>
      <c r="E2" s="183" ph="1"/>
      <c r="F2" s="183" ph="1"/>
      <c r="G2" s="183" ph="1"/>
      <c r="H2" s="183" ph="1"/>
      <c r="I2" s="183" ph="1"/>
      <c r="J2" s="183" ph="1"/>
      <c r="K2" s="183" ph="1"/>
      <c r="L2" s="183" ph="1"/>
      <c r="M2" s="183" ph="1"/>
      <c r="N2" s="183" ph="1"/>
      <c r="O2" s="183" ph="1"/>
      <c r="P2" s="183" ph="1"/>
      <c r="Q2" s="183" ph="1"/>
      <c r="R2" s="183" ph="1"/>
      <c r="S2" s="183" ph="1"/>
      <c r="T2" s="183" ph="1"/>
      <c r="U2" s="183" ph="1"/>
      <c r="V2" s="183" ph="1"/>
      <c r="W2" s="183" ph="1"/>
      <c r="X2" s="183" ph="1"/>
      <c r="Y2" s="183" ph="1"/>
      <c r="Z2" s="183" ph="1"/>
      <c r="AA2" s="183" ph="1"/>
      <c r="AB2" s="183" ph="1"/>
      <c r="AC2" s="183" ph="1"/>
      <c r="AD2" s="183" ph="1"/>
      <c r="AE2" s="183" ph="1"/>
    </row>
    <row r="3" spans="1:99" ht="21" customHeight="1" ph="1">
      <c r="B3" s="184" ph="1">
        <v>46135</v>
      </c>
      <c r="C3" s="184"/>
      <c r="D3" s="184"/>
      <c r="E3" s="184"/>
      <c r="F3" s="184"/>
      <c r="G3" s="184"/>
      <c r="H3" s="184"/>
      <c r="I3" s="184"/>
      <c r="J3" s="184"/>
      <c r="K3" s="184"/>
      <c r="L3" s="184"/>
      <c r="M3" s="184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</row>
    <row r="4" spans="1:99" s="69" customFormat="1" ph="1">
      <c r="A4" s="65" ph="1"/>
      <c r="B4" s="185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5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1" ph="1">
        <v>0.33333333333333331</v>
      </c>
      <c r="C6" s="159" t="s" ph="1">
        <v>177</v>
      </c>
      <c r="D6" s="71">
        <v>3610</v>
      </c>
      <c r="E6" s="71">
        <v>7413</v>
      </c>
      <c r="F6" s="71">
        <v>5837</v>
      </c>
      <c r="G6" s="71">
        <v>8795</v>
      </c>
      <c r="H6" s="71">
        <v>4083</v>
      </c>
      <c r="I6" s="71">
        <v>0.06</v>
      </c>
      <c r="J6" s="71">
        <v>6.31</v>
      </c>
      <c r="K6" s="71">
        <v>62.82</v>
      </c>
      <c r="L6" s="71">
        <v>87.89</v>
      </c>
      <c r="M6" s="71">
        <v>489</v>
      </c>
      <c r="N6" s="71">
        <v>3656</v>
      </c>
      <c r="O6" s="71">
        <v>5106</v>
      </c>
      <c r="P6" s="71">
        <v>1175</v>
      </c>
      <c r="Q6" s="71">
        <v>0</v>
      </c>
      <c r="R6" s="71">
        <v>5890</v>
      </c>
      <c r="S6" s="71">
        <v>6944</v>
      </c>
      <c r="T6" s="71">
        <v>6575</v>
      </c>
      <c r="U6" s="71">
        <v>7075</v>
      </c>
      <c r="V6" s="71">
        <v>7086</v>
      </c>
      <c r="W6" s="71">
        <v>0</v>
      </c>
      <c r="X6" s="71">
        <v>0</v>
      </c>
      <c r="Y6" s="71">
        <v>0</v>
      </c>
      <c r="Z6" s="71">
        <v>3701</v>
      </c>
      <c r="AA6" s="71">
        <v>4219</v>
      </c>
      <c r="AB6" s="71">
        <v>963</v>
      </c>
      <c r="AC6" s="71">
        <v>7536</v>
      </c>
      <c r="AD6" s="71">
        <v>2810</v>
      </c>
      <c r="AE6" s="71">
        <v>4418</v>
      </c>
    </row>
    <row r="7" spans="1:99" s="72" customFormat="1" ht="22.2" ph="1">
      <c r="B7" s="181" ph="1"/>
      <c r="C7" s="68" t="s" ph="1">
        <v>178</v>
      </c>
      <c r="D7" s="73" ph="1">
        <f>D6*33.183*LOOKUP(D8,密度!$A$2:$A$50,密度!$Q$2:$Q$50)</f>
        <v>112830.79439700001</v>
      </c>
      <c r="E7" s="73" ph="1">
        <f>E6*51.53*LOOKUP(E8,密度!$A$2:$A$50,密度!$B$2:$B$50)</f>
        <v>297457.08474299998</v>
      </c>
      <c r="F7" s="73" ph="1">
        <f>F6*33.183*LOOKUP(F8,密度!$A$2:$A$50,密度!$C$2:$C$50)</f>
        <v>214781.9217219</v>
      </c>
      <c r="G7" s="73" ph="1">
        <f xml:space="preserve"> (G6+2)*51.53*LOOKUP(G8,密度!$A$2:$A$50,密度!$B$2:$B$50)</f>
        <v>352992.03756700002</v>
      </c>
      <c r="H7" s="73" ph="1">
        <f>(H6)*51.53*LOOKUP(H8,密度!$A$2:$A$50,密度!$B$2:$B$50)</f>
        <v>164593.56527699999</v>
      </c>
      <c r="I7" s="73" ph="1">
        <f>I6*290.8*1.0267</f>
        <v>17.913861600000001</v>
      </c>
      <c r="J7" s="73" ph="1">
        <f>J6*290.8*0.7892</f>
        <v>1448.1409615999999</v>
      </c>
      <c r="K7" s="73" ph="1">
        <f>K6*290.8*1.1126</f>
        <v>20325.039105600001</v>
      </c>
      <c r="L7" s="73" ph="1">
        <f>L6*290.8*0.777</f>
        <v>19858.886124000001</v>
      </c>
      <c r="M7" s="73" ph="1">
        <f>M6*33.183*LOOKUP(M8,密度!$A$2:$A$50,密度!$D$2:$D$50)</f>
        <v>16659.734202899999</v>
      </c>
      <c r="N7" s="73" ph="1">
        <f>N6*33.183*LOOKUP(N8,密度!$A$2:$A$50,密度!$E$2:$E$50)</f>
        <v>94748.614488000007</v>
      </c>
      <c r="O7" s="73" ph="1">
        <f>O6*20.428*LOOKUP(O8,密度!$A$2:$A$50,密度!$C$2:$C$50)</f>
        <v>115267.8621768</v>
      </c>
      <c r="P7" s="73" ph="1">
        <f>P6*51.53*LOOKUP(P8,密度!$A$2:$A$50,密度!$B$2:$B$50)</f>
        <v>47203.025900000001</v>
      </c>
      <c r="Q7" s="73" ph="1">
        <f>Q6*1.5*1.5*3.1416*LOOKUP(W8,密度!$A$2:$A$50,密度!$L$2:$L$50)</f>
        <v>0</v>
      </c>
      <c r="R7" s="73" ph="1">
        <f>R6*1.5*1.5*3.1416*LOOKUP(R8,密度!$A$2:$A$50,密度!$L$2:$L$50)</f>
        <v>38719.67022</v>
      </c>
      <c r="S7" s="73" ph="1">
        <f>S6*1.5*1.5*3.1416*LOOKUP(S8,密度!$A$2:$A$50,密度!$L$2:$L$50)</f>
        <v>46090.212537599997</v>
      </c>
      <c r="T7" s="73" ph="1">
        <f>T6*1.5*1.5*3.1416*LOOKUP(T8,密度!$A$2:$A$50,密度!$L$2:$L$50)</f>
        <v>43687.482299999996</v>
      </c>
      <c r="U7" s="73" ph="1">
        <f>U6*1.5*1.5*3.1416*LOOKUP(U8,密度!$A$2:$A$50,密度!$L$2:$L$50)</f>
        <v>46809.682920000007</v>
      </c>
      <c r="V7" s="73" ph="1">
        <f>V6*1.5*1.5*3.1416*LOOKUP(V8,密度!$A$2:$A$50,密度!$L$2:$L$50)</f>
        <v>46832.373126000006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115073.23517100001</v>
      </c>
      <c r="AA7" s="73" ph="1">
        <f>AA6*33.183*LOOKUP(AA8,密度!$A$2:$A$50,密度!$D$2:$D$50)</f>
        <v>143471.05410959999</v>
      </c>
      <c r="AB7" s="73" ph="1">
        <f>AB6*20.428*LOOKUP(AB8,密度!$A$2:$A$50,密度!$D$2:$D$50)</f>
        <v>20289.869949600001</v>
      </c>
      <c r="AC7" s="73" ph="1">
        <f>AC6*51.53*LOOKUP(AC8,密度!$A$2:$A$50,密度!$Q$2:$Q$50)</f>
        <v>367931.1008976</v>
      </c>
      <c r="AD7" s="73" ph="1">
        <f>AD6*20.428*LOOKUP(AD8,密度!$A$2:$A$50,密度!$V$2:$V$50)</f>
        <v>54968.806367999998</v>
      </c>
      <c r="AE7" s="73" ph="1">
        <f>AE6*20.428</f>
        <v>90250.90400000001</v>
      </c>
    </row>
    <row r="8" spans="1:99" ph="1">
      <c r="B8" s="181" ph="1"/>
      <c r="C8" s="68" t="s" ph="1">
        <v>179</v>
      </c>
      <c r="D8" s="74">
        <v>32</v>
      </c>
      <c r="E8" s="74">
        <v>26</v>
      </c>
      <c r="F8" s="74">
        <v>25</v>
      </c>
      <c r="G8" s="74">
        <v>26</v>
      </c>
      <c r="H8" s="74">
        <v>22</v>
      </c>
      <c r="I8" s="74">
        <v>25</v>
      </c>
      <c r="J8" s="74">
        <v>25</v>
      </c>
      <c r="K8" s="74">
        <v>25</v>
      </c>
      <c r="L8" s="74">
        <v>25</v>
      </c>
      <c r="M8" s="74">
        <v>25</v>
      </c>
      <c r="N8" s="74">
        <v>27</v>
      </c>
      <c r="O8" s="74">
        <v>30</v>
      </c>
      <c r="P8" s="74">
        <v>25</v>
      </c>
      <c r="Q8" s="74">
        <v>27</v>
      </c>
      <c r="R8" s="74">
        <v>32</v>
      </c>
      <c r="S8" s="74">
        <v>23</v>
      </c>
      <c r="T8" s="74">
        <v>22</v>
      </c>
      <c r="U8" s="74">
        <v>26</v>
      </c>
      <c r="V8" s="74">
        <v>27</v>
      </c>
      <c r="W8" s="74">
        <v>26</v>
      </c>
      <c r="X8" s="74">
        <v>15</v>
      </c>
      <c r="Y8" s="74">
        <v>25</v>
      </c>
      <c r="Z8" s="74">
        <v>25</v>
      </c>
      <c r="AA8" s="74">
        <v>27</v>
      </c>
      <c r="AB8" s="74">
        <v>20</v>
      </c>
      <c r="AC8" s="74">
        <v>24</v>
      </c>
      <c r="AD8" s="74">
        <v>26</v>
      </c>
      <c r="AE8" s="74">
        <v>27</v>
      </c>
    </row>
    <row r="9" spans="1:99" ht="26.4" ph="1">
      <c r="B9" s="181" ph="1">
        <v>0.66666666666666663</v>
      </c>
      <c r="C9" s="159" t="s" ph="1">
        <v>180</v>
      </c>
      <c r="D9" s="71">
        <v>3994</v>
      </c>
      <c r="E9" s="71">
        <v>7413</v>
      </c>
      <c r="F9" s="71">
        <v>5840</v>
      </c>
      <c r="G9" s="71">
        <v>8559</v>
      </c>
      <c r="H9" s="71">
        <v>3953</v>
      </c>
      <c r="I9" s="71">
        <v>0.04</v>
      </c>
      <c r="J9" s="71">
        <v>6.29</v>
      </c>
      <c r="K9" s="71">
        <v>63.17</v>
      </c>
      <c r="L9" s="71">
        <v>44.66</v>
      </c>
      <c r="M9" s="71">
        <v>488</v>
      </c>
      <c r="N9" s="71">
        <v>3645</v>
      </c>
      <c r="O9" s="71">
        <v>5106</v>
      </c>
      <c r="P9" s="71">
        <v>1122</v>
      </c>
      <c r="Q9" s="71">
        <v>0</v>
      </c>
      <c r="R9" s="71">
        <v>1771</v>
      </c>
      <c r="S9" s="71">
        <v>6951</v>
      </c>
      <c r="T9" s="71">
        <v>6579</v>
      </c>
      <c r="U9" s="71">
        <v>7080</v>
      </c>
      <c r="V9" s="71">
        <v>7093</v>
      </c>
      <c r="W9" s="71">
        <v>2602</v>
      </c>
      <c r="X9" s="71">
        <v>1953</v>
      </c>
      <c r="Y9" s="71">
        <v>0</v>
      </c>
      <c r="Z9" s="71">
        <v>4599</v>
      </c>
      <c r="AA9" s="71">
        <v>4224</v>
      </c>
      <c r="AB9" s="71">
        <v>961</v>
      </c>
      <c r="AC9" s="71">
        <v>7361</v>
      </c>
      <c r="AD9" s="71">
        <v>2810</v>
      </c>
      <c r="AE9" s="71">
        <v>4419</v>
      </c>
    </row>
    <row r="10" spans="1:99" s="72" customFormat="1" ht="22.2" ph="1">
      <c r="B10" s="181" ph="1"/>
      <c r="C10" s="159" t="s" ph="1">
        <v>178</v>
      </c>
      <c r="D10" s="73" ph="1">
        <f>D9*33.183*LOOKUP(D11,密度!$A$2:$A$50,密度!$Q$2:$Q$50)</f>
        <v>124832.74039379999</v>
      </c>
      <c r="E10" s="73" ph="1">
        <f>E9*51.53*LOOKUP(E11,密度!$A$2:$A$50,密度!$B$2:$B$50)</f>
        <v>296502.105018</v>
      </c>
      <c r="F10" s="73" ph="1">
        <f>F9*33.183*LOOKUP(F11,密度!$A$2:$A$50,密度!$C$2:$C$50)</f>
        <v>214737.28063200001</v>
      </c>
      <c r="G10" s="73" ph="1">
        <f xml:space="preserve"> (G9+2)*51.53*LOOKUP(G11,密度!$A$2:$A$50,密度!$B$2:$B$50)</f>
        <v>343169.28590700001</v>
      </c>
      <c r="H10" s="73" ph="1">
        <f>(H9)*51.53*LOOKUP(H11,密度!$A$2:$A$50,密度!$B$2:$B$50)</f>
        <v>158456.74421100001</v>
      </c>
      <c r="I10" s="73" ph="1">
        <f>I9*290.8*1.0267</f>
        <v>11.942574400000002</v>
      </c>
      <c r="J10" s="73" ph="1">
        <f>J9*290.8*0.7892</f>
        <v>1443.5509744000001</v>
      </c>
      <c r="K10" s="73" ph="1">
        <f>K9*290.8*1.1126</f>
        <v>20438.279533600005</v>
      </c>
      <c r="L10" s="73" ph="1">
        <f>L9*290.8*0.777</f>
        <v>10090.998455999999</v>
      </c>
      <c r="M10" s="73" ph="1">
        <f>M9*33.183*LOOKUP(M11,密度!$A$2:$A$50,密度!$D$2:$D$50)</f>
        <v>16520.408740800001</v>
      </c>
      <c r="N10" s="73" ph="1">
        <f>N9*33.183*LOOKUP(N11,密度!$A$2:$A$50,密度!$E$2:$E$50)</f>
        <v>94185.349654499994</v>
      </c>
      <c r="O10" s="73" ph="1">
        <f>O9*20.428*LOOKUP(O11,密度!$A$2:$A$50,密度!$C$2:$C$50)</f>
        <v>115048.82090400001</v>
      </c>
      <c r="P10" s="73" ph="1">
        <f>P9*51.53*LOOKUP(P11,密度!$A$2:$A$50,密度!$B$2:$B$50)</f>
        <v>44773.221504000001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11617.159276799999</v>
      </c>
      <c r="S10" s="73" ph="1">
        <f>S9*1.5*1.5*3.1416*LOOKUP(S11,密度!$A$2:$A$50,密度!$L$2:$L$50)</f>
        <v>46087.540606800001</v>
      </c>
      <c r="T10" s="73" ph="1">
        <f>T9*1.5*1.5*3.1416*LOOKUP(T11,密度!$A$2:$A$50,密度!$L$2:$L$50)</f>
        <v>43760.5645554</v>
      </c>
      <c r="U10" s="73" ph="1">
        <f>U9*1.5*1.5*3.1416*LOOKUP(U11,密度!$A$2:$A$50,密度!$L$2:$L$50)</f>
        <v>46842.763968000007</v>
      </c>
      <c r="V10" s="73" ph="1">
        <f>V9*1.5*1.5*3.1416*LOOKUP(V11,密度!$A$2:$A$50,密度!$L$2:$L$50)</f>
        <v>46828.499533200003</v>
      </c>
      <c r="W10" s="73" ph="1">
        <f>W9*1.5*1.5*3.1416*LOOKUP(W11,密度!$A$2:$A$50,密度!$L$2:$L$50)</f>
        <v>17233.769876399998</v>
      </c>
      <c r="X10" s="73" ph="1">
        <f>X9*1.5*1.5*3.1416*LOOKUP(X11,密度!$A$2:$A$50,密度!$L$2:$L$50)</f>
        <v>13073.312082599999</v>
      </c>
      <c r="Y10" s="73" ph="1">
        <f>Y9*1.5*1.5*3.1416*LOOKUP(Y11,密度!$A$2:$A$50,密度!$L$2:$L$50)</f>
        <v>0</v>
      </c>
      <c r="Z10" s="73" ph="1">
        <f>Z9*33.183*LOOKUP(Z11,密度!$A$2:$A$50,密度!$L$2:$L$50)</f>
        <v>142689.05689500002</v>
      </c>
      <c r="AA10" s="73" ph="1">
        <f>AA9*33.183*LOOKUP(AA11,密度!$A$2:$A$50,密度!$D$2:$D$50)</f>
        <v>142996.3248384</v>
      </c>
      <c r="AB10" s="73" ph="1">
        <f>AB9*20.428*LOOKUP(AB11,密度!$A$2:$A$50,密度!$D$2:$D$50)</f>
        <v>20173.132100800001</v>
      </c>
      <c r="AC10" s="73" ph="1">
        <f>AC9*51.53*LOOKUP(AC11,密度!$A$2:$A$50,密度!$Q$2:$Q$50)</f>
        <v>358044.28765690001</v>
      </c>
      <c r="AD10" s="73" ph="1">
        <f>AD9*20.428*LOOKUP(AD11,密度!$A$2:$A$50,密度!$V$2:$V$50)</f>
        <v>54968.806367999998</v>
      </c>
      <c r="AE10" s="73" ph="1">
        <f>AE9*20.428</f>
        <v>90271.332000000009</v>
      </c>
    </row>
    <row r="11" spans="1:99" ph="1">
      <c r="A11" s="64" t="s" ph="1">
        <v>162</v>
      </c>
      <c r="B11" s="181" ph="1"/>
      <c r="C11" s="159" t="s" ph="1">
        <v>179</v>
      </c>
      <c r="D11" s="74">
        <v>32</v>
      </c>
      <c r="E11" s="74">
        <v>29</v>
      </c>
      <c r="F11" s="74">
        <v>26</v>
      </c>
      <c r="G11" s="74">
        <v>27</v>
      </c>
      <c r="H11" s="74">
        <v>27</v>
      </c>
      <c r="I11" s="74">
        <v>25</v>
      </c>
      <c r="J11" s="74">
        <v>25</v>
      </c>
      <c r="K11" s="74">
        <v>25</v>
      </c>
      <c r="L11" s="74">
        <v>25</v>
      </c>
      <c r="M11" s="74">
        <v>32</v>
      </c>
      <c r="N11" s="74">
        <v>29</v>
      </c>
      <c r="O11" s="74">
        <v>32</v>
      </c>
      <c r="P11" s="74">
        <v>31</v>
      </c>
      <c r="Q11" s="74">
        <v>34</v>
      </c>
      <c r="R11" s="74">
        <v>34</v>
      </c>
      <c r="S11" s="74">
        <v>24</v>
      </c>
      <c r="T11" s="74">
        <v>21</v>
      </c>
      <c r="U11" s="74">
        <v>26</v>
      </c>
      <c r="V11" s="74">
        <v>28</v>
      </c>
      <c r="W11" s="74">
        <v>25</v>
      </c>
      <c r="X11" s="74">
        <v>15</v>
      </c>
      <c r="Y11" s="74">
        <v>30</v>
      </c>
      <c r="Z11" s="74">
        <v>27</v>
      </c>
      <c r="AA11" s="74">
        <v>32</v>
      </c>
      <c r="AB11" s="74">
        <v>24</v>
      </c>
      <c r="AC11" s="74">
        <v>29</v>
      </c>
      <c r="AD11" s="74">
        <v>29</v>
      </c>
      <c r="AE11" s="74">
        <v>29</v>
      </c>
    </row>
    <row r="12" spans="1:99" ht="9.9" customHeight="1" ph="1"/>
    <row r="13" spans="1:99" s="72" customFormat="1" ht="29.25" customHeight="1" ph="1">
      <c r="B13" s="189" t="s" ph="1">
        <v>37</v>
      </c>
      <c r="C13" s="159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0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639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1" ph="1">
        <v>0.33333333333333331</v>
      </c>
      <c r="C15" s="159" t="s" ph="1">
        <v>177</v>
      </c>
      <c r="D15" s="78">
        <v>1413</v>
      </c>
      <c r="E15" s="78">
        <v>5666</v>
      </c>
      <c r="F15" s="78">
        <v>3627</v>
      </c>
      <c r="G15" s="78">
        <v>3533</v>
      </c>
      <c r="H15" s="78">
        <v>2008</v>
      </c>
      <c r="I15" s="78">
        <v>5088</v>
      </c>
      <c r="J15" s="78">
        <v>4545</v>
      </c>
      <c r="K15" s="78">
        <v>5017</v>
      </c>
      <c r="L15" s="78">
        <v>3216</v>
      </c>
      <c r="M15" s="78">
        <v>3165</v>
      </c>
      <c r="N15" s="78">
        <v>459</v>
      </c>
      <c r="O15" s="78">
        <v>1944</v>
      </c>
      <c r="P15" s="78">
        <v>2338</v>
      </c>
      <c r="Q15" s="78">
        <v>985</v>
      </c>
      <c r="R15" s="78">
        <v>7423</v>
      </c>
      <c r="S15" s="78">
        <v>6492</v>
      </c>
      <c r="T15" s="78">
        <v>4151</v>
      </c>
      <c r="U15" s="78">
        <v>1723</v>
      </c>
      <c r="V15" s="78">
        <v>1668</v>
      </c>
      <c r="W15" s="71">
        <v>-172</v>
      </c>
      <c r="X15" s="78">
        <v>-144</v>
      </c>
      <c r="Y15" s="106">
        <v>-2365</v>
      </c>
      <c r="Z15" s="78">
        <v>0</v>
      </c>
      <c r="AA15" s="78">
        <v>5703</v>
      </c>
      <c r="AB15" s="78" ph="1">
        <v>3351</v>
      </c>
      <c r="AC15" s="78" ph="1">
        <v>0</v>
      </c>
      <c r="AD15" s="78">
        <v>5.72</v>
      </c>
      <c r="AE15" s="78">
        <v>50.11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2" ph="1"/>
      <c r="C16" s="159" t="s" ph="1">
        <v>178</v>
      </c>
      <c r="D16" s="73" ph="1">
        <f>D15*7.0686*LOOKUP(D17,密度!$A$2:$A$50,密度!$L$2:$L$50)</f>
        <v>9338.716233000001</v>
      </c>
      <c r="E16" s="73" ph="1">
        <f>E15*7.0686*LOOKUP(E17,密度!$A$2:$A$50,密度!$L$2:$L$50)</f>
        <v>37487.443593600001</v>
      </c>
      <c r="F16" s="73" ph="1">
        <f>F15*9.0746*LOOKUP(F17,密度!$A$2:$A$50,密度!$L$2:$L$50)</f>
        <v>30708.364728600005</v>
      </c>
      <c r="G16" s="73" ph="1">
        <f>G15*9.0746*LOOKUP(G17,密度!$A$2:$A$50,密度!$B$2:$B$50)</f>
        <v>24911.056518600002</v>
      </c>
      <c r="H16" s="73" ph="1">
        <f>H15*9.0746*LOOKUP(H17,密度!$A$2:$A$50,密度!$L$2:$L$50)</f>
        <v>17128.488991999999</v>
      </c>
      <c r="I16" s="73" ph="1">
        <f>I15*9.0746*LOOKUP(I17,密度!$A$2:$A$50,密度!$U$2:$U$50)</f>
        <v>47279.682355199999</v>
      </c>
      <c r="J16" s="73" ph="1">
        <f>J15*9.0746*LOOKUP(J17,密度!$A$2:$A$50,密度!$L$2:$L$50)</f>
        <v>38563.193295000005</v>
      </c>
      <c r="K16" s="73" ph="1">
        <f>K15*9.0746*LOOKUP(K17,密度!$A$2:$A$50,密度!$C$2:$C$50)</f>
        <v>50448.76589242</v>
      </c>
      <c r="L16" s="73" ph="1">
        <f>L15*9.0746*LOOKUP(L17,密度!$A$2:$A$50,密度!$E$2:$E$50)</f>
        <v>22792.636521600001</v>
      </c>
      <c r="M16" s="73" ph="1">
        <f>M15*9.0746*LOOKUP(M17,密度!$A$2:$A$50,密度!$M$2:$M$50)</f>
        <v>25044.807047999999</v>
      </c>
      <c r="N16" s="73" ph="1">
        <f>N15*9.0746*LOOKUP(N17,密度!$A$2:$A$50,密度!$M$2:$M$50)</f>
        <v>3652.9167078</v>
      </c>
      <c r="O16" s="73" ph="1">
        <f>O15*9.0746*LOOKUP(O17,密度!$A$2:$A$50,密度!$G$2:$G$50)</f>
        <v>16882.4584368</v>
      </c>
      <c r="P16" s="73" ph="1">
        <f ca="1">P15*9.0746*LOOKUP(P17,密度!$A$2:$A$51,密度!$Q$2:$Q$50)</f>
        <v>20056.301238736003</v>
      </c>
      <c r="Q16" s="73" ph="1">
        <f>Q15*9.0746*LOOKUP(Q17,密度!$A$2:$A$50,密度!$Q$2:$Q$50)</f>
        <v>8456.0711804300008</v>
      </c>
      <c r="R16" s="73" ph="1">
        <f>MAX(R15*9.0746*LOOKUP(R17,密度!$A$2:$A$50,密度!$B$2:$B$50),0)</f>
        <v>52285.418651959997</v>
      </c>
      <c r="S16" s="73" ph="1">
        <f>S15*9.0746*LOOKUP(S17,密度!$A$2:$A$50,密度!$Q$2:$Q$50)</f>
        <v>55649.739848784004</v>
      </c>
      <c r="T16" s="73" ph="1">
        <f>T15*9.0746*LOOKUP(T17,密度!$A$2:$A$50,密度!$O$2:$O$50)</f>
        <v>34881.183419600005</v>
      </c>
      <c r="U16" s="73" ph="1">
        <f>U15*9.0746*LOOKUP(U17,密度!$A$2:$A$50,密度!$H$2:$H$50)</f>
        <v>14289.31616762</v>
      </c>
      <c r="V16" s="73" ph="1">
        <f>MAX(5600*LOOKUP(V17,密度!$A$2:$A$50,密度!$Q$2:$Q$50)+V15*9.0476*LOOKUP(V17,密度!$A$2:$A$50,密度!$Q$2:$Q$50),0)</f>
        <v>19559.991222976001</v>
      </c>
      <c r="W16" s="73" ph="1">
        <f>MAX(5600*LOOKUP(W17,密度!$A$2:$A$50,密度!$Q$2:$Q$50)+W15*9.0476*LOOKUP(W17,密度!$A$2:$A$50,密度!$Q$2:$Q$50),0)</f>
        <v>3825.5682231840001</v>
      </c>
      <c r="X16" s="73" ph="1">
        <f>MAX(5600*LOOKUP(X17,密度!$A$2:$A$50,密度!$I$2:$I$50)+X15*9.0476*LOOKUP(X17,密度!$A$2:$A$50,密度!$I$2:$I$50),0)</f>
        <v>4464.7342783999993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40211.648832600004</v>
      </c>
      <c r="AB16" s="73" ph="1">
        <f>AB15*9.0746*LOOKUP(AB17,密度!$A$2:$A$50,密度!$L$2:$L$50)</f>
        <v>28341.173647200001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2418.9815481599999</v>
      </c>
      <c r="AE16" s="73" ph="1">
        <f>AE15*268.68*LOOKUP(AE17,密度!$A$2:$A$50,密度!B2:B50)+IF(AE15&lt;=0,0,1566*LOOKUP(AE17,密度!$A$2:$A$50,密度!B2:B50))</f>
        <v>11717.040922079999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3" ph="1"/>
      <c r="C17" s="79" t="s" ph="1">
        <v>179</v>
      </c>
      <c r="D17" s="74">
        <v>27</v>
      </c>
      <c r="E17" s="74">
        <v>26</v>
      </c>
      <c r="F17" s="74">
        <v>29</v>
      </c>
      <c r="G17" s="74">
        <v>28</v>
      </c>
      <c r="H17" s="74">
        <v>22</v>
      </c>
      <c r="I17" s="74">
        <v>26</v>
      </c>
      <c r="J17" s="74">
        <v>27</v>
      </c>
      <c r="K17" s="74">
        <v>26</v>
      </c>
      <c r="L17" s="74">
        <v>27</v>
      </c>
      <c r="M17" s="74">
        <v>28</v>
      </c>
      <c r="N17" s="74">
        <v>23</v>
      </c>
      <c r="O17" s="74">
        <v>28</v>
      </c>
      <c r="P17" s="74">
        <v>27</v>
      </c>
      <c r="Q17" s="74">
        <v>26</v>
      </c>
      <c r="R17" s="74">
        <v>29</v>
      </c>
      <c r="S17" s="74">
        <v>28</v>
      </c>
      <c r="T17" s="74">
        <v>26</v>
      </c>
      <c r="U17" s="74">
        <v>26</v>
      </c>
      <c r="V17" s="74">
        <v>27</v>
      </c>
      <c r="W17" s="74">
        <v>26</v>
      </c>
      <c r="X17" s="74">
        <v>28</v>
      </c>
      <c r="Y17" s="108">
        <v>28</v>
      </c>
      <c r="Z17" s="74">
        <v>26</v>
      </c>
      <c r="AA17" s="74">
        <v>28</v>
      </c>
      <c r="AB17" s="74">
        <v>30</v>
      </c>
      <c r="AC17" s="74">
        <v>24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1" ph="1">
        <v>0.66666666666666663</v>
      </c>
      <c r="C18" s="79" t="s" ph="1">
        <v>180</v>
      </c>
      <c r="D18" s="71">
        <v>3176</v>
      </c>
      <c r="E18" s="71">
        <v>5437</v>
      </c>
      <c r="F18" s="71">
        <v>3717</v>
      </c>
      <c r="G18" s="71">
        <v>3736</v>
      </c>
      <c r="H18" s="71">
        <v>2008</v>
      </c>
      <c r="I18" s="71">
        <v>5091</v>
      </c>
      <c r="J18" s="71">
        <v>4548</v>
      </c>
      <c r="K18" s="71">
        <v>5018</v>
      </c>
      <c r="L18" s="71">
        <v>3218</v>
      </c>
      <c r="M18" s="71">
        <v>5123</v>
      </c>
      <c r="N18" s="71">
        <v>458</v>
      </c>
      <c r="O18" s="71">
        <v>2229</v>
      </c>
      <c r="P18" s="71">
        <v>2338</v>
      </c>
      <c r="Q18" s="71">
        <v>978</v>
      </c>
      <c r="R18" s="71">
        <v>7427</v>
      </c>
      <c r="S18" s="71">
        <v>6495</v>
      </c>
      <c r="T18" s="71">
        <v>4151</v>
      </c>
      <c r="U18" s="71">
        <v>1723</v>
      </c>
      <c r="V18" s="71">
        <v>1668</v>
      </c>
      <c r="W18" s="71">
        <v>-173</v>
      </c>
      <c r="X18" s="71">
        <v>-146</v>
      </c>
      <c r="Y18" s="109">
        <v>-2365</v>
      </c>
      <c r="Z18" s="71">
        <v>0</v>
      </c>
      <c r="AA18" s="71">
        <v>6916</v>
      </c>
      <c r="AB18" s="71">
        <v>1076</v>
      </c>
      <c r="AC18" s="71">
        <v>0</v>
      </c>
      <c r="AD18" s="71">
        <v>22.48</v>
      </c>
      <c r="AE18" s="71">
        <v>84.19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2" ph="1"/>
      <c r="C19" s="159" t="s" ph="1">
        <v>178</v>
      </c>
      <c r="D19" s="73" ph="1">
        <f>D18*7.0686*LOOKUP(D20,密度!$A$2:$A$50,密度!$L$2:$L$50)</f>
        <v>20968.181942399999</v>
      </c>
      <c r="E19" s="73" ph="1">
        <f>E18*7.0686*LOOKUP(E20,密度!$A$2:$A$50,密度!$L$2:$L$50)</f>
        <v>35818.603682399997</v>
      </c>
      <c r="F19" s="73" ph="1">
        <f>F18*9.0746*LOOKUP(F20,密度!$A$2:$A$50,密度!$L$2:$L$50)</f>
        <v>31335.437737800003</v>
      </c>
      <c r="G19" s="73" ph="1">
        <f>G18*9.0746*LOOKUP(G20,密度!$A$2:$A$50,密度!$B$2:$B$50)</f>
        <v>26315.280086720002</v>
      </c>
      <c r="H19" s="73" ph="1">
        <f>H18*9.0746*LOOKUP(H20,密度!$A$2:$A$50,密度!$L$2:$L$50)</f>
        <v>17073.823601600001</v>
      </c>
      <c r="I19" s="73" ph="1">
        <f>I18*9.0746*LOOKUP(I20,密度!$A$2:$A$50,密度!$U$2:$U$50)</f>
        <v>46891.770428999997</v>
      </c>
      <c r="J19" s="73" ph="1">
        <f>J18*9.0746*LOOKUP(J20,密度!$A$2:$A$50,密度!$L$2:$L$50)</f>
        <v>38382.291144000003</v>
      </c>
      <c r="K19" s="73" ph="1">
        <f>K18*9.0746*LOOKUP(K20,密度!$A$2:$A$50,密度!$C$2:$C$50)</f>
        <v>50322.21242828</v>
      </c>
      <c r="L19" s="73" ph="1">
        <f>L18*9.0746*LOOKUP(L20,密度!$A$2:$A$50,密度!$E$2:$E$50)</f>
        <v>22739.646302359997</v>
      </c>
      <c r="M19" s="73" ph="1">
        <f>M18*9.0746*LOOKUP(M20,密度!$A$2:$A$50,密度!$M$2:$M$50)</f>
        <v>40393.050177346006</v>
      </c>
      <c r="N19" s="73" ph="1">
        <f>N18*9.0746*LOOKUP(N20,密度!$A$2:$A$50,密度!$M$2:$M$50)</f>
        <v>3624.1774495999998</v>
      </c>
      <c r="O19" s="73" ph="1">
        <f>O18*9.0746*LOOKUP(O20,密度!$A$2:$A$50,密度!$G$2:$G$50)</f>
        <v>19310.987461979999</v>
      </c>
      <c r="P19" s="73" ph="1">
        <f ca="1">P18*9.0746*LOOKUP(P20,密度!$A$2:$A$51,密度!$Q$2:$Q$50)</f>
        <v>20041.449748376002</v>
      </c>
      <c r="Q19" s="73" ph="1">
        <f>Q18*9.0746*LOOKUP(Q20,密度!$A$2:$A$50,密度!$Q$2:$Q$50)</f>
        <v>8365.3586657039996</v>
      </c>
      <c r="R19" s="73" ph="1">
        <f>MAX(R18*9.0746*LOOKUP(R20,密度!$A$2:$A$50,密度!$B$2:$B$50),0)</f>
        <v>52252.936121259998</v>
      </c>
      <c r="S19" s="73" ph="1">
        <f>S18*9.0746*LOOKUP(S20,密度!$A$2:$A$50,密度!$Q$2:$Q$50)</f>
        <v>55634.787721110006</v>
      </c>
      <c r="T19" s="73" ph="1">
        <f>T18*9.0746*LOOKUP(T20,密度!$A$2:$A$50,密度!$O$2:$O$50)</f>
        <v>34881.183419600005</v>
      </c>
      <c r="U19" s="73" ph="1">
        <f>U18*9.0746*LOOKUP(U20,密度!$A$2:$A$50,密度!$H$2:$H$50)</f>
        <v>14273.68063182</v>
      </c>
      <c r="V19" s="73" ph="1">
        <f>MAX(5600*LOOKUP(V20,密度!$A$2:$A$50,密度!$Q$2:$Q$50)+V18*9.0476*LOOKUP(V20,密度!$A$2:$A$50,密度!$Q$2:$Q$50),0)</f>
        <v>19503.296795743998</v>
      </c>
      <c r="W19" s="73" ph="1">
        <f>MAX(5600*LOOKUP(W20,密度!$A$2:$A$50,密度!$Q$2:$Q$50)+W18*9.0476*LOOKUP(W20,密度!$A$2:$A$50,密度!$Q$2:$Q$50),0)</f>
        <v>3803.0889822159997</v>
      </c>
      <c r="X19" s="73" ph="1">
        <f>MAX(5600*LOOKUP(X20,密度!$A$2:$A$50,密度!$I$2:$I$50)+X18*9.0476*LOOKUP(X20,密度!$A$2:$A$50,密度!$I$2:$I$50),0)</f>
        <v>4436.0915496799998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48657.776520080006</v>
      </c>
      <c r="AB19" s="73" ph="1">
        <f>AB18*9.0746*LOOKUP(AB20,密度!$A$2:$A$50,密度!$L$2:$L$50)</f>
        <v>9090.5349975999998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5909.8048128000009</v>
      </c>
      <c r="AE19" s="73" ph="1">
        <f>AE18*268.68*LOOKUP(AE20,密度!$A$2:$A$50,密度!B5:B53)+IF(AE18&lt;=0,0,1566*LOOKUP(AE20,密度!$A$2:$A$50,密度!B5:B53))</f>
        <v>18792.6534684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2" ph="1"/>
      <c r="C20" s="80" t="s" ph="1">
        <v>179</v>
      </c>
      <c r="D20" s="81">
        <v>28</v>
      </c>
      <c r="E20" s="81">
        <v>30</v>
      </c>
      <c r="F20" s="81">
        <v>33</v>
      </c>
      <c r="G20" s="81">
        <v>29</v>
      </c>
      <c r="H20" s="81">
        <v>25</v>
      </c>
      <c r="I20" s="81">
        <v>35</v>
      </c>
      <c r="J20" s="81">
        <v>32</v>
      </c>
      <c r="K20" s="81">
        <v>30</v>
      </c>
      <c r="L20" s="81">
        <v>29</v>
      </c>
      <c r="M20" s="81">
        <v>31</v>
      </c>
      <c r="N20" s="81">
        <v>28</v>
      </c>
      <c r="O20" s="81">
        <v>30</v>
      </c>
      <c r="P20" s="81">
        <v>28</v>
      </c>
      <c r="Q20" s="81">
        <v>31</v>
      </c>
      <c r="R20" s="81">
        <v>30</v>
      </c>
      <c r="S20" s="81">
        <v>29</v>
      </c>
      <c r="T20" s="81">
        <v>29</v>
      </c>
      <c r="U20" s="81">
        <v>27</v>
      </c>
      <c r="V20" s="81">
        <v>31</v>
      </c>
      <c r="W20" s="81">
        <v>31</v>
      </c>
      <c r="X20" s="81">
        <v>30</v>
      </c>
      <c r="Y20" s="110">
        <v>30</v>
      </c>
      <c r="Z20" s="81">
        <v>33</v>
      </c>
      <c r="AA20" s="81">
        <v>30</v>
      </c>
      <c r="AB20" s="81">
        <v>31</v>
      </c>
      <c r="AC20" s="81">
        <v>31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0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69" t="s" ph="1">
        <v>69</v>
      </c>
      <c r="AA22" s="170"/>
      <c r="AB22" s="170"/>
      <c r="AC22" s="170"/>
      <c r="AD22" s="170"/>
      <c r="AE22" s="17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5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72" t="s" ph="1">
        <v>641</v>
      </c>
      <c r="AA23" s="173"/>
      <c r="AB23" s="173"/>
      <c r="AC23" s="173"/>
      <c r="AD23" s="173"/>
      <c r="AE23" s="17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1" ph="1">
        <v>0.33333333333333331</v>
      </c>
      <c r="C24" s="159" t="s" ph="1">
        <v>177</v>
      </c>
      <c r="D24" s="71">
        <v>60.48</v>
      </c>
      <c r="E24" s="71">
        <v>5.63</v>
      </c>
      <c r="F24" s="71">
        <v>919</v>
      </c>
      <c r="G24" s="71">
        <v>2970</v>
      </c>
      <c r="H24" s="71">
        <v>2527</v>
      </c>
      <c r="I24" s="71">
        <v>1277</v>
      </c>
      <c r="J24" s="71">
        <v>831</v>
      </c>
      <c r="K24" s="71">
        <v>1563</v>
      </c>
      <c r="L24" s="71">
        <v>470</v>
      </c>
      <c r="M24" s="71">
        <v>4854</v>
      </c>
      <c r="N24" s="71">
        <v>4838</v>
      </c>
      <c r="O24" s="71">
        <v>5426</v>
      </c>
      <c r="P24" s="71">
        <v>1043</v>
      </c>
      <c r="Q24" s="90">
        <v>3923</v>
      </c>
      <c r="R24" s="71">
        <v>6308</v>
      </c>
      <c r="S24" s="71">
        <v>358</v>
      </c>
      <c r="T24" s="71">
        <v>1281</v>
      </c>
      <c r="U24" s="71">
        <v>5422</v>
      </c>
      <c r="V24" s="71">
        <v>599</v>
      </c>
      <c r="W24" s="71">
        <v>9835</v>
      </c>
      <c r="X24" s="71">
        <v>4460</v>
      </c>
      <c r="Y24" s="71">
        <v>5996</v>
      </c>
      <c r="Z24" s="175"/>
      <c r="AA24" s="176"/>
      <c r="AB24" s="176"/>
      <c r="AC24" s="176"/>
      <c r="AD24" s="176"/>
      <c r="AE24" s="17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1" ph="1"/>
      <c r="C25" s="68" t="s" ph="1">
        <v>178</v>
      </c>
      <c r="D25" s="91" ph="1">
        <f>D24*268.68*LOOKUP(D26,密度!$A$2:$A$50,密度!$Q$2:$Q$50)+IF(D24&lt;=0,0,1566*LOOKUP(D26,密度!$A$2:$A$50,密度!$Q$2:$Q$50))</f>
        <v>16866.898681536</v>
      </c>
      <c r="E25" s="91" ph="1">
        <f>E24*268.68*LOOKUP(E26,密度!$A$2:$A$50,密度!$C$2:$C$50)+IF(E24&lt;=0,0,1566*LOOKUP(E26,密度!$A$2:$A$50,密度!$C$2:$C$50))</f>
        <v>3413.93538876</v>
      </c>
      <c r="F25" s="91" ph="1">
        <f>F24*11.702*LOOKUP(F26,密度!$A$2:$A$50,密度!$Q$2:$Q$50)</f>
        <v>10181.372610120001</v>
      </c>
      <c r="G25" s="91" ph="1">
        <f>G24*18.322*LOOKUP(G26,密度!$A$2:$A$50,密度!$B$2:$B$50)</f>
        <v>42281.496180000002</v>
      </c>
      <c r="H25" s="91" ph="1">
        <f>H24*18.322*LOOKUP(H26,密度!$A$2:$A$50,密度!$B$2:$B$50)</f>
        <v>36053.571717799998</v>
      </c>
      <c r="I25" s="91" ph="1">
        <f>I24*18.322*LOOKUP(I26,密度!$A$2:$A$50,密度!$Q$2:$Q$50)</f>
        <v>22134.44743982</v>
      </c>
      <c r="J25" s="91" ph="1">
        <f>J24*18.322*LOOKUP(J26,密度!$A$2:$A$50,密度!$Q$2:$Q$50)</f>
        <v>14393.047176239999</v>
      </c>
      <c r="K25" s="91" ph="1">
        <f>K24*18.322*LOOKUP(K26,密度!$A$2:$A$50,密度!$Q$2:$Q$50)</f>
        <v>27051.353101320001</v>
      </c>
      <c r="L25" s="91" ph="1">
        <f>L24*18.322*LOOKUP(L26,密度!$A$2:$A$50,密度!$Q$2:$Q$50)</f>
        <v>8140.4719288000006</v>
      </c>
      <c r="M25" s="91" ph="1">
        <f>M24*18.322*LOOKUP(M26,密度!$A$2:$A$50,密度!$Q$2:$Q$50)</f>
        <v>84135.166697640001</v>
      </c>
      <c r="N25" s="91" ph="1">
        <f>N24*18.322*LOOKUP(N26,密度!$A$2:$A$50,密度!$Q$2:$Q$50)</f>
        <v>83920.77181464</v>
      </c>
      <c r="O25" s="91" ph="1">
        <f>O24*18.322*LOOKUP(O26,密度!$A$2:$A$50,密度!$C$2:$C$50)</f>
        <v>110311.07485119998</v>
      </c>
      <c r="P25" s="91" ph="1">
        <f>P24*11.702*LOOKUP(P26,密度!$A$2:$A$50,密度!$B$2:$B$50)</f>
        <v>9504.1783381999994</v>
      </c>
      <c r="Q25" s="92" ph="1">
        <f>Q24*18.322*LOOKUP(Q26,密度!$A$2:$A$50,密度!$B$2:$B$50)</f>
        <v>56035.469797599988</v>
      </c>
      <c r="R25" s="91" ph="1">
        <f>R24*35.891*LOOKUP(R26,密度!$A$2:$A$50,密度!$C$2:$C$50)</f>
        <v>250874.31426680001</v>
      </c>
      <c r="S25" s="91" ph="1">
        <f>S24*35.891*LOOKUP(S26,密度!$A$2:$A$50,密度!$B$2:$B$50)</f>
        <v>10017.063248799999</v>
      </c>
      <c r="T25" s="91" ph="1">
        <f>T24*35.891*LOOKUP(T26,密度!$A$2:$A$50,密度!$Q$2:$Q$50)</f>
        <v>43495.026257130005</v>
      </c>
      <c r="U25" s="91" ph="1">
        <f>U24*35.891</f>
        <v>194601.00199999998</v>
      </c>
      <c r="V25" s="91" ph="1">
        <f>V24*47.051*LOOKUP(V26,密度!$A$2:$A$50,密度!$B$2:$B$50)</f>
        <v>21971.894800400001</v>
      </c>
      <c r="W25" s="91" ph="1">
        <f>W24*47.051*LOOKUP(W26,密度!$A$2:$A$50,密度!$B$2:$B$50)</f>
        <v>361173.7095925</v>
      </c>
      <c r="X25" s="91" ph="1">
        <f>X24*47.051*LOOKUP(X26,密度!$A$2:$A$61,密度!$I$2:$I$61)</f>
        <v>217548.86178200002</v>
      </c>
      <c r="Y25" s="91" ph="1">
        <f>Y24*47.051*LOOKUP(Y26,密度!$A$2:$A$50,密度!$L$2:$L$50)</f>
        <v>264344.37485200004</v>
      </c>
      <c r="Z25" s="175"/>
      <c r="AA25" s="176"/>
      <c r="AB25" s="176"/>
      <c r="AC25" s="176"/>
      <c r="AD25" s="176"/>
      <c r="AE25" s="17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1" ph="1"/>
      <c r="C26" s="68" t="s" ph="1">
        <v>179</v>
      </c>
      <c r="D26" s="74">
        <v>25</v>
      </c>
      <c r="E26" s="74">
        <v>25</v>
      </c>
      <c r="F26" s="74">
        <v>25</v>
      </c>
      <c r="G26" s="74">
        <v>28</v>
      </c>
      <c r="H26" s="74">
        <v>26</v>
      </c>
      <c r="I26" s="74">
        <v>26</v>
      </c>
      <c r="J26" s="74">
        <v>27</v>
      </c>
      <c r="K26" s="74">
        <v>28</v>
      </c>
      <c r="L26" s="74">
        <v>27</v>
      </c>
      <c r="M26" s="74">
        <v>26</v>
      </c>
      <c r="N26" s="74">
        <v>25</v>
      </c>
      <c r="O26" s="74">
        <v>24</v>
      </c>
      <c r="P26" s="74">
        <v>26</v>
      </c>
      <c r="Q26" s="93">
        <v>25</v>
      </c>
      <c r="R26" s="74">
        <v>26</v>
      </c>
      <c r="S26" s="74">
        <v>25</v>
      </c>
      <c r="T26" s="74">
        <v>26</v>
      </c>
      <c r="U26" s="74">
        <v>27</v>
      </c>
      <c r="V26" s="74">
        <v>25</v>
      </c>
      <c r="W26" s="74">
        <v>24</v>
      </c>
      <c r="X26" s="74">
        <v>30</v>
      </c>
      <c r="Y26" s="74">
        <v>25</v>
      </c>
      <c r="Z26" s="175"/>
      <c r="AA26" s="176"/>
      <c r="AB26" s="176"/>
      <c r="AC26" s="176"/>
      <c r="AD26" s="176"/>
      <c r="AE26" s="17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1" ph="1">
        <v>0.66666666666666663</v>
      </c>
      <c r="C27" s="159" t="s" ph="1">
        <v>180</v>
      </c>
      <c r="D27" s="71">
        <v>60.53</v>
      </c>
      <c r="E27" s="71">
        <v>65.430000000000007</v>
      </c>
      <c r="F27" s="71">
        <v>917</v>
      </c>
      <c r="G27" s="71">
        <v>2472</v>
      </c>
      <c r="H27" s="71">
        <v>2016</v>
      </c>
      <c r="I27" s="71">
        <v>404</v>
      </c>
      <c r="J27" s="71">
        <v>828</v>
      </c>
      <c r="K27" s="71">
        <v>1561</v>
      </c>
      <c r="L27" s="71">
        <v>465</v>
      </c>
      <c r="M27" s="71">
        <v>4854</v>
      </c>
      <c r="N27" s="71">
        <v>4836</v>
      </c>
      <c r="O27" s="71">
        <v>5424</v>
      </c>
      <c r="P27" s="71">
        <v>1043</v>
      </c>
      <c r="Q27" s="90">
        <v>4193</v>
      </c>
      <c r="R27" s="71">
        <v>6307</v>
      </c>
      <c r="S27" s="71">
        <v>356</v>
      </c>
      <c r="T27" s="71">
        <v>1279</v>
      </c>
      <c r="U27" s="71">
        <v>5356</v>
      </c>
      <c r="V27" s="71">
        <v>597</v>
      </c>
      <c r="W27" s="71">
        <v>9836</v>
      </c>
      <c r="X27" s="71">
        <v>4467</v>
      </c>
      <c r="Y27" s="71">
        <v>3846</v>
      </c>
      <c r="Z27" s="175"/>
      <c r="AA27" s="176"/>
      <c r="AB27" s="176"/>
      <c r="AC27" s="176"/>
      <c r="AD27" s="176"/>
      <c r="AE27" s="17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1" ph="1"/>
      <c r="C28" s="159" t="s" ph="1">
        <v>178</v>
      </c>
      <c r="D28" s="91" ph="1">
        <f>D27*268.68*LOOKUP(D29,密度!$A$2:$A$50,密度!$Q$2:$Q$50)+IF(D27&lt;=0,0,1566*LOOKUP(D29,密度!$A$2:$A$50,密度!$Q$2:$Q$50))</f>
        <v>16879.617186696003</v>
      </c>
      <c r="E28" s="91" ph="1">
        <f>E27*268.68*LOOKUP(E29,密度!$A$2:$A$50,密度!$C$2:$C$50)+IF(E27&lt;=0,0,1566*LOOKUP(E29,密度!$A$2:$A$50,密度!$C$2:$C$50))</f>
        <v>21230.702658360002</v>
      </c>
      <c r="F28" s="91" ph="1">
        <f>F27*11.702*LOOKUP(F29,密度!$A$2:$A$50,密度!$Q$2:$Q$50)</f>
        <v>10151.596286020002</v>
      </c>
      <c r="G28" s="91" ph="1">
        <f>G27*18.322*LOOKUP(G29,密度!$A$2:$A$50,密度!$B$2:$B$50)</f>
        <v>35155.637980799998</v>
      </c>
      <c r="H28" s="91" ph="1">
        <f>H27*18.322*LOOKUP(H29,密度!$A$2:$A$50,密度!$B$2:$B$50)</f>
        <v>28796.203699199999</v>
      </c>
      <c r="I28" s="91" ph="1">
        <f>I27*18.322*LOOKUP(I29,密度!$A$2:$A$50,密度!$Q$2:$Q$50)</f>
        <v>7002.5973106399997</v>
      </c>
      <c r="J28" s="91" ph="1">
        <f>J27*18.322*LOOKUP(J29,密度!$A$2:$A$50,密度!$Q$2:$Q$50)</f>
        <v>14341.086717120001</v>
      </c>
      <c r="K28" s="91" ph="1">
        <f>K27*18.322*LOOKUP(K29,密度!$A$2:$A$50,密度!$Q$2:$Q$50)</f>
        <v>27057.06535126</v>
      </c>
      <c r="L28" s="91" ph="1">
        <f>L27*18.322*LOOKUP(L29,密度!$A$2:$A$50,密度!$Q$2:$Q$50)</f>
        <v>8065.9691801999998</v>
      </c>
      <c r="M28" s="91" ph="1">
        <f>M27*18.322*LOOKUP(M29,密度!$A$2:$A$50,密度!$Q$2:$Q$50)</f>
        <v>84072.022856160009</v>
      </c>
      <c r="N28" s="91" ph="1">
        <f>N27*18.322*LOOKUP(N29,密度!$A$2:$A$50,密度!$Q$2:$Q$50)</f>
        <v>83886.079474080005</v>
      </c>
      <c r="O28" s="91" ph="1">
        <f>O27*18.322*LOOKUP(O29,密度!$A$2:$A$50,密度!$C$2:$C$50)</f>
        <v>110200.84969919999</v>
      </c>
      <c r="P28" s="91" ph="1">
        <f>P27*11.702*LOOKUP(P29,密度!$A$2:$A$50,密度!$B$2:$B$50)</f>
        <v>9515.1630055999995</v>
      </c>
      <c r="Q28" s="92" ph="1">
        <f>Q27*18.322*LOOKUP(Q29,密度!$A$2:$A$50,密度!$B$2:$B$50)</f>
        <v>59961.245952999991</v>
      </c>
      <c r="R28" s="91" ph="1">
        <f>R27*35.891*LOOKUP(R29,密度!$A$2:$A$50,密度!$C$2:$C$50)</f>
        <v>250834.5434497</v>
      </c>
      <c r="S28" s="91" ph="1">
        <f>S27*35.891*LOOKUP(S29,密度!$A$2:$A$50,密度!$B$2:$B$50)</f>
        <v>9972.6014779999987</v>
      </c>
      <c r="T28" s="91" ph="1">
        <f>T27*35.891*LOOKUP(T29,密度!$A$2:$A$50,密度!$Q$2:$Q$50)</f>
        <v>43427.118331670004</v>
      </c>
      <c r="U28" s="91" ph="1">
        <f>U27*35.891</f>
        <v>192232.196</v>
      </c>
      <c r="V28" s="91" ph="1">
        <f>V27*47.051*LOOKUP(V29,密度!$A$2:$A$50,密度!$B$2:$B$50)</f>
        <v>21898.532881200001</v>
      </c>
      <c r="W28" s="91" ph="1">
        <f>W27*47.051*LOOKUP(W29,密度!$A$2:$A$50,密度!$B$2:$B$50)</f>
        <v>361210.432898</v>
      </c>
      <c r="X28" s="91" ph="1">
        <f>X27*47.051*LOOKUP(X29,密度!$A$2:$A$61,密度!$I$2:$I$61)</f>
        <v>218121.50068260002</v>
      </c>
      <c r="Y28" s="91" ph="1">
        <f>Y27*47.051*LOOKUP(Y29,密度!$A$2:$A$50,密度!$L$2:$L$50)</f>
        <v>169738.74094799999</v>
      </c>
      <c r="Z28" s="175"/>
      <c r="AA28" s="176"/>
      <c r="AB28" s="176"/>
      <c r="AC28" s="176"/>
      <c r="AD28" s="176"/>
      <c r="AE28" s="17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1" ph="1"/>
      <c r="C29" s="159" t="s" ph="1">
        <v>179</v>
      </c>
      <c r="D29" s="74">
        <v>25</v>
      </c>
      <c r="E29" s="74">
        <v>25</v>
      </c>
      <c r="F29" s="74">
        <v>26</v>
      </c>
      <c r="G29" s="74">
        <v>29</v>
      </c>
      <c r="H29" s="74">
        <v>25</v>
      </c>
      <c r="I29" s="74">
        <v>26</v>
      </c>
      <c r="J29" s="74">
        <v>27</v>
      </c>
      <c r="K29" s="74">
        <v>26</v>
      </c>
      <c r="L29" s="74">
        <v>25</v>
      </c>
      <c r="M29" s="74">
        <v>27</v>
      </c>
      <c r="N29" s="74">
        <v>25</v>
      </c>
      <c r="O29" s="74">
        <v>25</v>
      </c>
      <c r="P29" s="74">
        <v>25</v>
      </c>
      <c r="Q29" s="93">
        <v>24</v>
      </c>
      <c r="R29" s="74">
        <v>26</v>
      </c>
      <c r="S29" s="74">
        <v>24</v>
      </c>
      <c r="T29" s="74">
        <v>26</v>
      </c>
      <c r="U29" s="74">
        <v>27</v>
      </c>
      <c r="V29" s="74">
        <v>25</v>
      </c>
      <c r="W29" s="74">
        <v>24</v>
      </c>
      <c r="X29" s="74">
        <v>29</v>
      </c>
      <c r="Y29" s="74">
        <v>24</v>
      </c>
      <c r="Z29" s="178"/>
      <c r="AA29" s="179"/>
      <c r="AB29" s="179"/>
      <c r="AC29" s="179"/>
      <c r="AD29" s="179"/>
      <c r="AE29" s="18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4" t="s" ph="1">
        <v>35</v>
      </c>
      <c r="C31" s="195" ph="1"/>
      <c r="D31" s="198" t="s" ph="1">
        <v>9</v>
      </c>
      <c r="E31" s="187" ph="1"/>
      <c r="F31" s="188" ph="1"/>
      <c r="G31" s="198" t="s" ph="1">
        <v>18</v>
      </c>
      <c r="H31" s="187" ph="1"/>
      <c r="I31" s="188" ph="1"/>
      <c r="J31" s="186" t="s" ph="1">
        <v>1</v>
      </c>
      <c r="K31" s="187" ph="1"/>
      <c r="L31" s="188" ph="1"/>
      <c r="M31" s="186" t="s" ph="1">
        <v>7</v>
      </c>
      <c r="N31" s="187" ph="1"/>
      <c r="O31" s="188" ph="1"/>
      <c r="P31" s="186" t="s" ph="1">
        <v>41</v>
      </c>
      <c r="Q31" s="187"/>
      <c r="R31" s="188"/>
      <c r="S31" s="186" t="s" ph="1">
        <v>2</v>
      </c>
      <c r="T31" s="187"/>
      <c r="U31" s="188"/>
      <c r="V31" s="186" t="s" ph="1">
        <v>71</v>
      </c>
      <c r="W31" s="187" ph="1"/>
      <c r="X31" s="188" ph="1"/>
      <c r="Y31" s="186" t="s" ph="1">
        <v>3</v>
      </c>
      <c r="Z31" s="187" ph="1"/>
      <c r="AA31" s="188" ph="1"/>
      <c r="AB31" s="209" t="s">
        <v>42</v>
      </c>
      <c r="AC31" s="210"/>
      <c r="AD31" s="210"/>
      <c r="AE31" s="211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6" ph="1"/>
      <c r="C32" s="197" ph="1"/>
      <c r="D32" s="96" t="s" ph="1">
        <v>4</v>
      </c>
      <c r="E32" s="159" t="s" ph="1">
        <v>5</v>
      </c>
      <c r="F32" s="158" t="s" ph="1">
        <v>43</v>
      </c>
      <c r="G32" s="97" t="s" ph="1">
        <v>4</v>
      </c>
      <c r="H32" s="159" t="s" ph="1">
        <v>5</v>
      </c>
      <c r="I32" s="158" t="s" ph="1">
        <v>43</v>
      </c>
      <c r="J32" s="97" t="s" ph="1">
        <v>4</v>
      </c>
      <c r="K32" s="159" t="s" ph="1">
        <v>5</v>
      </c>
      <c r="L32" s="158" t="s" ph="1">
        <v>43</v>
      </c>
      <c r="M32" s="97" t="s" ph="1">
        <v>4</v>
      </c>
      <c r="N32" s="159" t="s" ph="1">
        <v>5</v>
      </c>
      <c r="O32" s="15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9" t="s" ph="1">
        <v>5</v>
      </c>
      <c r="U32" s="99" t="s" ph="1">
        <v>43</v>
      </c>
      <c r="V32" s="97" t="s" ph="1">
        <v>4</v>
      </c>
      <c r="W32" s="159" t="s" ph="1">
        <v>5</v>
      </c>
      <c r="X32" s="99" t="s" ph="1">
        <v>43</v>
      </c>
      <c r="Y32" s="100" t="s" ph="1">
        <v>4</v>
      </c>
      <c r="Z32" s="159" t="s" ph="1">
        <v>5</v>
      </c>
      <c r="AA32" s="158" t="s" ph="1">
        <v>43</v>
      </c>
      <c r="AB32" s="97" t="s" ph="1">
        <v>85</v>
      </c>
      <c r="AC32" s="159" t="s" ph="1">
        <v>84</v>
      </c>
      <c r="AD32" s="212" t="s" ph="1">
        <v>83</v>
      </c>
      <c r="AE32" s="213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199" t="s" ph="1">
        <v>181</v>
      </c>
      <c r="C33" s="200" ph="1"/>
      <c r="D33" s="203" ph="1">
        <f>AA10+AB10+Z19</f>
        <v>163169.4569392</v>
      </c>
      <c r="E33" s="203" ph="1">
        <f>M10+I10</f>
        <v>16532.351315200001</v>
      </c>
      <c r="F33" s="20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1522252632456786910111213141516171819202123456789101112131415161718192022232424356789101112131415161718192021222345678910111213141516171819202345678910111213149101516171819222123234567891012131415161711181920212224252345678910111213120[[#This Row],[F25]]</f>
        <v>3880</v>
      </c>
      <c r="G33" s="207" ph="1">
        <f>N19</f>
        <v>3624.1774495999998</v>
      </c>
      <c r="H33" s="203" ph="1">
        <f>M19</f>
        <v>40393.050177346006</v>
      </c>
      <c r="I33" s="216" ph="1">
        <v>0</v>
      </c>
      <c r="J33" s="214" ph="1">
        <f>F10+O28</f>
        <v>324938.13033119997</v>
      </c>
      <c r="K33" s="203" ph="1">
        <f>O10+K10+E28+R28</f>
        <v>407552.34654566005</v>
      </c>
      <c r="L33" s="218" ph="1">
        <f>K19</f>
        <v>50322.21242828</v>
      </c>
      <c r="M33" s="214" ph="1">
        <f>G10+H10+W28+S28+V28+E10+R19+P28+Q28</f>
        <v>1312939.04747306</v>
      </c>
      <c r="N33" s="203" ph="1">
        <f>L10+P10++G28+H28+AD19+AE19</f>
        <v>143518.5199212</v>
      </c>
      <c r="O33" s="216" ph="1">
        <f>G19</f>
        <v>26315.280086720002</v>
      </c>
      <c r="P33" s="214" ph="1">
        <f>L19</f>
        <v>22739.646302359997</v>
      </c>
      <c r="Q33" s="203" ph="1">
        <f>J10+N10</f>
        <v>95628.900628899995</v>
      </c>
      <c r="R33" s="216" ph="1">
        <f>BE23</f>
        <v>890</v>
      </c>
      <c r="S33" s="214" ph="1">
        <f>X28</f>
        <v>218121.50068260002</v>
      </c>
      <c r="T33" s="203" ph="1">
        <f>X19</f>
        <v>4436.0915496799998</v>
      </c>
      <c r="U33" s="224" ph="1">
        <f>BE21</f>
        <v>730</v>
      </c>
      <c r="V33" s="235" ph="1">
        <f ca="1">P19+Q19+S19+M28+N28+J28+D10+AC10+D19+E19+H19+J19+O19+V19+W19+K28+L28</f>
        <v>939201.12137505005</v>
      </c>
      <c r="W33" s="235" ph="1">
        <f>D28+F28+T28+I28</f>
        <v>77460.929115026011</v>
      </c>
      <c r="X33" s="216" ph="1">
        <f>BE29+BE31</f>
        <v>10200</v>
      </c>
      <c r="Y33" s="237" ph="1">
        <f>+Q10+R10+S10+T10+U10+V10+W10+X10+Y10</f>
        <v>225443.6098992</v>
      </c>
      <c r="Z33" s="222" ph="1">
        <f>T19+U19+Y28+Z10</f>
        <v>361582.66189442005</v>
      </c>
      <c r="AA33" s="224" ph="1">
        <f>BE19</f>
        <v>1440</v>
      </c>
      <c r="AB33" s="226" ph="1">
        <f>I19</f>
        <v>46891.770428999997</v>
      </c>
      <c r="AC33" s="228" ph="1">
        <f>AD10+AB19</f>
        <v>64059.341365599998</v>
      </c>
      <c r="AD33" s="230" ph="1">
        <v>0</v>
      </c>
      <c r="AE33" s="231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1" ph="1"/>
      <c r="C34" s="202" ph="1"/>
      <c r="D34" s="204" ph="1"/>
      <c r="E34" s="204" ph="1"/>
      <c r="F34" s="206" ph="1"/>
      <c r="G34" s="208" ph="1"/>
      <c r="H34" s="204" ph="1"/>
      <c r="I34" s="217" ph="1"/>
      <c r="J34" s="215" ph="1"/>
      <c r="K34" s="204" ph="1"/>
      <c r="L34" s="219" ph="1"/>
      <c r="M34" s="215" ph="1"/>
      <c r="N34" s="204" ph="1"/>
      <c r="O34" s="217" ph="1"/>
      <c r="P34" s="215" ph="1"/>
      <c r="Q34" s="204" ph="1"/>
      <c r="R34" s="217" ph="1"/>
      <c r="S34" s="215" ph="1"/>
      <c r="T34" s="204"/>
      <c r="U34" s="225"/>
      <c r="V34" s="236" ph="1"/>
      <c r="W34" s="236" ph="1"/>
      <c r="X34" s="217" ph="1"/>
      <c r="Y34" s="238" ph="1"/>
      <c r="Z34" s="223" ph="1"/>
      <c r="AA34" s="225" ph="1"/>
      <c r="AB34" s="227"/>
      <c r="AC34" s="229"/>
      <c r="AD34" s="232"/>
      <c r="AE34" s="233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4" t="s" ph="1">
        <v>631</v>
      </c>
      <c r="AD35" s="234"/>
      <c r="AE35" s="234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0" t="s" ph="1">
        <v>183</v>
      </c>
      <c r="J36" s="220" ph="1"/>
      <c r="K36" s="101" ph="1"/>
      <c r="P36" s="101" ph="1"/>
      <c r="R36" s="220" t="s" ph="1">
        <v>184</v>
      </c>
      <c r="S36" s="220" ph="1"/>
      <c r="Y36" s="102" ph="1"/>
      <c r="Z36" s="157" t="s" ph="1">
        <v>185</v>
      </c>
      <c r="AA36" s="157" ph="1"/>
      <c r="AB36" s="221" t="s" ph="1">
        <v>638</v>
      </c>
      <c r="AC36" s="221" ph="1"/>
      <c r="AD36" s="221" ph="1"/>
      <c r="AE36" s="221" ph="1"/>
      <c r="BA36" s="64" ph="1">
        <v>2270</v>
      </c>
    </row>
    <row r="37" spans="1:57" s="157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7" t="s" ph="1">
        <v>342</v>
      </c>
      <c r="AI37" s="157" t="s" ph="1">
        <v>209</v>
      </c>
      <c r="AJ37" s="157" t="s" ph="1">
        <v>210</v>
      </c>
      <c r="AK37" s="157" t="s" ph="1">
        <v>211</v>
      </c>
      <c r="AM37" s="157" t="s" ph="1">
        <v>210</v>
      </c>
      <c r="AN37" s="157" t="s" ph="1">
        <v>211</v>
      </c>
      <c r="AO37" s="157" t="s" ph="1">
        <v>212</v>
      </c>
      <c r="AP37" s="157" t="s" ph="1">
        <v>210</v>
      </c>
      <c r="AQ37" s="157" t="s" ph="1">
        <v>211</v>
      </c>
      <c r="AR37" s="157" t="s" ph="1">
        <v>212</v>
      </c>
      <c r="AS37" s="157" t="s" ph="1">
        <v>210</v>
      </c>
      <c r="AT37" s="157" t="s" ph="1">
        <v>211</v>
      </c>
      <c r="AU37" s="157" t="s" ph="1">
        <v>212</v>
      </c>
      <c r="AV37" s="157" t="s" ph="1">
        <v>210</v>
      </c>
      <c r="AW37" s="157" t="s" ph="1">
        <v>211</v>
      </c>
      <c r="AX37" s="157" t="s" ph="1">
        <v>212</v>
      </c>
      <c r="AY37" s="157" t="s" ph="1">
        <v>211</v>
      </c>
      <c r="AZ37" s="157" t="s" ph="1">
        <v>213</v>
      </c>
      <c r="BD37" s="157" t="s" ph="1">
        <v>305</v>
      </c>
      <c r="BE37" s="157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779" priority="100">
      <formula>ABS(D$7-D$10)&gt;=1000</formula>
    </cfRule>
  </conditionalFormatting>
  <conditionalFormatting sqref="E4 E6:E11">
    <cfRule type="expression" dxfId="778" priority="99">
      <formula>ABS(E$7-E$10)&gt;=1000</formula>
    </cfRule>
  </conditionalFormatting>
  <conditionalFormatting sqref="F4:F11">
    <cfRule type="expression" dxfId="777" priority="98">
      <formula>ABS(F$7-F$10)&gt;=1000</formula>
    </cfRule>
  </conditionalFormatting>
  <conditionalFormatting sqref="G4:G11">
    <cfRule type="expression" dxfId="776" priority="97">
      <formula>ABS(G$7-G$10)&gt;=1000</formula>
    </cfRule>
  </conditionalFormatting>
  <conditionalFormatting sqref="H4:H11">
    <cfRule type="expression" dxfId="775" priority="96">
      <formula>ABS(H$7-H$10)&gt;=1000</formula>
    </cfRule>
  </conditionalFormatting>
  <conditionalFormatting sqref="I4:I11">
    <cfRule type="expression" dxfId="774" priority="95">
      <formula>ABS(I$7-I$10)&gt;=1000</formula>
    </cfRule>
  </conditionalFormatting>
  <conditionalFormatting sqref="J4:J11">
    <cfRule type="expression" dxfId="773" priority="94">
      <formula>ABS(J$7-J$10)&gt;=1000</formula>
    </cfRule>
  </conditionalFormatting>
  <conditionalFormatting sqref="K4:K11">
    <cfRule type="expression" dxfId="772" priority="93">
      <formula>ABS(K$7-K$10)&gt;=1000</formula>
    </cfRule>
  </conditionalFormatting>
  <conditionalFormatting sqref="L4:L11">
    <cfRule type="expression" dxfId="771" priority="92">
      <formula>ABS(L$7-L$10)&gt;=1000</formula>
    </cfRule>
  </conditionalFormatting>
  <conditionalFormatting sqref="M4 M6:M11">
    <cfRule type="expression" dxfId="770" priority="91">
      <formula>ABS(M$7-M$10)&gt;=1000</formula>
    </cfRule>
  </conditionalFormatting>
  <conditionalFormatting sqref="N4 N6:N11">
    <cfRule type="expression" dxfId="769" priority="90">
      <formula>ABS(N$7-N$10)&gt;=1000</formula>
    </cfRule>
  </conditionalFormatting>
  <conditionalFormatting sqref="O4 O6:O11">
    <cfRule type="expression" dxfId="768" priority="89">
      <formula>ABS(O$7-O$10)&gt;=1000</formula>
    </cfRule>
  </conditionalFormatting>
  <conditionalFormatting sqref="P4 P6:P11">
    <cfRule type="expression" dxfId="767" priority="88">
      <formula>ABS(P$7-P$10)&gt;=1000</formula>
    </cfRule>
  </conditionalFormatting>
  <conditionalFormatting sqref="Q4:Q11">
    <cfRule type="expression" dxfId="766" priority="87">
      <formula>ABS(Q$7-Q$10)&gt;=1000</formula>
    </cfRule>
  </conditionalFormatting>
  <conditionalFormatting sqref="R4:R11">
    <cfRule type="expression" dxfId="765" priority="86">
      <formula>ABS(R$7-R$10)&gt;=1000</formula>
    </cfRule>
  </conditionalFormatting>
  <conditionalFormatting sqref="S4:S11">
    <cfRule type="expression" dxfId="764" priority="85">
      <formula>ABS(S$7-S$10)&gt;=1000</formula>
    </cfRule>
  </conditionalFormatting>
  <conditionalFormatting sqref="T4:T9 T11">
    <cfRule type="expression" dxfId="763" priority="84">
      <formula>ABS(T$7-T$10)&gt;=1000</formula>
    </cfRule>
  </conditionalFormatting>
  <conditionalFormatting sqref="U4:U9 U11">
    <cfRule type="expression" dxfId="762" priority="83">
      <formula>ABS(U$7-U$10)&gt;=1000</formula>
    </cfRule>
  </conditionalFormatting>
  <conditionalFormatting sqref="V4:V9 V11">
    <cfRule type="expression" dxfId="761" priority="82">
      <formula>ABS(V$7-V$10)&gt;=1000</formula>
    </cfRule>
  </conditionalFormatting>
  <conditionalFormatting sqref="W4:W9 W11">
    <cfRule type="expression" dxfId="760" priority="81">
      <formula>ABS(W$7-W$10)&gt;=1000</formula>
    </cfRule>
  </conditionalFormatting>
  <conditionalFormatting sqref="X4:X9 X11">
    <cfRule type="expression" dxfId="759" priority="80">
      <formula>ABS(X$7-X$10)&gt;=1000</formula>
    </cfRule>
  </conditionalFormatting>
  <conditionalFormatting sqref="Y4:Y9 Y11">
    <cfRule type="expression" dxfId="758" priority="79">
      <formula>ABS(Y$7-Y$10)&gt;=1000</formula>
    </cfRule>
  </conditionalFormatting>
  <conditionalFormatting sqref="Z4:Z11">
    <cfRule type="expression" dxfId="757" priority="78">
      <formula>ABS(Z$7-Z$10)&gt;=1000</formula>
    </cfRule>
  </conditionalFormatting>
  <conditionalFormatting sqref="AA4:AA11">
    <cfRule type="expression" dxfId="756" priority="77">
      <formula>ABS(AA$7-AA$10)&gt;=1000</formula>
    </cfRule>
  </conditionalFormatting>
  <conditionalFormatting sqref="AB4:AB11">
    <cfRule type="expression" dxfId="755" priority="76">
      <formula>ABS(AB$7-AB$10)&gt;=1000</formula>
    </cfRule>
  </conditionalFormatting>
  <conditionalFormatting sqref="AC4 AC6:AC11">
    <cfRule type="expression" dxfId="754" priority="75">
      <formula>ABS(AC$7-AC$10)&gt;=1000</formula>
    </cfRule>
  </conditionalFormatting>
  <conditionalFormatting sqref="AD4 AD6:AD11">
    <cfRule type="expression" dxfId="753" priority="74">
      <formula>ABS(AD$7-AD$10)&gt;=1000</formula>
    </cfRule>
  </conditionalFormatting>
  <conditionalFormatting sqref="AE4 AE6:AE11">
    <cfRule type="expression" dxfId="752" priority="73">
      <formula>ABS(AE$7-AE$10)&gt;=1000</formula>
    </cfRule>
  </conditionalFormatting>
  <conditionalFormatting sqref="D13:D20">
    <cfRule type="expression" dxfId="751" priority="72">
      <formula>ABS(D$16-D$19)&gt;=1000</formula>
    </cfRule>
  </conditionalFormatting>
  <conditionalFormatting sqref="E13:E20">
    <cfRule type="expression" dxfId="750" priority="71">
      <formula>ABS(E$16-E$19)&gt;=1000</formula>
    </cfRule>
  </conditionalFormatting>
  <conditionalFormatting sqref="F13 F15:F20">
    <cfRule type="expression" dxfId="749" priority="70">
      <formula>ABS(F$16-F$19)&gt;=1000</formula>
    </cfRule>
  </conditionalFormatting>
  <conditionalFormatting sqref="G13:G20">
    <cfRule type="expression" dxfId="748" priority="69">
      <formula>ABS(G$16-G$19)&gt;=1000</formula>
    </cfRule>
  </conditionalFormatting>
  <conditionalFormatting sqref="H13 H15:H20">
    <cfRule type="expression" dxfId="747" priority="68">
      <formula>ABS(H$16-H$19)&gt;=1000</formula>
    </cfRule>
  </conditionalFormatting>
  <conditionalFormatting sqref="I13:I20">
    <cfRule type="expression" dxfId="746" priority="67">
      <formula>ABS(I$16-I$19)&gt;=1000</formula>
    </cfRule>
  </conditionalFormatting>
  <conditionalFormatting sqref="J13:J20">
    <cfRule type="expression" dxfId="745" priority="66">
      <formula>ABS(J$16-J$19)&gt;=1000</formula>
    </cfRule>
  </conditionalFormatting>
  <conditionalFormatting sqref="L13:L20">
    <cfRule type="expression" dxfId="744" priority="65">
      <formula>ABS(L$16-L$19)&gt;=1000</formula>
    </cfRule>
  </conditionalFormatting>
  <conditionalFormatting sqref="M13 M15 M17:M18 M20">
    <cfRule type="expression" dxfId="743" priority="64">
      <formula>ABS(M$16-M$19)&gt;=1000</formula>
    </cfRule>
  </conditionalFormatting>
  <conditionalFormatting sqref="N13:N20">
    <cfRule type="expression" dxfId="742" priority="63">
      <formula>ABS(N$16-N$19)&gt;=1000</formula>
    </cfRule>
  </conditionalFormatting>
  <conditionalFormatting sqref="O13:O20">
    <cfRule type="expression" dxfId="741" priority="62">
      <formula>ABS(O$16-O$19)&gt;=1000</formula>
    </cfRule>
  </conditionalFormatting>
  <conditionalFormatting sqref="P13:P20">
    <cfRule type="expression" dxfId="740" priority="61">
      <formula>ABS(P$16-P$19)&gt;=1000</formula>
    </cfRule>
  </conditionalFormatting>
  <conditionalFormatting sqref="Q13 Q15:Q20">
    <cfRule type="expression" dxfId="739" priority="60">
      <formula>ABS(Q$16-Q$19)&gt;=1000</formula>
    </cfRule>
  </conditionalFormatting>
  <conditionalFormatting sqref="R13:R20">
    <cfRule type="expression" dxfId="738" priority="59">
      <formula>ABS(R$16-R$19)&gt;=1000</formula>
    </cfRule>
  </conditionalFormatting>
  <conditionalFormatting sqref="S13:S20">
    <cfRule type="expression" dxfId="737" priority="58">
      <formula>ABS(S$16-S$19)&gt;=1000</formula>
    </cfRule>
  </conditionalFormatting>
  <conditionalFormatting sqref="T13:T20">
    <cfRule type="expression" dxfId="736" priority="57">
      <formula>ABS(T$16-T$19)&gt;=1000</formula>
    </cfRule>
  </conditionalFormatting>
  <conditionalFormatting sqref="U13:U20">
    <cfRule type="expression" dxfId="735" priority="56">
      <formula>ABS(U$16-U$19)&gt;=1000</formula>
    </cfRule>
  </conditionalFormatting>
  <conditionalFormatting sqref="V13:V20">
    <cfRule type="expression" dxfId="734" priority="55">
      <formula>ABS(V$16-V$19)&gt;=1000</formula>
    </cfRule>
  </conditionalFormatting>
  <conditionalFormatting sqref="W13 W20 W15:W18">
    <cfRule type="expression" dxfId="733" priority="54">
      <formula>ABS(W$16-W$19)&gt;=1000</formula>
    </cfRule>
  </conditionalFormatting>
  <conditionalFormatting sqref="X13 X15:X20 Y19">
    <cfRule type="expression" dxfId="732" priority="53">
      <formula>ABS(X$16-X$19)&gt;=1000</formula>
    </cfRule>
  </conditionalFormatting>
  <conditionalFormatting sqref="Y13 Y15:Y18 Y20">
    <cfRule type="expression" dxfId="731" priority="52">
      <formula>ABS(Y$16-Y$19)&gt;=1000</formula>
    </cfRule>
  </conditionalFormatting>
  <conditionalFormatting sqref="Z13:Z20">
    <cfRule type="expression" dxfId="730" priority="51">
      <formula>ABS(Z$16-Z$19)&gt;=1000</formula>
    </cfRule>
  </conditionalFormatting>
  <conditionalFormatting sqref="AA13:AA20">
    <cfRule type="expression" dxfId="729" priority="50">
      <formula>ABS(AA$16-AA$19)&gt;=1000</formula>
    </cfRule>
  </conditionalFormatting>
  <conditionalFormatting sqref="AB13 AB15:AB20">
    <cfRule type="expression" dxfId="728" priority="49">
      <formula>ABS(AB$16-AB$19)&gt;=1000</formula>
    </cfRule>
  </conditionalFormatting>
  <conditionalFormatting sqref="AC13 AC15:AC20">
    <cfRule type="expression" dxfId="727" priority="48">
      <formula>ABS(AC$16-AC$19)&gt;=1000</formula>
    </cfRule>
  </conditionalFormatting>
  <conditionalFormatting sqref="AD13:AD20">
    <cfRule type="expression" dxfId="726" priority="47">
      <formula>ABS(AD$16-AD$19)&gt;=1000</formula>
    </cfRule>
  </conditionalFormatting>
  <conditionalFormatting sqref="AE13:AE20">
    <cfRule type="expression" dxfId="725" priority="46">
      <formula>ABS(AE$16-AE$19)&gt;=1000</formula>
    </cfRule>
  </conditionalFormatting>
  <conditionalFormatting sqref="D22:D29">
    <cfRule type="expression" dxfId="724" priority="45">
      <formula>ABS(D$25-D$28)&gt;=1000</formula>
    </cfRule>
  </conditionalFormatting>
  <conditionalFormatting sqref="E22:E29">
    <cfRule type="expression" dxfId="723" priority="44">
      <formula>ABS(E$25-E$28)&gt;=1000</formula>
    </cfRule>
  </conditionalFormatting>
  <conditionalFormatting sqref="F22:F29">
    <cfRule type="expression" dxfId="722" priority="43">
      <formula>ABS(F$25-F$28)&gt;=1000</formula>
    </cfRule>
  </conditionalFormatting>
  <conditionalFormatting sqref="G22:G29">
    <cfRule type="expression" dxfId="721" priority="42">
      <formula>ABS(G$25-G$28)&gt;=1000</formula>
    </cfRule>
  </conditionalFormatting>
  <conditionalFormatting sqref="H22:H29">
    <cfRule type="expression" dxfId="720" priority="41">
      <formula>ABS(H$25-H$28)&gt;=1000</formula>
    </cfRule>
  </conditionalFormatting>
  <conditionalFormatting sqref="I22 I24:I29">
    <cfRule type="expression" dxfId="719" priority="40">
      <formula>ABS(I$25-I$28)&gt;=1000</formula>
    </cfRule>
  </conditionalFormatting>
  <conditionalFormatting sqref="J22:J29 K22">
    <cfRule type="expression" dxfId="718" priority="39">
      <formula>ABS(J$25-J$28)&gt;=1000</formula>
    </cfRule>
  </conditionalFormatting>
  <conditionalFormatting sqref="K23:K29 L25 L28">
    <cfRule type="expression" dxfId="717" priority="38">
      <formula>ABS(K$25-K$28)&gt;=1000</formula>
    </cfRule>
  </conditionalFormatting>
  <conditionalFormatting sqref="L22 L26:L27 L29 L24">
    <cfRule type="expression" dxfId="716" priority="37">
      <formula>ABS(L$25-L$28)&gt;=1000</formula>
    </cfRule>
  </conditionalFormatting>
  <conditionalFormatting sqref="M22:M29">
    <cfRule type="expression" dxfId="715" priority="36">
      <formula>ABS(M$25-M$28)&gt;=1000</formula>
    </cfRule>
  </conditionalFormatting>
  <conditionalFormatting sqref="N22:N29">
    <cfRule type="expression" dxfId="714" priority="35">
      <formula>ABS(N$25-N$28)&gt;=1000</formula>
    </cfRule>
  </conditionalFormatting>
  <conditionalFormatting sqref="O22:O29">
    <cfRule type="expression" dxfId="713" priority="34">
      <formula>ABS(O$25-O$28)&gt;=1000</formula>
    </cfRule>
  </conditionalFormatting>
  <conditionalFormatting sqref="P22:P29">
    <cfRule type="expression" dxfId="712" priority="33">
      <formula>ABS(P$25-P$28)&gt;=1000</formula>
    </cfRule>
  </conditionalFormatting>
  <conditionalFormatting sqref="Q22:Q29">
    <cfRule type="expression" dxfId="711" priority="32">
      <formula>ABS(Q$25-Q$28)&gt;=1000</formula>
    </cfRule>
  </conditionalFormatting>
  <conditionalFormatting sqref="R22:R29">
    <cfRule type="expression" dxfId="710" priority="31">
      <formula>ABS(R$25-R$28)&gt;=1000</formula>
    </cfRule>
  </conditionalFormatting>
  <conditionalFormatting sqref="S22:S29">
    <cfRule type="expression" dxfId="709" priority="30">
      <formula>ABS(S$25-S$28)&gt;=1000</formula>
    </cfRule>
  </conditionalFormatting>
  <conditionalFormatting sqref="T22:T29">
    <cfRule type="expression" dxfId="708" priority="29">
      <formula>ABS(T$25-T$28)&gt;=1000</formula>
    </cfRule>
  </conditionalFormatting>
  <conditionalFormatting sqref="U22:U29">
    <cfRule type="expression" dxfId="707" priority="28">
      <formula>ABS(U$25-U$28)&gt;=1000</formula>
    </cfRule>
  </conditionalFormatting>
  <conditionalFormatting sqref="V22:V29">
    <cfRule type="expression" dxfId="706" priority="27">
      <formula>ABS(V$25-V$28)&gt;=1000</formula>
    </cfRule>
  </conditionalFormatting>
  <conditionalFormatting sqref="W22:W29">
    <cfRule type="expression" dxfId="705" priority="26">
      <formula>ABS(W$25-W$28)&gt;=1000</formula>
    </cfRule>
  </conditionalFormatting>
  <conditionalFormatting sqref="X22:X29">
    <cfRule type="expression" dxfId="704" priority="25">
      <formula>ABS(X$25-X$28)&gt;=1000</formula>
    </cfRule>
  </conditionalFormatting>
  <conditionalFormatting sqref="Y22:Y29">
    <cfRule type="expression" dxfId="703" priority="24">
      <formula>ABS(Y$25-Y$28)&gt;=1000</formula>
    </cfRule>
  </conditionalFormatting>
  <conditionalFormatting sqref="I23">
    <cfRule type="expression" dxfId="702" priority="23">
      <formula>ABS(I$25-I$28)&gt;=1000</formula>
    </cfRule>
  </conditionalFormatting>
  <conditionalFormatting sqref="Q14">
    <cfRule type="expression" dxfId="701" priority="22">
      <formula>ABS(Q$16-Q$19)&gt;=1000</formula>
    </cfRule>
  </conditionalFormatting>
  <conditionalFormatting sqref="W14">
    <cfRule type="expression" dxfId="700" priority="21">
      <formula>ABS(W$16-W$19)&gt;=1000</formula>
    </cfRule>
  </conditionalFormatting>
  <conditionalFormatting sqref="X14">
    <cfRule type="expression" dxfId="699" priority="20">
      <formula>ABS(X$16-X$19)&gt;=1000</formula>
    </cfRule>
  </conditionalFormatting>
  <conditionalFormatting sqref="T10:Y10">
    <cfRule type="expression" dxfId="698" priority="19">
      <formula>ABS(T$7-T$10)&gt;=1000</formula>
    </cfRule>
  </conditionalFormatting>
  <conditionalFormatting sqref="W19">
    <cfRule type="expression" dxfId="697" priority="18">
      <formula>ABS(W$16-W$19)&gt;=1000</formula>
    </cfRule>
  </conditionalFormatting>
  <conditionalFormatting sqref="AC5">
    <cfRule type="expression" dxfId="696" priority="17">
      <formula>ABS(AC$7-AC$10)&gt;=1000</formula>
    </cfRule>
  </conditionalFormatting>
  <conditionalFormatting sqref="M14">
    <cfRule type="expression" dxfId="695" priority="16">
      <formula>ABS(M$16-M$19)&gt;=1000</formula>
    </cfRule>
  </conditionalFormatting>
  <conditionalFormatting sqref="M16">
    <cfRule type="expression" dxfId="694" priority="15">
      <formula>ABS(M$16-M$19)&gt;=1000</formula>
    </cfRule>
  </conditionalFormatting>
  <conditionalFormatting sqref="M19">
    <cfRule type="expression" dxfId="693" priority="14">
      <formula>ABS(M$16-M$19)&gt;=1000</formula>
    </cfRule>
  </conditionalFormatting>
  <conditionalFormatting sqref="K13:K20">
    <cfRule type="expression" dxfId="692" priority="13">
      <formula>ABS(K$16-K$19)&gt;=1000</formula>
    </cfRule>
  </conditionalFormatting>
  <conditionalFormatting sqref="E5">
    <cfRule type="expression" dxfId="691" priority="12">
      <formula>ABS(E$7-E$10)&gt;=1000</formula>
    </cfRule>
  </conditionalFormatting>
  <conditionalFormatting sqref="AB14:AC14">
    <cfRule type="expression" dxfId="690" priority="11">
      <formula>ABS(AB$16-AB$19)&gt;=1000</formula>
    </cfRule>
  </conditionalFormatting>
  <conditionalFormatting sqref="M5">
    <cfRule type="expression" dxfId="689" priority="10">
      <formula>ABS(M$7-M$10)&gt;=1000</formula>
    </cfRule>
  </conditionalFormatting>
  <conditionalFormatting sqref="N5">
    <cfRule type="expression" dxfId="688" priority="9">
      <formula>ABS(N$7-N$10)&gt;=1000</formula>
    </cfRule>
  </conditionalFormatting>
  <conditionalFormatting sqref="O5">
    <cfRule type="expression" dxfId="687" priority="8">
      <formula>ABS(O$7-O$10)&gt;=1000</formula>
    </cfRule>
  </conditionalFormatting>
  <conditionalFormatting sqref="P5">
    <cfRule type="expression" dxfId="686" priority="7">
      <formula>ABS(P$7-P$10)&gt;=1000</formula>
    </cfRule>
  </conditionalFormatting>
  <conditionalFormatting sqref="L23">
    <cfRule type="expression" dxfId="685" priority="6">
      <formula>ABS(L$25-L$28)&gt;=1000</formula>
    </cfRule>
  </conditionalFormatting>
  <conditionalFormatting sqref="Y14">
    <cfRule type="expression" dxfId="684" priority="5">
      <formula>ABS(Y$16-Y$19)&gt;=1000</formula>
    </cfRule>
  </conditionalFormatting>
  <conditionalFormatting sqref="F14">
    <cfRule type="expression" dxfId="683" priority="4">
      <formula>ABS(F$16-F$19)&gt;=1000</formula>
    </cfRule>
  </conditionalFormatting>
  <conditionalFormatting sqref="H14">
    <cfRule type="expression" dxfId="682" priority="3">
      <formula>ABS(H$16-H$19)&gt;=1000</formula>
    </cfRule>
  </conditionalFormatting>
  <conditionalFormatting sqref="AD5">
    <cfRule type="expression" dxfId="681" priority="2">
      <formula>ABS(AD$7-AD$10)&gt;=1000</formula>
    </cfRule>
  </conditionalFormatting>
  <conditionalFormatting sqref="AE5">
    <cfRule type="expression" dxfId="68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3340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74">
    <pageSetUpPr fitToPage="1"/>
  </sheetPr>
  <dimension ref="A1:CU223"/>
  <sheetViews>
    <sheetView view="pageBreakPreview" topLeftCell="A9" zoomScale="70" zoomScaleNormal="100" zoomScaleSheetLayoutView="70" workbookViewId="0">
      <selection activeCell="W24" sqref="W24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2" t="s" ph="1">
        <v>161</v>
      </c>
      <c r="C1" s="182" ph="1"/>
      <c r="D1" s="182" ph="1"/>
      <c r="E1" s="182" ph="1"/>
      <c r="F1" s="182" ph="1"/>
      <c r="G1" s="182" ph="1"/>
      <c r="H1" s="182" ph="1"/>
      <c r="I1" s="182" ph="1"/>
      <c r="J1" s="182" ph="1"/>
      <c r="K1" s="182" ph="1"/>
      <c r="L1" s="182" ph="1"/>
      <c r="M1" s="182" ph="1"/>
      <c r="N1" s="182" ph="1"/>
      <c r="O1" s="182" ph="1"/>
      <c r="P1" s="182" ph="1"/>
      <c r="Q1" s="182" ph="1"/>
      <c r="R1" s="182" ph="1"/>
      <c r="S1" s="182" ph="1"/>
      <c r="T1" s="182" ph="1"/>
      <c r="U1" s="182" ph="1"/>
      <c r="V1" s="182" ph="1"/>
      <c r="W1" s="182" ph="1"/>
      <c r="X1" s="182" ph="1"/>
      <c r="Y1" s="182" ph="1"/>
      <c r="Z1" s="182" ph="1"/>
      <c r="AA1" s="182" ph="1"/>
      <c r="AB1" s="182" ph="1"/>
      <c r="AC1" s="182" ph="1"/>
      <c r="AD1" s="182" ph="1"/>
      <c r="AE1" s="182" ph="1"/>
    </row>
    <row r="2" spans="1:99" s="66" customFormat="1" ht="24" customHeight="1" ph="1">
      <c r="B2" s="183" t="s" ph="1">
        <v>82</v>
      </c>
      <c r="C2" s="183" ph="1"/>
      <c r="D2" s="183" ph="1"/>
      <c r="E2" s="183" ph="1"/>
      <c r="F2" s="183" ph="1"/>
      <c r="G2" s="183" ph="1"/>
      <c r="H2" s="183" ph="1"/>
      <c r="I2" s="183" ph="1"/>
      <c r="J2" s="183" ph="1"/>
      <c r="K2" s="183" ph="1"/>
      <c r="L2" s="183" ph="1"/>
      <c r="M2" s="183" ph="1"/>
      <c r="N2" s="183" ph="1"/>
      <c r="O2" s="183" ph="1"/>
      <c r="P2" s="183" ph="1"/>
      <c r="Q2" s="183" ph="1"/>
      <c r="R2" s="183" ph="1"/>
      <c r="S2" s="183" ph="1"/>
      <c r="T2" s="183" ph="1"/>
      <c r="U2" s="183" ph="1"/>
      <c r="V2" s="183" ph="1"/>
      <c r="W2" s="183" ph="1"/>
      <c r="X2" s="183" ph="1"/>
      <c r="Y2" s="183" ph="1"/>
      <c r="Z2" s="183" ph="1"/>
      <c r="AA2" s="183" ph="1"/>
      <c r="AB2" s="183" ph="1"/>
      <c r="AC2" s="183" ph="1"/>
      <c r="AD2" s="183" ph="1"/>
      <c r="AE2" s="183" ph="1"/>
    </row>
    <row r="3" spans="1:99" ht="21" customHeight="1" ph="1">
      <c r="B3" s="184" ph="1">
        <v>46136</v>
      </c>
      <c r="C3" s="184"/>
      <c r="D3" s="184"/>
      <c r="E3" s="184"/>
      <c r="F3" s="184"/>
      <c r="G3" s="184"/>
      <c r="H3" s="184"/>
      <c r="I3" s="184"/>
      <c r="J3" s="184"/>
      <c r="K3" s="184"/>
      <c r="L3" s="184"/>
      <c r="M3" s="184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</row>
    <row r="4" spans="1:99" s="69" customFormat="1" ph="1">
      <c r="A4" s="65" ph="1"/>
      <c r="B4" s="185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5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1" ph="1">
        <v>0.33333333333333331</v>
      </c>
      <c r="C6" s="159" t="s" ph="1">
        <v>177</v>
      </c>
      <c r="D6" s="71">
        <v>4758</v>
      </c>
      <c r="E6" s="71">
        <v>7413</v>
      </c>
      <c r="F6" s="71">
        <v>5837</v>
      </c>
      <c r="G6" s="71">
        <v>8431</v>
      </c>
      <c r="H6" s="71">
        <v>3391</v>
      </c>
      <c r="I6" s="71">
        <v>7.0000000000000007E-2</v>
      </c>
      <c r="J6" s="71">
        <v>6.35</v>
      </c>
      <c r="K6" s="71">
        <v>62.68</v>
      </c>
      <c r="L6" s="71">
        <v>87.82</v>
      </c>
      <c r="M6" s="71">
        <v>490</v>
      </c>
      <c r="N6" s="71">
        <v>3643</v>
      </c>
      <c r="O6" s="71">
        <v>5106</v>
      </c>
      <c r="P6" s="71">
        <v>1124</v>
      </c>
      <c r="Q6" s="71">
        <v>0</v>
      </c>
      <c r="R6" s="71">
        <v>0</v>
      </c>
      <c r="S6" s="71">
        <v>4031</v>
      </c>
      <c r="T6" s="71">
        <v>6573</v>
      </c>
      <c r="U6" s="71">
        <v>7074</v>
      </c>
      <c r="V6" s="71">
        <v>7085</v>
      </c>
      <c r="W6" s="71">
        <v>2602</v>
      </c>
      <c r="X6" s="71">
        <v>4828</v>
      </c>
      <c r="Y6" s="71">
        <v>0</v>
      </c>
      <c r="Z6" s="71">
        <v>5599</v>
      </c>
      <c r="AA6" s="71">
        <v>4217</v>
      </c>
      <c r="AB6" s="71">
        <v>962</v>
      </c>
      <c r="AC6" s="71">
        <v>6939</v>
      </c>
      <c r="AD6" s="71">
        <v>2810</v>
      </c>
      <c r="AE6" s="71">
        <v>4419</v>
      </c>
    </row>
    <row r="7" spans="1:99" s="72" customFormat="1" ht="22.2" ph="1">
      <c r="B7" s="181" ph="1"/>
      <c r="C7" s="68" t="s" ph="1">
        <v>178</v>
      </c>
      <c r="D7" s="73" ph="1">
        <f>D6*33.183*LOOKUP(D8,密度!$A$2:$A$50,密度!$Q$2:$Q$50)</f>
        <v>148937.38725761999</v>
      </c>
      <c r="E7" s="73" ph="1">
        <f>E6*51.53*LOOKUP(E8,密度!$A$2:$A$50,密度!$B$2:$B$50)</f>
        <v>298144.67014499998</v>
      </c>
      <c r="F7" s="73" ph="1">
        <f>F6*33.183*LOOKUP(F8,密度!$A$2:$A$50,密度!$C$2:$C$50)</f>
        <v>215072.45547840002</v>
      </c>
      <c r="G7" s="73" ph="1">
        <f xml:space="preserve"> (G6+2)*51.53*LOOKUP(G8,密度!$A$2:$A$50,密度!$B$2:$B$50)</f>
        <v>338777.12120399997</v>
      </c>
      <c r="H7" s="73" ph="1">
        <f>(H6)*51.53*LOOKUP(H8,密度!$A$2:$A$50,密度!$B$2:$B$50)</f>
        <v>137012.24614300003</v>
      </c>
      <c r="I7" s="73" ph="1">
        <f>I6*290.8*1.0267</f>
        <v>20.8995052</v>
      </c>
      <c r="J7" s="73" ph="1">
        <f>J6*290.8*0.7892</f>
        <v>1457.3209360000001</v>
      </c>
      <c r="K7" s="73" ph="1">
        <f>K6*290.8*1.1126</f>
        <v>20279.742934400001</v>
      </c>
      <c r="L7" s="73" ph="1">
        <f>L6*290.8*0.777</f>
        <v>19843.069512000002</v>
      </c>
      <c r="M7" s="73" ph="1">
        <f>M6*33.183*LOOKUP(M8,密度!$A$2:$A$50,密度!$D$2:$D$50)</f>
        <v>16739.330265000001</v>
      </c>
      <c r="N7" s="73" ph="1">
        <f>N6*33.183*LOOKUP(N8,密度!$A$2:$A$50,密度!$E$2:$E$50)</f>
        <v>94544.681724900001</v>
      </c>
      <c r="O7" s="73" ph="1">
        <f>O6*20.428*LOOKUP(O8,密度!$A$2:$A$50,密度!$C$2:$C$50)</f>
        <v>115351.30647120002</v>
      </c>
      <c r="P7" s="73" ph="1">
        <f>P6*51.53*LOOKUP(P8,密度!$A$2:$A$50,密度!$B$2:$B$50)</f>
        <v>45362.724704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26812.408530599998</v>
      </c>
      <c r="T7" s="73" ph="1">
        <f>T6*1.5*1.5*3.1416*LOOKUP(T8,密度!$A$2:$A$50,密度!$L$2:$L$50)</f>
        <v>43720.655239799999</v>
      </c>
      <c r="U7" s="73" ph="1">
        <f>U6*1.5*1.5*3.1416*LOOKUP(U8,密度!$A$2:$A$50,密度!$L$2:$L$50)</f>
        <v>46853.069986800008</v>
      </c>
      <c r="V7" s="73" ph="1">
        <f>V6*1.5*1.5*3.1416*LOOKUP(V8,密度!$A$2:$A$50,密度!$L$2:$L$50)</f>
        <v>46825.763985000005</v>
      </c>
      <c r="W7" s="73" ph="1">
        <f>W6*1.5*1.5*3.1416*LOOKUP(W8,密度!$A$2:$A$50,密度!$L$2:$L$50)</f>
        <v>17252.162373599996</v>
      </c>
      <c r="X7" s="73" ph="1">
        <f>X6*1.5*1.5*3.1416*LOOKUP(X8,密度!$A$2:$A$50,密度!$L$2:$L$50)</f>
        <v>32318.459157599998</v>
      </c>
      <c r="Y7" s="73" ph="1">
        <f>Y6*1.5*1.5*3.1416*LOOKUP(Y8,密度!$A$2:$A$50,密度!$L$2:$L$50)</f>
        <v>0</v>
      </c>
      <c r="Z7" s="73" ph="1">
        <f>Z6*33.183*LOOKUP(Z8,密度!$A$2:$A$50,密度!$L$2:$L$50)</f>
        <v>174829.911597</v>
      </c>
      <c r="AA7" s="73" ph="1">
        <f>AA6*33.183*LOOKUP(AA8,密度!$A$2:$A$50,密度!$D$2:$D$50)</f>
        <v>143934.78653460002</v>
      </c>
      <c r="AB7" s="73" ph="1">
        <f>AB6*20.428*LOOKUP(AB8,密度!$A$2:$A$50,密度!$D$2:$D$50)</f>
        <v>20302.208461599999</v>
      </c>
      <c r="AC7" s="73" ph="1">
        <f>AC6*51.53*LOOKUP(AC8,密度!$A$2:$A$50,密度!$Q$2:$Q$50)</f>
        <v>339577.49083229998</v>
      </c>
      <c r="AD7" s="73" ph="1">
        <f>AD6*20.428*LOOKUP(AD8,密度!$A$2:$A$50,密度!$V$2:$V$50)</f>
        <v>55152.494943999998</v>
      </c>
      <c r="AE7" s="73" ph="1">
        <f>AE6*20.428</f>
        <v>90271.332000000009</v>
      </c>
    </row>
    <row r="8" spans="1:99" ph="1">
      <c r="B8" s="181" ph="1"/>
      <c r="C8" s="68" t="s" ph="1">
        <v>179</v>
      </c>
      <c r="D8" s="74">
        <v>30</v>
      </c>
      <c r="E8" s="74">
        <v>24</v>
      </c>
      <c r="F8" s="74">
        <v>23</v>
      </c>
      <c r="G8" s="74">
        <v>25</v>
      </c>
      <c r="H8" s="74">
        <v>20</v>
      </c>
      <c r="I8" s="74">
        <v>25</v>
      </c>
      <c r="J8" s="74">
        <v>25</v>
      </c>
      <c r="K8" s="74">
        <v>25</v>
      </c>
      <c r="L8" s="74">
        <v>25</v>
      </c>
      <c r="M8" s="74">
        <v>22</v>
      </c>
      <c r="N8" s="74">
        <v>26</v>
      </c>
      <c r="O8" s="74">
        <v>29</v>
      </c>
      <c r="P8" s="74">
        <v>21</v>
      </c>
      <c r="Q8" s="74">
        <v>24</v>
      </c>
      <c r="R8" s="74">
        <v>28</v>
      </c>
      <c r="S8" s="74">
        <v>21</v>
      </c>
      <c r="T8" s="74">
        <v>21</v>
      </c>
      <c r="U8" s="74">
        <v>25</v>
      </c>
      <c r="V8" s="74">
        <v>27</v>
      </c>
      <c r="W8" s="74">
        <v>24</v>
      </c>
      <c r="X8" s="74">
        <v>15</v>
      </c>
      <c r="Y8" s="74">
        <v>22</v>
      </c>
      <c r="Z8" s="74">
        <v>21</v>
      </c>
      <c r="AA8" s="74">
        <v>23</v>
      </c>
      <c r="AB8" s="74">
        <v>18</v>
      </c>
      <c r="AC8" s="74">
        <v>21</v>
      </c>
      <c r="AD8" s="74">
        <v>25</v>
      </c>
      <c r="AE8" s="74">
        <v>27</v>
      </c>
    </row>
    <row r="9" spans="1:99" ht="26.4" ph="1">
      <c r="B9" s="181" ph="1">
        <v>0.66666666666666663</v>
      </c>
      <c r="C9" s="159" t="s" ph="1">
        <v>180</v>
      </c>
      <c r="D9" s="71">
        <v>5131</v>
      </c>
      <c r="E9" s="71">
        <v>6977</v>
      </c>
      <c r="F9" s="71">
        <v>5835</v>
      </c>
      <c r="G9" s="71">
        <v>8426</v>
      </c>
      <c r="H9" s="71">
        <v>3107</v>
      </c>
      <c r="I9" s="71">
        <v>7.0000000000000007E-2</v>
      </c>
      <c r="J9" s="71">
        <v>6.4</v>
      </c>
      <c r="K9" s="71">
        <v>62.61</v>
      </c>
      <c r="L9" s="71">
        <v>46.08</v>
      </c>
      <c r="M9" s="71">
        <v>489</v>
      </c>
      <c r="N9" s="71">
        <v>3639</v>
      </c>
      <c r="O9" s="71">
        <v>5104</v>
      </c>
      <c r="P9" s="71">
        <v>1174</v>
      </c>
      <c r="Q9" s="71">
        <v>0</v>
      </c>
      <c r="R9" s="71">
        <v>0</v>
      </c>
      <c r="S9" s="71">
        <v>0</v>
      </c>
      <c r="T9" s="71">
        <v>6363</v>
      </c>
      <c r="U9" s="71">
        <v>7064</v>
      </c>
      <c r="V9" s="71">
        <v>7074</v>
      </c>
      <c r="W9" s="71">
        <v>5090</v>
      </c>
      <c r="X9" s="71">
        <v>7126</v>
      </c>
      <c r="Y9" s="71">
        <v>4178</v>
      </c>
      <c r="Z9" s="71">
        <v>4100</v>
      </c>
      <c r="AA9" s="71">
        <v>4215</v>
      </c>
      <c r="AB9" s="71">
        <v>962</v>
      </c>
      <c r="AC9" s="71">
        <v>6620</v>
      </c>
      <c r="AD9" s="71">
        <v>2810</v>
      </c>
      <c r="AE9" s="71">
        <v>4415</v>
      </c>
    </row>
    <row r="10" spans="1:99" s="72" customFormat="1" ht="22.2" ph="1">
      <c r="B10" s="181" ph="1"/>
      <c r="C10" s="159" t="s" ph="1">
        <v>178</v>
      </c>
      <c r="D10" s="73" ph="1">
        <f>D9*33.183*LOOKUP(D11,密度!$A$2:$A$50,密度!$Q$2:$Q$50)</f>
        <v>160952.04831636001</v>
      </c>
      <c r="E10" s="73" ph="1">
        <f>E9*51.53*LOOKUP(E11,密度!$A$2:$A$50,密度!$B$2:$B$50)</f>
        <v>280932.68653399998</v>
      </c>
      <c r="F10" s="73" ph="1">
        <f>F9*33.183*LOOKUP(F11,密度!$A$2:$A$50,密度!$C$2:$C$50)</f>
        <v>215134.29863549999</v>
      </c>
      <c r="G10" s="73" ph="1">
        <f xml:space="preserve"> (G9+2)*51.53*LOOKUP(G11,密度!$A$2:$A$50,密度!$B$2:$B$50)</f>
        <v>338967.12261999998</v>
      </c>
      <c r="H10" s="73" ph="1">
        <f>(H9)*51.53*LOOKUP(H11,密度!$A$2:$A$50,密度!$B$2:$B$50)</f>
        <v>125793.48494699999</v>
      </c>
      <c r="I10" s="73" ph="1">
        <f>I9*290.8*1.0267</f>
        <v>20.8995052</v>
      </c>
      <c r="J10" s="73" ph="1">
        <f>J9*290.8*0.7892</f>
        <v>1468.7959040000001</v>
      </c>
      <c r="K10" s="73" ph="1">
        <f>K9*290.8*1.1126</f>
        <v>20257.094848800003</v>
      </c>
      <c r="L10" s="73" ph="1">
        <f>L9*290.8*0.777</f>
        <v>10411.849728000001</v>
      </c>
      <c r="M10" s="73" ph="1">
        <f>M9*33.183*LOOKUP(M11,密度!$A$2:$A$50,密度!$D$2:$D$50)</f>
        <v>16735.9986918</v>
      </c>
      <c r="N10" s="73" ph="1">
        <f>N9*33.183*LOOKUP(N11,密度!$A$2:$A$50,密度!$E$2:$E$50)</f>
        <v>94440.87202770001</v>
      </c>
      <c r="O10" s="73" ph="1">
        <f>O9*20.428*LOOKUP(O11,密度!$A$2:$A$50,密度!$C$2:$C$50)</f>
        <v>115462.52058879999</v>
      </c>
      <c r="P10" s="73" ph="1">
        <f>P9*51.53*LOOKUP(P11,密度!$A$2:$A$50,密度!$B$2:$B$50)</f>
        <v>47435.086102000001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42368.806695599997</v>
      </c>
      <c r="U10" s="73" ph="1">
        <f>U9*1.5*1.5*3.1416*LOOKUP(U11,密度!$A$2:$A$50,密度!$L$2:$L$50)</f>
        <v>46786.837204800002</v>
      </c>
      <c r="V10" s="73" ph="1">
        <f>V9*1.5*1.5*3.1416*LOOKUP(V11,密度!$A$2:$A$50,密度!$L$2:$L$50)</f>
        <v>46703.060157600004</v>
      </c>
      <c r="W10" s="73" ph="1">
        <f>W9*1.5*1.5*3.1416*LOOKUP(W11,密度!$A$2:$A$50,密度!$L$2:$L$50)</f>
        <v>33784.444385999996</v>
      </c>
      <c r="X10" s="73" ph="1">
        <f>X9*1.5*1.5*3.1416*LOOKUP(X11,密度!$A$2:$A$50,密度!$L$2:$L$50)</f>
        <v>47701.188889199999</v>
      </c>
      <c r="Y10" s="73" ph="1">
        <f>Y9*1.5*1.5*3.1416*LOOKUP(Y11,密度!$A$2:$A$50,密度!$L$2:$L$50)</f>
        <v>27790.186762799996</v>
      </c>
      <c r="Z10" s="73" ph="1">
        <f>Z9*33.183*LOOKUP(Z11,密度!$A$2:$A$50,密度!$L$2:$L$50)</f>
        <v>128431.48319999999</v>
      </c>
      <c r="AA10" s="73" ph="1">
        <f>AA9*33.183*LOOKUP(AA11,密度!$A$2:$A$50,密度!$D$2:$D$50)</f>
        <v>144132.2685225</v>
      </c>
      <c r="AB10" s="73" ph="1">
        <f>AB9*20.428*LOOKUP(AB11,密度!$A$2:$A$50,密度!$D$2:$D$50)</f>
        <v>20335.616412799998</v>
      </c>
      <c r="AC10" s="73" ph="1">
        <f>AC9*51.53*LOOKUP(AC11,密度!$A$2:$A$50,密度!$Q$2:$Q$50)</f>
        <v>324201.79886800004</v>
      </c>
      <c r="AD10" s="73" ph="1">
        <f>AD9*20.428*LOOKUP(AD11,密度!$A$2:$A$50,密度!$V$2:$V$50)</f>
        <v>55152.494943999998</v>
      </c>
      <c r="AE10" s="73" ph="1">
        <f>AE9*20.428</f>
        <v>90189.62000000001</v>
      </c>
    </row>
    <row r="11" spans="1:99" ph="1">
      <c r="A11" s="64" t="s" ph="1">
        <v>162</v>
      </c>
      <c r="B11" s="181" ph="1"/>
      <c r="C11" s="159" t="s" ph="1">
        <v>179</v>
      </c>
      <c r="D11" s="74">
        <v>27</v>
      </c>
      <c r="E11" s="74">
        <v>23</v>
      </c>
      <c r="F11" s="74">
        <v>22</v>
      </c>
      <c r="G11" s="74">
        <v>24</v>
      </c>
      <c r="H11" s="74">
        <v>18</v>
      </c>
      <c r="I11" s="74">
        <v>25</v>
      </c>
      <c r="J11" s="74">
        <v>25</v>
      </c>
      <c r="K11" s="74">
        <v>25</v>
      </c>
      <c r="L11" s="74">
        <v>25</v>
      </c>
      <c r="M11" s="74">
        <v>20</v>
      </c>
      <c r="N11" s="74">
        <v>26</v>
      </c>
      <c r="O11" s="74">
        <v>27</v>
      </c>
      <c r="P11" s="74">
        <v>20</v>
      </c>
      <c r="Q11" s="74">
        <v>22</v>
      </c>
      <c r="R11" s="74">
        <v>26</v>
      </c>
      <c r="S11" s="74">
        <v>18</v>
      </c>
      <c r="T11" s="74">
        <v>20</v>
      </c>
      <c r="U11" s="74">
        <v>25</v>
      </c>
      <c r="V11" s="74">
        <v>28</v>
      </c>
      <c r="W11" s="74">
        <v>23</v>
      </c>
      <c r="X11" s="74">
        <v>15</v>
      </c>
      <c r="Y11" s="74">
        <v>21</v>
      </c>
      <c r="Z11" s="74">
        <v>18</v>
      </c>
      <c r="AA11" s="74">
        <v>21</v>
      </c>
      <c r="AB11" s="74">
        <v>16</v>
      </c>
      <c r="AC11" s="74">
        <v>20</v>
      </c>
      <c r="AD11" s="74">
        <v>22</v>
      </c>
      <c r="AE11" s="74">
        <v>25</v>
      </c>
    </row>
    <row r="12" spans="1:99" ht="9.9" customHeight="1" ph="1"/>
    <row r="13" spans="1:99" s="72" customFormat="1" ht="29.25" customHeight="1" ph="1">
      <c r="B13" s="189" t="s" ph="1">
        <v>37</v>
      </c>
      <c r="C13" s="159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0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639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1" ph="1">
        <v>0.33333333333333331</v>
      </c>
      <c r="C15" s="159" t="s" ph="1">
        <v>177</v>
      </c>
      <c r="D15" s="78">
        <v>741</v>
      </c>
      <c r="E15" s="78">
        <v>5426</v>
      </c>
      <c r="F15" s="78">
        <v>4019</v>
      </c>
      <c r="G15" s="78">
        <v>4037</v>
      </c>
      <c r="H15" s="78">
        <v>2006</v>
      </c>
      <c r="I15" s="78">
        <v>5086</v>
      </c>
      <c r="J15" s="78">
        <v>4556</v>
      </c>
      <c r="K15" s="78">
        <v>5016</v>
      </c>
      <c r="L15" s="78">
        <v>3213</v>
      </c>
      <c r="M15" s="78">
        <v>5330</v>
      </c>
      <c r="N15" s="78">
        <v>1395</v>
      </c>
      <c r="O15" s="78">
        <v>2867</v>
      </c>
      <c r="P15" s="78">
        <v>2336</v>
      </c>
      <c r="Q15" s="78">
        <v>986</v>
      </c>
      <c r="R15" s="78">
        <v>7419</v>
      </c>
      <c r="S15" s="78">
        <v>6485</v>
      </c>
      <c r="T15" s="78">
        <v>4146</v>
      </c>
      <c r="U15" s="78">
        <v>1723</v>
      </c>
      <c r="V15" s="78">
        <v>1667</v>
      </c>
      <c r="W15" s="71">
        <v>-172</v>
      </c>
      <c r="X15" s="78">
        <v>-143</v>
      </c>
      <c r="Y15" s="106">
        <v>-9905</v>
      </c>
      <c r="Z15" s="78">
        <v>0</v>
      </c>
      <c r="AA15" s="78">
        <v>6962</v>
      </c>
      <c r="AB15" s="78" ph="1">
        <v>1076</v>
      </c>
      <c r="AC15" s="78" ph="1">
        <v>0</v>
      </c>
      <c r="AD15" s="78">
        <v>5.43</v>
      </c>
      <c r="AE15" s="78">
        <v>51.2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2" ph="1"/>
      <c r="C16" s="159" t="s" ph="1">
        <v>178</v>
      </c>
      <c r="D16" s="73" ph="1">
        <f>D15*7.0686*LOOKUP(D17,密度!$A$2:$A$50,密度!$L$2:$L$50)</f>
        <v>4907.8491462000002</v>
      </c>
      <c r="E16" s="73" ph="1">
        <f>E15*7.0686*LOOKUP(E17,密度!$A$2:$A$50,密度!$L$2:$L$50)</f>
        <v>36014.615960399999</v>
      </c>
      <c r="F16" s="73" ph="1">
        <f>F15*9.0746*LOOKUP(F17,密度!$A$2:$A$50,密度!$L$2:$L$50)</f>
        <v>34136.685086400001</v>
      </c>
      <c r="G16" s="73" ph="1">
        <f>G15*9.0746*LOOKUP(G17,密度!$A$2:$A$50,密度!$B$2:$B$50)</f>
        <v>28527.020547739998</v>
      </c>
      <c r="H16" s="73" ph="1">
        <f>H15*9.0746*LOOKUP(H17,密度!$A$2:$A$50,密度!$L$2:$L$50)</f>
        <v>17129.6323916</v>
      </c>
      <c r="I16" s="73" ph="1">
        <f>I15*9.0746*LOOKUP(I17,密度!$A$2:$A$50,密度!$U$2:$U$50)</f>
        <v>47445.711236800002</v>
      </c>
      <c r="J16" s="73" ph="1">
        <f>J15*9.0746*LOOKUP(J17,密度!$A$2:$A$50,密度!$L$2:$L$50)</f>
        <v>38739.213311200001</v>
      </c>
      <c r="K16" s="73" ph="1">
        <f>K15*9.0746*LOOKUP(K17,密度!$A$2:$A$50,密度!$C$2:$C$50)</f>
        <v>50475.12488304</v>
      </c>
      <c r="L16" s="73" ph="1">
        <f>L15*9.0746*LOOKUP(L17,密度!$A$2:$A$50,密度!$E$2:$E$50)</f>
        <v>22803.447092580001</v>
      </c>
      <c r="M16" s="73" ph="1">
        <f>M15*9.0746*LOOKUP(M17,密度!$A$2:$A$50,密度!$M$2:$M$50)</f>
        <v>42229.767275800004</v>
      </c>
      <c r="N16" s="73" ph="1">
        <f>N15*9.0746*LOOKUP(N17,密度!$A$2:$A$50,密度!$M$2:$M$50)</f>
        <v>11102.001759000001</v>
      </c>
      <c r="O16" s="73" ph="1">
        <f>O15*9.0746*LOOKUP(O17,密度!$A$2:$A$50,密度!$G$2:$G$50)</f>
        <v>24924.169315599996</v>
      </c>
      <c r="P16" s="73" ph="1">
        <f ca="1">P15*9.0746*LOOKUP(P17,密度!$A$2:$A$51,密度!$Q$2:$Q$50)</f>
        <v>20069.245974144</v>
      </c>
      <c r="Q16" s="73" ph="1">
        <f>Q15*9.0746*LOOKUP(Q17,密度!$A$2:$A$50,密度!$Q$2:$Q$50)</f>
        <v>8492.0355444039997</v>
      </c>
      <c r="R16" s="73" ph="1">
        <f>MAX(R15*9.0746*LOOKUP(R17,密度!$A$2:$A$50,密度!$B$2:$B$50),0)</f>
        <v>52371.695411460001</v>
      </c>
      <c r="S16" s="73" ph="1">
        <f>S15*9.0746*LOOKUP(S17,密度!$A$2:$A$50,密度!$Q$2:$Q$50)</f>
        <v>55672.712289430005</v>
      </c>
      <c r="T16" s="73" ph="1">
        <f>T15*9.0746*LOOKUP(T17,密度!$A$2:$A$50,密度!$O$2:$O$50)</f>
        <v>34839.168021600002</v>
      </c>
      <c r="U16" s="73" ph="1">
        <f>U15*9.0746*LOOKUP(U17,密度!$A$2:$A$50,密度!$H$2:$H$50)</f>
        <v>14350.294757239999</v>
      </c>
      <c r="V16" s="73" ph="1">
        <f>MAX(5600*LOOKUP(V17,密度!$A$2:$A$50,密度!$Q$2:$Q$50)+V15*9.0476*LOOKUP(V17,密度!$A$2:$A$50,密度!$Q$2:$Q$50),0)</f>
        <v>19580.807281608002</v>
      </c>
      <c r="W16" s="73" ph="1">
        <f>MAX(5600*LOOKUP(W17,密度!$A$2:$A$50,密度!$Q$2:$Q$50)+W15*9.0476*LOOKUP(W17,密度!$A$2:$A$50,密度!$Q$2:$Q$50),0)</f>
        <v>3831.3913136160004</v>
      </c>
      <c r="X16" s="73" ph="1">
        <f>MAX(5600*LOOKUP(X17,密度!$A$2:$A$50,密度!$I$2:$I$50)+X15*9.0476*LOOKUP(X17,密度!$A$2:$A$50,密度!$I$2:$I$50),0)</f>
        <v>4488.3451723600001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49145.672389080006</v>
      </c>
      <c r="AB16" s="73" ph="1">
        <f>AB15*9.0746*LOOKUP(AB17,密度!$A$2:$A$50,密度!$L$2:$L$50)</f>
        <v>9168.6491543999982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2358.2372990399999</v>
      </c>
      <c r="AE16" s="73" ph="1">
        <f>AE15*268.68*LOOKUP(AE17,密度!$A$2:$A$50,密度!B2:B50)+IF(AE15&lt;=0,0,1566*LOOKUP(AE17,密度!$A$2:$A$50,密度!B2:B50))</f>
        <v>11945.355513600001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3" ph="1"/>
      <c r="C17" s="79" t="s" ph="1">
        <v>179</v>
      </c>
      <c r="D17" s="74">
        <v>25</v>
      </c>
      <c r="E17" s="74">
        <v>23</v>
      </c>
      <c r="F17" s="74">
        <v>26</v>
      </c>
      <c r="G17" s="74">
        <v>26</v>
      </c>
      <c r="H17" s="74">
        <v>21</v>
      </c>
      <c r="I17" s="74">
        <v>22</v>
      </c>
      <c r="J17" s="74">
        <v>25</v>
      </c>
      <c r="K17" s="74">
        <v>25</v>
      </c>
      <c r="L17" s="74">
        <v>26</v>
      </c>
      <c r="M17" s="74">
        <v>27</v>
      </c>
      <c r="N17" s="74">
        <v>23</v>
      </c>
      <c r="O17" s="74">
        <v>27</v>
      </c>
      <c r="P17" s="74">
        <v>25</v>
      </c>
      <c r="Q17" s="74">
        <v>22</v>
      </c>
      <c r="R17" s="74">
        <v>27</v>
      </c>
      <c r="S17" s="74">
        <v>26</v>
      </c>
      <c r="T17" s="74">
        <v>25</v>
      </c>
      <c r="U17" s="74">
        <v>22</v>
      </c>
      <c r="V17" s="74">
        <v>25</v>
      </c>
      <c r="W17" s="74">
        <v>24</v>
      </c>
      <c r="X17" s="74">
        <v>25</v>
      </c>
      <c r="Y17" s="108">
        <v>25</v>
      </c>
      <c r="Z17" s="74">
        <v>23</v>
      </c>
      <c r="AA17" s="74">
        <v>27</v>
      </c>
      <c r="AB17" s="74">
        <v>23</v>
      </c>
      <c r="AC17" s="74">
        <v>20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1" ph="1">
        <v>0.66666666666666663</v>
      </c>
      <c r="C18" s="79" t="s" ph="1">
        <v>180</v>
      </c>
      <c r="D18" s="71">
        <v>1862</v>
      </c>
      <c r="E18" s="71">
        <v>5417</v>
      </c>
      <c r="F18" s="71">
        <v>1843</v>
      </c>
      <c r="G18" s="71">
        <v>4151</v>
      </c>
      <c r="H18" s="71">
        <v>2005</v>
      </c>
      <c r="I18" s="71">
        <v>5082</v>
      </c>
      <c r="J18" s="71">
        <v>4549</v>
      </c>
      <c r="K18" s="71">
        <v>5013</v>
      </c>
      <c r="L18" s="71">
        <v>3207</v>
      </c>
      <c r="M18" s="71">
        <v>2317</v>
      </c>
      <c r="N18" s="71">
        <v>3114</v>
      </c>
      <c r="O18" s="71">
        <v>3157</v>
      </c>
      <c r="P18" s="71">
        <v>2332</v>
      </c>
      <c r="Q18" s="71">
        <v>986</v>
      </c>
      <c r="R18" s="71">
        <v>7409</v>
      </c>
      <c r="S18" s="71">
        <v>6473</v>
      </c>
      <c r="T18" s="71">
        <v>4140</v>
      </c>
      <c r="U18" s="71">
        <v>1722</v>
      </c>
      <c r="V18" s="71">
        <v>1666</v>
      </c>
      <c r="W18" s="71">
        <v>-172</v>
      </c>
      <c r="X18" s="71">
        <v>-141</v>
      </c>
      <c r="Y18" s="109">
        <v>-9904</v>
      </c>
      <c r="Z18" s="71">
        <v>0</v>
      </c>
      <c r="AA18" s="71">
        <v>6941</v>
      </c>
      <c r="AB18" s="71">
        <v>1074</v>
      </c>
      <c r="AC18" s="71">
        <v>0</v>
      </c>
      <c r="AD18" s="71">
        <v>25.71</v>
      </c>
      <c r="AE18" s="71">
        <v>84.54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2" ph="1"/>
      <c r="C19" s="159" t="s" ph="1">
        <v>178</v>
      </c>
      <c r="D19" s="73" ph="1">
        <f>D18*7.0686*LOOKUP(D20,密度!$A$2:$A$50,密度!$L$2:$L$50)</f>
        <v>12358.867474799999</v>
      </c>
      <c r="E19" s="73" ph="1">
        <f>E18*7.0686*LOOKUP(E20,密度!$A$2:$A$50,密度!$L$2:$L$50)</f>
        <v>35878.298009400001</v>
      </c>
      <c r="F19" s="73" ph="1">
        <f>F18*9.0746*LOOKUP(F20,密度!$A$2:$A$50,密度!$L$2:$L$50)</f>
        <v>15670.8450686</v>
      </c>
      <c r="G19" s="73" ph="1">
        <f>G18*9.0746*LOOKUP(G20,密度!$A$2:$A$50,密度!$B$2:$B$50)</f>
        <v>29366.490922160003</v>
      </c>
      <c r="H19" s="73" ph="1">
        <f>H18*9.0746*LOOKUP(H20,密度!$A$2:$A$50,密度!$L$2:$L$50)</f>
        <v>17139.287765999998</v>
      </c>
      <c r="I19" s="73" ph="1">
        <f>I18*9.0746*LOOKUP(I20,密度!$A$2:$A$50,密度!$U$2:$U$50)</f>
        <v>47408.396481600001</v>
      </c>
      <c r="J19" s="73" ph="1">
        <f>J18*9.0746*LOOKUP(J20,密度!$A$2:$A$50,密度!$L$2:$L$50)</f>
        <v>38844.814431399995</v>
      </c>
      <c r="K19" s="73" ph="1">
        <f>K18*9.0746*LOOKUP(K20,密度!$A$2:$A$50,密度!$C$2:$C$50)</f>
        <v>50513.172865920002</v>
      </c>
      <c r="L19" s="73" ph="1">
        <f>L18*9.0746*LOOKUP(L20,密度!$A$2:$A$50,密度!$E$2:$E$50)</f>
        <v>22827.798781680001</v>
      </c>
      <c r="M19" s="73" ph="1">
        <f>M18*9.0746*LOOKUP(M20,密度!$A$2:$A$50,密度!$M$2:$M$50)</f>
        <v>18399.71975982</v>
      </c>
      <c r="N19" s="73" ph="1">
        <f>N18*9.0746*LOOKUP(N20,密度!$A$2:$A$50,密度!$M$2:$M$50)</f>
        <v>24875.785363319999</v>
      </c>
      <c r="O19" s="73" ph="1">
        <f>O18*9.0746*LOOKUP(O20,密度!$A$2:$A$50,密度!$G$2:$G$50)</f>
        <v>27508.301414440004</v>
      </c>
      <c r="P19" s="73" ph="1">
        <f ca="1">P18*9.0746*LOOKUP(P20,密度!$A$2:$A$51,密度!$Q$2:$Q$50)</f>
        <v>20065.777299040001</v>
      </c>
      <c r="Q19" s="73" ph="1">
        <f>Q18*9.0746*LOOKUP(Q20,密度!$A$2:$A$50,密度!$Q$2:$Q$50)</f>
        <v>8503.5778911279995</v>
      </c>
      <c r="R19" s="73" ph="1">
        <f>MAX(R18*9.0746*LOOKUP(R20,密度!$A$2:$A$50,密度!$B$2:$B$50),0)</f>
        <v>52415.401407439997</v>
      </c>
      <c r="S19" s="73" ph="1">
        <f>S18*9.0746*LOOKUP(S20,密度!$A$2:$A$50,密度!$Q$2:$Q$50)</f>
        <v>55697.159715560003</v>
      </c>
      <c r="T19" s="73" ph="1">
        <f>T18*9.0746*LOOKUP(T20,密度!$A$2:$A$50,密度!$O$2:$O$50)</f>
        <v>34939.024919999996</v>
      </c>
      <c r="U19" s="73" ph="1">
        <f>U18*9.0746*LOOKUP(U20,密度!$A$2:$A$50,密度!$H$2:$H$50)</f>
        <v>14357.592550559999</v>
      </c>
      <c r="V19" s="73" ph="1">
        <f>MAX(5600*LOOKUP(V20,密度!$A$2:$A$50,密度!$Q$2:$Q$50)+V18*9.0476*LOOKUP(V20,密度!$A$2:$A$50,密度!$Q$2:$Q$50),0)</f>
        <v>19620.823815543998</v>
      </c>
      <c r="W19" s="73" ph="1">
        <f>MAX(5600*LOOKUP(W20,密度!$A$2:$A$50,密度!$Q$2:$Q$50)+W18*9.0476*LOOKUP(W20,密度!$A$2:$A$50,密度!$Q$2:$Q$50),0)</f>
        <v>3837.9422903519999</v>
      </c>
      <c r="X19" s="73" ph="1">
        <f>MAX(5600*LOOKUP(X20,密度!$A$2:$A$50,密度!$I$2:$I$50)+X18*9.0476*LOOKUP(X20,密度!$A$2:$A$50,密度!$I$2:$I$50),0)</f>
        <v>4507.2057993200006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49104.508188560001</v>
      </c>
      <c r="AB19" s="73" ph="1">
        <f>AB18*9.0746*LOOKUP(AB20,密度!$A$2:$A$50,密度!$L$2:$L$50)</f>
        <v>9171.0992963999997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6584.1136956000009</v>
      </c>
      <c r="AE19" s="73" ph="1">
        <f>AE18*268.68*LOOKUP(AE20,密度!$A$2:$A$50,密度!B5:B53)+IF(AE18&lt;=0,0,1566*LOOKUP(AE20,密度!$A$2:$A$50,密度!B5:B53))</f>
        <v>18865.720994399999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2" ph="1"/>
      <c r="C20" s="80" t="s" ph="1">
        <v>179</v>
      </c>
      <c r="D20" s="81">
        <v>23</v>
      </c>
      <c r="E20" s="81">
        <v>25</v>
      </c>
      <c r="F20" s="81">
        <v>25</v>
      </c>
      <c r="G20" s="81">
        <v>25</v>
      </c>
      <c r="H20" s="81">
        <v>20</v>
      </c>
      <c r="I20" s="81">
        <v>20</v>
      </c>
      <c r="J20" s="81">
        <v>21</v>
      </c>
      <c r="K20" s="81">
        <v>23</v>
      </c>
      <c r="L20" s="81">
        <v>24</v>
      </c>
      <c r="M20" s="81">
        <v>25</v>
      </c>
      <c r="N20" s="81">
        <v>20</v>
      </c>
      <c r="O20" s="81">
        <v>25</v>
      </c>
      <c r="P20" s="81">
        <v>23</v>
      </c>
      <c r="Q20" s="81">
        <v>20</v>
      </c>
      <c r="R20" s="81">
        <v>25</v>
      </c>
      <c r="S20" s="81">
        <v>23</v>
      </c>
      <c r="T20" s="81">
        <v>23</v>
      </c>
      <c r="U20" s="81">
        <v>21</v>
      </c>
      <c r="V20" s="81">
        <v>22</v>
      </c>
      <c r="W20" s="81">
        <v>22</v>
      </c>
      <c r="X20" s="81">
        <v>25</v>
      </c>
      <c r="Y20" s="110">
        <v>25</v>
      </c>
      <c r="Z20" s="81">
        <v>21</v>
      </c>
      <c r="AA20" s="81">
        <v>25</v>
      </c>
      <c r="AB20" s="81">
        <v>21</v>
      </c>
      <c r="AC20" s="81">
        <v>18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0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69" t="s" ph="1">
        <v>69</v>
      </c>
      <c r="AA22" s="170"/>
      <c r="AB22" s="170"/>
      <c r="AC22" s="170"/>
      <c r="AD22" s="170"/>
      <c r="AE22" s="17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5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72" t="s" ph="1">
        <v>641</v>
      </c>
      <c r="AA23" s="173"/>
      <c r="AB23" s="173"/>
      <c r="AC23" s="173"/>
      <c r="AD23" s="173"/>
      <c r="AE23" s="17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1" ph="1">
        <v>0.33333333333333331</v>
      </c>
      <c r="C24" s="159" t="s" ph="1">
        <v>177</v>
      </c>
      <c r="D24" s="71">
        <v>60.4</v>
      </c>
      <c r="E24" s="71">
        <v>65.37</v>
      </c>
      <c r="F24" s="71">
        <v>918</v>
      </c>
      <c r="G24" s="71">
        <v>3237</v>
      </c>
      <c r="H24" s="71">
        <v>2788</v>
      </c>
      <c r="I24" s="71">
        <v>406</v>
      </c>
      <c r="J24" s="71">
        <v>830</v>
      </c>
      <c r="K24" s="71">
        <v>1563</v>
      </c>
      <c r="L24" s="71">
        <v>471</v>
      </c>
      <c r="M24" s="71">
        <v>4852</v>
      </c>
      <c r="N24" s="71">
        <v>4837</v>
      </c>
      <c r="O24" s="71">
        <v>5426</v>
      </c>
      <c r="P24" s="71">
        <v>1044</v>
      </c>
      <c r="Q24" s="90">
        <v>4200</v>
      </c>
      <c r="R24" s="71">
        <v>6309</v>
      </c>
      <c r="S24" s="71">
        <v>360</v>
      </c>
      <c r="T24" s="71">
        <v>1281</v>
      </c>
      <c r="U24" s="71">
        <v>5521</v>
      </c>
      <c r="V24" s="71">
        <v>600</v>
      </c>
      <c r="W24" s="71">
        <v>9835</v>
      </c>
      <c r="X24" s="71">
        <v>4466</v>
      </c>
      <c r="Y24" s="71">
        <v>3848</v>
      </c>
      <c r="Z24" s="175"/>
      <c r="AA24" s="176"/>
      <c r="AB24" s="176"/>
      <c r="AC24" s="176"/>
      <c r="AD24" s="176"/>
      <c r="AE24" s="17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1" ph="1"/>
      <c r="C25" s="68" t="s" ph="1">
        <v>178</v>
      </c>
      <c r="D25" s="91" ph="1">
        <f>D24*268.68*LOOKUP(D26,密度!$A$2:$A$50,密度!$Q$2:$Q$50)+IF(D24&lt;=0,0,1566*LOOKUP(D26,密度!$A$2:$A$50,密度!$Q$2:$Q$50))</f>
        <v>16846.549073280003</v>
      </c>
      <c r="E25" s="91" ph="1">
        <f>E24*268.68*LOOKUP(E26,密度!$A$2:$A$50,密度!$C$2:$C$50)+IF(E24&lt;=0,0,1566*LOOKUP(E26,密度!$A$2:$A$50,密度!$C$2:$C$50))</f>
        <v>21212.826303240003</v>
      </c>
      <c r="F25" s="91" ph="1">
        <f>F24*11.702*LOOKUP(F26,密度!$A$2:$A$50,密度!$Q$2:$Q$50)</f>
        <v>10178.135836920001</v>
      </c>
      <c r="G25" s="91" ph="1">
        <f>G24*18.322*LOOKUP(G26,密度!$A$2:$A$50,密度!$B$2:$B$50)</f>
        <v>46135.937460599998</v>
      </c>
      <c r="H25" s="91" ph="1">
        <f>H24*18.322*LOOKUP(H26,密度!$A$2:$A$50,密度!$B$2:$B$50)</f>
        <v>39823.321385599993</v>
      </c>
      <c r="I25" s="91" ph="1">
        <f>I24*18.322*LOOKUP(I26,密度!$A$2:$A$50,密度!$Q$2:$Q$50)</f>
        <v>7042.5451336800006</v>
      </c>
      <c r="J25" s="91" ph="1">
        <f>J24*18.322*LOOKUP(J26,密度!$A$2:$A$50,密度!$Q$2:$Q$50)</f>
        <v>14386.5241778</v>
      </c>
      <c r="K25" s="91" ph="1">
        <f>K24*18.322*LOOKUP(K26,密度!$A$2:$A$50,密度!$Q$2:$Q$50)</f>
        <v>27132.969366420002</v>
      </c>
      <c r="L25" s="91" ph="1">
        <f>L24*18.322*LOOKUP(L26,密度!$A$2:$A$50,密度!$Q$2:$Q$50)</f>
        <v>8170.0462018800008</v>
      </c>
      <c r="M25" s="91" ph="1">
        <f>M24*18.322*LOOKUP(M26,密度!$A$2:$A$50,密度!$Q$2:$Q$50)</f>
        <v>84163.618198559998</v>
      </c>
      <c r="N25" s="91" ph="1">
        <f>N24*18.322*LOOKUP(N26,密度!$A$2:$A$50,密度!$Q$2:$Q$50)</f>
        <v>83968.120809579996</v>
      </c>
      <c r="O25" s="91" ph="1">
        <f>O24*18.322*LOOKUP(O26,密度!$A$2:$A$50,密度!$C$2:$C$50)</f>
        <v>110390.60698879999</v>
      </c>
      <c r="P25" s="91" ph="1">
        <f>P24*11.702*LOOKUP(P26,密度!$A$2:$A$50,密度!$B$2:$B$50)</f>
        <v>9535.2810840000002</v>
      </c>
      <c r="Q25" s="92" ph="1">
        <f>Q24*18.322*LOOKUP(Q26,密度!$A$2:$A$50,密度!$B$2:$B$50)</f>
        <v>59992.091039999992</v>
      </c>
      <c r="R25" s="91" ph="1">
        <f>R24*35.891*LOOKUP(R26,密度!$A$2:$A$50,密度!$C$2:$C$50)</f>
        <v>251095.23413909998</v>
      </c>
      <c r="S25" s="91" ph="1">
        <f>S24*35.891*LOOKUP(S26,密度!$A$2:$A$50,密度!$B$2:$B$50)</f>
        <v>10084.653179999999</v>
      </c>
      <c r="T25" s="91" ph="1">
        <f>T24*35.891*LOOKUP(T26,密度!$A$2:$A$50,密度!$Q$2:$Q$50)</f>
        <v>43495.026257130005</v>
      </c>
      <c r="U25" s="91" ph="1">
        <f>U24*35.891</f>
        <v>198154.21099999998</v>
      </c>
      <c r="V25" s="91" ph="1">
        <f>V24*47.051*LOOKUP(V26,密度!$A$2:$A$50,密度!$B$2:$B$50)</f>
        <v>22033.9833</v>
      </c>
      <c r="W25" s="91" ph="1">
        <f>W24*47.051*LOOKUP(W26,密度!$A$2:$A$50,密度!$B$2:$B$50)</f>
        <v>360757.23766599997</v>
      </c>
      <c r="X25" s="91" ph="1">
        <f>X24*47.051*LOOKUP(X26,密度!$A$2:$A$61,密度!$I$2:$I$61)</f>
        <v>217841.52841219999</v>
      </c>
      <c r="Y25" s="91" ph="1">
        <f>Y24*47.051*LOOKUP(Y26,密度!$A$2:$A$50,密度!$L$2:$L$50)</f>
        <v>169645.95637600002</v>
      </c>
      <c r="Z25" s="175"/>
      <c r="AA25" s="176"/>
      <c r="AB25" s="176"/>
      <c r="AC25" s="176"/>
      <c r="AD25" s="176"/>
      <c r="AE25" s="17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1" ph="1"/>
      <c r="C26" s="68" t="s" ph="1">
        <v>179</v>
      </c>
      <c r="D26" s="74">
        <v>25</v>
      </c>
      <c r="E26" s="74">
        <v>25</v>
      </c>
      <c r="F26" s="74">
        <v>24</v>
      </c>
      <c r="G26" s="74">
        <v>27</v>
      </c>
      <c r="H26" s="74">
        <v>25</v>
      </c>
      <c r="I26" s="74">
        <v>25</v>
      </c>
      <c r="J26" s="74">
        <v>26</v>
      </c>
      <c r="K26" s="74">
        <v>24</v>
      </c>
      <c r="L26" s="74">
        <v>25</v>
      </c>
      <c r="M26" s="74">
        <v>25</v>
      </c>
      <c r="N26" s="74">
        <v>24</v>
      </c>
      <c r="O26" s="74">
        <v>23</v>
      </c>
      <c r="P26" s="74">
        <v>24</v>
      </c>
      <c r="Q26" s="93">
        <v>25</v>
      </c>
      <c r="R26" s="74">
        <v>25</v>
      </c>
      <c r="S26" s="74">
        <v>24</v>
      </c>
      <c r="T26" s="74">
        <v>26</v>
      </c>
      <c r="U26" s="74">
        <v>25</v>
      </c>
      <c r="V26" s="74">
        <v>24</v>
      </c>
      <c r="W26" s="74">
        <v>25</v>
      </c>
      <c r="X26" s="74">
        <v>30</v>
      </c>
      <c r="Y26" s="74">
        <v>25</v>
      </c>
      <c r="Z26" s="175"/>
      <c r="AA26" s="176"/>
      <c r="AB26" s="176"/>
      <c r="AC26" s="176"/>
      <c r="AD26" s="176"/>
      <c r="AE26" s="17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1" ph="1">
        <v>0.66666666666666663</v>
      </c>
      <c r="C27" s="159" t="s" ph="1">
        <v>180</v>
      </c>
      <c r="D27" s="71">
        <v>60.22</v>
      </c>
      <c r="E27" s="71">
        <v>65.28</v>
      </c>
      <c r="F27" s="71">
        <v>917</v>
      </c>
      <c r="G27" s="71">
        <v>2573</v>
      </c>
      <c r="H27" s="71">
        <v>2234</v>
      </c>
      <c r="I27" s="71">
        <v>406</v>
      </c>
      <c r="J27" s="71">
        <v>829</v>
      </c>
      <c r="K27" s="71">
        <v>1561</v>
      </c>
      <c r="L27" s="71">
        <v>470</v>
      </c>
      <c r="M27" s="71">
        <v>4846</v>
      </c>
      <c r="N27" s="71">
        <v>4833</v>
      </c>
      <c r="O27" s="71">
        <v>5425</v>
      </c>
      <c r="P27" s="71">
        <v>1043</v>
      </c>
      <c r="Q27" s="90">
        <v>434</v>
      </c>
      <c r="R27" s="71">
        <v>5810</v>
      </c>
      <c r="S27" s="71">
        <v>2247</v>
      </c>
      <c r="T27" s="71">
        <v>1280</v>
      </c>
      <c r="U27" s="71">
        <v>5573</v>
      </c>
      <c r="V27" s="71">
        <v>600</v>
      </c>
      <c r="W27" s="71">
        <v>9830</v>
      </c>
      <c r="X27" s="71">
        <v>4817</v>
      </c>
      <c r="Y27" s="71">
        <v>2455</v>
      </c>
      <c r="Z27" s="175"/>
      <c r="AA27" s="176"/>
      <c r="AB27" s="176"/>
      <c r="AC27" s="176"/>
      <c r="AD27" s="176"/>
      <c r="AE27" s="17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1" ph="1"/>
      <c r="C28" s="159" t="s" ph="1">
        <v>178</v>
      </c>
      <c r="D28" s="91" ph="1">
        <f>D27*268.68*LOOKUP(D29,密度!$A$2:$A$50,密度!$Q$2:$Q$50)+IF(D27&lt;=0,0,1566*LOOKUP(D29,密度!$A$2:$A$50,密度!$Q$2:$Q$50))</f>
        <v>16800.762454704003</v>
      </c>
      <c r="E28" s="91" ph="1">
        <f>E27*268.68*LOOKUP(E29,密度!$A$2:$A$50,密度!$C$2:$C$50)+IF(E27&lt;=0,0,1566*LOOKUP(E29,密度!$A$2:$A$50,密度!$C$2:$C$50))</f>
        <v>21186.011770560002</v>
      </c>
      <c r="F28" s="91" ph="1">
        <f>F27*11.702*LOOKUP(F29,密度!$A$2:$A$50,密度!$Q$2:$Q$50)</f>
        <v>10159.21510716</v>
      </c>
      <c r="G28" s="91" ph="1">
        <f>G27*18.322*LOOKUP(G29,密度!$A$2:$A$50,密度!$B$2:$B$50)</f>
        <v>36752.2976776</v>
      </c>
      <c r="H28" s="91" ph="1">
        <f>H27*18.322*LOOKUP(H29,密度!$A$2:$A$50,密度!$B$2:$B$50)</f>
        <v>31946.917113999996</v>
      </c>
      <c r="I28" s="91" ph="1">
        <f>I27*18.322*LOOKUP(I29,密度!$A$2:$A$50,密度!$Q$2:$Q$50)</f>
        <v>7037.2636339600003</v>
      </c>
      <c r="J28" s="91" ph="1">
        <f>J27*18.322*LOOKUP(J29,密度!$A$2:$A$50,密度!$Q$2:$Q$50)</f>
        <v>14391.06308686</v>
      </c>
      <c r="K28" s="91" ph="1">
        <f>K27*18.322*LOOKUP(K29,密度!$A$2:$A$50,密度!$Q$2:$Q$50)</f>
        <v>27077.371807080002</v>
      </c>
      <c r="L28" s="91" ph="1">
        <f>L27*18.322*LOOKUP(L29,密度!$A$2:$A$50,密度!$Q$2:$Q$50)</f>
        <v>8152.7000316000003</v>
      </c>
      <c r="M28" s="91" ph="1">
        <f>M27*18.322*LOOKUP(M29,密度!$A$2:$A$50,密度!$Q$2:$Q$50)</f>
        <v>83996.501404359995</v>
      </c>
      <c r="N28" s="91" ph="1">
        <f>N27*18.322*LOOKUP(N29,密度!$A$2:$A$50,密度!$Q$2:$Q$50)</f>
        <v>83834.040963239997</v>
      </c>
      <c r="O28" s="91" ph="1">
        <f>O27*18.322*LOOKUP(O29,密度!$A$2:$A$50,密度!$C$2:$C$50)</f>
        <v>110290.74475999999</v>
      </c>
      <c r="P28" s="91" ph="1">
        <f>P27*11.702*LOOKUP(P29,密度!$A$2:$A$50,密度!$B$2:$B$50)</f>
        <v>9515.1630055999995</v>
      </c>
      <c r="Q28" s="92" ph="1">
        <f>Q27*18.322*LOOKUP(Q29,密度!$A$2:$A$50,密度!$B$2:$B$50)</f>
        <v>6199.182740799999</v>
      </c>
      <c r="R28" s="91" ph="1">
        <f>R27*35.891*LOOKUP(R29,密度!$A$2:$A$50,密度!$C$2:$C$50)</f>
        <v>231381.23741599996</v>
      </c>
      <c r="S28" s="91" ph="1">
        <f>S27*35.891*LOOKUP(S29,密度!$A$2:$A$50,密度!$B$2:$B$50)</f>
        <v>62945.043598499993</v>
      </c>
      <c r="T28" s="91" ph="1">
        <f>T27*35.891*LOOKUP(T29,密度!$A$2:$A$50,密度!$Q$2:$Q$50)</f>
        <v>43493.690035199994</v>
      </c>
      <c r="U28" s="91" ph="1">
        <f>U27*35.891</f>
        <v>200020.54299999998</v>
      </c>
      <c r="V28" s="91" ph="1">
        <f>V27*47.051*LOOKUP(V29,密度!$A$2:$A$50,密度!$B$2:$B$50)</f>
        <v>21983.16822</v>
      </c>
      <c r="W28" s="91" ph="1">
        <f>W27*47.051*LOOKUP(W29,密度!$A$2:$A$50,密度!$B$2:$B$50)</f>
        <v>360573.83286799997</v>
      </c>
      <c r="X28" s="91" ph="1">
        <f>X27*47.051*LOOKUP(X29,密度!$A$2:$A$61,密度!$I$2:$I$61)</f>
        <v>234713.21714520003</v>
      </c>
      <c r="Y28" s="91" ph="1">
        <f>Y27*47.051*LOOKUP(Y29,密度!$A$2:$A$50,密度!$L$2:$L$50)</f>
        <v>108233.06208500001</v>
      </c>
      <c r="Z28" s="175"/>
      <c r="AA28" s="176"/>
      <c r="AB28" s="176"/>
      <c r="AC28" s="176"/>
      <c r="AD28" s="176"/>
      <c r="AE28" s="17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1" ph="1"/>
      <c r="C29" s="159" t="s" ph="1">
        <v>179</v>
      </c>
      <c r="D29" s="74">
        <v>25</v>
      </c>
      <c r="E29" s="74">
        <v>25</v>
      </c>
      <c r="F29" s="74">
        <v>25</v>
      </c>
      <c r="G29" s="74">
        <v>25</v>
      </c>
      <c r="H29" s="74">
        <v>24</v>
      </c>
      <c r="I29" s="74">
        <v>26</v>
      </c>
      <c r="J29" s="74">
        <v>24</v>
      </c>
      <c r="K29" s="74">
        <v>25</v>
      </c>
      <c r="L29" s="74">
        <v>25</v>
      </c>
      <c r="M29" s="74">
        <v>26</v>
      </c>
      <c r="N29" s="74">
        <v>25</v>
      </c>
      <c r="O29" s="74">
        <v>24</v>
      </c>
      <c r="P29" s="74">
        <v>25</v>
      </c>
      <c r="Q29" s="93">
        <v>25</v>
      </c>
      <c r="R29" s="74">
        <v>24</v>
      </c>
      <c r="S29" s="74">
        <v>24</v>
      </c>
      <c r="T29" s="74">
        <v>25</v>
      </c>
      <c r="U29" s="74">
        <v>26</v>
      </c>
      <c r="V29" s="74">
        <v>26</v>
      </c>
      <c r="W29" s="74">
        <v>25</v>
      </c>
      <c r="X29" s="74">
        <v>31</v>
      </c>
      <c r="Y29" s="74">
        <v>25</v>
      </c>
      <c r="Z29" s="178"/>
      <c r="AA29" s="179"/>
      <c r="AB29" s="179"/>
      <c r="AC29" s="179"/>
      <c r="AD29" s="179"/>
      <c r="AE29" s="18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4" t="s" ph="1">
        <v>35</v>
      </c>
      <c r="C31" s="195" ph="1"/>
      <c r="D31" s="198" t="s" ph="1">
        <v>9</v>
      </c>
      <c r="E31" s="187" ph="1"/>
      <c r="F31" s="188" ph="1"/>
      <c r="G31" s="198" t="s" ph="1">
        <v>18</v>
      </c>
      <c r="H31" s="187" ph="1"/>
      <c r="I31" s="188" ph="1"/>
      <c r="J31" s="186" t="s" ph="1">
        <v>1</v>
      </c>
      <c r="K31" s="187" ph="1"/>
      <c r="L31" s="188" ph="1"/>
      <c r="M31" s="186" t="s" ph="1">
        <v>7</v>
      </c>
      <c r="N31" s="187" ph="1"/>
      <c r="O31" s="188" ph="1"/>
      <c r="P31" s="186" t="s" ph="1">
        <v>41</v>
      </c>
      <c r="Q31" s="187"/>
      <c r="R31" s="188"/>
      <c r="S31" s="186" t="s" ph="1">
        <v>2</v>
      </c>
      <c r="T31" s="187"/>
      <c r="U31" s="188"/>
      <c r="V31" s="186" t="s" ph="1">
        <v>71</v>
      </c>
      <c r="W31" s="187" ph="1"/>
      <c r="X31" s="188" ph="1"/>
      <c r="Y31" s="186" t="s" ph="1">
        <v>3</v>
      </c>
      <c r="Z31" s="187" ph="1"/>
      <c r="AA31" s="188" ph="1"/>
      <c r="AB31" s="209" t="s">
        <v>42</v>
      </c>
      <c r="AC31" s="210"/>
      <c r="AD31" s="210"/>
      <c r="AE31" s="211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6" ph="1"/>
      <c r="C32" s="197" ph="1"/>
      <c r="D32" s="96" t="s" ph="1">
        <v>4</v>
      </c>
      <c r="E32" s="159" t="s" ph="1">
        <v>5</v>
      </c>
      <c r="F32" s="158" t="s" ph="1">
        <v>43</v>
      </c>
      <c r="G32" s="97" t="s" ph="1">
        <v>4</v>
      </c>
      <c r="H32" s="159" t="s" ph="1">
        <v>5</v>
      </c>
      <c r="I32" s="158" t="s" ph="1">
        <v>43</v>
      </c>
      <c r="J32" s="97" t="s" ph="1">
        <v>4</v>
      </c>
      <c r="K32" s="159" t="s" ph="1">
        <v>5</v>
      </c>
      <c r="L32" s="158" t="s" ph="1">
        <v>43</v>
      </c>
      <c r="M32" s="97" t="s" ph="1">
        <v>4</v>
      </c>
      <c r="N32" s="159" t="s" ph="1">
        <v>5</v>
      </c>
      <c r="O32" s="15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9" t="s" ph="1">
        <v>5</v>
      </c>
      <c r="U32" s="99" t="s" ph="1">
        <v>43</v>
      </c>
      <c r="V32" s="97" t="s" ph="1">
        <v>4</v>
      </c>
      <c r="W32" s="159" t="s" ph="1">
        <v>5</v>
      </c>
      <c r="X32" s="99" t="s" ph="1">
        <v>43</v>
      </c>
      <c r="Y32" s="100" t="s" ph="1">
        <v>4</v>
      </c>
      <c r="Z32" s="159" t="s" ph="1">
        <v>5</v>
      </c>
      <c r="AA32" s="158" t="s" ph="1">
        <v>43</v>
      </c>
      <c r="AB32" s="97" t="s" ph="1">
        <v>85</v>
      </c>
      <c r="AC32" s="159" t="s" ph="1">
        <v>84</v>
      </c>
      <c r="AD32" s="212" t="s" ph="1">
        <v>83</v>
      </c>
      <c r="AE32" s="213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199" t="s" ph="1">
        <v>181</v>
      </c>
      <c r="C33" s="200" ph="1"/>
      <c r="D33" s="203" ph="1">
        <f>AA10+AB10+Z19</f>
        <v>164467.88493530001</v>
      </c>
      <c r="E33" s="203" ph="1">
        <f>M10+I10</f>
        <v>16756.898196999999</v>
      </c>
      <c r="F33" s="20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1522252632456786910111213141516171819202123456789101112131415161718192022232424356789101112131415161718192021222345678910111213141516171819202345678910111213149101516171819222123234567891012131415161711181920212224252345678910111213121[[#This Row],[F25]]</f>
        <v>3880</v>
      </c>
      <c r="G33" s="207" ph="1">
        <f>N19</f>
        <v>24875.785363319999</v>
      </c>
      <c r="H33" s="203" ph="1">
        <f>M19</f>
        <v>18399.71975982</v>
      </c>
      <c r="I33" s="216" ph="1">
        <v>0</v>
      </c>
      <c r="J33" s="214" ph="1">
        <f>F10+O28</f>
        <v>325425.04339549999</v>
      </c>
      <c r="K33" s="203" ph="1">
        <f>O10+K10+E28+R28</f>
        <v>388286.86462415999</v>
      </c>
      <c r="L33" s="218" ph="1">
        <f>K19</f>
        <v>50513.172865920002</v>
      </c>
      <c r="M33" s="214" ph="1">
        <f>G10+H10+W28+S28+V28+E10+R19+P28+Q28</f>
        <v>1259325.0859413398</v>
      </c>
      <c r="N33" s="203" ph="1">
        <f>L10+P10++G28+H28+AD19+AE19</f>
        <v>151995.9853116</v>
      </c>
      <c r="O33" s="216" ph="1">
        <f>G19</f>
        <v>29366.490922160003</v>
      </c>
      <c r="P33" s="214" ph="1">
        <f>L19</f>
        <v>22827.798781680001</v>
      </c>
      <c r="Q33" s="203" ph="1">
        <f>J10+N10</f>
        <v>95909.667931700009</v>
      </c>
      <c r="R33" s="216" ph="1">
        <f>BE23</f>
        <v>890</v>
      </c>
      <c r="S33" s="214" ph="1">
        <f>X28</f>
        <v>234713.21714520003</v>
      </c>
      <c r="T33" s="203" ph="1">
        <f>X19</f>
        <v>4507.2057993200006</v>
      </c>
      <c r="U33" s="224" ph="1">
        <f>BE21</f>
        <v>730</v>
      </c>
      <c r="V33" s="235" ph="1">
        <f ca="1">P19+Q19+S19+M28+N28+J28+D10+AC10+D19+E19+H19+J19+O19+V19+W19+K28+L28</f>
        <v>942060.37458516413</v>
      </c>
      <c r="W33" s="235" ph="1">
        <f>D28+F28+T28+I28</f>
        <v>77490.931231023991</v>
      </c>
      <c r="X33" s="216" ph="1">
        <f>BE29+BE31</f>
        <v>10200</v>
      </c>
      <c r="Y33" s="237" ph="1">
        <f>+Q10+R10+S10+T10+U10+V10+W10+X10+Y10</f>
        <v>245134.52409599998</v>
      </c>
      <c r="Z33" s="222" ph="1">
        <f>T19+U19+Y28+Z10</f>
        <v>285961.16275556001</v>
      </c>
      <c r="AA33" s="224" ph="1">
        <f>BE19</f>
        <v>1440</v>
      </c>
      <c r="AB33" s="226" ph="1">
        <f>I19</f>
        <v>47408.396481600001</v>
      </c>
      <c r="AC33" s="228" ph="1">
        <f>AD10+AB19</f>
        <v>64323.594240399994</v>
      </c>
      <c r="AD33" s="230" ph="1">
        <v>0</v>
      </c>
      <c r="AE33" s="231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1" ph="1"/>
      <c r="C34" s="202" ph="1"/>
      <c r="D34" s="204" ph="1"/>
      <c r="E34" s="204" ph="1"/>
      <c r="F34" s="206" ph="1"/>
      <c r="G34" s="208" ph="1"/>
      <c r="H34" s="204" ph="1"/>
      <c r="I34" s="217" ph="1"/>
      <c r="J34" s="215" ph="1"/>
      <c r="K34" s="204" ph="1"/>
      <c r="L34" s="219" ph="1"/>
      <c r="M34" s="215" ph="1"/>
      <c r="N34" s="204" ph="1"/>
      <c r="O34" s="217" ph="1"/>
      <c r="P34" s="215" ph="1"/>
      <c r="Q34" s="204" ph="1"/>
      <c r="R34" s="217" ph="1"/>
      <c r="S34" s="215" ph="1"/>
      <c r="T34" s="204"/>
      <c r="U34" s="225"/>
      <c r="V34" s="236" ph="1"/>
      <c r="W34" s="236" ph="1"/>
      <c r="X34" s="217" ph="1"/>
      <c r="Y34" s="238" ph="1"/>
      <c r="Z34" s="223" ph="1"/>
      <c r="AA34" s="225" ph="1"/>
      <c r="AB34" s="227"/>
      <c r="AC34" s="229"/>
      <c r="AD34" s="232"/>
      <c r="AE34" s="233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4" t="s" ph="1">
        <v>631</v>
      </c>
      <c r="AD35" s="234"/>
      <c r="AE35" s="234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0" t="s" ph="1">
        <v>183</v>
      </c>
      <c r="J36" s="220" ph="1"/>
      <c r="K36" s="101" ph="1"/>
      <c r="P36" s="101" ph="1"/>
      <c r="R36" s="220" t="s" ph="1">
        <v>184</v>
      </c>
      <c r="S36" s="220" ph="1"/>
      <c r="Y36" s="102" ph="1"/>
      <c r="Z36" s="157" t="s" ph="1">
        <v>185</v>
      </c>
      <c r="AA36" s="157" ph="1"/>
      <c r="AB36" s="221" t="s" ph="1">
        <v>638</v>
      </c>
      <c r="AC36" s="221" ph="1"/>
      <c r="AD36" s="221" ph="1"/>
      <c r="AE36" s="221" ph="1"/>
      <c r="BA36" s="64" ph="1">
        <v>2270</v>
      </c>
    </row>
    <row r="37" spans="1:57" s="157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7" t="s" ph="1">
        <v>342</v>
      </c>
      <c r="AI37" s="157" t="s" ph="1">
        <v>209</v>
      </c>
      <c r="AJ37" s="157" t="s" ph="1">
        <v>210</v>
      </c>
      <c r="AK37" s="157" t="s" ph="1">
        <v>211</v>
      </c>
      <c r="AM37" s="157" t="s" ph="1">
        <v>210</v>
      </c>
      <c r="AN37" s="157" t="s" ph="1">
        <v>211</v>
      </c>
      <c r="AO37" s="157" t="s" ph="1">
        <v>212</v>
      </c>
      <c r="AP37" s="157" t="s" ph="1">
        <v>210</v>
      </c>
      <c r="AQ37" s="157" t="s" ph="1">
        <v>211</v>
      </c>
      <c r="AR37" s="157" t="s" ph="1">
        <v>212</v>
      </c>
      <c r="AS37" s="157" t="s" ph="1">
        <v>210</v>
      </c>
      <c r="AT37" s="157" t="s" ph="1">
        <v>211</v>
      </c>
      <c r="AU37" s="157" t="s" ph="1">
        <v>212</v>
      </c>
      <c r="AV37" s="157" t="s" ph="1">
        <v>210</v>
      </c>
      <c r="AW37" s="157" t="s" ph="1">
        <v>211</v>
      </c>
      <c r="AX37" s="157" t="s" ph="1">
        <v>212</v>
      </c>
      <c r="AY37" s="157" t="s" ph="1">
        <v>211</v>
      </c>
      <c r="AZ37" s="157" t="s" ph="1">
        <v>213</v>
      </c>
      <c r="BD37" s="157" t="s" ph="1">
        <v>305</v>
      </c>
      <c r="BE37" s="157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649" priority="100">
      <formula>ABS(D$7-D$10)&gt;=1000</formula>
    </cfRule>
  </conditionalFormatting>
  <conditionalFormatting sqref="E4 E6:E11">
    <cfRule type="expression" dxfId="648" priority="99">
      <formula>ABS(E$7-E$10)&gt;=1000</formula>
    </cfRule>
  </conditionalFormatting>
  <conditionalFormatting sqref="F4:F11">
    <cfRule type="expression" dxfId="647" priority="98">
      <formula>ABS(F$7-F$10)&gt;=1000</formula>
    </cfRule>
  </conditionalFormatting>
  <conditionalFormatting sqref="G4:G11">
    <cfRule type="expression" dxfId="646" priority="97">
      <formula>ABS(G$7-G$10)&gt;=1000</formula>
    </cfRule>
  </conditionalFormatting>
  <conditionalFormatting sqref="H4:H11">
    <cfRule type="expression" dxfId="645" priority="96">
      <formula>ABS(H$7-H$10)&gt;=1000</formula>
    </cfRule>
  </conditionalFormatting>
  <conditionalFormatting sqref="I4:I11">
    <cfRule type="expression" dxfId="644" priority="95">
      <formula>ABS(I$7-I$10)&gt;=1000</formula>
    </cfRule>
  </conditionalFormatting>
  <conditionalFormatting sqref="J4:J11">
    <cfRule type="expression" dxfId="643" priority="94">
      <formula>ABS(J$7-J$10)&gt;=1000</formula>
    </cfRule>
  </conditionalFormatting>
  <conditionalFormatting sqref="K4:K11">
    <cfRule type="expression" dxfId="642" priority="93">
      <formula>ABS(K$7-K$10)&gt;=1000</formula>
    </cfRule>
  </conditionalFormatting>
  <conditionalFormatting sqref="L4:L11">
    <cfRule type="expression" dxfId="641" priority="92">
      <formula>ABS(L$7-L$10)&gt;=1000</formula>
    </cfRule>
  </conditionalFormatting>
  <conditionalFormatting sqref="M4 M6:M11">
    <cfRule type="expression" dxfId="640" priority="91">
      <formula>ABS(M$7-M$10)&gt;=1000</formula>
    </cfRule>
  </conditionalFormatting>
  <conditionalFormatting sqref="N4 N6:N11">
    <cfRule type="expression" dxfId="639" priority="90">
      <formula>ABS(N$7-N$10)&gt;=1000</formula>
    </cfRule>
  </conditionalFormatting>
  <conditionalFormatting sqref="O4 O6:O11">
    <cfRule type="expression" dxfId="638" priority="89">
      <formula>ABS(O$7-O$10)&gt;=1000</formula>
    </cfRule>
  </conditionalFormatting>
  <conditionalFormatting sqref="P4 P6:P11">
    <cfRule type="expression" dxfId="637" priority="88">
      <formula>ABS(P$7-P$10)&gt;=1000</formula>
    </cfRule>
  </conditionalFormatting>
  <conditionalFormatting sqref="Q4:Q11">
    <cfRule type="expression" dxfId="636" priority="87">
      <formula>ABS(Q$7-Q$10)&gt;=1000</formula>
    </cfRule>
  </conditionalFormatting>
  <conditionalFormatting sqref="R4:R11">
    <cfRule type="expression" dxfId="635" priority="86">
      <formula>ABS(R$7-R$10)&gt;=1000</formula>
    </cfRule>
  </conditionalFormatting>
  <conditionalFormatting sqref="S4:S11">
    <cfRule type="expression" dxfId="634" priority="85">
      <formula>ABS(S$7-S$10)&gt;=1000</formula>
    </cfRule>
  </conditionalFormatting>
  <conditionalFormatting sqref="T4:T9 T11">
    <cfRule type="expression" dxfId="633" priority="84">
      <formula>ABS(T$7-T$10)&gt;=1000</formula>
    </cfRule>
  </conditionalFormatting>
  <conditionalFormatting sqref="U4:U9 U11">
    <cfRule type="expression" dxfId="632" priority="83">
      <formula>ABS(U$7-U$10)&gt;=1000</formula>
    </cfRule>
  </conditionalFormatting>
  <conditionalFormatting sqref="V4:V9 V11">
    <cfRule type="expression" dxfId="631" priority="82">
      <formula>ABS(V$7-V$10)&gt;=1000</formula>
    </cfRule>
  </conditionalFormatting>
  <conditionalFormatting sqref="W4:W9 W11">
    <cfRule type="expression" dxfId="630" priority="81">
      <formula>ABS(W$7-W$10)&gt;=1000</formula>
    </cfRule>
  </conditionalFormatting>
  <conditionalFormatting sqref="X4:X9 X11">
    <cfRule type="expression" dxfId="629" priority="80">
      <formula>ABS(X$7-X$10)&gt;=1000</formula>
    </cfRule>
  </conditionalFormatting>
  <conditionalFormatting sqref="Y4:Y9 Y11">
    <cfRule type="expression" dxfId="628" priority="79">
      <formula>ABS(Y$7-Y$10)&gt;=1000</formula>
    </cfRule>
  </conditionalFormatting>
  <conditionalFormatting sqref="Z4:Z11">
    <cfRule type="expression" dxfId="627" priority="78">
      <formula>ABS(Z$7-Z$10)&gt;=1000</formula>
    </cfRule>
  </conditionalFormatting>
  <conditionalFormatting sqref="AA4:AA11">
    <cfRule type="expression" dxfId="626" priority="77">
      <formula>ABS(AA$7-AA$10)&gt;=1000</formula>
    </cfRule>
  </conditionalFormatting>
  <conditionalFormatting sqref="AB4:AB11">
    <cfRule type="expression" dxfId="625" priority="76">
      <formula>ABS(AB$7-AB$10)&gt;=1000</formula>
    </cfRule>
  </conditionalFormatting>
  <conditionalFormatting sqref="AC4 AC6:AC11">
    <cfRule type="expression" dxfId="624" priority="75">
      <formula>ABS(AC$7-AC$10)&gt;=1000</formula>
    </cfRule>
  </conditionalFormatting>
  <conditionalFormatting sqref="AD4 AD6:AD11">
    <cfRule type="expression" dxfId="623" priority="74">
      <formula>ABS(AD$7-AD$10)&gt;=1000</formula>
    </cfRule>
  </conditionalFormatting>
  <conditionalFormatting sqref="AE4 AE6:AE11">
    <cfRule type="expression" dxfId="622" priority="73">
      <formula>ABS(AE$7-AE$10)&gt;=1000</formula>
    </cfRule>
  </conditionalFormatting>
  <conditionalFormatting sqref="D13:D20">
    <cfRule type="expression" dxfId="621" priority="72">
      <formula>ABS(D$16-D$19)&gt;=1000</formula>
    </cfRule>
  </conditionalFormatting>
  <conditionalFormatting sqref="E13:E20">
    <cfRule type="expression" dxfId="620" priority="71">
      <formula>ABS(E$16-E$19)&gt;=1000</formula>
    </cfRule>
  </conditionalFormatting>
  <conditionalFormatting sqref="F13 F15:F20">
    <cfRule type="expression" dxfId="619" priority="70">
      <formula>ABS(F$16-F$19)&gt;=1000</formula>
    </cfRule>
  </conditionalFormatting>
  <conditionalFormatting sqref="G13:G20">
    <cfRule type="expression" dxfId="618" priority="69">
      <formula>ABS(G$16-G$19)&gt;=1000</formula>
    </cfRule>
  </conditionalFormatting>
  <conditionalFormatting sqref="H13 H15:H20">
    <cfRule type="expression" dxfId="617" priority="68">
      <formula>ABS(H$16-H$19)&gt;=1000</formula>
    </cfRule>
  </conditionalFormatting>
  <conditionalFormatting sqref="I13:I20">
    <cfRule type="expression" dxfId="616" priority="67">
      <formula>ABS(I$16-I$19)&gt;=1000</formula>
    </cfRule>
  </conditionalFormatting>
  <conditionalFormatting sqref="J13:J20">
    <cfRule type="expression" dxfId="615" priority="66">
      <formula>ABS(J$16-J$19)&gt;=1000</formula>
    </cfRule>
  </conditionalFormatting>
  <conditionalFormatting sqref="L13:L20">
    <cfRule type="expression" dxfId="614" priority="65">
      <formula>ABS(L$16-L$19)&gt;=1000</formula>
    </cfRule>
  </conditionalFormatting>
  <conditionalFormatting sqref="M13 M15 M17:M18 M20">
    <cfRule type="expression" dxfId="613" priority="64">
      <formula>ABS(M$16-M$19)&gt;=1000</formula>
    </cfRule>
  </conditionalFormatting>
  <conditionalFormatting sqref="N13:N20">
    <cfRule type="expression" dxfId="612" priority="63">
      <formula>ABS(N$16-N$19)&gt;=1000</formula>
    </cfRule>
  </conditionalFormatting>
  <conditionalFormatting sqref="O13:O20">
    <cfRule type="expression" dxfId="611" priority="62">
      <formula>ABS(O$16-O$19)&gt;=1000</formula>
    </cfRule>
  </conditionalFormatting>
  <conditionalFormatting sqref="P13:P20">
    <cfRule type="expression" dxfId="610" priority="61">
      <formula>ABS(P$16-P$19)&gt;=1000</formula>
    </cfRule>
  </conditionalFormatting>
  <conditionalFormatting sqref="Q13 Q15:Q20">
    <cfRule type="expression" dxfId="609" priority="60">
      <formula>ABS(Q$16-Q$19)&gt;=1000</formula>
    </cfRule>
  </conditionalFormatting>
  <conditionalFormatting sqref="R13:R20">
    <cfRule type="expression" dxfId="608" priority="59">
      <formula>ABS(R$16-R$19)&gt;=1000</formula>
    </cfRule>
  </conditionalFormatting>
  <conditionalFormatting sqref="S13:S20">
    <cfRule type="expression" dxfId="607" priority="58">
      <formula>ABS(S$16-S$19)&gt;=1000</formula>
    </cfRule>
  </conditionalFormatting>
  <conditionalFormatting sqref="T13:T20">
    <cfRule type="expression" dxfId="606" priority="57">
      <formula>ABS(T$16-T$19)&gt;=1000</formula>
    </cfRule>
  </conditionalFormatting>
  <conditionalFormatting sqref="U13:U20">
    <cfRule type="expression" dxfId="605" priority="56">
      <formula>ABS(U$16-U$19)&gt;=1000</formula>
    </cfRule>
  </conditionalFormatting>
  <conditionalFormatting sqref="V13:V20">
    <cfRule type="expression" dxfId="604" priority="55">
      <formula>ABS(V$16-V$19)&gt;=1000</formula>
    </cfRule>
  </conditionalFormatting>
  <conditionalFormatting sqref="W13 W20 W15:W18">
    <cfRule type="expression" dxfId="603" priority="54">
      <formula>ABS(W$16-W$19)&gt;=1000</formula>
    </cfRule>
  </conditionalFormatting>
  <conditionalFormatting sqref="X13 X15:X20 Y19">
    <cfRule type="expression" dxfId="602" priority="53">
      <formula>ABS(X$16-X$19)&gt;=1000</formula>
    </cfRule>
  </conditionalFormatting>
  <conditionalFormatting sqref="Y13 Y15:Y18 Y20">
    <cfRule type="expression" dxfId="601" priority="52">
      <formula>ABS(Y$16-Y$19)&gt;=1000</formula>
    </cfRule>
  </conditionalFormatting>
  <conditionalFormatting sqref="Z13:Z20">
    <cfRule type="expression" dxfId="600" priority="51">
      <formula>ABS(Z$16-Z$19)&gt;=1000</formula>
    </cfRule>
  </conditionalFormatting>
  <conditionalFormatting sqref="AA13:AA20">
    <cfRule type="expression" dxfId="599" priority="50">
      <formula>ABS(AA$16-AA$19)&gt;=1000</formula>
    </cfRule>
  </conditionalFormatting>
  <conditionalFormatting sqref="AB13 AB15:AB20">
    <cfRule type="expression" dxfId="598" priority="49">
      <formula>ABS(AB$16-AB$19)&gt;=1000</formula>
    </cfRule>
  </conditionalFormatting>
  <conditionalFormatting sqref="AC13 AC15:AC20">
    <cfRule type="expression" dxfId="597" priority="48">
      <formula>ABS(AC$16-AC$19)&gt;=1000</formula>
    </cfRule>
  </conditionalFormatting>
  <conditionalFormatting sqref="AD13:AD20">
    <cfRule type="expression" dxfId="596" priority="47">
      <formula>ABS(AD$16-AD$19)&gt;=1000</formula>
    </cfRule>
  </conditionalFormatting>
  <conditionalFormatting sqref="AE13:AE20">
    <cfRule type="expression" dxfId="595" priority="46">
      <formula>ABS(AE$16-AE$19)&gt;=1000</formula>
    </cfRule>
  </conditionalFormatting>
  <conditionalFormatting sqref="D22:D29">
    <cfRule type="expression" dxfId="594" priority="45">
      <formula>ABS(D$25-D$28)&gt;=1000</formula>
    </cfRule>
  </conditionalFormatting>
  <conditionalFormatting sqref="E22:E29">
    <cfRule type="expression" dxfId="593" priority="44">
      <formula>ABS(E$25-E$28)&gt;=1000</formula>
    </cfRule>
  </conditionalFormatting>
  <conditionalFormatting sqref="F22:F29">
    <cfRule type="expression" dxfId="592" priority="43">
      <formula>ABS(F$25-F$28)&gt;=1000</formula>
    </cfRule>
  </conditionalFormatting>
  <conditionalFormatting sqref="G22:G29">
    <cfRule type="expression" dxfId="591" priority="42">
      <formula>ABS(G$25-G$28)&gt;=1000</formula>
    </cfRule>
  </conditionalFormatting>
  <conditionalFormatting sqref="H22:H29">
    <cfRule type="expression" dxfId="590" priority="41">
      <formula>ABS(H$25-H$28)&gt;=1000</formula>
    </cfRule>
  </conditionalFormatting>
  <conditionalFormatting sqref="I22 I24:I29">
    <cfRule type="expression" dxfId="589" priority="40">
      <formula>ABS(I$25-I$28)&gt;=1000</formula>
    </cfRule>
  </conditionalFormatting>
  <conditionalFormatting sqref="J22:J29 K22">
    <cfRule type="expression" dxfId="588" priority="39">
      <formula>ABS(J$25-J$28)&gt;=1000</formula>
    </cfRule>
  </conditionalFormatting>
  <conditionalFormatting sqref="K23:K29 L25 L28">
    <cfRule type="expression" dxfId="587" priority="38">
      <formula>ABS(K$25-K$28)&gt;=1000</formula>
    </cfRule>
  </conditionalFormatting>
  <conditionalFormatting sqref="L22 L26:L27 L29 L24">
    <cfRule type="expression" dxfId="586" priority="37">
      <formula>ABS(L$25-L$28)&gt;=1000</formula>
    </cfRule>
  </conditionalFormatting>
  <conditionalFormatting sqref="M22:M29">
    <cfRule type="expression" dxfId="585" priority="36">
      <formula>ABS(M$25-M$28)&gt;=1000</formula>
    </cfRule>
  </conditionalFormatting>
  <conditionalFormatting sqref="N22:N29">
    <cfRule type="expression" dxfId="584" priority="35">
      <formula>ABS(N$25-N$28)&gt;=1000</formula>
    </cfRule>
  </conditionalFormatting>
  <conditionalFormatting sqref="O22:O29">
    <cfRule type="expression" dxfId="583" priority="34">
      <formula>ABS(O$25-O$28)&gt;=1000</formula>
    </cfRule>
  </conditionalFormatting>
  <conditionalFormatting sqref="P22:P29">
    <cfRule type="expression" dxfId="582" priority="33">
      <formula>ABS(P$25-P$28)&gt;=1000</formula>
    </cfRule>
  </conditionalFormatting>
  <conditionalFormatting sqref="Q22:Q29">
    <cfRule type="expression" dxfId="581" priority="32">
      <formula>ABS(Q$25-Q$28)&gt;=1000</formula>
    </cfRule>
  </conditionalFormatting>
  <conditionalFormatting sqref="R22:R29">
    <cfRule type="expression" dxfId="580" priority="31">
      <formula>ABS(R$25-R$28)&gt;=1000</formula>
    </cfRule>
  </conditionalFormatting>
  <conditionalFormatting sqref="S22:S29">
    <cfRule type="expression" dxfId="579" priority="30">
      <formula>ABS(S$25-S$28)&gt;=1000</formula>
    </cfRule>
  </conditionalFormatting>
  <conditionalFormatting sqref="T22:T29">
    <cfRule type="expression" dxfId="578" priority="29">
      <formula>ABS(T$25-T$28)&gt;=1000</formula>
    </cfRule>
  </conditionalFormatting>
  <conditionalFormatting sqref="U22:U29">
    <cfRule type="expression" dxfId="577" priority="28">
      <formula>ABS(U$25-U$28)&gt;=1000</formula>
    </cfRule>
  </conditionalFormatting>
  <conditionalFormatting sqref="V22:V29">
    <cfRule type="expression" dxfId="576" priority="27">
      <formula>ABS(V$25-V$28)&gt;=1000</formula>
    </cfRule>
  </conditionalFormatting>
  <conditionalFormatting sqref="W22:W29">
    <cfRule type="expression" dxfId="575" priority="26">
      <formula>ABS(W$25-W$28)&gt;=1000</formula>
    </cfRule>
  </conditionalFormatting>
  <conditionalFormatting sqref="X22:X29">
    <cfRule type="expression" dxfId="574" priority="25">
      <formula>ABS(X$25-X$28)&gt;=1000</formula>
    </cfRule>
  </conditionalFormatting>
  <conditionalFormatting sqref="Y22:Y29">
    <cfRule type="expression" dxfId="573" priority="24">
      <formula>ABS(Y$25-Y$28)&gt;=1000</formula>
    </cfRule>
  </conditionalFormatting>
  <conditionalFormatting sqref="I23">
    <cfRule type="expression" dxfId="572" priority="23">
      <formula>ABS(I$25-I$28)&gt;=1000</formula>
    </cfRule>
  </conditionalFormatting>
  <conditionalFormatting sqref="Q14">
    <cfRule type="expression" dxfId="571" priority="22">
      <formula>ABS(Q$16-Q$19)&gt;=1000</formula>
    </cfRule>
  </conditionalFormatting>
  <conditionalFormatting sqref="W14">
    <cfRule type="expression" dxfId="570" priority="21">
      <formula>ABS(W$16-W$19)&gt;=1000</formula>
    </cfRule>
  </conditionalFormatting>
  <conditionalFormatting sqref="X14">
    <cfRule type="expression" dxfId="569" priority="20">
      <formula>ABS(X$16-X$19)&gt;=1000</formula>
    </cfRule>
  </conditionalFormatting>
  <conditionalFormatting sqref="T10:Y10">
    <cfRule type="expression" dxfId="568" priority="19">
      <formula>ABS(T$7-T$10)&gt;=1000</formula>
    </cfRule>
  </conditionalFormatting>
  <conditionalFormatting sqref="W19">
    <cfRule type="expression" dxfId="567" priority="18">
      <formula>ABS(W$16-W$19)&gt;=1000</formula>
    </cfRule>
  </conditionalFormatting>
  <conditionalFormatting sqref="AC5">
    <cfRule type="expression" dxfId="566" priority="17">
      <formula>ABS(AC$7-AC$10)&gt;=1000</formula>
    </cfRule>
  </conditionalFormatting>
  <conditionalFormatting sqref="M14">
    <cfRule type="expression" dxfId="565" priority="16">
      <formula>ABS(M$16-M$19)&gt;=1000</formula>
    </cfRule>
  </conditionalFormatting>
  <conditionalFormatting sqref="M16">
    <cfRule type="expression" dxfId="564" priority="15">
      <formula>ABS(M$16-M$19)&gt;=1000</formula>
    </cfRule>
  </conditionalFormatting>
  <conditionalFormatting sqref="M19">
    <cfRule type="expression" dxfId="563" priority="14">
      <formula>ABS(M$16-M$19)&gt;=1000</formula>
    </cfRule>
  </conditionalFormatting>
  <conditionalFormatting sqref="K13:K20">
    <cfRule type="expression" dxfId="562" priority="13">
      <formula>ABS(K$16-K$19)&gt;=1000</formula>
    </cfRule>
  </conditionalFormatting>
  <conditionalFormatting sqref="E5">
    <cfRule type="expression" dxfId="561" priority="12">
      <formula>ABS(E$7-E$10)&gt;=1000</formula>
    </cfRule>
  </conditionalFormatting>
  <conditionalFormatting sqref="AB14:AC14">
    <cfRule type="expression" dxfId="560" priority="11">
      <formula>ABS(AB$16-AB$19)&gt;=1000</formula>
    </cfRule>
  </conditionalFormatting>
  <conditionalFormatting sqref="M5">
    <cfRule type="expression" dxfId="559" priority="10">
      <formula>ABS(M$7-M$10)&gt;=1000</formula>
    </cfRule>
  </conditionalFormatting>
  <conditionalFormatting sqref="N5">
    <cfRule type="expression" dxfId="558" priority="9">
      <formula>ABS(N$7-N$10)&gt;=1000</formula>
    </cfRule>
  </conditionalFormatting>
  <conditionalFormatting sqref="O5">
    <cfRule type="expression" dxfId="557" priority="8">
      <formula>ABS(O$7-O$10)&gt;=1000</formula>
    </cfRule>
  </conditionalFormatting>
  <conditionalFormatting sqref="P5">
    <cfRule type="expression" dxfId="556" priority="7">
      <formula>ABS(P$7-P$10)&gt;=1000</formula>
    </cfRule>
  </conditionalFormatting>
  <conditionalFormatting sqref="L23">
    <cfRule type="expression" dxfId="555" priority="6">
      <formula>ABS(L$25-L$28)&gt;=1000</formula>
    </cfRule>
  </conditionalFormatting>
  <conditionalFormatting sqref="Y14">
    <cfRule type="expression" dxfId="554" priority="5">
      <formula>ABS(Y$16-Y$19)&gt;=1000</formula>
    </cfRule>
  </conditionalFormatting>
  <conditionalFormatting sqref="F14">
    <cfRule type="expression" dxfId="553" priority="4">
      <formula>ABS(F$16-F$19)&gt;=1000</formula>
    </cfRule>
  </conditionalFormatting>
  <conditionalFormatting sqref="H14">
    <cfRule type="expression" dxfId="552" priority="3">
      <formula>ABS(H$16-H$19)&gt;=1000</formula>
    </cfRule>
  </conditionalFormatting>
  <conditionalFormatting sqref="AD5">
    <cfRule type="expression" dxfId="551" priority="2">
      <formula>ABS(AD$7-AD$10)&gt;=1000</formula>
    </cfRule>
  </conditionalFormatting>
  <conditionalFormatting sqref="AE5">
    <cfRule type="expression" dxfId="55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3443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75">
    <pageSetUpPr fitToPage="1"/>
  </sheetPr>
  <dimension ref="A1:CU223"/>
  <sheetViews>
    <sheetView view="pageBreakPreview" topLeftCell="A5" zoomScale="70" zoomScaleNormal="100" zoomScaleSheetLayoutView="70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2" t="s" ph="1">
        <v>161</v>
      </c>
      <c r="C1" s="182" ph="1"/>
      <c r="D1" s="182" ph="1"/>
      <c r="E1" s="182" ph="1"/>
      <c r="F1" s="182" ph="1"/>
      <c r="G1" s="182" ph="1"/>
      <c r="H1" s="182" ph="1"/>
      <c r="I1" s="182" ph="1"/>
      <c r="J1" s="182" ph="1"/>
      <c r="K1" s="182" ph="1"/>
      <c r="L1" s="182" ph="1"/>
      <c r="M1" s="182" ph="1"/>
      <c r="N1" s="182" ph="1"/>
      <c r="O1" s="182" ph="1"/>
      <c r="P1" s="182" ph="1"/>
      <c r="Q1" s="182" ph="1"/>
      <c r="R1" s="182" ph="1"/>
      <c r="S1" s="182" ph="1"/>
      <c r="T1" s="182" ph="1"/>
      <c r="U1" s="182" ph="1"/>
      <c r="V1" s="182" ph="1"/>
      <c r="W1" s="182" ph="1"/>
      <c r="X1" s="182" ph="1"/>
      <c r="Y1" s="182" ph="1"/>
      <c r="Z1" s="182" ph="1"/>
      <c r="AA1" s="182" ph="1"/>
      <c r="AB1" s="182" ph="1"/>
      <c r="AC1" s="182" ph="1"/>
      <c r="AD1" s="182" ph="1"/>
      <c r="AE1" s="182" ph="1"/>
    </row>
    <row r="2" spans="1:99" s="66" customFormat="1" ht="24" customHeight="1" ph="1">
      <c r="B2" s="183" t="s" ph="1">
        <v>82</v>
      </c>
      <c r="C2" s="183" ph="1"/>
      <c r="D2" s="183" ph="1"/>
      <c r="E2" s="183" ph="1"/>
      <c r="F2" s="183" ph="1"/>
      <c r="G2" s="183" ph="1"/>
      <c r="H2" s="183" ph="1"/>
      <c r="I2" s="183" ph="1"/>
      <c r="J2" s="183" ph="1"/>
      <c r="K2" s="183" ph="1"/>
      <c r="L2" s="183" ph="1"/>
      <c r="M2" s="183" ph="1"/>
      <c r="N2" s="183" ph="1"/>
      <c r="O2" s="183" ph="1"/>
      <c r="P2" s="183" ph="1"/>
      <c r="Q2" s="183" ph="1"/>
      <c r="R2" s="183" ph="1"/>
      <c r="S2" s="183" ph="1"/>
      <c r="T2" s="183" ph="1"/>
      <c r="U2" s="183" ph="1"/>
      <c r="V2" s="183" ph="1"/>
      <c r="W2" s="183" ph="1"/>
      <c r="X2" s="183" ph="1"/>
      <c r="Y2" s="183" ph="1"/>
      <c r="Z2" s="183" ph="1"/>
      <c r="AA2" s="183" ph="1"/>
      <c r="AB2" s="183" ph="1"/>
      <c r="AC2" s="183" ph="1"/>
      <c r="AD2" s="183" ph="1"/>
      <c r="AE2" s="183" ph="1"/>
    </row>
    <row r="3" spans="1:99" ht="21" customHeight="1" ph="1">
      <c r="B3" s="184" ph="1">
        <v>46139</v>
      </c>
      <c r="C3" s="184"/>
      <c r="D3" s="184"/>
      <c r="E3" s="184"/>
      <c r="F3" s="184"/>
      <c r="G3" s="184"/>
      <c r="H3" s="184"/>
      <c r="I3" s="184"/>
      <c r="J3" s="184"/>
      <c r="K3" s="184"/>
      <c r="L3" s="184"/>
      <c r="M3" s="184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</row>
    <row r="4" spans="1:99" s="69" customFormat="1" ph="1">
      <c r="A4" s="65" ph="1"/>
      <c r="B4" s="185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5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1" ph="1">
        <v>0.33333333333333331</v>
      </c>
      <c r="C6" s="159" t="s" ph="1">
        <v>177</v>
      </c>
      <c r="D6" s="71">
        <v>6996</v>
      </c>
      <c r="E6" s="71">
        <v>6532</v>
      </c>
      <c r="F6" s="71">
        <v>5829</v>
      </c>
      <c r="G6" s="71">
        <v>8054</v>
      </c>
      <c r="H6" s="71">
        <v>848</v>
      </c>
      <c r="I6" s="71">
        <v>7.0000000000000007E-2</v>
      </c>
      <c r="J6" s="71">
        <v>6.36</v>
      </c>
      <c r="K6" s="71">
        <v>62.98</v>
      </c>
      <c r="L6" s="71">
        <v>87.81</v>
      </c>
      <c r="M6" s="71">
        <v>488</v>
      </c>
      <c r="N6" s="71">
        <v>3626</v>
      </c>
      <c r="O6" s="71">
        <v>5096</v>
      </c>
      <c r="P6" s="71">
        <v>1176</v>
      </c>
      <c r="Q6" s="71">
        <v>5413</v>
      </c>
      <c r="R6" s="71">
        <v>5709</v>
      </c>
      <c r="S6" s="71">
        <v>2398</v>
      </c>
      <c r="T6" s="71">
        <v>0</v>
      </c>
      <c r="U6" s="71">
        <v>2404</v>
      </c>
      <c r="V6" s="71">
        <v>7063</v>
      </c>
      <c r="W6" s="71">
        <v>7201</v>
      </c>
      <c r="X6" s="71">
        <v>7119</v>
      </c>
      <c r="Y6" s="71">
        <v>4851</v>
      </c>
      <c r="Z6" s="71">
        <v>3847</v>
      </c>
      <c r="AA6" s="71">
        <v>4207</v>
      </c>
      <c r="AB6" s="71">
        <v>2843</v>
      </c>
      <c r="AC6" s="71">
        <v>6015</v>
      </c>
      <c r="AD6" s="71">
        <v>2810</v>
      </c>
      <c r="AE6" s="71">
        <v>4430</v>
      </c>
    </row>
    <row r="7" spans="1:99" s="72" customFormat="1" ht="22.2" ph="1">
      <c r="B7" s="181" ph="1"/>
      <c r="C7" s="68" t="s" ph="1">
        <v>178</v>
      </c>
      <c r="D7" s="73" ph="1">
        <f>D6*33.183*LOOKUP(D8,密度!$A$2:$A$50,密度!$Q$2:$Q$50)</f>
        <v>219454.40070576002</v>
      </c>
      <c r="E7" s="73" ph="1">
        <f>E6*51.53*LOOKUP(E8,密度!$A$2:$A$50,密度!$B$2:$B$50)</f>
        <v>263014.52034400002</v>
      </c>
      <c r="F7" s="73" ph="1">
        <f>F6*33.183*LOOKUP(F8,密度!$A$2:$A$50,密度!$C$2:$C$50)</f>
        <v>214777.68425280001</v>
      </c>
      <c r="G7" s="73" ph="1">
        <f xml:space="preserve"> (G6+2)*51.53*LOOKUP(G8,密度!$A$2:$A$50,密度!$B$2:$B$50)</f>
        <v>324005.59323999996</v>
      </c>
      <c r="H7" s="73" ph="1">
        <f>(H6)*51.53*LOOKUP(H8,密度!$A$2:$A$50,密度!$B$2:$B$50)</f>
        <v>34263.162704000002</v>
      </c>
      <c r="I7" s="73" ph="1">
        <f>I6*290.8*1.0267</f>
        <v>20.8995052</v>
      </c>
      <c r="J7" s="73" ph="1">
        <f>J6*290.8*0.7892</f>
        <v>1459.6159296000001</v>
      </c>
      <c r="K7" s="73" ph="1">
        <f>K6*290.8*1.1126</f>
        <v>20376.806158399999</v>
      </c>
      <c r="L7" s="73" ph="1">
        <f>L6*290.8*0.777</f>
        <v>19840.809996</v>
      </c>
      <c r="M7" s="73" ph="1">
        <f>M6*33.183*LOOKUP(M8,密度!$A$2:$A$50,密度!$D$2:$D$50)</f>
        <v>16640.2391904</v>
      </c>
      <c r="N7" s="73" ph="1">
        <f>N6*33.183*LOOKUP(N8,密度!$A$2:$A$50,密度!$E$2:$E$50)</f>
        <v>94235.844225599998</v>
      </c>
      <c r="O7" s="73" ph="1">
        <f>O6*20.428*LOOKUP(O8,密度!$A$2:$A$50,密度!$C$2:$C$50)</f>
        <v>115354.41561280002</v>
      </c>
      <c r="P7" s="73" ph="1">
        <f>P6*51.53*LOOKUP(P8,密度!$A$2:$A$50,密度!$B$2:$B$50)</f>
        <v>47515.895448000003</v>
      </c>
      <c r="Q7" s="73" ph="1">
        <f>Q6*1.5*1.5*3.1416*LOOKUP(W8,密度!$A$2:$A$50,密度!$L$2:$L$50)</f>
        <v>35928.3295602</v>
      </c>
      <c r="R7" s="73" ph="1">
        <f>R6*1.5*1.5*3.1416*LOOKUP(R8,密度!$A$2:$A$50,密度!$L$2:$L$50)</f>
        <v>37731.585969</v>
      </c>
      <c r="S7" s="73" ph="1">
        <f>S6*1.5*1.5*3.1416*LOOKUP(S8,密度!$A$2:$A$50,密度!$L$2:$L$50)</f>
        <v>15967.373637599998</v>
      </c>
      <c r="T7" s="73" ph="1">
        <f>T6*1.5*1.5*3.1416*LOOKUP(T8,密度!$A$2:$A$50,密度!$L$2:$L$50)</f>
        <v>0</v>
      </c>
      <c r="U7" s="73" ph="1">
        <f>U6*1.5*1.5*3.1416*LOOKUP(U8,密度!$A$2:$A$50,密度!$L$2:$L$50)</f>
        <v>15956.3466216</v>
      </c>
      <c r="V7" s="73" ph="1">
        <f>V6*1.5*1.5*3.1416*LOOKUP(V8,密度!$A$2:$A$50,密度!$L$2:$L$50)</f>
        <v>46680.362883000002</v>
      </c>
      <c r="W7" s="73" ph="1">
        <f>W6*1.5*1.5*3.1416*LOOKUP(W8,密度!$A$2:$A$50,密度!$L$2:$L$50)</f>
        <v>47796.028295399992</v>
      </c>
      <c r="X7" s="73" ph="1">
        <f>X6*1.5*1.5*3.1416*LOOKUP(X8,密度!$A$2:$A$50,密度!$L$2:$L$50)</f>
        <v>47704.652503199999</v>
      </c>
      <c r="Y7" s="73" ph="1">
        <f>Y6*1.5*1.5*3.1416*LOOKUP(Y8,密度!$A$2:$A$50,密度!$L$2:$L$50)</f>
        <v>32232.391883999997</v>
      </c>
      <c r="Z7" s="73" ph="1">
        <f>Z6*33.183*LOOKUP(Z8,密度!$A$2:$A$50,密度!$L$2:$L$50)</f>
        <v>120123.355941</v>
      </c>
      <c r="AA7" s="73" ph="1">
        <f>AA6*33.183*LOOKUP(AA8,密度!$A$2:$A$50,密度!$D$2:$D$50)</f>
        <v>143719.1069895</v>
      </c>
      <c r="AB7" s="73" ph="1">
        <f>AB6*20.428*LOOKUP(AB8,密度!$A$2:$A$50,密度!$D$2:$D$50)</f>
        <v>60045.607655600004</v>
      </c>
      <c r="AC7" s="73" ph="1">
        <f>AC6*51.53*LOOKUP(AC8,密度!$A$2:$A$50,密度!$Q$2:$Q$50)</f>
        <v>294359.21708550001</v>
      </c>
      <c r="AD7" s="73" ph="1">
        <f>AD6*20.428*LOOKUP(AD8,密度!$A$2:$A$50,密度!$V$2:$V$50)</f>
        <v>55152.494943999998</v>
      </c>
      <c r="AE7" s="73" ph="1">
        <f>AE6*20.428</f>
        <v>90496.040000000008</v>
      </c>
    </row>
    <row r="8" spans="1:99" ph="1">
      <c r="B8" s="181" ph="1"/>
      <c r="C8" s="68" t="s" ph="1">
        <v>179</v>
      </c>
      <c r="D8" s="74">
        <v>27</v>
      </c>
      <c r="E8" s="74">
        <v>23</v>
      </c>
      <c r="F8" s="74">
        <v>23</v>
      </c>
      <c r="G8" s="74">
        <v>24</v>
      </c>
      <c r="H8" s="74">
        <v>20</v>
      </c>
      <c r="I8" s="74">
        <v>25</v>
      </c>
      <c r="J8" s="74">
        <v>25</v>
      </c>
      <c r="K8" s="74">
        <v>25</v>
      </c>
      <c r="L8" s="74">
        <v>25</v>
      </c>
      <c r="M8" s="74">
        <v>24</v>
      </c>
      <c r="N8" s="74">
        <v>25</v>
      </c>
      <c r="O8" s="74">
        <v>26</v>
      </c>
      <c r="P8" s="74">
        <v>20</v>
      </c>
      <c r="Q8" s="74">
        <v>25</v>
      </c>
      <c r="R8" s="74">
        <v>27</v>
      </c>
      <c r="S8" s="74">
        <v>20</v>
      </c>
      <c r="T8" s="74">
        <v>17</v>
      </c>
      <c r="U8" s="74">
        <v>23</v>
      </c>
      <c r="V8" s="74">
        <v>27</v>
      </c>
      <c r="W8" s="74">
        <v>23</v>
      </c>
      <c r="X8" s="74">
        <v>14</v>
      </c>
      <c r="Y8" s="74">
        <v>22</v>
      </c>
      <c r="Z8" s="74">
        <v>21</v>
      </c>
      <c r="AA8" s="74">
        <v>22</v>
      </c>
      <c r="AB8" s="74">
        <v>17</v>
      </c>
      <c r="AC8" s="74">
        <v>21</v>
      </c>
      <c r="AD8" s="74">
        <v>22</v>
      </c>
      <c r="AE8" s="74">
        <v>25</v>
      </c>
    </row>
    <row r="9" spans="1:99" ht="26.4" ph="1">
      <c r="B9" s="181" ph="1">
        <v>0.66666666666666663</v>
      </c>
      <c r="C9" s="159" t="s" ph="1">
        <v>180</v>
      </c>
      <c r="D9" s="71">
        <v>7087</v>
      </c>
      <c r="E9" s="71">
        <v>6532</v>
      </c>
      <c r="F9" s="71">
        <v>5831</v>
      </c>
      <c r="G9" s="71">
        <v>8047</v>
      </c>
      <c r="H9" s="71">
        <v>573</v>
      </c>
      <c r="I9" s="71">
        <v>0.06</v>
      </c>
      <c r="J9" s="71">
        <v>6.38</v>
      </c>
      <c r="K9" s="71">
        <v>63.16</v>
      </c>
      <c r="L9" s="71">
        <v>31.22</v>
      </c>
      <c r="M9" s="71">
        <v>487</v>
      </c>
      <c r="N9" s="71">
        <v>3405</v>
      </c>
      <c r="O9" s="71">
        <v>5097</v>
      </c>
      <c r="P9" s="71">
        <v>1246</v>
      </c>
      <c r="Q9" s="71">
        <v>7185</v>
      </c>
      <c r="R9" s="71">
        <v>7136</v>
      </c>
      <c r="S9" s="71">
        <v>6240</v>
      </c>
      <c r="T9" s="71">
        <v>0</v>
      </c>
      <c r="U9" s="71">
        <v>0</v>
      </c>
      <c r="V9" s="71">
        <v>4966</v>
      </c>
      <c r="W9" s="71">
        <v>7212</v>
      </c>
      <c r="X9" s="71">
        <v>7128</v>
      </c>
      <c r="Y9" s="71">
        <v>4858</v>
      </c>
      <c r="Z9" s="71">
        <v>795</v>
      </c>
      <c r="AA9" s="71">
        <v>4213</v>
      </c>
      <c r="AB9" s="71">
        <v>3649</v>
      </c>
      <c r="AC9" s="71">
        <v>6202</v>
      </c>
      <c r="AD9" s="71">
        <v>1800</v>
      </c>
      <c r="AE9" s="71">
        <v>4395</v>
      </c>
    </row>
    <row r="10" spans="1:99" s="72" customFormat="1" ht="22.2" ph="1">
      <c r="B10" s="181" ph="1"/>
      <c r="C10" s="159" t="s" ph="1">
        <v>178</v>
      </c>
      <c r="D10" s="73" ph="1">
        <f>D9*33.183*LOOKUP(D11,密度!$A$2:$A$50,密度!$Q$2:$Q$50)</f>
        <v>222308.93907972</v>
      </c>
      <c r="E10" s="73" ph="1">
        <f>E9*51.53*LOOKUP(E11,密度!$A$2:$A$50,密度!$B$2:$B$50)</f>
        <v>261836.44148400004</v>
      </c>
      <c r="F10" s="73" ph="1">
        <f>F9*33.183*LOOKUP(F11,密度!$A$2:$A$50,密度!$C$2:$C$50)</f>
        <v>214696.5850008</v>
      </c>
      <c r="G10" s="73" ph="1">
        <f xml:space="preserve"> (G9+2)*51.53*LOOKUP(G11,密度!$A$2:$A$50,密度!$B$2:$B$50)</f>
        <v>322272.38169000001</v>
      </c>
      <c r="H10" s="73" ph="1">
        <f>(H9)*51.53*LOOKUP(H11,密度!$A$2:$A$50,密度!$B$2:$B$50)</f>
        <v>22892.042757000003</v>
      </c>
      <c r="I10" s="73" ph="1">
        <f>I9*290.8*1.0267</f>
        <v>17.913861600000001</v>
      </c>
      <c r="J10" s="73" ph="1">
        <f>J9*290.8*0.7892</f>
        <v>1464.2059168000001</v>
      </c>
      <c r="K10" s="73" ph="1">
        <f>K9*290.8*1.1126</f>
        <v>20435.044092799999</v>
      </c>
      <c r="L10" s="73" ph="1">
        <f>L9*290.8*0.777</f>
        <v>7054.208952</v>
      </c>
      <c r="M10" s="73" ph="1">
        <f>M9*33.183*LOOKUP(M11,密度!$A$2:$A$50,密度!$D$2:$D$50)</f>
        <v>16530.187770899996</v>
      </c>
      <c r="N10" s="73" ph="1">
        <f>N9*33.183*LOOKUP(N11,密度!$A$2:$A$50,密度!$E$2:$E$50)</f>
        <v>88368.004741500001</v>
      </c>
      <c r="O10" s="73" ph="1">
        <f>O9*20.428*LOOKUP(O11,密度!$A$2:$A$50,密度!$C$2:$C$50)</f>
        <v>115064.6873316</v>
      </c>
      <c r="P10" s="73" ph="1">
        <f>P9*51.53*LOOKUP(P11,密度!$A$2:$A$50,密度!$B$2:$B$50)</f>
        <v>49946.143002000004</v>
      </c>
      <c r="Q10" s="73" ph="1">
        <f>Q9*1.5*1.5*3.1416*LOOKUP(W11,密度!$A$2:$A$50,密度!$L$2:$L$50)</f>
        <v>47639.041757999992</v>
      </c>
      <c r="R10" s="73" ph="1">
        <f>R9*1.5*1.5*3.1416*LOOKUP(R11,密度!$A$2:$A$50,密度!$L$2:$L$50)</f>
        <v>47011.505587200001</v>
      </c>
      <c r="S10" s="73" ph="1">
        <f>S9*1.5*1.5*3.1416*LOOKUP(S11,密度!$A$2:$A$50,密度!$L$2:$L$50)</f>
        <v>41373.364031999998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32785.891538399999</v>
      </c>
      <c r="W10" s="73" ph="1">
        <f>W9*1.5*1.5*3.1416*LOOKUP(W11,密度!$A$2:$A$50,密度!$L$2:$L$50)</f>
        <v>47818.061121599996</v>
      </c>
      <c r="X10" s="73" ph="1">
        <f>X9*1.5*1.5*3.1416*LOOKUP(X11,密度!$A$2:$A$50,密度!$L$2:$L$50)</f>
        <v>47664.191836799997</v>
      </c>
      <c r="Y10" s="73" ph="1">
        <f>Y9*1.5*1.5*3.1416*LOOKUP(Y11,密度!$A$2:$A$50,密度!$L$2:$L$50)</f>
        <v>32210.224754399995</v>
      </c>
      <c r="Z10" s="73" ph="1">
        <f>Z9*33.183*LOOKUP(Z11,密度!$A$2:$A$50,密度!$L$2:$L$50)</f>
        <v>24718.514445000001</v>
      </c>
      <c r="AA10" s="73" ph="1">
        <f>AA9*33.183*LOOKUP(AA11,密度!$A$2:$A$50,密度!$D$2:$D$50)</f>
        <v>143001.39851909998</v>
      </c>
      <c r="AB10" s="73" ph="1">
        <f>AB9*20.428*LOOKUP(AB11,密度!$A$2:$A$50,密度!$D$2:$D$50)</f>
        <v>76882.383640800006</v>
      </c>
      <c r="AC10" s="73" ph="1">
        <f>AC9*51.53*LOOKUP(AC11,密度!$A$2:$A$50,密度!$Q$2:$Q$50)</f>
        <v>302340.83843180002</v>
      </c>
      <c r="AD10" s="73" ph="1">
        <f>AD9*20.428*LOOKUP(AD11,密度!$A$2:$A$50,密度!$V$2:$V$50)</f>
        <v>35211.335039999998</v>
      </c>
      <c r="AE10" s="73" ph="1">
        <f>AE9*20.428</f>
        <v>89781.06</v>
      </c>
    </row>
    <row r="11" spans="1:99" ph="1">
      <c r="A11" s="64" t="s" ph="1">
        <v>162</v>
      </c>
      <c r="B11" s="181" ph="1"/>
      <c r="C11" s="159" t="s" ph="1">
        <v>179</v>
      </c>
      <c r="D11" s="74">
        <v>27</v>
      </c>
      <c r="E11" s="74">
        <v>27</v>
      </c>
      <c r="F11" s="74">
        <v>24</v>
      </c>
      <c r="G11" s="74">
        <v>28</v>
      </c>
      <c r="H11" s="74">
        <v>30</v>
      </c>
      <c r="I11" s="74">
        <v>25</v>
      </c>
      <c r="J11" s="74">
        <v>25</v>
      </c>
      <c r="K11" s="74">
        <v>25</v>
      </c>
      <c r="L11" s="74">
        <v>25</v>
      </c>
      <c r="M11" s="74">
        <v>29</v>
      </c>
      <c r="N11" s="74">
        <v>26</v>
      </c>
      <c r="O11" s="74">
        <v>30</v>
      </c>
      <c r="P11" s="74">
        <v>27</v>
      </c>
      <c r="Q11" s="74">
        <v>28</v>
      </c>
      <c r="R11" s="74">
        <v>30</v>
      </c>
      <c r="S11" s="74">
        <v>24</v>
      </c>
      <c r="T11" s="74">
        <v>26</v>
      </c>
      <c r="U11" s="74">
        <v>27</v>
      </c>
      <c r="V11" s="74">
        <v>28</v>
      </c>
      <c r="W11" s="74">
        <v>24</v>
      </c>
      <c r="X11" s="74">
        <v>16</v>
      </c>
      <c r="Y11" s="74">
        <v>24</v>
      </c>
      <c r="Z11" s="74">
        <v>25</v>
      </c>
      <c r="AA11" s="74">
        <v>29</v>
      </c>
      <c r="AB11" s="74">
        <v>20</v>
      </c>
      <c r="AC11" s="74">
        <v>26</v>
      </c>
      <c r="AD11" s="74">
        <v>26</v>
      </c>
      <c r="AE11" s="74">
        <v>28</v>
      </c>
    </row>
    <row r="12" spans="1:99" ht="9.9" customHeight="1" ph="1"/>
    <row r="13" spans="1:99" s="72" customFormat="1" ht="29.25" customHeight="1" ph="1">
      <c r="B13" s="189" t="s" ph="1">
        <v>37</v>
      </c>
      <c r="C13" s="159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0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639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1" ph="1">
        <v>0.33333333333333331</v>
      </c>
      <c r="C15" s="159" t="s" ph="1">
        <v>177</v>
      </c>
      <c r="D15" s="78">
        <v>5744</v>
      </c>
      <c r="E15" s="78">
        <v>2134</v>
      </c>
      <c r="F15" s="78">
        <v>4146</v>
      </c>
      <c r="G15" s="78">
        <v>4991</v>
      </c>
      <c r="H15" s="78">
        <v>2000</v>
      </c>
      <c r="I15" s="78">
        <v>5071</v>
      </c>
      <c r="J15" s="78">
        <v>0</v>
      </c>
      <c r="K15" s="78">
        <v>5006</v>
      </c>
      <c r="L15" s="78">
        <v>3194</v>
      </c>
      <c r="M15" s="78">
        <v>5161</v>
      </c>
      <c r="N15" s="78">
        <v>1321</v>
      </c>
      <c r="O15" s="78">
        <v>4559</v>
      </c>
      <c r="P15" s="78">
        <v>2328</v>
      </c>
      <c r="Q15" s="78">
        <v>978</v>
      </c>
      <c r="R15" s="78">
        <v>7392</v>
      </c>
      <c r="S15" s="78">
        <v>6460</v>
      </c>
      <c r="T15" s="78">
        <v>4131</v>
      </c>
      <c r="U15" s="78">
        <v>1717</v>
      </c>
      <c r="V15" s="78">
        <v>1662</v>
      </c>
      <c r="W15" s="71">
        <v>-173</v>
      </c>
      <c r="X15" s="78">
        <v>-145</v>
      </c>
      <c r="Y15" s="106">
        <v>-9906</v>
      </c>
      <c r="Z15" s="78">
        <v>0</v>
      </c>
      <c r="AA15" s="78">
        <v>6911</v>
      </c>
      <c r="AB15" s="78" ph="1">
        <v>1070</v>
      </c>
      <c r="AC15" s="78" ph="1">
        <v>0</v>
      </c>
      <c r="AD15" s="78">
        <v>5.68</v>
      </c>
      <c r="AE15" s="78">
        <v>51.76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2" ph="1"/>
      <c r="C16" s="159" t="s" ph="1">
        <v>178</v>
      </c>
      <c r="D16" s="73" ph="1">
        <f>D15*7.0686*LOOKUP(D17,密度!$A$2:$A$50,密度!$L$2:$L$50)</f>
        <v>38125.314057599993</v>
      </c>
      <c r="E16" s="73" ph="1">
        <f>E15*7.0686*LOOKUP(E17,密度!$A$2:$A$50,密度!$L$2:$L$50)</f>
        <v>14194.4132484</v>
      </c>
      <c r="F16" s="73" ph="1">
        <f>F15*9.0746*LOOKUP(F17,密度!$A$2:$A$50,密度!$L$2:$L$50)</f>
        <v>35177.777646000002</v>
      </c>
      <c r="G16" s="73" ph="1">
        <f>G15*9.0746*LOOKUP(G17,密度!$A$2:$A$50,密度!$B$2:$B$50)</f>
        <v>35309.119776560001</v>
      </c>
      <c r="H16" s="73" ph="1">
        <f>H15*9.0746*LOOKUP(H17,密度!$A$2:$A$50,密度!$L$2:$L$50)</f>
        <v>17096.546399999999</v>
      </c>
      <c r="I16" s="73" ph="1">
        <f>I15*9.0746*LOOKUP(I17,密度!$A$2:$A$50,密度!$U$2:$U$50)</f>
        <v>47305.780904800005</v>
      </c>
      <c r="J16" s="73" ph="1">
        <f>J15*9.0746*LOOKUP(J17,密度!$A$2:$A$50,密度!$L$2:$L$50)</f>
        <v>0</v>
      </c>
      <c r="K16" s="73" ph="1">
        <f>K15*9.0746*LOOKUP(K17,密度!$A$2:$A$50,密度!$C$2:$C$50)</f>
        <v>50474.43702836</v>
      </c>
      <c r="L16" s="73" ph="1">
        <f>L15*9.0746*LOOKUP(L17,密度!$A$2:$A$50,密度!$E$2:$E$50)</f>
        <v>22804.825524320004</v>
      </c>
      <c r="M16" s="73" ph="1">
        <f>M15*9.0746*LOOKUP(M17,密度!$A$2:$A$50,密度!$M$2:$M$50)</f>
        <v>41073.427296200003</v>
      </c>
      <c r="N16" s="73" ph="1">
        <f>N15*9.0746*LOOKUP(N17,密度!$A$2:$A$50,密度!$M$2:$M$50)</f>
        <v>10538.25221606</v>
      </c>
      <c r="O16" s="73" ph="1">
        <f>O15*9.0746*LOOKUP(O17,密度!$A$2:$A$50,密度!$G$2:$G$50)</f>
        <v>39724.531564280005</v>
      </c>
      <c r="P16" s="73" ph="1">
        <f ca="1">P15*9.0746*LOOKUP(P17,密度!$A$2:$A$51,密度!$Q$2:$Q$50)</f>
        <v>20031.359156160001</v>
      </c>
      <c r="Q16" s="73" ph="1">
        <f>Q15*9.0746*LOOKUP(Q17,密度!$A$2:$A$50,密度!$Q$2:$Q$50)</f>
        <v>8428.4596227720012</v>
      </c>
      <c r="R16" s="73" ph="1">
        <f>MAX(R15*9.0746*LOOKUP(R17,密度!$A$2:$A$50,密度!$B$2:$B$50),0)</f>
        <v>52295.133918720006</v>
      </c>
      <c r="S16" s="73" ph="1">
        <f>S15*9.0746*LOOKUP(S17,密度!$A$2:$A$50,密度!$Q$2:$Q$50)</f>
        <v>55585.300751200004</v>
      </c>
      <c r="T16" s="73" ph="1">
        <f>T15*9.0746*LOOKUP(T17,密度!$A$2:$A$50,密度!$O$2:$O$50)</f>
        <v>34863.070518</v>
      </c>
      <c r="U16" s="73" ph="1">
        <f>U15*9.0746*LOOKUP(U17,密度!$A$2:$A$50,密度!$H$2:$H$50)</f>
        <v>14329.926817539999</v>
      </c>
      <c r="V16" s="73" ph="1">
        <f>MAX(5600*LOOKUP(V17,密度!$A$2:$A$50,密度!$Q$2:$Q$50)+V15*9.0476*LOOKUP(V17,密度!$A$2:$A$50,密度!$Q$2:$Q$50),0)</f>
        <v>19508.673959584001</v>
      </c>
      <c r="W16" s="73" ph="1">
        <f>MAX(5600*LOOKUP(W17,密度!$A$2:$A$50,密度!$Q$2:$Q$50)+W15*9.0476*LOOKUP(W17,密度!$A$2:$A$50,密度!$Q$2:$Q$50),0)</f>
        <v>3822.818984044</v>
      </c>
      <c r="X16" s="73" ph="1">
        <f>MAX(5600*LOOKUP(X17,密度!$A$2:$A$50,密度!$I$2:$I$50)+X15*9.0476*LOOKUP(X17,密度!$A$2:$A$50,密度!$I$2:$I$50),0)</f>
        <v>4479.3471708000006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49061.600757380002</v>
      </c>
      <c r="AB16" s="73" ph="1">
        <f>AB15*9.0746*LOOKUP(AB17,密度!$A$2:$A$50,密度!$L$2:$L$50)</f>
        <v>9127.2326799999992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2410.6030310400001</v>
      </c>
      <c r="AE16" s="73" ph="1">
        <f>AE15*268.68*LOOKUP(AE17,密度!$A$2:$A$50,密度!B2:B50)+IF(AE15&lt;=0,0,1566*LOOKUP(AE17,密度!$A$2:$A$50,密度!B2:B50))</f>
        <v>12062.65475328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3" ph="1"/>
      <c r="C17" s="79" t="s" ph="1">
        <v>179</v>
      </c>
      <c r="D17" s="74">
        <v>23</v>
      </c>
      <c r="E17" s="74">
        <v>21</v>
      </c>
      <c r="F17" s="74">
        <v>27</v>
      </c>
      <c r="G17" s="74">
        <v>25</v>
      </c>
      <c r="H17" s="74">
        <v>20</v>
      </c>
      <c r="I17" s="74">
        <v>21</v>
      </c>
      <c r="J17" s="74">
        <v>22</v>
      </c>
      <c r="K17" s="74">
        <v>22</v>
      </c>
      <c r="L17" s="74">
        <v>22</v>
      </c>
      <c r="M17" s="74">
        <v>23</v>
      </c>
      <c r="N17" s="74">
        <v>21</v>
      </c>
      <c r="O17" s="74">
        <v>25</v>
      </c>
      <c r="P17" s="74">
        <v>23</v>
      </c>
      <c r="Q17" s="74">
        <v>21</v>
      </c>
      <c r="R17" s="74">
        <v>25</v>
      </c>
      <c r="S17" s="74">
        <v>23</v>
      </c>
      <c r="T17" s="74">
        <v>22</v>
      </c>
      <c r="U17" s="74">
        <v>20</v>
      </c>
      <c r="V17" s="74">
        <v>27</v>
      </c>
      <c r="W17" s="74">
        <v>24</v>
      </c>
      <c r="X17" s="74">
        <v>23</v>
      </c>
      <c r="Y17" s="108">
        <v>23</v>
      </c>
      <c r="Z17" s="74">
        <v>22</v>
      </c>
      <c r="AA17" s="74">
        <v>22</v>
      </c>
      <c r="AB17" s="74">
        <v>22</v>
      </c>
      <c r="AC17" s="74">
        <v>20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1" ph="1">
        <v>0.66666666666666663</v>
      </c>
      <c r="C18" s="79" t="s" ph="1">
        <v>180</v>
      </c>
      <c r="D18" s="71">
        <v>4075</v>
      </c>
      <c r="E18" s="71">
        <v>5653</v>
      </c>
      <c r="F18" s="71">
        <v>4306</v>
      </c>
      <c r="G18" s="71">
        <v>1983</v>
      </c>
      <c r="H18" s="71">
        <v>0</v>
      </c>
      <c r="I18" s="71">
        <v>5076</v>
      </c>
      <c r="J18" s="71">
        <v>346</v>
      </c>
      <c r="K18" s="71">
        <v>5009</v>
      </c>
      <c r="L18" s="71">
        <v>3203</v>
      </c>
      <c r="M18" s="71">
        <v>3197</v>
      </c>
      <c r="N18" s="71">
        <v>330</v>
      </c>
      <c r="O18" s="71">
        <v>4742</v>
      </c>
      <c r="P18" s="71">
        <v>2329</v>
      </c>
      <c r="Q18" s="71">
        <v>974</v>
      </c>
      <c r="R18" s="71">
        <v>7401</v>
      </c>
      <c r="S18" s="71">
        <v>6469</v>
      </c>
      <c r="T18" s="71">
        <v>3837</v>
      </c>
      <c r="U18" s="71">
        <v>1717</v>
      </c>
      <c r="V18" s="71">
        <v>1662</v>
      </c>
      <c r="W18" s="71">
        <v>-174</v>
      </c>
      <c r="X18" s="71">
        <v>-146</v>
      </c>
      <c r="Y18" s="109">
        <v>-9907</v>
      </c>
      <c r="Z18" s="71">
        <v>0</v>
      </c>
      <c r="AA18" s="71">
        <v>6920</v>
      </c>
      <c r="AB18" s="71">
        <v>1069</v>
      </c>
      <c r="AC18" s="71">
        <v>0</v>
      </c>
      <c r="AD18" s="71">
        <v>23.55</v>
      </c>
      <c r="AE18" s="71">
        <v>84.62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2" ph="1"/>
      <c r="C19" s="159" t="s" ph="1">
        <v>178</v>
      </c>
      <c r="D19" s="73" ph="1">
        <f>D18*7.0686*LOOKUP(D20,密度!$A$2:$A$50,密度!$L$2:$L$50)</f>
        <v>26989.858665</v>
      </c>
      <c r="E19" s="73" ph="1">
        <f>E18*7.0686*LOOKUP(E20,密度!$A$2:$A$50,密度!$L$2:$L$50)</f>
        <v>37241.597685600005</v>
      </c>
      <c r="F19" s="73" ph="1">
        <f>F18*9.0746*LOOKUP(F20,密度!$A$2:$A$50,密度!$L$2:$L$50)</f>
        <v>36457.187350799999</v>
      </c>
      <c r="G19" s="73" ph="1">
        <f>G18*9.0746*LOOKUP(G20,密度!$A$2:$A$50,密度!$B$2:$B$50)</f>
        <v>14012.65339266</v>
      </c>
      <c r="H19" s="73" ph="1">
        <f>H18*9.0746*LOOKUP(H20,密度!$A$2:$A$50,密度!$L$2:$L$50)</f>
        <v>0</v>
      </c>
      <c r="I19" s="73" ph="1">
        <f>I18*9.0746*LOOKUP(I20,密度!$A$2:$A$50,密度!$U$2:$U$50)</f>
        <v>47029.985661599996</v>
      </c>
      <c r="J19" s="73" ph="1">
        <f>J18*9.0746*LOOKUP(J20,密度!$A$2:$A$50,密度!$L$2:$L$50)</f>
        <v>2932.5840344000003</v>
      </c>
      <c r="K19" s="73" ph="1">
        <f>K18*9.0746*LOOKUP(K20,密度!$A$2:$A$50,密度!$C$2:$C$50)</f>
        <v>50368.321378340006</v>
      </c>
      <c r="L19" s="73" ph="1">
        <f>L18*9.0746*LOOKUP(L20,密度!$A$2:$A$50,密度!$E$2:$E$50)</f>
        <v>22764.447184160003</v>
      </c>
      <c r="M19" s="73" ph="1">
        <f>M18*9.0746*LOOKUP(M20,密度!$A$2:$A$50,密度!$M$2:$M$50)</f>
        <v>25329.937332220001</v>
      </c>
      <c r="N19" s="73" ph="1">
        <f>N18*9.0746*LOOKUP(N20,密度!$A$2:$A$50,密度!$M$2:$M$50)</f>
        <v>2611.3068960000001</v>
      </c>
      <c r="O19" s="73" ph="1">
        <f>O18*9.0746*LOOKUP(O20,密度!$A$2:$A$50,密度!$G$2:$G$50)</f>
        <v>41224.419565600001</v>
      </c>
      <c r="P19" s="73" ph="1">
        <f ca="1">P18*9.0746*LOOKUP(P20,密度!$A$2:$A$51,密度!$Q$2:$Q$50)</f>
        <v>20009.106966515999</v>
      </c>
      <c r="Q19" s="73" ph="1">
        <f>Q18*9.0746*LOOKUP(Q20,密度!$A$2:$A$50,密度!$Q$2:$Q$50)</f>
        <v>8325.1342307600007</v>
      </c>
      <c r="R19" s="73" ph="1">
        <f>MAX(R18*9.0746*LOOKUP(R20,密度!$A$2:$A$50,密度!$B$2:$B$50),0)</f>
        <v>52298.359939019996</v>
      </c>
      <c r="S19" s="73" ph="1">
        <f>S18*9.0746*LOOKUP(S20,密度!$A$2:$A$50,密度!$Q$2:$Q$50)</f>
        <v>55577.034335076009</v>
      </c>
      <c r="T19" s="73" ph="1">
        <f>T18*9.0746*LOOKUP(T20,密度!$A$2:$A$50,密度!$O$2:$O$50)</f>
        <v>32242.616425200002</v>
      </c>
      <c r="U19" s="73" ph="1">
        <f>U18*9.0746*LOOKUP(U20,密度!$A$2:$A$50,密度!$H$2:$H$50)</f>
        <v>14252.02137654</v>
      </c>
      <c r="V19" s="73" ph="1">
        <f>MAX(5600*LOOKUP(V20,密度!$A$2:$A$50,密度!$Q$2:$Q$50)+V18*9.0476*LOOKUP(V20,密度!$A$2:$A$50,密度!$Q$2:$Q$50),0)</f>
        <v>19494.227981743999</v>
      </c>
      <c r="W19" s="73" ph="1">
        <f>MAX(5600*LOOKUP(W20,密度!$A$2:$A$50,密度!$Q$2:$Q$50)+W18*9.0476*LOOKUP(W20,密度!$A$2:$A$50,密度!$Q$2:$Q$50),0)</f>
        <v>3794.5608954079999</v>
      </c>
      <c r="X19" s="73" ph="1">
        <f>MAX(5600*LOOKUP(X20,密度!$A$2:$A$50,密度!$I$2:$I$50)+X18*9.0476*LOOKUP(X20,密度!$A$2:$A$50,密度!$I$2:$I$50),0)</f>
        <v>4450.6403210400003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49012.459075999999</v>
      </c>
      <c r="AB19" s="73" ph="1">
        <f>AB18*9.0746*LOOKUP(AB20,密度!$A$2:$A$50,密度!$L$2:$L$50)</f>
        <v>9041.0965768000005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6133.182678000001</v>
      </c>
      <c r="AE19" s="73" ph="1">
        <f>AE18*268.68*LOOKUP(AE20,密度!$A$2:$A$50,密度!B5:B53)+IF(AE18&lt;=0,0,1566*LOOKUP(AE20,密度!$A$2:$A$50,密度!B5:B53))</f>
        <v>18882.422143200001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2" ph="1"/>
      <c r="C20" s="80" t="s" ph="1">
        <v>179</v>
      </c>
      <c r="D20" s="81">
        <v>25</v>
      </c>
      <c r="E20" s="81">
        <v>30</v>
      </c>
      <c r="F20" s="81">
        <v>29</v>
      </c>
      <c r="G20" s="81">
        <v>26</v>
      </c>
      <c r="H20" s="81">
        <v>25</v>
      </c>
      <c r="I20" s="81">
        <v>29</v>
      </c>
      <c r="J20" s="81">
        <v>28</v>
      </c>
      <c r="K20" s="81">
        <v>26</v>
      </c>
      <c r="L20" s="81">
        <v>25</v>
      </c>
      <c r="M20" s="81">
        <v>27</v>
      </c>
      <c r="N20" s="81">
        <v>28</v>
      </c>
      <c r="O20" s="81">
        <v>27</v>
      </c>
      <c r="P20" s="81">
        <v>25</v>
      </c>
      <c r="Q20" s="81">
        <v>32</v>
      </c>
      <c r="R20" s="81">
        <v>26</v>
      </c>
      <c r="S20" s="81">
        <v>25</v>
      </c>
      <c r="T20" s="81">
        <v>27</v>
      </c>
      <c r="U20" s="81">
        <v>25</v>
      </c>
      <c r="V20" s="81">
        <v>28</v>
      </c>
      <c r="W20" s="81">
        <v>31</v>
      </c>
      <c r="X20" s="81">
        <v>27</v>
      </c>
      <c r="Y20" s="110">
        <v>27</v>
      </c>
      <c r="Z20" s="81">
        <v>29</v>
      </c>
      <c r="AA20" s="81">
        <v>24</v>
      </c>
      <c r="AB20" s="81">
        <v>30</v>
      </c>
      <c r="AC20" s="81">
        <v>26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0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69" t="s" ph="1">
        <v>69</v>
      </c>
      <c r="AA22" s="170"/>
      <c r="AB22" s="170"/>
      <c r="AC22" s="170"/>
      <c r="AD22" s="170"/>
      <c r="AE22" s="17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5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72" t="s" ph="1">
        <v>642</v>
      </c>
      <c r="AA23" s="173"/>
      <c r="AB23" s="173"/>
      <c r="AC23" s="173"/>
      <c r="AD23" s="173"/>
      <c r="AE23" s="17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1" ph="1">
        <v>0.33333333333333331</v>
      </c>
      <c r="C24" s="159" t="s" ph="1">
        <v>177</v>
      </c>
      <c r="D24" s="71">
        <v>60.19</v>
      </c>
      <c r="E24" s="71">
        <v>5.43</v>
      </c>
      <c r="F24" s="71">
        <v>915</v>
      </c>
      <c r="G24" s="71">
        <v>3367</v>
      </c>
      <c r="H24" s="71">
        <v>2968</v>
      </c>
      <c r="I24" s="71">
        <v>405</v>
      </c>
      <c r="J24" s="71">
        <v>828</v>
      </c>
      <c r="K24" s="71">
        <v>1558</v>
      </c>
      <c r="L24" s="71">
        <v>469</v>
      </c>
      <c r="M24" s="71">
        <v>4840</v>
      </c>
      <c r="N24" s="71">
        <v>4824</v>
      </c>
      <c r="O24" s="71">
        <v>5418</v>
      </c>
      <c r="P24" s="71">
        <v>1040</v>
      </c>
      <c r="Q24" s="90">
        <v>1088</v>
      </c>
      <c r="R24" s="71">
        <v>5781</v>
      </c>
      <c r="S24" s="71">
        <v>2444</v>
      </c>
      <c r="T24" s="71">
        <v>1278</v>
      </c>
      <c r="U24" s="71">
        <v>5986</v>
      </c>
      <c r="V24" s="71">
        <v>600</v>
      </c>
      <c r="W24" s="71">
        <v>9807</v>
      </c>
      <c r="X24" s="71">
        <v>4814</v>
      </c>
      <c r="Y24" s="71">
        <v>3921</v>
      </c>
      <c r="Z24" s="175"/>
      <c r="AA24" s="176"/>
      <c r="AB24" s="176"/>
      <c r="AC24" s="176"/>
      <c r="AD24" s="176"/>
      <c r="AE24" s="17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1" ph="1"/>
      <c r="C25" s="68" t="s" ph="1">
        <v>178</v>
      </c>
      <c r="D25" s="91" ph="1">
        <f>D24*268.68*LOOKUP(D26,密度!$A$2:$A$50,密度!$Q$2:$Q$50)+IF(D24&lt;=0,0,1566*LOOKUP(D26,密度!$A$2:$A$50,密度!$Q$2:$Q$50))</f>
        <v>16793.131351608001</v>
      </c>
      <c r="E25" s="91" ph="1">
        <f>E24*268.68*LOOKUP(E26,密度!$A$2:$A$50,密度!$C$2:$C$50)+IF(E24&lt;=0,0,1566*LOOKUP(E26,密度!$A$2:$A$50,密度!$C$2:$C$50))</f>
        <v>3354.3475383599998</v>
      </c>
      <c r="F25" s="91" ph="1">
        <f>F24*11.702*LOOKUP(F26,密度!$A$2:$A$50,密度!$Q$2:$Q$50)</f>
        <v>10162.2198297</v>
      </c>
      <c r="G25" s="91" ph="1">
        <f>G24*18.322*LOOKUP(G26,密度!$A$2:$A$50,密度!$B$2:$B$50)</f>
        <v>48149.180806999997</v>
      </c>
      <c r="H25" s="91" ph="1">
        <f>H24*18.322*LOOKUP(H26,密度!$A$2:$A$50,密度!$B$2:$B$50)</f>
        <v>42443.352727999998</v>
      </c>
      <c r="I25" s="91" ph="1">
        <f>I24*18.322*LOOKUP(I26,密度!$A$2:$A$50,密度!$Q$2:$Q$50)</f>
        <v>7036.0327619999998</v>
      </c>
      <c r="J25" s="91" ph="1">
        <f>J24*18.322*LOOKUP(J26,密度!$A$2:$A$50,密度!$Q$2:$Q$50)</f>
        <v>14384.7780912</v>
      </c>
      <c r="K25" s="91" ph="1">
        <f>K24*18.322*LOOKUP(K26,密度!$A$2:$A$50,密度!$Q$2:$Q$50)</f>
        <v>27092.415634839999</v>
      </c>
      <c r="L25" s="91" ph="1">
        <f>L24*18.322*LOOKUP(L26,密度!$A$2:$A$50,密度!$Q$2:$Q$50)</f>
        <v>8155.5474536199999</v>
      </c>
      <c r="M25" s="91" ph="1">
        <f>M24*18.322*LOOKUP(M26,密度!$A$2:$A$50,密度!$Q$2:$Q$50)</f>
        <v>84084.934735999996</v>
      </c>
      <c r="N25" s="91" ph="1">
        <f>N24*18.322*LOOKUP(N26,密度!$A$2:$A$50,密度!$Q$2:$Q$50)</f>
        <v>83885.630951519997</v>
      </c>
      <c r="O25" s="91" ph="1">
        <f>O24*18.322*LOOKUP(O26,密度!$A$2:$A$50,密度!$C$2:$C$50)</f>
        <v>110227.84899839999</v>
      </c>
      <c r="P25" s="91" ph="1">
        <f>P24*11.702*LOOKUP(P26,密度!$A$2:$A$50,密度!$B$2:$B$50)</f>
        <v>9509.7005119999994</v>
      </c>
      <c r="Q25" s="92" ph="1">
        <f>Q24*18.322*LOOKUP(Q26,密度!$A$2:$A$50,密度!$B$2:$B$50)</f>
        <v>15540.808345599999</v>
      </c>
      <c r="R25" s="91" ph="1">
        <f>R24*35.891*LOOKUP(R26,密度!$A$2:$A$50,密度!$C$2:$C$50)</f>
        <v>230081.08235189997</v>
      </c>
      <c r="S25" s="91" ph="1">
        <f>S24*35.891*LOOKUP(S26,密度!$A$2:$A$50,密度!$B$2:$B$50)</f>
        <v>68384.644078399986</v>
      </c>
      <c r="T25" s="91" ph="1">
        <f>T24*35.891*LOOKUP(T26,密度!$A$2:$A$50,密度!$Q$2:$Q$50)</f>
        <v>43492.699443600002</v>
      </c>
      <c r="U25" s="91" ph="1">
        <f>U24*35.891</f>
        <v>214843.52599999998</v>
      </c>
      <c r="V25" s="91" ph="1">
        <f>V24*47.051*LOOKUP(V26,密度!$A$2:$A$50,密度!$B$2:$B$50)</f>
        <v>22110.20592</v>
      </c>
      <c r="W25" s="91" ph="1">
        <f>W24*47.051*LOOKUP(W26,密度!$A$2:$A$50,密度!$B$2:$B$50)</f>
        <v>359730.1707972</v>
      </c>
      <c r="X25" s="91" ph="1">
        <f>X24*47.051*LOOKUP(X26,密度!$A$2:$A$61,密度!$I$2:$I$61)</f>
        <v>235586.30491139999</v>
      </c>
      <c r="Y25" s="91" ph="1">
        <f>Y24*47.051*LOOKUP(Y26,密度!$A$2:$A$50,密度!$L$2:$L$50)</f>
        <v>172864.29182700004</v>
      </c>
      <c r="Z25" s="175"/>
      <c r="AA25" s="176"/>
      <c r="AB25" s="176"/>
      <c r="AC25" s="176"/>
      <c r="AD25" s="176"/>
      <c r="AE25" s="17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1" ph="1"/>
      <c r="C26" s="68" t="s" ph="1">
        <v>179</v>
      </c>
      <c r="D26" s="74">
        <v>25</v>
      </c>
      <c r="E26" s="74">
        <v>25</v>
      </c>
      <c r="F26" s="74">
        <v>22</v>
      </c>
      <c r="G26" s="74">
        <v>24</v>
      </c>
      <c r="H26" s="74">
        <v>24</v>
      </c>
      <c r="I26" s="74">
        <v>23</v>
      </c>
      <c r="J26" s="74">
        <v>23</v>
      </c>
      <c r="K26" s="74">
        <v>22</v>
      </c>
      <c r="L26" s="74">
        <v>22</v>
      </c>
      <c r="M26" s="74">
        <v>23</v>
      </c>
      <c r="N26" s="74">
        <v>22</v>
      </c>
      <c r="O26" s="74">
        <v>23</v>
      </c>
      <c r="P26" s="74">
        <v>23</v>
      </c>
      <c r="Q26" s="93">
        <v>25</v>
      </c>
      <c r="R26" s="74">
        <v>25</v>
      </c>
      <c r="S26" s="74">
        <v>25</v>
      </c>
      <c r="T26" s="74">
        <v>23</v>
      </c>
      <c r="U26" s="74">
        <v>25</v>
      </c>
      <c r="V26" s="74">
        <v>21</v>
      </c>
      <c r="W26" s="74">
        <v>25</v>
      </c>
      <c r="X26" s="74">
        <v>27</v>
      </c>
      <c r="Y26" s="74">
        <v>25</v>
      </c>
      <c r="Z26" s="175"/>
      <c r="AA26" s="176"/>
      <c r="AB26" s="176"/>
      <c r="AC26" s="176"/>
      <c r="AD26" s="176"/>
      <c r="AE26" s="17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1" ph="1">
        <v>0.66666666666666663</v>
      </c>
      <c r="C27" s="159" t="s" ph="1">
        <v>180</v>
      </c>
      <c r="D27" s="71">
        <v>60.3</v>
      </c>
      <c r="E27" s="71">
        <v>42.03</v>
      </c>
      <c r="F27" s="71">
        <v>914</v>
      </c>
      <c r="G27" s="71">
        <v>2635</v>
      </c>
      <c r="H27" s="71">
        <v>2492</v>
      </c>
      <c r="I27" s="71">
        <v>402</v>
      </c>
      <c r="J27" s="71">
        <v>825</v>
      </c>
      <c r="K27" s="71">
        <v>1556</v>
      </c>
      <c r="L27" s="71">
        <v>464</v>
      </c>
      <c r="M27" s="71">
        <v>4839</v>
      </c>
      <c r="N27" s="71">
        <v>4823</v>
      </c>
      <c r="O27" s="71">
        <v>5415</v>
      </c>
      <c r="P27" s="71">
        <v>1039</v>
      </c>
      <c r="Q27" s="90">
        <v>1318</v>
      </c>
      <c r="R27" s="71">
        <v>5301</v>
      </c>
      <c r="S27" s="71">
        <v>2441</v>
      </c>
      <c r="T27" s="71">
        <v>1276</v>
      </c>
      <c r="U27" s="71">
        <v>5985</v>
      </c>
      <c r="V27" s="71">
        <v>595</v>
      </c>
      <c r="W27" s="71">
        <v>9808</v>
      </c>
      <c r="X27" s="71">
        <v>4688</v>
      </c>
      <c r="Y27" s="71">
        <v>4635</v>
      </c>
      <c r="Z27" s="175"/>
      <c r="AA27" s="176"/>
      <c r="AB27" s="176"/>
      <c r="AC27" s="176"/>
      <c r="AD27" s="176"/>
      <c r="AE27" s="17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1" ph="1"/>
      <c r="C28" s="159" t="s" ph="1">
        <v>178</v>
      </c>
      <c r="D28" s="91" ph="1">
        <f>D27*268.68*LOOKUP(D29,密度!$A$2:$A$50,密度!$Q$2:$Q$50)+IF(D27&lt;=0,0,1566*LOOKUP(D29,密度!$A$2:$A$50,密度!$Q$2:$Q$50))</f>
        <v>16821.112062960001</v>
      </c>
      <c r="E28" s="91" ph="1">
        <f>E27*268.68*LOOKUP(E29,密度!$A$2:$A$50,密度!$C$2:$C$50)+IF(E27&lt;=0,0,1566*LOOKUP(E29,密度!$A$2:$A$50,密度!$C$2:$C$50))</f>
        <v>14258.924161559999</v>
      </c>
      <c r="F28" s="91" ph="1">
        <f>F27*11.702*LOOKUP(F29,密度!$A$2:$A$50,密度!$Q$2:$Q$50)</f>
        <v>10141.594469600001</v>
      </c>
      <c r="G28" s="91" ph="1">
        <f>G27*18.322*LOOKUP(G29,密度!$A$2:$A$50,密度!$B$2:$B$50)</f>
        <v>37637.895211999996</v>
      </c>
      <c r="H28" s="91" ph="1">
        <f>H27*18.322*LOOKUP(H29,密度!$A$2:$A$50,密度!$B$2:$B$50)</f>
        <v>35636.399932</v>
      </c>
      <c r="I28" s="91" ph="1">
        <f>I27*18.322*LOOKUP(I29,密度!$A$2:$A$50,密度!$Q$2:$Q$50)</f>
        <v>6983.9140007999995</v>
      </c>
      <c r="J28" s="91" ph="1">
        <f>J27*18.322*LOOKUP(J29,密度!$A$2:$A$50,密度!$Q$2:$Q$50)</f>
        <v>14310.590480999999</v>
      </c>
      <c r="K28" s="91" ph="1">
        <f>K27*18.322*LOOKUP(K29,密度!$A$2:$A$50,密度!$Q$2:$Q$50)</f>
        <v>27011.452549040001</v>
      </c>
      <c r="L28" s="91" ph="1">
        <f>L27*18.322*LOOKUP(L29,密度!$A$2:$A$50,密度!$Q$2:$Q$50)</f>
        <v>8054.8290377599997</v>
      </c>
      <c r="M28" s="91" ph="1">
        <f>M27*18.322*LOOKUP(M29,密度!$A$2:$A$50,密度!$Q$2:$Q$50)</f>
        <v>83875.169272739993</v>
      </c>
      <c r="N28" s="91" ph="1">
        <f>N27*18.322*LOOKUP(N29,密度!$A$2:$A$50,密度!$Q$2:$Q$50)</f>
        <v>83789.595089199996</v>
      </c>
      <c r="O28" s="91" ph="1">
        <f>O27*18.322*LOOKUP(O29,密度!$A$2:$A$50,密度!$C$2:$C$50)</f>
        <v>110087.44384799998</v>
      </c>
      <c r="P28" s="91" ph="1">
        <f>P27*11.702*LOOKUP(P29,密度!$A$2:$A$50,密度!$B$2:$B$50)</f>
        <v>9489.6140290000003</v>
      </c>
      <c r="Q28" s="92" ph="1">
        <f>Q27*18.322*LOOKUP(Q29,密度!$A$2:$A$50,密度!$B$2:$B$50)</f>
        <v>18826.089521599999</v>
      </c>
      <c r="R28" s="91" ph="1">
        <f>R27*35.891*LOOKUP(R29,密度!$A$2:$A$50,密度!$C$2:$C$50)</f>
        <v>210977.30799989999</v>
      </c>
      <c r="S28" s="91" ph="1">
        <f>S27*35.891*LOOKUP(S29,密度!$A$2:$A$50,密度!$B$2:$B$50)</f>
        <v>68379.551145499994</v>
      </c>
      <c r="T28" s="91" ph="1">
        <f>T27*35.891*LOOKUP(T29,密度!$A$2:$A$50,密度!$Q$2:$Q$50)</f>
        <v>43424.635751200003</v>
      </c>
      <c r="U28" s="91" ph="1">
        <f>U27*35.891</f>
        <v>214807.63499999998</v>
      </c>
      <c r="V28" s="91" ph="1">
        <f>V27*47.051*LOOKUP(V29,密度!$A$2:$A$50,密度!$B$2:$B$50)</f>
        <v>21875.562582999999</v>
      </c>
      <c r="W28" s="91" ph="1">
        <f>W27*47.051*LOOKUP(W29,密度!$A$2:$A$50,密度!$B$2:$B$50)</f>
        <v>360182.18034399999</v>
      </c>
      <c r="X28" s="91" ph="1">
        <f>X27*47.051*LOOKUP(X29,密度!$A$2:$A$61,密度!$I$2:$I$61)</f>
        <v>229177.516432</v>
      </c>
      <c r="Y28" s="91" ph="1">
        <f>Y27*47.051*LOOKUP(Y29,密度!$A$2:$A$50,密度!$L$2:$L$50)</f>
        <v>204342.25774500001</v>
      </c>
      <c r="Z28" s="175"/>
      <c r="AA28" s="176"/>
      <c r="AB28" s="176"/>
      <c r="AC28" s="176"/>
      <c r="AD28" s="176"/>
      <c r="AE28" s="17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1" ph="1"/>
      <c r="C29" s="159" t="s" ph="1">
        <v>179</v>
      </c>
      <c r="D29" s="74">
        <v>25</v>
      </c>
      <c r="E29" s="74">
        <v>25</v>
      </c>
      <c r="F29" s="74">
        <v>23</v>
      </c>
      <c r="G29" s="74">
        <v>25</v>
      </c>
      <c r="H29" s="74">
        <v>24</v>
      </c>
      <c r="I29" s="74">
        <v>23</v>
      </c>
      <c r="J29" s="74">
        <v>25</v>
      </c>
      <c r="K29" s="74">
        <v>24</v>
      </c>
      <c r="L29" s="74">
        <v>24</v>
      </c>
      <c r="M29" s="74">
        <v>26</v>
      </c>
      <c r="N29" s="74">
        <v>23</v>
      </c>
      <c r="O29" s="74">
        <v>24</v>
      </c>
      <c r="P29" s="74">
        <v>24</v>
      </c>
      <c r="Q29" s="93">
        <v>25</v>
      </c>
      <c r="R29" s="74">
        <v>25</v>
      </c>
      <c r="S29" s="74">
        <v>24</v>
      </c>
      <c r="T29" s="74">
        <v>23</v>
      </c>
      <c r="U29" s="74">
        <v>25</v>
      </c>
      <c r="V29" s="74">
        <v>23</v>
      </c>
      <c r="W29" s="74">
        <v>24</v>
      </c>
      <c r="X29" s="74">
        <v>28</v>
      </c>
      <c r="Y29" s="74">
        <v>25</v>
      </c>
      <c r="Z29" s="178"/>
      <c r="AA29" s="179"/>
      <c r="AB29" s="179"/>
      <c r="AC29" s="179"/>
      <c r="AD29" s="179"/>
      <c r="AE29" s="18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4" t="s" ph="1">
        <v>35</v>
      </c>
      <c r="C31" s="195" ph="1"/>
      <c r="D31" s="198" t="s" ph="1">
        <v>9</v>
      </c>
      <c r="E31" s="187" ph="1"/>
      <c r="F31" s="188" ph="1"/>
      <c r="G31" s="198" t="s" ph="1">
        <v>18</v>
      </c>
      <c r="H31" s="187" ph="1"/>
      <c r="I31" s="188" ph="1"/>
      <c r="J31" s="186" t="s" ph="1">
        <v>1</v>
      </c>
      <c r="K31" s="187" ph="1"/>
      <c r="L31" s="188" ph="1"/>
      <c r="M31" s="186" t="s" ph="1">
        <v>7</v>
      </c>
      <c r="N31" s="187" ph="1"/>
      <c r="O31" s="188" ph="1"/>
      <c r="P31" s="186" t="s" ph="1">
        <v>41</v>
      </c>
      <c r="Q31" s="187"/>
      <c r="R31" s="188"/>
      <c r="S31" s="186" t="s" ph="1">
        <v>2</v>
      </c>
      <c r="T31" s="187"/>
      <c r="U31" s="188"/>
      <c r="V31" s="186" t="s" ph="1">
        <v>71</v>
      </c>
      <c r="W31" s="187" ph="1"/>
      <c r="X31" s="188" ph="1"/>
      <c r="Y31" s="186" t="s" ph="1">
        <v>3</v>
      </c>
      <c r="Z31" s="187" ph="1"/>
      <c r="AA31" s="188" ph="1"/>
      <c r="AB31" s="209" t="s">
        <v>42</v>
      </c>
      <c r="AC31" s="210"/>
      <c r="AD31" s="210"/>
      <c r="AE31" s="211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6" ph="1"/>
      <c r="C32" s="197" ph="1"/>
      <c r="D32" s="96" t="s" ph="1">
        <v>4</v>
      </c>
      <c r="E32" s="159" t="s" ph="1">
        <v>5</v>
      </c>
      <c r="F32" s="158" t="s" ph="1">
        <v>43</v>
      </c>
      <c r="G32" s="97" t="s" ph="1">
        <v>4</v>
      </c>
      <c r="H32" s="159" t="s" ph="1">
        <v>5</v>
      </c>
      <c r="I32" s="158" t="s" ph="1">
        <v>43</v>
      </c>
      <c r="J32" s="97" t="s" ph="1">
        <v>4</v>
      </c>
      <c r="K32" s="159" t="s" ph="1">
        <v>5</v>
      </c>
      <c r="L32" s="158" t="s" ph="1">
        <v>43</v>
      </c>
      <c r="M32" s="97" t="s" ph="1">
        <v>4</v>
      </c>
      <c r="N32" s="159" t="s" ph="1">
        <v>5</v>
      </c>
      <c r="O32" s="15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9" t="s" ph="1">
        <v>5</v>
      </c>
      <c r="U32" s="99" t="s" ph="1">
        <v>43</v>
      </c>
      <c r="V32" s="97" t="s" ph="1">
        <v>4</v>
      </c>
      <c r="W32" s="159" t="s" ph="1">
        <v>5</v>
      </c>
      <c r="X32" s="99" t="s" ph="1">
        <v>43</v>
      </c>
      <c r="Y32" s="100" t="s" ph="1">
        <v>4</v>
      </c>
      <c r="Z32" s="159" t="s" ph="1">
        <v>5</v>
      </c>
      <c r="AA32" s="158" t="s" ph="1">
        <v>43</v>
      </c>
      <c r="AB32" s="97" t="s" ph="1">
        <v>85</v>
      </c>
      <c r="AC32" s="159" t="s" ph="1">
        <v>84</v>
      </c>
      <c r="AD32" s="212" t="s" ph="1">
        <v>83</v>
      </c>
      <c r="AE32" s="213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199" t="s" ph="1">
        <v>181</v>
      </c>
      <c r="C33" s="200" ph="1"/>
      <c r="D33" s="203" ph="1">
        <f>AA10+AB10+Z19</f>
        <v>219883.7821599</v>
      </c>
      <c r="E33" s="203" ph="1">
        <f>M10+I10</f>
        <v>16548.101632499995</v>
      </c>
      <c r="F33" s="20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1522252632456786910111213141516171819202123456789101112131415161718192022232424356789101112131415161718192021222345678910111213141516171819202345678910111213149101516171819222123234567891012131415161711181920212224252345678910111213122[[#This Row],[F25]]</f>
        <v>3880</v>
      </c>
      <c r="G33" s="207" ph="1">
        <f>N19</f>
        <v>2611.3068960000001</v>
      </c>
      <c r="H33" s="203" ph="1">
        <f>M19</f>
        <v>25329.937332220001</v>
      </c>
      <c r="I33" s="216" ph="1">
        <v>0</v>
      </c>
      <c r="J33" s="214" ph="1">
        <f>F10+O28</f>
        <v>324784.02884879999</v>
      </c>
      <c r="K33" s="203" ph="1">
        <f>O10+K10+E28+R28</f>
        <v>360735.96358585998</v>
      </c>
      <c r="L33" s="218" ph="1">
        <f>K19</f>
        <v>50368.321378340006</v>
      </c>
      <c r="M33" s="214" ph="1">
        <f>G10+H10+W28+S28+V28+E10+R19+P28+Q28</f>
        <v>1138052.2234931199</v>
      </c>
      <c r="N33" s="203" ph="1">
        <f>L10+P10++G28+H28+AD19+AE19</f>
        <v>155290.2519192</v>
      </c>
      <c r="O33" s="216" ph="1">
        <f>G19</f>
        <v>14012.65339266</v>
      </c>
      <c r="P33" s="214" ph="1">
        <f>L19</f>
        <v>22764.447184160003</v>
      </c>
      <c r="Q33" s="203" ph="1">
        <f>J10+N10</f>
        <v>89832.210658299999</v>
      </c>
      <c r="R33" s="216" ph="1">
        <f>BE23</f>
        <v>890</v>
      </c>
      <c r="S33" s="214" ph="1">
        <f>X28</f>
        <v>229177.516432</v>
      </c>
      <c r="T33" s="203" ph="1">
        <f>X19</f>
        <v>4450.6403210400003</v>
      </c>
      <c r="U33" s="224" ph="1">
        <f>BE21</f>
        <v>730</v>
      </c>
      <c r="V33" s="235" ph="1">
        <f ca="1">P19+Q19+S19+M28+N28+J28+D10+AC10+D19+E19+H19+J19+O19+V19+W19+K28+L28</f>
        <v>957279.93830136396</v>
      </c>
      <c r="W33" s="235" ph="1">
        <f>D28+F28+T28+I28</f>
        <v>77371.256284560004</v>
      </c>
      <c r="X33" s="216" ph="1">
        <f>BE29+BE31</f>
        <v>10200</v>
      </c>
      <c r="Y33" s="237" ph="1">
        <f>+Q10+R10+S10+T10+U10+V10+W10+X10+Y10</f>
        <v>296502.28062839998</v>
      </c>
      <c r="Z33" s="222" ph="1">
        <f>T19+U19+Y28+Z10</f>
        <v>275555.40999174002</v>
      </c>
      <c r="AA33" s="224" ph="1">
        <f>BE19</f>
        <v>1440</v>
      </c>
      <c r="AB33" s="226" ph="1">
        <f>I19</f>
        <v>47029.985661599996</v>
      </c>
      <c r="AC33" s="228" ph="1">
        <f>AD10+AB19</f>
        <v>44252.4316168</v>
      </c>
      <c r="AD33" s="230" ph="1">
        <v>0</v>
      </c>
      <c r="AE33" s="231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1" ph="1"/>
      <c r="C34" s="202" ph="1"/>
      <c r="D34" s="204" ph="1"/>
      <c r="E34" s="204" ph="1"/>
      <c r="F34" s="206" ph="1"/>
      <c r="G34" s="208" ph="1"/>
      <c r="H34" s="204" ph="1"/>
      <c r="I34" s="217" ph="1"/>
      <c r="J34" s="215" ph="1"/>
      <c r="K34" s="204" ph="1"/>
      <c r="L34" s="219" ph="1"/>
      <c r="M34" s="215" ph="1"/>
      <c r="N34" s="204" ph="1"/>
      <c r="O34" s="217" ph="1"/>
      <c r="P34" s="215" ph="1"/>
      <c r="Q34" s="204" ph="1"/>
      <c r="R34" s="217" ph="1"/>
      <c r="S34" s="215" ph="1"/>
      <c r="T34" s="204"/>
      <c r="U34" s="225"/>
      <c r="V34" s="236" ph="1"/>
      <c r="W34" s="236" ph="1"/>
      <c r="X34" s="217" ph="1"/>
      <c r="Y34" s="238" ph="1"/>
      <c r="Z34" s="223" ph="1"/>
      <c r="AA34" s="225" ph="1"/>
      <c r="AB34" s="227"/>
      <c r="AC34" s="229"/>
      <c r="AD34" s="232"/>
      <c r="AE34" s="233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4" t="s" ph="1">
        <v>631</v>
      </c>
      <c r="AD35" s="234"/>
      <c r="AE35" s="234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0" t="s" ph="1">
        <v>183</v>
      </c>
      <c r="J36" s="220" ph="1"/>
      <c r="K36" s="101" ph="1"/>
      <c r="P36" s="101" ph="1"/>
      <c r="R36" s="220" t="s" ph="1">
        <v>184</v>
      </c>
      <c r="S36" s="220" ph="1"/>
      <c r="Y36" s="102" ph="1"/>
      <c r="Z36" s="157" t="s" ph="1">
        <v>185</v>
      </c>
      <c r="AA36" s="157" ph="1"/>
      <c r="AB36" s="221" t="s" ph="1">
        <v>638</v>
      </c>
      <c r="AC36" s="221" ph="1"/>
      <c r="AD36" s="221" ph="1"/>
      <c r="AE36" s="221" ph="1"/>
      <c r="BA36" s="64" ph="1">
        <v>2270</v>
      </c>
    </row>
    <row r="37" spans="1:57" s="157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7" t="s" ph="1">
        <v>342</v>
      </c>
      <c r="AI37" s="157" t="s" ph="1">
        <v>209</v>
      </c>
      <c r="AJ37" s="157" t="s" ph="1">
        <v>210</v>
      </c>
      <c r="AK37" s="157" t="s" ph="1">
        <v>211</v>
      </c>
      <c r="AM37" s="157" t="s" ph="1">
        <v>210</v>
      </c>
      <c r="AN37" s="157" t="s" ph="1">
        <v>211</v>
      </c>
      <c r="AO37" s="157" t="s" ph="1">
        <v>212</v>
      </c>
      <c r="AP37" s="157" t="s" ph="1">
        <v>210</v>
      </c>
      <c r="AQ37" s="157" t="s" ph="1">
        <v>211</v>
      </c>
      <c r="AR37" s="157" t="s" ph="1">
        <v>212</v>
      </c>
      <c r="AS37" s="157" t="s" ph="1">
        <v>210</v>
      </c>
      <c r="AT37" s="157" t="s" ph="1">
        <v>211</v>
      </c>
      <c r="AU37" s="157" t="s" ph="1">
        <v>212</v>
      </c>
      <c r="AV37" s="157" t="s" ph="1">
        <v>210</v>
      </c>
      <c r="AW37" s="157" t="s" ph="1">
        <v>211</v>
      </c>
      <c r="AX37" s="157" t="s" ph="1">
        <v>212</v>
      </c>
      <c r="AY37" s="157" t="s" ph="1">
        <v>211</v>
      </c>
      <c r="AZ37" s="157" t="s" ph="1">
        <v>213</v>
      </c>
      <c r="BD37" s="157" t="s" ph="1">
        <v>305</v>
      </c>
      <c r="BE37" s="157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519" priority="100">
      <formula>ABS(D$7-D$10)&gt;=1000</formula>
    </cfRule>
  </conditionalFormatting>
  <conditionalFormatting sqref="E4 E6:E11">
    <cfRule type="expression" dxfId="518" priority="99">
      <formula>ABS(E$7-E$10)&gt;=1000</formula>
    </cfRule>
  </conditionalFormatting>
  <conditionalFormatting sqref="F4:F11">
    <cfRule type="expression" dxfId="517" priority="98">
      <formula>ABS(F$7-F$10)&gt;=1000</formula>
    </cfRule>
  </conditionalFormatting>
  <conditionalFormatting sqref="G4:G11">
    <cfRule type="expression" dxfId="516" priority="97">
      <formula>ABS(G$7-G$10)&gt;=1000</formula>
    </cfRule>
  </conditionalFormatting>
  <conditionalFormatting sqref="H4:H11">
    <cfRule type="expression" dxfId="515" priority="96">
      <formula>ABS(H$7-H$10)&gt;=1000</formula>
    </cfRule>
  </conditionalFormatting>
  <conditionalFormatting sqref="I4:I11">
    <cfRule type="expression" dxfId="514" priority="95">
      <formula>ABS(I$7-I$10)&gt;=1000</formula>
    </cfRule>
  </conditionalFormatting>
  <conditionalFormatting sqref="J4:J11">
    <cfRule type="expression" dxfId="513" priority="94">
      <formula>ABS(J$7-J$10)&gt;=1000</formula>
    </cfRule>
  </conditionalFormatting>
  <conditionalFormatting sqref="K4:K11">
    <cfRule type="expression" dxfId="512" priority="93">
      <formula>ABS(K$7-K$10)&gt;=1000</formula>
    </cfRule>
  </conditionalFormatting>
  <conditionalFormatting sqref="L4:L11">
    <cfRule type="expression" dxfId="511" priority="92">
      <formula>ABS(L$7-L$10)&gt;=1000</formula>
    </cfRule>
  </conditionalFormatting>
  <conditionalFormatting sqref="M4 M6:M11">
    <cfRule type="expression" dxfId="510" priority="91">
      <formula>ABS(M$7-M$10)&gt;=1000</formula>
    </cfRule>
  </conditionalFormatting>
  <conditionalFormatting sqref="N4 N6:N11">
    <cfRule type="expression" dxfId="509" priority="90">
      <formula>ABS(N$7-N$10)&gt;=1000</formula>
    </cfRule>
  </conditionalFormatting>
  <conditionalFormatting sqref="O4 O6:O11">
    <cfRule type="expression" dxfId="508" priority="89">
      <formula>ABS(O$7-O$10)&gt;=1000</formula>
    </cfRule>
  </conditionalFormatting>
  <conditionalFormatting sqref="P4 P6:P11">
    <cfRule type="expression" dxfId="507" priority="88">
      <formula>ABS(P$7-P$10)&gt;=1000</formula>
    </cfRule>
  </conditionalFormatting>
  <conditionalFormatting sqref="Q4:Q11">
    <cfRule type="expression" dxfId="506" priority="87">
      <formula>ABS(Q$7-Q$10)&gt;=1000</formula>
    </cfRule>
  </conditionalFormatting>
  <conditionalFormatting sqref="R4:R11">
    <cfRule type="expression" dxfId="505" priority="86">
      <formula>ABS(R$7-R$10)&gt;=1000</formula>
    </cfRule>
  </conditionalFormatting>
  <conditionalFormatting sqref="S4:S11">
    <cfRule type="expression" dxfId="504" priority="85">
      <formula>ABS(S$7-S$10)&gt;=1000</formula>
    </cfRule>
  </conditionalFormatting>
  <conditionalFormatting sqref="T4:T9 T11">
    <cfRule type="expression" dxfId="503" priority="84">
      <formula>ABS(T$7-T$10)&gt;=1000</formula>
    </cfRule>
  </conditionalFormatting>
  <conditionalFormatting sqref="U4:U9 U11">
    <cfRule type="expression" dxfId="502" priority="83">
      <formula>ABS(U$7-U$10)&gt;=1000</formula>
    </cfRule>
  </conditionalFormatting>
  <conditionalFormatting sqref="V4:V9 V11">
    <cfRule type="expression" dxfId="501" priority="82">
      <formula>ABS(V$7-V$10)&gt;=1000</formula>
    </cfRule>
  </conditionalFormatting>
  <conditionalFormatting sqref="W4:W9 W11">
    <cfRule type="expression" dxfId="500" priority="81">
      <formula>ABS(W$7-W$10)&gt;=1000</formula>
    </cfRule>
  </conditionalFormatting>
  <conditionalFormatting sqref="X4:X9 X11">
    <cfRule type="expression" dxfId="499" priority="80">
      <formula>ABS(X$7-X$10)&gt;=1000</formula>
    </cfRule>
  </conditionalFormatting>
  <conditionalFormatting sqref="Y4:Y9 Y11">
    <cfRule type="expression" dxfId="498" priority="79">
      <formula>ABS(Y$7-Y$10)&gt;=1000</formula>
    </cfRule>
  </conditionalFormatting>
  <conditionalFormatting sqref="Z4:Z11">
    <cfRule type="expression" dxfId="497" priority="78">
      <formula>ABS(Z$7-Z$10)&gt;=1000</formula>
    </cfRule>
  </conditionalFormatting>
  <conditionalFormatting sqref="AA4:AA11">
    <cfRule type="expression" dxfId="496" priority="77">
      <formula>ABS(AA$7-AA$10)&gt;=1000</formula>
    </cfRule>
  </conditionalFormatting>
  <conditionalFormatting sqref="AB4:AB11">
    <cfRule type="expression" dxfId="495" priority="76">
      <formula>ABS(AB$7-AB$10)&gt;=1000</formula>
    </cfRule>
  </conditionalFormatting>
  <conditionalFormatting sqref="AC4 AC6:AC11">
    <cfRule type="expression" dxfId="494" priority="75">
      <formula>ABS(AC$7-AC$10)&gt;=1000</formula>
    </cfRule>
  </conditionalFormatting>
  <conditionalFormatting sqref="AD4 AD6:AD11">
    <cfRule type="expression" dxfId="493" priority="74">
      <formula>ABS(AD$7-AD$10)&gt;=1000</formula>
    </cfRule>
  </conditionalFormatting>
  <conditionalFormatting sqref="AE4 AE6:AE11">
    <cfRule type="expression" dxfId="492" priority="73">
      <formula>ABS(AE$7-AE$10)&gt;=1000</formula>
    </cfRule>
  </conditionalFormatting>
  <conditionalFormatting sqref="D13:D20">
    <cfRule type="expression" dxfId="491" priority="72">
      <formula>ABS(D$16-D$19)&gt;=1000</formula>
    </cfRule>
  </conditionalFormatting>
  <conditionalFormatting sqref="E13:E20">
    <cfRule type="expression" dxfId="490" priority="71">
      <formula>ABS(E$16-E$19)&gt;=1000</formula>
    </cfRule>
  </conditionalFormatting>
  <conditionalFormatting sqref="F13 F15:F20">
    <cfRule type="expression" dxfId="489" priority="70">
      <formula>ABS(F$16-F$19)&gt;=1000</formula>
    </cfRule>
  </conditionalFormatting>
  <conditionalFormatting sqref="G13:G20">
    <cfRule type="expression" dxfId="488" priority="69">
      <formula>ABS(G$16-G$19)&gt;=1000</formula>
    </cfRule>
  </conditionalFormatting>
  <conditionalFormatting sqref="H13 H15:H20">
    <cfRule type="expression" dxfId="487" priority="68">
      <formula>ABS(H$16-H$19)&gt;=1000</formula>
    </cfRule>
  </conditionalFormatting>
  <conditionalFormatting sqref="I13:I20">
    <cfRule type="expression" dxfId="486" priority="67">
      <formula>ABS(I$16-I$19)&gt;=1000</formula>
    </cfRule>
  </conditionalFormatting>
  <conditionalFormatting sqref="J13:J20">
    <cfRule type="expression" dxfId="485" priority="66">
      <formula>ABS(J$16-J$19)&gt;=1000</formula>
    </cfRule>
  </conditionalFormatting>
  <conditionalFormatting sqref="L13:L20">
    <cfRule type="expression" dxfId="484" priority="65">
      <formula>ABS(L$16-L$19)&gt;=1000</formula>
    </cfRule>
  </conditionalFormatting>
  <conditionalFormatting sqref="M13 M15 M17:M18 M20">
    <cfRule type="expression" dxfId="483" priority="64">
      <formula>ABS(M$16-M$19)&gt;=1000</formula>
    </cfRule>
  </conditionalFormatting>
  <conditionalFormatting sqref="N13:N20">
    <cfRule type="expression" dxfId="482" priority="63">
      <formula>ABS(N$16-N$19)&gt;=1000</formula>
    </cfRule>
  </conditionalFormatting>
  <conditionalFormatting sqref="O13:O20">
    <cfRule type="expression" dxfId="481" priority="62">
      <formula>ABS(O$16-O$19)&gt;=1000</formula>
    </cfRule>
  </conditionalFormatting>
  <conditionalFormatting sqref="P13:P20">
    <cfRule type="expression" dxfId="480" priority="61">
      <formula>ABS(P$16-P$19)&gt;=1000</formula>
    </cfRule>
  </conditionalFormatting>
  <conditionalFormatting sqref="Q13 Q15:Q20">
    <cfRule type="expression" dxfId="479" priority="60">
      <formula>ABS(Q$16-Q$19)&gt;=1000</formula>
    </cfRule>
  </conditionalFormatting>
  <conditionalFormatting sqref="R13:R20">
    <cfRule type="expression" dxfId="478" priority="59">
      <formula>ABS(R$16-R$19)&gt;=1000</formula>
    </cfRule>
  </conditionalFormatting>
  <conditionalFormatting sqref="S13:S20">
    <cfRule type="expression" dxfId="477" priority="58">
      <formula>ABS(S$16-S$19)&gt;=1000</formula>
    </cfRule>
  </conditionalFormatting>
  <conditionalFormatting sqref="T13:T20">
    <cfRule type="expression" dxfId="476" priority="57">
      <formula>ABS(T$16-T$19)&gt;=1000</formula>
    </cfRule>
  </conditionalFormatting>
  <conditionalFormatting sqref="U13:U20">
    <cfRule type="expression" dxfId="475" priority="56">
      <formula>ABS(U$16-U$19)&gt;=1000</formula>
    </cfRule>
  </conditionalFormatting>
  <conditionalFormatting sqref="V13:V20">
    <cfRule type="expression" dxfId="474" priority="55">
      <formula>ABS(V$16-V$19)&gt;=1000</formula>
    </cfRule>
  </conditionalFormatting>
  <conditionalFormatting sqref="W13 W20 W15:W18">
    <cfRule type="expression" dxfId="473" priority="54">
      <formula>ABS(W$16-W$19)&gt;=1000</formula>
    </cfRule>
  </conditionalFormatting>
  <conditionalFormatting sqref="X13 X15:X20 Y19">
    <cfRule type="expression" dxfId="472" priority="53">
      <formula>ABS(X$16-X$19)&gt;=1000</formula>
    </cfRule>
  </conditionalFormatting>
  <conditionalFormatting sqref="Y13 Y15:Y18 Y20">
    <cfRule type="expression" dxfId="471" priority="52">
      <formula>ABS(Y$16-Y$19)&gt;=1000</formula>
    </cfRule>
  </conditionalFormatting>
  <conditionalFormatting sqref="Z13:Z20">
    <cfRule type="expression" dxfId="470" priority="51">
      <formula>ABS(Z$16-Z$19)&gt;=1000</formula>
    </cfRule>
  </conditionalFormatting>
  <conditionalFormatting sqref="AA13:AA20">
    <cfRule type="expression" dxfId="469" priority="50">
      <formula>ABS(AA$16-AA$19)&gt;=1000</formula>
    </cfRule>
  </conditionalFormatting>
  <conditionalFormatting sqref="AB13 AB15:AB20">
    <cfRule type="expression" dxfId="468" priority="49">
      <formula>ABS(AB$16-AB$19)&gt;=1000</formula>
    </cfRule>
  </conditionalFormatting>
  <conditionalFormatting sqref="AC13 AC15:AC20">
    <cfRule type="expression" dxfId="467" priority="48">
      <formula>ABS(AC$16-AC$19)&gt;=1000</formula>
    </cfRule>
  </conditionalFormatting>
  <conditionalFormatting sqref="AD13:AD20">
    <cfRule type="expression" dxfId="466" priority="47">
      <formula>ABS(AD$16-AD$19)&gt;=1000</formula>
    </cfRule>
  </conditionalFormatting>
  <conditionalFormatting sqref="AE13:AE20">
    <cfRule type="expression" dxfId="465" priority="46">
      <formula>ABS(AE$16-AE$19)&gt;=1000</formula>
    </cfRule>
  </conditionalFormatting>
  <conditionalFormatting sqref="D22:D29">
    <cfRule type="expression" dxfId="464" priority="45">
      <formula>ABS(D$25-D$28)&gt;=1000</formula>
    </cfRule>
  </conditionalFormatting>
  <conditionalFormatting sqref="E22:E29">
    <cfRule type="expression" dxfId="463" priority="44">
      <formula>ABS(E$25-E$28)&gt;=1000</formula>
    </cfRule>
  </conditionalFormatting>
  <conditionalFormatting sqref="F22:F29">
    <cfRule type="expression" dxfId="462" priority="43">
      <formula>ABS(F$25-F$28)&gt;=1000</formula>
    </cfRule>
  </conditionalFormatting>
  <conditionalFormatting sqref="G22:G29">
    <cfRule type="expression" dxfId="461" priority="42">
      <formula>ABS(G$25-G$28)&gt;=1000</formula>
    </cfRule>
  </conditionalFormatting>
  <conditionalFormatting sqref="H22:H29">
    <cfRule type="expression" dxfId="460" priority="41">
      <formula>ABS(H$25-H$28)&gt;=1000</formula>
    </cfRule>
  </conditionalFormatting>
  <conditionalFormatting sqref="I22 I24:I29">
    <cfRule type="expression" dxfId="459" priority="40">
      <formula>ABS(I$25-I$28)&gt;=1000</formula>
    </cfRule>
  </conditionalFormatting>
  <conditionalFormatting sqref="J22:J29 K22">
    <cfRule type="expression" dxfId="458" priority="39">
      <formula>ABS(J$25-J$28)&gt;=1000</formula>
    </cfRule>
  </conditionalFormatting>
  <conditionalFormatting sqref="K23:K29 L25 L28">
    <cfRule type="expression" dxfId="457" priority="38">
      <formula>ABS(K$25-K$28)&gt;=1000</formula>
    </cfRule>
  </conditionalFormatting>
  <conditionalFormatting sqref="L22 L26:L27 L29 L24">
    <cfRule type="expression" dxfId="456" priority="37">
      <formula>ABS(L$25-L$28)&gt;=1000</formula>
    </cfRule>
  </conditionalFormatting>
  <conditionalFormatting sqref="M22:M29">
    <cfRule type="expression" dxfId="455" priority="36">
      <formula>ABS(M$25-M$28)&gt;=1000</formula>
    </cfRule>
  </conditionalFormatting>
  <conditionalFormatting sqref="N22:N29">
    <cfRule type="expression" dxfId="454" priority="35">
      <formula>ABS(N$25-N$28)&gt;=1000</formula>
    </cfRule>
  </conditionalFormatting>
  <conditionalFormatting sqref="O22:O29">
    <cfRule type="expression" dxfId="453" priority="34">
      <formula>ABS(O$25-O$28)&gt;=1000</formula>
    </cfRule>
  </conditionalFormatting>
  <conditionalFormatting sqref="P22:P29">
    <cfRule type="expression" dxfId="452" priority="33">
      <formula>ABS(P$25-P$28)&gt;=1000</formula>
    </cfRule>
  </conditionalFormatting>
  <conditionalFormatting sqref="Q22:Q29">
    <cfRule type="expression" dxfId="451" priority="32">
      <formula>ABS(Q$25-Q$28)&gt;=1000</formula>
    </cfRule>
  </conditionalFormatting>
  <conditionalFormatting sqref="R22:R29">
    <cfRule type="expression" dxfId="450" priority="31">
      <formula>ABS(R$25-R$28)&gt;=1000</formula>
    </cfRule>
  </conditionalFormatting>
  <conditionalFormatting sqref="S22:S29">
    <cfRule type="expression" dxfId="449" priority="30">
      <formula>ABS(S$25-S$28)&gt;=1000</formula>
    </cfRule>
  </conditionalFormatting>
  <conditionalFormatting sqref="T22:T29">
    <cfRule type="expression" dxfId="448" priority="29">
      <formula>ABS(T$25-T$28)&gt;=1000</formula>
    </cfRule>
  </conditionalFormatting>
  <conditionalFormatting sqref="U22:U29">
    <cfRule type="expression" dxfId="447" priority="28">
      <formula>ABS(U$25-U$28)&gt;=1000</formula>
    </cfRule>
  </conditionalFormatting>
  <conditionalFormatting sqref="V22:V29">
    <cfRule type="expression" dxfId="446" priority="27">
      <formula>ABS(V$25-V$28)&gt;=1000</formula>
    </cfRule>
  </conditionalFormatting>
  <conditionalFormatting sqref="W22:W29">
    <cfRule type="expression" dxfId="445" priority="26">
      <formula>ABS(W$25-W$28)&gt;=1000</formula>
    </cfRule>
  </conditionalFormatting>
  <conditionalFormatting sqref="X22:X29">
    <cfRule type="expression" dxfId="444" priority="25">
      <formula>ABS(X$25-X$28)&gt;=1000</formula>
    </cfRule>
  </conditionalFormatting>
  <conditionalFormatting sqref="Y22:Y29">
    <cfRule type="expression" dxfId="443" priority="24">
      <formula>ABS(Y$25-Y$28)&gt;=1000</formula>
    </cfRule>
  </conditionalFormatting>
  <conditionalFormatting sqref="I23">
    <cfRule type="expression" dxfId="442" priority="23">
      <formula>ABS(I$25-I$28)&gt;=1000</formula>
    </cfRule>
  </conditionalFormatting>
  <conditionalFormatting sqref="Q14">
    <cfRule type="expression" dxfId="441" priority="22">
      <formula>ABS(Q$16-Q$19)&gt;=1000</formula>
    </cfRule>
  </conditionalFormatting>
  <conditionalFormatting sqref="W14">
    <cfRule type="expression" dxfId="440" priority="21">
      <formula>ABS(W$16-W$19)&gt;=1000</formula>
    </cfRule>
  </conditionalFormatting>
  <conditionalFormatting sqref="X14">
    <cfRule type="expression" dxfId="439" priority="20">
      <formula>ABS(X$16-X$19)&gt;=1000</formula>
    </cfRule>
  </conditionalFormatting>
  <conditionalFormatting sqref="T10:Y10">
    <cfRule type="expression" dxfId="438" priority="19">
      <formula>ABS(T$7-T$10)&gt;=1000</formula>
    </cfRule>
  </conditionalFormatting>
  <conditionalFormatting sqref="W19">
    <cfRule type="expression" dxfId="437" priority="18">
      <formula>ABS(W$16-W$19)&gt;=1000</formula>
    </cfRule>
  </conditionalFormatting>
  <conditionalFormatting sqref="AC5">
    <cfRule type="expression" dxfId="436" priority="17">
      <formula>ABS(AC$7-AC$10)&gt;=1000</formula>
    </cfRule>
  </conditionalFormatting>
  <conditionalFormatting sqref="M14">
    <cfRule type="expression" dxfId="435" priority="16">
      <formula>ABS(M$16-M$19)&gt;=1000</formula>
    </cfRule>
  </conditionalFormatting>
  <conditionalFormatting sqref="M16">
    <cfRule type="expression" dxfId="434" priority="15">
      <formula>ABS(M$16-M$19)&gt;=1000</formula>
    </cfRule>
  </conditionalFormatting>
  <conditionalFormatting sqref="M19">
    <cfRule type="expression" dxfId="433" priority="14">
      <formula>ABS(M$16-M$19)&gt;=1000</formula>
    </cfRule>
  </conditionalFormatting>
  <conditionalFormatting sqref="K13:K20">
    <cfRule type="expression" dxfId="432" priority="13">
      <formula>ABS(K$16-K$19)&gt;=1000</formula>
    </cfRule>
  </conditionalFormatting>
  <conditionalFormatting sqref="E5">
    <cfRule type="expression" dxfId="431" priority="12">
      <formula>ABS(E$7-E$10)&gt;=1000</formula>
    </cfRule>
  </conditionalFormatting>
  <conditionalFormatting sqref="AB14:AC14">
    <cfRule type="expression" dxfId="430" priority="11">
      <formula>ABS(AB$16-AB$19)&gt;=1000</formula>
    </cfRule>
  </conditionalFormatting>
  <conditionalFormatting sqref="M5">
    <cfRule type="expression" dxfId="429" priority="10">
      <formula>ABS(M$7-M$10)&gt;=1000</formula>
    </cfRule>
  </conditionalFormatting>
  <conditionalFormatting sqref="N5">
    <cfRule type="expression" dxfId="428" priority="9">
      <formula>ABS(N$7-N$10)&gt;=1000</formula>
    </cfRule>
  </conditionalFormatting>
  <conditionalFormatting sqref="O5">
    <cfRule type="expression" dxfId="427" priority="8">
      <formula>ABS(O$7-O$10)&gt;=1000</formula>
    </cfRule>
  </conditionalFormatting>
  <conditionalFormatting sqref="P5">
    <cfRule type="expression" dxfId="426" priority="7">
      <formula>ABS(P$7-P$10)&gt;=1000</formula>
    </cfRule>
  </conditionalFormatting>
  <conditionalFormatting sqref="L23">
    <cfRule type="expression" dxfId="425" priority="6">
      <formula>ABS(L$25-L$28)&gt;=1000</formula>
    </cfRule>
  </conditionalFormatting>
  <conditionalFormatting sqref="Y14">
    <cfRule type="expression" dxfId="424" priority="5">
      <formula>ABS(Y$16-Y$19)&gt;=1000</formula>
    </cfRule>
  </conditionalFormatting>
  <conditionalFormatting sqref="F14">
    <cfRule type="expression" dxfId="423" priority="4">
      <formula>ABS(F$16-F$19)&gt;=1000</formula>
    </cfRule>
  </conditionalFormatting>
  <conditionalFormatting sqref="H14">
    <cfRule type="expression" dxfId="422" priority="3">
      <formula>ABS(H$16-H$19)&gt;=1000</formula>
    </cfRule>
  </conditionalFormatting>
  <conditionalFormatting sqref="AD5">
    <cfRule type="expression" dxfId="421" priority="2">
      <formula>ABS(AD$7-AD$10)&gt;=1000</formula>
    </cfRule>
  </conditionalFormatting>
  <conditionalFormatting sqref="AE5">
    <cfRule type="expression" dxfId="42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3545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76">
    <pageSetUpPr fitToPage="1"/>
  </sheetPr>
  <dimension ref="A1:CU223"/>
  <sheetViews>
    <sheetView view="pageBreakPreview" topLeftCell="A16" zoomScale="70" zoomScaleNormal="100" zoomScaleSheetLayoutView="70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2" t="s" ph="1">
        <v>161</v>
      </c>
      <c r="C1" s="182" ph="1"/>
      <c r="D1" s="182" ph="1"/>
      <c r="E1" s="182" ph="1"/>
      <c r="F1" s="182" ph="1"/>
      <c r="G1" s="182" ph="1"/>
      <c r="H1" s="182" ph="1"/>
      <c r="I1" s="182" ph="1"/>
      <c r="J1" s="182" ph="1"/>
      <c r="K1" s="182" ph="1"/>
      <c r="L1" s="182" ph="1"/>
      <c r="M1" s="182" ph="1"/>
      <c r="N1" s="182" ph="1"/>
      <c r="O1" s="182" ph="1"/>
      <c r="P1" s="182" ph="1"/>
      <c r="Q1" s="182" ph="1"/>
      <c r="R1" s="182" ph="1"/>
      <c r="S1" s="182" ph="1"/>
      <c r="T1" s="182" ph="1"/>
      <c r="U1" s="182" ph="1"/>
      <c r="V1" s="182" ph="1"/>
      <c r="W1" s="182" ph="1"/>
      <c r="X1" s="182" ph="1"/>
      <c r="Y1" s="182" ph="1"/>
      <c r="Z1" s="182" ph="1"/>
      <c r="AA1" s="182" ph="1"/>
      <c r="AB1" s="182" ph="1"/>
      <c r="AC1" s="182" ph="1"/>
      <c r="AD1" s="182" ph="1"/>
      <c r="AE1" s="182" ph="1"/>
    </row>
    <row r="2" spans="1:99" s="66" customFormat="1" ht="24" customHeight="1" ph="1">
      <c r="B2" s="183" t="s" ph="1">
        <v>82</v>
      </c>
      <c r="C2" s="183" ph="1"/>
      <c r="D2" s="183" ph="1"/>
      <c r="E2" s="183" ph="1"/>
      <c r="F2" s="183" ph="1"/>
      <c r="G2" s="183" ph="1"/>
      <c r="H2" s="183" ph="1"/>
      <c r="I2" s="183" ph="1"/>
      <c r="J2" s="183" ph="1"/>
      <c r="K2" s="183" ph="1"/>
      <c r="L2" s="183" ph="1"/>
      <c r="M2" s="183" ph="1"/>
      <c r="N2" s="183" ph="1"/>
      <c r="O2" s="183" ph="1"/>
      <c r="P2" s="183" ph="1"/>
      <c r="Q2" s="183" ph="1"/>
      <c r="R2" s="183" ph="1"/>
      <c r="S2" s="183" ph="1"/>
      <c r="T2" s="183" ph="1"/>
      <c r="U2" s="183" ph="1"/>
      <c r="V2" s="183" ph="1"/>
      <c r="W2" s="183" ph="1"/>
      <c r="X2" s="183" ph="1"/>
      <c r="Y2" s="183" ph="1"/>
      <c r="Z2" s="183" ph="1"/>
      <c r="AA2" s="183" ph="1"/>
      <c r="AB2" s="183" ph="1"/>
      <c r="AC2" s="183" ph="1"/>
      <c r="AD2" s="183" ph="1"/>
      <c r="AE2" s="183" ph="1"/>
    </row>
    <row r="3" spans="1:99" ht="21" customHeight="1" ph="1">
      <c r="B3" s="184" ph="1">
        <v>46140</v>
      </c>
      <c r="C3" s="184"/>
      <c r="D3" s="184"/>
      <c r="E3" s="184"/>
      <c r="F3" s="184"/>
      <c r="G3" s="184"/>
      <c r="H3" s="184"/>
      <c r="I3" s="184"/>
      <c r="J3" s="184"/>
      <c r="K3" s="184"/>
      <c r="L3" s="184"/>
      <c r="M3" s="184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</row>
    <row r="4" spans="1:99" s="69" customFormat="1" ph="1">
      <c r="A4" s="65" ph="1"/>
      <c r="B4" s="185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5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1" ph="1">
        <v>0.33333333333333331</v>
      </c>
      <c r="C6" s="159" t="s" ph="1">
        <v>177</v>
      </c>
      <c r="D6" s="71">
        <v>7087</v>
      </c>
      <c r="E6" s="71">
        <v>6534</v>
      </c>
      <c r="F6" s="71">
        <v>5829</v>
      </c>
      <c r="G6" s="71">
        <v>7991</v>
      </c>
      <c r="H6" s="71">
        <v>16</v>
      </c>
      <c r="I6" s="71">
        <v>7.0000000000000007E-2</v>
      </c>
      <c r="J6" s="71">
        <v>6.34</v>
      </c>
      <c r="K6" s="71">
        <v>62.82</v>
      </c>
      <c r="L6" s="71">
        <v>74.540000000000006</v>
      </c>
      <c r="M6" s="71">
        <v>488</v>
      </c>
      <c r="N6" s="71">
        <v>3401</v>
      </c>
      <c r="O6" s="71">
        <v>5096</v>
      </c>
      <c r="P6" s="71">
        <v>1248</v>
      </c>
      <c r="Q6" s="71">
        <v>7183</v>
      </c>
      <c r="R6" s="71">
        <v>7135</v>
      </c>
      <c r="S6" s="71">
        <v>6237</v>
      </c>
      <c r="T6" s="71">
        <v>5753</v>
      </c>
      <c r="U6" s="71">
        <v>0</v>
      </c>
      <c r="V6" s="71">
        <v>0</v>
      </c>
      <c r="W6" s="71">
        <v>4920</v>
      </c>
      <c r="X6" s="71">
        <v>7125</v>
      </c>
      <c r="Y6" s="71">
        <v>4857</v>
      </c>
      <c r="Z6" s="71">
        <v>1109</v>
      </c>
      <c r="AA6" s="71">
        <v>4209</v>
      </c>
      <c r="AB6" s="71">
        <v>3651</v>
      </c>
      <c r="AC6" s="71">
        <v>6199</v>
      </c>
      <c r="AD6" s="71">
        <v>1800</v>
      </c>
      <c r="AE6" s="71">
        <v>4533</v>
      </c>
    </row>
    <row r="7" spans="1:99" s="72" customFormat="1" ht="22.2" ph="1">
      <c r="B7" s="181" ph="1"/>
      <c r="C7" s="68" t="s" ph="1">
        <v>178</v>
      </c>
      <c r="D7" s="73" ph="1">
        <f>D6*33.183*LOOKUP(D8,密度!$A$2:$A$50,密度!$Q$2:$Q$50)</f>
        <v>222475.90830363001</v>
      </c>
      <c r="E7" s="73" ph="1">
        <f>E6*51.53*LOOKUP(E8,密度!$A$2:$A$50,密度!$B$2:$B$50)</f>
        <v>263095.05142800004</v>
      </c>
      <c r="F7" s="73" ph="1">
        <f>F6*33.183*LOOKUP(F8,密度!$A$2:$A$50,密度!$C$2:$C$50)</f>
        <v>214777.68425280001</v>
      </c>
      <c r="G7" s="73" ph="1">
        <f xml:space="preserve"> (G6+2)*51.53*LOOKUP(G8,密度!$A$2:$A$50,密度!$B$2:$B$50)</f>
        <v>321101.094484</v>
      </c>
      <c r="H7" s="73" ph="1">
        <f>(H6)*51.53*LOOKUP(H8,密度!$A$2:$A$50,密度!$B$2:$B$50)</f>
        <v>646.47476800000004</v>
      </c>
      <c r="I7" s="73" ph="1">
        <f>I6*290.8*1.0267</f>
        <v>20.8995052</v>
      </c>
      <c r="J7" s="73" ph="1">
        <f>J6*290.8*0.7892</f>
        <v>1455.0259424000001</v>
      </c>
      <c r="K7" s="73" ph="1">
        <f>K6*290.8*1.1126</f>
        <v>20325.039105600001</v>
      </c>
      <c r="L7" s="73" ph="1">
        <f>L6*290.8*0.777</f>
        <v>16842.432264000003</v>
      </c>
      <c r="M7" s="73" ph="1">
        <f>M6*33.183*LOOKUP(M8,密度!$A$2:$A$50,密度!$D$2:$D$50)</f>
        <v>16640.2391904</v>
      </c>
      <c r="N7" s="73" ph="1">
        <f>N6*33.183*LOOKUP(N8,密度!$A$2:$A$50,密度!$E$2:$E$50)</f>
        <v>88388.335965599996</v>
      </c>
      <c r="O7" s="73" ph="1">
        <f>O6*20.428*LOOKUP(O8,密度!$A$2:$A$50,密度!$C$2:$C$50)</f>
        <v>115198.26398080001</v>
      </c>
      <c r="P7" s="73" ph="1">
        <f>P6*51.53*LOOKUP(P8,密度!$A$2:$A$50,密度!$B$2:$B$50)</f>
        <v>50367.153408000006</v>
      </c>
      <c r="Q7" s="73" ph="1">
        <f>Q6*1.5*1.5*3.1416*LOOKUP(W8,密度!$A$2:$A$50,密度!$L$2:$L$50)</f>
        <v>47625.781064399998</v>
      </c>
      <c r="R7" s="73" ph="1">
        <f>R6*1.5*1.5*3.1416*LOOKUP(R8,密度!$A$2:$A$50,密度!$L$2:$L$50)</f>
        <v>47055.352113000001</v>
      </c>
      <c r="S7" s="73" ph="1">
        <f>S6*1.5*1.5*3.1416*LOOKUP(S8,密度!$A$2:$A$50,密度!$L$2:$L$50)</f>
        <v>41485.733566199997</v>
      </c>
      <c r="T7" s="73" ph="1">
        <f>T6*1.5*1.5*3.1416*LOOKUP(T8,密度!$A$2:$A$50,密度!$L$2:$L$50)</f>
        <v>38307.0477636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32621.306256</v>
      </c>
      <c r="X7" s="73" ph="1">
        <f>X6*1.5*1.5*3.1416*LOOKUP(X8,密度!$A$2:$A$50,密度!$L$2:$L$50)</f>
        <v>47694.494924999999</v>
      </c>
      <c r="Y7" s="73" ph="1">
        <f>Y6*1.5*1.5*3.1416*LOOKUP(Y8,密度!$A$2:$A$50,密度!$L$2:$L$50)</f>
        <v>32237.926597799997</v>
      </c>
      <c r="Z7" s="73" ph="1">
        <f>Z6*33.183*LOOKUP(Z8,密度!$A$2:$A$50,密度!$L$2:$L$50)</f>
        <v>34628.750126999999</v>
      </c>
      <c r="AA7" s="73" ph="1">
        <f>AA6*33.183*LOOKUP(AA8,密度!$A$2:$A$50,密度!$D$2:$D$50)</f>
        <v>143661.73026419998</v>
      </c>
      <c r="AB7" s="73" ph="1">
        <f>AB6*20.428*LOOKUP(AB8,密度!$A$2:$A$50,密度!$D$2:$D$50)</f>
        <v>77110.979089200002</v>
      </c>
      <c r="AC7" s="73" ph="1">
        <f>AC6*51.53*LOOKUP(AC8,密度!$A$2:$A$50,密度!$Q$2:$Q$50)</f>
        <v>303172.0611323</v>
      </c>
      <c r="AD7" s="73" ph="1">
        <f>AD6*20.428*LOOKUP(AD8,密度!$A$2:$A$50,密度!$V$2:$V$50)</f>
        <v>35329.000319999999</v>
      </c>
      <c r="AE7" s="73" ph="1">
        <f>AE6*20.428</f>
        <v>92600.124000000011</v>
      </c>
    </row>
    <row r="8" spans="1:99" ph="1">
      <c r="B8" s="181" ph="1"/>
      <c r="C8" s="68" t="s" ph="1">
        <v>179</v>
      </c>
      <c r="D8" s="74">
        <v>26</v>
      </c>
      <c r="E8" s="74">
        <v>23</v>
      </c>
      <c r="F8" s="74">
        <v>23</v>
      </c>
      <c r="G8" s="74">
        <v>25</v>
      </c>
      <c r="H8" s="74">
        <v>20</v>
      </c>
      <c r="I8" s="74">
        <v>25</v>
      </c>
      <c r="J8" s="74">
        <v>25</v>
      </c>
      <c r="K8" s="74">
        <v>25</v>
      </c>
      <c r="L8" s="74">
        <v>25</v>
      </c>
      <c r="M8" s="74">
        <v>24</v>
      </c>
      <c r="N8" s="74">
        <v>25</v>
      </c>
      <c r="O8" s="74">
        <v>28</v>
      </c>
      <c r="P8" s="74">
        <v>21</v>
      </c>
      <c r="Q8" s="74">
        <v>21</v>
      </c>
      <c r="R8" s="74">
        <v>29</v>
      </c>
      <c r="S8" s="74">
        <v>21</v>
      </c>
      <c r="T8" s="74">
        <v>20</v>
      </c>
      <c r="U8" s="74">
        <v>23</v>
      </c>
      <c r="V8" s="74">
        <v>27</v>
      </c>
      <c r="W8" s="74">
        <v>24</v>
      </c>
      <c r="X8" s="74">
        <v>15</v>
      </c>
      <c r="Y8" s="74">
        <v>23</v>
      </c>
      <c r="Z8" s="74">
        <v>21</v>
      </c>
      <c r="AA8" s="74">
        <v>23</v>
      </c>
      <c r="AB8" s="74">
        <v>17</v>
      </c>
      <c r="AC8" s="74">
        <v>22</v>
      </c>
      <c r="AD8" s="74">
        <v>22</v>
      </c>
      <c r="AE8" s="74">
        <v>26</v>
      </c>
    </row>
    <row r="9" spans="1:99" ht="26.4" ph="1">
      <c r="B9" s="181" ph="1">
        <v>0.66666666666666663</v>
      </c>
      <c r="C9" s="159" t="s" ph="1">
        <v>180</v>
      </c>
      <c r="D9" s="71">
        <v>7087</v>
      </c>
      <c r="E9" s="71">
        <v>6532</v>
      </c>
      <c r="F9" s="71">
        <v>5831</v>
      </c>
      <c r="G9" s="71">
        <v>7135</v>
      </c>
      <c r="H9" s="71">
        <v>450</v>
      </c>
      <c r="I9" s="71">
        <v>0.05</v>
      </c>
      <c r="J9" s="71">
        <v>6.36</v>
      </c>
      <c r="K9" s="71">
        <v>63.04</v>
      </c>
      <c r="L9" s="71">
        <v>25.9</v>
      </c>
      <c r="M9" s="71">
        <v>486</v>
      </c>
      <c r="N9" s="71">
        <v>3344</v>
      </c>
      <c r="O9" s="71">
        <v>5098</v>
      </c>
      <c r="P9" s="71">
        <v>1108</v>
      </c>
      <c r="Q9" s="71">
        <v>7191</v>
      </c>
      <c r="R9" s="71">
        <v>7143</v>
      </c>
      <c r="S9" s="71">
        <v>6245</v>
      </c>
      <c r="T9" s="71">
        <v>7168</v>
      </c>
      <c r="U9" s="71">
        <v>4730</v>
      </c>
      <c r="V9" s="71">
        <v>3567</v>
      </c>
      <c r="W9" s="71">
        <v>0</v>
      </c>
      <c r="X9" s="71">
        <v>6747</v>
      </c>
      <c r="Y9" s="71">
        <v>4862</v>
      </c>
      <c r="Z9" s="71">
        <v>2189</v>
      </c>
      <c r="AA9" s="71">
        <v>5467</v>
      </c>
      <c r="AB9" s="71">
        <v>3493</v>
      </c>
      <c r="AC9" s="71">
        <v>6639</v>
      </c>
      <c r="AD9" s="71">
        <v>1800</v>
      </c>
      <c r="AE9" s="71">
        <v>4541</v>
      </c>
    </row>
    <row r="10" spans="1:99" s="72" customFormat="1" ht="22.2" ph="1">
      <c r="B10" s="181" ph="1"/>
      <c r="C10" s="159" t="s" ph="1">
        <v>178</v>
      </c>
      <c r="D10" s="73" ph="1">
        <f>D9*33.183*LOOKUP(D11,密度!$A$2:$A$50,密度!$Q$2:$Q$50)</f>
        <v>222144.32153502002</v>
      </c>
      <c r="E10" s="73" ph="1">
        <f>E9*51.53*LOOKUP(E11,密度!$A$2:$A$50,密度!$B$2:$B$50)</f>
        <v>262105.716652</v>
      </c>
      <c r="F10" s="73" ph="1">
        <f>F9*33.183*LOOKUP(F11,密度!$A$2:$A$50,密度!$C$2:$C$50)</f>
        <v>214561.14194970002</v>
      </c>
      <c r="G10" s="73" ph="1">
        <f xml:space="preserve"> (G9+2)*51.53*LOOKUP(G11,密度!$A$2:$A$50,密度!$B$2:$B$50)</f>
        <v>286087.97961899999</v>
      </c>
      <c r="H10" s="73" ph="1">
        <f>(H9)*51.53*LOOKUP(H11,密度!$A$2:$A$50,密度!$B$2:$B$50)</f>
        <v>18056.88495</v>
      </c>
      <c r="I10" s="73" ph="1">
        <f>I9*290.8*1.0267</f>
        <v>14.928217999999999</v>
      </c>
      <c r="J10" s="73" ph="1">
        <f>J9*290.8*0.7892</f>
        <v>1459.6159296000001</v>
      </c>
      <c r="K10" s="73" ph="1">
        <f>K9*290.8*1.1126</f>
        <v>20396.218803200001</v>
      </c>
      <c r="L10" s="73" ph="1">
        <f>L9*290.8*0.777</f>
        <v>5852.1464400000004</v>
      </c>
      <c r="M10" s="73" ph="1">
        <f>M9*33.183*LOOKUP(M11,密度!$A$2:$A$50,密度!$D$2:$D$50)</f>
        <v>16496.2448802</v>
      </c>
      <c r="N10" s="73" ph="1">
        <f>N9*33.183*LOOKUP(N11,密度!$A$2:$A$50,密度!$E$2:$E$50)</f>
        <v>86784.906859200011</v>
      </c>
      <c r="O10" s="73" ph="1">
        <f>O9*20.428*LOOKUP(O11,密度!$A$2:$A$50,密度!$C$2:$C$50)</f>
        <v>115087.2623144</v>
      </c>
      <c r="P10" s="73" ph="1">
        <f>P9*51.53*LOOKUP(P11,密度!$A$2:$A$50,密度!$B$2:$B$50)</f>
        <v>44460.063387999995</v>
      </c>
      <c r="Q10" s="73" ph="1">
        <f>Q9*1.5*1.5*3.1416*LOOKUP(W11,密度!$A$2:$A$50,密度!$L$2:$L$50)</f>
        <v>47323.011720600007</v>
      </c>
      <c r="R10" s="73" ph="1">
        <f>R9*1.5*1.5*3.1416*LOOKUP(R11,密度!$A$2:$A$50,密度!$L$2:$L$50)</f>
        <v>47007.130123800001</v>
      </c>
      <c r="S10" s="73" ph="1">
        <f>S9*1.5*1.5*3.1416*LOOKUP(S11,密度!$A$2:$A$50,密度!$L$2:$L$50)</f>
        <v>41450.659173</v>
      </c>
      <c r="T10" s="73" ph="1">
        <f>T9*1.5*1.5*3.1416*LOOKUP(T11,密度!$A$2:$A$50,密度!$L$2:$L$50)</f>
        <v>47678.329036799994</v>
      </c>
      <c r="U10" s="73" ph="1">
        <f>U9*1.5*1.5*3.1416*LOOKUP(U11,密度!$A$2:$A$50,密度!$L$2:$L$50)</f>
        <v>31328.105886000005</v>
      </c>
      <c r="V10" s="73" ph="1">
        <f>V9*1.5*1.5*3.1416*LOOKUP(V11,密度!$A$2:$A$50,密度!$L$2:$L$50)</f>
        <v>23600.019643200001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45068.792769</v>
      </c>
      <c r="Y10" s="73" ph="1">
        <f>Y9*1.5*1.5*3.1416*LOOKUP(Y11,密度!$A$2:$A$50,密度!$L$2:$L$50)</f>
        <v>32236.746141599997</v>
      </c>
      <c r="Z10" s="73" ph="1">
        <f>Z9*33.183*LOOKUP(Z11,密度!$A$2:$A$50,密度!$L$2:$L$50)</f>
        <v>67988.781432000003</v>
      </c>
      <c r="AA10" s="73" ph="1">
        <f>AA9*33.183*LOOKUP(AA11,密度!$A$2:$A$50,密度!$D$2:$D$50)</f>
        <v>186255.14700870001</v>
      </c>
      <c r="AB10" s="73" ph="1">
        <f>AB9*20.428*LOOKUP(AB11,密度!$A$2:$A$50,密度!$D$2:$D$50)</f>
        <v>73595.551125600003</v>
      </c>
      <c r="AC10" s="73" ph="1">
        <f>AC9*51.53*LOOKUP(AC11,密度!$A$2:$A$50,密度!$Q$2:$Q$50)</f>
        <v>323644.11905009998</v>
      </c>
      <c r="AD10" s="73" ph="1">
        <f>AD9*20.428*LOOKUP(AD11,密度!$A$2:$A$50,密度!$V$2:$V$50)</f>
        <v>35211.335039999998</v>
      </c>
      <c r="AE10" s="73" ph="1">
        <f>AE9*20.428</f>
        <v>92763.54800000001</v>
      </c>
    </row>
    <row r="11" spans="1:99" ph="1">
      <c r="A11" s="64" t="s" ph="1">
        <v>162</v>
      </c>
      <c r="B11" s="181" ph="1"/>
      <c r="C11" s="159" t="s" ph="1">
        <v>179</v>
      </c>
      <c r="D11" s="74">
        <v>28</v>
      </c>
      <c r="E11" s="74">
        <v>26</v>
      </c>
      <c r="F11" s="74">
        <v>25</v>
      </c>
      <c r="G11" s="74">
        <v>27</v>
      </c>
      <c r="H11" s="74">
        <v>26</v>
      </c>
      <c r="I11" s="74">
        <v>25</v>
      </c>
      <c r="J11" s="74">
        <v>25</v>
      </c>
      <c r="K11" s="74">
        <v>25</v>
      </c>
      <c r="L11" s="74">
        <v>25</v>
      </c>
      <c r="M11" s="74">
        <v>29</v>
      </c>
      <c r="N11" s="74">
        <v>26</v>
      </c>
      <c r="O11" s="74">
        <v>30</v>
      </c>
      <c r="P11" s="74">
        <v>26</v>
      </c>
      <c r="Q11" s="74">
        <v>27</v>
      </c>
      <c r="R11" s="74">
        <v>31</v>
      </c>
      <c r="S11" s="74">
        <v>23</v>
      </c>
      <c r="T11" s="74">
        <v>21</v>
      </c>
      <c r="U11" s="74">
        <v>25</v>
      </c>
      <c r="V11" s="74">
        <v>26</v>
      </c>
      <c r="W11" s="74">
        <v>31</v>
      </c>
      <c r="X11" s="74">
        <v>17</v>
      </c>
      <c r="Y11" s="74">
        <v>24</v>
      </c>
      <c r="Z11" s="74">
        <v>26</v>
      </c>
      <c r="AA11" s="74">
        <v>25</v>
      </c>
      <c r="AB11" s="74">
        <v>20</v>
      </c>
      <c r="AC11" s="74">
        <v>26</v>
      </c>
      <c r="AD11" s="74">
        <v>27</v>
      </c>
      <c r="AE11" s="74">
        <v>28</v>
      </c>
    </row>
    <row r="12" spans="1:99" ht="9.9" customHeight="1" ph="1"/>
    <row r="13" spans="1:99" s="72" customFormat="1" ht="29.25" customHeight="1" ph="1">
      <c r="B13" s="189" t="s" ph="1">
        <v>37</v>
      </c>
      <c r="C13" s="159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0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639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1" ph="1">
        <v>0.33333333333333331</v>
      </c>
      <c r="C15" s="159" t="s" ph="1">
        <v>177</v>
      </c>
      <c r="D15" s="78">
        <v>2855</v>
      </c>
      <c r="E15" s="78">
        <v>5629</v>
      </c>
      <c r="F15" s="78">
        <v>4300</v>
      </c>
      <c r="G15" s="78">
        <v>2109</v>
      </c>
      <c r="H15" s="78">
        <v>0</v>
      </c>
      <c r="I15" s="78">
        <v>5073</v>
      </c>
      <c r="J15" s="78">
        <v>434</v>
      </c>
      <c r="K15" s="78">
        <v>5008</v>
      </c>
      <c r="L15" s="78">
        <v>3198</v>
      </c>
      <c r="M15" s="78">
        <v>3193</v>
      </c>
      <c r="N15" s="78">
        <v>1372</v>
      </c>
      <c r="O15" s="78">
        <v>4739</v>
      </c>
      <c r="P15" s="78">
        <v>2329</v>
      </c>
      <c r="Q15" s="78">
        <v>980</v>
      </c>
      <c r="R15" s="78">
        <v>7343</v>
      </c>
      <c r="S15" s="78">
        <v>6465</v>
      </c>
      <c r="T15" s="78">
        <v>3792</v>
      </c>
      <c r="U15" s="78">
        <v>1718</v>
      </c>
      <c r="V15" s="78">
        <v>1662</v>
      </c>
      <c r="W15" s="71">
        <v>-173</v>
      </c>
      <c r="X15" s="78">
        <v>-145</v>
      </c>
      <c r="Y15" s="106">
        <v>-9906</v>
      </c>
      <c r="Z15" s="78">
        <v>0</v>
      </c>
      <c r="AA15" s="78">
        <v>6915</v>
      </c>
      <c r="AB15" s="78" ph="1">
        <v>1070</v>
      </c>
      <c r="AC15" s="78" ph="1">
        <v>0</v>
      </c>
      <c r="AD15" s="78">
        <v>5.66</v>
      </c>
      <c r="AE15" s="78">
        <v>52.34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2" ph="1"/>
      <c r="C16" s="159" t="s" ph="1">
        <v>178</v>
      </c>
      <c r="D16" s="73" ph="1">
        <f>D15*7.0686*LOOKUP(D17,密度!$A$2:$A$50,密度!$L$2:$L$50)</f>
        <v>18949.820967</v>
      </c>
      <c r="E16" s="73" ph="1">
        <f>E15*7.0686*LOOKUP(E17,密度!$A$2:$A$50,密度!$L$2:$L$50)</f>
        <v>37441.589585399997</v>
      </c>
      <c r="F16" s="73" ph="1">
        <f>F15*9.0746*LOOKUP(F17,密度!$A$2:$A$50,密度!$L$2:$L$50)</f>
        <v>36484.429300000003</v>
      </c>
      <c r="G16" s="73" ph="1">
        <f>G15*9.0746*LOOKUP(G17,密度!$A$2:$A$50,密度!$B$2:$B$50)</f>
        <v>14920.243159439999</v>
      </c>
      <c r="H16" s="73" ph="1">
        <f>H15*9.0746*LOOKUP(H17,密度!$A$2:$A$50,密度!$L$2:$L$50)</f>
        <v>0</v>
      </c>
      <c r="I16" s="73" ph="1">
        <f>I15*9.0746*LOOKUP(I17,密度!$A$2:$A$50,密度!$U$2:$U$50)</f>
        <v>47324.438282400006</v>
      </c>
      <c r="J16" s="73" ph="1">
        <f>J15*9.0746*LOOKUP(J17,密度!$A$2:$A$50,密度!$L$2:$L$50)</f>
        <v>3698.1354395999997</v>
      </c>
      <c r="K16" s="73" ph="1">
        <f>K15*9.0746*LOOKUP(K17,密度!$A$2:$A$50,密度!$C$2:$C$50)</f>
        <v>50462.79068672</v>
      </c>
      <c r="L16" s="73" ph="1">
        <f>L15*9.0746*LOOKUP(L17,密度!$A$2:$A$50,密度!$E$2:$E$50)</f>
        <v>22728.91105056</v>
      </c>
      <c r="M16" s="73" ph="1">
        <f>M15*9.0746*LOOKUP(M17,密度!$A$2:$A$50,密度!$M$2:$M$50)</f>
        <v>25327.220396980003</v>
      </c>
      <c r="N16" s="73" ph="1">
        <f>N15*9.0746*LOOKUP(N17,密度!$A$2:$A$50,密度!$M$2:$M$50)</f>
        <v>10931.408353600002</v>
      </c>
      <c r="O16" s="73" ph="1">
        <f>O15*9.0746*LOOKUP(O17,密度!$A$2:$A$50,密度!$G$2:$G$50)</f>
        <v>41292.949129879999</v>
      </c>
      <c r="P16" s="73" ph="1">
        <f ca="1">P15*9.0746*LOOKUP(P17,密度!$A$2:$A$51,密度!$Q$2:$Q$50)</f>
        <v>20039.963691879999</v>
      </c>
      <c r="Q16" s="73" ph="1">
        <f>Q15*9.0746*LOOKUP(Q17,密度!$A$2:$A$50,密度!$Q$2:$Q$50)</f>
        <v>8445.6957365199996</v>
      </c>
      <c r="R16" s="73" ph="1">
        <f>MAX(R15*9.0746*LOOKUP(R17,密度!$A$2:$A$50,密度!$B$2:$B$50),0)</f>
        <v>51948.480568880004</v>
      </c>
      <c r="S16" s="73" ph="1">
        <f>S15*9.0746*LOOKUP(S17,密度!$A$2:$A$50,密度!$Q$2:$Q$50)</f>
        <v>55628.32342980001</v>
      </c>
      <c r="T16" s="73" ph="1">
        <f>T15*9.0746*LOOKUP(T17,密度!$A$2:$A$50,密度!$O$2:$O$50)</f>
        <v>32002.121376000006</v>
      </c>
      <c r="U16" s="73" ph="1">
        <f>U15*9.0746*LOOKUP(U17,密度!$A$2:$A$50,密度!$H$2:$H$50)</f>
        <v>14324.241580639999</v>
      </c>
      <c r="V16" s="73" ph="1">
        <f>MAX(5600*LOOKUP(V17,密度!$A$2:$A$50,密度!$Q$2:$Q$50)+V15*9.0476*LOOKUP(V17,密度!$A$2:$A$50,密度!$Q$2:$Q$50),0)</f>
        <v>19523.326308536001</v>
      </c>
      <c r="W16" s="73" ph="1">
        <f>MAX(5600*LOOKUP(W17,密度!$A$2:$A$50,密度!$Q$2:$Q$50)+W15*9.0476*LOOKUP(W17,密度!$A$2:$A$50,密度!$Q$2:$Q$50),0)</f>
        <v>3822.818984044</v>
      </c>
      <c r="X16" s="73" ph="1">
        <f>MAX(5600*LOOKUP(X17,密度!$A$2:$A$50,密度!$I$2:$I$50)+X15*9.0476*LOOKUP(X17,密度!$A$2:$A$50,密度!$I$2:$I$50),0)</f>
        <v>4474.2014532000012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49033.5212226</v>
      </c>
      <c r="AB16" s="73" ph="1">
        <f>AB15*9.0746*LOOKUP(AB17,密度!$A$2:$A$50,密度!$L$2:$L$50)</f>
        <v>9127.2326799999992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2406.4137724800003</v>
      </c>
      <c r="AE16" s="73" ph="1">
        <f>AE15*268.68*LOOKUP(AE17,密度!$A$2:$A$50,密度!B2:B50)+IF(AE15&lt;=0,0,1566*LOOKUP(AE17,密度!$A$2:$A$50,密度!B2:B50))</f>
        <v>12184.143251520001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3" ph="1"/>
      <c r="C17" s="79" t="s" ph="1">
        <v>179</v>
      </c>
      <c r="D17" s="74">
        <v>23</v>
      </c>
      <c r="E17" s="74">
        <v>21</v>
      </c>
      <c r="F17" s="74">
        <v>27</v>
      </c>
      <c r="G17" s="74">
        <v>25</v>
      </c>
      <c r="H17" s="74">
        <v>18</v>
      </c>
      <c r="I17" s="74">
        <v>22</v>
      </c>
      <c r="J17" s="74">
        <v>23</v>
      </c>
      <c r="K17" s="74">
        <v>23</v>
      </c>
      <c r="L17" s="74">
        <v>25</v>
      </c>
      <c r="M17" s="74">
        <v>26</v>
      </c>
      <c r="N17" s="74">
        <v>22</v>
      </c>
      <c r="O17" s="74">
        <v>25</v>
      </c>
      <c r="P17" s="74">
        <v>23</v>
      </c>
      <c r="Q17" s="74">
        <v>21</v>
      </c>
      <c r="R17" s="74">
        <v>25</v>
      </c>
      <c r="S17" s="74">
        <v>23</v>
      </c>
      <c r="T17" s="74">
        <v>24</v>
      </c>
      <c r="U17" s="74">
        <v>21</v>
      </c>
      <c r="V17" s="74">
        <v>26</v>
      </c>
      <c r="W17" s="74">
        <v>24</v>
      </c>
      <c r="X17" s="74">
        <v>24</v>
      </c>
      <c r="Y17" s="108">
        <v>24</v>
      </c>
      <c r="Z17" s="74">
        <v>22</v>
      </c>
      <c r="AA17" s="74">
        <v>23</v>
      </c>
      <c r="AB17" s="74">
        <v>22</v>
      </c>
      <c r="AC17" s="74">
        <v>20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1" ph="1">
        <v>0.66666666666666663</v>
      </c>
      <c r="C18" s="79" t="s" ph="1">
        <v>180</v>
      </c>
      <c r="D18" s="71">
        <v>1424</v>
      </c>
      <c r="E18" s="71">
        <v>5642</v>
      </c>
      <c r="F18" s="71">
        <v>2098</v>
      </c>
      <c r="G18" s="71">
        <v>3814</v>
      </c>
      <c r="H18" s="71">
        <v>0</v>
      </c>
      <c r="I18" s="71">
        <v>5077</v>
      </c>
      <c r="J18" s="71">
        <v>434</v>
      </c>
      <c r="K18" s="71">
        <v>5010</v>
      </c>
      <c r="L18" s="71">
        <v>3206</v>
      </c>
      <c r="M18" s="71">
        <v>648</v>
      </c>
      <c r="N18" s="71">
        <v>2521</v>
      </c>
      <c r="O18" s="71">
        <v>4744</v>
      </c>
      <c r="P18" s="71">
        <v>2331</v>
      </c>
      <c r="Q18" s="71">
        <v>974</v>
      </c>
      <c r="R18" s="71">
        <v>5782</v>
      </c>
      <c r="S18" s="71">
        <v>6471</v>
      </c>
      <c r="T18" s="71">
        <v>3793</v>
      </c>
      <c r="U18" s="71">
        <v>1717</v>
      </c>
      <c r="V18" s="71">
        <v>1662</v>
      </c>
      <c r="W18" s="71">
        <v>-174</v>
      </c>
      <c r="X18" s="71">
        <v>-146</v>
      </c>
      <c r="Y18" s="109">
        <v>-9907</v>
      </c>
      <c r="Z18" s="71">
        <v>0</v>
      </c>
      <c r="AA18" s="71">
        <v>4551</v>
      </c>
      <c r="AB18" s="71">
        <v>1070</v>
      </c>
      <c r="AC18" s="71">
        <v>0</v>
      </c>
      <c r="AD18" s="71">
        <v>25.32</v>
      </c>
      <c r="AE18" s="71">
        <v>84.56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2" ph="1"/>
      <c r="C19" s="159" t="s" ph="1">
        <v>178</v>
      </c>
      <c r="D19" s="73" ph="1">
        <f>D18*7.0686*LOOKUP(D20,密度!$A$2:$A$50,密度!$L$2:$L$50)</f>
        <v>9431.5481568000014</v>
      </c>
      <c r="E19" s="73" ph="1">
        <f>E18*7.0686*LOOKUP(E20,密度!$A$2:$A$50,密度!$L$2:$L$50)</f>
        <v>37248.892480800001</v>
      </c>
      <c r="F19" s="73" ph="1">
        <f>F18*9.0746*LOOKUP(F20,密度!$A$2:$A$50,密度!$L$2:$L$50)</f>
        <v>17743.892065600001</v>
      </c>
      <c r="G19" s="73" ph="1">
        <f>G18*9.0746*LOOKUP(G20,密度!$A$2:$A$50,密度!$B$2:$B$50)</f>
        <v>26951.215350279999</v>
      </c>
      <c r="H19" s="73" ph="1">
        <f>H18*9.0746*LOOKUP(H20,密度!$A$2:$A$50,密度!$L$2:$L$50)</f>
        <v>0</v>
      </c>
      <c r="I19" s="73" ph="1">
        <f>I18*9.0746*LOOKUP(I20,密度!$A$2:$A$50,密度!$U$2:$U$50)</f>
        <v>47039.250828199998</v>
      </c>
      <c r="J19" s="73" ph="1">
        <f>J18*9.0746*LOOKUP(J20,密度!$A$2:$A$50,密度!$L$2:$L$50)</f>
        <v>3674.5051812000002</v>
      </c>
      <c r="K19" s="73" ph="1">
        <f>K18*9.0746*LOOKUP(K20,密度!$A$2:$A$50,密度!$C$2:$C$50)</f>
        <v>50346.552320399998</v>
      </c>
      <c r="L19" s="73" ph="1">
        <f>L18*9.0746*LOOKUP(L20,密度!$A$2:$A$50,密度!$E$2:$E$50)</f>
        <v>22753.766379960001</v>
      </c>
      <c r="M19" s="73" ph="1">
        <f>M18*9.0746*LOOKUP(M20,密度!$A$2:$A$50,密度!$M$2:$M$50)</f>
        <v>5109.2517108960001</v>
      </c>
      <c r="N19" s="73" ph="1">
        <f>N18*9.0746*LOOKUP(N20,密度!$A$2:$A$50,密度!$M$2:$M$50)</f>
        <v>20038.022634940004</v>
      </c>
      <c r="O19" s="73" ph="1">
        <f>O18*9.0746*LOOKUP(O20,密度!$A$2:$A$50,密度!$G$2:$G$50)</f>
        <v>41284.856401599995</v>
      </c>
      <c r="P19" s="73" ph="1">
        <f ca="1">P18*9.0746*LOOKUP(P20,密度!$A$2:$A$51,密度!$Q$2:$Q$50)</f>
        <v>20011.270986378</v>
      </c>
      <c r="Q19" s="73" ph="1">
        <f>Q18*9.0746*LOOKUP(Q20,密度!$A$2:$A$50,密度!$Q$2:$Q$50)</f>
        <v>8337.7735151320012</v>
      </c>
      <c r="R19" s="73" ph="1">
        <f>MAX(R18*9.0746*LOOKUP(R20,密度!$A$2:$A$50,密度!$B$2:$B$50),0)</f>
        <v>40815.897407880002</v>
      </c>
      <c r="S19" s="73" ph="1">
        <f>S18*9.0746*LOOKUP(S20,密度!$A$2:$A$50,密度!$Q$2:$Q$50)</f>
        <v>55552.524475698003</v>
      </c>
      <c r="T19" s="73" ph="1">
        <f>T18*9.0746*LOOKUP(T20,密度!$A$2:$A$50,密度!$O$2:$O$50)</f>
        <v>31872.880922800006</v>
      </c>
      <c r="U19" s="73" ph="1">
        <f>U18*9.0746*LOOKUP(U20,密度!$A$2:$A$50,密度!$H$2:$H$50)</f>
        <v>14252.02137654</v>
      </c>
      <c r="V19" s="73" ph="1">
        <f>MAX(5600*LOOKUP(V20,密度!$A$2:$A$50,密度!$Q$2:$Q$50)+V18*9.0476*LOOKUP(V20,密度!$A$2:$A$50,密度!$Q$2:$Q$50),0)</f>
        <v>19508.673959584001</v>
      </c>
      <c r="W19" s="73" ph="1">
        <f>MAX(5600*LOOKUP(W20,密度!$A$2:$A$50,密度!$Q$2:$Q$50)+W18*9.0476*LOOKUP(W20,密度!$A$2:$A$50,密度!$Q$2:$Q$50),0)</f>
        <v>3799.995614168</v>
      </c>
      <c r="X19" s="73" ph="1">
        <f>MAX(5600*LOOKUP(X20,密度!$A$2:$A$50,密度!$I$2:$I$50)+X18*9.0476*LOOKUP(X20,密度!$A$2:$A$50,密度!$I$2:$I$50),0)</f>
        <v>4450.6403210400003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32196.314186159998</v>
      </c>
      <c r="AB19" s="73" ph="1">
        <f>AB18*9.0746*LOOKUP(AB20,密度!$A$2:$A$50,密度!$L$2:$L$50)</f>
        <v>9059.2639260000014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6502.6955952000008</v>
      </c>
      <c r="AE19" s="73" ph="1">
        <f>AE18*268.68*LOOKUP(AE20,密度!$A$2:$A$50,密度!B5:B53)+IF(AE18&lt;=0,0,1566*LOOKUP(AE20,密度!$A$2:$A$50,密度!B5:B53))</f>
        <v>18869.896281599998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2" ph="1"/>
      <c r="C20" s="80" t="s" ph="1">
        <v>179</v>
      </c>
      <c r="D20" s="81">
        <v>25</v>
      </c>
      <c r="E20" s="81">
        <v>28</v>
      </c>
      <c r="F20" s="81">
        <v>30</v>
      </c>
      <c r="G20" s="81">
        <v>26</v>
      </c>
      <c r="H20" s="81">
        <v>26</v>
      </c>
      <c r="I20" s="81">
        <v>29</v>
      </c>
      <c r="J20" s="81">
        <v>29</v>
      </c>
      <c r="K20" s="81">
        <v>27</v>
      </c>
      <c r="L20" s="81">
        <v>26</v>
      </c>
      <c r="M20" s="81">
        <v>31</v>
      </c>
      <c r="N20" s="81">
        <v>24</v>
      </c>
      <c r="O20" s="81">
        <v>26</v>
      </c>
      <c r="P20" s="81">
        <v>26</v>
      </c>
      <c r="Q20" s="81">
        <v>30</v>
      </c>
      <c r="R20" s="81">
        <v>27</v>
      </c>
      <c r="S20" s="81">
        <v>26</v>
      </c>
      <c r="T20" s="81">
        <v>27</v>
      </c>
      <c r="U20" s="81">
        <v>25</v>
      </c>
      <c r="V20" s="81">
        <v>27</v>
      </c>
      <c r="W20" s="81">
        <v>29</v>
      </c>
      <c r="X20" s="81">
        <v>27</v>
      </c>
      <c r="Y20" s="110">
        <v>28</v>
      </c>
      <c r="Z20" s="81">
        <v>29</v>
      </c>
      <c r="AA20" s="81">
        <v>25</v>
      </c>
      <c r="AB20" s="81">
        <v>29</v>
      </c>
      <c r="AC20" s="81">
        <v>27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0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69" t="s" ph="1">
        <v>69</v>
      </c>
      <c r="AA22" s="170"/>
      <c r="AB22" s="170"/>
      <c r="AC22" s="170"/>
      <c r="AD22" s="170"/>
      <c r="AE22" s="17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5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72" t="s" ph="1">
        <v>640</v>
      </c>
      <c r="AA23" s="173"/>
      <c r="AB23" s="173"/>
      <c r="AC23" s="173"/>
      <c r="AD23" s="173"/>
      <c r="AE23" s="17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1" ph="1">
        <v>0.33333333333333331</v>
      </c>
      <c r="C24" s="159" t="s" ph="1">
        <v>177</v>
      </c>
      <c r="D24" s="71">
        <v>60.26</v>
      </c>
      <c r="E24" s="71">
        <v>5.67</v>
      </c>
      <c r="F24" s="71">
        <v>916</v>
      </c>
      <c r="G24" s="71">
        <v>3319</v>
      </c>
      <c r="H24" s="71">
        <v>3258</v>
      </c>
      <c r="I24" s="71">
        <v>405</v>
      </c>
      <c r="J24" s="71">
        <v>828</v>
      </c>
      <c r="K24" s="71">
        <v>1559</v>
      </c>
      <c r="L24" s="71">
        <v>469</v>
      </c>
      <c r="M24" s="71">
        <v>4840</v>
      </c>
      <c r="N24" s="71">
        <v>4826</v>
      </c>
      <c r="O24" s="71">
        <v>5419</v>
      </c>
      <c r="P24" s="71">
        <v>1041</v>
      </c>
      <c r="Q24" s="90">
        <v>1353</v>
      </c>
      <c r="R24" s="71">
        <v>5701</v>
      </c>
      <c r="S24" s="71">
        <v>2445</v>
      </c>
      <c r="T24" s="71">
        <v>1278</v>
      </c>
      <c r="U24" s="71">
        <v>6111</v>
      </c>
      <c r="V24" s="71">
        <v>599</v>
      </c>
      <c r="W24" s="71">
        <v>9809</v>
      </c>
      <c r="X24" s="71">
        <v>4688</v>
      </c>
      <c r="Y24" s="71">
        <v>5486</v>
      </c>
      <c r="Z24" s="175"/>
      <c r="AA24" s="176"/>
      <c r="AB24" s="176"/>
      <c r="AC24" s="176"/>
      <c r="AD24" s="176"/>
      <c r="AE24" s="17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1" ph="1"/>
      <c r="C25" s="68" t="s" ph="1">
        <v>178</v>
      </c>
      <c r="D25" s="91" ph="1">
        <f>D24*268.68*LOOKUP(D26,密度!$A$2:$A$50,密度!$Q$2:$Q$50)+IF(D24&lt;=0,0,1566*LOOKUP(D26,密度!$A$2:$A$50,密度!$Q$2:$Q$50))</f>
        <v>16810.937258832</v>
      </c>
      <c r="E25" s="91" ph="1">
        <f>E24*268.68*LOOKUP(E26,密度!$A$2:$A$50,密度!$C$2:$C$50)+IF(E24&lt;=0,0,1566*LOOKUP(E26,密度!$A$2:$A$50,密度!$C$2:$C$50))</f>
        <v>3425.8529588399997</v>
      </c>
      <c r="F25" s="91" ph="1">
        <f>F24*11.702*LOOKUP(F26,密度!$A$2:$A$50,密度!$Q$2:$Q$50)</f>
        <v>10163.7861424</v>
      </c>
      <c r="G25" s="91" ph="1">
        <f>G24*18.322*LOOKUP(G26,密度!$A$2:$A$50,密度!$B$2:$B$50)</f>
        <v>47353.306106600001</v>
      </c>
      <c r="H25" s="91" ph="1">
        <f>H24*18.322*LOOKUP(H26,密度!$A$2:$A$50,密度!$B$2:$B$50)</f>
        <v>46590.445818</v>
      </c>
      <c r="I25" s="91" ph="1">
        <f>I24*18.322*LOOKUP(I26,密度!$A$2:$A$50,密度!$Q$2:$Q$50)</f>
        <v>7025.1989634000001</v>
      </c>
      <c r="J25" s="91" ph="1">
        <f>J24*18.322*LOOKUP(J26,密度!$A$2:$A$50,密度!$Q$2:$Q$50)</f>
        <v>14362.62899184</v>
      </c>
      <c r="K25" s="91" ph="1">
        <f>K24*18.322*LOOKUP(K26,密度!$A$2:$A$50,密度!$Q$2:$Q$50)</f>
        <v>27042.67946652</v>
      </c>
      <c r="L25" s="91" ph="1">
        <f>L24*18.322*LOOKUP(L26,密度!$A$2:$A$50,密度!$Q$2:$Q$50)</f>
        <v>8141.6267644600002</v>
      </c>
      <c r="M25" s="91" ph="1">
        <f>M24*18.322*LOOKUP(M26,密度!$A$2:$A$50,密度!$Q$2:$Q$50)</f>
        <v>84020.199445599996</v>
      </c>
      <c r="N25" s="91" ph="1">
        <f>N24*18.322*LOOKUP(N26,密度!$A$2:$A$50,密度!$Q$2:$Q$50)</f>
        <v>83920.409405479993</v>
      </c>
      <c r="O25" s="91" ph="1">
        <f>O24*18.322*LOOKUP(O26,密度!$A$2:$A$50,密度!$C$2:$C$50)</f>
        <v>110317.69458979998</v>
      </c>
      <c r="P25" s="91" ph="1">
        <f>P24*11.702*LOOKUP(P26,密度!$A$2:$A$50,密度!$B$2:$B$50)</f>
        <v>9518.8444547999989</v>
      </c>
      <c r="Q25" s="92" ph="1">
        <f>Q24*18.322*LOOKUP(Q26,密度!$A$2:$A$50,密度!$B$2:$B$50)</f>
        <v>19348.334312999996</v>
      </c>
      <c r="R25" s="91" ph="1">
        <f>R24*35.891*LOOKUP(R26,密度!$A$2:$A$50,密度!$C$2:$C$50)</f>
        <v>227040.35017359996</v>
      </c>
      <c r="S25" s="91" ph="1">
        <f>S24*35.891*LOOKUP(S26,密度!$A$2:$A$50,密度!$B$2:$B$50)</f>
        <v>68412.624701999986</v>
      </c>
      <c r="T25" s="91" ph="1">
        <f>T24*35.891*LOOKUP(T26,密度!$A$2:$A$50,密度!$Q$2:$Q$50)</f>
        <v>43492.699443600002</v>
      </c>
      <c r="U25" s="91" ph="1">
        <f>U24*35.891</f>
        <v>219329.90099999998</v>
      </c>
      <c r="V25" s="91" ph="1">
        <f>V24*47.051*LOOKUP(V26,密度!$A$2:$A$50,密度!$B$2:$B$50)</f>
        <v>22073.355576800001</v>
      </c>
      <c r="W25" s="91" ph="1">
        <f>W24*47.051*LOOKUP(W26,密度!$A$2:$A$50,密度!$B$2:$B$50)</f>
        <v>360218.90364949999</v>
      </c>
      <c r="X25" s="91" ph="1">
        <f>X24*47.051*LOOKUP(X26,密度!$A$2:$A$61,密度!$I$2:$I$61)</f>
        <v>229177.516432</v>
      </c>
      <c r="Y25" s="91" ph="1">
        <f>Y24*47.051*LOOKUP(Y26,密度!$A$2:$A$50,密度!$L$2:$L$50)</f>
        <v>241860.11348200004</v>
      </c>
      <c r="Z25" s="175"/>
      <c r="AA25" s="176"/>
      <c r="AB25" s="176"/>
      <c r="AC25" s="176"/>
      <c r="AD25" s="176"/>
      <c r="AE25" s="17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1" ph="1"/>
      <c r="C26" s="68" t="s" ph="1">
        <v>179</v>
      </c>
      <c r="D26" s="74">
        <v>25</v>
      </c>
      <c r="E26" s="74">
        <v>25</v>
      </c>
      <c r="F26" s="74">
        <v>23</v>
      </c>
      <c r="G26" s="74">
        <v>26</v>
      </c>
      <c r="H26" s="74">
        <v>24</v>
      </c>
      <c r="I26" s="74">
        <v>25</v>
      </c>
      <c r="J26" s="74">
        <v>25</v>
      </c>
      <c r="K26" s="74">
        <v>25</v>
      </c>
      <c r="L26" s="74">
        <v>24</v>
      </c>
      <c r="M26" s="74">
        <v>24</v>
      </c>
      <c r="N26" s="74">
        <v>22</v>
      </c>
      <c r="O26" s="74">
        <v>22</v>
      </c>
      <c r="P26" s="74">
        <v>23</v>
      </c>
      <c r="Q26" s="93">
        <v>24</v>
      </c>
      <c r="R26" s="74">
        <v>24</v>
      </c>
      <c r="S26" s="74">
        <v>25</v>
      </c>
      <c r="T26" s="74">
        <v>23</v>
      </c>
      <c r="U26" s="74">
        <v>25</v>
      </c>
      <c r="V26" s="74">
        <v>21</v>
      </c>
      <c r="W26" s="74">
        <v>24</v>
      </c>
      <c r="X26" s="74">
        <v>28</v>
      </c>
      <c r="Y26" s="74">
        <v>25</v>
      </c>
      <c r="Z26" s="175"/>
      <c r="AA26" s="176"/>
      <c r="AB26" s="176"/>
      <c r="AC26" s="176"/>
      <c r="AD26" s="176"/>
      <c r="AE26" s="17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1" ph="1">
        <v>0.66666666666666663</v>
      </c>
      <c r="C27" s="159" t="s" ph="1">
        <v>180</v>
      </c>
      <c r="D27" s="71">
        <v>60.36</v>
      </c>
      <c r="E27" s="71">
        <v>5.65</v>
      </c>
      <c r="F27" s="71">
        <v>915</v>
      </c>
      <c r="G27" s="71">
        <v>2858</v>
      </c>
      <c r="H27" s="71">
        <v>2803</v>
      </c>
      <c r="I27" s="71">
        <v>403</v>
      </c>
      <c r="J27" s="71">
        <v>824</v>
      </c>
      <c r="K27" s="71">
        <v>1558</v>
      </c>
      <c r="L27" s="71">
        <v>466</v>
      </c>
      <c r="M27" s="71">
        <v>4841</v>
      </c>
      <c r="N27" s="71">
        <v>4827</v>
      </c>
      <c r="O27" s="71">
        <v>5417</v>
      </c>
      <c r="P27" s="71">
        <v>1039</v>
      </c>
      <c r="Q27" s="90">
        <v>1560</v>
      </c>
      <c r="R27" s="71">
        <v>5192</v>
      </c>
      <c r="S27" s="71">
        <v>2442</v>
      </c>
      <c r="T27" s="71">
        <v>1277</v>
      </c>
      <c r="U27" s="71">
        <v>6195</v>
      </c>
      <c r="V27" s="71">
        <v>1552</v>
      </c>
      <c r="W27" s="71">
        <v>9812</v>
      </c>
      <c r="X27" s="71">
        <v>4315</v>
      </c>
      <c r="Y27" s="71">
        <v>3331</v>
      </c>
      <c r="Z27" s="175"/>
      <c r="AA27" s="176"/>
      <c r="AB27" s="176"/>
      <c r="AC27" s="176"/>
      <c r="AD27" s="176"/>
      <c r="AE27" s="17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1" ph="1"/>
      <c r="C28" s="159" t="s" ph="1">
        <v>178</v>
      </c>
      <c r="D28" s="91" ph="1">
        <f>D27*268.68*LOOKUP(D29,密度!$A$2:$A$50,密度!$Q$2:$Q$50)+IF(D27&lt;=0,0,1566*LOOKUP(D29,密度!$A$2:$A$50,密度!$Q$2:$Q$50))</f>
        <v>16836.374269152002</v>
      </c>
      <c r="E28" s="91" ph="1">
        <f>E27*268.68*LOOKUP(E29,密度!$A$2:$A$50,密度!$C$2:$C$50)+IF(E27&lt;=0,0,1566*LOOKUP(E29,密度!$A$2:$A$50,密度!$C$2:$C$50))</f>
        <v>3419.8941738000003</v>
      </c>
      <c r="F28" s="91" ph="1">
        <f>F27*11.702*LOOKUP(F29,密度!$A$2:$A$50,密度!$Q$2:$Q$50)</f>
        <v>10152.690306</v>
      </c>
      <c r="G28" s="91" ph="1">
        <f>G27*18.322*LOOKUP(G29,密度!$A$2:$A$50,密度!$B$2:$B$50)</f>
        <v>40776.061721199992</v>
      </c>
      <c r="H28" s="91" ph="1">
        <f>H27*18.322*LOOKUP(H29,密度!$A$2:$A$50,密度!$B$2:$B$50)</f>
        <v>40130.020672400002</v>
      </c>
      <c r="I28" s="91" ph="1">
        <f>I27*18.322*LOOKUP(I29,密度!$A$2:$A$50,密度!$Q$2:$Q$50)</f>
        <v>6990.5066228400001</v>
      </c>
      <c r="J28" s="91" ph="1">
        <f>J27*18.322*LOOKUP(J29,密度!$A$2:$A$50,密度!$Q$2:$Q$50)</f>
        <v>14293.24431072</v>
      </c>
      <c r="K28" s="91" ph="1">
        <f>K27*18.322*LOOKUP(K29,密度!$A$2:$A$50,密度!$Q$2:$Q$50)</f>
        <v>27046.17163972</v>
      </c>
      <c r="L28" s="91" ph="1">
        <f>L27*18.322*LOOKUP(L29,密度!$A$2:$A$50,密度!$Q$2:$Q$50)</f>
        <v>8083.3153504800002</v>
      </c>
      <c r="M28" s="91" ph="1">
        <f>M27*18.322*LOOKUP(M29,密度!$A$2:$A$50,密度!$Q$2:$Q$50)</f>
        <v>84037.558990940001</v>
      </c>
      <c r="N28" s="91" ph="1">
        <f>N27*18.322*LOOKUP(N29,密度!$A$2:$A$50,密度!$Q$2:$Q$50)</f>
        <v>83794.525356179991</v>
      </c>
      <c r="O28" s="91" ph="1">
        <f>O27*18.322*LOOKUP(O29,密度!$A$2:$A$50,密度!$C$2:$C$50)</f>
        <v>110276.97944139999</v>
      </c>
      <c r="P28" s="91" ph="1">
        <f>P27*11.702*LOOKUP(P29,密度!$A$2:$A$50,密度!$B$2:$B$50)</f>
        <v>9489.6140290000003</v>
      </c>
      <c r="Q28" s="92" ph="1">
        <f>Q27*18.322*LOOKUP(Q29,密度!$A$2:$A$50,密度!$B$2:$B$50)</f>
        <v>22334.224847999998</v>
      </c>
      <c r="R28" s="91" ph="1">
        <f>R27*35.891*LOOKUP(R29,密度!$A$2:$A$50,密度!$C$2:$C$50)</f>
        <v>206639.15924079999</v>
      </c>
      <c r="S28" s="91" ph="1">
        <f>S27*35.891*LOOKUP(S29,密度!$A$2:$A$50,密度!$B$2:$B$50)</f>
        <v>68407.564071000001</v>
      </c>
      <c r="T28" s="91" ph="1">
        <f>T27*35.891*LOOKUP(T29,密度!$A$2:$A$50,密度!$Q$2:$Q$50)</f>
        <v>43458.667597400003</v>
      </c>
      <c r="U28" s="91" ph="1">
        <f>U27*35.891</f>
        <v>222344.745</v>
      </c>
      <c r="V28" s="91" ph="1">
        <f>V27*47.051*LOOKUP(V29,密度!$A$2:$A$50,密度!$B$2:$B$50)</f>
        <v>57191.7326464</v>
      </c>
      <c r="W28" s="91" ph="1">
        <f>W27*47.051*LOOKUP(W29,密度!$A$2:$A$50,密度!$B$2:$B$50)</f>
        <v>360329.07356599998</v>
      </c>
      <c r="X28" s="91" ph="1">
        <f>X27*47.051*LOOKUP(X29,密度!$A$2:$A$61,密度!$I$2:$I$61)</f>
        <v>210943.04253499999</v>
      </c>
      <c r="Y28" s="91" ph="1">
        <f>Y27*47.051*LOOKUP(Y29,密度!$A$2:$A$50,密度!$L$2:$L$50)</f>
        <v>146853.087497</v>
      </c>
      <c r="Z28" s="175"/>
      <c r="AA28" s="176"/>
      <c r="AB28" s="176"/>
      <c r="AC28" s="176"/>
      <c r="AD28" s="176"/>
      <c r="AE28" s="17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1" ph="1"/>
      <c r="C29" s="159" t="s" ph="1">
        <v>179</v>
      </c>
      <c r="D29" s="74">
        <v>25</v>
      </c>
      <c r="E29" s="74">
        <v>25</v>
      </c>
      <c r="F29" s="74">
        <v>23</v>
      </c>
      <c r="G29" s="74">
        <v>26</v>
      </c>
      <c r="H29" s="74">
        <v>23</v>
      </c>
      <c r="I29" s="74">
        <v>25</v>
      </c>
      <c r="J29" s="74">
        <v>25</v>
      </c>
      <c r="K29" s="74">
        <v>24</v>
      </c>
      <c r="L29" s="74">
        <v>25</v>
      </c>
      <c r="M29" s="74">
        <v>24</v>
      </c>
      <c r="N29" s="74">
        <v>24</v>
      </c>
      <c r="O29" s="74">
        <v>22</v>
      </c>
      <c r="P29" s="74">
        <v>24</v>
      </c>
      <c r="Q29" s="93">
        <v>23</v>
      </c>
      <c r="R29" s="74">
        <v>25</v>
      </c>
      <c r="S29" s="74">
        <v>24</v>
      </c>
      <c r="T29" s="74">
        <v>23</v>
      </c>
      <c r="U29" s="74">
        <v>23</v>
      </c>
      <c r="V29" s="74">
        <v>21</v>
      </c>
      <c r="W29" s="74">
        <v>24</v>
      </c>
      <c r="X29" s="74">
        <v>28</v>
      </c>
      <c r="Y29" s="74">
        <v>25</v>
      </c>
      <c r="Z29" s="178"/>
      <c r="AA29" s="179"/>
      <c r="AB29" s="179"/>
      <c r="AC29" s="179"/>
      <c r="AD29" s="179"/>
      <c r="AE29" s="18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4" t="s" ph="1">
        <v>35</v>
      </c>
      <c r="C31" s="195" ph="1"/>
      <c r="D31" s="198" t="s" ph="1">
        <v>9</v>
      </c>
      <c r="E31" s="187" ph="1"/>
      <c r="F31" s="188" ph="1"/>
      <c r="G31" s="198" t="s" ph="1">
        <v>18</v>
      </c>
      <c r="H31" s="187" ph="1"/>
      <c r="I31" s="188" ph="1"/>
      <c r="J31" s="186" t="s" ph="1">
        <v>1</v>
      </c>
      <c r="K31" s="187" ph="1"/>
      <c r="L31" s="188" ph="1"/>
      <c r="M31" s="186" t="s" ph="1">
        <v>7</v>
      </c>
      <c r="N31" s="187" ph="1"/>
      <c r="O31" s="188" ph="1"/>
      <c r="P31" s="186" t="s" ph="1">
        <v>41</v>
      </c>
      <c r="Q31" s="187"/>
      <c r="R31" s="188"/>
      <c r="S31" s="186" t="s" ph="1">
        <v>2</v>
      </c>
      <c r="T31" s="187"/>
      <c r="U31" s="188"/>
      <c r="V31" s="186" t="s" ph="1">
        <v>71</v>
      </c>
      <c r="W31" s="187" ph="1"/>
      <c r="X31" s="188" ph="1"/>
      <c r="Y31" s="186" t="s" ph="1">
        <v>3</v>
      </c>
      <c r="Z31" s="187" ph="1"/>
      <c r="AA31" s="188" ph="1"/>
      <c r="AB31" s="209" t="s">
        <v>42</v>
      </c>
      <c r="AC31" s="210"/>
      <c r="AD31" s="210"/>
      <c r="AE31" s="211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6" ph="1"/>
      <c r="C32" s="197" ph="1"/>
      <c r="D32" s="96" t="s" ph="1">
        <v>4</v>
      </c>
      <c r="E32" s="159" t="s" ph="1">
        <v>5</v>
      </c>
      <c r="F32" s="158" t="s" ph="1">
        <v>43</v>
      </c>
      <c r="G32" s="97" t="s" ph="1">
        <v>4</v>
      </c>
      <c r="H32" s="159" t="s" ph="1">
        <v>5</v>
      </c>
      <c r="I32" s="158" t="s" ph="1">
        <v>43</v>
      </c>
      <c r="J32" s="97" t="s" ph="1">
        <v>4</v>
      </c>
      <c r="K32" s="159" t="s" ph="1">
        <v>5</v>
      </c>
      <c r="L32" s="158" t="s" ph="1">
        <v>43</v>
      </c>
      <c r="M32" s="97" t="s" ph="1">
        <v>4</v>
      </c>
      <c r="N32" s="159" t="s" ph="1">
        <v>5</v>
      </c>
      <c r="O32" s="15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9" t="s" ph="1">
        <v>5</v>
      </c>
      <c r="U32" s="99" t="s" ph="1">
        <v>43</v>
      </c>
      <c r="V32" s="97" t="s" ph="1">
        <v>4</v>
      </c>
      <c r="W32" s="159" t="s" ph="1">
        <v>5</v>
      </c>
      <c r="X32" s="99" t="s" ph="1">
        <v>43</v>
      </c>
      <c r="Y32" s="100" t="s" ph="1">
        <v>4</v>
      </c>
      <c r="Z32" s="159" t="s" ph="1">
        <v>5</v>
      </c>
      <c r="AA32" s="158" t="s" ph="1">
        <v>43</v>
      </c>
      <c r="AB32" s="97" t="s" ph="1">
        <v>85</v>
      </c>
      <c r="AC32" s="159" t="s" ph="1">
        <v>84</v>
      </c>
      <c r="AD32" s="212" t="s" ph="1">
        <v>83</v>
      </c>
      <c r="AE32" s="213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199" t="s" ph="1">
        <v>181</v>
      </c>
      <c r="C33" s="200" ph="1"/>
      <c r="D33" s="203" ph="1">
        <f>AA10+AB10+Z19</f>
        <v>259850.69813430001</v>
      </c>
      <c r="E33" s="203" ph="1">
        <f>M10+I10</f>
        <v>16511.173098200001</v>
      </c>
      <c r="F33" s="20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1522252632456786910111213141516171819202123456789101112131415161718192022232424356789101112131415161718192021222345678910111213141516171819202345678910111213149101516171819222123234567891012131415161711181920212224252345678910111213123[[#This Row],[F25]]</f>
        <v>3880</v>
      </c>
      <c r="G33" s="207" ph="1">
        <f>N19</f>
        <v>20038.022634940004</v>
      </c>
      <c r="H33" s="203" ph="1">
        <f>M19</f>
        <v>5109.2517108960001</v>
      </c>
      <c r="I33" s="216" ph="1">
        <v>0</v>
      </c>
      <c r="J33" s="214" ph="1">
        <f>F10+O28</f>
        <v>324838.12139109999</v>
      </c>
      <c r="K33" s="203" ph="1">
        <f>O10+K10+E28+R28</f>
        <v>345542.53453219996</v>
      </c>
      <c r="L33" s="218" ph="1">
        <f>K19</f>
        <v>50346.552320399998</v>
      </c>
      <c r="M33" s="214" ph="1">
        <f>G10+H10+W28+S28+V28+E10+R19+P28+Q28</f>
        <v>1124818.6877892802</v>
      </c>
      <c r="N33" s="203" ph="1">
        <f>L10+P10++G28+H28+AD19+AE19</f>
        <v>156590.88409839998</v>
      </c>
      <c r="O33" s="216" ph="1">
        <f>G19</f>
        <v>26951.215350279999</v>
      </c>
      <c r="P33" s="214" ph="1">
        <f>L19</f>
        <v>22753.766379960001</v>
      </c>
      <c r="Q33" s="203" ph="1">
        <f>J10+N10</f>
        <v>88244.522788800008</v>
      </c>
      <c r="R33" s="216" ph="1">
        <f>BE23</f>
        <v>890</v>
      </c>
      <c r="S33" s="214" ph="1">
        <f>X28</f>
        <v>210943.04253499999</v>
      </c>
      <c r="T33" s="203" ph="1">
        <f>X19</f>
        <v>4450.6403210400003</v>
      </c>
      <c r="U33" s="224" ph="1">
        <f>BE21</f>
        <v>730</v>
      </c>
      <c r="V33" s="235" ph="1">
        <f ca="1">P19+Q19+S19+M28+N28+J28+D10+AC10+D19+E19+H19+J19+O19+V19+W19+K28+L28</f>
        <v>961893.29700451996</v>
      </c>
      <c r="W33" s="235" ph="1">
        <f>D28+F28+T28+I28</f>
        <v>77438.238795391997</v>
      </c>
      <c r="X33" s="216" ph="1">
        <f>BE29+BE31</f>
        <v>10200</v>
      </c>
      <c r="Y33" s="237" ph="1">
        <f>+Q10+R10+S10+T10+U10+V10+W10+X10+Y10</f>
        <v>315692.79449400003</v>
      </c>
      <c r="Z33" s="222" ph="1">
        <f>T19+U19+Y28+Z10</f>
        <v>260966.77122833999</v>
      </c>
      <c r="AA33" s="224" ph="1">
        <f>BE19</f>
        <v>1440</v>
      </c>
      <c r="AB33" s="226" ph="1">
        <f>I19</f>
        <v>47039.250828199998</v>
      </c>
      <c r="AC33" s="228" ph="1">
        <f>AD10+AB19</f>
        <v>44270.598965999998</v>
      </c>
      <c r="AD33" s="230" ph="1">
        <v>0</v>
      </c>
      <c r="AE33" s="231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1" ph="1"/>
      <c r="C34" s="202" ph="1"/>
      <c r="D34" s="204" ph="1"/>
      <c r="E34" s="204" ph="1"/>
      <c r="F34" s="206" ph="1"/>
      <c r="G34" s="208" ph="1"/>
      <c r="H34" s="204" ph="1"/>
      <c r="I34" s="217" ph="1"/>
      <c r="J34" s="215" ph="1"/>
      <c r="K34" s="204" ph="1"/>
      <c r="L34" s="219" ph="1"/>
      <c r="M34" s="215" ph="1"/>
      <c r="N34" s="204" ph="1"/>
      <c r="O34" s="217" ph="1"/>
      <c r="P34" s="215" ph="1"/>
      <c r="Q34" s="204" ph="1"/>
      <c r="R34" s="217" ph="1"/>
      <c r="S34" s="215" ph="1"/>
      <c r="T34" s="204"/>
      <c r="U34" s="225"/>
      <c r="V34" s="236" ph="1"/>
      <c r="W34" s="236" ph="1"/>
      <c r="X34" s="217" ph="1"/>
      <c r="Y34" s="238" ph="1"/>
      <c r="Z34" s="223" ph="1"/>
      <c r="AA34" s="225" ph="1"/>
      <c r="AB34" s="227"/>
      <c r="AC34" s="229"/>
      <c r="AD34" s="232"/>
      <c r="AE34" s="233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4" t="s" ph="1">
        <v>631</v>
      </c>
      <c r="AD35" s="234"/>
      <c r="AE35" s="234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0" t="s" ph="1">
        <v>183</v>
      </c>
      <c r="J36" s="220" ph="1"/>
      <c r="K36" s="101" ph="1"/>
      <c r="P36" s="101" ph="1"/>
      <c r="R36" s="220" t="s" ph="1">
        <v>184</v>
      </c>
      <c r="S36" s="220" ph="1"/>
      <c r="Y36" s="102" ph="1"/>
      <c r="Z36" s="157" t="s" ph="1">
        <v>185</v>
      </c>
      <c r="AA36" s="157" ph="1"/>
      <c r="AB36" s="221" t="s" ph="1">
        <v>638</v>
      </c>
      <c r="AC36" s="221" ph="1"/>
      <c r="AD36" s="221" ph="1"/>
      <c r="AE36" s="221" ph="1"/>
      <c r="BA36" s="64" ph="1">
        <v>2270</v>
      </c>
    </row>
    <row r="37" spans="1:57" s="157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7" t="s" ph="1">
        <v>342</v>
      </c>
      <c r="AI37" s="157" t="s" ph="1">
        <v>209</v>
      </c>
      <c r="AJ37" s="157" t="s" ph="1">
        <v>210</v>
      </c>
      <c r="AK37" s="157" t="s" ph="1">
        <v>211</v>
      </c>
      <c r="AM37" s="157" t="s" ph="1">
        <v>210</v>
      </c>
      <c r="AN37" s="157" t="s" ph="1">
        <v>211</v>
      </c>
      <c r="AO37" s="157" t="s" ph="1">
        <v>212</v>
      </c>
      <c r="AP37" s="157" t="s" ph="1">
        <v>210</v>
      </c>
      <c r="AQ37" s="157" t="s" ph="1">
        <v>211</v>
      </c>
      <c r="AR37" s="157" t="s" ph="1">
        <v>212</v>
      </c>
      <c r="AS37" s="157" t="s" ph="1">
        <v>210</v>
      </c>
      <c r="AT37" s="157" t="s" ph="1">
        <v>211</v>
      </c>
      <c r="AU37" s="157" t="s" ph="1">
        <v>212</v>
      </c>
      <c r="AV37" s="157" t="s" ph="1">
        <v>210</v>
      </c>
      <c r="AW37" s="157" t="s" ph="1">
        <v>211</v>
      </c>
      <c r="AX37" s="157" t="s" ph="1">
        <v>212</v>
      </c>
      <c r="AY37" s="157" t="s" ph="1">
        <v>211</v>
      </c>
      <c r="AZ37" s="157" t="s" ph="1">
        <v>213</v>
      </c>
      <c r="BD37" s="157" t="s" ph="1">
        <v>305</v>
      </c>
      <c r="BE37" s="157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389" priority="100">
      <formula>ABS(D$7-D$10)&gt;=1000</formula>
    </cfRule>
  </conditionalFormatting>
  <conditionalFormatting sqref="E4 E6:E11">
    <cfRule type="expression" dxfId="388" priority="99">
      <formula>ABS(E$7-E$10)&gt;=1000</formula>
    </cfRule>
  </conditionalFormatting>
  <conditionalFormatting sqref="F4:F11">
    <cfRule type="expression" dxfId="387" priority="98">
      <formula>ABS(F$7-F$10)&gt;=1000</formula>
    </cfRule>
  </conditionalFormatting>
  <conditionalFormatting sqref="G4:G11">
    <cfRule type="expression" dxfId="386" priority="97">
      <formula>ABS(G$7-G$10)&gt;=1000</formula>
    </cfRule>
  </conditionalFormatting>
  <conditionalFormatting sqref="H4:H11">
    <cfRule type="expression" dxfId="385" priority="96">
      <formula>ABS(H$7-H$10)&gt;=1000</formula>
    </cfRule>
  </conditionalFormatting>
  <conditionalFormatting sqref="I4:I11">
    <cfRule type="expression" dxfId="384" priority="95">
      <formula>ABS(I$7-I$10)&gt;=1000</formula>
    </cfRule>
  </conditionalFormatting>
  <conditionalFormatting sqref="J4:J11">
    <cfRule type="expression" dxfId="383" priority="94">
      <formula>ABS(J$7-J$10)&gt;=1000</formula>
    </cfRule>
  </conditionalFormatting>
  <conditionalFormatting sqref="K4:K11">
    <cfRule type="expression" dxfId="382" priority="93">
      <formula>ABS(K$7-K$10)&gt;=1000</formula>
    </cfRule>
  </conditionalFormatting>
  <conditionalFormatting sqref="L4:L11">
    <cfRule type="expression" dxfId="381" priority="92">
      <formula>ABS(L$7-L$10)&gt;=1000</formula>
    </cfRule>
  </conditionalFormatting>
  <conditionalFormatting sqref="M4 M6:M11">
    <cfRule type="expression" dxfId="380" priority="91">
      <formula>ABS(M$7-M$10)&gt;=1000</formula>
    </cfRule>
  </conditionalFormatting>
  <conditionalFormatting sqref="N4 N6:N11">
    <cfRule type="expression" dxfId="379" priority="90">
      <formula>ABS(N$7-N$10)&gt;=1000</formula>
    </cfRule>
  </conditionalFormatting>
  <conditionalFormatting sqref="O4 O6:O11">
    <cfRule type="expression" dxfId="378" priority="89">
      <formula>ABS(O$7-O$10)&gt;=1000</formula>
    </cfRule>
  </conditionalFormatting>
  <conditionalFormatting sqref="P4 P6:P11">
    <cfRule type="expression" dxfId="377" priority="88">
      <formula>ABS(P$7-P$10)&gt;=1000</formula>
    </cfRule>
  </conditionalFormatting>
  <conditionalFormatting sqref="Q4:Q11">
    <cfRule type="expression" dxfId="376" priority="87">
      <formula>ABS(Q$7-Q$10)&gt;=1000</formula>
    </cfRule>
  </conditionalFormatting>
  <conditionalFormatting sqref="R4:R11">
    <cfRule type="expression" dxfId="375" priority="86">
      <formula>ABS(R$7-R$10)&gt;=1000</formula>
    </cfRule>
  </conditionalFormatting>
  <conditionalFormatting sqref="S4:S11">
    <cfRule type="expression" dxfId="374" priority="85">
      <formula>ABS(S$7-S$10)&gt;=1000</formula>
    </cfRule>
  </conditionalFormatting>
  <conditionalFormatting sqref="T4:T9 T11">
    <cfRule type="expression" dxfId="373" priority="84">
      <formula>ABS(T$7-T$10)&gt;=1000</formula>
    </cfRule>
  </conditionalFormatting>
  <conditionalFormatting sqref="U4:U9 U11">
    <cfRule type="expression" dxfId="372" priority="83">
      <formula>ABS(U$7-U$10)&gt;=1000</formula>
    </cfRule>
  </conditionalFormatting>
  <conditionalFormatting sqref="V4:V9 V11">
    <cfRule type="expression" dxfId="371" priority="82">
      <formula>ABS(V$7-V$10)&gt;=1000</formula>
    </cfRule>
  </conditionalFormatting>
  <conditionalFormatting sqref="W4:W9 W11">
    <cfRule type="expression" dxfId="370" priority="81">
      <formula>ABS(W$7-W$10)&gt;=1000</formula>
    </cfRule>
  </conditionalFormatting>
  <conditionalFormatting sqref="X4:X9 X11">
    <cfRule type="expression" dxfId="369" priority="80">
      <formula>ABS(X$7-X$10)&gt;=1000</formula>
    </cfRule>
  </conditionalFormatting>
  <conditionalFormatting sqref="Y4:Y9 Y11">
    <cfRule type="expression" dxfId="368" priority="79">
      <formula>ABS(Y$7-Y$10)&gt;=1000</formula>
    </cfRule>
  </conditionalFormatting>
  <conditionalFormatting sqref="Z4:Z11">
    <cfRule type="expression" dxfId="367" priority="78">
      <formula>ABS(Z$7-Z$10)&gt;=1000</formula>
    </cfRule>
  </conditionalFormatting>
  <conditionalFormatting sqref="AA4:AA11">
    <cfRule type="expression" dxfId="366" priority="77">
      <formula>ABS(AA$7-AA$10)&gt;=1000</formula>
    </cfRule>
  </conditionalFormatting>
  <conditionalFormatting sqref="AB4:AB11">
    <cfRule type="expression" dxfId="365" priority="76">
      <formula>ABS(AB$7-AB$10)&gt;=1000</formula>
    </cfRule>
  </conditionalFormatting>
  <conditionalFormatting sqref="AC4 AC6:AC11">
    <cfRule type="expression" dxfId="364" priority="75">
      <formula>ABS(AC$7-AC$10)&gt;=1000</formula>
    </cfRule>
  </conditionalFormatting>
  <conditionalFormatting sqref="AD4 AD6:AD11">
    <cfRule type="expression" dxfId="363" priority="74">
      <formula>ABS(AD$7-AD$10)&gt;=1000</formula>
    </cfRule>
  </conditionalFormatting>
  <conditionalFormatting sqref="AE4 AE6:AE11">
    <cfRule type="expression" dxfId="362" priority="73">
      <formula>ABS(AE$7-AE$10)&gt;=1000</formula>
    </cfRule>
  </conditionalFormatting>
  <conditionalFormatting sqref="D13:D20">
    <cfRule type="expression" dxfId="361" priority="72">
      <formula>ABS(D$16-D$19)&gt;=1000</formula>
    </cfRule>
  </conditionalFormatting>
  <conditionalFormatting sqref="E13:E20">
    <cfRule type="expression" dxfId="360" priority="71">
      <formula>ABS(E$16-E$19)&gt;=1000</formula>
    </cfRule>
  </conditionalFormatting>
  <conditionalFormatting sqref="F13 F15:F20">
    <cfRule type="expression" dxfId="359" priority="70">
      <formula>ABS(F$16-F$19)&gt;=1000</formula>
    </cfRule>
  </conditionalFormatting>
  <conditionalFormatting sqref="G13:G20">
    <cfRule type="expression" dxfId="358" priority="69">
      <formula>ABS(G$16-G$19)&gt;=1000</formula>
    </cfRule>
  </conditionalFormatting>
  <conditionalFormatting sqref="H13 H15:H20">
    <cfRule type="expression" dxfId="357" priority="68">
      <formula>ABS(H$16-H$19)&gt;=1000</formula>
    </cfRule>
  </conditionalFormatting>
  <conditionalFormatting sqref="I13:I20">
    <cfRule type="expression" dxfId="356" priority="67">
      <formula>ABS(I$16-I$19)&gt;=1000</formula>
    </cfRule>
  </conditionalFormatting>
  <conditionalFormatting sqref="J13:J20">
    <cfRule type="expression" dxfId="355" priority="66">
      <formula>ABS(J$16-J$19)&gt;=1000</formula>
    </cfRule>
  </conditionalFormatting>
  <conditionalFormatting sqref="L13:L20">
    <cfRule type="expression" dxfId="354" priority="65">
      <formula>ABS(L$16-L$19)&gt;=1000</formula>
    </cfRule>
  </conditionalFormatting>
  <conditionalFormatting sqref="M13 M15 M17:M18 M20">
    <cfRule type="expression" dxfId="353" priority="64">
      <formula>ABS(M$16-M$19)&gt;=1000</formula>
    </cfRule>
  </conditionalFormatting>
  <conditionalFormatting sqref="N13:N20">
    <cfRule type="expression" dxfId="352" priority="63">
      <formula>ABS(N$16-N$19)&gt;=1000</formula>
    </cfRule>
  </conditionalFormatting>
  <conditionalFormatting sqref="O13:O20">
    <cfRule type="expression" dxfId="351" priority="62">
      <formula>ABS(O$16-O$19)&gt;=1000</formula>
    </cfRule>
  </conditionalFormatting>
  <conditionalFormatting sqref="P13:P20">
    <cfRule type="expression" dxfId="350" priority="61">
      <formula>ABS(P$16-P$19)&gt;=1000</formula>
    </cfRule>
  </conditionalFormatting>
  <conditionalFormatting sqref="Q13 Q15:Q20">
    <cfRule type="expression" dxfId="349" priority="60">
      <formula>ABS(Q$16-Q$19)&gt;=1000</formula>
    </cfRule>
  </conditionalFormatting>
  <conditionalFormatting sqref="R13:R20">
    <cfRule type="expression" dxfId="348" priority="59">
      <formula>ABS(R$16-R$19)&gt;=1000</formula>
    </cfRule>
  </conditionalFormatting>
  <conditionalFormatting sqref="S13:S20">
    <cfRule type="expression" dxfId="347" priority="58">
      <formula>ABS(S$16-S$19)&gt;=1000</formula>
    </cfRule>
  </conditionalFormatting>
  <conditionalFormatting sqref="T13:T20">
    <cfRule type="expression" dxfId="346" priority="57">
      <formula>ABS(T$16-T$19)&gt;=1000</formula>
    </cfRule>
  </conditionalFormatting>
  <conditionalFormatting sqref="U13:U20">
    <cfRule type="expression" dxfId="345" priority="56">
      <formula>ABS(U$16-U$19)&gt;=1000</formula>
    </cfRule>
  </conditionalFormatting>
  <conditionalFormatting sqref="V13:V20">
    <cfRule type="expression" dxfId="344" priority="55">
      <formula>ABS(V$16-V$19)&gt;=1000</formula>
    </cfRule>
  </conditionalFormatting>
  <conditionalFormatting sqref="W13 W20 W15:W18">
    <cfRule type="expression" dxfId="343" priority="54">
      <formula>ABS(W$16-W$19)&gt;=1000</formula>
    </cfRule>
  </conditionalFormatting>
  <conditionalFormatting sqref="X13 X15:X20 Y19">
    <cfRule type="expression" dxfId="342" priority="53">
      <formula>ABS(X$16-X$19)&gt;=1000</formula>
    </cfRule>
  </conditionalFormatting>
  <conditionalFormatting sqref="Y13 Y15:Y18 Y20">
    <cfRule type="expression" dxfId="341" priority="52">
      <formula>ABS(Y$16-Y$19)&gt;=1000</formula>
    </cfRule>
  </conditionalFormatting>
  <conditionalFormatting sqref="Z13:Z20">
    <cfRule type="expression" dxfId="340" priority="51">
      <formula>ABS(Z$16-Z$19)&gt;=1000</formula>
    </cfRule>
  </conditionalFormatting>
  <conditionalFormatting sqref="AA13:AA20">
    <cfRule type="expression" dxfId="339" priority="50">
      <formula>ABS(AA$16-AA$19)&gt;=1000</formula>
    </cfRule>
  </conditionalFormatting>
  <conditionalFormatting sqref="AB13 AB15:AB20">
    <cfRule type="expression" dxfId="338" priority="49">
      <formula>ABS(AB$16-AB$19)&gt;=1000</formula>
    </cfRule>
  </conditionalFormatting>
  <conditionalFormatting sqref="AC13 AC15:AC20">
    <cfRule type="expression" dxfId="337" priority="48">
      <formula>ABS(AC$16-AC$19)&gt;=1000</formula>
    </cfRule>
  </conditionalFormatting>
  <conditionalFormatting sqref="AD13:AD20">
    <cfRule type="expression" dxfId="336" priority="47">
      <formula>ABS(AD$16-AD$19)&gt;=1000</formula>
    </cfRule>
  </conditionalFormatting>
  <conditionalFormatting sqref="AE13:AE20">
    <cfRule type="expression" dxfId="335" priority="46">
      <formula>ABS(AE$16-AE$19)&gt;=1000</formula>
    </cfRule>
  </conditionalFormatting>
  <conditionalFormatting sqref="D22:D29">
    <cfRule type="expression" dxfId="334" priority="45">
      <formula>ABS(D$25-D$28)&gt;=1000</formula>
    </cfRule>
  </conditionalFormatting>
  <conditionalFormatting sqref="E22:E29">
    <cfRule type="expression" dxfId="333" priority="44">
      <formula>ABS(E$25-E$28)&gt;=1000</formula>
    </cfRule>
  </conditionalFormatting>
  <conditionalFormatting sqref="F22:F29">
    <cfRule type="expression" dxfId="332" priority="43">
      <formula>ABS(F$25-F$28)&gt;=1000</formula>
    </cfRule>
  </conditionalFormatting>
  <conditionalFormatting sqref="G22:G29">
    <cfRule type="expression" dxfId="331" priority="42">
      <formula>ABS(G$25-G$28)&gt;=1000</formula>
    </cfRule>
  </conditionalFormatting>
  <conditionalFormatting sqref="H22:H29">
    <cfRule type="expression" dxfId="330" priority="41">
      <formula>ABS(H$25-H$28)&gt;=1000</formula>
    </cfRule>
  </conditionalFormatting>
  <conditionalFormatting sqref="I22 I24:I29">
    <cfRule type="expression" dxfId="329" priority="40">
      <formula>ABS(I$25-I$28)&gt;=1000</formula>
    </cfRule>
  </conditionalFormatting>
  <conditionalFormatting sqref="J22:J29 K22">
    <cfRule type="expression" dxfId="328" priority="39">
      <formula>ABS(J$25-J$28)&gt;=1000</formula>
    </cfRule>
  </conditionalFormatting>
  <conditionalFormatting sqref="K23:K29 L25 L28">
    <cfRule type="expression" dxfId="327" priority="38">
      <formula>ABS(K$25-K$28)&gt;=1000</formula>
    </cfRule>
  </conditionalFormatting>
  <conditionalFormatting sqref="L22 L26:L27 L29 L24">
    <cfRule type="expression" dxfId="326" priority="37">
      <formula>ABS(L$25-L$28)&gt;=1000</formula>
    </cfRule>
  </conditionalFormatting>
  <conditionalFormatting sqref="M22:M29">
    <cfRule type="expression" dxfId="325" priority="36">
      <formula>ABS(M$25-M$28)&gt;=1000</formula>
    </cfRule>
  </conditionalFormatting>
  <conditionalFormatting sqref="N22:N29">
    <cfRule type="expression" dxfId="324" priority="35">
      <formula>ABS(N$25-N$28)&gt;=1000</formula>
    </cfRule>
  </conditionalFormatting>
  <conditionalFormatting sqref="O22:O29">
    <cfRule type="expression" dxfId="323" priority="34">
      <formula>ABS(O$25-O$28)&gt;=1000</formula>
    </cfRule>
  </conditionalFormatting>
  <conditionalFormatting sqref="P22:P29">
    <cfRule type="expression" dxfId="322" priority="33">
      <formula>ABS(P$25-P$28)&gt;=1000</formula>
    </cfRule>
  </conditionalFormatting>
  <conditionalFormatting sqref="Q22:Q29">
    <cfRule type="expression" dxfId="321" priority="32">
      <formula>ABS(Q$25-Q$28)&gt;=1000</formula>
    </cfRule>
  </conditionalFormatting>
  <conditionalFormatting sqref="R22:R29">
    <cfRule type="expression" dxfId="320" priority="31">
      <formula>ABS(R$25-R$28)&gt;=1000</formula>
    </cfRule>
  </conditionalFormatting>
  <conditionalFormatting sqref="S22:S29">
    <cfRule type="expression" dxfId="319" priority="30">
      <formula>ABS(S$25-S$28)&gt;=1000</formula>
    </cfRule>
  </conditionalFormatting>
  <conditionalFormatting sqref="T22:T29">
    <cfRule type="expression" dxfId="318" priority="29">
      <formula>ABS(T$25-T$28)&gt;=1000</formula>
    </cfRule>
  </conditionalFormatting>
  <conditionalFormatting sqref="U22:U29">
    <cfRule type="expression" dxfId="317" priority="28">
      <formula>ABS(U$25-U$28)&gt;=1000</formula>
    </cfRule>
  </conditionalFormatting>
  <conditionalFormatting sqref="V22:V29">
    <cfRule type="expression" dxfId="316" priority="27">
      <formula>ABS(V$25-V$28)&gt;=1000</formula>
    </cfRule>
  </conditionalFormatting>
  <conditionalFormatting sqref="W22:W29">
    <cfRule type="expression" dxfId="315" priority="26">
      <formula>ABS(W$25-W$28)&gt;=1000</formula>
    </cfRule>
  </conditionalFormatting>
  <conditionalFormatting sqref="X22:X29">
    <cfRule type="expression" dxfId="314" priority="25">
      <formula>ABS(X$25-X$28)&gt;=1000</formula>
    </cfRule>
  </conditionalFormatting>
  <conditionalFormatting sqref="Y22:Y29">
    <cfRule type="expression" dxfId="313" priority="24">
      <formula>ABS(Y$25-Y$28)&gt;=1000</formula>
    </cfRule>
  </conditionalFormatting>
  <conditionalFormatting sqref="I23">
    <cfRule type="expression" dxfId="312" priority="23">
      <formula>ABS(I$25-I$28)&gt;=1000</formula>
    </cfRule>
  </conditionalFormatting>
  <conditionalFormatting sqref="Q14">
    <cfRule type="expression" dxfId="311" priority="22">
      <formula>ABS(Q$16-Q$19)&gt;=1000</formula>
    </cfRule>
  </conditionalFormatting>
  <conditionalFormatting sqref="W14">
    <cfRule type="expression" dxfId="310" priority="21">
      <formula>ABS(W$16-W$19)&gt;=1000</formula>
    </cfRule>
  </conditionalFormatting>
  <conditionalFormatting sqref="X14">
    <cfRule type="expression" dxfId="309" priority="20">
      <formula>ABS(X$16-X$19)&gt;=1000</formula>
    </cfRule>
  </conditionalFormatting>
  <conditionalFormatting sqref="T10:Y10">
    <cfRule type="expression" dxfId="308" priority="19">
      <formula>ABS(T$7-T$10)&gt;=1000</formula>
    </cfRule>
  </conditionalFormatting>
  <conditionalFormatting sqref="W19">
    <cfRule type="expression" dxfId="307" priority="18">
      <formula>ABS(W$16-W$19)&gt;=1000</formula>
    </cfRule>
  </conditionalFormatting>
  <conditionalFormatting sqref="AC5">
    <cfRule type="expression" dxfId="306" priority="17">
      <formula>ABS(AC$7-AC$10)&gt;=1000</formula>
    </cfRule>
  </conditionalFormatting>
  <conditionalFormatting sqref="M14">
    <cfRule type="expression" dxfId="305" priority="16">
      <formula>ABS(M$16-M$19)&gt;=1000</formula>
    </cfRule>
  </conditionalFormatting>
  <conditionalFormatting sqref="M16">
    <cfRule type="expression" dxfId="304" priority="15">
      <formula>ABS(M$16-M$19)&gt;=1000</formula>
    </cfRule>
  </conditionalFormatting>
  <conditionalFormatting sqref="M19">
    <cfRule type="expression" dxfId="303" priority="14">
      <formula>ABS(M$16-M$19)&gt;=1000</formula>
    </cfRule>
  </conditionalFormatting>
  <conditionalFormatting sqref="K13:K20">
    <cfRule type="expression" dxfId="302" priority="13">
      <formula>ABS(K$16-K$19)&gt;=1000</formula>
    </cfRule>
  </conditionalFormatting>
  <conditionalFormatting sqref="E5">
    <cfRule type="expression" dxfId="301" priority="12">
      <formula>ABS(E$7-E$10)&gt;=1000</formula>
    </cfRule>
  </conditionalFormatting>
  <conditionalFormatting sqref="AB14:AC14">
    <cfRule type="expression" dxfId="300" priority="11">
      <formula>ABS(AB$16-AB$19)&gt;=1000</formula>
    </cfRule>
  </conditionalFormatting>
  <conditionalFormatting sqref="M5">
    <cfRule type="expression" dxfId="299" priority="10">
      <formula>ABS(M$7-M$10)&gt;=1000</formula>
    </cfRule>
  </conditionalFormatting>
  <conditionalFormatting sqref="N5">
    <cfRule type="expression" dxfId="298" priority="9">
      <formula>ABS(N$7-N$10)&gt;=1000</formula>
    </cfRule>
  </conditionalFormatting>
  <conditionalFormatting sqref="O5">
    <cfRule type="expression" dxfId="297" priority="8">
      <formula>ABS(O$7-O$10)&gt;=1000</formula>
    </cfRule>
  </conditionalFormatting>
  <conditionalFormatting sqref="P5">
    <cfRule type="expression" dxfId="296" priority="7">
      <formula>ABS(P$7-P$10)&gt;=1000</formula>
    </cfRule>
  </conditionalFormatting>
  <conditionalFormatting sqref="L23">
    <cfRule type="expression" dxfId="295" priority="6">
      <formula>ABS(L$25-L$28)&gt;=1000</formula>
    </cfRule>
  </conditionalFormatting>
  <conditionalFormatting sqref="Y14">
    <cfRule type="expression" dxfId="294" priority="5">
      <formula>ABS(Y$16-Y$19)&gt;=1000</formula>
    </cfRule>
  </conditionalFormatting>
  <conditionalFormatting sqref="F14">
    <cfRule type="expression" dxfId="293" priority="4">
      <formula>ABS(F$16-F$19)&gt;=1000</formula>
    </cfRule>
  </conditionalFormatting>
  <conditionalFormatting sqref="H14">
    <cfRule type="expression" dxfId="292" priority="3">
      <formula>ABS(H$16-H$19)&gt;=1000</formula>
    </cfRule>
  </conditionalFormatting>
  <conditionalFormatting sqref="AD5">
    <cfRule type="expression" dxfId="291" priority="2">
      <formula>ABS(AD$7-AD$10)&gt;=1000</formula>
    </cfRule>
  </conditionalFormatting>
  <conditionalFormatting sqref="AE5">
    <cfRule type="expression" dxfId="29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3648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77">
    <pageSetUpPr fitToPage="1"/>
  </sheetPr>
  <dimension ref="A1:CU223"/>
  <sheetViews>
    <sheetView view="pageBreakPreview" topLeftCell="H1" zoomScale="75" zoomScaleNormal="100" zoomScaleSheetLayoutView="75" workbookViewId="0">
      <selection activeCell="Y31" sqref="Y31:AA31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2" t="s" ph="1">
        <v>161</v>
      </c>
      <c r="C1" s="182" ph="1"/>
      <c r="D1" s="182" ph="1"/>
      <c r="E1" s="182" ph="1"/>
      <c r="F1" s="182" ph="1"/>
      <c r="G1" s="182" ph="1"/>
      <c r="H1" s="182" ph="1"/>
      <c r="I1" s="182" ph="1"/>
      <c r="J1" s="182" ph="1"/>
      <c r="K1" s="182" ph="1"/>
      <c r="L1" s="182" ph="1"/>
      <c r="M1" s="182" ph="1"/>
      <c r="N1" s="182" ph="1"/>
      <c r="O1" s="182" ph="1"/>
      <c r="P1" s="182" ph="1"/>
      <c r="Q1" s="182" ph="1"/>
      <c r="R1" s="182" ph="1"/>
      <c r="S1" s="182" ph="1"/>
      <c r="T1" s="182" ph="1"/>
      <c r="U1" s="182" ph="1"/>
      <c r="V1" s="182" ph="1"/>
      <c r="W1" s="182" ph="1"/>
      <c r="X1" s="182" ph="1"/>
      <c r="Y1" s="182" ph="1"/>
      <c r="Z1" s="182" ph="1"/>
      <c r="AA1" s="182" ph="1"/>
      <c r="AB1" s="182" ph="1"/>
      <c r="AC1" s="182" ph="1"/>
      <c r="AD1" s="182" ph="1"/>
      <c r="AE1" s="182" ph="1"/>
    </row>
    <row r="2" spans="1:99" s="66" customFormat="1" ht="24" customHeight="1" ph="1">
      <c r="B2" s="183" t="s" ph="1">
        <v>82</v>
      </c>
      <c r="C2" s="183" ph="1"/>
      <c r="D2" s="183" ph="1"/>
      <c r="E2" s="183" ph="1"/>
      <c r="F2" s="183" ph="1"/>
      <c r="G2" s="183" ph="1"/>
      <c r="H2" s="183" ph="1"/>
      <c r="I2" s="183" ph="1"/>
      <c r="J2" s="183" ph="1"/>
      <c r="K2" s="183" ph="1"/>
      <c r="L2" s="183" ph="1"/>
      <c r="M2" s="183" ph="1"/>
      <c r="N2" s="183" ph="1"/>
      <c r="O2" s="183" ph="1"/>
      <c r="P2" s="183" ph="1"/>
      <c r="Q2" s="183" ph="1"/>
      <c r="R2" s="183" ph="1"/>
      <c r="S2" s="183" ph="1"/>
      <c r="T2" s="183" ph="1"/>
      <c r="U2" s="183" ph="1"/>
      <c r="V2" s="183" ph="1"/>
      <c r="W2" s="183" ph="1"/>
      <c r="X2" s="183" ph="1"/>
      <c r="Y2" s="183" ph="1"/>
      <c r="Z2" s="183" ph="1"/>
      <c r="AA2" s="183" ph="1"/>
      <c r="AB2" s="183" ph="1"/>
      <c r="AC2" s="183" ph="1"/>
      <c r="AD2" s="183" ph="1"/>
      <c r="AE2" s="183" ph="1"/>
    </row>
    <row r="3" spans="1:99" ht="21" customHeight="1" ph="1">
      <c r="B3" s="184" ph="1">
        <v>46141</v>
      </c>
      <c r="C3" s="184"/>
      <c r="D3" s="184"/>
      <c r="E3" s="184"/>
      <c r="F3" s="184"/>
      <c r="G3" s="184"/>
      <c r="H3" s="184"/>
      <c r="I3" s="184"/>
      <c r="J3" s="184"/>
      <c r="K3" s="184"/>
      <c r="L3" s="184"/>
      <c r="M3" s="184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</row>
    <row r="4" spans="1:99" s="69" customFormat="1" ph="1">
      <c r="A4" s="65" ph="1"/>
      <c r="B4" s="185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5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1" ph="1">
        <v>0.33333333333333331</v>
      </c>
      <c r="C6" s="159" t="s" ph="1">
        <v>177</v>
      </c>
      <c r="D6" s="71">
        <v>7087</v>
      </c>
      <c r="E6" s="71">
        <v>6536</v>
      </c>
      <c r="F6" s="71">
        <v>5830</v>
      </c>
      <c r="G6" s="71">
        <v>7131</v>
      </c>
      <c r="H6" s="71">
        <v>1239</v>
      </c>
      <c r="I6" s="71">
        <v>0.06</v>
      </c>
      <c r="J6" s="71">
        <v>6.31</v>
      </c>
      <c r="K6" s="71">
        <v>62.74</v>
      </c>
      <c r="L6" s="71">
        <v>73.33</v>
      </c>
      <c r="M6" s="71">
        <v>489</v>
      </c>
      <c r="N6" s="71">
        <v>3345</v>
      </c>
      <c r="O6" s="71">
        <v>5098</v>
      </c>
      <c r="P6" s="71">
        <v>1038</v>
      </c>
      <c r="Q6" s="71">
        <v>7192</v>
      </c>
      <c r="R6" s="71">
        <v>7144</v>
      </c>
      <c r="S6" s="71">
        <v>6245</v>
      </c>
      <c r="T6" s="71">
        <v>7169</v>
      </c>
      <c r="U6" s="71">
        <v>5077</v>
      </c>
      <c r="V6" s="71">
        <v>3622</v>
      </c>
      <c r="W6" s="71">
        <v>0</v>
      </c>
      <c r="X6" s="71">
        <v>0</v>
      </c>
      <c r="Y6" s="71">
        <v>4262</v>
      </c>
      <c r="Z6" s="71">
        <v>3796</v>
      </c>
      <c r="AA6" s="71">
        <v>5975</v>
      </c>
      <c r="AB6" s="71">
        <v>3495</v>
      </c>
      <c r="AC6" s="71">
        <v>6812</v>
      </c>
      <c r="AD6" s="71">
        <v>1800</v>
      </c>
      <c r="AE6" s="71">
        <v>4544</v>
      </c>
    </row>
    <row r="7" spans="1:99" s="72" customFormat="1" ht="22.2" ph="1">
      <c r="B7" s="181" ph="1"/>
      <c r="C7" s="68" t="s" ph="1">
        <v>178</v>
      </c>
      <c r="D7" s="73" ph="1">
        <f>D6*33.183*LOOKUP(D8,密度!$A$2:$A$50,密度!$Q$2:$Q$50)</f>
        <v>222308.93907972</v>
      </c>
      <c r="E7" s="73" ph="1">
        <f>E6*51.53*LOOKUP(E8,密度!$A$2:$A$50,密度!$B$2:$B$50)</f>
        <v>262569.34236800001</v>
      </c>
      <c r="F7" s="73" ph="1">
        <f>F6*33.183*LOOKUP(F8,密度!$A$2:$A$50,密度!$C$2:$C$50)</f>
        <v>214659.76514399998</v>
      </c>
      <c r="G7" s="73" ph="1">
        <f xml:space="preserve"> (G6+2)*51.53*LOOKUP(G8,密度!$A$2:$A$50,密度!$B$2:$B$50)</f>
        <v>286552.49680399999</v>
      </c>
      <c r="H7" s="73" ph="1">
        <f>(H6)*51.53*LOOKUP(H8,密度!$A$2:$A$50,密度!$B$2:$B$50)</f>
        <v>50061.389846999999</v>
      </c>
      <c r="I7" s="73" ph="1">
        <f>I6*290.8*1.0267</f>
        <v>17.913861600000001</v>
      </c>
      <c r="J7" s="73" ph="1">
        <f>J6*290.8*0.7892</f>
        <v>1448.1409615999999</v>
      </c>
      <c r="K7" s="73" ph="1">
        <f>K6*290.8*1.1126</f>
        <v>20299.155579200004</v>
      </c>
      <c r="L7" s="73" ph="1">
        <f>L6*290.8*0.777</f>
        <v>16569.030828000003</v>
      </c>
      <c r="M7" s="73" ph="1">
        <f>M6*33.183*LOOKUP(M8,密度!$A$2:$A$50,密度!$D$2:$D$50)</f>
        <v>16659.734202899999</v>
      </c>
      <c r="N7" s="73" ph="1">
        <f>N6*33.183*LOOKUP(N8,密度!$A$2:$A$50,密度!$E$2:$E$50)</f>
        <v>86810.859283500002</v>
      </c>
      <c r="O7" s="73" ph="1">
        <f>O6*20.428*LOOKUP(O8,密度!$A$2:$A$50,密度!$C$2:$C$50)</f>
        <v>115243.4752304</v>
      </c>
      <c r="P7" s="73" ph="1">
        <f>P6*51.53*LOOKUP(P8,密度!$A$2:$A$50,密度!$B$2:$B$50)</f>
        <v>41795.632595999996</v>
      </c>
      <c r="Q7" s="73" ph="1">
        <f>Q6*1.5*1.5*3.1416*LOOKUP(W8,密度!$A$2:$A$50,密度!$L$2:$L$50)</f>
        <v>47685.4541856</v>
      </c>
      <c r="R7" s="73" ph="1">
        <f>R6*1.5*1.5*3.1416*LOOKUP(R8,密度!$A$2:$A$50,密度!$L$2:$L$50)</f>
        <v>47114.707147200003</v>
      </c>
      <c r="S7" s="73" ph="1">
        <f>S6*1.5*1.5*3.1416*LOOKUP(S8,密度!$A$2:$A$50,密度!$L$2:$L$50)</f>
        <v>41494.802579999996</v>
      </c>
      <c r="T7" s="73" ph="1">
        <f>T6*1.5*1.5*3.1416*LOOKUP(T8,密度!$A$2:$A$50,密度!$L$2:$L$50)</f>
        <v>47684.980589400002</v>
      </c>
      <c r="U7" s="73" ph="1">
        <f>U6*1.5*1.5*3.1416*LOOKUP(U8,密度!$A$2:$A$50,密度!$L$2:$L$50)</f>
        <v>33662.270703599999</v>
      </c>
      <c r="V7" s="73" ph="1">
        <f>V6*1.5*1.5*3.1416*LOOKUP(V8,密度!$A$2:$A$50,密度!$L$2:$L$50)</f>
        <v>23938.308702000002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28258.538061599997</v>
      </c>
      <c r="Z7" s="73" ph="1">
        <f>Z6*33.183*LOOKUP(Z8,密度!$A$2:$A$50,密度!$L$2:$L$50)</f>
        <v>118027.019916</v>
      </c>
      <c r="AA7" s="73" ph="1">
        <f>AA6*33.183*LOOKUP(AA8,密度!$A$2:$A$50,密度!$D$2:$D$50)</f>
        <v>203562.19194749999</v>
      </c>
      <c r="AB7" s="73" ph="1">
        <f>AB6*20.428*LOOKUP(AB8,密度!$A$2:$A$50,密度!$D$2:$D$50)</f>
        <v>73694.806691999998</v>
      </c>
      <c r="AC7" s="73" ph="1">
        <f>AC6*51.53*LOOKUP(AC8,密度!$A$2:$A$50,密度!$Q$2:$Q$50)</f>
        <v>332839.40175199998</v>
      </c>
      <c r="AD7" s="73" ph="1">
        <f>AD6*20.428*LOOKUP(AD8,密度!$A$2:$A$50,密度!$V$2:$V$50)</f>
        <v>35329.000319999999</v>
      </c>
      <c r="AE7" s="73" ph="1">
        <f>AE6*20.428</f>
        <v>92824.832000000009</v>
      </c>
    </row>
    <row r="8" spans="1:99" ph="1">
      <c r="B8" s="181" ph="1"/>
      <c r="C8" s="68" t="s" ph="1">
        <v>179</v>
      </c>
      <c r="D8" s="74">
        <v>27</v>
      </c>
      <c r="E8" s="74">
        <v>25</v>
      </c>
      <c r="F8" s="74">
        <v>24</v>
      </c>
      <c r="G8" s="74">
        <v>25</v>
      </c>
      <c r="H8" s="74">
        <v>20</v>
      </c>
      <c r="I8" s="74">
        <v>25</v>
      </c>
      <c r="J8" s="74">
        <v>25</v>
      </c>
      <c r="K8" s="74">
        <v>25</v>
      </c>
      <c r="L8" s="74">
        <v>25</v>
      </c>
      <c r="M8" s="74">
        <v>25</v>
      </c>
      <c r="N8" s="74">
        <v>26</v>
      </c>
      <c r="O8" s="74">
        <v>28</v>
      </c>
      <c r="P8" s="74">
        <v>23</v>
      </c>
      <c r="Q8" s="74">
        <v>27</v>
      </c>
      <c r="R8" s="74">
        <v>29</v>
      </c>
      <c r="S8" s="74">
        <v>22</v>
      </c>
      <c r="T8" s="74">
        <v>21</v>
      </c>
      <c r="U8" s="74">
        <v>24</v>
      </c>
      <c r="V8" s="74">
        <v>27</v>
      </c>
      <c r="W8" s="74">
        <v>24</v>
      </c>
      <c r="X8" s="74">
        <v>15</v>
      </c>
      <c r="Y8" s="74">
        <v>24</v>
      </c>
      <c r="Z8" s="74">
        <v>25</v>
      </c>
      <c r="AA8" s="74">
        <v>25</v>
      </c>
      <c r="AB8" s="74">
        <v>19</v>
      </c>
      <c r="AC8" s="74">
        <v>23</v>
      </c>
      <c r="AD8" s="74">
        <v>24</v>
      </c>
      <c r="AE8" s="74">
        <v>26</v>
      </c>
    </row>
    <row r="9" spans="1:99" ht="26.4" ph="1">
      <c r="B9" s="181" ph="1">
        <v>0.66666666666666663</v>
      </c>
      <c r="C9" s="159" t="s" ph="1">
        <v>180</v>
      </c>
      <c r="D9" s="71">
        <v>7088</v>
      </c>
      <c r="E9" s="71">
        <v>6537</v>
      </c>
      <c r="F9" s="71">
        <v>5833</v>
      </c>
      <c r="G9" s="71">
        <v>7027</v>
      </c>
      <c r="H9" s="71">
        <v>1242</v>
      </c>
      <c r="I9" s="71">
        <v>0.06</v>
      </c>
      <c r="J9" s="71">
        <v>6.33</v>
      </c>
      <c r="K9" s="71">
        <v>62.71</v>
      </c>
      <c r="L9" s="71">
        <v>29.95</v>
      </c>
      <c r="M9" s="71">
        <v>489</v>
      </c>
      <c r="N9" s="71">
        <v>3170</v>
      </c>
      <c r="O9" s="71">
        <v>5099</v>
      </c>
      <c r="P9" s="71">
        <v>915</v>
      </c>
      <c r="Q9" s="71">
        <v>7196</v>
      </c>
      <c r="R9" s="71">
        <v>7148</v>
      </c>
      <c r="S9" s="71">
        <v>6250</v>
      </c>
      <c r="T9" s="71">
        <v>7172</v>
      </c>
      <c r="U9" s="71">
        <v>7023</v>
      </c>
      <c r="V9" s="71">
        <v>6645</v>
      </c>
      <c r="W9" s="71">
        <v>2405</v>
      </c>
      <c r="X9" s="71">
        <v>4935</v>
      </c>
      <c r="Y9" s="71">
        <v>599</v>
      </c>
      <c r="Z9" s="71">
        <v>4627</v>
      </c>
      <c r="AA9" s="71">
        <v>6567</v>
      </c>
      <c r="AB9" s="71">
        <v>3497</v>
      </c>
      <c r="AC9" s="71">
        <v>7142</v>
      </c>
      <c r="AD9" s="71">
        <v>1800</v>
      </c>
      <c r="AE9" s="71">
        <v>4504</v>
      </c>
    </row>
    <row r="10" spans="1:99" s="72" customFormat="1" ht="22.2" ph="1">
      <c r="B10" s="181" ph="1"/>
      <c r="C10" s="159" t="s" ph="1">
        <v>178</v>
      </c>
      <c r="D10" s="73" ph="1">
        <f>D9*33.183*LOOKUP(D11,密度!$A$2:$A$50,密度!$Q$2:$Q$50)</f>
        <v>222507.30041712002</v>
      </c>
      <c r="E10" s="73" ph="1">
        <f>E9*51.53*LOOKUP(E11,密度!$A$2:$A$50,密度!$B$2:$B$50)</f>
        <v>262609.51515599998</v>
      </c>
      <c r="F10" s="73" ph="1">
        <f>F9*33.183*LOOKUP(F11,密度!$A$2:$A$50,密度!$C$2:$C$50)</f>
        <v>214770.22471439998</v>
      </c>
      <c r="G10" s="73" ph="1">
        <f xml:space="preserve"> (G9+2)*51.53*LOOKUP(G11,密度!$A$2:$A$50,密度!$B$2:$B$50)</f>
        <v>282048.54291899997</v>
      </c>
      <c r="H10" s="73" ph="1">
        <f>(H9)*51.53*LOOKUP(H11,密度!$A$2:$A$50,密度!$B$2:$B$50)</f>
        <v>50067.403398000002</v>
      </c>
      <c r="I10" s="73" ph="1">
        <f>I9*290.8*1.0267</f>
        <v>17.913861600000001</v>
      </c>
      <c r="J10" s="73" ph="1">
        <f>J9*290.8*0.7892</f>
        <v>1452.7309488000001</v>
      </c>
      <c r="K10" s="73" ph="1">
        <f>K9*290.8*1.1126</f>
        <v>20289.449256799999</v>
      </c>
      <c r="L10" s="73" ph="1">
        <f>L9*290.8*0.777</f>
        <v>6767.2504200000012</v>
      </c>
      <c r="M10" s="73" ph="1">
        <f>M9*33.183*LOOKUP(M11,密度!$A$2:$A$50,密度!$D$2:$D$50)</f>
        <v>16645.130364600001</v>
      </c>
      <c r="N10" s="73" ph="1">
        <f>N9*33.183*LOOKUP(N11,密度!$A$2:$A$50,密度!$E$2:$E$50)</f>
        <v>82384.894152000008</v>
      </c>
      <c r="O10" s="73" ph="1">
        <f>O9*20.428*LOOKUP(O11,密度!$A$2:$A$50,密度!$C$2:$C$50)</f>
        <v>115266.08085520001</v>
      </c>
      <c r="P10" s="73" ph="1">
        <f>P9*51.53*LOOKUP(P11,密度!$A$2:$A$50,密度!$B$2:$B$50)</f>
        <v>36800.535974999999</v>
      </c>
      <c r="Q10" s="73" ph="1">
        <f>Q9*1.5*1.5*3.1416*LOOKUP(W11,密度!$A$2:$A$50,密度!$L$2:$L$50)</f>
        <v>47711.975572799995</v>
      </c>
      <c r="R10" s="73" ph="1">
        <f>R9*1.5*1.5*3.1416*LOOKUP(R11,密度!$A$2:$A$50,密度!$L$2:$L$50)</f>
        <v>47040.0344568</v>
      </c>
      <c r="S10" s="73" ph="1">
        <f>S9*1.5*1.5*3.1416*LOOKUP(S11,密度!$A$2:$A$50,密度!$L$2:$L$50)</f>
        <v>41483.846249999995</v>
      </c>
      <c r="T10" s="73" ph="1">
        <f>T9*1.5*1.5*3.1416*LOOKUP(T11,密度!$A$2:$A$50,密度!$L$2:$L$50)</f>
        <v>47654.239247999998</v>
      </c>
      <c r="U10" s="73" ph="1">
        <f>U9*1.5*1.5*3.1416*LOOKUP(U11,密度!$A$2:$A$50,密度!$L$2:$L$50)</f>
        <v>46515.282798599997</v>
      </c>
      <c r="V10" s="73" ph="1">
        <f>V9*1.5*1.5*3.1416*LOOKUP(V11,密度!$A$2:$A$50,密度!$L$2:$L$50)</f>
        <v>43870.771098000005</v>
      </c>
      <c r="W10" s="73" ph="1">
        <f>W9*1.5*1.5*3.1416*LOOKUP(W11,密度!$A$2:$A$50,密度!$L$2:$L$50)</f>
        <v>15945.984053999999</v>
      </c>
      <c r="X10" s="73" ph="1">
        <f>X9*1.5*1.5*3.1416*LOOKUP(X11,密度!$A$2:$A$50,密度!$L$2:$L$50)</f>
        <v>32685.877916999998</v>
      </c>
      <c r="Y10" s="73" ph="1">
        <f>Y9*1.5*1.5*3.1416*LOOKUP(Y11,密度!$A$2:$A$50,密度!$L$2:$L$50)</f>
        <v>3967.3436418000006</v>
      </c>
      <c r="Z10" s="73" ph="1">
        <f>Z9*33.183*LOOKUP(Z11,密度!$A$2:$A$50,密度!$L$2:$L$50)</f>
        <v>144018.40105799999</v>
      </c>
      <c r="AA10" s="73" ph="1">
        <f>AA9*33.183*LOOKUP(AA11,密度!$A$2:$A$50,密度!$D$2:$D$50)</f>
        <v>223534.91023380001</v>
      </c>
      <c r="AB10" s="73" ph="1">
        <f>AB9*20.428*LOOKUP(AB11,密度!$A$2:$A$50,密度!$D$2:$D$50)</f>
        <v>73679.828882400005</v>
      </c>
      <c r="AC10" s="73" ph="1">
        <f>AC9*51.53*LOOKUP(AC11,密度!$A$2:$A$50,密度!$Q$2:$Q$50)</f>
        <v>348694.78803220001</v>
      </c>
      <c r="AD10" s="73" ph="1">
        <f>AD9*20.428*LOOKUP(AD11,密度!$A$2:$A$50,密度!$V$2:$V$50)</f>
        <v>35329.000319999999</v>
      </c>
      <c r="AE10" s="73" ph="1">
        <f>AE9*20.428</f>
        <v>92007.712</v>
      </c>
    </row>
    <row r="11" spans="1:99" ph="1">
      <c r="A11" s="64" t="s" ph="1">
        <v>162</v>
      </c>
      <c r="B11" s="181" ph="1"/>
      <c r="C11" s="159" t="s" ph="1">
        <v>179</v>
      </c>
      <c r="D11" s="74">
        <v>26</v>
      </c>
      <c r="E11" s="74">
        <v>25</v>
      </c>
      <c r="F11" s="74">
        <v>24</v>
      </c>
      <c r="G11" s="74">
        <v>26</v>
      </c>
      <c r="H11" s="74">
        <v>22</v>
      </c>
      <c r="I11" s="74">
        <v>25</v>
      </c>
      <c r="J11" s="74">
        <v>25</v>
      </c>
      <c r="K11" s="74">
        <v>25</v>
      </c>
      <c r="L11" s="74">
        <v>25</v>
      </c>
      <c r="M11" s="74">
        <v>26</v>
      </c>
      <c r="N11" s="74">
        <v>25</v>
      </c>
      <c r="O11" s="74">
        <v>28</v>
      </c>
      <c r="P11" s="74">
        <v>24</v>
      </c>
      <c r="Q11" s="74">
        <v>27</v>
      </c>
      <c r="R11" s="74">
        <v>31</v>
      </c>
      <c r="S11" s="74">
        <v>23</v>
      </c>
      <c r="T11" s="74">
        <v>22</v>
      </c>
      <c r="U11" s="74">
        <v>25</v>
      </c>
      <c r="V11" s="74">
        <v>28</v>
      </c>
      <c r="W11" s="74">
        <v>24</v>
      </c>
      <c r="X11" s="74">
        <v>25</v>
      </c>
      <c r="Y11" s="74">
        <v>25</v>
      </c>
      <c r="Z11" s="74">
        <v>24</v>
      </c>
      <c r="AA11" s="74">
        <v>26</v>
      </c>
      <c r="AB11" s="74">
        <v>20</v>
      </c>
      <c r="AC11" s="74">
        <v>24</v>
      </c>
      <c r="AD11" s="74">
        <v>24</v>
      </c>
      <c r="AE11" s="74">
        <v>26</v>
      </c>
    </row>
    <row r="12" spans="1:99" ht="9.9" customHeight="1" ph="1"/>
    <row r="13" spans="1:99" s="72" customFormat="1" ht="29.25" customHeight="1" ph="1">
      <c r="B13" s="189" t="s" ph="1">
        <v>37</v>
      </c>
      <c r="C13" s="159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0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639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1" ph="1">
        <v>0.33333333333333331</v>
      </c>
      <c r="C15" s="159" t="s" ph="1">
        <v>177</v>
      </c>
      <c r="D15" s="78">
        <v>0</v>
      </c>
      <c r="E15" s="78">
        <v>5054</v>
      </c>
      <c r="F15" s="78">
        <v>2096</v>
      </c>
      <c r="G15" s="78">
        <v>3947</v>
      </c>
      <c r="H15" s="78">
        <v>0</v>
      </c>
      <c r="I15" s="78">
        <v>5076</v>
      </c>
      <c r="J15" s="78">
        <v>498</v>
      </c>
      <c r="K15" s="78">
        <v>5010</v>
      </c>
      <c r="L15" s="78">
        <v>3203</v>
      </c>
      <c r="M15" s="78">
        <v>2883</v>
      </c>
      <c r="N15" s="78">
        <v>263</v>
      </c>
      <c r="O15" s="78">
        <v>4743</v>
      </c>
      <c r="P15" s="78">
        <v>2332</v>
      </c>
      <c r="Q15" s="78">
        <v>979</v>
      </c>
      <c r="R15" s="78">
        <v>2587</v>
      </c>
      <c r="S15" s="78">
        <v>6467</v>
      </c>
      <c r="T15" s="78">
        <v>3794</v>
      </c>
      <c r="U15" s="78">
        <v>1718</v>
      </c>
      <c r="V15" s="78">
        <v>1662</v>
      </c>
      <c r="W15" s="71">
        <v>-173</v>
      </c>
      <c r="X15" s="78">
        <v>-145</v>
      </c>
      <c r="Y15" s="106">
        <v>-9905</v>
      </c>
      <c r="Z15" s="78">
        <v>0</v>
      </c>
      <c r="AA15" s="78">
        <v>0</v>
      </c>
      <c r="AB15" s="78" ph="1">
        <v>1071</v>
      </c>
      <c r="AC15" s="78" ph="1">
        <v>0</v>
      </c>
      <c r="AD15" s="78">
        <v>5.68</v>
      </c>
      <c r="AE15" s="78">
        <v>52.2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2" ph="1"/>
      <c r="C16" s="159" t="s" ph="1">
        <v>178</v>
      </c>
      <c r="D16" s="73" ph="1">
        <f>D15*7.0686*LOOKUP(D17,密度!$A$2:$A$50,密度!$L$2:$L$50)</f>
        <v>0</v>
      </c>
      <c r="E16" s="73" ph="1">
        <f>E15*7.0686*LOOKUP(E17,密度!$A$2:$A$50,密度!$L$2:$L$50)</f>
        <v>33509.772727199997</v>
      </c>
      <c r="F16" s="73" ph="1">
        <f>F15*9.0746*LOOKUP(F17,密度!$A$2:$A$50,密度!$L$2:$L$50)</f>
        <v>17765.0177344</v>
      </c>
      <c r="G16" s="73" ph="1">
        <f>G15*9.0746*LOOKUP(G17,密度!$A$2:$A$50,密度!$B$2:$B$50)</f>
        <v>27923.281057519998</v>
      </c>
      <c r="H16" s="73" ph="1">
        <f>H15*9.0746*LOOKUP(H17,密度!$A$2:$A$50,密度!$L$2:$L$50)</f>
        <v>0</v>
      </c>
      <c r="I16" s="73" ph="1">
        <f>I15*9.0746*LOOKUP(I17,密度!$A$2:$A$50,密度!$U$2:$U$50)</f>
        <v>47260.299009599999</v>
      </c>
      <c r="J16" s="73" ph="1">
        <f>J15*9.0746*LOOKUP(J17,密度!$A$2:$A$50,密度!$L$2:$L$50)</f>
        <v>4234.4442996000007</v>
      </c>
      <c r="K16" s="73" ph="1">
        <f>K15*9.0746*LOOKUP(K17,密度!$A$2:$A$50,密度!$C$2:$C$50)</f>
        <v>50414.747939399997</v>
      </c>
      <c r="L16" s="73" ph="1">
        <f>L15*9.0746*LOOKUP(L17,密度!$A$2:$A$50,密度!$E$2:$E$50)</f>
        <v>22732.474645980001</v>
      </c>
      <c r="M16" s="73" ph="1">
        <f>M15*9.0746*LOOKUP(M17,密度!$A$2:$A$50,密度!$M$2:$M$50)</f>
        <v>22868.266960380002</v>
      </c>
      <c r="N16" s="73" ph="1">
        <f>N15*9.0746*LOOKUP(N17,密度!$A$2:$A$50,密度!$M$2:$M$50)</f>
        <v>2095.4521844000001</v>
      </c>
      <c r="O16" s="73" ph="1">
        <f>O15*9.0746*LOOKUP(O17,密度!$A$2:$A$50,密度!$G$2:$G$50)</f>
        <v>41276.1538602</v>
      </c>
      <c r="P16" s="73" ph="1">
        <f ca="1">P15*9.0746*LOOKUP(P17,密度!$A$2:$A$51,密度!$Q$2:$Q$50)</f>
        <v>20034.880826927998</v>
      </c>
      <c r="Q16" s="73" ph="1">
        <f>Q15*9.0746*LOOKUP(Q17,密度!$A$2:$A$50,密度!$Q$2:$Q$50)</f>
        <v>8423.8404698800005</v>
      </c>
      <c r="R16" s="73" ph="1">
        <f>MAX(R15*9.0746*LOOKUP(R17,密度!$A$2:$A$50,密度!$B$2:$B$50),0)</f>
        <v>18261.972776580002</v>
      </c>
      <c r="S16" s="73" ph="1">
        <f>S15*9.0746*LOOKUP(S17,密度!$A$2:$A$50,密度!$Q$2:$Q$50)</f>
        <v>55559.851761468002</v>
      </c>
      <c r="T16" s="73" ph="1">
        <f>T15*9.0746*LOOKUP(T17,密度!$A$2:$A$50,密度!$O$2:$O$50)</f>
        <v>31881.284002400003</v>
      </c>
      <c r="U16" s="73" ph="1">
        <f>U15*9.0746*LOOKUP(U17,密度!$A$2:$A$50,密度!$H$2:$H$50)</f>
        <v>14291.50223876</v>
      </c>
      <c r="V16" s="73" ph="1">
        <f>MAX(5600*LOOKUP(V17,密度!$A$2:$A$50,密度!$Q$2:$Q$50)+V15*9.0476*LOOKUP(V17,密度!$A$2:$A$50,密度!$Q$2:$Q$50),0)</f>
        <v>19494.227981743999</v>
      </c>
      <c r="W16" s="73" ph="1">
        <f>MAX(5600*LOOKUP(W17,密度!$A$2:$A$50,密度!$Q$2:$Q$50)+W15*9.0476*LOOKUP(W17,密度!$A$2:$A$50,密度!$Q$2:$Q$50),0)</f>
        <v>3814.1442388640003</v>
      </c>
      <c r="X16" s="73" ph="1">
        <f>MAX(5600*LOOKUP(X17,密度!$A$2:$A$50,密度!$I$2:$I$50)+X15*9.0476*LOOKUP(X17,密度!$A$2:$A$50,密度!$I$2:$I$50),0)</f>
        <v>4469.4845454000006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0</v>
      </c>
      <c r="AB16" s="73" ph="1">
        <f>AB15*9.0746*LOOKUP(AB17,密度!$A$2:$A$50,密度!$L$2:$L$50)</f>
        <v>9106.6061141999999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2410.6030310400001</v>
      </c>
      <c r="AE16" s="73" ph="1">
        <f>AE15*268.68*LOOKUP(AE17,密度!$A$2:$A$50,密度!B2:B50)+IF(AE15&lt;=0,0,1566*LOOKUP(AE17,密度!$A$2:$A$50,密度!B2:B50))</f>
        <v>12154.8184416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3" ph="1"/>
      <c r="C17" s="79" t="s" ph="1">
        <v>179</v>
      </c>
      <c r="D17" s="74">
        <v>25</v>
      </c>
      <c r="E17" s="74">
        <v>24</v>
      </c>
      <c r="F17" s="74">
        <v>28</v>
      </c>
      <c r="G17" s="74">
        <v>25</v>
      </c>
      <c r="H17" s="74">
        <v>20</v>
      </c>
      <c r="I17" s="74">
        <v>24</v>
      </c>
      <c r="J17" s="74">
        <v>25</v>
      </c>
      <c r="K17" s="74">
        <v>25</v>
      </c>
      <c r="L17" s="74">
        <v>26</v>
      </c>
      <c r="M17" s="74">
        <v>26</v>
      </c>
      <c r="N17" s="74">
        <v>22</v>
      </c>
      <c r="O17" s="74">
        <v>26</v>
      </c>
      <c r="P17" s="74">
        <v>25</v>
      </c>
      <c r="Q17" s="74">
        <v>23</v>
      </c>
      <c r="R17" s="74">
        <v>27</v>
      </c>
      <c r="S17" s="74">
        <v>25</v>
      </c>
      <c r="T17" s="74">
        <v>25</v>
      </c>
      <c r="U17" s="74">
        <v>23</v>
      </c>
      <c r="V17" s="74">
        <v>28</v>
      </c>
      <c r="W17" s="74">
        <v>27</v>
      </c>
      <c r="X17" s="74">
        <v>25</v>
      </c>
      <c r="Y17" s="108">
        <v>25</v>
      </c>
      <c r="Z17" s="74">
        <v>25</v>
      </c>
      <c r="AA17" s="74">
        <v>23</v>
      </c>
      <c r="AB17" s="74">
        <v>25</v>
      </c>
      <c r="AC17" s="74">
        <v>23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1" ph="1">
        <v>0.66666666666666663</v>
      </c>
      <c r="C18" s="79" t="s" ph="1">
        <v>180</v>
      </c>
      <c r="D18" s="71">
        <v>2335</v>
      </c>
      <c r="E18" s="71">
        <v>2721</v>
      </c>
      <c r="F18" s="71">
        <v>2097</v>
      </c>
      <c r="G18" s="71">
        <v>4007</v>
      </c>
      <c r="H18" s="71">
        <v>0</v>
      </c>
      <c r="I18" s="71">
        <v>5079</v>
      </c>
      <c r="J18" s="71">
        <v>499</v>
      </c>
      <c r="K18" s="71">
        <v>5012</v>
      </c>
      <c r="L18" s="71">
        <v>3206</v>
      </c>
      <c r="M18" s="71">
        <v>17</v>
      </c>
      <c r="N18" s="71">
        <v>263</v>
      </c>
      <c r="O18" s="71">
        <v>4746</v>
      </c>
      <c r="P18" s="71">
        <v>657</v>
      </c>
      <c r="Q18" s="71">
        <v>979</v>
      </c>
      <c r="R18" s="71">
        <v>1267</v>
      </c>
      <c r="S18" s="71">
        <v>6471</v>
      </c>
      <c r="T18" s="71">
        <v>3796</v>
      </c>
      <c r="U18" s="71">
        <v>1720</v>
      </c>
      <c r="V18" s="71">
        <v>1662</v>
      </c>
      <c r="W18" s="71">
        <v>-173</v>
      </c>
      <c r="X18" s="71">
        <v>-143</v>
      </c>
      <c r="Y18" s="109">
        <v>-9907</v>
      </c>
      <c r="Z18" s="71">
        <v>0</v>
      </c>
      <c r="AA18" s="71">
        <v>615</v>
      </c>
      <c r="AB18" s="71">
        <v>1072</v>
      </c>
      <c r="AC18" s="71">
        <v>0</v>
      </c>
      <c r="AD18" s="71">
        <v>19.09</v>
      </c>
      <c r="AE18" s="71">
        <v>84.63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2" ph="1"/>
      <c r="C19" s="159" t="s" ph="1">
        <v>178</v>
      </c>
      <c r="D19" s="73" ph="1">
        <f>D18*7.0686*LOOKUP(D20,密度!$A$2:$A$50,密度!$L$2:$L$50)</f>
        <v>15465.354597000001</v>
      </c>
      <c r="E19" s="73" ph="1">
        <f>E18*7.0686*LOOKUP(E20,密度!$A$2:$A$50,密度!$L$2:$L$50)</f>
        <v>18041.173642799997</v>
      </c>
      <c r="F19" s="73" ph="1">
        <f>F18*9.0746*LOOKUP(F20,密度!$A$2:$A$50,密度!$L$2:$L$50)</f>
        <v>17773.493410800002</v>
      </c>
      <c r="G19" s="73" ph="1">
        <f>G18*9.0746*LOOKUP(G20,密度!$A$2:$A$50,密度!$B$2:$B$50)</f>
        <v>28347.754547119999</v>
      </c>
      <c r="H19" s="73" ph="1">
        <f>H18*9.0746*LOOKUP(H20,密度!$A$2:$A$50,密度!$L$2:$L$50)</f>
        <v>0</v>
      </c>
      <c r="I19" s="73" ph="1">
        <f>I18*9.0746*LOOKUP(I20,密度!$A$2:$A$50,密度!$U$2:$U$50)</f>
        <v>47196.050841600001</v>
      </c>
      <c r="J19" s="73" ph="1">
        <f>J18*9.0746*LOOKUP(J20,密度!$A$2:$A$50,密度!$L$2:$L$50)</f>
        <v>4233.8907490000001</v>
      </c>
      <c r="K19" s="73" ph="1">
        <f>K18*9.0746*LOOKUP(K20,密度!$A$2:$A$50,密度!$C$2:$C$50)</f>
        <v>50398.488071120002</v>
      </c>
      <c r="L19" s="73" ph="1">
        <f>L18*9.0746*LOOKUP(L20,密度!$A$2:$A$50,密度!$E$2:$E$50)</f>
        <v>22785.768864320002</v>
      </c>
      <c r="M19" s="73" ph="1">
        <f>M18*9.0746*LOOKUP(M20,密度!$A$2:$A$50,密度!$M$2:$M$50)</f>
        <v>134.36760219999999</v>
      </c>
      <c r="N19" s="73" ph="1">
        <f>N18*9.0746*LOOKUP(N20,密度!$A$2:$A$50,密度!$M$2:$M$50)</f>
        <v>2090.44028282</v>
      </c>
      <c r="O19" s="73" ph="1">
        <f>O18*9.0746*LOOKUP(O20,密度!$A$2:$A$50,密度!$G$2:$G$50)</f>
        <v>41259.193432799999</v>
      </c>
      <c r="P19" s="73" ph="1">
        <f ca="1">P18*9.0746*LOOKUP(P20,密度!$A$2:$A$51,密度!$Q$2:$Q$50)</f>
        <v>5640.2424015659999</v>
      </c>
      <c r="Q19" s="73" ph="1">
        <f>Q18*9.0746*LOOKUP(Q20,密度!$A$2:$A$50,密度!$Q$2:$Q$50)</f>
        <v>8398.2544536880014</v>
      </c>
      <c r="R19" s="73" ph="1">
        <f>MAX(R18*9.0746*LOOKUP(R20,密度!$A$2:$A$50,密度!$B$2:$B$50),0)</f>
        <v>8933.5716413999999</v>
      </c>
      <c r="S19" s="73" ph="1">
        <f>S18*9.0746*LOOKUP(S20,密度!$A$2:$A$50,密度!$Q$2:$Q$50)</f>
        <v>55594.216908684008</v>
      </c>
      <c r="T19" s="73" ph="1">
        <f>T18*9.0746*LOOKUP(T20,密度!$A$2:$A$50,密度!$O$2:$O$50)</f>
        <v>31898.090161600005</v>
      </c>
      <c r="U19" s="73" ph="1">
        <f>U18*9.0746*LOOKUP(U20,密度!$A$2:$A$50,密度!$H$2:$H$50)</f>
        <v>14276.922986399999</v>
      </c>
      <c r="V19" s="73" ph="1">
        <f>MAX(5600*LOOKUP(V20,密度!$A$2:$A$50,密度!$Q$2:$Q$50)+V18*9.0476*LOOKUP(V20,密度!$A$2:$A$50,密度!$Q$2:$Q$50),0)</f>
        <v>19523.326308536001</v>
      </c>
      <c r="W19" s="73" ph="1">
        <f>MAX(5600*LOOKUP(W20,密度!$A$2:$A$50,密度!$Q$2:$Q$50)+W18*9.0476*LOOKUP(W20,密度!$A$2:$A$50,密度!$Q$2:$Q$50),0)</f>
        <v>3811.3199032240004</v>
      </c>
      <c r="X19" s="73" ph="1">
        <f>MAX(5600*LOOKUP(X20,密度!$A$2:$A$50,密度!$I$2:$I$50)+X18*9.0476*LOOKUP(X20,密度!$A$2:$A$50,密度!$I$2:$I$50),0)</f>
        <v>4478.8715473200009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4350.8532683999993</v>
      </c>
      <c r="AB19" s="73" ph="1">
        <f>AB18*9.0746*LOOKUP(AB20,密度!$A$2:$A$50,密度!$L$2:$L$50)</f>
        <v>9105.3810432000009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5202.0936324000004</v>
      </c>
      <c r="AE19" s="73" ph="1">
        <f>AE18*268.68*LOOKUP(AE20,密度!$A$2:$A$50,密度!B5:B53)+IF(AE18&lt;=0,0,1566*LOOKUP(AE20,密度!$A$2:$A$50,密度!B5:B53))</f>
        <v>18884.509786800001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2" ph="1"/>
      <c r="C20" s="80" t="s" ph="1">
        <v>179</v>
      </c>
      <c r="D20" s="81">
        <v>25</v>
      </c>
      <c r="E20" s="81">
        <v>24</v>
      </c>
      <c r="F20" s="81">
        <v>28</v>
      </c>
      <c r="G20" s="81">
        <v>25</v>
      </c>
      <c r="H20" s="81">
        <v>23</v>
      </c>
      <c r="I20" s="81">
        <v>26</v>
      </c>
      <c r="J20" s="81">
        <v>27</v>
      </c>
      <c r="K20" s="81">
        <v>26</v>
      </c>
      <c r="L20" s="81">
        <v>25</v>
      </c>
      <c r="M20" s="81">
        <v>29</v>
      </c>
      <c r="N20" s="81">
        <v>24</v>
      </c>
      <c r="O20" s="81">
        <v>27</v>
      </c>
      <c r="P20" s="81">
        <v>26</v>
      </c>
      <c r="Q20" s="81">
        <v>27</v>
      </c>
      <c r="R20" s="81">
        <v>28</v>
      </c>
      <c r="S20" s="81">
        <v>25</v>
      </c>
      <c r="T20" s="81">
        <v>25</v>
      </c>
      <c r="U20" s="81">
        <v>25</v>
      </c>
      <c r="V20" s="81">
        <v>26</v>
      </c>
      <c r="W20" s="81">
        <v>28</v>
      </c>
      <c r="X20" s="81">
        <v>27</v>
      </c>
      <c r="Y20" s="110">
        <v>26</v>
      </c>
      <c r="Z20" s="81">
        <v>26</v>
      </c>
      <c r="AA20" s="81">
        <v>25</v>
      </c>
      <c r="AB20" s="81">
        <v>26</v>
      </c>
      <c r="AC20" s="81">
        <v>24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0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69" t="s" ph="1">
        <v>69</v>
      </c>
      <c r="AA22" s="170"/>
      <c r="AB22" s="170"/>
      <c r="AC22" s="170"/>
      <c r="AD22" s="170"/>
      <c r="AE22" s="17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5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72" t="s" ph="1">
        <v>643</v>
      </c>
      <c r="AA23" s="173"/>
      <c r="AB23" s="173"/>
      <c r="AC23" s="173"/>
      <c r="AD23" s="173"/>
      <c r="AE23" s="17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1" ph="1">
        <v>0.33333333333333331</v>
      </c>
      <c r="C24" s="159" t="s" ph="1">
        <v>177</v>
      </c>
      <c r="D24" s="71">
        <v>3.67</v>
      </c>
      <c r="E24" s="71">
        <v>5.66</v>
      </c>
      <c r="F24" s="71">
        <v>2198</v>
      </c>
      <c r="G24" s="71">
        <v>3215</v>
      </c>
      <c r="H24" s="71">
        <v>3263</v>
      </c>
      <c r="I24" s="71">
        <v>405</v>
      </c>
      <c r="J24" s="71">
        <v>828</v>
      </c>
      <c r="K24" s="71">
        <v>1560</v>
      </c>
      <c r="L24" s="71">
        <v>469</v>
      </c>
      <c r="M24" s="71">
        <v>4408</v>
      </c>
      <c r="N24" s="71">
        <v>4830</v>
      </c>
      <c r="O24" s="71">
        <v>5420</v>
      </c>
      <c r="P24" s="71">
        <v>1042</v>
      </c>
      <c r="Q24" s="90">
        <v>1652</v>
      </c>
      <c r="R24" s="71">
        <v>5193</v>
      </c>
      <c r="S24" s="71">
        <v>2445</v>
      </c>
      <c r="T24" s="71">
        <v>1278</v>
      </c>
      <c r="U24" s="71">
        <v>6367</v>
      </c>
      <c r="V24" s="71">
        <v>1652</v>
      </c>
      <c r="W24" s="71">
        <v>9813</v>
      </c>
      <c r="X24" s="71">
        <v>4315</v>
      </c>
      <c r="Y24" s="71">
        <v>3310</v>
      </c>
      <c r="Z24" s="175"/>
      <c r="AA24" s="176"/>
      <c r="AB24" s="176"/>
      <c r="AC24" s="176"/>
      <c r="AD24" s="176"/>
      <c r="AE24" s="17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1" ph="1"/>
      <c r="C25" s="68" t="s" ph="1">
        <v>178</v>
      </c>
      <c r="D25" s="91" ph="1">
        <f>D24*268.68*LOOKUP(D26,密度!$A$2:$A$50,密度!$Q$2:$Q$50)+IF(D24&lt;=0,0,1566*LOOKUP(D26,密度!$A$2:$A$50,密度!$Q$2:$Q$50))</f>
        <v>2416.1331187440001</v>
      </c>
      <c r="E25" s="91" ph="1">
        <f>E24*268.68*LOOKUP(E26,密度!$A$2:$A$50,密度!$C$2:$C$50)+IF(E24&lt;=0,0,1566*LOOKUP(E26,密度!$A$2:$A$50,密度!$C$2:$C$50))</f>
        <v>3422.87356632</v>
      </c>
      <c r="F25" s="91" ph="1">
        <f>F24*11.702*LOOKUP(F26,密度!$A$2:$A$50,密度!$Q$2:$Q$50)</f>
        <v>24388.648407200002</v>
      </c>
      <c r="G25" s="91" ph="1">
        <f>G24*18.322*LOOKUP(G26,密度!$A$2:$A$50,密度!$B$2:$B$50)</f>
        <v>45822.378417</v>
      </c>
      <c r="H25" s="91" ph="1">
        <f>H24*18.322*LOOKUP(H26,密度!$A$2:$A$50,密度!$B$2:$B$50)</f>
        <v>46608.14120559999</v>
      </c>
      <c r="I25" s="91" ph="1">
        <f>I24*18.322*LOOKUP(I26,密度!$A$2:$A$50,密度!$Q$2:$Q$50)</f>
        <v>7036.0327619999998</v>
      </c>
      <c r="J25" s="91" ph="1">
        <f>J24*18.322*LOOKUP(J26,密度!$A$2:$A$50,密度!$Q$2:$Q$50)</f>
        <v>14362.62899184</v>
      </c>
      <c r="K25" s="91" ph="1">
        <f>K24*18.322*LOOKUP(K26,密度!$A$2:$A$50,密度!$Q$2:$Q$50)</f>
        <v>27101.755824</v>
      </c>
      <c r="L25" s="91" ph="1">
        <f>L24*18.322*LOOKUP(L26,密度!$A$2:$A$50,密度!$Q$2:$Q$50)</f>
        <v>8135.3538613199999</v>
      </c>
      <c r="M25" s="91" ph="1">
        <f>M24*18.322*LOOKUP(M26,密度!$A$2:$A$50,密度!$Q$2:$Q$50)</f>
        <v>76520.875858719999</v>
      </c>
      <c r="N25" s="91" ph="1">
        <f>N24*18.322*LOOKUP(N26,密度!$A$2:$A$50,密度!$Q$2:$Q$50)</f>
        <v>83989.9663134</v>
      </c>
      <c r="O25" s="91" ph="1">
        <f>O24*18.322*LOOKUP(O26,密度!$A$2:$A$50,密度!$C$2:$C$50)</f>
        <v>110338.05216399999</v>
      </c>
      <c r="P25" s="91" ph="1">
        <f>P24*11.702*LOOKUP(P26,密度!$A$2:$A$50,密度!$B$2:$B$50)</f>
        <v>9506.0401263999993</v>
      </c>
      <c r="Q25" s="92" ph="1">
        <f>Q24*18.322*LOOKUP(Q26,密度!$A$2:$A$50,密度!$B$2:$B$50)</f>
        <v>23596.889142399999</v>
      </c>
      <c r="R25" s="91" ph="1">
        <f>R24*35.891*LOOKUP(R26,密度!$A$2:$A$50,密度!$C$2:$C$50)</f>
        <v>206958.53171519999</v>
      </c>
      <c r="S25" s="91" ph="1">
        <f>S24*35.891*LOOKUP(S26,密度!$A$2:$A$50,密度!$B$2:$B$50)</f>
        <v>68491.602847499991</v>
      </c>
      <c r="T25" s="91" ph="1">
        <f>T24*35.891*LOOKUP(T26,密度!$A$2:$A$50,密度!$Q$2:$Q$50)</f>
        <v>43492.699443600002</v>
      </c>
      <c r="U25" s="91" ph="1">
        <f>U24*35.891</f>
        <v>228517.997</v>
      </c>
      <c r="V25" s="91" ph="1">
        <f>V24*47.051*LOOKUP(V26,密度!$A$2:$A$50,密度!$B$2:$B$50)</f>
        <v>60876.766966400006</v>
      </c>
      <c r="W25" s="91" ph="1">
        <f>W24*47.051*LOOKUP(W26,密度!$A$2:$A$50,密度!$B$2:$B$50)</f>
        <v>360365.79687150003</v>
      </c>
      <c r="X25" s="91" ph="1">
        <f>X24*47.051*LOOKUP(X26,密度!$A$2:$A$61,密度!$I$2:$I$61)</f>
        <v>210943.04253499999</v>
      </c>
      <c r="Y25" s="91" ph="1">
        <f>Y24*47.051*LOOKUP(Y26,密度!$A$2:$A$50,密度!$L$2:$L$50)</f>
        <v>145927.26497000002</v>
      </c>
      <c r="Z25" s="175"/>
      <c r="AA25" s="176"/>
      <c r="AB25" s="176"/>
      <c r="AC25" s="176"/>
      <c r="AD25" s="176"/>
      <c r="AE25" s="17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1" ph="1"/>
      <c r="C26" s="68" t="s" ph="1">
        <v>179</v>
      </c>
      <c r="D26" s="74">
        <v>25</v>
      </c>
      <c r="E26" s="74">
        <v>25</v>
      </c>
      <c r="F26" s="74">
        <v>23</v>
      </c>
      <c r="G26" s="74">
        <v>27</v>
      </c>
      <c r="H26" s="74">
        <v>25</v>
      </c>
      <c r="I26" s="74">
        <v>23</v>
      </c>
      <c r="J26" s="74">
        <v>25</v>
      </c>
      <c r="K26" s="74">
        <v>23</v>
      </c>
      <c r="L26" s="74">
        <v>25</v>
      </c>
      <c r="M26" s="74">
        <v>24</v>
      </c>
      <c r="N26" s="74">
        <v>22</v>
      </c>
      <c r="O26" s="74">
        <v>22</v>
      </c>
      <c r="P26" s="74">
        <v>25</v>
      </c>
      <c r="Q26" s="93">
        <v>25</v>
      </c>
      <c r="R26" s="74">
        <v>23</v>
      </c>
      <c r="S26" s="74">
        <v>24</v>
      </c>
      <c r="T26" s="74">
        <v>23</v>
      </c>
      <c r="U26" s="74">
        <v>25</v>
      </c>
      <c r="V26" s="74">
        <v>21</v>
      </c>
      <c r="W26" s="74">
        <v>24</v>
      </c>
      <c r="X26" s="74">
        <v>28</v>
      </c>
      <c r="Y26" s="74">
        <v>25</v>
      </c>
      <c r="Z26" s="175"/>
      <c r="AA26" s="176"/>
      <c r="AB26" s="176"/>
      <c r="AC26" s="176"/>
      <c r="AD26" s="176"/>
      <c r="AE26" s="17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1" ph="1">
        <v>0.66666666666666663</v>
      </c>
      <c r="C27" s="159" t="s" ph="1">
        <v>180</v>
      </c>
      <c r="D27" s="71">
        <v>3.29</v>
      </c>
      <c r="E27" s="71">
        <v>5.66</v>
      </c>
      <c r="F27" s="71">
        <v>827</v>
      </c>
      <c r="G27" s="71">
        <v>2753</v>
      </c>
      <c r="H27" s="71">
        <v>2812</v>
      </c>
      <c r="I27" s="71">
        <v>405</v>
      </c>
      <c r="J27" s="71">
        <v>828</v>
      </c>
      <c r="K27" s="71">
        <v>1560</v>
      </c>
      <c r="L27" s="71">
        <v>469</v>
      </c>
      <c r="M27" s="71">
        <v>4409</v>
      </c>
      <c r="N27" s="71">
        <v>4830</v>
      </c>
      <c r="O27" s="71">
        <v>5420</v>
      </c>
      <c r="P27" s="71">
        <v>1043</v>
      </c>
      <c r="Q27" s="90">
        <v>1862</v>
      </c>
      <c r="R27" s="71">
        <v>5194</v>
      </c>
      <c r="S27" s="71">
        <v>2445</v>
      </c>
      <c r="T27" s="71">
        <v>1279</v>
      </c>
      <c r="U27" s="71">
        <v>6195</v>
      </c>
      <c r="V27" s="71">
        <v>3845</v>
      </c>
      <c r="W27" s="71">
        <v>9816</v>
      </c>
      <c r="X27" s="71">
        <v>4191</v>
      </c>
      <c r="Y27" s="71">
        <v>1242</v>
      </c>
      <c r="Z27" s="175"/>
      <c r="AA27" s="176"/>
      <c r="AB27" s="176"/>
      <c r="AC27" s="176"/>
      <c r="AD27" s="176"/>
      <c r="AE27" s="17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1" ph="1"/>
      <c r="C28" s="159" t="s" ph="1">
        <v>178</v>
      </c>
      <c r="D28" s="91" ph="1">
        <f>D27*268.68*LOOKUP(D29,密度!$A$2:$A$50,密度!$Q$2:$Q$50)+IF(D27&lt;=0,0,1566*LOOKUP(D29,密度!$A$2:$A$50,密度!$Q$2:$Q$50))</f>
        <v>2319.4724795279999</v>
      </c>
      <c r="E28" s="91" ph="1">
        <f>E27*268.68*LOOKUP(E29,密度!$A$2:$A$50,密度!$C$2:$C$50)+IF(E27&lt;=0,0,1566*LOOKUP(E29,密度!$A$2:$A$50,密度!$C$2:$C$50))</f>
        <v>3422.87356632</v>
      </c>
      <c r="F28" s="91" ph="1">
        <f>F27*11.702*LOOKUP(F29,密度!$A$2:$A$50,密度!$Q$2:$Q$50)</f>
        <v>9169.1920883800012</v>
      </c>
      <c r="G28" s="91" ph="1">
        <f>G27*18.322*LOOKUP(G29,密度!$A$2:$A$50,密度!$B$2:$B$50)</f>
        <v>39237.638501400004</v>
      </c>
      <c r="H28" s="91" ph="1">
        <f>H27*18.322*LOOKUP(H29,密度!$A$2:$A$50,密度!$B$2:$B$50)</f>
        <v>40119.7640168</v>
      </c>
      <c r="I28" s="91" ph="1">
        <f>I27*18.322*LOOKUP(I29,密度!$A$2:$A$50,密度!$Q$2:$Q$50)</f>
        <v>7025.1989634000001</v>
      </c>
      <c r="J28" s="91" ph="1">
        <f>J27*18.322*LOOKUP(J29,密度!$A$2:$A$50,密度!$Q$2:$Q$50)</f>
        <v>14362.62899184</v>
      </c>
      <c r="K28" s="91" ph="1">
        <f>K27*18.322*LOOKUP(K29,密度!$A$2:$A$50,密度!$Q$2:$Q$50)</f>
        <v>27039.732189599999</v>
      </c>
      <c r="L28" s="91" ph="1">
        <f>L27*18.322*LOOKUP(L29,密度!$A$2:$A$50,密度!$Q$2:$Q$50)</f>
        <v>8135.3538613199999</v>
      </c>
      <c r="M28" s="91" ph="1">
        <f>M27*18.322*LOOKUP(M29,密度!$A$2:$A$50,密度!$Q$2:$Q$50)</f>
        <v>76479.26476451999</v>
      </c>
      <c r="N28" s="91" ph="1">
        <f>N27*18.322*LOOKUP(N29,密度!$A$2:$A$50,密度!$Q$2:$Q$50)</f>
        <v>83656.339183200005</v>
      </c>
      <c r="O28" s="91" ph="1">
        <f>O27*18.322*LOOKUP(O29,密度!$A$2:$A$50,密度!$C$2:$C$50)</f>
        <v>110338.05216399999</v>
      </c>
      <c r="P28" s="91" ph="1">
        <f>P27*11.702*LOOKUP(P29,密度!$A$2:$A$50,密度!$B$2:$B$50)</f>
        <v>9515.1630055999995</v>
      </c>
      <c r="Q28" s="92" ph="1">
        <f>Q27*18.322*LOOKUP(Q29,密度!$A$2:$A$50,密度!$B$2:$B$50)</f>
        <v>26657.901709599999</v>
      </c>
      <c r="R28" s="91" ph="1">
        <f>R27*35.891*LOOKUP(R29,密度!$A$2:$A$50,密度!$C$2:$C$50)</f>
        <v>206998.38508159999</v>
      </c>
      <c r="S28" s="91" ph="1">
        <f>S27*35.891*LOOKUP(S29,密度!$A$2:$A$50,密度!$B$2:$B$50)</f>
        <v>68491.602847499991</v>
      </c>
      <c r="T28" s="91" ph="1">
        <f>T27*35.891*LOOKUP(T29,密度!$A$2:$A$50,密度!$Q$2:$Q$50)</f>
        <v>43493.220939830004</v>
      </c>
      <c r="U28" s="91" ph="1">
        <f>U27*35.891</f>
        <v>222344.745</v>
      </c>
      <c r="V28" s="91" ph="1">
        <f>V27*47.051*LOOKUP(V29,密度!$A$2:$A$50,密度!$B$2:$B$50)</f>
        <v>141526.74961850001</v>
      </c>
      <c r="W28" s="91" ph="1">
        <f>W27*47.051*LOOKUP(W29,密度!$A$2:$A$50,密度!$B$2:$B$50)</f>
        <v>360475.96678800002</v>
      </c>
      <c r="X28" s="91" ph="1">
        <f>X27*47.051*LOOKUP(X29,密度!$A$2:$A$61,密度!$I$2:$I$61)</f>
        <v>204881.17989899998</v>
      </c>
      <c r="Y28" s="91" ph="1">
        <f>Y27*47.051*LOOKUP(Y29,密度!$A$2:$A$50,密度!$L$2:$L$50)</f>
        <v>54697.352112000008</v>
      </c>
      <c r="Z28" s="175"/>
      <c r="AA28" s="176"/>
      <c r="AB28" s="176"/>
      <c r="AC28" s="176"/>
      <c r="AD28" s="176"/>
      <c r="AE28" s="17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1" ph="1"/>
      <c r="C29" s="159" t="s" ph="1">
        <v>179</v>
      </c>
      <c r="D29" s="74">
        <v>25</v>
      </c>
      <c r="E29" s="74">
        <v>25</v>
      </c>
      <c r="F29" s="74">
        <v>24</v>
      </c>
      <c r="G29" s="74">
        <v>27</v>
      </c>
      <c r="H29" s="74">
        <v>26</v>
      </c>
      <c r="I29" s="74">
        <v>25</v>
      </c>
      <c r="J29" s="74">
        <v>25</v>
      </c>
      <c r="K29" s="74">
        <v>26</v>
      </c>
      <c r="L29" s="74">
        <v>25</v>
      </c>
      <c r="M29" s="74">
        <v>25</v>
      </c>
      <c r="N29" s="74">
        <v>27</v>
      </c>
      <c r="O29" s="74">
        <v>22</v>
      </c>
      <c r="P29" s="74">
        <v>25</v>
      </c>
      <c r="Q29" s="93">
        <v>23</v>
      </c>
      <c r="R29" s="74">
        <v>23</v>
      </c>
      <c r="S29" s="74">
        <v>24</v>
      </c>
      <c r="T29" s="74">
        <v>24</v>
      </c>
      <c r="U29" s="74">
        <v>25</v>
      </c>
      <c r="V29" s="74">
        <v>22</v>
      </c>
      <c r="W29" s="74">
        <v>24</v>
      </c>
      <c r="X29" s="74">
        <v>28</v>
      </c>
      <c r="Y29" s="74">
        <v>26</v>
      </c>
      <c r="Z29" s="178"/>
      <c r="AA29" s="179"/>
      <c r="AB29" s="179"/>
      <c r="AC29" s="179"/>
      <c r="AD29" s="179"/>
      <c r="AE29" s="18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4" t="s" ph="1">
        <v>35</v>
      </c>
      <c r="C31" s="195" ph="1"/>
      <c r="D31" s="198" t="s" ph="1">
        <v>9</v>
      </c>
      <c r="E31" s="187" ph="1"/>
      <c r="F31" s="188" ph="1"/>
      <c r="G31" s="198" t="s" ph="1">
        <v>18</v>
      </c>
      <c r="H31" s="187" ph="1"/>
      <c r="I31" s="188" ph="1"/>
      <c r="J31" s="186" t="s" ph="1">
        <v>1</v>
      </c>
      <c r="K31" s="187" ph="1"/>
      <c r="L31" s="188" ph="1"/>
      <c r="M31" s="186" t="s" ph="1">
        <v>7</v>
      </c>
      <c r="N31" s="187" ph="1"/>
      <c r="O31" s="188" ph="1"/>
      <c r="P31" s="186" t="s" ph="1">
        <v>41</v>
      </c>
      <c r="Q31" s="187"/>
      <c r="R31" s="188"/>
      <c r="S31" s="186" t="s" ph="1">
        <v>2</v>
      </c>
      <c r="T31" s="187"/>
      <c r="U31" s="188"/>
      <c r="V31" s="186" t="s" ph="1">
        <v>71</v>
      </c>
      <c r="W31" s="187" ph="1"/>
      <c r="X31" s="188" ph="1"/>
      <c r="Y31" s="186" t="s" ph="1">
        <v>3</v>
      </c>
      <c r="Z31" s="187" ph="1"/>
      <c r="AA31" s="188" ph="1"/>
      <c r="AB31" s="209" t="s">
        <v>42</v>
      </c>
      <c r="AC31" s="210"/>
      <c r="AD31" s="210"/>
      <c r="AE31" s="211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6" ph="1"/>
      <c r="C32" s="197" ph="1"/>
      <c r="D32" s="96" t="s" ph="1">
        <v>4</v>
      </c>
      <c r="E32" s="159" t="s" ph="1">
        <v>5</v>
      </c>
      <c r="F32" s="158" t="s" ph="1">
        <v>43</v>
      </c>
      <c r="G32" s="97" t="s" ph="1">
        <v>4</v>
      </c>
      <c r="H32" s="159" t="s" ph="1">
        <v>5</v>
      </c>
      <c r="I32" s="158" t="s" ph="1">
        <v>43</v>
      </c>
      <c r="J32" s="97" t="s" ph="1">
        <v>4</v>
      </c>
      <c r="K32" s="159" t="s" ph="1">
        <v>5</v>
      </c>
      <c r="L32" s="158" t="s" ph="1">
        <v>43</v>
      </c>
      <c r="M32" s="97" t="s" ph="1">
        <v>4</v>
      </c>
      <c r="N32" s="159" t="s" ph="1">
        <v>5</v>
      </c>
      <c r="O32" s="15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9" t="s" ph="1">
        <v>5</v>
      </c>
      <c r="U32" s="99" t="s" ph="1">
        <v>43</v>
      </c>
      <c r="V32" s="97" t="s" ph="1">
        <v>4</v>
      </c>
      <c r="W32" s="159" t="s" ph="1">
        <v>5</v>
      </c>
      <c r="X32" s="99" t="s" ph="1">
        <v>43</v>
      </c>
      <c r="Y32" s="100" t="s" ph="1">
        <v>4</v>
      </c>
      <c r="Z32" s="159" t="s" ph="1">
        <v>5</v>
      </c>
      <c r="AA32" s="158" t="s" ph="1">
        <v>43</v>
      </c>
      <c r="AB32" s="97" t="s" ph="1">
        <v>85</v>
      </c>
      <c r="AC32" s="159" t="s" ph="1">
        <v>84</v>
      </c>
      <c r="AD32" s="212" t="s" ph="1">
        <v>83</v>
      </c>
      <c r="AE32" s="213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199" t="s" ph="1">
        <v>181</v>
      </c>
      <c r="C33" s="200" ph="1"/>
      <c r="D33" s="203" ph="1">
        <f>AA10+AB10+Z19</f>
        <v>297214.73911620001</v>
      </c>
      <c r="E33" s="203" ph="1">
        <f>M10+I10</f>
        <v>16663.0442262</v>
      </c>
      <c r="F33" s="20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1522252632456786910111213141516171819202123456789101112131415161718192022232424356789101112131415161718192021222345678910111213141516171819202345678910111213149101516171819222123234567891012131415161711181920212224252345678910111213124[[#This Row],[F25]]</f>
        <v>3880</v>
      </c>
      <c r="G33" s="207" ph="1">
        <f>N19</f>
        <v>2090.44028282</v>
      </c>
      <c r="H33" s="203" ph="1">
        <f>M19</f>
        <v>134.36760219999999</v>
      </c>
      <c r="I33" s="216" ph="1">
        <v>0</v>
      </c>
      <c r="J33" s="214" ph="1">
        <f>F10+O28</f>
        <v>325108.27687840001</v>
      </c>
      <c r="K33" s="203" ph="1">
        <f>O10+K10+E28+R28</f>
        <v>345976.78875991999</v>
      </c>
      <c r="L33" s="218" ph="1">
        <f>K19</f>
        <v>50398.488071120002</v>
      </c>
      <c r="M33" s="214" ph="1">
        <f>G10+H10+W28+S28+V28+E10+R19+P28+Q28</f>
        <v>1210326.4170835998</v>
      </c>
      <c r="N33" s="203" ph="1">
        <f>L10+P10++G28+H28+AD19+AE19</f>
        <v>147011.79233240004</v>
      </c>
      <c r="O33" s="216" ph="1">
        <f>G19</f>
        <v>28347.754547119999</v>
      </c>
      <c r="P33" s="214" ph="1">
        <f>L19</f>
        <v>22785.768864320002</v>
      </c>
      <c r="Q33" s="203" ph="1">
        <f>J10+N10</f>
        <v>83837.625100800011</v>
      </c>
      <c r="R33" s="216" ph="1">
        <f>BE23</f>
        <v>890</v>
      </c>
      <c r="S33" s="214" ph="1">
        <f>X28</f>
        <v>204881.17989899998</v>
      </c>
      <c r="T33" s="203" ph="1">
        <f>X19</f>
        <v>4478.8715473200009</v>
      </c>
      <c r="U33" s="224" ph="1">
        <f>BE21</f>
        <v>730</v>
      </c>
      <c r="V33" s="235" ph="1">
        <f ca="1">P19+Q19+S19+M28+N28+J28+D10+AC10+D19+E19+H19+J19+O19+V19+W19+K28+L28</f>
        <v>952842.37983709807</v>
      </c>
      <c r="W33" s="235" ph="1">
        <f>D28+F28+T28+I28</f>
        <v>62007.084471138005</v>
      </c>
      <c r="X33" s="216" ph="1">
        <f>BE29+BE31</f>
        <v>10200</v>
      </c>
      <c r="Y33" s="237" ph="1">
        <f>+Q10+R10+S10+T10+U10+V10+W10+X10+Y10</f>
        <v>326875.35503699997</v>
      </c>
      <c r="Z33" s="222" ph="1">
        <f>T19+U19+Y28+Z10</f>
        <v>244890.76631800001</v>
      </c>
      <c r="AA33" s="224" ph="1">
        <f>BE19</f>
        <v>1440</v>
      </c>
      <c r="AB33" s="226" ph="1">
        <f>I19</f>
        <v>47196.050841600001</v>
      </c>
      <c r="AC33" s="228" ph="1">
        <f>AD10+AB19</f>
        <v>44434.381363200002</v>
      </c>
      <c r="AD33" s="230" ph="1">
        <v>0</v>
      </c>
      <c r="AE33" s="231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1" ph="1"/>
      <c r="C34" s="202" ph="1"/>
      <c r="D34" s="204" ph="1"/>
      <c r="E34" s="204" ph="1"/>
      <c r="F34" s="206" ph="1"/>
      <c r="G34" s="208" ph="1"/>
      <c r="H34" s="204" ph="1"/>
      <c r="I34" s="217" ph="1"/>
      <c r="J34" s="215" ph="1"/>
      <c r="K34" s="204" ph="1"/>
      <c r="L34" s="219" ph="1"/>
      <c r="M34" s="215" ph="1"/>
      <c r="N34" s="204" ph="1"/>
      <c r="O34" s="217" ph="1"/>
      <c r="P34" s="215" ph="1"/>
      <c r="Q34" s="204" ph="1"/>
      <c r="R34" s="217" ph="1"/>
      <c r="S34" s="215" ph="1"/>
      <c r="T34" s="204"/>
      <c r="U34" s="225"/>
      <c r="V34" s="236" ph="1"/>
      <c r="W34" s="236" ph="1"/>
      <c r="X34" s="217" ph="1"/>
      <c r="Y34" s="238" ph="1"/>
      <c r="Z34" s="223" ph="1"/>
      <c r="AA34" s="225" ph="1"/>
      <c r="AB34" s="227"/>
      <c r="AC34" s="229"/>
      <c r="AD34" s="232"/>
      <c r="AE34" s="233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4" t="s" ph="1">
        <v>631</v>
      </c>
      <c r="AD35" s="234"/>
      <c r="AE35" s="234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0" t="s" ph="1">
        <v>183</v>
      </c>
      <c r="J36" s="220" ph="1"/>
      <c r="K36" s="101" ph="1"/>
      <c r="P36" s="101" ph="1"/>
      <c r="R36" s="220" t="s" ph="1">
        <v>184</v>
      </c>
      <c r="S36" s="220" ph="1"/>
      <c r="Y36" s="102" ph="1"/>
      <c r="Z36" s="157" t="s" ph="1">
        <v>185</v>
      </c>
      <c r="AA36" s="157" ph="1"/>
      <c r="AB36" s="221" t="s" ph="1">
        <v>638</v>
      </c>
      <c r="AC36" s="221" ph="1"/>
      <c r="AD36" s="221" ph="1"/>
      <c r="AE36" s="221" ph="1"/>
      <c r="BA36" s="64" ph="1">
        <v>2270</v>
      </c>
    </row>
    <row r="37" spans="1:57" s="157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7" t="s" ph="1">
        <v>342</v>
      </c>
      <c r="AI37" s="157" t="s" ph="1">
        <v>209</v>
      </c>
      <c r="AJ37" s="157" t="s" ph="1">
        <v>210</v>
      </c>
      <c r="AK37" s="157" t="s" ph="1">
        <v>211</v>
      </c>
      <c r="AM37" s="157" t="s" ph="1">
        <v>210</v>
      </c>
      <c r="AN37" s="157" t="s" ph="1">
        <v>211</v>
      </c>
      <c r="AO37" s="157" t="s" ph="1">
        <v>212</v>
      </c>
      <c r="AP37" s="157" t="s" ph="1">
        <v>210</v>
      </c>
      <c r="AQ37" s="157" t="s" ph="1">
        <v>211</v>
      </c>
      <c r="AR37" s="157" t="s" ph="1">
        <v>212</v>
      </c>
      <c r="AS37" s="157" t="s" ph="1">
        <v>210</v>
      </c>
      <c r="AT37" s="157" t="s" ph="1">
        <v>211</v>
      </c>
      <c r="AU37" s="157" t="s" ph="1">
        <v>212</v>
      </c>
      <c r="AV37" s="157" t="s" ph="1">
        <v>210</v>
      </c>
      <c r="AW37" s="157" t="s" ph="1">
        <v>211</v>
      </c>
      <c r="AX37" s="157" t="s" ph="1">
        <v>212</v>
      </c>
      <c r="AY37" s="157" t="s" ph="1">
        <v>211</v>
      </c>
      <c r="AZ37" s="157" t="s" ph="1">
        <v>213</v>
      </c>
      <c r="BD37" s="157" t="s" ph="1">
        <v>305</v>
      </c>
      <c r="BE37" s="157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59" priority="100">
      <formula>ABS(D$7-D$10)&gt;=1000</formula>
    </cfRule>
  </conditionalFormatting>
  <conditionalFormatting sqref="E4 E6:E11">
    <cfRule type="expression" dxfId="258" priority="99">
      <formula>ABS(E$7-E$10)&gt;=1000</formula>
    </cfRule>
  </conditionalFormatting>
  <conditionalFormatting sqref="F4:F11">
    <cfRule type="expression" dxfId="257" priority="98">
      <formula>ABS(F$7-F$10)&gt;=1000</formula>
    </cfRule>
  </conditionalFormatting>
  <conditionalFormatting sqref="G4:G11">
    <cfRule type="expression" dxfId="256" priority="97">
      <formula>ABS(G$7-G$10)&gt;=1000</formula>
    </cfRule>
  </conditionalFormatting>
  <conditionalFormatting sqref="H4:H11">
    <cfRule type="expression" dxfId="255" priority="96">
      <formula>ABS(H$7-H$10)&gt;=1000</formula>
    </cfRule>
  </conditionalFormatting>
  <conditionalFormatting sqref="I4:I11">
    <cfRule type="expression" dxfId="254" priority="95">
      <formula>ABS(I$7-I$10)&gt;=1000</formula>
    </cfRule>
  </conditionalFormatting>
  <conditionalFormatting sqref="J4:J11">
    <cfRule type="expression" dxfId="253" priority="94">
      <formula>ABS(J$7-J$10)&gt;=1000</formula>
    </cfRule>
  </conditionalFormatting>
  <conditionalFormatting sqref="K4:K11">
    <cfRule type="expression" dxfId="252" priority="93">
      <formula>ABS(K$7-K$10)&gt;=1000</formula>
    </cfRule>
  </conditionalFormatting>
  <conditionalFormatting sqref="L4:L11">
    <cfRule type="expression" dxfId="251" priority="92">
      <formula>ABS(L$7-L$10)&gt;=1000</formula>
    </cfRule>
  </conditionalFormatting>
  <conditionalFormatting sqref="M4 M6:M11">
    <cfRule type="expression" dxfId="250" priority="91">
      <formula>ABS(M$7-M$10)&gt;=1000</formula>
    </cfRule>
  </conditionalFormatting>
  <conditionalFormatting sqref="N4 N6:N11">
    <cfRule type="expression" dxfId="249" priority="90">
      <formula>ABS(N$7-N$10)&gt;=1000</formula>
    </cfRule>
  </conditionalFormatting>
  <conditionalFormatting sqref="O4 O6:O11">
    <cfRule type="expression" dxfId="248" priority="89">
      <formula>ABS(O$7-O$10)&gt;=1000</formula>
    </cfRule>
  </conditionalFormatting>
  <conditionalFormatting sqref="P4 P6:P11">
    <cfRule type="expression" dxfId="247" priority="88">
      <formula>ABS(P$7-P$10)&gt;=1000</formula>
    </cfRule>
  </conditionalFormatting>
  <conditionalFormatting sqref="Q4:Q11">
    <cfRule type="expression" dxfId="246" priority="87">
      <formula>ABS(Q$7-Q$10)&gt;=1000</formula>
    </cfRule>
  </conditionalFormatting>
  <conditionalFormatting sqref="R4:R11">
    <cfRule type="expression" dxfId="245" priority="86">
      <formula>ABS(R$7-R$10)&gt;=1000</formula>
    </cfRule>
  </conditionalFormatting>
  <conditionalFormatting sqref="S4:S11">
    <cfRule type="expression" dxfId="244" priority="85">
      <formula>ABS(S$7-S$10)&gt;=1000</formula>
    </cfRule>
  </conditionalFormatting>
  <conditionalFormatting sqref="T4:T9 T11">
    <cfRule type="expression" dxfId="243" priority="84">
      <formula>ABS(T$7-T$10)&gt;=1000</formula>
    </cfRule>
  </conditionalFormatting>
  <conditionalFormatting sqref="U4:U9 U11">
    <cfRule type="expression" dxfId="242" priority="83">
      <formula>ABS(U$7-U$10)&gt;=1000</formula>
    </cfRule>
  </conditionalFormatting>
  <conditionalFormatting sqref="V4:V9 V11">
    <cfRule type="expression" dxfId="241" priority="82">
      <formula>ABS(V$7-V$10)&gt;=1000</formula>
    </cfRule>
  </conditionalFormatting>
  <conditionalFormatting sqref="W4:W9 W11">
    <cfRule type="expression" dxfId="240" priority="81">
      <formula>ABS(W$7-W$10)&gt;=1000</formula>
    </cfRule>
  </conditionalFormatting>
  <conditionalFormatting sqref="X4:X9 X11">
    <cfRule type="expression" dxfId="239" priority="80">
      <formula>ABS(X$7-X$10)&gt;=1000</formula>
    </cfRule>
  </conditionalFormatting>
  <conditionalFormatting sqref="Y4:Y9 Y11">
    <cfRule type="expression" dxfId="238" priority="79">
      <formula>ABS(Y$7-Y$10)&gt;=1000</formula>
    </cfRule>
  </conditionalFormatting>
  <conditionalFormatting sqref="Z4:Z11">
    <cfRule type="expression" dxfId="237" priority="78">
      <formula>ABS(Z$7-Z$10)&gt;=1000</formula>
    </cfRule>
  </conditionalFormatting>
  <conditionalFormatting sqref="AA4:AA11">
    <cfRule type="expression" dxfId="236" priority="77">
      <formula>ABS(AA$7-AA$10)&gt;=1000</formula>
    </cfRule>
  </conditionalFormatting>
  <conditionalFormatting sqref="AB4:AB11">
    <cfRule type="expression" dxfId="235" priority="76">
      <formula>ABS(AB$7-AB$10)&gt;=1000</formula>
    </cfRule>
  </conditionalFormatting>
  <conditionalFormatting sqref="AC4 AC6:AC11">
    <cfRule type="expression" dxfId="234" priority="75">
      <formula>ABS(AC$7-AC$10)&gt;=1000</formula>
    </cfRule>
  </conditionalFormatting>
  <conditionalFormatting sqref="AD4 AD6:AD11">
    <cfRule type="expression" dxfId="233" priority="74">
      <formula>ABS(AD$7-AD$10)&gt;=1000</formula>
    </cfRule>
  </conditionalFormatting>
  <conditionalFormatting sqref="AE4 AE6:AE11">
    <cfRule type="expression" dxfId="232" priority="73">
      <formula>ABS(AE$7-AE$10)&gt;=1000</formula>
    </cfRule>
  </conditionalFormatting>
  <conditionalFormatting sqref="D13:D20">
    <cfRule type="expression" dxfId="231" priority="72">
      <formula>ABS(D$16-D$19)&gt;=1000</formula>
    </cfRule>
  </conditionalFormatting>
  <conditionalFormatting sqref="E13:E20">
    <cfRule type="expression" dxfId="230" priority="71">
      <formula>ABS(E$16-E$19)&gt;=1000</formula>
    </cfRule>
  </conditionalFormatting>
  <conditionalFormatting sqref="F13 F15:F20">
    <cfRule type="expression" dxfId="229" priority="70">
      <formula>ABS(F$16-F$19)&gt;=1000</formula>
    </cfRule>
  </conditionalFormatting>
  <conditionalFormatting sqref="G13:G20">
    <cfRule type="expression" dxfId="228" priority="69">
      <formula>ABS(G$16-G$19)&gt;=1000</formula>
    </cfRule>
  </conditionalFormatting>
  <conditionalFormatting sqref="H13 H15:H20">
    <cfRule type="expression" dxfId="227" priority="68">
      <formula>ABS(H$16-H$19)&gt;=1000</formula>
    </cfRule>
  </conditionalFormatting>
  <conditionalFormatting sqref="I13:I20">
    <cfRule type="expression" dxfId="226" priority="67">
      <formula>ABS(I$16-I$19)&gt;=1000</formula>
    </cfRule>
  </conditionalFormatting>
  <conditionalFormatting sqref="J13:J20">
    <cfRule type="expression" dxfId="225" priority="66">
      <formula>ABS(J$16-J$19)&gt;=1000</formula>
    </cfRule>
  </conditionalFormatting>
  <conditionalFormatting sqref="L13:L20">
    <cfRule type="expression" dxfId="224" priority="65">
      <formula>ABS(L$16-L$19)&gt;=1000</formula>
    </cfRule>
  </conditionalFormatting>
  <conditionalFormatting sqref="M13 M15 M17:M18 M20">
    <cfRule type="expression" dxfId="223" priority="64">
      <formula>ABS(M$16-M$19)&gt;=1000</formula>
    </cfRule>
  </conditionalFormatting>
  <conditionalFormatting sqref="N13:N20">
    <cfRule type="expression" dxfId="222" priority="63">
      <formula>ABS(N$16-N$19)&gt;=1000</formula>
    </cfRule>
  </conditionalFormatting>
  <conditionalFormatting sqref="O13:O20">
    <cfRule type="expression" dxfId="221" priority="62">
      <formula>ABS(O$16-O$19)&gt;=1000</formula>
    </cfRule>
  </conditionalFormatting>
  <conditionalFormatting sqref="P13:P20">
    <cfRule type="expression" dxfId="220" priority="61">
      <formula>ABS(P$16-P$19)&gt;=1000</formula>
    </cfRule>
  </conditionalFormatting>
  <conditionalFormatting sqref="Q13 Q15:Q20">
    <cfRule type="expression" dxfId="219" priority="60">
      <formula>ABS(Q$16-Q$19)&gt;=1000</formula>
    </cfRule>
  </conditionalFormatting>
  <conditionalFormatting sqref="R13:R20">
    <cfRule type="expression" dxfId="218" priority="59">
      <formula>ABS(R$16-R$19)&gt;=1000</formula>
    </cfRule>
  </conditionalFormatting>
  <conditionalFormatting sqref="S13:S20">
    <cfRule type="expression" dxfId="217" priority="58">
      <formula>ABS(S$16-S$19)&gt;=1000</formula>
    </cfRule>
  </conditionalFormatting>
  <conditionalFormatting sqref="T13:T20">
    <cfRule type="expression" dxfId="216" priority="57">
      <formula>ABS(T$16-T$19)&gt;=1000</formula>
    </cfRule>
  </conditionalFormatting>
  <conditionalFormatting sqref="U13:U20">
    <cfRule type="expression" dxfId="215" priority="56">
      <formula>ABS(U$16-U$19)&gt;=1000</formula>
    </cfRule>
  </conditionalFormatting>
  <conditionalFormatting sqref="V13:V20">
    <cfRule type="expression" dxfId="214" priority="55">
      <formula>ABS(V$16-V$19)&gt;=1000</formula>
    </cfRule>
  </conditionalFormatting>
  <conditionalFormatting sqref="W13 W20 W15:W18">
    <cfRule type="expression" dxfId="213" priority="54">
      <formula>ABS(W$16-W$19)&gt;=1000</formula>
    </cfRule>
  </conditionalFormatting>
  <conditionalFormatting sqref="X13 X15:X20 Y19">
    <cfRule type="expression" dxfId="212" priority="53">
      <formula>ABS(X$16-X$19)&gt;=1000</formula>
    </cfRule>
  </conditionalFormatting>
  <conditionalFormatting sqref="Y13 Y15:Y18 Y20">
    <cfRule type="expression" dxfId="211" priority="52">
      <formula>ABS(Y$16-Y$19)&gt;=1000</formula>
    </cfRule>
  </conditionalFormatting>
  <conditionalFormatting sqref="Z13:Z20">
    <cfRule type="expression" dxfId="210" priority="51">
      <formula>ABS(Z$16-Z$19)&gt;=1000</formula>
    </cfRule>
  </conditionalFormatting>
  <conditionalFormatting sqref="AA13:AA20">
    <cfRule type="expression" dxfId="209" priority="50">
      <formula>ABS(AA$16-AA$19)&gt;=1000</formula>
    </cfRule>
  </conditionalFormatting>
  <conditionalFormatting sqref="AB13 AB15:AB20">
    <cfRule type="expression" dxfId="208" priority="49">
      <formula>ABS(AB$16-AB$19)&gt;=1000</formula>
    </cfRule>
  </conditionalFormatting>
  <conditionalFormatting sqref="AC13 AC15:AC20">
    <cfRule type="expression" dxfId="207" priority="48">
      <formula>ABS(AC$16-AC$19)&gt;=1000</formula>
    </cfRule>
  </conditionalFormatting>
  <conditionalFormatting sqref="AD13:AD20">
    <cfRule type="expression" dxfId="206" priority="47">
      <formula>ABS(AD$16-AD$19)&gt;=1000</formula>
    </cfRule>
  </conditionalFormatting>
  <conditionalFormatting sqref="AE13:AE20">
    <cfRule type="expression" dxfId="205" priority="46">
      <formula>ABS(AE$16-AE$19)&gt;=1000</formula>
    </cfRule>
  </conditionalFormatting>
  <conditionalFormatting sqref="D22:D29">
    <cfRule type="expression" dxfId="204" priority="45">
      <formula>ABS(D$25-D$28)&gt;=1000</formula>
    </cfRule>
  </conditionalFormatting>
  <conditionalFormatting sqref="E22:E29">
    <cfRule type="expression" dxfId="203" priority="44">
      <formula>ABS(E$25-E$28)&gt;=1000</formula>
    </cfRule>
  </conditionalFormatting>
  <conditionalFormatting sqref="F22:F29">
    <cfRule type="expression" dxfId="202" priority="43">
      <formula>ABS(F$25-F$28)&gt;=1000</formula>
    </cfRule>
  </conditionalFormatting>
  <conditionalFormatting sqref="G22:G29">
    <cfRule type="expression" dxfId="201" priority="42">
      <formula>ABS(G$25-G$28)&gt;=1000</formula>
    </cfRule>
  </conditionalFormatting>
  <conditionalFormatting sqref="H22:H29">
    <cfRule type="expression" dxfId="200" priority="41">
      <formula>ABS(H$25-H$28)&gt;=1000</formula>
    </cfRule>
  </conditionalFormatting>
  <conditionalFormatting sqref="I22 I24:I29">
    <cfRule type="expression" dxfId="199" priority="40">
      <formula>ABS(I$25-I$28)&gt;=1000</formula>
    </cfRule>
  </conditionalFormatting>
  <conditionalFormatting sqref="J22:J29 K22">
    <cfRule type="expression" dxfId="198" priority="39">
      <formula>ABS(J$25-J$28)&gt;=1000</formula>
    </cfRule>
  </conditionalFormatting>
  <conditionalFormatting sqref="K23:K29 L25 L28">
    <cfRule type="expression" dxfId="197" priority="38">
      <formula>ABS(K$25-K$28)&gt;=1000</formula>
    </cfRule>
  </conditionalFormatting>
  <conditionalFormatting sqref="L22 L26:L27 L29 L24">
    <cfRule type="expression" dxfId="196" priority="37">
      <formula>ABS(L$25-L$28)&gt;=1000</formula>
    </cfRule>
  </conditionalFormatting>
  <conditionalFormatting sqref="M22:M29">
    <cfRule type="expression" dxfId="195" priority="36">
      <formula>ABS(M$25-M$28)&gt;=1000</formula>
    </cfRule>
  </conditionalFormatting>
  <conditionalFormatting sqref="N22:N29">
    <cfRule type="expression" dxfId="194" priority="35">
      <formula>ABS(N$25-N$28)&gt;=1000</formula>
    </cfRule>
  </conditionalFormatting>
  <conditionalFormatting sqref="O22:O29">
    <cfRule type="expression" dxfId="193" priority="34">
      <formula>ABS(O$25-O$28)&gt;=1000</formula>
    </cfRule>
  </conditionalFormatting>
  <conditionalFormatting sqref="P22:P29">
    <cfRule type="expression" dxfId="192" priority="33">
      <formula>ABS(P$25-P$28)&gt;=1000</formula>
    </cfRule>
  </conditionalFormatting>
  <conditionalFormatting sqref="Q22:Q29">
    <cfRule type="expression" dxfId="191" priority="32">
      <formula>ABS(Q$25-Q$28)&gt;=1000</formula>
    </cfRule>
  </conditionalFormatting>
  <conditionalFormatting sqref="R22:R29">
    <cfRule type="expression" dxfId="190" priority="31">
      <formula>ABS(R$25-R$28)&gt;=1000</formula>
    </cfRule>
  </conditionalFormatting>
  <conditionalFormatting sqref="S22:S29">
    <cfRule type="expression" dxfId="189" priority="30">
      <formula>ABS(S$25-S$28)&gt;=1000</formula>
    </cfRule>
  </conditionalFormatting>
  <conditionalFormatting sqref="T22:T29">
    <cfRule type="expression" dxfId="188" priority="29">
      <formula>ABS(T$25-T$28)&gt;=1000</formula>
    </cfRule>
  </conditionalFormatting>
  <conditionalFormatting sqref="U22:U29">
    <cfRule type="expression" dxfId="187" priority="28">
      <formula>ABS(U$25-U$28)&gt;=1000</formula>
    </cfRule>
  </conditionalFormatting>
  <conditionalFormatting sqref="V22:V29">
    <cfRule type="expression" dxfId="186" priority="27">
      <formula>ABS(V$25-V$28)&gt;=1000</formula>
    </cfRule>
  </conditionalFormatting>
  <conditionalFormatting sqref="W22:W29">
    <cfRule type="expression" dxfId="185" priority="26">
      <formula>ABS(W$25-W$28)&gt;=1000</formula>
    </cfRule>
  </conditionalFormatting>
  <conditionalFormatting sqref="X22:X29">
    <cfRule type="expression" dxfId="184" priority="25">
      <formula>ABS(X$25-X$28)&gt;=1000</formula>
    </cfRule>
  </conditionalFormatting>
  <conditionalFormatting sqref="Y22:Y29">
    <cfRule type="expression" dxfId="183" priority="24">
      <formula>ABS(Y$25-Y$28)&gt;=1000</formula>
    </cfRule>
  </conditionalFormatting>
  <conditionalFormatting sqref="I23">
    <cfRule type="expression" dxfId="182" priority="23">
      <formula>ABS(I$25-I$28)&gt;=1000</formula>
    </cfRule>
  </conditionalFormatting>
  <conditionalFormatting sqref="Q14">
    <cfRule type="expression" dxfId="181" priority="22">
      <formula>ABS(Q$16-Q$19)&gt;=1000</formula>
    </cfRule>
  </conditionalFormatting>
  <conditionalFormatting sqref="W14">
    <cfRule type="expression" dxfId="180" priority="21">
      <formula>ABS(W$16-W$19)&gt;=1000</formula>
    </cfRule>
  </conditionalFormatting>
  <conditionalFormatting sqref="X14">
    <cfRule type="expression" dxfId="179" priority="20">
      <formula>ABS(X$16-X$19)&gt;=1000</formula>
    </cfRule>
  </conditionalFormatting>
  <conditionalFormatting sqref="T10:Y10">
    <cfRule type="expression" dxfId="178" priority="19">
      <formula>ABS(T$7-T$10)&gt;=1000</formula>
    </cfRule>
  </conditionalFormatting>
  <conditionalFormatting sqref="W19">
    <cfRule type="expression" dxfId="177" priority="18">
      <formula>ABS(W$16-W$19)&gt;=1000</formula>
    </cfRule>
  </conditionalFormatting>
  <conditionalFormatting sqref="AC5">
    <cfRule type="expression" dxfId="176" priority="17">
      <formula>ABS(AC$7-AC$10)&gt;=1000</formula>
    </cfRule>
  </conditionalFormatting>
  <conditionalFormatting sqref="M14">
    <cfRule type="expression" dxfId="175" priority="16">
      <formula>ABS(M$16-M$19)&gt;=1000</formula>
    </cfRule>
  </conditionalFormatting>
  <conditionalFormatting sqref="M16">
    <cfRule type="expression" dxfId="174" priority="15">
      <formula>ABS(M$16-M$19)&gt;=1000</formula>
    </cfRule>
  </conditionalFormatting>
  <conditionalFormatting sqref="M19">
    <cfRule type="expression" dxfId="173" priority="14">
      <formula>ABS(M$16-M$19)&gt;=1000</formula>
    </cfRule>
  </conditionalFormatting>
  <conditionalFormatting sqref="K13:K20">
    <cfRule type="expression" dxfId="172" priority="13">
      <formula>ABS(K$16-K$19)&gt;=1000</formula>
    </cfRule>
  </conditionalFormatting>
  <conditionalFormatting sqref="E5">
    <cfRule type="expression" dxfId="171" priority="12">
      <formula>ABS(E$7-E$10)&gt;=1000</formula>
    </cfRule>
  </conditionalFormatting>
  <conditionalFormatting sqref="AB14:AC14">
    <cfRule type="expression" dxfId="170" priority="11">
      <formula>ABS(AB$16-AB$19)&gt;=1000</formula>
    </cfRule>
  </conditionalFormatting>
  <conditionalFormatting sqref="M5">
    <cfRule type="expression" dxfId="169" priority="10">
      <formula>ABS(M$7-M$10)&gt;=1000</formula>
    </cfRule>
  </conditionalFormatting>
  <conditionalFormatting sqref="N5">
    <cfRule type="expression" dxfId="168" priority="9">
      <formula>ABS(N$7-N$10)&gt;=1000</formula>
    </cfRule>
  </conditionalFormatting>
  <conditionalFormatting sqref="O5">
    <cfRule type="expression" dxfId="167" priority="8">
      <formula>ABS(O$7-O$10)&gt;=1000</formula>
    </cfRule>
  </conditionalFormatting>
  <conditionalFormatting sqref="P5">
    <cfRule type="expression" dxfId="166" priority="7">
      <formula>ABS(P$7-P$10)&gt;=1000</formula>
    </cfRule>
  </conditionalFormatting>
  <conditionalFormatting sqref="L23">
    <cfRule type="expression" dxfId="165" priority="6">
      <formula>ABS(L$25-L$28)&gt;=1000</formula>
    </cfRule>
  </conditionalFormatting>
  <conditionalFormatting sqref="Y14">
    <cfRule type="expression" dxfId="164" priority="5">
      <formula>ABS(Y$16-Y$19)&gt;=1000</formula>
    </cfRule>
  </conditionalFormatting>
  <conditionalFormatting sqref="F14">
    <cfRule type="expression" dxfId="163" priority="4">
      <formula>ABS(F$16-F$19)&gt;=1000</formula>
    </cfRule>
  </conditionalFormatting>
  <conditionalFormatting sqref="H14">
    <cfRule type="expression" dxfId="162" priority="3">
      <formula>ABS(H$16-H$19)&gt;=1000</formula>
    </cfRule>
  </conditionalFormatting>
  <conditionalFormatting sqref="AD5">
    <cfRule type="expression" dxfId="161" priority="2">
      <formula>ABS(AD$7-AD$10)&gt;=1000</formula>
    </cfRule>
  </conditionalFormatting>
  <conditionalFormatting sqref="AE5">
    <cfRule type="expression" dxfId="16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3750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78">
    <pageSetUpPr fitToPage="1"/>
  </sheetPr>
  <dimension ref="A1:CU223"/>
  <sheetViews>
    <sheetView tabSelected="1" view="pageBreakPreview" topLeftCell="H10" zoomScale="75" zoomScaleNormal="100" zoomScaleSheetLayoutView="75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82" t="s" ph="1">
        <v>161</v>
      </c>
      <c r="C1" s="182" ph="1"/>
      <c r="D1" s="182" ph="1"/>
      <c r="E1" s="182" ph="1"/>
      <c r="F1" s="182" ph="1"/>
      <c r="G1" s="182" ph="1"/>
      <c r="H1" s="182" ph="1"/>
      <c r="I1" s="182" ph="1"/>
      <c r="J1" s="182" ph="1"/>
      <c r="K1" s="182" ph="1"/>
      <c r="L1" s="182" ph="1"/>
      <c r="M1" s="182" ph="1"/>
      <c r="N1" s="182" ph="1"/>
      <c r="O1" s="182" ph="1"/>
      <c r="P1" s="182" ph="1"/>
      <c r="Q1" s="182" ph="1"/>
      <c r="R1" s="182" ph="1"/>
      <c r="S1" s="182" ph="1"/>
      <c r="T1" s="182" ph="1"/>
      <c r="U1" s="182" ph="1"/>
      <c r="V1" s="182" ph="1"/>
      <c r="W1" s="182" ph="1"/>
      <c r="X1" s="182" ph="1"/>
      <c r="Y1" s="182" ph="1"/>
      <c r="Z1" s="182" ph="1"/>
      <c r="AA1" s="182" ph="1"/>
      <c r="AB1" s="182" ph="1"/>
      <c r="AC1" s="182" ph="1"/>
      <c r="AD1" s="182" ph="1"/>
      <c r="AE1" s="182" ph="1"/>
    </row>
    <row r="2" spans="1:99" s="66" customFormat="1" ht="24" customHeight="1" ph="1">
      <c r="B2" s="183" t="s" ph="1">
        <v>82</v>
      </c>
      <c r="C2" s="183" ph="1"/>
      <c r="D2" s="183" ph="1"/>
      <c r="E2" s="183" ph="1"/>
      <c r="F2" s="183" ph="1"/>
      <c r="G2" s="183" ph="1"/>
      <c r="H2" s="183" ph="1"/>
      <c r="I2" s="183" ph="1"/>
      <c r="J2" s="183" ph="1"/>
      <c r="K2" s="183" ph="1"/>
      <c r="L2" s="183" ph="1"/>
      <c r="M2" s="183" ph="1"/>
      <c r="N2" s="183" ph="1"/>
      <c r="O2" s="183" ph="1"/>
      <c r="P2" s="183" ph="1"/>
      <c r="Q2" s="183" ph="1"/>
      <c r="R2" s="183" ph="1"/>
      <c r="S2" s="183" ph="1"/>
      <c r="T2" s="183" ph="1"/>
      <c r="U2" s="183" ph="1"/>
      <c r="V2" s="183" ph="1"/>
      <c r="W2" s="183" ph="1"/>
      <c r="X2" s="183" ph="1"/>
      <c r="Y2" s="183" ph="1"/>
      <c r="Z2" s="183" ph="1"/>
      <c r="AA2" s="183" ph="1"/>
      <c r="AB2" s="183" ph="1"/>
      <c r="AC2" s="183" ph="1"/>
      <c r="AD2" s="183" ph="1"/>
      <c r="AE2" s="183" ph="1"/>
    </row>
    <row r="3" spans="1:99" ht="21" customHeight="1" ph="1">
      <c r="B3" s="184" ph="1">
        <v>46142</v>
      </c>
      <c r="C3" s="184"/>
      <c r="D3" s="184"/>
      <c r="E3" s="184"/>
      <c r="F3" s="184"/>
      <c r="G3" s="184"/>
      <c r="H3" s="184"/>
      <c r="I3" s="184"/>
      <c r="J3" s="184"/>
      <c r="K3" s="184"/>
      <c r="L3" s="184"/>
      <c r="M3" s="184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</row>
    <row r="4" spans="1:99" s="69" customFormat="1" ph="1">
      <c r="A4" s="65" ph="1"/>
      <c r="B4" s="185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85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81" ph="1">
        <v>0.33333333333333331</v>
      </c>
      <c r="C6" s="159" t="s" ph="1">
        <v>177</v>
      </c>
      <c r="D6" s="71">
        <v>7087</v>
      </c>
      <c r="E6" s="71">
        <v>6536</v>
      </c>
      <c r="F6" s="71">
        <v>5830</v>
      </c>
      <c r="G6" s="71">
        <v>6424</v>
      </c>
      <c r="H6" s="71">
        <v>1241</v>
      </c>
      <c r="I6" s="71">
        <v>7.0000000000000007E-2</v>
      </c>
      <c r="J6" s="71">
        <v>6.38</v>
      </c>
      <c r="K6" s="71">
        <v>62.69</v>
      </c>
      <c r="L6" s="71">
        <v>8</v>
      </c>
      <c r="M6" s="71">
        <v>489</v>
      </c>
      <c r="N6" s="71">
        <v>3165</v>
      </c>
      <c r="O6" s="71">
        <v>5096</v>
      </c>
      <c r="P6" s="71">
        <v>1095</v>
      </c>
      <c r="Q6" s="71">
        <v>129</v>
      </c>
      <c r="R6" s="71">
        <v>7138</v>
      </c>
      <c r="S6" s="71">
        <v>6238</v>
      </c>
      <c r="T6" s="71">
        <v>7162</v>
      </c>
      <c r="U6" s="71">
        <v>7014</v>
      </c>
      <c r="V6" s="71">
        <v>6635</v>
      </c>
      <c r="W6" s="71">
        <v>4560</v>
      </c>
      <c r="X6" s="71">
        <v>4929</v>
      </c>
      <c r="Y6" s="71">
        <v>0</v>
      </c>
      <c r="Z6" s="71">
        <v>6054</v>
      </c>
      <c r="AA6" s="71">
        <v>6563</v>
      </c>
      <c r="AB6" s="71">
        <v>3494</v>
      </c>
      <c r="AC6" s="71">
        <v>7469</v>
      </c>
      <c r="AD6" s="71">
        <v>1800</v>
      </c>
      <c r="AE6" s="71">
        <v>4505</v>
      </c>
    </row>
    <row r="7" spans="1:99" s="72" customFormat="1" ht="22.2" ph="1">
      <c r="B7" s="181" ph="1"/>
      <c r="C7" s="68" t="s" ph="1">
        <v>178</v>
      </c>
      <c r="D7" s="73" ph="1">
        <f>D6*33.183*LOOKUP(D8,密度!$A$2:$A$50,密度!$Q$2:$Q$50)</f>
        <v>222642.87752754</v>
      </c>
      <c r="E7" s="73" ph="1">
        <f>E6*51.53*LOOKUP(E8,密度!$A$2:$A$50,密度!$B$2:$B$50)</f>
        <v>263478.70258400001</v>
      </c>
      <c r="F7" s="73" ph="1">
        <f>F6*33.183*LOOKUP(F8,密度!$A$2:$A$50,密度!$C$2:$C$50)</f>
        <v>215104.715991</v>
      </c>
      <c r="G7" s="73" ph="1">
        <f xml:space="preserve"> (G6+2)*51.53*LOOKUP(G8,密度!$A$2:$A$50,密度!$B$2:$B$50)</f>
        <v>258746.37289200001</v>
      </c>
      <c r="H7" s="73" ph="1">
        <f>(H6)*51.53*LOOKUP(H8,密度!$A$2:$A$50,密度!$B$2:$B$50)</f>
        <v>50244.517160999996</v>
      </c>
      <c r="I7" s="73" ph="1">
        <f>I6*290.8*1.0267</f>
        <v>20.8995052</v>
      </c>
      <c r="J7" s="73" ph="1">
        <f>J6*290.8*0.7892</f>
        <v>1464.2059168000001</v>
      </c>
      <c r="K7" s="73" ph="1">
        <f>K6*290.8*1.1126</f>
        <v>20282.9783752</v>
      </c>
      <c r="L7" s="73" ph="1">
        <f>L6*290.8*0.777</f>
        <v>1807.6128000000001</v>
      </c>
      <c r="M7" s="73" ph="1">
        <f>M6*33.183*LOOKUP(M8,密度!$A$2:$A$50,密度!$D$2:$D$50)</f>
        <v>16721.394853499998</v>
      </c>
      <c r="N7" s="73" ph="1">
        <f>N6*33.183*LOOKUP(N8,密度!$A$2:$A$50,密度!$E$2:$E$50)</f>
        <v>82380.978557999988</v>
      </c>
      <c r="O7" s="73" ph="1">
        <f>O6*20.428*LOOKUP(O8,密度!$A$2:$A$50,密度!$C$2:$C$50)</f>
        <v>115281.5448512</v>
      </c>
      <c r="P7" s="73" ph="1">
        <f>P6*51.53*LOOKUP(P8,密度!$A$2:$A$50,密度!$B$2:$B$50)</f>
        <v>44243.116934999998</v>
      </c>
      <c r="Q7" s="73" ph="1">
        <f>Q6*1.5*1.5*3.1416*LOOKUP(W8,密度!$A$2:$A$50,密度!$L$2:$L$50)</f>
        <v>857.13843599999996</v>
      </c>
      <c r="R7" s="73" ph="1">
        <f>R6*1.5*1.5*3.1416*LOOKUP(R8,密度!$A$2:$A$50,密度!$L$2:$L$50)</f>
        <v>47125.592791200004</v>
      </c>
      <c r="S7" s="73" ph="1">
        <f>S6*1.5*1.5*3.1416*LOOKUP(S8,密度!$A$2:$A$50,密度!$L$2:$L$50)</f>
        <v>41536.479045599997</v>
      </c>
      <c r="T7" s="73" ph="1">
        <f>T6*1.5*1.5*3.1416*LOOKUP(T8,密度!$A$2:$A$50,密度!$L$2:$L$50)</f>
        <v>47790.295660799995</v>
      </c>
      <c r="U7" s="73" ph="1">
        <f>U6*1.5*1.5*3.1416*LOOKUP(U8,密度!$A$2:$A$50,密度!$L$2:$L$50)</f>
        <v>46505.252455199996</v>
      </c>
      <c r="V7" s="73" ph="1">
        <f>V6*1.5*1.5*3.1416*LOOKUP(V8,密度!$A$2:$A$50,密度!$L$2:$L$50)</f>
        <v>43851.650535000001</v>
      </c>
      <c r="W7" s="73" ph="1">
        <f>W6*1.5*1.5*3.1416*LOOKUP(W8,密度!$A$2:$A$50,密度!$L$2:$L$50)</f>
        <v>30298.847039999997</v>
      </c>
      <c r="X7" s="73" ph="1">
        <f>X6*1.5*1.5*3.1416*LOOKUP(X8,密度!$A$2:$A$50,密度!$L$2:$L$50)</f>
        <v>33064.231800599999</v>
      </c>
      <c r="Y7" s="73" ph="1">
        <f>Y6*1.5*1.5*3.1416*LOOKUP(Y8,密度!$A$2:$A$50,密度!$L$2:$L$50)</f>
        <v>0</v>
      </c>
      <c r="Z7" s="73" ph="1">
        <f>Z6*33.183*LOOKUP(Z8,密度!$A$2:$A$50,密度!$L$2:$L$50)</f>
        <v>189037.37896199999</v>
      </c>
      <c r="AA7" s="73" ph="1">
        <f>AA6*33.183*LOOKUP(AA8,密度!$A$2:$A$50,密度!$D$2:$D$50)</f>
        <v>224422.3198845</v>
      </c>
      <c r="AB7" s="73" ph="1">
        <f>AB6*20.428*LOOKUP(AB8,密度!$A$2:$A$50,密度!$D$2:$D$50)</f>
        <v>73795.059144800005</v>
      </c>
      <c r="AC7" s="73" ph="1">
        <f>AC6*51.53*LOOKUP(AC8,密度!$A$2:$A$50,密度!$Q$2:$Q$50)</f>
        <v>365779.9449766</v>
      </c>
      <c r="AD7" s="73" ph="1">
        <f>AD6*20.428*LOOKUP(AD8,密度!$A$2:$A$50,密度!$V$2:$V$50)</f>
        <v>35446.6656</v>
      </c>
      <c r="AE7" s="73" ph="1">
        <f>AE6*20.428</f>
        <v>92028.14</v>
      </c>
    </row>
    <row r="8" spans="1:99" ph="1">
      <c r="B8" s="181" ph="1"/>
      <c r="C8" s="68" t="s" ph="1">
        <v>179</v>
      </c>
      <c r="D8" s="74">
        <v>25</v>
      </c>
      <c r="E8" s="74">
        <v>22</v>
      </c>
      <c r="F8" s="74">
        <v>21</v>
      </c>
      <c r="G8" s="74">
        <v>23</v>
      </c>
      <c r="H8" s="74">
        <v>18</v>
      </c>
      <c r="I8" s="74">
        <v>25</v>
      </c>
      <c r="J8" s="74">
        <v>25</v>
      </c>
      <c r="K8" s="74">
        <v>25</v>
      </c>
      <c r="L8" s="74">
        <v>25</v>
      </c>
      <c r="M8" s="74">
        <v>21</v>
      </c>
      <c r="N8" s="74">
        <v>24</v>
      </c>
      <c r="O8" s="74">
        <v>27</v>
      </c>
      <c r="P8" s="74">
        <v>20</v>
      </c>
      <c r="Q8" s="74">
        <v>24</v>
      </c>
      <c r="R8" s="74">
        <v>28</v>
      </c>
      <c r="S8" s="74">
        <v>20</v>
      </c>
      <c r="T8" s="74">
        <v>18</v>
      </c>
      <c r="U8" s="74">
        <v>24</v>
      </c>
      <c r="V8" s="74">
        <v>27</v>
      </c>
      <c r="W8" s="74">
        <v>22</v>
      </c>
      <c r="X8" s="74">
        <v>13</v>
      </c>
      <c r="Y8" s="74">
        <v>20</v>
      </c>
      <c r="Z8" s="74">
        <v>21</v>
      </c>
      <c r="AA8" s="74">
        <v>21</v>
      </c>
      <c r="AB8" s="74">
        <v>17</v>
      </c>
      <c r="AC8" s="74">
        <v>20</v>
      </c>
      <c r="AD8" s="74">
        <v>20</v>
      </c>
      <c r="AE8" s="74">
        <v>24</v>
      </c>
    </row>
    <row r="9" spans="1:99" ht="26.4" ph="1">
      <c r="B9" s="181" ph="1">
        <v>0.66666666666666663</v>
      </c>
      <c r="C9" s="159" t="s" ph="1">
        <v>180</v>
      </c>
      <c r="D9" s="71">
        <v>7087</v>
      </c>
      <c r="E9" s="71">
        <v>6648</v>
      </c>
      <c r="F9" s="71">
        <v>5829</v>
      </c>
      <c r="G9" s="71">
        <v>5458</v>
      </c>
      <c r="H9" s="71">
        <v>2917</v>
      </c>
      <c r="I9" s="71">
        <v>7.0000000000000007E-2</v>
      </c>
      <c r="J9" s="71">
        <v>6.35</v>
      </c>
      <c r="K9" s="71">
        <v>62.75</v>
      </c>
      <c r="L9" s="71">
        <v>35.590000000000003</v>
      </c>
      <c r="M9" s="71">
        <v>489</v>
      </c>
      <c r="N9" s="71">
        <v>3165</v>
      </c>
      <c r="O9" s="71">
        <v>4300</v>
      </c>
      <c r="P9" s="71">
        <v>506</v>
      </c>
      <c r="Q9" s="71">
        <v>0</v>
      </c>
      <c r="R9" s="71">
        <v>2264</v>
      </c>
      <c r="S9" s="71">
        <v>6235</v>
      </c>
      <c r="T9" s="71">
        <v>7159</v>
      </c>
      <c r="U9" s="71">
        <v>7010</v>
      </c>
      <c r="V9" s="71">
        <v>6632</v>
      </c>
      <c r="W9" s="71">
        <v>7008</v>
      </c>
      <c r="X9" s="71">
        <v>7073</v>
      </c>
      <c r="Y9" s="71">
        <v>777</v>
      </c>
      <c r="Z9" s="71">
        <v>3760</v>
      </c>
      <c r="AA9" s="71">
        <v>6562</v>
      </c>
      <c r="AB9" s="71">
        <v>3493</v>
      </c>
      <c r="AC9" s="71">
        <v>7572</v>
      </c>
      <c r="AD9" s="71">
        <v>1800</v>
      </c>
      <c r="AE9" s="71">
        <v>4420</v>
      </c>
    </row>
    <row r="10" spans="1:99" s="72" customFormat="1" ht="22.2" ph="1">
      <c r="B10" s="181" ph="1"/>
      <c r="C10" s="159" t="s" ph="1">
        <v>178</v>
      </c>
      <c r="D10" s="73" ph="1">
        <f>D9*33.183*LOOKUP(D11,密度!$A$2:$A$50,密度!$Q$2:$Q$50)</f>
        <v>222814.55010987</v>
      </c>
      <c r="E10" s="73" ph="1">
        <f>E9*51.53*LOOKUP(E11,密度!$A$2:$A$50,密度!$B$2:$B$50)</f>
        <v>267993.63751199999</v>
      </c>
      <c r="F10" s="73" ph="1">
        <f>F9*33.183*LOOKUP(F11,密度!$A$2:$A$50,密度!$C$2:$C$50)</f>
        <v>215067.81981330001</v>
      </c>
      <c r="G10" s="73" ph="1">
        <f xml:space="preserve"> (G9+2)*51.53*LOOKUP(G11,密度!$A$2:$A$50,密度!$B$2:$B$50)</f>
        <v>219596.64089999997</v>
      </c>
      <c r="H10" s="73" ph="1">
        <f>(H9)*51.53*LOOKUP(H11,密度!$A$2:$A$50,密度!$B$2:$B$50)</f>
        <v>117860.43114100001</v>
      </c>
      <c r="I10" s="73" ph="1">
        <f>I9*290.8*1.0267</f>
        <v>20.8995052</v>
      </c>
      <c r="J10" s="73" ph="1">
        <f>J9*290.8*0.7892</f>
        <v>1457.3209360000001</v>
      </c>
      <c r="K10" s="73" ph="1">
        <f>K9*290.8*1.1126</f>
        <v>20302.391020000003</v>
      </c>
      <c r="L10" s="73" ph="1">
        <f>L9*290.8*0.777</f>
        <v>8041.6174440000013</v>
      </c>
      <c r="M10" s="73" ph="1">
        <f>M9*33.183*LOOKUP(M11,密度!$A$2:$A$50,密度!$D$2:$D$50)</f>
        <v>16705.168366500002</v>
      </c>
      <c r="N10" s="73" ph="1">
        <f>N9*33.183*LOOKUP(N11,密度!$A$2:$A$50,密度!$E$2:$E$50)</f>
        <v>82380.978557999988</v>
      </c>
      <c r="O10" s="73" ph="1">
        <f>O9*20.428*LOOKUP(O11,密度!$A$2:$A$50,密度!$C$2:$C$50)</f>
        <v>97406.219560000012</v>
      </c>
      <c r="P10" s="73" ph="1">
        <f>P9*51.53*LOOKUP(P11,密度!$A$2:$A$50,密度!$B$2:$B$50)</f>
        <v>20444.764537999999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14947.091913600001</v>
      </c>
      <c r="S10" s="73" ph="1">
        <f>S9*1.5*1.5*3.1416*LOOKUP(S11,密度!$A$2:$A$50,密度!$L$2:$L$50)</f>
        <v>41516.503181999993</v>
      </c>
      <c r="T10" s="73" ph="1">
        <f>T9*1.5*1.5*3.1416*LOOKUP(T11,密度!$A$2:$A$50,密度!$L$2:$L$50)</f>
        <v>47669.069170800001</v>
      </c>
      <c r="U10" s="73" ph="1">
        <f>U9*1.5*1.5*3.1416*LOOKUP(U11,密度!$A$2:$A$50,密度!$L$2:$L$50)</f>
        <v>46528.281953999998</v>
      </c>
      <c r="V10" s="73" ph="1">
        <f>V9*1.5*1.5*3.1416*LOOKUP(V11,密度!$A$2:$A$50,密度!$L$2:$L$50)</f>
        <v>43784.944156799997</v>
      </c>
      <c r="W10" s="73" ph="1">
        <f>W9*1.5*1.5*3.1416*LOOKUP(W11,密度!$A$2:$A$50,密度!$L$2:$L$50)</f>
        <v>46564.543872000002</v>
      </c>
      <c r="X10" s="73" ph="1">
        <f>X9*1.5*1.5*3.1416*LOOKUP(X11,密度!$A$2:$A$50,密度!$L$2:$L$50)</f>
        <v>47346.408786599997</v>
      </c>
      <c r="Y10" s="73" ph="1">
        <f>Y9*1.5*1.5*3.1416*LOOKUP(Y11,密度!$A$2:$A$50,密度!$L$2:$L$50)</f>
        <v>5173.7486724</v>
      </c>
      <c r="Z10" s="73" ph="1">
        <f>Z9*33.183*LOOKUP(Z11,密度!$A$2:$A$50,密度!$L$2:$L$50)</f>
        <v>117531.53135999999</v>
      </c>
      <c r="AA10" s="73" ph="1">
        <f>AA9*33.183*LOOKUP(AA11,密度!$A$2:$A$50,密度!$D$2:$D$50)</f>
        <v>223974.40579559997</v>
      </c>
      <c r="AB10" s="73" ph="1">
        <f>AB9*20.428*LOOKUP(AB11,密度!$A$2:$A$50,密度!$D$2:$D$50)</f>
        <v>73716.854632399991</v>
      </c>
      <c r="AC10" s="73" ph="1">
        <f>AC9*51.53*LOOKUP(AC11,密度!$A$2:$A$50,密度!$Q$2:$Q$50)</f>
        <v>370824.17236080003</v>
      </c>
      <c r="AD10" s="73" ph="1">
        <f>AD9*20.428*LOOKUP(AD11,密度!$A$2:$A$50,密度!$V$2:$V$50)</f>
        <v>35329.000319999999</v>
      </c>
      <c r="AE10" s="73" ph="1">
        <f>AE9*20.428</f>
        <v>90291.760000000009</v>
      </c>
    </row>
    <row r="11" spans="1:99" ph="1">
      <c r="A11" s="64" t="s" ph="1">
        <v>162</v>
      </c>
      <c r="B11" s="181" ph="1"/>
      <c r="C11" s="159" t="s" ph="1">
        <v>179</v>
      </c>
      <c r="D11" s="74">
        <v>24</v>
      </c>
      <c r="E11" s="74">
        <v>22</v>
      </c>
      <c r="F11" s="74">
        <v>21</v>
      </c>
      <c r="G11" s="74">
        <v>24</v>
      </c>
      <c r="H11" s="74">
        <v>20</v>
      </c>
      <c r="I11" s="74">
        <v>25</v>
      </c>
      <c r="J11" s="74">
        <v>25</v>
      </c>
      <c r="K11" s="74">
        <v>25</v>
      </c>
      <c r="L11" s="74">
        <v>25</v>
      </c>
      <c r="M11" s="74">
        <v>22</v>
      </c>
      <c r="N11" s="74">
        <v>24</v>
      </c>
      <c r="O11" s="74">
        <v>25</v>
      </c>
      <c r="P11" s="74">
        <v>20</v>
      </c>
      <c r="Q11" s="74">
        <v>24</v>
      </c>
      <c r="R11" s="74">
        <v>28</v>
      </c>
      <c r="S11" s="74">
        <v>20</v>
      </c>
      <c r="T11" s="74">
        <v>20</v>
      </c>
      <c r="U11" s="74">
        <v>23</v>
      </c>
      <c r="V11" s="74">
        <v>28</v>
      </c>
      <c r="W11" s="74">
        <v>22</v>
      </c>
      <c r="X11" s="74">
        <v>15</v>
      </c>
      <c r="Y11" s="74">
        <v>20</v>
      </c>
      <c r="Z11" s="74">
        <v>20</v>
      </c>
      <c r="AA11" s="74">
        <v>23</v>
      </c>
      <c r="AB11" s="74">
        <v>18</v>
      </c>
      <c r="AC11" s="74">
        <v>20</v>
      </c>
      <c r="AD11" s="74">
        <v>21</v>
      </c>
      <c r="AE11" s="74">
        <v>25</v>
      </c>
    </row>
    <row r="12" spans="1:99" ht="9.9" customHeight="1" ph="1"/>
    <row r="13" spans="1:99" s="72" customFormat="1" ht="29.25" customHeight="1" ph="1">
      <c r="B13" s="189" t="s" ph="1">
        <v>37</v>
      </c>
      <c r="C13" s="159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190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639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191" ph="1">
        <v>0.33333333333333331</v>
      </c>
      <c r="C15" s="159" t="s" ph="1">
        <v>177</v>
      </c>
      <c r="D15" s="78">
        <v>2333</v>
      </c>
      <c r="E15" s="78">
        <v>124</v>
      </c>
      <c r="F15" s="78">
        <v>2092</v>
      </c>
      <c r="G15" s="78">
        <v>4170</v>
      </c>
      <c r="H15" s="78">
        <v>0</v>
      </c>
      <c r="I15" s="78">
        <v>5073</v>
      </c>
      <c r="J15" s="78">
        <v>548</v>
      </c>
      <c r="K15" s="78">
        <v>5009</v>
      </c>
      <c r="L15" s="78">
        <v>3199</v>
      </c>
      <c r="M15" s="78">
        <v>0</v>
      </c>
      <c r="N15" s="78">
        <v>264</v>
      </c>
      <c r="O15" s="78">
        <v>4738</v>
      </c>
      <c r="P15" s="78">
        <v>655</v>
      </c>
      <c r="Q15" s="78">
        <v>983</v>
      </c>
      <c r="R15" s="78">
        <v>0</v>
      </c>
      <c r="S15" s="78">
        <v>6460</v>
      </c>
      <c r="T15" s="78">
        <v>3790</v>
      </c>
      <c r="U15" s="78">
        <v>1719</v>
      </c>
      <c r="V15" s="78">
        <v>1662</v>
      </c>
      <c r="W15" s="71">
        <v>-172</v>
      </c>
      <c r="X15" s="78">
        <v>-143</v>
      </c>
      <c r="Y15" s="106">
        <v>-9904</v>
      </c>
      <c r="Z15" s="78">
        <v>0</v>
      </c>
      <c r="AA15" s="78">
        <v>4308</v>
      </c>
      <c r="AB15" s="78" ph="1">
        <v>1072</v>
      </c>
      <c r="AC15" s="78" ph="1">
        <v>20</v>
      </c>
      <c r="AD15" s="78">
        <v>5.68</v>
      </c>
      <c r="AE15" s="78">
        <v>52.54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192" ph="1"/>
      <c r="C16" s="159" t="s" ph="1">
        <v>178</v>
      </c>
      <c r="D16" s="73" ph="1">
        <f>D15*7.0686*LOOKUP(D17,密度!$A$2:$A$50,密度!$L$2:$L$50)</f>
        <v>15534.563259599998</v>
      </c>
      <c r="E16" s="73" ph="1">
        <f>E15*7.0686*LOOKUP(E17,密度!$A$2:$A$50,密度!$L$2:$L$50)</f>
        <v>825.66902879999998</v>
      </c>
      <c r="F16" s="73" ph="1">
        <f>F15*9.0746*LOOKUP(F17,密度!$A$2:$A$50,密度!$L$2:$L$50)</f>
        <v>17807.051281600001</v>
      </c>
      <c r="G16" s="73" ph="1">
        <f>G15*9.0746*LOOKUP(G17,密度!$A$2:$A$50,密度!$B$2:$B$50)</f>
        <v>29603.078448600001</v>
      </c>
      <c r="H16" s="73" ph="1">
        <f>H15*9.0746*LOOKUP(H17,密度!$A$2:$A$50,密度!$L$2:$L$50)</f>
        <v>0</v>
      </c>
      <c r="I16" s="73" ph="1">
        <f>I15*9.0746*LOOKUP(I17,密度!$A$2:$A$50,密度!$U$2:$U$50)</f>
        <v>47324.438282400006</v>
      </c>
      <c r="J16" s="73" ph="1">
        <f>J15*9.0746*LOOKUP(J17,密度!$A$2:$A$50,密度!$L$2:$L$50)</f>
        <v>4679.4808327999999</v>
      </c>
      <c r="K16" s="73" ph="1">
        <f>K15*9.0746*LOOKUP(K17,密度!$A$2:$A$50,密度!$C$2:$C$50)</f>
        <v>50504.685392539999</v>
      </c>
      <c r="L16" s="73" ph="1">
        <f>L15*9.0746*LOOKUP(L17,密度!$A$2:$A$50,密度!$E$2:$E$50)</f>
        <v>22805.689426239998</v>
      </c>
      <c r="M16" s="73" ph="1">
        <f>M15*9.0746*LOOKUP(M17,密度!$A$2:$A$50,密度!$M$2:$M$50)</f>
        <v>0</v>
      </c>
      <c r="N16" s="73" ph="1">
        <f>N15*9.0746*LOOKUP(N17,密度!$A$2:$A$50,密度!$M$2:$M$50)</f>
        <v>2108.9297803199997</v>
      </c>
      <c r="O16" s="73" ph="1">
        <f>O15*9.0746*LOOKUP(O17,密度!$A$2:$A$50,密度!$G$2:$G$50)</f>
        <v>41327.231153760004</v>
      </c>
      <c r="P16" s="73" ph="1">
        <f ca="1">P15*9.0746*LOOKUP(P17,密度!$A$2:$A$51,密度!$Q$2:$Q$50)</f>
        <v>5648.9285179400003</v>
      </c>
      <c r="Q16" s="73" ph="1">
        <f>Q15*9.0746*LOOKUP(Q17,密度!$A$2:$A$50,密度!$Q$2:$Q$50)</f>
        <v>8477.7049360839992</v>
      </c>
      <c r="R16" s="73" ph="1">
        <f>MAX(R15*9.0746*LOOKUP(R17,密度!$A$2:$A$50,密度!$B$2:$B$50),0)</f>
        <v>0</v>
      </c>
      <c r="S16" s="73" ph="1">
        <f>S15*9.0746*LOOKUP(S17,密度!$A$2:$A$50,密度!$Q$2:$Q$50)</f>
        <v>55585.300751200004</v>
      </c>
      <c r="T16" s="73" ph="1">
        <f>T15*9.0746*LOOKUP(T17,密度!$A$2:$A$50,密度!$O$2:$O$50)</f>
        <v>31985.242620000005</v>
      </c>
      <c r="U16" s="73" ph="1">
        <f>U15*9.0746*LOOKUP(U17,密度!$A$2:$A$50,密度!$H$2:$H$50)</f>
        <v>14346.61863678</v>
      </c>
      <c r="V16" s="73" ph="1">
        <f>MAX(5600*LOOKUP(V17,密度!$A$2:$A$50,密度!$Q$2:$Q$50)+V15*9.0476*LOOKUP(V17,密度!$A$2:$A$50,密度!$Q$2:$Q$50),0)</f>
        <v>19568.108839840002</v>
      </c>
      <c r="W16" s="73" ph="1">
        <f>MAX(5600*LOOKUP(W17,密度!$A$2:$A$50,密度!$Q$2:$Q$50)+W15*9.0476*LOOKUP(W17,密度!$A$2:$A$50,密度!$Q$2:$Q$50),0)</f>
        <v>3837.9422903519999</v>
      </c>
      <c r="X16" s="73" ph="1">
        <f>MAX(5600*LOOKUP(X17,密度!$A$2:$A$50,密度!$I$2:$I$50)+X15*9.0476*LOOKUP(X17,密度!$A$2:$A$50,密度!$I$2:$I$50),0)</f>
        <v>4498.2494167200002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30375.553773600001</v>
      </c>
      <c r="AB16" s="73" ph="1">
        <f>AB15*9.0746*LOOKUP(AB17,密度!$A$2:$A$50,密度!$L$2:$L$50)</f>
        <v>9154.0208991999989</v>
      </c>
      <c r="AC16" s="73" ph="1">
        <f>AC15*9.0746*LOOKUP(AC17,密度!$A$2:$A$50,密度!$L$2:$L$50)</f>
        <v>170.965464</v>
      </c>
      <c r="AD16" s="73" ph="1">
        <f>AD15*268.68*LOOKUP(AD17,密度!$A$2:$A$50,密度!B2:B50)+IF(AD15&lt;=0,0,1566*LOOKUP(AD17,密度!$A$2:$A$50,密度!B2:B50))</f>
        <v>2410.6030310400001</v>
      </c>
      <c r="AE16" s="73" ph="1">
        <f>AE15*268.68*LOOKUP(AE17,密度!$A$2:$A$50,密度!B2:B50)+IF(AE15&lt;=0,0,1566*LOOKUP(AE17,密度!$A$2:$A$50,密度!B2:B50))</f>
        <v>12226.03583712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193" ph="1"/>
      <c r="C17" s="79" t="s" ph="1">
        <v>179</v>
      </c>
      <c r="D17" s="74">
        <v>20</v>
      </c>
      <c r="E17" s="74">
        <v>20</v>
      </c>
      <c r="F17" s="74">
        <v>24</v>
      </c>
      <c r="G17" s="74">
        <v>22</v>
      </c>
      <c r="H17" s="74">
        <v>15</v>
      </c>
      <c r="I17" s="74">
        <v>20</v>
      </c>
      <c r="J17" s="74">
        <v>21</v>
      </c>
      <c r="K17" s="74">
        <v>22</v>
      </c>
      <c r="L17" s="74">
        <v>23</v>
      </c>
      <c r="M17" s="74">
        <v>21</v>
      </c>
      <c r="N17" s="74">
        <v>20</v>
      </c>
      <c r="O17" s="74">
        <v>24</v>
      </c>
      <c r="P17" s="74">
        <v>20</v>
      </c>
      <c r="Q17" s="74">
        <v>20</v>
      </c>
      <c r="R17" s="74">
        <v>22</v>
      </c>
      <c r="S17" s="74">
        <v>23</v>
      </c>
      <c r="T17" s="74">
        <v>23</v>
      </c>
      <c r="U17" s="74">
        <v>20</v>
      </c>
      <c r="V17" s="74">
        <v>23</v>
      </c>
      <c r="W17" s="74">
        <v>22</v>
      </c>
      <c r="X17" s="74">
        <v>23</v>
      </c>
      <c r="Y17" s="108">
        <v>23</v>
      </c>
      <c r="Z17" s="74">
        <v>21</v>
      </c>
      <c r="AA17" s="74">
        <v>28</v>
      </c>
      <c r="AB17" s="74">
        <v>21</v>
      </c>
      <c r="AC17" s="74">
        <v>20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191" ph="1">
        <v>0.66666666666666663</v>
      </c>
      <c r="C18" s="79" t="s" ph="1">
        <v>180</v>
      </c>
      <c r="D18" s="71">
        <v>1953</v>
      </c>
      <c r="E18" s="71">
        <v>62</v>
      </c>
      <c r="F18" s="71">
        <v>2091</v>
      </c>
      <c r="G18" s="71">
        <v>3640</v>
      </c>
      <c r="H18" s="71">
        <v>0</v>
      </c>
      <c r="I18" s="71">
        <v>5072</v>
      </c>
      <c r="J18" s="71">
        <v>548</v>
      </c>
      <c r="K18" s="71">
        <v>5008</v>
      </c>
      <c r="L18" s="71">
        <v>3197</v>
      </c>
      <c r="M18" s="71">
        <v>1066</v>
      </c>
      <c r="N18" s="71">
        <v>1595</v>
      </c>
      <c r="O18" s="71">
        <v>4736</v>
      </c>
      <c r="P18" s="71">
        <v>655</v>
      </c>
      <c r="Q18" s="71">
        <v>981</v>
      </c>
      <c r="R18" s="71">
        <v>0</v>
      </c>
      <c r="S18" s="71">
        <v>6458</v>
      </c>
      <c r="T18" s="71">
        <v>3787</v>
      </c>
      <c r="U18" s="71">
        <v>1710</v>
      </c>
      <c r="V18" s="71">
        <v>1661</v>
      </c>
      <c r="W18" s="71">
        <v>-172</v>
      </c>
      <c r="X18" s="71">
        <v>-143</v>
      </c>
      <c r="Y18" s="109">
        <v>-9904</v>
      </c>
      <c r="Z18" s="71">
        <v>0</v>
      </c>
      <c r="AA18" s="71">
        <v>2730</v>
      </c>
      <c r="AB18" s="71">
        <v>1071</v>
      </c>
      <c r="AC18" s="71">
        <v>22</v>
      </c>
      <c r="AD18" s="71">
        <v>23.84</v>
      </c>
      <c r="AE18" s="71">
        <v>84.71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192" ph="1"/>
      <c r="C19" s="159" t="s" ph="1">
        <v>178</v>
      </c>
      <c r="D19" s="73" ph="1">
        <f>D18*7.0686*LOOKUP(D20,密度!$A$2:$A$50,密度!$L$2:$L$50)</f>
        <v>12976.677251999999</v>
      </c>
      <c r="E19" s="73" ph="1">
        <f>E18*7.0686*LOOKUP(E20,密度!$A$2:$A$50,密度!$L$2:$L$50)</f>
        <v>412.39626119999997</v>
      </c>
      <c r="F19" s="73" ph="1">
        <f>F18*9.0746*LOOKUP(F20,密度!$A$2:$A$50,密度!$L$2:$L$50)</f>
        <v>17779.564318200002</v>
      </c>
      <c r="G19" s="73" ph="1">
        <f>G18*9.0746*LOOKUP(G20,密度!$A$2:$A$50,密度!$B$2:$B$50)</f>
        <v>25810.848481600002</v>
      </c>
      <c r="H19" s="73" ph="1">
        <f>H18*9.0746*LOOKUP(H20,密度!$A$2:$A$50,密度!$L$2:$L$50)</f>
        <v>0</v>
      </c>
      <c r="I19" s="73" ph="1">
        <f>I18*9.0746*LOOKUP(I20,密度!$A$2:$A$50,密度!$U$2:$U$50)</f>
        <v>47315.109593600006</v>
      </c>
      <c r="J19" s="73" ph="1">
        <f>J18*9.0746*LOOKUP(J20,密度!$A$2:$A$50,密度!$L$2:$L$50)</f>
        <v>4674.5079519999999</v>
      </c>
      <c r="K19" s="73" ph="1">
        <f>K18*9.0746*LOOKUP(K20,密度!$A$2:$A$50,密度!$C$2:$C$50)</f>
        <v>50494.602604479995</v>
      </c>
      <c r="L19" s="73" ph="1">
        <f>L18*9.0746*LOOKUP(L20,密度!$A$2:$A$50,密度!$E$2:$E$50)</f>
        <v>22791.431414719998</v>
      </c>
      <c r="M19" s="73" ph="1">
        <f>M18*9.0746*LOOKUP(M20,密度!$A$2:$A$50,密度!$M$2:$M$50)</f>
        <v>8483.6801972000012</v>
      </c>
      <c r="N19" s="73" ph="1">
        <f>N18*9.0746*LOOKUP(N20,密度!$A$2:$A$50,密度!$M$2:$M$50)</f>
        <v>12724.081971700001</v>
      </c>
      <c r="O19" s="73" ph="1">
        <f>O18*9.0746*LOOKUP(O20,密度!$A$2:$A$50,密度!$G$2:$G$50)</f>
        <v>41309.786142720004</v>
      </c>
      <c r="P19" s="73" ph="1">
        <f ca="1">P18*9.0746*LOOKUP(P20,密度!$A$2:$A$51,密度!$Q$2:$Q$50)</f>
        <v>5641.2609346700001</v>
      </c>
      <c r="Q19" s="73" ph="1">
        <f>Q18*9.0746*LOOKUP(Q20,密度!$A$2:$A$50,密度!$Q$2:$Q$50)</f>
        <v>8454.3137933939997</v>
      </c>
      <c r="R19" s="73" ph="1">
        <f>MAX(R18*9.0746*LOOKUP(R20,密度!$A$2:$A$50,密度!$B$2:$B$50),0)</f>
        <v>0</v>
      </c>
      <c r="S19" s="73" ph="1">
        <f>S18*9.0746*LOOKUP(S20,密度!$A$2:$A$50,密度!$Q$2:$Q$50)</f>
        <v>55620.249032212007</v>
      </c>
      <c r="T19" s="73" ph="1">
        <f>T18*9.0746*LOOKUP(T20,密度!$A$2:$A$50,密度!$O$2:$O$50)</f>
        <v>31959.924486000007</v>
      </c>
      <c r="U19" s="73" ph="1">
        <f>U18*9.0746*LOOKUP(U20,密度!$A$2:$A$50,密度!$H$2:$H$50)</f>
        <v>14257.5396408</v>
      </c>
      <c r="V19" s="73" ph="1">
        <f>MAX(5600*LOOKUP(V20,密度!$A$2:$A$50,密度!$Q$2:$Q$50)+V18*9.0476*LOOKUP(V20,密度!$A$2:$A$50,密度!$Q$2:$Q$50),0)</f>
        <v>19559.529905520001</v>
      </c>
      <c r="W19" s="73" ph="1">
        <f>MAX(5600*LOOKUP(W20,密度!$A$2:$A$50,密度!$Q$2:$Q$50)+W18*9.0476*LOOKUP(W20,密度!$A$2:$A$50,密度!$Q$2:$Q$50),0)</f>
        <v>3837.9422903519999</v>
      </c>
      <c r="X19" s="73" ph="1">
        <f>MAX(5600*LOOKUP(X20,密度!$A$2:$A$50,密度!$I$2:$I$50)+X18*9.0476*LOOKUP(X20,密度!$A$2:$A$50,密度!$I$2:$I$50),0)</f>
        <v>4493.0819848800011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19271.428558200001</v>
      </c>
      <c r="AB19" s="73" ph="1">
        <f>AB18*9.0746*LOOKUP(AB20,密度!$A$2:$A$50,密度!$L$2:$L$50)</f>
        <v>9145.4817005999994</v>
      </c>
      <c r="AC19" s="73" ph="1">
        <f>AC18*9.0746*LOOKUP(AC20,密度!$A$2:$A$50,密度!$L$2:$L$50)</f>
        <v>188.26165159999999</v>
      </c>
      <c r="AD19" s="73" ph="1">
        <f>AD18*268.68*LOOKUP(AD20,密度!$A$2:$A$50,密度!B5:B53)+IF(AD18&lt;=0,0,1566*LOOKUP(AD20,密度!$A$2:$A$50,密度!B5:B53))</f>
        <v>6193.7243424000008</v>
      </c>
      <c r="AE19" s="73" ph="1">
        <f>AE18*268.68*LOOKUP(AE20,密度!$A$2:$A$50,密度!B5:B53)+IF(AE18&lt;=0,0,1566*LOOKUP(AE20,密度!$A$2:$A$50,密度!B5:B53))</f>
        <v>18901.2109356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192" ph="1"/>
      <c r="C20" s="80" t="s" ph="1">
        <v>179</v>
      </c>
      <c r="D20" s="81">
        <v>22</v>
      </c>
      <c r="E20" s="81">
        <v>21</v>
      </c>
      <c r="F20" s="81">
        <v>25</v>
      </c>
      <c r="G20" s="81">
        <v>23</v>
      </c>
      <c r="H20" s="81">
        <v>17</v>
      </c>
      <c r="I20" s="81">
        <v>21</v>
      </c>
      <c r="J20" s="81">
        <v>22</v>
      </c>
      <c r="K20" s="81">
        <v>22</v>
      </c>
      <c r="L20" s="81">
        <v>23</v>
      </c>
      <c r="M20" s="81">
        <v>23</v>
      </c>
      <c r="N20" s="81">
        <v>21</v>
      </c>
      <c r="O20" s="81">
        <v>24</v>
      </c>
      <c r="P20" s="81">
        <v>22</v>
      </c>
      <c r="Q20" s="81">
        <v>21</v>
      </c>
      <c r="R20" s="81">
        <v>23</v>
      </c>
      <c r="S20" s="81">
        <v>22</v>
      </c>
      <c r="T20" s="81">
        <v>23</v>
      </c>
      <c r="U20" s="81">
        <v>21</v>
      </c>
      <c r="V20" s="81">
        <v>23</v>
      </c>
      <c r="W20" s="81">
        <v>22</v>
      </c>
      <c r="X20" s="81">
        <v>24</v>
      </c>
      <c r="Y20" s="110">
        <v>24</v>
      </c>
      <c r="Z20" s="81">
        <v>24</v>
      </c>
      <c r="AA20" s="81">
        <v>27</v>
      </c>
      <c r="AB20" s="81">
        <v>21</v>
      </c>
      <c r="AC20" s="81">
        <v>19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190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69" t="s" ph="1">
        <v>69</v>
      </c>
      <c r="AA22" s="170"/>
      <c r="AB22" s="170"/>
      <c r="AC22" s="170"/>
      <c r="AD22" s="170"/>
      <c r="AE22" s="17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185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172" t="s" ph="1">
        <v>644</v>
      </c>
      <c r="AA23" s="173"/>
      <c r="AB23" s="173"/>
      <c r="AC23" s="173"/>
      <c r="AD23" s="173"/>
      <c r="AE23" s="17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81" ph="1">
        <v>0.33333333333333331</v>
      </c>
      <c r="C24" s="159" t="s" ph="1">
        <v>177</v>
      </c>
      <c r="D24" s="71">
        <v>51.34</v>
      </c>
      <c r="E24" s="71">
        <v>5.66</v>
      </c>
      <c r="F24" s="71">
        <v>1549</v>
      </c>
      <c r="G24" s="71">
        <v>3109</v>
      </c>
      <c r="H24" s="71">
        <v>3235</v>
      </c>
      <c r="I24" s="71">
        <v>405</v>
      </c>
      <c r="J24" s="71">
        <v>831</v>
      </c>
      <c r="K24" s="71">
        <v>1559</v>
      </c>
      <c r="L24" s="71">
        <v>469</v>
      </c>
      <c r="M24" s="71">
        <v>3229</v>
      </c>
      <c r="N24" s="71">
        <v>4828</v>
      </c>
      <c r="O24" s="71">
        <v>5419</v>
      </c>
      <c r="P24" s="71">
        <v>1161</v>
      </c>
      <c r="Q24" s="90">
        <v>1927</v>
      </c>
      <c r="R24" s="71">
        <v>5193</v>
      </c>
      <c r="S24" s="71">
        <v>2445</v>
      </c>
      <c r="T24" s="71">
        <v>1278</v>
      </c>
      <c r="U24" s="71">
        <v>6318</v>
      </c>
      <c r="V24" s="71">
        <v>4891</v>
      </c>
      <c r="W24" s="71">
        <v>9353</v>
      </c>
      <c r="X24" s="71">
        <v>4186</v>
      </c>
      <c r="Y24" s="71">
        <v>1174</v>
      </c>
      <c r="Z24" s="175"/>
      <c r="AA24" s="176"/>
      <c r="AB24" s="176"/>
      <c r="AC24" s="176"/>
      <c r="AD24" s="176"/>
      <c r="AE24" s="17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81" ph="1"/>
      <c r="C25" s="68" t="s" ph="1">
        <v>178</v>
      </c>
      <c r="D25" s="91" ph="1">
        <f>D24*268.68*LOOKUP(D26,密度!$A$2:$A$50,密度!$Q$2:$Q$50)+IF(D24&lt;=0,0,1566*LOOKUP(D26,密度!$A$2:$A$50,密度!$Q$2:$Q$50))</f>
        <v>14541.955938288002</v>
      </c>
      <c r="E25" s="91" ph="1">
        <f>E24*268.68*LOOKUP(E26,密度!$A$2:$A$50,密度!$C$2:$C$50)+IF(E24&lt;=0,0,1566*LOOKUP(E26,密度!$A$2:$A$50,密度!$C$2:$C$50))</f>
        <v>3422.87356632</v>
      </c>
      <c r="F25" s="91" ph="1">
        <f>F24*11.702*LOOKUP(F26,密度!$A$2:$A$50,密度!$Q$2:$Q$50)</f>
        <v>17174.218313060002</v>
      </c>
      <c r="G25" s="91" ph="1">
        <f>G24*18.322*LOOKUP(G26,密度!$A$2:$A$50,密度!$B$2:$B$50)</f>
        <v>44408.431200799998</v>
      </c>
      <c r="H25" s="91" ph="1">
        <f>H24*18.322*LOOKUP(H26,密度!$A$2:$A$50,密度!$B$2:$B$50)</f>
        <v>46208.193931999995</v>
      </c>
      <c r="I25" s="91" ph="1">
        <f>I24*18.322*LOOKUP(I26,密度!$A$2:$A$50,密度!$Q$2:$Q$50)</f>
        <v>7030.6158627000004</v>
      </c>
      <c r="J25" s="91" ph="1">
        <f>J24*18.322*LOOKUP(J26,密度!$A$2:$A$50,密度!$Q$2:$Q$50)</f>
        <v>14425.782177539999</v>
      </c>
      <c r="K25" s="91" ph="1">
        <f>K24*18.322*LOOKUP(K26,密度!$A$2:$A$50,密度!$Q$2:$Q$50)</f>
        <v>27042.67946652</v>
      </c>
      <c r="L25" s="91" ph="1">
        <f>L24*18.322*LOOKUP(L26,密度!$A$2:$A$50,密度!$Q$2:$Q$50)</f>
        <v>8135.3538613199999</v>
      </c>
      <c r="M25" s="91" ph="1">
        <f>M24*18.322*LOOKUP(M26,密度!$A$2:$A$50,密度!$Q$2:$Q$50)</f>
        <v>56053.971902860001</v>
      </c>
      <c r="N25" s="91" ph="1">
        <f>N24*18.322*LOOKUP(N26,密度!$A$2:$A$50,密度!$Q$2:$Q$50)</f>
        <v>83955.18785943999</v>
      </c>
      <c r="O25" s="91" ph="1">
        <f>O24*18.322*LOOKUP(O26,密度!$A$2:$A$50,密度!$C$2:$C$50)</f>
        <v>110248.1937472</v>
      </c>
      <c r="P25" s="91" ph="1">
        <f>P24*11.702*LOOKUP(P26,密度!$A$2:$A$50,密度!$B$2:$B$50)</f>
        <v>10616.1175908</v>
      </c>
      <c r="Q25" s="92" ph="1">
        <f>Q24*18.322*LOOKUP(Q26,密度!$A$2:$A$50,密度!$B$2:$B$50)</f>
        <v>27556.718566999996</v>
      </c>
      <c r="R25" s="91" ph="1">
        <f>R24*35.891*LOOKUP(R26,密度!$A$2:$A$50,密度!$C$2:$C$50)</f>
        <v>206809.42614479997</v>
      </c>
      <c r="S25" s="91" ph="1">
        <f>S24*35.891*LOOKUP(S26,密度!$A$2:$A$50,密度!$B$2:$B$50)</f>
        <v>68412.624701999986</v>
      </c>
      <c r="T25" s="91" ph="1">
        <f>T24*35.891*LOOKUP(T26,密度!$A$2:$A$50,密度!$Q$2:$Q$50)</f>
        <v>43492.699443600002</v>
      </c>
      <c r="U25" s="91" ph="1">
        <f>U24*35.891</f>
        <v>226759.33799999999</v>
      </c>
      <c r="V25" s="91" ph="1">
        <f>V24*47.051*LOOKUP(V26,密度!$A$2:$A$50,密度!$B$2:$B$50)</f>
        <v>180235.02859120001</v>
      </c>
      <c r="W25" s="91" ph="1">
        <f>W24*47.051*LOOKUP(W26,密度!$A$2:$A$50,密度!$B$2:$B$50)</f>
        <v>343473.07634149998</v>
      </c>
      <c r="X25" s="91" ph="1">
        <f>X24*47.051*LOOKUP(X26,密度!$A$2:$A$61,密度!$I$2:$I$61)</f>
        <v>204853.40098860001</v>
      </c>
      <c r="Y25" s="91" ph="1">
        <f>Y24*47.051*LOOKUP(Y26,密度!$A$2:$A$50,密度!$L$2:$L$50)</f>
        <v>51757.887938000007</v>
      </c>
      <c r="Z25" s="175"/>
      <c r="AA25" s="176"/>
      <c r="AB25" s="176"/>
      <c r="AC25" s="176"/>
      <c r="AD25" s="176"/>
      <c r="AE25" s="17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81" ph="1"/>
      <c r="C26" s="68" t="s" ph="1">
        <v>179</v>
      </c>
      <c r="D26" s="74">
        <v>25</v>
      </c>
      <c r="E26" s="74">
        <v>25</v>
      </c>
      <c r="F26" s="74">
        <v>24</v>
      </c>
      <c r="G26" s="74">
        <v>25</v>
      </c>
      <c r="H26" s="74">
        <v>25</v>
      </c>
      <c r="I26" s="74">
        <v>24</v>
      </c>
      <c r="J26" s="74">
        <v>24</v>
      </c>
      <c r="K26" s="74">
        <v>25</v>
      </c>
      <c r="L26" s="74">
        <v>25</v>
      </c>
      <c r="M26" s="74">
        <v>24</v>
      </c>
      <c r="N26" s="74">
        <v>22</v>
      </c>
      <c r="O26" s="74">
        <v>23</v>
      </c>
      <c r="P26" s="74">
        <v>23</v>
      </c>
      <c r="Q26" s="93">
        <v>24</v>
      </c>
      <c r="R26" s="74">
        <v>24</v>
      </c>
      <c r="S26" s="74">
        <v>25</v>
      </c>
      <c r="T26" s="74">
        <v>23</v>
      </c>
      <c r="U26" s="74">
        <v>25</v>
      </c>
      <c r="V26" s="74">
        <v>21</v>
      </c>
      <c r="W26" s="74">
        <v>24</v>
      </c>
      <c r="X26" s="74">
        <v>27</v>
      </c>
      <c r="Y26" s="74">
        <v>25</v>
      </c>
      <c r="Z26" s="175"/>
      <c r="AA26" s="176"/>
      <c r="AB26" s="176"/>
      <c r="AC26" s="176"/>
      <c r="AD26" s="176"/>
      <c r="AE26" s="17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181" ph="1">
        <v>0.66666666666666663</v>
      </c>
      <c r="C27" s="159" t="s" ph="1">
        <v>180</v>
      </c>
      <c r="D27" s="71">
        <v>30.24</v>
      </c>
      <c r="E27" s="71">
        <v>5.65</v>
      </c>
      <c r="F27" s="71">
        <v>328</v>
      </c>
      <c r="G27" s="71">
        <v>2602</v>
      </c>
      <c r="H27" s="71">
        <v>2115</v>
      </c>
      <c r="I27" s="71">
        <v>403</v>
      </c>
      <c r="J27" s="71">
        <v>830</v>
      </c>
      <c r="K27" s="71">
        <v>1558</v>
      </c>
      <c r="L27" s="71">
        <v>469</v>
      </c>
      <c r="M27" s="71">
        <v>2592</v>
      </c>
      <c r="N27" s="71">
        <v>4826</v>
      </c>
      <c r="O27" s="71">
        <v>5417</v>
      </c>
      <c r="P27" s="71">
        <v>1161</v>
      </c>
      <c r="Q27" s="90">
        <v>2109</v>
      </c>
      <c r="R27" s="71">
        <v>5193</v>
      </c>
      <c r="S27" s="71">
        <v>2443</v>
      </c>
      <c r="T27" s="71">
        <v>1278</v>
      </c>
      <c r="U27" s="71">
        <v>6353</v>
      </c>
      <c r="V27" s="71">
        <v>6324</v>
      </c>
      <c r="W27" s="71">
        <v>9050</v>
      </c>
      <c r="X27" s="71">
        <v>4060</v>
      </c>
      <c r="Y27" s="71">
        <v>1914</v>
      </c>
      <c r="Z27" s="175"/>
      <c r="AA27" s="176"/>
      <c r="AB27" s="176"/>
      <c r="AC27" s="176"/>
      <c r="AD27" s="176"/>
      <c r="AE27" s="17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81" ph="1"/>
      <c r="C28" s="159" t="s" ph="1">
        <v>178</v>
      </c>
      <c r="D28" s="91" ph="1">
        <f>D27*268.68*LOOKUP(D29,密度!$A$2:$A$50,密度!$Q$2:$Q$50)+IF(D27&lt;=0,0,1566*LOOKUP(D29,密度!$A$2:$A$50,密度!$Q$2:$Q$50))</f>
        <v>9174.746760768001</v>
      </c>
      <c r="E28" s="91" ph="1">
        <f>E27*268.68*LOOKUP(E29,密度!$A$2:$A$50,密度!$C$2:$C$50)+IF(E27&lt;=0,0,1566*LOOKUP(E29,密度!$A$2:$A$50,密度!$C$2:$C$50))</f>
        <v>3419.8941738000003</v>
      </c>
      <c r="F28" s="91" ph="1">
        <f>F27*11.702*LOOKUP(F29,密度!$A$2:$A$50,密度!$Q$2:$Q$50)</f>
        <v>3639.4343392000001</v>
      </c>
      <c r="G28" s="91" ph="1">
        <f>G27*18.322*LOOKUP(G29,密度!$A$2:$A$50,密度!$B$2:$B$50)</f>
        <v>37166.528782399997</v>
      </c>
      <c r="H28" s="91" ph="1">
        <f>H27*18.322*LOOKUP(H29,密度!$A$2:$A$50,密度!$B$2:$B$50)</f>
        <v>30245.178914999997</v>
      </c>
      <c r="I28" s="91" ph="1">
        <f>I27*18.322*LOOKUP(I29,密度!$A$2:$A$50,密度!$Q$2:$Q$50)</f>
        <v>6995.8967720199998</v>
      </c>
      <c r="J28" s="91" ph="1">
        <f>J27*18.322*LOOKUP(J29,密度!$A$2:$A$50,密度!$Q$2:$Q$50)</f>
        <v>14419.523932</v>
      </c>
      <c r="K28" s="91" ph="1">
        <f>K27*18.322*LOOKUP(K29,密度!$A$2:$A$50,密度!$Q$2:$Q$50)</f>
        <v>27025.333296240002</v>
      </c>
      <c r="L28" s="91" ph="1">
        <f>L27*18.322*LOOKUP(L29,密度!$A$2:$A$50,密度!$Q$2:$Q$50)</f>
        <v>8135.3538613199999</v>
      </c>
      <c r="M28" s="91" ph="1">
        <f>M27*18.322*LOOKUP(M29,密度!$A$2:$A$50,密度!$Q$2:$Q$50)</f>
        <v>44995.941521280001</v>
      </c>
      <c r="N28" s="91" ph="1">
        <f>N27*18.322*LOOKUP(N29,密度!$A$2:$A$50,密度!$Q$2:$Q$50)</f>
        <v>83920.409405479993</v>
      </c>
      <c r="O28" s="91" ph="1">
        <f>O27*18.322*LOOKUP(O29,密度!$A$2:$A$50,密度!$C$2:$C$50)</f>
        <v>110276.97944139999</v>
      </c>
      <c r="P28" s="91" ph="1">
        <f>P27*11.702*LOOKUP(P29,密度!$A$2:$A$50,密度!$B$2:$B$50)</f>
        <v>10616.1175908</v>
      </c>
      <c r="Q28" s="92" ph="1">
        <f>Q27*18.322*LOOKUP(Q29,密度!$A$2:$A$50,密度!$B$2:$B$50)</f>
        <v>30124.600000799997</v>
      </c>
      <c r="R28" s="91" ph="1">
        <f>R27*35.891*LOOKUP(R29,密度!$A$2:$A$50,密度!$C$2:$C$50)</f>
        <v>206678.95877069997</v>
      </c>
      <c r="S28" s="91" ph="1">
        <f>S27*35.891*LOOKUP(S29,密度!$A$2:$A$50,密度!$B$2:$B$50)</f>
        <v>68356.663454799986</v>
      </c>
      <c r="T28" s="91" ph="1">
        <f>T27*35.891*LOOKUP(T29,密度!$A$2:$A$50,密度!$Q$2:$Q$50)</f>
        <v>43492.699443600002</v>
      </c>
      <c r="U28" s="91" ph="1">
        <f>U27*35.891</f>
        <v>228015.52299999999</v>
      </c>
      <c r="V28" s="91" ph="1">
        <f>V27*47.051*LOOKUP(V29,密度!$A$2:$A$50,密度!$B$2:$B$50)</f>
        <v>233041.57039680003</v>
      </c>
      <c r="W28" s="91" ph="1">
        <f>W27*47.051*LOOKUP(W29,密度!$A$2:$A$50,密度!$B$2:$B$50)</f>
        <v>331962.68437999999</v>
      </c>
      <c r="X28" s="91" ph="1">
        <f>X27*47.051*LOOKUP(X29,密度!$A$2:$A$61,密度!$I$2:$I$61)</f>
        <v>198477.11533999999</v>
      </c>
      <c r="Y28" s="91" ph="1">
        <f>Y27*47.051*LOOKUP(Y29,密度!$A$2:$A$50,密度!$L$2:$L$50)</f>
        <v>84382.110318000006</v>
      </c>
      <c r="Z28" s="175"/>
      <c r="AA28" s="176"/>
      <c r="AB28" s="176"/>
      <c r="AC28" s="176"/>
      <c r="AD28" s="176"/>
      <c r="AE28" s="17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81" ph="1"/>
      <c r="C29" s="159" t="s" ph="1">
        <v>179</v>
      </c>
      <c r="D29" s="74">
        <v>25</v>
      </c>
      <c r="E29" s="74">
        <v>25</v>
      </c>
      <c r="F29" s="74">
        <v>23</v>
      </c>
      <c r="G29" s="74">
        <v>25</v>
      </c>
      <c r="H29" s="74">
        <v>24</v>
      </c>
      <c r="I29" s="74">
        <v>24</v>
      </c>
      <c r="J29" s="74">
        <v>23</v>
      </c>
      <c r="K29" s="74">
        <v>25</v>
      </c>
      <c r="L29" s="74">
        <v>25</v>
      </c>
      <c r="M29" s="74">
        <v>24</v>
      </c>
      <c r="N29" s="74">
        <v>22</v>
      </c>
      <c r="O29" s="74">
        <v>22</v>
      </c>
      <c r="P29" s="74">
        <v>23</v>
      </c>
      <c r="Q29" s="93">
        <v>25</v>
      </c>
      <c r="R29" s="74">
        <v>25</v>
      </c>
      <c r="S29" s="74">
        <v>25</v>
      </c>
      <c r="T29" s="74">
        <v>23</v>
      </c>
      <c r="U29" s="74">
        <v>25</v>
      </c>
      <c r="V29" s="74">
        <v>21</v>
      </c>
      <c r="W29" s="74">
        <v>25</v>
      </c>
      <c r="X29" s="74">
        <v>28</v>
      </c>
      <c r="Y29" s="74">
        <v>25</v>
      </c>
      <c r="Z29" s="178"/>
      <c r="AA29" s="179"/>
      <c r="AB29" s="179"/>
      <c r="AC29" s="179"/>
      <c r="AD29" s="179"/>
      <c r="AE29" s="18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194" t="s" ph="1">
        <v>35</v>
      </c>
      <c r="C31" s="195" ph="1"/>
      <c r="D31" s="198" t="s" ph="1">
        <v>9</v>
      </c>
      <c r="E31" s="187" ph="1"/>
      <c r="F31" s="188" ph="1"/>
      <c r="G31" s="198" t="s" ph="1">
        <v>18</v>
      </c>
      <c r="H31" s="187" ph="1"/>
      <c r="I31" s="188" ph="1"/>
      <c r="J31" s="186" t="s" ph="1">
        <v>1</v>
      </c>
      <c r="K31" s="187" ph="1"/>
      <c r="L31" s="188" ph="1"/>
      <c r="M31" s="186" t="s" ph="1">
        <v>7</v>
      </c>
      <c r="N31" s="187" ph="1"/>
      <c r="O31" s="188" ph="1"/>
      <c r="P31" s="186" t="s" ph="1">
        <v>41</v>
      </c>
      <c r="Q31" s="187"/>
      <c r="R31" s="188"/>
      <c r="S31" s="186" t="s" ph="1">
        <v>2</v>
      </c>
      <c r="T31" s="187"/>
      <c r="U31" s="188"/>
      <c r="V31" s="186" t="s" ph="1">
        <v>71</v>
      </c>
      <c r="W31" s="187" ph="1"/>
      <c r="X31" s="188" ph="1"/>
      <c r="Y31" s="186" t="s" ph="1">
        <v>3</v>
      </c>
      <c r="Z31" s="187" ph="1"/>
      <c r="AA31" s="188" ph="1"/>
      <c r="AB31" s="209" t="s">
        <v>42</v>
      </c>
      <c r="AC31" s="210"/>
      <c r="AD31" s="210"/>
      <c r="AE31" s="211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196" ph="1"/>
      <c r="C32" s="197" ph="1"/>
      <c r="D32" s="96" t="s" ph="1">
        <v>4</v>
      </c>
      <c r="E32" s="159" t="s" ph="1">
        <v>5</v>
      </c>
      <c r="F32" s="158" t="s" ph="1">
        <v>43</v>
      </c>
      <c r="G32" s="97" t="s" ph="1">
        <v>4</v>
      </c>
      <c r="H32" s="159" t="s" ph="1">
        <v>5</v>
      </c>
      <c r="I32" s="158" t="s" ph="1">
        <v>43</v>
      </c>
      <c r="J32" s="97" t="s" ph="1">
        <v>4</v>
      </c>
      <c r="K32" s="159" t="s" ph="1">
        <v>5</v>
      </c>
      <c r="L32" s="158" t="s" ph="1">
        <v>43</v>
      </c>
      <c r="M32" s="97" t="s" ph="1">
        <v>4</v>
      </c>
      <c r="N32" s="159" t="s" ph="1">
        <v>5</v>
      </c>
      <c r="O32" s="15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9" t="s" ph="1">
        <v>5</v>
      </c>
      <c r="U32" s="99" t="s" ph="1">
        <v>43</v>
      </c>
      <c r="V32" s="97" t="s" ph="1">
        <v>4</v>
      </c>
      <c r="W32" s="159" t="s" ph="1">
        <v>5</v>
      </c>
      <c r="X32" s="99" t="s" ph="1">
        <v>43</v>
      </c>
      <c r="Y32" s="100" t="s" ph="1">
        <v>4</v>
      </c>
      <c r="Z32" s="159" t="s" ph="1">
        <v>5</v>
      </c>
      <c r="AA32" s="158" t="s" ph="1">
        <v>43</v>
      </c>
      <c r="AB32" s="97" t="s" ph="1">
        <v>85</v>
      </c>
      <c r="AC32" s="159" t="s" ph="1">
        <v>84</v>
      </c>
      <c r="AD32" s="212" t="s" ph="1">
        <v>83</v>
      </c>
      <c r="AE32" s="213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199" t="s" ph="1">
        <v>181</v>
      </c>
      <c r="C33" s="200" ph="1"/>
      <c r="D33" s="203" ph="1">
        <f>AA10+AB10+Z19</f>
        <v>297691.26042799995</v>
      </c>
      <c r="E33" s="203" ph="1">
        <f>M10+I10</f>
        <v>16726.067871700001</v>
      </c>
      <c r="F33" s="20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1522252632456786910111213141516171819202123456789101112131415161718192022232424356789101112131415161718192021222345678910111213141516171819202345678910111213149101516171819222123234567891012131415161711181920212224252345678910111213125[[#This Row],[F25]]</f>
        <v>3880</v>
      </c>
      <c r="G33" s="207" ph="1">
        <f>N19</f>
        <v>12724.081971700001</v>
      </c>
      <c r="H33" s="203" ph="1">
        <f>M19</f>
        <v>8483.6801972000012</v>
      </c>
      <c r="I33" s="216" ph="1">
        <v>0</v>
      </c>
      <c r="J33" s="214" ph="1">
        <f>F10+O28</f>
        <v>325344.79925470002</v>
      </c>
      <c r="K33" s="203" ph="1">
        <f>O10+K10+E28+R28</f>
        <v>327807.46352449997</v>
      </c>
      <c r="L33" s="218" ph="1">
        <f>K19</f>
        <v>50494.602604479995</v>
      </c>
      <c r="M33" s="214" ph="1">
        <f>G10+H10+W28+S28+V28+E10+R19+P28+Q28</f>
        <v>1279552.3453762</v>
      </c>
      <c r="N33" s="203" ph="1">
        <f>L10+P10++G28+H28+AD19+AE19</f>
        <v>120993.0249574</v>
      </c>
      <c r="O33" s="216" ph="1">
        <f>G19</f>
        <v>25810.848481600002</v>
      </c>
      <c r="P33" s="214" ph="1">
        <f>L19</f>
        <v>22791.431414719998</v>
      </c>
      <c r="Q33" s="203" ph="1">
        <f>J10+N10</f>
        <v>83838.299493999992</v>
      </c>
      <c r="R33" s="216" ph="1">
        <f>BE23</f>
        <v>890</v>
      </c>
      <c r="S33" s="214" ph="1">
        <f>X28</f>
        <v>198477.11533999999</v>
      </c>
      <c r="T33" s="203" ph="1">
        <f>X19</f>
        <v>4493.0819848800011</v>
      </c>
      <c r="U33" s="224" ph="1">
        <f>BE21</f>
        <v>730</v>
      </c>
      <c r="V33" s="235" ph="1">
        <f ca="1">P19+Q19+S19+M28+N28+J28+D10+AC10+D19+E19+H19+J19+O19+V19+W19+K28+L28</f>
        <v>924621.94805105787</v>
      </c>
      <c r="W33" s="235" ph="1">
        <f>D28+F28+T28+I28</f>
        <v>63302.777315588006</v>
      </c>
      <c r="X33" s="216" ph="1">
        <f>BE29+BE31</f>
        <v>10200</v>
      </c>
      <c r="Y33" s="237" ph="1">
        <f>+Q10+R10+S10+T10+U10+V10+W10+X10+Y10</f>
        <v>293530.59170819999</v>
      </c>
      <c r="Z33" s="222" ph="1">
        <f>T19+U19+Y28+Z10</f>
        <v>248131.1058048</v>
      </c>
      <c r="AA33" s="224" ph="1">
        <f>BE19</f>
        <v>1440</v>
      </c>
      <c r="AB33" s="226" ph="1">
        <f>I19</f>
        <v>47315.109593600006</v>
      </c>
      <c r="AC33" s="228" ph="1">
        <f>AD10+AB19</f>
        <v>44474.4820206</v>
      </c>
      <c r="AD33" s="230" ph="1">
        <v>0</v>
      </c>
      <c r="AE33" s="231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1" ph="1"/>
      <c r="C34" s="202" ph="1"/>
      <c r="D34" s="204" ph="1"/>
      <c r="E34" s="204" ph="1"/>
      <c r="F34" s="206" ph="1"/>
      <c r="G34" s="208" ph="1"/>
      <c r="H34" s="204" ph="1"/>
      <c r="I34" s="217" ph="1"/>
      <c r="J34" s="215" ph="1"/>
      <c r="K34" s="204" ph="1"/>
      <c r="L34" s="219" ph="1"/>
      <c r="M34" s="215" ph="1"/>
      <c r="N34" s="204" ph="1"/>
      <c r="O34" s="217" ph="1"/>
      <c r="P34" s="215" ph="1"/>
      <c r="Q34" s="204" ph="1"/>
      <c r="R34" s="217" ph="1"/>
      <c r="S34" s="215" ph="1"/>
      <c r="T34" s="204"/>
      <c r="U34" s="225"/>
      <c r="V34" s="236" ph="1"/>
      <c r="W34" s="236" ph="1"/>
      <c r="X34" s="217" ph="1"/>
      <c r="Y34" s="238" ph="1"/>
      <c r="Z34" s="223" ph="1"/>
      <c r="AA34" s="225" ph="1"/>
      <c r="AB34" s="227"/>
      <c r="AC34" s="229"/>
      <c r="AD34" s="232"/>
      <c r="AE34" s="233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34" t="s" ph="1">
        <v>631</v>
      </c>
      <c r="AD35" s="234"/>
      <c r="AE35" s="234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220" t="s" ph="1">
        <v>183</v>
      </c>
      <c r="J36" s="220" ph="1"/>
      <c r="K36" s="101" ph="1"/>
      <c r="P36" s="101" ph="1"/>
      <c r="R36" s="220" t="s" ph="1">
        <v>184</v>
      </c>
      <c r="S36" s="220" ph="1"/>
      <c r="Y36" s="102" ph="1"/>
      <c r="Z36" s="157" t="s" ph="1">
        <v>185</v>
      </c>
      <c r="AA36" s="157" ph="1"/>
      <c r="AB36" s="221" t="s" ph="1">
        <v>638</v>
      </c>
      <c r="AC36" s="221" ph="1"/>
      <c r="AD36" s="221" ph="1"/>
      <c r="AE36" s="221" ph="1"/>
      <c r="BA36" s="64" ph="1">
        <v>2270</v>
      </c>
    </row>
    <row r="37" spans="1:57" s="157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7" t="s" ph="1">
        <v>342</v>
      </c>
      <c r="AI37" s="157" t="s" ph="1">
        <v>209</v>
      </c>
      <c r="AJ37" s="157" t="s" ph="1">
        <v>210</v>
      </c>
      <c r="AK37" s="157" t="s" ph="1">
        <v>211</v>
      </c>
      <c r="AM37" s="157" t="s" ph="1">
        <v>210</v>
      </c>
      <c r="AN37" s="157" t="s" ph="1">
        <v>211</v>
      </c>
      <c r="AO37" s="157" t="s" ph="1">
        <v>212</v>
      </c>
      <c r="AP37" s="157" t="s" ph="1">
        <v>210</v>
      </c>
      <c r="AQ37" s="157" t="s" ph="1">
        <v>211</v>
      </c>
      <c r="AR37" s="157" t="s" ph="1">
        <v>212</v>
      </c>
      <c r="AS37" s="157" t="s" ph="1">
        <v>210</v>
      </c>
      <c r="AT37" s="157" t="s" ph="1">
        <v>211</v>
      </c>
      <c r="AU37" s="157" t="s" ph="1">
        <v>212</v>
      </c>
      <c r="AV37" s="157" t="s" ph="1">
        <v>210</v>
      </c>
      <c r="AW37" s="157" t="s" ph="1">
        <v>211</v>
      </c>
      <c r="AX37" s="157" t="s" ph="1">
        <v>212</v>
      </c>
      <c r="AY37" s="157" t="s" ph="1">
        <v>211</v>
      </c>
      <c r="AZ37" s="157" t="s" ph="1">
        <v>213</v>
      </c>
      <c r="BD37" s="157" t="s" ph="1">
        <v>305</v>
      </c>
      <c r="BE37" s="157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29" priority="100">
      <formula>ABS(D$7-D$10)&gt;=1000</formula>
    </cfRule>
  </conditionalFormatting>
  <conditionalFormatting sqref="E4 E6:E11">
    <cfRule type="expression" dxfId="128" priority="99">
      <formula>ABS(E$7-E$10)&gt;=1000</formula>
    </cfRule>
  </conditionalFormatting>
  <conditionalFormatting sqref="F4:F11">
    <cfRule type="expression" dxfId="127" priority="98">
      <formula>ABS(F$7-F$10)&gt;=1000</formula>
    </cfRule>
  </conditionalFormatting>
  <conditionalFormatting sqref="G4:G11">
    <cfRule type="expression" dxfId="126" priority="97">
      <formula>ABS(G$7-G$10)&gt;=1000</formula>
    </cfRule>
  </conditionalFormatting>
  <conditionalFormatting sqref="H4:H11">
    <cfRule type="expression" dxfId="125" priority="96">
      <formula>ABS(H$7-H$10)&gt;=1000</formula>
    </cfRule>
  </conditionalFormatting>
  <conditionalFormatting sqref="I4:I11">
    <cfRule type="expression" dxfId="124" priority="95">
      <formula>ABS(I$7-I$10)&gt;=1000</formula>
    </cfRule>
  </conditionalFormatting>
  <conditionalFormatting sqref="J4:J11">
    <cfRule type="expression" dxfId="123" priority="94">
      <formula>ABS(J$7-J$10)&gt;=1000</formula>
    </cfRule>
  </conditionalFormatting>
  <conditionalFormatting sqref="K4:K11">
    <cfRule type="expression" dxfId="122" priority="93">
      <formula>ABS(K$7-K$10)&gt;=1000</formula>
    </cfRule>
  </conditionalFormatting>
  <conditionalFormatting sqref="L4:L11">
    <cfRule type="expression" dxfId="121" priority="92">
      <formula>ABS(L$7-L$10)&gt;=1000</formula>
    </cfRule>
  </conditionalFormatting>
  <conditionalFormatting sqref="M4 M6:M11">
    <cfRule type="expression" dxfId="120" priority="91">
      <formula>ABS(M$7-M$10)&gt;=1000</formula>
    </cfRule>
  </conditionalFormatting>
  <conditionalFormatting sqref="N4 N6:N11">
    <cfRule type="expression" dxfId="119" priority="90">
      <formula>ABS(N$7-N$10)&gt;=1000</formula>
    </cfRule>
  </conditionalFormatting>
  <conditionalFormatting sqref="O4 O6:O11">
    <cfRule type="expression" dxfId="118" priority="89">
      <formula>ABS(O$7-O$10)&gt;=1000</formula>
    </cfRule>
  </conditionalFormatting>
  <conditionalFormatting sqref="P4 P6:P11">
    <cfRule type="expression" dxfId="117" priority="88">
      <formula>ABS(P$7-P$10)&gt;=1000</formula>
    </cfRule>
  </conditionalFormatting>
  <conditionalFormatting sqref="Q4:Q11">
    <cfRule type="expression" dxfId="116" priority="87">
      <formula>ABS(Q$7-Q$10)&gt;=1000</formula>
    </cfRule>
  </conditionalFormatting>
  <conditionalFormatting sqref="R4:R11">
    <cfRule type="expression" dxfId="115" priority="86">
      <formula>ABS(R$7-R$10)&gt;=1000</formula>
    </cfRule>
  </conditionalFormatting>
  <conditionalFormatting sqref="S4:S11">
    <cfRule type="expression" dxfId="114" priority="85">
      <formula>ABS(S$7-S$10)&gt;=1000</formula>
    </cfRule>
  </conditionalFormatting>
  <conditionalFormatting sqref="T4:T9 T11">
    <cfRule type="expression" dxfId="113" priority="84">
      <formula>ABS(T$7-T$10)&gt;=1000</formula>
    </cfRule>
  </conditionalFormatting>
  <conditionalFormatting sqref="U4:U9 U11">
    <cfRule type="expression" dxfId="112" priority="83">
      <formula>ABS(U$7-U$10)&gt;=1000</formula>
    </cfRule>
  </conditionalFormatting>
  <conditionalFormatting sqref="V4:V9 V11">
    <cfRule type="expression" dxfId="111" priority="82">
      <formula>ABS(V$7-V$10)&gt;=1000</formula>
    </cfRule>
  </conditionalFormatting>
  <conditionalFormatting sqref="W4:W9 W11">
    <cfRule type="expression" dxfId="110" priority="81">
      <formula>ABS(W$7-W$10)&gt;=1000</formula>
    </cfRule>
  </conditionalFormatting>
  <conditionalFormatting sqref="X4:X9 X11">
    <cfRule type="expression" dxfId="109" priority="80">
      <formula>ABS(X$7-X$10)&gt;=1000</formula>
    </cfRule>
  </conditionalFormatting>
  <conditionalFormatting sqref="Y4:Y9 Y11">
    <cfRule type="expression" dxfId="108" priority="79">
      <formula>ABS(Y$7-Y$10)&gt;=1000</formula>
    </cfRule>
  </conditionalFormatting>
  <conditionalFormatting sqref="Z4:Z11">
    <cfRule type="expression" dxfId="107" priority="78">
      <formula>ABS(Z$7-Z$10)&gt;=1000</formula>
    </cfRule>
  </conditionalFormatting>
  <conditionalFormatting sqref="AA4:AA11">
    <cfRule type="expression" dxfId="106" priority="77">
      <formula>ABS(AA$7-AA$10)&gt;=1000</formula>
    </cfRule>
  </conditionalFormatting>
  <conditionalFormatting sqref="AB4:AB11">
    <cfRule type="expression" dxfId="105" priority="76">
      <formula>ABS(AB$7-AB$10)&gt;=1000</formula>
    </cfRule>
  </conditionalFormatting>
  <conditionalFormatting sqref="AC4 AC6:AC11">
    <cfRule type="expression" dxfId="104" priority="75">
      <formula>ABS(AC$7-AC$10)&gt;=1000</formula>
    </cfRule>
  </conditionalFormatting>
  <conditionalFormatting sqref="AD4 AD6:AD11">
    <cfRule type="expression" dxfId="103" priority="74">
      <formula>ABS(AD$7-AD$10)&gt;=1000</formula>
    </cfRule>
  </conditionalFormatting>
  <conditionalFormatting sqref="AE4 AE6:AE11">
    <cfRule type="expression" dxfId="102" priority="73">
      <formula>ABS(AE$7-AE$10)&gt;=1000</formula>
    </cfRule>
  </conditionalFormatting>
  <conditionalFormatting sqref="D13:D20">
    <cfRule type="expression" dxfId="101" priority="72">
      <formula>ABS(D$16-D$19)&gt;=1000</formula>
    </cfRule>
  </conditionalFormatting>
  <conditionalFormatting sqref="E13:E20">
    <cfRule type="expression" dxfId="100" priority="71">
      <formula>ABS(E$16-E$19)&gt;=1000</formula>
    </cfRule>
  </conditionalFormatting>
  <conditionalFormatting sqref="F13 F15:F20">
    <cfRule type="expression" dxfId="99" priority="70">
      <formula>ABS(F$16-F$19)&gt;=1000</formula>
    </cfRule>
  </conditionalFormatting>
  <conditionalFormatting sqref="G13:G20">
    <cfRule type="expression" dxfId="98" priority="69">
      <formula>ABS(G$16-G$19)&gt;=1000</formula>
    </cfRule>
  </conditionalFormatting>
  <conditionalFormatting sqref="H13 H15:H20">
    <cfRule type="expression" dxfId="97" priority="68">
      <formula>ABS(H$16-H$19)&gt;=1000</formula>
    </cfRule>
  </conditionalFormatting>
  <conditionalFormatting sqref="I13:I20">
    <cfRule type="expression" dxfId="96" priority="67">
      <formula>ABS(I$16-I$19)&gt;=1000</formula>
    </cfRule>
  </conditionalFormatting>
  <conditionalFormatting sqref="J13:J20">
    <cfRule type="expression" dxfId="95" priority="66">
      <formula>ABS(J$16-J$19)&gt;=1000</formula>
    </cfRule>
  </conditionalFormatting>
  <conditionalFormatting sqref="L13:L20">
    <cfRule type="expression" dxfId="94" priority="65">
      <formula>ABS(L$16-L$19)&gt;=1000</formula>
    </cfRule>
  </conditionalFormatting>
  <conditionalFormatting sqref="M13 M15 M17:M18 M20">
    <cfRule type="expression" dxfId="93" priority="64">
      <formula>ABS(M$16-M$19)&gt;=1000</formula>
    </cfRule>
  </conditionalFormatting>
  <conditionalFormatting sqref="N13:N20">
    <cfRule type="expression" dxfId="92" priority="63">
      <formula>ABS(N$16-N$19)&gt;=1000</formula>
    </cfRule>
  </conditionalFormatting>
  <conditionalFormatting sqref="O13:O20">
    <cfRule type="expression" dxfId="91" priority="62">
      <formula>ABS(O$16-O$19)&gt;=1000</formula>
    </cfRule>
  </conditionalFormatting>
  <conditionalFormatting sqref="P13:P20">
    <cfRule type="expression" dxfId="90" priority="61">
      <formula>ABS(P$16-P$19)&gt;=1000</formula>
    </cfRule>
  </conditionalFormatting>
  <conditionalFormatting sqref="Q13 Q15:Q20">
    <cfRule type="expression" dxfId="89" priority="60">
      <formula>ABS(Q$16-Q$19)&gt;=1000</formula>
    </cfRule>
  </conditionalFormatting>
  <conditionalFormatting sqref="R13:R20">
    <cfRule type="expression" dxfId="88" priority="59">
      <formula>ABS(R$16-R$19)&gt;=1000</formula>
    </cfRule>
  </conditionalFormatting>
  <conditionalFormatting sqref="S13:S20">
    <cfRule type="expression" dxfId="87" priority="58">
      <formula>ABS(S$16-S$19)&gt;=1000</formula>
    </cfRule>
  </conditionalFormatting>
  <conditionalFormatting sqref="T13:T20">
    <cfRule type="expression" dxfId="86" priority="57">
      <formula>ABS(T$16-T$19)&gt;=1000</formula>
    </cfRule>
  </conditionalFormatting>
  <conditionalFormatting sqref="U13:U20">
    <cfRule type="expression" dxfId="85" priority="56">
      <formula>ABS(U$16-U$19)&gt;=1000</formula>
    </cfRule>
  </conditionalFormatting>
  <conditionalFormatting sqref="V13:V20">
    <cfRule type="expression" dxfId="84" priority="55">
      <formula>ABS(V$16-V$19)&gt;=1000</formula>
    </cfRule>
  </conditionalFormatting>
  <conditionalFormatting sqref="W13 W20 W15:W18">
    <cfRule type="expression" dxfId="83" priority="54">
      <formula>ABS(W$16-W$19)&gt;=1000</formula>
    </cfRule>
  </conditionalFormatting>
  <conditionalFormatting sqref="X13 X15:X20 Y19">
    <cfRule type="expression" dxfId="82" priority="53">
      <formula>ABS(X$16-X$19)&gt;=1000</formula>
    </cfRule>
  </conditionalFormatting>
  <conditionalFormatting sqref="Y13 Y15:Y18 Y20">
    <cfRule type="expression" dxfId="81" priority="52">
      <formula>ABS(Y$16-Y$19)&gt;=1000</formula>
    </cfRule>
  </conditionalFormatting>
  <conditionalFormatting sqref="Z13:Z20">
    <cfRule type="expression" dxfId="80" priority="51">
      <formula>ABS(Z$16-Z$19)&gt;=1000</formula>
    </cfRule>
  </conditionalFormatting>
  <conditionalFormatting sqref="AA13:AA20">
    <cfRule type="expression" dxfId="79" priority="50">
      <formula>ABS(AA$16-AA$19)&gt;=1000</formula>
    </cfRule>
  </conditionalFormatting>
  <conditionalFormatting sqref="AB13 AB15:AB20">
    <cfRule type="expression" dxfId="78" priority="49">
      <formula>ABS(AB$16-AB$19)&gt;=1000</formula>
    </cfRule>
  </conditionalFormatting>
  <conditionalFormatting sqref="AC13 AC15:AC20">
    <cfRule type="expression" dxfId="77" priority="48">
      <formula>ABS(AC$16-AC$19)&gt;=1000</formula>
    </cfRule>
  </conditionalFormatting>
  <conditionalFormatting sqref="AD13:AD20">
    <cfRule type="expression" dxfId="76" priority="47">
      <formula>ABS(AD$16-AD$19)&gt;=1000</formula>
    </cfRule>
  </conditionalFormatting>
  <conditionalFormatting sqref="AE13:AE20">
    <cfRule type="expression" dxfId="75" priority="46">
      <formula>ABS(AE$16-AE$19)&gt;=1000</formula>
    </cfRule>
  </conditionalFormatting>
  <conditionalFormatting sqref="D22:D29">
    <cfRule type="expression" dxfId="74" priority="45">
      <formula>ABS(D$25-D$28)&gt;=1000</formula>
    </cfRule>
  </conditionalFormatting>
  <conditionalFormatting sqref="E22:E29">
    <cfRule type="expression" dxfId="73" priority="44">
      <formula>ABS(E$25-E$28)&gt;=1000</formula>
    </cfRule>
  </conditionalFormatting>
  <conditionalFormatting sqref="F22:F29">
    <cfRule type="expression" dxfId="72" priority="43">
      <formula>ABS(F$25-F$28)&gt;=1000</formula>
    </cfRule>
  </conditionalFormatting>
  <conditionalFormatting sqref="G22:G29">
    <cfRule type="expression" dxfId="71" priority="42">
      <formula>ABS(G$25-G$28)&gt;=1000</formula>
    </cfRule>
  </conditionalFormatting>
  <conditionalFormatting sqref="H22:H29">
    <cfRule type="expression" dxfId="70" priority="41">
      <formula>ABS(H$25-H$28)&gt;=1000</formula>
    </cfRule>
  </conditionalFormatting>
  <conditionalFormatting sqref="I22 I24:I29">
    <cfRule type="expression" dxfId="69" priority="40">
      <formula>ABS(I$25-I$28)&gt;=1000</formula>
    </cfRule>
  </conditionalFormatting>
  <conditionalFormatting sqref="J22:J29 K22">
    <cfRule type="expression" dxfId="68" priority="39">
      <formula>ABS(J$25-J$28)&gt;=1000</formula>
    </cfRule>
  </conditionalFormatting>
  <conditionalFormatting sqref="K23:K29 L25 L28">
    <cfRule type="expression" dxfId="67" priority="38">
      <formula>ABS(K$25-K$28)&gt;=1000</formula>
    </cfRule>
  </conditionalFormatting>
  <conditionalFormatting sqref="L22 L26:L27 L29 L24">
    <cfRule type="expression" dxfId="66" priority="37">
      <formula>ABS(L$25-L$28)&gt;=1000</formula>
    </cfRule>
  </conditionalFormatting>
  <conditionalFormatting sqref="M22:M29">
    <cfRule type="expression" dxfId="65" priority="36">
      <formula>ABS(M$25-M$28)&gt;=1000</formula>
    </cfRule>
  </conditionalFormatting>
  <conditionalFormatting sqref="N22:N29">
    <cfRule type="expression" dxfId="64" priority="35">
      <formula>ABS(N$25-N$28)&gt;=1000</formula>
    </cfRule>
  </conditionalFormatting>
  <conditionalFormatting sqref="O22:O29">
    <cfRule type="expression" dxfId="63" priority="34">
      <formula>ABS(O$25-O$28)&gt;=1000</formula>
    </cfRule>
  </conditionalFormatting>
  <conditionalFormatting sqref="P22:P29">
    <cfRule type="expression" dxfId="62" priority="33">
      <formula>ABS(P$25-P$28)&gt;=1000</formula>
    </cfRule>
  </conditionalFormatting>
  <conditionalFormatting sqref="Q22:Q29">
    <cfRule type="expression" dxfId="61" priority="32">
      <formula>ABS(Q$25-Q$28)&gt;=1000</formula>
    </cfRule>
  </conditionalFormatting>
  <conditionalFormatting sqref="R22:R29">
    <cfRule type="expression" dxfId="60" priority="31">
      <formula>ABS(R$25-R$28)&gt;=1000</formula>
    </cfRule>
  </conditionalFormatting>
  <conditionalFormatting sqref="S22:S29">
    <cfRule type="expression" dxfId="59" priority="30">
      <formula>ABS(S$25-S$28)&gt;=1000</formula>
    </cfRule>
  </conditionalFormatting>
  <conditionalFormatting sqref="T22:T29">
    <cfRule type="expression" dxfId="58" priority="29">
      <formula>ABS(T$25-T$28)&gt;=1000</formula>
    </cfRule>
  </conditionalFormatting>
  <conditionalFormatting sqref="U22:U29">
    <cfRule type="expression" dxfId="57" priority="28">
      <formula>ABS(U$25-U$28)&gt;=1000</formula>
    </cfRule>
  </conditionalFormatting>
  <conditionalFormatting sqref="V22:V29">
    <cfRule type="expression" dxfId="56" priority="27">
      <formula>ABS(V$25-V$28)&gt;=1000</formula>
    </cfRule>
  </conditionalFormatting>
  <conditionalFormatting sqref="W22:W29">
    <cfRule type="expression" dxfId="55" priority="26">
      <formula>ABS(W$25-W$28)&gt;=1000</formula>
    </cfRule>
  </conditionalFormatting>
  <conditionalFormatting sqref="X22:X29">
    <cfRule type="expression" dxfId="54" priority="25">
      <formula>ABS(X$25-X$28)&gt;=1000</formula>
    </cfRule>
  </conditionalFormatting>
  <conditionalFormatting sqref="Y22:Y29">
    <cfRule type="expression" dxfId="53" priority="24">
      <formula>ABS(Y$25-Y$28)&gt;=1000</formula>
    </cfRule>
  </conditionalFormatting>
  <conditionalFormatting sqref="I23">
    <cfRule type="expression" dxfId="52" priority="23">
      <formula>ABS(I$25-I$28)&gt;=1000</formula>
    </cfRule>
  </conditionalFormatting>
  <conditionalFormatting sqref="Q14">
    <cfRule type="expression" dxfId="51" priority="22">
      <formula>ABS(Q$16-Q$19)&gt;=1000</formula>
    </cfRule>
  </conditionalFormatting>
  <conditionalFormatting sqref="W14">
    <cfRule type="expression" dxfId="50" priority="21">
      <formula>ABS(W$16-W$19)&gt;=1000</formula>
    </cfRule>
  </conditionalFormatting>
  <conditionalFormatting sqref="X14">
    <cfRule type="expression" dxfId="49" priority="20">
      <formula>ABS(X$16-X$19)&gt;=1000</formula>
    </cfRule>
  </conditionalFormatting>
  <conditionalFormatting sqref="T10:Y10">
    <cfRule type="expression" dxfId="48" priority="19">
      <formula>ABS(T$7-T$10)&gt;=1000</formula>
    </cfRule>
  </conditionalFormatting>
  <conditionalFormatting sqref="W19">
    <cfRule type="expression" dxfId="47" priority="18">
      <formula>ABS(W$16-W$19)&gt;=1000</formula>
    </cfRule>
  </conditionalFormatting>
  <conditionalFormatting sqref="AC5">
    <cfRule type="expression" dxfId="46" priority="17">
      <formula>ABS(AC$7-AC$10)&gt;=1000</formula>
    </cfRule>
  </conditionalFormatting>
  <conditionalFormatting sqref="M14">
    <cfRule type="expression" dxfId="45" priority="16">
      <formula>ABS(M$16-M$19)&gt;=1000</formula>
    </cfRule>
  </conditionalFormatting>
  <conditionalFormatting sqref="M16">
    <cfRule type="expression" dxfId="44" priority="15">
      <formula>ABS(M$16-M$19)&gt;=1000</formula>
    </cfRule>
  </conditionalFormatting>
  <conditionalFormatting sqref="M19">
    <cfRule type="expression" dxfId="43" priority="14">
      <formula>ABS(M$16-M$19)&gt;=1000</formula>
    </cfRule>
  </conditionalFormatting>
  <conditionalFormatting sqref="K13:K20">
    <cfRule type="expression" dxfId="42" priority="13">
      <formula>ABS(K$16-K$19)&gt;=1000</formula>
    </cfRule>
  </conditionalFormatting>
  <conditionalFormatting sqref="E5">
    <cfRule type="expression" dxfId="41" priority="12">
      <formula>ABS(E$7-E$10)&gt;=1000</formula>
    </cfRule>
  </conditionalFormatting>
  <conditionalFormatting sqref="AB14:AC14">
    <cfRule type="expression" dxfId="40" priority="11">
      <formula>ABS(AB$16-AB$19)&gt;=1000</formula>
    </cfRule>
  </conditionalFormatting>
  <conditionalFormatting sqref="M5">
    <cfRule type="expression" dxfId="39" priority="10">
      <formula>ABS(M$7-M$10)&gt;=1000</formula>
    </cfRule>
  </conditionalFormatting>
  <conditionalFormatting sqref="N5">
    <cfRule type="expression" dxfId="38" priority="9">
      <formula>ABS(N$7-N$10)&gt;=1000</formula>
    </cfRule>
  </conditionalFormatting>
  <conditionalFormatting sqref="O5">
    <cfRule type="expression" dxfId="37" priority="8">
      <formula>ABS(O$7-O$10)&gt;=1000</formula>
    </cfRule>
  </conditionalFormatting>
  <conditionalFormatting sqref="P5">
    <cfRule type="expression" dxfId="36" priority="7">
      <formula>ABS(P$7-P$10)&gt;=1000</formula>
    </cfRule>
  </conditionalFormatting>
  <conditionalFormatting sqref="L23">
    <cfRule type="expression" dxfId="35" priority="6">
      <formula>ABS(L$25-L$28)&gt;=1000</formula>
    </cfRule>
  </conditionalFormatting>
  <conditionalFormatting sqref="Y14">
    <cfRule type="expression" dxfId="34" priority="5">
      <formula>ABS(Y$16-Y$19)&gt;=1000</formula>
    </cfRule>
  </conditionalFormatting>
  <conditionalFormatting sqref="F14">
    <cfRule type="expression" dxfId="33" priority="4">
      <formula>ABS(F$16-F$19)&gt;=1000</formula>
    </cfRule>
  </conditionalFormatting>
  <conditionalFormatting sqref="H14">
    <cfRule type="expression" dxfId="32" priority="3">
      <formula>ABS(H$16-H$19)&gt;=1000</formula>
    </cfRule>
  </conditionalFormatting>
  <conditionalFormatting sqref="AD5">
    <cfRule type="expression" dxfId="31" priority="2">
      <formula>ABS(AD$7-AD$10)&gt;=1000</formula>
    </cfRule>
  </conditionalFormatting>
  <conditionalFormatting sqref="AE5">
    <cfRule type="expression" dxfId="3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3852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23</vt:i4>
      </vt:variant>
      <vt:variant>
        <vt:lpstr>已命名的範圍</vt:lpstr>
      </vt:variant>
      <vt:variant>
        <vt:i4>23</vt:i4>
      </vt:variant>
    </vt:vector>
  </HeadingPairs>
  <TitlesOfParts>
    <vt:vector size="46" baseType="lpstr">
      <vt:lpstr>新增</vt:lpstr>
      <vt:lpstr>密度</vt:lpstr>
      <vt:lpstr>3.31</vt:lpstr>
      <vt:lpstr>4.1</vt:lpstr>
      <vt:lpstr>4.2</vt:lpstr>
      <vt:lpstr>4.7</vt:lpstr>
      <vt:lpstr>4.8</vt:lpstr>
      <vt:lpstr>4.9</vt:lpstr>
      <vt:lpstr>4.10</vt:lpstr>
      <vt:lpstr>4.13</vt:lpstr>
      <vt:lpstr>4.14</vt:lpstr>
      <vt:lpstr>4.15</vt:lpstr>
      <vt:lpstr>4.16</vt:lpstr>
      <vt:lpstr>4.17</vt:lpstr>
      <vt:lpstr>4.20</vt:lpstr>
      <vt:lpstr>4.21</vt:lpstr>
      <vt:lpstr>4.22</vt:lpstr>
      <vt:lpstr>4.23</vt:lpstr>
      <vt:lpstr>4.24</vt:lpstr>
      <vt:lpstr>4.27</vt:lpstr>
      <vt:lpstr>4.28</vt:lpstr>
      <vt:lpstr>4.29</vt:lpstr>
      <vt:lpstr>4.30</vt:lpstr>
      <vt:lpstr>'3.31'!Print_Area</vt:lpstr>
      <vt:lpstr>'4.1'!Print_Area</vt:lpstr>
      <vt:lpstr>'4.10'!Print_Area</vt:lpstr>
      <vt:lpstr>'4.13'!Print_Area</vt:lpstr>
      <vt:lpstr>'4.14'!Print_Area</vt:lpstr>
      <vt:lpstr>'4.15'!Print_Area</vt:lpstr>
      <vt:lpstr>'4.16'!Print_Area</vt:lpstr>
      <vt:lpstr>'4.17'!Print_Area</vt:lpstr>
      <vt:lpstr>'4.2'!Print_Area</vt:lpstr>
      <vt:lpstr>'4.20'!Print_Area</vt:lpstr>
      <vt:lpstr>'4.21'!Print_Area</vt:lpstr>
      <vt:lpstr>'4.22'!Print_Area</vt:lpstr>
      <vt:lpstr>'4.23'!Print_Area</vt:lpstr>
      <vt:lpstr>'4.24'!Print_Area</vt:lpstr>
      <vt:lpstr>'4.27'!Print_Area</vt:lpstr>
      <vt:lpstr>'4.28'!Print_Area</vt:lpstr>
      <vt:lpstr>'4.29'!Print_Area</vt:lpstr>
      <vt:lpstr>'4.30'!Print_Area</vt:lpstr>
      <vt:lpstr>'4.7'!Print_Area</vt:lpstr>
      <vt:lpstr>'4.8'!Print_Area</vt:lpstr>
      <vt:lpstr>'4.9'!Print_Area</vt:lpstr>
      <vt:lpstr>密度!Print_Area</vt:lpstr>
      <vt:lpstr>新增!Print_Area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C663</dc:creator>
  <cp:lastModifiedBy>C712-PC</cp:lastModifiedBy>
  <cp:lastPrinted>2026-04-30T07:15:03Z</cp:lastPrinted>
  <dcterms:created xsi:type="dcterms:W3CDTF">2006-09-16T00:00:00Z</dcterms:created>
  <dcterms:modified xsi:type="dcterms:W3CDTF">2026-04-30T07:15:09Z</dcterms:modified>
</cp:coreProperties>
</file>