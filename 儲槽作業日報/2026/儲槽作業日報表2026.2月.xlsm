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activeTab="17"/>
  </bookViews>
  <sheets>
    <sheet name="新增" sheetId="1727" r:id="rId1"/>
    <sheet name="密度" sheetId="13" r:id="rId2"/>
    <sheet name="1.30" sheetId="2080" r:id="rId3"/>
    <sheet name="2.1" sheetId="2082" r:id="rId4"/>
    <sheet name="2.2" sheetId="2083" r:id="rId5"/>
    <sheet name="2.3" sheetId="2084" r:id="rId6"/>
    <sheet name="2.4" sheetId="2085" r:id="rId7"/>
    <sheet name="2.5" sheetId="2086" r:id="rId8"/>
    <sheet name="2.6" sheetId="2087" r:id="rId9"/>
    <sheet name="2.9" sheetId="2088" r:id="rId10"/>
    <sheet name="2.10" sheetId="2089" r:id="rId11"/>
    <sheet name="2.11" sheetId="2090" r:id="rId12"/>
    <sheet name="2.12" sheetId="2091" r:id="rId13"/>
    <sheet name="2.13" sheetId="2092" r:id="rId14"/>
    <sheet name="2.23" sheetId="2093" r:id="rId15"/>
    <sheet name="2.24" sheetId="2094" r:id="rId16"/>
    <sheet name="2.25" sheetId="2095" r:id="rId17"/>
    <sheet name="2.26" sheetId="2096" r:id="rId18"/>
  </sheets>
  <definedNames>
    <definedName name="_xlnm.Print_Area" localSheetId="2">'1.30'!$B$1:$AE$36</definedName>
    <definedName name="_xlnm.Print_Area" localSheetId="3">'2.1'!$B$1:$AE$36</definedName>
    <definedName name="_xlnm.Print_Area" localSheetId="10">'2.10'!$B$1:$AE$36</definedName>
    <definedName name="_xlnm.Print_Area" localSheetId="11">'2.11'!$B$1:$AE$36</definedName>
    <definedName name="_xlnm.Print_Area" localSheetId="12">'2.12'!$B$1:$AE$36</definedName>
    <definedName name="_xlnm.Print_Area" localSheetId="13">'2.13'!$B$1:$AE$36</definedName>
    <definedName name="_xlnm.Print_Area" localSheetId="4">'2.2'!$B$1:$AE$36</definedName>
    <definedName name="_xlnm.Print_Area" localSheetId="14">'2.23'!$B$1:$AE$36</definedName>
    <definedName name="_xlnm.Print_Area" localSheetId="15">'2.24'!$B$1:$AE$36</definedName>
    <definedName name="_xlnm.Print_Area" localSheetId="16">'2.25'!$B$1:$AE$36</definedName>
    <definedName name="_xlnm.Print_Area" localSheetId="17">'2.26'!$B$1:$AE$36</definedName>
    <definedName name="_xlnm.Print_Area" localSheetId="5">'2.3'!$B$1:$AE$36</definedName>
    <definedName name="_xlnm.Print_Area" localSheetId="6">'2.4'!$B$1:$AE$36</definedName>
    <definedName name="_xlnm.Print_Area" localSheetId="7">'2.5'!$B$1:$AE$36</definedName>
    <definedName name="_xlnm.Print_Area" localSheetId="8">'2.6'!$B$1:$AE$36</definedName>
    <definedName name="_xlnm.Print_Area" localSheetId="9">'2.9'!$B$1:$AE$36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'1.30'!$B$3:$AE$36</definedName>
    <definedName name="Z_512059F6_F0DC_4056_8FD0_37088AB81F9E_.wvu.PrintArea" localSheetId="3" hidden="1">'2.1'!$B$3:$AE$36</definedName>
    <definedName name="Z_512059F6_F0DC_4056_8FD0_37088AB81F9E_.wvu.PrintArea" localSheetId="10" hidden="1">'2.10'!$B$3:$AE$36</definedName>
    <definedName name="Z_512059F6_F0DC_4056_8FD0_37088AB81F9E_.wvu.PrintArea" localSheetId="11" hidden="1">'2.11'!$B$3:$AE$36</definedName>
    <definedName name="Z_512059F6_F0DC_4056_8FD0_37088AB81F9E_.wvu.PrintArea" localSheetId="12" hidden="1">'2.12'!$B$3:$AE$36</definedName>
    <definedName name="Z_512059F6_F0DC_4056_8FD0_37088AB81F9E_.wvu.PrintArea" localSheetId="13" hidden="1">'2.13'!$B$3:$AE$36</definedName>
    <definedName name="Z_512059F6_F0DC_4056_8FD0_37088AB81F9E_.wvu.PrintArea" localSheetId="4" hidden="1">'2.2'!$B$3:$AE$36</definedName>
    <definedName name="Z_512059F6_F0DC_4056_8FD0_37088AB81F9E_.wvu.PrintArea" localSheetId="14" hidden="1">'2.23'!$B$3:$AE$36</definedName>
    <definedName name="Z_512059F6_F0DC_4056_8FD0_37088AB81F9E_.wvu.PrintArea" localSheetId="15" hidden="1">'2.24'!$B$3:$AE$36</definedName>
    <definedName name="Z_512059F6_F0DC_4056_8FD0_37088AB81F9E_.wvu.PrintArea" localSheetId="16" hidden="1">'2.25'!$B$3:$AE$36</definedName>
    <definedName name="Z_512059F6_F0DC_4056_8FD0_37088AB81F9E_.wvu.PrintArea" localSheetId="17" hidden="1">'2.26'!$B$3:$AE$36</definedName>
    <definedName name="Z_512059F6_F0DC_4056_8FD0_37088AB81F9E_.wvu.PrintArea" localSheetId="5" hidden="1">'2.3'!$B$3:$AE$36</definedName>
    <definedName name="Z_512059F6_F0DC_4056_8FD0_37088AB81F9E_.wvu.PrintArea" localSheetId="6" hidden="1">'2.4'!$B$3:$AE$36</definedName>
    <definedName name="Z_512059F6_F0DC_4056_8FD0_37088AB81F9E_.wvu.PrintArea" localSheetId="7" hidden="1">'2.5'!$B$3:$AE$36</definedName>
    <definedName name="Z_512059F6_F0DC_4056_8FD0_37088AB81F9E_.wvu.PrintArea" localSheetId="8" hidden="1">'2.6'!$B$3:$AE$36</definedName>
    <definedName name="Z_512059F6_F0DC_4056_8FD0_37088AB81F9E_.wvu.PrintArea" localSheetId="9" hidden="1">'2.9'!$B$3:$AE$36</definedName>
    <definedName name="Z_68643476_8805_447E_8170_A582EA1D0343_.wvu.PrintArea" localSheetId="2" hidden="1">'1.30'!$B$3:$AE$36</definedName>
    <definedName name="Z_68643476_8805_447E_8170_A582EA1D0343_.wvu.PrintArea" localSheetId="3" hidden="1">'2.1'!$B$3:$AE$36</definedName>
    <definedName name="Z_68643476_8805_447E_8170_A582EA1D0343_.wvu.PrintArea" localSheetId="10" hidden="1">'2.10'!$B$3:$AE$36</definedName>
    <definedName name="Z_68643476_8805_447E_8170_A582EA1D0343_.wvu.PrintArea" localSheetId="11" hidden="1">'2.11'!$B$3:$AE$36</definedName>
    <definedName name="Z_68643476_8805_447E_8170_A582EA1D0343_.wvu.PrintArea" localSheetId="12" hidden="1">'2.12'!$B$3:$AE$36</definedName>
    <definedName name="Z_68643476_8805_447E_8170_A582EA1D0343_.wvu.PrintArea" localSheetId="13" hidden="1">'2.13'!$B$3:$AE$36</definedName>
    <definedName name="Z_68643476_8805_447E_8170_A582EA1D0343_.wvu.PrintArea" localSheetId="4" hidden="1">'2.2'!$B$3:$AE$36</definedName>
    <definedName name="Z_68643476_8805_447E_8170_A582EA1D0343_.wvu.PrintArea" localSheetId="14" hidden="1">'2.23'!$B$3:$AE$36</definedName>
    <definedName name="Z_68643476_8805_447E_8170_A582EA1D0343_.wvu.PrintArea" localSheetId="15" hidden="1">'2.24'!$B$3:$AE$36</definedName>
    <definedName name="Z_68643476_8805_447E_8170_A582EA1D0343_.wvu.PrintArea" localSheetId="16" hidden="1">'2.25'!$B$3:$AE$36</definedName>
    <definedName name="Z_68643476_8805_447E_8170_A582EA1D0343_.wvu.PrintArea" localSheetId="17" hidden="1">'2.26'!$B$3:$AE$36</definedName>
    <definedName name="Z_68643476_8805_447E_8170_A582EA1D0343_.wvu.PrintArea" localSheetId="5" hidden="1">'2.3'!$B$3:$AE$36</definedName>
    <definedName name="Z_68643476_8805_447E_8170_A582EA1D0343_.wvu.PrintArea" localSheetId="6" hidden="1">'2.4'!$B$3:$AE$36</definedName>
    <definedName name="Z_68643476_8805_447E_8170_A582EA1D0343_.wvu.PrintArea" localSheetId="7" hidden="1">'2.5'!$B$3:$AE$36</definedName>
    <definedName name="Z_68643476_8805_447E_8170_A582EA1D0343_.wvu.PrintArea" localSheetId="8" hidden="1">'2.6'!$B$3:$AE$36</definedName>
    <definedName name="Z_68643476_8805_447E_8170_A582EA1D0343_.wvu.PrintArea" localSheetId="9" hidden="1">'2.9'!$B$3:$AE$36</definedName>
    <definedName name="Z_8E5926ED_4EBD_4129_B8FF_799CC47580D7_.wvu.PrintArea" localSheetId="2" hidden="1">'1.30'!$B$3:$AE$36</definedName>
    <definedName name="Z_8E5926ED_4EBD_4129_B8FF_799CC47580D7_.wvu.PrintArea" localSheetId="3" hidden="1">'2.1'!$B$3:$AE$36</definedName>
    <definedName name="Z_8E5926ED_4EBD_4129_B8FF_799CC47580D7_.wvu.PrintArea" localSheetId="10" hidden="1">'2.10'!$B$3:$AE$36</definedName>
    <definedName name="Z_8E5926ED_4EBD_4129_B8FF_799CC47580D7_.wvu.PrintArea" localSheetId="11" hidden="1">'2.11'!$B$3:$AE$36</definedName>
    <definedName name="Z_8E5926ED_4EBD_4129_B8FF_799CC47580D7_.wvu.PrintArea" localSheetId="12" hidden="1">'2.12'!$B$3:$AE$36</definedName>
    <definedName name="Z_8E5926ED_4EBD_4129_B8FF_799CC47580D7_.wvu.PrintArea" localSheetId="13" hidden="1">'2.13'!$B$3:$AE$36</definedName>
    <definedName name="Z_8E5926ED_4EBD_4129_B8FF_799CC47580D7_.wvu.PrintArea" localSheetId="4" hidden="1">'2.2'!$B$3:$AE$36</definedName>
    <definedName name="Z_8E5926ED_4EBD_4129_B8FF_799CC47580D7_.wvu.PrintArea" localSheetId="14" hidden="1">'2.23'!$B$3:$AE$36</definedName>
    <definedName name="Z_8E5926ED_4EBD_4129_B8FF_799CC47580D7_.wvu.PrintArea" localSheetId="15" hidden="1">'2.24'!$B$3:$AE$36</definedName>
    <definedName name="Z_8E5926ED_4EBD_4129_B8FF_799CC47580D7_.wvu.PrintArea" localSheetId="16" hidden="1">'2.25'!$B$3:$AE$36</definedName>
    <definedName name="Z_8E5926ED_4EBD_4129_B8FF_799CC47580D7_.wvu.PrintArea" localSheetId="17" hidden="1">'2.26'!$B$3:$AE$36</definedName>
    <definedName name="Z_8E5926ED_4EBD_4129_B8FF_799CC47580D7_.wvu.PrintArea" localSheetId="5" hidden="1">'2.3'!$B$3:$AE$36</definedName>
    <definedName name="Z_8E5926ED_4EBD_4129_B8FF_799CC47580D7_.wvu.PrintArea" localSheetId="6" hidden="1">'2.4'!$B$3:$AE$36</definedName>
    <definedName name="Z_8E5926ED_4EBD_4129_B8FF_799CC47580D7_.wvu.PrintArea" localSheetId="7" hidden="1">'2.5'!$B$3:$AE$36</definedName>
    <definedName name="Z_8E5926ED_4EBD_4129_B8FF_799CC47580D7_.wvu.PrintArea" localSheetId="8" hidden="1">'2.6'!$B$3:$AE$36</definedName>
    <definedName name="Z_8E5926ED_4EBD_4129_B8FF_799CC47580D7_.wvu.PrintArea" localSheetId="9" hidden="1">'2.9'!$B$3:$AE$36</definedName>
    <definedName name="Z_8FA8B620_C56C_11DB_A857_00055D5FD5FF_.wvu.PrintArea" localSheetId="2" hidden="1">'1.30'!$B$3:$AE$36</definedName>
    <definedName name="Z_8FA8B620_C56C_11DB_A857_00055D5FD5FF_.wvu.PrintArea" localSheetId="3" hidden="1">'2.1'!$B$3:$AE$36</definedName>
    <definedName name="Z_8FA8B620_C56C_11DB_A857_00055D5FD5FF_.wvu.PrintArea" localSheetId="10" hidden="1">'2.10'!$B$3:$AE$36</definedName>
    <definedName name="Z_8FA8B620_C56C_11DB_A857_00055D5FD5FF_.wvu.PrintArea" localSheetId="11" hidden="1">'2.11'!$B$3:$AE$36</definedName>
    <definedName name="Z_8FA8B620_C56C_11DB_A857_00055D5FD5FF_.wvu.PrintArea" localSheetId="12" hidden="1">'2.12'!$B$3:$AE$36</definedName>
    <definedName name="Z_8FA8B620_C56C_11DB_A857_00055D5FD5FF_.wvu.PrintArea" localSheetId="13" hidden="1">'2.13'!$B$3:$AE$36</definedName>
    <definedName name="Z_8FA8B620_C56C_11DB_A857_00055D5FD5FF_.wvu.PrintArea" localSheetId="4" hidden="1">'2.2'!$B$3:$AE$36</definedName>
    <definedName name="Z_8FA8B620_C56C_11DB_A857_00055D5FD5FF_.wvu.PrintArea" localSheetId="14" hidden="1">'2.23'!$B$3:$AE$36</definedName>
    <definedName name="Z_8FA8B620_C56C_11DB_A857_00055D5FD5FF_.wvu.PrintArea" localSheetId="15" hidden="1">'2.24'!$B$3:$AE$36</definedName>
    <definedName name="Z_8FA8B620_C56C_11DB_A857_00055D5FD5FF_.wvu.PrintArea" localSheetId="16" hidden="1">'2.25'!$B$3:$AE$36</definedName>
    <definedName name="Z_8FA8B620_C56C_11DB_A857_00055D5FD5FF_.wvu.PrintArea" localSheetId="17" hidden="1">'2.26'!$B$3:$AE$36</definedName>
    <definedName name="Z_8FA8B620_C56C_11DB_A857_00055D5FD5FF_.wvu.PrintArea" localSheetId="5" hidden="1">'2.3'!$B$3:$AE$36</definedName>
    <definedName name="Z_8FA8B620_C56C_11DB_A857_00055D5FD5FF_.wvu.PrintArea" localSheetId="6" hidden="1">'2.4'!$B$3:$AE$36</definedName>
    <definedName name="Z_8FA8B620_C56C_11DB_A857_00055D5FD5FF_.wvu.PrintArea" localSheetId="7" hidden="1">'2.5'!$B$3:$AE$36</definedName>
    <definedName name="Z_8FA8B620_C56C_11DB_A857_00055D5FD5FF_.wvu.PrintArea" localSheetId="8" hidden="1">'2.6'!$B$3:$AE$36</definedName>
    <definedName name="Z_8FA8B620_C56C_11DB_A857_00055D5FD5FF_.wvu.PrintArea" localSheetId="9" hidden="1">'2.9'!$B$3:$AE$36</definedName>
    <definedName name="Z_A3DB5619_047E_4CE2_8C39_700CFD25F2CB_.wvu.PrintArea" localSheetId="2" hidden="1">'1.30'!$B$3:$AE$36</definedName>
    <definedName name="Z_A3DB5619_047E_4CE2_8C39_700CFD25F2CB_.wvu.PrintArea" localSheetId="3" hidden="1">'2.1'!$B$3:$AE$36</definedName>
    <definedName name="Z_A3DB5619_047E_4CE2_8C39_700CFD25F2CB_.wvu.PrintArea" localSheetId="10" hidden="1">'2.10'!$B$3:$AE$36</definedName>
    <definedName name="Z_A3DB5619_047E_4CE2_8C39_700CFD25F2CB_.wvu.PrintArea" localSheetId="11" hidden="1">'2.11'!$B$3:$AE$36</definedName>
    <definedName name="Z_A3DB5619_047E_4CE2_8C39_700CFD25F2CB_.wvu.PrintArea" localSheetId="12" hidden="1">'2.12'!$B$3:$AE$36</definedName>
    <definedName name="Z_A3DB5619_047E_4CE2_8C39_700CFD25F2CB_.wvu.PrintArea" localSheetId="13" hidden="1">'2.13'!$B$3:$AE$36</definedName>
    <definedName name="Z_A3DB5619_047E_4CE2_8C39_700CFD25F2CB_.wvu.PrintArea" localSheetId="4" hidden="1">'2.2'!$B$3:$AE$36</definedName>
    <definedName name="Z_A3DB5619_047E_4CE2_8C39_700CFD25F2CB_.wvu.PrintArea" localSheetId="14" hidden="1">'2.23'!$B$3:$AE$36</definedName>
    <definedName name="Z_A3DB5619_047E_4CE2_8C39_700CFD25F2CB_.wvu.PrintArea" localSheetId="15" hidden="1">'2.24'!$B$3:$AE$36</definedName>
    <definedName name="Z_A3DB5619_047E_4CE2_8C39_700CFD25F2CB_.wvu.PrintArea" localSheetId="16" hidden="1">'2.25'!$B$3:$AE$36</definedName>
    <definedName name="Z_A3DB5619_047E_4CE2_8C39_700CFD25F2CB_.wvu.PrintArea" localSheetId="17" hidden="1">'2.26'!$B$3:$AE$36</definedName>
    <definedName name="Z_A3DB5619_047E_4CE2_8C39_700CFD25F2CB_.wvu.PrintArea" localSheetId="5" hidden="1">'2.3'!$B$3:$AE$36</definedName>
    <definedName name="Z_A3DB5619_047E_4CE2_8C39_700CFD25F2CB_.wvu.PrintArea" localSheetId="6" hidden="1">'2.4'!$B$3:$AE$36</definedName>
    <definedName name="Z_A3DB5619_047E_4CE2_8C39_700CFD25F2CB_.wvu.PrintArea" localSheetId="7" hidden="1">'2.5'!$B$3:$AE$36</definedName>
    <definedName name="Z_A3DB5619_047E_4CE2_8C39_700CFD25F2CB_.wvu.PrintArea" localSheetId="8" hidden="1">'2.6'!$B$3:$AE$36</definedName>
    <definedName name="Z_A3DB5619_047E_4CE2_8C39_700CFD25F2CB_.wvu.PrintArea" localSheetId="9" hidden="1">'2.9'!$B$3:$AE$36</definedName>
    <definedName name="Z_D903F940_B812_11DB_B168_0010B575B8B2_.wvu.PrintArea" localSheetId="2" hidden="1">'1.30'!$B$3:$AE$36</definedName>
    <definedName name="Z_D903F940_B812_11DB_B168_0010B575B8B2_.wvu.PrintArea" localSheetId="3" hidden="1">'2.1'!$B$3:$AE$36</definedName>
    <definedName name="Z_D903F940_B812_11DB_B168_0010B575B8B2_.wvu.PrintArea" localSheetId="10" hidden="1">'2.10'!$B$3:$AE$36</definedName>
    <definedName name="Z_D903F940_B812_11DB_B168_0010B575B8B2_.wvu.PrintArea" localSheetId="11" hidden="1">'2.11'!$B$3:$AE$36</definedName>
    <definedName name="Z_D903F940_B812_11DB_B168_0010B575B8B2_.wvu.PrintArea" localSheetId="12" hidden="1">'2.12'!$B$3:$AE$36</definedName>
    <definedName name="Z_D903F940_B812_11DB_B168_0010B575B8B2_.wvu.PrintArea" localSheetId="13" hidden="1">'2.13'!$B$3:$AE$36</definedName>
    <definedName name="Z_D903F940_B812_11DB_B168_0010B575B8B2_.wvu.PrintArea" localSheetId="4" hidden="1">'2.2'!$B$3:$AE$36</definedName>
    <definedName name="Z_D903F940_B812_11DB_B168_0010B575B8B2_.wvu.PrintArea" localSheetId="14" hidden="1">'2.23'!$B$3:$AE$36</definedName>
    <definedName name="Z_D903F940_B812_11DB_B168_0010B575B8B2_.wvu.PrintArea" localSheetId="15" hidden="1">'2.24'!$B$3:$AE$36</definedName>
    <definedName name="Z_D903F940_B812_11DB_B168_0010B575B8B2_.wvu.PrintArea" localSheetId="16" hidden="1">'2.25'!$B$3:$AE$36</definedName>
    <definedName name="Z_D903F940_B812_11DB_B168_0010B575B8B2_.wvu.PrintArea" localSheetId="17" hidden="1">'2.26'!$B$3:$AE$36</definedName>
    <definedName name="Z_D903F940_B812_11DB_B168_0010B575B8B2_.wvu.PrintArea" localSheetId="5" hidden="1">'2.3'!$B$3:$AE$36</definedName>
    <definedName name="Z_D903F940_B812_11DB_B168_0010B575B8B2_.wvu.PrintArea" localSheetId="6" hidden="1">'2.4'!$B$3:$AE$36</definedName>
    <definedName name="Z_D903F940_B812_11DB_B168_0010B575B8B2_.wvu.PrintArea" localSheetId="7" hidden="1">'2.5'!$B$3:$AE$36</definedName>
    <definedName name="Z_D903F940_B812_11DB_B168_0010B575B8B2_.wvu.PrintArea" localSheetId="8" hidden="1">'2.6'!$B$3:$AE$36</definedName>
    <definedName name="Z_D903F940_B812_11DB_B168_0010B575B8B2_.wvu.PrintArea" localSheetId="9" hidden="1">'2.9'!$B$3:$AE$36</definedName>
    <definedName name="取樣回收每月庫存表" localSheetId="2" hidden="1">'1.30'!#REF!</definedName>
    <definedName name="取樣回收每月庫存表" localSheetId="3" hidden="1">'2.1'!#REF!</definedName>
    <definedName name="取樣回收每月庫存表" localSheetId="10" hidden="1">'2.10'!#REF!</definedName>
    <definedName name="取樣回收每月庫存表" localSheetId="11" hidden="1">'2.11'!#REF!</definedName>
    <definedName name="取樣回收每月庫存表" localSheetId="12" hidden="1">'2.12'!#REF!</definedName>
    <definedName name="取樣回收每月庫存表" localSheetId="13" hidden="1">'2.13'!#REF!</definedName>
    <definedName name="取樣回收每月庫存表" localSheetId="4" hidden="1">'2.2'!#REF!</definedName>
    <definedName name="取樣回收每月庫存表" localSheetId="14" hidden="1">'2.23'!#REF!</definedName>
    <definedName name="取樣回收每月庫存表" localSheetId="15" hidden="1">'2.24'!#REF!</definedName>
    <definedName name="取樣回收每月庫存表" localSheetId="16" hidden="1">'2.25'!#REF!</definedName>
    <definedName name="取樣回收每月庫存表" localSheetId="17" hidden="1">'2.26'!#REF!</definedName>
    <definedName name="取樣回收每月庫存表" localSheetId="5" hidden="1">'2.3'!#REF!</definedName>
    <definedName name="取樣回收每月庫存表" localSheetId="6" hidden="1">'2.4'!#REF!</definedName>
    <definedName name="取樣回收每月庫存表" localSheetId="7" hidden="1">'2.5'!#REF!</definedName>
    <definedName name="取樣回收每月庫存表" localSheetId="8" hidden="1">'2.6'!#REF!</definedName>
    <definedName name="取樣回收每月庫存表" localSheetId="9" hidden="1">'2.9'!#REF!</definedName>
    <definedName name="取樣回收每月庫存表_0620更新" localSheetId="2" hidden="1">'1.30'!$AG$13:$BH$189</definedName>
    <definedName name="取樣回收每月庫存表_0620更新" localSheetId="3" hidden="1">'2.1'!$AG$13:$BH$189</definedName>
    <definedName name="取樣回收每月庫存表_0620更新" localSheetId="10" hidden="1">'2.10'!$AG$13:$BH$189</definedName>
    <definedName name="取樣回收每月庫存表_0620更新" localSheetId="11" hidden="1">'2.11'!$AG$13:$BH$189</definedName>
    <definedName name="取樣回收每月庫存表_0620更新" localSheetId="12" hidden="1">'2.12'!$AG$13:$BH$189</definedName>
    <definedName name="取樣回收每月庫存表_0620更新" localSheetId="13" hidden="1">'2.13'!$AG$13:$BH$189</definedName>
    <definedName name="取樣回收每月庫存表_0620更新" localSheetId="4" hidden="1">'2.2'!$AG$13:$BH$189</definedName>
    <definedName name="取樣回收每月庫存表_0620更新" localSheetId="14" hidden="1">'2.23'!$AG$13:$BH$189</definedName>
    <definedName name="取樣回收每月庫存表_0620更新" localSheetId="15" hidden="1">'2.24'!$AG$13:$BH$189</definedName>
    <definedName name="取樣回收每月庫存表_0620更新" localSheetId="16" hidden="1">'2.25'!$AG$13:$BH$189</definedName>
    <definedName name="取樣回收每月庫存表_0620更新" localSheetId="17" hidden="1">'2.26'!$AG$13:$BH$189</definedName>
    <definedName name="取樣回收每月庫存表_0620更新" localSheetId="5" hidden="1">'2.3'!$AG$13:$BH$189</definedName>
    <definedName name="取樣回收每月庫存表_0620更新" localSheetId="6" hidden="1">'2.4'!$AG$13:$BH$189</definedName>
    <definedName name="取樣回收每月庫存表_0620更新" localSheetId="7" hidden="1">'2.5'!$AG$13:$BH$189</definedName>
    <definedName name="取樣回收每月庫存表_0620更新" localSheetId="8" hidden="1">'2.6'!$AG$13:$BH$189</definedName>
    <definedName name="取樣回收每月庫存表_0620更新" localSheetId="9" hidden="1">'2.9'!$AG$13:$BH$189</definedName>
    <definedName name="複本_14_取樣回收每月庫存表" localSheetId="2" hidden="1">'1.30'!#REF!</definedName>
    <definedName name="複本_14_取樣回收每月庫存表" localSheetId="3" hidden="1">'2.1'!#REF!</definedName>
    <definedName name="複本_14_取樣回收每月庫存表" localSheetId="10" hidden="1">'2.10'!#REF!</definedName>
    <definedName name="複本_14_取樣回收每月庫存表" localSheetId="11" hidden="1">'2.11'!#REF!</definedName>
    <definedName name="複本_14_取樣回收每月庫存表" localSheetId="12" hidden="1">'2.12'!#REF!</definedName>
    <definedName name="複本_14_取樣回收每月庫存表" localSheetId="13" hidden="1">'2.13'!#REF!</definedName>
    <definedName name="複本_14_取樣回收每月庫存表" localSheetId="4" hidden="1">'2.2'!#REF!</definedName>
    <definedName name="複本_14_取樣回收每月庫存表" localSheetId="14" hidden="1">'2.23'!#REF!</definedName>
    <definedName name="複本_14_取樣回收每月庫存表" localSheetId="15" hidden="1">'2.24'!#REF!</definedName>
    <definedName name="複本_14_取樣回收每月庫存表" localSheetId="16" hidden="1">'2.25'!#REF!</definedName>
    <definedName name="複本_14_取樣回收每月庫存表" localSheetId="17" hidden="1">'2.26'!#REF!</definedName>
    <definedName name="複本_14_取樣回收每月庫存表" localSheetId="5" hidden="1">'2.3'!#REF!</definedName>
    <definedName name="複本_14_取樣回收每月庫存表" localSheetId="6" hidden="1">'2.4'!#REF!</definedName>
    <definedName name="複本_14_取樣回收每月庫存表" localSheetId="7" hidden="1">'2.5'!#REF!</definedName>
    <definedName name="複本_14_取樣回收每月庫存表" localSheetId="8" hidden="1">'2.6'!#REF!</definedName>
    <definedName name="複本_14_取樣回收每月庫存表" localSheetId="9" hidden="1">'2.9'!#REF!</definedName>
  </definedNames>
  <calcPr calcId="162913"/>
</workbook>
</file>

<file path=xl/calcChain.xml><?xml version="1.0" encoding="utf-8"?>
<calcChain xmlns="http://schemas.openxmlformats.org/spreadsheetml/2006/main">
  <c r="K16" i="2096" l="1"/>
  <c r="AA33" i="2096" l="1"/>
  <c r="X33" i="2096"/>
  <c r="U33" i="2096"/>
  <c r="R33" i="2096"/>
  <c r="F33" i="2096"/>
  <c r="Y28" i="2096"/>
  <c r="X28" i="2096"/>
  <c r="S33" i="2096" s="1"/>
  <c r="W28" i="2096"/>
  <c r="V28" i="2096"/>
  <c r="U28" i="2096"/>
  <c r="T28" i="2096"/>
  <c r="S28" i="2096"/>
  <c r="R28" i="2096"/>
  <c r="Q28" i="2096"/>
  <c r="P28" i="2096"/>
  <c r="O28" i="2096"/>
  <c r="N28" i="2096"/>
  <c r="M28" i="2096"/>
  <c r="L28" i="2096"/>
  <c r="K28" i="2096"/>
  <c r="J28" i="2096"/>
  <c r="I28" i="2096"/>
  <c r="H28" i="2096"/>
  <c r="G28" i="2096"/>
  <c r="F28" i="2096"/>
  <c r="E28" i="2096"/>
  <c r="D28" i="2096"/>
  <c r="Y25" i="2096"/>
  <c r="X25" i="2096"/>
  <c r="W25" i="2096"/>
  <c r="V25" i="2096"/>
  <c r="U25" i="2096"/>
  <c r="T25" i="2096"/>
  <c r="S25" i="2096"/>
  <c r="R25" i="2096"/>
  <c r="Q25" i="2096"/>
  <c r="P25" i="2096"/>
  <c r="O25" i="2096"/>
  <c r="N25" i="2096"/>
  <c r="M25" i="2096"/>
  <c r="L25" i="2096"/>
  <c r="K25" i="2096"/>
  <c r="J25" i="2096"/>
  <c r="I25" i="2096"/>
  <c r="H25" i="2096"/>
  <c r="G25" i="2096"/>
  <c r="F25" i="2096"/>
  <c r="E25" i="2096"/>
  <c r="D25" i="2096"/>
  <c r="AE19" i="2096"/>
  <c r="AD19" i="2096"/>
  <c r="AC19" i="2096"/>
  <c r="AB19" i="2096"/>
  <c r="AA19" i="2096"/>
  <c r="Z19" i="2096"/>
  <c r="Y19" i="2096"/>
  <c r="X19" i="2096"/>
  <c r="T33" i="2096" s="1"/>
  <c r="W19" i="2096"/>
  <c r="V19" i="2096"/>
  <c r="U19" i="2096"/>
  <c r="T19" i="2096"/>
  <c r="S19" i="2096"/>
  <c r="R19" i="2096"/>
  <c r="Q19" i="2096"/>
  <c r="P19" i="2096"/>
  <c r="O19" i="2096"/>
  <c r="N19" i="2096"/>
  <c r="G33" i="2096" s="1"/>
  <c r="M19" i="2096"/>
  <c r="H33" i="2096" s="1"/>
  <c r="L19" i="2096"/>
  <c r="P33" i="2096" s="1"/>
  <c r="K19" i="2096"/>
  <c r="L33" i="2096" s="1"/>
  <c r="J19" i="2096"/>
  <c r="I19" i="2096"/>
  <c r="AB33" i="2096" s="1"/>
  <c r="H19" i="2096"/>
  <c r="G19" i="2096"/>
  <c r="O33" i="2096" s="1"/>
  <c r="F19" i="2096"/>
  <c r="E19" i="2096"/>
  <c r="D19" i="2096"/>
  <c r="AE16" i="2096"/>
  <c r="AD16" i="2096"/>
  <c r="AC16" i="2096"/>
  <c r="AB16" i="2096"/>
  <c r="AA16" i="2096"/>
  <c r="Z16" i="2096"/>
  <c r="X16" i="2096"/>
  <c r="W16" i="2096"/>
  <c r="V16" i="2096"/>
  <c r="U16" i="2096"/>
  <c r="T16" i="2096"/>
  <c r="S16" i="2096"/>
  <c r="R16" i="2096"/>
  <c r="Q16" i="2096"/>
  <c r="P16" i="2096"/>
  <c r="O16" i="2096"/>
  <c r="N16" i="2096"/>
  <c r="M16" i="2096"/>
  <c r="L16" i="2096"/>
  <c r="J16" i="2096"/>
  <c r="I16" i="2096"/>
  <c r="H16" i="2096"/>
  <c r="G16" i="2096"/>
  <c r="F16" i="2096"/>
  <c r="E16" i="2096"/>
  <c r="D16" i="2096"/>
  <c r="AE10" i="2096"/>
  <c r="AD10" i="2096"/>
  <c r="AC10" i="2096"/>
  <c r="AB10" i="2096"/>
  <c r="AA10" i="2096"/>
  <c r="Z10" i="2096"/>
  <c r="Y10" i="2096"/>
  <c r="X10" i="2096"/>
  <c r="W10" i="2096"/>
  <c r="V10" i="2096"/>
  <c r="U10" i="2096"/>
  <c r="T10" i="2096"/>
  <c r="S10" i="2096"/>
  <c r="R10" i="2096"/>
  <c r="Q10" i="2096"/>
  <c r="P10" i="2096"/>
  <c r="O10" i="2096"/>
  <c r="N10" i="2096"/>
  <c r="M10" i="2096"/>
  <c r="L10" i="2096"/>
  <c r="K10" i="2096"/>
  <c r="J10" i="2096"/>
  <c r="I10" i="2096"/>
  <c r="H10" i="2096"/>
  <c r="G10" i="2096"/>
  <c r="F10" i="2096"/>
  <c r="E10" i="2096"/>
  <c r="D10" i="2096"/>
  <c r="AE7" i="2096"/>
  <c r="AD7" i="2096"/>
  <c r="AC7" i="2096"/>
  <c r="AB7" i="2096"/>
  <c r="AA7" i="2096"/>
  <c r="Z7" i="2096"/>
  <c r="Y7" i="2096"/>
  <c r="X7" i="2096"/>
  <c r="W7" i="2096"/>
  <c r="V7" i="2096"/>
  <c r="U7" i="2096"/>
  <c r="T7" i="2096"/>
  <c r="S7" i="2096"/>
  <c r="R7" i="2096"/>
  <c r="Q7" i="2096"/>
  <c r="P7" i="2096"/>
  <c r="O7" i="2096"/>
  <c r="N7" i="2096"/>
  <c r="M7" i="2096"/>
  <c r="L7" i="2096"/>
  <c r="K7" i="2096"/>
  <c r="J7" i="2096"/>
  <c r="I7" i="2096"/>
  <c r="H7" i="2096"/>
  <c r="G7" i="2096"/>
  <c r="F7" i="2096"/>
  <c r="E7" i="2096"/>
  <c r="D7" i="2096"/>
  <c r="Z33" i="2096" l="1"/>
  <c r="W33" i="2096"/>
  <c r="N33" i="2096"/>
  <c r="AC33" i="2096"/>
  <c r="D33" i="2096"/>
  <c r="Y33" i="2096"/>
  <c r="Q33" i="2096"/>
  <c r="E33" i="2096"/>
  <c r="K33" i="2096"/>
  <c r="J33" i="2096"/>
  <c r="M33" i="2096"/>
  <c r="V33" i="2096"/>
  <c r="AA33" i="2095"/>
  <c r="X33" i="2095"/>
  <c r="U33" i="2095"/>
  <c r="R33" i="2095"/>
  <c r="F33" i="2095"/>
  <c r="Y28" i="2095"/>
  <c r="X28" i="2095"/>
  <c r="S33" i="2095" s="1"/>
  <c r="W28" i="2095"/>
  <c r="V28" i="2095"/>
  <c r="U28" i="2095"/>
  <c r="T28" i="2095"/>
  <c r="S28" i="2095"/>
  <c r="R28" i="2095"/>
  <c r="Q28" i="2095"/>
  <c r="P28" i="2095"/>
  <c r="O28" i="2095"/>
  <c r="N28" i="2095"/>
  <c r="M28" i="2095"/>
  <c r="L28" i="2095"/>
  <c r="K28" i="2095"/>
  <c r="J28" i="2095"/>
  <c r="I28" i="2095"/>
  <c r="H28" i="2095"/>
  <c r="G28" i="2095"/>
  <c r="F28" i="2095"/>
  <c r="E28" i="2095"/>
  <c r="D28" i="2095"/>
  <c r="Y25" i="2095"/>
  <c r="X25" i="2095"/>
  <c r="W25" i="2095"/>
  <c r="V25" i="2095"/>
  <c r="U25" i="2095"/>
  <c r="T25" i="2095"/>
  <c r="S25" i="2095"/>
  <c r="R25" i="2095"/>
  <c r="Q25" i="2095"/>
  <c r="P25" i="2095"/>
  <c r="O25" i="2095"/>
  <c r="N25" i="2095"/>
  <c r="M25" i="2095"/>
  <c r="L25" i="2095"/>
  <c r="K25" i="2095"/>
  <c r="J25" i="2095"/>
  <c r="I25" i="2095"/>
  <c r="H25" i="2095"/>
  <c r="G25" i="2095"/>
  <c r="F25" i="2095"/>
  <c r="E25" i="2095"/>
  <c r="D25" i="2095"/>
  <c r="AE19" i="2095"/>
  <c r="AD19" i="2095"/>
  <c r="AC19" i="2095"/>
  <c r="AB19" i="2095"/>
  <c r="AA19" i="2095"/>
  <c r="Z19" i="2095"/>
  <c r="Y19" i="2095"/>
  <c r="X19" i="2095"/>
  <c r="T33" i="2095" s="1"/>
  <c r="W19" i="2095"/>
  <c r="V19" i="2095"/>
  <c r="U19" i="2095"/>
  <c r="T19" i="2095"/>
  <c r="S19" i="2095"/>
  <c r="R19" i="2095"/>
  <c r="Q19" i="2095"/>
  <c r="P19" i="2095"/>
  <c r="O19" i="2095"/>
  <c r="N19" i="2095"/>
  <c r="G33" i="2095" s="1"/>
  <c r="M19" i="2095"/>
  <c r="H33" i="2095" s="1"/>
  <c r="L19" i="2095"/>
  <c r="P33" i="2095" s="1"/>
  <c r="K19" i="2095"/>
  <c r="L33" i="2095" s="1"/>
  <c r="J19" i="2095"/>
  <c r="I19" i="2095"/>
  <c r="AB33" i="2095" s="1"/>
  <c r="H19" i="2095"/>
  <c r="G19" i="2095"/>
  <c r="O33" i="2095" s="1"/>
  <c r="F19" i="2095"/>
  <c r="E19" i="2095"/>
  <c r="D19" i="2095"/>
  <c r="AE16" i="2095"/>
  <c r="AD16" i="2095"/>
  <c r="AC16" i="2095"/>
  <c r="AB16" i="2095"/>
  <c r="AA16" i="2095"/>
  <c r="Z16" i="2095"/>
  <c r="X16" i="2095"/>
  <c r="W16" i="2095"/>
  <c r="V16" i="2095"/>
  <c r="U16" i="2095"/>
  <c r="T16" i="2095"/>
  <c r="S16" i="2095"/>
  <c r="R16" i="2095"/>
  <c r="Q16" i="2095"/>
  <c r="P16" i="2095"/>
  <c r="O16" i="2095"/>
  <c r="N16" i="2095"/>
  <c r="M16" i="2095"/>
  <c r="L16" i="2095"/>
  <c r="K16" i="2095"/>
  <c r="J16" i="2095"/>
  <c r="I16" i="2095"/>
  <c r="H16" i="2095"/>
  <c r="G16" i="2095"/>
  <c r="F16" i="2095"/>
  <c r="E16" i="2095"/>
  <c r="D16" i="2095"/>
  <c r="AE10" i="2095"/>
  <c r="AD10" i="2095"/>
  <c r="AC10" i="2095"/>
  <c r="AB10" i="2095"/>
  <c r="AA10" i="2095"/>
  <c r="Z10" i="2095"/>
  <c r="Y10" i="2095"/>
  <c r="X10" i="2095"/>
  <c r="W10" i="2095"/>
  <c r="V10" i="2095"/>
  <c r="U10" i="2095"/>
  <c r="T10" i="2095"/>
  <c r="S10" i="2095"/>
  <c r="R10" i="2095"/>
  <c r="Q10" i="2095"/>
  <c r="P10" i="2095"/>
  <c r="O10" i="2095"/>
  <c r="N10" i="2095"/>
  <c r="M10" i="2095"/>
  <c r="L10" i="2095"/>
  <c r="K10" i="2095"/>
  <c r="J10" i="2095"/>
  <c r="I10" i="2095"/>
  <c r="H10" i="2095"/>
  <c r="G10" i="2095"/>
  <c r="F10" i="2095"/>
  <c r="E10" i="2095"/>
  <c r="D10" i="2095"/>
  <c r="AE7" i="2095"/>
  <c r="AD7" i="2095"/>
  <c r="AC7" i="2095"/>
  <c r="AB7" i="2095"/>
  <c r="AA7" i="2095"/>
  <c r="Z7" i="2095"/>
  <c r="Y7" i="2095"/>
  <c r="X7" i="2095"/>
  <c r="W7" i="2095"/>
  <c r="V7" i="2095"/>
  <c r="U7" i="2095"/>
  <c r="T7" i="2095"/>
  <c r="S7" i="2095"/>
  <c r="R7" i="2095"/>
  <c r="Q7" i="2095"/>
  <c r="P7" i="2095"/>
  <c r="O7" i="2095"/>
  <c r="N7" i="2095"/>
  <c r="M7" i="2095"/>
  <c r="L7" i="2095"/>
  <c r="K7" i="2095"/>
  <c r="J7" i="2095"/>
  <c r="I7" i="2095"/>
  <c r="H7" i="2095"/>
  <c r="G7" i="2095"/>
  <c r="F7" i="2095"/>
  <c r="E7" i="2095"/>
  <c r="D7" i="2095"/>
  <c r="Q33" i="2095" l="1"/>
  <c r="E33" i="2095"/>
  <c r="J33" i="2095"/>
  <c r="W33" i="2095"/>
  <c r="N33" i="2095"/>
  <c r="AC33" i="2095"/>
  <c r="D33" i="2095"/>
  <c r="Z33" i="2095"/>
  <c r="Y33" i="2095"/>
  <c r="K33" i="2095"/>
  <c r="M33" i="2095"/>
  <c r="V33" i="2095"/>
  <c r="AA33" i="2094"/>
  <c r="X33" i="2094"/>
  <c r="U33" i="2094"/>
  <c r="R33" i="2094"/>
  <c r="F33" i="2094"/>
  <c r="Y28" i="2094"/>
  <c r="X28" i="2094"/>
  <c r="S33" i="2094" s="1"/>
  <c r="W28" i="2094"/>
  <c r="V28" i="2094"/>
  <c r="U28" i="2094"/>
  <c r="T28" i="2094"/>
  <c r="S28" i="2094"/>
  <c r="R28" i="2094"/>
  <c r="Q28" i="2094"/>
  <c r="P28" i="2094"/>
  <c r="O28" i="2094"/>
  <c r="N28" i="2094"/>
  <c r="M28" i="2094"/>
  <c r="L28" i="2094"/>
  <c r="K28" i="2094"/>
  <c r="J28" i="2094"/>
  <c r="I28" i="2094"/>
  <c r="H28" i="2094"/>
  <c r="G28" i="2094"/>
  <c r="F28" i="2094"/>
  <c r="E28" i="2094"/>
  <c r="D28" i="2094"/>
  <c r="Y25" i="2094"/>
  <c r="X25" i="2094"/>
  <c r="W25" i="2094"/>
  <c r="V25" i="2094"/>
  <c r="U25" i="2094"/>
  <c r="T25" i="2094"/>
  <c r="S25" i="2094"/>
  <c r="R25" i="2094"/>
  <c r="Q25" i="2094"/>
  <c r="P25" i="2094"/>
  <c r="O25" i="2094"/>
  <c r="N25" i="2094"/>
  <c r="M25" i="2094"/>
  <c r="L25" i="2094"/>
  <c r="K25" i="2094"/>
  <c r="J25" i="2094"/>
  <c r="I25" i="2094"/>
  <c r="H25" i="2094"/>
  <c r="G25" i="2094"/>
  <c r="F25" i="2094"/>
  <c r="E25" i="2094"/>
  <c r="D25" i="2094"/>
  <c r="AE19" i="2094"/>
  <c r="AD19" i="2094"/>
  <c r="AC19" i="2094"/>
  <c r="AB19" i="2094"/>
  <c r="AA19" i="2094"/>
  <c r="Z19" i="2094"/>
  <c r="Y19" i="2094"/>
  <c r="X19" i="2094"/>
  <c r="T33" i="2094" s="1"/>
  <c r="W19" i="2094"/>
  <c r="V19" i="2094"/>
  <c r="U19" i="2094"/>
  <c r="T19" i="2094"/>
  <c r="S19" i="2094"/>
  <c r="R19" i="2094"/>
  <c r="Q19" i="2094"/>
  <c r="P19" i="2094"/>
  <c r="O19" i="2094"/>
  <c r="N19" i="2094"/>
  <c r="G33" i="2094" s="1"/>
  <c r="M19" i="2094"/>
  <c r="H33" i="2094" s="1"/>
  <c r="L19" i="2094"/>
  <c r="P33" i="2094" s="1"/>
  <c r="K19" i="2094"/>
  <c r="L33" i="2094" s="1"/>
  <c r="J19" i="2094"/>
  <c r="I19" i="2094"/>
  <c r="AB33" i="2094" s="1"/>
  <c r="H19" i="2094"/>
  <c r="G19" i="2094"/>
  <c r="O33" i="2094" s="1"/>
  <c r="F19" i="2094"/>
  <c r="E19" i="2094"/>
  <c r="D19" i="2094"/>
  <c r="AE16" i="2094"/>
  <c r="AD16" i="2094"/>
  <c r="AC16" i="2094"/>
  <c r="AB16" i="2094"/>
  <c r="AA16" i="2094"/>
  <c r="Z16" i="2094"/>
  <c r="X16" i="2094"/>
  <c r="W16" i="2094"/>
  <c r="V16" i="2094"/>
  <c r="U16" i="2094"/>
  <c r="T16" i="2094"/>
  <c r="S16" i="2094"/>
  <c r="R16" i="2094"/>
  <c r="Q16" i="2094"/>
  <c r="P16" i="2094"/>
  <c r="O16" i="2094"/>
  <c r="N16" i="2094"/>
  <c r="M16" i="2094"/>
  <c r="L16" i="2094"/>
  <c r="K16" i="2094"/>
  <c r="J16" i="2094"/>
  <c r="I16" i="2094"/>
  <c r="H16" i="2094"/>
  <c r="G16" i="2094"/>
  <c r="F16" i="2094"/>
  <c r="E16" i="2094"/>
  <c r="D16" i="2094"/>
  <c r="AE10" i="2094"/>
  <c r="AD10" i="2094"/>
  <c r="AC10" i="2094"/>
  <c r="AB10" i="2094"/>
  <c r="AA10" i="2094"/>
  <c r="Z10" i="2094"/>
  <c r="Y10" i="2094"/>
  <c r="X10" i="2094"/>
  <c r="W10" i="2094"/>
  <c r="V10" i="2094"/>
  <c r="U10" i="2094"/>
  <c r="T10" i="2094"/>
  <c r="S10" i="2094"/>
  <c r="R10" i="2094"/>
  <c r="Q10" i="2094"/>
  <c r="P10" i="2094"/>
  <c r="O10" i="2094"/>
  <c r="N10" i="2094"/>
  <c r="M10" i="2094"/>
  <c r="E33" i="2094" s="1"/>
  <c r="L10" i="2094"/>
  <c r="K10" i="2094"/>
  <c r="J10" i="2094"/>
  <c r="Q33" i="2094" s="1"/>
  <c r="I10" i="2094"/>
  <c r="H10" i="2094"/>
  <c r="G10" i="2094"/>
  <c r="F10" i="2094"/>
  <c r="E10" i="2094"/>
  <c r="D10" i="2094"/>
  <c r="AE7" i="2094"/>
  <c r="AD7" i="2094"/>
  <c r="AC7" i="2094"/>
  <c r="AB7" i="2094"/>
  <c r="AA7" i="2094"/>
  <c r="Z7" i="2094"/>
  <c r="Y7" i="2094"/>
  <c r="X7" i="2094"/>
  <c r="W7" i="2094"/>
  <c r="V7" i="2094"/>
  <c r="U7" i="2094"/>
  <c r="T7" i="2094"/>
  <c r="S7" i="2094"/>
  <c r="R7" i="2094"/>
  <c r="Q7" i="2094"/>
  <c r="P7" i="2094"/>
  <c r="O7" i="2094"/>
  <c r="N7" i="2094"/>
  <c r="M7" i="2094"/>
  <c r="L7" i="2094"/>
  <c r="K7" i="2094"/>
  <c r="J7" i="2094"/>
  <c r="I7" i="2094"/>
  <c r="H7" i="2094"/>
  <c r="G7" i="2094"/>
  <c r="F7" i="2094"/>
  <c r="E7" i="2094"/>
  <c r="D7" i="2094"/>
  <c r="J33" i="2094" l="1"/>
  <c r="W33" i="2094"/>
  <c r="N33" i="2094"/>
  <c r="AC33" i="2094"/>
  <c r="D33" i="2094"/>
  <c r="Z33" i="2094"/>
  <c r="Y33" i="2094"/>
  <c r="K33" i="2094"/>
  <c r="M33" i="2094"/>
  <c r="V33" i="2094"/>
  <c r="AA33" i="2093"/>
  <c r="X33" i="2093"/>
  <c r="U33" i="2093"/>
  <c r="R33" i="2093"/>
  <c r="O33" i="2093"/>
  <c r="F33" i="2093"/>
  <c r="Y28" i="2093"/>
  <c r="X28" i="2093"/>
  <c r="S33" i="2093" s="1"/>
  <c r="W28" i="2093"/>
  <c r="V28" i="2093"/>
  <c r="U28" i="2093"/>
  <c r="T28" i="2093"/>
  <c r="S28" i="2093"/>
  <c r="R28" i="2093"/>
  <c r="Q28" i="2093"/>
  <c r="P28" i="2093"/>
  <c r="O28" i="2093"/>
  <c r="N28" i="2093"/>
  <c r="M28" i="2093"/>
  <c r="L28" i="2093"/>
  <c r="K28" i="2093"/>
  <c r="J28" i="2093"/>
  <c r="I28" i="2093"/>
  <c r="H28" i="2093"/>
  <c r="G28" i="2093"/>
  <c r="F28" i="2093"/>
  <c r="E28" i="2093"/>
  <c r="D28" i="2093"/>
  <c r="Y25" i="2093"/>
  <c r="X25" i="2093"/>
  <c r="W25" i="2093"/>
  <c r="V25" i="2093"/>
  <c r="U25" i="2093"/>
  <c r="T25" i="2093"/>
  <c r="S25" i="2093"/>
  <c r="R25" i="2093"/>
  <c r="Q25" i="2093"/>
  <c r="P25" i="2093"/>
  <c r="O25" i="2093"/>
  <c r="N25" i="2093"/>
  <c r="M25" i="2093"/>
  <c r="L25" i="2093"/>
  <c r="K25" i="2093"/>
  <c r="J25" i="2093"/>
  <c r="I25" i="2093"/>
  <c r="H25" i="2093"/>
  <c r="G25" i="2093"/>
  <c r="F25" i="2093"/>
  <c r="E25" i="2093"/>
  <c r="D25" i="2093"/>
  <c r="AE19" i="2093"/>
  <c r="AD19" i="2093"/>
  <c r="AC19" i="2093"/>
  <c r="AB19" i="2093"/>
  <c r="AC33" i="2093" s="1"/>
  <c r="AA19" i="2093"/>
  <c r="Z19" i="2093"/>
  <c r="Y19" i="2093"/>
  <c r="X19" i="2093"/>
  <c r="T33" i="2093" s="1"/>
  <c r="W19" i="2093"/>
  <c r="V19" i="2093"/>
  <c r="U19" i="2093"/>
  <c r="T19" i="2093"/>
  <c r="S19" i="2093"/>
  <c r="R19" i="2093"/>
  <c r="Q19" i="2093"/>
  <c r="P19" i="2093"/>
  <c r="O19" i="2093"/>
  <c r="N19" i="2093"/>
  <c r="G33" i="2093" s="1"/>
  <c r="M19" i="2093"/>
  <c r="H33" i="2093" s="1"/>
  <c r="L19" i="2093"/>
  <c r="P33" i="2093" s="1"/>
  <c r="K19" i="2093"/>
  <c r="L33" i="2093" s="1"/>
  <c r="J19" i="2093"/>
  <c r="I19" i="2093"/>
  <c r="AB33" i="2093" s="1"/>
  <c r="H19" i="2093"/>
  <c r="G19" i="2093"/>
  <c r="F19" i="2093"/>
  <c r="E19" i="2093"/>
  <c r="D19" i="2093"/>
  <c r="AE16" i="2093"/>
  <c r="AD16" i="2093"/>
  <c r="AC16" i="2093"/>
  <c r="AB16" i="2093"/>
  <c r="AA16" i="2093"/>
  <c r="Z16" i="2093"/>
  <c r="X16" i="2093"/>
  <c r="W16" i="2093"/>
  <c r="V16" i="2093"/>
  <c r="U16" i="2093"/>
  <c r="T16" i="2093"/>
  <c r="S16" i="2093"/>
  <c r="R16" i="2093"/>
  <c r="Q16" i="2093"/>
  <c r="P16" i="2093"/>
  <c r="O16" i="2093"/>
  <c r="N16" i="2093"/>
  <c r="M16" i="2093"/>
  <c r="L16" i="2093"/>
  <c r="K16" i="2093"/>
  <c r="J16" i="2093"/>
  <c r="I16" i="2093"/>
  <c r="H16" i="2093"/>
  <c r="G16" i="2093"/>
  <c r="F16" i="2093"/>
  <c r="E16" i="2093"/>
  <c r="D16" i="2093"/>
  <c r="AE10" i="2093"/>
  <c r="AD10" i="2093"/>
  <c r="AC10" i="2093"/>
  <c r="AB10" i="2093"/>
  <c r="AA10" i="2093"/>
  <c r="Z10" i="2093"/>
  <c r="Y10" i="2093"/>
  <c r="X10" i="2093"/>
  <c r="W10" i="2093"/>
  <c r="V10" i="2093"/>
  <c r="U10" i="2093"/>
  <c r="T10" i="2093"/>
  <c r="S10" i="2093"/>
  <c r="R10" i="2093"/>
  <c r="Q10" i="2093"/>
  <c r="P10" i="2093"/>
  <c r="O10" i="2093"/>
  <c r="N10" i="2093"/>
  <c r="M10" i="2093"/>
  <c r="L10" i="2093"/>
  <c r="K10" i="2093"/>
  <c r="J10" i="2093"/>
  <c r="I10" i="2093"/>
  <c r="H10" i="2093"/>
  <c r="G10" i="2093"/>
  <c r="F10" i="2093"/>
  <c r="E10" i="2093"/>
  <c r="D10" i="2093"/>
  <c r="AE7" i="2093"/>
  <c r="AD7" i="2093"/>
  <c r="AC7" i="2093"/>
  <c r="AB7" i="2093"/>
  <c r="AA7" i="2093"/>
  <c r="Z7" i="2093"/>
  <c r="Y7" i="2093"/>
  <c r="X7" i="2093"/>
  <c r="W7" i="2093"/>
  <c r="V7" i="2093"/>
  <c r="U7" i="2093"/>
  <c r="T7" i="2093"/>
  <c r="S7" i="2093"/>
  <c r="R7" i="2093"/>
  <c r="Q7" i="2093"/>
  <c r="P7" i="2093"/>
  <c r="O7" i="2093"/>
  <c r="N7" i="2093"/>
  <c r="M7" i="2093"/>
  <c r="L7" i="2093"/>
  <c r="K7" i="2093"/>
  <c r="J7" i="2093"/>
  <c r="I7" i="2093"/>
  <c r="H7" i="2093"/>
  <c r="G7" i="2093"/>
  <c r="F7" i="2093"/>
  <c r="E7" i="2093"/>
  <c r="D7" i="2093"/>
  <c r="K33" i="2093" l="1"/>
  <c r="J33" i="2093"/>
  <c r="W33" i="2093"/>
  <c r="N33" i="2093"/>
  <c r="Z33" i="2093"/>
  <c r="D33" i="2093"/>
  <c r="Y33" i="2093"/>
  <c r="Q33" i="2093"/>
  <c r="E33" i="2093"/>
  <c r="M33" i="2093"/>
  <c r="V33" i="2093"/>
  <c r="AA33" i="2092"/>
  <c r="X33" i="2092"/>
  <c r="U33" i="2092"/>
  <c r="R33" i="2092"/>
  <c r="F33" i="2092"/>
  <c r="Y28" i="2092"/>
  <c r="X28" i="2092"/>
  <c r="S33" i="2092" s="1"/>
  <c r="W28" i="2092"/>
  <c r="V28" i="2092"/>
  <c r="U28" i="2092"/>
  <c r="T28" i="2092"/>
  <c r="S28" i="2092"/>
  <c r="R28" i="2092"/>
  <c r="Q28" i="2092"/>
  <c r="P28" i="2092"/>
  <c r="O28" i="2092"/>
  <c r="N28" i="2092"/>
  <c r="M28" i="2092"/>
  <c r="L28" i="2092"/>
  <c r="K28" i="2092"/>
  <c r="J28" i="2092"/>
  <c r="I28" i="2092"/>
  <c r="H28" i="2092"/>
  <c r="G28" i="2092"/>
  <c r="F28" i="2092"/>
  <c r="E28" i="2092"/>
  <c r="D28" i="2092"/>
  <c r="Y25" i="2092"/>
  <c r="X25" i="2092"/>
  <c r="W25" i="2092"/>
  <c r="V25" i="2092"/>
  <c r="U25" i="2092"/>
  <c r="T25" i="2092"/>
  <c r="S25" i="2092"/>
  <c r="R25" i="2092"/>
  <c r="Q25" i="2092"/>
  <c r="P25" i="2092"/>
  <c r="O25" i="2092"/>
  <c r="N25" i="2092"/>
  <c r="M25" i="2092"/>
  <c r="L25" i="2092"/>
  <c r="K25" i="2092"/>
  <c r="J25" i="2092"/>
  <c r="I25" i="2092"/>
  <c r="H25" i="2092"/>
  <c r="G25" i="2092"/>
  <c r="F25" i="2092"/>
  <c r="E25" i="2092"/>
  <c r="D25" i="2092"/>
  <c r="AE19" i="2092"/>
  <c r="AD19" i="2092"/>
  <c r="AC19" i="2092"/>
  <c r="AB19" i="2092"/>
  <c r="AA19" i="2092"/>
  <c r="Z19" i="2092"/>
  <c r="Y19" i="2092"/>
  <c r="X19" i="2092"/>
  <c r="T33" i="2092" s="1"/>
  <c r="W19" i="2092"/>
  <c r="V19" i="2092"/>
  <c r="U19" i="2092"/>
  <c r="T19" i="2092"/>
  <c r="S19" i="2092"/>
  <c r="R19" i="2092"/>
  <c r="Q19" i="2092"/>
  <c r="P19" i="2092"/>
  <c r="O19" i="2092"/>
  <c r="N19" i="2092"/>
  <c r="G33" i="2092" s="1"/>
  <c r="M19" i="2092"/>
  <c r="H33" i="2092" s="1"/>
  <c r="L19" i="2092"/>
  <c r="P33" i="2092" s="1"/>
  <c r="K19" i="2092"/>
  <c r="L33" i="2092" s="1"/>
  <c r="J19" i="2092"/>
  <c r="I19" i="2092"/>
  <c r="AB33" i="2092" s="1"/>
  <c r="H19" i="2092"/>
  <c r="G19" i="2092"/>
  <c r="O33" i="2092" s="1"/>
  <c r="F19" i="2092"/>
  <c r="E19" i="2092"/>
  <c r="D19" i="2092"/>
  <c r="AE16" i="2092"/>
  <c r="AD16" i="2092"/>
  <c r="AC16" i="2092"/>
  <c r="AB16" i="2092"/>
  <c r="AA16" i="2092"/>
  <c r="Z16" i="2092"/>
  <c r="X16" i="2092"/>
  <c r="W16" i="2092"/>
  <c r="V16" i="2092"/>
  <c r="U16" i="2092"/>
  <c r="T16" i="2092"/>
  <c r="S16" i="2092"/>
  <c r="R16" i="2092"/>
  <c r="Q16" i="2092"/>
  <c r="P16" i="2092"/>
  <c r="O16" i="2092"/>
  <c r="N16" i="2092"/>
  <c r="M16" i="2092"/>
  <c r="L16" i="2092"/>
  <c r="K16" i="2092"/>
  <c r="J16" i="2092"/>
  <c r="I16" i="2092"/>
  <c r="H16" i="2092"/>
  <c r="G16" i="2092"/>
  <c r="F16" i="2092"/>
  <c r="E16" i="2092"/>
  <c r="D16" i="2092"/>
  <c r="AE10" i="2092"/>
  <c r="AD10" i="2092"/>
  <c r="AC10" i="2092"/>
  <c r="AB10" i="2092"/>
  <c r="AA10" i="2092"/>
  <c r="Z10" i="2092"/>
  <c r="Y10" i="2092"/>
  <c r="X10" i="2092"/>
  <c r="W10" i="2092"/>
  <c r="V10" i="2092"/>
  <c r="U10" i="2092"/>
  <c r="T10" i="2092"/>
  <c r="S10" i="2092"/>
  <c r="R10" i="2092"/>
  <c r="Q10" i="2092"/>
  <c r="P10" i="2092"/>
  <c r="O10" i="2092"/>
  <c r="N10" i="2092"/>
  <c r="Q33" i="2092" s="1"/>
  <c r="M10" i="2092"/>
  <c r="L10" i="2092"/>
  <c r="K10" i="2092"/>
  <c r="J10" i="2092"/>
  <c r="I10" i="2092"/>
  <c r="H10" i="2092"/>
  <c r="G10" i="2092"/>
  <c r="F10" i="2092"/>
  <c r="E10" i="2092"/>
  <c r="D10" i="2092"/>
  <c r="AE7" i="2092"/>
  <c r="AD7" i="2092"/>
  <c r="AC7" i="2092"/>
  <c r="AB7" i="2092"/>
  <c r="AA7" i="2092"/>
  <c r="Z7" i="2092"/>
  <c r="Y7" i="2092"/>
  <c r="X7" i="2092"/>
  <c r="W7" i="2092"/>
  <c r="V7" i="2092"/>
  <c r="U7" i="2092"/>
  <c r="T7" i="2092"/>
  <c r="S7" i="2092"/>
  <c r="R7" i="2092"/>
  <c r="Q7" i="2092"/>
  <c r="P7" i="2092"/>
  <c r="O7" i="2092"/>
  <c r="N7" i="2092"/>
  <c r="M7" i="2092"/>
  <c r="L7" i="2092"/>
  <c r="K7" i="2092"/>
  <c r="J7" i="2092"/>
  <c r="I7" i="2092"/>
  <c r="H7" i="2092"/>
  <c r="G7" i="2092"/>
  <c r="F7" i="2092"/>
  <c r="E7" i="2092"/>
  <c r="D7" i="2092"/>
  <c r="Z33" i="2092" l="1"/>
  <c r="W33" i="2092"/>
  <c r="K33" i="2092"/>
  <c r="N33" i="2092"/>
  <c r="D33" i="2092"/>
  <c r="AC33" i="2092"/>
  <c r="Y33" i="2092"/>
  <c r="E33" i="2092"/>
  <c r="J33" i="2092"/>
  <c r="M33" i="2092"/>
  <c r="V33" i="2092"/>
  <c r="AA33" i="2091"/>
  <c r="X33" i="2091"/>
  <c r="U33" i="2091"/>
  <c r="R33" i="2091"/>
  <c r="F33" i="2091"/>
  <c r="E33" i="2091"/>
  <c r="Y28" i="2091"/>
  <c r="X28" i="2091"/>
  <c r="S33" i="2091" s="1"/>
  <c r="W28" i="2091"/>
  <c r="V28" i="2091"/>
  <c r="U28" i="2091"/>
  <c r="T28" i="2091"/>
  <c r="S28" i="2091"/>
  <c r="R28" i="2091"/>
  <c r="Q28" i="2091"/>
  <c r="P28" i="2091"/>
  <c r="O28" i="2091"/>
  <c r="N28" i="2091"/>
  <c r="M28" i="2091"/>
  <c r="L28" i="2091"/>
  <c r="K28" i="2091"/>
  <c r="J28" i="2091"/>
  <c r="I28" i="2091"/>
  <c r="H28" i="2091"/>
  <c r="G28" i="2091"/>
  <c r="F28" i="2091"/>
  <c r="E28" i="2091"/>
  <c r="D28" i="2091"/>
  <c r="Y25" i="2091"/>
  <c r="X25" i="2091"/>
  <c r="W25" i="2091"/>
  <c r="V25" i="2091"/>
  <c r="U25" i="2091"/>
  <c r="T25" i="2091"/>
  <c r="S25" i="2091"/>
  <c r="R25" i="2091"/>
  <c r="Q25" i="2091"/>
  <c r="P25" i="2091"/>
  <c r="O25" i="2091"/>
  <c r="N25" i="2091"/>
  <c r="M25" i="2091"/>
  <c r="L25" i="2091"/>
  <c r="K25" i="2091"/>
  <c r="J25" i="2091"/>
  <c r="I25" i="2091"/>
  <c r="H25" i="2091"/>
  <c r="G25" i="2091"/>
  <c r="F25" i="2091"/>
  <c r="E25" i="2091"/>
  <c r="D25" i="2091"/>
  <c r="AE19" i="2091"/>
  <c r="AD19" i="2091"/>
  <c r="AC19" i="2091"/>
  <c r="AB19" i="2091"/>
  <c r="AA19" i="2091"/>
  <c r="Z19" i="2091"/>
  <c r="Y19" i="2091"/>
  <c r="X19" i="2091"/>
  <c r="T33" i="2091" s="1"/>
  <c r="W19" i="2091"/>
  <c r="V19" i="2091"/>
  <c r="U19" i="2091"/>
  <c r="T19" i="2091"/>
  <c r="S19" i="2091"/>
  <c r="R19" i="2091"/>
  <c r="Q19" i="2091"/>
  <c r="P19" i="2091"/>
  <c r="O19" i="2091"/>
  <c r="N19" i="2091"/>
  <c r="G33" i="2091" s="1"/>
  <c r="M19" i="2091"/>
  <c r="H33" i="2091" s="1"/>
  <c r="L19" i="2091"/>
  <c r="P33" i="2091" s="1"/>
  <c r="K19" i="2091"/>
  <c r="L33" i="2091" s="1"/>
  <c r="J19" i="2091"/>
  <c r="I19" i="2091"/>
  <c r="AB33" i="2091" s="1"/>
  <c r="H19" i="2091"/>
  <c r="G19" i="2091"/>
  <c r="O33" i="2091" s="1"/>
  <c r="F19" i="2091"/>
  <c r="E19" i="2091"/>
  <c r="D19" i="2091"/>
  <c r="AE16" i="2091"/>
  <c r="AD16" i="2091"/>
  <c r="AC16" i="2091"/>
  <c r="AB16" i="2091"/>
  <c r="AA16" i="2091"/>
  <c r="Z16" i="2091"/>
  <c r="X16" i="2091"/>
  <c r="W16" i="2091"/>
  <c r="V16" i="2091"/>
  <c r="U16" i="2091"/>
  <c r="T16" i="2091"/>
  <c r="S16" i="2091"/>
  <c r="R16" i="2091"/>
  <c r="Q16" i="2091"/>
  <c r="P16" i="2091"/>
  <c r="O16" i="2091"/>
  <c r="N16" i="2091"/>
  <c r="M16" i="2091"/>
  <c r="L16" i="2091"/>
  <c r="K16" i="2091"/>
  <c r="J16" i="2091"/>
  <c r="I16" i="2091"/>
  <c r="H16" i="2091"/>
  <c r="G16" i="2091"/>
  <c r="F16" i="2091"/>
  <c r="E16" i="2091"/>
  <c r="D16" i="2091"/>
  <c r="AE10" i="2091"/>
  <c r="AD10" i="2091"/>
  <c r="AC10" i="2091"/>
  <c r="AB10" i="2091"/>
  <c r="AA10" i="2091"/>
  <c r="Z10" i="2091"/>
  <c r="Y10" i="2091"/>
  <c r="X10" i="2091"/>
  <c r="W10" i="2091"/>
  <c r="V10" i="2091"/>
  <c r="U10" i="2091"/>
  <c r="T10" i="2091"/>
  <c r="S10" i="2091"/>
  <c r="R10" i="2091"/>
  <c r="Q10" i="2091"/>
  <c r="P10" i="2091"/>
  <c r="O10" i="2091"/>
  <c r="N10" i="2091"/>
  <c r="M10" i="2091"/>
  <c r="L10" i="2091"/>
  <c r="K10" i="2091"/>
  <c r="J10" i="2091"/>
  <c r="I10" i="2091"/>
  <c r="H10" i="2091"/>
  <c r="G10" i="2091"/>
  <c r="F10" i="2091"/>
  <c r="J33" i="2091" s="1"/>
  <c r="E10" i="2091"/>
  <c r="D10" i="2091"/>
  <c r="AE7" i="2091"/>
  <c r="AD7" i="2091"/>
  <c r="AC7" i="2091"/>
  <c r="AB7" i="2091"/>
  <c r="AA7" i="2091"/>
  <c r="Z7" i="2091"/>
  <c r="Y7" i="2091"/>
  <c r="X7" i="2091"/>
  <c r="W7" i="2091"/>
  <c r="V7" i="2091"/>
  <c r="U7" i="2091"/>
  <c r="T7" i="2091"/>
  <c r="S7" i="2091"/>
  <c r="R7" i="2091"/>
  <c r="Q7" i="2091"/>
  <c r="P7" i="2091"/>
  <c r="O7" i="2091"/>
  <c r="N7" i="2091"/>
  <c r="M7" i="2091"/>
  <c r="L7" i="2091"/>
  <c r="K7" i="2091"/>
  <c r="J7" i="2091"/>
  <c r="I7" i="2091"/>
  <c r="H7" i="2091"/>
  <c r="G7" i="2091"/>
  <c r="F7" i="2091"/>
  <c r="E7" i="2091"/>
  <c r="D7" i="2091"/>
  <c r="W33" i="2091" l="1"/>
  <c r="N33" i="2091"/>
  <c r="AC33" i="2091"/>
  <c r="Z33" i="2091"/>
  <c r="D33" i="2091"/>
  <c r="Y33" i="2091"/>
  <c r="Q33" i="2091"/>
  <c r="K33" i="2091"/>
  <c r="M33" i="2091"/>
  <c r="V33" i="2091"/>
  <c r="AA33" i="2090"/>
  <c r="X33" i="2090"/>
  <c r="U33" i="2090"/>
  <c r="R33" i="2090"/>
  <c r="F33" i="2090"/>
  <c r="E33" i="2090"/>
  <c r="Y28" i="2090"/>
  <c r="X28" i="2090"/>
  <c r="S33" i="2090" s="1"/>
  <c r="W28" i="2090"/>
  <c r="V28" i="2090"/>
  <c r="U28" i="2090"/>
  <c r="T28" i="2090"/>
  <c r="S28" i="2090"/>
  <c r="R28" i="2090"/>
  <c r="Q28" i="2090"/>
  <c r="P28" i="2090"/>
  <c r="O28" i="2090"/>
  <c r="N28" i="2090"/>
  <c r="M28" i="2090"/>
  <c r="L28" i="2090"/>
  <c r="K28" i="2090"/>
  <c r="J28" i="2090"/>
  <c r="I28" i="2090"/>
  <c r="H28" i="2090"/>
  <c r="G28" i="2090"/>
  <c r="F28" i="2090"/>
  <c r="E28" i="2090"/>
  <c r="D28" i="2090"/>
  <c r="Y25" i="2090"/>
  <c r="X25" i="2090"/>
  <c r="W25" i="2090"/>
  <c r="V25" i="2090"/>
  <c r="U25" i="2090"/>
  <c r="T25" i="2090"/>
  <c r="S25" i="2090"/>
  <c r="R25" i="2090"/>
  <c r="Q25" i="2090"/>
  <c r="P25" i="2090"/>
  <c r="O25" i="2090"/>
  <c r="N25" i="2090"/>
  <c r="M25" i="2090"/>
  <c r="L25" i="2090"/>
  <c r="K25" i="2090"/>
  <c r="J25" i="2090"/>
  <c r="I25" i="2090"/>
  <c r="H25" i="2090"/>
  <c r="G25" i="2090"/>
  <c r="F25" i="2090"/>
  <c r="E25" i="2090"/>
  <c r="D25" i="2090"/>
  <c r="AE19" i="2090"/>
  <c r="AD19" i="2090"/>
  <c r="AC19" i="2090"/>
  <c r="AB19" i="2090"/>
  <c r="AA19" i="2090"/>
  <c r="Z19" i="2090"/>
  <c r="Y19" i="2090"/>
  <c r="X19" i="2090"/>
  <c r="T33" i="2090" s="1"/>
  <c r="W19" i="2090"/>
  <c r="V19" i="2090"/>
  <c r="U19" i="2090"/>
  <c r="T19" i="2090"/>
  <c r="S19" i="2090"/>
  <c r="R19" i="2090"/>
  <c r="Q19" i="2090"/>
  <c r="P19" i="2090"/>
  <c r="O19" i="2090"/>
  <c r="N19" i="2090"/>
  <c r="G33" i="2090" s="1"/>
  <c r="M19" i="2090"/>
  <c r="H33" i="2090" s="1"/>
  <c r="L19" i="2090"/>
  <c r="P33" i="2090" s="1"/>
  <c r="K19" i="2090"/>
  <c r="L33" i="2090" s="1"/>
  <c r="J19" i="2090"/>
  <c r="I19" i="2090"/>
  <c r="AB33" i="2090" s="1"/>
  <c r="H19" i="2090"/>
  <c r="G19" i="2090"/>
  <c r="O33" i="2090" s="1"/>
  <c r="F19" i="2090"/>
  <c r="E19" i="2090"/>
  <c r="D19" i="2090"/>
  <c r="AE16" i="2090"/>
  <c r="AD16" i="2090"/>
  <c r="AC16" i="2090"/>
  <c r="AB16" i="2090"/>
  <c r="AA16" i="2090"/>
  <c r="Z16" i="2090"/>
  <c r="X16" i="2090"/>
  <c r="W16" i="2090"/>
  <c r="V16" i="2090"/>
  <c r="U16" i="2090"/>
  <c r="T16" i="2090"/>
  <c r="S16" i="2090"/>
  <c r="R16" i="2090"/>
  <c r="Q16" i="2090"/>
  <c r="P16" i="2090"/>
  <c r="O16" i="2090"/>
  <c r="N16" i="2090"/>
  <c r="M16" i="2090"/>
  <c r="L16" i="2090"/>
  <c r="K16" i="2090"/>
  <c r="J16" i="2090"/>
  <c r="I16" i="2090"/>
  <c r="H16" i="2090"/>
  <c r="G16" i="2090"/>
  <c r="F16" i="2090"/>
  <c r="E16" i="2090"/>
  <c r="D16" i="2090"/>
  <c r="AE10" i="2090"/>
  <c r="AD10" i="2090"/>
  <c r="AC10" i="2090"/>
  <c r="AB10" i="2090"/>
  <c r="AA10" i="2090"/>
  <c r="Z10" i="2090"/>
  <c r="Y10" i="2090"/>
  <c r="X10" i="2090"/>
  <c r="W10" i="2090"/>
  <c r="V10" i="2090"/>
  <c r="U10" i="2090"/>
  <c r="T10" i="2090"/>
  <c r="S10" i="2090"/>
  <c r="R10" i="2090"/>
  <c r="Q10" i="2090"/>
  <c r="P10" i="2090"/>
  <c r="O10" i="2090"/>
  <c r="N10" i="2090"/>
  <c r="M10" i="2090"/>
  <c r="L10" i="2090"/>
  <c r="K10" i="2090"/>
  <c r="J10" i="2090"/>
  <c r="I10" i="2090"/>
  <c r="H10" i="2090"/>
  <c r="G10" i="2090"/>
  <c r="F10" i="2090"/>
  <c r="J33" i="2090" s="1"/>
  <c r="E10" i="2090"/>
  <c r="D10" i="2090"/>
  <c r="AE7" i="2090"/>
  <c r="AD7" i="2090"/>
  <c r="AC7" i="2090"/>
  <c r="AB7" i="2090"/>
  <c r="AA7" i="2090"/>
  <c r="Z7" i="2090"/>
  <c r="Y7" i="2090"/>
  <c r="X7" i="2090"/>
  <c r="W7" i="2090"/>
  <c r="V7" i="2090"/>
  <c r="U7" i="2090"/>
  <c r="T7" i="2090"/>
  <c r="S7" i="2090"/>
  <c r="R7" i="2090"/>
  <c r="Q7" i="2090"/>
  <c r="P7" i="2090"/>
  <c r="O7" i="2090"/>
  <c r="N7" i="2090"/>
  <c r="M7" i="2090"/>
  <c r="L7" i="2090"/>
  <c r="K7" i="2090"/>
  <c r="J7" i="2090"/>
  <c r="I7" i="2090"/>
  <c r="H7" i="2090"/>
  <c r="G7" i="2090"/>
  <c r="F7" i="2090"/>
  <c r="E7" i="2090"/>
  <c r="D7" i="2090"/>
  <c r="W33" i="2090" l="1"/>
  <c r="N33" i="2090"/>
  <c r="AC33" i="2090"/>
  <c r="D33" i="2090"/>
  <c r="Z33" i="2090"/>
  <c r="Y33" i="2090"/>
  <c r="K33" i="2090"/>
  <c r="Q33" i="2090"/>
  <c r="M33" i="2090"/>
  <c r="V33" i="2090"/>
  <c r="AA33" i="2089"/>
  <c r="X33" i="2089"/>
  <c r="U33" i="2089"/>
  <c r="R33" i="2089"/>
  <c r="O33" i="2089"/>
  <c r="F33" i="2089"/>
  <c r="Y28" i="2089"/>
  <c r="X28" i="2089"/>
  <c r="S33" i="2089" s="1"/>
  <c r="W28" i="2089"/>
  <c r="V28" i="2089"/>
  <c r="U28" i="2089"/>
  <c r="T28" i="2089"/>
  <c r="S28" i="2089"/>
  <c r="R28" i="2089"/>
  <c r="Q28" i="2089"/>
  <c r="P28" i="2089"/>
  <c r="O28" i="2089"/>
  <c r="N28" i="2089"/>
  <c r="M28" i="2089"/>
  <c r="L28" i="2089"/>
  <c r="K28" i="2089"/>
  <c r="J28" i="2089"/>
  <c r="I28" i="2089"/>
  <c r="H28" i="2089"/>
  <c r="G28" i="2089"/>
  <c r="F28" i="2089"/>
  <c r="E28" i="2089"/>
  <c r="D28" i="2089"/>
  <c r="Y25" i="2089"/>
  <c r="X25" i="2089"/>
  <c r="W25" i="2089"/>
  <c r="V25" i="2089"/>
  <c r="U25" i="2089"/>
  <c r="T25" i="2089"/>
  <c r="S25" i="2089"/>
  <c r="R25" i="2089"/>
  <c r="Q25" i="2089"/>
  <c r="P25" i="2089"/>
  <c r="O25" i="2089"/>
  <c r="N25" i="2089"/>
  <c r="M25" i="2089"/>
  <c r="L25" i="2089"/>
  <c r="K25" i="2089"/>
  <c r="J25" i="2089"/>
  <c r="I25" i="2089"/>
  <c r="H25" i="2089"/>
  <c r="G25" i="2089"/>
  <c r="F25" i="2089"/>
  <c r="E25" i="2089"/>
  <c r="D25" i="2089"/>
  <c r="AE19" i="2089"/>
  <c r="AD19" i="2089"/>
  <c r="AC19" i="2089"/>
  <c r="AB19" i="2089"/>
  <c r="AA19" i="2089"/>
  <c r="Z19" i="2089"/>
  <c r="Y19" i="2089"/>
  <c r="X19" i="2089"/>
  <c r="T33" i="2089" s="1"/>
  <c r="W19" i="2089"/>
  <c r="V19" i="2089"/>
  <c r="U19" i="2089"/>
  <c r="T19" i="2089"/>
  <c r="S19" i="2089"/>
  <c r="R19" i="2089"/>
  <c r="Q19" i="2089"/>
  <c r="P19" i="2089"/>
  <c r="O19" i="2089"/>
  <c r="N19" i="2089"/>
  <c r="G33" i="2089" s="1"/>
  <c r="M19" i="2089"/>
  <c r="H33" i="2089" s="1"/>
  <c r="L19" i="2089"/>
  <c r="P33" i="2089" s="1"/>
  <c r="K19" i="2089"/>
  <c r="L33" i="2089" s="1"/>
  <c r="J19" i="2089"/>
  <c r="I19" i="2089"/>
  <c r="AB33" i="2089" s="1"/>
  <c r="H19" i="2089"/>
  <c r="G19" i="2089"/>
  <c r="F19" i="2089"/>
  <c r="E19" i="2089"/>
  <c r="D19" i="2089"/>
  <c r="AE16" i="2089"/>
  <c r="AD16" i="2089"/>
  <c r="AC16" i="2089"/>
  <c r="AB16" i="2089"/>
  <c r="AA16" i="2089"/>
  <c r="Z16" i="2089"/>
  <c r="X16" i="2089"/>
  <c r="W16" i="2089"/>
  <c r="V16" i="2089"/>
  <c r="U16" i="2089"/>
  <c r="T16" i="2089"/>
  <c r="S16" i="2089"/>
  <c r="R16" i="2089"/>
  <c r="Q16" i="2089"/>
  <c r="P16" i="2089"/>
  <c r="O16" i="2089"/>
  <c r="N16" i="2089"/>
  <c r="M16" i="2089"/>
  <c r="L16" i="2089"/>
  <c r="K16" i="2089"/>
  <c r="J16" i="2089"/>
  <c r="I16" i="2089"/>
  <c r="H16" i="2089"/>
  <c r="G16" i="2089"/>
  <c r="F16" i="2089"/>
  <c r="E16" i="2089"/>
  <c r="D16" i="2089"/>
  <c r="AE10" i="2089"/>
  <c r="AD10" i="2089"/>
  <c r="AC10" i="2089"/>
  <c r="AB10" i="2089"/>
  <c r="AA10" i="2089"/>
  <c r="Z10" i="2089"/>
  <c r="Y10" i="2089"/>
  <c r="X10" i="2089"/>
  <c r="W10" i="2089"/>
  <c r="V10" i="2089"/>
  <c r="U10" i="2089"/>
  <c r="T10" i="2089"/>
  <c r="S10" i="2089"/>
  <c r="R10" i="2089"/>
  <c r="Q10" i="2089"/>
  <c r="P10" i="2089"/>
  <c r="O10" i="2089"/>
  <c r="N10" i="2089"/>
  <c r="M10" i="2089"/>
  <c r="E33" i="2089" s="1"/>
  <c r="L10" i="2089"/>
  <c r="K10" i="2089"/>
  <c r="J10" i="2089"/>
  <c r="Q33" i="2089" s="1"/>
  <c r="I10" i="2089"/>
  <c r="H10" i="2089"/>
  <c r="G10" i="2089"/>
  <c r="F10" i="2089"/>
  <c r="J33" i="2089" s="1"/>
  <c r="E10" i="2089"/>
  <c r="D10" i="2089"/>
  <c r="AE7" i="2089"/>
  <c r="AD7" i="2089"/>
  <c r="AC7" i="2089"/>
  <c r="AB7" i="2089"/>
  <c r="AA7" i="2089"/>
  <c r="Z7" i="2089"/>
  <c r="Y7" i="2089"/>
  <c r="X7" i="2089"/>
  <c r="W7" i="2089"/>
  <c r="V7" i="2089"/>
  <c r="U7" i="2089"/>
  <c r="T7" i="2089"/>
  <c r="S7" i="2089"/>
  <c r="R7" i="2089"/>
  <c r="Q7" i="2089"/>
  <c r="P7" i="2089"/>
  <c r="O7" i="2089"/>
  <c r="N7" i="2089"/>
  <c r="M7" i="2089"/>
  <c r="L7" i="2089"/>
  <c r="K7" i="2089"/>
  <c r="J7" i="2089"/>
  <c r="I7" i="2089"/>
  <c r="H7" i="2089"/>
  <c r="G7" i="2089"/>
  <c r="F7" i="2089"/>
  <c r="E7" i="2089"/>
  <c r="D7" i="2089"/>
  <c r="W33" i="2089" l="1"/>
  <c r="N33" i="2089"/>
  <c r="AC33" i="2089"/>
  <c r="D33" i="2089"/>
  <c r="Z33" i="2089"/>
  <c r="Y33" i="2089"/>
  <c r="K33" i="2089"/>
  <c r="M33" i="2089"/>
  <c r="V33" i="2089"/>
  <c r="AA33" i="2088"/>
  <c r="X33" i="2088"/>
  <c r="U33" i="2088"/>
  <c r="R33" i="2088"/>
  <c r="O33" i="2088"/>
  <c r="F33" i="2088"/>
  <c r="Y28" i="2088"/>
  <c r="X28" i="2088"/>
  <c r="S33" i="2088" s="1"/>
  <c r="W28" i="2088"/>
  <c r="V28" i="2088"/>
  <c r="U28" i="2088"/>
  <c r="T28" i="2088"/>
  <c r="S28" i="2088"/>
  <c r="R28" i="2088"/>
  <c r="Q28" i="2088"/>
  <c r="P28" i="2088"/>
  <c r="O28" i="2088"/>
  <c r="N28" i="2088"/>
  <c r="M28" i="2088"/>
  <c r="L28" i="2088"/>
  <c r="K28" i="2088"/>
  <c r="J28" i="2088"/>
  <c r="I28" i="2088"/>
  <c r="H28" i="2088"/>
  <c r="G28" i="2088"/>
  <c r="F28" i="2088"/>
  <c r="E28" i="2088"/>
  <c r="D28" i="2088"/>
  <c r="Y25" i="2088"/>
  <c r="X25" i="2088"/>
  <c r="W25" i="2088"/>
  <c r="V25" i="2088"/>
  <c r="U25" i="2088"/>
  <c r="T25" i="2088"/>
  <c r="S25" i="2088"/>
  <c r="R25" i="2088"/>
  <c r="Q25" i="2088"/>
  <c r="P25" i="2088"/>
  <c r="O25" i="2088"/>
  <c r="N25" i="2088"/>
  <c r="M25" i="2088"/>
  <c r="L25" i="2088"/>
  <c r="K25" i="2088"/>
  <c r="J25" i="2088"/>
  <c r="I25" i="2088"/>
  <c r="H25" i="2088"/>
  <c r="G25" i="2088"/>
  <c r="F25" i="2088"/>
  <c r="E25" i="2088"/>
  <c r="D25" i="2088"/>
  <c r="AE19" i="2088"/>
  <c r="AD19" i="2088"/>
  <c r="AC19" i="2088"/>
  <c r="AB19" i="2088"/>
  <c r="AA19" i="2088"/>
  <c r="Z19" i="2088"/>
  <c r="Y19" i="2088"/>
  <c r="X19" i="2088"/>
  <c r="T33" i="2088" s="1"/>
  <c r="W19" i="2088"/>
  <c r="V19" i="2088"/>
  <c r="U19" i="2088"/>
  <c r="T19" i="2088"/>
  <c r="S19" i="2088"/>
  <c r="R19" i="2088"/>
  <c r="Q19" i="2088"/>
  <c r="P19" i="2088"/>
  <c r="O19" i="2088"/>
  <c r="N19" i="2088"/>
  <c r="G33" i="2088" s="1"/>
  <c r="M19" i="2088"/>
  <c r="H33" i="2088" s="1"/>
  <c r="L19" i="2088"/>
  <c r="P33" i="2088" s="1"/>
  <c r="K19" i="2088"/>
  <c r="L33" i="2088" s="1"/>
  <c r="J19" i="2088"/>
  <c r="I19" i="2088"/>
  <c r="AB33" i="2088" s="1"/>
  <c r="H19" i="2088"/>
  <c r="G19" i="2088"/>
  <c r="F19" i="2088"/>
  <c r="E19" i="2088"/>
  <c r="D19" i="2088"/>
  <c r="AE16" i="2088"/>
  <c r="AD16" i="2088"/>
  <c r="AC16" i="2088"/>
  <c r="AB16" i="2088"/>
  <c r="AA16" i="2088"/>
  <c r="Z16" i="2088"/>
  <c r="X16" i="2088"/>
  <c r="W16" i="2088"/>
  <c r="V16" i="2088"/>
  <c r="U16" i="2088"/>
  <c r="T16" i="2088"/>
  <c r="S16" i="2088"/>
  <c r="R16" i="2088"/>
  <c r="Q16" i="2088"/>
  <c r="P16" i="2088"/>
  <c r="O16" i="2088"/>
  <c r="N16" i="2088"/>
  <c r="M16" i="2088"/>
  <c r="L16" i="2088"/>
  <c r="K16" i="2088"/>
  <c r="J16" i="2088"/>
  <c r="I16" i="2088"/>
  <c r="H16" i="2088"/>
  <c r="G16" i="2088"/>
  <c r="F16" i="2088"/>
  <c r="E16" i="2088"/>
  <c r="D16" i="2088"/>
  <c r="AE10" i="2088"/>
  <c r="AD10" i="2088"/>
  <c r="AC10" i="2088"/>
  <c r="AB10" i="2088"/>
  <c r="AA10" i="2088"/>
  <c r="Z10" i="2088"/>
  <c r="Y10" i="2088"/>
  <c r="X10" i="2088"/>
  <c r="W10" i="2088"/>
  <c r="V10" i="2088"/>
  <c r="U10" i="2088"/>
  <c r="T10" i="2088"/>
  <c r="S10" i="2088"/>
  <c r="R10" i="2088"/>
  <c r="Q10" i="2088"/>
  <c r="P10" i="2088"/>
  <c r="O10" i="2088"/>
  <c r="N10" i="2088"/>
  <c r="M10" i="2088"/>
  <c r="E33" i="2088" s="1"/>
  <c r="L10" i="2088"/>
  <c r="K10" i="2088"/>
  <c r="J10" i="2088"/>
  <c r="Q33" i="2088" s="1"/>
  <c r="I10" i="2088"/>
  <c r="H10" i="2088"/>
  <c r="G10" i="2088"/>
  <c r="F10" i="2088"/>
  <c r="J33" i="2088" s="1"/>
  <c r="E10" i="2088"/>
  <c r="D10" i="2088"/>
  <c r="AE7" i="2088"/>
  <c r="AD7" i="2088"/>
  <c r="AC7" i="2088"/>
  <c r="AB7" i="2088"/>
  <c r="AA7" i="2088"/>
  <c r="Z7" i="2088"/>
  <c r="Y7" i="2088"/>
  <c r="X7" i="2088"/>
  <c r="W7" i="2088"/>
  <c r="V7" i="2088"/>
  <c r="U7" i="2088"/>
  <c r="T7" i="2088"/>
  <c r="S7" i="2088"/>
  <c r="R7" i="2088"/>
  <c r="Q7" i="2088"/>
  <c r="P7" i="2088"/>
  <c r="O7" i="2088"/>
  <c r="N7" i="2088"/>
  <c r="M7" i="2088"/>
  <c r="L7" i="2088"/>
  <c r="K7" i="2088"/>
  <c r="J7" i="2088"/>
  <c r="I7" i="2088"/>
  <c r="H7" i="2088"/>
  <c r="G7" i="2088"/>
  <c r="F7" i="2088"/>
  <c r="E7" i="2088"/>
  <c r="D7" i="2088"/>
  <c r="W33" i="2088" l="1"/>
  <c r="N33" i="2088"/>
  <c r="AC33" i="2088"/>
  <c r="D33" i="2088"/>
  <c r="Z33" i="2088"/>
  <c r="Y33" i="2088"/>
  <c r="K33" i="2088"/>
  <c r="M33" i="2088"/>
  <c r="V33" i="2088"/>
  <c r="AA33" i="2087"/>
  <c r="X33" i="2087"/>
  <c r="U33" i="2087"/>
  <c r="R33" i="2087"/>
  <c r="F33" i="2087"/>
  <c r="Y28" i="2087"/>
  <c r="X28" i="2087"/>
  <c r="S33" i="2087" s="1"/>
  <c r="W28" i="2087"/>
  <c r="V28" i="2087"/>
  <c r="U28" i="2087"/>
  <c r="T28" i="2087"/>
  <c r="S28" i="2087"/>
  <c r="R28" i="2087"/>
  <c r="Q28" i="2087"/>
  <c r="P28" i="2087"/>
  <c r="O28" i="2087"/>
  <c r="N28" i="2087"/>
  <c r="M28" i="2087"/>
  <c r="L28" i="2087"/>
  <c r="K28" i="2087"/>
  <c r="J28" i="2087"/>
  <c r="I28" i="2087"/>
  <c r="H28" i="2087"/>
  <c r="G28" i="2087"/>
  <c r="F28" i="2087"/>
  <c r="E28" i="2087"/>
  <c r="D28" i="2087"/>
  <c r="Y25" i="2087"/>
  <c r="X25" i="2087"/>
  <c r="W25" i="2087"/>
  <c r="V25" i="2087"/>
  <c r="U25" i="2087"/>
  <c r="T25" i="2087"/>
  <c r="S25" i="2087"/>
  <c r="R25" i="2087"/>
  <c r="Q25" i="2087"/>
  <c r="P25" i="2087"/>
  <c r="O25" i="2087"/>
  <c r="N25" i="2087"/>
  <c r="M25" i="2087"/>
  <c r="L25" i="2087"/>
  <c r="K25" i="2087"/>
  <c r="J25" i="2087"/>
  <c r="I25" i="2087"/>
  <c r="H25" i="2087"/>
  <c r="G25" i="2087"/>
  <c r="F25" i="2087"/>
  <c r="E25" i="2087"/>
  <c r="D25" i="2087"/>
  <c r="AE19" i="2087"/>
  <c r="AD19" i="2087"/>
  <c r="AC19" i="2087"/>
  <c r="AB19" i="2087"/>
  <c r="AC33" i="2087" s="1"/>
  <c r="AA19" i="2087"/>
  <c r="Z19" i="2087"/>
  <c r="Y19" i="2087"/>
  <c r="X19" i="2087"/>
  <c r="T33" i="2087" s="1"/>
  <c r="W19" i="2087"/>
  <c r="V19" i="2087"/>
  <c r="U19" i="2087"/>
  <c r="T19" i="2087"/>
  <c r="S19" i="2087"/>
  <c r="R19" i="2087"/>
  <c r="Q19" i="2087"/>
  <c r="P19" i="2087"/>
  <c r="O19" i="2087"/>
  <c r="N19" i="2087"/>
  <c r="G33" i="2087" s="1"/>
  <c r="M19" i="2087"/>
  <c r="H33" i="2087" s="1"/>
  <c r="L19" i="2087"/>
  <c r="P33" i="2087" s="1"/>
  <c r="K19" i="2087"/>
  <c r="L33" i="2087" s="1"/>
  <c r="J19" i="2087"/>
  <c r="I19" i="2087"/>
  <c r="AB33" i="2087" s="1"/>
  <c r="H19" i="2087"/>
  <c r="G19" i="2087"/>
  <c r="O33" i="2087" s="1"/>
  <c r="F19" i="2087"/>
  <c r="E19" i="2087"/>
  <c r="D19" i="2087"/>
  <c r="AE16" i="2087"/>
  <c r="AD16" i="2087"/>
  <c r="AC16" i="2087"/>
  <c r="AB16" i="2087"/>
  <c r="AA16" i="2087"/>
  <c r="Z16" i="2087"/>
  <c r="X16" i="2087"/>
  <c r="W16" i="2087"/>
  <c r="V16" i="2087"/>
  <c r="U16" i="2087"/>
  <c r="T16" i="2087"/>
  <c r="S16" i="2087"/>
  <c r="R16" i="2087"/>
  <c r="Q16" i="2087"/>
  <c r="P16" i="2087"/>
  <c r="O16" i="2087"/>
  <c r="N16" i="2087"/>
  <c r="M16" i="2087"/>
  <c r="L16" i="2087"/>
  <c r="K16" i="2087"/>
  <c r="J16" i="2087"/>
  <c r="I16" i="2087"/>
  <c r="H16" i="2087"/>
  <c r="G16" i="2087"/>
  <c r="F16" i="2087"/>
  <c r="E16" i="2087"/>
  <c r="D16" i="2087"/>
  <c r="AE10" i="2087"/>
  <c r="AD10" i="2087"/>
  <c r="AC10" i="2087"/>
  <c r="AB10" i="2087"/>
  <c r="AA10" i="2087"/>
  <c r="Z10" i="2087"/>
  <c r="Y10" i="2087"/>
  <c r="X10" i="2087"/>
  <c r="W10" i="2087"/>
  <c r="V10" i="2087"/>
  <c r="U10" i="2087"/>
  <c r="T10" i="2087"/>
  <c r="S10" i="2087"/>
  <c r="R10" i="2087"/>
  <c r="Q10" i="2087"/>
  <c r="P10" i="2087"/>
  <c r="O10" i="2087"/>
  <c r="N10" i="2087"/>
  <c r="M10" i="2087"/>
  <c r="E33" i="2087" s="1"/>
  <c r="L10" i="2087"/>
  <c r="K10" i="2087"/>
  <c r="J10" i="2087"/>
  <c r="I10" i="2087"/>
  <c r="H10" i="2087"/>
  <c r="G10" i="2087"/>
  <c r="F10" i="2087"/>
  <c r="E10" i="2087"/>
  <c r="D10" i="2087"/>
  <c r="AE7" i="2087"/>
  <c r="AD7" i="2087"/>
  <c r="AC7" i="2087"/>
  <c r="AB7" i="2087"/>
  <c r="AA7" i="2087"/>
  <c r="Z7" i="2087"/>
  <c r="Y7" i="2087"/>
  <c r="X7" i="2087"/>
  <c r="W7" i="2087"/>
  <c r="V7" i="2087"/>
  <c r="U7" i="2087"/>
  <c r="T7" i="2087"/>
  <c r="S7" i="2087"/>
  <c r="R7" i="2087"/>
  <c r="Q7" i="2087"/>
  <c r="P7" i="2087"/>
  <c r="O7" i="2087"/>
  <c r="N7" i="2087"/>
  <c r="M7" i="2087"/>
  <c r="L7" i="2087"/>
  <c r="K7" i="2087"/>
  <c r="J7" i="2087"/>
  <c r="I7" i="2087"/>
  <c r="H7" i="2087"/>
  <c r="G7" i="2087"/>
  <c r="F7" i="2087"/>
  <c r="E7" i="2087"/>
  <c r="D7" i="2087"/>
  <c r="Z33" i="2087" l="1"/>
  <c r="W33" i="2087"/>
  <c r="N33" i="2087"/>
  <c r="D33" i="2087"/>
  <c r="Y33" i="2087"/>
  <c r="Q33" i="2087"/>
  <c r="K33" i="2087"/>
  <c r="J33" i="2087"/>
  <c r="M33" i="2087"/>
  <c r="V33" i="2087"/>
  <c r="AA33" i="2086"/>
  <c r="X33" i="2086"/>
  <c r="U33" i="2086"/>
  <c r="R33" i="2086"/>
  <c r="F33" i="2086"/>
  <c r="Y28" i="2086"/>
  <c r="X28" i="2086"/>
  <c r="S33" i="2086" s="1"/>
  <c r="W28" i="2086"/>
  <c r="V28" i="2086"/>
  <c r="U28" i="2086"/>
  <c r="T28" i="2086"/>
  <c r="S28" i="2086"/>
  <c r="R28" i="2086"/>
  <c r="Q28" i="2086"/>
  <c r="P28" i="2086"/>
  <c r="O28" i="2086"/>
  <c r="N28" i="2086"/>
  <c r="M28" i="2086"/>
  <c r="L28" i="2086"/>
  <c r="K28" i="2086"/>
  <c r="J28" i="2086"/>
  <c r="I28" i="2086"/>
  <c r="H28" i="2086"/>
  <c r="G28" i="2086"/>
  <c r="F28" i="2086"/>
  <c r="E28" i="2086"/>
  <c r="D28" i="2086"/>
  <c r="Y25" i="2086"/>
  <c r="X25" i="2086"/>
  <c r="W25" i="2086"/>
  <c r="V25" i="2086"/>
  <c r="U25" i="2086"/>
  <c r="T25" i="2086"/>
  <c r="S25" i="2086"/>
  <c r="R25" i="2086"/>
  <c r="Q25" i="2086"/>
  <c r="P25" i="2086"/>
  <c r="O25" i="2086"/>
  <c r="N25" i="2086"/>
  <c r="M25" i="2086"/>
  <c r="L25" i="2086"/>
  <c r="K25" i="2086"/>
  <c r="J25" i="2086"/>
  <c r="I25" i="2086"/>
  <c r="H25" i="2086"/>
  <c r="G25" i="2086"/>
  <c r="F25" i="2086"/>
  <c r="E25" i="2086"/>
  <c r="D25" i="2086"/>
  <c r="AE19" i="2086"/>
  <c r="AD19" i="2086"/>
  <c r="AC19" i="2086"/>
  <c r="AB19" i="2086"/>
  <c r="AA19" i="2086"/>
  <c r="Z19" i="2086"/>
  <c r="Y19" i="2086"/>
  <c r="X19" i="2086"/>
  <c r="T33" i="2086" s="1"/>
  <c r="W19" i="2086"/>
  <c r="V19" i="2086"/>
  <c r="U19" i="2086"/>
  <c r="T19" i="2086"/>
  <c r="S19" i="2086"/>
  <c r="R19" i="2086"/>
  <c r="Q19" i="2086"/>
  <c r="P19" i="2086"/>
  <c r="O19" i="2086"/>
  <c r="N19" i="2086"/>
  <c r="G33" i="2086" s="1"/>
  <c r="M19" i="2086"/>
  <c r="H33" i="2086" s="1"/>
  <c r="L19" i="2086"/>
  <c r="P33" i="2086" s="1"/>
  <c r="K19" i="2086"/>
  <c r="L33" i="2086" s="1"/>
  <c r="J19" i="2086"/>
  <c r="I19" i="2086"/>
  <c r="AB33" i="2086" s="1"/>
  <c r="H19" i="2086"/>
  <c r="G19" i="2086"/>
  <c r="O33" i="2086" s="1"/>
  <c r="F19" i="2086"/>
  <c r="E19" i="2086"/>
  <c r="D19" i="2086"/>
  <c r="AE16" i="2086"/>
  <c r="AD16" i="2086"/>
  <c r="AC16" i="2086"/>
  <c r="AB16" i="2086"/>
  <c r="AA16" i="2086"/>
  <c r="Z16" i="2086"/>
  <c r="X16" i="2086"/>
  <c r="W16" i="2086"/>
  <c r="V16" i="2086"/>
  <c r="U16" i="2086"/>
  <c r="T16" i="2086"/>
  <c r="S16" i="2086"/>
  <c r="R16" i="2086"/>
  <c r="Q16" i="2086"/>
  <c r="P16" i="2086"/>
  <c r="O16" i="2086"/>
  <c r="N16" i="2086"/>
  <c r="M16" i="2086"/>
  <c r="L16" i="2086"/>
  <c r="K16" i="2086"/>
  <c r="J16" i="2086"/>
  <c r="I16" i="2086"/>
  <c r="H16" i="2086"/>
  <c r="G16" i="2086"/>
  <c r="F16" i="2086"/>
  <c r="E16" i="2086"/>
  <c r="D16" i="2086"/>
  <c r="AE10" i="2086"/>
  <c r="AD10" i="2086"/>
  <c r="AC10" i="2086"/>
  <c r="AB10" i="2086"/>
  <c r="AA10" i="2086"/>
  <c r="Z10" i="2086"/>
  <c r="Y10" i="2086"/>
  <c r="X10" i="2086"/>
  <c r="W10" i="2086"/>
  <c r="V10" i="2086"/>
  <c r="U10" i="2086"/>
  <c r="T10" i="2086"/>
  <c r="S10" i="2086"/>
  <c r="R10" i="2086"/>
  <c r="Q10" i="2086"/>
  <c r="P10" i="2086"/>
  <c r="O10" i="2086"/>
  <c r="N10" i="2086"/>
  <c r="M10" i="2086"/>
  <c r="L10" i="2086"/>
  <c r="K10" i="2086"/>
  <c r="J10" i="2086"/>
  <c r="I10" i="2086"/>
  <c r="E33" i="2086" s="1"/>
  <c r="H10" i="2086"/>
  <c r="G10" i="2086"/>
  <c r="F10" i="2086"/>
  <c r="E10" i="2086"/>
  <c r="D10" i="2086"/>
  <c r="AE7" i="2086"/>
  <c r="AD7" i="2086"/>
  <c r="AC7" i="2086"/>
  <c r="AB7" i="2086"/>
  <c r="AA7" i="2086"/>
  <c r="Z7" i="2086"/>
  <c r="Y7" i="2086"/>
  <c r="X7" i="2086"/>
  <c r="W7" i="2086"/>
  <c r="V7" i="2086"/>
  <c r="U7" i="2086"/>
  <c r="T7" i="2086"/>
  <c r="S7" i="2086"/>
  <c r="R7" i="2086"/>
  <c r="Q7" i="2086"/>
  <c r="P7" i="2086"/>
  <c r="O7" i="2086"/>
  <c r="N7" i="2086"/>
  <c r="M7" i="2086"/>
  <c r="L7" i="2086"/>
  <c r="K7" i="2086"/>
  <c r="J7" i="2086"/>
  <c r="I7" i="2086"/>
  <c r="H7" i="2086"/>
  <c r="G7" i="2086"/>
  <c r="F7" i="2086"/>
  <c r="E7" i="2086"/>
  <c r="D7" i="2086"/>
  <c r="W33" i="2086" l="1"/>
  <c r="J33" i="2086"/>
  <c r="N33" i="2086"/>
  <c r="AC33" i="2086"/>
  <c r="D33" i="2086"/>
  <c r="Z33" i="2086"/>
  <c r="Y33" i="2086"/>
  <c r="K33" i="2086"/>
  <c r="Q33" i="2086"/>
  <c r="M33" i="2086"/>
  <c r="V33" i="2086"/>
  <c r="AA33" i="2085"/>
  <c r="X33" i="2085"/>
  <c r="U33" i="2085"/>
  <c r="R33" i="2085"/>
  <c r="F33" i="2085"/>
  <c r="Y28" i="2085"/>
  <c r="X28" i="2085"/>
  <c r="S33" i="2085" s="1"/>
  <c r="W28" i="2085"/>
  <c r="V28" i="2085"/>
  <c r="U28" i="2085"/>
  <c r="T28" i="2085"/>
  <c r="S28" i="2085"/>
  <c r="R28" i="2085"/>
  <c r="Q28" i="2085"/>
  <c r="P28" i="2085"/>
  <c r="O28" i="2085"/>
  <c r="N28" i="2085"/>
  <c r="M28" i="2085"/>
  <c r="L28" i="2085"/>
  <c r="K28" i="2085"/>
  <c r="J28" i="2085"/>
  <c r="I28" i="2085"/>
  <c r="H28" i="2085"/>
  <c r="G28" i="2085"/>
  <c r="F28" i="2085"/>
  <c r="E28" i="2085"/>
  <c r="D28" i="2085"/>
  <c r="Y25" i="2085"/>
  <c r="X25" i="2085"/>
  <c r="W25" i="2085"/>
  <c r="V25" i="2085"/>
  <c r="U25" i="2085"/>
  <c r="T25" i="2085"/>
  <c r="S25" i="2085"/>
  <c r="R25" i="2085"/>
  <c r="Q25" i="2085"/>
  <c r="P25" i="2085"/>
  <c r="O25" i="2085"/>
  <c r="N25" i="2085"/>
  <c r="M25" i="2085"/>
  <c r="L25" i="2085"/>
  <c r="K25" i="2085"/>
  <c r="J25" i="2085"/>
  <c r="I25" i="2085"/>
  <c r="H25" i="2085"/>
  <c r="G25" i="2085"/>
  <c r="F25" i="2085"/>
  <c r="E25" i="2085"/>
  <c r="D25" i="2085"/>
  <c r="AE19" i="2085"/>
  <c r="AD19" i="2085"/>
  <c r="AC19" i="2085"/>
  <c r="AB19" i="2085"/>
  <c r="AA19" i="2085"/>
  <c r="Z19" i="2085"/>
  <c r="Y19" i="2085"/>
  <c r="X19" i="2085"/>
  <c r="T33" i="2085" s="1"/>
  <c r="W19" i="2085"/>
  <c r="V19" i="2085"/>
  <c r="U19" i="2085"/>
  <c r="T19" i="2085"/>
  <c r="S19" i="2085"/>
  <c r="R19" i="2085"/>
  <c r="Q19" i="2085"/>
  <c r="P19" i="2085"/>
  <c r="O19" i="2085"/>
  <c r="N19" i="2085"/>
  <c r="G33" i="2085" s="1"/>
  <c r="M19" i="2085"/>
  <c r="H33" i="2085" s="1"/>
  <c r="L19" i="2085"/>
  <c r="P33" i="2085" s="1"/>
  <c r="K19" i="2085"/>
  <c r="L33" i="2085" s="1"/>
  <c r="J19" i="2085"/>
  <c r="I19" i="2085"/>
  <c r="AB33" i="2085" s="1"/>
  <c r="H19" i="2085"/>
  <c r="G19" i="2085"/>
  <c r="O33" i="2085" s="1"/>
  <c r="F19" i="2085"/>
  <c r="E19" i="2085"/>
  <c r="D19" i="2085"/>
  <c r="AE16" i="2085"/>
  <c r="AD16" i="2085"/>
  <c r="AC16" i="2085"/>
  <c r="AB16" i="2085"/>
  <c r="AA16" i="2085"/>
  <c r="Z16" i="2085"/>
  <c r="X16" i="2085"/>
  <c r="W16" i="2085"/>
  <c r="V16" i="2085"/>
  <c r="U16" i="2085"/>
  <c r="T16" i="2085"/>
  <c r="S16" i="2085"/>
  <c r="R16" i="2085"/>
  <c r="Q16" i="2085"/>
  <c r="P16" i="2085"/>
  <c r="O16" i="2085"/>
  <c r="N16" i="2085"/>
  <c r="M16" i="2085"/>
  <c r="L16" i="2085"/>
  <c r="K16" i="2085"/>
  <c r="J16" i="2085"/>
  <c r="I16" i="2085"/>
  <c r="H16" i="2085"/>
  <c r="G16" i="2085"/>
  <c r="F16" i="2085"/>
  <c r="E16" i="2085"/>
  <c r="D16" i="2085"/>
  <c r="AE10" i="2085"/>
  <c r="AD10" i="2085"/>
  <c r="AC10" i="2085"/>
  <c r="AB10" i="2085"/>
  <c r="AA10" i="2085"/>
  <c r="Z10" i="2085"/>
  <c r="Y10" i="2085"/>
  <c r="X10" i="2085"/>
  <c r="W10" i="2085"/>
  <c r="V10" i="2085"/>
  <c r="U10" i="2085"/>
  <c r="T10" i="2085"/>
  <c r="S10" i="2085"/>
  <c r="R10" i="2085"/>
  <c r="Q10" i="2085"/>
  <c r="P10" i="2085"/>
  <c r="O10" i="2085"/>
  <c r="N10" i="2085"/>
  <c r="M10" i="2085"/>
  <c r="E33" i="2085" s="1"/>
  <c r="L10" i="2085"/>
  <c r="K10" i="2085"/>
  <c r="J10" i="2085"/>
  <c r="Q33" i="2085" s="1"/>
  <c r="I10" i="2085"/>
  <c r="H10" i="2085"/>
  <c r="G10" i="2085"/>
  <c r="F10" i="2085"/>
  <c r="E10" i="2085"/>
  <c r="D10" i="2085"/>
  <c r="AE7" i="2085"/>
  <c r="AD7" i="2085"/>
  <c r="AC7" i="2085"/>
  <c r="AB7" i="2085"/>
  <c r="AA7" i="2085"/>
  <c r="Z7" i="2085"/>
  <c r="Y7" i="2085"/>
  <c r="X7" i="2085"/>
  <c r="W7" i="2085"/>
  <c r="V7" i="2085"/>
  <c r="U7" i="2085"/>
  <c r="T7" i="2085"/>
  <c r="S7" i="2085"/>
  <c r="R7" i="2085"/>
  <c r="Q7" i="2085"/>
  <c r="P7" i="2085"/>
  <c r="O7" i="2085"/>
  <c r="N7" i="2085"/>
  <c r="M7" i="2085"/>
  <c r="L7" i="2085"/>
  <c r="K7" i="2085"/>
  <c r="J7" i="2085"/>
  <c r="I7" i="2085"/>
  <c r="H7" i="2085"/>
  <c r="G7" i="2085"/>
  <c r="F7" i="2085"/>
  <c r="E7" i="2085"/>
  <c r="D7" i="2085"/>
  <c r="J33" i="2085" l="1"/>
  <c r="W33" i="2085"/>
  <c r="K33" i="2085"/>
  <c r="N33" i="2085"/>
  <c r="AC33" i="2085"/>
  <c r="D33" i="2085"/>
  <c r="Z33" i="2085"/>
  <c r="Y33" i="2085"/>
  <c r="M33" i="2085"/>
  <c r="V33" i="2085"/>
  <c r="AA33" i="2084"/>
  <c r="X33" i="2084"/>
  <c r="U33" i="2084"/>
  <c r="R33" i="2084"/>
  <c r="F33" i="2084"/>
  <c r="Y28" i="2084"/>
  <c r="X28" i="2084"/>
  <c r="S33" i="2084" s="1"/>
  <c r="W28" i="2084"/>
  <c r="V28" i="2084"/>
  <c r="U28" i="2084"/>
  <c r="T28" i="2084"/>
  <c r="S28" i="2084"/>
  <c r="R28" i="2084"/>
  <c r="Q28" i="2084"/>
  <c r="P28" i="2084"/>
  <c r="O28" i="2084"/>
  <c r="N28" i="2084"/>
  <c r="M28" i="2084"/>
  <c r="L28" i="2084"/>
  <c r="K28" i="2084"/>
  <c r="J28" i="2084"/>
  <c r="I28" i="2084"/>
  <c r="H28" i="2084"/>
  <c r="G28" i="2084"/>
  <c r="F28" i="2084"/>
  <c r="E28" i="2084"/>
  <c r="D28" i="2084"/>
  <c r="Y25" i="2084"/>
  <c r="X25" i="2084"/>
  <c r="W25" i="2084"/>
  <c r="V25" i="2084"/>
  <c r="U25" i="2084"/>
  <c r="T25" i="2084"/>
  <c r="S25" i="2084"/>
  <c r="R25" i="2084"/>
  <c r="Q25" i="2084"/>
  <c r="P25" i="2084"/>
  <c r="O25" i="2084"/>
  <c r="N25" i="2084"/>
  <c r="M25" i="2084"/>
  <c r="L25" i="2084"/>
  <c r="K25" i="2084"/>
  <c r="J25" i="2084"/>
  <c r="I25" i="2084"/>
  <c r="H25" i="2084"/>
  <c r="G25" i="2084"/>
  <c r="F25" i="2084"/>
  <c r="E25" i="2084"/>
  <c r="D25" i="2084"/>
  <c r="AE19" i="2084"/>
  <c r="AD19" i="2084"/>
  <c r="AC19" i="2084"/>
  <c r="AB19" i="2084"/>
  <c r="AA19" i="2084"/>
  <c r="Z19" i="2084"/>
  <c r="Y19" i="2084"/>
  <c r="X19" i="2084"/>
  <c r="T33" i="2084" s="1"/>
  <c r="W19" i="2084"/>
  <c r="V19" i="2084"/>
  <c r="U19" i="2084"/>
  <c r="T19" i="2084"/>
  <c r="S19" i="2084"/>
  <c r="R19" i="2084"/>
  <c r="Q19" i="2084"/>
  <c r="P19" i="2084"/>
  <c r="O19" i="2084"/>
  <c r="N19" i="2084"/>
  <c r="G33" i="2084" s="1"/>
  <c r="M19" i="2084"/>
  <c r="H33" i="2084" s="1"/>
  <c r="L19" i="2084"/>
  <c r="P33" i="2084" s="1"/>
  <c r="K19" i="2084"/>
  <c r="L33" i="2084" s="1"/>
  <c r="J19" i="2084"/>
  <c r="I19" i="2084"/>
  <c r="AB33" i="2084" s="1"/>
  <c r="H19" i="2084"/>
  <c r="G19" i="2084"/>
  <c r="O33" i="2084" s="1"/>
  <c r="F19" i="2084"/>
  <c r="E19" i="2084"/>
  <c r="D19" i="2084"/>
  <c r="AE16" i="2084"/>
  <c r="AD16" i="2084"/>
  <c r="AC16" i="2084"/>
  <c r="AB16" i="2084"/>
  <c r="AA16" i="2084"/>
  <c r="Z16" i="2084"/>
  <c r="X16" i="2084"/>
  <c r="W16" i="2084"/>
  <c r="V16" i="2084"/>
  <c r="U16" i="2084"/>
  <c r="T16" i="2084"/>
  <c r="S16" i="2084"/>
  <c r="R16" i="2084"/>
  <c r="Q16" i="2084"/>
  <c r="P16" i="2084"/>
  <c r="O16" i="2084"/>
  <c r="N16" i="2084"/>
  <c r="M16" i="2084"/>
  <c r="L16" i="2084"/>
  <c r="K16" i="2084"/>
  <c r="J16" i="2084"/>
  <c r="I16" i="2084"/>
  <c r="H16" i="2084"/>
  <c r="G16" i="2084"/>
  <c r="F16" i="2084"/>
  <c r="E16" i="2084"/>
  <c r="D16" i="2084"/>
  <c r="AE10" i="2084"/>
  <c r="AD10" i="2084"/>
  <c r="AC10" i="2084"/>
  <c r="AB10" i="2084"/>
  <c r="AA10" i="2084"/>
  <c r="Z10" i="2084"/>
  <c r="Y10" i="2084"/>
  <c r="X10" i="2084"/>
  <c r="W10" i="2084"/>
  <c r="V10" i="2084"/>
  <c r="U10" i="2084"/>
  <c r="T10" i="2084"/>
  <c r="S10" i="2084"/>
  <c r="R10" i="2084"/>
  <c r="Q10" i="2084"/>
  <c r="P10" i="2084"/>
  <c r="O10" i="2084"/>
  <c r="N10" i="2084"/>
  <c r="M10" i="2084"/>
  <c r="E33" i="2084" s="1"/>
  <c r="L10" i="2084"/>
  <c r="K10" i="2084"/>
  <c r="J10" i="2084"/>
  <c r="Q33" i="2084" s="1"/>
  <c r="I10" i="2084"/>
  <c r="H10" i="2084"/>
  <c r="G10" i="2084"/>
  <c r="F10" i="2084"/>
  <c r="E10" i="2084"/>
  <c r="D10" i="2084"/>
  <c r="AE7" i="2084"/>
  <c r="AD7" i="2084"/>
  <c r="AC7" i="2084"/>
  <c r="AB7" i="2084"/>
  <c r="AA7" i="2084"/>
  <c r="Z7" i="2084"/>
  <c r="Y7" i="2084"/>
  <c r="X7" i="2084"/>
  <c r="W7" i="2084"/>
  <c r="V7" i="2084"/>
  <c r="U7" i="2084"/>
  <c r="T7" i="2084"/>
  <c r="S7" i="2084"/>
  <c r="R7" i="2084"/>
  <c r="Q7" i="2084"/>
  <c r="P7" i="2084"/>
  <c r="O7" i="2084"/>
  <c r="N7" i="2084"/>
  <c r="M7" i="2084"/>
  <c r="L7" i="2084"/>
  <c r="K7" i="2084"/>
  <c r="J7" i="2084"/>
  <c r="I7" i="2084"/>
  <c r="H7" i="2084"/>
  <c r="G7" i="2084"/>
  <c r="F7" i="2084"/>
  <c r="E7" i="2084"/>
  <c r="D7" i="2084"/>
  <c r="J33" i="2084" l="1"/>
  <c r="W33" i="2084"/>
  <c r="N33" i="2084"/>
  <c r="AC33" i="2084"/>
  <c r="D33" i="2084"/>
  <c r="Z33" i="2084"/>
  <c r="Y33" i="2084"/>
  <c r="K33" i="2084"/>
  <c r="M33" i="2084"/>
  <c r="V33" i="2084"/>
  <c r="AA33" i="2083"/>
  <c r="X33" i="2083"/>
  <c r="U33" i="2083"/>
  <c r="R33" i="2083"/>
  <c r="O33" i="2083"/>
  <c r="F33" i="2083"/>
  <c r="Y28" i="2083"/>
  <c r="X28" i="2083"/>
  <c r="S33" i="2083" s="1"/>
  <c r="W28" i="2083"/>
  <c r="V28" i="2083"/>
  <c r="U28" i="2083"/>
  <c r="T28" i="2083"/>
  <c r="S28" i="2083"/>
  <c r="R28" i="2083"/>
  <c r="Q28" i="2083"/>
  <c r="P28" i="2083"/>
  <c r="O28" i="2083"/>
  <c r="N28" i="2083"/>
  <c r="M28" i="2083"/>
  <c r="L28" i="2083"/>
  <c r="K28" i="2083"/>
  <c r="J28" i="2083"/>
  <c r="I28" i="2083"/>
  <c r="H28" i="2083"/>
  <c r="G28" i="2083"/>
  <c r="F28" i="2083"/>
  <c r="E28" i="2083"/>
  <c r="D28" i="2083"/>
  <c r="Y25" i="2083"/>
  <c r="X25" i="2083"/>
  <c r="W25" i="2083"/>
  <c r="V25" i="2083"/>
  <c r="U25" i="2083"/>
  <c r="T25" i="2083"/>
  <c r="S25" i="2083"/>
  <c r="R25" i="2083"/>
  <c r="Q25" i="2083"/>
  <c r="P25" i="2083"/>
  <c r="O25" i="2083"/>
  <c r="N25" i="2083"/>
  <c r="M25" i="2083"/>
  <c r="L25" i="2083"/>
  <c r="K25" i="2083"/>
  <c r="J25" i="2083"/>
  <c r="I25" i="2083"/>
  <c r="H25" i="2083"/>
  <c r="G25" i="2083"/>
  <c r="F25" i="2083"/>
  <c r="E25" i="2083"/>
  <c r="D25" i="2083"/>
  <c r="AE19" i="2083"/>
  <c r="AD19" i="2083"/>
  <c r="AC19" i="2083"/>
  <c r="AB19" i="2083"/>
  <c r="AA19" i="2083"/>
  <c r="Z19" i="2083"/>
  <c r="Y19" i="2083"/>
  <c r="X19" i="2083"/>
  <c r="T33" i="2083" s="1"/>
  <c r="W19" i="2083"/>
  <c r="V19" i="2083"/>
  <c r="U19" i="2083"/>
  <c r="T19" i="2083"/>
  <c r="S19" i="2083"/>
  <c r="R19" i="2083"/>
  <c r="Q19" i="2083"/>
  <c r="P19" i="2083"/>
  <c r="O19" i="2083"/>
  <c r="N19" i="2083"/>
  <c r="G33" i="2083" s="1"/>
  <c r="M19" i="2083"/>
  <c r="H33" i="2083" s="1"/>
  <c r="L19" i="2083"/>
  <c r="P33" i="2083" s="1"/>
  <c r="K19" i="2083"/>
  <c r="L33" i="2083" s="1"/>
  <c r="J19" i="2083"/>
  <c r="I19" i="2083"/>
  <c r="AB33" i="2083" s="1"/>
  <c r="H19" i="2083"/>
  <c r="G19" i="2083"/>
  <c r="F19" i="2083"/>
  <c r="E19" i="2083"/>
  <c r="D19" i="2083"/>
  <c r="AE16" i="2083"/>
  <c r="AD16" i="2083"/>
  <c r="AC16" i="2083"/>
  <c r="AB16" i="2083"/>
  <c r="AA16" i="2083"/>
  <c r="Z16" i="2083"/>
  <c r="X16" i="2083"/>
  <c r="W16" i="2083"/>
  <c r="V16" i="2083"/>
  <c r="U16" i="2083"/>
  <c r="T16" i="2083"/>
  <c r="S16" i="2083"/>
  <c r="R16" i="2083"/>
  <c r="Q16" i="2083"/>
  <c r="P16" i="2083"/>
  <c r="O16" i="2083"/>
  <c r="N16" i="2083"/>
  <c r="M16" i="2083"/>
  <c r="L16" i="2083"/>
  <c r="K16" i="2083"/>
  <c r="J16" i="2083"/>
  <c r="I16" i="2083"/>
  <c r="H16" i="2083"/>
  <c r="G16" i="2083"/>
  <c r="F16" i="2083"/>
  <c r="E16" i="2083"/>
  <c r="D16" i="2083"/>
  <c r="AE10" i="2083"/>
  <c r="AD10" i="2083"/>
  <c r="AC10" i="2083"/>
  <c r="AB10" i="2083"/>
  <c r="AA10" i="2083"/>
  <c r="Z10" i="2083"/>
  <c r="Y10" i="2083"/>
  <c r="X10" i="2083"/>
  <c r="W10" i="2083"/>
  <c r="V10" i="2083"/>
  <c r="U10" i="2083"/>
  <c r="T10" i="2083"/>
  <c r="S10" i="2083"/>
  <c r="R10" i="2083"/>
  <c r="Q10" i="2083"/>
  <c r="P10" i="2083"/>
  <c r="O10" i="2083"/>
  <c r="N10" i="2083"/>
  <c r="Q33" i="2083" s="1"/>
  <c r="M10" i="2083"/>
  <c r="E33" i="2083" s="1"/>
  <c r="L10" i="2083"/>
  <c r="K10" i="2083"/>
  <c r="J10" i="2083"/>
  <c r="I10" i="2083"/>
  <c r="H10" i="2083"/>
  <c r="G10" i="2083"/>
  <c r="F10" i="2083"/>
  <c r="E10" i="2083"/>
  <c r="D10" i="2083"/>
  <c r="AE7" i="2083"/>
  <c r="AD7" i="2083"/>
  <c r="AC7" i="2083"/>
  <c r="AB7" i="2083"/>
  <c r="AA7" i="2083"/>
  <c r="Z7" i="2083"/>
  <c r="Y7" i="2083"/>
  <c r="X7" i="2083"/>
  <c r="W7" i="2083"/>
  <c r="V7" i="2083"/>
  <c r="U7" i="2083"/>
  <c r="T7" i="2083"/>
  <c r="S7" i="2083"/>
  <c r="R7" i="2083"/>
  <c r="Q7" i="2083"/>
  <c r="P7" i="2083"/>
  <c r="O7" i="2083"/>
  <c r="N7" i="2083"/>
  <c r="M7" i="2083"/>
  <c r="L7" i="2083"/>
  <c r="K7" i="2083"/>
  <c r="J7" i="2083"/>
  <c r="I7" i="2083"/>
  <c r="H7" i="2083"/>
  <c r="G7" i="2083"/>
  <c r="F7" i="2083"/>
  <c r="E7" i="2083"/>
  <c r="D7" i="2083"/>
  <c r="J33" i="2083" l="1"/>
  <c r="W33" i="2083"/>
  <c r="N33" i="2083"/>
  <c r="AC33" i="2083"/>
  <c r="D33" i="2083"/>
  <c r="Z33" i="2083"/>
  <c r="Y33" i="2083"/>
  <c r="K33" i="2083"/>
  <c r="M33" i="2083"/>
  <c r="V33" i="2083"/>
  <c r="AA33" i="2082"/>
  <c r="X33" i="2082"/>
  <c r="U33" i="2082"/>
  <c r="S33" i="2082"/>
  <c r="R33" i="2082"/>
  <c r="Q33" i="2082"/>
  <c r="P33" i="2082"/>
  <c r="O33" i="2082"/>
  <c r="M33" i="2082"/>
  <c r="L33" i="2082"/>
  <c r="K33" i="2082"/>
  <c r="J33" i="2082"/>
  <c r="F33" i="2082"/>
  <c r="Y28" i="2082"/>
  <c r="X28" i="2082"/>
  <c r="W28" i="2082"/>
  <c r="V28" i="2082"/>
  <c r="U28" i="2082"/>
  <c r="T28" i="2082"/>
  <c r="S28" i="2082"/>
  <c r="R28" i="2082"/>
  <c r="Q28" i="2082"/>
  <c r="P28" i="2082"/>
  <c r="O28" i="2082"/>
  <c r="N28" i="2082"/>
  <c r="M28" i="2082"/>
  <c r="L28" i="2082"/>
  <c r="K28" i="2082"/>
  <c r="J28" i="2082"/>
  <c r="I28" i="2082"/>
  <c r="H28" i="2082"/>
  <c r="G28" i="2082"/>
  <c r="F28" i="2082"/>
  <c r="E28" i="2082"/>
  <c r="D28" i="2082"/>
  <c r="W33" i="2082" s="1"/>
  <c r="Y25" i="2082"/>
  <c r="X25" i="2082"/>
  <c r="W25" i="2082"/>
  <c r="V25" i="2082"/>
  <c r="U25" i="2082"/>
  <c r="T25" i="2082"/>
  <c r="S25" i="2082"/>
  <c r="R25" i="2082"/>
  <c r="Q25" i="2082"/>
  <c r="P25" i="2082"/>
  <c r="O25" i="2082"/>
  <c r="N25" i="2082"/>
  <c r="M25" i="2082"/>
  <c r="L25" i="2082"/>
  <c r="K25" i="2082"/>
  <c r="J25" i="2082"/>
  <c r="I25" i="2082"/>
  <c r="H25" i="2082"/>
  <c r="G25" i="2082"/>
  <c r="F25" i="2082"/>
  <c r="E25" i="2082"/>
  <c r="D25" i="2082"/>
  <c r="AE19" i="2082"/>
  <c r="AD19" i="2082"/>
  <c r="AC19" i="2082"/>
  <c r="AB19" i="2082"/>
  <c r="AA19" i="2082"/>
  <c r="Z19" i="2082"/>
  <c r="Y19" i="2082"/>
  <c r="X19" i="2082"/>
  <c r="T33" i="2082" s="1"/>
  <c r="W19" i="2082"/>
  <c r="V19" i="2082"/>
  <c r="U19" i="2082"/>
  <c r="Z33" i="2082" s="1"/>
  <c r="T19" i="2082"/>
  <c r="S19" i="2082"/>
  <c r="R19" i="2082"/>
  <c r="Q19" i="2082"/>
  <c r="P19" i="2082"/>
  <c r="O19" i="2082"/>
  <c r="N19" i="2082"/>
  <c r="G33" i="2082" s="1"/>
  <c r="M19" i="2082"/>
  <c r="H33" i="2082" s="1"/>
  <c r="L19" i="2082"/>
  <c r="K19" i="2082"/>
  <c r="J19" i="2082"/>
  <c r="I19" i="2082"/>
  <c r="AB33" i="2082" s="1"/>
  <c r="H19" i="2082"/>
  <c r="G19" i="2082"/>
  <c r="F19" i="2082"/>
  <c r="E19" i="2082"/>
  <c r="D19" i="2082"/>
  <c r="AE16" i="2082"/>
  <c r="AD16" i="2082"/>
  <c r="AC16" i="2082"/>
  <c r="AB16" i="2082"/>
  <c r="AA16" i="2082"/>
  <c r="Z16" i="2082"/>
  <c r="X16" i="2082"/>
  <c r="W16" i="2082"/>
  <c r="V16" i="2082"/>
  <c r="U16" i="2082"/>
  <c r="T16" i="2082"/>
  <c r="S16" i="2082"/>
  <c r="R16" i="2082"/>
  <c r="Q16" i="2082"/>
  <c r="P16" i="2082"/>
  <c r="O16" i="2082"/>
  <c r="N16" i="2082"/>
  <c r="M16" i="2082"/>
  <c r="L16" i="2082"/>
  <c r="K16" i="2082"/>
  <c r="J16" i="2082"/>
  <c r="I16" i="2082"/>
  <c r="H16" i="2082"/>
  <c r="G16" i="2082"/>
  <c r="F16" i="2082"/>
  <c r="E16" i="2082"/>
  <c r="D16" i="2082"/>
  <c r="AE10" i="2082"/>
  <c r="AD10" i="2082"/>
  <c r="AC33" i="2082" s="1"/>
  <c r="AC10" i="2082"/>
  <c r="AB10" i="2082"/>
  <c r="AA10" i="2082"/>
  <c r="D33" i="2082" s="1"/>
  <c r="Z10" i="2082"/>
  <c r="Y10" i="2082"/>
  <c r="X10" i="2082"/>
  <c r="W10" i="2082"/>
  <c r="V10" i="2082"/>
  <c r="U10" i="2082"/>
  <c r="T10" i="2082"/>
  <c r="S10" i="2082"/>
  <c r="R10" i="2082"/>
  <c r="Q10" i="2082"/>
  <c r="Y33" i="2082" s="1"/>
  <c r="P10" i="2082"/>
  <c r="N33" i="2082" s="1"/>
  <c r="O10" i="2082"/>
  <c r="N10" i="2082"/>
  <c r="M10" i="2082"/>
  <c r="L10" i="2082"/>
  <c r="K10" i="2082"/>
  <c r="J10" i="2082"/>
  <c r="I10" i="2082"/>
  <c r="E33" i="2082" s="1"/>
  <c r="H10" i="2082"/>
  <c r="G10" i="2082"/>
  <c r="F10" i="2082"/>
  <c r="E10" i="2082"/>
  <c r="D10" i="2082"/>
  <c r="AE7" i="2082"/>
  <c r="AD7" i="2082"/>
  <c r="AC7" i="2082"/>
  <c r="AB7" i="2082"/>
  <c r="AA7" i="2082"/>
  <c r="Z7" i="2082"/>
  <c r="Y7" i="2082"/>
  <c r="X7" i="2082"/>
  <c r="W7" i="2082"/>
  <c r="V7" i="2082"/>
  <c r="U7" i="2082"/>
  <c r="T7" i="2082"/>
  <c r="S7" i="2082"/>
  <c r="R7" i="2082"/>
  <c r="Q7" i="2082"/>
  <c r="P7" i="2082"/>
  <c r="O7" i="2082"/>
  <c r="N7" i="2082"/>
  <c r="M7" i="2082"/>
  <c r="L7" i="2082"/>
  <c r="K7" i="2082"/>
  <c r="J7" i="2082"/>
  <c r="I7" i="2082"/>
  <c r="H7" i="2082"/>
  <c r="G7" i="2082"/>
  <c r="F7" i="2082"/>
  <c r="E7" i="2082"/>
  <c r="D7" i="2082"/>
  <c r="V33" i="2082" l="1"/>
  <c r="AA33" i="2080"/>
  <c r="X33" i="2080"/>
  <c r="U33" i="2080"/>
  <c r="R33" i="2080"/>
  <c r="F33" i="2080"/>
  <c r="Y28" i="2080"/>
  <c r="X28" i="2080"/>
  <c r="S33" i="2080" s="1"/>
  <c r="W28" i="2080"/>
  <c r="V28" i="2080"/>
  <c r="U28" i="2080"/>
  <c r="T28" i="2080"/>
  <c r="S28" i="2080"/>
  <c r="R28" i="2080"/>
  <c r="Q28" i="2080"/>
  <c r="P28" i="2080"/>
  <c r="O28" i="2080"/>
  <c r="N28" i="2080"/>
  <c r="M28" i="2080"/>
  <c r="L28" i="2080"/>
  <c r="K28" i="2080"/>
  <c r="J28" i="2080"/>
  <c r="I28" i="2080"/>
  <c r="H28" i="2080"/>
  <c r="G28" i="2080"/>
  <c r="F28" i="2080"/>
  <c r="E28" i="2080"/>
  <c r="D28" i="2080"/>
  <c r="Y25" i="2080"/>
  <c r="X25" i="2080"/>
  <c r="W25" i="2080"/>
  <c r="V25" i="2080"/>
  <c r="U25" i="2080"/>
  <c r="T25" i="2080"/>
  <c r="S25" i="2080"/>
  <c r="R25" i="2080"/>
  <c r="Q25" i="2080"/>
  <c r="P25" i="2080"/>
  <c r="O25" i="2080"/>
  <c r="N25" i="2080"/>
  <c r="M25" i="2080"/>
  <c r="L25" i="2080"/>
  <c r="K25" i="2080"/>
  <c r="J25" i="2080"/>
  <c r="I25" i="2080"/>
  <c r="H25" i="2080"/>
  <c r="G25" i="2080"/>
  <c r="F25" i="2080"/>
  <c r="E25" i="2080"/>
  <c r="D25" i="2080"/>
  <c r="AE19" i="2080"/>
  <c r="AD19" i="2080"/>
  <c r="AC19" i="2080"/>
  <c r="AB19" i="2080"/>
  <c r="AA19" i="2080"/>
  <c r="Z19" i="2080"/>
  <c r="Y19" i="2080"/>
  <c r="X19" i="2080"/>
  <c r="T33" i="2080" s="1"/>
  <c r="W19" i="2080"/>
  <c r="V19" i="2080"/>
  <c r="U19" i="2080"/>
  <c r="T19" i="2080"/>
  <c r="S19" i="2080"/>
  <c r="R19" i="2080"/>
  <c r="Q19" i="2080"/>
  <c r="P19" i="2080"/>
  <c r="O19" i="2080"/>
  <c r="N19" i="2080"/>
  <c r="G33" i="2080" s="1"/>
  <c r="M19" i="2080"/>
  <c r="H33" i="2080" s="1"/>
  <c r="L19" i="2080"/>
  <c r="P33" i="2080" s="1"/>
  <c r="K19" i="2080"/>
  <c r="L33" i="2080" s="1"/>
  <c r="J19" i="2080"/>
  <c r="I19" i="2080"/>
  <c r="AB33" i="2080" s="1"/>
  <c r="H19" i="2080"/>
  <c r="G19" i="2080"/>
  <c r="O33" i="2080" s="1"/>
  <c r="F19" i="2080"/>
  <c r="E19" i="2080"/>
  <c r="D19" i="2080"/>
  <c r="AE16" i="2080"/>
  <c r="AD16" i="2080"/>
  <c r="AC16" i="2080"/>
  <c r="AB16" i="2080"/>
  <c r="AA16" i="2080"/>
  <c r="Z16" i="2080"/>
  <c r="X16" i="2080"/>
  <c r="W16" i="2080"/>
  <c r="V16" i="2080"/>
  <c r="U16" i="2080"/>
  <c r="T16" i="2080"/>
  <c r="S16" i="2080"/>
  <c r="R16" i="2080"/>
  <c r="Q16" i="2080"/>
  <c r="P16" i="2080"/>
  <c r="O16" i="2080"/>
  <c r="N16" i="2080"/>
  <c r="M16" i="2080"/>
  <c r="L16" i="2080"/>
  <c r="K16" i="2080"/>
  <c r="J16" i="2080"/>
  <c r="I16" i="2080"/>
  <c r="H16" i="2080"/>
  <c r="G16" i="2080"/>
  <c r="F16" i="2080"/>
  <c r="E16" i="2080"/>
  <c r="D16" i="2080"/>
  <c r="AE10" i="2080"/>
  <c r="AD10" i="2080"/>
  <c r="AC10" i="2080"/>
  <c r="AB10" i="2080"/>
  <c r="AA10" i="2080"/>
  <c r="Z10" i="2080"/>
  <c r="Y10" i="2080"/>
  <c r="X10" i="2080"/>
  <c r="W10" i="2080"/>
  <c r="V10" i="2080"/>
  <c r="U10" i="2080"/>
  <c r="T10" i="2080"/>
  <c r="S10" i="2080"/>
  <c r="R10" i="2080"/>
  <c r="Q10" i="2080"/>
  <c r="P10" i="2080"/>
  <c r="O10" i="2080"/>
  <c r="N10" i="2080"/>
  <c r="M10" i="2080"/>
  <c r="L10" i="2080"/>
  <c r="K10" i="2080"/>
  <c r="J10" i="2080"/>
  <c r="Q33" i="2080" s="1"/>
  <c r="I10" i="2080"/>
  <c r="E33" i="2080" s="1"/>
  <c r="H10" i="2080"/>
  <c r="G10" i="2080"/>
  <c r="F10" i="2080"/>
  <c r="E10" i="2080"/>
  <c r="D10" i="2080"/>
  <c r="AE7" i="2080"/>
  <c r="AD7" i="2080"/>
  <c r="AC7" i="2080"/>
  <c r="AB7" i="2080"/>
  <c r="AA7" i="2080"/>
  <c r="Z7" i="2080"/>
  <c r="Y7" i="2080"/>
  <c r="X7" i="2080"/>
  <c r="W7" i="2080"/>
  <c r="V7" i="2080"/>
  <c r="U7" i="2080"/>
  <c r="T7" i="2080"/>
  <c r="S7" i="2080"/>
  <c r="R7" i="2080"/>
  <c r="Q7" i="2080"/>
  <c r="P7" i="2080"/>
  <c r="O7" i="2080"/>
  <c r="N7" i="2080"/>
  <c r="M7" i="2080"/>
  <c r="L7" i="2080"/>
  <c r="K7" i="2080"/>
  <c r="J7" i="2080"/>
  <c r="I7" i="2080"/>
  <c r="H7" i="2080"/>
  <c r="G7" i="2080"/>
  <c r="F7" i="2080"/>
  <c r="E7" i="2080"/>
  <c r="D7" i="2080"/>
  <c r="W33" i="2080" l="1"/>
  <c r="J33" i="2080"/>
  <c r="AC33" i="2080"/>
  <c r="D33" i="2080"/>
  <c r="Z33" i="2080"/>
  <c r="Y33" i="2080"/>
  <c r="N33" i="2080"/>
  <c r="K33" i="2080"/>
  <c r="M33" i="2080"/>
  <c r="V33" i="2080"/>
  <c r="S35" i="13" l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<sst xmlns="http://schemas.openxmlformats.org/spreadsheetml/2006/main" count="22310" uniqueCount="649">
  <si>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</si>
  <si>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</si>
  <si>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</si>
  <si>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</si>
  <si>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</si>
  <si>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</si>
  <si>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</si>
  <si>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</si>
  <si>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</si>
  <si>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</si>
  <si>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</si>
  <si>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</si>
  <si>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</si>
  <si>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</si>
  <si>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</si>
  <si>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</si>
  <si>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</si>
  <si>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</si>
  <si>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</si>
  <si>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</si>
  <si>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</si>
  <si>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</si>
  <si>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</si>
  <si>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</si>
  <si>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</si>
  <si>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</si>
  <si>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</si>
  <si>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</si>
  <si>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</si>
  <si>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</si>
  <si>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</si>
  <si>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</si>
  <si>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</si>
  <si>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</si>
  <si>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</si>
  <si>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</si>
  <si>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</si>
  <si>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</si>
  <si>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</si>
  <si>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</si>
  <si>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</si>
  <si>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</si>
  <si>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</si>
  <si>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</si>
  <si>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</si>
  <si>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</si>
  <si>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</si>
  <si>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</si>
  <si>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</si>
  <si>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</si>
  <si>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</si>
  <si>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</si>
  <si>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</si>
  <si>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</si>
  <si>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</si>
  <si>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</si>
  <si>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</si>
  <si>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</si>
  <si>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</si>
  <si>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</si>
  <si>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</si>
  <si>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</si>
  <si>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</si>
  <si>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</si>
  <si>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</si>
  <si>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</si>
  <si>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</si>
  <si>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</si>
  <si>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</si>
  <si>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</si>
  <si>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</si>
  <si>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</si>
  <si>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</si>
  <si>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</si>
  <si>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</si>
  <si>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</si>
  <si>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</si>
  <si>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</si>
  <si>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</si>
  <si>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</si>
  <si>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</si>
  <si>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</si>
  <si>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</si>
  <si>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</si>
  <si>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</si>
  <si>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</si>
  <si>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</si>
  <si>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</si>
  <si>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</si>
  <si>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</si>
  <si>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</si>
  <si>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</si>
  <si>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</si>
  <si>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</si>
  <si>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</si>
  <si>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</si>
  <si>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</si>
  <si>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</si>
  <si>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</si>
  <si>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</si>
  <si>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</si>
  <si>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</si>
  <si>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</si>
  <si>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</si>
  <si>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</si>
  <si>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</si>
  <si>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</si>
  <si>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</si>
  <si>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</si>
  <si>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</si>
  <si>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</si>
  <si>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</si>
  <si>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</si>
  <si>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</si>
  <si>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</si>
  <si>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</si>
  <si>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</si>
  <si>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</si>
  <si>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</si>
  <si>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</si>
  <si>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</si>
  <si>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</si>
  <si>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</si>
  <si>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</si>
  <si>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</si>
  <si>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</si>
  <si>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</si>
  <si>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</si>
  <si>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</si>
  <si>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</si>
  <si>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</si>
  <si>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</si>
  <si>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</si>
  <si>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</si>
  <si>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</si>
  <si>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</si>
  <si>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</si>
  <si>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</si>
  <si>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</si>
  <si>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</si>
  <si>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</si>
  <si>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</si>
  <si>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</si>
  <si>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</si>
  <si>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</si>
  <si>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</si>
  <si>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</si>
  <si>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</si>
  <si>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</si>
  <si>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</si>
  <si>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</si>
  <si>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</si>
  <si>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</si>
  <si>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</si>
  <si>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</si>
  <si>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</si>
  <si>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</si>
  <si>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</si>
  <si>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</si>
  <si>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</si>
  <si>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</si>
  <si>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</si>
  <si>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</si>
  <si>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</si>
  <si>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</si>
  <si>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</si>
  <si>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</si>
  <si>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</si>
  <si>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</si>
  <si>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</si>
  <si>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</si>
  <si>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</si>
  <si>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</si>
  <si>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</si>
  <si>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</si>
  <si>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</si>
  <si>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</si>
  <si>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</si>
  <si>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</si>
  <si>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</si>
  <si>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</si>
  <si>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</si>
  <si>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</si>
  <si>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</si>
  <si>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</si>
  <si>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</si>
  <si>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</si>
  <si>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</si>
  <si>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</si>
  <si>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</si>
  <si>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</si>
  <si>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</si>
  <si>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</si>
  <si>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</si>
  <si>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</si>
  <si>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</si>
  <si>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</si>
  <si>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</si>
  <si>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</si>
  <si>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</si>
  <si>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</si>
  <si>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</si>
  <si>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</si>
  <si>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</si>
  <si>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</si>
  <si>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</si>
  <si>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</si>
  <si>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</si>
  <si>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</si>
  <si>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</si>
  <si>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</si>
  <si>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</si>
  <si>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</si>
  <si>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</si>
  <si>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</si>
  <si>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</si>
  <si>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</si>
  <si>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</si>
  <si>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</si>
  <si>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</si>
  <si>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</si>
  <si>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</si>
  <si>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</si>
  <si>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</si>
  <si>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</si>
  <si>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</si>
  <si>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</si>
  <si>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</si>
  <si>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</si>
  <si>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</si>
  <si>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</si>
  <si>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</si>
  <si>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</si>
  <si>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</si>
  <si>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</si>
  <si>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</si>
  <si>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</si>
  <si>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</si>
  <si>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</si>
  <si>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</si>
  <si>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</si>
  <si>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</si>
  <si>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</si>
  <si>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</si>
  <si>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</si>
  <si>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</si>
  <si>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</si>
  <si>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</si>
  <si>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</si>
  <si>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</si>
  <si>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</si>
  <si>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</si>
  <si>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</si>
  <si>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</si>
  <si>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</si>
  <si>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</si>
  <si>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</si>
  <si>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</si>
  <si>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</si>
  <si>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</si>
  <si>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</si>
  <si>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</si>
  <si>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</si>
  <si>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</si>
  <si>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</si>
  <si>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</si>
  <si>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</si>
  <si>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</si>
  <si>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</si>
  <si>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</si>
  <si>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</si>
  <si>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</si>
  <si>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</si>
  <si>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</si>
  <si>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</si>
  <si>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</si>
  <si>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</si>
  <si>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</si>
  <si>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</si>
  <si>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</si>
  <si>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</si>
  <si>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</si>
  <si>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</si>
  <si>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</si>
  <si>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</si>
  <si>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</si>
  <si>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</si>
  <si>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</si>
  <si>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</si>
  <si>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</si>
  <si>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</si>
  <si>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</si>
  <si>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</si>
  <si>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</si>
  <si>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</si>
  <si>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</si>
  <si>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</si>
  <si>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</si>
  <si>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</si>
  <si>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</si>
  <si>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</si>
  <si>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</si>
  <si>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</si>
  <si>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</si>
  <si>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</si>
  <si>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</si>
  <si>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</si>
  <si>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</si>
  <si>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</si>
  <si>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</si>
  <si>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</si>
  <si>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</si>
  <si>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</si>
  <si>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</si>
  <si>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</si>
  <si>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</si>
  <si>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</si>
  <si>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</si>
  <si>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</si>
  <si>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</si>
  <si>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</si>
  <si>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</si>
  <si>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</si>
  <si>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</si>
  <si>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</si>
  <si>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</si>
  <si>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</si>
  <si>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</si>
  <si>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</si>
  <si>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</si>
  <si>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</si>
  <si>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</si>
  <si>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</si>
  <si>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</si>
  <si>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</si>
  <si>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</si>
  <si>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</si>
  <si>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</si>
  <si>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</si>
  <si>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</si>
  <si>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</si>
  <si>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</si>
  <si>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</si>
  <si>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</si>
  <si>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</si>
  <si>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</si>
  <si>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</si>
  <si>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</si>
  <si>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</si>
  <si>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</si>
  <si>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</si>
  <si>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</si>
  <si>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</si>
  <si>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</si>
  <si>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</si>
  <si>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</si>
  <si>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</si>
  <si>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</si>
  <si>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</si>
  <si>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</si>
  <si>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</si>
  <si>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</si>
  <si>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</si>
  <si>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</si>
  <si>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</si>
  <si>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</si>
  <si>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</si>
  <si>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</si>
  <si>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</si>
  <si>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</si>
  <si>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</si>
  <si>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</si>
  <si>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</si>
  <si>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</si>
  <si>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</si>
  <si>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</si>
  <si>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</si>
  <si>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</si>
  <si>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</si>
  <si>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</si>
  <si>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</si>
  <si>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</si>
  <si>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</si>
  <si>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</si>
  <si>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</si>
  <si>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</si>
  <si>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</si>
  <si>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</si>
  <si>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</si>
  <si>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</si>
  <si>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</si>
  <si>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</si>
  <si>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</si>
  <si>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</si>
  <si>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</si>
  <si>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</si>
  <si>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</si>
  <si>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</si>
  <si>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</si>
  <si>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</si>
  <si>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</si>
  <si>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</si>
  <si>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</si>
  <si>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</si>
  <si>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</si>
  <si>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</si>
  <si>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</si>
  <si>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</si>
  <si>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</si>
  <si>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</si>
  <si>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</si>
  <si>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</si>
  <si>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</si>
  <si>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</si>
  <si>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</si>
  <si>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</si>
  <si>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</si>
  <si>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</si>
  <si>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</si>
  <si>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</si>
  <si>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</si>
  <si>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</si>
  <si>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</si>
  <si>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</si>
  <si>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</si>
  <si>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</si>
  <si>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</si>
  <si>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</si>
  <si>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</si>
  <si>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</si>
  <si>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</si>
  <si>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</si>
  <si>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</si>
  <si>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</si>
  <si>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</si>
  <si>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</si>
  <si>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</si>
  <si>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</si>
  <si>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</si>
  <si>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</si>
  <si>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</si>
  <si>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</si>
  <si>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</si>
  <si>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</si>
  <si>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</si>
  <si>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</si>
  <si>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</si>
  <si>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</si>
  <si>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</si>
  <si>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</si>
  <si>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</si>
  <si>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</si>
  <si>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</si>
  <si>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</si>
  <si>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</si>
  <si>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</si>
  <si>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</si>
  <si>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</si>
  <si>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</si>
  <si>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</si>
  <si>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</si>
  <si>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</si>
  <si>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</si>
  <si>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</si>
  <si>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</si>
  <si>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</si>
  <si>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</si>
  <si>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</si>
  <si>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</si>
  <si>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</si>
  <si>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</si>
  <si>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</si>
  <si>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</si>
  <si>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</si>
  <si>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</si>
  <si>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</si>
  <si>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</si>
  <si>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</si>
  <si>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</si>
  <si>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</si>
  <si>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</si>
  <si>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</si>
  <si>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</si>
  <si>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</si>
  <si>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</si>
  <si>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</si>
  <si>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</si>
  <si>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</si>
  <si>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</si>
  <si>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</si>
  <si>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</si>
  <si>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</si>
  <si>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</si>
  <si>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</si>
  <si>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</si>
  <si>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</si>
  <si>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</si>
  <si>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</si>
  <si>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</si>
  <si>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</si>
  <si>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</si>
  <si>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</si>
  <si>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</si>
  <si>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</si>
  <si>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</si>
  <si>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</si>
  <si>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</si>
  <si>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</si>
  <si>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</si>
  <si>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</si>
  <si>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</si>
  <si>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</si>
  <si>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</si>
  <si>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</si>
  <si>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</si>
  <si>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</si>
  <si>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</si>
  <si>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</si>
  <si>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</si>
  <si>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</si>
  <si>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</si>
  <si>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</si>
  <si>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</si>
  <si>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</si>
  <si>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</si>
  <si>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</si>
  <si>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</si>
  <si>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</si>
  <si>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</si>
  <si>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</si>
  <si>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</si>
  <si>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</si>
  <si>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</si>
  <si>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</si>
  <si>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</si>
  <si>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</si>
  <si>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</si>
  <si>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</si>
  <si>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</si>
  <si>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</si>
  <si>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</si>
  <si>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</si>
  <si>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</si>
  <si>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</si>
  <si>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</si>
  <si>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</si>
  <si>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</si>
  <si>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</si>
  <si>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</si>
  <si>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</si>
  <si>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</si>
  <si>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</si>
  <si>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</si>
  <si>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</si>
  <si>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</si>
  <si>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</si>
  <si>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</si>
  <si>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</si>
  <si>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</si>
  <si>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</si>
  <si>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</si>
  <si>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</si>
  <si>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</si>
  <si>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</si>
  <si>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</si>
  <si>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</si>
  <si>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</si>
  <si>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</si>
  <si>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</si>
  <si>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</si>
  <si>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</si>
  <si>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</si>
  <si>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</si>
  <si>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</si>
  <si>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</si>
  <si>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</si>
  <si>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</si>
  <si>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</si>
  <si>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</si>
  <si>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</si>
  <si>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</si>
  <si>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</si>
  <si>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</si>
  <si>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</si>
  <si>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</si>
  <si>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</si>
  <si>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</si>
  <si>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</si>
  <si>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</si>
  <si>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</si>
  <si>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</si>
  <si>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</si>
  <si>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</si>
  <si>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</si>
  <si>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</si>
  <si>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</si>
  <si>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</si>
  <si>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</si>
  <si>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</si>
  <si>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</si>
  <si>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</si>
  <si>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</si>
  <si>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</si>
  <si>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</si>
  <si>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</si>
  <si>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</si>
  <si>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</si>
  <si>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</si>
  <si>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</si>
  <si>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</si>
  <si>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</si>
  <si>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</si>
  <si>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</si>
  <si>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</si>
  <si>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</si>
  <si>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</si>
  <si>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</si>
  <si>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</si>
  <si>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</si>
  <si>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</si>
  <si>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</si>
  <si>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</si>
  <si>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</si>
  <si>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</si>
  <si>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</si>
  <si>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</si>
  <si>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</si>
  <si>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</si>
  <si>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</si>
  <si>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</si>
  <si>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</si>
  <si>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</si>
  <si>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</si>
  <si>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</si>
  <si>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</si>
  <si>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</si>
  <si>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陳志修</t>
    <phoneticPr fontId="2" type="noConversion"/>
  </si>
  <si>
    <t>待處理廢水</t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</si>
  <si>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</si>
  <si>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>19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</si>
  <si>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江承河</t>
    <phoneticPr fontId="2" type="noConversion"/>
  </si>
  <si>
    <t>張立杰</t>
    <phoneticPr fontId="2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</si>
  <si>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</t>
    </r>
    <r>
      <rPr>
        <u/>
        <sz val="8"/>
        <rFont val="微軟正黑體"/>
        <family val="2"/>
        <charset val="136"/>
      </rPr>
      <t>14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</si>
  <si>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15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</si>
  <si>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16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</si>
  <si>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18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</si>
  <si>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14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</si>
  <si>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17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</si>
  <si>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21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</si>
</sst>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7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22"/>
      <name val="微軟正黑體"/>
      <family val="2"/>
      <charset val="136"/>
    </font>
    <font>
      <u/>
      <sz val="8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51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3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35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0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47393" name="Button 1" hidden="1">
              <a:extLst>
                <a:ext uri="{63B3BB69-23CF-44E3-9099-C40C66FF867C}">
                  <a14:compatExt spid="_x0000_s274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49441" name="Button 1" hidden="1">
              <a:extLst>
                <a:ext uri="{63B3BB69-23CF-44E3-9099-C40C66FF867C}">
                  <a14:compatExt spid="_x0000_s2749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51489" name="Button 1" hidden="1">
              <a:extLst>
                <a:ext uri="{63B3BB69-23CF-44E3-9099-C40C66FF867C}">
                  <a14:compatExt spid="_x0000_s275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52513" name="Button 1" hidden="1">
              <a:extLst>
                <a:ext uri="{63B3BB69-23CF-44E3-9099-C40C66FF867C}">
                  <a14:compatExt spid="_x0000_s2752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54561" name="Button 1" hidden="1">
              <a:extLst>
                <a:ext uri="{63B3BB69-23CF-44E3-9099-C40C66FF867C}">
                  <a14:compatExt spid="_x0000_s2754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56609" name="Button 1" hidden="1">
              <a:extLst>
                <a:ext uri="{63B3BB69-23CF-44E3-9099-C40C66FF867C}">
                  <a14:compatExt spid="_x0000_s2756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58657" name="Button 1" hidden="1">
              <a:extLst>
                <a:ext uri="{63B3BB69-23CF-44E3-9099-C40C66FF867C}">
                  <a14:compatExt spid="_x0000_s275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59681" name="Button 1" hidden="1">
              <a:extLst>
                <a:ext uri="{63B3BB69-23CF-44E3-9099-C40C66FF867C}">
                  <a14:compatExt spid="_x0000_s2759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60705" name="Button 1" hidden="1">
              <a:extLst>
                <a:ext uri="{63B3BB69-23CF-44E3-9099-C40C66FF867C}">
                  <a14:compatExt spid="_x0000_s2760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62753" name="Button 1" hidden="1">
              <a:extLst>
                <a:ext uri="{63B3BB69-23CF-44E3-9099-C40C66FF867C}">
                  <a14:compatExt spid="_x0000_s2762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63777" name="Button 1" hidden="1">
              <a:extLst>
                <a:ext uri="{63B3BB69-23CF-44E3-9099-C40C66FF867C}">
                  <a14:compatExt spid="_x0000_s2763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64801" name="Button 1" hidden="1">
              <a:extLst>
                <a:ext uri="{63B3BB69-23CF-44E3-9099-C40C66FF867C}">
                  <a14:compatExt spid="_x0000_s276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66849" name="Button 1" hidden="1">
              <a:extLst>
                <a:ext uri="{63B3BB69-23CF-44E3-9099-C40C66FF867C}">
                  <a14:compatExt spid="_x0000_s276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67873" name="Button 1" hidden="1">
              <a:extLst>
                <a:ext uri="{63B3BB69-23CF-44E3-9099-C40C66FF867C}">
                  <a14:compatExt spid="_x0000_s276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69921" name="Button 1" hidden="1">
              <a:extLst>
                <a:ext uri="{63B3BB69-23CF-44E3-9099-C40C66FF867C}">
                  <a14:compatExt spid="_x0000_s2769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1979" dataDxfId="1978" headerRowCellStyle="一般 2" dataCellStyle="一般 2">
  <autoFilter ref="AG13:BH189"/>
  <tableColumns count="28">
    <tableColumn id="1" uniqueName="1" name="請直接以10進位，謝謝" queryTableFieldId="1" dataDxfId="1977" dataCellStyle="一般 2"/>
    <tableColumn id="2" uniqueName="2" name="F2" queryTableFieldId="2" dataDxfId="1976" dataCellStyle="一般 2"/>
    <tableColumn id="3" uniqueName="3" name="F3" queryTableFieldId="3" dataDxfId="1975" dataCellStyle="一般 2"/>
    <tableColumn id="4" uniqueName="4" name="F4" queryTableFieldId="4" dataDxfId="1974" dataCellStyle="一般 2"/>
    <tableColumn id="5" uniqueName="5" name="F5" queryTableFieldId="5" dataDxfId="1973" dataCellStyle="一般 2"/>
    <tableColumn id="6" uniqueName="6" name="F6" queryTableFieldId="6" dataDxfId="1972" dataCellStyle="一般 2"/>
    <tableColumn id="7" uniqueName="7" name="F7" queryTableFieldId="7" dataDxfId="1971" dataCellStyle="一般 2"/>
    <tableColumn id="8" uniqueName="8" name="F8" queryTableFieldId="8" dataDxfId="1970" dataCellStyle="一般 2"/>
    <tableColumn id="9" uniqueName="9" name="F9" queryTableFieldId="9" dataDxfId="1969" dataCellStyle="一般 2"/>
    <tableColumn id="10" uniqueName="10" name="F10" queryTableFieldId="10" dataDxfId="1968" dataCellStyle="一般 2"/>
    <tableColumn id="11" uniqueName="11" name="F11" queryTableFieldId="11" dataDxfId="1967" dataCellStyle="一般 2"/>
    <tableColumn id="12" uniqueName="12" name="F12" queryTableFieldId="12" dataDxfId="1966" dataCellStyle="一般 2"/>
    <tableColumn id="13" uniqueName="13" name="F13" queryTableFieldId="13" dataDxfId="1965" dataCellStyle="一般 2"/>
    <tableColumn id="14" uniqueName="14" name="F14" queryTableFieldId="14" dataDxfId="1964" dataCellStyle="一般 2"/>
    <tableColumn id="15" uniqueName="15" name="F15" queryTableFieldId="15" dataDxfId="1963" dataCellStyle="一般 2"/>
    <tableColumn id="16" uniqueName="16" name="F16" queryTableFieldId="16" dataDxfId="1962" dataCellStyle="一般 2"/>
    <tableColumn id="17" uniqueName="17" name="F17" queryTableFieldId="17" dataDxfId="1961" dataCellStyle="一般 2"/>
    <tableColumn id="18" uniqueName="18" name="F18" queryTableFieldId="18" dataDxfId="1960" dataCellStyle="一般 2"/>
    <tableColumn id="19" uniqueName="19" name="F19" queryTableFieldId="19" dataDxfId="1959" dataCellStyle="一般 2"/>
    <tableColumn id="20" uniqueName="20" name="F20" queryTableFieldId="20" dataDxfId="1958" dataCellStyle="一般 2"/>
    <tableColumn id="21" uniqueName="21" name="F21" queryTableFieldId="21" dataDxfId="1957" dataCellStyle="一般 2"/>
    <tableColumn id="22" uniqueName="22" name="2024/6/24 14:52" queryTableFieldId="22" dataDxfId="1956" dataCellStyle="一般 2"/>
    <tableColumn id="23" uniqueName="23" name="F23" queryTableFieldId="23" dataDxfId="1955" dataCellStyle="一般 2"/>
    <tableColumn id="24" uniqueName="24" name="F24" queryTableFieldId="24" dataDxfId="1954" dataCellStyle="一般 2"/>
    <tableColumn id="25" uniqueName="25" name="F25" queryTableFieldId="25" dataDxfId="1953" dataCellStyle="一般 2"/>
    <tableColumn id="26" uniqueName="26" name="F26" queryTableFieldId="26" dataDxfId="1952" dataCellStyle="一般 2"/>
    <tableColumn id="27" uniqueName="27" name="F27" queryTableFieldId="27" dataDxfId="1951" dataCellStyle="一般 2"/>
    <tableColumn id="28" uniqueName="28" name="F28" queryTableFieldId="28" dataDxfId="195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1849" dataDxfId="1848" headerRowCellStyle="一般 2" dataCellStyle="一般 2">
  <autoFilter ref="AG13:BH189"/>
  <tableColumns count="28">
    <tableColumn id="1" uniqueName="1" name="請直接以10進位，謝謝" queryTableFieldId="1" dataDxfId="1847" dataCellStyle="一般 2"/>
    <tableColumn id="2" uniqueName="2" name="F2" queryTableFieldId="2" dataDxfId="1846" dataCellStyle="一般 2"/>
    <tableColumn id="3" uniqueName="3" name="F3" queryTableFieldId="3" dataDxfId="1845" dataCellStyle="一般 2"/>
    <tableColumn id="4" uniqueName="4" name="F4" queryTableFieldId="4" dataDxfId="1844" dataCellStyle="一般 2"/>
    <tableColumn id="5" uniqueName="5" name="F5" queryTableFieldId="5" dataDxfId="1843" dataCellStyle="一般 2"/>
    <tableColumn id="6" uniqueName="6" name="F6" queryTableFieldId="6" dataDxfId="1842" dataCellStyle="一般 2"/>
    <tableColumn id="7" uniqueName="7" name="F7" queryTableFieldId="7" dataDxfId="1841" dataCellStyle="一般 2"/>
    <tableColumn id="8" uniqueName="8" name="F8" queryTableFieldId="8" dataDxfId="1840" dataCellStyle="一般 2"/>
    <tableColumn id="9" uniqueName="9" name="F9" queryTableFieldId="9" dataDxfId="1839" dataCellStyle="一般 2"/>
    <tableColumn id="10" uniqueName="10" name="F10" queryTableFieldId="10" dataDxfId="1838" dataCellStyle="一般 2"/>
    <tableColumn id="11" uniqueName="11" name="F11" queryTableFieldId="11" dataDxfId="1837" dataCellStyle="一般 2"/>
    <tableColumn id="12" uniqueName="12" name="F12" queryTableFieldId="12" dataDxfId="1836" dataCellStyle="一般 2"/>
    <tableColumn id="13" uniqueName="13" name="F13" queryTableFieldId="13" dataDxfId="1835" dataCellStyle="一般 2"/>
    <tableColumn id="14" uniqueName="14" name="F14" queryTableFieldId="14" dataDxfId="1834" dataCellStyle="一般 2"/>
    <tableColumn id="15" uniqueName="15" name="F15" queryTableFieldId="15" dataDxfId="1833" dataCellStyle="一般 2"/>
    <tableColumn id="16" uniqueName="16" name="F16" queryTableFieldId="16" dataDxfId="1832" dataCellStyle="一般 2"/>
    <tableColumn id="17" uniqueName="17" name="F17" queryTableFieldId="17" dataDxfId="1831" dataCellStyle="一般 2"/>
    <tableColumn id="18" uniqueName="18" name="F18" queryTableFieldId="18" dataDxfId="1830" dataCellStyle="一般 2"/>
    <tableColumn id="19" uniqueName="19" name="F19" queryTableFieldId="19" dataDxfId="1829" dataCellStyle="一般 2"/>
    <tableColumn id="20" uniqueName="20" name="F20" queryTableFieldId="20" dataDxfId="1828" dataCellStyle="一般 2"/>
    <tableColumn id="21" uniqueName="21" name="F21" queryTableFieldId="21" dataDxfId="1827" dataCellStyle="一般 2"/>
    <tableColumn id="22" uniqueName="22" name="2024/6/24 14:52" queryTableFieldId="22" dataDxfId="1826" dataCellStyle="一般 2"/>
    <tableColumn id="23" uniqueName="23" name="F23" queryTableFieldId="23" dataDxfId="1825" dataCellStyle="一般 2"/>
    <tableColumn id="24" uniqueName="24" name="F24" queryTableFieldId="24" dataDxfId="1824" dataCellStyle="一般 2"/>
    <tableColumn id="25" uniqueName="25" name="F25" queryTableFieldId="25" dataDxfId="1823" dataCellStyle="一般 2"/>
    <tableColumn id="26" uniqueName="26" name="F26" queryTableFieldId="26" dataDxfId="1822" dataCellStyle="一般 2"/>
    <tableColumn id="27" uniqueName="27" name="F27" queryTableFieldId="27" dataDxfId="1821" dataCellStyle="一般 2"/>
    <tableColumn id="28" uniqueName="28" name="F28" queryTableFieldId="28" dataDxfId="1820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1719" dataDxfId="1718" headerRowCellStyle="一般 2" dataCellStyle="一般 2">
  <autoFilter ref="AG13:BH189"/>
  <tableColumns count="28">
    <tableColumn id="1" uniqueName="1" name="請直接以10進位，謝謝" queryTableFieldId="1" dataDxfId="1717" dataCellStyle="一般 2"/>
    <tableColumn id="2" uniqueName="2" name="F2" queryTableFieldId="2" dataDxfId="1716" dataCellStyle="一般 2"/>
    <tableColumn id="3" uniqueName="3" name="F3" queryTableFieldId="3" dataDxfId="1715" dataCellStyle="一般 2"/>
    <tableColumn id="4" uniqueName="4" name="F4" queryTableFieldId="4" dataDxfId="1714" dataCellStyle="一般 2"/>
    <tableColumn id="5" uniqueName="5" name="F5" queryTableFieldId="5" dataDxfId="1713" dataCellStyle="一般 2"/>
    <tableColumn id="6" uniqueName="6" name="F6" queryTableFieldId="6" dataDxfId="1712" dataCellStyle="一般 2"/>
    <tableColumn id="7" uniqueName="7" name="F7" queryTableFieldId="7" dataDxfId="1711" dataCellStyle="一般 2"/>
    <tableColumn id="8" uniqueName="8" name="F8" queryTableFieldId="8" dataDxfId="1710" dataCellStyle="一般 2"/>
    <tableColumn id="9" uniqueName="9" name="F9" queryTableFieldId="9" dataDxfId="1709" dataCellStyle="一般 2"/>
    <tableColumn id="10" uniqueName="10" name="F10" queryTableFieldId="10" dataDxfId="1708" dataCellStyle="一般 2"/>
    <tableColumn id="11" uniqueName="11" name="F11" queryTableFieldId="11" dataDxfId="1707" dataCellStyle="一般 2"/>
    <tableColumn id="12" uniqueName="12" name="F12" queryTableFieldId="12" dataDxfId="1706" dataCellStyle="一般 2"/>
    <tableColumn id="13" uniqueName="13" name="F13" queryTableFieldId="13" dataDxfId="1705" dataCellStyle="一般 2"/>
    <tableColumn id="14" uniqueName="14" name="F14" queryTableFieldId="14" dataDxfId="1704" dataCellStyle="一般 2"/>
    <tableColumn id="15" uniqueName="15" name="F15" queryTableFieldId="15" dataDxfId="1703" dataCellStyle="一般 2"/>
    <tableColumn id="16" uniqueName="16" name="F16" queryTableFieldId="16" dataDxfId="1702" dataCellStyle="一般 2"/>
    <tableColumn id="17" uniqueName="17" name="F17" queryTableFieldId="17" dataDxfId="1701" dataCellStyle="一般 2"/>
    <tableColumn id="18" uniqueName="18" name="F18" queryTableFieldId="18" dataDxfId="1700" dataCellStyle="一般 2"/>
    <tableColumn id="19" uniqueName="19" name="F19" queryTableFieldId="19" dataDxfId="1699" dataCellStyle="一般 2"/>
    <tableColumn id="20" uniqueName="20" name="F20" queryTableFieldId="20" dataDxfId="1698" dataCellStyle="一般 2"/>
    <tableColumn id="21" uniqueName="21" name="F21" queryTableFieldId="21" dataDxfId="1697" dataCellStyle="一般 2"/>
    <tableColumn id="22" uniqueName="22" name="2024/6/24 14:52" queryTableFieldId="22" dataDxfId="1696" dataCellStyle="一般 2"/>
    <tableColumn id="23" uniqueName="23" name="F23" queryTableFieldId="23" dataDxfId="1695" dataCellStyle="一般 2"/>
    <tableColumn id="24" uniqueName="24" name="F24" queryTableFieldId="24" dataDxfId="1694" dataCellStyle="一般 2"/>
    <tableColumn id="25" uniqueName="25" name="F25" queryTableFieldId="25" dataDxfId="1693" dataCellStyle="一般 2"/>
    <tableColumn id="26" uniqueName="26" name="F26" queryTableFieldId="26" dataDxfId="1692" dataCellStyle="一般 2"/>
    <tableColumn id="27" uniqueName="27" name="F27" queryTableFieldId="27" dataDxfId="1691" dataCellStyle="一般 2"/>
    <tableColumn id="28" uniqueName="28" name="F28" queryTableFieldId="28" dataDxfId="1690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1589" dataDxfId="1588" headerRowCellStyle="一般 2" dataCellStyle="一般 2">
  <autoFilter ref="AG13:BH189"/>
  <tableColumns count="28">
    <tableColumn id="1" uniqueName="1" name="請直接以10進位，謝謝" queryTableFieldId="1" dataDxfId="1587" dataCellStyle="一般 2"/>
    <tableColumn id="2" uniqueName="2" name="F2" queryTableFieldId="2" dataDxfId="1586" dataCellStyle="一般 2"/>
    <tableColumn id="3" uniqueName="3" name="F3" queryTableFieldId="3" dataDxfId="1585" dataCellStyle="一般 2"/>
    <tableColumn id="4" uniqueName="4" name="F4" queryTableFieldId="4" dataDxfId="1584" dataCellStyle="一般 2"/>
    <tableColumn id="5" uniqueName="5" name="F5" queryTableFieldId="5" dataDxfId="1583" dataCellStyle="一般 2"/>
    <tableColumn id="6" uniqueName="6" name="F6" queryTableFieldId="6" dataDxfId="1582" dataCellStyle="一般 2"/>
    <tableColumn id="7" uniqueName="7" name="F7" queryTableFieldId="7" dataDxfId="1581" dataCellStyle="一般 2"/>
    <tableColumn id="8" uniqueName="8" name="F8" queryTableFieldId="8" dataDxfId="1580" dataCellStyle="一般 2"/>
    <tableColumn id="9" uniqueName="9" name="F9" queryTableFieldId="9" dataDxfId="1579" dataCellStyle="一般 2"/>
    <tableColumn id="10" uniqueName="10" name="F10" queryTableFieldId="10" dataDxfId="1578" dataCellStyle="一般 2"/>
    <tableColumn id="11" uniqueName="11" name="F11" queryTableFieldId="11" dataDxfId="1577" dataCellStyle="一般 2"/>
    <tableColumn id="12" uniqueName="12" name="F12" queryTableFieldId="12" dataDxfId="1576" dataCellStyle="一般 2"/>
    <tableColumn id="13" uniqueName="13" name="F13" queryTableFieldId="13" dataDxfId="1575" dataCellStyle="一般 2"/>
    <tableColumn id="14" uniqueName="14" name="F14" queryTableFieldId="14" dataDxfId="1574" dataCellStyle="一般 2"/>
    <tableColumn id="15" uniqueName="15" name="F15" queryTableFieldId="15" dataDxfId="1573" dataCellStyle="一般 2"/>
    <tableColumn id="16" uniqueName="16" name="F16" queryTableFieldId="16" dataDxfId="1572" dataCellStyle="一般 2"/>
    <tableColumn id="17" uniqueName="17" name="F17" queryTableFieldId="17" dataDxfId="1571" dataCellStyle="一般 2"/>
    <tableColumn id="18" uniqueName="18" name="F18" queryTableFieldId="18" dataDxfId="1570" dataCellStyle="一般 2"/>
    <tableColumn id="19" uniqueName="19" name="F19" queryTableFieldId="19" dataDxfId="1569" dataCellStyle="一般 2"/>
    <tableColumn id="20" uniqueName="20" name="F20" queryTableFieldId="20" dataDxfId="1568" dataCellStyle="一般 2"/>
    <tableColumn id="21" uniqueName="21" name="F21" queryTableFieldId="21" dataDxfId="1567" dataCellStyle="一般 2"/>
    <tableColumn id="22" uniqueName="22" name="2024/6/24 14:52" queryTableFieldId="22" dataDxfId="1566" dataCellStyle="一般 2"/>
    <tableColumn id="23" uniqueName="23" name="F23" queryTableFieldId="23" dataDxfId="1565" dataCellStyle="一般 2"/>
    <tableColumn id="24" uniqueName="24" name="F24" queryTableFieldId="24" dataDxfId="1564" dataCellStyle="一般 2"/>
    <tableColumn id="25" uniqueName="25" name="F25" queryTableFieldId="25" dataDxfId="1563" dataCellStyle="一般 2"/>
    <tableColumn id="26" uniqueName="26" name="F26" queryTableFieldId="26" dataDxfId="1562" dataCellStyle="一般 2"/>
    <tableColumn id="27" uniqueName="27" name="F27" queryTableFieldId="27" dataDxfId="1561" dataCellStyle="一般 2"/>
    <tableColumn id="28" uniqueName="28" name="F28" queryTableFieldId="28" dataDxfId="1560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1459" dataDxfId="1458" headerRowCellStyle="一般 2" dataCellStyle="一般 2">
  <autoFilter ref="AG13:BH189"/>
  <tableColumns count="28">
    <tableColumn id="1" uniqueName="1" name="請直接以10進位，謝謝" queryTableFieldId="1" dataDxfId="1457" dataCellStyle="一般 2"/>
    <tableColumn id="2" uniqueName="2" name="F2" queryTableFieldId="2" dataDxfId="1456" dataCellStyle="一般 2"/>
    <tableColumn id="3" uniqueName="3" name="F3" queryTableFieldId="3" dataDxfId="1455" dataCellStyle="一般 2"/>
    <tableColumn id="4" uniqueName="4" name="F4" queryTableFieldId="4" dataDxfId="1454" dataCellStyle="一般 2"/>
    <tableColumn id="5" uniqueName="5" name="F5" queryTableFieldId="5" dataDxfId="1453" dataCellStyle="一般 2"/>
    <tableColumn id="6" uniqueName="6" name="F6" queryTableFieldId="6" dataDxfId="1452" dataCellStyle="一般 2"/>
    <tableColumn id="7" uniqueName="7" name="F7" queryTableFieldId="7" dataDxfId="1451" dataCellStyle="一般 2"/>
    <tableColumn id="8" uniqueName="8" name="F8" queryTableFieldId="8" dataDxfId="1450" dataCellStyle="一般 2"/>
    <tableColumn id="9" uniqueName="9" name="F9" queryTableFieldId="9" dataDxfId="1449" dataCellStyle="一般 2"/>
    <tableColumn id="10" uniqueName="10" name="F10" queryTableFieldId="10" dataDxfId="1448" dataCellStyle="一般 2"/>
    <tableColumn id="11" uniqueName="11" name="F11" queryTableFieldId="11" dataDxfId="1447" dataCellStyle="一般 2"/>
    <tableColumn id="12" uniqueName="12" name="F12" queryTableFieldId="12" dataDxfId="1446" dataCellStyle="一般 2"/>
    <tableColumn id="13" uniqueName="13" name="F13" queryTableFieldId="13" dataDxfId="1445" dataCellStyle="一般 2"/>
    <tableColumn id="14" uniqueName="14" name="F14" queryTableFieldId="14" dataDxfId="1444" dataCellStyle="一般 2"/>
    <tableColumn id="15" uniqueName="15" name="F15" queryTableFieldId="15" dataDxfId="1443" dataCellStyle="一般 2"/>
    <tableColumn id="16" uniqueName="16" name="F16" queryTableFieldId="16" dataDxfId="1442" dataCellStyle="一般 2"/>
    <tableColumn id="17" uniqueName="17" name="F17" queryTableFieldId="17" dataDxfId="1441" dataCellStyle="一般 2"/>
    <tableColumn id="18" uniqueName="18" name="F18" queryTableFieldId="18" dataDxfId="1440" dataCellStyle="一般 2"/>
    <tableColumn id="19" uniqueName="19" name="F19" queryTableFieldId="19" dataDxfId="1439" dataCellStyle="一般 2"/>
    <tableColumn id="20" uniqueName="20" name="F20" queryTableFieldId="20" dataDxfId="1438" dataCellStyle="一般 2"/>
    <tableColumn id="21" uniqueName="21" name="F21" queryTableFieldId="21" dataDxfId="1437" dataCellStyle="一般 2"/>
    <tableColumn id="22" uniqueName="22" name="2024/6/24 14:52" queryTableFieldId="22" dataDxfId="1436" dataCellStyle="一般 2"/>
    <tableColumn id="23" uniqueName="23" name="F23" queryTableFieldId="23" dataDxfId="1435" dataCellStyle="一般 2"/>
    <tableColumn id="24" uniqueName="24" name="F24" queryTableFieldId="24" dataDxfId="1434" dataCellStyle="一般 2"/>
    <tableColumn id="25" uniqueName="25" name="F25" queryTableFieldId="25" dataDxfId="1433" dataCellStyle="一般 2"/>
    <tableColumn id="26" uniqueName="26" name="F26" queryTableFieldId="26" dataDxfId="1432" dataCellStyle="一般 2"/>
    <tableColumn id="27" uniqueName="27" name="F27" queryTableFieldId="27" dataDxfId="1431" dataCellStyle="一般 2"/>
    <tableColumn id="28" uniqueName="28" name="F28" queryTableFieldId="28" dataDxfId="1430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1329" dataDxfId="1328" headerRowCellStyle="一般 2" dataCellStyle="一般 2">
  <autoFilter ref="AG13:BH189"/>
  <tableColumns count="28">
    <tableColumn id="1" uniqueName="1" name="請直接以10進位，謝謝" queryTableFieldId="1" dataDxfId="1327" dataCellStyle="一般 2"/>
    <tableColumn id="2" uniqueName="2" name="F2" queryTableFieldId="2" dataDxfId="1326" dataCellStyle="一般 2"/>
    <tableColumn id="3" uniqueName="3" name="F3" queryTableFieldId="3" dataDxfId="1325" dataCellStyle="一般 2"/>
    <tableColumn id="4" uniqueName="4" name="F4" queryTableFieldId="4" dataDxfId="1324" dataCellStyle="一般 2"/>
    <tableColumn id="5" uniqueName="5" name="F5" queryTableFieldId="5" dataDxfId="1323" dataCellStyle="一般 2"/>
    <tableColumn id="6" uniqueName="6" name="F6" queryTableFieldId="6" dataDxfId="1322" dataCellStyle="一般 2"/>
    <tableColumn id="7" uniqueName="7" name="F7" queryTableFieldId="7" dataDxfId="1321" dataCellStyle="一般 2"/>
    <tableColumn id="8" uniqueName="8" name="F8" queryTableFieldId="8" dataDxfId="1320" dataCellStyle="一般 2"/>
    <tableColumn id="9" uniqueName="9" name="F9" queryTableFieldId="9" dataDxfId="1319" dataCellStyle="一般 2"/>
    <tableColumn id="10" uniqueName="10" name="F10" queryTableFieldId="10" dataDxfId="1318" dataCellStyle="一般 2"/>
    <tableColumn id="11" uniqueName="11" name="F11" queryTableFieldId="11" dataDxfId="1317" dataCellStyle="一般 2"/>
    <tableColumn id="12" uniqueName="12" name="F12" queryTableFieldId="12" dataDxfId="1316" dataCellStyle="一般 2"/>
    <tableColumn id="13" uniqueName="13" name="F13" queryTableFieldId="13" dataDxfId="1315" dataCellStyle="一般 2"/>
    <tableColumn id="14" uniqueName="14" name="F14" queryTableFieldId="14" dataDxfId="1314" dataCellStyle="一般 2"/>
    <tableColumn id="15" uniqueName="15" name="F15" queryTableFieldId="15" dataDxfId="1313" dataCellStyle="一般 2"/>
    <tableColumn id="16" uniqueName="16" name="F16" queryTableFieldId="16" dataDxfId="1312" dataCellStyle="一般 2"/>
    <tableColumn id="17" uniqueName="17" name="F17" queryTableFieldId="17" dataDxfId="1311" dataCellStyle="一般 2"/>
    <tableColumn id="18" uniqueName="18" name="F18" queryTableFieldId="18" dataDxfId="1310" dataCellStyle="一般 2"/>
    <tableColumn id="19" uniqueName="19" name="F19" queryTableFieldId="19" dataDxfId="1309" dataCellStyle="一般 2"/>
    <tableColumn id="20" uniqueName="20" name="F20" queryTableFieldId="20" dataDxfId="1308" dataCellStyle="一般 2"/>
    <tableColumn id="21" uniqueName="21" name="F21" queryTableFieldId="21" dataDxfId="1307" dataCellStyle="一般 2"/>
    <tableColumn id="22" uniqueName="22" name="2024/6/24 14:52" queryTableFieldId="22" dataDxfId="1306" dataCellStyle="一般 2"/>
    <tableColumn id="23" uniqueName="23" name="F23" queryTableFieldId="23" dataDxfId="1305" dataCellStyle="一般 2"/>
    <tableColumn id="24" uniqueName="24" name="F24" queryTableFieldId="24" dataDxfId="1304" dataCellStyle="一般 2"/>
    <tableColumn id="25" uniqueName="25" name="F25" queryTableFieldId="25" dataDxfId="1303" dataCellStyle="一般 2"/>
    <tableColumn id="26" uniqueName="26" name="F26" queryTableFieldId="26" dataDxfId="1302" dataCellStyle="一般 2"/>
    <tableColumn id="27" uniqueName="27" name="F27" queryTableFieldId="27" dataDxfId="1301" dataCellStyle="一般 2"/>
    <tableColumn id="28" uniqueName="28" name="F28" queryTableFieldId="28" dataDxfId="1300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1199" dataDxfId="1198" headerRowCellStyle="一般 2" dataCellStyle="一般 2">
  <autoFilter ref="AG13:BH189"/>
  <tableColumns count="28">
    <tableColumn id="1" uniqueName="1" name="請直接以10進位，謝謝" queryTableFieldId="1" dataDxfId="1197" dataCellStyle="一般 2"/>
    <tableColumn id="2" uniqueName="2" name="F2" queryTableFieldId="2" dataDxfId="1196" dataCellStyle="一般 2"/>
    <tableColumn id="3" uniqueName="3" name="F3" queryTableFieldId="3" dataDxfId="1195" dataCellStyle="一般 2"/>
    <tableColumn id="4" uniqueName="4" name="F4" queryTableFieldId="4" dataDxfId="1194" dataCellStyle="一般 2"/>
    <tableColumn id="5" uniqueName="5" name="F5" queryTableFieldId="5" dataDxfId="1193" dataCellStyle="一般 2"/>
    <tableColumn id="6" uniqueName="6" name="F6" queryTableFieldId="6" dataDxfId="1192" dataCellStyle="一般 2"/>
    <tableColumn id="7" uniqueName="7" name="F7" queryTableFieldId="7" dataDxfId="1191" dataCellStyle="一般 2"/>
    <tableColumn id="8" uniqueName="8" name="F8" queryTableFieldId="8" dataDxfId="1190" dataCellStyle="一般 2"/>
    <tableColumn id="9" uniqueName="9" name="F9" queryTableFieldId="9" dataDxfId="1189" dataCellStyle="一般 2"/>
    <tableColumn id="10" uniqueName="10" name="F10" queryTableFieldId="10" dataDxfId="1188" dataCellStyle="一般 2"/>
    <tableColumn id="11" uniqueName="11" name="F11" queryTableFieldId="11" dataDxfId="1187" dataCellStyle="一般 2"/>
    <tableColumn id="12" uniqueName="12" name="F12" queryTableFieldId="12" dataDxfId="1186" dataCellStyle="一般 2"/>
    <tableColumn id="13" uniqueName="13" name="F13" queryTableFieldId="13" dataDxfId="1185" dataCellStyle="一般 2"/>
    <tableColumn id="14" uniqueName="14" name="F14" queryTableFieldId="14" dataDxfId="1184" dataCellStyle="一般 2"/>
    <tableColumn id="15" uniqueName="15" name="F15" queryTableFieldId="15" dataDxfId="1183" dataCellStyle="一般 2"/>
    <tableColumn id="16" uniqueName="16" name="F16" queryTableFieldId="16" dataDxfId="1182" dataCellStyle="一般 2"/>
    <tableColumn id="17" uniqueName="17" name="F17" queryTableFieldId="17" dataDxfId="1181" dataCellStyle="一般 2"/>
    <tableColumn id="18" uniqueName="18" name="F18" queryTableFieldId="18" dataDxfId="1180" dataCellStyle="一般 2"/>
    <tableColumn id="19" uniqueName="19" name="F19" queryTableFieldId="19" dataDxfId="1179" dataCellStyle="一般 2"/>
    <tableColumn id="20" uniqueName="20" name="F20" queryTableFieldId="20" dataDxfId="1178" dataCellStyle="一般 2"/>
    <tableColumn id="21" uniqueName="21" name="F21" queryTableFieldId="21" dataDxfId="1177" dataCellStyle="一般 2"/>
    <tableColumn id="22" uniqueName="22" name="2024/6/24 14:52" queryTableFieldId="22" dataDxfId="1176" dataCellStyle="一般 2"/>
    <tableColumn id="23" uniqueName="23" name="F23" queryTableFieldId="23" dataDxfId="1175" dataCellStyle="一般 2"/>
    <tableColumn id="24" uniqueName="24" name="F24" queryTableFieldId="24" dataDxfId="1174" dataCellStyle="一般 2"/>
    <tableColumn id="25" uniqueName="25" name="F25" queryTableFieldId="25" dataDxfId="1173" dataCellStyle="一般 2"/>
    <tableColumn id="26" uniqueName="26" name="F26" queryTableFieldId="26" dataDxfId="1172" dataCellStyle="一般 2"/>
    <tableColumn id="27" uniqueName="27" name="F27" queryTableFieldId="27" dataDxfId="1171" dataCellStyle="一般 2"/>
    <tableColumn id="28" uniqueName="28" name="F28" queryTableFieldId="28" dataDxfId="1170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1069" dataDxfId="1068" headerRowCellStyle="一般 2" dataCellStyle="一般 2">
  <autoFilter ref="AG13:BH189"/>
  <tableColumns count="28">
    <tableColumn id="1" uniqueName="1" name="請直接以10進位，謝謝" queryTableFieldId="1" dataDxfId="1067" dataCellStyle="一般 2"/>
    <tableColumn id="2" uniqueName="2" name="F2" queryTableFieldId="2" dataDxfId="1066" dataCellStyle="一般 2"/>
    <tableColumn id="3" uniqueName="3" name="F3" queryTableFieldId="3" dataDxfId="1065" dataCellStyle="一般 2"/>
    <tableColumn id="4" uniqueName="4" name="F4" queryTableFieldId="4" dataDxfId="1064" dataCellStyle="一般 2"/>
    <tableColumn id="5" uniqueName="5" name="F5" queryTableFieldId="5" dataDxfId="1063" dataCellStyle="一般 2"/>
    <tableColumn id="6" uniqueName="6" name="F6" queryTableFieldId="6" dataDxfId="1062" dataCellStyle="一般 2"/>
    <tableColumn id="7" uniqueName="7" name="F7" queryTableFieldId="7" dataDxfId="1061" dataCellStyle="一般 2"/>
    <tableColumn id="8" uniqueName="8" name="F8" queryTableFieldId="8" dataDxfId="1060" dataCellStyle="一般 2"/>
    <tableColumn id="9" uniqueName="9" name="F9" queryTableFieldId="9" dataDxfId="1059" dataCellStyle="一般 2"/>
    <tableColumn id="10" uniqueName="10" name="F10" queryTableFieldId="10" dataDxfId="1058" dataCellStyle="一般 2"/>
    <tableColumn id="11" uniqueName="11" name="F11" queryTableFieldId="11" dataDxfId="1057" dataCellStyle="一般 2"/>
    <tableColumn id="12" uniqueName="12" name="F12" queryTableFieldId="12" dataDxfId="1056" dataCellStyle="一般 2"/>
    <tableColumn id="13" uniqueName="13" name="F13" queryTableFieldId="13" dataDxfId="1055" dataCellStyle="一般 2"/>
    <tableColumn id="14" uniqueName="14" name="F14" queryTableFieldId="14" dataDxfId="1054" dataCellStyle="一般 2"/>
    <tableColumn id="15" uniqueName="15" name="F15" queryTableFieldId="15" dataDxfId="1053" dataCellStyle="一般 2"/>
    <tableColumn id="16" uniqueName="16" name="F16" queryTableFieldId="16" dataDxfId="1052" dataCellStyle="一般 2"/>
    <tableColumn id="17" uniqueName="17" name="F17" queryTableFieldId="17" dataDxfId="1051" dataCellStyle="一般 2"/>
    <tableColumn id="18" uniqueName="18" name="F18" queryTableFieldId="18" dataDxfId="1050" dataCellStyle="一般 2"/>
    <tableColumn id="19" uniqueName="19" name="F19" queryTableFieldId="19" dataDxfId="1049" dataCellStyle="一般 2"/>
    <tableColumn id="20" uniqueName="20" name="F20" queryTableFieldId="20" dataDxfId="1048" dataCellStyle="一般 2"/>
    <tableColumn id="21" uniqueName="21" name="F21" queryTableFieldId="21" dataDxfId="1047" dataCellStyle="一般 2"/>
    <tableColumn id="22" uniqueName="22" name="2024/6/24 14:52" queryTableFieldId="22" dataDxfId="1046" dataCellStyle="一般 2"/>
    <tableColumn id="23" uniqueName="23" name="F23" queryTableFieldId="23" dataDxfId="1045" dataCellStyle="一般 2"/>
    <tableColumn id="24" uniqueName="24" name="F24" queryTableFieldId="24" dataDxfId="1044" dataCellStyle="一般 2"/>
    <tableColumn id="25" uniqueName="25" name="F25" queryTableFieldId="25" dataDxfId="1043" dataCellStyle="一般 2"/>
    <tableColumn id="26" uniqueName="26" name="F26" queryTableFieldId="26" dataDxfId="1042" dataCellStyle="一般 2"/>
    <tableColumn id="27" uniqueName="27" name="F27" queryTableFieldId="27" dataDxfId="1041" dataCellStyle="一般 2"/>
    <tableColumn id="28" uniqueName="28" name="F28" queryTableFieldId="28" dataDxfId="1040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939" dataDxfId="938" headerRowCellStyle="一般 2" dataCellStyle="一般 2">
  <autoFilter ref="AG13:BH189"/>
  <tableColumns count="28">
    <tableColumn id="1" uniqueName="1" name="請直接以10進位，謝謝" queryTableFieldId="1" dataDxfId="937" dataCellStyle="一般 2"/>
    <tableColumn id="2" uniqueName="2" name="F2" queryTableFieldId="2" dataDxfId="936" dataCellStyle="一般 2"/>
    <tableColumn id="3" uniqueName="3" name="F3" queryTableFieldId="3" dataDxfId="935" dataCellStyle="一般 2"/>
    <tableColumn id="4" uniqueName="4" name="F4" queryTableFieldId="4" dataDxfId="934" dataCellStyle="一般 2"/>
    <tableColumn id="5" uniqueName="5" name="F5" queryTableFieldId="5" dataDxfId="933" dataCellStyle="一般 2"/>
    <tableColumn id="6" uniqueName="6" name="F6" queryTableFieldId="6" dataDxfId="932" dataCellStyle="一般 2"/>
    <tableColumn id="7" uniqueName="7" name="F7" queryTableFieldId="7" dataDxfId="931" dataCellStyle="一般 2"/>
    <tableColumn id="8" uniqueName="8" name="F8" queryTableFieldId="8" dataDxfId="930" dataCellStyle="一般 2"/>
    <tableColumn id="9" uniqueName="9" name="F9" queryTableFieldId="9" dataDxfId="929" dataCellStyle="一般 2"/>
    <tableColumn id="10" uniqueName="10" name="F10" queryTableFieldId="10" dataDxfId="928" dataCellStyle="一般 2"/>
    <tableColumn id="11" uniqueName="11" name="F11" queryTableFieldId="11" dataDxfId="927" dataCellStyle="一般 2"/>
    <tableColumn id="12" uniqueName="12" name="F12" queryTableFieldId="12" dataDxfId="926" dataCellStyle="一般 2"/>
    <tableColumn id="13" uniqueName="13" name="F13" queryTableFieldId="13" dataDxfId="925" dataCellStyle="一般 2"/>
    <tableColumn id="14" uniqueName="14" name="F14" queryTableFieldId="14" dataDxfId="924" dataCellStyle="一般 2"/>
    <tableColumn id="15" uniqueName="15" name="F15" queryTableFieldId="15" dataDxfId="923" dataCellStyle="一般 2"/>
    <tableColumn id="16" uniqueName="16" name="F16" queryTableFieldId="16" dataDxfId="922" dataCellStyle="一般 2"/>
    <tableColumn id="17" uniqueName="17" name="F17" queryTableFieldId="17" dataDxfId="921" dataCellStyle="一般 2"/>
    <tableColumn id="18" uniqueName="18" name="F18" queryTableFieldId="18" dataDxfId="920" dataCellStyle="一般 2"/>
    <tableColumn id="19" uniqueName="19" name="F19" queryTableFieldId="19" dataDxfId="919" dataCellStyle="一般 2"/>
    <tableColumn id="20" uniqueName="20" name="F20" queryTableFieldId="20" dataDxfId="918" dataCellStyle="一般 2"/>
    <tableColumn id="21" uniqueName="21" name="F21" queryTableFieldId="21" dataDxfId="917" dataCellStyle="一般 2"/>
    <tableColumn id="22" uniqueName="22" name="2024/6/24 14:52" queryTableFieldId="22" dataDxfId="916" dataCellStyle="一般 2"/>
    <tableColumn id="23" uniqueName="23" name="F23" queryTableFieldId="23" dataDxfId="915" dataCellStyle="一般 2"/>
    <tableColumn id="24" uniqueName="24" name="F24" queryTableFieldId="24" dataDxfId="914" dataCellStyle="一般 2"/>
    <tableColumn id="25" uniqueName="25" name="F25" queryTableFieldId="25" dataDxfId="913" dataCellStyle="一般 2"/>
    <tableColumn id="26" uniqueName="26" name="F26" queryTableFieldId="26" dataDxfId="912" dataCellStyle="一般 2"/>
    <tableColumn id="27" uniqueName="27" name="F27" queryTableFieldId="27" dataDxfId="911" dataCellStyle="一般 2"/>
    <tableColumn id="28" uniqueName="28" name="F28" queryTableFieldId="28" dataDxfId="910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809" dataDxfId="808" headerRowCellStyle="一般 2" dataCellStyle="一般 2">
  <autoFilter ref="AG13:BH189"/>
  <tableColumns count="28">
    <tableColumn id="1" uniqueName="1" name="請直接以10進位，謝謝" queryTableFieldId="1" dataDxfId="807" dataCellStyle="一般 2"/>
    <tableColumn id="2" uniqueName="2" name="F2" queryTableFieldId="2" dataDxfId="806" dataCellStyle="一般 2"/>
    <tableColumn id="3" uniqueName="3" name="F3" queryTableFieldId="3" dataDxfId="805" dataCellStyle="一般 2"/>
    <tableColumn id="4" uniqueName="4" name="F4" queryTableFieldId="4" dataDxfId="804" dataCellStyle="一般 2"/>
    <tableColumn id="5" uniqueName="5" name="F5" queryTableFieldId="5" dataDxfId="803" dataCellStyle="一般 2"/>
    <tableColumn id="6" uniqueName="6" name="F6" queryTableFieldId="6" dataDxfId="802" dataCellStyle="一般 2"/>
    <tableColumn id="7" uniqueName="7" name="F7" queryTableFieldId="7" dataDxfId="801" dataCellStyle="一般 2"/>
    <tableColumn id="8" uniqueName="8" name="F8" queryTableFieldId="8" dataDxfId="800" dataCellStyle="一般 2"/>
    <tableColumn id="9" uniqueName="9" name="F9" queryTableFieldId="9" dataDxfId="799" dataCellStyle="一般 2"/>
    <tableColumn id="10" uniqueName="10" name="F10" queryTableFieldId="10" dataDxfId="798" dataCellStyle="一般 2"/>
    <tableColumn id="11" uniqueName="11" name="F11" queryTableFieldId="11" dataDxfId="797" dataCellStyle="一般 2"/>
    <tableColumn id="12" uniqueName="12" name="F12" queryTableFieldId="12" dataDxfId="796" dataCellStyle="一般 2"/>
    <tableColumn id="13" uniqueName="13" name="F13" queryTableFieldId="13" dataDxfId="795" dataCellStyle="一般 2"/>
    <tableColumn id="14" uniqueName="14" name="F14" queryTableFieldId="14" dataDxfId="794" dataCellStyle="一般 2"/>
    <tableColumn id="15" uniqueName="15" name="F15" queryTableFieldId="15" dataDxfId="793" dataCellStyle="一般 2"/>
    <tableColumn id="16" uniqueName="16" name="F16" queryTableFieldId="16" dataDxfId="792" dataCellStyle="一般 2"/>
    <tableColumn id="17" uniqueName="17" name="F17" queryTableFieldId="17" dataDxfId="791" dataCellStyle="一般 2"/>
    <tableColumn id="18" uniqueName="18" name="F18" queryTableFieldId="18" dataDxfId="790" dataCellStyle="一般 2"/>
    <tableColumn id="19" uniqueName="19" name="F19" queryTableFieldId="19" dataDxfId="789" dataCellStyle="一般 2"/>
    <tableColumn id="20" uniqueName="20" name="F20" queryTableFieldId="20" dataDxfId="788" dataCellStyle="一般 2"/>
    <tableColumn id="21" uniqueName="21" name="F21" queryTableFieldId="21" dataDxfId="787" dataCellStyle="一般 2"/>
    <tableColumn id="22" uniqueName="22" name="2024/6/24 14:52" queryTableFieldId="22" dataDxfId="786" dataCellStyle="一般 2"/>
    <tableColumn id="23" uniqueName="23" name="F23" queryTableFieldId="23" dataDxfId="785" dataCellStyle="一般 2"/>
    <tableColumn id="24" uniqueName="24" name="F24" queryTableFieldId="24" dataDxfId="784" dataCellStyle="一般 2"/>
    <tableColumn id="25" uniqueName="25" name="F25" queryTableFieldId="25" dataDxfId="783" dataCellStyle="一般 2"/>
    <tableColumn id="26" uniqueName="26" name="F26" queryTableFieldId="26" dataDxfId="782" dataCellStyle="一般 2"/>
    <tableColumn id="27" uniqueName="27" name="F27" queryTableFieldId="27" dataDxfId="781" dataCellStyle="一般 2"/>
    <tableColumn id="28" uniqueName="28" name="F28" queryTableFieldId="28" dataDxfId="780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679" dataDxfId="678" headerRowCellStyle="一般 2" dataCellStyle="一般 2">
  <autoFilter ref="AG13:BH189"/>
  <tableColumns count="28">
    <tableColumn id="1" uniqueName="1" name="請直接以10進位，謝謝" queryTableFieldId="1" dataDxfId="677" dataCellStyle="一般 2"/>
    <tableColumn id="2" uniqueName="2" name="F2" queryTableFieldId="2" dataDxfId="676" dataCellStyle="一般 2"/>
    <tableColumn id="3" uniqueName="3" name="F3" queryTableFieldId="3" dataDxfId="675" dataCellStyle="一般 2"/>
    <tableColumn id="4" uniqueName="4" name="F4" queryTableFieldId="4" dataDxfId="674" dataCellStyle="一般 2"/>
    <tableColumn id="5" uniqueName="5" name="F5" queryTableFieldId="5" dataDxfId="673" dataCellStyle="一般 2"/>
    <tableColumn id="6" uniqueName="6" name="F6" queryTableFieldId="6" dataDxfId="672" dataCellStyle="一般 2"/>
    <tableColumn id="7" uniqueName="7" name="F7" queryTableFieldId="7" dataDxfId="671" dataCellStyle="一般 2"/>
    <tableColumn id="8" uniqueName="8" name="F8" queryTableFieldId="8" dataDxfId="670" dataCellStyle="一般 2"/>
    <tableColumn id="9" uniqueName="9" name="F9" queryTableFieldId="9" dataDxfId="669" dataCellStyle="一般 2"/>
    <tableColumn id="10" uniqueName="10" name="F10" queryTableFieldId="10" dataDxfId="668" dataCellStyle="一般 2"/>
    <tableColumn id="11" uniqueName="11" name="F11" queryTableFieldId="11" dataDxfId="667" dataCellStyle="一般 2"/>
    <tableColumn id="12" uniqueName="12" name="F12" queryTableFieldId="12" dataDxfId="666" dataCellStyle="一般 2"/>
    <tableColumn id="13" uniqueName="13" name="F13" queryTableFieldId="13" dataDxfId="665" dataCellStyle="一般 2"/>
    <tableColumn id="14" uniqueName="14" name="F14" queryTableFieldId="14" dataDxfId="664" dataCellStyle="一般 2"/>
    <tableColumn id="15" uniqueName="15" name="F15" queryTableFieldId="15" dataDxfId="663" dataCellStyle="一般 2"/>
    <tableColumn id="16" uniqueName="16" name="F16" queryTableFieldId="16" dataDxfId="662" dataCellStyle="一般 2"/>
    <tableColumn id="17" uniqueName="17" name="F17" queryTableFieldId="17" dataDxfId="661" dataCellStyle="一般 2"/>
    <tableColumn id="18" uniqueName="18" name="F18" queryTableFieldId="18" dataDxfId="660" dataCellStyle="一般 2"/>
    <tableColumn id="19" uniqueName="19" name="F19" queryTableFieldId="19" dataDxfId="659" dataCellStyle="一般 2"/>
    <tableColumn id="20" uniqueName="20" name="F20" queryTableFieldId="20" dataDxfId="658" dataCellStyle="一般 2"/>
    <tableColumn id="21" uniqueName="21" name="F21" queryTableFieldId="21" dataDxfId="657" dataCellStyle="一般 2"/>
    <tableColumn id="22" uniqueName="22" name="2024/6/24 14:52" queryTableFieldId="22" dataDxfId="656" dataCellStyle="一般 2"/>
    <tableColumn id="23" uniqueName="23" name="F23" queryTableFieldId="23" dataDxfId="655" dataCellStyle="一般 2"/>
    <tableColumn id="24" uniqueName="24" name="F24" queryTableFieldId="24" dataDxfId="654" dataCellStyle="一般 2"/>
    <tableColumn id="25" uniqueName="25" name="F25" queryTableFieldId="25" dataDxfId="653" dataCellStyle="一般 2"/>
    <tableColumn id="26" uniqueName="26" name="F26" queryTableFieldId="26" dataDxfId="652" dataCellStyle="一般 2"/>
    <tableColumn id="27" uniqueName="27" name="F27" queryTableFieldId="27" dataDxfId="651" dataCellStyle="一般 2"/>
    <tableColumn id="28" uniqueName="28" name="F28" queryTableFieldId="28" dataDxfId="65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549" dataDxfId="548" headerRowCellStyle="一般 2" dataCellStyle="一般 2">
  <autoFilter ref="AG13:BH189"/>
  <tableColumns count="28">
    <tableColumn id="1" uniqueName="1" name="請直接以10進位，謝謝" queryTableFieldId="1" dataDxfId="547" dataCellStyle="一般 2"/>
    <tableColumn id="2" uniqueName="2" name="F2" queryTableFieldId="2" dataDxfId="546" dataCellStyle="一般 2"/>
    <tableColumn id="3" uniqueName="3" name="F3" queryTableFieldId="3" dataDxfId="545" dataCellStyle="一般 2"/>
    <tableColumn id="4" uniqueName="4" name="F4" queryTableFieldId="4" dataDxfId="544" dataCellStyle="一般 2"/>
    <tableColumn id="5" uniqueName="5" name="F5" queryTableFieldId="5" dataDxfId="543" dataCellStyle="一般 2"/>
    <tableColumn id="6" uniqueName="6" name="F6" queryTableFieldId="6" dataDxfId="542" dataCellStyle="一般 2"/>
    <tableColumn id="7" uniqueName="7" name="F7" queryTableFieldId="7" dataDxfId="541" dataCellStyle="一般 2"/>
    <tableColumn id="8" uniqueName="8" name="F8" queryTableFieldId="8" dataDxfId="540" dataCellStyle="一般 2"/>
    <tableColumn id="9" uniqueName="9" name="F9" queryTableFieldId="9" dataDxfId="539" dataCellStyle="一般 2"/>
    <tableColumn id="10" uniqueName="10" name="F10" queryTableFieldId="10" dataDxfId="538" dataCellStyle="一般 2"/>
    <tableColumn id="11" uniqueName="11" name="F11" queryTableFieldId="11" dataDxfId="537" dataCellStyle="一般 2"/>
    <tableColumn id="12" uniqueName="12" name="F12" queryTableFieldId="12" dataDxfId="536" dataCellStyle="一般 2"/>
    <tableColumn id="13" uniqueName="13" name="F13" queryTableFieldId="13" dataDxfId="535" dataCellStyle="一般 2"/>
    <tableColumn id="14" uniqueName="14" name="F14" queryTableFieldId="14" dataDxfId="534" dataCellStyle="一般 2"/>
    <tableColumn id="15" uniqueName="15" name="F15" queryTableFieldId="15" dataDxfId="533" dataCellStyle="一般 2"/>
    <tableColumn id="16" uniqueName="16" name="F16" queryTableFieldId="16" dataDxfId="532" dataCellStyle="一般 2"/>
    <tableColumn id="17" uniqueName="17" name="F17" queryTableFieldId="17" dataDxfId="531" dataCellStyle="一般 2"/>
    <tableColumn id="18" uniqueName="18" name="F18" queryTableFieldId="18" dataDxfId="530" dataCellStyle="一般 2"/>
    <tableColumn id="19" uniqueName="19" name="F19" queryTableFieldId="19" dataDxfId="529" dataCellStyle="一般 2"/>
    <tableColumn id="20" uniqueName="20" name="F20" queryTableFieldId="20" dataDxfId="528" dataCellStyle="一般 2"/>
    <tableColumn id="21" uniqueName="21" name="F21" queryTableFieldId="21" dataDxfId="527" dataCellStyle="一般 2"/>
    <tableColumn id="22" uniqueName="22" name="2024/6/24 14:52" queryTableFieldId="22" dataDxfId="526" dataCellStyle="一般 2"/>
    <tableColumn id="23" uniqueName="23" name="F23" queryTableFieldId="23" dataDxfId="525" dataCellStyle="一般 2"/>
    <tableColumn id="24" uniqueName="24" name="F24" queryTableFieldId="24" dataDxfId="524" dataCellStyle="一般 2"/>
    <tableColumn id="25" uniqueName="25" name="F25" queryTableFieldId="25" dataDxfId="523" dataCellStyle="一般 2"/>
    <tableColumn id="26" uniqueName="26" name="F26" queryTableFieldId="26" dataDxfId="522" dataCellStyle="一般 2"/>
    <tableColumn id="27" uniqueName="27" name="F27" queryTableFieldId="27" dataDxfId="521" dataCellStyle="一般 2"/>
    <tableColumn id="28" uniqueName="28" name="F28" queryTableFieldId="28" dataDxfId="520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419" dataDxfId="418" headerRowCellStyle="一般 2" dataCellStyle="一般 2">
  <autoFilter ref="AG13:BH189"/>
  <tableColumns count="28">
    <tableColumn id="1" uniqueName="1" name="請直接以10進位，謝謝" queryTableFieldId="1" dataDxfId="417" dataCellStyle="一般 2"/>
    <tableColumn id="2" uniqueName="2" name="F2" queryTableFieldId="2" dataDxfId="416" dataCellStyle="一般 2"/>
    <tableColumn id="3" uniqueName="3" name="F3" queryTableFieldId="3" dataDxfId="415" dataCellStyle="一般 2"/>
    <tableColumn id="4" uniqueName="4" name="F4" queryTableFieldId="4" dataDxfId="414" dataCellStyle="一般 2"/>
    <tableColumn id="5" uniqueName="5" name="F5" queryTableFieldId="5" dataDxfId="413" dataCellStyle="一般 2"/>
    <tableColumn id="6" uniqueName="6" name="F6" queryTableFieldId="6" dataDxfId="412" dataCellStyle="一般 2"/>
    <tableColumn id="7" uniqueName="7" name="F7" queryTableFieldId="7" dataDxfId="411" dataCellStyle="一般 2"/>
    <tableColumn id="8" uniqueName="8" name="F8" queryTableFieldId="8" dataDxfId="410" dataCellStyle="一般 2"/>
    <tableColumn id="9" uniqueName="9" name="F9" queryTableFieldId="9" dataDxfId="409" dataCellStyle="一般 2"/>
    <tableColumn id="10" uniqueName="10" name="F10" queryTableFieldId="10" dataDxfId="408" dataCellStyle="一般 2"/>
    <tableColumn id="11" uniqueName="11" name="F11" queryTableFieldId="11" dataDxfId="407" dataCellStyle="一般 2"/>
    <tableColumn id="12" uniqueName="12" name="F12" queryTableFieldId="12" dataDxfId="406" dataCellStyle="一般 2"/>
    <tableColumn id="13" uniqueName="13" name="F13" queryTableFieldId="13" dataDxfId="405" dataCellStyle="一般 2"/>
    <tableColumn id="14" uniqueName="14" name="F14" queryTableFieldId="14" dataDxfId="404" dataCellStyle="一般 2"/>
    <tableColumn id="15" uniqueName="15" name="F15" queryTableFieldId="15" dataDxfId="403" dataCellStyle="一般 2"/>
    <tableColumn id="16" uniqueName="16" name="F16" queryTableFieldId="16" dataDxfId="402" dataCellStyle="一般 2"/>
    <tableColumn id="17" uniqueName="17" name="F17" queryTableFieldId="17" dataDxfId="401" dataCellStyle="一般 2"/>
    <tableColumn id="18" uniqueName="18" name="F18" queryTableFieldId="18" dataDxfId="400" dataCellStyle="一般 2"/>
    <tableColumn id="19" uniqueName="19" name="F19" queryTableFieldId="19" dataDxfId="399" dataCellStyle="一般 2"/>
    <tableColumn id="20" uniqueName="20" name="F20" queryTableFieldId="20" dataDxfId="398" dataCellStyle="一般 2"/>
    <tableColumn id="21" uniqueName="21" name="F21" queryTableFieldId="21" dataDxfId="397" dataCellStyle="一般 2"/>
    <tableColumn id="22" uniqueName="22" name="2024/6/24 14:52" queryTableFieldId="22" dataDxfId="396" dataCellStyle="一般 2"/>
    <tableColumn id="23" uniqueName="23" name="F23" queryTableFieldId="23" dataDxfId="395" dataCellStyle="一般 2"/>
    <tableColumn id="24" uniqueName="24" name="F24" queryTableFieldId="24" dataDxfId="394" dataCellStyle="一般 2"/>
    <tableColumn id="25" uniqueName="25" name="F25" queryTableFieldId="25" dataDxfId="393" dataCellStyle="一般 2"/>
    <tableColumn id="26" uniqueName="26" name="F26" queryTableFieldId="26" dataDxfId="392" dataCellStyle="一般 2"/>
    <tableColumn id="27" uniqueName="27" name="F27" queryTableFieldId="27" dataDxfId="391" dataCellStyle="一般 2"/>
    <tableColumn id="28" uniqueName="28" name="F28" queryTableFieldId="28" dataDxfId="390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289" dataDxfId="288" headerRowCellStyle="一般 2" dataCellStyle="一般 2">
  <autoFilter ref="AG13:BH189"/>
  <tableColumns count="28">
    <tableColumn id="1" uniqueName="1" name="請直接以10進位，謝謝" queryTableFieldId="1" dataDxfId="287" dataCellStyle="一般 2"/>
    <tableColumn id="2" uniqueName="2" name="F2" queryTableFieldId="2" dataDxfId="286" dataCellStyle="一般 2"/>
    <tableColumn id="3" uniqueName="3" name="F3" queryTableFieldId="3" dataDxfId="285" dataCellStyle="一般 2"/>
    <tableColumn id="4" uniqueName="4" name="F4" queryTableFieldId="4" dataDxfId="284" dataCellStyle="一般 2"/>
    <tableColumn id="5" uniqueName="5" name="F5" queryTableFieldId="5" dataDxfId="283" dataCellStyle="一般 2"/>
    <tableColumn id="6" uniqueName="6" name="F6" queryTableFieldId="6" dataDxfId="282" dataCellStyle="一般 2"/>
    <tableColumn id="7" uniqueName="7" name="F7" queryTableFieldId="7" dataDxfId="281" dataCellStyle="一般 2"/>
    <tableColumn id="8" uniqueName="8" name="F8" queryTableFieldId="8" dataDxfId="280" dataCellStyle="一般 2"/>
    <tableColumn id="9" uniqueName="9" name="F9" queryTableFieldId="9" dataDxfId="279" dataCellStyle="一般 2"/>
    <tableColumn id="10" uniqueName="10" name="F10" queryTableFieldId="10" dataDxfId="278" dataCellStyle="一般 2"/>
    <tableColumn id="11" uniqueName="11" name="F11" queryTableFieldId="11" dataDxfId="277" dataCellStyle="一般 2"/>
    <tableColumn id="12" uniqueName="12" name="F12" queryTableFieldId="12" dataDxfId="276" dataCellStyle="一般 2"/>
    <tableColumn id="13" uniqueName="13" name="F13" queryTableFieldId="13" dataDxfId="275" dataCellStyle="一般 2"/>
    <tableColumn id="14" uniqueName="14" name="F14" queryTableFieldId="14" dataDxfId="274" dataCellStyle="一般 2"/>
    <tableColumn id="15" uniqueName="15" name="F15" queryTableFieldId="15" dataDxfId="273" dataCellStyle="一般 2"/>
    <tableColumn id="16" uniqueName="16" name="F16" queryTableFieldId="16" dataDxfId="272" dataCellStyle="一般 2"/>
    <tableColumn id="17" uniqueName="17" name="F17" queryTableFieldId="17" dataDxfId="271" dataCellStyle="一般 2"/>
    <tableColumn id="18" uniqueName="18" name="F18" queryTableFieldId="18" dataDxfId="270" dataCellStyle="一般 2"/>
    <tableColumn id="19" uniqueName="19" name="F19" queryTableFieldId="19" dataDxfId="269" dataCellStyle="一般 2"/>
    <tableColumn id="20" uniqueName="20" name="F20" queryTableFieldId="20" dataDxfId="268" dataCellStyle="一般 2"/>
    <tableColumn id="21" uniqueName="21" name="F21" queryTableFieldId="21" dataDxfId="267" dataCellStyle="一般 2"/>
    <tableColumn id="22" uniqueName="22" name="2024/6/24 14:52" queryTableFieldId="22" dataDxfId="266" dataCellStyle="一般 2"/>
    <tableColumn id="23" uniqueName="23" name="F23" queryTableFieldId="23" dataDxfId="265" dataCellStyle="一般 2"/>
    <tableColumn id="24" uniqueName="24" name="F24" queryTableFieldId="24" dataDxfId="264" dataCellStyle="一般 2"/>
    <tableColumn id="25" uniqueName="25" name="F25" queryTableFieldId="25" dataDxfId="263" dataCellStyle="一般 2"/>
    <tableColumn id="26" uniqueName="26" name="F26" queryTableFieldId="26" dataDxfId="262" dataCellStyle="一般 2"/>
    <tableColumn id="27" uniqueName="27" name="F27" queryTableFieldId="27" dataDxfId="261" dataCellStyle="一般 2"/>
    <tableColumn id="28" uniqueName="28" name="F28" queryTableFieldId="28" dataDxfId="260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159" dataDxfId="158" headerRowCellStyle="一般 2" dataCellStyle="一般 2">
  <autoFilter ref="AG13:BH189"/>
  <tableColumns count="28">
    <tableColumn id="1" uniqueName="1" name="請直接以10進位，謝謝" queryTableFieldId="1" dataDxfId="157" dataCellStyle="一般 2"/>
    <tableColumn id="2" uniqueName="2" name="F2" queryTableFieldId="2" dataDxfId="156" dataCellStyle="一般 2"/>
    <tableColumn id="3" uniqueName="3" name="F3" queryTableFieldId="3" dataDxfId="155" dataCellStyle="一般 2"/>
    <tableColumn id="4" uniqueName="4" name="F4" queryTableFieldId="4" dataDxfId="154" dataCellStyle="一般 2"/>
    <tableColumn id="5" uniqueName="5" name="F5" queryTableFieldId="5" dataDxfId="153" dataCellStyle="一般 2"/>
    <tableColumn id="6" uniqueName="6" name="F6" queryTableFieldId="6" dataDxfId="152" dataCellStyle="一般 2"/>
    <tableColumn id="7" uniqueName="7" name="F7" queryTableFieldId="7" dataDxfId="151" dataCellStyle="一般 2"/>
    <tableColumn id="8" uniqueName="8" name="F8" queryTableFieldId="8" dataDxfId="150" dataCellStyle="一般 2"/>
    <tableColumn id="9" uniqueName="9" name="F9" queryTableFieldId="9" dataDxfId="149" dataCellStyle="一般 2"/>
    <tableColumn id="10" uniqueName="10" name="F10" queryTableFieldId="10" dataDxfId="148" dataCellStyle="一般 2"/>
    <tableColumn id="11" uniqueName="11" name="F11" queryTableFieldId="11" dataDxfId="147" dataCellStyle="一般 2"/>
    <tableColumn id="12" uniqueName="12" name="F12" queryTableFieldId="12" dataDxfId="146" dataCellStyle="一般 2"/>
    <tableColumn id="13" uniqueName="13" name="F13" queryTableFieldId="13" dataDxfId="145" dataCellStyle="一般 2"/>
    <tableColumn id="14" uniqueName="14" name="F14" queryTableFieldId="14" dataDxfId="144" dataCellStyle="一般 2"/>
    <tableColumn id="15" uniqueName="15" name="F15" queryTableFieldId="15" dataDxfId="143" dataCellStyle="一般 2"/>
    <tableColumn id="16" uniqueName="16" name="F16" queryTableFieldId="16" dataDxfId="142" dataCellStyle="一般 2"/>
    <tableColumn id="17" uniqueName="17" name="F17" queryTableFieldId="17" dataDxfId="141" dataCellStyle="一般 2"/>
    <tableColumn id="18" uniqueName="18" name="F18" queryTableFieldId="18" dataDxfId="140" dataCellStyle="一般 2"/>
    <tableColumn id="19" uniqueName="19" name="F19" queryTableFieldId="19" dataDxfId="139" dataCellStyle="一般 2"/>
    <tableColumn id="20" uniqueName="20" name="F20" queryTableFieldId="20" dataDxfId="138" dataCellStyle="一般 2"/>
    <tableColumn id="21" uniqueName="21" name="F21" queryTableFieldId="21" dataDxfId="137" dataCellStyle="一般 2"/>
    <tableColumn id="22" uniqueName="22" name="2024/6/24 14:52" queryTableFieldId="22" dataDxfId="136" dataCellStyle="一般 2"/>
    <tableColumn id="23" uniqueName="23" name="F23" queryTableFieldId="23" dataDxfId="135" dataCellStyle="一般 2"/>
    <tableColumn id="24" uniqueName="24" name="F24" queryTableFieldId="24" dataDxfId="134" dataCellStyle="一般 2"/>
    <tableColumn id="25" uniqueName="25" name="F25" queryTableFieldId="25" dataDxfId="133" dataCellStyle="一般 2"/>
    <tableColumn id="26" uniqueName="26" name="F26" queryTableFieldId="26" dataDxfId="132" dataCellStyle="一般 2"/>
    <tableColumn id="27" uniqueName="27" name="F27" queryTableFieldId="27" dataDxfId="131" dataCellStyle="一般 2"/>
    <tableColumn id="28" uniqueName="28" name="F28" queryTableFieldId="28" dataDxfId="130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1" zoomScale="80" zoomScaleNormal="100" zoomScaleSheetLayoutView="80" workbookViewId="0">
      <selection activeCell="E41" sqref="E41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74" t="s">
        <v>172</v>
      </c>
      <c r="B1" s="174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5986</v>
      </c>
      <c r="C3" s="121">
        <v>21</v>
      </c>
      <c r="D3" s="122" t="s">
        <v>76</v>
      </c>
      <c r="E3" s="120">
        <v>1648</v>
      </c>
      <c r="F3" s="121">
        <v>11</v>
      </c>
      <c r="G3" s="119">
        <v>661</v>
      </c>
      <c r="H3" s="120">
        <v>3440</v>
      </c>
      <c r="I3" s="123">
        <v>21</v>
      </c>
      <c r="J3" s="119">
        <v>681</v>
      </c>
      <c r="K3" s="120">
        <v>3797</v>
      </c>
      <c r="L3" s="124">
        <v>23</v>
      </c>
      <c r="M3" s="175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3883</v>
      </c>
      <c r="C4" s="121">
        <v>20</v>
      </c>
      <c r="D4" s="122" t="s">
        <v>77</v>
      </c>
      <c r="E4" s="120">
        <v>0</v>
      </c>
      <c r="F4" s="121">
        <v>18</v>
      </c>
      <c r="G4" s="119">
        <v>662</v>
      </c>
      <c r="H4" s="120">
        <v>6942</v>
      </c>
      <c r="I4" s="123">
        <v>20</v>
      </c>
      <c r="J4" s="119">
        <v>682</v>
      </c>
      <c r="K4" s="120">
        <v>3665</v>
      </c>
      <c r="L4" s="133">
        <v>22</v>
      </c>
      <c r="M4" s="176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5689</v>
      </c>
      <c r="C5" s="121">
        <v>19</v>
      </c>
      <c r="D5" s="122">
        <v>631</v>
      </c>
      <c r="E5" s="120">
        <v>1930</v>
      </c>
      <c r="F5" s="121">
        <v>18</v>
      </c>
      <c r="G5" s="119">
        <v>663</v>
      </c>
      <c r="H5" s="120">
        <v>7391</v>
      </c>
      <c r="I5" s="123">
        <v>21</v>
      </c>
      <c r="J5" s="119">
        <v>683</v>
      </c>
      <c r="K5" s="120">
        <v>2391</v>
      </c>
      <c r="L5" s="133">
        <v>22</v>
      </c>
      <c r="M5" s="176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5815</v>
      </c>
      <c r="C6" s="126">
        <v>20</v>
      </c>
      <c r="D6" s="127">
        <v>632</v>
      </c>
      <c r="E6" s="125">
        <v>6747</v>
      </c>
      <c r="F6" s="126">
        <v>19</v>
      </c>
      <c r="G6" s="127">
        <v>664</v>
      </c>
      <c r="H6" s="120">
        <v>320</v>
      </c>
      <c r="I6" s="124">
        <v>20</v>
      </c>
      <c r="J6" s="127">
        <v>684</v>
      </c>
      <c r="K6" s="125">
        <v>485</v>
      </c>
      <c r="L6" s="133">
        <v>23</v>
      </c>
      <c r="M6" s="176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5625</v>
      </c>
      <c r="C7" s="126">
        <v>20</v>
      </c>
      <c r="D7" s="127">
        <v>633</v>
      </c>
      <c r="E7" s="125">
        <v>4597</v>
      </c>
      <c r="F7" s="126">
        <v>13</v>
      </c>
      <c r="G7" s="127">
        <v>665</v>
      </c>
      <c r="H7" s="125">
        <v>3963</v>
      </c>
      <c r="I7" s="124">
        <v>21</v>
      </c>
      <c r="J7" s="127">
        <v>685</v>
      </c>
      <c r="K7" s="125">
        <v>4777</v>
      </c>
      <c r="L7" s="133">
        <v>22</v>
      </c>
      <c r="M7" s="176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0.08</v>
      </c>
      <c r="C8" s="134">
        <v>25</v>
      </c>
      <c r="D8" s="127">
        <v>634</v>
      </c>
      <c r="E8" s="125">
        <v>5345</v>
      </c>
      <c r="F8" s="126">
        <v>17</v>
      </c>
      <c r="G8" s="127">
        <v>666</v>
      </c>
      <c r="H8" s="125">
        <v>2565</v>
      </c>
      <c r="I8" s="124">
        <v>20</v>
      </c>
      <c r="J8" s="127">
        <v>686</v>
      </c>
      <c r="K8" s="125">
        <v>4390</v>
      </c>
      <c r="L8" s="133">
        <v>23</v>
      </c>
      <c r="M8" s="176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6.59</v>
      </c>
      <c r="C9" s="134">
        <v>25</v>
      </c>
      <c r="D9" s="127">
        <v>641</v>
      </c>
      <c r="E9" s="125">
        <v>4780</v>
      </c>
      <c r="F9" s="126">
        <v>18</v>
      </c>
      <c r="G9" s="127">
        <v>667</v>
      </c>
      <c r="H9" s="125">
        <v>4977</v>
      </c>
      <c r="I9" s="124">
        <v>22</v>
      </c>
      <c r="J9" s="127">
        <v>687</v>
      </c>
      <c r="K9" s="125">
        <v>2643</v>
      </c>
      <c r="L9" s="133">
        <v>22</v>
      </c>
      <c r="M9" s="176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7.45</v>
      </c>
      <c r="C10" s="134">
        <v>25</v>
      </c>
      <c r="D10" s="127">
        <v>642</v>
      </c>
      <c r="E10" s="125">
        <v>4040</v>
      </c>
      <c r="F10" s="126">
        <v>23</v>
      </c>
      <c r="G10" s="127">
        <v>668</v>
      </c>
      <c r="H10" s="125">
        <v>-170</v>
      </c>
      <c r="I10" s="124">
        <v>22</v>
      </c>
      <c r="J10" s="127">
        <v>688</v>
      </c>
      <c r="K10" s="125">
        <v>2854</v>
      </c>
      <c r="L10" s="133">
        <v>22</v>
      </c>
      <c r="M10" s="176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77.02</v>
      </c>
      <c r="C11" s="134">
        <v>25</v>
      </c>
      <c r="D11" s="127">
        <v>643</v>
      </c>
      <c r="E11" s="125">
        <v>1335</v>
      </c>
      <c r="F11" s="126">
        <v>20</v>
      </c>
      <c r="G11" s="127">
        <v>669</v>
      </c>
      <c r="H11" s="125">
        <v>96</v>
      </c>
      <c r="I11" s="124">
        <v>24</v>
      </c>
      <c r="J11" s="127">
        <v>689</v>
      </c>
      <c r="K11" s="125">
        <v>5729</v>
      </c>
      <c r="L11" s="133">
        <v>22</v>
      </c>
      <c r="M11" s="176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247</v>
      </c>
      <c r="C12" s="126">
        <v>19</v>
      </c>
      <c r="D12" s="127">
        <v>645</v>
      </c>
      <c r="E12" s="125">
        <v>75</v>
      </c>
      <c r="F12" s="126">
        <v>20</v>
      </c>
      <c r="G12" s="127">
        <v>670</v>
      </c>
      <c r="H12" s="125">
        <v>-9900</v>
      </c>
      <c r="I12" s="124">
        <v>24</v>
      </c>
      <c r="J12" s="127">
        <v>690</v>
      </c>
      <c r="K12" s="125">
        <v>355</v>
      </c>
      <c r="L12" s="124">
        <v>22</v>
      </c>
      <c r="M12" s="176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2675</v>
      </c>
      <c r="C13" s="126">
        <v>21</v>
      </c>
      <c r="D13" s="127">
        <v>651</v>
      </c>
      <c r="E13" s="125">
        <v>4061</v>
      </c>
      <c r="F13" s="126">
        <v>23</v>
      </c>
      <c r="G13" s="127">
        <v>671</v>
      </c>
      <c r="H13" s="125">
        <v>0</v>
      </c>
      <c r="I13" s="124">
        <v>19</v>
      </c>
      <c r="J13" s="127">
        <v>691</v>
      </c>
      <c r="K13" s="125">
        <v>3555</v>
      </c>
      <c r="L13" s="133">
        <v>21</v>
      </c>
      <c r="M13" s="176"/>
      <c r="N13" s="178" t="s">
        <v>171</v>
      </c>
      <c r="O13" s="179" t="s">
        <v>143</v>
      </c>
      <c r="P13" s="180">
        <v>7.0686</v>
      </c>
      <c r="Q13" s="172" t="s">
        <v>148</v>
      </c>
      <c r="S13" s="173">
        <v>7000</v>
      </c>
    </row>
    <row r="14" spans="1:24" s="53" customFormat="1" ht="22.2" customHeight="1">
      <c r="A14" s="119">
        <v>623</v>
      </c>
      <c r="B14" s="125">
        <v>4738</v>
      </c>
      <c r="C14" s="126">
        <v>24</v>
      </c>
      <c r="D14" s="127">
        <v>652</v>
      </c>
      <c r="E14" s="125">
        <v>2694</v>
      </c>
      <c r="F14" s="126">
        <v>19</v>
      </c>
      <c r="G14" s="127">
        <v>672</v>
      </c>
      <c r="H14" s="125">
        <v>11</v>
      </c>
      <c r="I14" s="124">
        <v>17</v>
      </c>
      <c r="J14" s="127">
        <v>692</v>
      </c>
      <c r="K14" s="125">
        <v>3767</v>
      </c>
      <c r="L14" s="133">
        <v>22</v>
      </c>
      <c r="M14" s="176"/>
      <c r="N14" s="178"/>
      <c r="O14" s="179"/>
      <c r="P14" s="180"/>
      <c r="Q14" s="172"/>
      <c r="S14" s="173"/>
    </row>
    <row r="15" spans="1:24" s="53" customFormat="1" ht="22.2" customHeight="1">
      <c r="A15" s="122">
        <v>624</v>
      </c>
      <c r="B15" s="125">
        <v>7504</v>
      </c>
      <c r="C15" s="126">
        <v>18</v>
      </c>
      <c r="D15" s="128">
        <v>653</v>
      </c>
      <c r="E15" s="125">
        <v>0</v>
      </c>
      <c r="F15" s="126">
        <v>17</v>
      </c>
      <c r="G15" s="127">
        <v>673</v>
      </c>
      <c r="H15" s="125">
        <v>6963</v>
      </c>
      <c r="I15" s="124">
        <v>21</v>
      </c>
      <c r="J15" s="127">
        <v>693</v>
      </c>
      <c r="K15" s="125">
        <v>55</v>
      </c>
      <c r="L15" s="133">
        <v>22</v>
      </c>
      <c r="M15" s="176"/>
      <c r="N15" s="178"/>
      <c r="O15" s="179"/>
      <c r="P15" s="180"/>
      <c r="Q15" s="172"/>
      <c r="R15" s="55"/>
      <c r="S15" s="139">
        <v>6000</v>
      </c>
    </row>
    <row r="16" spans="1:24" s="53" customFormat="1" ht="22.2" customHeight="1">
      <c r="A16" s="122" t="s">
        <v>80</v>
      </c>
      <c r="B16" s="125">
        <v>0</v>
      </c>
      <c r="C16" s="126">
        <v>21</v>
      </c>
      <c r="D16" s="127">
        <v>654</v>
      </c>
      <c r="E16" s="125">
        <v>5230</v>
      </c>
      <c r="F16" s="126">
        <v>18</v>
      </c>
      <c r="G16" s="127">
        <v>674</v>
      </c>
      <c r="H16" s="125">
        <v>2148</v>
      </c>
      <c r="I16" s="124">
        <v>18</v>
      </c>
      <c r="J16" s="127">
        <v>694</v>
      </c>
      <c r="K16" s="125">
        <v>216</v>
      </c>
      <c r="L16" s="133">
        <v>21</v>
      </c>
      <c r="M16" s="176"/>
      <c r="Q16" s="55"/>
      <c r="R16" s="55"/>
      <c r="S16" s="55"/>
    </row>
    <row r="17" spans="1:19" s="53" customFormat="1" ht="22.2" customHeight="1">
      <c r="A17" s="122" t="s">
        <v>26</v>
      </c>
      <c r="B17" s="125">
        <v>6616</v>
      </c>
      <c r="C17" s="126">
        <v>26</v>
      </c>
      <c r="D17" s="128">
        <v>655</v>
      </c>
      <c r="E17" s="125">
        <v>5512</v>
      </c>
      <c r="F17" s="126">
        <v>19</v>
      </c>
      <c r="G17" s="127">
        <v>675</v>
      </c>
      <c r="H17" s="125">
        <v>4.26</v>
      </c>
      <c r="I17" s="133">
        <v>25</v>
      </c>
      <c r="J17" s="127">
        <v>695</v>
      </c>
      <c r="K17" s="125">
        <v>4192</v>
      </c>
      <c r="L17" s="133">
        <v>22</v>
      </c>
      <c r="M17" s="176"/>
      <c r="Q17" s="55"/>
      <c r="R17" s="55"/>
      <c r="S17" s="55"/>
    </row>
    <row r="18" spans="1:19" s="53" customFormat="1" ht="22.2" customHeight="1">
      <c r="A18" s="122" t="s">
        <v>27</v>
      </c>
      <c r="B18" s="125">
        <v>5783</v>
      </c>
      <c r="C18" s="126">
        <v>17</v>
      </c>
      <c r="D18" s="127">
        <v>656</v>
      </c>
      <c r="E18" s="125">
        <v>3583</v>
      </c>
      <c r="F18" s="126">
        <v>19</v>
      </c>
      <c r="G18" s="127">
        <v>676</v>
      </c>
      <c r="H18" s="125">
        <v>42.02</v>
      </c>
      <c r="I18" s="133">
        <v>25</v>
      </c>
      <c r="J18" s="127">
        <v>696</v>
      </c>
      <c r="K18" s="125">
        <v>2426</v>
      </c>
      <c r="L18" s="133">
        <v>22</v>
      </c>
      <c r="M18" s="176"/>
      <c r="Q18" s="55"/>
      <c r="R18" s="55"/>
      <c r="S18" s="55"/>
    </row>
    <row r="19" spans="1:19" s="53" customFormat="1" ht="22.2" customHeight="1">
      <c r="A19" s="122" t="s">
        <v>28</v>
      </c>
      <c r="B19" s="125">
        <v>7163</v>
      </c>
      <c r="C19" s="126">
        <v>16</v>
      </c>
      <c r="D19" s="127">
        <v>657</v>
      </c>
      <c r="E19" s="125">
        <v>5580</v>
      </c>
      <c r="F19" s="126">
        <v>21</v>
      </c>
      <c r="G19" s="127">
        <v>677</v>
      </c>
      <c r="H19" s="125">
        <v>49.1</v>
      </c>
      <c r="I19" s="133">
        <v>25</v>
      </c>
      <c r="J19" s="127">
        <v>697</v>
      </c>
      <c r="K19" s="125">
        <v>526</v>
      </c>
      <c r="L19" s="133">
        <v>22</v>
      </c>
      <c r="M19" s="176"/>
      <c r="Q19" s="55"/>
      <c r="R19" s="55"/>
      <c r="S19" s="55"/>
    </row>
    <row r="20" spans="1:19" s="53" customFormat="1" ht="22.2" customHeight="1">
      <c r="A20" s="122" t="s">
        <v>29</v>
      </c>
      <c r="B20" s="125">
        <v>7009</v>
      </c>
      <c r="C20" s="126">
        <v>21</v>
      </c>
      <c r="D20" s="128">
        <v>658</v>
      </c>
      <c r="E20" s="125">
        <v>6398</v>
      </c>
      <c r="F20" s="126">
        <v>21</v>
      </c>
      <c r="G20" s="127">
        <v>678</v>
      </c>
      <c r="H20" s="125">
        <v>5.29</v>
      </c>
      <c r="I20" s="133">
        <v>25</v>
      </c>
      <c r="J20" s="127">
        <v>698</v>
      </c>
      <c r="K20" s="125">
        <v>8992</v>
      </c>
      <c r="L20" s="133">
        <v>46</v>
      </c>
      <c r="M20" s="176"/>
      <c r="Q20" s="55"/>
      <c r="R20" s="55"/>
      <c r="S20" s="55"/>
    </row>
    <row r="21" spans="1:19" s="53" customFormat="1" ht="22.2" customHeight="1">
      <c r="A21" s="122" t="s">
        <v>30</v>
      </c>
      <c r="B21" s="125">
        <v>6036</v>
      </c>
      <c r="C21" s="126">
        <v>24</v>
      </c>
      <c r="D21" s="127">
        <v>659</v>
      </c>
      <c r="E21" s="125">
        <v>3193</v>
      </c>
      <c r="F21" s="126">
        <v>20</v>
      </c>
      <c r="G21" s="127">
        <v>680</v>
      </c>
      <c r="H21" s="125">
        <v>3058</v>
      </c>
      <c r="I21" s="133">
        <v>22</v>
      </c>
      <c r="J21" s="127">
        <v>699</v>
      </c>
      <c r="K21" s="125">
        <v>7562</v>
      </c>
      <c r="L21" s="133">
        <v>22</v>
      </c>
      <c r="M21" s="176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5596</v>
      </c>
      <c r="C22" s="130">
        <v>21</v>
      </c>
      <c r="D22" s="131">
        <v>660</v>
      </c>
      <c r="E22" s="130">
        <v>4446</v>
      </c>
      <c r="F22" s="132">
        <v>21</v>
      </c>
      <c r="G22" s="131"/>
      <c r="H22" s="130"/>
      <c r="I22" s="132"/>
      <c r="J22" s="131"/>
      <c r="K22" s="130"/>
      <c r="L22" s="132"/>
      <c r="M22" s="177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74"/>
      <c r="B24" s="174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5988</v>
      </c>
      <c r="C26" s="121">
        <v>23</v>
      </c>
      <c r="D26" s="122" t="s">
        <v>76</v>
      </c>
      <c r="E26" s="120">
        <v>6393</v>
      </c>
      <c r="F26" s="121">
        <v>14</v>
      </c>
      <c r="G26" s="119">
        <v>661</v>
      </c>
      <c r="H26" s="120">
        <v>3443</v>
      </c>
      <c r="I26" s="123">
        <v>23</v>
      </c>
      <c r="J26" s="119">
        <v>681</v>
      </c>
      <c r="K26" s="120">
        <v>3337</v>
      </c>
      <c r="L26" s="124">
        <v>23</v>
      </c>
      <c r="M26" s="175"/>
    </row>
    <row r="27" spans="1:19" ht="21.75" customHeight="1">
      <c r="A27" s="119">
        <v>602</v>
      </c>
      <c r="B27" s="120">
        <v>4021</v>
      </c>
      <c r="C27" s="121">
        <v>20</v>
      </c>
      <c r="D27" s="122" t="s">
        <v>77</v>
      </c>
      <c r="E27" s="120">
        <v>0</v>
      </c>
      <c r="F27" s="121">
        <v>25</v>
      </c>
      <c r="G27" s="119">
        <v>662</v>
      </c>
      <c r="H27" s="120">
        <v>6950</v>
      </c>
      <c r="I27" s="123">
        <v>22</v>
      </c>
      <c r="J27" s="119">
        <v>682</v>
      </c>
      <c r="K27" s="120">
        <v>2590</v>
      </c>
      <c r="L27" s="133">
        <v>19</v>
      </c>
      <c r="M27" s="176"/>
    </row>
    <row r="28" spans="1:19" ht="21.75" customHeight="1">
      <c r="A28" s="119">
        <v>603</v>
      </c>
      <c r="B28" s="120">
        <v>5689</v>
      </c>
      <c r="C28" s="121">
        <v>19</v>
      </c>
      <c r="D28" s="122">
        <v>631</v>
      </c>
      <c r="E28" s="120">
        <v>2860</v>
      </c>
      <c r="F28" s="121">
        <v>21</v>
      </c>
      <c r="G28" s="119">
        <v>663</v>
      </c>
      <c r="H28" s="120">
        <v>7401</v>
      </c>
      <c r="I28" s="123">
        <v>25</v>
      </c>
      <c r="J28" s="119">
        <v>683</v>
      </c>
      <c r="K28" s="120">
        <v>2390</v>
      </c>
      <c r="L28" s="133">
        <v>23</v>
      </c>
      <c r="M28" s="176"/>
    </row>
    <row r="29" spans="1:19" ht="21.75" customHeight="1">
      <c r="A29" s="119" t="s">
        <v>78</v>
      </c>
      <c r="B29" s="125">
        <v>5820</v>
      </c>
      <c r="C29" s="126">
        <v>22</v>
      </c>
      <c r="D29" s="127">
        <v>632</v>
      </c>
      <c r="E29" s="125">
        <v>6752</v>
      </c>
      <c r="F29" s="126">
        <v>22</v>
      </c>
      <c r="G29" s="127">
        <v>664</v>
      </c>
      <c r="H29" s="120">
        <v>319</v>
      </c>
      <c r="I29" s="124">
        <v>26</v>
      </c>
      <c r="J29" s="127">
        <v>684</v>
      </c>
      <c r="K29" s="125">
        <v>481</v>
      </c>
      <c r="L29" s="133">
        <v>24</v>
      </c>
      <c r="M29" s="176"/>
    </row>
    <row r="30" spans="1:19" ht="21.75" customHeight="1">
      <c r="A30" s="119" t="s">
        <v>79</v>
      </c>
      <c r="B30" s="125">
        <v>5628</v>
      </c>
      <c r="C30" s="126">
        <v>20</v>
      </c>
      <c r="D30" s="127">
        <v>633</v>
      </c>
      <c r="E30" s="125">
        <v>4599</v>
      </c>
      <c r="F30" s="126">
        <v>14</v>
      </c>
      <c r="G30" s="127">
        <v>665</v>
      </c>
      <c r="H30" s="125">
        <v>3541</v>
      </c>
      <c r="I30" s="124">
        <v>27</v>
      </c>
      <c r="J30" s="127">
        <v>685</v>
      </c>
      <c r="K30" s="125">
        <v>4233</v>
      </c>
      <c r="L30" s="133">
        <v>21</v>
      </c>
      <c r="M30" s="176"/>
    </row>
    <row r="31" spans="1:19" ht="21.75" customHeight="1">
      <c r="A31" s="119">
        <v>611</v>
      </c>
      <c r="B31" s="125">
        <v>0.06</v>
      </c>
      <c r="C31" s="134">
        <v>25</v>
      </c>
      <c r="D31" s="127">
        <v>634</v>
      </c>
      <c r="E31" s="125">
        <v>5766</v>
      </c>
      <c r="F31" s="126">
        <v>22</v>
      </c>
      <c r="G31" s="127">
        <v>666</v>
      </c>
      <c r="H31" s="125">
        <v>2566</v>
      </c>
      <c r="I31" s="124">
        <v>20</v>
      </c>
      <c r="J31" s="127">
        <v>686</v>
      </c>
      <c r="K31" s="125">
        <v>4386</v>
      </c>
      <c r="L31" s="133">
        <v>21</v>
      </c>
      <c r="M31" s="176"/>
    </row>
    <row r="32" spans="1:19" ht="21.75" customHeight="1">
      <c r="A32" s="119">
        <v>612</v>
      </c>
      <c r="B32" s="125">
        <v>6.67</v>
      </c>
      <c r="C32" s="134">
        <v>25</v>
      </c>
      <c r="D32" s="127">
        <v>641</v>
      </c>
      <c r="E32" s="125">
        <v>4780</v>
      </c>
      <c r="F32" s="126">
        <v>22</v>
      </c>
      <c r="G32" s="127">
        <v>667</v>
      </c>
      <c r="H32" s="125">
        <v>4977</v>
      </c>
      <c r="I32" s="124">
        <v>25</v>
      </c>
      <c r="J32" s="127">
        <v>687</v>
      </c>
      <c r="K32" s="125">
        <v>2641</v>
      </c>
      <c r="L32" s="133">
        <v>20</v>
      </c>
      <c r="M32" s="176"/>
    </row>
    <row r="33" spans="1:13" ht="21.75" customHeight="1">
      <c r="A33" s="119">
        <v>613</v>
      </c>
      <c r="B33" s="125">
        <v>7.32</v>
      </c>
      <c r="C33" s="134">
        <v>25</v>
      </c>
      <c r="D33" s="127">
        <v>642</v>
      </c>
      <c r="E33" s="125">
        <v>3730</v>
      </c>
      <c r="F33" s="126">
        <v>26</v>
      </c>
      <c r="G33" s="127">
        <v>668</v>
      </c>
      <c r="H33" s="125">
        <v>-172</v>
      </c>
      <c r="I33" s="124">
        <v>25</v>
      </c>
      <c r="J33" s="127">
        <v>688</v>
      </c>
      <c r="K33" s="125">
        <v>2851</v>
      </c>
      <c r="L33" s="133">
        <v>23</v>
      </c>
      <c r="M33" s="176"/>
    </row>
    <row r="34" spans="1:13" ht="21.75" customHeight="1">
      <c r="A34" s="119">
        <v>614</v>
      </c>
      <c r="B34" s="125">
        <v>77</v>
      </c>
      <c r="C34" s="134">
        <v>25</v>
      </c>
      <c r="D34" s="127">
        <v>643</v>
      </c>
      <c r="E34" s="125">
        <v>5</v>
      </c>
      <c r="F34" s="126">
        <v>22</v>
      </c>
      <c r="G34" s="127">
        <v>669</v>
      </c>
      <c r="H34" s="125">
        <v>95</v>
      </c>
      <c r="I34" s="124">
        <v>27</v>
      </c>
      <c r="J34" s="127">
        <v>689</v>
      </c>
      <c r="K34" s="125">
        <v>5725</v>
      </c>
      <c r="L34" s="133">
        <v>21</v>
      </c>
      <c r="M34" s="176"/>
    </row>
    <row r="35" spans="1:13" ht="21.75" customHeight="1">
      <c r="A35" s="119">
        <v>621</v>
      </c>
      <c r="B35" s="125">
        <v>245</v>
      </c>
      <c r="C35" s="126">
        <v>23</v>
      </c>
      <c r="D35" s="127">
        <v>645</v>
      </c>
      <c r="E35" s="125">
        <v>2376</v>
      </c>
      <c r="F35" s="126">
        <v>22</v>
      </c>
      <c r="G35" s="127">
        <v>670</v>
      </c>
      <c r="H35" s="125">
        <v>-9900</v>
      </c>
      <c r="I35" s="124">
        <v>27</v>
      </c>
      <c r="J35" s="127">
        <v>690</v>
      </c>
      <c r="K35" s="125">
        <v>350</v>
      </c>
      <c r="L35" s="124">
        <v>24</v>
      </c>
      <c r="M35" s="176"/>
    </row>
    <row r="36" spans="1:13" ht="21.75" customHeight="1">
      <c r="A36" s="119">
        <v>622</v>
      </c>
      <c r="B36" s="125">
        <v>2618</v>
      </c>
      <c r="C36" s="126">
        <v>22</v>
      </c>
      <c r="D36" s="127">
        <v>651</v>
      </c>
      <c r="E36" s="125">
        <v>4062</v>
      </c>
      <c r="F36" s="126">
        <v>26</v>
      </c>
      <c r="G36" s="127">
        <v>671</v>
      </c>
      <c r="H36" s="125">
        <v>0</v>
      </c>
      <c r="I36" s="124">
        <v>31</v>
      </c>
      <c r="J36" s="127">
        <v>691</v>
      </c>
      <c r="K36" s="125">
        <v>3819</v>
      </c>
      <c r="L36" s="133">
        <v>23</v>
      </c>
      <c r="M36" s="176"/>
    </row>
    <row r="37" spans="1:13" ht="21.75" customHeight="1">
      <c r="A37" s="119">
        <v>623</v>
      </c>
      <c r="B37" s="125">
        <v>4739</v>
      </c>
      <c r="C37" s="126">
        <v>26</v>
      </c>
      <c r="D37" s="127">
        <v>652</v>
      </c>
      <c r="E37" s="125">
        <v>2755</v>
      </c>
      <c r="F37" s="126">
        <v>22</v>
      </c>
      <c r="G37" s="127">
        <v>672</v>
      </c>
      <c r="H37" s="125">
        <v>9</v>
      </c>
      <c r="I37" s="124">
        <v>24</v>
      </c>
      <c r="J37" s="127">
        <v>692</v>
      </c>
      <c r="K37" s="125">
        <v>3692</v>
      </c>
      <c r="L37" s="133">
        <v>22</v>
      </c>
      <c r="M37" s="176"/>
    </row>
    <row r="38" spans="1:13" ht="21.75" customHeight="1">
      <c r="A38" s="122">
        <v>624</v>
      </c>
      <c r="B38" s="125">
        <v>7611</v>
      </c>
      <c r="C38" s="126">
        <v>24</v>
      </c>
      <c r="D38" s="128">
        <v>653</v>
      </c>
      <c r="E38" s="125">
        <v>0</v>
      </c>
      <c r="F38" s="126">
        <v>21</v>
      </c>
      <c r="G38" s="127">
        <v>673</v>
      </c>
      <c r="H38" s="125">
        <v>6970</v>
      </c>
      <c r="I38" s="124">
        <v>23</v>
      </c>
      <c r="J38" s="127">
        <v>693</v>
      </c>
      <c r="K38" s="125">
        <v>51</v>
      </c>
      <c r="L38" s="133">
        <v>22</v>
      </c>
      <c r="M38" s="176"/>
    </row>
    <row r="39" spans="1:13" ht="21.75" customHeight="1">
      <c r="A39" s="122" t="s">
        <v>80</v>
      </c>
      <c r="B39" s="125">
        <v>0</v>
      </c>
      <c r="C39" s="126">
        <v>28</v>
      </c>
      <c r="D39" s="127">
        <v>654</v>
      </c>
      <c r="E39" s="125">
        <v>5234</v>
      </c>
      <c r="F39" s="126">
        <v>23</v>
      </c>
      <c r="G39" s="127">
        <v>674</v>
      </c>
      <c r="H39" s="125">
        <v>2147</v>
      </c>
      <c r="I39" s="124">
        <v>23</v>
      </c>
      <c r="J39" s="127">
        <v>694</v>
      </c>
      <c r="K39" s="125">
        <v>213</v>
      </c>
      <c r="L39" s="133">
        <v>23</v>
      </c>
      <c r="M39" s="176"/>
    </row>
    <row r="40" spans="1:13" ht="21.75" customHeight="1">
      <c r="A40" s="122" t="s">
        <v>26</v>
      </c>
      <c r="B40" s="125">
        <v>2325</v>
      </c>
      <c r="C40" s="126">
        <v>28</v>
      </c>
      <c r="D40" s="128">
        <v>655</v>
      </c>
      <c r="E40" s="125">
        <v>4137</v>
      </c>
      <c r="F40" s="126">
        <v>22</v>
      </c>
      <c r="G40" s="127">
        <v>675</v>
      </c>
      <c r="H40" s="125">
        <v>15.15</v>
      </c>
      <c r="I40" s="133">
        <v>25</v>
      </c>
      <c r="J40" s="127">
        <v>695</v>
      </c>
      <c r="K40" s="125">
        <v>4230</v>
      </c>
      <c r="L40" s="133">
        <v>21</v>
      </c>
      <c r="M40" s="176"/>
    </row>
    <row r="41" spans="1:13" ht="21.75" customHeight="1">
      <c r="A41" s="122" t="s">
        <v>27</v>
      </c>
      <c r="B41" s="125">
        <v>5789</v>
      </c>
      <c r="C41" s="126">
        <v>19</v>
      </c>
      <c r="D41" s="127">
        <v>656</v>
      </c>
      <c r="E41" s="125">
        <v>3584</v>
      </c>
      <c r="F41" s="126">
        <v>22</v>
      </c>
      <c r="G41" s="127">
        <v>676</v>
      </c>
      <c r="H41" s="125">
        <v>84.41</v>
      </c>
      <c r="I41" s="133">
        <v>25</v>
      </c>
      <c r="J41" s="127">
        <v>696</v>
      </c>
      <c r="K41" s="125">
        <v>3844</v>
      </c>
      <c r="L41" s="133">
        <v>21</v>
      </c>
      <c r="M41" s="176"/>
    </row>
    <row r="42" spans="1:13" ht="21.75" customHeight="1">
      <c r="A42" s="122" t="s">
        <v>28</v>
      </c>
      <c r="B42" s="125">
        <v>7169</v>
      </c>
      <c r="C42" s="126">
        <v>17</v>
      </c>
      <c r="D42" s="127">
        <v>657</v>
      </c>
      <c r="E42" s="125">
        <v>5591</v>
      </c>
      <c r="F42" s="126">
        <v>23</v>
      </c>
      <c r="G42" s="127">
        <v>677</v>
      </c>
      <c r="H42" s="125">
        <v>44.6</v>
      </c>
      <c r="I42" s="133">
        <v>25</v>
      </c>
      <c r="J42" s="127">
        <v>697</v>
      </c>
      <c r="K42" s="125">
        <v>208</v>
      </c>
      <c r="L42" s="133">
        <v>22</v>
      </c>
      <c r="M42" s="176"/>
    </row>
    <row r="43" spans="1:13" ht="21.75" customHeight="1">
      <c r="A43" s="122" t="s">
        <v>29</v>
      </c>
      <c r="B43" s="125">
        <v>7014</v>
      </c>
      <c r="C43" s="126">
        <v>21</v>
      </c>
      <c r="D43" s="128">
        <v>658</v>
      </c>
      <c r="E43" s="125">
        <v>5601</v>
      </c>
      <c r="F43" s="126">
        <v>24</v>
      </c>
      <c r="G43" s="127">
        <v>678</v>
      </c>
      <c r="H43" s="125">
        <v>39</v>
      </c>
      <c r="I43" s="133">
        <v>25</v>
      </c>
      <c r="J43" s="127">
        <v>698</v>
      </c>
      <c r="K43" s="125">
        <v>8870</v>
      </c>
      <c r="L43" s="133">
        <v>49</v>
      </c>
      <c r="M43" s="176"/>
    </row>
    <row r="44" spans="1:13" ht="21.75" customHeight="1">
      <c r="A44" s="122" t="s">
        <v>30</v>
      </c>
      <c r="B44" s="125">
        <v>6042</v>
      </c>
      <c r="C44" s="126">
        <v>27</v>
      </c>
      <c r="D44" s="127">
        <v>659</v>
      </c>
      <c r="E44" s="125">
        <v>1096</v>
      </c>
      <c r="F44" s="126">
        <v>24</v>
      </c>
      <c r="G44" s="127">
        <v>680</v>
      </c>
      <c r="H44" s="125">
        <v>2715</v>
      </c>
      <c r="I44" s="133">
        <v>22</v>
      </c>
      <c r="J44" s="127">
        <v>699</v>
      </c>
      <c r="K44" s="125">
        <v>5952</v>
      </c>
      <c r="L44" s="133">
        <v>22</v>
      </c>
      <c r="M44" s="176"/>
    </row>
    <row r="45" spans="1:13" ht="21.75" customHeight="1" thickBot="1">
      <c r="A45" s="129" t="s">
        <v>81</v>
      </c>
      <c r="B45" s="130">
        <v>7031</v>
      </c>
      <c r="C45" s="130">
        <v>22</v>
      </c>
      <c r="D45" s="131">
        <v>660</v>
      </c>
      <c r="E45" s="130">
        <v>4450</v>
      </c>
      <c r="F45" s="132">
        <v>22</v>
      </c>
      <c r="G45" s="131"/>
      <c r="H45" s="130"/>
      <c r="I45" s="132"/>
      <c r="J45" s="131"/>
      <c r="K45" s="130"/>
      <c r="L45" s="132"/>
      <c r="M45" s="177"/>
    </row>
    <row r="46" spans="1:13" ht="16.2" thickTop="1"/>
    <row r="100" spans="1:1" ht="25.5" customHeight="1">
      <c r="A100" s="140" t="s">
        <v>635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E31 B29:B30 B27 B38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E20:E22 H3:H16 E26:E27 B39:B45 E43:E45 H26:H39 E19 E42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B37 E30 E36 K26:K30 K32:K33 K36 E32:E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4:E35">
      <formula1>E12&lt;=6000</formula1>
    </dataValidation>
    <dataValidation type="custom" errorStyle="warning" allowBlank="1" showInputMessage="1" showErrorMessage="1" error="***你在睡喔,醒醒好嗎" sqref="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A61" sqref="A61:XFD61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8">
    <pageSetUpPr fitToPage="1"/>
  </sheetPr>
  <dimension ref="A1:CU223"/>
  <sheetViews>
    <sheetView view="pageBreakPreview" topLeftCell="A7" zoomScale="70" zoomScaleNormal="100" zoomScaleSheetLayoutView="70" workbookViewId="0">
      <selection activeCell="B2" sqref="B2:AE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46052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46" t="s" ph="1">
        <v>177</v>
      </c>
      <c r="D6" s="71">
        <v>6290</v>
      </c>
      <c r="E6" s="71">
        <v>86</v>
      </c>
      <c r="F6" s="71">
        <v>4516</v>
      </c>
      <c r="G6" s="71">
        <v>3067</v>
      </c>
      <c r="H6" s="71">
        <v>1420</v>
      </c>
      <c r="I6" s="71">
        <v>0.08</v>
      </c>
      <c r="J6" s="71">
        <v>6.58</v>
      </c>
      <c r="K6" s="71">
        <v>47.14</v>
      </c>
      <c r="L6" s="71">
        <v>0</v>
      </c>
      <c r="M6" s="71">
        <v>793</v>
      </c>
      <c r="N6" s="71">
        <v>4329</v>
      </c>
      <c r="O6" s="71">
        <v>1156</v>
      </c>
      <c r="P6" s="71">
        <v>1882</v>
      </c>
      <c r="Q6" s="71">
        <v>5218</v>
      </c>
      <c r="R6" s="71">
        <v>5770</v>
      </c>
      <c r="S6" s="71">
        <v>1299</v>
      </c>
      <c r="T6" s="71">
        <v>0</v>
      </c>
      <c r="U6" s="71">
        <v>0</v>
      </c>
      <c r="V6" s="71">
        <v>0</v>
      </c>
      <c r="W6" s="71">
        <v>6984</v>
      </c>
      <c r="X6" s="71">
        <v>7053</v>
      </c>
      <c r="Y6" s="71">
        <v>4647</v>
      </c>
      <c r="Z6" s="71">
        <v>5550</v>
      </c>
      <c r="AA6" s="71">
        <v>3992</v>
      </c>
      <c r="AB6" s="71">
        <v>4980</v>
      </c>
      <c r="AC6" s="71">
        <v>6990</v>
      </c>
      <c r="AD6" s="71">
        <v>4780</v>
      </c>
      <c r="AE6" s="71">
        <v>4132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198220.31296830002</v>
      </c>
      <c r="E7" s="73" ph="1">
        <f>E6*51.53*LOOKUP(E8,密度!$A$2:$A$50,密度!$B$2:$B$50)</f>
        <v>3488.5397760000001</v>
      </c>
      <c r="F7" s="73" ph="1">
        <f>F6*33.183*LOOKUP(F8,密度!$A$2:$A$50,密度!$C$2:$C$50)</f>
        <v>166922.84734919996</v>
      </c>
      <c r="G7" s="73" ph="1">
        <f xml:space="preserve"> (G6+2)*51.53*LOOKUP(G8,密度!$A$2:$A$50,密度!$B$2:$B$50)</f>
        <v>124492.192704</v>
      </c>
      <c r="H7" s="73" ph="1">
        <f>(H6)*51.53*LOOKUP(H8,密度!$A$2:$A$50,密度!$B$2:$B$50)</f>
        <v>57725.864140000005</v>
      </c>
      <c r="I7" s="73" ph="1">
        <f>I6*290.8*1.0267</f>
        <v>23.885148800000003</v>
      </c>
      <c r="J7" s="73" ph="1">
        <f>J6*290.8*0.7892</f>
        <v>1510.1057888000003</v>
      </c>
      <c r="K7" s="73" ph="1">
        <f>K6*290.8*1.1126</f>
        <v>15251.8679312</v>
      </c>
      <c r="L7" s="73" ph="1">
        <f>L6*290.8*0.777</f>
        <v>0</v>
      </c>
      <c r="M7" s="73" ph="1">
        <f>M6*33.183*LOOKUP(M8,密度!$A$2:$A$50,密度!$D$2:$D$50)</f>
        <v>27229.850341199995</v>
      </c>
      <c r="N7" s="73" ph="1">
        <f>N6*33.183*LOOKUP(N8,密度!$A$2:$A$50,密度!$E$2:$E$50)</f>
        <v>113683.9824198</v>
      </c>
      <c r="O7" s="73" ph="1">
        <f>O6*20.428*LOOKUP(O8,密度!$A$2:$A$50,密度!$C$2:$C$50)</f>
        <v>26257.260539200004</v>
      </c>
      <c r="P7" s="73" ph="1">
        <f>P6*51.53*LOOKUP(P8,密度!$A$2:$A$50,密度!$B$2:$B$50)</f>
        <v>76342.230911999999</v>
      </c>
      <c r="Q7" s="73" ph="1">
        <f>Q6*1.5*1.5*3.1416*LOOKUP(W8,密度!$A$2:$A$50,密度!$L$2:$L$50)</f>
        <v>34818.453331199999</v>
      </c>
      <c r="R7" s="73" ph="1">
        <f>R6*1.5*1.5*3.1416*LOOKUP(R8,密度!$A$2:$A$50,密度!$L$2:$L$50)</f>
        <v>38297.886857999998</v>
      </c>
      <c r="S7" s="73" ph="1">
        <f>S6*1.5*1.5*3.1416*LOOKUP(S8,密度!$A$2:$A$50,密度!$L$2:$L$50)</f>
        <v>8695.4594957999998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46602.544665599991</v>
      </c>
      <c r="X7" s="73" ph="1">
        <f>X6*1.5*1.5*3.1416*LOOKUP(X8,密度!$A$2:$A$50,密度!$L$2:$L$50)</f>
        <v>47511.658517399999</v>
      </c>
      <c r="Y7" s="73" ph="1">
        <f>Y6*1.5*1.5*3.1416*LOOKUP(Y8,密度!$A$2:$A$50,密度!$L$2:$L$50)</f>
        <v>31008.308284800001</v>
      </c>
      <c r="Z7" s="73" ph="1">
        <f>Z6*33.183*LOOKUP(Z8,密度!$A$2:$A$50,密度!$L$2:$L$50)</f>
        <v>174404.87054999999</v>
      </c>
      <c r="AA7" s="73" ph="1">
        <f>AA6*33.183*LOOKUP(AA8,密度!$A$2:$A$50,密度!$D$2:$D$50)</f>
        <v>136851.17834159997</v>
      </c>
      <c r="AB7" s="73" ph="1">
        <f>AB6*20.428*LOOKUP(AB8,密度!$A$2:$A$50,密度!$D$2:$D$50)</f>
        <v>105892.255896</v>
      </c>
      <c r="AC7" s="73" ph="1">
        <f>AC6*51.53*LOOKUP(AC8,密度!$A$2:$A$50,密度!$Q$2:$Q$50)</f>
        <v>343820.248938</v>
      </c>
      <c r="AD7" s="73" ph="1">
        <f>AD6*20.428*LOOKUP(AD8,密度!$A$2:$A$50,密度!$V$2:$V$50)</f>
        <v>94130.589760000003</v>
      </c>
      <c r="AE7" s="73" ph="1">
        <f>AE6*20.428</f>
        <v>84408.495999999999</v>
      </c>
    </row>
    <row r="8" spans="1:99" ph="1">
      <c r="B8" s="193" ph="1"/>
      <c r="C8" s="68" t="s" ph="1">
        <v>179</v>
      </c>
      <c r="D8" s="74">
        <v>21</v>
      </c>
      <c r="E8" s="74">
        <v>16</v>
      </c>
      <c r="F8" s="74">
        <v>18</v>
      </c>
      <c r="G8" s="74">
        <v>16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18</v>
      </c>
      <c r="O8" s="74">
        <v>21</v>
      </c>
      <c r="P8" s="74">
        <v>16</v>
      </c>
      <c r="Q8" s="74">
        <v>19</v>
      </c>
      <c r="R8" s="74">
        <v>23</v>
      </c>
      <c r="S8" s="74">
        <v>15</v>
      </c>
      <c r="T8" s="74">
        <v>13</v>
      </c>
      <c r="U8" s="74">
        <v>18</v>
      </c>
      <c r="V8" s="74">
        <v>25</v>
      </c>
      <c r="W8" s="74">
        <v>18</v>
      </c>
      <c r="X8" s="74">
        <v>9</v>
      </c>
      <c r="Y8" s="74">
        <v>18</v>
      </c>
      <c r="Z8" s="74">
        <v>15</v>
      </c>
      <c r="AA8" s="74">
        <v>18</v>
      </c>
      <c r="AB8" s="74">
        <v>9</v>
      </c>
      <c r="AC8" s="74">
        <v>14</v>
      </c>
      <c r="AD8" s="74">
        <v>15</v>
      </c>
      <c r="AE8" s="74">
        <v>21</v>
      </c>
    </row>
    <row r="9" spans="1:99" ht="26.4" ph="1">
      <c r="B9" s="193" ph="1">
        <v>0.66666666666666663</v>
      </c>
      <c r="C9" s="146" t="s" ph="1">
        <v>180</v>
      </c>
      <c r="D9" s="71">
        <v>6288</v>
      </c>
      <c r="E9" s="71">
        <v>88</v>
      </c>
      <c r="F9" s="71">
        <v>5196</v>
      </c>
      <c r="G9" s="71">
        <v>3067</v>
      </c>
      <c r="H9" s="71">
        <v>1153</v>
      </c>
      <c r="I9" s="71">
        <v>0.08</v>
      </c>
      <c r="J9" s="71">
        <v>6.59</v>
      </c>
      <c r="K9" s="71">
        <v>55.61</v>
      </c>
      <c r="L9" s="71">
        <v>69.69</v>
      </c>
      <c r="M9" s="71">
        <v>792</v>
      </c>
      <c r="N9" s="71">
        <v>4331</v>
      </c>
      <c r="O9" s="71">
        <v>1739</v>
      </c>
      <c r="P9" s="71">
        <v>1750</v>
      </c>
      <c r="Q9" s="71">
        <v>7164</v>
      </c>
      <c r="R9" s="71">
        <v>7119</v>
      </c>
      <c r="S9" s="71">
        <v>6479</v>
      </c>
      <c r="T9" s="71">
        <v>0</v>
      </c>
      <c r="U9" s="71">
        <v>0</v>
      </c>
      <c r="V9" s="71">
        <v>0</v>
      </c>
      <c r="W9" s="71">
        <v>5909</v>
      </c>
      <c r="X9" s="71">
        <v>7056</v>
      </c>
      <c r="Y9" s="71">
        <v>4651</v>
      </c>
      <c r="Z9" s="71">
        <v>3240</v>
      </c>
      <c r="AA9" s="71">
        <v>3991</v>
      </c>
      <c r="AB9" s="71">
        <v>4883</v>
      </c>
      <c r="AC9" s="71">
        <v>6990</v>
      </c>
      <c r="AD9" s="71">
        <v>4780</v>
      </c>
      <c r="AE9" s="71">
        <v>4415</v>
      </c>
    </row>
    <row r="10" spans="1:99" s="72" customFormat="1" ht="22.2" ph="1">
      <c r="B10" s="193" ph="1"/>
      <c r="C10" s="146" t="s" ph="1">
        <v>178</v>
      </c>
      <c r="D10" s="73" ph="1">
        <f>D9*33.183*LOOKUP(D11,密度!$A$2:$A$50,密度!$Q$2:$Q$50)</f>
        <v>198157.28584175999</v>
      </c>
      <c r="E10" s="73" ph="1">
        <f>E9*51.53*LOOKUP(E11,密度!$A$2:$A$50,密度!$B$2:$B$50)</f>
        <v>3562.8666480000002</v>
      </c>
      <c r="F10" s="73" ph="1">
        <f>F9*33.183*LOOKUP(F11,密度!$A$2:$A$50,密度!$C$2:$C$50)</f>
        <v>192057.37706519998</v>
      </c>
      <c r="G10" s="73" ph="1">
        <f xml:space="preserve"> (G9+2)*51.53*LOOKUP(G11,密度!$A$2:$A$50,密度!$B$2:$B$50)</f>
        <v>124254.974349</v>
      </c>
      <c r="H10" s="73" ph="1">
        <f>(H9)*51.53*LOOKUP(H11,密度!$A$2:$A$50,密度!$B$2:$B$50)</f>
        <v>46770.771648000002</v>
      </c>
      <c r="I10" s="73" ph="1">
        <f>I9*290.8*1.0267</f>
        <v>23.885148800000003</v>
      </c>
      <c r="J10" s="73" ph="1">
        <f>J9*290.8*0.7892</f>
        <v>1512.4007824</v>
      </c>
      <c r="K10" s="73" ph="1">
        <f>K9*290.8*1.1126</f>
        <v>17992.286288800002</v>
      </c>
      <c r="L10" s="73" ph="1">
        <f>L9*290.8*0.777</f>
        <v>15746.567004</v>
      </c>
      <c r="M10" s="73" ph="1">
        <f>M9*33.183*LOOKUP(M11,密度!$A$2:$A$50,密度!$D$2:$D$50)</f>
        <v>27127.182139200002</v>
      </c>
      <c r="N10" s="73" ph="1">
        <f>N9*33.183*LOOKUP(N11,密度!$A$2:$A$50,密度!$E$2:$E$50)</f>
        <v>113578.4173419</v>
      </c>
      <c r="O10" s="73" ph="1">
        <f>O9*20.428*LOOKUP(O11,密度!$A$2:$A$50,密度!$C$2:$C$50)</f>
        <v>39417.754403200001</v>
      </c>
      <c r="P10" s="73" ph="1">
        <f>P9*51.53*LOOKUP(P11,密度!$A$2:$A$50,密度!$B$2:$B$50)</f>
        <v>70852.461750000002</v>
      </c>
      <c r="Q10" s="73" ph="1">
        <f>Q9*1.5*1.5*3.1416*LOOKUP(W11,密度!$A$2:$A$50,密度!$L$2:$L$50)</f>
        <v>47803.641177600002</v>
      </c>
      <c r="R10" s="73" ph="1">
        <f>R9*1.5*1.5*3.1416*LOOKUP(R11,密度!$A$2:$A$50,密度!$L$2:$L$50)</f>
        <v>47251.760232599998</v>
      </c>
      <c r="S10" s="73" ph="1">
        <f>S9*1.5*1.5*3.1416*LOOKUP(S11,密度!$A$2:$A$50,密度!$L$2:$L$50)</f>
        <v>43324.3965924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39429.329385600002</v>
      </c>
      <c r="X10" s="73" ph="1">
        <f>X9*1.5*1.5*3.1416*LOOKUP(X11,密度!$A$2:$A$50,密度!$L$2:$L$50)</f>
        <v>47481.991603199996</v>
      </c>
      <c r="Y10" s="73" ph="1">
        <f>Y9*1.5*1.5*3.1416*LOOKUP(Y11,密度!$A$2:$A$50,密度!$L$2:$L$50)</f>
        <v>31034.999318399994</v>
      </c>
      <c r="Z10" s="73" ph="1">
        <f>Z9*33.183*LOOKUP(Z11,密度!$A$2:$A$50,密度!$L$2:$L$50)</f>
        <v>101707.22231999999</v>
      </c>
      <c r="AA10" s="73" ph="1">
        <f>AA9*33.183*LOOKUP(AA11,密度!$A$2:$A$50,密度!$D$2:$D$50)</f>
        <v>136697.7069666</v>
      </c>
      <c r="AB10" s="73" ph="1">
        <f>AB9*20.428*LOOKUP(AB11,密度!$A$2:$A$50,密度!$D$2:$D$50)</f>
        <v>103739.92096</v>
      </c>
      <c r="AC10" s="73" ph="1">
        <f>AC9*51.53*LOOKUP(AC11,密度!$A$2:$A$50,密度!$Q$2:$Q$50)</f>
        <v>343481.66592</v>
      </c>
      <c r="AD10" s="73" ph="1">
        <f>AD9*20.428*LOOKUP(AD11,密度!$A$2:$A$50,密度!$V$2:$V$50)</f>
        <v>94130.589760000003</v>
      </c>
      <c r="AE10" s="73" ph="1">
        <f>AE9*20.428</f>
        <v>90189.62000000001</v>
      </c>
    </row>
    <row r="11" spans="1:99" ph="1">
      <c r="A11" s="64" t="s" ph="1">
        <v>162</v>
      </c>
      <c r="B11" s="193" ph="1"/>
      <c r="C11" s="146" t="s" ph="1">
        <v>179</v>
      </c>
      <c r="D11" s="74">
        <v>21</v>
      </c>
      <c r="E11" s="74">
        <v>18</v>
      </c>
      <c r="F11" s="74">
        <v>18</v>
      </c>
      <c r="G11" s="74">
        <v>18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19</v>
      </c>
      <c r="O11" s="74">
        <v>24</v>
      </c>
      <c r="P11" s="74">
        <v>18</v>
      </c>
      <c r="Q11" s="74">
        <v>20</v>
      </c>
      <c r="R11" s="74">
        <v>23</v>
      </c>
      <c r="S11" s="74">
        <v>16</v>
      </c>
      <c r="T11" s="74">
        <v>17</v>
      </c>
      <c r="U11" s="74">
        <v>18</v>
      </c>
      <c r="V11" s="74">
        <v>25</v>
      </c>
      <c r="W11" s="74">
        <v>18</v>
      </c>
      <c r="X11" s="74">
        <v>10</v>
      </c>
      <c r="Y11" s="74">
        <v>18</v>
      </c>
      <c r="Z11" s="74">
        <v>16</v>
      </c>
      <c r="AA11" s="74">
        <v>19</v>
      </c>
      <c r="AB11" s="74">
        <v>10</v>
      </c>
      <c r="AC11" s="74">
        <v>16</v>
      </c>
      <c r="AD11" s="74">
        <v>17</v>
      </c>
      <c r="AE11" s="74">
        <v>25</v>
      </c>
    </row>
    <row r="12" spans="1:99" ht="9.9" customHeight="1" ph="1"/>
    <row r="13" spans="1:99" s="72" customFormat="1" ht="29.25" customHeight="1" ph="1">
      <c r="B13" s="201" t="s" ph="1">
        <v>37</v>
      </c>
      <c r="C13" s="14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46" t="s" ph="1">
        <v>177</v>
      </c>
      <c r="D15" s="78">
        <v>5986</v>
      </c>
      <c r="E15" s="78">
        <v>5709</v>
      </c>
      <c r="F15" s="78">
        <v>4552</v>
      </c>
      <c r="G15" s="78">
        <v>3101</v>
      </c>
      <c r="H15" s="78">
        <v>5385</v>
      </c>
      <c r="I15" s="78">
        <v>5215</v>
      </c>
      <c r="J15" s="78">
        <v>4601</v>
      </c>
      <c r="K15" s="78">
        <v>4464</v>
      </c>
      <c r="L15" s="78">
        <v>3078</v>
      </c>
      <c r="M15" s="78">
        <v>3720</v>
      </c>
      <c r="N15" s="78">
        <v>2161</v>
      </c>
      <c r="O15" s="78">
        <v>5340</v>
      </c>
      <c r="P15" s="78">
        <v>6978</v>
      </c>
      <c r="Q15" s="78">
        <v>5245</v>
      </c>
      <c r="R15" s="78">
        <v>7343</v>
      </c>
      <c r="S15" s="78">
        <v>6385</v>
      </c>
      <c r="T15" s="78">
        <v>599</v>
      </c>
      <c r="U15" s="78">
        <v>6089</v>
      </c>
      <c r="V15" s="78">
        <v>4989</v>
      </c>
      <c r="W15" s="71">
        <v>-567</v>
      </c>
      <c r="X15" s="78">
        <v>403</v>
      </c>
      <c r="Y15" s="106">
        <v>-9900</v>
      </c>
      <c r="Z15" s="78">
        <v>0</v>
      </c>
      <c r="AA15" s="78">
        <v>10</v>
      </c>
      <c r="AB15" s="78" ph="1">
        <v>6946</v>
      </c>
      <c r="AC15" s="78" ph="1">
        <v>2142</v>
      </c>
      <c r="AD15" s="78">
        <v>31.82</v>
      </c>
      <c r="AE15" s="78">
        <v>43.13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46" t="s" ph="1">
        <v>178</v>
      </c>
      <c r="D16" s="73" ph="1">
        <f>D15*7.0686*LOOKUP(D17,密度!$A$2:$A$50,密度!$L$2:$L$50)</f>
        <v>40070.069701200002</v>
      </c>
      <c r="E16" s="73" ph="1">
        <f>E15*7.0686*LOOKUP(E17,密度!$A$2:$A$50,密度!$L$2:$L$50)</f>
        <v>38215.841617799997</v>
      </c>
      <c r="F16" s="73" ph="1">
        <f>F15*9.0746*LOOKUP(F17,密度!$A$2:$A$50,密度!$L$2:$L$50)</f>
        <v>38787.816868800001</v>
      </c>
      <c r="G16" s="73" ph="1">
        <f>G15*9.0746*LOOKUP(G17,密度!$A$2:$A$50,密度!$B$2:$B$50)</f>
        <v>22109.860895220001</v>
      </c>
      <c r="H16" s="73" ph="1">
        <f>H15*9.0746*LOOKUP(H17,密度!$A$2:$A$50,密度!$L$2:$L$50)</f>
        <v>46325.651507999995</v>
      </c>
      <c r="I16" s="73" ph="1">
        <f>I15*9.0746*LOOKUP(I17,密度!$A$2:$A$50,密度!$U$2:$U$50)</f>
        <v>48649.112092000003</v>
      </c>
      <c r="J16" s="73" ph="1">
        <f>J15*9.0746*LOOKUP(J17,密度!$A$2:$A$50,密度!$L$2:$L$50)</f>
        <v>39288.852758599998</v>
      </c>
      <c r="K16" s="73" ph="1">
        <f>K15*9.0746*LOOKUP(K17,密度!$A$2:$A$50,密度!$C$2:$C$50)</f>
        <v>45070.329421440001</v>
      </c>
      <c r="L16" s="73" ph="1">
        <f>L15*9.0746*LOOKUP(L17,密度!$A$2:$A$50,密度!$E$2:$E$50)</f>
        <v>22074.358337640002</v>
      </c>
      <c r="M16" s="73" ph="1">
        <f>M15*9.0746*LOOKUP(M17,密度!$A$2:$A$50,密度!$M$2:$M$50)</f>
        <v>29716.737813600001</v>
      </c>
      <c r="N16" s="73" ph="1">
        <f>N15*9.0746*LOOKUP(N17,密度!$A$2:$A$50,密度!$M$2:$M$50)</f>
        <v>17262.86839118</v>
      </c>
      <c r="O16" s="73" ph="1">
        <f>O15*9.0746*LOOKUP(O17,密度!$A$2:$A$50,密度!$G$2:$G$50)</f>
        <v>46859.237988000001</v>
      </c>
      <c r="P16" s="73" ph="1">
        <f ca="1">P15*9.0746*LOOKUP(P17,密度!$A$2:$A$51,密度!$Q$2:$Q$50)</f>
        <v>60283.709203188002</v>
      </c>
      <c r="Q16" s="73" ph="1">
        <f>Q15*9.0746*LOOKUP(Q17,密度!$A$2:$A$50,密度!$Q$2:$Q$50)</f>
        <v>45432.550247580002</v>
      </c>
      <c r="R16" s="73" ph="1">
        <f>MAX(R15*9.0746*LOOKUP(R17,密度!$A$2:$A$50,密度!$B$2:$B$50),0)</f>
        <v>52301.64494422001</v>
      </c>
      <c r="S16" s="73" ph="1">
        <f>S15*9.0746*LOOKUP(S17,密度!$A$2:$A$50,密度!$Q$2:$Q$50)</f>
        <v>55160.717005210005</v>
      </c>
      <c r="T16" s="73" ph="1">
        <f>T15*9.0746*LOOKUP(T17,密度!$A$2:$A$50,密度!$O$2:$O$50)</f>
        <v>5076.9301636000009</v>
      </c>
      <c r="U16" s="73" ph="1">
        <f>U15*9.0746*LOOKUP(U17,密度!$A$2:$A$50,密度!$H$2:$H$50)</f>
        <v>51094.519873179997</v>
      </c>
      <c r="V16" s="73" ph="1">
        <f>MAX(5600*LOOKUP(V17,密度!$A$2:$A$50,密度!$Q$2:$Q$50)+V15*9.0476*LOOKUP(V17,密度!$A$2:$A$50,密度!$Q$2:$Q$50),0)</f>
        <v>48303.536917564001</v>
      </c>
      <c r="W16" s="73" ph="1">
        <f>MAX(5600*LOOKUP(W17,密度!$A$2:$A$50,密度!$Q$2:$Q$50)+W15*9.0476*LOOKUP(W17,密度!$A$2:$A$50,密度!$Q$2:$Q$50),0)</f>
        <v>447.08837328400023</v>
      </c>
      <c r="X16" s="73" ph="1">
        <f>MAX(5600*LOOKUP(X17,密度!$A$2:$A$50,密度!$I$2:$I$50)+X15*9.0476*LOOKUP(X17,密度!$A$2:$A$50,密度!$I$2:$I$50),0)</f>
        <v>9585.5177087599986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71.50784800000001</v>
      </c>
      <c r="AB16" s="73" ph="1">
        <f>AB15*9.0746*LOOKUP(AB17,密度!$A$2:$A$50,密度!$L$2:$L$50)</f>
        <v>59502.369990399995</v>
      </c>
      <c r="AC16" s="73" ph="1">
        <f>AC15*9.0746*LOOKUP(AC17,密度!$A$2:$A$50,密度!$L$2:$L$50)</f>
        <v>18407.590160399999</v>
      </c>
      <c r="AD16" s="73" ph="1">
        <f>AD15*268.68*LOOKUP(AD17,密度!$A$2:$A$50,密度!B2:B50)+IF(AD15&lt;=0,0,1566*LOOKUP(AD17,密度!$A$2:$A$50,密度!B2:B50))</f>
        <v>7885.963968959999</v>
      </c>
      <c r="AE16" s="73" ph="1">
        <f>AE15*268.68*LOOKUP(AE17,密度!$A$2:$A$50,密度!B2:B50)+IF(AE15&lt;=0,0,1566*LOOKUP(AE17,密度!$A$2:$A$50,密度!B2:B50))</f>
        <v>10254.989684640001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15</v>
      </c>
      <c r="E17" s="74">
        <v>15</v>
      </c>
      <c r="F17" s="74">
        <v>23</v>
      </c>
      <c r="G17" s="74">
        <v>18</v>
      </c>
      <c r="H17" s="74">
        <v>14</v>
      </c>
      <c r="I17" s="74">
        <v>16</v>
      </c>
      <c r="J17" s="74">
        <v>21</v>
      </c>
      <c r="K17" s="74">
        <v>20</v>
      </c>
      <c r="L17" s="74">
        <v>19</v>
      </c>
      <c r="M17" s="74">
        <v>19</v>
      </c>
      <c r="N17" s="74">
        <v>18</v>
      </c>
      <c r="O17" s="74">
        <v>19</v>
      </c>
      <c r="P17" s="74">
        <v>18</v>
      </c>
      <c r="Q17" s="74">
        <v>15</v>
      </c>
      <c r="R17" s="74">
        <v>19</v>
      </c>
      <c r="S17" s="74">
        <v>18</v>
      </c>
      <c r="T17" s="74">
        <v>17</v>
      </c>
      <c r="U17" s="74">
        <v>15</v>
      </c>
      <c r="V17" s="74">
        <v>18</v>
      </c>
      <c r="W17" s="74">
        <v>19</v>
      </c>
      <c r="X17" s="74">
        <v>30</v>
      </c>
      <c r="Y17" s="108">
        <v>30</v>
      </c>
      <c r="Z17" s="74">
        <v>18</v>
      </c>
      <c r="AA17" s="74">
        <v>15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5993</v>
      </c>
      <c r="E18" s="71">
        <v>5977</v>
      </c>
      <c r="F18" s="71">
        <v>4551</v>
      </c>
      <c r="G18" s="71">
        <v>3160</v>
      </c>
      <c r="H18" s="71">
        <v>5388</v>
      </c>
      <c r="I18" s="71">
        <v>5217</v>
      </c>
      <c r="J18" s="71">
        <v>5510</v>
      </c>
      <c r="K18" s="71">
        <v>4539</v>
      </c>
      <c r="L18" s="71">
        <v>3080</v>
      </c>
      <c r="M18" s="71">
        <v>741</v>
      </c>
      <c r="N18" s="71">
        <v>2171</v>
      </c>
      <c r="O18" s="71">
        <v>5342</v>
      </c>
      <c r="P18" s="71">
        <v>6982</v>
      </c>
      <c r="Q18" s="71">
        <v>5248</v>
      </c>
      <c r="R18" s="71">
        <v>7349</v>
      </c>
      <c r="S18" s="71">
        <v>5474</v>
      </c>
      <c r="T18" s="71">
        <v>596</v>
      </c>
      <c r="U18" s="71">
        <v>6092</v>
      </c>
      <c r="V18" s="71">
        <v>4989</v>
      </c>
      <c r="W18" s="71">
        <v>-568</v>
      </c>
      <c r="X18" s="71">
        <v>403</v>
      </c>
      <c r="Y18" s="109">
        <v>-9900</v>
      </c>
      <c r="Z18" s="71">
        <v>0</v>
      </c>
      <c r="AA18" s="71">
        <v>10</v>
      </c>
      <c r="AB18" s="71">
        <v>6949</v>
      </c>
      <c r="AC18" s="71">
        <v>2142</v>
      </c>
      <c r="AD18" s="71">
        <v>40.36</v>
      </c>
      <c r="AE18" s="71">
        <v>85.24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46" t="s" ph="1">
        <v>178</v>
      </c>
      <c r="D19" s="73" ph="1">
        <f>D18*7.0686*LOOKUP(D20,密度!$A$2:$A$50,密度!$L$2:$L$50)</f>
        <v>39947.4789714</v>
      </c>
      <c r="E19" s="73" ph="1">
        <f>E18*7.0686*LOOKUP(E20,密度!$A$2:$A$50,密度!$L$2:$L$50)</f>
        <v>39840.827934599998</v>
      </c>
      <c r="F19" s="73" ph="1">
        <f>F18*9.0746*LOOKUP(F20,密度!$A$2:$A$50,密度!$L$2:$L$50)</f>
        <v>38944.4898378</v>
      </c>
      <c r="G19" s="73" ph="1">
        <f>G18*9.0746*LOOKUP(G20,密度!$A$2:$A$50,密度!$B$2:$B$50)</f>
        <v>22507.585186400003</v>
      </c>
      <c r="H19" s="73" ph="1">
        <f>H18*9.0746*LOOKUP(H20,密度!$A$2:$A$50,密度!$L$2:$L$50)</f>
        <v>46106.989946400005</v>
      </c>
      <c r="I19" s="73" ph="1">
        <f>I18*9.0746*LOOKUP(I20,密度!$A$2:$A$50,密度!$U$2:$U$50)</f>
        <v>48667.769469600004</v>
      </c>
      <c r="J19" s="73" ph="1">
        <f>J18*9.0746*LOOKUP(J20,密度!$A$2:$A$50,密度!$L$2:$L$50)</f>
        <v>47000.983240000001</v>
      </c>
      <c r="K19" s="73" ph="1">
        <f>K18*9.0746*LOOKUP(K20,密度!$A$2:$A$50,密度!$C$2:$C$50)</f>
        <v>45798.726691860007</v>
      </c>
      <c r="L19" s="73" ph="1">
        <f>L18*9.0746*LOOKUP(L20,密度!$A$2:$A$50,密度!$E$2:$E$50)</f>
        <v>22088.701650399998</v>
      </c>
      <c r="M19" s="73" ph="1">
        <f>M18*9.0746*LOOKUP(M20,密度!$A$2:$A$50,密度!$M$2:$M$50)</f>
        <v>5903.9166108000009</v>
      </c>
      <c r="N19" s="73" ph="1">
        <f>N18*9.0746*LOOKUP(N20,密度!$A$2:$A$50,密度!$M$2:$M$50)</f>
        <v>17342.752094980002</v>
      </c>
      <c r="O19" s="73" ph="1">
        <f>O18*9.0746*LOOKUP(O20,密度!$A$2:$A$50,密度!$G$2:$G$50)</f>
        <v>46876.788264399998</v>
      </c>
      <c r="P19" s="73" ph="1">
        <f ca="1">P18*9.0746*LOOKUP(P20,密度!$A$2:$A$51,密度!$Q$2:$Q$50)</f>
        <v>60214.990705735996</v>
      </c>
      <c r="Q19" s="73" ph="1">
        <f>Q18*9.0746*LOOKUP(Q20,密度!$A$2:$A$50,密度!$Q$2:$Q$50)</f>
        <v>45300.902665984002</v>
      </c>
      <c r="R19" s="73" ph="1">
        <f>MAX(R18*9.0746*LOOKUP(R20,密度!$A$2:$A$50,密度!$B$2:$B$50),0)</f>
        <v>52291.029477140008</v>
      </c>
      <c r="S19" s="73" ph="1">
        <f>S18*9.0746*LOOKUP(S20,密度!$A$2:$A$50,密度!$Q$2:$Q$50)</f>
        <v>47251.741843292002</v>
      </c>
      <c r="T19" s="73" ph="1">
        <f>T18*9.0746*LOOKUP(T20,密度!$A$2:$A$50,密度!$O$2:$O$50)</f>
        <v>5029.8692880000008</v>
      </c>
      <c r="U19" s="73" ph="1">
        <f>U18*9.0746*LOOKUP(U20,密度!$A$2:$A$50,密度!$H$2:$H$50)</f>
        <v>51064.411257839995</v>
      </c>
      <c r="V19" s="73" ph="1">
        <f>MAX(5600*LOOKUP(V20,密度!$A$2:$A$50,密度!$Q$2:$Q$50)+V18*9.0476*LOOKUP(V20,密度!$A$2:$A$50,密度!$Q$2:$Q$50),0)</f>
        <v>48263.960905972002</v>
      </c>
      <c r="W19" s="73" ph="1">
        <f>MAX(5600*LOOKUP(W20,密度!$A$2:$A$50,密度!$Q$2:$Q$50)+W18*9.0476*LOOKUP(W20,密度!$A$2:$A$50,密度!$Q$2:$Q$50),0)</f>
        <v>437.49556348799979</v>
      </c>
      <c r="X19" s="73" ph="1">
        <f>MAX(5600*LOOKUP(X20,密度!$A$2:$A$50,密度!$I$2:$I$50)+X18*9.0476*LOOKUP(X20,密度!$A$2:$A$50,密度!$I$2:$I$50),0)</f>
        <v>9565.1761065999999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71.226535400000017</v>
      </c>
      <c r="AB19" s="73" ph="1">
        <f>AB18*9.0746*LOOKUP(AB20,密度!$A$2:$A$50,密度!$L$2:$L$50)</f>
        <v>59528.0692576</v>
      </c>
      <c r="AC19" s="73" ph="1">
        <f>AC18*9.0746*LOOKUP(AC20,密度!$A$2:$A$50,密度!$L$2:$L$50)</f>
        <v>18368.714573999998</v>
      </c>
      <c r="AD19" s="73" ph="1">
        <f>AD18*268.68*LOOKUP(AD20,密度!$A$2:$A$50,密度!B5:B53)+IF(AD18&lt;=0,0,1566*LOOKUP(AD20,密度!$A$2:$A$50,密度!B5:B53))</f>
        <v>9642.5115695999993</v>
      </c>
      <c r="AE19" s="73" ph="1">
        <f>AE18*268.68*LOOKUP(AE20,密度!$A$2:$A$50,密度!B5:B53)+IF(AE18&lt;=0,0,1566*LOOKUP(AE20,密度!$A$2:$A$50,密度!B5:B53))</f>
        <v>19011.856046399997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19</v>
      </c>
      <c r="E20" s="81">
        <v>19</v>
      </c>
      <c r="F20" s="81">
        <v>19</v>
      </c>
      <c r="G20" s="81">
        <v>19</v>
      </c>
      <c r="H20" s="81">
        <v>19</v>
      </c>
      <c r="I20" s="81">
        <v>20</v>
      </c>
      <c r="J20" s="81">
        <v>22</v>
      </c>
      <c r="K20" s="81">
        <v>21</v>
      </c>
      <c r="L20" s="81">
        <v>19</v>
      </c>
      <c r="M20" s="81">
        <v>22</v>
      </c>
      <c r="N20" s="81">
        <v>19</v>
      </c>
      <c r="O20" s="81">
        <v>19</v>
      </c>
      <c r="P20" s="81">
        <v>20</v>
      </c>
      <c r="Q20" s="81">
        <v>19</v>
      </c>
      <c r="R20" s="81">
        <v>20</v>
      </c>
      <c r="S20" s="81">
        <v>19</v>
      </c>
      <c r="T20" s="81">
        <v>22</v>
      </c>
      <c r="U20" s="81">
        <v>16</v>
      </c>
      <c r="V20" s="81">
        <v>19</v>
      </c>
      <c r="W20" s="81">
        <v>22</v>
      </c>
      <c r="X20" s="81">
        <v>32</v>
      </c>
      <c r="Y20" s="110">
        <v>32</v>
      </c>
      <c r="Z20" s="81">
        <v>20</v>
      </c>
      <c r="AA20" s="81">
        <v>19</v>
      </c>
      <c r="AB20" s="81">
        <v>18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639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46" t="s" ph="1">
        <v>177</v>
      </c>
      <c r="D24" s="71">
        <v>5.44</v>
      </c>
      <c r="E24" s="71">
        <v>5.12</v>
      </c>
      <c r="F24" s="71">
        <v>509</v>
      </c>
      <c r="G24" s="71">
        <v>3920</v>
      </c>
      <c r="H24" s="71">
        <v>3694</v>
      </c>
      <c r="I24" s="71">
        <v>1254</v>
      </c>
      <c r="J24" s="71">
        <v>4928</v>
      </c>
      <c r="K24" s="71">
        <v>4722</v>
      </c>
      <c r="L24" s="71">
        <v>5542</v>
      </c>
      <c r="M24" s="71">
        <v>5071</v>
      </c>
      <c r="N24" s="71">
        <v>2846</v>
      </c>
      <c r="O24" s="71">
        <v>5718</v>
      </c>
      <c r="P24" s="71">
        <v>628</v>
      </c>
      <c r="Q24" s="90">
        <v>1615</v>
      </c>
      <c r="R24" s="71">
        <v>3237</v>
      </c>
      <c r="S24" s="71">
        <v>5268</v>
      </c>
      <c r="T24" s="71">
        <v>179</v>
      </c>
      <c r="U24" s="71">
        <v>4180</v>
      </c>
      <c r="V24" s="71">
        <v>4045</v>
      </c>
      <c r="W24" s="71">
        <v>6050</v>
      </c>
      <c r="X24" s="71">
        <v>7234</v>
      </c>
      <c r="Y24" s="71">
        <v>1857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2866.368201408</v>
      </c>
      <c r="E25" s="91" ph="1">
        <f>E24*268.68*LOOKUP(E26,密度!$A$2:$A$50,密度!$C$2:$C$50)+IF(E24&lt;=0,0,1566*LOOKUP(E26,密度!$A$2:$A$50,密度!$C$2:$C$50))</f>
        <v>3261.9863702399998</v>
      </c>
      <c r="F25" s="91" ph="1">
        <f>F24*11.702*LOOKUP(F26,密度!$A$2:$A$50,密度!$Q$2:$Q$50)</f>
        <v>5670.4742991800003</v>
      </c>
      <c r="G25" s="91" ph="1">
        <f>G24*18.322*LOOKUP(G26,密度!$A$2:$A$50,密度!$B$2:$B$50)</f>
        <v>56373.276175999992</v>
      </c>
      <c r="H25" s="91" ph="1">
        <f>H24*18.322*LOOKUP(H26,密度!$A$2:$A$50,密度!$B$2:$B$50)</f>
        <v>53177.329407599995</v>
      </c>
      <c r="I25" s="91" ph="1">
        <f>I24*18.322*LOOKUP(I26,密度!$A$2:$A$50,密度!$Q$2:$Q$50)</f>
        <v>21891.330806400001</v>
      </c>
      <c r="J25" s="91" ph="1">
        <f>J24*18.322*LOOKUP(J26,密度!$A$2:$A$50,密度!$Q$2:$Q$50)</f>
        <v>86029.089484799988</v>
      </c>
      <c r="K25" s="91" ph="1">
        <f>K24*18.322*LOOKUP(K26,密度!$A$2:$A$50,密度!$Q$2:$Q$50)</f>
        <v>82432.905955199996</v>
      </c>
      <c r="L25" s="91" ph="1">
        <f>L24*18.322*LOOKUP(L26,密度!$A$2:$A$50,密度!$Q$2:$Q$50)</f>
        <v>96747.811267199984</v>
      </c>
      <c r="M25" s="91" ph="1">
        <f>M24*18.322*LOOKUP(M26,密度!$A$2:$A$50,密度!$Q$2:$Q$50)</f>
        <v>88379.599260260002</v>
      </c>
      <c r="N25" s="91" ph="1">
        <f>N24*18.322*LOOKUP(N26,密度!$A$2:$A$50,密度!$Q$2:$Q$50)</f>
        <v>49642.00166812</v>
      </c>
      <c r="O25" s="91" ph="1">
        <f>O24*18.322*LOOKUP(O26,密度!$A$2:$A$50,密度!$C$2:$C$50)</f>
        <v>116624.61618719999</v>
      </c>
      <c r="P25" s="91" ph="1">
        <f>P24*11.702*LOOKUP(P26,密度!$A$2:$A$50,密度!$B$2:$B$50)</f>
        <v>5768.1170744000001</v>
      </c>
      <c r="Q25" s="92" ph="1">
        <f>Q24*18.322*LOOKUP(Q26,密度!$A$2:$A$50,密度!$B$2:$B$50)</f>
        <v>23174.911496000001</v>
      </c>
      <c r="R25" s="91" ph="1">
        <f>R24*35.891*LOOKUP(R26,密度!$A$2:$A$50,密度!$C$2:$C$50)</f>
        <v>129481.6816215</v>
      </c>
      <c r="S25" s="91" ph="1">
        <f>S24*35.891*LOOKUP(S26,密度!$A$2:$A$50,密度!$B$2:$B$50)</f>
        <v>148555.27523159998</v>
      </c>
      <c r="T25" s="91" ph="1">
        <f>T24*35.891*LOOKUP(T26,密度!$A$2:$A$50,密度!$Q$2:$Q$50)</f>
        <v>6116.1777728899997</v>
      </c>
      <c r="U25" s="91" ph="1">
        <f>U24*35.891</f>
        <v>150024.38</v>
      </c>
      <c r="V25" s="91" ph="1">
        <f>V24*47.051*LOOKUP(V26,密度!$A$2:$A$50,密度!$B$2:$B$50)</f>
        <v>149535.44148149999</v>
      </c>
      <c r="W25" s="91" ph="1">
        <f>W24*47.051*LOOKUP(W26,密度!$A$2:$A$50,密度!$B$2:$B$50)</f>
        <v>223656.22273499999</v>
      </c>
      <c r="X25" s="91" ph="1">
        <f>X24*47.051*LOOKUP(X26,密度!$A$2:$A$61,密度!$I$2:$I$61)</f>
        <v>348297.48356220004</v>
      </c>
      <c r="Y25" s="91" ph="1">
        <f>Y24*47.051*LOOKUP(Y26,密度!$A$2:$A$50,密度!$L$2:$L$50)</f>
        <v>82306.031994000004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18</v>
      </c>
      <c r="G26" s="74">
        <v>19</v>
      </c>
      <c r="H26" s="74">
        <v>18</v>
      </c>
      <c r="I26" s="74">
        <v>17</v>
      </c>
      <c r="J26" s="74">
        <v>17</v>
      </c>
      <c r="K26" s="74">
        <v>17</v>
      </c>
      <c r="L26" s="74">
        <v>17</v>
      </c>
      <c r="M26" s="74">
        <v>19</v>
      </c>
      <c r="N26" s="74">
        <v>18</v>
      </c>
      <c r="O26" s="74">
        <v>19</v>
      </c>
      <c r="P26" s="74">
        <v>19</v>
      </c>
      <c r="Q26" s="93">
        <v>21</v>
      </c>
      <c r="R26" s="74">
        <v>17</v>
      </c>
      <c r="S26" s="74">
        <v>18</v>
      </c>
      <c r="T26" s="74">
        <v>18</v>
      </c>
      <c r="U26" s="74">
        <v>17</v>
      </c>
      <c r="V26" s="74">
        <v>18</v>
      </c>
      <c r="W26" s="74">
        <v>18</v>
      </c>
      <c r="X26" s="74">
        <v>42</v>
      </c>
      <c r="Y26" s="74">
        <v>20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46" t="s" ph="1">
        <v>180</v>
      </c>
      <c r="D27" s="71">
        <v>5.44</v>
      </c>
      <c r="E27" s="71">
        <v>5.1100000000000003</v>
      </c>
      <c r="F27" s="71">
        <v>508</v>
      </c>
      <c r="G27" s="71">
        <v>3292</v>
      </c>
      <c r="H27" s="71">
        <v>2535</v>
      </c>
      <c r="I27" s="71">
        <v>1253</v>
      </c>
      <c r="J27" s="71">
        <v>4929</v>
      </c>
      <c r="K27" s="71">
        <v>4723</v>
      </c>
      <c r="L27" s="71">
        <v>5541</v>
      </c>
      <c r="M27" s="71">
        <v>5073</v>
      </c>
      <c r="N27" s="71">
        <v>2846</v>
      </c>
      <c r="O27" s="71">
        <v>5717</v>
      </c>
      <c r="P27" s="71">
        <v>626</v>
      </c>
      <c r="Q27" s="90">
        <v>1857</v>
      </c>
      <c r="R27" s="71">
        <v>2734</v>
      </c>
      <c r="S27" s="71">
        <v>5097</v>
      </c>
      <c r="T27" s="71">
        <v>178</v>
      </c>
      <c r="U27" s="71">
        <v>4272</v>
      </c>
      <c r="V27" s="71">
        <v>4044</v>
      </c>
      <c r="W27" s="71">
        <v>6052</v>
      </c>
      <c r="X27" s="71">
        <v>7119</v>
      </c>
      <c r="Y27" s="71">
        <v>1852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46" t="s" ph="1">
        <v>178</v>
      </c>
      <c r="D28" s="91" ph="1">
        <f>D27*268.68*LOOKUP(D29,密度!$A$2:$A$50,密度!$Q$2:$Q$50)+IF(D27&lt;=0,0,1566*LOOKUP(D29,密度!$A$2:$A$50,密度!$Q$2:$Q$50))</f>
        <v>2866.368201408</v>
      </c>
      <c r="E28" s="91" ph="1">
        <f>E27*268.68*LOOKUP(E29,密度!$A$2:$A$50,密度!$C$2:$C$50)+IF(E27&lt;=0,0,1566*LOOKUP(E29,密度!$A$2:$A$50,密度!$C$2:$C$50))</f>
        <v>3259.0069777200001</v>
      </c>
      <c r="F28" s="91" ph="1">
        <f>F27*11.702*LOOKUP(F29,密度!$A$2:$A$50,密度!$Q$2:$Q$50)</f>
        <v>5649.6441540799997</v>
      </c>
      <c r="G28" s="91" ph="1">
        <f>G27*18.322*LOOKUP(G29,密度!$A$2:$A$50,密度!$B$2:$B$50)</f>
        <v>47293.794418400001</v>
      </c>
      <c r="H28" s="91" ph="1">
        <f>H27*18.322*LOOKUP(H29,密度!$A$2:$A$50,密度!$B$2:$B$50)</f>
        <v>36455.677322999996</v>
      </c>
      <c r="I28" s="91" ph="1">
        <f>I27*18.322*LOOKUP(I29,密度!$A$2:$A$50,密度!$Q$2:$Q$50)</f>
        <v>21837.83038318</v>
      </c>
      <c r="J28" s="91" ph="1">
        <f>J27*18.322*LOOKUP(J29,密度!$A$2:$A$50,密度!$Q$2:$Q$50)</f>
        <v>85904.761339739998</v>
      </c>
      <c r="K28" s="91" ph="1">
        <f>K27*18.322*LOOKUP(K29,密度!$A$2:$A$50,密度!$Q$2:$Q$50)</f>
        <v>82314.503511379997</v>
      </c>
      <c r="L28" s="91" ph="1">
        <f>L27*18.322*LOOKUP(L29,密度!$A$2:$A$50,密度!$Q$2:$Q$50)</f>
        <v>96484.670336759984</v>
      </c>
      <c r="M28" s="91" ph="1">
        <f>M27*18.322*LOOKUP(M29,密度!$A$2:$A$50,密度!$Q$2:$Q$50)</f>
        <v>88335.450752279998</v>
      </c>
      <c r="N28" s="91" ph="1">
        <f>N27*18.322*LOOKUP(N29,密度!$A$2:$A$50,密度!$Q$2:$Q$50)</f>
        <v>49521.026632280002</v>
      </c>
      <c r="O28" s="91" ph="1">
        <f>O27*18.322*LOOKUP(O29,密度!$A$2:$A$50,密度!$C$2:$C$50)</f>
        <v>116677.54294859998</v>
      </c>
      <c r="P28" s="91" ph="1">
        <f>P27*11.702*LOOKUP(P29,密度!$A$2:$A$50,密度!$B$2:$B$50)</f>
        <v>5755.6076364</v>
      </c>
      <c r="Q28" s="92" ph="1">
        <f>Q27*18.322*LOOKUP(Q29,密度!$A$2:$A$50,密度!$B$2:$B$50)</f>
        <v>26705.401494599999</v>
      </c>
      <c r="R28" s="91" ph="1">
        <f>R27*35.891*LOOKUP(R29,密度!$A$2:$A$50,密度!$C$2:$C$50)</f>
        <v>109233.85652079999</v>
      </c>
      <c r="S28" s="91" ph="1">
        <f>S27*35.891*LOOKUP(S29,密度!$A$2:$A$50,密度!$B$2:$B$50)</f>
        <v>143586.80155229999</v>
      </c>
      <c r="T28" s="91" ph="1">
        <f>T27*35.891*LOOKUP(T29,密度!$A$2:$A$50,密度!$Q$2:$Q$50)</f>
        <v>6077.0260755400004</v>
      </c>
      <c r="U28" s="91" ph="1">
        <f>U27*35.891</f>
        <v>153326.35199999998</v>
      </c>
      <c r="V28" s="91" ph="1">
        <f>V27*47.051*LOOKUP(V29,密度!$A$2:$A$50,密度!$B$2:$B$50)</f>
        <v>149346.25411560002</v>
      </c>
      <c r="W28" s="91" ph="1">
        <f>W27*47.051*LOOKUP(W29,密度!$A$2:$A$50,密度!$B$2:$B$50)</f>
        <v>223274.55443320001</v>
      </c>
      <c r="X28" s="91" ph="1">
        <f>X27*47.051*LOOKUP(X29,密度!$A$2:$A$61,密度!$I$2:$I$61)</f>
        <v>340516.33974540001</v>
      </c>
      <c r="Y28" s="91" ph="1">
        <f>Y27*47.051*LOOKUP(Y29,密度!$A$2:$A$50,密度!$L$2:$L$50)</f>
        <v>81997.283332000006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46" t="s" ph="1">
        <v>179</v>
      </c>
      <c r="D29" s="74">
        <v>25</v>
      </c>
      <c r="E29" s="74">
        <v>25</v>
      </c>
      <c r="F29" s="74">
        <v>20</v>
      </c>
      <c r="G29" s="74">
        <v>20</v>
      </c>
      <c r="H29" s="74">
        <v>19</v>
      </c>
      <c r="I29" s="74">
        <v>19</v>
      </c>
      <c r="J29" s="74">
        <v>19</v>
      </c>
      <c r="K29" s="74">
        <v>19</v>
      </c>
      <c r="L29" s="74">
        <v>20</v>
      </c>
      <c r="M29" s="74">
        <v>20</v>
      </c>
      <c r="N29" s="74">
        <v>21</v>
      </c>
      <c r="O29" s="74">
        <v>18</v>
      </c>
      <c r="P29" s="74">
        <v>18</v>
      </c>
      <c r="Q29" s="93">
        <v>19</v>
      </c>
      <c r="R29" s="74">
        <v>19</v>
      </c>
      <c r="S29" s="74">
        <v>19</v>
      </c>
      <c r="T29" s="74">
        <v>19</v>
      </c>
      <c r="U29" s="74">
        <v>19</v>
      </c>
      <c r="V29" s="74">
        <v>19</v>
      </c>
      <c r="W29" s="74">
        <v>20</v>
      </c>
      <c r="X29" s="74">
        <v>48</v>
      </c>
      <c r="Y29" s="74">
        <v>21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240437.62792659999</v>
      </c>
      <c r="E33" s="215" ph="1">
        <f>M10+I10</f>
        <v>27151.067288000002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19" ph="1">
        <f>N19</f>
        <v>17342.752094980002</v>
      </c>
      <c r="H33" s="215" ph="1">
        <f>M19</f>
        <v>5903.9166108000009</v>
      </c>
      <c r="I33" s="228" ph="1">
        <v>0</v>
      </c>
      <c r="J33" s="226" ph="1">
        <f>F10+O28</f>
        <v>308734.92001379997</v>
      </c>
      <c r="K33" s="215" ph="1">
        <f>O10+K10+E28+R28</f>
        <v>169902.90419052</v>
      </c>
      <c r="L33" s="230" ph="1">
        <f>K19</f>
        <v>45798.726691860007</v>
      </c>
      <c r="M33" s="226" ph="1">
        <f>G10+H10+W28+S28+V28+E10+R19+P28+Q28</f>
        <v>775548.26135424001</v>
      </c>
      <c r="N33" s="215" ph="1">
        <f>L10+P10++G28+H28+AD19+AE19</f>
        <v>199002.86811139999</v>
      </c>
      <c r="O33" s="228" ph="1">
        <f>G19</f>
        <v>22507.585186400003</v>
      </c>
      <c r="P33" s="226" ph="1">
        <f>L19</f>
        <v>22088.701650399998</v>
      </c>
      <c r="Q33" s="215" ph="1">
        <f>J10+N10</f>
        <v>115090.8181243</v>
      </c>
      <c r="R33" s="228" ph="1">
        <f>BE23</f>
        <v>890</v>
      </c>
      <c r="S33" s="226" ph="1">
        <f>X28</f>
        <v>340516.33974540001</v>
      </c>
      <c r="T33" s="215" ph="1">
        <f>X19</f>
        <v>9565.1761065999999</v>
      </c>
      <c r="U33" s="236" ph="1">
        <f>BE21</f>
        <v>730</v>
      </c>
      <c r="V33" s="247" ph="1">
        <f ca="1">P19+Q19+S19+M28+N28+J28+D10+AC10+D19+E19+H19+J19+O19+V19+W19+K28+L28</f>
        <v>1365441.524375472</v>
      </c>
      <c r="W33" s="247" ph="1">
        <f>D28+F28+T28+I28</f>
        <v>36430.868814207999</v>
      </c>
      <c r="X33" s="228" ph="1">
        <f>BE29+BE31</f>
        <v>10200</v>
      </c>
      <c r="Y33" s="249" ph="1">
        <f>+Q10+R10+S10+T10+U10+V10+W10+X10+Y10</f>
        <v>256326.11830979999</v>
      </c>
      <c r="Z33" s="234" ph="1">
        <f>T19+U19+Y28+Z10</f>
        <v>239798.78619784</v>
      </c>
      <c r="AA33" s="236" ph="1">
        <f>BE19</f>
        <v>1440</v>
      </c>
      <c r="AB33" s="238" ph="1">
        <f>I19</f>
        <v>48667.769469600004</v>
      </c>
      <c r="AC33" s="240" ph="1">
        <f>AD10+AB19</f>
        <v>153658.6590176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44" t="s" ph="1">
        <v>185</v>
      </c>
      <c r="AA36" s="144" ph="1"/>
      <c r="AB36" s="233" t="s" ph="1">
        <v>636</v>
      </c>
      <c r="AC36" s="233" ph="1"/>
      <c r="AD36" s="233" ph="1"/>
      <c r="AE36" s="233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342</v>
      </c>
      <c r="AI37" s="144" t="s" ph="1">
        <v>209</v>
      </c>
      <c r="AJ37" s="144" t="s" ph="1">
        <v>210</v>
      </c>
      <c r="AK37" s="144" t="s" ph="1">
        <v>211</v>
      </c>
      <c r="AM37" s="144" t="s" ph="1">
        <v>210</v>
      </c>
      <c r="AN37" s="144" t="s" ph="1">
        <v>211</v>
      </c>
      <c r="AO37" s="144" t="s" ph="1">
        <v>212</v>
      </c>
      <c r="AP37" s="144" t="s" ph="1">
        <v>210</v>
      </c>
      <c r="AQ37" s="144" t="s" ph="1">
        <v>211</v>
      </c>
      <c r="AR37" s="144" t="s" ph="1">
        <v>212</v>
      </c>
      <c r="AS37" s="144" t="s" ph="1">
        <v>210</v>
      </c>
      <c r="AT37" s="144" t="s" ph="1">
        <v>211</v>
      </c>
      <c r="AU37" s="144" t="s" ph="1">
        <v>212</v>
      </c>
      <c r="AV37" s="144" t="s" ph="1">
        <v>210</v>
      </c>
      <c r="AW37" s="144" t="s" ph="1">
        <v>211</v>
      </c>
      <c r="AX37" s="144" t="s" ph="1">
        <v>212</v>
      </c>
      <c r="AY37" s="144" t="s" ph="1">
        <v>211</v>
      </c>
      <c r="AZ37" s="144" t="s" ph="1">
        <v>213</v>
      </c>
      <c r="BD37" s="144" t="s" ph="1">
        <v>305</v>
      </c>
      <c r="BE37" s="14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079" priority="100">
      <formula>ABS(D$7-D$10)&gt;=1000</formula>
    </cfRule>
  </conditionalFormatting>
  <conditionalFormatting sqref="E4 E6:E11">
    <cfRule type="expression" dxfId="2078" priority="99">
      <formula>ABS(E$7-E$10)&gt;=1000</formula>
    </cfRule>
  </conditionalFormatting>
  <conditionalFormatting sqref="F4:F11">
    <cfRule type="expression" dxfId="2077" priority="98">
      <formula>ABS(F$7-F$10)&gt;=1000</formula>
    </cfRule>
  </conditionalFormatting>
  <conditionalFormatting sqref="G4:G11">
    <cfRule type="expression" dxfId="2076" priority="97">
      <formula>ABS(G$7-G$10)&gt;=1000</formula>
    </cfRule>
  </conditionalFormatting>
  <conditionalFormatting sqref="H4:H11">
    <cfRule type="expression" dxfId="2075" priority="96">
      <formula>ABS(H$7-H$10)&gt;=1000</formula>
    </cfRule>
  </conditionalFormatting>
  <conditionalFormatting sqref="I4:I11">
    <cfRule type="expression" dxfId="2074" priority="95">
      <formula>ABS(I$7-I$10)&gt;=1000</formula>
    </cfRule>
  </conditionalFormatting>
  <conditionalFormatting sqref="J4:J11">
    <cfRule type="expression" dxfId="2073" priority="94">
      <formula>ABS(J$7-J$10)&gt;=1000</formula>
    </cfRule>
  </conditionalFormatting>
  <conditionalFormatting sqref="K4:K11">
    <cfRule type="expression" dxfId="2072" priority="93">
      <formula>ABS(K$7-K$10)&gt;=1000</formula>
    </cfRule>
  </conditionalFormatting>
  <conditionalFormatting sqref="L4:L11">
    <cfRule type="expression" dxfId="2071" priority="92">
      <formula>ABS(L$7-L$10)&gt;=1000</formula>
    </cfRule>
  </conditionalFormatting>
  <conditionalFormatting sqref="M4 M6:M11">
    <cfRule type="expression" dxfId="2070" priority="91">
      <formula>ABS(M$7-M$10)&gt;=1000</formula>
    </cfRule>
  </conditionalFormatting>
  <conditionalFormatting sqref="N4 N6:N11">
    <cfRule type="expression" dxfId="2069" priority="90">
      <formula>ABS(N$7-N$10)&gt;=1000</formula>
    </cfRule>
  </conditionalFormatting>
  <conditionalFormatting sqref="O4 O6:O11">
    <cfRule type="expression" dxfId="2068" priority="89">
      <formula>ABS(O$7-O$10)&gt;=1000</formula>
    </cfRule>
  </conditionalFormatting>
  <conditionalFormatting sqref="P4 P6:P11">
    <cfRule type="expression" dxfId="2067" priority="88">
      <formula>ABS(P$7-P$10)&gt;=1000</formula>
    </cfRule>
  </conditionalFormatting>
  <conditionalFormatting sqref="Q4:Q11">
    <cfRule type="expression" dxfId="2066" priority="87">
      <formula>ABS(Q$7-Q$10)&gt;=1000</formula>
    </cfRule>
  </conditionalFormatting>
  <conditionalFormatting sqref="R4:R11">
    <cfRule type="expression" dxfId="2065" priority="86">
      <formula>ABS(R$7-R$10)&gt;=1000</formula>
    </cfRule>
  </conditionalFormatting>
  <conditionalFormatting sqref="S4:S11">
    <cfRule type="expression" dxfId="2064" priority="85">
      <formula>ABS(S$7-S$10)&gt;=1000</formula>
    </cfRule>
  </conditionalFormatting>
  <conditionalFormatting sqref="T4:T9 T11">
    <cfRule type="expression" dxfId="2063" priority="84">
      <formula>ABS(T$7-T$10)&gt;=1000</formula>
    </cfRule>
  </conditionalFormatting>
  <conditionalFormatting sqref="U4:U9 U11">
    <cfRule type="expression" dxfId="2062" priority="83">
      <formula>ABS(U$7-U$10)&gt;=1000</formula>
    </cfRule>
  </conditionalFormatting>
  <conditionalFormatting sqref="V4:V9 V11">
    <cfRule type="expression" dxfId="2061" priority="82">
      <formula>ABS(V$7-V$10)&gt;=1000</formula>
    </cfRule>
  </conditionalFormatting>
  <conditionalFormatting sqref="W4:W9 W11">
    <cfRule type="expression" dxfId="2060" priority="81">
      <formula>ABS(W$7-W$10)&gt;=1000</formula>
    </cfRule>
  </conditionalFormatting>
  <conditionalFormatting sqref="X4:X9 X11">
    <cfRule type="expression" dxfId="2059" priority="80">
      <formula>ABS(X$7-X$10)&gt;=1000</formula>
    </cfRule>
  </conditionalFormatting>
  <conditionalFormatting sqref="Y4:Y9 Y11">
    <cfRule type="expression" dxfId="2058" priority="79">
      <formula>ABS(Y$7-Y$10)&gt;=1000</formula>
    </cfRule>
  </conditionalFormatting>
  <conditionalFormatting sqref="Z4:Z11">
    <cfRule type="expression" dxfId="2057" priority="78">
      <formula>ABS(Z$7-Z$10)&gt;=1000</formula>
    </cfRule>
  </conditionalFormatting>
  <conditionalFormatting sqref="AA4:AA11">
    <cfRule type="expression" dxfId="2056" priority="77">
      <formula>ABS(AA$7-AA$10)&gt;=1000</formula>
    </cfRule>
  </conditionalFormatting>
  <conditionalFormatting sqref="AB4:AB11">
    <cfRule type="expression" dxfId="2055" priority="76">
      <formula>ABS(AB$7-AB$10)&gt;=1000</formula>
    </cfRule>
  </conditionalFormatting>
  <conditionalFormatting sqref="AC4 AC6:AC11">
    <cfRule type="expression" dxfId="2054" priority="75">
      <formula>ABS(AC$7-AC$10)&gt;=1000</formula>
    </cfRule>
  </conditionalFormatting>
  <conditionalFormatting sqref="AD4 AD6:AD11">
    <cfRule type="expression" dxfId="2053" priority="74">
      <formula>ABS(AD$7-AD$10)&gt;=1000</formula>
    </cfRule>
  </conditionalFormatting>
  <conditionalFormatting sqref="AE4 AE6:AE11">
    <cfRule type="expression" dxfId="2052" priority="73">
      <formula>ABS(AE$7-AE$10)&gt;=1000</formula>
    </cfRule>
  </conditionalFormatting>
  <conditionalFormatting sqref="D13:D20">
    <cfRule type="expression" dxfId="2051" priority="72">
      <formula>ABS(D$16-D$19)&gt;=1000</formula>
    </cfRule>
  </conditionalFormatting>
  <conditionalFormatting sqref="E13:E20">
    <cfRule type="expression" dxfId="2050" priority="71">
      <formula>ABS(E$16-E$19)&gt;=1000</formula>
    </cfRule>
  </conditionalFormatting>
  <conditionalFormatting sqref="F13 F15:F20">
    <cfRule type="expression" dxfId="2049" priority="70">
      <formula>ABS(F$16-F$19)&gt;=1000</formula>
    </cfRule>
  </conditionalFormatting>
  <conditionalFormatting sqref="G13:G20">
    <cfRule type="expression" dxfId="2048" priority="69">
      <formula>ABS(G$16-G$19)&gt;=1000</formula>
    </cfRule>
  </conditionalFormatting>
  <conditionalFormatting sqref="H13 H15:H20">
    <cfRule type="expression" dxfId="2047" priority="68">
      <formula>ABS(H$16-H$19)&gt;=1000</formula>
    </cfRule>
  </conditionalFormatting>
  <conditionalFormatting sqref="I13:I20">
    <cfRule type="expression" dxfId="2046" priority="67">
      <formula>ABS(I$16-I$19)&gt;=1000</formula>
    </cfRule>
  </conditionalFormatting>
  <conditionalFormatting sqref="J13:J20">
    <cfRule type="expression" dxfId="2045" priority="66">
      <formula>ABS(J$16-J$19)&gt;=1000</formula>
    </cfRule>
  </conditionalFormatting>
  <conditionalFormatting sqref="L13:L20">
    <cfRule type="expression" dxfId="2044" priority="65">
      <formula>ABS(L$16-L$19)&gt;=1000</formula>
    </cfRule>
  </conditionalFormatting>
  <conditionalFormatting sqref="M13 M15 M17:M18 M20">
    <cfRule type="expression" dxfId="2043" priority="64">
      <formula>ABS(M$16-M$19)&gt;=1000</formula>
    </cfRule>
  </conditionalFormatting>
  <conditionalFormatting sqref="N13:N20">
    <cfRule type="expression" dxfId="2042" priority="63">
      <formula>ABS(N$16-N$19)&gt;=1000</formula>
    </cfRule>
  </conditionalFormatting>
  <conditionalFormatting sqref="O13:O20">
    <cfRule type="expression" dxfId="2041" priority="62">
      <formula>ABS(O$16-O$19)&gt;=1000</formula>
    </cfRule>
  </conditionalFormatting>
  <conditionalFormatting sqref="P13:P20">
    <cfRule type="expression" dxfId="2040" priority="61">
      <formula>ABS(P$16-P$19)&gt;=1000</formula>
    </cfRule>
  </conditionalFormatting>
  <conditionalFormatting sqref="Q13 Q15:Q20">
    <cfRule type="expression" dxfId="2039" priority="60">
      <formula>ABS(Q$16-Q$19)&gt;=1000</formula>
    </cfRule>
  </conditionalFormatting>
  <conditionalFormatting sqref="R13:R20">
    <cfRule type="expression" dxfId="2038" priority="59">
      <formula>ABS(R$16-R$19)&gt;=1000</formula>
    </cfRule>
  </conditionalFormatting>
  <conditionalFormatting sqref="S13:S20">
    <cfRule type="expression" dxfId="2037" priority="58">
      <formula>ABS(S$16-S$19)&gt;=1000</formula>
    </cfRule>
  </conditionalFormatting>
  <conditionalFormatting sqref="T13:T20">
    <cfRule type="expression" dxfId="2036" priority="57">
      <formula>ABS(T$16-T$19)&gt;=1000</formula>
    </cfRule>
  </conditionalFormatting>
  <conditionalFormatting sqref="U13:U20">
    <cfRule type="expression" dxfId="2035" priority="56">
      <formula>ABS(U$16-U$19)&gt;=1000</formula>
    </cfRule>
  </conditionalFormatting>
  <conditionalFormatting sqref="V13:V20">
    <cfRule type="expression" dxfId="2034" priority="55">
      <formula>ABS(V$16-V$19)&gt;=1000</formula>
    </cfRule>
  </conditionalFormatting>
  <conditionalFormatting sqref="W13 W20 W15:W18">
    <cfRule type="expression" dxfId="2033" priority="54">
      <formula>ABS(W$16-W$19)&gt;=1000</formula>
    </cfRule>
  </conditionalFormatting>
  <conditionalFormatting sqref="X13 X15:X20 Y19">
    <cfRule type="expression" dxfId="2032" priority="53">
      <formula>ABS(X$16-X$19)&gt;=1000</formula>
    </cfRule>
  </conditionalFormatting>
  <conditionalFormatting sqref="Y13 Y15:Y18 Y20">
    <cfRule type="expression" dxfId="2031" priority="52">
      <formula>ABS(Y$16-Y$19)&gt;=1000</formula>
    </cfRule>
  </conditionalFormatting>
  <conditionalFormatting sqref="Z13:Z20">
    <cfRule type="expression" dxfId="2030" priority="51">
      <formula>ABS(Z$16-Z$19)&gt;=1000</formula>
    </cfRule>
  </conditionalFormatting>
  <conditionalFormatting sqref="AA13:AA20">
    <cfRule type="expression" dxfId="2029" priority="50">
      <formula>ABS(AA$16-AA$19)&gt;=1000</formula>
    </cfRule>
  </conditionalFormatting>
  <conditionalFormatting sqref="AB13 AB15:AB20">
    <cfRule type="expression" dxfId="2028" priority="49">
      <formula>ABS(AB$16-AB$19)&gt;=1000</formula>
    </cfRule>
  </conditionalFormatting>
  <conditionalFormatting sqref="AC13 AC15:AC20">
    <cfRule type="expression" dxfId="2027" priority="48">
      <formula>ABS(AC$16-AC$19)&gt;=1000</formula>
    </cfRule>
  </conditionalFormatting>
  <conditionalFormatting sqref="AD13:AD20">
    <cfRule type="expression" dxfId="2026" priority="47">
      <formula>ABS(AD$16-AD$19)&gt;=1000</formula>
    </cfRule>
  </conditionalFormatting>
  <conditionalFormatting sqref="AE13:AE20">
    <cfRule type="expression" dxfId="2025" priority="46">
      <formula>ABS(AE$16-AE$19)&gt;=1000</formula>
    </cfRule>
  </conditionalFormatting>
  <conditionalFormatting sqref="D22:D29">
    <cfRule type="expression" dxfId="2024" priority="45">
      <formula>ABS(D$25-D$28)&gt;=1000</formula>
    </cfRule>
  </conditionalFormatting>
  <conditionalFormatting sqref="E22:E29">
    <cfRule type="expression" dxfId="2023" priority="44">
      <formula>ABS(E$25-E$28)&gt;=1000</formula>
    </cfRule>
  </conditionalFormatting>
  <conditionalFormatting sqref="F22:F29">
    <cfRule type="expression" dxfId="2022" priority="43">
      <formula>ABS(F$25-F$28)&gt;=1000</formula>
    </cfRule>
  </conditionalFormatting>
  <conditionalFormatting sqref="G22:G29">
    <cfRule type="expression" dxfId="2021" priority="42">
      <formula>ABS(G$25-G$28)&gt;=1000</formula>
    </cfRule>
  </conditionalFormatting>
  <conditionalFormatting sqref="H22:H29">
    <cfRule type="expression" dxfId="2020" priority="41">
      <formula>ABS(H$25-H$28)&gt;=1000</formula>
    </cfRule>
  </conditionalFormatting>
  <conditionalFormatting sqref="I22 I24:I29">
    <cfRule type="expression" dxfId="2019" priority="40">
      <formula>ABS(I$25-I$28)&gt;=1000</formula>
    </cfRule>
  </conditionalFormatting>
  <conditionalFormatting sqref="J22:J29 K22">
    <cfRule type="expression" dxfId="2018" priority="39">
      <formula>ABS(J$25-J$28)&gt;=1000</formula>
    </cfRule>
  </conditionalFormatting>
  <conditionalFormatting sqref="K23:K29 L25 L28">
    <cfRule type="expression" dxfId="2017" priority="38">
      <formula>ABS(K$25-K$28)&gt;=1000</formula>
    </cfRule>
  </conditionalFormatting>
  <conditionalFormatting sqref="L22 L26:L27 L29 L24">
    <cfRule type="expression" dxfId="2016" priority="37">
      <formula>ABS(L$25-L$28)&gt;=1000</formula>
    </cfRule>
  </conditionalFormatting>
  <conditionalFormatting sqref="M22:M29">
    <cfRule type="expression" dxfId="2015" priority="36">
      <formula>ABS(M$25-M$28)&gt;=1000</formula>
    </cfRule>
  </conditionalFormatting>
  <conditionalFormatting sqref="N22:N29">
    <cfRule type="expression" dxfId="2014" priority="35">
      <formula>ABS(N$25-N$28)&gt;=1000</formula>
    </cfRule>
  </conditionalFormatting>
  <conditionalFormatting sqref="O22:O29">
    <cfRule type="expression" dxfId="2013" priority="34">
      <formula>ABS(O$25-O$28)&gt;=1000</formula>
    </cfRule>
  </conditionalFormatting>
  <conditionalFormatting sqref="P22:P29">
    <cfRule type="expression" dxfId="2012" priority="33">
      <formula>ABS(P$25-P$28)&gt;=1000</formula>
    </cfRule>
  </conditionalFormatting>
  <conditionalFormatting sqref="Q22:Q29">
    <cfRule type="expression" dxfId="2011" priority="32">
      <formula>ABS(Q$25-Q$28)&gt;=1000</formula>
    </cfRule>
  </conditionalFormatting>
  <conditionalFormatting sqref="R22:R29">
    <cfRule type="expression" dxfId="2010" priority="31">
      <formula>ABS(R$25-R$28)&gt;=1000</formula>
    </cfRule>
  </conditionalFormatting>
  <conditionalFormatting sqref="S22:S29">
    <cfRule type="expression" dxfId="2009" priority="30">
      <formula>ABS(S$25-S$28)&gt;=1000</formula>
    </cfRule>
  </conditionalFormatting>
  <conditionalFormatting sqref="T22:T29">
    <cfRule type="expression" dxfId="2008" priority="29">
      <formula>ABS(T$25-T$28)&gt;=1000</formula>
    </cfRule>
  </conditionalFormatting>
  <conditionalFormatting sqref="U22:U29">
    <cfRule type="expression" dxfId="2007" priority="28">
      <formula>ABS(U$25-U$28)&gt;=1000</formula>
    </cfRule>
  </conditionalFormatting>
  <conditionalFormatting sqref="V22:V29">
    <cfRule type="expression" dxfId="2006" priority="27">
      <formula>ABS(V$25-V$28)&gt;=1000</formula>
    </cfRule>
  </conditionalFormatting>
  <conditionalFormatting sqref="W22:W29">
    <cfRule type="expression" dxfId="2005" priority="26">
      <formula>ABS(W$25-W$28)&gt;=1000</formula>
    </cfRule>
  </conditionalFormatting>
  <conditionalFormatting sqref="X22:X29">
    <cfRule type="expression" dxfId="2004" priority="25">
      <formula>ABS(X$25-X$28)&gt;=1000</formula>
    </cfRule>
  </conditionalFormatting>
  <conditionalFormatting sqref="Y22:Y29">
    <cfRule type="expression" dxfId="2003" priority="24">
      <formula>ABS(Y$25-Y$28)&gt;=1000</formula>
    </cfRule>
  </conditionalFormatting>
  <conditionalFormatting sqref="I23">
    <cfRule type="expression" dxfId="2002" priority="23">
      <formula>ABS(I$25-I$28)&gt;=1000</formula>
    </cfRule>
  </conditionalFormatting>
  <conditionalFormatting sqref="Q14">
    <cfRule type="expression" dxfId="2001" priority="22">
      <formula>ABS(Q$16-Q$19)&gt;=1000</formula>
    </cfRule>
  </conditionalFormatting>
  <conditionalFormatting sqref="W14">
    <cfRule type="expression" dxfId="2000" priority="21">
      <formula>ABS(W$16-W$19)&gt;=1000</formula>
    </cfRule>
  </conditionalFormatting>
  <conditionalFormatting sqref="X14">
    <cfRule type="expression" dxfId="1999" priority="20">
      <formula>ABS(X$16-X$19)&gt;=1000</formula>
    </cfRule>
  </conditionalFormatting>
  <conditionalFormatting sqref="T10:Y10">
    <cfRule type="expression" dxfId="1998" priority="19">
      <formula>ABS(T$7-T$10)&gt;=1000</formula>
    </cfRule>
  </conditionalFormatting>
  <conditionalFormatting sqref="W19">
    <cfRule type="expression" dxfId="1997" priority="18">
      <formula>ABS(W$16-W$19)&gt;=1000</formula>
    </cfRule>
  </conditionalFormatting>
  <conditionalFormatting sqref="AC5">
    <cfRule type="expression" dxfId="1996" priority="17">
      <formula>ABS(AC$7-AC$10)&gt;=1000</formula>
    </cfRule>
  </conditionalFormatting>
  <conditionalFormatting sqref="M14">
    <cfRule type="expression" dxfId="1995" priority="16">
      <formula>ABS(M$16-M$19)&gt;=1000</formula>
    </cfRule>
  </conditionalFormatting>
  <conditionalFormatting sqref="M16">
    <cfRule type="expression" dxfId="1994" priority="15">
      <formula>ABS(M$16-M$19)&gt;=1000</formula>
    </cfRule>
  </conditionalFormatting>
  <conditionalFormatting sqref="M19">
    <cfRule type="expression" dxfId="1993" priority="14">
      <formula>ABS(M$16-M$19)&gt;=1000</formula>
    </cfRule>
  </conditionalFormatting>
  <conditionalFormatting sqref="K13:K20">
    <cfRule type="expression" dxfId="1992" priority="13">
      <formula>ABS(K$16-K$19)&gt;=1000</formula>
    </cfRule>
  </conditionalFormatting>
  <conditionalFormatting sqref="E5">
    <cfRule type="expression" dxfId="1991" priority="12">
      <formula>ABS(E$7-E$10)&gt;=1000</formula>
    </cfRule>
  </conditionalFormatting>
  <conditionalFormatting sqref="AB14:AC14">
    <cfRule type="expression" dxfId="1990" priority="11">
      <formula>ABS(AB$16-AB$19)&gt;=1000</formula>
    </cfRule>
  </conditionalFormatting>
  <conditionalFormatting sqref="M5">
    <cfRule type="expression" dxfId="1989" priority="10">
      <formula>ABS(M$7-M$10)&gt;=1000</formula>
    </cfRule>
  </conditionalFormatting>
  <conditionalFormatting sqref="N5">
    <cfRule type="expression" dxfId="1988" priority="9">
      <formula>ABS(N$7-N$10)&gt;=1000</formula>
    </cfRule>
  </conditionalFormatting>
  <conditionalFormatting sqref="O5">
    <cfRule type="expression" dxfId="1987" priority="8">
      <formula>ABS(O$7-O$10)&gt;=1000</formula>
    </cfRule>
  </conditionalFormatting>
  <conditionalFormatting sqref="P5">
    <cfRule type="expression" dxfId="1986" priority="7">
      <formula>ABS(P$7-P$10)&gt;=1000</formula>
    </cfRule>
  </conditionalFormatting>
  <conditionalFormatting sqref="L23">
    <cfRule type="expression" dxfId="1985" priority="6">
      <formula>ABS(L$25-L$28)&gt;=1000</formula>
    </cfRule>
  </conditionalFormatting>
  <conditionalFormatting sqref="Y14">
    <cfRule type="expression" dxfId="1984" priority="5">
      <formula>ABS(Y$16-Y$19)&gt;=1000</formula>
    </cfRule>
  </conditionalFormatting>
  <conditionalFormatting sqref="F14">
    <cfRule type="expression" dxfId="1983" priority="4">
      <formula>ABS(F$16-F$19)&gt;=1000</formula>
    </cfRule>
  </conditionalFormatting>
  <conditionalFormatting sqref="H14">
    <cfRule type="expression" dxfId="1982" priority="3">
      <formula>ABS(H$16-H$19)&gt;=1000</formula>
    </cfRule>
  </conditionalFormatting>
  <conditionalFormatting sqref="AD5">
    <cfRule type="expression" dxfId="1981" priority="2">
      <formula>ABS(AD$7-AD$10)&gt;=1000</formula>
    </cfRule>
  </conditionalFormatting>
  <conditionalFormatting sqref="AE5">
    <cfRule type="expression" dxfId="19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7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9">
    <pageSetUpPr fitToPage="1"/>
  </sheetPr>
  <dimension ref="A1:CU223"/>
  <sheetViews>
    <sheetView view="pageBreakPreview" topLeftCell="A10" zoomScale="70" zoomScaleNormal="100" zoomScaleSheetLayoutView="70" workbookViewId="0">
      <selection activeCell="T41" sqref="T4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46054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50" t="s" ph="1">
        <v>177</v>
      </c>
      <c r="D6" s="71">
        <v>6273</v>
      </c>
      <c r="E6" s="71">
        <v>86</v>
      </c>
      <c r="F6" s="71">
        <v>5693</v>
      </c>
      <c r="G6" s="71">
        <v>2814</v>
      </c>
      <c r="H6" s="71">
        <v>0</v>
      </c>
      <c r="I6" s="71">
        <v>0.1</v>
      </c>
      <c r="J6" s="71">
        <v>6.6</v>
      </c>
      <c r="K6" s="71">
        <v>9.1999999999999993</v>
      </c>
      <c r="L6" s="71">
        <v>7.8</v>
      </c>
      <c r="M6" s="71">
        <v>791</v>
      </c>
      <c r="N6" s="71">
        <v>4325</v>
      </c>
      <c r="O6" s="71">
        <v>1834</v>
      </c>
      <c r="P6" s="71">
        <v>1976</v>
      </c>
      <c r="Q6" s="71">
        <v>7152</v>
      </c>
      <c r="R6" s="71">
        <v>7109</v>
      </c>
      <c r="S6" s="71">
        <v>4672</v>
      </c>
      <c r="T6" s="71">
        <v>7126</v>
      </c>
      <c r="U6" s="71">
        <v>4313</v>
      </c>
      <c r="V6" s="71">
        <v>0</v>
      </c>
      <c r="W6" s="71">
        <v>0</v>
      </c>
      <c r="X6" s="71">
        <v>0</v>
      </c>
      <c r="Y6" s="71">
        <v>4633</v>
      </c>
      <c r="Z6" s="71">
        <v>3226</v>
      </c>
      <c r="AA6" s="71">
        <v>3992</v>
      </c>
      <c r="AB6" s="71">
        <v>4882</v>
      </c>
      <c r="AC6" s="71">
        <v>7749</v>
      </c>
      <c r="AD6" s="71">
        <v>4780</v>
      </c>
      <c r="AE6" s="71">
        <v>4458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198167.50653759</v>
      </c>
      <c r="E7" s="73" ph="1">
        <f>E6*51.53*LOOKUP(E8,密度!$A$2:$A$50,密度!$B$2:$B$50)</f>
        <v>3496.0734620000003</v>
      </c>
      <c r="F7" s="73" ph="1">
        <f>F6*33.183*LOOKUP(F8,密度!$A$2:$A$50,密度!$C$2:$C$50)</f>
        <v>210541.10777549999</v>
      </c>
      <c r="G7" s="73" ph="1">
        <f xml:space="preserve"> (G6+2)*51.53*LOOKUP(G8,密度!$A$2:$A$50,密度!$B$2:$B$50)</f>
        <v>114229.39545600001</v>
      </c>
      <c r="H7" s="73" ph="1">
        <f>(H6)*51.53*LOOKUP(H8,密度!$A$2:$A$50,密度!$B$2:$B$50)</f>
        <v>0</v>
      </c>
      <c r="I7" s="73" ph="1">
        <f>I6*290.8*1.0267</f>
        <v>29.856435999999999</v>
      </c>
      <c r="J7" s="73" ph="1">
        <f>J6*290.8*0.7892</f>
        <v>1514.695776</v>
      </c>
      <c r="K7" s="73" ph="1">
        <f>K6*290.8*1.1126</f>
        <v>2976.6055359999996</v>
      </c>
      <c r="L7" s="73" ph="1">
        <f>L6*290.8*0.777</f>
        <v>1762.4224800000002</v>
      </c>
      <c r="M7" s="73" ph="1">
        <f>M6*33.183*LOOKUP(M8,密度!$A$2:$A$50,密度!$D$2:$D$50)</f>
        <v>27182.173006800003</v>
      </c>
      <c r="N7" s="73" ph="1">
        <f>N6*33.183*LOOKUP(N8,密度!$A$2:$A$50,密度!$E$2:$E$50)</f>
        <v>113421.0701925</v>
      </c>
      <c r="O7" s="73" ph="1">
        <f>O6*20.428*LOOKUP(O8,密度!$A$2:$A$50,密度!$C$2:$C$50)</f>
        <v>41657.280128800012</v>
      </c>
      <c r="P7" s="73" ph="1">
        <f>P6*51.53*LOOKUP(P8,密度!$A$2:$A$50,密度!$B$2:$B$50)</f>
        <v>80328.385592000006</v>
      </c>
      <c r="Q7" s="73" ph="1">
        <f>Q6*1.5*1.5*3.1416*LOOKUP(W8,密度!$A$2:$A$50,密度!$L$2:$L$50)</f>
        <v>47875.2319584</v>
      </c>
      <c r="R7" s="73" ph="1">
        <f>R6*1.5*1.5*3.1416*LOOKUP(R8,密度!$A$2:$A$50,密度!$L$2:$L$50)</f>
        <v>47235.636756</v>
      </c>
      <c r="S7" s="73" ph="1">
        <f>S6*1.5*1.5*3.1416*LOOKUP(S8,密度!$A$2:$A$50,密度!$L$2:$L$50)</f>
        <v>31340.249740799998</v>
      </c>
      <c r="T7" s="73" ph="1">
        <f>T6*1.5*1.5*3.1416*LOOKUP(T8,密度!$A$2:$A$50,密度!$L$2:$L$50)</f>
        <v>47852.301419999996</v>
      </c>
      <c r="U7" s="73" ph="1">
        <f>U6*1.5*1.5*3.1416*LOOKUP(U8,密度!$A$2:$A$50,密度!$L$2:$L$50)</f>
        <v>28810.093850999998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30980.387314799998</v>
      </c>
      <c r="Z7" s="73" ph="1">
        <f>Z6*33.183*LOOKUP(Z8,密度!$A$2:$A$50,密度!$L$2:$L$50)</f>
        <v>101695.94009999999</v>
      </c>
      <c r="AA7" s="73" ph="1">
        <f>AA6*33.183*LOOKUP(AA8,密度!$A$2:$A$50,密度!$D$2:$D$50)</f>
        <v>137182.34468159999</v>
      </c>
      <c r="AB7" s="73" ph="1">
        <f>AB6*20.428*LOOKUP(AB8,密度!$A$2:$A$50,密度!$D$2:$D$50)</f>
        <v>103898.18893280001</v>
      </c>
      <c r="AC7" s="73" ph="1">
        <f>AC6*51.53*LOOKUP(AC8,密度!$A$2:$A$50,密度!$Q$2:$Q$50)</f>
        <v>381153.52060380008</v>
      </c>
      <c r="AD7" s="73" ph="1">
        <f>AD6*20.428*LOOKUP(AD8,密度!$A$2:$A$50,密度!$V$2:$V$50)</f>
        <v>94130.589760000003</v>
      </c>
      <c r="AE7" s="73" ph="1">
        <f>AE6*20.428</f>
        <v>91068.024000000005</v>
      </c>
    </row>
    <row r="8" spans="1:99" ph="1">
      <c r="B8" s="193" ph="1"/>
      <c r="C8" s="68" t="s" ph="1">
        <v>179</v>
      </c>
      <c r="D8" s="74">
        <v>18</v>
      </c>
      <c r="E8" s="74">
        <v>14</v>
      </c>
      <c r="F8" s="74">
        <v>17</v>
      </c>
      <c r="G8" s="74">
        <v>16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19</v>
      </c>
      <c r="O8" s="74">
        <v>21</v>
      </c>
      <c r="P8" s="74">
        <v>14</v>
      </c>
      <c r="Q8" s="74">
        <v>18</v>
      </c>
      <c r="R8" s="74">
        <v>22</v>
      </c>
      <c r="S8" s="74">
        <v>13</v>
      </c>
      <c r="T8" s="74">
        <v>12</v>
      </c>
      <c r="U8" s="74">
        <v>17</v>
      </c>
      <c r="V8" s="74">
        <v>22</v>
      </c>
      <c r="W8" s="74">
        <v>15</v>
      </c>
      <c r="X8" s="74">
        <v>6</v>
      </c>
      <c r="Y8" s="74">
        <v>16</v>
      </c>
      <c r="Z8" s="74">
        <v>12</v>
      </c>
      <c r="AA8" s="74">
        <v>15</v>
      </c>
      <c r="AB8" s="74">
        <v>8</v>
      </c>
      <c r="AC8" s="74">
        <v>13</v>
      </c>
      <c r="AD8" s="74">
        <v>14</v>
      </c>
      <c r="AE8" s="74">
        <v>20</v>
      </c>
    </row>
    <row r="9" spans="1:99" ht="26.4" ph="1">
      <c r="B9" s="193" ph="1">
        <v>0.66666666666666663</v>
      </c>
      <c r="C9" s="150" t="s" ph="1">
        <v>180</v>
      </c>
      <c r="D9" s="71">
        <v>6288</v>
      </c>
      <c r="E9" s="71">
        <v>88</v>
      </c>
      <c r="F9" s="71">
        <v>5196</v>
      </c>
      <c r="G9" s="71">
        <v>3067</v>
      </c>
      <c r="H9" s="71">
        <v>1153</v>
      </c>
      <c r="I9" s="71">
        <v>0.08</v>
      </c>
      <c r="J9" s="71">
        <v>6.59</v>
      </c>
      <c r="K9" s="71">
        <v>55.61</v>
      </c>
      <c r="L9" s="71">
        <v>69.69</v>
      </c>
      <c r="M9" s="71">
        <v>792</v>
      </c>
      <c r="N9" s="71">
        <v>4331</v>
      </c>
      <c r="O9" s="71">
        <v>1739</v>
      </c>
      <c r="P9" s="71">
        <v>1750</v>
      </c>
      <c r="Q9" s="71">
        <v>7164</v>
      </c>
      <c r="R9" s="71">
        <v>7119</v>
      </c>
      <c r="S9" s="71">
        <v>6479</v>
      </c>
      <c r="T9" s="71">
        <v>0</v>
      </c>
      <c r="U9" s="71">
        <v>0</v>
      </c>
      <c r="V9" s="71">
        <v>0</v>
      </c>
      <c r="W9" s="71">
        <v>5909</v>
      </c>
      <c r="X9" s="71">
        <v>7056</v>
      </c>
      <c r="Y9" s="71">
        <v>4651</v>
      </c>
      <c r="Z9" s="71">
        <v>3240</v>
      </c>
      <c r="AA9" s="71">
        <v>3991</v>
      </c>
      <c r="AB9" s="71">
        <v>4883</v>
      </c>
      <c r="AC9" s="71">
        <v>6990</v>
      </c>
      <c r="AD9" s="71">
        <v>4780</v>
      </c>
      <c r="AE9" s="71">
        <v>4415</v>
      </c>
    </row>
    <row r="10" spans="1:99" s="72" customFormat="1" ht="22.2" ph="1">
      <c r="B10" s="193" ph="1"/>
      <c r="C10" s="150" t="s" ph="1">
        <v>178</v>
      </c>
      <c r="D10" s="73" ph="1">
        <f>D9*33.183*LOOKUP(D11,密度!$A$2:$A$50,密度!$Q$2:$Q$50)</f>
        <v>198157.28584175999</v>
      </c>
      <c r="E10" s="73" ph="1">
        <f>E9*51.53*LOOKUP(E11,密度!$A$2:$A$50,密度!$B$2:$B$50)</f>
        <v>3562.8666480000002</v>
      </c>
      <c r="F10" s="73" ph="1">
        <f>F9*33.183*LOOKUP(F11,密度!$A$2:$A$50,密度!$C$2:$C$50)</f>
        <v>192057.37706519998</v>
      </c>
      <c r="G10" s="73" ph="1">
        <f xml:space="preserve"> (G9+2)*51.53*LOOKUP(G11,密度!$A$2:$A$50,密度!$B$2:$B$50)</f>
        <v>124254.974349</v>
      </c>
      <c r="H10" s="73" ph="1">
        <f>(H9)*51.53*LOOKUP(H11,密度!$A$2:$A$50,密度!$B$2:$B$50)</f>
        <v>46770.771648000002</v>
      </c>
      <c r="I10" s="73" ph="1">
        <f>I9*290.8*1.0267</f>
        <v>23.885148800000003</v>
      </c>
      <c r="J10" s="73" ph="1">
        <f>J9*290.8*0.7892</f>
        <v>1512.4007824</v>
      </c>
      <c r="K10" s="73" ph="1">
        <f>K9*290.8*1.1126</f>
        <v>17992.286288800002</v>
      </c>
      <c r="L10" s="73" ph="1">
        <f>L9*290.8*0.777</f>
        <v>15746.567004</v>
      </c>
      <c r="M10" s="73" ph="1">
        <f>M9*33.183*LOOKUP(M11,密度!$A$2:$A$50,密度!$D$2:$D$50)</f>
        <v>27127.182139200002</v>
      </c>
      <c r="N10" s="73" ph="1">
        <f>N9*33.183*LOOKUP(N11,密度!$A$2:$A$50,密度!$E$2:$E$50)</f>
        <v>113578.4173419</v>
      </c>
      <c r="O10" s="73" ph="1">
        <f>O9*20.428*LOOKUP(O11,密度!$A$2:$A$50,密度!$C$2:$C$50)</f>
        <v>39417.754403200001</v>
      </c>
      <c r="P10" s="73" ph="1">
        <f>P9*51.53*LOOKUP(P11,密度!$A$2:$A$50,密度!$B$2:$B$50)</f>
        <v>70852.461750000002</v>
      </c>
      <c r="Q10" s="73" ph="1">
        <f>Q9*1.5*1.5*3.1416*LOOKUP(W11,密度!$A$2:$A$50,密度!$L$2:$L$50)</f>
        <v>47803.641177600002</v>
      </c>
      <c r="R10" s="73" ph="1">
        <f>R9*1.5*1.5*3.1416*LOOKUP(R11,密度!$A$2:$A$50,密度!$L$2:$L$50)</f>
        <v>47251.760232599998</v>
      </c>
      <c r="S10" s="73" ph="1">
        <f>S9*1.5*1.5*3.1416*LOOKUP(S11,密度!$A$2:$A$50,密度!$L$2:$L$50)</f>
        <v>43324.3965924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39429.329385600002</v>
      </c>
      <c r="X10" s="73" ph="1">
        <f>X9*1.5*1.5*3.1416*LOOKUP(X11,密度!$A$2:$A$50,密度!$L$2:$L$50)</f>
        <v>47481.991603199996</v>
      </c>
      <c r="Y10" s="73" ph="1">
        <f>Y9*1.5*1.5*3.1416*LOOKUP(Y11,密度!$A$2:$A$50,密度!$L$2:$L$50)</f>
        <v>31034.999318399994</v>
      </c>
      <c r="Z10" s="73" ph="1">
        <f>Z9*33.183*LOOKUP(Z11,密度!$A$2:$A$50,密度!$L$2:$L$50)</f>
        <v>101707.22231999999</v>
      </c>
      <c r="AA10" s="73" ph="1">
        <f>AA9*33.183*LOOKUP(AA11,密度!$A$2:$A$50,密度!$D$2:$D$50)</f>
        <v>136697.7069666</v>
      </c>
      <c r="AB10" s="73" ph="1">
        <f>AB9*20.428*LOOKUP(AB11,密度!$A$2:$A$50,密度!$D$2:$D$50)</f>
        <v>103739.92096</v>
      </c>
      <c r="AC10" s="73" ph="1">
        <f>AC9*51.53*LOOKUP(AC11,密度!$A$2:$A$50,密度!$Q$2:$Q$50)</f>
        <v>343481.66592</v>
      </c>
      <c r="AD10" s="73" ph="1">
        <f>AD9*20.428*LOOKUP(AD11,密度!$A$2:$A$50,密度!$V$2:$V$50)</f>
        <v>94130.589760000003</v>
      </c>
      <c r="AE10" s="73" ph="1">
        <f>AE9*20.428</f>
        <v>90189.62000000001</v>
      </c>
    </row>
    <row r="11" spans="1:99" ph="1">
      <c r="A11" s="64" t="s" ph="1">
        <v>162</v>
      </c>
      <c r="B11" s="193" ph="1"/>
      <c r="C11" s="150" t="s" ph="1">
        <v>179</v>
      </c>
      <c r="D11" s="74">
        <v>21</v>
      </c>
      <c r="E11" s="74">
        <v>18</v>
      </c>
      <c r="F11" s="74">
        <v>18</v>
      </c>
      <c r="G11" s="74">
        <v>18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19</v>
      </c>
      <c r="O11" s="74">
        <v>24</v>
      </c>
      <c r="P11" s="74">
        <v>18</v>
      </c>
      <c r="Q11" s="74">
        <v>20</v>
      </c>
      <c r="R11" s="74">
        <v>23</v>
      </c>
      <c r="S11" s="74">
        <v>16</v>
      </c>
      <c r="T11" s="74">
        <v>17</v>
      </c>
      <c r="U11" s="74">
        <v>18</v>
      </c>
      <c r="V11" s="74">
        <v>25</v>
      </c>
      <c r="W11" s="74">
        <v>18</v>
      </c>
      <c r="X11" s="74">
        <v>10</v>
      </c>
      <c r="Y11" s="74">
        <v>18</v>
      </c>
      <c r="Z11" s="74">
        <v>16</v>
      </c>
      <c r="AA11" s="74">
        <v>19</v>
      </c>
      <c r="AB11" s="74">
        <v>10</v>
      </c>
      <c r="AC11" s="74">
        <v>16</v>
      </c>
      <c r="AD11" s="74">
        <v>17</v>
      </c>
      <c r="AE11" s="74">
        <v>25</v>
      </c>
    </row>
    <row r="12" spans="1:99" ht="9.9" customHeight="1" ph="1"/>
    <row r="13" spans="1:99" s="72" customFormat="1" ht="29.25" customHeight="1" ph="1">
      <c r="B13" s="201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50" t="s" ph="1">
        <v>177</v>
      </c>
      <c r="D15" s="78">
        <v>3</v>
      </c>
      <c r="E15" s="78">
        <v>4885</v>
      </c>
      <c r="F15" s="78">
        <v>4540</v>
      </c>
      <c r="G15" s="78">
        <v>3465</v>
      </c>
      <c r="H15" s="78">
        <v>5382</v>
      </c>
      <c r="I15" s="78">
        <v>5213</v>
      </c>
      <c r="J15" s="78">
        <v>5495</v>
      </c>
      <c r="K15" s="78">
        <v>3583</v>
      </c>
      <c r="L15" s="78">
        <v>3073</v>
      </c>
      <c r="M15" s="78">
        <v>3806</v>
      </c>
      <c r="N15" s="78">
        <v>234</v>
      </c>
      <c r="O15" s="78">
        <v>5332</v>
      </c>
      <c r="P15" s="78">
        <v>6967</v>
      </c>
      <c r="Q15" s="78">
        <v>5240</v>
      </c>
      <c r="R15" s="78">
        <v>7334</v>
      </c>
      <c r="S15" s="78">
        <v>1362</v>
      </c>
      <c r="T15" s="78">
        <v>597</v>
      </c>
      <c r="U15" s="78">
        <v>6085</v>
      </c>
      <c r="V15" s="78">
        <v>4987</v>
      </c>
      <c r="W15" s="71">
        <v>-455</v>
      </c>
      <c r="X15" s="78">
        <v>405</v>
      </c>
      <c r="Y15" s="106">
        <v>-9900</v>
      </c>
      <c r="Z15" s="78">
        <v>0</v>
      </c>
      <c r="AA15" s="78">
        <v>11</v>
      </c>
      <c r="AB15" s="78" ph="1">
        <v>6939</v>
      </c>
      <c r="AC15" s="78" ph="1">
        <v>2140</v>
      </c>
      <c r="AD15" s="78">
        <v>5.4</v>
      </c>
      <c r="AE15" s="78">
        <v>69.989999999999995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50" t="s" ph="1">
        <v>178</v>
      </c>
      <c r="D16" s="73" ph="1">
        <f>D15*7.0686*LOOKUP(D17,密度!$A$2:$A$50,密度!$L$2:$L$50)</f>
        <v>20.060686799999999</v>
      </c>
      <c r="E16" s="73" ph="1">
        <f>E15*7.0686*LOOKUP(E17,密度!$A$2:$A$50,密度!$L$2:$L$50)</f>
        <v>32700.015116999995</v>
      </c>
      <c r="F16" s="73" ph="1">
        <f>F15*9.0746*LOOKUP(F17,密度!$A$2:$A$50,密度!$L$2:$L$50)</f>
        <v>38850.359012000001</v>
      </c>
      <c r="G16" s="73" ph="1">
        <f>G15*9.0746*LOOKUP(G17,密度!$A$2:$A$50,密度!$B$2:$B$50)</f>
        <v>24752.314540800002</v>
      </c>
      <c r="H16" s="73" ph="1">
        <f>H15*9.0746*LOOKUP(H17,密度!$A$2:$A$50,密度!$L$2:$L$50)</f>
        <v>46299.843345599998</v>
      </c>
      <c r="I16" s="73" ph="1">
        <f>I15*9.0746*LOOKUP(I17,密度!$A$2:$A$50,密度!$U$2:$U$50)</f>
        <v>48630.454714400003</v>
      </c>
      <c r="J16" s="73" ph="1">
        <f>J15*9.0746*LOOKUP(J17,密度!$A$2:$A$50,密度!$L$2:$L$50)</f>
        <v>47122.356014999998</v>
      </c>
      <c r="K16" s="73" ph="1">
        <f>K15*9.0746*LOOKUP(K17,密度!$A$2:$A$50,密度!$C$2:$C$50)</f>
        <v>36217.669636019993</v>
      </c>
      <c r="L16" s="73" ph="1">
        <f>L15*9.0746*LOOKUP(L17,密度!$A$2:$A$50,密度!$E$2:$E$50)</f>
        <v>22130.524666879999</v>
      </c>
      <c r="M16" s="73" ph="1">
        <f>M15*9.0746*LOOKUP(M17,密度!$A$2:$A$50,密度!$M$2:$M$50)</f>
        <v>30403.737666280002</v>
      </c>
      <c r="N16" s="73" ph="1">
        <f>N15*9.0746*LOOKUP(N17,密度!$A$2:$A$50,密度!$M$2:$M$50)</f>
        <v>1869.27866892</v>
      </c>
      <c r="O16" s="73" ph="1">
        <f>O15*9.0746*LOOKUP(O17,密度!$A$2:$A$50,密度!$G$2:$G$50)</f>
        <v>46837.422649599997</v>
      </c>
      <c r="P16" s="73" ph="1">
        <f ca="1">P15*9.0746*LOOKUP(P17,密度!$A$2:$A$51,密度!$Q$2:$Q$50)</f>
        <v>60289.203147519998</v>
      </c>
      <c r="Q16" s="73" ph="1">
        <f>Q15*9.0746*LOOKUP(Q17,密度!$A$2:$A$50,密度!$Q$2:$Q$50)</f>
        <v>45389.239904160007</v>
      </c>
      <c r="R16" s="73" ph="1">
        <f>MAX(R15*9.0746*LOOKUP(R17,密度!$A$2:$A$50,密度!$B$2:$B$50),0)</f>
        <v>52290.783555479997</v>
      </c>
      <c r="S16" s="73" ph="1">
        <f>S15*9.0746*LOOKUP(S17,密度!$A$2:$A$50,密度!$Q$2:$Q$50)</f>
        <v>11786.119518719999</v>
      </c>
      <c r="T16" s="73" ph="1">
        <f>T15*9.0746*LOOKUP(T17,密度!$A$2:$A$50,密度!$O$2:$O$50)</f>
        <v>5059.9788108000012</v>
      </c>
      <c r="U16" s="73" ph="1">
        <f>U15*9.0746*LOOKUP(U17,密度!$A$2:$A$50,密度!$H$2:$H$50)</f>
        <v>51226.611565699997</v>
      </c>
      <c r="V16" s="73" ph="1">
        <f>MAX(5600*LOOKUP(V17,密度!$A$2:$A$50,密度!$Q$2:$Q$50)+V15*9.0476*LOOKUP(V17,密度!$A$2:$A$50,密度!$Q$2:$Q$50),0)</f>
        <v>48326.379207359998</v>
      </c>
      <c r="W16" s="73" ph="1">
        <f>MAX(5600*LOOKUP(W17,密度!$A$2:$A$50,密度!$Q$2:$Q$50)+W15*9.0476*LOOKUP(W17,密度!$A$2:$A$50,密度!$Q$2:$Q$50),0)</f>
        <v>1414.5149312000003</v>
      </c>
      <c r="X16" s="73" ph="1">
        <f>MAX(5600*LOOKUP(X17,密度!$A$2:$A$50,密度!$I$2:$I$50)+X15*9.0476*LOOKUP(X17,密度!$A$2:$A$50,密度!$I$2:$I$50),0)</f>
        <v>9604.2770025999998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78.828327819999998</v>
      </c>
      <c r="AB16" s="73" ph="1">
        <f>AB15*9.0746*LOOKUP(AB17,密度!$A$2:$A$50,密度!$L$2:$L$50)</f>
        <v>59505.373682999998</v>
      </c>
      <c r="AC16" s="73" ph="1">
        <f>AC15*9.0746*LOOKUP(AC17,密度!$A$2:$A$50,密度!$L$2:$L$50)</f>
        <v>18409.822511999999</v>
      </c>
      <c r="AD16" s="73" ph="1">
        <f>AD15*268.68*LOOKUP(AD17,密度!$A$2:$A$50,密度!B2:B50)+IF(AD15&lt;=0,0,1566*LOOKUP(AD17,密度!$A$2:$A$50,密度!B2:B50))</f>
        <v>2351.9534112000001</v>
      </c>
      <c r="AE16" s="73" ph="1">
        <f>AE15*268.68*LOOKUP(AE17,密度!$A$2:$A$50,密度!B2:B50)+IF(AE15&lt;=0,0,1566*LOOKUP(AE17,密度!$A$2:$A$50,密度!B2:B50))</f>
        <v>15881.163930719998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16</v>
      </c>
      <c r="E17" s="74">
        <v>15</v>
      </c>
      <c r="F17" s="74">
        <v>19</v>
      </c>
      <c r="G17" s="74">
        <v>16</v>
      </c>
      <c r="H17" s="74">
        <v>14</v>
      </c>
      <c r="I17" s="74">
        <v>15</v>
      </c>
      <c r="J17" s="74">
        <v>17</v>
      </c>
      <c r="K17" s="74">
        <v>18</v>
      </c>
      <c r="L17" s="74">
        <v>16</v>
      </c>
      <c r="M17" s="74">
        <v>17</v>
      </c>
      <c r="N17" s="74">
        <v>15</v>
      </c>
      <c r="O17" s="74">
        <v>18</v>
      </c>
      <c r="P17" s="74">
        <v>16</v>
      </c>
      <c r="Q17" s="74">
        <v>15</v>
      </c>
      <c r="R17" s="74">
        <v>18</v>
      </c>
      <c r="S17" s="74">
        <v>16</v>
      </c>
      <c r="T17" s="74">
        <v>15</v>
      </c>
      <c r="U17" s="74">
        <v>12</v>
      </c>
      <c r="V17" s="74">
        <v>17</v>
      </c>
      <c r="W17" s="74">
        <v>16</v>
      </c>
      <c r="X17" s="74">
        <v>30</v>
      </c>
      <c r="Y17" s="108">
        <v>30</v>
      </c>
      <c r="Z17" s="74">
        <v>16</v>
      </c>
      <c r="AA17" s="74">
        <v>13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5993</v>
      </c>
      <c r="E18" s="71">
        <v>5977</v>
      </c>
      <c r="F18" s="71">
        <v>4551</v>
      </c>
      <c r="G18" s="71">
        <v>3160</v>
      </c>
      <c r="H18" s="71">
        <v>5388</v>
      </c>
      <c r="I18" s="71">
        <v>5217</v>
      </c>
      <c r="J18" s="71">
        <v>5510</v>
      </c>
      <c r="K18" s="71">
        <v>4539</v>
      </c>
      <c r="L18" s="71">
        <v>3080</v>
      </c>
      <c r="M18" s="71">
        <v>741</v>
      </c>
      <c r="N18" s="71">
        <v>2171</v>
      </c>
      <c r="O18" s="71">
        <v>5342</v>
      </c>
      <c r="P18" s="71">
        <v>6982</v>
      </c>
      <c r="Q18" s="71">
        <v>5248</v>
      </c>
      <c r="R18" s="71">
        <v>7349</v>
      </c>
      <c r="S18" s="71">
        <v>5474</v>
      </c>
      <c r="T18" s="71">
        <v>596</v>
      </c>
      <c r="U18" s="71">
        <v>6092</v>
      </c>
      <c r="V18" s="71">
        <v>4989</v>
      </c>
      <c r="W18" s="71">
        <v>-568</v>
      </c>
      <c r="X18" s="71">
        <v>403</v>
      </c>
      <c r="Y18" s="109">
        <v>-9900</v>
      </c>
      <c r="Z18" s="71">
        <v>0</v>
      </c>
      <c r="AA18" s="71">
        <v>10</v>
      </c>
      <c r="AB18" s="71">
        <v>6949</v>
      </c>
      <c r="AC18" s="71">
        <v>2142</v>
      </c>
      <c r="AD18" s="71">
        <v>40.36</v>
      </c>
      <c r="AE18" s="71">
        <v>85.24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50" t="s" ph="1">
        <v>178</v>
      </c>
      <c r="D19" s="73" ph="1">
        <f>D18*7.0686*LOOKUP(D20,密度!$A$2:$A$50,密度!$L$2:$L$50)</f>
        <v>39947.4789714</v>
      </c>
      <c r="E19" s="73" ph="1">
        <f>E18*7.0686*LOOKUP(E20,密度!$A$2:$A$50,密度!$L$2:$L$50)</f>
        <v>39840.827934599998</v>
      </c>
      <c r="F19" s="73" ph="1">
        <f>F18*9.0746*LOOKUP(F20,密度!$A$2:$A$50,密度!$L$2:$L$50)</f>
        <v>38944.4898378</v>
      </c>
      <c r="G19" s="73" ph="1">
        <f>G18*9.0746*LOOKUP(G20,密度!$A$2:$A$50,密度!$B$2:$B$50)</f>
        <v>22507.585186400003</v>
      </c>
      <c r="H19" s="73" ph="1">
        <f>H18*9.0746*LOOKUP(H20,密度!$A$2:$A$50,密度!$L$2:$L$50)</f>
        <v>46106.989946400005</v>
      </c>
      <c r="I19" s="73" ph="1">
        <f>I18*9.0746*LOOKUP(I20,密度!$A$2:$A$50,密度!$U$2:$U$50)</f>
        <v>48667.769469600004</v>
      </c>
      <c r="J19" s="73" ph="1">
        <f>J18*9.0746*LOOKUP(J20,密度!$A$2:$A$50,密度!$L$2:$L$50)</f>
        <v>47000.983240000001</v>
      </c>
      <c r="K19" s="73" ph="1">
        <f>K18*9.0746*LOOKUP(K20,密度!$A$2:$A$50,密度!$C$2:$C$50)</f>
        <v>45798.726691860007</v>
      </c>
      <c r="L19" s="73" ph="1">
        <f>L18*9.0746*LOOKUP(L20,密度!$A$2:$A$50,密度!$E$2:$E$50)</f>
        <v>22088.701650399998</v>
      </c>
      <c r="M19" s="73" ph="1">
        <f>M18*9.0746*LOOKUP(M20,密度!$A$2:$A$50,密度!$M$2:$M$50)</f>
        <v>5903.9166108000009</v>
      </c>
      <c r="N19" s="73" ph="1">
        <f>N18*9.0746*LOOKUP(N20,密度!$A$2:$A$50,密度!$M$2:$M$50)</f>
        <v>17342.752094980002</v>
      </c>
      <c r="O19" s="73" ph="1">
        <f>O18*9.0746*LOOKUP(O20,密度!$A$2:$A$50,密度!$G$2:$G$50)</f>
        <v>46876.788264399998</v>
      </c>
      <c r="P19" s="73" ph="1">
        <f ca="1">P18*9.0746*LOOKUP(P20,密度!$A$2:$A$51,密度!$Q$2:$Q$50)</f>
        <v>60214.990705735996</v>
      </c>
      <c r="Q19" s="73" ph="1">
        <f>Q18*9.0746*LOOKUP(Q20,密度!$A$2:$A$50,密度!$Q$2:$Q$50)</f>
        <v>45300.902665984002</v>
      </c>
      <c r="R19" s="73" ph="1">
        <f>MAX(R18*9.0746*LOOKUP(R20,密度!$A$2:$A$50,密度!$B$2:$B$50),0)</f>
        <v>52291.029477140008</v>
      </c>
      <c r="S19" s="73" ph="1">
        <f>S18*9.0746*LOOKUP(S20,密度!$A$2:$A$50,密度!$Q$2:$Q$50)</f>
        <v>47251.741843292002</v>
      </c>
      <c r="T19" s="73" ph="1">
        <f>T18*9.0746*LOOKUP(T20,密度!$A$2:$A$50,密度!$O$2:$O$50)</f>
        <v>5029.8692880000008</v>
      </c>
      <c r="U19" s="73" ph="1">
        <f>U18*9.0746*LOOKUP(U20,密度!$A$2:$A$50,密度!$H$2:$H$50)</f>
        <v>51064.411257839995</v>
      </c>
      <c r="V19" s="73" ph="1">
        <f>MAX(5600*LOOKUP(V20,密度!$A$2:$A$50,密度!$Q$2:$Q$50)+V18*9.0476*LOOKUP(V20,密度!$A$2:$A$50,密度!$Q$2:$Q$50),0)</f>
        <v>48263.960905972002</v>
      </c>
      <c r="W19" s="73" ph="1">
        <f>MAX(5600*LOOKUP(W20,密度!$A$2:$A$50,密度!$Q$2:$Q$50)+W18*9.0476*LOOKUP(W20,密度!$A$2:$A$50,密度!$Q$2:$Q$50),0)</f>
        <v>437.49556348799979</v>
      </c>
      <c r="X19" s="73" ph="1">
        <f>MAX(5600*LOOKUP(X20,密度!$A$2:$A$50,密度!$I$2:$I$50)+X18*9.0476*LOOKUP(X20,密度!$A$2:$A$50,密度!$I$2:$I$50),0)</f>
        <v>9565.1761065999999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71.226535400000017</v>
      </c>
      <c r="AB19" s="73" ph="1">
        <f>AB18*9.0746*LOOKUP(AB20,密度!$A$2:$A$50,密度!$L$2:$L$50)</f>
        <v>59528.0692576</v>
      </c>
      <c r="AC19" s="73" ph="1">
        <f>AC18*9.0746*LOOKUP(AC20,密度!$A$2:$A$50,密度!$L$2:$L$50)</f>
        <v>18368.714573999998</v>
      </c>
      <c r="AD19" s="73" ph="1">
        <f>AD18*268.68*LOOKUP(AD20,密度!$A$2:$A$50,密度!B5:B53)+IF(AD18&lt;=0,0,1566*LOOKUP(AD20,密度!$A$2:$A$50,密度!B5:B53))</f>
        <v>9642.5115695999993</v>
      </c>
      <c r="AE19" s="73" ph="1">
        <f>AE18*268.68*LOOKUP(AE20,密度!$A$2:$A$50,密度!B5:B53)+IF(AE18&lt;=0,0,1566*LOOKUP(AE20,密度!$A$2:$A$50,密度!B5:B53))</f>
        <v>19011.856046399997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19</v>
      </c>
      <c r="E20" s="81">
        <v>19</v>
      </c>
      <c r="F20" s="81">
        <v>19</v>
      </c>
      <c r="G20" s="81">
        <v>19</v>
      </c>
      <c r="H20" s="81">
        <v>19</v>
      </c>
      <c r="I20" s="81">
        <v>20</v>
      </c>
      <c r="J20" s="81">
        <v>22</v>
      </c>
      <c r="K20" s="81">
        <v>21</v>
      </c>
      <c r="L20" s="81">
        <v>19</v>
      </c>
      <c r="M20" s="81">
        <v>22</v>
      </c>
      <c r="N20" s="81">
        <v>19</v>
      </c>
      <c r="O20" s="81">
        <v>19</v>
      </c>
      <c r="P20" s="81">
        <v>20</v>
      </c>
      <c r="Q20" s="81">
        <v>19</v>
      </c>
      <c r="R20" s="81">
        <v>20</v>
      </c>
      <c r="S20" s="81">
        <v>19</v>
      </c>
      <c r="T20" s="81">
        <v>22</v>
      </c>
      <c r="U20" s="81">
        <v>16</v>
      </c>
      <c r="V20" s="81">
        <v>19</v>
      </c>
      <c r="W20" s="81">
        <v>22</v>
      </c>
      <c r="X20" s="81">
        <v>32</v>
      </c>
      <c r="Y20" s="110">
        <v>32</v>
      </c>
      <c r="Z20" s="81">
        <v>20</v>
      </c>
      <c r="AA20" s="81">
        <v>19</v>
      </c>
      <c r="AB20" s="81">
        <v>18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639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50" t="s" ph="1">
        <v>177</v>
      </c>
      <c r="D24" s="71">
        <v>83.99</v>
      </c>
      <c r="E24" s="71">
        <v>65.66</v>
      </c>
      <c r="F24" s="71">
        <v>440</v>
      </c>
      <c r="G24" s="71">
        <v>3342</v>
      </c>
      <c r="H24" s="71">
        <v>3689</v>
      </c>
      <c r="I24" s="71">
        <v>1253</v>
      </c>
      <c r="J24" s="71">
        <v>4925</v>
      </c>
      <c r="K24" s="71">
        <v>4720</v>
      </c>
      <c r="L24" s="71">
        <v>5539</v>
      </c>
      <c r="M24" s="71">
        <v>5069</v>
      </c>
      <c r="N24" s="71">
        <v>2846</v>
      </c>
      <c r="O24" s="71">
        <v>5718</v>
      </c>
      <c r="P24" s="71">
        <v>628</v>
      </c>
      <c r="Q24" s="90">
        <v>2305</v>
      </c>
      <c r="R24" s="71">
        <v>3479</v>
      </c>
      <c r="S24" s="71">
        <v>5097</v>
      </c>
      <c r="T24" s="71">
        <v>179</v>
      </c>
      <c r="U24" s="71">
        <v>3845</v>
      </c>
      <c r="V24" s="71">
        <v>4043</v>
      </c>
      <c r="W24" s="71">
        <v>6050</v>
      </c>
      <c r="X24" s="71">
        <v>7110</v>
      </c>
      <c r="Y24" s="71">
        <v>3775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22847.139807768002</v>
      </c>
      <c r="E25" s="91" ph="1">
        <f>E24*268.68*LOOKUP(E26,密度!$A$2:$A$50,密度!$C$2:$C$50)+IF(E24&lt;=0,0,1566*LOOKUP(E26,密度!$A$2:$A$50,密度!$C$2:$C$50))</f>
        <v>21299.228686320002</v>
      </c>
      <c r="F25" s="91" ph="1">
        <f>F24*11.702*LOOKUP(F26,密度!$A$2:$A$50,密度!$Q$2:$Q$50)</f>
        <v>4897.7691224</v>
      </c>
      <c r="G25" s="91" ph="1">
        <f>G24*18.322*LOOKUP(G26,密度!$A$2:$A$50,密度!$B$2:$B$50)</f>
        <v>48110.079826799993</v>
      </c>
      <c r="H25" s="91" ph="1">
        <f>H24*18.322*LOOKUP(H26,密度!$A$2:$A$50,密度!$B$2:$B$50)</f>
        <v>53105.351430599992</v>
      </c>
      <c r="I25" s="91" ph="1">
        <f>I24*18.322*LOOKUP(I26,密度!$A$2:$A$50,密度!$Q$2:$Q$50)</f>
        <v>21837.83038318</v>
      </c>
      <c r="J25" s="91" ph="1">
        <f>J24*18.322*LOOKUP(J26,密度!$A$2:$A$50,密度!$Q$2:$Q$50)</f>
        <v>86048.906559999989</v>
      </c>
      <c r="K25" s="91" ph="1">
        <f>K24*18.322*LOOKUP(K26,密度!$A$2:$A$50,密度!$Q$2:$Q$50)</f>
        <v>82397.991551999992</v>
      </c>
      <c r="L25" s="91" ph="1">
        <f>L24*18.322*LOOKUP(L26,密度!$A$2:$A$50,密度!$Q$2:$Q$50)</f>
        <v>96615.266071579987</v>
      </c>
      <c r="M25" s="91" ph="1">
        <f>M24*18.322*LOOKUP(M26,密度!$A$2:$A$50,密度!$Q$2:$Q$50)</f>
        <v>88564.854284799992</v>
      </c>
      <c r="N25" s="91" ph="1">
        <f>N24*18.322*LOOKUP(N26,密度!$A$2:$A$50,密度!$Q$2:$Q$50)</f>
        <v>49642.00166812</v>
      </c>
      <c r="O25" s="91" ph="1">
        <f>O24*18.322*LOOKUP(O26,密度!$A$2:$A$50,密度!$C$2:$C$50)</f>
        <v>116760.810942</v>
      </c>
      <c r="P25" s="91" ph="1">
        <f>P24*11.702*LOOKUP(P26,密度!$A$2:$A$50,密度!$B$2:$B$50)</f>
        <v>5768.1170744000001</v>
      </c>
      <c r="Q25" s="92" ph="1">
        <f>Q24*18.322*LOOKUP(Q26,密度!$A$2:$A$50,密度!$B$2:$B$50)</f>
        <v>33181.847396999998</v>
      </c>
      <c r="R25" s="91" ph="1">
        <f>R24*35.891*LOOKUP(R26,密度!$A$2:$A$50,密度!$C$2:$C$50)</f>
        <v>139086.88846709998</v>
      </c>
      <c r="S25" s="91" ph="1">
        <f>S24*35.891*LOOKUP(S26,密度!$A$2:$A$50,密度!$B$2:$B$50)</f>
        <v>143586.80155229999</v>
      </c>
      <c r="T25" s="91" ph="1">
        <f>T24*35.891*LOOKUP(T26,密度!$A$2:$A$50,密度!$Q$2:$Q$50)</f>
        <v>6116.1777728899997</v>
      </c>
      <c r="U25" s="91" ph="1">
        <f>U24*35.891</f>
        <v>138000.89499999999</v>
      </c>
      <c r="V25" s="91" ph="1">
        <f>V24*47.051*LOOKUP(V26,密度!$A$2:$A$50,密度!$B$2:$B$50)</f>
        <v>149309.32378570002</v>
      </c>
      <c r="W25" s="91" ph="1">
        <f>W24*47.051*LOOKUP(W26,密度!$A$2:$A$50,密度!$B$2:$B$50)</f>
        <v>223855.48371999999</v>
      </c>
      <c r="X25" s="91" ph="1">
        <f>X24*47.051*LOOKUP(X26,密度!$A$2:$A$61,密度!$I$2:$I$61)</f>
        <v>342695.20568399999</v>
      </c>
      <c r="Y25" s="91" ph="1">
        <f>Y24*47.051*LOOKUP(Y26,密度!$A$2:$A$50,密度!$L$2:$L$50)</f>
        <v>167315.70854999998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19</v>
      </c>
      <c r="G26" s="74">
        <v>18</v>
      </c>
      <c r="H26" s="74">
        <v>18</v>
      </c>
      <c r="I26" s="74">
        <v>19</v>
      </c>
      <c r="J26" s="74">
        <v>16</v>
      </c>
      <c r="K26" s="74">
        <v>17</v>
      </c>
      <c r="L26" s="74">
        <v>18</v>
      </c>
      <c r="M26" s="74">
        <v>16</v>
      </c>
      <c r="N26" s="74">
        <v>18</v>
      </c>
      <c r="O26" s="74">
        <v>17</v>
      </c>
      <c r="P26" s="74">
        <v>19</v>
      </c>
      <c r="Q26" s="93">
        <v>18</v>
      </c>
      <c r="R26" s="74">
        <v>18</v>
      </c>
      <c r="S26" s="74">
        <v>19</v>
      </c>
      <c r="T26" s="74">
        <v>18</v>
      </c>
      <c r="U26" s="74">
        <v>17</v>
      </c>
      <c r="V26" s="74">
        <v>19</v>
      </c>
      <c r="W26" s="74">
        <v>17</v>
      </c>
      <c r="X26" s="74">
        <v>41</v>
      </c>
      <c r="Y26" s="74">
        <v>20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50" t="s" ph="1">
        <v>180</v>
      </c>
      <c r="D27" s="71">
        <v>5.44</v>
      </c>
      <c r="E27" s="71">
        <v>5.1100000000000003</v>
      </c>
      <c r="F27" s="71">
        <v>508</v>
      </c>
      <c r="G27" s="71">
        <v>3292</v>
      </c>
      <c r="H27" s="71">
        <v>2535</v>
      </c>
      <c r="I27" s="71">
        <v>1253</v>
      </c>
      <c r="J27" s="71">
        <v>4929</v>
      </c>
      <c r="K27" s="71">
        <v>4723</v>
      </c>
      <c r="L27" s="71">
        <v>5541</v>
      </c>
      <c r="M27" s="71">
        <v>5073</v>
      </c>
      <c r="N27" s="71">
        <v>2846</v>
      </c>
      <c r="O27" s="71">
        <v>5717</v>
      </c>
      <c r="P27" s="71">
        <v>626</v>
      </c>
      <c r="Q27" s="90">
        <v>1857</v>
      </c>
      <c r="R27" s="71">
        <v>2734</v>
      </c>
      <c r="S27" s="71">
        <v>5097</v>
      </c>
      <c r="T27" s="71">
        <v>178</v>
      </c>
      <c r="U27" s="71">
        <v>4272</v>
      </c>
      <c r="V27" s="71">
        <v>4044</v>
      </c>
      <c r="W27" s="71">
        <v>6052</v>
      </c>
      <c r="X27" s="71">
        <v>7119</v>
      </c>
      <c r="Y27" s="71">
        <v>1852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50" t="s" ph="1">
        <v>178</v>
      </c>
      <c r="D28" s="91" ph="1">
        <f>D27*268.68*LOOKUP(D29,密度!$A$2:$A$50,密度!$Q$2:$Q$50)+IF(D27&lt;=0,0,1566*LOOKUP(D29,密度!$A$2:$A$50,密度!$Q$2:$Q$50))</f>
        <v>2866.368201408</v>
      </c>
      <c r="E28" s="91" ph="1">
        <f>E27*268.68*LOOKUP(E29,密度!$A$2:$A$50,密度!$C$2:$C$50)+IF(E27&lt;=0,0,1566*LOOKUP(E29,密度!$A$2:$A$50,密度!$C$2:$C$50))</f>
        <v>3259.0069777200001</v>
      </c>
      <c r="F28" s="91" ph="1">
        <f>F27*11.702*LOOKUP(F29,密度!$A$2:$A$50,密度!$Q$2:$Q$50)</f>
        <v>5649.6441540799997</v>
      </c>
      <c r="G28" s="91" ph="1">
        <f>G27*18.322*LOOKUP(G29,密度!$A$2:$A$50,密度!$B$2:$B$50)</f>
        <v>47293.794418400001</v>
      </c>
      <c r="H28" s="91" ph="1">
        <f>H27*18.322*LOOKUP(H29,密度!$A$2:$A$50,密度!$B$2:$B$50)</f>
        <v>36455.677322999996</v>
      </c>
      <c r="I28" s="91" ph="1">
        <f>I27*18.322*LOOKUP(I29,密度!$A$2:$A$50,密度!$Q$2:$Q$50)</f>
        <v>21837.83038318</v>
      </c>
      <c r="J28" s="91" ph="1">
        <f>J27*18.322*LOOKUP(J29,密度!$A$2:$A$50,密度!$Q$2:$Q$50)</f>
        <v>85904.761339739998</v>
      </c>
      <c r="K28" s="91" ph="1">
        <f>K27*18.322*LOOKUP(K29,密度!$A$2:$A$50,密度!$Q$2:$Q$50)</f>
        <v>82314.503511379997</v>
      </c>
      <c r="L28" s="91" ph="1">
        <f>L27*18.322*LOOKUP(L29,密度!$A$2:$A$50,密度!$Q$2:$Q$50)</f>
        <v>96484.670336759984</v>
      </c>
      <c r="M28" s="91" ph="1">
        <f>M27*18.322*LOOKUP(M29,密度!$A$2:$A$50,密度!$Q$2:$Q$50)</f>
        <v>88335.450752279998</v>
      </c>
      <c r="N28" s="91" ph="1">
        <f>N27*18.322*LOOKUP(N29,密度!$A$2:$A$50,密度!$Q$2:$Q$50)</f>
        <v>49521.026632280002</v>
      </c>
      <c r="O28" s="91" ph="1">
        <f>O27*18.322*LOOKUP(O29,密度!$A$2:$A$50,密度!$C$2:$C$50)</f>
        <v>116677.54294859998</v>
      </c>
      <c r="P28" s="91" ph="1">
        <f>P27*11.702*LOOKUP(P29,密度!$A$2:$A$50,密度!$B$2:$B$50)</f>
        <v>5755.6076364</v>
      </c>
      <c r="Q28" s="92" ph="1">
        <f>Q27*18.322*LOOKUP(Q29,密度!$A$2:$A$50,密度!$B$2:$B$50)</f>
        <v>26705.401494599999</v>
      </c>
      <c r="R28" s="91" ph="1">
        <f>R27*35.891*LOOKUP(R29,密度!$A$2:$A$50,密度!$C$2:$C$50)</f>
        <v>109233.85652079999</v>
      </c>
      <c r="S28" s="91" ph="1">
        <f>S27*35.891*LOOKUP(S29,密度!$A$2:$A$50,密度!$B$2:$B$50)</f>
        <v>143586.80155229999</v>
      </c>
      <c r="T28" s="91" ph="1">
        <f>T27*35.891*LOOKUP(T29,密度!$A$2:$A$50,密度!$Q$2:$Q$50)</f>
        <v>6077.0260755400004</v>
      </c>
      <c r="U28" s="91" ph="1">
        <f>U27*35.891</f>
        <v>153326.35199999998</v>
      </c>
      <c r="V28" s="91" ph="1">
        <f>V27*47.051*LOOKUP(V29,密度!$A$2:$A$50,密度!$B$2:$B$50)</f>
        <v>149346.25411560002</v>
      </c>
      <c r="W28" s="91" ph="1">
        <f>W27*47.051*LOOKUP(W29,密度!$A$2:$A$50,密度!$B$2:$B$50)</f>
        <v>223274.55443320001</v>
      </c>
      <c r="X28" s="91" ph="1">
        <f>X27*47.051*LOOKUP(X29,密度!$A$2:$A$61,密度!$I$2:$I$61)</f>
        <v>340516.33974540001</v>
      </c>
      <c r="Y28" s="91" ph="1">
        <f>Y27*47.051*LOOKUP(Y29,密度!$A$2:$A$50,密度!$L$2:$L$50)</f>
        <v>81997.283332000006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50" t="s" ph="1">
        <v>179</v>
      </c>
      <c r="D29" s="74">
        <v>25</v>
      </c>
      <c r="E29" s="74">
        <v>25</v>
      </c>
      <c r="F29" s="74">
        <v>20</v>
      </c>
      <c r="G29" s="74">
        <v>20</v>
      </c>
      <c r="H29" s="74">
        <v>19</v>
      </c>
      <c r="I29" s="74">
        <v>19</v>
      </c>
      <c r="J29" s="74">
        <v>19</v>
      </c>
      <c r="K29" s="74">
        <v>19</v>
      </c>
      <c r="L29" s="74">
        <v>20</v>
      </c>
      <c r="M29" s="74">
        <v>20</v>
      </c>
      <c r="N29" s="74">
        <v>21</v>
      </c>
      <c r="O29" s="74">
        <v>18</v>
      </c>
      <c r="P29" s="74">
        <v>18</v>
      </c>
      <c r="Q29" s="93">
        <v>19</v>
      </c>
      <c r="R29" s="74">
        <v>19</v>
      </c>
      <c r="S29" s="74">
        <v>19</v>
      </c>
      <c r="T29" s="74">
        <v>19</v>
      </c>
      <c r="U29" s="74">
        <v>19</v>
      </c>
      <c r="V29" s="74">
        <v>19</v>
      </c>
      <c r="W29" s="74">
        <v>20</v>
      </c>
      <c r="X29" s="74">
        <v>48</v>
      </c>
      <c r="Y29" s="74">
        <v>21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240437.62792659999</v>
      </c>
      <c r="E33" s="215" ph="1">
        <f>M10+I10</f>
        <v>27151.067288000002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9" ph="1">
        <f>N19</f>
        <v>17342.752094980002</v>
      </c>
      <c r="H33" s="215" ph="1">
        <f>M19</f>
        <v>5903.9166108000009</v>
      </c>
      <c r="I33" s="228" ph="1">
        <v>0</v>
      </c>
      <c r="J33" s="226" ph="1">
        <f>F10+O28</f>
        <v>308734.92001379997</v>
      </c>
      <c r="K33" s="215" ph="1">
        <f>O10+K10+E28+R28</f>
        <v>169902.90419052</v>
      </c>
      <c r="L33" s="230" ph="1">
        <f>K19</f>
        <v>45798.726691860007</v>
      </c>
      <c r="M33" s="226" ph="1">
        <f>G10+H10+W28+S28+V28+E10+R19+P28+Q28</f>
        <v>775548.26135424001</v>
      </c>
      <c r="N33" s="215" ph="1">
        <f>L10+P10++G28+H28+AD19+AE19</f>
        <v>199002.86811139999</v>
      </c>
      <c r="O33" s="228" ph="1">
        <f>G19</f>
        <v>22507.585186400003</v>
      </c>
      <c r="P33" s="226" ph="1">
        <f>L19</f>
        <v>22088.701650399998</v>
      </c>
      <c r="Q33" s="215" ph="1">
        <f>J10+N10</f>
        <v>115090.8181243</v>
      </c>
      <c r="R33" s="228" ph="1">
        <f>BE23</f>
        <v>890</v>
      </c>
      <c r="S33" s="226" ph="1">
        <f>X28</f>
        <v>340516.33974540001</v>
      </c>
      <c r="T33" s="215" ph="1">
        <f>X19</f>
        <v>9565.1761065999999</v>
      </c>
      <c r="U33" s="236" ph="1">
        <f>BE21</f>
        <v>730</v>
      </c>
      <c r="V33" s="247" ph="1">
        <f ca="1">P19+Q19+S19+M28+N28+J28+D10+AC10+D19+E19+H19+J19+O19+V19+W19+K28+L28</f>
        <v>1365441.524375472</v>
      </c>
      <c r="W33" s="247" ph="1">
        <f>D28+F28+T28+I28</f>
        <v>36430.868814207999</v>
      </c>
      <c r="X33" s="228" ph="1">
        <f>BE29+BE31</f>
        <v>10200</v>
      </c>
      <c r="Y33" s="249" ph="1">
        <f>+Q10+R10+S10+T10+U10+V10+W10+X10+Y10</f>
        <v>256326.11830979999</v>
      </c>
      <c r="Z33" s="234" ph="1">
        <f>T19+U19+Y28+Z10</f>
        <v>239798.78619784</v>
      </c>
      <c r="AA33" s="236" ph="1">
        <f>BE19</f>
        <v>1440</v>
      </c>
      <c r="AB33" s="238" ph="1">
        <f>I19</f>
        <v>48667.769469600004</v>
      </c>
      <c r="AC33" s="240" ph="1">
        <f>AD10+AB19</f>
        <v>153658.6590176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48" t="s" ph="1">
        <v>185</v>
      </c>
      <c r="AA36" s="148" ph="1"/>
      <c r="AB36" s="233" t="s" ph="1">
        <v>640</v>
      </c>
      <c r="AC36" s="233" ph="1"/>
      <c r="AD36" s="233" ph="1"/>
      <c r="AE36" s="233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949" priority="100">
      <formula>ABS(D$7-D$10)&gt;=1000</formula>
    </cfRule>
  </conditionalFormatting>
  <conditionalFormatting sqref="E4 E6:E11">
    <cfRule type="expression" dxfId="1948" priority="99">
      <formula>ABS(E$7-E$10)&gt;=1000</formula>
    </cfRule>
  </conditionalFormatting>
  <conditionalFormatting sqref="F4:F11">
    <cfRule type="expression" dxfId="1947" priority="98">
      <formula>ABS(F$7-F$10)&gt;=1000</formula>
    </cfRule>
  </conditionalFormatting>
  <conditionalFormatting sqref="G4:G11">
    <cfRule type="expression" dxfId="1946" priority="97">
      <formula>ABS(G$7-G$10)&gt;=1000</formula>
    </cfRule>
  </conditionalFormatting>
  <conditionalFormatting sqref="H4:H11">
    <cfRule type="expression" dxfId="1945" priority="96">
      <formula>ABS(H$7-H$10)&gt;=1000</formula>
    </cfRule>
  </conditionalFormatting>
  <conditionalFormatting sqref="I4:I11">
    <cfRule type="expression" dxfId="1944" priority="95">
      <formula>ABS(I$7-I$10)&gt;=1000</formula>
    </cfRule>
  </conditionalFormatting>
  <conditionalFormatting sqref="J4:J11">
    <cfRule type="expression" dxfId="1943" priority="94">
      <formula>ABS(J$7-J$10)&gt;=1000</formula>
    </cfRule>
  </conditionalFormatting>
  <conditionalFormatting sqref="K4:K11">
    <cfRule type="expression" dxfId="1942" priority="93">
      <formula>ABS(K$7-K$10)&gt;=1000</formula>
    </cfRule>
  </conditionalFormatting>
  <conditionalFormatting sqref="L4:L11">
    <cfRule type="expression" dxfId="1941" priority="92">
      <formula>ABS(L$7-L$10)&gt;=1000</formula>
    </cfRule>
  </conditionalFormatting>
  <conditionalFormatting sqref="M4 M6:M11">
    <cfRule type="expression" dxfId="1940" priority="91">
      <formula>ABS(M$7-M$10)&gt;=1000</formula>
    </cfRule>
  </conditionalFormatting>
  <conditionalFormatting sqref="N4 N6:N11">
    <cfRule type="expression" dxfId="1939" priority="90">
      <formula>ABS(N$7-N$10)&gt;=1000</formula>
    </cfRule>
  </conditionalFormatting>
  <conditionalFormatting sqref="O4 O6:O11">
    <cfRule type="expression" dxfId="1938" priority="89">
      <formula>ABS(O$7-O$10)&gt;=1000</formula>
    </cfRule>
  </conditionalFormatting>
  <conditionalFormatting sqref="P4 P6:P11">
    <cfRule type="expression" dxfId="1937" priority="88">
      <formula>ABS(P$7-P$10)&gt;=1000</formula>
    </cfRule>
  </conditionalFormatting>
  <conditionalFormatting sqref="Q4:Q11">
    <cfRule type="expression" dxfId="1936" priority="87">
      <formula>ABS(Q$7-Q$10)&gt;=1000</formula>
    </cfRule>
  </conditionalFormatting>
  <conditionalFormatting sqref="R4:R11">
    <cfRule type="expression" dxfId="1935" priority="86">
      <formula>ABS(R$7-R$10)&gt;=1000</formula>
    </cfRule>
  </conditionalFormatting>
  <conditionalFormatting sqref="S4:S11">
    <cfRule type="expression" dxfId="1934" priority="85">
      <formula>ABS(S$7-S$10)&gt;=1000</formula>
    </cfRule>
  </conditionalFormatting>
  <conditionalFormatting sqref="T4:T9 T11">
    <cfRule type="expression" dxfId="1933" priority="84">
      <formula>ABS(T$7-T$10)&gt;=1000</formula>
    </cfRule>
  </conditionalFormatting>
  <conditionalFormatting sqref="U4:U9 U11">
    <cfRule type="expression" dxfId="1932" priority="83">
      <formula>ABS(U$7-U$10)&gt;=1000</formula>
    </cfRule>
  </conditionalFormatting>
  <conditionalFormatting sqref="V4:V9 V11">
    <cfRule type="expression" dxfId="1931" priority="82">
      <formula>ABS(V$7-V$10)&gt;=1000</formula>
    </cfRule>
  </conditionalFormatting>
  <conditionalFormatting sqref="W4:W9 W11">
    <cfRule type="expression" dxfId="1930" priority="81">
      <formula>ABS(W$7-W$10)&gt;=1000</formula>
    </cfRule>
  </conditionalFormatting>
  <conditionalFormatting sqref="X4:X9 X11">
    <cfRule type="expression" dxfId="1929" priority="80">
      <formula>ABS(X$7-X$10)&gt;=1000</formula>
    </cfRule>
  </conditionalFormatting>
  <conditionalFormatting sqref="Y4:Y9 Y11">
    <cfRule type="expression" dxfId="1928" priority="79">
      <formula>ABS(Y$7-Y$10)&gt;=1000</formula>
    </cfRule>
  </conditionalFormatting>
  <conditionalFormatting sqref="Z4:Z11">
    <cfRule type="expression" dxfId="1927" priority="78">
      <formula>ABS(Z$7-Z$10)&gt;=1000</formula>
    </cfRule>
  </conditionalFormatting>
  <conditionalFormatting sqref="AA4:AA11">
    <cfRule type="expression" dxfId="1926" priority="77">
      <formula>ABS(AA$7-AA$10)&gt;=1000</formula>
    </cfRule>
  </conditionalFormatting>
  <conditionalFormatting sqref="AB4:AB11">
    <cfRule type="expression" dxfId="1925" priority="76">
      <formula>ABS(AB$7-AB$10)&gt;=1000</formula>
    </cfRule>
  </conditionalFormatting>
  <conditionalFormatting sqref="AC4 AC6:AC11">
    <cfRule type="expression" dxfId="1924" priority="75">
      <formula>ABS(AC$7-AC$10)&gt;=1000</formula>
    </cfRule>
  </conditionalFormatting>
  <conditionalFormatting sqref="AD4 AD6:AD11">
    <cfRule type="expression" dxfId="1923" priority="74">
      <formula>ABS(AD$7-AD$10)&gt;=1000</formula>
    </cfRule>
  </conditionalFormatting>
  <conditionalFormatting sqref="AE4 AE6:AE11">
    <cfRule type="expression" dxfId="1922" priority="73">
      <formula>ABS(AE$7-AE$10)&gt;=1000</formula>
    </cfRule>
  </conditionalFormatting>
  <conditionalFormatting sqref="D13:D20">
    <cfRule type="expression" dxfId="1921" priority="72">
      <formula>ABS(D$16-D$19)&gt;=1000</formula>
    </cfRule>
  </conditionalFormatting>
  <conditionalFormatting sqref="E13:E20">
    <cfRule type="expression" dxfId="1920" priority="71">
      <formula>ABS(E$16-E$19)&gt;=1000</formula>
    </cfRule>
  </conditionalFormatting>
  <conditionalFormatting sqref="F13 F15:F20">
    <cfRule type="expression" dxfId="1919" priority="70">
      <formula>ABS(F$16-F$19)&gt;=1000</formula>
    </cfRule>
  </conditionalFormatting>
  <conditionalFormatting sqref="G13:G20">
    <cfRule type="expression" dxfId="1918" priority="69">
      <formula>ABS(G$16-G$19)&gt;=1000</formula>
    </cfRule>
  </conditionalFormatting>
  <conditionalFormatting sqref="H13 H15:H20">
    <cfRule type="expression" dxfId="1917" priority="68">
      <formula>ABS(H$16-H$19)&gt;=1000</formula>
    </cfRule>
  </conditionalFormatting>
  <conditionalFormatting sqref="I13:I20">
    <cfRule type="expression" dxfId="1916" priority="67">
      <formula>ABS(I$16-I$19)&gt;=1000</formula>
    </cfRule>
  </conditionalFormatting>
  <conditionalFormatting sqref="J13:J20">
    <cfRule type="expression" dxfId="1915" priority="66">
      <formula>ABS(J$16-J$19)&gt;=1000</formula>
    </cfRule>
  </conditionalFormatting>
  <conditionalFormatting sqref="L13:L20">
    <cfRule type="expression" dxfId="1914" priority="65">
      <formula>ABS(L$16-L$19)&gt;=1000</formula>
    </cfRule>
  </conditionalFormatting>
  <conditionalFormatting sqref="M13 M15 M17:M18 M20">
    <cfRule type="expression" dxfId="1913" priority="64">
      <formula>ABS(M$16-M$19)&gt;=1000</formula>
    </cfRule>
  </conditionalFormatting>
  <conditionalFormatting sqref="N13:N20">
    <cfRule type="expression" dxfId="1912" priority="63">
      <formula>ABS(N$16-N$19)&gt;=1000</formula>
    </cfRule>
  </conditionalFormatting>
  <conditionalFormatting sqref="O13:O20">
    <cfRule type="expression" dxfId="1911" priority="62">
      <formula>ABS(O$16-O$19)&gt;=1000</formula>
    </cfRule>
  </conditionalFormatting>
  <conditionalFormatting sqref="P13:P20">
    <cfRule type="expression" dxfId="1910" priority="61">
      <formula>ABS(P$16-P$19)&gt;=1000</formula>
    </cfRule>
  </conditionalFormatting>
  <conditionalFormatting sqref="Q13 Q15:Q20">
    <cfRule type="expression" dxfId="1909" priority="60">
      <formula>ABS(Q$16-Q$19)&gt;=1000</formula>
    </cfRule>
  </conditionalFormatting>
  <conditionalFormatting sqref="R13:R20">
    <cfRule type="expression" dxfId="1908" priority="59">
      <formula>ABS(R$16-R$19)&gt;=1000</formula>
    </cfRule>
  </conditionalFormatting>
  <conditionalFormatting sqref="S13:S20">
    <cfRule type="expression" dxfId="1907" priority="58">
      <formula>ABS(S$16-S$19)&gt;=1000</formula>
    </cfRule>
  </conditionalFormatting>
  <conditionalFormatting sqref="T13:T20">
    <cfRule type="expression" dxfId="1906" priority="57">
      <formula>ABS(T$16-T$19)&gt;=1000</formula>
    </cfRule>
  </conditionalFormatting>
  <conditionalFormatting sqref="U13:U20">
    <cfRule type="expression" dxfId="1905" priority="56">
      <formula>ABS(U$16-U$19)&gt;=1000</formula>
    </cfRule>
  </conditionalFormatting>
  <conditionalFormatting sqref="V13:V20">
    <cfRule type="expression" dxfId="1904" priority="55">
      <formula>ABS(V$16-V$19)&gt;=1000</formula>
    </cfRule>
  </conditionalFormatting>
  <conditionalFormatting sqref="W13 W20 W15:W18">
    <cfRule type="expression" dxfId="1903" priority="54">
      <formula>ABS(W$16-W$19)&gt;=1000</formula>
    </cfRule>
  </conditionalFormatting>
  <conditionalFormatting sqref="X13 X15:X20 Y19">
    <cfRule type="expression" dxfId="1902" priority="53">
      <formula>ABS(X$16-X$19)&gt;=1000</formula>
    </cfRule>
  </conditionalFormatting>
  <conditionalFormatting sqref="Y13 Y15:Y18 Y20">
    <cfRule type="expression" dxfId="1901" priority="52">
      <formula>ABS(Y$16-Y$19)&gt;=1000</formula>
    </cfRule>
  </conditionalFormatting>
  <conditionalFormatting sqref="Z13:Z20">
    <cfRule type="expression" dxfId="1900" priority="51">
      <formula>ABS(Z$16-Z$19)&gt;=1000</formula>
    </cfRule>
  </conditionalFormatting>
  <conditionalFormatting sqref="AA13:AA20">
    <cfRule type="expression" dxfId="1899" priority="50">
      <formula>ABS(AA$16-AA$19)&gt;=1000</formula>
    </cfRule>
  </conditionalFormatting>
  <conditionalFormatting sqref="AB13 AB15:AB20">
    <cfRule type="expression" dxfId="1898" priority="49">
      <formula>ABS(AB$16-AB$19)&gt;=1000</formula>
    </cfRule>
  </conditionalFormatting>
  <conditionalFormatting sqref="AC13 AC15:AC20">
    <cfRule type="expression" dxfId="1897" priority="48">
      <formula>ABS(AC$16-AC$19)&gt;=1000</formula>
    </cfRule>
  </conditionalFormatting>
  <conditionalFormatting sqref="AD13:AD20">
    <cfRule type="expression" dxfId="1896" priority="47">
      <formula>ABS(AD$16-AD$19)&gt;=1000</formula>
    </cfRule>
  </conditionalFormatting>
  <conditionalFormatting sqref="AE13:AE20">
    <cfRule type="expression" dxfId="1895" priority="46">
      <formula>ABS(AE$16-AE$19)&gt;=1000</formula>
    </cfRule>
  </conditionalFormatting>
  <conditionalFormatting sqref="D22:D29">
    <cfRule type="expression" dxfId="1894" priority="45">
      <formula>ABS(D$25-D$28)&gt;=1000</formula>
    </cfRule>
  </conditionalFormatting>
  <conditionalFormatting sqref="E22:E29">
    <cfRule type="expression" dxfId="1893" priority="44">
      <formula>ABS(E$25-E$28)&gt;=1000</formula>
    </cfRule>
  </conditionalFormatting>
  <conditionalFormatting sqref="F22:F29">
    <cfRule type="expression" dxfId="1892" priority="43">
      <formula>ABS(F$25-F$28)&gt;=1000</formula>
    </cfRule>
  </conditionalFormatting>
  <conditionalFormatting sqref="G22:G29">
    <cfRule type="expression" dxfId="1891" priority="42">
      <formula>ABS(G$25-G$28)&gt;=1000</formula>
    </cfRule>
  </conditionalFormatting>
  <conditionalFormatting sqref="H22:H29">
    <cfRule type="expression" dxfId="1890" priority="41">
      <formula>ABS(H$25-H$28)&gt;=1000</formula>
    </cfRule>
  </conditionalFormatting>
  <conditionalFormatting sqref="I22 I24:I29">
    <cfRule type="expression" dxfId="1889" priority="40">
      <formula>ABS(I$25-I$28)&gt;=1000</formula>
    </cfRule>
  </conditionalFormatting>
  <conditionalFormatting sqref="J22:J29 K22">
    <cfRule type="expression" dxfId="1888" priority="39">
      <formula>ABS(J$25-J$28)&gt;=1000</formula>
    </cfRule>
  </conditionalFormatting>
  <conditionalFormatting sqref="K23:K29 L25 L28">
    <cfRule type="expression" dxfId="1887" priority="38">
      <formula>ABS(K$25-K$28)&gt;=1000</formula>
    </cfRule>
  </conditionalFormatting>
  <conditionalFormatting sqref="L22 L26:L27 L29 L24">
    <cfRule type="expression" dxfId="1886" priority="37">
      <formula>ABS(L$25-L$28)&gt;=1000</formula>
    </cfRule>
  </conditionalFormatting>
  <conditionalFormatting sqref="M22:M29">
    <cfRule type="expression" dxfId="1885" priority="36">
      <formula>ABS(M$25-M$28)&gt;=1000</formula>
    </cfRule>
  </conditionalFormatting>
  <conditionalFormatting sqref="N22:N29">
    <cfRule type="expression" dxfId="1884" priority="35">
      <formula>ABS(N$25-N$28)&gt;=1000</formula>
    </cfRule>
  </conditionalFormatting>
  <conditionalFormatting sqref="O22:O29">
    <cfRule type="expression" dxfId="1883" priority="34">
      <formula>ABS(O$25-O$28)&gt;=1000</formula>
    </cfRule>
  </conditionalFormatting>
  <conditionalFormatting sqref="P22:P29">
    <cfRule type="expression" dxfId="1882" priority="33">
      <formula>ABS(P$25-P$28)&gt;=1000</formula>
    </cfRule>
  </conditionalFormatting>
  <conditionalFormatting sqref="Q22:Q29">
    <cfRule type="expression" dxfId="1881" priority="32">
      <formula>ABS(Q$25-Q$28)&gt;=1000</formula>
    </cfRule>
  </conditionalFormatting>
  <conditionalFormatting sqref="R22:R29">
    <cfRule type="expression" dxfId="1880" priority="31">
      <formula>ABS(R$25-R$28)&gt;=1000</formula>
    </cfRule>
  </conditionalFormatting>
  <conditionalFormatting sqref="S22:S29">
    <cfRule type="expression" dxfId="1879" priority="30">
      <formula>ABS(S$25-S$28)&gt;=1000</formula>
    </cfRule>
  </conditionalFormatting>
  <conditionalFormatting sqref="T22:T29">
    <cfRule type="expression" dxfId="1878" priority="29">
      <formula>ABS(T$25-T$28)&gt;=1000</formula>
    </cfRule>
  </conditionalFormatting>
  <conditionalFormatting sqref="U22:U29">
    <cfRule type="expression" dxfId="1877" priority="28">
      <formula>ABS(U$25-U$28)&gt;=1000</formula>
    </cfRule>
  </conditionalFormatting>
  <conditionalFormatting sqref="V22:V29">
    <cfRule type="expression" dxfId="1876" priority="27">
      <formula>ABS(V$25-V$28)&gt;=1000</formula>
    </cfRule>
  </conditionalFormatting>
  <conditionalFormatting sqref="W22:W29">
    <cfRule type="expression" dxfId="1875" priority="26">
      <formula>ABS(W$25-W$28)&gt;=1000</formula>
    </cfRule>
  </conditionalFormatting>
  <conditionalFormatting sqref="X22:X29">
    <cfRule type="expression" dxfId="1874" priority="25">
      <formula>ABS(X$25-X$28)&gt;=1000</formula>
    </cfRule>
  </conditionalFormatting>
  <conditionalFormatting sqref="Y22:Y29">
    <cfRule type="expression" dxfId="1873" priority="24">
      <formula>ABS(Y$25-Y$28)&gt;=1000</formula>
    </cfRule>
  </conditionalFormatting>
  <conditionalFormatting sqref="I23">
    <cfRule type="expression" dxfId="1872" priority="23">
      <formula>ABS(I$25-I$28)&gt;=1000</formula>
    </cfRule>
  </conditionalFormatting>
  <conditionalFormatting sqref="Q14">
    <cfRule type="expression" dxfId="1871" priority="22">
      <formula>ABS(Q$16-Q$19)&gt;=1000</formula>
    </cfRule>
  </conditionalFormatting>
  <conditionalFormatting sqref="W14">
    <cfRule type="expression" dxfId="1870" priority="21">
      <formula>ABS(W$16-W$19)&gt;=1000</formula>
    </cfRule>
  </conditionalFormatting>
  <conditionalFormatting sqref="X14">
    <cfRule type="expression" dxfId="1869" priority="20">
      <formula>ABS(X$16-X$19)&gt;=1000</formula>
    </cfRule>
  </conditionalFormatting>
  <conditionalFormatting sqref="T10:Y10">
    <cfRule type="expression" dxfId="1868" priority="19">
      <formula>ABS(T$7-T$10)&gt;=1000</formula>
    </cfRule>
  </conditionalFormatting>
  <conditionalFormatting sqref="W19">
    <cfRule type="expression" dxfId="1867" priority="18">
      <formula>ABS(W$16-W$19)&gt;=1000</formula>
    </cfRule>
  </conditionalFormatting>
  <conditionalFormatting sqref="AC5">
    <cfRule type="expression" dxfId="1866" priority="17">
      <formula>ABS(AC$7-AC$10)&gt;=1000</formula>
    </cfRule>
  </conditionalFormatting>
  <conditionalFormatting sqref="M14">
    <cfRule type="expression" dxfId="1865" priority="16">
      <formula>ABS(M$16-M$19)&gt;=1000</formula>
    </cfRule>
  </conditionalFormatting>
  <conditionalFormatting sqref="M16">
    <cfRule type="expression" dxfId="1864" priority="15">
      <formula>ABS(M$16-M$19)&gt;=1000</formula>
    </cfRule>
  </conditionalFormatting>
  <conditionalFormatting sqref="M19">
    <cfRule type="expression" dxfId="1863" priority="14">
      <formula>ABS(M$16-M$19)&gt;=1000</formula>
    </cfRule>
  </conditionalFormatting>
  <conditionalFormatting sqref="K13:K20">
    <cfRule type="expression" dxfId="1862" priority="13">
      <formula>ABS(K$16-K$19)&gt;=1000</formula>
    </cfRule>
  </conditionalFormatting>
  <conditionalFormatting sqref="E5">
    <cfRule type="expression" dxfId="1861" priority="12">
      <formula>ABS(E$7-E$10)&gt;=1000</formula>
    </cfRule>
  </conditionalFormatting>
  <conditionalFormatting sqref="AB14:AC14">
    <cfRule type="expression" dxfId="1860" priority="11">
      <formula>ABS(AB$16-AB$19)&gt;=1000</formula>
    </cfRule>
  </conditionalFormatting>
  <conditionalFormatting sqref="M5">
    <cfRule type="expression" dxfId="1859" priority="10">
      <formula>ABS(M$7-M$10)&gt;=1000</formula>
    </cfRule>
  </conditionalFormatting>
  <conditionalFormatting sqref="N5">
    <cfRule type="expression" dxfId="1858" priority="9">
      <formula>ABS(N$7-N$10)&gt;=1000</formula>
    </cfRule>
  </conditionalFormatting>
  <conditionalFormatting sqref="O5">
    <cfRule type="expression" dxfId="1857" priority="8">
      <formula>ABS(O$7-O$10)&gt;=1000</formula>
    </cfRule>
  </conditionalFormatting>
  <conditionalFormatting sqref="P5">
    <cfRule type="expression" dxfId="1856" priority="7">
      <formula>ABS(P$7-P$10)&gt;=1000</formula>
    </cfRule>
  </conditionalFormatting>
  <conditionalFormatting sqref="L23">
    <cfRule type="expression" dxfId="1855" priority="6">
      <formula>ABS(L$25-L$28)&gt;=1000</formula>
    </cfRule>
  </conditionalFormatting>
  <conditionalFormatting sqref="Y14">
    <cfRule type="expression" dxfId="1854" priority="5">
      <formula>ABS(Y$16-Y$19)&gt;=1000</formula>
    </cfRule>
  </conditionalFormatting>
  <conditionalFormatting sqref="F14">
    <cfRule type="expression" dxfId="1853" priority="4">
      <formula>ABS(F$16-F$19)&gt;=1000</formula>
    </cfRule>
  </conditionalFormatting>
  <conditionalFormatting sqref="H14">
    <cfRule type="expression" dxfId="1852" priority="3">
      <formula>ABS(H$16-H$19)&gt;=1000</formula>
    </cfRule>
  </conditionalFormatting>
  <conditionalFormatting sqref="AD5">
    <cfRule type="expression" dxfId="1851" priority="2">
      <formula>ABS(AD$7-AD$10)&gt;=1000</formula>
    </cfRule>
  </conditionalFormatting>
  <conditionalFormatting sqref="AE5">
    <cfRule type="expression" dxfId="18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94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0">
    <pageSetUpPr fitToPage="1"/>
  </sheetPr>
  <dimension ref="A1:CU223"/>
  <sheetViews>
    <sheetView view="pageBreakPreview" topLeftCell="A13" zoomScale="70" zoomScaleNormal="100" zoomScaleSheetLayoutView="70" workbookViewId="0">
      <selection activeCell="S25" sqref="S2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46055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51" t="s" ph="1">
        <v>177</v>
      </c>
      <c r="D6" s="71">
        <v>6265</v>
      </c>
      <c r="E6" s="71">
        <v>88</v>
      </c>
      <c r="F6" s="71">
        <v>5688</v>
      </c>
      <c r="G6" s="71">
        <v>2010</v>
      </c>
      <c r="H6" s="71">
        <v>0</v>
      </c>
      <c r="I6" s="71">
        <v>0.09</v>
      </c>
      <c r="J6" s="71">
        <v>6.61</v>
      </c>
      <c r="K6" s="71">
        <v>9.15</v>
      </c>
      <c r="L6" s="71">
        <v>7.76</v>
      </c>
      <c r="M6" s="71">
        <v>792</v>
      </c>
      <c r="N6" s="71">
        <v>4321</v>
      </c>
      <c r="O6" s="71">
        <v>1832</v>
      </c>
      <c r="P6" s="71">
        <v>1471</v>
      </c>
      <c r="Q6" s="71">
        <v>7145</v>
      </c>
      <c r="R6" s="71">
        <v>7103</v>
      </c>
      <c r="S6" s="71">
        <v>4667</v>
      </c>
      <c r="T6" s="71">
        <v>7118</v>
      </c>
      <c r="U6" s="71">
        <v>7028</v>
      </c>
      <c r="V6" s="71">
        <v>2697</v>
      </c>
      <c r="W6" s="71">
        <v>0</v>
      </c>
      <c r="X6" s="71">
        <v>0</v>
      </c>
      <c r="Y6" s="71">
        <v>4631</v>
      </c>
      <c r="Z6" s="71">
        <v>3226</v>
      </c>
      <c r="AA6" s="71">
        <v>3988</v>
      </c>
      <c r="AB6" s="71">
        <v>4879</v>
      </c>
      <c r="AC6" s="71">
        <v>7744</v>
      </c>
      <c r="AD6" s="71">
        <v>4780</v>
      </c>
      <c r="AE6" s="71">
        <v>4750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198079.01643600001</v>
      </c>
      <c r="E7" s="73" ph="1">
        <f>E6*51.53*LOOKUP(E8,密度!$A$2:$A$50,密度!$B$2:$B$50)</f>
        <v>3577.3774960000005</v>
      </c>
      <c r="F7" s="73" ph="1">
        <f>F6*33.183*LOOKUP(F8,密度!$A$2:$A$50,密度!$C$2:$C$50)</f>
        <v>210488.3169408</v>
      </c>
      <c r="G7" s="73" ph="1">
        <f xml:space="preserve"> (G6+2)*51.53*LOOKUP(G8,密度!$A$2:$A$50,密度!$B$2:$B$50)</f>
        <v>81615.604992000008</v>
      </c>
      <c r="H7" s="73" ph="1">
        <f>(H6)*51.53*LOOKUP(H8,密度!$A$2:$A$50,密度!$B$2:$B$50)</f>
        <v>0</v>
      </c>
      <c r="I7" s="73" ph="1">
        <f>I6*290.8*1.0267</f>
        <v>26.870792399999999</v>
      </c>
      <c r="J7" s="73" ph="1">
        <f>J6*290.8*0.7892</f>
        <v>1516.9907696</v>
      </c>
      <c r="K7" s="73" ph="1">
        <f>K6*290.8*1.1126</f>
        <v>2960.4283320000004</v>
      </c>
      <c r="L7" s="73" ph="1">
        <f>L6*290.8*0.777</f>
        <v>1753.3844160000001</v>
      </c>
      <c r="M7" s="73" ph="1">
        <f>M6*33.183*LOOKUP(M8,密度!$A$2:$A$50,密度!$D$2:$D$50)</f>
        <v>27216.537321600004</v>
      </c>
      <c r="N7" s="73" ph="1">
        <f>N6*33.183*LOOKUP(N8,密度!$A$2:$A$50,密度!$E$2:$E$50)</f>
        <v>113631.61632749999</v>
      </c>
      <c r="O7" s="73" ph="1">
        <f>O6*20.428*LOOKUP(O8,密度!$A$2:$A$50,密度!$C$2:$C$50)</f>
        <v>41638.049209600009</v>
      </c>
      <c r="P7" s="73" ph="1">
        <f>P6*51.53*LOOKUP(P8,密度!$A$2:$A$50,密度!$B$2:$B$50)</f>
        <v>59799.117007000008</v>
      </c>
      <c r="Q7" s="73" ph="1">
        <f>Q6*1.5*1.5*3.1416*LOOKUP(W8,密度!$A$2:$A$50,密度!$L$2:$L$50)</f>
        <v>47777.869061999998</v>
      </c>
      <c r="R7" s="73" ph="1">
        <f>R6*1.5*1.5*3.1416*LOOKUP(R8,密度!$A$2:$A$50,密度!$L$2:$L$50)</f>
        <v>47296.186383599997</v>
      </c>
      <c r="S7" s="73" ph="1">
        <f>S6*1.5*1.5*3.1416*LOOKUP(S8,密度!$A$2:$A$50,密度!$L$2:$L$50)</f>
        <v>31306.709233799997</v>
      </c>
      <c r="T7" s="73" ph="1">
        <f>T6*1.5*1.5*3.1416*LOOKUP(T8,密度!$A$2:$A$50,密度!$L$2:$L$50)</f>
        <v>47798.580059999993</v>
      </c>
      <c r="U7" s="73" ph="1">
        <f>U6*1.5*1.5*3.1416*LOOKUP(U8,密度!$A$2:$A$50,密度!$L$2:$L$50)</f>
        <v>46995.502276799998</v>
      </c>
      <c r="V7" s="73" ph="1">
        <f>V6*1.5*1.5*3.1416*LOOKUP(V8,密度!$A$2:$A$50,密度!$L$2:$L$50)</f>
        <v>17958.301376399999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30967.013523599999</v>
      </c>
      <c r="Z7" s="73" ph="1">
        <f>Z6*33.183*LOOKUP(Z8,密度!$A$2:$A$50,密度!$L$2:$L$50)</f>
        <v>101695.94009999999</v>
      </c>
      <c r="AA7" s="73" ph="1">
        <f>AA6*33.183*LOOKUP(AA8,密度!$A$2:$A$50,密度!$D$2:$D$50)</f>
        <v>137163.987846</v>
      </c>
      <c r="AB7" s="73" ph="1">
        <f>AB6*20.428*LOOKUP(AB8,密度!$A$2:$A$50,密度!$D$2:$D$50)</f>
        <v>103924.0446524</v>
      </c>
      <c r="AC7" s="73" ph="1">
        <f>AC6*51.53*LOOKUP(AC8,密度!$A$2:$A$50,密度!$Q$2:$Q$50)</f>
        <v>380907.58337280003</v>
      </c>
      <c r="AD7" s="73" ph="1">
        <f>AD6*20.428*LOOKUP(AD8,密度!$A$2:$A$50,密度!$V$2:$V$50)</f>
        <v>94130.589760000003</v>
      </c>
      <c r="AE7" s="73" ph="1">
        <f>AE6*20.428</f>
        <v>97033</v>
      </c>
    </row>
    <row r="8" spans="1:99" ph="1">
      <c r="B8" s="193" ph="1"/>
      <c r="C8" s="68" t="s" ph="1">
        <v>179</v>
      </c>
      <c r="D8" s="74">
        <v>17</v>
      </c>
      <c r="E8" s="74">
        <v>14</v>
      </c>
      <c r="F8" s="74">
        <v>16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20</v>
      </c>
      <c r="P8" s="74">
        <v>14</v>
      </c>
      <c r="Q8" s="74">
        <v>17</v>
      </c>
      <c r="R8" s="74">
        <v>20</v>
      </c>
      <c r="S8" s="74">
        <v>13</v>
      </c>
      <c r="T8" s="74">
        <v>12</v>
      </c>
      <c r="U8" s="74">
        <v>16</v>
      </c>
      <c r="V8" s="74">
        <v>20</v>
      </c>
      <c r="W8" s="74">
        <v>16</v>
      </c>
      <c r="X8" s="74">
        <v>7</v>
      </c>
      <c r="Y8" s="74">
        <v>16</v>
      </c>
      <c r="Z8" s="74">
        <v>12</v>
      </c>
      <c r="AA8" s="74">
        <v>14</v>
      </c>
      <c r="AB8" s="74">
        <v>7</v>
      </c>
      <c r="AC8" s="74">
        <v>12</v>
      </c>
      <c r="AD8" s="74">
        <v>13</v>
      </c>
      <c r="AE8" s="74">
        <v>19</v>
      </c>
    </row>
    <row r="9" spans="1:99" ht="26.4" ph="1">
      <c r="B9" s="193" ph="1">
        <v>0.66666666666666663</v>
      </c>
      <c r="C9" s="151" t="s" ph="1">
        <v>180</v>
      </c>
      <c r="D9" s="71">
        <v>6265</v>
      </c>
      <c r="E9" s="71">
        <v>88</v>
      </c>
      <c r="F9" s="71">
        <v>5687</v>
      </c>
      <c r="G9" s="71">
        <v>1743</v>
      </c>
      <c r="H9" s="71">
        <v>0</v>
      </c>
      <c r="I9" s="71">
        <v>0.08</v>
      </c>
      <c r="J9" s="71">
        <v>6.63</v>
      </c>
      <c r="K9" s="71">
        <v>9.15</v>
      </c>
      <c r="L9" s="71">
        <v>7.75</v>
      </c>
      <c r="M9" s="71">
        <v>791</v>
      </c>
      <c r="N9" s="71">
        <v>4322</v>
      </c>
      <c r="O9" s="71">
        <v>1832</v>
      </c>
      <c r="P9" s="71">
        <v>1085</v>
      </c>
      <c r="Q9" s="71">
        <v>7146</v>
      </c>
      <c r="R9" s="71">
        <v>7103</v>
      </c>
      <c r="S9" s="71">
        <v>4667</v>
      </c>
      <c r="T9" s="71">
        <v>7118</v>
      </c>
      <c r="U9" s="71">
        <v>7027</v>
      </c>
      <c r="V9" s="71">
        <v>7088</v>
      </c>
      <c r="W9" s="71">
        <v>2491</v>
      </c>
      <c r="X9" s="71">
        <v>0</v>
      </c>
      <c r="Y9" s="71">
        <v>276</v>
      </c>
      <c r="Z9" s="71">
        <v>928</v>
      </c>
      <c r="AA9" s="71">
        <v>3988</v>
      </c>
      <c r="AB9" s="71">
        <v>4879</v>
      </c>
      <c r="AC9" s="71">
        <v>7936</v>
      </c>
      <c r="AD9" s="71">
        <v>4780</v>
      </c>
      <c r="AE9" s="71">
        <v>4750</v>
      </c>
    </row>
    <row r="10" spans="1:99" s="72" customFormat="1" ht="22.2" ph="1">
      <c r="B10" s="193" ph="1"/>
      <c r="C10" s="151" t="s" ph="1">
        <v>178</v>
      </c>
      <c r="D10" s="73" ph="1">
        <f>D9*33.183*LOOKUP(D11,密度!$A$2:$A$50,密度!$Q$2:$Q$50)</f>
        <v>197914.78215494999</v>
      </c>
      <c r="E10" s="73" ph="1">
        <f>E9*51.53*LOOKUP(E11,密度!$A$2:$A$50,密度!$B$2:$B$50)</f>
        <v>3566.0408960000004</v>
      </c>
      <c r="F10" s="73" ph="1">
        <f>F9*33.183*LOOKUP(F11,密度!$A$2:$A$50,密度!$C$2:$C$50)</f>
        <v>210451.31125919998</v>
      </c>
      <c r="G10" s="73" ph="1">
        <f xml:space="preserve"> (G9+2)*51.53*LOOKUP(G11,密度!$A$2:$A$50,密度!$B$2:$B$50)</f>
        <v>70784.905920000005</v>
      </c>
      <c r="H10" s="73" ph="1">
        <f>(H9)*51.53*LOOKUP(H11,密度!$A$2:$A$50,密度!$B$2:$B$50)</f>
        <v>0</v>
      </c>
      <c r="I10" s="73" ph="1">
        <f>I9*290.8*1.0267</f>
        <v>23.885148800000003</v>
      </c>
      <c r="J10" s="73" ph="1">
        <f>J9*290.8*0.7892</f>
        <v>1521.5807568</v>
      </c>
      <c r="K10" s="73" ph="1">
        <f>K9*290.8*1.1126</f>
        <v>2960.4283320000004</v>
      </c>
      <c r="L10" s="73" ph="1">
        <f>L9*290.8*0.777</f>
        <v>1751.1249000000003</v>
      </c>
      <c r="M10" s="73" ph="1">
        <f>M9*33.183*LOOKUP(M11,密度!$A$2:$A$50,密度!$D$2:$D$50)</f>
        <v>27161.174804399998</v>
      </c>
      <c r="N10" s="73" ph="1">
        <f>N9*33.183*LOOKUP(N11,密度!$A$2:$A$50,密度!$E$2:$E$50)</f>
        <v>113657.91385500001</v>
      </c>
      <c r="O10" s="73" ph="1">
        <f>O9*20.428*LOOKUP(O11,密度!$A$2:$A$50,密度!$C$2:$C$50)</f>
        <v>41638.049209600009</v>
      </c>
      <c r="P10" s="73" ph="1">
        <f>P9*51.53*LOOKUP(P11,密度!$A$2:$A$50,密度!$B$2:$B$50)</f>
        <v>44107.438445000007</v>
      </c>
      <c r="Q10" s="73" ph="1">
        <f>Q9*1.5*1.5*3.1416*LOOKUP(W11,密度!$A$2:$A$50,密度!$L$2:$L$50)</f>
        <v>47683.531526399995</v>
      </c>
      <c r="R10" s="73" ph="1">
        <f>R9*1.5*1.5*3.1416*LOOKUP(R11,密度!$A$2:$A$50,密度!$L$2:$L$50)</f>
        <v>47195.769851999998</v>
      </c>
      <c r="S10" s="73" ph="1">
        <f>S9*1.5*1.5*3.1416*LOOKUP(S11,密度!$A$2:$A$50,密度!$L$2:$L$50)</f>
        <v>31273.720077599995</v>
      </c>
      <c r="T10" s="73" ph="1">
        <f>T9*1.5*1.5*3.1416*LOOKUP(T11,密度!$A$2:$A$50,密度!$L$2:$L$50)</f>
        <v>47748.265765199991</v>
      </c>
      <c r="U10" s="73" ph="1">
        <f>U9*1.5*1.5*3.1416*LOOKUP(U11,密度!$A$2:$A$50,密度!$L$2:$L$50)</f>
        <v>46939.144328999995</v>
      </c>
      <c r="V10" s="73" ph="1">
        <f>V9*1.5*1.5*3.1416*LOOKUP(V11,密度!$A$2:$A$50,密度!$L$2:$L$50)</f>
        <v>47046.000355199998</v>
      </c>
      <c r="W10" s="73" ph="1">
        <f>W9*1.5*1.5*3.1416*LOOKUP(W11,密度!$A$2:$A$50,密度!$L$2:$L$50)</f>
        <v>16621.8411744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1845.5831856</v>
      </c>
      <c r="Z10" s="73" ph="1">
        <f>Z9*33.183*LOOKUP(Z11,密度!$A$2:$A$50,密度!$L$2:$L$50)</f>
        <v>29284.926624</v>
      </c>
      <c r="AA10" s="73" ph="1">
        <f>AA9*33.183*LOOKUP(AA11,密度!$A$2:$A$50,密度!$D$2:$D$50)</f>
        <v>137044.8874224</v>
      </c>
      <c r="AB10" s="73" ph="1">
        <f>AB9*20.428*LOOKUP(AB11,密度!$A$2:$A$50,密度!$D$2:$D$50)</f>
        <v>103834.34326160001</v>
      </c>
      <c r="AC10" s="73" ph="1">
        <f>AC9*51.53*LOOKUP(AC11,密度!$A$2:$A$50,密度!$Q$2:$Q$50)</f>
        <v>390351.57304320001</v>
      </c>
      <c r="AD10" s="73" ph="1">
        <f>AD9*20.428*LOOKUP(AD11,密度!$A$2:$A$50,密度!$V$2:$V$50)</f>
        <v>94130.589760000003</v>
      </c>
      <c r="AE10" s="73" ph="1">
        <f>AE9*20.428</f>
        <v>97033</v>
      </c>
    </row>
    <row r="11" spans="1:99" ph="1">
      <c r="A11" s="64" t="s" ph="1">
        <v>162</v>
      </c>
      <c r="B11" s="193" ph="1"/>
      <c r="C11" s="151" t="s" ph="1">
        <v>179</v>
      </c>
      <c r="D11" s="74">
        <v>18</v>
      </c>
      <c r="E11" s="74">
        <v>17</v>
      </c>
      <c r="F11" s="74">
        <v>16</v>
      </c>
      <c r="G11" s="74">
        <v>16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17</v>
      </c>
      <c r="O11" s="74">
        <v>20</v>
      </c>
      <c r="P11" s="74">
        <v>14</v>
      </c>
      <c r="Q11" s="74">
        <v>17</v>
      </c>
      <c r="R11" s="74">
        <v>22</v>
      </c>
      <c r="S11" s="74">
        <v>14</v>
      </c>
      <c r="T11" s="74">
        <v>13</v>
      </c>
      <c r="U11" s="74">
        <v>17</v>
      </c>
      <c r="V11" s="74">
        <v>23</v>
      </c>
      <c r="W11" s="74">
        <v>18</v>
      </c>
      <c r="X11" s="74">
        <v>8</v>
      </c>
      <c r="Y11" s="74">
        <v>16</v>
      </c>
      <c r="Z11" s="74">
        <v>11</v>
      </c>
      <c r="AA11" s="74">
        <v>15</v>
      </c>
      <c r="AB11" s="74">
        <v>8</v>
      </c>
      <c r="AC11" s="74">
        <v>13</v>
      </c>
      <c r="AD11" s="74">
        <v>15</v>
      </c>
      <c r="AE11" s="74">
        <v>20</v>
      </c>
    </row>
    <row r="12" spans="1:99" ht="9.9" customHeight="1" ph="1"/>
    <row r="13" spans="1:99" s="72" customFormat="1" ht="29.25" customHeight="1" ph="1">
      <c r="B13" s="201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51" t="s" ph="1">
        <v>177</v>
      </c>
      <c r="D15" s="78">
        <v>4233</v>
      </c>
      <c r="E15" s="78">
        <v>4878</v>
      </c>
      <c r="F15" s="78">
        <v>4534</v>
      </c>
      <c r="G15" s="78">
        <v>3648</v>
      </c>
      <c r="H15" s="78">
        <v>5376</v>
      </c>
      <c r="I15" s="78">
        <v>5209</v>
      </c>
      <c r="J15" s="78">
        <v>5488</v>
      </c>
      <c r="K15" s="78">
        <v>3578</v>
      </c>
      <c r="L15" s="78">
        <v>3068</v>
      </c>
      <c r="M15" s="78">
        <v>3801</v>
      </c>
      <c r="N15" s="78">
        <v>1541</v>
      </c>
      <c r="O15" s="78">
        <v>5326</v>
      </c>
      <c r="P15" s="78">
        <v>6958</v>
      </c>
      <c r="Q15" s="78">
        <v>5235</v>
      </c>
      <c r="R15" s="78">
        <v>7327</v>
      </c>
      <c r="S15" s="78">
        <v>0</v>
      </c>
      <c r="T15" s="78">
        <v>597</v>
      </c>
      <c r="U15" s="78">
        <v>6079</v>
      </c>
      <c r="V15" s="78">
        <v>4895</v>
      </c>
      <c r="W15" s="71">
        <v>-331</v>
      </c>
      <c r="X15" s="78">
        <v>404</v>
      </c>
      <c r="Y15" s="106">
        <v>-9900</v>
      </c>
      <c r="Z15" s="78">
        <v>0</v>
      </c>
      <c r="AA15" s="78">
        <v>11</v>
      </c>
      <c r="AB15" s="78" ph="1">
        <v>6934</v>
      </c>
      <c r="AC15" s="78" ph="1">
        <v>2139</v>
      </c>
      <c r="AD15" s="78">
        <v>5.47</v>
      </c>
      <c r="AE15" s="78">
        <v>64.39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51" t="s" ph="1">
        <v>178</v>
      </c>
      <c r="D16" s="73" ph="1">
        <f>D15*7.0686*LOOKUP(D17,密度!$A$2:$A$50,密度!$L$2:$L$50)</f>
        <v>28335.550458599999</v>
      </c>
      <c r="E16" s="73" ph="1">
        <f>E15*7.0686*LOOKUP(E17,密度!$A$2:$A$50,密度!$L$2:$L$50)</f>
        <v>32653.157367599997</v>
      </c>
      <c r="F16" s="73" ph="1">
        <f>F15*9.0746*LOOKUP(F17,密度!$A$2:$A$50,密度!$L$2:$L$50)</f>
        <v>38922.4476344</v>
      </c>
      <c r="G16" s="73" ph="1">
        <f>G15*9.0746*LOOKUP(G17,密度!$A$2:$A$50,密度!$B$2:$B$50)</f>
        <v>26086.062950400003</v>
      </c>
      <c r="H16" s="73" ph="1">
        <f>H15*9.0746*LOOKUP(H17,密度!$A$2:$A$50,密度!$L$2:$L$50)</f>
        <v>46199.441971199994</v>
      </c>
      <c r="I16" s="73" ph="1">
        <f>I15*9.0746*LOOKUP(I17,密度!$A$2:$A$50,密度!$U$2:$U$50)</f>
        <v>48593.139959200002</v>
      </c>
      <c r="J16" s="73" ph="1">
        <f>J15*9.0746*LOOKUP(J17,密度!$A$2:$A$50,密度!$L$2:$L$50)</f>
        <v>47161.930345599998</v>
      </c>
      <c r="K16" s="73" ph="1">
        <f>K15*9.0746*LOOKUP(K17,密度!$A$2:$A$50,密度!$C$2:$C$50)</f>
        <v>36228.819597039997</v>
      </c>
      <c r="L16" s="73" ph="1">
        <f>L15*9.0746*LOOKUP(L17,密度!$A$2:$A$50,密度!$E$2:$E$50)</f>
        <v>22094.516654079998</v>
      </c>
      <c r="M16" s="73" ph="1">
        <f>M15*9.0746*LOOKUP(M17,密度!$A$2:$A$50,密度!$M$2:$M$50)</f>
        <v>30363.795814380002</v>
      </c>
      <c r="N16" s="73" ph="1">
        <f>N15*9.0746*LOOKUP(N17,密度!$A$2:$A$50,密度!$M$2:$M$50)</f>
        <v>12310.07875558</v>
      </c>
      <c r="O16" s="73" ph="1">
        <f>O15*9.0746*LOOKUP(O17,密度!$A$2:$A$50,密度!$G$2:$G$50)</f>
        <v>46881.380012000001</v>
      </c>
      <c r="P16" s="73" ph="1">
        <f ca="1">P15*9.0746*LOOKUP(P17,密度!$A$2:$A$51,密度!$Q$2:$Q$50)</f>
        <v>60211.321300479998</v>
      </c>
      <c r="Q16" s="73" ph="1">
        <f>Q15*9.0746*LOOKUP(Q17,密度!$A$2:$A$50,密度!$Q$2:$Q$50)</f>
        <v>45345.929560740005</v>
      </c>
      <c r="R16" s="73" ph="1">
        <f>MAX(R15*9.0746*LOOKUP(R17,密度!$A$2:$A$50,密度!$B$2:$B$50),0)</f>
        <v>52340.608554240003</v>
      </c>
      <c r="S16" s="73" ph="1">
        <f>S15*9.0746*LOOKUP(S17,密度!$A$2:$A$50,密度!$Q$2:$Q$50)</f>
        <v>0</v>
      </c>
      <c r="T16" s="73" ph="1">
        <f>T15*9.0746*LOOKUP(T17,密度!$A$2:$A$50,密度!$O$2:$O$50)</f>
        <v>5059.9788108000012</v>
      </c>
      <c r="U16" s="73" ph="1">
        <f>U15*9.0746*LOOKUP(U17,密度!$A$2:$A$50,密度!$H$2:$H$50)</f>
        <v>51010.607046979996</v>
      </c>
      <c r="V16" s="73" ph="1">
        <f>MAX(5600*LOOKUP(V17,密度!$A$2:$A$50,密度!$Q$2:$Q$50)+V15*9.0476*LOOKUP(V17,密度!$A$2:$A$50,密度!$Q$2:$Q$50),0)</f>
        <v>47573.19870719999</v>
      </c>
      <c r="W16" s="73" ph="1">
        <f>MAX(5600*LOOKUP(W17,密度!$A$2:$A$50,密度!$Q$2:$Q$50)+W15*9.0476*LOOKUP(W17,密度!$A$2:$A$50,密度!$Q$2:$Q$50),0)</f>
        <v>2484.3610598400001</v>
      </c>
      <c r="X16" s="73" ph="1">
        <f>MAX(5600*LOOKUP(X17,密度!$A$2:$A$50,密度!$I$2:$I$50)+X15*9.0476*LOOKUP(X17,密度!$A$2:$A$50,密度!$I$2:$I$50),0)</f>
        <v>9636.5458924799987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78.828327819999998</v>
      </c>
      <c r="AB16" s="73" ph="1">
        <f>AB15*9.0746*LOOKUP(AB17,密度!$A$2:$A$50,密度!$L$2:$L$50)</f>
        <v>59525.419474399998</v>
      </c>
      <c r="AC16" s="73" ph="1">
        <f>AC15*9.0746*LOOKUP(AC17,密度!$A$2:$A$50,密度!$L$2:$L$50)</f>
        <v>18420.6303606</v>
      </c>
      <c r="AD16" s="73" ph="1">
        <f>AD15*268.68*LOOKUP(AD17,密度!$A$2:$A$50,密度!B2:B50)+IF(AD15&lt;=0,0,1566*LOOKUP(AD17,密度!$A$2:$A$50,密度!B2:B50))</f>
        <v>2366.6158161599997</v>
      </c>
      <c r="AE16" s="73" ph="1">
        <f>AE15*268.68*LOOKUP(AE17,密度!$A$2:$A$50,密度!B2:B50)+IF(AE15&lt;=0,0,1566*LOOKUP(AE17,密度!$A$2:$A$50,密度!B2:B50))</f>
        <v>14708.171533919998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15</v>
      </c>
      <c r="E17" s="74">
        <v>15</v>
      </c>
      <c r="F17" s="74">
        <v>16</v>
      </c>
      <c r="G17" s="74">
        <v>15</v>
      </c>
      <c r="H17" s="74">
        <v>15</v>
      </c>
      <c r="I17" s="74">
        <v>14</v>
      </c>
      <c r="J17" s="74">
        <v>15</v>
      </c>
      <c r="K17" s="74">
        <v>15</v>
      </c>
      <c r="L17" s="74">
        <v>16</v>
      </c>
      <c r="M17" s="74">
        <v>16</v>
      </c>
      <c r="N17" s="74">
        <v>15</v>
      </c>
      <c r="O17" s="74">
        <v>16</v>
      </c>
      <c r="P17" s="74">
        <v>16</v>
      </c>
      <c r="Q17" s="74">
        <v>15</v>
      </c>
      <c r="R17" s="74">
        <v>16</v>
      </c>
      <c r="S17" s="74">
        <v>15</v>
      </c>
      <c r="T17" s="74">
        <v>16</v>
      </c>
      <c r="U17" s="74">
        <v>15</v>
      </c>
      <c r="V17" s="74">
        <v>16</v>
      </c>
      <c r="W17" s="74">
        <v>16</v>
      </c>
      <c r="X17" s="74">
        <v>26</v>
      </c>
      <c r="Y17" s="108">
        <v>26</v>
      </c>
      <c r="Z17" s="74">
        <v>16</v>
      </c>
      <c r="AA17" s="74">
        <v>13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5763</v>
      </c>
      <c r="E18" s="71">
        <v>3135</v>
      </c>
      <c r="F18" s="71">
        <v>4533</v>
      </c>
      <c r="G18" s="71">
        <v>3704</v>
      </c>
      <c r="H18" s="71">
        <v>5376</v>
      </c>
      <c r="I18" s="71">
        <v>5209</v>
      </c>
      <c r="J18" s="71">
        <v>5489</v>
      </c>
      <c r="K18" s="71">
        <v>3577</v>
      </c>
      <c r="L18" s="71">
        <v>3069</v>
      </c>
      <c r="M18" s="71">
        <v>3803</v>
      </c>
      <c r="N18" s="71">
        <v>1541</v>
      </c>
      <c r="O18" s="71">
        <v>5323</v>
      </c>
      <c r="P18" s="71">
        <v>6961</v>
      </c>
      <c r="Q18" s="71">
        <v>3503</v>
      </c>
      <c r="R18" s="71">
        <v>7327</v>
      </c>
      <c r="S18" s="71">
        <v>0</v>
      </c>
      <c r="T18" s="71">
        <v>6305</v>
      </c>
      <c r="U18" s="71">
        <v>2054</v>
      </c>
      <c r="V18" s="71">
        <v>4984</v>
      </c>
      <c r="W18" s="71">
        <v>-317</v>
      </c>
      <c r="X18" s="71">
        <v>322</v>
      </c>
      <c r="Y18" s="109">
        <v>-9900</v>
      </c>
      <c r="Z18" s="71">
        <v>0</v>
      </c>
      <c r="AA18" s="71">
        <v>11</v>
      </c>
      <c r="AB18" s="71">
        <v>6935</v>
      </c>
      <c r="AC18" s="71">
        <v>2139</v>
      </c>
      <c r="AD18" s="71">
        <v>35.19</v>
      </c>
      <c r="AE18" s="71">
        <v>84.4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51" t="s" ph="1">
        <v>178</v>
      </c>
      <c r="D19" s="73" ph="1">
        <f>D18*7.0686*LOOKUP(D20,密度!$A$2:$A$50,密度!$L$2:$L$50)</f>
        <v>38495.843001000001</v>
      </c>
      <c r="E19" s="73" ph="1">
        <f>E18*7.0686*LOOKUP(E20,密度!$A$2:$A$50,密度!$L$2:$L$50)</f>
        <v>20941.257645000002</v>
      </c>
      <c r="F19" s="73" ph="1">
        <f>F18*9.0746*LOOKUP(F20,密度!$A$2:$A$50,密度!$L$2:$L$50)</f>
        <v>38790.457577399997</v>
      </c>
      <c r="G19" s="73" ph="1">
        <f>G18*9.0746*LOOKUP(G20,密度!$A$2:$A$50,密度!$B$2:$B$50)</f>
        <v>26432.727189760004</v>
      </c>
      <c r="H19" s="73" ph="1">
        <f>H18*9.0746*LOOKUP(H20,密度!$A$2:$A$50,密度!$L$2:$L$50)</f>
        <v>46150.656921599999</v>
      </c>
      <c r="I19" s="73" ph="1">
        <f>I18*9.0746*LOOKUP(I20,密度!$A$2:$A$50,密度!$U$2:$U$50)</f>
        <v>48593.139959200002</v>
      </c>
      <c r="J19" s="73" ph="1">
        <f>J18*9.0746*LOOKUP(J20,密度!$A$2:$A$50,密度!$L$2:$L$50)</f>
        <v>47070.903033000002</v>
      </c>
      <c r="K19" s="73" ph="1">
        <f>K18*9.0746*LOOKUP(K20,密度!$A$2:$A$50,密度!$C$2:$C$50)</f>
        <v>36176.496360900004</v>
      </c>
      <c r="L19" s="73" ph="1">
        <f>L18*9.0746*LOOKUP(L20,密度!$A$2:$A$50,密度!$E$2:$E$50)</f>
        <v>22071.0833145</v>
      </c>
      <c r="M19" s="73" ph="1">
        <f>M18*9.0746*LOOKUP(M20,密度!$A$2:$A$50,密度!$M$2:$M$50)</f>
        <v>30379.77255514</v>
      </c>
      <c r="N19" s="73" ph="1">
        <f>N18*9.0746*LOOKUP(N20,密度!$A$2:$A$50,密度!$M$2:$M$50)</f>
        <v>12310.07875558</v>
      </c>
      <c r="O19" s="73" ph="1">
        <f>O18*9.0746*LOOKUP(O20,密度!$A$2:$A$50,密度!$G$2:$G$50)</f>
        <v>46758.364734399998</v>
      </c>
      <c r="P19" s="73" ph="1">
        <f ca="1">P18*9.0746*LOOKUP(P20,密度!$A$2:$A$51,密度!$Q$2:$Q$50)</f>
        <v>60136.844334106005</v>
      </c>
      <c r="Q19" s="73" ph="1">
        <f>Q18*9.0746*LOOKUP(Q20,密度!$A$2:$A$50,密度!$Q$2:$Q$50)</f>
        <v>30287.914916640002</v>
      </c>
      <c r="R19" s="73" ph="1">
        <f>MAX(R18*9.0746*LOOKUP(R20,密度!$A$2:$A$50,密度!$B$2:$B$50),0)</f>
        <v>52240.874162940003</v>
      </c>
      <c r="S19" s="73" ph="1">
        <f>S18*9.0746*LOOKUP(S20,密度!$A$2:$A$50,密度!$Q$2:$Q$50)</f>
        <v>0</v>
      </c>
      <c r="T19" s="73" ph="1">
        <f>T18*9.0746*LOOKUP(T20,密度!$A$2:$A$50,密度!$O$2:$O$50)</f>
        <v>53439.139702000008</v>
      </c>
      <c r="U19" s="73" ph="1">
        <f>U18*9.0746*LOOKUP(U20,密度!$A$2:$A$50,密度!$H$2:$H$50)</f>
        <v>17198.416044679998</v>
      </c>
      <c r="V19" s="73" ph="1">
        <f>MAX(5600*LOOKUP(V20,密度!$A$2:$A$50,密度!$Q$2:$Q$50)+V18*9.0476*LOOKUP(V20,密度!$A$2:$A$50,密度!$Q$2:$Q$50),0)</f>
        <v>48300.517547519994</v>
      </c>
      <c r="W19" s="73" ph="1">
        <f>MAX(5600*LOOKUP(W20,密度!$A$2:$A$50,密度!$Q$2:$Q$50)+W18*9.0476*LOOKUP(W20,密度!$A$2:$A$50,密度!$Q$2:$Q$50),0)</f>
        <v>2602.9646102400006</v>
      </c>
      <c r="X19" s="73" ph="1">
        <f>MAX(5600*LOOKUP(X20,密度!$A$2:$A$50,密度!$I$2:$I$50)+X18*9.0476*LOOKUP(X20,密度!$A$2:$A$50,密度!$I$2:$I$50),0)</f>
        <v>8873.4409405599999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78.748471340000009</v>
      </c>
      <c r="AB19" s="73" ph="1">
        <f>AB18*9.0746*LOOKUP(AB20,密度!$A$2:$A$50,密度!$L$2:$L$50)</f>
        <v>59471.071694999999</v>
      </c>
      <c r="AC19" s="73" ph="1">
        <f>AC18*9.0746*LOOKUP(AC20,密度!$A$2:$A$50,密度!$L$2:$L$50)</f>
        <v>18401.219791200001</v>
      </c>
      <c r="AD19" s="73" ph="1">
        <f>AD18*268.68*LOOKUP(AD20,密度!$A$2:$A$50,密度!B5:B53)+IF(AD18&lt;=0,0,1566*LOOKUP(AD20,密度!$A$2:$A$50,密度!B5:B53))</f>
        <v>8563.1998283999983</v>
      </c>
      <c r="AE19" s="73" ph="1">
        <f>AE18*268.68*LOOKUP(AE20,密度!$A$2:$A$50,密度!B5:B53)+IF(AE18&lt;=0,0,1566*LOOKUP(AE20,密度!$A$2:$A$50,密度!B5:B53))</f>
        <v>18836.493984000001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17</v>
      </c>
      <c r="E20" s="81">
        <v>17</v>
      </c>
      <c r="F20" s="81">
        <v>19</v>
      </c>
      <c r="G20" s="81">
        <v>17</v>
      </c>
      <c r="H20" s="81">
        <v>16</v>
      </c>
      <c r="I20" s="81">
        <v>16</v>
      </c>
      <c r="J20" s="81">
        <v>17</v>
      </c>
      <c r="K20" s="81">
        <v>17</v>
      </c>
      <c r="L20" s="81">
        <v>17</v>
      </c>
      <c r="M20" s="81">
        <v>17</v>
      </c>
      <c r="N20" s="81">
        <v>18</v>
      </c>
      <c r="O20" s="81">
        <v>18</v>
      </c>
      <c r="P20" s="81">
        <v>18</v>
      </c>
      <c r="Q20" s="81">
        <v>17</v>
      </c>
      <c r="R20" s="81">
        <v>18</v>
      </c>
      <c r="S20" s="81">
        <v>17</v>
      </c>
      <c r="T20" s="81">
        <v>18</v>
      </c>
      <c r="U20" s="81">
        <v>17</v>
      </c>
      <c r="V20" s="81">
        <v>17</v>
      </c>
      <c r="W20" s="81">
        <v>17</v>
      </c>
      <c r="X20" s="81">
        <v>25</v>
      </c>
      <c r="Y20" s="110">
        <v>25</v>
      </c>
      <c r="Z20" s="81">
        <v>16</v>
      </c>
      <c r="AA20" s="81">
        <v>14</v>
      </c>
      <c r="AB20" s="81">
        <v>17</v>
      </c>
      <c r="AC20" s="81">
        <v>14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642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51" t="s" ph="1">
        <v>177</v>
      </c>
      <c r="D24" s="71">
        <v>49.54</v>
      </c>
      <c r="E24" s="71">
        <v>5.68</v>
      </c>
      <c r="F24" s="71">
        <v>2499</v>
      </c>
      <c r="G24" s="71">
        <v>3414</v>
      </c>
      <c r="H24" s="71">
        <v>3684</v>
      </c>
      <c r="I24" s="71">
        <v>1252</v>
      </c>
      <c r="J24" s="71">
        <v>3929</v>
      </c>
      <c r="K24" s="71">
        <v>4716</v>
      </c>
      <c r="L24" s="71">
        <v>5536</v>
      </c>
      <c r="M24" s="71">
        <v>5065</v>
      </c>
      <c r="N24" s="71">
        <v>2844</v>
      </c>
      <c r="O24" s="71">
        <v>5716</v>
      </c>
      <c r="P24" s="71">
        <v>628</v>
      </c>
      <c r="Q24" s="90">
        <v>2627</v>
      </c>
      <c r="R24" s="71">
        <v>3833</v>
      </c>
      <c r="S24" s="71">
        <v>5095</v>
      </c>
      <c r="T24" s="71">
        <v>179</v>
      </c>
      <c r="U24" s="71">
        <v>3885</v>
      </c>
      <c r="V24" s="71">
        <v>4042</v>
      </c>
      <c r="W24" s="71">
        <v>6047</v>
      </c>
      <c r="X24" s="71">
        <v>7106</v>
      </c>
      <c r="Y24" s="71">
        <v>3764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14084.089752528</v>
      </c>
      <c r="E25" s="91" ph="1">
        <f>E24*268.68*LOOKUP(E26,密度!$A$2:$A$50,密度!$C$2:$C$50)+IF(E24&lt;=0,0,1566*LOOKUP(E26,密度!$A$2:$A$50,密度!$C$2:$C$50))</f>
        <v>3428.8323513599998</v>
      </c>
      <c r="F25" s="91" ph="1">
        <f>F24*11.702*LOOKUP(F26,密度!$A$2:$A$50,密度!$Q$2:$Q$50)</f>
        <v>27839.912128979999</v>
      </c>
      <c r="G25" s="91" ph="1">
        <f>G24*18.322*LOOKUP(G26,密度!$A$2:$A$50,密度!$B$2:$B$50)</f>
        <v>49146.562695599998</v>
      </c>
      <c r="H25" s="91" ph="1">
        <f>H24*18.322*LOOKUP(H26,密度!$A$2:$A$50,密度!$B$2:$B$50)</f>
        <v>53033.37345359999</v>
      </c>
      <c r="I25" s="91" ph="1">
        <f>I24*18.322*LOOKUP(I26,密度!$A$2:$A$50,密度!$Q$2:$Q$50)</f>
        <v>21856.416403200001</v>
      </c>
      <c r="J25" s="91" ph="1">
        <f>J24*18.322*LOOKUP(J26,密度!$A$2:$A$50,密度!$Q$2:$Q$50)</f>
        <v>68589.34508639999</v>
      </c>
      <c r="K25" s="91" ph="1">
        <f>K24*18.322*LOOKUP(K26,密度!$A$2:$A$50,密度!$Q$2:$Q$50)</f>
        <v>82328.162745599999</v>
      </c>
      <c r="L25" s="91" ph="1">
        <f>L24*18.322*LOOKUP(L26,密度!$A$2:$A$50,密度!$Q$2:$Q$50)</f>
        <v>96562.937889919995</v>
      </c>
      <c r="M25" s="91" ph="1">
        <f>M24*18.322*LOOKUP(M26,密度!$A$2:$A$50,密度!$Q$2:$Q$50)</f>
        <v>88420.726103999987</v>
      </c>
      <c r="N25" s="91" ph="1">
        <f>N24*18.322*LOOKUP(N26,密度!$A$2:$A$50,密度!$Q$2:$Q$50)</f>
        <v>49607.116213679998</v>
      </c>
      <c r="O25" s="91" ph="1">
        <f>O24*18.322*LOOKUP(O26,密度!$A$2:$A$50,密度!$C$2:$C$50)</f>
        <v>116657.13407279998</v>
      </c>
      <c r="P25" s="91" ph="1">
        <f>P24*11.702*LOOKUP(P26,密度!$A$2:$A$50,密度!$B$2:$B$50)</f>
        <v>5779.1403584</v>
      </c>
      <c r="Q25" s="92" ph="1">
        <f>Q24*18.322*LOOKUP(Q26,密度!$A$2:$A$50,密度!$B$2:$B$50)</f>
        <v>37817.229115800001</v>
      </c>
      <c r="R25" s="91" ph="1">
        <f>R24*35.891*LOOKUP(R26,密度!$A$2:$A$50,密度!$C$2:$C$50)</f>
        <v>153239.44912169996</v>
      </c>
      <c r="S25" s="91" ph="1">
        <f>S24*35.891*LOOKUP(S26,密度!$A$2:$A$50,密度!$B$2:$B$50)</f>
        <v>143804.75682799998</v>
      </c>
      <c r="T25" s="91" ph="1">
        <f>T24*35.891*LOOKUP(T26,密度!$A$2:$A$50,密度!$Q$2:$Q$50)</f>
        <v>6116.1777728899997</v>
      </c>
      <c r="U25" s="91" ph="1">
        <f>U24*35.891</f>
        <v>139436.535</v>
      </c>
      <c r="V25" s="91" ph="1">
        <f>V24*47.051*LOOKUP(V26,密度!$A$2:$A$50,密度!$B$2:$B$50)</f>
        <v>149424.53756940001</v>
      </c>
      <c r="W25" s="91" ph="1">
        <f>W24*47.051*LOOKUP(W26,密度!$A$2:$A$50,密度!$B$2:$B$50)</f>
        <v>223545.31882289998</v>
      </c>
      <c r="X25" s="91" ph="1">
        <f>X24*47.051*LOOKUP(X26,密度!$A$2:$A$61,密度!$I$2:$I$61)</f>
        <v>342502.4095064</v>
      </c>
      <c r="Y25" s="91" ph="1">
        <f>Y24*47.051*LOOKUP(Y26,密度!$A$2:$A$50,密度!$L$2:$L$50)</f>
        <v>167005.26605199999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18</v>
      </c>
      <c r="G26" s="74">
        <v>18</v>
      </c>
      <c r="H26" s="74">
        <v>18</v>
      </c>
      <c r="I26" s="74">
        <v>17</v>
      </c>
      <c r="J26" s="74">
        <v>17</v>
      </c>
      <c r="K26" s="74">
        <v>17</v>
      </c>
      <c r="L26" s="74">
        <v>18</v>
      </c>
      <c r="M26" s="74">
        <v>17</v>
      </c>
      <c r="N26" s="74">
        <v>18</v>
      </c>
      <c r="O26" s="74">
        <v>18</v>
      </c>
      <c r="P26" s="74">
        <v>17</v>
      </c>
      <c r="Q26" s="93">
        <v>18</v>
      </c>
      <c r="R26" s="74">
        <v>18</v>
      </c>
      <c r="S26" s="74">
        <v>17</v>
      </c>
      <c r="T26" s="74">
        <v>18</v>
      </c>
      <c r="U26" s="74">
        <v>17</v>
      </c>
      <c r="V26" s="74">
        <v>18</v>
      </c>
      <c r="W26" s="74">
        <v>18</v>
      </c>
      <c r="X26" s="74">
        <v>41</v>
      </c>
      <c r="Y26" s="74">
        <v>19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51" t="s" ph="1">
        <v>180</v>
      </c>
      <c r="D27" s="71">
        <v>19.46</v>
      </c>
      <c r="E27" s="71">
        <v>5.69</v>
      </c>
      <c r="F27" s="71">
        <v>1339</v>
      </c>
      <c r="G27" s="71">
        <v>2916</v>
      </c>
      <c r="H27" s="71">
        <v>3191</v>
      </c>
      <c r="I27" s="71">
        <v>1250</v>
      </c>
      <c r="J27" s="71">
        <v>3301</v>
      </c>
      <c r="K27" s="71">
        <v>4716</v>
      </c>
      <c r="L27" s="71">
        <v>5534</v>
      </c>
      <c r="M27" s="71">
        <v>5065</v>
      </c>
      <c r="N27" s="71">
        <v>2844</v>
      </c>
      <c r="O27" s="71">
        <v>5715</v>
      </c>
      <c r="P27" s="71">
        <v>673</v>
      </c>
      <c r="Q27" s="90">
        <v>3021</v>
      </c>
      <c r="R27" s="71">
        <v>3326</v>
      </c>
      <c r="S27" s="71">
        <v>5093</v>
      </c>
      <c r="T27" s="71">
        <v>179</v>
      </c>
      <c r="U27" s="71">
        <v>3974</v>
      </c>
      <c r="V27" s="71">
        <v>4040</v>
      </c>
      <c r="W27" s="71">
        <v>6029</v>
      </c>
      <c r="X27" s="71">
        <v>6634</v>
      </c>
      <c r="Y27" s="71">
        <v>4413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51" t="s" ph="1">
        <v>178</v>
      </c>
      <c r="D28" s="91" ph="1">
        <f>D27*268.68*LOOKUP(D29,密度!$A$2:$A$50,密度!$Q$2:$Q$50)+IF(D27&lt;=0,0,1566*LOOKUP(D29,密度!$A$2:$A$50,密度!$Q$2:$Q$50))</f>
        <v>6432.6370482720004</v>
      </c>
      <c r="E28" s="91" ph="1">
        <f>E27*268.68*LOOKUP(E29,密度!$A$2:$A$50,密度!$C$2:$C$50)+IF(E27&lt;=0,0,1566*LOOKUP(E29,密度!$A$2:$A$50,密度!$C$2:$C$50))</f>
        <v>3431.81174388</v>
      </c>
      <c r="F28" s="91" ph="1">
        <f>F27*11.702*LOOKUP(F29,密度!$A$2:$A$50,密度!$Q$2:$Q$50)</f>
        <v>14929.402238399998</v>
      </c>
      <c r="G28" s="91" ph="1">
        <f>G27*18.322*LOOKUP(G29,密度!$A$2:$A$50,密度!$B$2:$B$50)</f>
        <v>42014.955052799996</v>
      </c>
      <c r="H28" s="91" ph="1">
        <f>H27*18.322*LOOKUP(H29,密度!$A$2:$A$50,密度!$B$2:$B$50)</f>
        <v>45936.344921399999</v>
      </c>
      <c r="I28" s="91" ph="1">
        <f>I27*18.322*LOOKUP(I29,密度!$A$2:$A$50,密度!$Q$2:$Q$50)</f>
        <v>21803.409025000001</v>
      </c>
      <c r="J28" s="91" ph="1">
        <f>J27*18.322*LOOKUP(J29,密度!$A$2:$A$50,密度!$Q$2:$Q$50)</f>
        <v>57626.222481599994</v>
      </c>
      <c r="K28" s="91" ph="1">
        <f>K27*18.322*LOOKUP(K29,密度!$A$2:$A$50,密度!$Q$2:$Q$50)</f>
        <v>82328.162745599999</v>
      </c>
      <c r="L28" s="91" ph="1">
        <f>L27*18.322*LOOKUP(L29,密度!$A$2:$A$50,密度!$Q$2:$Q$50)</f>
        <v>96608.153654399983</v>
      </c>
      <c r="M28" s="91" ph="1">
        <f>M27*18.322*LOOKUP(M29,密度!$A$2:$A$50,密度!$Q$2:$Q$50)</f>
        <v>88494.966847999996</v>
      </c>
      <c r="N28" s="91" ph="1">
        <f>N27*18.322*LOOKUP(N29,密度!$A$2:$A$50,密度!$Q$2:$Q$50)</f>
        <v>49607.116213679998</v>
      </c>
      <c r="O28" s="91" ph="1">
        <f>O27*18.322*LOOKUP(O29,密度!$A$2:$A$50,密度!$C$2:$C$50)</f>
        <v>116772.84849599999</v>
      </c>
      <c r="P28" s="91" ph="1">
        <f>P27*11.702*LOOKUP(P29,密度!$A$2:$A$50,密度!$B$2:$B$50)</f>
        <v>6193.2507343999996</v>
      </c>
      <c r="Q28" s="92" ph="1">
        <f>Q27*18.322*LOOKUP(Q29,密度!$A$2:$A$50,密度!$B$2:$B$50)</f>
        <v>43489.093703399994</v>
      </c>
      <c r="R28" s="91" ph="1">
        <f>R27*35.891*LOOKUP(R29,密度!$A$2:$A$50,密度!$C$2:$C$50)</f>
        <v>133041.72785700002</v>
      </c>
      <c r="S28" s="91" ph="1">
        <f>S27*35.891*LOOKUP(S29,密度!$A$2:$A$50,密度!$B$2:$B$50)</f>
        <v>143748.30746319998</v>
      </c>
      <c r="T28" s="91" ph="1">
        <f>T27*35.891*LOOKUP(T29,密度!$A$2:$A$50,密度!$Q$2:$Q$50)</f>
        <v>6116.1777728899997</v>
      </c>
      <c r="U28" s="91" ph="1">
        <f>U27*35.891</f>
        <v>142630.834</v>
      </c>
      <c r="V28" s="91" ph="1">
        <f>V27*47.051*LOOKUP(V29,密度!$A$2:$A$50,密度!$B$2:$B$50)</f>
        <v>149483.66185599999</v>
      </c>
      <c r="W28" s="91" ph="1">
        <f>W27*47.051*LOOKUP(W29,密度!$A$2:$A$50,密度!$B$2:$B$50)</f>
        <v>223078.46468559999</v>
      </c>
      <c r="X28" s="91" ph="1">
        <f>X27*47.051*LOOKUP(X29,密度!$A$2:$A$61,密度!$I$2:$I$61)</f>
        <v>317317.79714440001</v>
      </c>
      <c r="Y28" s="91" ph="1">
        <f>Y27*47.051*LOOKUP(Y29,密度!$A$2:$A$50,密度!$L$2:$L$50)</f>
        <v>196008.44347199998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51" t="s" ph="1">
        <v>179</v>
      </c>
      <c r="D29" s="74">
        <v>25</v>
      </c>
      <c r="E29" s="74">
        <v>25</v>
      </c>
      <c r="F29" s="74">
        <v>17</v>
      </c>
      <c r="G29" s="74">
        <v>17</v>
      </c>
      <c r="H29" s="74">
        <v>18</v>
      </c>
      <c r="I29" s="74">
        <v>18</v>
      </c>
      <c r="J29" s="74">
        <v>17</v>
      </c>
      <c r="K29" s="74">
        <v>17</v>
      </c>
      <c r="L29" s="74">
        <v>17</v>
      </c>
      <c r="M29" s="74">
        <v>16</v>
      </c>
      <c r="N29" s="74">
        <v>18</v>
      </c>
      <c r="O29" s="74">
        <v>16</v>
      </c>
      <c r="P29" s="74">
        <v>17</v>
      </c>
      <c r="Q29" s="93">
        <v>18</v>
      </c>
      <c r="R29" s="74">
        <v>17</v>
      </c>
      <c r="S29" s="74">
        <v>17</v>
      </c>
      <c r="T29" s="74">
        <v>18</v>
      </c>
      <c r="U29" s="74">
        <v>18</v>
      </c>
      <c r="V29" s="74">
        <v>17</v>
      </c>
      <c r="W29" s="74">
        <v>17</v>
      </c>
      <c r="X29" s="74">
        <v>48</v>
      </c>
      <c r="Y29" s="74">
        <v>18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240879.23068400001</v>
      </c>
      <c r="E33" s="215" ph="1">
        <f>M10+I10</f>
        <v>27185.059953199998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19" ph="1">
        <f>N19</f>
        <v>12310.07875558</v>
      </c>
      <c r="H33" s="215" ph="1">
        <f>M19</f>
        <v>30379.77255514</v>
      </c>
      <c r="I33" s="228" ph="1">
        <v>0</v>
      </c>
      <c r="J33" s="226" ph="1">
        <f>F10+O28</f>
        <v>327224.15975519997</v>
      </c>
      <c r="K33" s="215" ph="1">
        <f>O10+K10+E28+R28</f>
        <v>181072.01714248004</v>
      </c>
      <c r="L33" s="230" ph="1">
        <f>K19</f>
        <v>36176.496360900004</v>
      </c>
      <c r="M33" s="226" ph="1">
        <f>G10+H10+W28+S28+V28+E10+R19+P28+Q28</f>
        <v>692584.59942153993</v>
      </c>
      <c r="N33" s="215" ph="1">
        <f>L10+P10++G28+H28+AD19+AE19</f>
        <v>161209.55713159998</v>
      </c>
      <c r="O33" s="228" ph="1">
        <f>G19</f>
        <v>26432.727189760004</v>
      </c>
      <c r="P33" s="226" ph="1">
        <f>L19</f>
        <v>22071.0833145</v>
      </c>
      <c r="Q33" s="215" ph="1">
        <f>J10+N10</f>
        <v>115179.49461180001</v>
      </c>
      <c r="R33" s="228" ph="1">
        <f>BE23</f>
        <v>890</v>
      </c>
      <c r="S33" s="226" ph="1">
        <f>X28</f>
        <v>317317.79714440001</v>
      </c>
      <c r="T33" s="215" ph="1">
        <f>X19</f>
        <v>8873.4409405599999</v>
      </c>
      <c r="U33" s="236" ph="1">
        <f>BE21</f>
        <v>730</v>
      </c>
      <c r="V33" s="247" ph="1">
        <f ca="1">P19+Q19+S19+M28+N28+J28+D10+AC10+D19+E19+H19+J19+O19+V19+W19+K28+L28</f>
        <v>1303676.2438849362</v>
      </c>
      <c r="W33" s="247" ph="1">
        <f>D28+F28+T28+I28</f>
        <v>49281.626084561998</v>
      </c>
      <c r="X33" s="228" ph="1">
        <f>BE29+BE31</f>
        <v>10200</v>
      </c>
      <c r="Y33" s="249" ph="1">
        <f>+Q10+R10+S10+T10+U10+V10+W10+X10+Y10</f>
        <v>286353.85626540001</v>
      </c>
      <c r="Z33" s="234" ph="1">
        <f>T19+U19+Y28+Z10</f>
        <v>295930.92584267998</v>
      </c>
      <c r="AA33" s="236" ph="1">
        <f>BE19</f>
        <v>1440</v>
      </c>
      <c r="AB33" s="238" ph="1">
        <f>I19</f>
        <v>48593.139959200002</v>
      </c>
      <c r="AC33" s="240" ph="1">
        <f>AD10+AB19</f>
        <v>153601.66145499999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53" t="s" ph="1">
        <v>185</v>
      </c>
      <c r="AA36" s="153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819" priority="100">
      <formula>ABS(D$7-D$10)&gt;=1000</formula>
    </cfRule>
  </conditionalFormatting>
  <conditionalFormatting sqref="E4 E6:E11">
    <cfRule type="expression" dxfId="1818" priority="99">
      <formula>ABS(E$7-E$10)&gt;=1000</formula>
    </cfRule>
  </conditionalFormatting>
  <conditionalFormatting sqref="F4:F11">
    <cfRule type="expression" dxfId="1817" priority="98">
      <formula>ABS(F$7-F$10)&gt;=1000</formula>
    </cfRule>
  </conditionalFormatting>
  <conditionalFormatting sqref="G4:G11">
    <cfRule type="expression" dxfId="1816" priority="97">
      <formula>ABS(G$7-G$10)&gt;=1000</formula>
    </cfRule>
  </conditionalFormatting>
  <conditionalFormatting sqref="H4:H11">
    <cfRule type="expression" dxfId="1815" priority="96">
      <formula>ABS(H$7-H$10)&gt;=1000</formula>
    </cfRule>
  </conditionalFormatting>
  <conditionalFormatting sqref="I4:I11">
    <cfRule type="expression" dxfId="1814" priority="95">
      <formula>ABS(I$7-I$10)&gt;=1000</formula>
    </cfRule>
  </conditionalFormatting>
  <conditionalFormatting sqref="J4:J11">
    <cfRule type="expression" dxfId="1813" priority="94">
      <formula>ABS(J$7-J$10)&gt;=1000</formula>
    </cfRule>
  </conditionalFormatting>
  <conditionalFormatting sqref="K4:K11">
    <cfRule type="expression" dxfId="1812" priority="93">
      <formula>ABS(K$7-K$10)&gt;=1000</formula>
    </cfRule>
  </conditionalFormatting>
  <conditionalFormatting sqref="L4:L11">
    <cfRule type="expression" dxfId="1811" priority="92">
      <formula>ABS(L$7-L$10)&gt;=1000</formula>
    </cfRule>
  </conditionalFormatting>
  <conditionalFormatting sqref="M4 M6:M11">
    <cfRule type="expression" dxfId="1810" priority="91">
      <formula>ABS(M$7-M$10)&gt;=1000</formula>
    </cfRule>
  </conditionalFormatting>
  <conditionalFormatting sqref="N4 N6:N11">
    <cfRule type="expression" dxfId="1809" priority="90">
      <formula>ABS(N$7-N$10)&gt;=1000</formula>
    </cfRule>
  </conditionalFormatting>
  <conditionalFormatting sqref="O4 O6:O11">
    <cfRule type="expression" dxfId="1808" priority="89">
      <formula>ABS(O$7-O$10)&gt;=1000</formula>
    </cfRule>
  </conditionalFormatting>
  <conditionalFormatting sqref="P4 P6:P11">
    <cfRule type="expression" dxfId="1807" priority="88">
      <formula>ABS(P$7-P$10)&gt;=1000</formula>
    </cfRule>
  </conditionalFormatting>
  <conditionalFormatting sqref="Q4:Q11">
    <cfRule type="expression" dxfId="1806" priority="87">
      <formula>ABS(Q$7-Q$10)&gt;=1000</formula>
    </cfRule>
  </conditionalFormatting>
  <conditionalFormatting sqref="R4:R11">
    <cfRule type="expression" dxfId="1805" priority="86">
      <formula>ABS(R$7-R$10)&gt;=1000</formula>
    </cfRule>
  </conditionalFormatting>
  <conditionalFormatting sqref="S4:S11">
    <cfRule type="expression" dxfId="1804" priority="85">
      <formula>ABS(S$7-S$10)&gt;=1000</formula>
    </cfRule>
  </conditionalFormatting>
  <conditionalFormatting sqref="T4:T9 T11">
    <cfRule type="expression" dxfId="1803" priority="84">
      <formula>ABS(T$7-T$10)&gt;=1000</formula>
    </cfRule>
  </conditionalFormatting>
  <conditionalFormatting sqref="U4:U9 U11">
    <cfRule type="expression" dxfId="1802" priority="83">
      <formula>ABS(U$7-U$10)&gt;=1000</formula>
    </cfRule>
  </conditionalFormatting>
  <conditionalFormatting sqref="V4:V9 V11">
    <cfRule type="expression" dxfId="1801" priority="82">
      <formula>ABS(V$7-V$10)&gt;=1000</formula>
    </cfRule>
  </conditionalFormatting>
  <conditionalFormatting sqref="W4:W9 W11">
    <cfRule type="expression" dxfId="1800" priority="81">
      <formula>ABS(W$7-W$10)&gt;=1000</formula>
    </cfRule>
  </conditionalFormatting>
  <conditionalFormatting sqref="X4:X9 X11">
    <cfRule type="expression" dxfId="1799" priority="80">
      <formula>ABS(X$7-X$10)&gt;=1000</formula>
    </cfRule>
  </conditionalFormatting>
  <conditionalFormatting sqref="Y4:Y9 Y11">
    <cfRule type="expression" dxfId="1798" priority="79">
      <formula>ABS(Y$7-Y$10)&gt;=1000</formula>
    </cfRule>
  </conditionalFormatting>
  <conditionalFormatting sqref="Z4:Z11">
    <cfRule type="expression" dxfId="1797" priority="78">
      <formula>ABS(Z$7-Z$10)&gt;=1000</formula>
    </cfRule>
  </conditionalFormatting>
  <conditionalFormatting sqref="AA4:AA11">
    <cfRule type="expression" dxfId="1796" priority="77">
      <formula>ABS(AA$7-AA$10)&gt;=1000</formula>
    </cfRule>
  </conditionalFormatting>
  <conditionalFormatting sqref="AB4:AB11">
    <cfRule type="expression" dxfId="1795" priority="76">
      <formula>ABS(AB$7-AB$10)&gt;=1000</formula>
    </cfRule>
  </conditionalFormatting>
  <conditionalFormatting sqref="AC4 AC6:AC11">
    <cfRule type="expression" dxfId="1794" priority="75">
      <formula>ABS(AC$7-AC$10)&gt;=1000</formula>
    </cfRule>
  </conditionalFormatting>
  <conditionalFormatting sqref="AD4 AD6:AD11">
    <cfRule type="expression" dxfId="1793" priority="74">
      <formula>ABS(AD$7-AD$10)&gt;=1000</formula>
    </cfRule>
  </conditionalFormatting>
  <conditionalFormatting sqref="AE4 AE6:AE11">
    <cfRule type="expression" dxfId="1792" priority="73">
      <formula>ABS(AE$7-AE$10)&gt;=1000</formula>
    </cfRule>
  </conditionalFormatting>
  <conditionalFormatting sqref="D13:D20">
    <cfRule type="expression" dxfId="1791" priority="72">
      <formula>ABS(D$16-D$19)&gt;=1000</formula>
    </cfRule>
  </conditionalFormatting>
  <conditionalFormatting sqref="E13:E20">
    <cfRule type="expression" dxfId="1790" priority="71">
      <formula>ABS(E$16-E$19)&gt;=1000</formula>
    </cfRule>
  </conditionalFormatting>
  <conditionalFormatting sqref="F13 F15:F20">
    <cfRule type="expression" dxfId="1789" priority="70">
      <formula>ABS(F$16-F$19)&gt;=1000</formula>
    </cfRule>
  </conditionalFormatting>
  <conditionalFormatting sqref="G13:G20">
    <cfRule type="expression" dxfId="1788" priority="69">
      <formula>ABS(G$16-G$19)&gt;=1000</formula>
    </cfRule>
  </conditionalFormatting>
  <conditionalFormatting sqref="H13 H15:H20">
    <cfRule type="expression" dxfId="1787" priority="68">
      <formula>ABS(H$16-H$19)&gt;=1000</formula>
    </cfRule>
  </conditionalFormatting>
  <conditionalFormatting sqref="I13:I20">
    <cfRule type="expression" dxfId="1786" priority="67">
      <formula>ABS(I$16-I$19)&gt;=1000</formula>
    </cfRule>
  </conditionalFormatting>
  <conditionalFormatting sqref="J13:J20">
    <cfRule type="expression" dxfId="1785" priority="66">
      <formula>ABS(J$16-J$19)&gt;=1000</formula>
    </cfRule>
  </conditionalFormatting>
  <conditionalFormatting sqref="L13:L20">
    <cfRule type="expression" dxfId="1784" priority="65">
      <formula>ABS(L$16-L$19)&gt;=1000</formula>
    </cfRule>
  </conditionalFormatting>
  <conditionalFormatting sqref="M13 M15 M17:M18 M20">
    <cfRule type="expression" dxfId="1783" priority="64">
      <formula>ABS(M$16-M$19)&gt;=1000</formula>
    </cfRule>
  </conditionalFormatting>
  <conditionalFormatting sqref="N13:N20">
    <cfRule type="expression" dxfId="1782" priority="63">
      <formula>ABS(N$16-N$19)&gt;=1000</formula>
    </cfRule>
  </conditionalFormatting>
  <conditionalFormatting sqref="O13:O20">
    <cfRule type="expression" dxfId="1781" priority="62">
      <formula>ABS(O$16-O$19)&gt;=1000</formula>
    </cfRule>
  </conditionalFormatting>
  <conditionalFormatting sqref="P13:P20">
    <cfRule type="expression" dxfId="1780" priority="61">
      <formula>ABS(P$16-P$19)&gt;=1000</formula>
    </cfRule>
  </conditionalFormatting>
  <conditionalFormatting sqref="Q13 Q15:Q20">
    <cfRule type="expression" dxfId="1779" priority="60">
      <formula>ABS(Q$16-Q$19)&gt;=1000</formula>
    </cfRule>
  </conditionalFormatting>
  <conditionalFormatting sqref="R13:R20">
    <cfRule type="expression" dxfId="1778" priority="59">
      <formula>ABS(R$16-R$19)&gt;=1000</formula>
    </cfRule>
  </conditionalFormatting>
  <conditionalFormatting sqref="S13:S20">
    <cfRule type="expression" dxfId="1777" priority="58">
      <formula>ABS(S$16-S$19)&gt;=1000</formula>
    </cfRule>
  </conditionalFormatting>
  <conditionalFormatting sqref="T13:T20">
    <cfRule type="expression" dxfId="1776" priority="57">
      <formula>ABS(T$16-T$19)&gt;=1000</formula>
    </cfRule>
  </conditionalFormatting>
  <conditionalFormatting sqref="U13:U20">
    <cfRule type="expression" dxfId="1775" priority="56">
      <formula>ABS(U$16-U$19)&gt;=1000</formula>
    </cfRule>
  </conditionalFormatting>
  <conditionalFormatting sqref="V13:V20">
    <cfRule type="expression" dxfId="1774" priority="55">
      <formula>ABS(V$16-V$19)&gt;=1000</formula>
    </cfRule>
  </conditionalFormatting>
  <conditionalFormatting sqref="W13 W20 W15:W18">
    <cfRule type="expression" dxfId="1773" priority="54">
      <formula>ABS(W$16-W$19)&gt;=1000</formula>
    </cfRule>
  </conditionalFormatting>
  <conditionalFormatting sqref="X13 X15:X20 Y19">
    <cfRule type="expression" dxfId="1772" priority="53">
      <formula>ABS(X$16-X$19)&gt;=1000</formula>
    </cfRule>
  </conditionalFormatting>
  <conditionalFormatting sqref="Y13 Y15:Y18 Y20">
    <cfRule type="expression" dxfId="1771" priority="52">
      <formula>ABS(Y$16-Y$19)&gt;=1000</formula>
    </cfRule>
  </conditionalFormatting>
  <conditionalFormatting sqref="Z13:Z20">
    <cfRule type="expression" dxfId="1770" priority="51">
      <formula>ABS(Z$16-Z$19)&gt;=1000</formula>
    </cfRule>
  </conditionalFormatting>
  <conditionalFormatting sqref="AA13:AA20">
    <cfRule type="expression" dxfId="1769" priority="50">
      <formula>ABS(AA$16-AA$19)&gt;=1000</formula>
    </cfRule>
  </conditionalFormatting>
  <conditionalFormatting sqref="AB13 AB15:AB20">
    <cfRule type="expression" dxfId="1768" priority="49">
      <formula>ABS(AB$16-AB$19)&gt;=1000</formula>
    </cfRule>
  </conditionalFormatting>
  <conditionalFormatting sqref="AC13 AC15:AC20">
    <cfRule type="expression" dxfId="1767" priority="48">
      <formula>ABS(AC$16-AC$19)&gt;=1000</formula>
    </cfRule>
  </conditionalFormatting>
  <conditionalFormatting sqref="AD13:AD20">
    <cfRule type="expression" dxfId="1766" priority="47">
      <formula>ABS(AD$16-AD$19)&gt;=1000</formula>
    </cfRule>
  </conditionalFormatting>
  <conditionalFormatting sqref="AE13:AE20">
    <cfRule type="expression" dxfId="1765" priority="46">
      <formula>ABS(AE$16-AE$19)&gt;=1000</formula>
    </cfRule>
  </conditionalFormatting>
  <conditionalFormatting sqref="D22:D29">
    <cfRule type="expression" dxfId="1764" priority="45">
      <formula>ABS(D$25-D$28)&gt;=1000</formula>
    </cfRule>
  </conditionalFormatting>
  <conditionalFormatting sqref="E22:E29">
    <cfRule type="expression" dxfId="1763" priority="44">
      <formula>ABS(E$25-E$28)&gt;=1000</formula>
    </cfRule>
  </conditionalFormatting>
  <conditionalFormatting sqref="F22:F29">
    <cfRule type="expression" dxfId="1762" priority="43">
      <formula>ABS(F$25-F$28)&gt;=1000</formula>
    </cfRule>
  </conditionalFormatting>
  <conditionalFormatting sqref="G22:G29">
    <cfRule type="expression" dxfId="1761" priority="42">
      <formula>ABS(G$25-G$28)&gt;=1000</formula>
    </cfRule>
  </conditionalFormatting>
  <conditionalFormatting sqref="H22:H29">
    <cfRule type="expression" dxfId="1760" priority="41">
      <formula>ABS(H$25-H$28)&gt;=1000</formula>
    </cfRule>
  </conditionalFormatting>
  <conditionalFormatting sqref="I22 I24:I29">
    <cfRule type="expression" dxfId="1759" priority="40">
      <formula>ABS(I$25-I$28)&gt;=1000</formula>
    </cfRule>
  </conditionalFormatting>
  <conditionalFormatting sqref="J22:J29 K22">
    <cfRule type="expression" dxfId="1758" priority="39">
      <formula>ABS(J$25-J$28)&gt;=1000</formula>
    </cfRule>
  </conditionalFormatting>
  <conditionalFormatting sqref="K23:K29 L25 L28">
    <cfRule type="expression" dxfId="1757" priority="38">
      <formula>ABS(K$25-K$28)&gt;=1000</formula>
    </cfRule>
  </conditionalFormatting>
  <conditionalFormatting sqref="L22 L26:L27 L29 L24">
    <cfRule type="expression" dxfId="1756" priority="37">
      <formula>ABS(L$25-L$28)&gt;=1000</formula>
    </cfRule>
  </conditionalFormatting>
  <conditionalFormatting sqref="M22:M29">
    <cfRule type="expression" dxfId="1755" priority="36">
      <formula>ABS(M$25-M$28)&gt;=1000</formula>
    </cfRule>
  </conditionalFormatting>
  <conditionalFormatting sqref="N22:N29">
    <cfRule type="expression" dxfId="1754" priority="35">
      <formula>ABS(N$25-N$28)&gt;=1000</formula>
    </cfRule>
  </conditionalFormatting>
  <conditionalFormatting sqref="O22:O29">
    <cfRule type="expression" dxfId="1753" priority="34">
      <formula>ABS(O$25-O$28)&gt;=1000</formula>
    </cfRule>
  </conditionalFormatting>
  <conditionalFormatting sqref="P22:P29">
    <cfRule type="expression" dxfId="1752" priority="33">
      <formula>ABS(P$25-P$28)&gt;=1000</formula>
    </cfRule>
  </conditionalFormatting>
  <conditionalFormatting sqref="Q22:Q29">
    <cfRule type="expression" dxfId="1751" priority="32">
      <formula>ABS(Q$25-Q$28)&gt;=1000</formula>
    </cfRule>
  </conditionalFormatting>
  <conditionalFormatting sqref="R22:R29">
    <cfRule type="expression" dxfId="1750" priority="31">
      <formula>ABS(R$25-R$28)&gt;=1000</formula>
    </cfRule>
  </conditionalFormatting>
  <conditionalFormatting sqref="S22:S29">
    <cfRule type="expression" dxfId="1749" priority="30">
      <formula>ABS(S$25-S$28)&gt;=1000</formula>
    </cfRule>
  </conditionalFormatting>
  <conditionalFormatting sqref="T22:T29">
    <cfRule type="expression" dxfId="1748" priority="29">
      <formula>ABS(T$25-T$28)&gt;=1000</formula>
    </cfRule>
  </conditionalFormatting>
  <conditionalFormatting sqref="U22:U29">
    <cfRule type="expression" dxfId="1747" priority="28">
      <formula>ABS(U$25-U$28)&gt;=1000</formula>
    </cfRule>
  </conditionalFormatting>
  <conditionalFormatting sqref="V22:V29">
    <cfRule type="expression" dxfId="1746" priority="27">
      <formula>ABS(V$25-V$28)&gt;=1000</formula>
    </cfRule>
  </conditionalFormatting>
  <conditionalFormatting sqref="W22:W29">
    <cfRule type="expression" dxfId="1745" priority="26">
      <formula>ABS(W$25-W$28)&gt;=1000</formula>
    </cfRule>
  </conditionalFormatting>
  <conditionalFormatting sqref="X22:X29">
    <cfRule type="expression" dxfId="1744" priority="25">
      <formula>ABS(X$25-X$28)&gt;=1000</formula>
    </cfRule>
  </conditionalFormatting>
  <conditionalFormatting sqref="Y22:Y29">
    <cfRule type="expression" dxfId="1743" priority="24">
      <formula>ABS(Y$25-Y$28)&gt;=1000</formula>
    </cfRule>
  </conditionalFormatting>
  <conditionalFormatting sqref="I23">
    <cfRule type="expression" dxfId="1742" priority="23">
      <formula>ABS(I$25-I$28)&gt;=1000</formula>
    </cfRule>
  </conditionalFormatting>
  <conditionalFormatting sqref="Q14">
    <cfRule type="expression" dxfId="1741" priority="22">
      <formula>ABS(Q$16-Q$19)&gt;=1000</formula>
    </cfRule>
  </conditionalFormatting>
  <conditionalFormatting sqref="W14">
    <cfRule type="expression" dxfId="1740" priority="21">
      <formula>ABS(W$16-W$19)&gt;=1000</formula>
    </cfRule>
  </conditionalFormatting>
  <conditionalFormatting sqref="X14">
    <cfRule type="expression" dxfId="1739" priority="20">
      <formula>ABS(X$16-X$19)&gt;=1000</formula>
    </cfRule>
  </conditionalFormatting>
  <conditionalFormatting sqref="T10:Y10">
    <cfRule type="expression" dxfId="1738" priority="19">
      <formula>ABS(T$7-T$10)&gt;=1000</formula>
    </cfRule>
  </conditionalFormatting>
  <conditionalFormatting sqref="W19">
    <cfRule type="expression" dxfId="1737" priority="18">
      <formula>ABS(W$16-W$19)&gt;=1000</formula>
    </cfRule>
  </conditionalFormatting>
  <conditionalFormatting sqref="AC5">
    <cfRule type="expression" dxfId="1736" priority="17">
      <formula>ABS(AC$7-AC$10)&gt;=1000</formula>
    </cfRule>
  </conditionalFormatting>
  <conditionalFormatting sqref="M14">
    <cfRule type="expression" dxfId="1735" priority="16">
      <formula>ABS(M$16-M$19)&gt;=1000</formula>
    </cfRule>
  </conditionalFormatting>
  <conditionalFormatting sqref="M16">
    <cfRule type="expression" dxfId="1734" priority="15">
      <formula>ABS(M$16-M$19)&gt;=1000</formula>
    </cfRule>
  </conditionalFormatting>
  <conditionalFormatting sqref="M19">
    <cfRule type="expression" dxfId="1733" priority="14">
      <formula>ABS(M$16-M$19)&gt;=1000</formula>
    </cfRule>
  </conditionalFormatting>
  <conditionalFormatting sqref="K13:K20">
    <cfRule type="expression" dxfId="1732" priority="13">
      <formula>ABS(K$16-K$19)&gt;=1000</formula>
    </cfRule>
  </conditionalFormatting>
  <conditionalFormatting sqref="E5">
    <cfRule type="expression" dxfId="1731" priority="12">
      <formula>ABS(E$7-E$10)&gt;=1000</formula>
    </cfRule>
  </conditionalFormatting>
  <conditionalFormatting sqref="AB14:AC14">
    <cfRule type="expression" dxfId="1730" priority="11">
      <formula>ABS(AB$16-AB$19)&gt;=1000</formula>
    </cfRule>
  </conditionalFormatting>
  <conditionalFormatting sqref="M5">
    <cfRule type="expression" dxfId="1729" priority="10">
      <formula>ABS(M$7-M$10)&gt;=1000</formula>
    </cfRule>
  </conditionalFormatting>
  <conditionalFormatting sqref="N5">
    <cfRule type="expression" dxfId="1728" priority="9">
      <formula>ABS(N$7-N$10)&gt;=1000</formula>
    </cfRule>
  </conditionalFormatting>
  <conditionalFormatting sqref="O5">
    <cfRule type="expression" dxfId="1727" priority="8">
      <formula>ABS(O$7-O$10)&gt;=1000</formula>
    </cfRule>
  </conditionalFormatting>
  <conditionalFormatting sqref="P5">
    <cfRule type="expression" dxfId="1726" priority="7">
      <formula>ABS(P$7-P$10)&gt;=1000</formula>
    </cfRule>
  </conditionalFormatting>
  <conditionalFormatting sqref="L23">
    <cfRule type="expression" dxfId="1725" priority="6">
      <formula>ABS(L$25-L$28)&gt;=1000</formula>
    </cfRule>
  </conditionalFormatting>
  <conditionalFormatting sqref="Y14">
    <cfRule type="expression" dxfId="1724" priority="5">
      <formula>ABS(Y$16-Y$19)&gt;=1000</formula>
    </cfRule>
  </conditionalFormatting>
  <conditionalFormatting sqref="F14">
    <cfRule type="expression" dxfId="1723" priority="4">
      <formula>ABS(F$16-F$19)&gt;=1000</formula>
    </cfRule>
  </conditionalFormatting>
  <conditionalFormatting sqref="H14">
    <cfRule type="expression" dxfId="1722" priority="3">
      <formula>ABS(H$16-H$19)&gt;=1000</formula>
    </cfRule>
  </conditionalFormatting>
  <conditionalFormatting sqref="AD5">
    <cfRule type="expression" dxfId="1721" priority="2">
      <formula>ABS(AD$7-AD$10)&gt;=1000</formula>
    </cfRule>
  </conditionalFormatting>
  <conditionalFormatting sqref="AE5">
    <cfRule type="expression" dxfId="17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514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1">
    <pageSetUpPr fitToPage="1"/>
  </sheetPr>
  <dimension ref="A1:CU223"/>
  <sheetViews>
    <sheetView view="pageBreakPreview" topLeftCell="A19" zoomScale="70" zoomScaleNormal="100" zoomScaleSheetLayoutView="70" workbookViewId="0">
      <selection activeCell="B2" sqref="B2:AE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46056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51" t="s" ph="1">
        <v>177</v>
      </c>
      <c r="D6" s="71">
        <v>6260</v>
      </c>
      <c r="E6" s="71">
        <v>88</v>
      </c>
      <c r="F6" s="71">
        <v>5685</v>
      </c>
      <c r="G6" s="71">
        <v>1599</v>
      </c>
      <c r="H6" s="71">
        <v>0</v>
      </c>
      <c r="I6" s="71">
        <v>0.09</v>
      </c>
      <c r="J6" s="71">
        <v>6.61</v>
      </c>
      <c r="K6" s="71">
        <v>9.1999999999999993</v>
      </c>
      <c r="L6" s="71">
        <v>7.78</v>
      </c>
      <c r="M6" s="71">
        <v>791</v>
      </c>
      <c r="N6" s="71">
        <v>4126</v>
      </c>
      <c r="O6" s="71">
        <v>1831</v>
      </c>
      <c r="P6" s="71">
        <v>1084</v>
      </c>
      <c r="Q6" s="71">
        <v>0</v>
      </c>
      <c r="R6" s="71">
        <v>7082</v>
      </c>
      <c r="S6" s="71">
        <v>4664</v>
      </c>
      <c r="T6" s="71">
        <v>7112</v>
      </c>
      <c r="U6" s="71">
        <v>7021</v>
      </c>
      <c r="V6" s="71">
        <v>7081</v>
      </c>
      <c r="W6" s="71">
        <v>2488</v>
      </c>
      <c r="X6" s="71">
        <v>0</v>
      </c>
      <c r="Y6" s="71">
        <v>0</v>
      </c>
      <c r="Z6" s="71">
        <v>939</v>
      </c>
      <c r="AA6" s="71">
        <v>3988</v>
      </c>
      <c r="AB6" s="71">
        <v>4877</v>
      </c>
      <c r="AC6" s="71">
        <v>8071</v>
      </c>
      <c r="AD6" s="71">
        <v>4780</v>
      </c>
      <c r="AE6" s="71">
        <v>4755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197920.93262399998</v>
      </c>
      <c r="E7" s="73" ph="1">
        <f>E6*51.53*LOOKUP(E8,密度!$A$2:$A$50,密度!$B$2:$B$50)</f>
        <v>3566.0408960000004</v>
      </c>
      <c r="F7" s="73" ph="1">
        <f>F6*33.183*LOOKUP(F8,密度!$A$2:$A$50,密度!$C$2:$C$50)</f>
        <v>210377.29989600001</v>
      </c>
      <c r="G7" s="73" ph="1">
        <f xml:space="preserve"> (G6+2)*51.53*LOOKUP(G8,密度!$A$2:$A$50,密度!$B$2:$B$50)</f>
        <v>65009.629639999999</v>
      </c>
      <c r="H7" s="73" ph="1">
        <f>(H6)*51.53*LOOKUP(H8,密度!$A$2:$A$50,密度!$B$2:$B$50)</f>
        <v>0</v>
      </c>
      <c r="I7" s="73" ph="1">
        <f>I6*290.8*1.0267</f>
        <v>26.870792399999999</v>
      </c>
      <c r="J7" s="73" ph="1">
        <f>J6*290.8*0.7892</f>
        <v>1516.9907696</v>
      </c>
      <c r="K7" s="73" ph="1">
        <f>K6*290.8*1.1126</f>
        <v>2976.6055359999996</v>
      </c>
      <c r="L7" s="73" ph="1">
        <f>L6*290.8*0.777</f>
        <v>1757.903448</v>
      </c>
      <c r="M7" s="73" ph="1">
        <f>M6*33.183*LOOKUP(M8,密度!$A$2:$A$50,密度!$D$2:$D$50)</f>
        <v>27205.7959845</v>
      </c>
      <c r="N7" s="73" ph="1">
        <f>N6*33.183*LOOKUP(N8,密度!$A$2:$A$50,密度!$E$2:$E$50)</f>
        <v>108503.59846499999</v>
      </c>
      <c r="O7" s="73" ph="1">
        <f>O6*20.428*LOOKUP(O8,密度!$A$2:$A$50,密度!$C$2:$C$50)</f>
        <v>41615.321016800008</v>
      </c>
      <c r="P7" s="73" ph="1">
        <f>P6*51.53*LOOKUP(P8,密度!$A$2:$A$50,密度!$B$2:$B$50)</f>
        <v>44161.745911999998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47106.295513199999</v>
      </c>
      <c r="S7" s="73" ph="1">
        <f>S6*1.5*1.5*3.1416*LOOKUP(S8,密度!$A$2:$A$50,密度!$L$2:$L$50)</f>
        <v>31286.584929600001</v>
      </c>
      <c r="T7" s="73" ph="1">
        <f>T6*1.5*1.5*3.1416*LOOKUP(T8,密度!$A$2:$A$50,密度!$L$2:$L$50)</f>
        <v>47758.289039999996</v>
      </c>
      <c r="U7" s="73" ph="1">
        <f>U6*1.5*1.5*3.1416*LOOKUP(U8,密度!$A$2:$A$50,密度!$L$2:$L$50)</f>
        <v>46948.694007599996</v>
      </c>
      <c r="V7" s="73" ph="1">
        <f>V6*1.5*1.5*3.1416*LOOKUP(V8,密度!$A$2:$A$50,密度!$L$2:$L$50)</f>
        <v>47149.6967172</v>
      </c>
      <c r="W7" s="73" ph="1">
        <f>W6*1.5*1.5*3.1416*LOOKUP(W8,密度!$A$2:$A$50,密度!$L$2:$L$50)</f>
        <v>16636.9962528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29663.212823999998</v>
      </c>
      <c r="AA7" s="73" ph="1">
        <f>AA6*33.183*LOOKUP(AA8,密度!$A$2:$A$50,密度!$D$2:$D$50)</f>
        <v>137044.8874224</v>
      </c>
      <c r="AB7" s="73" ph="1">
        <f>AB6*20.428*LOOKUP(AB8,密度!$A$2:$A$50,密度!$D$2:$D$50)</f>
        <v>103791.7794808</v>
      </c>
      <c r="AC7" s="73" ph="1">
        <f>AC6*51.53*LOOKUP(AC8,密度!$A$2:$A$50,密度!$Q$2:$Q$50)</f>
        <v>396991.87828020001</v>
      </c>
      <c r="AD7" s="73" ph="1">
        <f>AD6*20.428*LOOKUP(AD8,密度!$A$2:$A$50,密度!$V$2:$V$50)</f>
        <v>94130.589760000003</v>
      </c>
      <c r="AE7" s="73" ph="1">
        <f>AE6*20.428</f>
        <v>97135.14</v>
      </c>
    </row>
    <row r="8" spans="1:99" ph="1">
      <c r="B8" s="193" ph="1"/>
      <c r="C8" s="68" t="s" ph="1">
        <v>179</v>
      </c>
      <c r="D8" s="74">
        <v>17</v>
      </c>
      <c r="E8" s="74">
        <v>17</v>
      </c>
      <c r="F8" s="74">
        <v>16</v>
      </c>
      <c r="G8" s="74">
        <v>15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17</v>
      </c>
      <c r="O8" s="74">
        <v>20</v>
      </c>
      <c r="P8" s="74">
        <v>12</v>
      </c>
      <c r="Q8" s="74">
        <v>16</v>
      </c>
      <c r="R8" s="74">
        <v>21</v>
      </c>
      <c r="S8" s="74">
        <v>13</v>
      </c>
      <c r="T8" s="74">
        <v>12</v>
      </c>
      <c r="U8" s="74">
        <v>16</v>
      </c>
      <c r="V8" s="74">
        <v>20</v>
      </c>
      <c r="W8" s="74">
        <v>16</v>
      </c>
      <c r="X8" s="74">
        <v>7</v>
      </c>
      <c r="Y8" s="74">
        <v>15</v>
      </c>
      <c r="Z8" s="74">
        <v>10</v>
      </c>
      <c r="AA8" s="74">
        <v>15</v>
      </c>
      <c r="AB8" s="74">
        <v>8</v>
      </c>
      <c r="AC8" s="74">
        <v>13</v>
      </c>
      <c r="AD8" s="74">
        <v>14</v>
      </c>
      <c r="AE8" s="74">
        <v>19</v>
      </c>
    </row>
    <row r="9" spans="1:99" ht="26.4" ph="1">
      <c r="B9" s="193" ph="1">
        <v>0.66666666666666663</v>
      </c>
      <c r="C9" s="151" t="s" ph="1">
        <v>180</v>
      </c>
      <c r="D9" s="71">
        <v>6264</v>
      </c>
      <c r="E9" s="71">
        <v>88</v>
      </c>
      <c r="F9" s="71">
        <v>5684</v>
      </c>
      <c r="G9" s="71">
        <v>1555</v>
      </c>
      <c r="H9" s="71">
        <v>0</v>
      </c>
      <c r="I9" s="71">
        <v>7.0000000000000007E-2</v>
      </c>
      <c r="J9" s="71">
        <v>6.74</v>
      </c>
      <c r="K9" s="71">
        <v>9.16</v>
      </c>
      <c r="L9" s="71">
        <v>7.75</v>
      </c>
      <c r="M9" s="71">
        <v>791</v>
      </c>
      <c r="N9" s="71">
        <v>4130</v>
      </c>
      <c r="O9" s="71">
        <v>1831</v>
      </c>
      <c r="P9" s="71">
        <v>934</v>
      </c>
      <c r="Q9" s="71">
        <v>0</v>
      </c>
      <c r="R9" s="71">
        <v>2232</v>
      </c>
      <c r="S9" s="71">
        <v>4668</v>
      </c>
      <c r="T9" s="71">
        <v>7120</v>
      </c>
      <c r="U9" s="71">
        <v>7027</v>
      </c>
      <c r="V9" s="71">
        <v>7091</v>
      </c>
      <c r="W9" s="71">
        <v>5121</v>
      </c>
      <c r="X9" s="71">
        <v>2764</v>
      </c>
      <c r="Y9" s="71">
        <v>0</v>
      </c>
      <c r="Z9" s="71">
        <v>2023</v>
      </c>
      <c r="AA9" s="71">
        <v>3985</v>
      </c>
      <c r="AB9" s="71">
        <v>4752</v>
      </c>
      <c r="AC9" s="71">
        <v>8462</v>
      </c>
      <c r="AD9" s="71">
        <v>4780</v>
      </c>
      <c r="AE9" s="71">
        <v>4685</v>
      </c>
    </row>
    <row r="10" spans="1:99" s="72" customFormat="1" ht="22.2" ph="1">
      <c r="B10" s="193" ph="1"/>
      <c r="C10" s="151" t="s" ph="1">
        <v>178</v>
      </c>
      <c r="D10" s="73" ph="1">
        <f>D9*33.183*LOOKUP(D11,密度!$A$2:$A$50,密度!$Q$2:$Q$50)</f>
        <v>198047.39967360001</v>
      </c>
      <c r="E10" s="73" ph="1">
        <f>E9*51.53*LOOKUP(E11,密度!$A$2:$A$50,密度!$B$2:$B$50)</f>
        <v>3562.8666480000002</v>
      </c>
      <c r="F10" s="73" ph="1">
        <f>F9*33.183*LOOKUP(F11,密度!$A$2:$A$50,密度!$C$2:$C$50)</f>
        <v>210208.265694</v>
      </c>
      <c r="G10" s="73" ph="1">
        <f xml:space="preserve"> (G9+2)*51.53*LOOKUP(G11,密度!$A$2:$A$50,密度!$B$2:$B$50)</f>
        <v>63094.609944000003</v>
      </c>
      <c r="H10" s="73" ph="1">
        <f>(H9)*51.53*LOOKUP(H11,密度!$A$2:$A$50,密度!$B$2:$B$50)</f>
        <v>0</v>
      </c>
      <c r="I10" s="73" ph="1">
        <f>I9*290.8*1.0267</f>
        <v>20.8995052</v>
      </c>
      <c r="J10" s="73" ph="1">
        <f>J9*290.8*0.7892</f>
        <v>1546.8256864000002</v>
      </c>
      <c r="K10" s="73" ph="1">
        <f>K9*290.8*1.1126</f>
        <v>2963.6637728000001</v>
      </c>
      <c r="L10" s="73" ph="1">
        <f>L9*290.8*0.777</f>
        <v>1751.1249000000003</v>
      </c>
      <c r="M10" s="73" ph="1">
        <f>M9*33.183*LOOKUP(M11,密度!$A$2:$A$50,密度!$D$2:$D$50)</f>
        <v>27092.930646600002</v>
      </c>
      <c r="N10" s="73" ph="1">
        <f>N9*33.183*LOOKUP(N11,密度!$A$2:$A$50,密度!$E$2:$E$50)</f>
        <v>108458.03820600001</v>
      </c>
      <c r="O10" s="73" ph="1">
        <f>O9*20.428*LOOKUP(O11,密度!$A$2:$A$50,密度!$C$2:$C$50)</f>
        <v>41589.138449200007</v>
      </c>
      <c r="P10" s="73" ph="1">
        <f>P9*51.53*LOOKUP(P11,密度!$A$2:$A$50,密度!$B$2:$B$50)</f>
        <v>37737.964582000001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14814.7111728</v>
      </c>
      <c r="S10" s="73" ph="1">
        <f>S9*1.5*1.5*3.1416*LOOKUP(S11,密度!$A$2:$A$50,密度!$L$2:$L$50)</f>
        <v>31280.421110399995</v>
      </c>
      <c r="T10" s="73" ph="1">
        <f>T9*1.5*1.5*3.1416*LOOKUP(T11,密度!$A$2:$A$50,密度!$L$2:$L$50)</f>
        <v>47761.681967999997</v>
      </c>
      <c r="U10" s="73" ph="1">
        <f>U9*1.5*1.5*3.1416*LOOKUP(U11,密度!$A$2:$A$50,密度!$L$2:$L$50)</f>
        <v>46939.144328999995</v>
      </c>
      <c r="V10" s="73" ph="1">
        <f>V9*1.5*1.5*3.1416*LOOKUP(V11,密度!$A$2:$A$50,密度!$L$2:$L$50)</f>
        <v>47065.912601399999</v>
      </c>
      <c r="W10" s="73" ph="1">
        <f>W9*1.5*1.5*3.1416*LOOKUP(W11,密度!$A$2:$A$50,密度!$L$2:$L$50)</f>
        <v>34207.394067000001</v>
      </c>
      <c r="X10" s="73" ph="1">
        <f>X9*1.5*1.5*3.1416*LOOKUP(X11,密度!$A$2:$A$50,密度!$L$2:$L$50)</f>
        <v>18599.8051008</v>
      </c>
      <c r="Y10" s="73" ph="1">
        <f>Y9*1.5*1.5*3.1416*LOOKUP(Y11,密度!$A$2:$A$50,密度!$L$2:$L$50)</f>
        <v>0</v>
      </c>
      <c r="Z10" s="73" ph="1">
        <f>Z9*33.183*LOOKUP(Z11,密度!$A$2:$A$50,密度!$L$2:$L$50)</f>
        <v>63369.973295999996</v>
      </c>
      <c r="AA10" s="73" ph="1">
        <f>AA9*33.183*LOOKUP(AA11,密度!$A$2:$A$50,密度!$D$2:$D$50)</f>
        <v>136716.99624450001</v>
      </c>
      <c r="AB10" s="73" ph="1">
        <f>AB9*20.428*LOOKUP(AB11,密度!$A$2:$A$50,密度!$D$2:$D$50)</f>
        <v>100956.81024000001</v>
      </c>
      <c r="AC10" s="73" ph="1">
        <f>AC9*51.53*LOOKUP(AC11,密度!$A$2:$A$50,密度!$Q$2:$Q$50)</f>
        <v>415814.28569599998</v>
      </c>
      <c r="AD10" s="73" ph="1">
        <f>AD9*20.428*LOOKUP(AD11,密度!$A$2:$A$50,密度!$V$2:$V$50)</f>
        <v>94130.589760000003</v>
      </c>
      <c r="AE10" s="73" ph="1">
        <f>AE9*20.428</f>
        <v>95705.180000000008</v>
      </c>
    </row>
    <row r="11" spans="1:99" ph="1">
      <c r="A11" s="64" t="s" ph="1">
        <v>162</v>
      </c>
      <c r="B11" s="193" ph="1"/>
      <c r="C11" s="151" t="s" ph="1">
        <v>179</v>
      </c>
      <c r="D11" s="74">
        <v>17</v>
      </c>
      <c r="E11" s="74">
        <v>18</v>
      </c>
      <c r="F11" s="74">
        <v>17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18</v>
      </c>
      <c r="O11" s="74">
        <v>21</v>
      </c>
      <c r="P11" s="74">
        <v>20</v>
      </c>
      <c r="Q11" s="74">
        <v>24</v>
      </c>
      <c r="R11" s="74">
        <v>23</v>
      </c>
      <c r="S11" s="74">
        <v>14</v>
      </c>
      <c r="T11" s="74">
        <v>13</v>
      </c>
      <c r="U11" s="74">
        <v>17</v>
      </c>
      <c r="V11" s="74">
        <v>23</v>
      </c>
      <c r="W11" s="74">
        <v>17</v>
      </c>
      <c r="X11" s="74">
        <v>10</v>
      </c>
      <c r="Y11" s="74">
        <v>20</v>
      </c>
      <c r="Z11" s="74">
        <v>18</v>
      </c>
      <c r="AA11" s="74">
        <v>17</v>
      </c>
      <c r="AB11" s="74">
        <v>10</v>
      </c>
      <c r="AC11" s="74">
        <v>16</v>
      </c>
      <c r="AD11" s="74">
        <v>17</v>
      </c>
      <c r="AE11" s="74">
        <v>22</v>
      </c>
    </row>
    <row r="12" spans="1:99" ht="9.9" customHeight="1" ph="1"/>
    <row r="13" spans="1:99" s="72" customFormat="1" ht="29.25" customHeight="1" ph="1">
      <c r="B13" s="201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51" t="s" ph="1">
        <v>177</v>
      </c>
      <c r="D15" s="78">
        <v>5757</v>
      </c>
      <c r="E15" s="78">
        <v>1598</v>
      </c>
      <c r="F15" s="78">
        <v>4530</v>
      </c>
      <c r="G15" s="78">
        <v>3829</v>
      </c>
      <c r="H15" s="78">
        <v>5181</v>
      </c>
      <c r="I15" s="78">
        <v>5206</v>
      </c>
      <c r="J15" s="78">
        <v>5483</v>
      </c>
      <c r="K15" s="78">
        <v>3575</v>
      </c>
      <c r="L15" s="78">
        <v>3067</v>
      </c>
      <c r="M15" s="78">
        <v>3799</v>
      </c>
      <c r="N15" s="78">
        <v>2713</v>
      </c>
      <c r="O15" s="78">
        <v>5323</v>
      </c>
      <c r="P15" s="78">
        <v>6955</v>
      </c>
      <c r="Q15" s="78">
        <v>3502</v>
      </c>
      <c r="R15" s="78">
        <v>7323</v>
      </c>
      <c r="S15" s="78">
        <v>0</v>
      </c>
      <c r="T15" s="78">
        <v>6309</v>
      </c>
      <c r="U15" s="78">
        <v>2055</v>
      </c>
      <c r="V15" s="78">
        <v>4981</v>
      </c>
      <c r="W15" s="71">
        <v>-224</v>
      </c>
      <c r="X15" s="78">
        <v>312</v>
      </c>
      <c r="Y15" s="106">
        <v>-9900</v>
      </c>
      <c r="Z15" s="78">
        <v>0</v>
      </c>
      <c r="AA15" s="78">
        <v>12</v>
      </c>
      <c r="AB15" s="78" ph="1">
        <v>6930</v>
      </c>
      <c r="AC15" s="78" ph="1">
        <v>2138</v>
      </c>
      <c r="AD15" s="78">
        <v>5.38</v>
      </c>
      <c r="AE15" s="78">
        <v>63.43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51" t="s" ph="1">
        <v>178</v>
      </c>
      <c r="D16" s="73" ph="1">
        <f>D15*7.0686*LOOKUP(D17,密度!$A$2:$A$50,密度!$L$2:$L$50)</f>
        <v>38496.457969199997</v>
      </c>
      <c r="E16" s="73" ph="1">
        <f>E15*7.0686*LOOKUP(E17,密度!$A$2:$A$50,密度!$L$2:$L$50)</f>
        <v>10685.659168799999</v>
      </c>
      <c r="F16" s="73" ph="1">
        <f>F15*9.0746*LOOKUP(F17,密度!$A$2:$A$50,密度!$L$2:$L$50)</f>
        <v>38847.001409999997</v>
      </c>
      <c r="G16" s="73" ph="1">
        <f>G15*9.0746*LOOKUP(G17,密度!$A$2:$A$50,密度!$B$2:$B$50)</f>
        <v>27380.354999200001</v>
      </c>
      <c r="H16" s="73" ph="1">
        <f>H15*9.0746*LOOKUP(H17,密度!$A$2:$A$50,密度!$L$2:$L$50)</f>
        <v>44476.665459600001</v>
      </c>
      <c r="I16" s="73" ph="1">
        <f>I15*9.0746*LOOKUP(I17,密度!$A$2:$A$50,密度!$U$2:$U$50)</f>
        <v>48565.153892800001</v>
      </c>
      <c r="J16" s="73" ph="1">
        <f>J15*9.0746*LOOKUP(J17,密度!$A$2:$A$50,密度!$L$2:$L$50)</f>
        <v>47069.206082800003</v>
      </c>
      <c r="K16" s="73" ph="1">
        <f>K15*9.0746*LOOKUP(K17,密度!$A$2:$A$50,密度!$C$2:$C$50)</f>
        <v>36178.978263999998</v>
      </c>
      <c r="L16" s="73" ph="1">
        <f>L15*9.0746*LOOKUP(L17,密度!$A$2:$A$50,密度!$E$2:$E$50)</f>
        <v>22117.930029539999</v>
      </c>
      <c r="M16" s="73" ph="1">
        <f>M15*9.0746*LOOKUP(M17,密度!$A$2:$A$50,密度!$M$2:$M$50)</f>
        <v>30347.819073620001</v>
      </c>
      <c r="N16" s="73" ph="1">
        <f>N15*9.0746*LOOKUP(N17,密度!$A$2:$A$50,密度!$M$2:$M$50)</f>
        <v>21672.44884094</v>
      </c>
      <c r="O16" s="73" ph="1">
        <f>O15*9.0746*LOOKUP(O17,密度!$A$2:$A$50,密度!$G$2:$G$50)</f>
        <v>46912.937840960003</v>
      </c>
      <c r="P16" s="73" ph="1">
        <f ca="1">P15*9.0746*LOOKUP(P17,密度!$A$2:$A$51,密度!$Q$2:$Q$50)</f>
        <v>60244.687697220004</v>
      </c>
      <c r="Q16" s="73" ph="1">
        <f>Q15*9.0746*LOOKUP(Q17,密度!$A$2:$A$50,密度!$Q$2:$Q$50)</f>
        <v>30304.692037120003</v>
      </c>
      <c r="R16" s="73" ph="1">
        <f>MAX(R15*9.0746*LOOKUP(R17,密度!$A$2:$A$50,密度!$B$2:$B$50),0)</f>
        <v>52365.197090400005</v>
      </c>
      <c r="S16" s="73" ph="1">
        <f>S15*9.0746*LOOKUP(S17,密度!$A$2:$A$50,密度!$Q$2:$Q$50)</f>
        <v>0</v>
      </c>
      <c r="T16" s="73" ph="1">
        <f>T15*9.0746*LOOKUP(T17,密度!$A$2:$A$50,密度!$O$2:$O$50)</f>
        <v>53473.042407600005</v>
      </c>
      <c r="U16" s="73" ph="1">
        <f>U15*9.0746*LOOKUP(U17,密度!$A$2:$A$50,密度!$H$2:$H$50)</f>
        <v>17225.437481099998</v>
      </c>
      <c r="V16" s="73" ph="1">
        <f>MAX(5600*LOOKUP(V17,密度!$A$2:$A$50,密度!$Q$2:$Q$50)+V15*9.0476*LOOKUP(V17,密度!$A$2:$A$50,密度!$Q$2:$Q$50),0)</f>
        <v>48315.18876415999</v>
      </c>
      <c r="W16" s="73" ph="1">
        <f>MAX(5600*LOOKUP(W17,密度!$A$2:$A$50,密度!$Q$2:$Q$50)+W15*9.0476*LOOKUP(W17,密度!$A$2:$A$50,密度!$Q$2:$Q$50),0)</f>
        <v>3407.53473536</v>
      </c>
      <c r="X16" s="73" ph="1">
        <f>MAX(5600*LOOKUP(X17,密度!$A$2:$A$50,密度!$I$2:$I$50)+X15*9.0476*LOOKUP(X17,密度!$A$2:$A$50,密度!$I$2:$I$50),0)</f>
        <v>8798.5103635199994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85.994539439999997</v>
      </c>
      <c r="AB16" s="73" ph="1">
        <f>AB15*9.0746*LOOKUP(AB17,密度!$A$2:$A$50,密度!$L$2:$L$50)</f>
        <v>59491.081187999996</v>
      </c>
      <c r="AC16" s="73" ph="1">
        <f>AC15*9.0746*LOOKUP(AC17,密度!$A$2:$A$50,密度!$L$2:$L$50)</f>
        <v>18392.6170704</v>
      </c>
      <c r="AD16" s="73" ph="1">
        <f>AD15*268.68*LOOKUP(AD17,密度!$A$2:$A$50,密度!B2:B50)+IF(AD15&lt;=0,0,1566*LOOKUP(AD17,密度!$A$2:$A$50,密度!B2:B50))</f>
        <v>2347.7641526399998</v>
      </c>
      <c r="AE16" s="73" ph="1">
        <f>AE15*268.68*LOOKUP(AE17,密度!$A$2:$A$50,密度!B2:B50)+IF(AE15&lt;=0,0,1566*LOOKUP(AE17,密度!$A$2:$A$50,密度!B2:B50))</f>
        <v>14507.087123040001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16</v>
      </c>
      <c r="E17" s="74">
        <v>16</v>
      </c>
      <c r="F17" s="74">
        <v>17</v>
      </c>
      <c r="G17" s="74">
        <v>15</v>
      </c>
      <c r="H17" s="74">
        <v>16</v>
      </c>
      <c r="I17" s="74">
        <v>15</v>
      </c>
      <c r="J17" s="74">
        <v>16</v>
      </c>
      <c r="K17" s="74">
        <v>16</v>
      </c>
      <c r="L17" s="74">
        <v>15</v>
      </c>
      <c r="M17" s="74">
        <v>15</v>
      </c>
      <c r="N17" s="74">
        <v>15</v>
      </c>
      <c r="O17" s="74">
        <v>15</v>
      </c>
      <c r="P17" s="74">
        <v>15</v>
      </c>
      <c r="Q17" s="74">
        <v>16</v>
      </c>
      <c r="R17" s="74">
        <v>15</v>
      </c>
      <c r="S17" s="74">
        <v>16</v>
      </c>
      <c r="T17" s="74">
        <v>15</v>
      </c>
      <c r="U17" s="74">
        <v>16</v>
      </c>
      <c r="V17" s="74">
        <v>16</v>
      </c>
      <c r="W17" s="74">
        <v>16</v>
      </c>
      <c r="X17" s="74">
        <v>23</v>
      </c>
      <c r="Y17" s="108">
        <v>23</v>
      </c>
      <c r="Z17" s="74">
        <v>15</v>
      </c>
      <c r="AA17" s="74">
        <v>13</v>
      </c>
      <c r="AB17" s="74">
        <v>16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5773</v>
      </c>
      <c r="E18" s="71">
        <v>2665</v>
      </c>
      <c r="F18" s="71">
        <v>4555</v>
      </c>
      <c r="G18" s="71">
        <v>4180</v>
      </c>
      <c r="H18" s="71">
        <v>3234</v>
      </c>
      <c r="I18" s="71">
        <v>5210</v>
      </c>
      <c r="J18" s="71">
        <v>5493</v>
      </c>
      <c r="K18" s="71">
        <v>3576</v>
      </c>
      <c r="L18" s="71">
        <v>3073</v>
      </c>
      <c r="M18" s="71">
        <v>6214</v>
      </c>
      <c r="N18" s="71">
        <v>1761</v>
      </c>
      <c r="O18" s="71">
        <v>5329</v>
      </c>
      <c r="P18" s="71">
        <v>6969</v>
      </c>
      <c r="Q18" s="71">
        <v>3500</v>
      </c>
      <c r="R18" s="71">
        <v>7334</v>
      </c>
      <c r="S18" s="71">
        <v>0</v>
      </c>
      <c r="T18" s="71">
        <v>5456</v>
      </c>
      <c r="U18" s="71">
        <v>3861</v>
      </c>
      <c r="V18" s="71">
        <v>4981</v>
      </c>
      <c r="W18" s="71">
        <v>-209</v>
      </c>
      <c r="X18" s="71">
        <v>311</v>
      </c>
      <c r="Y18" s="109">
        <v>-9900</v>
      </c>
      <c r="Z18" s="71">
        <v>0</v>
      </c>
      <c r="AA18" s="71">
        <v>11</v>
      </c>
      <c r="AB18" s="71">
        <v>6937</v>
      </c>
      <c r="AC18" s="71">
        <v>2140</v>
      </c>
      <c r="AD18" s="71">
        <v>35.99</v>
      </c>
      <c r="AE18" s="71">
        <v>85.04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51" t="s" ph="1">
        <v>178</v>
      </c>
      <c r="D19" s="73" ph="1">
        <f>D18*7.0686*LOOKUP(D20,密度!$A$2:$A$50,密度!$L$2:$L$50)</f>
        <v>38521.834243199999</v>
      </c>
      <c r="E19" s="73" ph="1">
        <f>E18*7.0686*LOOKUP(E20,密度!$A$2:$A$50,密度!$L$2:$L$50)</f>
        <v>17782.901136</v>
      </c>
      <c r="F19" s="73" ph="1">
        <f>F18*9.0746*LOOKUP(F20,密度!$A$2:$A$50,密度!$L$2:$L$50)</f>
        <v>38937.384425999997</v>
      </c>
      <c r="G19" s="73" ph="1">
        <f>G18*9.0746*LOOKUP(G20,密度!$A$2:$A$50,密度!$B$2:$B$50)</f>
        <v>29829.589539200002</v>
      </c>
      <c r="H19" s="73" ph="1">
        <f>H18*9.0746*LOOKUP(H20,密度!$A$2:$A$50,密度!$L$2:$L$50)</f>
        <v>27791.851810799999</v>
      </c>
      <c r="I19" s="73" ph="1">
        <f>I18*9.0746*LOOKUP(I20,密度!$A$2:$A$50,密度!$U$2:$U$50)</f>
        <v>48602.468648000009</v>
      </c>
      <c r="J19" s="73" ph="1">
        <f>J18*9.0746*LOOKUP(J20,密度!$A$2:$A$50,密度!$L$2:$L$50)</f>
        <v>47005.511465399999</v>
      </c>
      <c r="K19" s="73" ph="1">
        <f>K18*9.0746*LOOKUP(K20,密度!$A$2:$A$50,密度!$C$2:$C$50)</f>
        <v>36124.196718719999</v>
      </c>
      <c r="L19" s="73" ph="1">
        <f>L18*9.0746*LOOKUP(L20,密度!$A$2:$A$50,密度!$E$2:$E$50)</f>
        <v>22069.174926120002</v>
      </c>
      <c r="M19" s="73" ph="1">
        <f>M18*9.0746*LOOKUP(M20,密度!$A$2:$A$50,密度!$M$2:$M$50)</f>
        <v>49639.733541319998</v>
      </c>
      <c r="N19" s="73" ph="1">
        <f>N18*9.0746*LOOKUP(N20,密度!$A$2:$A$50,密度!$M$2:$M$50)</f>
        <v>14067.520239179999</v>
      </c>
      <c r="O19" s="73" ph="1">
        <f>O18*9.0746*LOOKUP(O20,密度!$A$2:$A$50,密度!$G$2:$G$50)</f>
        <v>46762.7114678</v>
      </c>
      <c r="P19" s="73" ph="1">
        <f ca="1">P18*9.0746*LOOKUP(P20,密度!$A$2:$A$51,密度!$Q$2:$Q$50)</f>
        <v>60156.629321501998</v>
      </c>
      <c r="Q19" s="73" ph="1">
        <f>Q18*9.0746*LOOKUP(Q20,密度!$A$2:$A$50,密度!$Q$2:$Q$50)</f>
        <v>30236.884811000004</v>
      </c>
      <c r="R19" s="73" ph="1">
        <f>MAX(R18*9.0746*LOOKUP(R20,密度!$A$2:$A$50,密度!$B$2:$B$50),0)</f>
        <v>52237.541062360004</v>
      </c>
      <c r="S19" s="73" ph="1">
        <f>S18*9.0746*LOOKUP(S20,密度!$A$2:$A$50,密度!$Q$2:$Q$50)</f>
        <v>0</v>
      </c>
      <c r="T19" s="73" ph="1">
        <f>T18*9.0746*LOOKUP(T20,密度!$A$2:$A$50,密度!$O$2:$O$50)</f>
        <v>46243.290438399999</v>
      </c>
      <c r="U19" s="73" ph="1">
        <f>U18*9.0746*LOOKUP(U20,密度!$A$2:$A$50,密度!$H$2:$H$50)</f>
        <v>32293.631104019998</v>
      </c>
      <c r="V19" s="73" ph="1">
        <f>MAX(5600*LOOKUP(V20,密度!$A$2:$A$50,密度!$Q$2:$Q$50)+V18*9.0476*LOOKUP(V20,密度!$A$2:$A$50,密度!$Q$2:$Q$50),0)</f>
        <v>48195.110117587996</v>
      </c>
      <c r="W19" s="73" ph="1">
        <f>MAX(5600*LOOKUP(W20,密度!$A$2:$A$50,密度!$Q$2:$Q$50)+W18*9.0476*LOOKUP(W20,密度!$A$2:$A$50,密度!$Q$2:$Q$50),0)</f>
        <v>3528.1611534680001</v>
      </c>
      <c r="X19" s="73" ph="1">
        <f>MAX(5600*LOOKUP(X20,密度!$A$2:$A$50,密度!$I$2:$I$50)+X18*9.0476*LOOKUP(X20,密度!$A$2:$A$50,密度!$I$2:$I$50),0)</f>
        <v>8751.1971243600001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78.349188940000005</v>
      </c>
      <c r="AB19" s="73" ph="1">
        <f>AB18*9.0746*LOOKUP(AB20,密度!$A$2:$A$50,密度!$L$2:$L$50)</f>
        <v>59425.272188800001</v>
      </c>
      <c r="AC19" s="73" ph="1">
        <f>AC18*9.0746*LOOKUP(AC20,密度!$A$2:$A$50,密度!$L$2:$L$50)</f>
        <v>18332.143936</v>
      </c>
      <c r="AD19" s="73" ph="1">
        <f>AD18*268.68*LOOKUP(AD20,密度!$A$2:$A$50,密度!B5:B53)+IF(AD18&lt;=0,0,1566*LOOKUP(AD20,密度!$A$2:$A$50,密度!B5:B53))</f>
        <v>8730.2113164000002</v>
      </c>
      <c r="AE19" s="73" ph="1">
        <f>AE18*268.68*LOOKUP(AE20,密度!$A$2:$A$50,密度!B5:B53)+IF(AE18&lt;=0,0,1566*LOOKUP(AE20,密度!$A$2:$A$50,密度!B5:B53))</f>
        <v>18970.103174399999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18</v>
      </c>
      <c r="E20" s="81">
        <v>18</v>
      </c>
      <c r="F20" s="81">
        <v>20</v>
      </c>
      <c r="G20" s="81">
        <v>17</v>
      </c>
      <c r="H20" s="81">
        <v>15</v>
      </c>
      <c r="I20" s="81">
        <v>18</v>
      </c>
      <c r="J20" s="81">
        <v>19</v>
      </c>
      <c r="K20" s="81">
        <v>19</v>
      </c>
      <c r="L20" s="81">
        <v>18</v>
      </c>
      <c r="M20" s="81">
        <v>18</v>
      </c>
      <c r="N20" s="81">
        <v>18</v>
      </c>
      <c r="O20" s="81">
        <v>19</v>
      </c>
      <c r="P20" s="81">
        <v>19</v>
      </c>
      <c r="Q20" s="81">
        <v>18</v>
      </c>
      <c r="R20" s="81">
        <v>19</v>
      </c>
      <c r="S20" s="81">
        <v>18</v>
      </c>
      <c r="T20" s="81">
        <v>19</v>
      </c>
      <c r="U20" s="81">
        <v>18</v>
      </c>
      <c r="V20" s="81">
        <v>19</v>
      </c>
      <c r="W20" s="81">
        <v>19</v>
      </c>
      <c r="X20" s="81">
        <v>27</v>
      </c>
      <c r="Y20" s="110">
        <v>27</v>
      </c>
      <c r="Z20" s="81">
        <v>18</v>
      </c>
      <c r="AA20" s="81">
        <v>19</v>
      </c>
      <c r="AB20" s="81">
        <v>18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643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51" t="s" ph="1">
        <v>177</v>
      </c>
      <c r="D24" s="71">
        <v>55.27</v>
      </c>
      <c r="E24" s="71">
        <v>5.61</v>
      </c>
      <c r="F24" s="71">
        <v>2527</v>
      </c>
      <c r="G24" s="71">
        <v>3248</v>
      </c>
      <c r="H24" s="71">
        <v>3778</v>
      </c>
      <c r="I24" s="71">
        <v>1252</v>
      </c>
      <c r="J24" s="71">
        <v>1995</v>
      </c>
      <c r="K24" s="71">
        <v>4715</v>
      </c>
      <c r="L24" s="71">
        <v>5533</v>
      </c>
      <c r="M24" s="71">
        <v>5063</v>
      </c>
      <c r="N24" s="71">
        <v>2844</v>
      </c>
      <c r="O24" s="71">
        <v>5715</v>
      </c>
      <c r="P24" s="71">
        <v>1676</v>
      </c>
      <c r="Q24" s="90">
        <v>3205</v>
      </c>
      <c r="R24" s="71">
        <v>3763</v>
      </c>
      <c r="S24" s="71">
        <v>5092</v>
      </c>
      <c r="T24" s="71">
        <v>180</v>
      </c>
      <c r="U24" s="71">
        <v>4109</v>
      </c>
      <c r="V24" s="71">
        <v>4039</v>
      </c>
      <c r="W24" s="71">
        <v>5181</v>
      </c>
      <c r="X24" s="71">
        <v>6648</v>
      </c>
      <c r="Y24" s="71">
        <v>5440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15541.630443864</v>
      </c>
      <c r="E25" s="91" ph="1">
        <f>E24*268.68*LOOKUP(E26,密度!$A$2:$A$50,密度!$C$2:$C$50)+IF(E24&lt;=0,0,1566*LOOKUP(E26,密度!$A$2:$A$50,密度!$C$2:$C$50))</f>
        <v>3407.9766037199997</v>
      </c>
      <c r="F25" s="91" ph="1">
        <f>F24*11.702*LOOKUP(F26,密度!$A$2:$A$50,密度!$Q$2:$Q$50)</f>
        <v>28175.204971200001</v>
      </c>
      <c r="G25" s="91" ph="1">
        <f>G24*18.322*LOOKUP(G26,密度!$A$2:$A$50,密度!$B$2:$B$50)</f>
        <v>46798.550758400001</v>
      </c>
      <c r="H25" s="91" ph="1">
        <f>H24*18.322*LOOKUP(H26,密度!$A$2:$A$50,密度!$B$2:$B$50)</f>
        <v>54490.390195200001</v>
      </c>
      <c r="I25" s="91" ph="1">
        <f>I24*18.322*LOOKUP(I26,密度!$A$2:$A$50,密度!$Q$2:$Q$50)</f>
        <v>21874.767718399999</v>
      </c>
      <c r="J25" s="91" ph="1">
        <f>J24*18.322*LOOKUP(J26,密度!$A$2:$A$50,密度!$Q$2:$Q$50)</f>
        <v>34827.117191999998</v>
      </c>
      <c r="K25" s="91" ph="1">
        <f>K24*18.322*LOOKUP(K26,密度!$A$2:$A$50,密度!$Q$2:$Q$50)</f>
        <v>82310.705543999997</v>
      </c>
      <c r="L25" s="91" ph="1">
        <f>L24*18.322*LOOKUP(L26,密度!$A$2:$A$50,密度!$Q$2:$Q$50)</f>
        <v>96590.696452799981</v>
      </c>
      <c r="M25" s="91" ph="1">
        <f>M24*18.322*LOOKUP(M26,密度!$A$2:$A$50,密度!$Q$2:$Q$50)</f>
        <v>88460.023129599998</v>
      </c>
      <c r="N25" s="91" ph="1">
        <f>N24*18.322*LOOKUP(N26,密度!$A$2:$A$50,密度!$Q$2:$Q$50)</f>
        <v>49648.281350399993</v>
      </c>
      <c r="O25" s="91" ph="1">
        <f>O24*18.322*LOOKUP(O26,密度!$A$2:$A$50,密度!$C$2:$C$50)</f>
        <v>116699.551335</v>
      </c>
      <c r="P25" s="91" ph="1">
        <f>P24*11.702*LOOKUP(P26,密度!$A$2:$A$50,密度!$B$2:$B$50)</f>
        <v>15439.000934399999</v>
      </c>
      <c r="Q25" s="92" ph="1">
        <f>Q24*18.322*LOOKUP(Q26,密度!$A$2:$A$50,密度!$B$2:$B$50)</f>
        <v>46178.988663999997</v>
      </c>
      <c r="R25" s="91" ph="1">
        <f>R24*35.891*LOOKUP(R26,密度!$A$2:$A$50,密度!$C$2:$C$50)</f>
        <v>150521.95487849999</v>
      </c>
      <c r="S25" s="91" ph="1">
        <f>S24*35.891*LOOKUP(S26,密度!$A$2:$A$50,密度!$B$2:$B$50)</f>
        <v>143866.28835839999</v>
      </c>
      <c r="T25" s="91" ph="1">
        <f>T24*35.891*LOOKUP(T26,密度!$A$2:$A$50,密度!$Q$2:$Q$50)</f>
        <v>6155.4500639999997</v>
      </c>
      <c r="U25" s="91" ph="1">
        <f>U24*35.891</f>
        <v>147476.11900000001</v>
      </c>
      <c r="V25" s="91" ph="1">
        <f>V24*47.051*LOOKUP(V26,密度!$A$2:$A$50,密度!$B$2:$B$50)</f>
        <v>149598.69214080001</v>
      </c>
      <c r="W25" s="91" ph="1">
        <f>W24*47.051*LOOKUP(W26,密度!$A$2:$A$50,密度!$B$2:$B$50)</f>
        <v>191701.6960584</v>
      </c>
      <c r="X25" s="91" ph="1">
        <f>X24*47.051*LOOKUP(X26,密度!$A$2:$A$61,密度!$I$2:$I$61)</f>
        <v>317268.01718640001</v>
      </c>
      <c r="Y25" s="91" ph="1">
        <f>Y24*47.051*LOOKUP(Y26,密度!$A$2:$A$50,密度!$L$2:$L$50)</f>
        <v>241879.78079999998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17</v>
      </c>
      <c r="G26" s="74">
        <v>17</v>
      </c>
      <c r="H26" s="74">
        <v>16</v>
      </c>
      <c r="I26" s="74">
        <v>16</v>
      </c>
      <c r="J26" s="74">
        <v>17</v>
      </c>
      <c r="K26" s="74">
        <v>17</v>
      </c>
      <c r="L26" s="74">
        <v>17</v>
      </c>
      <c r="M26" s="74">
        <v>16</v>
      </c>
      <c r="N26" s="74">
        <v>17</v>
      </c>
      <c r="O26" s="74">
        <v>17</v>
      </c>
      <c r="P26" s="74">
        <v>16</v>
      </c>
      <c r="Q26" s="93">
        <v>17</v>
      </c>
      <c r="R26" s="74">
        <v>17</v>
      </c>
      <c r="S26" s="74">
        <v>16</v>
      </c>
      <c r="T26" s="74">
        <v>17</v>
      </c>
      <c r="U26" s="74">
        <v>17</v>
      </c>
      <c r="V26" s="74">
        <v>16</v>
      </c>
      <c r="W26" s="74">
        <v>17</v>
      </c>
      <c r="X26" s="74">
        <v>50</v>
      </c>
      <c r="Y26" s="74">
        <v>17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51" t="s" ph="1">
        <v>180</v>
      </c>
      <c r="D27" s="71">
        <v>23.32</v>
      </c>
      <c r="E27" s="71">
        <v>26.43</v>
      </c>
      <c r="F27" s="71">
        <v>1494</v>
      </c>
      <c r="G27" s="71">
        <v>2699</v>
      </c>
      <c r="H27" s="71">
        <v>2669</v>
      </c>
      <c r="I27" s="71">
        <v>1249</v>
      </c>
      <c r="J27" s="71">
        <v>1338</v>
      </c>
      <c r="K27" s="71">
        <v>4714</v>
      </c>
      <c r="L27" s="71">
        <v>5531</v>
      </c>
      <c r="M27" s="71">
        <v>5064</v>
      </c>
      <c r="N27" s="71">
        <v>2840</v>
      </c>
      <c r="O27" s="71">
        <v>5712</v>
      </c>
      <c r="P27" s="71">
        <v>2218</v>
      </c>
      <c r="Q27" s="90">
        <v>3450</v>
      </c>
      <c r="R27" s="71">
        <v>4187</v>
      </c>
      <c r="S27" s="71">
        <v>5090</v>
      </c>
      <c r="T27" s="71">
        <v>176</v>
      </c>
      <c r="U27" s="71">
        <v>4115</v>
      </c>
      <c r="V27" s="71">
        <v>4373</v>
      </c>
      <c r="W27" s="71">
        <v>4736</v>
      </c>
      <c r="X27" s="71">
        <v>6531</v>
      </c>
      <c r="Y27" s="71">
        <v>3844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51" t="s" ph="1">
        <v>178</v>
      </c>
      <c r="D28" s="91" ph="1">
        <f>D27*268.68*LOOKUP(D29,密度!$A$2:$A$50,密度!$Q$2:$Q$50)+IF(D27&lt;=0,0,1566*LOOKUP(D29,密度!$A$2:$A$50,密度!$Q$2:$Q$50))</f>
        <v>7414.5056466240003</v>
      </c>
      <c r="E28" s="91" ph="1">
        <f>E27*268.68*LOOKUP(E29,密度!$A$2:$A$50,密度!$C$2:$C$50)+IF(E27&lt;=0,0,1566*LOOKUP(E29,密度!$A$2:$A$50,密度!$C$2:$C$50))</f>
        <v>9611.0718303600006</v>
      </c>
      <c r="F28" s="91" ph="1">
        <f>F27*11.702*LOOKUP(F29,密度!$A$2:$A$50,密度!$Q$2:$Q$50)</f>
        <v>16657.600406400001</v>
      </c>
      <c r="G28" s="91" ph="1">
        <f>G27*18.322*LOOKUP(G29,密度!$A$2:$A$50,密度!$B$2:$B$50)</f>
        <v>38853.711984599999</v>
      </c>
      <c r="H28" s="91" ph="1">
        <f>H27*18.322*LOOKUP(H29,密度!$A$2:$A$50,密度!$B$2:$B$50)</f>
        <v>38456.075115200001</v>
      </c>
      <c r="I28" s="91" ph="1">
        <f>I27*18.322*LOOKUP(I29,密度!$A$2:$A$50,密度!$Q$2:$Q$50)</f>
        <v>21804.044798399998</v>
      </c>
      <c r="J28" s="91" ph="1">
        <f>J27*18.322*LOOKUP(J29,密度!$A$2:$A$50,密度!$Q$2:$Q$50)</f>
        <v>23338.369020360002</v>
      </c>
      <c r="K28" s="91" ph="1">
        <f>K27*18.322*LOOKUP(K29,密度!$A$2:$A$50,密度!$Q$2:$Q$50)</f>
        <v>82293.248342399995</v>
      </c>
      <c r="L28" s="91" ph="1">
        <f>L27*18.322*LOOKUP(L29,密度!$A$2:$A$50,密度!$Q$2:$Q$50)</f>
        <v>96475.724253819993</v>
      </c>
      <c r="M28" s="91" ph="1">
        <f>M27*18.322*LOOKUP(M29,密度!$A$2:$A$50,密度!$Q$2:$Q$50)</f>
        <v>88403.268902399985</v>
      </c>
      <c r="N28" s="91" ph="1">
        <f>N27*18.322*LOOKUP(N29,密度!$A$2:$A$50,密度!$Q$2:$Q$50)</f>
        <v>49537.345304799994</v>
      </c>
      <c r="O28" s="91" ph="1">
        <f>O27*18.322*LOOKUP(O29,密度!$A$2:$A$50,密度!$C$2:$C$50)</f>
        <v>116575.49856959998</v>
      </c>
      <c r="P28" s="91" ph="1">
        <f>P27*11.702*LOOKUP(P29,密度!$A$2:$A$50,密度!$B$2:$B$50)</f>
        <v>20392.871785199997</v>
      </c>
      <c r="Q28" s="92" ph="1">
        <f>Q27*18.322*LOOKUP(Q29,密度!$A$2:$A$50,密度!$B$2:$B$50)</f>
        <v>49664.80412999999</v>
      </c>
      <c r="R28" s="91" ph="1">
        <f>R27*35.891*LOOKUP(R29,密度!$A$2:$A$50,密度!$C$2:$C$50)</f>
        <v>167482.1751465</v>
      </c>
      <c r="S28" s="91" ph="1">
        <f>S27*35.891*LOOKUP(S29,密度!$A$2:$A$50,密度!$B$2:$B$50)</f>
        <v>143663.633416</v>
      </c>
      <c r="T28" s="91" ph="1">
        <f>T27*35.891*LOOKUP(T29,密度!$A$2:$A$50,密度!$Q$2:$Q$50)</f>
        <v>6013.6720001599997</v>
      </c>
      <c r="U28" s="91" ph="1">
        <f>U27*35.891</f>
        <v>147691.465</v>
      </c>
      <c r="V28" s="91" ph="1">
        <f>V27*47.051*LOOKUP(V29,密度!$A$2:$A$50,密度!$B$2:$B$50)</f>
        <v>161660.93587109999</v>
      </c>
      <c r="W28" s="91" ph="1">
        <f>W27*47.051*LOOKUP(W29,密度!$A$2:$A$50,密度!$B$2:$B$50)</f>
        <v>175080.30923519999</v>
      </c>
      <c r="X28" s="91" ph="1">
        <f>X27*47.051*LOOKUP(X29,密度!$A$2:$A$61,密度!$I$2:$I$61)</f>
        <v>311346.31006920006</v>
      </c>
      <c r="Y28" s="91" ph="1">
        <f>Y27*47.051*LOOKUP(Y29,密度!$A$2:$A$50,密度!$L$2:$L$50)</f>
        <v>170735.65753599998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51" t="s" ph="1">
        <v>179</v>
      </c>
      <c r="D29" s="74">
        <v>25</v>
      </c>
      <c r="E29" s="74">
        <v>25</v>
      </c>
      <c r="F29" s="74">
        <v>17</v>
      </c>
      <c r="G29" s="74">
        <v>18</v>
      </c>
      <c r="H29" s="74">
        <v>17</v>
      </c>
      <c r="I29" s="74">
        <v>17</v>
      </c>
      <c r="J29" s="74">
        <v>18</v>
      </c>
      <c r="K29" s="74">
        <v>17</v>
      </c>
      <c r="L29" s="74">
        <v>18</v>
      </c>
      <c r="M29" s="74">
        <v>17</v>
      </c>
      <c r="N29" s="74">
        <v>18</v>
      </c>
      <c r="O29" s="74">
        <v>18</v>
      </c>
      <c r="P29" s="74">
        <v>18</v>
      </c>
      <c r="Q29" s="93">
        <v>18</v>
      </c>
      <c r="R29" s="74">
        <v>17</v>
      </c>
      <c r="S29" s="74">
        <v>17</v>
      </c>
      <c r="T29" s="74">
        <v>18</v>
      </c>
      <c r="U29" s="74">
        <v>17</v>
      </c>
      <c r="V29" s="74">
        <v>18</v>
      </c>
      <c r="W29" s="74">
        <v>18</v>
      </c>
      <c r="X29" s="74">
        <v>51</v>
      </c>
      <c r="Y29" s="74">
        <v>18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237673.8064845</v>
      </c>
      <c r="E33" s="215" ph="1">
        <f>M10+I10</f>
        <v>27113.830151800001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19" ph="1">
        <f>N19</f>
        <v>14067.520239179999</v>
      </c>
      <c r="H33" s="215" ph="1">
        <f>M19</f>
        <v>49639.733541319998</v>
      </c>
      <c r="I33" s="228" ph="1">
        <v>0</v>
      </c>
      <c r="J33" s="226" ph="1">
        <f>F10+O28</f>
        <v>326783.76426359999</v>
      </c>
      <c r="K33" s="215" ph="1">
        <f>O10+K10+E28+R28</f>
        <v>221646.04919886001</v>
      </c>
      <c r="L33" s="230" ph="1">
        <f>K19</f>
        <v>36124.196718719999</v>
      </c>
      <c r="M33" s="226" ph="1">
        <f>G10+H10+W28+S28+V28+E10+R19+P28+Q28</f>
        <v>669357.57209186</v>
      </c>
      <c r="N33" s="215" ph="1">
        <f>L10+P10++G28+H28+AD19+AE19</f>
        <v>144499.19107260002</v>
      </c>
      <c r="O33" s="228" ph="1">
        <f>G19</f>
        <v>29829.589539200002</v>
      </c>
      <c r="P33" s="226" ph="1">
        <f>L19</f>
        <v>22069.174926120002</v>
      </c>
      <c r="Q33" s="215" ph="1">
        <f>J10+N10</f>
        <v>110004.86389240001</v>
      </c>
      <c r="R33" s="228" ph="1">
        <f>BE23</f>
        <v>890</v>
      </c>
      <c r="S33" s="226" ph="1">
        <f>X28</f>
        <v>311346.31006920006</v>
      </c>
      <c r="T33" s="215" ph="1">
        <f>X19</f>
        <v>8751.1971243600001</v>
      </c>
      <c r="U33" s="236" ph="1">
        <f>BE21</f>
        <v>730</v>
      </c>
      <c r="V33" s="247" ph="1">
        <f ca="1">P19+Q19+S19+M28+N28+J28+D10+AC10+D19+E19+H19+J19+O19+V19+W19+K28+L28</f>
        <v>1273891.236720138</v>
      </c>
      <c r="W33" s="247" ph="1">
        <f>D28+F28+T28+I28</f>
        <v>51889.822851584002</v>
      </c>
      <c r="X33" s="228" ph="1">
        <f>BE29+BE31</f>
        <v>10200</v>
      </c>
      <c r="Y33" s="249" ph="1">
        <f>+Q10+R10+S10+T10+U10+V10+W10+X10+Y10</f>
        <v>240669.07034939999</v>
      </c>
      <c r="Z33" s="234" ph="1">
        <f>T19+U19+Y28+Z10</f>
        <v>312642.55237441999</v>
      </c>
      <c r="AA33" s="236" ph="1">
        <f>BE19</f>
        <v>1440</v>
      </c>
      <c r="AB33" s="238" ph="1">
        <f>I19</f>
        <v>48602.468648000009</v>
      </c>
      <c r="AC33" s="240" ph="1">
        <f>AD10+AB19</f>
        <v>153555.86194880001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53" t="s" ph="1">
        <v>185</v>
      </c>
      <c r="AA36" s="153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89" priority="100">
      <formula>ABS(D$7-D$10)&gt;=1000</formula>
    </cfRule>
  </conditionalFormatting>
  <conditionalFormatting sqref="E4 E6:E11">
    <cfRule type="expression" dxfId="1688" priority="99">
      <formula>ABS(E$7-E$10)&gt;=1000</formula>
    </cfRule>
  </conditionalFormatting>
  <conditionalFormatting sqref="F4:F11">
    <cfRule type="expression" dxfId="1687" priority="98">
      <formula>ABS(F$7-F$10)&gt;=1000</formula>
    </cfRule>
  </conditionalFormatting>
  <conditionalFormatting sqref="G4:G11">
    <cfRule type="expression" dxfId="1686" priority="97">
      <formula>ABS(G$7-G$10)&gt;=1000</formula>
    </cfRule>
  </conditionalFormatting>
  <conditionalFormatting sqref="H4:H11">
    <cfRule type="expression" dxfId="1685" priority="96">
      <formula>ABS(H$7-H$10)&gt;=1000</formula>
    </cfRule>
  </conditionalFormatting>
  <conditionalFormatting sqref="I4:I11">
    <cfRule type="expression" dxfId="1684" priority="95">
      <formula>ABS(I$7-I$10)&gt;=1000</formula>
    </cfRule>
  </conditionalFormatting>
  <conditionalFormatting sqref="J4:J11">
    <cfRule type="expression" dxfId="1683" priority="94">
      <formula>ABS(J$7-J$10)&gt;=1000</formula>
    </cfRule>
  </conditionalFormatting>
  <conditionalFormatting sqref="K4:K11">
    <cfRule type="expression" dxfId="1682" priority="93">
      <formula>ABS(K$7-K$10)&gt;=1000</formula>
    </cfRule>
  </conditionalFormatting>
  <conditionalFormatting sqref="L4:L11">
    <cfRule type="expression" dxfId="1681" priority="92">
      <formula>ABS(L$7-L$10)&gt;=1000</formula>
    </cfRule>
  </conditionalFormatting>
  <conditionalFormatting sqref="M4 M6:M11">
    <cfRule type="expression" dxfId="1680" priority="91">
      <formula>ABS(M$7-M$10)&gt;=1000</formula>
    </cfRule>
  </conditionalFormatting>
  <conditionalFormatting sqref="N4 N6:N11">
    <cfRule type="expression" dxfId="1679" priority="90">
      <formula>ABS(N$7-N$10)&gt;=1000</formula>
    </cfRule>
  </conditionalFormatting>
  <conditionalFormatting sqref="O4 O6:O11">
    <cfRule type="expression" dxfId="1678" priority="89">
      <formula>ABS(O$7-O$10)&gt;=1000</formula>
    </cfRule>
  </conditionalFormatting>
  <conditionalFormatting sqref="P4 P6:P11">
    <cfRule type="expression" dxfId="1677" priority="88">
      <formula>ABS(P$7-P$10)&gt;=1000</formula>
    </cfRule>
  </conditionalFormatting>
  <conditionalFormatting sqref="Q4:Q11">
    <cfRule type="expression" dxfId="1676" priority="87">
      <formula>ABS(Q$7-Q$10)&gt;=1000</formula>
    </cfRule>
  </conditionalFormatting>
  <conditionalFormatting sqref="R4:R11">
    <cfRule type="expression" dxfId="1675" priority="86">
      <formula>ABS(R$7-R$10)&gt;=1000</formula>
    </cfRule>
  </conditionalFormatting>
  <conditionalFormatting sqref="S4:S11">
    <cfRule type="expression" dxfId="1674" priority="85">
      <formula>ABS(S$7-S$10)&gt;=1000</formula>
    </cfRule>
  </conditionalFormatting>
  <conditionalFormatting sqref="T4:T9 T11">
    <cfRule type="expression" dxfId="1673" priority="84">
      <formula>ABS(T$7-T$10)&gt;=1000</formula>
    </cfRule>
  </conditionalFormatting>
  <conditionalFormatting sqref="U4:U9 U11">
    <cfRule type="expression" dxfId="1672" priority="83">
      <formula>ABS(U$7-U$10)&gt;=1000</formula>
    </cfRule>
  </conditionalFormatting>
  <conditionalFormatting sqref="V4:V9 V11">
    <cfRule type="expression" dxfId="1671" priority="82">
      <formula>ABS(V$7-V$10)&gt;=1000</formula>
    </cfRule>
  </conditionalFormatting>
  <conditionalFormatting sqref="W4:W9 W11">
    <cfRule type="expression" dxfId="1670" priority="81">
      <formula>ABS(W$7-W$10)&gt;=1000</formula>
    </cfRule>
  </conditionalFormatting>
  <conditionalFormatting sqref="X4:X9 X11">
    <cfRule type="expression" dxfId="1669" priority="80">
      <formula>ABS(X$7-X$10)&gt;=1000</formula>
    </cfRule>
  </conditionalFormatting>
  <conditionalFormatting sqref="Y4:Y9 Y11">
    <cfRule type="expression" dxfId="1668" priority="79">
      <formula>ABS(Y$7-Y$10)&gt;=1000</formula>
    </cfRule>
  </conditionalFormatting>
  <conditionalFormatting sqref="Z4:Z11">
    <cfRule type="expression" dxfId="1667" priority="78">
      <formula>ABS(Z$7-Z$10)&gt;=1000</formula>
    </cfRule>
  </conditionalFormatting>
  <conditionalFormatting sqref="AA4:AA11">
    <cfRule type="expression" dxfId="1666" priority="77">
      <formula>ABS(AA$7-AA$10)&gt;=1000</formula>
    </cfRule>
  </conditionalFormatting>
  <conditionalFormatting sqref="AB4:AB11">
    <cfRule type="expression" dxfId="1665" priority="76">
      <formula>ABS(AB$7-AB$10)&gt;=1000</formula>
    </cfRule>
  </conditionalFormatting>
  <conditionalFormatting sqref="AC4 AC6:AC11">
    <cfRule type="expression" dxfId="1664" priority="75">
      <formula>ABS(AC$7-AC$10)&gt;=1000</formula>
    </cfRule>
  </conditionalFormatting>
  <conditionalFormatting sqref="AD4 AD6:AD11">
    <cfRule type="expression" dxfId="1663" priority="74">
      <formula>ABS(AD$7-AD$10)&gt;=1000</formula>
    </cfRule>
  </conditionalFormatting>
  <conditionalFormatting sqref="AE4 AE6:AE11">
    <cfRule type="expression" dxfId="1662" priority="73">
      <formula>ABS(AE$7-AE$10)&gt;=1000</formula>
    </cfRule>
  </conditionalFormatting>
  <conditionalFormatting sqref="D13:D20">
    <cfRule type="expression" dxfId="1661" priority="72">
      <formula>ABS(D$16-D$19)&gt;=1000</formula>
    </cfRule>
  </conditionalFormatting>
  <conditionalFormatting sqref="E13:E20">
    <cfRule type="expression" dxfId="1660" priority="71">
      <formula>ABS(E$16-E$19)&gt;=1000</formula>
    </cfRule>
  </conditionalFormatting>
  <conditionalFormatting sqref="F13 F15:F20">
    <cfRule type="expression" dxfId="1659" priority="70">
      <formula>ABS(F$16-F$19)&gt;=1000</formula>
    </cfRule>
  </conditionalFormatting>
  <conditionalFormatting sqref="G13:G20">
    <cfRule type="expression" dxfId="1658" priority="69">
      <formula>ABS(G$16-G$19)&gt;=1000</formula>
    </cfRule>
  </conditionalFormatting>
  <conditionalFormatting sqref="H13 H15:H20">
    <cfRule type="expression" dxfId="1657" priority="68">
      <formula>ABS(H$16-H$19)&gt;=1000</formula>
    </cfRule>
  </conditionalFormatting>
  <conditionalFormatting sqref="I13:I20">
    <cfRule type="expression" dxfId="1656" priority="67">
      <formula>ABS(I$16-I$19)&gt;=1000</formula>
    </cfRule>
  </conditionalFormatting>
  <conditionalFormatting sqref="J13:J20">
    <cfRule type="expression" dxfId="1655" priority="66">
      <formula>ABS(J$16-J$19)&gt;=1000</formula>
    </cfRule>
  </conditionalFormatting>
  <conditionalFormatting sqref="L13:L20">
    <cfRule type="expression" dxfId="1654" priority="65">
      <formula>ABS(L$16-L$19)&gt;=1000</formula>
    </cfRule>
  </conditionalFormatting>
  <conditionalFormatting sqref="M13 M15 M17:M18 M20">
    <cfRule type="expression" dxfId="1653" priority="64">
      <formula>ABS(M$16-M$19)&gt;=1000</formula>
    </cfRule>
  </conditionalFormatting>
  <conditionalFormatting sqref="N13:N20">
    <cfRule type="expression" dxfId="1652" priority="63">
      <formula>ABS(N$16-N$19)&gt;=1000</formula>
    </cfRule>
  </conditionalFormatting>
  <conditionalFormatting sqref="O13:O20">
    <cfRule type="expression" dxfId="1651" priority="62">
      <formula>ABS(O$16-O$19)&gt;=1000</formula>
    </cfRule>
  </conditionalFormatting>
  <conditionalFormatting sqref="P13:P20">
    <cfRule type="expression" dxfId="1650" priority="61">
      <formula>ABS(P$16-P$19)&gt;=1000</formula>
    </cfRule>
  </conditionalFormatting>
  <conditionalFormatting sqref="Q13 Q15:Q20">
    <cfRule type="expression" dxfId="1649" priority="60">
      <formula>ABS(Q$16-Q$19)&gt;=1000</formula>
    </cfRule>
  </conditionalFormatting>
  <conditionalFormatting sqref="R13:R20">
    <cfRule type="expression" dxfId="1648" priority="59">
      <formula>ABS(R$16-R$19)&gt;=1000</formula>
    </cfRule>
  </conditionalFormatting>
  <conditionalFormatting sqref="S13:S20">
    <cfRule type="expression" dxfId="1647" priority="58">
      <formula>ABS(S$16-S$19)&gt;=1000</formula>
    </cfRule>
  </conditionalFormatting>
  <conditionalFormatting sqref="T13:T20">
    <cfRule type="expression" dxfId="1646" priority="57">
      <formula>ABS(T$16-T$19)&gt;=1000</formula>
    </cfRule>
  </conditionalFormatting>
  <conditionalFormatting sqref="U13:U20">
    <cfRule type="expression" dxfId="1645" priority="56">
      <formula>ABS(U$16-U$19)&gt;=1000</formula>
    </cfRule>
  </conditionalFormatting>
  <conditionalFormatting sqref="V13:V20">
    <cfRule type="expression" dxfId="1644" priority="55">
      <formula>ABS(V$16-V$19)&gt;=1000</formula>
    </cfRule>
  </conditionalFormatting>
  <conditionalFormatting sqref="W13 W20 W15:W18">
    <cfRule type="expression" dxfId="1643" priority="54">
      <formula>ABS(W$16-W$19)&gt;=1000</formula>
    </cfRule>
  </conditionalFormatting>
  <conditionalFormatting sqref="X13 X15:X20 Y19">
    <cfRule type="expression" dxfId="1642" priority="53">
      <formula>ABS(X$16-X$19)&gt;=1000</formula>
    </cfRule>
  </conditionalFormatting>
  <conditionalFormatting sqref="Y13 Y15:Y18 Y20">
    <cfRule type="expression" dxfId="1641" priority="52">
      <formula>ABS(Y$16-Y$19)&gt;=1000</formula>
    </cfRule>
  </conditionalFormatting>
  <conditionalFormatting sqref="Z13:Z20">
    <cfRule type="expression" dxfId="1640" priority="51">
      <formula>ABS(Z$16-Z$19)&gt;=1000</formula>
    </cfRule>
  </conditionalFormatting>
  <conditionalFormatting sqref="AA13:AA20">
    <cfRule type="expression" dxfId="1639" priority="50">
      <formula>ABS(AA$16-AA$19)&gt;=1000</formula>
    </cfRule>
  </conditionalFormatting>
  <conditionalFormatting sqref="AB13 AB15:AB20">
    <cfRule type="expression" dxfId="1638" priority="49">
      <formula>ABS(AB$16-AB$19)&gt;=1000</formula>
    </cfRule>
  </conditionalFormatting>
  <conditionalFormatting sqref="AC13 AC15:AC20">
    <cfRule type="expression" dxfId="1637" priority="48">
      <formula>ABS(AC$16-AC$19)&gt;=1000</formula>
    </cfRule>
  </conditionalFormatting>
  <conditionalFormatting sqref="AD13:AD20">
    <cfRule type="expression" dxfId="1636" priority="47">
      <formula>ABS(AD$16-AD$19)&gt;=1000</formula>
    </cfRule>
  </conditionalFormatting>
  <conditionalFormatting sqref="AE13:AE20">
    <cfRule type="expression" dxfId="1635" priority="46">
      <formula>ABS(AE$16-AE$19)&gt;=1000</formula>
    </cfRule>
  </conditionalFormatting>
  <conditionalFormatting sqref="D22:D29">
    <cfRule type="expression" dxfId="1634" priority="45">
      <formula>ABS(D$25-D$28)&gt;=1000</formula>
    </cfRule>
  </conditionalFormatting>
  <conditionalFormatting sqref="E22:E29">
    <cfRule type="expression" dxfId="1633" priority="44">
      <formula>ABS(E$25-E$28)&gt;=1000</formula>
    </cfRule>
  </conditionalFormatting>
  <conditionalFormatting sqref="F22:F29">
    <cfRule type="expression" dxfId="1632" priority="43">
      <formula>ABS(F$25-F$28)&gt;=1000</formula>
    </cfRule>
  </conditionalFormatting>
  <conditionalFormatting sqref="G22:G29">
    <cfRule type="expression" dxfId="1631" priority="42">
      <formula>ABS(G$25-G$28)&gt;=1000</formula>
    </cfRule>
  </conditionalFormatting>
  <conditionalFormatting sqref="H22:H29">
    <cfRule type="expression" dxfId="1630" priority="41">
      <formula>ABS(H$25-H$28)&gt;=1000</formula>
    </cfRule>
  </conditionalFormatting>
  <conditionalFormatting sqref="I22 I24:I29">
    <cfRule type="expression" dxfId="1629" priority="40">
      <formula>ABS(I$25-I$28)&gt;=1000</formula>
    </cfRule>
  </conditionalFormatting>
  <conditionalFormatting sqref="J22:J29 K22">
    <cfRule type="expression" dxfId="1628" priority="39">
      <formula>ABS(J$25-J$28)&gt;=1000</formula>
    </cfRule>
  </conditionalFormatting>
  <conditionalFormatting sqref="K23:K29 L25 L28">
    <cfRule type="expression" dxfId="1627" priority="38">
      <formula>ABS(K$25-K$28)&gt;=1000</formula>
    </cfRule>
  </conditionalFormatting>
  <conditionalFormatting sqref="L22 L26:L27 L29 L24">
    <cfRule type="expression" dxfId="1626" priority="37">
      <formula>ABS(L$25-L$28)&gt;=1000</formula>
    </cfRule>
  </conditionalFormatting>
  <conditionalFormatting sqref="M22:M29">
    <cfRule type="expression" dxfId="1625" priority="36">
      <formula>ABS(M$25-M$28)&gt;=1000</formula>
    </cfRule>
  </conditionalFormatting>
  <conditionalFormatting sqref="N22:N29">
    <cfRule type="expression" dxfId="1624" priority="35">
      <formula>ABS(N$25-N$28)&gt;=1000</formula>
    </cfRule>
  </conditionalFormatting>
  <conditionalFormatting sqref="O22:O29">
    <cfRule type="expression" dxfId="1623" priority="34">
      <formula>ABS(O$25-O$28)&gt;=1000</formula>
    </cfRule>
  </conditionalFormatting>
  <conditionalFormatting sqref="P22:P29">
    <cfRule type="expression" dxfId="1622" priority="33">
      <formula>ABS(P$25-P$28)&gt;=1000</formula>
    </cfRule>
  </conditionalFormatting>
  <conditionalFormatting sqref="Q22:Q29">
    <cfRule type="expression" dxfId="1621" priority="32">
      <formula>ABS(Q$25-Q$28)&gt;=1000</formula>
    </cfRule>
  </conditionalFormatting>
  <conditionalFormatting sqref="R22:R29">
    <cfRule type="expression" dxfId="1620" priority="31">
      <formula>ABS(R$25-R$28)&gt;=1000</formula>
    </cfRule>
  </conditionalFormatting>
  <conditionalFormatting sqref="S22:S29">
    <cfRule type="expression" dxfId="1619" priority="30">
      <formula>ABS(S$25-S$28)&gt;=1000</formula>
    </cfRule>
  </conditionalFormatting>
  <conditionalFormatting sqref="T22:T29">
    <cfRule type="expression" dxfId="1618" priority="29">
      <formula>ABS(T$25-T$28)&gt;=1000</formula>
    </cfRule>
  </conditionalFormatting>
  <conditionalFormatting sqref="U22:U29">
    <cfRule type="expression" dxfId="1617" priority="28">
      <formula>ABS(U$25-U$28)&gt;=1000</formula>
    </cfRule>
  </conditionalFormatting>
  <conditionalFormatting sqref="V22:V29">
    <cfRule type="expression" dxfId="1616" priority="27">
      <formula>ABS(V$25-V$28)&gt;=1000</formula>
    </cfRule>
  </conditionalFormatting>
  <conditionalFormatting sqref="W22:W29">
    <cfRule type="expression" dxfId="1615" priority="26">
      <formula>ABS(W$25-W$28)&gt;=1000</formula>
    </cfRule>
  </conditionalFormatting>
  <conditionalFormatting sqref="X22:X29">
    <cfRule type="expression" dxfId="1614" priority="25">
      <formula>ABS(X$25-X$28)&gt;=1000</formula>
    </cfRule>
  </conditionalFormatting>
  <conditionalFormatting sqref="Y22:Y29">
    <cfRule type="expression" dxfId="1613" priority="24">
      <formula>ABS(Y$25-Y$28)&gt;=1000</formula>
    </cfRule>
  </conditionalFormatting>
  <conditionalFormatting sqref="I23">
    <cfRule type="expression" dxfId="1612" priority="23">
      <formula>ABS(I$25-I$28)&gt;=1000</formula>
    </cfRule>
  </conditionalFormatting>
  <conditionalFormatting sqref="Q14">
    <cfRule type="expression" dxfId="1611" priority="22">
      <formula>ABS(Q$16-Q$19)&gt;=1000</formula>
    </cfRule>
  </conditionalFormatting>
  <conditionalFormatting sqref="W14">
    <cfRule type="expression" dxfId="1610" priority="21">
      <formula>ABS(W$16-W$19)&gt;=1000</formula>
    </cfRule>
  </conditionalFormatting>
  <conditionalFormatting sqref="X14">
    <cfRule type="expression" dxfId="1609" priority="20">
      <formula>ABS(X$16-X$19)&gt;=1000</formula>
    </cfRule>
  </conditionalFormatting>
  <conditionalFormatting sqref="T10:Y10">
    <cfRule type="expression" dxfId="1608" priority="19">
      <formula>ABS(T$7-T$10)&gt;=1000</formula>
    </cfRule>
  </conditionalFormatting>
  <conditionalFormatting sqref="W19">
    <cfRule type="expression" dxfId="1607" priority="18">
      <formula>ABS(W$16-W$19)&gt;=1000</formula>
    </cfRule>
  </conditionalFormatting>
  <conditionalFormatting sqref="AC5">
    <cfRule type="expression" dxfId="1606" priority="17">
      <formula>ABS(AC$7-AC$10)&gt;=1000</formula>
    </cfRule>
  </conditionalFormatting>
  <conditionalFormatting sqref="M14">
    <cfRule type="expression" dxfId="1605" priority="16">
      <formula>ABS(M$16-M$19)&gt;=1000</formula>
    </cfRule>
  </conditionalFormatting>
  <conditionalFormatting sqref="M16">
    <cfRule type="expression" dxfId="1604" priority="15">
      <formula>ABS(M$16-M$19)&gt;=1000</formula>
    </cfRule>
  </conditionalFormatting>
  <conditionalFormatting sqref="M19">
    <cfRule type="expression" dxfId="1603" priority="14">
      <formula>ABS(M$16-M$19)&gt;=1000</formula>
    </cfRule>
  </conditionalFormatting>
  <conditionalFormatting sqref="K13:K20">
    <cfRule type="expression" dxfId="1602" priority="13">
      <formula>ABS(K$16-K$19)&gt;=1000</formula>
    </cfRule>
  </conditionalFormatting>
  <conditionalFormatting sqref="E5">
    <cfRule type="expression" dxfId="1601" priority="12">
      <formula>ABS(E$7-E$10)&gt;=1000</formula>
    </cfRule>
  </conditionalFormatting>
  <conditionalFormatting sqref="AB14:AC14">
    <cfRule type="expression" dxfId="1600" priority="11">
      <formula>ABS(AB$16-AB$19)&gt;=1000</formula>
    </cfRule>
  </conditionalFormatting>
  <conditionalFormatting sqref="M5">
    <cfRule type="expression" dxfId="1599" priority="10">
      <formula>ABS(M$7-M$10)&gt;=1000</formula>
    </cfRule>
  </conditionalFormatting>
  <conditionalFormatting sqref="N5">
    <cfRule type="expression" dxfId="1598" priority="9">
      <formula>ABS(N$7-N$10)&gt;=1000</formula>
    </cfRule>
  </conditionalFormatting>
  <conditionalFormatting sqref="O5">
    <cfRule type="expression" dxfId="1597" priority="8">
      <formula>ABS(O$7-O$10)&gt;=1000</formula>
    </cfRule>
  </conditionalFormatting>
  <conditionalFormatting sqref="P5">
    <cfRule type="expression" dxfId="1596" priority="7">
      <formula>ABS(P$7-P$10)&gt;=1000</formula>
    </cfRule>
  </conditionalFormatting>
  <conditionalFormatting sqref="L23">
    <cfRule type="expression" dxfId="1595" priority="6">
      <formula>ABS(L$25-L$28)&gt;=1000</formula>
    </cfRule>
  </conditionalFormatting>
  <conditionalFormatting sqref="Y14">
    <cfRule type="expression" dxfId="1594" priority="5">
      <formula>ABS(Y$16-Y$19)&gt;=1000</formula>
    </cfRule>
  </conditionalFormatting>
  <conditionalFormatting sqref="F14">
    <cfRule type="expression" dxfId="1593" priority="4">
      <formula>ABS(F$16-F$19)&gt;=1000</formula>
    </cfRule>
  </conditionalFormatting>
  <conditionalFormatting sqref="H14">
    <cfRule type="expression" dxfId="1592" priority="3">
      <formula>ABS(H$16-H$19)&gt;=1000</formula>
    </cfRule>
  </conditionalFormatting>
  <conditionalFormatting sqref="AD5">
    <cfRule type="expression" dxfId="1591" priority="2">
      <formula>ABS(AD$7-AD$10)&gt;=1000</formula>
    </cfRule>
  </conditionalFormatting>
  <conditionalFormatting sqref="AE5">
    <cfRule type="expression" dxfId="15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525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2">
    <pageSetUpPr fitToPage="1"/>
  </sheetPr>
  <dimension ref="A1:CU223"/>
  <sheetViews>
    <sheetView view="pageBreakPreview" topLeftCell="A10" zoomScale="70" zoomScaleNormal="100" zoomScaleSheetLayoutView="70" workbookViewId="0">
      <selection activeCell="G15" sqref="G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46057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56" t="s" ph="1">
        <v>177</v>
      </c>
      <c r="D6" s="71">
        <v>6262</v>
      </c>
      <c r="E6" s="71">
        <v>88</v>
      </c>
      <c r="F6" s="71">
        <v>5684</v>
      </c>
      <c r="G6" s="71">
        <v>1295</v>
      </c>
      <c r="H6" s="71">
        <v>0</v>
      </c>
      <c r="I6" s="71">
        <v>0.09</v>
      </c>
      <c r="J6" s="71">
        <v>6.61</v>
      </c>
      <c r="K6" s="71">
        <v>9.19</v>
      </c>
      <c r="L6" s="71">
        <v>47.13</v>
      </c>
      <c r="M6" s="71">
        <v>790</v>
      </c>
      <c r="N6" s="71">
        <v>4130</v>
      </c>
      <c r="O6" s="71">
        <v>1830</v>
      </c>
      <c r="P6" s="71">
        <v>826</v>
      </c>
      <c r="Q6" s="71">
        <v>0</v>
      </c>
      <c r="R6" s="71">
        <v>0</v>
      </c>
      <c r="S6" s="71">
        <v>0</v>
      </c>
      <c r="T6" s="71">
        <v>7110</v>
      </c>
      <c r="U6" s="71">
        <v>7026</v>
      </c>
      <c r="V6" s="71">
        <v>7089</v>
      </c>
      <c r="W6" s="71">
        <v>5119</v>
      </c>
      <c r="X6" s="71">
        <v>2763</v>
      </c>
      <c r="Y6" s="71">
        <v>0</v>
      </c>
      <c r="Z6" s="71">
        <v>3566</v>
      </c>
      <c r="AA6" s="71">
        <v>3988</v>
      </c>
      <c r="AB6" s="71">
        <v>4755</v>
      </c>
      <c r="AC6" s="71">
        <v>8673</v>
      </c>
      <c r="AD6" s="71">
        <v>4780</v>
      </c>
      <c r="AE6" s="71">
        <v>4680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197984.1661488</v>
      </c>
      <c r="E7" s="73" ph="1">
        <f>E6*51.53*LOOKUP(E8,密度!$A$2:$A$50,密度!$B$2:$B$50)</f>
        <v>3569.6686080000004</v>
      </c>
      <c r="F7" s="73" ph="1">
        <f>F6*33.183*LOOKUP(F8,密度!$A$2:$A$50,密度!$C$2:$C$50)</f>
        <v>210340.2942144</v>
      </c>
      <c r="G7" s="73" ph="1">
        <f xml:space="preserve"> (G6+2)*51.53*LOOKUP(G8,密度!$A$2:$A$50,密度!$B$2:$B$50)</f>
        <v>52612.047552000004</v>
      </c>
      <c r="H7" s="73" ph="1">
        <f>(H6)*51.53*LOOKUP(H8,密度!$A$2:$A$50,密度!$B$2:$B$50)</f>
        <v>0</v>
      </c>
      <c r="I7" s="73" ph="1">
        <f>I6*290.8*1.0267</f>
        <v>26.870792399999999</v>
      </c>
      <c r="J7" s="73" ph="1">
        <f>J6*290.8*0.7892</f>
        <v>1516.9907696</v>
      </c>
      <c r="K7" s="73" ph="1">
        <f>K6*290.8*1.1126</f>
        <v>2973.3700951999999</v>
      </c>
      <c r="L7" s="73" ph="1">
        <f>L6*290.8*0.777</f>
        <v>10649.098908</v>
      </c>
      <c r="M7" s="73" ph="1">
        <f>M6*33.183*LOOKUP(M8,密度!$A$2:$A$50,密度!$D$2:$D$50)</f>
        <v>27147.808692000002</v>
      </c>
      <c r="N7" s="73" ph="1">
        <f>N6*33.183*LOOKUP(N8,密度!$A$2:$A$50,密度!$E$2:$E$50)</f>
        <v>108608.788575</v>
      </c>
      <c r="O7" s="73" ph="1">
        <f>O6*20.428*LOOKUP(O8,密度!$A$2:$A$50,密度!$C$2:$C$50)</f>
        <v>41592.592823999999</v>
      </c>
      <c r="P7" s="73" ph="1">
        <f>P6*51.53*LOOKUP(P8,密度!$A$2:$A$50,密度!$B$2:$B$50)</f>
        <v>33540.25864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47744.858699999997</v>
      </c>
      <c r="U7" s="73" ph="1">
        <f>U6*1.5*1.5*3.1416*LOOKUP(U8,密度!$A$2:$A$50,密度!$L$2:$L$50)</f>
        <v>47081.456452799997</v>
      </c>
      <c r="V7" s="73" ph="1">
        <f>V6*1.5*1.5*3.1416*LOOKUP(V8,密度!$A$2:$A$50,密度!$L$2:$L$50)</f>
        <v>47102.747075999992</v>
      </c>
      <c r="W7" s="73" ph="1">
        <f>W6*1.5*1.5*3.1416*LOOKUP(W8,密度!$A$2:$A$50,密度!$L$2:$L$50)</f>
        <v>34302.586903199997</v>
      </c>
      <c r="X7" s="73" ph="1">
        <f>X6*1.5*1.5*3.1416*LOOKUP(X8,密度!$A$2:$A$50,密度!$L$2:$L$50)</f>
        <v>18632.136877199999</v>
      </c>
      <c r="Y7" s="73" ph="1">
        <f>Y6*1.5*1.5*3.1416*LOOKUP(Y8,密度!$A$2:$A$50,密度!$L$2:$L$50)</f>
        <v>0</v>
      </c>
      <c r="Z7" s="73" ph="1">
        <f>Z6*33.183*LOOKUP(Z8,密度!$A$2:$A$50,密度!$L$2:$L$50)</f>
        <v>111940.72678799999</v>
      </c>
      <c r="AA7" s="73" ph="1">
        <f>AA6*33.183*LOOKUP(AA8,密度!$A$2:$A$50,密度!$D$2:$D$50)</f>
        <v>136939.0203792</v>
      </c>
      <c r="AB7" s="73" ph="1">
        <f>AB6*20.428*LOOKUP(AB8,密度!$A$2:$A$50,密度!$D$2:$D$50)</f>
        <v>101195.388852</v>
      </c>
      <c r="AC7" s="73" ph="1">
        <f>AC6*51.53*LOOKUP(AC8,密度!$A$2:$A$50,密度!$Q$2:$Q$50)</f>
        <v>426602.72089260002</v>
      </c>
      <c r="AD7" s="73" ph="1">
        <f>AD6*20.428*LOOKUP(AD8,密度!$A$2:$A$50,密度!$V$2:$V$50)</f>
        <v>94130.589760000003</v>
      </c>
      <c r="AE7" s="73" ph="1">
        <f>AE6*20.428</f>
        <v>95603.040000000008</v>
      </c>
    </row>
    <row r="8" spans="1:99" ph="1">
      <c r="B8" s="193" ph="1"/>
      <c r="C8" s="68" t="s" ph="1">
        <v>179</v>
      </c>
      <c r="D8" s="74">
        <v>17</v>
      </c>
      <c r="E8" s="74">
        <v>16</v>
      </c>
      <c r="F8" s="74">
        <v>16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20</v>
      </c>
      <c r="P8" s="74">
        <v>15</v>
      </c>
      <c r="Q8" s="74">
        <v>17</v>
      </c>
      <c r="R8" s="74">
        <v>21</v>
      </c>
      <c r="S8" s="74">
        <v>13</v>
      </c>
      <c r="T8" s="74">
        <v>12</v>
      </c>
      <c r="U8" s="74">
        <v>14</v>
      </c>
      <c r="V8" s="74">
        <v>22</v>
      </c>
      <c r="W8" s="74">
        <v>14</v>
      </c>
      <c r="X8" s="74">
        <v>8</v>
      </c>
      <c r="Y8" s="74">
        <v>16</v>
      </c>
      <c r="Z8" s="74">
        <v>16</v>
      </c>
      <c r="AA8" s="74">
        <v>16</v>
      </c>
      <c r="AB8" s="74">
        <v>8</v>
      </c>
      <c r="AC8" s="74">
        <v>14</v>
      </c>
      <c r="AD8" s="74">
        <v>14</v>
      </c>
      <c r="AE8" s="74">
        <v>20</v>
      </c>
    </row>
    <row r="9" spans="1:99" ht="26.4" ph="1">
      <c r="B9" s="193" ph="1">
        <v>0.66666666666666663</v>
      </c>
      <c r="C9" s="156" t="s" ph="1">
        <v>180</v>
      </c>
      <c r="D9" s="71">
        <v>6265</v>
      </c>
      <c r="E9" s="71">
        <v>230</v>
      </c>
      <c r="F9" s="71">
        <v>5683</v>
      </c>
      <c r="G9" s="71">
        <v>1006</v>
      </c>
      <c r="H9" s="71">
        <v>1998</v>
      </c>
      <c r="I9" s="71">
        <v>7.0000000000000007E-2</v>
      </c>
      <c r="J9" s="71">
        <v>6.74</v>
      </c>
      <c r="K9" s="71">
        <v>9.19</v>
      </c>
      <c r="L9" s="71">
        <v>18.850000000000001</v>
      </c>
      <c r="M9" s="71">
        <v>790</v>
      </c>
      <c r="N9" s="71">
        <v>4132</v>
      </c>
      <c r="O9" s="71">
        <v>1831</v>
      </c>
      <c r="P9" s="71">
        <v>993</v>
      </c>
      <c r="Q9" s="71">
        <v>0</v>
      </c>
      <c r="R9" s="71">
        <v>0</v>
      </c>
      <c r="S9" s="71">
        <v>0</v>
      </c>
      <c r="T9" s="71">
        <v>2682</v>
      </c>
      <c r="U9" s="71">
        <v>7032</v>
      </c>
      <c r="V9" s="71">
        <v>7098</v>
      </c>
      <c r="W9" s="71">
        <v>7020</v>
      </c>
      <c r="X9" s="71">
        <v>6068</v>
      </c>
      <c r="Y9" s="71">
        <v>2622</v>
      </c>
      <c r="Z9" s="71">
        <v>4216</v>
      </c>
      <c r="AA9" s="71">
        <v>3988</v>
      </c>
      <c r="AB9" s="71">
        <v>4626</v>
      </c>
      <c r="AC9" s="71">
        <v>8751</v>
      </c>
      <c r="AD9" s="71">
        <v>4780</v>
      </c>
      <c r="AE9" s="71">
        <v>4630</v>
      </c>
    </row>
    <row r="10" spans="1:99" s="72" customFormat="1" ht="22.2" ph="1">
      <c r="B10" s="193" ph="1"/>
      <c r="C10" s="156" t="s" ph="1">
        <v>178</v>
      </c>
      <c r="D10" s="73" ph="1">
        <f>D9*33.183*LOOKUP(D11,密度!$A$2:$A$50,密度!$Q$2:$Q$50)</f>
        <v>197914.78215494999</v>
      </c>
      <c r="E10" s="73" ph="1">
        <f>E9*51.53*LOOKUP(E11,密度!$A$2:$A$50,密度!$B$2:$B$50)</f>
        <v>9302.5563099999999</v>
      </c>
      <c r="F10" s="73" ph="1">
        <f>F9*33.183*LOOKUP(F11,密度!$A$2:$A$50,密度!$C$2:$C$50)</f>
        <v>210171.28324050002</v>
      </c>
      <c r="G10" s="73" ph="1">
        <f xml:space="preserve"> (G9+2)*51.53*LOOKUP(G11,密度!$A$2:$A$50,密度!$B$2:$B$50)</f>
        <v>40811.017967999993</v>
      </c>
      <c r="H10" s="73" ph="1">
        <f>(H9)*51.53*LOOKUP(H11,密度!$A$2:$A$50,密度!$B$2:$B$50)</f>
        <v>80893.267758000002</v>
      </c>
      <c r="I10" s="73" ph="1">
        <f>I9*290.8*1.0267</f>
        <v>20.8995052</v>
      </c>
      <c r="J10" s="73" ph="1">
        <f>J9*290.8*0.7892</f>
        <v>1546.8256864000002</v>
      </c>
      <c r="K10" s="73" ph="1">
        <f>K9*290.8*1.1126</f>
        <v>2973.3700951999999</v>
      </c>
      <c r="L10" s="73" ph="1">
        <f>L9*290.8*0.777</f>
        <v>4259.1876600000005</v>
      </c>
      <c r="M10" s="73" ph="1">
        <f>M9*33.183*LOOKUP(M11,密度!$A$2:$A$50,密度!$D$2:$D$50)</f>
        <v>27058.679154000001</v>
      </c>
      <c r="N10" s="73" ph="1">
        <f>N9*33.183*LOOKUP(N11,密度!$A$2:$A$50,密度!$E$2:$E$50)</f>
        <v>108510.56025839999</v>
      </c>
      <c r="O10" s="73" ph="1">
        <f>O9*20.428*LOOKUP(O11,密度!$A$2:$A$50,密度!$C$2:$C$50)</f>
        <v>41589.138449200007</v>
      </c>
      <c r="P10" s="73" ph="1">
        <f>P9*51.53*LOOKUP(P11,密度!$A$2:$A$50,密度!$B$2:$B$50)</f>
        <v>40121.840289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17972.1699696</v>
      </c>
      <c r="U10" s="73" ph="1">
        <f>U9*1.5*1.5*3.1416*LOOKUP(U11,密度!$A$2:$A$50,密度!$L$2:$L$50)</f>
        <v>46972.543463999995</v>
      </c>
      <c r="V10" s="73" ph="1">
        <f>V9*1.5*1.5*3.1416*LOOKUP(V11,密度!$A$2:$A$50,密度!$L$2:$L$50)</f>
        <v>47062.201586399999</v>
      </c>
      <c r="W10" s="73" ph="1">
        <f>W9*1.5*1.5*3.1416*LOOKUP(W11,密度!$A$2:$A$50,密度!$L$2:$L$50)</f>
        <v>46892.385539999996</v>
      </c>
      <c r="X10" s="73" ph="1">
        <f>X9*1.5*1.5*3.1416*LOOKUP(X11,密度!$A$2:$A$50,密度!$L$2:$L$50)</f>
        <v>40790.543824799992</v>
      </c>
      <c r="Y10" s="73" ph="1">
        <f>Y9*1.5*1.5*3.1416*LOOKUP(Y11,密度!$A$2:$A$50,密度!$L$2:$L$50)</f>
        <v>17477.438655599999</v>
      </c>
      <c r="Z10" s="73" ph="1">
        <f>Z9*33.183*LOOKUP(Z11,密度!$A$2:$A$50,密度!$L$2:$L$50)</f>
        <v>132205.05395999999</v>
      </c>
      <c r="AA10" s="73" ph="1">
        <f>AA9*33.183*LOOKUP(AA11,密度!$A$2:$A$50,密度!$D$2:$D$50)</f>
        <v>136819.91995559999</v>
      </c>
      <c r="AB10" s="73" ph="1">
        <f>AB9*20.428*LOOKUP(AB11,密度!$A$2:$A$50,密度!$D$2:$D$50)</f>
        <v>98279.92512</v>
      </c>
      <c r="AC10" s="73" ph="1">
        <f>AC9*51.53*LOOKUP(AC11,密度!$A$2:$A$50,密度!$Q$2:$Q$50)</f>
        <v>430439.34169620008</v>
      </c>
      <c r="AD10" s="73" ph="1">
        <f>AD9*20.428*LOOKUP(AD11,密度!$A$2:$A$50,密度!$V$2:$V$50)</f>
        <v>94130.589760000003</v>
      </c>
      <c r="AE10" s="73" ph="1">
        <f>AE9*20.428</f>
        <v>94581.64</v>
      </c>
    </row>
    <row r="11" spans="1:99" ph="1">
      <c r="A11" s="64" t="s" ph="1">
        <v>162</v>
      </c>
      <c r="B11" s="193" ph="1"/>
      <c r="C11" s="156" t="s" ph="1">
        <v>179</v>
      </c>
      <c r="D11" s="74">
        <v>18</v>
      </c>
      <c r="E11" s="74">
        <v>19</v>
      </c>
      <c r="F11" s="74">
        <v>17</v>
      </c>
      <c r="G11" s="74">
        <v>18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18</v>
      </c>
      <c r="O11" s="74">
        <v>21</v>
      </c>
      <c r="P11" s="74">
        <v>20</v>
      </c>
      <c r="Q11" s="74">
        <v>25</v>
      </c>
      <c r="R11" s="74">
        <v>26</v>
      </c>
      <c r="S11" s="74">
        <v>16</v>
      </c>
      <c r="T11" s="74">
        <v>14</v>
      </c>
      <c r="U11" s="74">
        <v>17</v>
      </c>
      <c r="V11" s="74">
        <v>24</v>
      </c>
      <c r="W11" s="74">
        <v>17</v>
      </c>
      <c r="X11" s="74">
        <v>11</v>
      </c>
      <c r="Y11" s="74">
        <v>19</v>
      </c>
      <c r="Z11" s="74">
        <v>17</v>
      </c>
      <c r="AA11" s="74">
        <v>17</v>
      </c>
      <c r="AB11" s="74">
        <v>10</v>
      </c>
      <c r="AC11" s="74">
        <v>15</v>
      </c>
      <c r="AD11" s="74">
        <v>16</v>
      </c>
      <c r="AE11" s="74">
        <v>21</v>
      </c>
    </row>
    <row r="12" spans="1:99" ht="9.9" customHeight="1" ph="1"/>
    <row r="13" spans="1:99" s="72" customFormat="1" ht="29.25" customHeight="1" ph="1">
      <c r="B13" s="201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56" t="s" ph="1">
        <v>177</v>
      </c>
      <c r="D15" s="78">
        <v>5768</v>
      </c>
      <c r="E15" s="78">
        <v>2666</v>
      </c>
      <c r="F15" s="78">
        <v>4552</v>
      </c>
      <c r="G15" s="78">
        <v>4375</v>
      </c>
      <c r="H15" s="78">
        <v>1897</v>
      </c>
      <c r="I15" s="78">
        <v>5209</v>
      </c>
      <c r="J15" s="78">
        <v>5490</v>
      </c>
      <c r="K15" s="78">
        <v>3575</v>
      </c>
      <c r="L15" s="78">
        <v>3072</v>
      </c>
      <c r="M15" s="78">
        <v>6667</v>
      </c>
      <c r="N15" s="78">
        <v>1294</v>
      </c>
      <c r="O15" s="78">
        <v>5329</v>
      </c>
      <c r="P15" s="78">
        <v>6968</v>
      </c>
      <c r="Q15" s="78">
        <v>3506</v>
      </c>
      <c r="R15" s="78">
        <v>7332</v>
      </c>
      <c r="S15" s="78">
        <v>0</v>
      </c>
      <c r="T15" s="78">
        <v>4601</v>
      </c>
      <c r="U15" s="78">
        <v>3862</v>
      </c>
      <c r="V15" s="78">
        <v>4981</v>
      </c>
      <c r="W15" s="71">
        <v>-108</v>
      </c>
      <c r="X15" s="78">
        <v>311</v>
      </c>
      <c r="Y15" s="106">
        <v>-9900</v>
      </c>
      <c r="Z15" s="78">
        <v>0</v>
      </c>
      <c r="AA15" s="78">
        <v>11</v>
      </c>
      <c r="AB15" s="78" ph="1">
        <v>6937</v>
      </c>
      <c r="AC15" s="78" ph="1">
        <v>2139</v>
      </c>
      <c r="AD15" s="78">
        <v>5.38</v>
      </c>
      <c r="AE15" s="78">
        <v>62.17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56" t="s" ph="1">
        <v>178</v>
      </c>
      <c r="D16" s="73" ph="1">
        <f>D15*7.0686*LOOKUP(D17,密度!$A$2:$A$50,密度!$L$2:$L$50)</f>
        <v>38570.013820799999</v>
      </c>
      <c r="E16" s="73" ph="1">
        <f>E15*7.0686*LOOKUP(E17,密度!$A$2:$A$50,密度!$L$2:$L$50)</f>
        <v>17827.263669599997</v>
      </c>
      <c r="F16" s="73" ph="1">
        <f>F15*9.0746*LOOKUP(F17,密度!$A$2:$A$50,密度!$L$2:$L$50)</f>
        <v>39076.969923199998</v>
      </c>
      <c r="G16" s="73" ph="1">
        <f>G15*9.0746*LOOKUP(G17,密度!$A$2:$A$50,密度!$B$2:$B$50)</f>
        <v>31252.922399999999</v>
      </c>
      <c r="H16" s="73" ph="1">
        <f>H15*9.0746*LOOKUP(H17,密度!$A$2:$A$50,密度!$L$2:$L$50)</f>
        <v>16319.361357600001</v>
      </c>
      <c r="I16" s="73" ph="1">
        <f>I15*9.0746*LOOKUP(I17,密度!$A$2:$A$50,密度!$U$2:$U$50)</f>
        <v>48593.139959200002</v>
      </c>
      <c r="J16" s="73" ph="1">
        <f>J15*9.0746*LOOKUP(J17,密度!$A$2:$A$50,密度!$L$2:$L$50)</f>
        <v>47129.298084000002</v>
      </c>
      <c r="K16" s="73" ph="1">
        <f>K15*9.0746*LOOKUP(K17,密度!$A$2:$A$50,密度!$C$2:$C$50)</f>
        <v>36178.978263999998</v>
      </c>
      <c r="L16" s="73" ph="1">
        <f>L15*9.0746*LOOKUP(L17,密度!$A$2:$A$50,密度!$E$2:$E$50)</f>
        <v>22123.32306432</v>
      </c>
      <c r="M16" s="73" ph="1">
        <f>M15*9.0746*LOOKUP(M17,密度!$A$2:$A$50,密度!$M$2:$M$50)</f>
        <v>53258.465323459997</v>
      </c>
      <c r="N16" s="73" ph="1">
        <f>N15*9.0746*LOOKUP(N17,密度!$A$2:$A$50,密度!$M$2:$M$50)</f>
        <v>10336.95127172</v>
      </c>
      <c r="O16" s="73" ph="1">
        <f>O15*9.0746*LOOKUP(O17,密度!$A$2:$A$50,密度!$G$2:$G$50)</f>
        <v>46965.817350079997</v>
      </c>
      <c r="P16" s="73" ph="1">
        <f ca="1">P15*9.0746*LOOKUP(P17,密度!$A$2:$A$51,密度!$Q$2:$Q$50)</f>
        <v>60247.271235839995</v>
      </c>
      <c r="Q16" s="73" ph="1">
        <f>Q15*9.0746*LOOKUP(Q17,密度!$A$2:$A$50,密度!$Q$2:$Q$50)</f>
        <v>30339.306191360003</v>
      </c>
      <c r="R16" s="73" ph="1">
        <f>MAX(R15*9.0746*LOOKUP(R17,密度!$A$2:$A$50,密度!$B$2:$B$50),0)</f>
        <v>52323.098206080002</v>
      </c>
      <c r="S16" s="73" ph="1">
        <f>S15*9.0746*LOOKUP(S17,密度!$A$2:$A$50,密度!$Q$2:$Q$50)</f>
        <v>0</v>
      </c>
      <c r="T16" s="73" ph="1">
        <f>T15*9.0746*LOOKUP(T17,密度!$A$2:$A$50,密度!$O$2:$O$50)</f>
        <v>38996.587116400005</v>
      </c>
      <c r="U16" s="73" ph="1">
        <f>U15*9.0746*LOOKUP(U17,密度!$A$2:$A$50,密度!$H$2:$H$50)</f>
        <v>32372.087373239996</v>
      </c>
      <c r="V16" s="73" ph="1">
        <f>MAX(5600*LOOKUP(V17,密度!$A$2:$A$50,密度!$Q$2:$Q$50)+V15*9.0476*LOOKUP(V17,密度!$A$2:$A$50,密度!$Q$2:$Q$50),0)</f>
        <v>48315.18876415999</v>
      </c>
      <c r="W16" s="73" ph="1">
        <f>MAX(5600*LOOKUP(W17,密度!$A$2:$A$50,密度!$Q$2:$Q$50)+W15*9.0476*LOOKUP(W17,密度!$A$2:$A$50,密度!$Q$2:$Q$50),0)</f>
        <v>4408.3585331200002</v>
      </c>
      <c r="X16" s="73" ph="1">
        <f>MAX(5600*LOOKUP(X17,密度!$A$2:$A$50,密度!$I$2:$I$50)+X15*9.0476*LOOKUP(X17,密度!$A$2:$A$50,密度!$I$2:$I$50),0)</f>
        <v>8751.1971243600001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78.748471340000009</v>
      </c>
      <c r="AB16" s="73" ph="1">
        <f>AB15*9.0746*LOOKUP(AB17,密度!$A$2:$A$50,密度!$L$2:$L$50)</f>
        <v>59488.222689000002</v>
      </c>
      <c r="AC16" s="73" ph="1">
        <f>AC15*9.0746*LOOKUP(AC17,密度!$A$2:$A$50,密度!$L$2:$L$50)</f>
        <v>18401.219791200001</v>
      </c>
      <c r="AD16" s="73" ph="1">
        <f>AD15*268.68*LOOKUP(AD17,密度!$A$2:$A$50,密度!B2:B50)+IF(AD15&lt;=0,0,1566*LOOKUP(AD17,密度!$A$2:$A$50,密度!B2:B50))</f>
        <v>2347.7641526399998</v>
      </c>
      <c r="AE16" s="73" ph="1">
        <f>AE15*268.68*LOOKUP(AE17,密度!$A$2:$A$50,密度!B2:B50)+IF(AE15&lt;=0,0,1566*LOOKUP(AE17,密度!$A$2:$A$50,密度!B2:B50))</f>
        <v>14243.163833760002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16</v>
      </c>
      <c r="E17" s="74">
        <v>16</v>
      </c>
      <c r="F17" s="74">
        <v>16</v>
      </c>
      <c r="G17" s="74">
        <v>16</v>
      </c>
      <c r="H17" s="74">
        <v>14</v>
      </c>
      <c r="I17" s="74">
        <v>14</v>
      </c>
      <c r="J17" s="74">
        <v>16</v>
      </c>
      <c r="K17" s="74">
        <v>16</v>
      </c>
      <c r="L17" s="74">
        <v>16</v>
      </c>
      <c r="M17" s="74">
        <v>16</v>
      </c>
      <c r="N17" s="74">
        <v>14</v>
      </c>
      <c r="O17" s="74">
        <v>15</v>
      </c>
      <c r="P17" s="74">
        <v>17</v>
      </c>
      <c r="Q17" s="74">
        <v>16</v>
      </c>
      <c r="R17" s="74">
        <v>17</v>
      </c>
      <c r="S17" s="74">
        <v>16</v>
      </c>
      <c r="T17" s="74">
        <v>17</v>
      </c>
      <c r="U17" s="74">
        <v>16</v>
      </c>
      <c r="V17" s="74">
        <v>16</v>
      </c>
      <c r="W17" s="74">
        <v>16</v>
      </c>
      <c r="X17" s="74">
        <v>27</v>
      </c>
      <c r="Y17" s="108">
        <v>27</v>
      </c>
      <c r="Z17" s="74">
        <v>15</v>
      </c>
      <c r="AA17" s="74">
        <v>14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5782</v>
      </c>
      <c r="E18" s="71">
        <v>3802</v>
      </c>
      <c r="F18" s="71">
        <v>4553</v>
      </c>
      <c r="G18" s="71">
        <v>4445</v>
      </c>
      <c r="H18" s="71">
        <v>783</v>
      </c>
      <c r="I18" s="71">
        <v>5213</v>
      </c>
      <c r="J18" s="71">
        <v>5490</v>
      </c>
      <c r="K18" s="71">
        <v>3576</v>
      </c>
      <c r="L18" s="71">
        <v>3076</v>
      </c>
      <c r="M18" s="71">
        <v>3746</v>
      </c>
      <c r="N18" s="71">
        <v>1293</v>
      </c>
      <c r="O18" s="71">
        <v>5335</v>
      </c>
      <c r="P18" s="71">
        <v>6980</v>
      </c>
      <c r="Q18" s="71">
        <v>3504</v>
      </c>
      <c r="R18" s="71">
        <v>7345</v>
      </c>
      <c r="S18" s="71">
        <v>0</v>
      </c>
      <c r="T18" s="71">
        <v>4608</v>
      </c>
      <c r="U18" s="71">
        <v>5677</v>
      </c>
      <c r="V18" s="71">
        <v>4982</v>
      </c>
      <c r="W18" s="71">
        <v>-70</v>
      </c>
      <c r="X18" s="71">
        <v>310</v>
      </c>
      <c r="Y18" s="109">
        <v>-9900</v>
      </c>
      <c r="Z18" s="71">
        <v>0</v>
      </c>
      <c r="AA18" s="71">
        <v>11</v>
      </c>
      <c r="AB18" s="71">
        <v>6944</v>
      </c>
      <c r="AC18" s="71">
        <v>2141</v>
      </c>
      <c r="AD18" s="71">
        <v>35.729999999999997</v>
      </c>
      <c r="AE18" s="71">
        <v>84.57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56" t="s" ph="1">
        <v>178</v>
      </c>
      <c r="D19" s="73" ph="1">
        <f>D18*7.0686*LOOKUP(D20,密度!$A$2:$A$50,密度!$L$2:$L$50)</f>
        <v>38500.147778399994</v>
      </c>
      <c r="E19" s="73" ph="1">
        <f>E18*7.0686*LOOKUP(E20,密度!$A$2:$A$50,密度!$L$2:$L$50)</f>
        <v>25316.077802399999</v>
      </c>
      <c r="F19" s="73" ph="1">
        <f>F18*9.0746*LOOKUP(F20,密度!$A$2:$A$50,密度!$L$2:$L$50)</f>
        <v>38920.2878796</v>
      </c>
      <c r="G19" s="73" ph="1">
        <f>G18*9.0746*LOOKUP(G20,密度!$A$2:$A$50,密度!$B$2:$B$50)</f>
        <v>31692.464262900001</v>
      </c>
      <c r="H19" s="73" ph="1">
        <f>H18*9.0746*LOOKUP(H20,密度!$A$2:$A$50,密度!$L$2:$L$50)</f>
        <v>6714.6141509999998</v>
      </c>
      <c r="I19" s="73" ph="1">
        <f>I18*9.0746*LOOKUP(I20,密度!$A$2:$A$50,密度!$U$2:$U$50)</f>
        <v>48630.454714400003</v>
      </c>
      <c r="J19" s="73" ph="1">
        <f>J18*9.0746*LOOKUP(J20,密度!$A$2:$A$50,密度!$L$2:$L$50)</f>
        <v>46979.839422000005</v>
      </c>
      <c r="K19" s="73" ph="1">
        <f>K18*9.0746*LOOKUP(K20,密度!$A$2:$A$50,密度!$C$2:$C$50)</f>
        <v>36124.196718719999</v>
      </c>
      <c r="L19" s="73" ph="1">
        <f>L18*9.0746*LOOKUP(L20,密度!$A$2:$A$50,密度!$E$2:$E$50)</f>
        <v>22060.015024880002</v>
      </c>
      <c r="M19" s="73" ph="1">
        <f>M18*9.0746*LOOKUP(M20,密度!$A$2:$A$50,密度!$M$2:$M$50)</f>
        <v>29924.435443480001</v>
      </c>
      <c r="N19" s="73" ph="1">
        <f>N18*9.0746*LOOKUP(N20,密度!$A$2:$A$50,密度!$M$2:$M$50)</f>
        <v>10328.962901339999</v>
      </c>
      <c r="O19" s="73" ph="1">
        <f>O18*9.0746*LOOKUP(O20,密度!$A$2:$A$50,密度!$G$2:$G$50)</f>
        <v>46762.108006900002</v>
      </c>
      <c r="P19" s="73" ph="1">
        <f ca="1">P18*9.0746*LOOKUP(P20,密度!$A$2:$A$51,密度!$Q$2:$Q$50)</f>
        <v>60251.581670840002</v>
      </c>
      <c r="Q19" s="73" ph="1">
        <f>Q18*9.0746*LOOKUP(Q20,密度!$A$2:$A$50,密度!$Q$2:$Q$50)</f>
        <v>30219.611491392003</v>
      </c>
      <c r="R19" s="73" ph="1">
        <f>MAX(R18*9.0746*LOOKUP(R20,密度!$A$2:$A$50,密度!$B$2:$B$50),0)</f>
        <v>52315.890251300007</v>
      </c>
      <c r="S19" s="73" ph="1">
        <f>S18*9.0746*LOOKUP(S20,密度!$A$2:$A$50,密度!$Q$2:$Q$50)</f>
        <v>0</v>
      </c>
      <c r="T19" s="73" ph="1">
        <f>T18*9.0746*LOOKUP(T20,密度!$A$2:$A$50,密度!$O$2:$O$50)</f>
        <v>39055.916851200003</v>
      </c>
      <c r="U19" s="73" ph="1">
        <f>U18*9.0746*LOOKUP(U20,密度!$A$2:$A$50,密度!$H$2:$H$50)</f>
        <v>47379.72891274</v>
      </c>
      <c r="V19" s="73" ph="1">
        <f>MAX(5600*LOOKUP(V20,密度!$A$2:$A$50,密度!$Q$2:$Q$50)+V18*9.0476*LOOKUP(V20,密度!$A$2:$A$50,密度!$Q$2:$Q$50),0)</f>
        <v>48160.642594415993</v>
      </c>
      <c r="W19" s="73" ph="1">
        <f>MAX(5600*LOOKUP(W20,密度!$A$2:$A$50,密度!$Q$2:$Q$50)+W18*9.0476*LOOKUP(W20,密度!$A$2:$A$50,密度!$Q$2:$Q$50),0)</f>
        <v>4720.22193384</v>
      </c>
      <c r="X19" s="73" ph="1">
        <f>MAX(5600*LOOKUP(X20,密度!$A$2:$A$50,密度!$I$2:$I$50)+X18*9.0476*LOOKUP(X20,密度!$A$2:$A$50,密度!$I$2:$I$50),0)</f>
        <v>8722.4557768000013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78.349188940000005</v>
      </c>
      <c r="AB19" s="73" ph="1">
        <f>AB18*9.0746*LOOKUP(AB20,密度!$A$2:$A$50,密度!$L$2:$L$50)</f>
        <v>59422.223123199998</v>
      </c>
      <c r="AC19" s="73" ph="1">
        <f>AC18*9.0746*LOOKUP(AC20,密度!$A$2:$A$50,密度!$L$2:$L$50)</f>
        <v>18340.7103584</v>
      </c>
      <c r="AD19" s="73" ph="1">
        <f>AD18*268.68*LOOKUP(AD20,密度!$A$2:$A$50,密度!B5:B53)+IF(AD18&lt;=0,0,1566*LOOKUP(AD20,密度!$A$2:$A$50,密度!B5:B53))</f>
        <v>8675.9325827999983</v>
      </c>
      <c r="AE19" s="73" ph="1">
        <f>AE18*268.68*LOOKUP(AE20,密度!$A$2:$A$50,密度!B5:B53)+IF(AE18&lt;=0,0,1566*LOOKUP(AE20,密度!$A$2:$A$50,密度!B5:B53))</f>
        <v>18871.983925199998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20</v>
      </c>
      <c r="E20" s="81">
        <v>20</v>
      </c>
      <c r="F20" s="81">
        <v>20</v>
      </c>
      <c r="G20" s="81">
        <v>18</v>
      </c>
      <c r="H20" s="81">
        <v>17</v>
      </c>
      <c r="I20" s="81">
        <v>18</v>
      </c>
      <c r="J20" s="81">
        <v>19</v>
      </c>
      <c r="K20" s="81">
        <v>19</v>
      </c>
      <c r="L20" s="81">
        <v>19</v>
      </c>
      <c r="M20" s="81">
        <v>19</v>
      </c>
      <c r="N20" s="81">
        <v>19</v>
      </c>
      <c r="O20" s="81">
        <v>20</v>
      </c>
      <c r="P20" s="81">
        <v>19</v>
      </c>
      <c r="Q20" s="81">
        <v>20</v>
      </c>
      <c r="R20" s="81">
        <v>19</v>
      </c>
      <c r="S20" s="81">
        <v>20</v>
      </c>
      <c r="T20" s="81">
        <v>19</v>
      </c>
      <c r="U20" s="81">
        <v>20</v>
      </c>
      <c r="V20" s="81">
        <v>20</v>
      </c>
      <c r="W20" s="81">
        <v>20</v>
      </c>
      <c r="X20" s="81">
        <v>29</v>
      </c>
      <c r="Y20" s="110">
        <v>29</v>
      </c>
      <c r="Z20" s="81">
        <v>18</v>
      </c>
      <c r="AA20" s="81">
        <v>19</v>
      </c>
      <c r="AB20" s="81">
        <v>19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644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56" t="s" ph="1">
        <v>177</v>
      </c>
      <c r="D24" s="71">
        <v>53.4</v>
      </c>
      <c r="E24" s="71">
        <v>5.56</v>
      </c>
      <c r="F24" s="71">
        <v>2729</v>
      </c>
      <c r="G24" s="71">
        <v>3048</v>
      </c>
      <c r="H24" s="71">
        <v>3684</v>
      </c>
      <c r="I24" s="71">
        <v>1252</v>
      </c>
      <c r="J24" s="71">
        <v>453</v>
      </c>
      <c r="K24" s="71">
        <v>4373</v>
      </c>
      <c r="L24" s="71">
        <v>5536</v>
      </c>
      <c r="M24" s="71">
        <v>5066</v>
      </c>
      <c r="N24" s="71">
        <v>2844</v>
      </c>
      <c r="O24" s="71">
        <v>5715</v>
      </c>
      <c r="P24" s="71">
        <v>3262</v>
      </c>
      <c r="Q24" s="90">
        <v>3539</v>
      </c>
      <c r="R24" s="71">
        <v>4623</v>
      </c>
      <c r="S24" s="71">
        <v>5092</v>
      </c>
      <c r="T24" s="71">
        <v>179</v>
      </c>
      <c r="U24" s="71">
        <v>4288</v>
      </c>
      <c r="V24" s="71">
        <v>4513</v>
      </c>
      <c r="W24" s="71">
        <v>3878</v>
      </c>
      <c r="X24" s="71">
        <v>6525</v>
      </c>
      <c r="Y24" s="71">
        <v>3833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15065.958350880001</v>
      </c>
      <c r="E25" s="91" ph="1">
        <f>E24*268.68*LOOKUP(E26,密度!$A$2:$A$50,密度!$C$2:$C$50)+IF(E24&lt;=0,0,1566*LOOKUP(E26,密度!$A$2:$A$50,密度!$C$2:$C$50))</f>
        <v>3393.0796411199999</v>
      </c>
      <c r="F25" s="91" ph="1">
        <f>F24*11.702*LOOKUP(F26,密度!$A$2:$A$50,密度!$Q$2:$Q$50)</f>
        <v>30427.437422400002</v>
      </c>
      <c r="G25" s="91" ph="1">
        <f>G24*18.322*LOOKUP(G26,密度!$A$2:$A$50,密度!$B$2:$B$50)</f>
        <v>43916.866598399996</v>
      </c>
      <c r="H25" s="91" ph="1">
        <f>H24*18.322*LOOKUP(H26,密度!$A$2:$A$50,密度!$B$2:$B$50)</f>
        <v>53080.622227199994</v>
      </c>
      <c r="I25" s="91" ph="1">
        <f>I24*18.322*LOOKUP(I26,密度!$A$2:$A$50,密度!$Q$2:$Q$50)</f>
        <v>21874.767718399999</v>
      </c>
      <c r="J25" s="91" ph="1">
        <f>J24*18.322*LOOKUP(J26,密度!$A$2:$A$50,密度!$Q$2:$Q$50)</f>
        <v>7908.1123247999994</v>
      </c>
      <c r="K25" s="91" ph="1">
        <f>K24*18.322*LOOKUP(K26,密度!$A$2:$A$50,密度!$Q$2:$Q$50)</f>
        <v>76404.440281599993</v>
      </c>
      <c r="L25" s="91" ph="1">
        <f>L24*18.322*LOOKUP(L26,密度!$A$2:$A$50,密度!$Q$2:$Q$50)</f>
        <v>96643.068057599987</v>
      </c>
      <c r="M25" s="91" ph="1">
        <f>M24*18.322*LOOKUP(M26,密度!$A$2:$A$50,密度!$Q$2:$Q$50)</f>
        <v>88512.438707199995</v>
      </c>
      <c r="N25" s="91" ph="1">
        <f>N24*18.322*LOOKUP(N26,密度!$A$2:$A$50,密度!$Q$2:$Q$50)</f>
        <v>49689.967564799997</v>
      </c>
      <c r="O25" s="91" ph="1">
        <f>O24*18.322*LOOKUP(O26,密度!$A$2:$A$50,密度!$C$2:$C$50)</f>
        <v>116772.84849599999</v>
      </c>
      <c r="P25" s="91" ph="1">
        <f>P24*11.702*LOOKUP(P26,密度!$A$2:$A$50,密度!$B$2:$B$50)</f>
        <v>30018.401033599999</v>
      </c>
      <c r="Q25" s="92" ph="1">
        <f>Q24*18.322*LOOKUP(Q26,密度!$A$2:$A$50,密度!$B$2:$B$50)</f>
        <v>50991.401211199998</v>
      </c>
      <c r="R25" s="91" ph="1">
        <f>R24*35.891*LOOKUP(R26,密度!$A$2:$A$50,密度!$C$2:$C$50)</f>
        <v>184922.4016485</v>
      </c>
      <c r="S25" s="91" ph="1">
        <f>S24*35.891*LOOKUP(S26,密度!$A$2:$A$50,密度!$B$2:$B$50)</f>
        <v>143720.08278079997</v>
      </c>
      <c r="T25" s="91" ph="1">
        <f>T24*35.891*LOOKUP(T26,密度!$A$2:$A$50,密度!$Q$2:$Q$50)</f>
        <v>6126.3927103999995</v>
      </c>
      <c r="U25" s="91" ph="1">
        <f>U24*35.891</f>
        <v>153900.60799999998</v>
      </c>
      <c r="V25" s="91" ph="1">
        <f>V24*47.051*LOOKUP(V26,密度!$A$2:$A$50,密度!$B$2:$B$50)</f>
        <v>167154.9635136</v>
      </c>
      <c r="W25" s="91" ph="1">
        <f>W24*47.051*LOOKUP(W26,密度!$A$2:$A$50,密度!$B$2:$B$50)</f>
        <v>143489.51501920001</v>
      </c>
      <c r="X25" s="91" ph="1">
        <f>X24*47.051*LOOKUP(X26,密度!$A$2:$A$61,密度!$I$2:$I$61)</f>
        <v>311397.98618250003</v>
      </c>
      <c r="Y25" s="91" ph="1">
        <f>Y24*47.051*LOOKUP(Y26,密度!$A$2:$A$50,密度!$L$2:$L$50)</f>
        <v>170607.772918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17</v>
      </c>
      <c r="G26" s="74">
        <v>17</v>
      </c>
      <c r="H26" s="74">
        <v>17</v>
      </c>
      <c r="I26" s="74">
        <v>16</v>
      </c>
      <c r="J26" s="74">
        <v>17</v>
      </c>
      <c r="K26" s="74">
        <v>16</v>
      </c>
      <c r="L26" s="74">
        <v>17</v>
      </c>
      <c r="M26" s="74">
        <v>16</v>
      </c>
      <c r="N26" s="74">
        <v>16</v>
      </c>
      <c r="O26" s="74">
        <v>16</v>
      </c>
      <c r="P26" s="74">
        <v>17</v>
      </c>
      <c r="Q26" s="93">
        <v>17</v>
      </c>
      <c r="R26" s="74">
        <v>17</v>
      </c>
      <c r="S26" s="74">
        <v>17</v>
      </c>
      <c r="T26" s="74">
        <v>16</v>
      </c>
      <c r="U26" s="74">
        <v>17</v>
      </c>
      <c r="V26" s="74">
        <v>16</v>
      </c>
      <c r="W26" s="74">
        <v>17</v>
      </c>
      <c r="X26" s="74">
        <v>50</v>
      </c>
      <c r="Y26" s="74">
        <v>16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56" t="s" ph="1">
        <v>180</v>
      </c>
      <c r="D27" s="71">
        <v>13.51</v>
      </c>
      <c r="E27" s="71">
        <v>5.53</v>
      </c>
      <c r="F27" s="71">
        <v>1835</v>
      </c>
      <c r="G27" s="71">
        <v>2529</v>
      </c>
      <c r="H27" s="71">
        <v>2588</v>
      </c>
      <c r="I27" s="71">
        <v>1250</v>
      </c>
      <c r="J27" s="71">
        <v>449</v>
      </c>
      <c r="K27" s="71">
        <v>3711</v>
      </c>
      <c r="L27" s="71">
        <v>5533</v>
      </c>
      <c r="M27" s="71">
        <v>5067</v>
      </c>
      <c r="N27" s="71">
        <v>2841</v>
      </c>
      <c r="O27" s="71">
        <v>5713</v>
      </c>
      <c r="P27" s="71">
        <v>3552</v>
      </c>
      <c r="Q27" s="90">
        <v>3823</v>
      </c>
      <c r="R27" s="71">
        <v>4620</v>
      </c>
      <c r="S27" s="71">
        <v>5092</v>
      </c>
      <c r="T27" s="71">
        <v>174</v>
      </c>
      <c r="U27" s="71">
        <v>4206</v>
      </c>
      <c r="V27" s="71">
        <v>4983</v>
      </c>
      <c r="W27" s="71">
        <v>3494</v>
      </c>
      <c r="X27" s="71">
        <v>6762</v>
      </c>
      <c r="Y27" s="71">
        <v>2251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56" t="s" ph="1">
        <v>178</v>
      </c>
      <c r="D28" s="91" ph="1">
        <f>D27*268.68*LOOKUP(D29,密度!$A$2:$A$50,密度!$Q$2:$Q$50)+IF(D27&lt;=0,0,1566*LOOKUP(D29,密度!$A$2:$A$50,密度!$Q$2:$Q$50))</f>
        <v>4919.134934232</v>
      </c>
      <c r="E28" s="91" ph="1">
        <f>E27*268.68*LOOKUP(E29,密度!$A$2:$A$50,密度!$C$2:$C$50)+IF(E27&lt;=0,0,1566*LOOKUP(E29,密度!$A$2:$A$50,密度!$C$2:$C$50))</f>
        <v>3384.1414635599999</v>
      </c>
      <c r="F28" s="91" ph="1">
        <f>F27*11.702*LOOKUP(F29,密度!$A$2:$A$50,密度!$Q$2:$Q$50)</f>
        <v>20425.923499099998</v>
      </c>
      <c r="G28" s="91" ph="1">
        <f>G27*18.322*LOOKUP(G29,密度!$A$2:$A$50,密度!$B$2:$B$50)</f>
        <v>36332.3226258</v>
      </c>
      <c r="H28" s="91" ph="1">
        <f>H27*18.322*LOOKUP(H29,密度!$A$2:$A$50,密度!$B$2:$B$50)</f>
        <v>37179.933157599997</v>
      </c>
      <c r="I28" s="91" ph="1">
        <f>I27*18.322*LOOKUP(I29,密度!$A$2:$A$50,密度!$Q$2:$Q$50)</f>
        <v>21785.545075000002</v>
      </c>
      <c r="J28" s="91" ph="1">
        <f>J27*18.322*LOOKUP(J29,密度!$A$2:$A$50,密度!$Q$2:$Q$50)</f>
        <v>7825.3677909399994</v>
      </c>
      <c r="K28" s="91" ph="1">
        <f>K27*18.322*LOOKUP(K29,密度!$A$2:$A$50,密度!$Q$2:$Q$50)</f>
        <v>64619.132217959996</v>
      </c>
      <c r="L28" s="91" ph="1">
        <f>L27*18.322*LOOKUP(L29,密度!$A$2:$A$50,密度!$Q$2:$Q$50)</f>
        <v>96345.367437879991</v>
      </c>
      <c r="M28" s="91" ph="1">
        <f>M27*18.322*LOOKUP(M29,密度!$A$2:$A$50,密度!$Q$2:$Q$50)</f>
        <v>88309.885516019989</v>
      </c>
      <c r="N28" s="91" ph="1">
        <f>N27*18.322*LOOKUP(N29,密度!$A$2:$A$50,密度!$Q$2:$Q$50)</f>
        <v>49514.186846459997</v>
      </c>
      <c r="O28" s="91" ph="1">
        <f>O27*18.322*LOOKUP(O29,密度!$A$2:$A$50,密度!$C$2:$C$50)</f>
        <v>116522.63593519999</v>
      </c>
      <c r="P28" s="91" ph="1">
        <f>P27*11.702*LOOKUP(P29,密度!$A$2:$A$50,密度!$B$2:$B$50)</f>
        <v>32624.764089600001</v>
      </c>
      <c r="Q28" s="92" ph="1">
        <f>Q27*18.322*LOOKUP(Q29,密度!$A$2:$A$50,密度!$B$2:$B$50)</f>
        <v>54978.325209399998</v>
      </c>
      <c r="R28" s="91" ph="1">
        <f>R27*35.891*LOOKUP(R29,密度!$A$2:$A$50,密度!$C$2:$C$50)</f>
        <v>184487.34889199998</v>
      </c>
      <c r="S28" s="91" ph="1">
        <f>S27*35.891*LOOKUP(S29,密度!$A$2:$A$50,密度!$B$2:$B$50)</f>
        <v>143445.9473228</v>
      </c>
      <c r="T28" s="91" ph="1">
        <f>T27*35.891*LOOKUP(T29,密度!$A$2:$A$50,密度!$Q$2:$Q$50)</f>
        <v>5935.1554129199994</v>
      </c>
      <c r="U28" s="91" ph="1">
        <f>U27*35.891</f>
        <v>150957.546</v>
      </c>
      <c r="V28" s="91" ph="1">
        <f>V27*47.051*LOOKUP(V29,密度!$A$2:$A$50,密度!$B$2:$B$50)</f>
        <v>184023.83389170002</v>
      </c>
      <c r="W28" s="91" ph="1">
        <f>W27*47.051*LOOKUP(W29,密度!$A$2:$A$50,密度!$B$2:$B$50)</f>
        <v>129034.57267060003</v>
      </c>
      <c r="X28" s="91" ph="1">
        <f>X27*47.051*LOOKUP(X29,密度!$A$2:$A$61,密度!$I$2:$I$61)</f>
        <v>325221.98873640003</v>
      </c>
      <c r="Y28" s="91" ph="1">
        <f>Y27*47.051*LOOKUP(Y29,密度!$A$2:$A$50,密度!$L$2:$L$50)</f>
        <v>99874.828343000001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56" t="s" ph="1">
        <v>179</v>
      </c>
      <c r="D29" s="74">
        <v>25</v>
      </c>
      <c r="E29" s="74">
        <v>25</v>
      </c>
      <c r="F29" s="74">
        <v>19</v>
      </c>
      <c r="G29" s="74">
        <v>20</v>
      </c>
      <c r="H29" s="74">
        <v>20</v>
      </c>
      <c r="I29" s="74">
        <v>19</v>
      </c>
      <c r="J29" s="74">
        <v>19</v>
      </c>
      <c r="K29" s="74">
        <v>20</v>
      </c>
      <c r="L29" s="74">
        <v>20</v>
      </c>
      <c r="M29" s="74">
        <v>19</v>
      </c>
      <c r="N29" s="74">
        <v>19</v>
      </c>
      <c r="O29" s="74">
        <v>19</v>
      </c>
      <c r="P29" s="74">
        <v>19</v>
      </c>
      <c r="Q29" s="93">
        <v>19</v>
      </c>
      <c r="R29" s="74">
        <v>20</v>
      </c>
      <c r="S29" s="74">
        <v>19</v>
      </c>
      <c r="T29" s="74">
        <v>20</v>
      </c>
      <c r="U29" s="74">
        <v>19</v>
      </c>
      <c r="V29" s="74">
        <v>19</v>
      </c>
      <c r="W29" s="74">
        <v>19</v>
      </c>
      <c r="X29" s="74">
        <v>43</v>
      </c>
      <c r="Y29" s="74">
        <v>19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235099.84507559999</v>
      </c>
      <c r="E33" s="215" ph="1">
        <f>M10+I10</f>
        <v>27079.5786592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19" ph="1">
        <f>N19</f>
        <v>10328.962901339999</v>
      </c>
      <c r="H33" s="215" ph="1">
        <f>M19</f>
        <v>29924.435443480001</v>
      </c>
      <c r="I33" s="228" ph="1">
        <v>0</v>
      </c>
      <c r="J33" s="226" ph="1">
        <f>F10+O28</f>
        <v>326693.91917569999</v>
      </c>
      <c r="K33" s="215" ph="1">
        <f>O10+K10+E28+R28</f>
        <v>232433.99889995999</v>
      </c>
      <c r="L33" s="230" ph="1">
        <f>K19</f>
        <v>36124.196718719999</v>
      </c>
      <c r="M33" s="226" ph="1">
        <f>G10+H10+W28+S28+V28+E10+R19+P28+Q28</f>
        <v>727430.17547140003</v>
      </c>
      <c r="N33" s="215" ph="1">
        <f>L10+P10++G28+H28+AD19+AE19</f>
        <v>145441.20024040001</v>
      </c>
      <c r="O33" s="228" ph="1">
        <f>G19</f>
        <v>31692.464262900001</v>
      </c>
      <c r="P33" s="226" ph="1">
        <f>L19</f>
        <v>22060.015024880002</v>
      </c>
      <c r="Q33" s="215" ph="1">
        <f>J10+N10</f>
        <v>110057.38594479999</v>
      </c>
      <c r="R33" s="228" ph="1">
        <f>BE23</f>
        <v>890</v>
      </c>
      <c r="S33" s="226" ph="1">
        <f>X28</f>
        <v>325221.98873640003</v>
      </c>
      <c r="T33" s="215" ph="1">
        <f>X19</f>
        <v>8722.4557768000013</v>
      </c>
      <c r="U33" s="236" ph="1">
        <f>BE21</f>
        <v>730</v>
      </c>
      <c r="V33" s="247" ph="1">
        <f ca="1">P19+Q19+S19+M28+N28+J28+D10+AC10+D19+E19+H19+J19+O19+V19+W19+K28+L28</f>
        <v>1242592.9085115981</v>
      </c>
      <c r="W33" s="247" ph="1">
        <f>D28+F28+T28+I28</f>
        <v>53065.758921251996</v>
      </c>
      <c r="X33" s="228" ph="1">
        <f>BE29+BE31</f>
        <v>10200</v>
      </c>
      <c r="Y33" s="249" ph="1">
        <f>+Q10+R10+S10+T10+U10+V10+W10+X10+Y10</f>
        <v>217167.28304039998</v>
      </c>
      <c r="Z33" s="234" ph="1">
        <f>T19+U19+Y28+Z10</f>
        <v>318515.52806694002</v>
      </c>
      <c r="AA33" s="236" ph="1">
        <f>BE19</f>
        <v>1440</v>
      </c>
      <c r="AB33" s="238" ph="1">
        <f>I19</f>
        <v>48630.454714400003</v>
      </c>
      <c r="AC33" s="240" ph="1">
        <f>AD10+AB19</f>
        <v>153552.81288320001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54" t="s" ph="1">
        <v>185</v>
      </c>
      <c r="AA36" s="154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59" priority="100">
      <formula>ABS(D$7-D$10)&gt;=1000</formula>
    </cfRule>
  </conditionalFormatting>
  <conditionalFormatting sqref="E4 E6:E11">
    <cfRule type="expression" dxfId="1558" priority="99">
      <formula>ABS(E$7-E$10)&gt;=1000</formula>
    </cfRule>
  </conditionalFormatting>
  <conditionalFormatting sqref="F4:F11">
    <cfRule type="expression" dxfId="1557" priority="98">
      <formula>ABS(F$7-F$10)&gt;=1000</formula>
    </cfRule>
  </conditionalFormatting>
  <conditionalFormatting sqref="G4:G11">
    <cfRule type="expression" dxfId="1556" priority="97">
      <formula>ABS(G$7-G$10)&gt;=1000</formula>
    </cfRule>
  </conditionalFormatting>
  <conditionalFormatting sqref="H4:H11">
    <cfRule type="expression" dxfId="1555" priority="96">
      <formula>ABS(H$7-H$10)&gt;=1000</formula>
    </cfRule>
  </conditionalFormatting>
  <conditionalFormatting sqref="I4:I11">
    <cfRule type="expression" dxfId="1554" priority="95">
      <formula>ABS(I$7-I$10)&gt;=1000</formula>
    </cfRule>
  </conditionalFormatting>
  <conditionalFormatting sqref="J4:J11">
    <cfRule type="expression" dxfId="1553" priority="94">
      <formula>ABS(J$7-J$10)&gt;=1000</formula>
    </cfRule>
  </conditionalFormatting>
  <conditionalFormatting sqref="K4:K11">
    <cfRule type="expression" dxfId="1552" priority="93">
      <formula>ABS(K$7-K$10)&gt;=1000</formula>
    </cfRule>
  </conditionalFormatting>
  <conditionalFormatting sqref="L4:L11">
    <cfRule type="expression" dxfId="1551" priority="92">
      <formula>ABS(L$7-L$10)&gt;=1000</formula>
    </cfRule>
  </conditionalFormatting>
  <conditionalFormatting sqref="M4 M6:M11">
    <cfRule type="expression" dxfId="1550" priority="91">
      <formula>ABS(M$7-M$10)&gt;=1000</formula>
    </cfRule>
  </conditionalFormatting>
  <conditionalFormatting sqref="N4 N6:N11">
    <cfRule type="expression" dxfId="1549" priority="90">
      <formula>ABS(N$7-N$10)&gt;=1000</formula>
    </cfRule>
  </conditionalFormatting>
  <conditionalFormatting sqref="O4 O6:O11">
    <cfRule type="expression" dxfId="1548" priority="89">
      <formula>ABS(O$7-O$10)&gt;=1000</formula>
    </cfRule>
  </conditionalFormatting>
  <conditionalFormatting sqref="P4 P6:P11">
    <cfRule type="expression" dxfId="1547" priority="88">
      <formula>ABS(P$7-P$10)&gt;=1000</formula>
    </cfRule>
  </conditionalFormatting>
  <conditionalFormatting sqref="Q4:Q11">
    <cfRule type="expression" dxfId="1546" priority="87">
      <formula>ABS(Q$7-Q$10)&gt;=1000</formula>
    </cfRule>
  </conditionalFormatting>
  <conditionalFormatting sqref="R4:R11">
    <cfRule type="expression" dxfId="1545" priority="86">
      <formula>ABS(R$7-R$10)&gt;=1000</formula>
    </cfRule>
  </conditionalFormatting>
  <conditionalFormatting sqref="S4:S11">
    <cfRule type="expression" dxfId="1544" priority="85">
      <formula>ABS(S$7-S$10)&gt;=1000</formula>
    </cfRule>
  </conditionalFormatting>
  <conditionalFormatting sqref="T4:T9 T11">
    <cfRule type="expression" dxfId="1543" priority="84">
      <formula>ABS(T$7-T$10)&gt;=1000</formula>
    </cfRule>
  </conditionalFormatting>
  <conditionalFormatting sqref="U4:U9 U11">
    <cfRule type="expression" dxfId="1542" priority="83">
      <formula>ABS(U$7-U$10)&gt;=1000</formula>
    </cfRule>
  </conditionalFormatting>
  <conditionalFormatting sqref="V4:V9 V11">
    <cfRule type="expression" dxfId="1541" priority="82">
      <formula>ABS(V$7-V$10)&gt;=1000</formula>
    </cfRule>
  </conditionalFormatting>
  <conditionalFormatting sqref="W4:W9 W11">
    <cfRule type="expression" dxfId="1540" priority="81">
      <formula>ABS(W$7-W$10)&gt;=1000</formula>
    </cfRule>
  </conditionalFormatting>
  <conditionalFormatting sqref="X4:X9 X11">
    <cfRule type="expression" dxfId="1539" priority="80">
      <formula>ABS(X$7-X$10)&gt;=1000</formula>
    </cfRule>
  </conditionalFormatting>
  <conditionalFormatting sqref="Y4:Y9 Y11">
    <cfRule type="expression" dxfId="1538" priority="79">
      <formula>ABS(Y$7-Y$10)&gt;=1000</formula>
    </cfRule>
  </conditionalFormatting>
  <conditionalFormatting sqref="Z4:Z11">
    <cfRule type="expression" dxfId="1537" priority="78">
      <formula>ABS(Z$7-Z$10)&gt;=1000</formula>
    </cfRule>
  </conditionalFormatting>
  <conditionalFormatting sqref="AA4:AA11">
    <cfRule type="expression" dxfId="1536" priority="77">
      <formula>ABS(AA$7-AA$10)&gt;=1000</formula>
    </cfRule>
  </conditionalFormatting>
  <conditionalFormatting sqref="AB4:AB11">
    <cfRule type="expression" dxfId="1535" priority="76">
      <formula>ABS(AB$7-AB$10)&gt;=1000</formula>
    </cfRule>
  </conditionalFormatting>
  <conditionalFormatting sqref="AC4 AC6:AC11">
    <cfRule type="expression" dxfId="1534" priority="75">
      <formula>ABS(AC$7-AC$10)&gt;=1000</formula>
    </cfRule>
  </conditionalFormatting>
  <conditionalFormatting sqref="AD4 AD6:AD11">
    <cfRule type="expression" dxfId="1533" priority="74">
      <formula>ABS(AD$7-AD$10)&gt;=1000</formula>
    </cfRule>
  </conditionalFormatting>
  <conditionalFormatting sqref="AE4 AE6:AE11">
    <cfRule type="expression" dxfId="1532" priority="73">
      <formula>ABS(AE$7-AE$10)&gt;=1000</formula>
    </cfRule>
  </conditionalFormatting>
  <conditionalFormatting sqref="D13:D20">
    <cfRule type="expression" dxfId="1531" priority="72">
      <formula>ABS(D$16-D$19)&gt;=1000</formula>
    </cfRule>
  </conditionalFormatting>
  <conditionalFormatting sqref="E13:E20">
    <cfRule type="expression" dxfId="1530" priority="71">
      <formula>ABS(E$16-E$19)&gt;=1000</formula>
    </cfRule>
  </conditionalFormatting>
  <conditionalFormatting sqref="F13 F15:F20">
    <cfRule type="expression" dxfId="1529" priority="70">
      <formula>ABS(F$16-F$19)&gt;=1000</formula>
    </cfRule>
  </conditionalFormatting>
  <conditionalFormatting sqref="G13:G20">
    <cfRule type="expression" dxfId="1528" priority="69">
      <formula>ABS(G$16-G$19)&gt;=1000</formula>
    </cfRule>
  </conditionalFormatting>
  <conditionalFormatting sqref="H13 H15:H20">
    <cfRule type="expression" dxfId="1527" priority="68">
      <formula>ABS(H$16-H$19)&gt;=1000</formula>
    </cfRule>
  </conditionalFormatting>
  <conditionalFormatting sqref="I13:I20">
    <cfRule type="expression" dxfId="1526" priority="67">
      <formula>ABS(I$16-I$19)&gt;=1000</formula>
    </cfRule>
  </conditionalFormatting>
  <conditionalFormatting sqref="J13:J20">
    <cfRule type="expression" dxfId="1525" priority="66">
      <formula>ABS(J$16-J$19)&gt;=1000</formula>
    </cfRule>
  </conditionalFormatting>
  <conditionalFormatting sqref="L13:L20">
    <cfRule type="expression" dxfId="1524" priority="65">
      <formula>ABS(L$16-L$19)&gt;=1000</formula>
    </cfRule>
  </conditionalFormatting>
  <conditionalFormatting sqref="M13 M15 M17:M18 M20">
    <cfRule type="expression" dxfId="1523" priority="64">
      <formula>ABS(M$16-M$19)&gt;=1000</formula>
    </cfRule>
  </conditionalFormatting>
  <conditionalFormatting sqref="N13:N20">
    <cfRule type="expression" dxfId="1522" priority="63">
      <formula>ABS(N$16-N$19)&gt;=1000</formula>
    </cfRule>
  </conditionalFormatting>
  <conditionalFormatting sqref="O13:O20">
    <cfRule type="expression" dxfId="1521" priority="62">
      <formula>ABS(O$16-O$19)&gt;=1000</formula>
    </cfRule>
  </conditionalFormatting>
  <conditionalFormatting sqref="P13:P20">
    <cfRule type="expression" dxfId="1520" priority="61">
      <formula>ABS(P$16-P$19)&gt;=1000</formula>
    </cfRule>
  </conditionalFormatting>
  <conditionalFormatting sqref="Q13 Q15:Q20">
    <cfRule type="expression" dxfId="1519" priority="60">
      <formula>ABS(Q$16-Q$19)&gt;=1000</formula>
    </cfRule>
  </conditionalFormatting>
  <conditionalFormatting sqref="R13:R20">
    <cfRule type="expression" dxfId="1518" priority="59">
      <formula>ABS(R$16-R$19)&gt;=1000</formula>
    </cfRule>
  </conditionalFormatting>
  <conditionalFormatting sqref="S13:S20">
    <cfRule type="expression" dxfId="1517" priority="58">
      <formula>ABS(S$16-S$19)&gt;=1000</formula>
    </cfRule>
  </conditionalFormatting>
  <conditionalFormatting sqref="T13:T20">
    <cfRule type="expression" dxfId="1516" priority="57">
      <formula>ABS(T$16-T$19)&gt;=1000</formula>
    </cfRule>
  </conditionalFormatting>
  <conditionalFormatting sqref="U13:U20">
    <cfRule type="expression" dxfId="1515" priority="56">
      <formula>ABS(U$16-U$19)&gt;=1000</formula>
    </cfRule>
  </conditionalFormatting>
  <conditionalFormatting sqref="V13:V20">
    <cfRule type="expression" dxfId="1514" priority="55">
      <formula>ABS(V$16-V$19)&gt;=1000</formula>
    </cfRule>
  </conditionalFormatting>
  <conditionalFormatting sqref="W13 W20 W15:W18">
    <cfRule type="expression" dxfId="1513" priority="54">
      <formula>ABS(W$16-W$19)&gt;=1000</formula>
    </cfRule>
  </conditionalFormatting>
  <conditionalFormatting sqref="X13 X15:X20 Y19">
    <cfRule type="expression" dxfId="1512" priority="53">
      <formula>ABS(X$16-X$19)&gt;=1000</formula>
    </cfRule>
  </conditionalFormatting>
  <conditionalFormatting sqref="Y13 Y15:Y18 Y20">
    <cfRule type="expression" dxfId="1511" priority="52">
      <formula>ABS(Y$16-Y$19)&gt;=1000</formula>
    </cfRule>
  </conditionalFormatting>
  <conditionalFormatting sqref="Z13:Z20">
    <cfRule type="expression" dxfId="1510" priority="51">
      <formula>ABS(Z$16-Z$19)&gt;=1000</formula>
    </cfRule>
  </conditionalFormatting>
  <conditionalFormatting sqref="AA13:AA20">
    <cfRule type="expression" dxfId="1509" priority="50">
      <formula>ABS(AA$16-AA$19)&gt;=1000</formula>
    </cfRule>
  </conditionalFormatting>
  <conditionalFormatting sqref="AB13 AB15:AB20">
    <cfRule type="expression" dxfId="1508" priority="49">
      <formula>ABS(AB$16-AB$19)&gt;=1000</formula>
    </cfRule>
  </conditionalFormatting>
  <conditionalFormatting sqref="AC13 AC15:AC20">
    <cfRule type="expression" dxfId="1507" priority="48">
      <formula>ABS(AC$16-AC$19)&gt;=1000</formula>
    </cfRule>
  </conditionalFormatting>
  <conditionalFormatting sqref="AD13:AD20">
    <cfRule type="expression" dxfId="1506" priority="47">
      <formula>ABS(AD$16-AD$19)&gt;=1000</formula>
    </cfRule>
  </conditionalFormatting>
  <conditionalFormatting sqref="AE13:AE20">
    <cfRule type="expression" dxfId="1505" priority="46">
      <formula>ABS(AE$16-AE$19)&gt;=1000</formula>
    </cfRule>
  </conditionalFormatting>
  <conditionalFormatting sqref="D22:D29">
    <cfRule type="expression" dxfId="1504" priority="45">
      <formula>ABS(D$25-D$28)&gt;=1000</formula>
    </cfRule>
  </conditionalFormatting>
  <conditionalFormatting sqref="E22:E29">
    <cfRule type="expression" dxfId="1503" priority="44">
      <formula>ABS(E$25-E$28)&gt;=1000</formula>
    </cfRule>
  </conditionalFormatting>
  <conditionalFormatting sqref="F22:F29">
    <cfRule type="expression" dxfId="1502" priority="43">
      <formula>ABS(F$25-F$28)&gt;=1000</formula>
    </cfRule>
  </conditionalFormatting>
  <conditionalFormatting sqref="G22:G29">
    <cfRule type="expression" dxfId="1501" priority="42">
      <formula>ABS(G$25-G$28)&gt;=1000</formula>
    </cfRule>
  </conditionalFormatting>
  <conditionalFormatting sqref="H22:H29">
    <cfRule type="expression" dxfId="1500" priority="41">
      <formula>ABS(H$25-H$28)&gt;=1000</formula>
    </cfRule>
  </conditionalFormatting>
  <conditionalFormatting sqref="I22 I24:I29">
    <cfRule type="expression" dxfId="1499" priority="40">
      <formula>ABS(I$25-I$28)&gt;=1000</formula>
    </cfRule>
  </conditionalFormatting>
  <conditionalFormatting sqref="J22:J29 K22">
    <cfRule type="expression" dxfId="1498" priority="39">
      <formula>ABS(J$25-J$28)&gt;=1000</formula>
    </cfRule>
  </conditionalFormatting>
  <conditionalFormatting sqref="K23:K29 L25 L28">
    <cfRule type="expression" dxfId="1497" priority="38">
      <formula>ABS(K$25-K$28)&gt;=1000</formula>
    </cfRule>
  </conditionalFormatting>
  <conditionalFormatting sqref="L22 L26:L27 L29 L24">
    <cfRule type="expression" dxfId="1496" priority="37">
      <formula>ABS(L$25-L$28)&gt;=1000</formula>
    </cfRule>
  </conditionalFormatting>
  <conditionalFormatting sqref="M22:M29">
    <cfRule type="expression" dxfId="1495" priority="36">
      <formula>ABS(M$25-M$28)&gt;=1000</formula>
    </cfRule>
  </conditionalFormatting>
  <conditionalFormatting sqref="N22:N29">
    <cfRule type="expression" dxfId="1494" priority="35">
      <formula>ABS(N$25-N$28)&gt;=1000</formula>
    </cfRule>
  </conditionalFormatting>
  <conditionalFormatting sqref="O22:O29">
    <cfRule type="expression" dxfId="1493" priority="34">
      <formula>ABS(O$25-O$28)&gt;=1000</formula>
    </cfRule>
  </conditionalFormatting>
  <conditionalFormatting sqref="P22:P29">
    <cfRule type="expression" dxfId="1492" priority="33">
      <formula>ABS(P$25-P$28)&gt;=1000</formula>
    </cfRule>
  </conditionalFormatting>
  <conditionalFormatting sqref="Q22:Q29">
    <cfRule type="expression" dxfId="1491" priority="32">
      <formula>ABS(Q$25-Q$28)&gt;=1000</formula>
    </cfRule>
  </conditionalFormatting>
  <conditionalFormatting sqref="R22:R29">
    <cfRule type="expression" dxfId="1490" priority="31">
      <formula>ABS(R$25-R$28)&gt;=1000</formula>
    </cfRule>
  </conditionalFormatting>
  <conditionalFormatting sqref="S22:S29">
    <cfRule type="expression" dxfId="1489" priority="30">
      <formula>ABS(S$25-S$28)&gt;=1000</formula>
    </cfRule>
  </conditionalFormatting>
  <conditionalFormatting sqref="T22:T29">
    <cfRule type="expression" dxfId="1488" priority="29">
      <formula>ABS(T$25-T$28)&gt;=1000</formula>
    </cfRule>
  </conditionalFormatting>
  <conditionalFormatting sqref="U22:U29">
    <cfRule type="expression" dxfId="1487" priority="28">
      <formula>ABS(U$25-U$28)&gt;=1000</formula>
    </cfRule>
  </conditionalFormatting>
  <conditionalFormatting sqref="V22:V29">
    <cfRule type="expression" dxfId="1486" priority="27">
      <formula>ABS(V$25-V$28)&gt;=1000</formula>
    </cfRule>
  </conditionalFormatting>
  <conditionalFormatting sqref="W22:W29">
    <cfRule type="expression" dxfId="1485" priority="26">
      <formula>ABS(W$25-W$28)&gt;=1000</formula>
    </cfRule>
  </conditionalFormatting>
  <conditionalFormatting sqref="X22:X29">
    <cfRule type="expression" dxfId="1484" priority="25">
      <formula>ABS(X$25-X$28)&gt;=1000</formula>
    </cfRule>
  </conditionalFormatting>
  <conditionalFormatting sqref="Y22:Y29">
    <cfRule type="expression" dxfId="1483" priority="24">
      <formula>ABS(Y$25-Y$28)&gt;=1000</formula>
    </cfRule>
  </conditionalFormatting>
  <conditionalFormatting sqref="I23">
    <cfRule type="expression" dxfId="1482" priority="23">
      <formula>ABS(I$25-I$28)&gt;=1000</formula>
    </cfRule>
  </conditionalFormatting>
  <conditionalFormatting sqref="Q14">
    <cfRule type="expression" dxfId="1481" priority="22">
      <formula>ABS(Q$16-Q$19)&gt;=1000</formula>
    </cfRule>
  </conditionalFormatting>
  <conditionalFormatting sqref="W14">
    <cfRule type="expression" dxfId="1480" priority="21">
      <formula>ABS(W$16-W$19)&gt;=1000</formula>
    </cfRule>
  </conditionalFormatting>
  <conditionalFormatting sqref="X14">
    <cfRule type="expression" dxfId="1479" priority="20">
      <formula>ABS(X$16-X$19)&gt;=1000</formula>
    </cfRule>
  </conditionalFormatting>
  <conditionalFormatting sqref="T10:Y10">
    <cfRule type="expression" dxfId="1478" priority="19">
      <formula>ABS(T$7-T$10)&gt;=1000</formula>
    </cfRule>
  </conditionalFormatting>
  <conditionalFormatting sqref="W19">
    <cfRule type="expression" dxfId="1477" priority="18">
      <formula>ABS(W$16-W$19)&gt;=1000</formula>
    </cfRule>
  </conditionalFormatting>
  <conditionalFormatting sqref="AC5">
    <cfRule type="expression" dxfId="1476" priority="17">
      <formula>ABS(AC$7-AC$10)&gt;=1000</formula>
    </cfRule>
  </conditionalFormatting>
  <conditionalFormatting sqref="M14">
    <cfRule type="expression" dxfId="1475" priority="16">
      <formula>ABS(M$16-M$19)&gt;=1000</formula>
    </cfRule>
  </conditionalFormatting>
  <conditionalFormatting sqref="M16">
    <cfRule type="expression" dxfId="1474" priority="15">
      <formula>ABS(M$16-M$19)&gt;=1000</formula>
    </cfRule>
  </conditionalFormatting>
  <conditionalFormatting sqref="M19">
    <cfRule type="expression" dxfId="1473" priority="14">
      <formula>ABS(M$16-M$19)&gt;=1000</formula>
    </cfRule>
  </conditionalFormatting>
  <conditionalFormatting sqref="K13:K20">
    <cfRule type="expression" dxfId="1472" priority="13">
      <formula>ABS(K$16-K$19)&gt;=1000</formula>
    </cfRule>
  </conditionalFormatting>
  <conditionalFormatting sqref="E5">
    <cfRule type="expression" dxfId="1471" priority="12">
      <formula>ABS(E$7-E$10)&gt;=1000</formula>
    </cfRule>
  </conditionalFormatting>
  <conditionalFormatting sqref="AB14:AC14">
    <cfRule type="expression" dxfId="1470" priority="11">
      <formula>ABS(AB$16-AB$19)&gt;=1000</formula>
    </cfRule>
  </conditionalFormatting>
  <conditionalFormatting sqref="M5">
    <cfRule type="expression" dxfId="1469" priority="10">
      <formula>ABS(M$7-M$10)&gt;=1000</formula>
    </cfRule>
  </conditionalFormatting>
  <conditionalFormatting sqref="N5">
    <cfRule type="expression" dxfId="1468" priority="9">
      <formula>ABS(N$7-N$10)&gt;=1000</formula>
    </cfRule>
  </conditionalFormatting>
  <conditionalFormatting sqref="O5">
    <cfRule type="expression" dxfId="1467" priority="8">
      <formula>ABS(O$7-O$10)&gt;=1000</formula>
    </cfRule>
  </conditionalFormatting>
  <conditionalFormatting sqref="P5">
    <cfRule type="expression" dxfId="1466" priority="7">
      <formula>ABS(P$7-P$10)&gt;=1000</formula>
    </cfRule>
  </conditionalFormatting>
  <conditionalFormatting sqref="L23">
    <cfRule type="expression" dxfId="1465" priority="6">
      <formula>ABS(L$25-L$28)&gt;=1000</formula>
    </cfRule>
  </conditionalFormatting>
  <conditionalFormatting sqref="Y14">
    <cfRule type="expression" dxfId="1464" priority="5">
      <formula>ABS(Y$16-Y$19)&gt;=1000</formula>
    </cfRule>
  </conditionalFormatting>
  <conditionalFormatting sqref="F14">
    <cfRule type="expression" dxfId="1463" priority="4">
      <formula>ABS(F$16-F$19)&gt;=1000</formula>
    </cfRule>
  </conditionalFormatting>
  <conditionalFormatting sqref="H14">
    <cfRule type="expression" dxfId="1462" priority="3">
      <formula>ABS(H$16-H$19)&gt;=1000</formula>
    </cfRule>
  </conditionalFormatting>
  <conditionalFormatting sqref="AD5">
    <cfRule type="expression" dxfId="1461" priority="2">
      <formula>ABS(AD$7-AD$10)&gt;=1000</formula>
    </cfRule>
  </conditionalFormatting>
  <conditionalFormatting sqref="AE5">
    <cfRule type="expression" dxfId="14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545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3">
    <pageSetUpPr fitToPage="1"/>
  </sheetPr>
  <dimension ref="A1:CU223"/>
  <sheetViews>
    <sheetView view="pageBreakPreview" zoomScale="70" zoomScaleNormal="100" zoomScaleSheetLayoutView="70" workbookViewId="0">
      <selection activeCell="R27" sqref="R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46058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57" t="s" ph="1">
        <v>177</v>
      </c>
      <c r="D6" s="71">
        <v>6265</v>
      </c>
      <c r="E6" s="71">
        <v>230</v>
      </c>
      <c r="F6" s="71">
        <v>5684</v>
      </c>
      <c r="G6" s="71">
        <v>435</v>
      </c>
      <c r="H6" s="71">
        <v>2584</v>
      </c>
      <c r="I6" s="71">
        <v>0.08</v>
      </c>
      <c r="J6" s="71">
        <v>6.61</v>
      </c>
      <c r="K6" s="71">
        <v>9.15</v>
      </c>
      <c r="L6" s="71">
        <v>33.42</v>
      </c>
      <c r="M6" s="71">
        <v>791</v>
      </c>
      <c r="N6" s="71">
        <v>4134</v>
      </c>
      <c r="O6" s="71">
        <v>1831</v>
      </c>
      <c r="P6" s="71">
        <v>1213</v>
      </c>
      <c r="Q6" s="71">
        <v>1128</v>
      </c>
      <c r="R6" s="71">
        <v>0</v>
      </c>
      <c r="S6" s="71">
        <v>0</v>
      </c>
      <c r="T6" s="71">
        <v>0</v>
      </c>
      <c r="U6" s="71">
        <v>3590</v>
      </c>
      <c r="V6" s="71">
        <v>7097</v>
      </c>
      <c r="W6" s="71">
        <v>7018</v>
      </c>
      <c r="X6" s="71">
        <v>6067</v>
      </c>
      <c r="Y6" s="71">
        <v>5213</v>
      </c>
      <c r="Z6" s="71">
        <v>5650</v>
      </c>
      <c r="AA6" s="71">
        <v>3991</v>
      </c>
      <c r="AB6" s="71">
        <v>4628</v>
      </c>
      <c r="AC6" s="71">
        <v>8979</v>
      </c>
      <c r="AD6" s="71">
        <v>4780</v>
      </c>
      <c r="AE6" s="71">
        <v>4620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198079.01643600001</v>
      </c>
      <c r="E7" s="73" ph="1">
        <f>E6*51.53*LOOKUP(E8,密度!$A$2:$A$50,密度!$B$2:$B$50)</f>
        <v>9320.3341600000003</v>
      </c>
      <c r="F7" s="73" ph="1">
        <f>F6*33.183*LOOKUP(F8,密度!$A$2:$A$50,密度!$C$2:$C$50)</f>
        <v>210340.2942144</v>
      </c>
      <c r="G7" s="73" ph="1">
        <f xml:space="preserve"> (G6+2)*51.53*LOOKUP(G8,密度!$A$2:$A$50,密度!$B$2:$B$50)</f>
        <v>17726.649792</v>
      </c>
      <c r="H7" s="73" ph="1">
        <f>(H6)*51.53*LOOKUP(H8,密度!$A$2:$A$50,密度!$B$2:$B$50)</f>
        <v>104818.450944</v>
      </c>
      <c r="I7" s="73" ph="1">
        <f>I6*290.8*1.0267</f>
        <v>23.885148800000003</v>
      </c>
      <c r="J7" s="73" ph="1">
        <f>J6*290.8*0.7892</f>
        <v>1516.9907696</v>
      </c>
      <c r="K7" s="73" ph="1">
        <f>K6*290.8*1.1126</f>
        <v>2960.4283320000004</v>
      </c>
      <c r="L7" s="73" ph="1">
        <f>L6*290.8*0.777</f>
        <v>7551.3024720000003</v>
      </c>
      <c r="M7" s="73" ph="1">
        <f>M6*33.183*LOOKUP(M8,密度!$A$2:$A$50,密度!$D$2:$D$50)</f>
        <v>27137.551826700001</v>
      </c>
      <c r="N7" s="73" ph="1">
        <f>N6*33.183*LOOKUP(N8,密度!$A$2:$A$50,密度!$E$2:$E$50)</f>
        <v>108563.08231079999</v>
      </c>
      <c r="O7" s="73" ph="1">
        <f>O6*20.428*LOOKUP(O8,密度!$A$2:$A$50,密度!$C$2:$C$50)</f>
        <v>41589.138449200007</v>
      </c>
      <c r="P7" s="73" ph="1">
        <f>P6*51.53*LOOKUP(P8,密度!$A$2:$A$50,密度!$B$2:$B$50)</f>
        <v>49060.873061000006</v>
      </c>
      <c r="Q7" s="73" ph="1">
        <f>Q6*1.5*1.5*3.1416*LOOKUP(W8,密度!$A$2:$A$50,密度!$L$2:$L$50)</f>
        <v>7534.8448559999997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23980.57893</v>
      </c>
      <c r="V7" s="73" ph="1">
        <f>V6*1.5*1.5*3.1416*LOOKUP(V8,密度!$A$2:$A$50,密度!$L$2:$L$50)</f>
        <v>47105.737093800002</v>
      </c>
      <c r="W7" s="73" ph="1">
        <f>W6*1.5*1.5*3.1416*LOOKUP(W8,密度!$A$2:$A$50,密度!$L$2:$L$50)</f>
        <v>46879.025886000003</v>
      </c>
      <c r="X7" s="73" ph="1">
        <f>X6*1.5*1.5*3.1416*LOOKUP(X8,密度!$A$2:$A$50,密度!$L$2:$L$50)</f>
        <v>40912.477174799998</v>
      </c>
      <c r="Y7" s="73" ph="1">
        <f>Y6*1.5*1.5*3.1416*LOOKUP(Y8,密度!$A$2:$A$50,密度!$L$2:$L$50)</f>
        <v>34785.089539199995</v>
      </c>
      <c r="Z7" s="73" ph="1">
        <f>Z6*33.183*LOOKUP(Z8,密度!$A$2:$A$50,密度!$L$2:$L$50)</f>
        <v>176984.84880000001</v>
      </c>
      <c r="AA7" s="73" ph="1">
        <f>AA6*33.183*LOOKUP(AA8,密度!$A$2:$A$50,密度!$D$2:$D$50)</f>
        <v>136922.84366670001</v>
      </c>
      <c r="AB7" s="73" ph="1">
        <f>AB6*20.428*LOOKUP(AB8,密度!$A$2:$A$50,密度!$D$2:$D$50)</f>
        <v>98407.502065599998</v>
      </c>
      <c r="AC7" s="73" ph="1">
        <f>AC6*51.53*LOOKUP(AC8,密度!$A$2:$A$50,密度!$Q$2:$Q$50)</f>
        <v>441654.07942980004</v>
      </c>
      <c r="AD7" s="73" ph="1">
        <f>AD6*20.428*LOOKUP(AD8,密度!$A$2:$A$50,密度!$V$2:$V$50)</f>
        <v>94130.589760000003</v>
      </c>
      <c r="AE7" s="73" ph="1">
        <f>AE6*20.428</f>
        <v>94377.36</v>
      </c>
    </row>
    <row r="8" spans="1:99" ph="1">
      <c r="B8" s="193" ph="1"/>
      <c r="C8" s="68" t="s" ph="1">
        <v>179</v>
      </c>
      <c r="D8" s="74">
        <v>17</v>
      </c>
      <c r="E8" s="74">
        <v>17</v>
      </c>
      <c r="F8" s="74">
        <v>16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18</v>
      </c>
      <c r="O8" s="74">
        <v>21</v>
      </c>
      <c r="P8" s="74">
        <v>19</v>
      </c>
      <c r="Q8" s="74">
        <v>20</v>
      </c>
      <c r="R8" s="74">
        <v>22</v>
      </c>
      <c r="S8" s="74">
        <v>14</v>
      </c>
      <c r="T8" s="74">
        <v>13</v>
      </c>
      <c r="U8" s="74">
        <v>17</v>
      </c>
      <c r="V8" s="74">
        <v>23</v>
      </c>
      <c r="W8" s="74">
        <v>17</v>
      </c>
      <c r="X8" s="74">
        <v>8</v>
      </c>
      <c r="Y8" s="74">
        <v>18</v>
      </c>
      <c r="Z8" s="74">
        <v>18</v>
      </c>
      <c r="AA8" s="74">
        <v>17</v>
      </c>
      <c r="AB8" s="74">
        <v>9</v>
      </c>
      <c r="AC8" s="74">
        <v>15</v>
      </c>
      <c r="AD8" s="74">
        <v>15</v>
      </c>
      <c r="AE8" s="74">
        <v>20</v>
      </c>
    </row>
    <row r="9" spans="1:99" ht="26.4" ph="1">
      <c r="B9" s="193" ph="1">
        <v>0.66666666666666663</v>
      </c>
      <c r="C9" s="157" t="s" ph="1">
        <v>180</v>
      </c>
      <c r="D9" s="71">
        <v>6270</v>
      </c>
      <c r="E9" s="71">
        <v>230</v>
      </c>
      <c r="F9" s="71">
        <v>5683</v>
      </c>
      <c r="G9" s="71">
        <v>125</v>
      </c>
      <c r="H9" s="71">
        <v>3474</v>
      </c>
      <c r="I9" s="71">
        <v>0.06</v>
      </c>
      <c r="J9" s="71">
        <v>6.74</v>
      </c>
      <c r="K9" s="71">
        <v>61.82</v>
      </c>
      <c r="L9" s="71">
        <v>20.23</v>
      </c>
      <c r="M9" s="71">
        <v>790</v>
      </c>
      <c r="N9" s="71">
        <v>4136</v>
      </c>
      <c r="O9" s="71">
        <v>1831</v>
      </c>
      <c r="P9" s="71">
        <v>1075</v>
      </c>
      <c r="Q9" s="71">
        <v>3724</v>
      </c>
      <c r="R9" s="71">
        <v>0</v>
      </c>
      <c r="S9" s="71">
        <v>0</v>
      </c>
      <c r="T9" s="71">
        <v>0</v>
      </c>
      <c r="U9" s="71">
        <v>0</v>
      </c>
      <c r="V9" s="71">
        <v>5639</v>
      </c>
      <c r="W9" s="71">
        <v>7029</v>
      </c>
      <c r="X9" s="71">
        <v>7068</v>
      </c>
      <c r="Y9" s="71">
        <v>6910</v>
      </c>
      <c r="Z9" s="71">
        <v>6327</v>
      </c>
      <c r="AA9" s="71">
        <v>3991</v>
      </c>
      <c r="AB9" s="71">
        <v>4609</v>
      </c>
      <c r="AC9" s="71">
        <v>9331</v>
      </c>
      <c r="AD9" s="71">
        <v>4780</v>
      </c>
      <c r="AE9" s="71">
        <v>4490</v>
      </c>
    </row>
    <row r="10" spans="1:99" s="72" customFormat="1" ht="22.2" ph="1">
      <c r="B10" s="193" ph="1"/>
      <c r="C10" s="157" t="s" ph="1">
        <v>178</v>
      </c>
      <c r="D10" s="73" ph="1">
        <f>D9*33.183*LOOKUP(D11,密度!$A$2:$A$50,密度!$Q$2:$Q$50)</f>
        <v>197910.45011430001</v>
      </c>
      <c r="E10" s="73" ph="1">
        <f>E9*51.53*LOOKUP(E11,密度!$A$2:$A$50,密度!$B$2:$B$50)</f>
        <v>9282.4080799999992</v>
      </c>
      <c r="F10" s="73" ph="1">
        <f>F9*33.183*LOOKUP(F11,密度!$A$2:$A$50,密度!$C$2:$C$50)</f>
        <v>210058.13584709997</v>
      </c>
      <c r="G10" s="73" ph="1">
        <f xml:space="preserve"> (G9+2)*51.53*LOOKUP(G11,密度!$A$2:$A$50,密度!$B$2:$B$50)</f>
        <v>5125.503592</v>
      </c>
      <c r="H10" s="73" ph="1">
        <f>(H9)*51.53*LOOKUP(H11,密度!$A$2:$A$50,密度!$B$2:$B$50)</f>
        <v>140204.72030400002</v>
      </c>
      <c r="I10" s="73" ph="1">
        <f>I9*290.8*1.0267</f>
        <v>17.913861600000001</v>
      </c>
      <c r="J10" s="73" ph="1">
        <f>J9*290.8*0.7892</f>
        <v>1546.8256864000002</v>
      </c>
      <c r="K10" s="73" ph="1">
        <f>K9*290.8*1.1126</f>
        <v>20001.495025600001</v>
      </c>
      <c r="L10" s="73" ph="1">
        <f>L9*290.8*0.777</f>
        <v>4571.0008680000001</v>
      </c>
      <c r="M10" s="73" ph="1">
        <f>M9*33.183*LOOKUP(M11,密度!$A$2:$A$50,密度!$D$2:$D$50)</f>
        <v>26987.899815000001</v>
      </c>
      <c r="N10" s="73" ph="1">
        <f>N9*33.183*LOOKUP(N11,密度!$A$2:$A$50,密度!$E$2:$E$50)</f>
        <v>108313.66560960001</v>
      </c>
      <c r="O10" s="73" ph="1">
        <f>O9*20.428*LOOKUP(O11,密度!$A$2:$A$50,密度!$C$2:$C$50)</f>
        <v>41533.032947200008</v>
      </c>
      <c r="P10" s="73" ph="1">
        <f>P9*51.53*LOOKUP(P11,密度!$A$2:$A$50,密度!$B$2:$B$50)</f>
        <v>43235.602374999995</v>
      </c>
      <c r="Q10" s="73" ph="1">
        <f>Q9*1.5*1.5*3.1416*LOOKUP(W11,密度!$A$2:$A$50,密度!$L$2:$L$50)</f>
        <v>24823.028815199999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37348.665769799998</v>
      </c>
      <c r="W10" s="73" ph="1">
        <f>W9*1.5*1.5*3.1416*LOOKUP(W11,密度!$A$2:$A$50,密度!$L$2:$L$50)</f>
        <v>46853.133604199997</v>
      </c>
      <c r="X10" s="73" ph="1">
        <f>X9*1.5*1.5*3.1416*LOOKUP(X11,密度!$A$2:$A$50,密度!$L$2:$L$50)</f>
        <v>47462.821559999997</v>
      </c>
      <c r="Y10" s="73" ph="1">
        <f>Y9*1.5*1.5*3.1416*LOOKUP(Y11,密度!$A$2:$A$50,密度!$L$2:$L$50)</f>
        <v>46011.072491999992</v>
      </c>
      <c r="Z10" s="73" ph="1">
        <f>Z9*33.183*LOOKUP(Z11,密度!$A$2:$A$50,密度!$L$2:$L$50)</f>
        <v>197351.91053999998</v>
      </c>
      <c r="AA10" s="73" ph="1">
        <f>AA9*33.183*LOOKUP(AA11,密度!$A$2:$A$50,密度!$D$2:$D$50)</f>
        <v>136472.5702665</v>
      </c>
      <c r="AB10" s="73" ph="1">
        <f>AB9*20.428*LOOKUP(AB11,密度!$A$2:$A$50,密度!$D$2:$D$50)</f>
        <v>97758.698571600005</v>
      </c>
      <c r="AC10" s="73" ph="1">
        <f>AC9*51.53*LOOKUP(AC11,密度!$A$2:$A$50,密度!$Q$2:$Q$50)</f>
        <v>457376.52500889997</v>
      </c>
      <c r="AD10" s="73" ph="1">
        <f>AD9*20.428*LOOKUP(AD11,密度!$A$2:$A$50,密度!$V$2:$V$50)</f>
        <v>94130.589760000003</v>
      </c>
      <c r="AE10" s="73" ph="1">
        <f>AE9*20.428</f>
        <v>91721.72</v>
      </c>
    </row>
    <row r="11" spans="1:99" ph="1">
      <c r="A11" s="64" t="s" ph="1">
        <v>162</v>
      </c>
      <c r="B11" s="193" ph="1"/>
      <c r="C11" s="157" t="s" ph="1">
        <v>179</v>
      </c>
      <c r="D11" s="74">
        <v>19</v>
      </c>
      <c r="E11" s="74">
        <v>21</v>
      </c>
      <c r="F11" s="74">
        <v>18</v>
      </c>
      <c r="G11" s="74">
        <v>21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20</v>
      </c>
      <c r="O11" s="74">
        <v>23</v>
      </c>
      <c r="P11" s="74">
        <v>24</v>
      </c>
      <c r="Q11" s="74">
        <v>24</v>
      </c>
      <c r="R11" s="74">
        <v>28</v>
      </c>
      <c r="S11" s="74">
        <v>19</v>
      </c>
      <c r="T11" s="74">
        <v>29</v>
      </c>
      <c r="U11" s="74">
        <v>19</v>
      </c>
      <c r="V11" s="74">
        <v>25</v>
      </c>
      <c r="W11" s="74">
        <v>19</v>
      </c>
      <c r="X11" s="74">
        <v>12</v>
      </c>
      <c r="Y11" s="74">
        <v>20</v>
      </c>
      <c r="Z11" s="74">
        <v>22</v>
      </c>
      <c r="AA11" s="74">
        <v>21</v>
      </c>
      <c r="AB11" s="74">
        <v>12</v>
      </c>
      <c r="AC11" s="74">
        <v>19</v>
      </c>
      <c r="AD11" s="74">
        <v>19</v>
      </c>
      <c r="AE11" s="74">
        <v>24</v>
      </c>
    </row>
    <row r="12" spans="1:99" ht="9.9" customHeight="1" ph="1"/>
    <row r="13" spans="1:99" s="72" customFormat="1" ht="29.25" customHeight="1" ph="1">
      <c r="B13" s="201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57" t="s" ph="1">
        <v>177</v>
      </c>
      <c r="D15" s="78">
        <v>5780</v>
      </c>
      <c r="E15" s="78">
        <v>2933</v>
      </c>
      <c r="F15" s="78">
        <v>4552</v>
      </c>
      <c r="G15" s="78">
        <v>4579</v>
      </c>
      <c r="H15" s="78">
        <v>0</v>
      </c>
      <c r="I15" s="78">
        <v>5212</v>
      </c>
      <c r="J15" s="78">
        <v>5488</v>
      </c>
      <c r="K15" s="78">
        <v>3576</v>
      </c>
      <c r="L15" s="78">
        <v>3075</v>
      </c>
      <c r="M15" s="78">
        <v>3742</v>
      </c>
      <c r="N15" s="78">
        <v>1294</v>
      </c>
      <c r="O15" s="78">
        <v>5335</v>
      </c>
      <c r="P15" s="78">
        <v>6979</v>
      </c>
      <c r="Q15" s="78">
        <v>3510</v>
      </c>
      <c r="R15" s="78">
        <v>7343</v>
      </c>
      <c r="S15" s="78">
        <v>0</v>
      </c>
      <c r="T15" s="78">
        <v>4608</v>
      </c>
      <c r="U15" s="78">
        <v>5675</v>
      </c>
      <c r="V15" s="78">
        <v>4981</v>
      </c>
      <c r="W15" s="71">
        <v>-24</v>
      </c>
      <c r="X15" s="78">
        <v>310</v>
      </c>
      <c r="Y15" s="106">
        <v>-9900</v>
      </c>
      <c r="Z15" s="78">
        <v>0</v>
      </c>
      <c r="AA15" s="78">
        <v>11</v>
      </c>
      <c r="AB15" s="78" ph="1">
        <v>6944</v>
      </c>
      <c r="AC15" s="78" ph="1">
        <v>2141</v>
      </c>
      <c r="AD15" s="78">
        <v>5.19</v>
      </c>
      <c r="AE15" s="78">
        <v>57.91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57" t="s" ph="1">
        <v>178</v>
      </c>
      <c r="D16" s="73" ph="1">
        <f>D15*7.0686*LOOKUP(D17,密度!$A$2:$A$50,密度!$L$2:$L$50)</f>
        <v>38609.40006</v>
      </c>
      <c r="E16" s="73" ph="1">
        <f>E15*7.0686*LOOKUP(E17,密度!$A$2:$A$50,密度!$L$2:$L$50)</f>
        <v>19591.932590999997</v>
      </c>
      <c r="F16" s="73" ph="1">
        <f>F15*9.0746*LOOKUP(F17,密度!$A$2:$A$50,密度!$L$2:$L$50)</f>
        <v>39035.662343999997</v>
      </c>
      <c r="G16" s="73" ph="1">
        <f>G15*9.0746*LOOKUP(G17,密度!$A$2:$A$50,密度!$B$2:$B$50)</f>
        <v>32743.4435992</v>
      </c>
      <c r="H16" s="73" ph="1">
        <f>H15*9.0746*LOOKUP(H17,密度!$A$2:$A$50,密度!$L$2:$L$50)</f>
        <v>0</v>
      </c>
      <c r="I16" s="73" ph="1">
        <f>I15*9.0746*LOOKUP(I17,密度!$A$2:$A$50,密度!$U$2:$U$50)</f>
        <v>48621.126025600002</v>
      </c>
      <c r="J16" s="73" ph="1">
        <f>J15*9.0746*LOOKUP(J17,密度!$A$2:$A$50,密度!$L$2:$L$50)</f>
        <v>47112.128940800001</v>
      </c>
      <c r="K16" s="73" ph="1">
        <f>K15*9.0746*LOOKUP(K17,密度!$A$2:$A$50,密度!$C$2:$C$50)</f>
        <v>36189.098257919999</v>
      </c>
      <c r="L16" s="73" ph="1">
        <f>L15*9.0746*LOOKUP(L17,密度!$A$2:$A$50,密度!$E$2:$E$50)</f>
        <v>22114.233037499998</v>
      </c>
      <c r="M16" s="73" ph="1">
        <f>M15*9.0746*LOOKUP(M17,密度!$A$2:$A$50,密度!$M$2:$M$50)</f>
        <v>29892.481961959998</v>
      </c>
      <c r="N16" s="73" ph="1">
        <f>N15*9.0746*LOOKUP(N17,密度!$A$2:$A$50,密度!$M$2:$M$50)</f>
        <v>10336.95127172</v>
      </c>
      <c r="O16" s="73" ph="1">
        <f>O15*9.0746*LOOKUP(O17,密度!$A$2:$A$50,密度!$G$2:$G$50)</f>
        <v>47067.109850200002</v>
      </c>
      <c r="P16" s="73" ph="1">
        <f ca="1">P15*9.0746*LOOKUP(P17,密度!$A$2:$A$51,密度!$Q$2:$Q$50)</f>
        <v>60292.348313134004</v>
      </c>
      <c r="Q16" s="73" ph="1">
        <f>Q15*9.0746*LOOKUP(Q17,密度!$A$2:$A$50,密度!$Q$2:$Q$50)</f>
        <v>30348.4388688</v>
      </c>
      <c r="R16" s="73" ph="1">
        <f>MAX(R15*9.0746*LOOKUP(R17,密度!$A$2:$A$50,密度!$B$2:$B$50),0)</f>
        <v>52354.952774459998</v>
      </c>
      <c r="S16" s="73" ph="1">
        <f>S15*9.0746*LOOKUP(S17,密度!$A$2:$A$50,密度!$Q$2:$Q$50)</f>
        <v>0</v>
      </c>
      <c r="T16" s="73" ph="1">
        <f>T15*9.0746*LOOKUP(T17,密度!$A$2:$A$50,密度!$O$2:$O$50)</f>
        <v>39055.916851200003</v>
      </c>
      <c r="U16" s="73" ph="1">
        <f>U15*9.0746*LOOKUP(U17,密度!$A$2:$A$50,密度!$H$2:$H$50)</f>
        <v>47517.532158499998</v>
      </c>
      <c r="V16" s="73" ph="1">
        <f>MAX(5600*LOOKUP(V17,密度!$A$2:$A$50,密度!$Q$2:$Q$50)+V15*9.0476*LOOKUP(V17,密度!$A$2:$A$50,密度!$Q$2:$Q$50),0)</f>
        <v>48234.629672155999</v>
      </c>
      <c r="W16" s="73" ph="1">
        <f>MAX(5600*LOOKUP(W17,密度!$A$2:$A$50,密度!$Q$2:$Q$50)+W15*9.0476*LOOKUP(W17,密度!$A$2:$A$50,密度!$Q$2:$Q$50),0)</f>
        <v>5124.5342637760004</v>
      </c>
      <c r="X16" s="73" ph="1">
        <f>MAX(5600*LOOKUP(X17,密度!$A$2:$A$50,密度!$I$2:$I$50)+X15*9.0476*LOOKUP(X17,密度!$A$2:$A$50,密度!$I$2:$I$50),0)</f>
        <v>8732.5414839999994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78.578776320000003</v>
      </c>
      <c r="AB16" s="73" ph="1">
        <f>AB15*9.0746*LOOKUP(AB17,密度!$A$2:$A$50,密度!$L$2:$L$50)</f>
        <v>59548.251167999995</v>
      </c>
      <c r="AC16" s="73" ph="1">
        <f>AC15*9.0746*LOOKUP(AC17,密度!$A$2:$A$50,密度!$L$2:$L$50)</f>
        <v>18379.5677956</v>
      </c>
      <c r="AD16" s="73" ph="1">
        <f>AD15*268.68*LOOKUP(AD17,密度!$A$2:$A$50,密度!B2:B50)+IF(AD15&lt;=0,0,1566*LOOKUP(AD17,密度!$A$2:$A$50,密度!B2:B50))</f>
        <v>2307.9661963200001</v>
      </c>
      <c r="AE16" s="73" ph="1">
        <f>AE15*268.68*LOOKUP(AE17,密度!$A$2:$A$50,密度!B2:B50)+IF(AE15&lt;=0,0,1566*LOOKUP(AE17,密度!$A$2:$A$50,密度!B2:B50))</f>
        <v>13350.85176048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17</v>
      </c>
      <c r="E17" s="74">
        <v>17</v>
      </c>
      <c r="F17" s="74">
        <v>17</v>
      </c>
      <c r="G17" s="74">
        <v>15</v>
      </c>
      <c r="H17" s="74">
        <v>13</v>
      </c>
      <c r="I17" s="74">
        <v>16</v>
      </c>
      <c r="J17" s="74">
        <v>16</v>
      </c>
      <c r="K17" s="74">
        <v>16</v>
      </c>
      <c r="L17" s="74">
        <v>17</v>
      </c>
      <c r="M17" s="74">
        <v>17</v>
      </c>
      <c r="N17" s="74">
        <v>14</v>
      </c>
      <c r="O17" s="74">
        <v>14</v>
      </c>
      <c r="P17" s="74">
        <v>18</v>
      </c>
      <c r="Q17" s="74">
        <v>17</v>
      </c>
      <c r="R17" s="74">
        <v>18</v>
      </c>
      <c r="S17" s="74">
        <v>17</v>
      </c>
      <c r="T17" s="74">
        <v>18</v>
      </c>
      <c r="U17" s="74">
        <v>17</v>
      </c>
      <c r="V17" s="74">
        <v>18</v>
      </c>
      <c r="W17" s="74">
        <v>18</v>
      </c>
      <c r="X17" s="74">
        <v>28</v>
      </c>
      <c r="Y17" s="108">
        <v>28</v>
      </c>
      <c r="Z17" s="74">
        <v>18</v>
      </c>
      <c r="AA17" s="74">
        <v>16</v>
      </c>
      <c r="AB17" s="74">
        <v>17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3477</v>
      </c>
      <c r="E18" s="71">
        <v>5762</v>
      </c>
      <c r="F18" s="71">
        <v>4553</v>
      </c>
      <c r="G18" s="71">
        <v>2350</v>
      </c>
      <c r="H18" s="71">
        <v>35</v>
      </c>
      <c r="I18" s="71">
        <v>5216</v>
      </c>
      <c r="J18" s="71">
        <v>5497</v>
      </c>
      <c r="K18" s="71">
        <v>3577</v>
      </c>
      <c r="L18" s="71">
        <v>3079</v>
      </c>
      <c r="M18" s="71">
        <v>773</v>
      </c>
      <c r="N18" s="71">
        <v>2480</v>
      </c>
      <c r="O18" s="71">
        <v>5341</v>
      </c>
      <c r="P18" s="71">
        <v>6990</v>
      </c>
      <c r="Q18" s="71">
        <v>1747</v>
      </c>
      <c r="R18" s="71">
        <v>7357</v>
      </c>
      <c r="S18" s="71">
        <v>0</v>
      </c>
      <c r="T18" s="71">
        <v>3765</v>
      </c>
      <c r="U18" s="71">
        <v>5678</v>
      </c>
      <c r="V18" s="71">
        <v>4981</v>
      </c>
      <c r="W18" s="71">
        <v>15</v>
      </c>
      <c r="X18" s="71">
        <v>310</v>
      </c>
      <c r="Y18" s="109">
        <v>-9900</v>
      </c>
      <c r="Z18" s="71">
        <v>0</v>
      </c>
      <c r="AA18" s="71">
        <v>11</v>
      </c>
      <c r="AB18" s="71">
        <v>6951</v>
      </c>
      <c r="AC18" s="71">
        <v>2141</v>
      </c>
      <c r="AD18" s="71">
        <v>32.119999999999997</v>
      </c>
      <c r="AE18" s="71">
        <v>84.72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57" t="s" ph="1">
        <v>178</v>
      </c>
      <c r="D19" s="73" ph="1">
        <f>D18*7.0686*LOOKUP(D20,密度!$A$2:$A$50,密度!$L$2:$L$50)</f>
        <v>23152.025912399997</v>
      </c>
      <c r="E19" s="73" ph="1">
        <f>E18*7.0686*LOOKUP(E20,密度!$A$2:$A$50,密度!$L$2:$L$50)</f>
        <v>38366.975354399998</v>
      </c>
      <c r="F19" s="73" ph="1">
        <f>F18*9.0746*LOOKUP(F20,密度!$A$2:$A$50,密度!$L$2:$L$50)</f>
        <v>38796.337918199999</v>
      </c>
      <c r="G19" s="73" ph="1">
        <f>G18*9.0746*LOOKUP(G20,密度!$A$2:$A$50,密度!$B$2:$B$50)</f>
        <v>16701.982792000003</v>
      </c>
      <c r="H19" s="73" ph="1">
        <f>H18*9.0746*LOOKUP(H20,密度!$A$2:$A$50,密度!$L$2:$L$50)</f>
        <v>299.18956199999997</v>
      </c>
      <c r="I19" s="73" ph="1">
        <f>I18*9.0746*LOOKUP(I20,密度!$A$2:$A$50,密度!$U$2:$U$50)</f>
        <v>48658.440780800003</v>
      </c>
      <c r="J19" s="73" ph="1">
        <f>J18*9.0746*LOOKUP(J20,密度!$A$2:$A$50,密度!$L$2:$L$50)</f>
        <v>46890.091628000002</v>
      </c>
      <c r="K19" s="73" ph="1">
        <f>K18*9.0746*LOOKUP(K20,密度!$A$2:$A$50,密度!$C$2:$C$50)</f>
        <v>36066.13289062</v>
      </c>
      <c r="L19" s="73" ph="1">
        <f>L18*9.0746*LOOKUP(L20,密度!$A$2:$A$50,密度!$E$2:$E$50)</f>
        <v>22017.266399200002</v>
      </c>
      <c r="M19" s="73" ph="1">
        <f>M18*9.0746*LOOKUP(M20,密度!$A$2:$A$50,密度!$M$2:$M$50)</f>
        <v>6166.5927047799996</v>
      </c>
      <c r="N19" s="73" ph="1">
        <f>N18*9.0746*LOOKUP(N20,密度!$A$2:$A$50,密度!$M$2:$M$50)</f>
        <v>19811.1585424</v>
      </c>
      <c r="O19" s="73" ph="1">
        <f>O18*9.0746*LOOKUP(O20,密度!$A$2:$A$50,密度!$G$2:$G$50)</f>
        <v>46712.917322679998</v>
      </c>
      <c r="P19" s="73" ph="1">
        <f ca="1">P18*9.0746*LOOKUP(P20,密度!$A$2:$A$51,密度!$Q$2:$Q$50)</f>
        <v>60240.217549260007</v>
      </c>
      <c r="Q19" s="73" ph="1">
        <f>Q18*9.0746*LOOKUP(Q20,密度!$A$2:$A$50,密度!$Q$2:$Q$50)</f>
        <v>15066.684153955999</v>
      </c>
      <c r="R19" s="73" ph="1">
        <f>MAX(R18*9.0746*LOOKUP(R20,密度!$A$2:$A$50,密度!$B$2:$B$50),0)</f>
        <v>52287.866979040002</v>
      </c>
      <c r="S19" s="73" ph="1">
        <f>S18*9.0746*LOOKUP(S20,密度!$A$2:$A$50,密度!$Q$2:$Q$50)</f>
        <v>0</v>
      </c>
      <c r="T19" s="73" ph="1">
        <f>T18*9.0746*LOOKUP(T20,密度!$A$2:$A$50,密度!$O$2:$O$50)</f>
        <v>31774.258170000001</v>
      </c>
      <c r="U19" s="73" ph="1">
        <f>U18*9.0746*LOOKUP(U20,密度!$A$2:$A$50,密度!$H$2:$H$50)</f>
        <v>47388.074822360002</v>
      </c>
      <c r="V19" s="73" ph="1">
        <f>MAX(5600*LOOKUP(V20,密度!$A$2:$A$50,密度!$Q$2:$Q$50)+V18*9.0476*LOOKUP(V20,密度!$A$2:$A$50,密度!$Q$2:$Q$50),0)</f>
        <v>48086.684673003998</v>
      </c>
      <c r="W19" s="73" ph="1">
        <f>MAX(5600*LOOKUP(W20,密度!$A$2:$A$50,密度!$Q$2:$Q$50)+W18*9.0476*LOOKUP(W20,密度!$A$2:$A$50,密度!$Q$2:$Q$50),0)</f>
        <v>5443.7088002599994</v>
      </c>
      <c r="X19" s="73" ph="1">
        <f>MAX(5600*LOOKUP(X20,密度!$A$2:$A$50,密度!$I$2:$I$50)+X18*9.0476*LOOKUP(X20,密度!$A$2:$A$50,密度!$I$2:$I$50),0)</f>
        <v>8694.7200819999998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77.909978299999992</v>
      </c>
      <c r="AB19" s="73" ph="1">
        <f>AB18*9.0746*LOOKUP(AB20,密度!$A$2:$A$50,密度!$L$2:$L$50)</f>
        <v>59419.047013199997</v>
      </c>
      <c r="AC19" s="73" ph="1">
        <f>AC18*9.0746*LOOKUP(AC20,密度!$A$2:$A$50,密度!$L$2:$L$50)</f>
        <v>18301.852921199999</v>
      </c>
      <c r="AD19" s="73" ph="1">
        <f>AD18*268.68*LOOKUP(AD20,密度!$A$2:$A$50,密度!B5:B53)+IF(AD18&lt;=0,0,1566*LOOKUP(AD20,密度!$A$2:$A$50,密度!B5:B53))</f>
        <v>7922.2932431999998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20</v>
      </c>
      <c r="E20" s="81">
        <v>20</v>
      </c>
      <c r="F20" s="81">
        <v>23</v>
      </c>
      <c r="G20" s="81">
        <v>21</v>
      </c>
      <c r="H20" s="81">
        <v>20</v>
      </c>
      <c r="I20" s="81">
        <v>22</v>
      </c>
      <c r="J20" s="81">
        <v>22</v>
      </c>
      <c r="K20" s="81">
        <v>22</v>
      </c>
      <c r="L20" s="81">
        <v>21</v>
      </c>
      <c r="M20" s="81">
        <v>21</v>
      </c>
      <c r="N20" s="81">
        <v>20</v>
      </c>
      <c r="O20" s="81">
        <v>22</v>
      </c>
      <c r="P20" s="81">
        <v>21</v>
      </c>
      <c r="Q20" s="81">
        <v>20</v>
      </c>
      <c r="R20" s="81">
        <v>21</v>
      </c>
      <c r="S20" s="81">
        <v>20</v>
      </c>
      <c r="T20" s="81">
        <v>21</v>
      </c>
      <c r="U20" s="81">
        <v>20</v>
      </c>
      <c r="V20" s="81">
        <v>22</v>
      </c>
      <c r="W20" s="81">
        <v>22</v>
      </c>
      <c r="X20" s="81">
        <v>32</v>
      </c>
      <c r="Y20" s="110">
        <v>32</v>
      </c>
      <c r="Z20" s="81">
        <v>23</v>
      </c>
      <c r="AA20" s="81">
        <v>24</v>
      </c>
      <c r="AB20" s="81">
        <v>20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645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57" t="s" ph="1">
        <v>177</v>
      </c>
      <c r="D24" s="71">
        <v>47.75</v>
      </c>
      <c r="E24" s="71">
        <v>5.66</v>
      </c>
      <c r="F24" s="71">
        <v>2940</v>
      </c>
      <c r="G24" s="71">
        <v>3006</v>
      </c>
      <c r="H24" s="71">
        <v>3032</v>
      </c>
      <c r="I24" s="71">
        <v>1253</v>
      </c>
      <c r="J24" s="71">
        <v>454</v>
      </c>
      <c r="K24" s="71">
        <v>2497</v>
      </c>
      <c r="L24" s="71">
        <v>5539</v>
      </c>
      <c r="M24" s="71">
        <v>5070</v>
      </c>
      <c r="N24" s="71">
        <v>2845</v>
      </c>
      <c r="O24" s="71">
        <v>5717</v>
      </c>
      <c r="P24" s="71">
        <v>3551</v>
      </c>
      <c r="Q24" s="90">
        <v>4003</v>
      </c>
      <c r="R24" s="71">
        <v>5062</v>
      </c>
      <c r="S24" s="71">
        <v>5094</v>
      </c>
      <c r="T24" s="71">
        <v>175</v>
      </c>
      <c r="U24" s="71">
        <v>4380</v>
      </c>
      <c r="V24" s="71">
        <v>5460</v>
      </c>
      <c r="W24" s="71">
        <v>2897</v>
      </c>
      <c r="X24" s="71">
        <v>6757</v>
      </c>
      <c r="Y24" s="71">
        <v>2255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13628.767267800002</v>
      </c>
      <c r="E25" s="91" ph="1">
        <f>E24*268.68*LOOKUP(E26,密度!$A$2:$A$50,密度!$C$2:$C$50)+IF(E24&lt;=0,0,1566*LOOKUP(E26,密度!$A$2:$A$50,密度!$C$2:$C$50))</f>
        <v>3422.87356632</v>
      </c>
      <c r="F25" s="91" ph="1">
        <f>F24*11.702*LOOKUP(F26,密度!$A$2:$A$50,密度!$Q$2:$Q$50)</f>
        <v>32752.837798799999</v>
      </c>
      <c r="G25" s="91" ph="1">
        <f>G24*18.322*LOOKUP(G26,密度!$A$2:$A$50,密度!$B$2:$B$50)</f>
        <v>43229.099026800002</v>
      </c>
      <c r="H25" s="91" ph="1">
        <f>H24*18.322*LOOKUP(H26,密度!$A$2:$A$50,密度!$B$2:$B$50)</f>
        <v>43647.445252799997</v>
      </c>
      <c r="I25" s="91" ph="1">
        <f>I24*18.322*LOOKUP(I26,密度!$A$2:$A$50,密度!$Q$2:$Q$50)</f>
        <v>21855.73720666</v>
      </c>
      <c r="J25" s="91" ph="1">
        <f>J24*18.322*LOOKUP(J26,密度!$A$2:$A$50,密度!$Q$2:$Q$50)</f>
        <v>7918.9981578800007</v>
      </c>
      <c r="K25" s="91" ph="1">
        <f>K24*18.322*LOOKUP(K26,密度!$A$2:$A$50,密度!$Q$2:$Q$50)</f>
        <v>43518.804841819998</v>
      </c>
      <c r="L25" s="91" ph="1">
        <f>L24*18.322*LOOKUP(L26,密度!$A$2:$A$50,密度!$Q$2:$Q$50)</f>
        <v>96615.266071579987</v>
      </c>
      <c r="M25" s="91" ph="1">
        <f>M24*18.322*LOOKUP(M26,密度!$A$2:$A$50,密度!$Q$2:$Q$50)</f>
        <v>88434.627005399991</v>
      </c>
      <c r="N25" s="91" ph="1">
        <f>N24*18.322*LOOKUP(N26,密度!$A$2:$A$50,密度!$Q$2:$Q$50)</f>
        <v>49665.738551999995</v>
      </c>
      <c r="O25" s="91" ph="1">
        <f>O24*18.322*LOOKUP(O26,密度!$A$2:$A$50,密度!$C$2:$C$50)</f>
        <v>116677.54294859998</v>
      </c>
      <c r="P25" s="91" ph="1">
        <f>P24*11.702*LOOKUP(P26,密度!$A$2:$A$50,密度!$B$2:$B$50)</f>
        <v>32648.822231400001</v>
      </c>
      <c r="Q25" s="92" ph="1">
        <f>Q24*18.322*LOOKUP(Q26,密度!$A$2:$A$50,密度!$B$2:$B$50)</f>
        <v>57676.908462400002</v>
      </c>
      <c r="R25" s="91" ph="1">
        <f>R24*35.891*LOOKUP(R26,密度!$A$2:$A$50,密度!$C$2:$C$50)</f>
        <v>202482.629709</v>
      </c>
      <c r="S25" s="91" ph="1">
        <f>S24*35.891*LOOKUP(S26,密度!$A$2:$A$50,密度!$B$2:$B$50)</f>
        <v>143648.55201779999</v>
      </c>
      <c r="T25" s="91" ph="1">
        <f>T24*35.891*LOOKUP(T26,密度!$A$2:$A$50,密度!$Q$2:$Q$50)</f>
        <v>5979.5034092499991</v>
      </c>
      <c r="U25" s="91" ph="1">
        <f>U24*35.891</f>
        <v>157202.57999999999</v>
      </c>
      <c r="V25" s="91" ph="1">
        <f>V24*47.051*LOOKUP(V26,密度!$A$2:$A$50,密度!$B$2:$B$50)</f>
        <v>202024.948944</v>
      </c>
      <c r="W25" s="91" ph="1">
        <f>W24*47.051*LOOKUP(W26,密度!$A$2:$A$50,密度!$B$2:$B$50)</f>
        <v>107096.21111789999</v>
      </c>
      <c r="X25" s="91" ph="1">
        <f>X24*47.051*LOOKUP(X26,密度!$A$2:$A$61,密度!$I$2:$I$61)</f>
        <v>326030.65897850005</v>
      </c>
      <c r="Y25" s="91" ph="1">
        <f>Y24*47.051*LOOKUP(Y26,密度!$A$2:$A$50,密度!$L$2:$L$50)</f>
        <v>100158.40472000001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18</v>
      </c>
      <c r="G26" s="74">
        <v>19</v>
      </c>
      <c r="H26" s="74">
        <v>18</v>
      </c>
      <c r="I26" s="74">
        <v>18</v>
      </c>
      <c r="J26" s="74">
        <v>18</v>
      </c>
      <c r="K26" s="74">
        <v>19</v>
      </c>
      <c r="L26" s="74">
        <v>18</v>
      </c>
      <c r="M26" s="74">
        <v>18</v>
      </c>
      <c r="N26" s="74">
        <v>17</v>
      </c>
      <c r="O26" s="74">
        <v>18</v>
      </c>
      <c r="P26" s="74">
        <v>18</v>
      </c>
      <c r="Q26" s="93">
        <v>17</v>
      </c>
      <c r="R26" s="74">
        <v>17</v>
      </c>
      <c r="S26" s="74">
        <v>18</v>
      </c>
      <c r="T26" s="74">
        <v>18</v>
      </c>
      <c r="U26" s="74">
        <v>17</v>
      </c>
      <c r="V26" s="74">
        <v>17</v>
      </c>
      <c r="W26" s="74">
        <v>18</v>
      </c>
      <c r="X26" s="74">
        <v>40</v>
      </c>
      <c r="Y26" s="74">
        <v>18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57" t="s" ph="1">
        <v>180</v>
      </c>
      <c r="D27" s="71">
        <v>21.83</v>
      </c>
      <c r="E27" s="71">
        <v>42.91</v>
      </c>
      <c r="F27" s="71">
        <v>1770</v>
      </c>
      <c r="G27" s="71">
        <v>2530</v>
      </c>
      <c r="H27" s="71">
        <v>2568</v>
      </c>
      <c r="I27" s="71">
        <v>1250</v>
      </c>
      <c r="J27" s="71">
        <v>448</v>
      </c>
      <c r="K27" s="71">
        <v>1831</v>
      </c>
      <c r="L27" s="71">
        <v>5534</v>
      </c>
      <c r="M27" s="71">
        <v>5071</v>
      </c>
      <c r="N27" s="71">
        <v>2841</v>
      </c>
      <c r="O27" s="71">
        <v>5714</v>
      </c>
      <c r="P27" s="71">
        <v>3554</v>
      </c>
      <c r="Q27" s="90">
        <v>4360</v>
      </c>
      <c r="R27" s="71">
        <v>4802</v>
      </c>
      <c r="S27" s="71">
        <v>5090</v>
      </c>
      <c r="T27" s="71">
        <v>172</v>
      </c>
      <c r="U27" s="71">
        <v>4325</v>
      </c>
      <c r="V27" s="71">
        <v>6206</v>
      </c>
      <c r="W27" s="71">
        <v>2581</v>
      </c>
      <c r="X27" s="71">
        <v>7258</v>
      </c>
      <c r="Y27" s="71">
        <v>1432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57" t="s" ph="1">
        <v>178</v>
      </c>
      <c r="D28" s="91" ph="1">
        <f>D27*268.68*LOOKUP(D29,密度!$A$2:$A$50,密度!$Q$2:$Q$50)+IF(D27&lt;=0,0,1566*LOOKUP(D29,密度!$A$2:$A$50,密度!$Q$2:$Q$50))</f>
        <v>7035.4941928559992</v>
      </c>
      <c r="E28" s="91" ph="1">
        <f>E27*268.68*LOOKUP(E29,密度!$A$2:$A$50,密度!$C$2:$C$50)+IF(E27&lt;=0,0,1566*LOOKUP(E29,密度!$A$2:$A$50,密度!$C$2:$C$50))</f>
        <v>14521.110703319999</v>
      </c>
      <c r="F28" s="91" ph="1">
        <f>F27*11.702*LOOKUP(F29,密度!$A$2:$A$50,密度!$Q$2:$Q$50)</f>
        <v>19684.783765200002</v>
      </c>
      <c r="G28" s="91" ph="1">
        <f>G27*18.322*LOOKUP(G29,密度!$A$2:$A$50,密度!$B$2:$B$50)</f>
        <v>36304.969711999998</v>
      </c>
      <c r="H28" s="91" ph="1">
        <f>H27*18.322*LOOKUP(H29,密度!$A$2:$A$50,密度!$B$2:$B$50)</f>
        <v>36892.607553599999</v>
      </c>
      <c r="I28" s="91" ph="1">
        <f>I27*18.322*LOOKUP(I29,密度!$A$2:$A$50,密度!$Q$2:$Q$50)</f>
        <v>21750.275225000001</v>
      </c>
      <c r="J28" s="91" ph="1">
        <f>J27*18.322*LOOKUP(J29,密度!$A$2:$A$50,密度!$Q$2:$Q$50)</f>
        <v>7800.9623372799997</v>
      </c>
      <c r="K28" s="91" ph="1">
        <f>K27*18.322*LOOKUP(K29,密度!$A$2:$A$50,密度!$Q$2:$Q$50)</f>
        <v>31859.803149579995</v>
      </c>
      <c r="L28" s="91" ph="1">
        <f>L27*18.322*LOOKUP(L29,密度!$A$2:$A$50,密度!$Q$2:$Q$50)</f>
        <v>96292.818476119995</v>
      </c>
      <c r="M28" s="91" ph="1">
        <f>M27*18.322*LOOKUP(M29,密度!$A$2:$A$50,密度!$Q$2:$Q$50)</f>
        <v>88300.625027559989</v>
      </c>
      <c r="N28" s="91" ph="1">
        <f>N27*18.322*LOOKUP(N29,密度!$A$2:$A$50,密度!$Q$2:$Q$50)</f>
        <v>49469.941964759993</v>
      </c>
      <c r="O28" s="91" ph="1">
        <f>O27*18.322*LOOKUP(O29,密度!$A$2:$A$50,密度!$C$2:$C$50)</f>
        <v>116406.93250520001</v>
      </c>
      <c r="P28" s="91" ph="1">
        <f>P27*11.702*LOOKUP(P29,密度!$A$2:$A$50,密度!$B$2:$B$50)</f>
        <v>32572.432745600003</v>
      </c>
      <c r="Q28" s="92" ph="1">
        <f>Q27*18.322*LOOKUP(Q29,密度!$A$2:$A$50,密度!$B$2:$B$50)</f>
        <v>62636.981672000002</v>
      </c>
      <c r="R28" s="91" ph="1">
        <f>R27*35.891*LOOKUP(R29,密度!$A$2:$A$50,密度!$C$2:$C$50)</f>
        <v>191634.38832580001</v>
      </c>
      <c r="S28" s="91" ph="1">
        <f>S27*35.891*LOOKUP(S29,密度!$A$2:$A$50,密度!$B$2:$B$50)</f>
        <v>143079.04080799999</v>
      </c>
      <c r="T28" s="91" ph="1">
        <f>T27*35.891*LOOKUP(T29,密度!$A$2:$A$50,密度!$Q$2:$Q$50)</f>
        <v>5866.9352357599992</v>
      </c>
      <c r="U28" s="91" ph="1">
        <f>U27*35.891</f>
        <v>155228.57499999998</v>
      </c>
      <c r="V28" s="91" ph="1">
        <f>V27*47.051*LOOKUP(V29,密度!$A$2:$A$50,密度!$B$2:$B$50)</f>
        <v>228693.2298992</v>
      </c>
      <c r="W28" s="91" ph="1">
        <f>W27*47.051*LOOKUP(W29,密度!$A$2:$A$50,密度!$B$2:$B$50)</f>
        <v>95220.03056710001</v>
      </c>
      <c r="X28" s="91" ph="1">
        <f>X27*47.051*LOOKUP(X29,密度!$A$2:$A$61,密度!$I$2:$I$61)</f>
        <v>348291.93154419999</v>
      </c>
      <c r="Y28" s="91" ph="1">
        <f>Y27*47.051*LOOKUP(Y29,密度!$A$2:$A$50,密度!$L$2:$L$50)</f>
        <v>63401.787112000005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57" t="s" ph="1">
        <v>179</v>
      </c>
      <c r="D29" s="74">
        <v>25</v>
      </c>
      <c r="E29" s="74">
        <v>25</v>
      </c>
      <c r="F29" s="74">
        <v>20</v>
      </c>
      <c r="G29" s="74">
        <v>21</v>
      </c>
      <c r="H29" s="74">
        <v>20</v>
      </c>
      <c r="I29" s="74">
        <v>21</v>
      </c>
      <c r="J29" s="74">
        <v>20</v>
      </c>
      <c r="K29" s="74">
        <v>21</v>
      </c>
      <c r="L29" s="74">
        <v>21</v>
      </c>
      <c r="M29" s="74">
        <v>20</v>
      </c>
      <c r="N29" s="74">
        <v>20</v>
      </c>
      <c r="O29" s="74">
        <v>21</v>
      </c>
      <c r="P29" s="74">
        <v>21</v>
      </c>
      <c r="Q29" s="93">
        <v>20</v>
      </c>
      <c r="R29" s="74">
        <v>21</v>
      </c>
      <c r="S29" s="74">
        <v>21</v>
      </c>
      <c r="T29" s="74">
        <v>20</v>
      </c>
      <c r="U29" s="74">
        <v>21</v>
      </c>
      <c r="V29" s="74">
        <v>21</v>
      </c>
      <c r="W29" s="74">
        <v>20</v>
      </c>
      <c r="X29" s="74">
        <v>45</v>
      </c>
      <c r="Y29" s="74">
        <v>21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234231.26883810002</v>
      </c>
      <c r="E33" s="215" ph="1">
        <f>M10+I10</f>
        <v>27005.813676599999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19" ph="1">
        <f>N19</f>
        <v>19811.1585424</v>
      </c>
      <c r="H33" s="215" ph="1">
        <f>M19</f>
        <v>6166.5927047799996</v>
      </c>
      <c r="I33" s="228" ph="1">
        <v>0</v>
      </c>
      <c r="J33" s="226" ph="1">
        <f>F10+O28</f>
        <v>326465.06835229998</v>
      </c>
      <c r="K33" s="215" ph="1">
        <f>O10+K10+E28+R28</f>
        <v>267690.02700192004</v>
      </c>
      <c r="L33" s="230" ph="1">
        <f>K19</f>
        <v>36066.13289062</v>
      </c>
      <c r="M33" s="226" ph="1">
        <f>G10+H10+W28+S28+V28+E10+R19+P28+Q28</f>
        <v>769102.21464694</v>
      </c>
      <c r="N33" s="215" ph="1">
        <f>L10+P10++G28+H28+AD19+AE19</f>
        <v>147829.77233099999</v>
      </c>
      <c r="O33" s="228" ph="1">
        <f>G19</f>
        <v>16701.982792000003</v>
      </c>
      <c r="P33" s="226" ph="1">
        <f>L19</f>
        <v>22017.266399200002</v>
      </c>
      <c r="Q33" s="215" ph="1">
        <f>J10+N10</f>
        <v>109860.49129600001</v>
      </c>
      <c r="R33" s="228" ph="1">
        <f>BE23</f>
        <v>890</v>
      </c>
      <c r="S33" s="226" ph="1">
        <f>X28</f>
        <v>348291.93154419999</v>
      </c>
      <c r="T33" s="215" ph="1">
        <f>X19</f>
        <v>8694.7200819999998</v>
      </c>
      <c r="U33" s="236" ph="1">
        <f>BE21</f>
        <v>730</v>
      </c>
      <c r="V33" s="247" ph="1">
        <f ca="1">P19+Q19+S19+M28+N28+J28+D10+AC10+D19+E19+H19+J19+O19+V19+W19+K28+L28</f>
        <v>1213269.6210344601</v>
      </c>
      <c r="W33" s="247" ph="1">
        <f>D28+F28+T28+I28</f>
        <v>54337.488418816007</v>
      </c>
      <c r="X33" s="228" ph="1">
        <f>BE29+BE31</f>
        <v>10200</v>
      </c>
      <c r="Y33" s="249" ph="1">
        <f>+Q10+R10+S10+T10+U10+V10+W10+X10+Y10</f>
        <v>202498.72224119998</v>
      </c>
      <c r="Z33" s="234" ph="1">
        <f>T19+U19+Y28+Z10</f>
        <v>339916.03064436</v>
      </c>
      <c r="AA33" s="236" ph="1">
        <f>BE19</f>
        <v>1440</v>
      </c>
      <c r="AB33" s="238" ph="1">
        <f>I19</f>
        <v>48658.440780800003</v>
      </c>
      <c r="AC33" s="240" ph="1">
        <f>AD10+AB19</f>
        <v>153549.63677320001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59" t="s" ph="1">
        <v>185</v>
      </c>
      <c r="AA36" s="159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429" priority="100">
      <formula>ABS(D$7-D$10)&gt;=1000</formula>
    </cfRule>
  </conditionalFormatting>
  <conditionalFormatting sqref="E4 E6:E11">
    <cfRule type="expression" dxfId="1428" priority="99">
      <formula>ABS(E$7-E$10)&gt;=1000</formula>
    </cfRule>
  </conditionalFormatting>
  <conditionalFormatting sqref="F4:F11">
    <cfRule type="expression" dxfId="1427" priority="98">
      <formula>ABS(F$7-F$10)&gt;=1000</formula>
    </cfRule>
  </conditionalFormatting>
  <conditionalFormatting sqref="G4:G11">
    <cfRule type="expression" dxfId="1426" priority="97">
      <formula>ABS(G$7-G$10)&gt;=1000</formula>
    </cfRule>
  </conditionalFormatting>
  <conditionalFormatting sqref="H4:H11">
    <cfRule type="expression" dxfId="1425" priority="96">
      <formula>ABS(H$7-H$10)&gt;=1000</formula>
    </cfRule>
  </conditionalFormatting>
  <conditionalFormatting sqref="I4:I11">
    <cfRule type="expression" dxfId="1424" priority="95">
      <formula>ABS(I$7-I$10)&gt;=1000</formula>
    </cfRule>
  </conditionalFormatting>
  <conditionalFormatting sqref="J4:J11">
    <cfRule type="expression" dxfId="1423" priority="94">
      <formula>ABS(J$7-J$10)&gt;=1000</formula>
    </cfRule>
  </conditionalFormatting>
  <conditionalFormatting sqref="K4:K11">
    <cfRule type="expression" dxfId="1422" priority="93">
      <formula>ABS(K$7-K$10)&gt;=1000</formula>
    </cfRule>
  </conditionalFormatting>
  <conditionalFormatting sqref="L4:L11">
    <cfRule type="expression" dxfId="1421" priority="92">
      <formula>ABS(L$7-L$10)&gt;=1000</formula>
    </cfRule>
  </conditionalFormatting>
  <conditionalFormatting sqref="M4 M6:M11">
    <cfRule type="expression" dxfId="1420" priority="91">
      <formula>ABS(M$7-M$10)&gt;=1000</formula>
    </cfRule>
  </conditionalFormatting>
  <conditionalFormatting sqref="N4 N6:N11">
    <cfRule type="expression" dxfId="1419" priority="90">
      <formula>ABS(N$7-N$10)&gt;=1000</formula>
    </cfRule>
  </conditionalFormatting>
  <conditionalFormatting sqref="O4 O6:O11">
    <cfRule type="expression" dxfId="1418" priority="89">
      <formula>ABS(O$7-O$10)&gt;=1000</formula>
    </cfRule>
  </conditionalFormatting>
  <conditionalFormatting sqref="P4 P6:P11">
    <cfRule type="expression" dxfId="1417" priority="88">
      <formula>ABS(P$7-P$10)&gt;=1000</formula>
    </cfRule>
  </conditionalFormatting>
  <conditionalFormatting sqref="Q4:Q11">
    <cfRule type="expression" dxfId="1416" priority="87">
      <formula>ABS(Q$7-Q$10)&gt;=1000</formula>
    </cfRule>
  </conditionalFormatting>
  <conditionalFormatting sqref="R4:R11">
    <cfRule type="expression" dxfId="1415" priority="86">
      <formula>ABS(R$7-R$10)&gt;=1000</formula>
    </cfRule>
  </conditionalFormatting>
  <conditionalFormatting sqref="S4:S11">
    <cfRule type="expression" dxfId="1414" priority="85">
      <formula>ABS(S$7-S$10)&gt;=1000</formula>
    </cfRule>
  </conditionalFormatting>
  <conditionalFormatting sqref="T4:T9 T11">
    <cfRule type="expression" dxfId="1413" priority="84">
      <formula>ABS(T$7-T$10)&gt;=1000</formula>
    </cfRule>
  </conditionalFormatting>
  <conditionalFormatting sqref="U4:U9 U11">
    <cfRule type="expression" dxfId="1412" priority="83">
      <formula>ABS(U$7-U$10)&gt;=1000</formula>
    </cfRule>
  </conditionalFormatting>
  <conditionalFormatting sqref="V4:V9 V11">
    <cfRule type="expression" dxfId="1411" priority="82">
      <formula>ABS(V$7-V$10)&gt;=1000</formula>
    </cfRule>
  </conditionalFormatting>
  <conditionalFormatting sqref="W4:W9 W11">
    <cfRule type="expression" dxfId="1410" priority="81">
      <formula>ABS(W$7-W$10)&gt;=1000</formula>
    </cfRule>
  </conditionalFormatting>
  <conditionalFormatting sqref="X4:X9 X11">
    <cfRule type="expression" dxfId="1409" priority="80">
      <formula>ABS(X$7-X$10)&gt;=1000</formula>
    </cfRule>
  </conditionalFormatting>
  <conditionalFormatting sqref="Y4:Y9 Y11">
    <cfRule type="expression" dxfId="1408" priority="79">
      <formula>ABS(Y$7-Y$10)&gt;=1000</formula>
    </cfRule>
  </conditionalFormatting>
  <conditionalFormatting sqref="Z4:Z11">
    <cfRule type="expression" dxfId="1407" priority="78">
      <formula>ABS(Z$7-Z$10)&gt;=1000</formula>
    </cfRule>
  </conditionalFormatting>
  <conditionalFormatting sqref="AA4:AA11">
    <cfRule type="expression" dxfId="1406" priority="77">
      <formula>ABS(AA$7-AA$10)&gt;=1000</formula>
    </cfRule>
  </conditionalFormatting>
  <conditionalFormatting sqref="AB4:AB11">
    <cfRule type="expression" dxfId="1405" priority="76">
      <formula>ABS(AB$7-AB$10)&gt;=1000</formula>
    </cfRule>
  </conditionalFormatting>
  <conditionalFormatting sqref="AC4 AC6:AC11">
    <cfRule type="expression" dxfId="1404" priority="75">
      <formula>ABS(AC$7-AC$10)&gt;=1000</formula>
    </cfRule>
  </conditionalFormatting>
  <conditionalFormatting sqref="AD4 AD6:AD11">
    <cfRule type="expression" dxfId="1403" priority="74">
      <formula>ABS(AD$7-AD$10)&gt;=1000</formula>
    </cfRule>
  </conditionalFormatting>
  <conditionalFormatting sqref="AE4 AE6:AE11">
    <cfRule type="expression" dxfId="1402" priority="73">
      <formula>ABS(AE$7-AE$10)&gt;=1000</formula>
    </cfRule>
  </conditionalFormatting>
  <conditionalFormatting sqref="D13:D20">
    <cfRule type="expression" dxfId="1401" priority="72">
      <formula>ABS(D$16-D$19)&gt;=1000</formula>
    </cfRule>
  </conditionalFormatting>
  <conditionalFormatting sqref="E13:E20">
    <cfRule type="expression" dxfId="1400" priority="71">
      <formula>ABS(E$16-E$19)&gt;=1000</formula>
    </cfRule>
  </conditionalFormatting>
  <conditionalFormatting sqref="F13 F15:F20">
    <cfRule type="expression" dxfId="1399" priority="70">
      <formula>ABS(F$16-F$19)&gt;=1000</formula>
    </cfRule>
  </conditionalFormatting>
  <conditionalFormatting sqref="G13:G20">
    <cfRule type="expression" dxfId="1398" priority="69">
      <formula>ABS(G$16-G$19)&gt;=1000</formula>
    </cfRule>
  </conditionalFormatting>
  <conditionalFormatting sqref="H13 H15:H20">
    <cfRule type="expression" dxfId="1397" priority="68">
      <formula>ABS(H$16-H$19)&gt;=1000</formula>
    </cfRule>
  </conditionalFormatting>
  <conditionalFormatting sqref="I13:I20">
    <cfRule type="expression" dxfId="1396" priority="67">
      <formula>ABS(I$16-I$19)&gt;=1000</formula>
    </cfRule>
  </conditionalFormatting>
  <conditionalFormatting sqref="J13:J20">
    <cfRule type="expression" dxfId="1395" priority="66">
      <formula>ABS(J$16-J$19)&gt;=1000</formula>
    </cfRule>
  </conditionalFormatting>
  <conditionalFormatting sqref="L13:L20">
    <cfRule type="expression" dxfId="1394" priority="65">
      <formula>ABS(L$16-L$19)&gt;=1000</formula>
    </cfRule>
  </conditionalFormatting>
  <conditionalFormatting sqref="M13 M15 M17:M18 M20">
    <cfRule type="expression" dxfId="1393" priority="64">
      <formula>ABS(M$16-M$19)&gt;=1000</formula>
    </cfRule>
  </conditionalFormatting>
  <conditionalFormatting sqref="N13:N20">
    <cfRule type="expression" dxfId="1392" priority="63">
      <formula>ABS(N$16-N$19)&gt;=1000</formula>
    </cfRule>
  </conditionalFormatting>
  <conditionalFormatting sqref="O13:O20">
    <cfRule type="expression" dxfId="1391" priority="62">
      <formula>ABS(O$16-O$19)&gt;=1000</formula>
    </cfRule>
  </conditionalFormatting>
  <conditionalFormatting sqref="P13:P20">
    <cfRule type="expression" dxfId="1390" priority="61">
      <formula>ABS(P$16-P$19)&gt;=1000</formula>
    </cfRule>
  </conditionalFormatting>
  <conditionalFormatting sqref="Q13 Q15:Q20">
    <cfRule type="expression" dxfId="1389" priority="60">
      <formula>ABS(Q$16-Q$19)&gt;=1000</formula>
    </cfRule>
  </conditionalFormatting>
  <conditionalFormatting sqref="R13:R20">
    <cfRule type="expression" dxfId="1388" priority="59">
      <formula>ABS(R$16-R$19)&gt;=1000</formula>
    </cfRule>
  </conditionalFormatting>
  <conditionalFormatting sqref="S13:S20">
    <cfRule type="expression" dxfId="1387" priority="58">
      <formula>ABS(S$16-S$19)&gt;=1000</formula>
    </cfRule>
  </conditionalFormatting>
  <conditionalFormatting sqref="T13:T20">
    <cfRule type="expression" dxfId="1386" priority="57">
      <formula>ABS(T$16-T$19)&gt;=1000</formula>
    </cfRule>
  </conditionalFormatting>
  <conditionalFormatting sqref="U13:U20">
    <cfRule type="expression" dxfId="1385" priority="56">
      <formula>ABS(U$16-U$19)&gt;=1000</formula>
    </cfRule>
  </conditionalFormatting>
  <conditionalFormatting sqref="V13:V20">
    <cfRule type="expression" dxfId="1384" priority="55">
      <formula>ABS(V$16-V$19)&gt;=1000</formula>
    </cfRule>
  </conditionalFormatting>
  <conditionalFormatting sqref="W13 W20 W15:W18">
    <cfRule type="expression" dxfId="1383" priority="54">
      <formula>ABS(W$16-W$19)&gt;=1000</formula>
    </cfRule>
  </conditionalFormatting>
  <conditionalFormatting sqref="X13 X15:X20 Y19">
    <cfRule type="expression" dxfId="1382" priority="53">
      <formula>ABS(X$16-X$19)&gt;=1000</formula>
    </cfRule>
  </conditionalFormatting>
  <conditionalFormatting sqref="Y13 Y15:Y18 Y20">
    <cfRule type="expression" dxfId="1381" priority="52">
      <formula>ABS(Y$16-Y$19)&gt;=1000</formula>
    </cfRule>
  </conditionalFormatting>
  <conditionalFormatting sqref="Z13:Z20">
    <cfRule type="expression" dxfId="1380" priority="51">
      <formula>ABS(Z$16-Z$19)&gt;=1000</formula>
    </cfRule>
  </conditionalFormatting>
  <conditionalFormatting sqref="AA13:AA20">
    <cfRule type="expression" dxfId="1379" priority="50">
      <formula>ABS(AA$16-AA$19)&gt;=1000</formula>
    </cfRule>
  </conditionalFormatting>
  <conditionalFormatting sqref="AB13 AB15:AB20">
    <cfRule type="expression" dxfId="1378" priority="49">
      <formula>ABS(AB$16-AB$19)&gt;=1000</formula>
    </cfRule>
  </conditionalFormatting>
  <conditionalFormatting sqref="AC13 AC15:AC20">
    <cfRule type="expression" dxfId="1377" priority="48">
      <formula>ABS(AC$16-AC$19)&gt;=1000</formula>
    </cfRule>
  </conditionalFormatting>
  <conditionalFormatting sqref="AD13:AD20">
    <cfRule type="expression" dxfId="1376" priority="47">
      <formula>ABS(AD$16-AD$19)&gt;=1000</formula>
    </cfRule>
  </conditionalFormatting>
  <conditionalFormatting sqref="AE13:AE20">
    <cfRule type="expression" dxfId="1375" priority="46">
      <formula>ABS(AE$16-AE$19)&gt;=1000</formula>
    </cfRule>
  </conditionalFormatting>
  <conditionalFormatting sqref="D22:D29">
    <cfRule type="expression" dxfId="1374" priority="45">
      <formula>ABS(D$25-D$28)&gt;=1000</formula>
    </cfRule>
  </conditionalFormatting>
  <conditionalFormatting sqref="E22:E29">
    <cfRule type="expression" dxfId="1373" priority="44">
      <formula>ABS(E$25-E$28)&gt;=1000</formula>
    </cfRule>
  </conditionalFormatting>
  <conditionalFormatting sqref="F22:F29">
    <cfRule type="expression" dxfId="1372" priority="43">
      <formula>ABS(F$25-F$28)&gt;=1000</formula>
    </cfRule>
  </conditionalFormatting>
  <conditionalFormatting sqref="G22:G29">
    <cfRule type="expression" dxfId="1371" priority="42">
      <formula>ABS(G$25-G$28)&gt;=1000</formula>
    </cfRule>
  </conditionalFormatting>
  <conditionalFormatting sqref="H22:H29">
    <cfRule type="expression" dxfId="1370" priority="41">
      <formula>ABS(H$25-H$28)&gt;=1000</formula>
    </cfRule>
  </conditionalFormatting>
  <conditionalFormatting sqref="I22 I24:I29">
    <cfRule type="expression" dxfId="1369" priority="40">
      <formula>ABS(I$25-I$28)&gt;=1000</formula>
    </cfRule>
  </conditionalFormatting>
  <conditionalFormatting sqref="J22:J29 K22">
    <cfRule type="expression" dxfId="1368" priority="39">
      <formula>ABS(J$25-J$28)&gt;=1000</formula>
    </cfRule>
  </conditionalFormatting>
  <conditionalFormatting sqref="K23:K29 L25 L28">
    <cfRule type="expression" dxfId="1367" priority="38">
      <formula>ABS(K$25-K$28)&gt;=1000</formula>
    </cfRule>
  </conditionalFormatting>
  <conditionalFormatting sqref="L22 L26:L27 L29 L24">
    <cfRule type="expression" dxfId="1366" priority="37">
      <formula>ABS(L$25-L$28)&gt;=1000</formula>
    </cfRule>
  </conditionalFormatting>
  <conditionalFormatting sqref="M22:M29">
    <cfRule type="expression" dxfId="1365" priority="36">
      <formula>ABS(M$25-M$28)&gt;=1000</formula>
    </cfRule>
  </conditionalFormatting>
  <conditionalFormatting sqref="N22:N29">
    <cfRule type="expression" dxfId="1364" priority="35">
      <formula>ABS(N$25-N$28)&gt;=1000</formula>
    </cfRule>
  </conditionalFormatting>
  <conditionalFormatting sqref="O22:O29">
    <cfRule type="expression" dxfId="1363" priority="34">
      <formula>ABS(O$25-O$28)&gt;=1000</formula>
    </cfRule>
  </conditionalFormatting>
  <conditionalFormatting sqref="P22:P29">
    <cfRule type="expression" dxfId="1362" priority="33">
      <formula>ABS(P$25-P$28)&gt;=1000</formula>
    </cfRule>
  </conditionalFormatting>
  <conditionalFormatting sqref="Q22:Q29">
    <cfRule type="expression" dxfId="1361" priority="32">
      <formula>ABS(Q$25-Q$28)&gt;=1000</formula>
    </cfRule>
  </conditionalFormatting>
  <conditionalFormatting sqref="R22:R29">
    <cfRule type="expression" dxfId="1360" priority="31">
      <formula>ABS(R$25-R$28)&gt;=1000</formula>
    </cfRule>
  </conditionalFormatting>
  <conditionalFormatting sqref="S22:S29">
    <cfRule type="expression" dxfId="1359" priority="30">
      <formula>ABS(S$25-S$28)&gt;=1000</formula>
    </cfRule>
  </conditionalFormatting>
  <conditionalFormatting sqref="T22:T29">
    <cfRule type="expression" dxfId="1358" priority="29">
      <formula>ABS(T$25-T$28)&gt;=1000</formula>
    </cfRule>
  </conditionalFormatting>
  <conditionalFormatting sqref="U22:U29">
    <cfRule type="expression" dxfId="1357" priority="28">
      <formula>ABS(U$25-U$28)&gt;=1000</formula>
    </cfRule>
  </conditionalFormatting>
  <conditionalFormatting sqref="V22:V29">
    <cfRule type="expression" dxfId="1356" priority="27">
      <formula>ABS(V$25-V$28)&gt;=1000</formula>
    </cfRule>
  </conditionalFormatting>
  <conditionalFormatting sqref="W22:W29">
    <cfRule type="expression" dxfId="1355" priority="26">
      <formula>ABS(W$25-W$28)&gt;=1000</formula>
    </cfRule>
  </conditionalFormatting>
  <conditionalFormatting sqref="X22:X29">
    <cfRule type="expression" dxfId="1354" priority="25">
      <formula>ABS(X$25-X$28)&gt;=1000</formula>
    </cfRule>
  </conditionalFormatting>
  <conditionalFormatting sqref="Y22:Y29">
    <cfRule type="expression" dxfId="1353" priority="24">
      <formula>ABS(Y$25-Y$28)&gt;=1000</formula>
    </cfRule>
  </conditionalFormatting>
  <conditionalFormatting sqref="I23">
    <cfRule type="expression" dxfId="1352" priority="23">
      <formula>ABS(I$25-I$28)&gt;=1000</formula>
    </cfRule>
  </conditionalFormatting>
  <conditionalFormatting sqref="Q14">
    <cfRule type="expression" dxfId="1351" priority="22">
      <formula>ABS(Q$16-Q$19)&gt;=1000</formula>
    </cfRule>
  </conditionalFormatting>
  <conditionalFormatting sqref="W14">
    <cfRule type="expression" dxfId="1350" priority="21">
      <formula>ABS(W$16-W$19)&gt;=1000</formula>
    </cfRule>
  </conditionalFormatting>
  <conditionalFormatting sqref="X14">
    <cfRule type="expression" dxfId="1349" priority="20">
      <formula>ABS(X$16-X$19)&gt;=1000</formula>
    </cfRule>
  </conditionalFormatting>
  <conditionalFormatting sqref="T10:Y10">
    <cfRule type="expression" dxfId="1348" priority="19">
      <formula>ABS(T$7-T$10)&gt;=1000</formula>
    </cfRule>
  </conditionalFormatting>
  <conditionalFormatting sqref="W19">
    <cfRule type="expression" dxfId="1347" priority="18">
      <formula>ABS(W$16-W$19)&gt;=1000</formula>
    </cfRule>
  </conditionalFormatting>
  <conditionalFormatting sqref="AC5">
    <cfRule type="expression" dxfId="1346" priority="17">
      <formula>ABS(AC$7-AC$10)&gt;=1000</formula>
    </cfRule>
  </conditionalFormatting>
  <conditionalFormatting sqref="M14">
    <cfRule type="expression" dxfId="1345" priority="16">
      <formula>ABS(M$16-M$19)&gt;=1000</formula>
    </cfRule>
  </conditionalFormatting>
  <conditionalFormatting sqref="M16">
    <cfRule type="expression" dxfId="1344" priority="15">
      <formula>ABS(M$16-M$19)&gt;=1000</formula>
    </cfRule>
  </conditionalFormatting>
  <conditionalFormatting sqref="M19">
    <cfRule type="expression" dxfId="1343" priority="14">
      <formula>ABS(M$16-M$19)&gt;=1000</formula>
    </cfRule>
  </conditionalFormatting>
  <conditionalFormatting sqref="K13:K20">
    <cfRule type="expression" dxfId="1342" priority="13">
      <formula>ABS(K$16-K$19)&gt;=1000</formula>
    </cfRule>
  </conditionalFormatting>
  <conditionalFormatting sqref="E5">
    <cfRule type="expression" dxfId="1341" priority="12">
      <formula>ABS(E$7-E$10)&gt;=1000</formula>
    </cfRule>
  </conditionalFormatting>
  <conditionalFormatting sqref="AB14:AC14">
    <cfRule type="expression" dxfId="1340" priority="11">
      <formula>ABS(AB$16-AB$19)&gt;=1000</formula>
    </cfRule>
  </conditionalFormatting>
  <conditionalFormatting sqref="M5">
    <cfRule type="expression" dxfId="1339" priority="10">
      <formula>ABS(M$7-M$10)&gt;=1000</formula>
    </cfRule>
  </conditionalFormatting>
  <conditionalFormatting sqref="N5">
    <cfRule type="expression" dxfId="1338" priority="9">
      <formula>ABS(N$7-N$10)&gt;=1000</formula>
    </cfRule>
  </conditionalFormatting>
  <conditionalFormatting sqref="O5">
    <cfRule type="expression" dxfId="1337" priority="8">
      <formula>ABS(O$7-O$10)&gt;=1000</formula>
    </cfRule>
  </conditionalFormatting>
  <conditionalFormatting sqref="P5">
    <cfRule type="expression" dxfId="1336" priority="7">
      <formula>ABS(P$7-P$10)&gt;=1000</formula>
    </cfRule>
  </conditionalFormatting>
  <conditionalFormatting sqref="L23">
    <cfRule type="expression" dxfId="1335" priority="6">
      <formula>ABS(L$25-L$28)&gt;=1000</formula>
    </cfRule>
  </conditionalFormatting>
  <conditionalFormatting sqref="Y14">
    <cfRule type="expression" dxfId="1334" priority="5">
      <formula>ABS(Y$16-Y$19)&gt;=1000</formula>
    </cfRule>
  </conditionalFormatting>
  <conditionalFormatting sqref="F14">
    <cfRule type="expression" dxfId="1333" priority="4">
      <formula>ABS(F$16-F$19)&gt;=1000</formula>
    </cfRule>
  </conditionalFormatting>
  <conditionalFormatting sqref="H14">
    <cfRule type="expression" dxfId="1332" priority="3">
      <formula>ABS(H$16-H$19)&gt;=1000</formula>
    </cfRule>
  </conditionalFormatting>
  <conditionalFormatting sqref="AD5">
    <cfRule type="expression" dxfId="1331" priority="2">
      <formula>ABS(AD$7-AD$10)&gt;=1000</formula>
    </cfRule>
  </conditionalFormatting>
  <conditionalFormatting sqref="AE5">
    <cfRule type="expression" dxfId="13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566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4">
    <pageSetUpPr fitToPage="1"/>
  </sheetPr>
  <dimension ref="A1:CU223"/>
  <sheetViews>
    <sheetView view="pageBreakPreview" zoomScale="70" zoomScaleNormal="100" zoomScaleSheetLayoutView="70" workbookViewId="0">
      <selection activeCell="B2" sqref="B2:AE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46059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60" t="s" ph="1">
        <v>177</v>
      </c>
      <c r="D6" s="71">
        <v>6271</v>
      </c>
      <c r="E6" s="71">
        <v>232</v>
      </c>
      <c r="F6" s="71">
        <v>5685</v>
      </c>
      <c r="G6" s="71">
        <v>61</v>
      </c>
      <c r="H6" s="71">
        <v>4308</v>
      </c>
      <c r="I6" s="71">
        <v>0.08</v>
      </c>
      <c r="J6" s="71">
        <v>6.58</v>
      </c>
      <c r="K6" s="71">
        <v>61.55</v>
      </c>
      <c r="L6" s="71">
        <v>34.31</v>
      </c>
      <c r="M6" s="71">
        <v>792</v>
      </c>
      <c r="N6" s="71">
        <v>4139</v>
      </c>
      <c r="O6" s="71">
        <v>1832</v>
      </c>
      <c r="P6" s="71">
        <v>1470</v>
      </c>
      <c r="Q6" s="71">
        <v>6603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5883</v>
      </c>
      <c r="X6" s="71">
        <v>7070</v>
      </c>
      <c r="Y6" s="71">
        <v>6910</v>
      </c>
      <c r="Z6" s="71">
        <v>6328</v>
      </c>
      <c r="AA6" s="71">
        <v>3993</v>
      </c>
      <c r="AB6" s="71">
        <v>4612</v>
      </c>
      <c r="AC6" s="71">
        <v>9334</v>
      </c>
      <c r="AD6" s="71">
        <v>4780</v>
      </c>
      <c r="AE6" s="71">
        <v>4500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198104.32544193001</v>
      </c>
      <c r="E7" s="73" ph="1">
        <f>E6*51.53*LOOKUP(E8,密度!$A$2:$A$50,密度!$B$2:$B$50)</f>
        <v>9383.448104000001</v>
      </c>
      <c r="F7" s="73" ph="1">
        <f>F6*33.183*LOOKUP(F8,密度!$A$2:$A$50,密度!$C$2:$C$50)</f>
        <v>210245.24814750001</v>
      </c>
      <c r="G7" s="73" ph="1">
        <f xml:space="preserve"> (G6+2)*51.53*LOOKUP(G8,密度!$A$2:$A$50,密度!$B$2:$B$50)</f>
        <v>2550.6886229999996</v>
      </c>
      <c r="H7" s="73" ph="1">
        <f>(H6)*51.53*LOOKUP(H8,密度!$A$2:$A$50,密度!$B$2:$B$50)</f>
        <v>174418.517268</v>
      </c>
      <c r="I7" s="73" ph="1">
        <f>I6*290.8*1.0267</f>
        <v>23.885148800000003</v>
      </c>
      <c r="J7" s="73" ph="1">
        <f>J6*290.8*0.7892</f>
        <v>1510.1057888000003</v>
      </c>
      <c r="K7" s="73" ph="1">
        <f>K6*290.8*1.1126</f>
        <v>19914.138124000001</v>
      </c>
      <c r="L7" s="73" ph="1">
        <f>L6*290.8*0.777</f>
        <v>7752.3993960000016</v>
      </c>
      <c r="M7" s="73" ph="1">
        <f>M6*33.183*LOOKUP(M8,密度!$A$2:$A$50,密度!$D$2:$D$50)</f>
        <v>27150.834981600001</v>
      </c>
      <c r="N7" s="73" ph="1">
        <f>N6*33.183*LOOKUP(N8,密度!$A$2:$A$50,密度!$E$2:$E$50)</f>
        <v>108694.38744180001</v>
      </c>
      <c r="O7" s="73" ph="1">
        <f>O6*20.428*LOOKUP(O8,密度!$A$2:$A$50,密度!$C$2:$C$50)</f>
        <v>41581.913065600005</v>
      </c>
      <c r="P7" s="73" ph="1">
        <f>P6*51.53*LOOKUP(P8,密度!$A$2:$A$50,密度!$B$2:$B$50)</f>
        <v>59455.468590000011</v>
      </c>
      <c r="Q7" s="73" ph="1">
        <f>Q6*1.5*1.5*3.1416*LOOKUP(W8,密度!$A$2:$A$50,密度!$L$2:$L$50)</f>
        <v>44060.223715199994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39255.837667199994</v>
      </c>
      <c r="X7" s="73" ph="1">
        <f>X6*1.5*1.5*3.1416*LOOKUP(X8,密度!$A$2:$A$50,密度!$L$2:$L$50)</f>
        <v>47576.201904000001</v>
      </c>
      <c r="Y7" s="73" ph="1">
        <f>Y6*1.5*1.5*3.1416*LOOKUP(Y8,密度!$A$2:$A$50,密度!$L$2:$L$50)</f>
        <v>46059.916517999998</v>
      </c>
      <c r="Z7" s="73" ph="1">
        <f>Z6*33.183*LOOKUP(Z8,密度!$A$2:$A$50,密度!$L$2:$L$50)</f>
        <v>199692.904824</v>
      </c>
      <c r="AA7" s="73" ph="1">
        <f>AA6*33.183*LOOKUP(AA8,密度!$A$2:$A$50,密度!$D$2:$D$50)</f>
        <v>136885.4596989</v>
      </c>
      <c r="AB7" s="73" ph="1">
        <f>AB6*20.428*LOOKUP(AB8,密度!$A$2:$A$50,密度!$D$2:$D$50)</f>
        <v>97982.493440000006</v>
      </c>
      <c r="AC7" s="73" ph="1">
        <f>AC6*51.53*LOOKUP(AC8,密度!$A$2:$A$50,密度!$Q$2:$Q$50)</f>
        <v>458663.50067199999</v>
      </c>
      <c r="AD7" s="73" ph="1">
        <f>AD6*20.428*LOOKUP(AD8,密度!$A$2:$A$50,密度!$V$2:$V$50)</f>
        <v>94130.589760000003</v>
      </c>
      <c r="AE7" s="73" ph="1">
        <f>AE6*20.428</f>
        <v>91926</v>
      </c>
    </row>
    <row r="8" spans="1:99" ph="1">
      <c r="B8" s="193" ph="1"/>
      <c r="C8" s="68" t="s" ph="1">
        <v>179</v>
      </c>
      <c r="D8" s="74">
        <v>18</v>
      </c>
      <c r="E8" s="74">
        <v>19</v>
      </c>
      <c r="F8" s="74">
        <v>17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18</v>
      </c>
      <c r="O8" s="74">
        <v>22</v>
      </c>
      <c r="P8" s="74">
        <v>19</v>
      </c>
      <c r="Q8" s="74">
        <v>21</v>
      </c>
      <c r="R8" s="74">
        <v>26</v>
      </c>
      <c r="S8" s="74">
        <v>15</v>
      </c>
      <c r="T8" s="74">
        <v>14</v>
      </c>
      <c r="U8" s="74">
        <v>18</v>
      </c>
      <c r="V8" s="74">
        <v>24</v>
      </c>
      <c r="W8" s="74">
        <v>18</v>
      </c>
      <c r="X8" s="74">
        <v>10</v>
      </c>
      <c r="Y8" s="74">
        <v>19</v>
      </c>
      <c r="Z8" s="74">
        <v>11</v>
      </c>
      <c r="AA8" s="74">
        <v>18</v>
      </c>
      <c r="AB8" s="74">
        <v>10</v>
      </c>
      <c r="AC8" s="74">
        <v>16</v>
      </c>
      <c r="AD8" s="74">
        <v>16</v>
      </c>
      <c r="AE8" s="74">
        <v>20</v>
      </c>
    </row>
    <row r="9" spans="1:99" ht="26.4" ph="1">
      <c r="B9" s="193" ph="1">
        <v>0.66666666666666663</v>
      </c>
      <c r="C9" s="160" t="s" ph="1">
        <v>180</v>
      </c>
      <c r="D9" s="71">
        <v>6273</v>
      </c>
      <c r="E9" s="71">
        <v>232</v>
      </c>
      <c r="F9" s="71">
        <v>5685</v>
      </c>
      <c r="G9" s="71">
        <v>920</v>
      </c>
      <c r="H9" s="71">
        <v>5163</v>
      </c>
      <c r="I9" s="71">
        <v>0.08</v>
      </c>
      <c r="J9" s="71">
        <v>6.55</v>
      </c>
      <c r="K9" s="71">
        <v>61.43</v>
      </c>
      <c r="L9" s="71">
        <v>20.98</v>
      </c>
      <c r="M9" s="71">
        <v>793</v>
      </c>
      <c r="N9" s="71">
        <v>4140</v>
      </c>
      <c r="O9" s="71">
        <v>1733</v>
      </c>
      <c r="P9" s="71">
        <v>1305</v>
      </c>
      <c r="Q9" s="71">
        <v>6604</v>
      </c>
      <c r="R9" s="71">
        <v>2574</v>
      </c>
      <c r="S9" s="71">
        <v>784</v>
      </c>
      <c r="T9" s="71">
        <v>2883</v>
      </c>
      <c r="U9" s="71">
        <v>0</v>
      </c>
      <c r="V9" s="71">
        <v>0</v>
      </c>
      <c r="W9" s="71">
        <v>697</v>
      </c>
      <c r="X9" s="71">
        <v>7072</v>
      </c>
      <c r="Y9" s="71">
        <v>6912</v>
      </c>
      <c r="Z9" s="71">
        <v>4048</v>
      </c>
      <c r="AA9" s="71">
        <v>3994</v>
      </c>
      <c r="AB9" s="71">
        <v>4513</v>
      </c>
      <c r="AC9" s="71">
        <v>9336</v>
      </c>
      <c r="AD9" s="71">
        <v>4780</v>
      </c>
      <c r="AE9" s="71">
        <v>4445</v>
      </c>
    </row>
    <row r="10" spans="1:99" s="72" customFormat="1" ht="22.2" ph="1">
      <c r="B10" s="193" ph="1"/>
      <c r="C10" s="160" t="s" ph="1">
        <v>178</v>
      </c>
      <c r="D10" s="73" ph="1">
        <f>D9*33.183*LOOKUP(D11,密度!$A$2:$A$50,密度!$Q$2:$Q$50)</f>
        <v>198167.50653759</v>
      </c>
      <c r="E10" s="73" ph="1">
        <f>E9*51.53*LOOKUP(E11,密度!$A$2:$A$50,密度!$B$2:$B$50)</f>
        <v>9383.448104000001</v>
      </c>
      <c r="F10" s="73" ph="1">
        <f>F9*33.183*LOOKUP(F11,密度!$A$2:$A$50,密度!$C$2:$C$50)</f>
        <v>210245.24814750001</v>
      </c>
      <c r="G10" s="73" ph="1">
        <f xml:space="preserve"> (G9+2)*51.53*LOOKUP(G11,密度!$A$2:$A$50,密度!$B$2:$B$50)</f>
        <v>37329.125562000001</v>
      </c>
      <c r="H10" s="73" ph="1">
        <f>(H9)*51.53*LOOKUP(H11,密度!$A$2:$A$50,密度!$B$2:$B$50)</f>
        <v>209035.00572300001</v>
      </c>
      <c r="I10" s="73" ph="1">
        <f>I9*290.8*1.0267</f>
        <v>23.885148800000003</v>
      </c>
      <c r="J10" s="73" ph="1">
        <f>J9*290.8*0.7892</f>
        <v>1503.220808</v>
      </c>
      <c r="K10" s="73" ph="1">
        <f>K9*290.8*1.1126</f>
        <v>19875.312834400003</v>
      </c>
      <c r="L10" s="73" ph="1">
        <f>L9*290.8*0.777</f>
        <v>4740.4645680000003</v>
      </c>
      <c r="M10" s="73" ph="1">
        <f>M9*33.183*LOOKUP(M11,密度!$A$2:$A$50,密度!$D$2:$D$50)</f>
        <v>27161.433631799999</v>
      </c>
      <c r="N10" s="73" ph="1">
        <f>N9*33.183*LOOKUP(N11,密度!$A$2:$A$50,密度!$E$2:$E$50)</f>
        <v>108418.41770399999</v>
      </c>
      <c r="O10" s="73" ph="1">
        <f>O9*20.428*LOOKUP(O11,密度!$A$2:$A$50,密度!$C$2:$C$50)</f>
        <v>39310.074329600007</v>
      </c>
      <c r="P10" s="73" ph="1">
        <f>P9*51.53*LOOKUP(P11,密度!$A$2:$A$50,密度!$B$2:$B$50)</f>
        <v>52607.054295000009</v>
      </c>
      <c r="Q10" s="73" ph="1">
        <f>Q9*1.5*1.5*3.1416*LOOKUP(W11,密度!$A$2:$A$50,密度!$L$2:$L$50)</f>
        <v>43973.534404799997</v>
      </c>
      <c r="R10" s="73" ph="1">
        <f>R9*1.5*1.5*3.1416*LOOKUP(R11,密度!$A$2:$A$50,密度!$L$2:$L$50)</f>
        <v>17048.318086799998</v>
      </c>
      <c r="S10" s="73" ph="1">
        <f>S9*1.5*1.5*3.1416*LOOKUP(S11,密度!$A$2:$A$50,密度!$L$2:$L$50)</f>
        <v>5242.5261504</v>
      </c>
      <c r="T10" s="73" ph="1">
        <f>T9*1.5*1.5*3.1416*LOOKUP(T11,密度!$A$2:$A$50,密度!$L$2:$L$50)</f>
        <v>19074.532276800001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4641.0589763999997</v>
      </c>
      <c r="X10" s="73" ph="1">
        <f>X9*1.5*1.5*3.1416*LOOKUP(X11,密度!$A$2:$A$50,密度!$L$2:$L$50)</f>
        <v>47489.682239999995</v>
      </c>
      <c r="Y10" s="73" ph="1">
        <f>Y9*1.5*1.5*3.1416*LOOKUP(Y11,密度!$A$2:$A$50,密度!$L$2:$L$50)</f>
        <v>46073.247897599998</v>
      </c>
      <c r="Z10" s="73" ph="1">
        <f>Z9*33.183*LOOKUP(Z11,密度!$A$2:$A$50,密度!$L$2:$L$50)</f>
        <v>126802.59609599998</v>
      </c>
      <c r="AA10" s="73" ph="1">
        <f>AA9*33.183*LOOKUP(AA11,密度!$A$2:$A$50,密度!$D$2:$D$50)</f>
        <v>136919.7410562</v>
      </c>
      <c r="AB10" s="73" ph="1">
        <f>AB9*20.428*LOOKUP(AB11,密度!$A$2:$A$50,密度!$D$2:$D$50)</f>
        <v>95722.500901199994</v>
      </c>
      <c r="AC10" s="73" ph="1">
        <f>AC9*51.53*LOOKUP(AC11,密度!$A$2:$A$50,密度!$Q$2:$Q$50)</f>
        <v>458761.77868799999</v>
      </c>
      <c r="AD10" s="73" ph="1">
        <f>AD9*20.428*LOOKUP(AD11,密度!$A$2:$A$50,密度!$V$2:$V$50)</f>
        <v>94130.589760000003</v>
      </c>
      <c r="AE10" s="73" ph="1">
        <f>AE9*20.428</f>
        <v>90802.46</v>
      </c>
    </row>
    <row r="11" spans="1:99" ph="1">
      <c r="A11" s="64" t="s" ph="1">
        <v>162</v>
      </c>
      <c r="B11" s="193" ph="1"/>
      <c r="C11" s="160" t="s" ph="1">
        <v>179</v>
      </c>
      <c r="D11" s="74">
        <v>18</v>
      </c>
      <c r="E11" s="74">
        <v>19</v>
      </c>
      <c r="F11" s="74">
        <v>17</v>
      </c>
      <c r="G11" s="74">
        <v>18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20</v>
      </c>
      <c r="O11" s="74">
        <v>23</v>
      </c>
      <c r="P11" s="74">
        <v>22</v>
      </c>
      <c r="Q11" s="74">
        <v>22</v>
      </c>
      <c r="R11" s="74">
        <v>25</v>
      </c>
      <c r="S11" s="74">
        <v>16</v>
      </c>
      <c r="T11" s="74">
        <v>26</v>
      </c>
      <c r="U11" s="74">
        <v>20</v>
      </c>
      <c r="V11" s="74">
        <v>24</v>
      </c>
      <c r="W11" s="74">
        <v>20</v>
      </c>
      <c r="X11" s="74">
        <v>12</v>
      </c>
      <c r="Y11" s="74">
        <v>19</v>
      </c>
      <c r="Z11" s="74">
        <v>18</v>
      </c>
      <c r="AA11" s="74">
        <v>18</v>
      </c>
      <c r="AB11" s="74">
        <v>12</v>
      </c>
      <c r="AC11" s="74">
        <v>16</v>
      </c>
      <c r="AD11" s="74">
        <v>17</v>
      </c>
      <c r="AE11" s="74">
        <v>20</v>
      </c>
    </row>
    <row r="12" spans="1:99" ht="9.9" customHeight="1" ph="1"/>
    <row r="13" spans="1:99" s="72" customFormat="1" ht="29.25" customHeight="1" ph="1">
      <c r="B13" s="201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60" t="s" ph="1">
        <v>177</v>
      </c>
      <c r="D15" s="78">
        <v>1880</v>
      </c>
      <c r="E15" s="78">
        <v>5762</v>
      </c>
      <c r="F15" s="78">
        <v>4563</v>
      </c>
      <c r="G15" s="78">
        <v>2476</v>
      </c>
      <c r="H15" s="78">
        <v>1280</v>
      </c>
      <c r="I15" s="78">
        <v>5216</v>
      </c>
      <c r="J15" s="78">
        <v>5496</v>
      </c>
      <c r="K15" s="78">
        <v>3578</v>
      </c>
      <c r="L15" s="78">
        <v>3081</v>
      </c>
      <c r="M15" s="78">
        <v>775</v>
      </c>
      <c r="N15" s="78">
        <v>2482</v>
      </c>
      <c r="O15" s="78">
        <v>5343</v>
      </c>
      <c r="P15" s="78">
        <v>6991</v>
      </c>
      <c r="Q15" s="78">
        <v>1748</v>
      </c>
      <c r="R15" s="78">
        <v>4380</v>
      </c>
      <c r="S15" s="78">
        <v>0</v>
      </c>
      <c r="T15" s="78">
        <v>2913</v>
      </c>
      <c r="U15" s="78">
        <v>5680</v>
      </c>
      <c r="V15" s="78">
        <v>4982</v>
      </c>
      <c r="W15" s="71">
        <v>72</v>
      </c>
      <c r="X15" s="78">
        <v>310</v>
      </c>
      <c r="Y15" s="106">
        <v>-9900</v>
      </c>
      <c r="Z15" s="78">
        <v>0</v>
      </c>
      <c r="AA15" s="78">
        <v>11</v>
      </c>
      <c r="AB15" s="78" ph="1">
        <v>6954</v>
      </c>
      <c r="AC15" s="78" ph="1">
        <v>2143</v>
      </c>
      <c r="AD15" s="78">
        <v>5.48</v>
      </c>
      <c r="AE15" s="78">
        <v>57.99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60" t="s" ph="1">
        <v>178</v>
      </c>
      <c r="D16" s="73" ph="1">
        <f>D15*7.0686*LOOKUP(D17,密度!$A$2:$A$50,密度!$L$2:$L$50)</f>
        <v>12518.207856000001</v>
      </c>
      <c r="E16" s="73" ph="1">
        <f>E15*7.0686*LOOKUP(E17,密度!$A$2:$A$50,密度!$L$2:$L$50)</f>
        <v>38366.975354399998</v>
      </c>
      <c r="F16" s="73" ph="1">
        <f>F15*9.0746*LOOKUP(F17,密度!$A$2:$A$50,密度!$L$2:$L$50)</f>
        <v>39005.770611599997</v>
      </c>
      <c r="G16" s="73" ph="1">
        <f>G15*9.0746*LOOKUP(G17,密度!$A$2:$A$50,密度!$B$2:$B$50)</f>
        <v>17635.690165040003</v>
      </c>
      <c r="H16" s="73" ph="1">
        <f>H15*9.0746*LOOKUP(H17,密度!$A$2:$A$50,密度!$L$2:$L$50)</f>
        <v>10953.405184000001</v>
      </c>
      <c r="I16" s="73" ph="1">
        <f>I15*9.0746*LOOKUP(I17,密度!$A$2:$A$50,密度!$U$2:$U$50)</f>
        <v>48658.440780800003</v>
      </c>
      <c r="J16" s="73" ph="1">
        <f>J15*9.0746*LOOKUP(J17,密度!$A$2:$A$50,密度!$L$2:$L$50)</f>
        <v>47081.057510400002</v>
      </c>
      <c r="K16" s="73" ph="1">
        <f>K15*9.0746*LOOKUP(K17,密度!$A$2:$A$50,密度!$C$2:$C$50)</f>
        <v>36167.128651319996</v>
      </c>
      <c r="L16" s="73" ph="1">
        <f>L15*9.0746*LOOKUP(L17,密度!$A$2:$A$50,密度!$E$2:$E$50)</f>
        <v>22095.873306779999</v>
      </c>
      <c r="M16" s="73" ph="1">
        <f>M15*9.0746*LOOKUP(M17,密度!$A$2:$A$50,密度!$M$2:$M$50)</f>
        <v>6190.9870445000006</v>
      </c>
      <c r="N16" s="73" ph="1">
        <f>N15*9.0746*LOOKUP(N17,密度!$A$2:$A$50,密度!$M$2:$M$50)</f>
        <v>19827.135283160002</v>
      </c>
      <c r="O16" s="73" ph="1">
        <f>O15*9.0746*LOOKUP(O17,密度!$A$2:$A$50,密度!$G$2:$G$50)</f>
        <v>46885.563402599997</v>
      </c>
      <c r="P16" s="73" ph="1">
        <f ca="1">P15*9.0746*LOOKUP(P17,密度!$A$2:$A$51,密度!$Q$2:$Q$50)</f>
        <v>60346.534020178005</v>
      </c>
      <c r="Q16" s="73" ph="1">
        <f>Q15*9.0746*LOOKUP(Q17,密度!$A$2:$A$50,密度!$Q$2:$Q$50)</f>
        <v>15075.308472304001</v>
      </c>
      <c r="R16" s="73" ph="1">
        <f>MAX(R15*9.0746*LOOKUP(R17,密度!$A$2:$A$50,密度!$B$2:$B$50),0)</f>
        <v>31197.222505200003</v>
      </c>
      <c r="S16" s="73" ph="1">
        <f>S15*9.0746*LOOKUP(S17,密度!$A$2:$A$50,密度!$Q$2:$Q$50)</f>
        <v>0</v>
      </c>
      <c r="T16" s="73" ph="1">
        <f>T15*9.0746*LOOKUP(T17,密度!$A$2:$A$50,密度!$O$2:$O$50)</f>
        <v>24689.645353200001</v>
      </c>
      <c r="U16" s="73" ph="1">
        <f>U15*9.0746*LOOKUP(U17,密度!$A$2:$A$50,密度!$H$2:$H$50)</f>
        <v>47404.766641599999</v>
      </c>
      <c r="V16" s="73" ph="1">
        <f>MAX(5600*LOOKUP(V17,密度!$A$2:$A$50,密度!$Q$2:$Q$50)+V15*9.0476*LOOKUP(V17,密度!$A$2:$A$50,密度!$Q$2:$Q$50),0)</f>
        <v>48203.716466136</v>
      </c>
      <c r="W16" s="73" ph="1">
        <f>MAX(5600*LOOKUP(W17,密度!$A$2:$A$50,密度!$Q$2:$Q$50)+W15*9.0476*LOOKUP(W17,密度!$A$2:$A$50,密度!$Q$2:$Q$50),0)</f>
        <v>5946.5450954560001</v>
      </c>
      <c r="X16" s="73" ph="1">
        <f>MAX(5600*LOOKUP(X17,密度!$A$2:$A$50,密度!$I$2:$I$50)+X15*9.0476*LOOKUP(X17,密度!$A$2:$A$50,密度!$I$2:$I$50),0)</f>
        <v>8760.2771787999991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78.658632800000007</v>
      </c>
      <c r="AB16" s="73" ph="1">
        <f>AB15*9.0746*LOOKUP(AB17,密度!$A$2:$A$50,密度!$L$2:$L$50)</f>
        <v>59570.901369599997</v>
      </c>
      <c r="AC16" s="73" ph="1">
        <f>AC15*9.0746*LOOKUP(AC17,密度!$A$2:$A$50,密度!$L$2:$L$50)</f>
        <v>18377.290070999999</v>
      </c>
      <c r="AD16" s="73" ph="1">
        <f>AD15*268.68*LOOKUP(AD17,密度!$A$2:$A$50,密度!B2:B50)+IF(AD15&lt;=0,0,1566*LOOKUP(AD17,密度!$A$2:$A$50,密度!B2:B50))</f>
        <v>2368.7104454399996</v>
      </c>
      <c r="AE16" s="73" ph="1">
        <f>AE15*268.68*LOOKUP(AE17,密度!$A$2:$A$50,密度!B2:B50)+IF(AE15&lt;=0,0,1566*LOOKUP(AE17,密度!$A$2:$A$50,密度!B2:B50))</f>
        <v>13367.608794720001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20</v>
      </c>
      <c r="E17" s="74">
        <v>20</v>
      </c>
      <c r="F17" s="74">
        <v>20</v>
      </c>
      <c r="G17" s="74">
        <v>19</v>
      </c>
      <c r="H17" s="74">
        <v>19</v>
      </c>
      <c r="I17" s="74">
        <v>18</v>
      </c>
      <c r="J17" s="74">
        <v>18</v>
      </c>
      <c r="K17" s="74">
        <v>18</v>
      </c>
      <c r="L17" s="74">
        <v>19</v>
      </c>
      <c r="M17" s="74">
        <v>19</v>
      </c>
      <c r="N17" s="74">
        <v>18</v>
      </c>
      <c r="O17" s="74">
        <v>19</v>
      </c>
      <c r="P17" s="74">
        <v>19</v>
      </c>
      <c r="Q17" s="74">
        <v>20</v>
      </c>
      <c r="R17" s="74">
        <v>19</v>
      </c>
      <c r="S17" s="74">
        <v>20</v>
      </c>
      <c r="T17" s="74">
        <v>19</v>
      </c>
      <c r="U17" s="74">
        <v>20</v>
      </c>
      <c r="V17" s="74">
        <v>19</v>
      </c>
      <c r="W17" s="74">
        <v>19</v>
      </c>
      <c r="X17" s="74">
        <v>25</v>
      </c>
      <c r="Y17" s="108">
        <v>25</v>
      </c>
      <c r="Z17" s="74">
        <v>19</v>
      </c>
      <c r="AA17" s="74">
        <v>15</v>
      </c>
      <c r="AB17" s="74">
        <v>18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4026</v>
      </c>
      <c r="E18" s="71">
        <v>3259</v>
      </c>
      <c r="F18" s="71">
        <v>2370</v>
      </c>
      <c r="G18" s="71">
        <v>2535</v>
      </c>
      <c r="H18" s="71">
        <v>2567</v>
      </c>
      <c r="I18" s="71">
        <v>5218</v>
      </c>
      <c r="J18" s="71">
        <v>5500</v>
      </c>
      <c r="K18" s="71">
        <v>3578</v>
      </c>
      <c r="L18" s="71">
        <v>3081</v>
      </c>
      <c r="M18" s="71">
        <v>3027</v>
      </c>
      <c r="N18" s="71">
        <v>233</v>
      </c>
      <c r="O18" s="71">
        <v>5346</v>
      </c>
      <c r="P18" s="71">
        <v>5239</v>
      </c>
      <c r="Q18" s="71">
        <v>1749</v>
      </c>
      <c r="R18" s="71">
        <v>2674</v>
      </c>
      <c r="S18" s="71">
        <v>0</v>
      </c>
      <c r="T18" s="71">
        <v>2913</v>
      </c>
      <c r="U18" s="71">
        <v>5679</v>
      </c>
      <c r="V18" s="71">
        <v>4982</v>
      </c>
      <c r="W18" s="71">
        <v>94</v>
      </c>
      <c r="X18" s="71">
        <v>310</v>
      </c>
      <c r="Y18" s="109">
        <v>-9900</v>
      </c>
      <c r="Z18" s="71">
        <v>0</v>
      </c>
      <c r="AA18" s="71">
        <v>11</v>
      </c>
      <c r="AB18" s="71">
        <v>6956</v>
      </c>
      <c r="AC18" s="71">
        <v>2144</v>
      </c>
      <c r="AD18" s="71">
        <v>32.659999999999997</v>
      </c>
      <c r="AE18" s="71">
        <v>84.73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60" t="s" ph="1">
        <v>178</v>
      </c>
      <c r="D19" s="73" ph="1">
        <f>D18*7.0686*LOOKUP(D20,密度!$A$2:$A$50,密度!$L$2:$L$50)</f>
        <v>26836.0671348</v>
      </c>
      <c r="E19" s="73" ph="1">
        <f>E18*7.0686*LOOKUP(E20,密度!$A$2:$A$50,密度!$L$2:$L$50)</f>
        <v>21723.4830582</v>
      </c>
      <c r="F19" s="73" ph="1">
        <f>F18*9.0746*LOOKUP(F20,密度!$A$2:$A$50,密度!$L$2:$L$50)</f>
        <v>20237.900682</v>
      </c>
      <c r="G19" s="73" ph="1">
        <f>G18*9.0746*LOOKUP(G20,密度!$A$2:$A$50,密度!$B$2:$B$50)</f>
        <v>18037.5234351</v>
      </c>
      <c r="H19" s="73" ph="1">
        <f>H18*9.0746*LOOKUP(H20,密度!$A$2:$A$50,密度!$L$2:$L$50)</f>
        <v>21920.122806200001</v>
      </c>
      <c r="I19" s="73" ph="1">
        <f>I18*9.0746*LOOKUP(I20,密度!$A$2:$A$50,密度!$U$2:$U$50)</f>
        <v>48677.098158400004</v>
      </c>
      <c r="J19" s="73" ph="1">
        <f>J18*9.0746*LOOKUP(J20,密度!$A$2:$A$50,密度!$L$2:$L$50)</f>
        <v>47065.412900000003</v>
      </c>
      <c r="K19" s="73" ph="1">
        <f>K18*9.0746*LOOKUP(K20,密度!$A$2:$A$50,密度!$C$2:$C$50)</f>
        <v>36144.40040816</v>
      </c>
      <c r="L19" s="73" ph="1">
        <f>L18*9.0746*LOOKUP(L20,密度!$A$2:$A$50,密度!$E$2:$E$50)</f>
        <v>22065.118579919999</v>
      </c>
      <c r="M19" s="73" ph="1">
        <f>M18*9.0746*LOOKUP(M20,密度!$A$2:$A$50,密度!$M$2:$M$50)</f>
        <v>24180.797140260001</v>
      </c>
      <c r="N19" s="73" ph="1">
        <f>N18*9.0746*LOOKUP(N20,密度!$A$2:$A$50,密度!$M$2:$M$50)</f>
        <v>1861.2902985400001</v>
      </c>
      <c r="O19" s="73" ph="1">
        <f>O18*9.0746*LOOKUP(O20,密度!$A$2:$A$50,密度!$G$2:$G$50)</f>
        <v>46858.524724440002</v>
      </c>
      <c r="P19" s="73" ph="1">
        <f ca="1">P18*9.0746*LOOKUP(P20,密度!$A$2:$A$51,密度!$Q$2:$Q$50)</f>
        <v>45182.803825171999</v>
      </c>
      <c r="Q19" s="73" ph="1">
        <f>Q18*9.0746*LOOKUP(Q20,密度!$A$2:$A$50,密度!$Q$2:$Q$50)</f>
        <v>15097.423544742001</v>
      </c>
      <c r="R19" s="73" ph="1">
        <f>MAX(R18*9.0746*LOOKUP(R20,密度!$A$2:$A$50,密度!$B$2:$B$50),0)</f>
        <v>19026.563181640002</v>
      </c>
      <c r="S19" s="73" ph="1">
        <f>S18*9.0746*LOOKUP(S20,密度!$A$2:$A$50,密度!$Q$2:$Q$50)</f>
        <v>0</v>
      </c>
      <c r="T19" s="73" ph="1">
        <f>T18*9.0746*LOOKUP(T20,密度!$A$2:$A$50,密度!$O$2:$O$50)</f>
        <v>24583.908114000002</v>
      </c>
      <c r="U19" s="73" ph="1">
        <f>U18*9.0746*LOOKUP(U20,密度!$A$2:$A$50,密度!$H$2:$H$50)</f>
        <v>47447.955385380003</v>
      </c>
      <c r="V19" s="73" ph="1">
        <f>MAX(5600*LOOKUP(V20,密度!$A$2:$A$50,密度!$Q$2:$Q$50)+V18*9.0476*LOOKUP(V20,密度!$A$2:$A$50,密度!$Q$2:$Q$50),0)</f>
        <v>48203.716466136</v>
      </c>
      <c r="W19" s="73" ph="1">
        <f>MAX(5600*LOOKUP(W20,密度!$A$2:$A$50,密度!$Q$2:$Q$50)+W18*9.0476*LOOKUP(W20,密度!$A$2:$A$50,密度!$Q$2:$Q$50),0)</f>
        <v>6135.8847635120001</v>
      </c>
      <c r="X19" s="73" ph="1">
        <f>MAX(5600*LOOKUP(X20,密度!$A$2:$A$50,密度!$I$2:$I$50)+X18*9.0476*LOOKUP(X20,密度!$A$2:$A$50,密度!$I$2:$I$50),0)</f>
        <v>8713.2105451999996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78.498919839999999</v>
      </c>
      <c r="AB19" s="73" ph="1">
        <f>AB18*9.0746*LOOKUP(AB20,密度!$A$2:$A$50,密度!$L$2:$L$50)</f>
        <v>59524.911296799997</v>
      </c>
      <c r="AC19" s="73" ph="1">
        <f>AC18*9.0746*LOOKUP(AC20,密度!$A$2:$A$50,密度!$L$2:$L$50)</f>
        <v>18385.865567999997</v>
      </c>
      <c r="AD19" s="73" ph="1">
        <f>AD18*268.68*LOOKUP(AD20,密度!$A$2:$A$50,密度!B5:B53)+IF(AD18&lt;=0,0,1566*LOOKUP(AD20,密度!$A$2:$A$50,密度!B5:B53))</f>
        <v>8035.0259975999998</v>
      </c>
      <c r="AE19" s="73" ph="1">
        <f>AE18*268.68*LOOKUP(AE20,密度!$A$2:$A$50,密度!B5:B53)+IF(AE18&lt;=0,0,1566*LOOKUP(AE20,密度!$A$2:$A$50,密度!B5:B53))</f>
        <v>18905.3862228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19</v>
      </c>
      <c r="E20" s="81">
        <v>19</v>
      </c>
      <c r="F20" s="81">
        <v>21</v>
      </c>
      <c r="G20" s="81">
        <v>20</v>
      </c>
      <c r="H20" s="81">
        <v>21</v>
      </c>
      <c r="I20" s="81">
        <v>19</v>
      </c>
      <c r="J20" s="81">
        <v>19</v>
      </c>
      <c r="K20" s="81">
        <v>19</v>
      </c>
      <c r="L20" s="81">
        <v>20</v>
      </c>
      <c r="M20" s="81">
        <v>20</v>
      </c>
      <c r="N20" s="81">
        <v>19</v>
      </c>
      <c r="O20" s="81">
        <v>20</v>
      </c>
      <c r="P20" s="81">
        <v>20</v>
      </c>
      <c r="Q20" s="81">
        <v>19</v>
      </c>
      <c r="R20" s="81">
        <v>20</v>
      </c>
      <c r="S20" s="81">
        <v>19</v>
      </c>
      <c r="T20" s="81">
        <v>20</v>
      </c>
      <c r="U20" s="81">
        <v>19</v>
      </c>
      <c r="V20" s="81">
        <v>19</v>
      </c>
      <c r="W20" s="81">
        <v>19</v>
      </c>
      <c r="X20" s="81">
        <v>30</v>
      </c>
      <c r="Y20" s="110">
        <v>30</v>
      </c>
      <c r="Z20" s="81">
        <v>18</v>
      </c>
      <c r="AA20" s="81">
        <v>17</v>
      </c>
      <c r="AB20" s="81">
        <v>19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644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60" t="s" ph="1">
        <v>177</v>
      </c>
      <c r="D24" s="71">
        <v>54.31</v>
      </c>
      <c r="E24" s="71">
        <v>63.75</v>
      </c>
      <c r="F24" s="71">
        <v>2956</v>
      </c>
      <c r="G24" s="71">
        <v>2375</v>
      </c>
      <c r="H24" s="71">
        <v>3688</v>
      </c>
      <c r="I24" s="71">
        <v>1253</v>
      </c>
      <c r="J24" s="71">
        <v>450</v>
      </c>
      <c r="K24" s="71">
        <v>622</v>
      </c>
      <c r="L24" s="71">
        <v>5545</v>
      </c>
      <c r="M24" s="71">
        <v>5078</v>
      </c>
      <c r="N24" s="71">
        <v>2848</v>
      </c>
      <c r="O24" s="71">
        <v>5719</v>
      </c>
      <c r="P24" s="71">
        <v>3556</v>
      </c>
      <c r="Q24" s="90">
        <v>4440</v>
      </c>
      <c r="R24" s="71">
        <v>4973</v>
      </c>
      <c r="S24" s="71">
        <v>4303</v>
      </c>
      <c r="T24" s="71">
        <v>175</v>
      </c>
      <c r="U24" s="71">
        <v>4499</v>
      </c>
      <c r="V24" s="71">
        <v>6409</v>
      </c>
      <c r="W24" s="71">
        <v>2590</v>
      </c>
      <c r="X24" s="71">
        <v>7274</v>
      </c>
      <c r="Y24" s="71">
        <v>2418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15297.435144792002</v>
      </c>
      <c r="E25" s="91" ph="1">
        <f>E24*268.68*LOOKUP(E26,密度!$A$2:$A$50,密度!$C$2:$C$50)+IF(E24&lt;=0,0,1566*LOOKUP(E26,密度!$A$2:$A$50,密度!$C$2:$C$50))</f>
        <v>20730.164715000003</v>
      </c>
      <c r="F25" s="91" ph="1">
        <f>F24*11.702*LOOKUP(F26,密度!$A$2:$A$50,密度!$Q$2:$Q$50)</f>
        <v>32874.701022560002</v>
      </c>
      <c r="G25" s="91" ph="1">
        <f>G24*18.322*LOOKUP(G26,密度!$A$2:$A$50,密度!$B$2:$B$50)</f>
        <v>34080.752200000003</v>
      </c>
      <c r="H25" s="91" ph="1">
        <f>H24*18.322*LOOKUP(H26,密度!$A$2:$A$50,密度!$B$2:$B$50)</f>
        <v>52922.026995199994</v>
      </c>
      <c r="I25" s="91" ph="1">
        <f>I24*18.322*LOOKUP(I26,密度!$A$2:$A$50,密度!$Q$2:$Q$50)</f>
        <v>21818.316537080002</v>
      </c>
      <c r="J25" s="91" ph="1">
        <f>J24*18.322*LOOKUP(J26,密度!$A$2:$A$50,密度!$Q$2:$Q$50)</f>
        <v>7830.0990810000003</v>
      </c>
      <c r="K25" s="91" ph="1">
        <f>K24*18.322*LOOKUP(K26,密度!$A$2:$A$50,密度!$Q$2:$Q$50)</f>
        <v>10830.800387920001</v>
      </c>
      <c r="L25" s="91" ph="1">
        <f>L24*18.322*LOOKUP(L26,密度!$A$2:$A$50,密度!$Q$2:$Q$50)</f>
        <v>96484.2208981</v>
      </c>
      <c r="M25" s="91" ph="1">
        <f>M24*18.322*LOOKUP(M26,密度!$A$2:$A$50,密度!$Q$2:$Q$50)</f>
        <v>88358.318074039998</v>
      </c>
      <c r="N25" s="91" ph="1">
        <f>N24*18.322*LOOKUP(N26,密度!$A$2:$A$50,密度!$Q$2:$Q$50)</f>
        <v>49555.827072640001</v>
      </c>
      <c r="O25" s="91" ph="1">
        <f>O24*18.322*LOOKUP(O26,密度!$A$2:$A$50,密度!$C$2:$C$50)</f>
        <v>116582.1421268</v>
      </c>
      <c r="P25" s="91" ph="1">
        <f>P24*11.702*LOOKUP(P26,密度!$A$2:$A$50,密度!$B$2:$B$50)</f>
        <v>32590.7627584</v>
      </c>
      <c r="Q25" s="92" ph="1">
        <f>Q24*18.322*LOOKUP(Q26,密度!$A$2:$A$50,密度!$B$2:$B$50)</f>
        <v>63713.069375999992</v>
      </c>
      <c r="R25" s="91" ph="1">
        <f>R24*35.891*LOOKUP(R26,密度!$A$2:$A$50,密度!$C$2:$C$50)</f>
        <v>198583.46018180001</v>
      </c>
      <c r="S25" s="91" ph="1">
        <f>S24*35.891*LOOKUP(S26,密度!$A$2:$A$50,密度!$B$2:$B$50)</f>
        <v>121095.59872930001</v>
      </c>
      <c r="T25" s="91" ph="1">
        <f>T24*35.891*LOOKUP(T26,密度!$A$2:$A$50,密度!$Q$2:$Q$50)</f>
        <v>5969.2655014999991</v>
      </c>
      <c r="U25" s="91" ph="1">
        <f>U24*35.891</f>
        <v>161473.609</v>
      </c>
      <c r="V25" s="91" ph="1">
        <f>V24*47.051*LOOKUP(V26,密度!$A$2:$A$50,密度!$B$2:$B$50)</f>
        <v>236173.84956880001</v>
      </c>
      <c r="W25" s="91" ph="1">
        <f>W24*47.051*LOOKUP(W26,密度!$A$2:$A$50,密度!$B$2:$B$50)</f>
        <v>95552.064769000004</v>
      </c>
      <c r="X25" s="91" ph="1">
        <f>X24*47.051*LOOKUP(X26,密度!$A$2:$A$61,密度!$I$2:$I$61)</f>
        <v>347143.13432819996</v>
      </c>
      <c r="Y25" s="91" ph="1">
        <f>Y24*47.051*LOOKUP(Y26,密度!$A$2:$A$50,密度!$L$2:$L$50)</f>
        <v>107056.92823799999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20</v>
      </c>
      <c r="G26" s="74">
        <v>21</v>
      </c>
      <c r="H26" s="74">
        <v>21</v>
      </c>
      <c r="I26" s="74">
        <v>20</v>
      </c>
      <c r="J26" s="74">
        <v>21</v>
      </c>
      <c r="K26" s="74">
        <v>20</v>
      </c>
      <c r="L26" s="74">
        <v>21</v>
      </c>
      <c r="M26" s="74">
        <v>21</v>
      </c>
      <c r="N26" s="74">
        <v>21</v>
      </c>
      <c r="O26" s="74">
        <v>20</v>
      </c>
      <c r="P26" s="74">
        <v>21</v>
      </c>
      <c r="Q26" s="93">
        <v>21</v>
      </c>
      <c r="R26" s="74">
        <v>20</v>
      </c>
      <c r="S26" s="74">
        <v>20</v>
      </c>
      <c r="T26" s="74">
        <v>20</v>
      </c>
      <c r="U26" s="74">
        <v>21</v>
      </c>
      <c r="V26" s="74">
        <v>21</v>
      </c>
      <c r="W26" s="74">
        <v>20</v>
      </c>
      <c r="X26" s="74">
        <v>50</v>
      </c>
      <c r="Y26" s="74">
        <v>21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60" t="s" ph="1">
        <v>180</v>
      </c>
      <c r="D27" s="71">
        <v>16.11</v>
      </c>
      <c r="E27" s="71">
        <v>17.37</v>
      </c>
      <c r="F27" s="71">
        <v>2076</v>
      </c>
      <c r="G27" s="71">
        <v>1836</v>
      </c>
      <c r="H27" s="71">
        <v>3493</v>
      </c>
      <c r="I27" s="71">
        <v>1252</v>
      </c>
      <c r="J27" s="71">
        <v>448</v>
      </c>
      <c r="K27" s="71">
        <v>434</v>
      </c>
      <c r="L27" s="71">
        <v>5547</v>
      </c>
      <c r="M27" s="71">
        <v>4630</v>
      </c>
      <c r="N27" s="71">
        <v>2848</v>
      </c>
      <c r="O27" s="71">
        <v>5720</v>
      </c>
      <c r="P27" s="71">
        <v>3557</v>
      </c>
      <c r="Q27" s="90">
        <v>4753</v>
      </c>
      <c r="R27" s="71">
        <v>5400</v>
      </c>
      <c r="S27" s="71">
        <v>3885</v>
      </c>
      <c r="T27" s="71">
        <v>175</v>
      </c>
      <c r="U27" s="71">
        <v>4399</v>
      </c>
      <c r="V27" s="71">
        <v>6411</v>
      </c>
      <c r="W27" s="71">
        <v>2590</v>
      </c>
      <c r="X27" s="71">
        <v>7898</v>
      </c>
      <c r="Y27" s="71">
        <v>3180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60" t="s" ph="1">
        <v>178</v>
      </c>
      <c r="D28" s="91" ph="1">
        <f>D27*268.68*LOOKUP(D29,密度!$A$2:$A$50,密度!$Q$2:$Q$50)+IF(D27&lt;=0,0,1566*LOOKUP(D29,密度!$A$2:$A$50,密度!$Q$2:$Q$50))</f>
        <v>5580.4972025520001</v>
      </c>
      <c r="E28" s="91" ph="1">
        <f>E27*268.68*LOOKUP(E29,密度!$A$2:$A$50,密度!$C$2:$C$50)+IF(E27&lt;=0,0,1566*LOOKUP(E29,密度!$A$2:$A$50,密度!$C$2:$C$50))</f>
        <v>6911.7422072400013</v>
      </c>
      <c r="F28" s="91" ph="1">
        <f>F27*11.702*LOOKUP(F29,密度!$A$2:$A$50,密度!$Q$2:$Q$50)</f>
        <v>23071.153460879999</v>
      </c>
      <c r="G28" s="91" ph="1">
        <f>G27*18.322*LOOKUP(G29,密度!$A$2:$A$50,密度!$B$2:$B$50)</f>
        <v>26346.215174399997</v>
      </c>
      <c r="H28" s="91" ph="1">
        <f>H27*18.322*LOOKUP(H29,密度!$A$2:$A$50,密度!$B$2:$B$50)</f>
        <v>50123.817867199999</v>
      </c>
      <c r="I28" s="91" ph="1">
        <f>I27*18.322*LOOKUP(I29,密度!$A$2:$A$50,密度!$Q$2:$Q$50)</f>
        <v>21800.903674720001</v>
      </c>
      <c r="J28" s="91" ph="1">
        <f>J27*18.322*LOOKUP(J29,密度!$A$2:$A$50,密度!$Q$2:$Q$50)</f>
        <v>7795.2986406399996</v>
      </c>
      <c r="K28" s="91" ph="1">
        <f>K27*18.322*LOOKUP(K29,密度!$A$2:$A$50,密度!$Q$2:$Q$50)</f>
        <v>7551.69555812</v>
      </c>
      <c r="L28" s="91" ph="1">
        <f>L27*18.322*LOOKUP(L29,密度!$A$2:$A$50,密度!$Q$2:$Q$50)</f>
        <v>96589.147510919996</v>
      </c>
      <c r="M28" s="91" ph="1">
        <f>M27*18.322*LOOKUP(M29,密度!$A$2:$A$50,密度!$Q$2:$Q$50)</f>
        <v>80621.552726800001</v>
      </c>
      <c r="N28" s="91" ph="1">
        <f>N27*18.322*LOOKUP(N29,密度!$A$2:$A$50,密度!$Q$2:$Q$50)</f>
        <v>49591.832001279996</v>
      </c>
      <c r="O28" s="91" ph="1">
        <f>O27*18.322*LOOKUP(O29,密度!$A$2:$A$50,密度!$C$2:$C$50)</f>
        <v>116602.52718400001</v>
      </c>
      <c r="P28" s="91" ph="1">
        <f>P27*11.702*LOOKUP(P29,密度!$A$2:$A$50,密度!$B$2:$B$50)</f>
        <v>32599.927764800002</v>
      </c>
      <c r="Q28" s="92" ph="1">
        <f>Q27*18.322*LOOKUP(Q29,密度!$A$2:$A$50,密度!$B$2:$B$50)</f>
        <v>68282.929790599999</v>
      </c>
      <c r="R28" s="91" ph="1">
        <f>R27*35.891*LOOKUP(R29,密度!$A$2:$A$50,密度!$C$2:$C$50)</f>
        <v>215634.56364000001</v>
      </c>
      <c r="S28" s="91" ph="1">
        <f>S27*35.891*LOOKUP(S29,密度!$A$2:$A$50,密度!$B$2:$B$50)</f>
        <v>109206.694212</v>
      </c>
      <c r="T28" s="91" ph="1">
        <f>T27*35.891*LOOKUP(T29,密度!$A$2:$A$50,密度!$Q$2:$Q$50)</f>
        <v>5964.9316632499995</v>
      </c>
      <c r="U28" s="91" ph="1">
        <f>U27*35.891</f>
        <v>157884.50899999999</v>
      </c>
      <c r="V28" s="91" ph="1">
        <f>V27*47.051*LOOKUP(V29,密度!$A$2:$A$50,密度!$B$2:$B$50)</f>
        <v>236247.55025520001</v>
      </c>
      <c r="W28" s="91" ph="1">
        <f>W27*47.051*LOOKUP(W29,密度!$A$2:$A$50,密度!$B$2:$B$50)</f>
        <v>95552.064769000004</v>
      </c>
      <c r="X28" s="91" ph="1">
        <f>X27*47.051*LOOKUP(X29,密度!$A$2:$A$61,密度!$I$2:$I$61)</f>
        <v>378186.27372460003</v>
      </c>
      <c r="Y28" s="91" ph="1">
        <f>Y27*47.051*LOOKUP(Y29,密度!$A$2:$A$50,密度!$L$2:$L$50)</f>
        <v>140944.09355999998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60" t="s" ph="1">
        <v>179</v>
      </c>
      <c r="D29" s="74">
        <v>25</v>
      </c>
      <c r="E29" s="74">
        <v>25</v>
      </c>
      <c r="F29" s="74">
        <v>21</v>
      </c>
      <c r="G29" s="74">
        <v>21</v>
      </c>
      <c r="H29" s="74">
        <v>21</v>
      </c>
      <c r="I29" s="74">
        <v>20</v>
      </c>
      <c r="J29" s="74">
        <v>21</v>
      </c>
      <c r="K29" s="74">
        <v>21</v>
      </c>
      <c r="L29" s="74">
        <v>20</v>
      </c>
      <c r="M29" s="74">
        <v>20</v>
      </c>
      <c r="N29" s="74">
        <v>20</v>
      </c>
      <c r="O29" s="74">
        <v>20</v>
      </c>
      <c r="P29" s="74">
        <v>21</v>
      </c>
      <c r="Q29" s="93">
        <v>20</v>
      </c>
      <c r="R29" s="74">
        <v>20</v>
      </c>
      <c r="S29" s="74">
        <v>21</v>
      </c>
      <c r="T29" s="74">
        <v>21</v>
      </c>
      <c r="U29" s="74">
        <v>20</v>
      </c>
      <c r="V29" s="74">
        <v>21</v>
      </c>
      <c r="W29" s="74">
        <v>20</v>
      </c>
      <c r="X29" s="74">
        <v>47</v>
      </c>
      <c r="Y29" s="74">
        <v>20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232642.24195739999</v>
      </c>
      <c r="E33" s="215" ph="1">
        <f>M10+I10</f>
        <v>27185.318780599999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19" ph="1">
        <f>N19</f>
        <v>1861.2902985400001</v>
      </c>
      <c r="H33" s="215" ph="1">
        <f>M19</f>
        <v>24180.797140260001</v>
      </c>
      <c r="I33" s="228" ph="1">
        <v>0</v>
      </c>
      <c r="J33" s="226" ph="1">
        <f>F10+O28</f>
        <v>326847.77533149999</v>
      </c>
      <c r="K33" s="215" ph="1">
        <f>O10+K10+E28+R28</f>
        <v>281731.69301124004</v>
      </c>
      <c r="L33" s="230" ph="1">
        <f>K19</f>
        <v>36144.40040816</v>
      </c>
      <c r="M33" s="226" ph="1">
        <f>G10+H10+W28+S28+V28+E10+R19+P28+Q28</f>
        <v>816663.3093622399</v>
      </c>
      <c r="N33" s="215" ph="1">
        <f>L10+P10++G28+H28+AD19+AE19</f>
        <v>160757.964125</v>
      </c>
      <c r="O33" s="228" ph="1">
        <f>G19</f>
        <v>18037.5234351</v>
      </c>
      <c r="P33" s="226" ph="1">
        <f>L19</f>
        <v>22065.118579919999</v>
      </c>
      <c r="Q33" s="215" ph="1">
        <f>J10+N10</f>
        <v>109921.63851199999</v>
      </c>
      <c r="R33" s="228" ph="1">
        <f>BE23</f>
        <v>890</v>
      </c>
      <c r="S33" s="226" ph="1">
        <f>X28</f>
        <v>378186.27372460003</v>
      </c>
      <c r="T33" s="215" ph="1">
        <f>X19</f>
        <v>8713.2105451999996</v>
      </c>
      <c r="U33" s="236" ph="1">
        <f>BE21</f>
        <v>730</v>
      </c>
      <c r="V33" s="247" ph="1">
        <f ca="1">P19+Q19+S19+M28+N28+J28+D10+AC10+D19+E19+H19+J19+O19+V19+W19+K28+L28</f>
        <v>1178102.2508865518</v>
      </c>
      <c r="W33" s="247" ph="1">
        <f>D28+F28+T28+I28</f>
        <v>56417.486001402001</v>
      </c>
      <c r="X33" s="228" ph="1">
        <f>BE29+BE31</f>
        <v>10200</v>
      </c>
      <c r="Y33" s="249" ph="1">
        <f>+Q10+R10+S10+T10+U10+V10+W10+X10+Y10</f>
        <v>183542.90003279998</v>
      </c>
      <c r="Z33" s="234" ph="1">
        <f>T19+U19+Y28+Z10</f>
        <v>339778.55315537995</v>
      </c>
      <c r="AA33" s="236" ph="1">
        <f>BE19</f>
        <v>1440</v>
      </c>
      <c r="AB33" s="238" ph="1">
        <f>I19</f>
        <v>48677.098158400004</v>
      </c>
      <c r="AC33" s="240" ph="1">
        <f>AD10+AB19</f>
        <v>153655.50105680001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2" t="s" ph="1">
        <v>185</v>
      </c>
      <c r="AA36" s="162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99" priority="100">
      <formula>ABS(D$7-D$10)&gt;=1000</formula>
    </cfRule>
  </conditionalFormatting>
  <conditionalFormatting sqref="E4 E6:E11">
    <cfRule type="expression" dxfId="1298" priority="99">
      <formula>ABS(E$7-E$10)&gt;=1000</formula>
    </cfRule>
  </conditionalFormatting>
  <conditionalFormatting sqref="F4:F11">
    <cfRule type="expression" dxfId="1297" priority="98">
      <formula>ABS(F$7-F$10)&gt;=1000</formula>
    </cfRule>
  </conditionalFormatting>
  <conditionalFormatting sqref="G4:G11">
    <cfRule type="expression" dxfId="1296" priority="97">
      <formula>ABS(G$7-G$10)&gt;=1000</formula>
    </cfRule>
  </conditionalFormatting>
  <conditionalFormatting sqref="H4:H11">
    <cfRule type="expression" dxfId="1295" priority="96">
      <formula>ABS(H$7-H$10)&gt;=1000</formula>
    </cfRule>
  </conditionalFormatting>
  <conditionalFormatting sqref="I4:I11">
    <cfRule type="expression" dxfId="1294" priority="95">
      <formula>ABS(I$7-I$10)&gt;=1000</formula>
    </cfRule>
  </conditionalFormatting>
  <conditionalFormatting sqref="J4:J11">
    <cfRule type="expression" dxfId="1293" priority="94">
      <formula>ABS(J$7-J$10)&gt;=1000</formula>
    </cfRule>
  </conditionalFormatting>
  <conditionalFormatting sqref="K4:K11">
    <cfRule type="expression" dxfId="1292" priority="93">
      <formula>ABS(K$7-K$10)&gt;=1000</formula>
    </cfRule>
  </conditionalFormatting>
  <conditionalFormatting sqref="L4:L11">
    <cfRule type="expression" dxfId="1291" priority="92">
      <formula>ABS(L$7-L$10)&gt;=1000</formula>
    </cfRule>
  </conditionalFormatting>
  <conditionalFormatting sqref="M4 M6:M11">
    <cfRule type="expression" dxfId="1290" priority="91">
      <formula>ABS(M$7-M$10)&gt;=1000</formula>
    </cfRule>
  </conditionalFormatting>
  <conditionalFormatting sqref="N4 N6:N11">
    <cfRule type="expression" dxfId="1289" priority="90">
      <formula>ABS(N$7-N$10)&gt;=1000</formula>
    </cfRule>
  </conditionalFormatting>
  <conditionalFormatting sqref="O4 O6:O11">
    <cfRule type="expression" dxfId="1288" priority="89">
      <formula>ABS(O$7-O$10)&gt;=1000</formula>
    </cfRule>
  </conditionalFormatting>
  <conditionalFormatting sqref="P4 P6:P11">
    <cfRule type="expression" dxfId="1287" priority="88">
      <formula>ABS(P$7-P$10)&gt;=1000</formula>
    </cfRule>
  </conditionalFormatting>
  <conditionalFormatting sqref="Q4:Q11">
    <cfRule type="expression" dxfId="1286" priority="87">
      <formula>ABS(Q$7-Q$10)&gt;=1000</formula>
    </cfRule>
  </conditionalFormatting>
  <conditionalFormatting sqref="R4:R11">
    <cfRule type="expression" dxfId="1285" priority="86">
      <formula>ABS(R$7-R$10)&gt;=1000</formula>
    </cfRule>
  </conditionalFormatting>
  <conditionalFormatting sqref="S4:S11">
    <cfRule type="expression" dxfId="1284" priority="85">
      <formula>ABS(S$7-S$10)&gt;=1000</formula>
    </cfRule>
  </conditionalFormatting>
  <conditionalFormatting sqref="T4:T9 T11">
    <cfRule type="expression" dxfId="1283" priority="84">
      <formula>ABS(T$7-T$10)&gt;=1000</formula>
    </cfRule>
  </conditionalFormatting>
  <conditionalFormatting sqref="U4:U9 U11">
    <cfRule type="expression" dxfId="1282" priority="83">
      <formula>ABS(U$7-U$10)&gt;=1000</formula>
    </cfRule>
  </conditionalFormatting>
  <conditionalFormatting sqref="V4:V9 V11">
    <cfRule type="expression" dxfId="1281" priority="82">
      <formula>ABS(V$7-V$10)&gt;=1000</formula>
    </cfRule>
  </conditionalFormatting>
  <conditionalFormatting sqref="W4:W9 W11">
    <cfRule type="expression" dxfId="1280" priority="81">
      <formula>ABS(W$7-W$10)&gt;=1000</formula>
    </cfRule>
  </conditionalFormatting>
  <conditionalFormatting sqref="X4:X9 X11">
    <cfRule type="expression" dxfId="1279" priority="80">
      <formula>ABS(X$7-X$10)&gt;=1000</formula>
    </cfRule>
  </conditionalFormatting>
  <conditionalFormatting sqref="Y4:Y9 Y11">
    <cfRule type="expression" dxfId="1278" priority="79">
      <formula>ABS(Y$7-Y$10)&gt;=1000</formula>
    </cfRule>
  </conditionalFormatting>
  <conditionalFormatting sqref="Z4:Z11">
    <cfRule type="expression" dxfId="1277" priority="78">
      <formula>ABS(Z$7-Z$10)&gt;=1000</formula>
    </cfRule>
  </conditionalFormatting>
  <conditionalFormatting sqref="AA4:AA11">
    <cfRule type="expression" dxfId="1276" priority="77">
      <formula>ABS(AA$7-AA$10)&gt;=1000</formula>
    </cfRule>
  </conditionalFormatting>
  <conditionalFormatting sqref="AB4:AB11">
    <cfRule type="expression" dxfId="1275" priority="76">
      <formula>ABS(AB$7-AB$10)&gt;=1000</formula>
    </cfRule>
  </conditionalFormatting>
  <conditionalFormatting sqref="AC4 AC6:AC11">
    <cfRule type="expression" dxfId="1274" priority="75">
      <formula>ABS(AC$7-AC$10)&gt;=1000</formula>
    </cfRule>
  </conditionalFormatting>
  <conditionalFormatting sqref="AD4 AD6:AD11">
    <cfRule type="expression" dxfId="1273" priority="74">
      <formula>ABS(AD$7-AD$10)&gt;=1000</formula>
    </cfRule>
  </conditionalFormatting>
  <conditionalFormatting sqref="AE4 AE6:AE11">
    <cfRule type="expression" dxfId="1272" priority="73">
      <formula>ABS(AE$7-AE$10)&gt;=1000</formula>
    </cfRule>
  </conditionalFormatting>
  <conditionalFormatting sqref="D13:D20">
    <cfRule type="expression" dxfId="1271" priority="72">
      <formula>ABS(D$16-D$19)&gt;=1000</formula>
    </cfRule>
  </conditionalFormatting>
  <conditionalFormatting sqref="E13:E20">
    <cfRule type="expression" dxfId="1270" priority="71">
      <formula>ABS(E$16-E$19)&gt;=1000</formula>
    </cfRule>
  </conditionalFormatting>
  <conditionalFormatting sqref="F13 F15:F20">
    <cfRule type="expression" dxfId="1269" priority="70">
      <formula>ABS(F$16-F$19)&gt;=1000</formula>
    </cfRule>
  </conditionalFormatting>
  <conditionalFormatting sqref="G13:G20">
    <cfRule type="expression" dxfId="1268" priority="69">
      <formula>ABS(G$16-G$19)&gt;=1000</formula>
    </cfRule>
  </conditionalFormatting>
  <conditionalFormatting sqref="H13 H15:H20">
    <cfRule type="expression" dxfId="1267" priority="68">
      <formula>ABS(H$16-H$19)&gt;=1000</formula>
    </cfRule>
  </conditionalFormatting>
  <conditionalFormatting sqref="I13:I20">
    <cfRule type="expression" dxfId="1266" priority="67">
      <formula>ABS(I$16-I$19)&gt;=1000</formula>
    </cfRule>
  </conditionalFormatting>
  <conditionalFormatting sqref="J13:J20">
    <cfRule type="expression" dxfId="1265" priority="66">
      <formula>ABS(J$16-J$19)&gt;=1000</formula>
    </cfRule>
  </conditionalFormatting>
  <conditionalFormatting sqref="L13:L20">
    <cfRule type="expression" dxfId="1264" priority="65">
      <formula>ABS(L$16-L$19)&gt;=1000</formula>
    </cfRule>
  </conditionalFormatting>
  <conditionalFormatting sqref="M13 M15 M17:M18 M20">
    <cfRule type="expression" dxfId="1263" priority="64">
      <formula>ABS(M$16-M$19)&gt;=1000</formula>
    </cfRule>
  </conditionalFormatting>
  <conditionalFormatting sqref="N13:N20">
    <cfRule type="expression" dxfId="1262" priority="63">
      <formula>ABS(N$16-N$19)&gt;=1000</formula>
    </cfRule>
  </conditionalFormatting>
  <conditionalFormatting sqref="O13:O20">
    <cfRule type="expression" dxfId="1261" priority="62">
      <formula>ABS(O$16-O$19)&gt;=1000</formula>
    </cfRule>
  </conditionalFormatting>
  <conditionalFormatting sqref="P13:P20">
    <cfRule type="expression" dxfId="1260" priority="61">
      <formula>ABS(P$16-P$19)&gt;=1000</formula>
    </cfRule>
  </conditionalFormatting>
  <conditionalFormatting sqref="Q13 Q15:Q20">
    <cfRule type="expression" dxfId="1259" priority="60">
      <formula>ABS(Q$16-Q$19)&gt;=1000</formula>
    </cfRule>
  </conditionalFormatting>
  <conditionalFormatting sqref="R13:R20">
    <cfRule type="expression" dxfId="1258" priority="59">
      <formula>ABS(R$16-R$19)&gt;=1000</formula>
    </cfRule>
  </conditionalFormatting>
  <conditionalFormatting sqref="S13:S20">
    <cfRule type="expression" dxfId="1257" priority="58">
      <formula>ABS(S$16-S$19)&gt;=1000</formula>
    </cfRule>
  </conditionalFormatting>
  <conditionalFormatting sqref="T13:T20">
    <cfRule type="expression" dxfId="1256" priority="57">
      <formula>ABS(T$16-T$19)&gt;=1000</formula>
    </cfRule>
  </conditionalFormatting>
  <conditionalFormatting sqref="U13:U20">
    <cfRule type="expression" dxfId="1255" priority="56">
      <formula>ABS(U$16-U$19)&gt;=1000</formula>
    </cfRule>
  </conditionalFormatting>
  <conditionalFormatting sqref="V13:V20">
    <cfRule type="expression" dxfId="1254" priority="55">
      <formula>ABS(V$16-V$19)&gt;=1000</formula>
    </cfRule>
  </conditionalFormatting>
  <conditionalFormatting sqref="W13 W20 W15:W18">
    <cfRule type="expression" dxfId="1253" priority="54">
      <formula>ABS(W$16-W$19)&gt;=1000</formula>
    </cfRule>
  </conditionalFormatting>
  <conditionalFormatting sqref="X13 X15:X20 Y19">
    <cfRule type="expression" dxfId="1252" priority="53">
      <formula>ABS(X$16-X$19)&gt;=1000</formula>
    </cfRule>
  </conditionalFormatting>
  <conditionalFormatting sqref="Y13 Y15:Y18 Y20">
    <cfRule type="expression" dxfId="1251" priority="52">
      <formula>ABS(Y$16-Y$19)&gt;=1000</formula>
    </cfRule>
  </conditionalFormatting>
  <conditionalFormatting sqref="Z13:Z20">
    <cfRule type="expression" dxfId="1250" priority="51">
      <formula>ABS(Z$16-Z$19)&gt;=1000</formula>
    </cfRule>
  </conditionalFormatting>
  <conditionalFormatting sqref="AA13:AA20">
    <cfRule type="expression" dxfId="1249" priority="50">
      <formula>ABS(AA$16-AA$19)&gt;=1000</formula>
    </cfRule>
  </conditionalFormatting>
  <conditionalFormatting sqref="AB13 AB15:AB20">
    <cfRule type="expression" dxfId="1248" priority="49">
      <formula>ABS(AB$16-AB$19)&gt;=1000</formula>
    </cfRule>
  </conditionalFormatting>
  <conditionalFormatting sqref="AC13 AC15:AC20">
    <cfRule type="expression" dxfId="1247" priority="48">
      <formula>ABS(AC$16-AC$19)&gt;=1000</formula>
    </cfRule>
  </conditionalFormatting>
  <conditionalFormatting sqref="AD13:AD20">
    <cfRule type="expression" dxfId="1246" priority="47">
      <formula>ABS(AD$16-AD$19)&gt;=1000</formula>
    </cfRule>
  </conditionalFormatting>
  <conditionalFormatting sqref="AE13:AE20">
    <cfRule type="expression" dxfId="1245" priority="46">
      <formula>ABS(AE$16-AE$19)&gt;=1000</formula>
    </cfRule>
  </conditionalFormatting>
  <conditionalFormatting sqref="D22:D29">
    <cfRule type="expression" dxfId="1244" priority="45">
      <formula>ABS(D$25-D$28)&gt;=1000</formula>
    </cfRule>
  </conditionalFormatting>
  <conditionalFormatting sqref="E22:E29">
    <cfRule type="expression" dxfId="1243" priority="44">
      <formula>ABS(E$25-E$28)&gt;=1000</formula>
    </cfRule>
  </conditionalFormatting>
  <conditionalFormatting sqref="F22:F29">
    <cfRule type="expression" dxfId="1242" priority="43">
      <formula>ABS(F$25-F$28)&gt;=1000</formula>
    </cfRule>
  </conditionalFormatting>
  <conditionalFormatting sqref="G22:G29">
    <cfRule type="expression" dxfId="1241" priority="42">
      <formula>ABS(G$25-G$28)&gt;=1000</formula>
    </cfRule>
  </conditionalFormatting>
  <conditionalFormatting sqref="H22:H29">
    <cfRule type="expression" dxfId="1240" priority="41">
      <formula>ABS(H$25-H$28)&gt;=1000</formula>
    </cfRule>
  </conditionalFormatting>
  <conditionalFormatting sqref="I22 I24:I29">
    <cfRule type="expression" dxfId="1239" priority="40">
      <formula>ABS(I$25-I$28)&gt;=1000</formula>
    </cfRule>
  </conditionalFormatting>
  <conditionalFormatting sqref="J22:J29 K22">
    <cfRule type="expression" dxfId="1238" priority="39">
      <formula>ABS(J$25-J$28)&gt;=1000</formula>
    </cfRule>
  </conditionalFormatting>
  <conditionalFormatting sqref="K23:K29 L25 L28">
    <cfRule type="expression" dxfId="1237" priority="38">
      <formula>ABS(K$25-K$28)&gt;=1000</formula>
    </cfRule>
  </conditionalFormatting>
  <conditionalFormatting sqref="L22 L26:L27 L29 L24">
    <cfRule type="expression" dxfId="1236" priority="37">
      <formula>ABS(L$25-L$28)&gt;=1000</formula>
    </cfRule>
  </conditionalFormatting>
  <conditionalFormatting sqref="M22:M29">
    <cfRule type="expression" dxfId="1235" priority="36">
      <formula>ABS(M$25-M$28)&gt;=1000</formula>
    </cfRule>
  </conditionalFormatting>
  <conditionalFormatting sqref="N22:N29">
    <cfRule type="expression" dxfId="1234" priority="35">
      <formula>ABS(N$25-N$28)&gt;=1000</formula>
    </cfRule>
  </conditionalFormatting>
  <conditionalFormatting sqref="O22:O29">
    <cfRule type="expression" dxfId="1233" priority="34">
      <formula>ABS(O$25-O$28)&gt;=1000</formula>
    </cfRule>
  </conditionalFormatting>
  <conditionalFormatting sqref="P22:P29">
    <cfRule type="expression" dxfId="1232" priority="33">
      <formula>ABS(P$25-P$28)&gt;=1000</formula>
    </cfRule>
  </conditionalFormatting>
  <conditionalFormatting sqref="Q22:Q29">
    <cfRule type="expression" dxfId="1231" priority="32">
      <formula>ABS(Q$25-Q$28)&gt;=1000</formula>
    </cfRule>
  </conditionalFormatting>
  <conditionalFormatting sqref="R22:R29">
    <cfRule type="expression" dxfId="1230" priority="31">
      <formula>ABS(R$25-R$28)&gt;=1000</formula>
    </cfRule>
  </conditionalFormatting>
  <conditionalFormatting sqref="S22:S29">
    <cfRule type="expression" dxfId="1229" priority="30">
      <formula>ABS(S$25-S$28)&gt;=1000</formula>
    </cfRule>
  </conditionalFormatting>
  <conditionalFormatting sqref="T22:T29">
    <cfRule type="expression" dxfId="1228" priority="29">
      <formula>ABS(T$25-T$28)&gt;=1000</formula>
    </cfRule>
  </conditionalFormatting>
  <conditionalFormatting sqref="U22:U29">
    <cfRule type="expression" dxfId="1227" priority="28">
      <formula>ABS(U$25-U$28)&gt;=1000</formula>
    </cfRule>
  </conditionalFormatting>
  <conditionalFormatting sqref="V22:V29">
    <cfRule type="expression" dxfId="1226" priority="27">
      <formula>ABS(V$25-V$28)&gt;=1000</formula>
    </cfRule>
  </conditionalFormatting>
  <conditionalFormatting sqref="W22:W29">
    <cfRule type="expression" dxfId="1225" priority="26">
      <formula>ABS(W$25-W$28)&gt;=1000</formula>
    </cfRule>
  </conditionalFormatting>
  <conditionalFormatting sqref="X22:X29">
    <cfRule type="expression" dxfId="1224" priority="25">
      <formula>ABS(X$25-X$28)&gt;=1000</formula>
    </cfRule>
  </conditionalFormatting>
  <conditionalFormatting sqref="Y22:Y29">
    <cfRule type="expression" dxfId="1223" priority="24">
      <formula>ABS(Y$25-Y$28)&gt;=1000</formula>
    </cfRule>
  </conditionalFormatting>
  <conditionalFormatting sqref="I23">
    <cfRule type="expression" dxfId="1222" priority="23">
      <formula>ABS(I$25-I$28)&gt;=1000</formula>
    </cfRule>
  </conditionalFormatting>
  <conditionalFormatting sqref="Q14">
    <cfRule type="expression" dxfId="1221" priority="22">
      <formula>ABS(Q$16-Q$19)&gt;=1000</formula>
    </cfRule>
  </conditionalFormatting>
  <conditionalFormatting sqref="W14">
    <cfRule type="expression" dxfId="1220" priority="21">
      <formula>ABS(W$16-W$19)&gt;=1000</formula>
    </cfRule>
  </conditionalFormatting>
  <conditionalFormatting sqref="X14">
    <cfRule type="expression" dxfId="1219" priority="20">
      <formula>ABS(X$16-X$19)&gt;=1000</formula>
    </cfRule>
  </conditionalFormatting>
  <conditionalFormatting sqref="T10:Y10">
    <cfRule type="expression" dxfId="1218" priority="19">
      <formula>ABS(T$7-T$10)&gt;=1000</formula>
    </cfRule>
  </conditionalFormatting>
  <conditionalFormatting sqref="W19">
    <cfRule type="expression" dxfId="1217" priority="18">
      <formula>ABS(W$16-W$19)&gt;=1000</formula>
    </cfRule>
  </conditionalFormatting>
  <conditionalFormatting sqref="AC5">
    <cfRule type="expression" dxfId="1216" priority="17">
      <formula>ABS(AC$7-AC$10)&gt;=1000</formula>
    </cfRule>
  </conditionalFormatting>
  <conditionalFormatting sqref="M14">
    <cfRule type="expression" dxfId="1215" priority="16">
      <formula>ABS(M$16-M$19)&gt;=1000</formula>
    </cfRule>
  </conditionalFormatting>
  <conditionalFormatting sqref="M16">
    <cfRule type="expression" dxfId="1214" priority="15">
      <formula>ABS(M$16-M$19)&gt;=1000</formula>
    </cfRule>
  </conditionalFormatting>
  <conditionalFormatting sqref="M19">
    <cfRule type="expression" dxfId="1213" priority="14">
      <formula>ABS(M$16-M$19)&gt;=1000</formula>
    </cfRule>
  </conditionalFormatting>
  <conditionalFormatting sqref="K13:K20">
    <cfRule type="expression" dxfId="1212" priority="13">
      <formula>ABS(K$16-K$19)&gt;=1000</formula>
    </cfRule>
  </conditionalFormatting>
  <conditionalFormatting sqref="E5">
    <cfRule type="expression" dxfId="1211" priority="12">
      <formula>ABS(E$7-E$10)&gt;=1000</formula>
    </cfRule>
  </conditionalFormatting>
  <conditionalFormatting sqref="AB14:AC14">
    <cfRule type="expression" dxfId="1210" priority="11">
      <formula>ABS(AB$16-AB$19)&gt;=1000</formula>
    </cfRule>
  </conditionalFormatting>
  <conditionalFormatting sqref="M5">
    <cfRule type="expression" dxfId="1209" priority="10">
      <formula>ABS(M$7-M$10)&gt;=1000</formula>
    </cfRule>
  </conditionalFormatting>
  <conditionalFormatting sqref="N5">
    <cfRule type="expression" dxfId="1208" priority="9">
      <formula>ABS(N$7-N$10)&gt;=1000</formula>
    </cfRule>
  </conditionalFormatting>
  <conditionalFormatting sqref="O5">
    <cfRule type="expression" dxfId="1207" priority="8">
      <formula>ABS(O$7-O$10)&gt;=1000</formula>
    </cfRule>
  </conditionalFormatting>
  <conditionalFormatting sqref="P5">
    <cfRule type="expression" dxfId="1206" priority="7">
      <formula>ABS(P$7-P$10)&gt;=1000</formula>
    </cfRule>
  </conditionalFormatting>
  <conditionalFormatting sqref="L23">
    <cfRule type="expression" dxfId="1205" priority="6">
      <formula>ABS(L$25-L$28)&gt;=1000</formula>
    </cfRule>
  </conditionalFormatting>
  <conditionalFormatting sqref="Y14">
    <cfRule type="expression" dxfId="1204" priority="5">
      <formula>ABS(Y$16-Y$19)&gt;=1000</formula>
    </cfRule>
  </conditionalFormatting>
  <conditionalFormatting sqref="F14">
    <cfRule type="expression" dxfId="1203" priority="4">
      <formula>ABS(F$16-F$19)&gt;=1000</formula>
    </cfRule>
  </conditionalFormatting>
  <conditionalFormatting sqref="H14">
    <cfRule type="expression" dxfId="1202" priority="3">
      <formula>ABS(H$16-H$19)&gt;=1000</formula>
    </cfRule>
  </conditionalFormatting>
  <conditionalFormatting sqref="AD5">
    <cfRule type="expression" dxfId="1201" priority="2">
      <formula>ABS(AD$7-AD$10)&gt;=1000</formula>
    </cfRule>
  </conditionalFormatting>
  <conditionalFormatting sqref="AE5">
    <cfRule type="expression" dxfId="120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586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5">
    <pageSetUpPr fitToPage="1"/>
  </sheetPr>
  <dimension ref="A1:CU223"/>
  <sheetViews>
    <sheetView view="pageBreakPreview" zoomScale="70" zoomScaleNormal="100" zoomScaleSheetLayoutView="70" workbookViewId="0">
      <selection activeCell="AH26" sqref="AH2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46062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60" t="s" ph="1">
        <v>177</v>
      </c>
      <c r="D6" s="71">
        <v>6250</v>
      </c>
      <c r="E6" s="71">
        <v>232</v>
      </c>
      <c r="F6" s="71">
        <v>5678</v>
      </c>
      <c r="G6" s="71">
        <v>928</v>
      </c>
      <c r="H6" s="71">
        <v>3234</v>
      </c>
      <c r="I6" s="71">
        <v>0.11</v>
      </c>
      <c r="J6" s="71">
        <v>6.62</v>
      </c>
      <c r="K6" s="71">
        <v>7.21</v>
      </c>
      <c r="L6" s="71">
        <v>33.58</v>
      </c>
      <c r="M6" s="71">
        <v>791</v>
      </c>
      <c r="N6" s="71">
        <v>3898</v>
      </c>
      <c r="O6" s="71">
        <v>3960</v>
      </c>
      <c r="P6" s="71">
        <v>2290</v>
      </c>
      <c r="Q6" s="71">
        <v>6546</v>
      </c>
      <c r="R6" s="71">
        <v>6909</v>
      </c>
      <c r="S6" s="71">
        <v>4256</v>
      </c>
      <c r="T6" s="71">
        <v>7100</v>
      </c>
      <c r="U6" s="71">
        <v>5244</v>
      </c>
      <c r="V6" s="71">
        <v>0</v>
      </c>
      <c r="W6" s="71">
        <v>0</v>
      </c>
      <c r="X6" s="71">
        <v>0</v>
      </c>
      <c r="Y6" s="71">
        <v>0</v>
      </c>
      <c r="Z6" s="71">
        <v>3994</v>
      </c>
      <c r="AA6" s="71">
        <v>3984</v>
      </c>
      <c r="AB6" s="71">
        <v>4498</v>
      </c>
      <c r="AC6" s="71">
        <v>9302</v>
      </c>
      <c r="AD6" s="71">
        <v>4780</v>
      </c>
      <c r="AE6" s="71">
        <v>4215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197965.63012500003</v>
      </c>
      <c r="E7" s="73" ph="1">
        <f>E6*51.53*LOOKUP(E8,密度!$A$2:$A$50,密度!$B$2:$B$50)</f>
        <v>9451.5913760000003</v>
      </c>
      <c r="F7" s="73" ph="1">
        <f>F6*33.183*LOOKUP(F8,密度!$A$2:$A$50,密度!$C$2:$C$50)</f>
        <v>210532.76888759999</v>
      </c>
      <c r="G7" s="73" ph="1">
        <f xml:space="preserve"> (G6+2)*51.53*LOOKUP(G8,密度!$A$2:$A$50,密度!$B$2:$B$50)</f>
        <v>37887.84474</v>
      </c>
      <c r="H7" s="73" ph="1">
        <f>(H6)*51.53*LOOKUP(H8,密度!$A$2:$A$50,密度!$B$2:$B$50)</f>
        <v>131751.92461199997</v>
      </c>
      <c r="I7" s="73" ph="1">
        <f>I6*290.8*1.0267</f>
        <v>32.842079599999998</v>
      </c>
      <c r="J7" s="73" ph="1">
        <f>J6*290.8*0.7892</f>
        <v>1519.2857632</v>
      </c>
      <c r="K7" s="73" ph="1">
        <f>K6*290.8*1.1126</f>
        <v>2332.7528168000003</v>
      </c>
      <c r="L7" s="73" ph="1">
        <f>L6*290.8*0.777</f>
        <v>7587.4547280000006</v>
      </c>
      <c r="M7" s="73" ph="1">
        <f>M6*33.183*LOOKUP(M8,密度!$A$2:$A$50,密度!$D$2:$D$50)</f>
        <v>27229.418962200005</v>
      </c>
      <c r="N7" s="73" ph="1">
        <f>N6*33.183*LOOKUP(N8,密度!$A$2:$A$50,密度!$E$2:$E$50)</f>
        <v>103232.1072654</v>
      </c>
      <c r="O7" s="73" ph="1">
        <f>O6*20.428*LOOKUP(O8,密度!$A$2:$A$50,密度!$C$2:$C$50)</f>
        <v>90108.806832000002</v>
      </c>
      <c r="P7" s="73" ph="1">
        <f>P6*51.53*LOOKUP(P8,密度!$A$2:$A$50,密度!$B$2:$B$50)</f>
        <v>93187.521889999989</v>
      </c>
      <c r="Q7" s="73" ph="1">
        <f>Q6*1.5*1.5*3.1416*LOOKUP(W8,密度!$A$2:$A$50,密度!$L$2:$L$50)</f>
        <v>43726.147541999999</v>
      </c>
      <c r="R7" s="73" ph="1">
        <f>R6*1.5*1.5*3.1416*LOOKUP(R8,密度!$A$2:$A$50,密度!$L$2:$L$50)</f>
        <v>46248.598657799994</v>
      </c>
      <c r="S7" s="73" ph="1">
        <f>S6*1.5*1.5*3.1416*LOOKUP(S8,密度!$A$2:$A$50,密度!$L$2:$L$50)</f>
        <v>28639.931443199999</v>
      </c>
      <c r="T7" s="73" ph="1">
        <f>T6*1.5*1.5*3.1416*LOOKUP(T8,密度!$A$2:$A$50,密度!$L$2:$L$50)</f>
        <v>47778.081119999995</v>
      </c>
      <c r="U7" s="73" ph="1">
        <f>U6*1.5*1.5*3.1416*LOOKUP(U8,密度!$A$2:$A$50,密度!$L$2:$L$50)</f>
        <v>35066.080526400001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126303.855606</v>
      </c>
      <c r="AA7" s="73" ph="1">
        <f>AA6*33.183*LOOKUP(AA8,密度!$A$2:$A$50,密度!$D$2:$D$50)</f>
        <v>137264.37305759999</v>
      </c>
      <c r="AB7" s="73" ph="1">
        <f>AB6*20.428*LOOKUP(AB8,密度!$A$2:$A$50,密度!$D$2:$D$50)</f>
        <v>95725.9430192</v>
      </c>
      <c r="AC7" s="73" ph="1">
        <f>AC6*51.53*LOOKUP(AC8,密度!$A$2:$A$50,密度!$Q$2:$Q$50)</f>
        <v>457541.62455240003</v>
      </c>
      <c r="AD7" s="73" ph="1">
        <f>AD6*20.428*LOOKUP(AD8,密度!$A$2:$A$50,密度!$V$2:$V$50)</f>
        <v>94130.589760000003</v>
      </c>
      <c r="AE7" s="73" ph="1">
        <f>AE6*20.428</f>
        <v>86104.02</v>
      </c>
    </row>
    <row r="8" spans="1:99" ph="1">
      <c r="B8" s="193" ph="1"/>
      <c r="C8" s="68" t="s" ph="1">
        <v>179</v>
      </c>
      <c r="D8" s="74">
        <v>13</v>
      </c>
      <c r="E8" s="74">
        <v>12</v>
      </c>
      <c r="F8" s="74">
        <v>13</v>
      </c>
      <c r="G8" s="74">
        <v>12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13</v>
      </c>
      <c r="O8" s="74">
        <v>18</v>
      </c>
      <c r="P8" s="74">
        <v>13</v>
      </c>
      <c r="Q8" s="74">
        <v>14</v>
      </c>
      <c r="R8" s="74">
        <v>15</v>
      </c>
      <c r="S8" s="74">
        <v>10</v>
      </c>
      <c r="T8" s="74">
        <v>10</v>
      </c>
      <c r="U8" s="74">
        <v>16</v>
      </c>
      <c r="V8" s="74">
        <v>17</v>
      </c>
      <c r="W8" s="74">
        <v>17</v>
      </c>
      <c r="X8" s="74">
        <v>6</v>
      </c>
      <c r="Y8" s="74">
        <v>13</v>
      </c>
      <c r="Z8" s="74">
        <v>9</v>
      </c>
      <c r="AA8" s="74">
        <v>12</v>
      </c>
      <c r="AB8" s="74">
        <v>8</v>
      </c>
      <c r="AC8" s="74">
        <v>11</v>
      </c>
      <c r="AD8" s="74">
        <v>12</v>
      </c>
      <c r="AE8" s="74">
        <v>15</v>
      </c>
    </row>
    <row r="9" spans="1:99" ht="26.4" ph="1">
      <c r="B9" s="193" ph="1">
        <v>0.66666666666666663</v>
      </c>
      <c r="C9" s="160" t="s" ph="1">
        <v>180</v>
      </c>
      <c r="D9" s="71">
        <v>6279</v>
      </c>
      <c r="E9" s="71">
        <v>232</v>
      </c>
      <c r="F9" s="71">
        <v>5678</v>
      </c>
      <c r="G9" s="71">
        <v>925</v>
      </c>
      <c r="H9" s="71">
        <v>2913</v>
      </c>
      <c r="I9" s="71">
        <v>0.08</v>
      </c>
      <c r="J9" s="71">
        <v>6.74</v>
      </c>
      <c r="K9" s="71">
        <v>13.81</v>
      </c>
      <c r="L9" s="71">
        <v>34.049999999999997</v>
      </c>
      <c r="M9" s="71">
        <v>789</v>
      </c>
      <c r="N9" s="71">
        <v>3746</v>
      </c>
      <c r="O9" s="71">
        <v>3961</v>
      </c>
      <c r="P9" s="71">
        <v>2042</v>
      </c>
      <c r="Q9" s="71">
        <v>5210</v>
      </c>
      <c r="R9" s="71">
        <v>6915</v>
      </c>
      <c r="S9" s="71">
        <v>4261</v>
      </c>
      <c r="T9" s="71">
        <v>7108</v>
      </c>
      <c r="U9" s="71">
        <v>7008</v>
      </c>
      <c r="V9" s="71">
        <v>3738</v>
      </c>
      <c r="W9" s="71">
        <v>0</v>
      </c>
      <c r="X9" s="71">
        <v>0</v>
      </c>
      <c r="Y9" s="71">
        <v>0</v>
      </c>
      <c r="Z9" s="71">
        <v>2576</v>
      </c>
      <c r="AA9" s="71">
        <v>3983</v>
      </c>
      <c r="AB9" s="71">
        <v>4277</v>
      </c>
      <c r="AC9" s="71">
        <v>9300</v>
      </c>
      <c r="AD9" s="71">
        <v>4780</v>
      </c>
      <c r="AE9" s="71">
        <v>4470</v>
      </c>
    </row>
    <row r="10" spans="1:99" s="72" customFormat="1" ht="22.2" ph="1">
      <c r="B10" s="193" ph="1"/>
      <c r="C10" s="160" t="s" ph="1">
        <v>178</v>
      </c>
      <c r="D10" s="73" ph="1">
        <f>D9*33.183*LOOKUP(D11,密度!$A$2:$A$50,密度!$Q$2:$Q$50)</f>
        <v>198688.33595519999</v>
      </c>
      <c r="E10" s="73" ph="1">
        <f>E9*51.53*LOOKUP(E11,密度!$A$2:$A$50,密度!$B$2:$B$50)</f>
        <v>9383.448104000001</v>
      </c>
      <c r="F10" s="73" ph="1">
        <f>F9*33.183*LOOKUP(F11,密度!$A$2:$A$50,密度!$C$2:$C$50)</f>
        <v>210118.2601248</v>
      </c>
      <c r="G10" s="73" ph="1">
        <f xml:space="preserve"> (G9+2)*51.53*LOOKUP(G11,密度!$A$2:$A$50,密度!$B$2:$B$50)</f>
        <v>37564.998983999998</v>
      </c>
      <c r="H10" s="73" ph="1">
        <f>(H9)*51.53*LOOKUP(H11,密度!$A$2:$A$50,密度!$B$2:$B$50)</f>
        <v>118044.058296</v>
      </c>
      <c r="I10" s="73" ph="1">
        <f>I9*290.8*1.0267</f>
        <v>23.885148800000003</v>
      </c>
      <c r="J10" s="73" ph="1">
        <f>J9*290.8*0.7892</f>
        <v>1546.8256864000002</v>
      </c>
      <c r="K10" s="73" ph="1">
        <f>K9*290.8*1.1126</f>
        <v>4468.1437448000006</v>
      </c>
      <c r="L10" s="73" ph="1">
        <f>L9*290.8*0.777</f>
        <v>7693.6519799999996</v>
      </c>
      <c r="M10" s="73" ph="1">
        <f>M9*33.183*LOOKUP(M11,密度!$A$2:$A$50,密度!$D$2:$D$50)</f>
        <v>27047.990909699998</v>
      </c>
      <c r="N10" s="73" ph="1">
        <f>N9*33.183*LOOKUP(N11,密度!$A$2:$A$50,密度!$E$2:$E$50)</f>
        <v>98510.538014999998</v>
      </c>
      <c r="O10" s="73" ph="1">
        <f>O9*20.428*LOOKUP(O11,密度!$A$2:$A$50,密度!$C$2:$C$50)</f>
        <v>89969.730965200011</v>
      </c>
      <c r="P10" s="73" ph="1">
        <f>P9*51.53*LOOKUP(P11,密度!$A$2:$A$50,密度!$B$2:$B$50)</f>
        <v>82411.640432000015</v>
      </c>
      <c r="Q10" s="73" ph="1">
        <f>Q9*1.5*1.5*3.1416*LOOKUP(W11,密度!$A$2:$A$50,密度!$L$2:$L$50)</f>
        <v>34470.452016000003</v>
      </c>
      <c r="R10" s="73" ph="1">
        <f>R9*1.5*1.5*3.1416*LOOKUP(R11,密度!$A$2:$A$50,密度!$L$2:$L$50)</f>
        <v>45995.486228999995</v>
      </c>
      <c r="S10" s="73" ph="1">
        <f>S9*1.5*1.5*3.1416*LOOKUP(S11,密度!$A$2:$A$50,密度!$L$2:$L$50)</f>
        <v>28583.220065399997</v>
      </c>
      <c r="T10" s="73" ph="1">
        <f>T9*1.5*1.5*3.1416*LOOKUP(T11,密度!$A$2:$A$50,密度!$L$2:$L$50)</f>
        <v>47731.428359999998</v>
      </c>
      <c r="U10" s="73" ph="1">
        <f>U9*1.5*1.5*3.1416*LOOKUP(U11,密度!$A$2:$A$50,密度!$L$2:$L$50)</f>
        <v>46960.837862399996</v>
      </c>
      <c r="V10" s="73" ph="1">
        <f>V9*1.5*1.5*3.1416*LOOKUP(V11,密度!$A$2:$A$50,密度!$L$2:$L$50)</f>
        <v>24837.081191999998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81034.478783999992</v>
      </c>
      <c r="AA10" s="73" ph="1">
        <f>AA9*33.183*LOOKUP(AA11,密度!$A$2:$A$50,密度!$D$2:$D$50)</f>
        <v>136648.38043710002</v>
      </c>
      <c r="AB10" s="73" ph="1">
        <f>AB9*20.428*LOOKUP(AB11,密度!$A$2:$A$50,密度!$D$2:$D$50)</f>
        <v>90944.01174039999</v>
      </c>
      <c r="AC10" s="73" ph="1">
        <f>AC9*51.53*LOOKUP(AC11,密度!$A$2:$A$50,密度!$Q$2:$Q$50)</f>
        <v>457443.24966000003</v>
      </c>
      <c r="AD10" s="73" ph="1">
        <f>AD9*20.428*LOOKUP(AD11,密度!$A$2:$A$50,密度!$V$2:$V$50)</f>
        <v>94130.589760000003</v>
      </c>
      <c r="AE10" s="73" ph="1">
        <f>AE9*20.428</f>
        <v>91313.16</v>
      </c>
    </row>
    <row r="11" spans="1:99" ph="1">
      <c r="A11" s="64" t="s" ph="1">
        <v>162</v>
      </c>
      <c r="B11" s="193" ph="1"/>
      <c r="C11" s="160" t="s" ph="1">
        <v>179</v>
      </c>
      <c r="D11" s="74">
        <v>16</v>
      </c>
      <c r="E11" s="74">
        <v>19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17</v>
      </c>
      <c r="O11" s="74">
        <v>21</v>
      </c>
      <c r="P11" s="74">
        <v>21</v>
      </c>
      <c r="Q11" s="74">
        <v>17</v>
      </c>
      <c r="R11" s="74">
        <v>21</v>
      </c>
      <c r="S11" s="74">
        <v>13</v>
      </c>
      <c r="T11" s="74">
        <v>12</v>
      </c>
      <c r="U11" s="74">
        <v>14</v>
      </c>
      <c r="V11" s="74">
        <v>22</v>
      </c>
      <c r="W11" s="74">
        <v>26</v>
      </c>
      <c r="X11" s="74">
        <v>14</v>
      </c>
      <c r="Y11" s="74">
        <v>22</v>
      </c>
      <c r="Z11" s="74">
        <v>14</v>
      </c>
      <c r="AA11" s="74">
        <v>17</v>
      </c>
      <c r="AB11" s="74">
        <v>9</v>
      </c>
      <c r="AC11" s="74">
        <v>15</v>
      </c>
      <c r="AD11" s="74">
        <v>15</v>
      </c>
      <c r="AE11" s="74">
        <v>22</v>
      </c>
    </row>
    <row r="12" spans="1:99" ht="9.9" customHeight="1" ph="1"/>
    <row r="13" spans="1:99" s="72" customFormat="1" ht="29.25" customHeight="1" ph="1">
      <c r="B13" s="201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60" t="s" ph="1">
        <v>177</v>
      </c>
      <c r="D15" s="78">
        <v>2500</v>
      </c>
      <c r="E15" s="78">
        <v>5634</v>
      </c>
      <c r="F15" s="78">
        <v>2362</v>
      </c>
      <c r="G15" s="78">
        <v>3036</v>
      </c>
      <c r="H15" s="78">
        <v>5346</v>
      </c>
      <c r="I15" s="78">
        <v>5200</v>
      </c>
      <c r="J15" s="78">
        <v>5465</v>
      </c>
      <c r="K15" s="78">
        <v>3570</v>
      </c>
      <c r="L15" s="78">
        <v>3061</v>
      </c>
      <c r="M15" s="78">
        <v>3003</v>
      </c>
      <c r="N15" s="78">
        <v>1265</v>
      </c>
      <c r="O15" s="78">
        <v>5314</v>
      </c>
      <c r="P15" s="78">
        <v>5201</v>
      </c>
      <c r="Q15" s="78">
        <v>1738</v>
      </c>
      <c r="R15" s="78">
        <v>0</v>
      </c>
      <c r="S15" s="78">
        <v>0</v>
      </c>
      <c r="T15" s="78">
        <v>2359</v>
      </c>
      <c r="U15" s="78">
        <v>5648</v>
      </c>
      <c r="V15" s="78">
        <v>4976</v>
      </c>
      <c r="W15" s="71">
        <v>332</v>
      </c>
      <c r="X15" s="78">
        <v>310</v>
      </c>
      <c r="Y15" s="106">
        <v>-9900</v>
      </c>
      <c r="Z15" s="78">
        <v>0</v>
      </c>
      <c r="AA15" s="78">
        <v>11</v>
      </c>
      <c r="AB15" s="78" ph="1">
        <v>6919</v>
      </c>
      <c r="AC15" s="78" ph="1">
        <v>2136</v>
      </c>
      <c r="AD15" s="78">
        <v>5.34</v>
      </c>
      <c r="AE15" s="78">
        <v>49.39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60" t="s" ph="1">
        <v>178</v>
      </c>
      <c r="D16" s="73" ph="1">
        <f>D15*7.0686*LOOKUP(D17,密度!$A$2:$A$50,密度!$L$2:$L$50)</f>
        <v>16787.924999999999</v>
      </c>
      <c r="E16" s="73" ph="1">
        <f>E15*7.0686*LOOKUP(E17,密度!$A$2:$A$50,密度!$L$2:$L$50)</f>
        <v>37833.267780000002</v>
      </c>
      <c r="F16" s="73" ph="1">
        <f>F15*9.0746*LOOKUP(F17,密度!$A$2:$A$50,密度!$L$2:$L$50)</f>
        <v>20341.060734799998</v>
      </c>
      <c r="G16" s="73" ph="1">
        <f>G15*9.0746*LOOKUP(G17,密度!$A$2:$A$50,密度!$B$2:$B$50)</f>
        <v>21756.618478320001</v>
      </c>
      <c r="H16" s="73" ph="1">
        <f>H15*9.0746*LOOKUP(H17,密度!$A$2:$A$50,密度!$L$2:$L$50)</f>
        <v>46135.683831599999</v>
      </c>
      <c r="I16" s="73" ph="1">
        <f>I15*9.0746*LOOKUP(I17,密度!$A$2:$A$50,密度!$U$2:$U$50)</f>
        <v>48509.181759999999</v>
      </c>
      <c r="J16" s="73" ph="1">
        <f>J15*9.0746*LOOKUP(J17,密度!$A$2:$A$50,密度!$L$2:$L$50)</f>
        <v>47063.461860999996</v>
      </c>
      <c r="K16" s="73" ph="1">
        <f>K15*9.0746*LOOKUP(K17,密度!$A$2:$A$50,密度!$C$2:$C$50)</f>
        <v>36199.650202799996</v>
      </c>
      <c r="L16" s="73" ph="1">
        <f>L15*9.0746*LOOKUP(L17,密度!$A$2:$A$50,密度!$E$2:$E$50)</f>
        <v>22202.436334580001</v>
      </c>
      <c r="M16" s="73" ph="1">
        <f>M15*9.0746*LOOKUP(M17,密度!$A$2:$A$50,密度!$M$2:$M$50)</f>
        <v>23989.076251139999</v>
      </c>
      <c r="N16" s="73" ph="1">
        <f>N15*9.0746*LOOKUP(N17,密度!$A$2:$A$50,密度!$M$2:$M$50)</f>
        <v>10105.2885307</v>
      </c>
      <c r="O16" s="73" ph="1">
        <f>O15*9.0746*LOOKUP(O17,密度!$A$2:$A$50,密度!$G$2:$G$50)</f>
        <v>46930.06342608</v>
      </c>
      <c r="P16" s="73" ph="1">
        <f ca="1">P15*9.0746*LOOKUP(P17,密度!$A$2:$A$51,密度!$Q$2:$Q$50)</f>
        <v>45051.419225484002</v>
      </c>
      <c r="Q16" s="73" ph="1">
        <f>Q15*9.0746*LOOKUP(Q17,密度!$A$2:$A$50,密度!$Q$2:$Q$50)</f>
        <v>15054.675372792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19994.120627600001</v>
      </c>
      <c r="U16" s="73" ph="1">
        <f>U15*9.0746*LOOKUP(U17,密度!$A$2:$A$50,密度!$H$2:$H$50)</f>
        <v>47547.724260159994</v>
      </c>
      <c r="V16" s="73" ph="1">
        <f>MAX(5600*LOOKUP(V17,密度!$A$2:$A$50,密度!$Q$2:$Q$50)+V15*9.0476*LOOKUP(V17,密度!$A$2:$A$50,密度!$Q$2:$Q$50),0)</f>
        <v>48319.633413503994</v>
      </c>
      <c r="W16" s="73" ph="1">
        <f>MAX(5600*LOOKUP(W17,密度!$A$2:$A$50,密度!$Q$2:$Q$50)+W15*9.0476*LOOKUP(W17,密度!$A$2:$A$50,密度!$Q$2:$Q$50),0)</f>
        <v>8212.6743065279989</v>
      </c>
      <c r="X16" s="73" ph="1">
        <f>MAX(5600*LOOKUP(X17,密度!$A$2:$A$50,密度!$I$2:$I$50)+X15*9.0476*LOOKUP(X17,密度!$A$2:$A$50,密度!$I$2:$I$50),0)</f>
        <v>8788.8533492000006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79.167717859999996</v>
      </c>
      <c r="AB16" s="73" ph="1">
        <f>AB15*9.0746*LOOKUP(AB17,密度!$A$2:$A$50,密度!$L$2:$L$50)</f>
        <v>59522.2252152</v>
      </c>
      <c r="AC16" s="73" ph="1">
        <f>AC15*9.0746*LOOKUP(AC17,密度!$A$2:$A$50,密度!$L$2:$L$50)</f>
        <v>18452.945011200001</v>
      </c>
      <c r="AD16" s="73" ph="1">
        <f>AD15*268.68*LOOKUP(AD17,密度!$A$2:$A$50,密度!B2:B50)+IF(AD15&lt;=0,0,1566*LOOKUP(AD17,密度!$A$2:$A$50,密度!B2:B50))</f>
        <v>2339.3856355199996</v>
      </c>
      <c r="AE16" s="73" ph="1">
        <f>AE15*268.68*LOOKUP(AE17,密度!$A$2:$A$50,密度!B2:B50)+IF(AE15&lt;=0,0,1566*LOOKUP(AE17,密度!$A$2:$A$50,密度!B2:B50))</f>
        <v>11566.22761392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12</v>
      </c>
      <c r="E17" s="74">
        <v>12</v>
      </c>
      <c r="F17" s="74">
        <v>13</v>
      </c>
      <c r="G17" s="74">
        <v>13</v>
      </c>
      <c r="H17" s="74">
        <v>11</v>
      </c>
      <c r="I17" s="74">
        <v>11</v>
      </c>
      <c r="J17" s="74">
        <v>13</v>
      </c>
      <c r="K17" s="74">
        <v>13</v>
      </c>
      <c r="L17" s="74">
        <v>12</v>
      </c>
      <c r="M17" s="74">
        <v>12</v>
      </c>
      <c r="N17" s="74">
        <v>12</v>
      </c>
      <c r="O17" s="74">
        <v>13</v>
      </c>
      <c r="P17" s="74">
        <v>13</v>
      </c>
      <c r="Q17" s="74">
        <v>12</v>
      </c>
      <c r="R17" s="74">
        <v>13</v>
      </c>
      <c r="S17" s="74">
        <v>12</v>
      </c>
      <c r="T17" s="74">
        <v>13</v>
      </c>
      <c r="U17" s="74">
        <v>12</v>
      </c>
      <c r="V17" s="74">
        <v>13</v>
      </c>
      <c r="W17" s="74">
        <v>13</v>
      </c>
      <c r="X17" s="74">
        <v>22</v>
      </c>
      <c r="Y17" s="108">
        <v>22</v>
      </c>
      <c r="Z17" s="74">
        <v>12</v>
      </c>
      <c r="AA17" s="74">
        <v>9</v>
      </c>
      <c r="AB17" s="74">
        <v>14</v>
      </c>
      <c r="AC17" s="74">
        <v>10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2703</v>
      </c>
      <c r="E18" s="71">
        <v>4788</v>
      </c>
      <c r="F18" s="71">
        <v>2363</v>
      </c>
      <c r="G18" s="71">
        <v>3112</v>
      </c>
      <c r="H18" s="71">
        <v>5350</v>
      </c>
      <c r="I18" s="71">
        <v>5204</v>
      </c>
      <c r="J18" s="71">
        <v>5474</v>
      </c>
      <c r="K18" s="71">
        <v>3571</v>
      </c>
      <c r="L18" s="71">
        <v>3066</v>
      </c>
      <c r="M18" s="71">
        <v>220</v>
      </c>
      <c r="N18" s="71">
        <v>3821</v>
      </c>
      <c r="O18" s="71">
        <v>5319</v>
      </c>
      <c r="P18" s="71">
        <v>5210</v>
      </c>
      <c r="Q18" s="71">
        <v>1740</v>
      </c>
      <c r="R18" s="71">
        <v>2</v>
      </c>
      <c r="S18" s="71">
        <v>0</v>
      </c>
      <c r="T18" s="71">
        <v>6315</v>
      </c>
      <c r="U18" s="71">
        <v>2867</v>
      </c>
      <c r="V18" s="71">
        <v>4875</v>
      </c>
      <c r="W18" s="71">
        <v>742</v>
      </c>
      <c r="X18" s="71">
        <v>258</v>
      </c>
      <c r="Y18" s="109">
        <v>-9900</v>
      </c>
      <c r="Z18" s="71">
        <v>0</v>
      </c>
      <c r="AA18" s="71">
        <v>11</v>
      </c>
      <c r="AB18" s="71">
        <v>6926</v>
      </c>
      <c r="AC18" s="71">
        <v>2136</v>
      </c>
      <c r="AD18" s="71">
        <v>23.84</v>
      </c>
      <c r="AE18" s="71">
        <v>84.66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60" t="s" ph="1">
        <v>178</v>
      </c>
      <c r="D19" s="73" ph="1">
        <f>D18*7.0686*LOOKUP(D20,密度!$A$2:$A$50,密度!$L$2:$L$50)</f>
        <v>18017.359529400001</v>
      </c>
      <c r="E19" s="73" ph="1">
        <f>E18*7.0686*LOOKUP(E20,密度!$A$2:$A$50,密度!$L$2:$L$50)</f>
        <v>31915.322762399999</v>
      </c>
      <c r="F19" s="73" ph="1">
        <f>F18*9.0746*LOOKUP(F20,密度!$A$2:$A$50,密度!$L$2:$L$50)</f>
        <v>20199.569571600001</v>
      </c>
      <c r="G19" s="73" ph="1">
        <f>G18*9.0746*LOOKUP(G20,密度!$A$2:$A$50,密度!$B$2:$B$50)</f>
        <v>22230.650173440001</v>
      </c>
      <c r="H19" s="73" ph="1">
        <f>H18*9.0746*LOOKUP(H20,密度!$A$2:$A$50,密度!$L$2:$L$50)</f>
        <v>45976.007169999997</v>
      </c>
      <c r="I19" s="73" ph="1">
        <f>I18*9.0746*LOOKUP(I20,密度!$A$2:$A$50,密度!$U$2:$U$50)</f>
        <v>48546.4965152</v>
      </c>
      <c r="J19" s="73" ph="1">
        <f>J18*9.0746*LOOKUP(J20,密度!$A$2:$A$50,密度!$L$2:$L$50)</f>
        <v>46892.596217599996</v>
      </c>
      <c r="K19" s="73" ph="1">
        <f>K18*9.0746*LOOKUP(K20,密度!$A$2:$A$50,密度!$C$2:$C$50)</f>
        <v>36115.814510700002</v>
      </c>
      <c r="L19" s="73" ph="1">
        <f>L18*9.0746*LOOKUP(L20,密度!$A$2:$A$50,密度!$E$2:$E$50)</f>
        <v>22080.113448960001</v>
      </c>
      <c r="M19" s="73" ph="1">
        <f>M18*9.0746*LOOKUP(M20,密度!$A$2:$A$50,密度!$M$2:$M$50)</f>
        <v>1757.4414836000001</v>
      </c>
      <c r="N19" s="73" ph="1">
        <f>N18*9.0746*LOOKUP(N20,密度!$A$2:$A$50,密度!$M$2:$M$50)</f>
        <v>30523.563221979999</v>
      </c>
      <c r="O19" s="73" ph="1">
        <f>O18*9.0746*LOOKUP(O20,密度!$A$2:$A$50,密度!$G$2:$G$50)</f>
        <v>46674.960085800005</v>
      </c>
      <c r="P19" s="73" ph="1">
        <f ca="1">P18*9.0746*LOOKUP(P20,密度!$A$2:$A$51,密度!$Q$2:$Q$50)</f>
        <v>45009.762818660005</v>
      </c>
      <c r="Q19" s="73" ph="1">
        <f>Q18*9.0746*LOOKUP(Q20,密度!$A$2:$A$50,密度!$Q$2:$Q$50)</f>
        <v>15019.73525892</v>
      </c>
      <c r="R19" s="73" ph="1">
        <f>MAX(R18*9.0746*LOOKUP(R20,密度!$A$2:$A$50,密度!$B$2:$B$50),0)</f>
        <v>14.259826439999999</v>
      </c>
      <c r="S19" s="73" ph="1">
        <f>S18*9.0746*LOOKUP(S20,密度!$A$2:$A$50,密度!$Q$2:$Q$50)</f>
        <v>0</v>
      </c>
      <c r="T19" s="73" ph="1">
        <f>T18*9.0746*LOOKUP(T20,密度!$A$2:$A$50,密度!$O$2:$O$50)</f>
        <v>53523.896466000006</v>
      </c>
      <c r="U19" s="73" ph="1">
        <f>U18*9.0746*LOOKUP(U20,密度!$A$2:$A$50,密度!$H$2:$H$50)</f>
        <v>23953.739758739997</v>
      </c>
      <c r="V19" s="73" ph="1">
        <f>MAX(5600*LOOKUP(V20,密度!$A$2:$A$50,密度!$Q$2:$Q$50)+V18*9.0476*LOOKUP(V20,密度!$A$2:$A$50,密度!$Q$2:$Q$50),0)</f>
        <v>47282.837171499996</v>
      </c>
      <c r="W19" s="73" ph="1">
        <f>MAX(5600*LOOKUP(W20,密度!$A$2:$A$50,密度!$Q$2:$Q$50)+W18*9.0476*LOOKUP(W20,密度!$A$2:$A$50,密度!$Q$2:$Q$50),0)</f>
        <v>11712.798622615999</v>
      </c>
      <c r="X19" s="73" ph="1">
        <f>MAX(5600*LOOKUP(X20,密度!$A$2:$A$50,密度!$I$2:$I$50)+X18*9.0476*LOOKUP(X20,密度!$A$2:$A$50,密度!$I$2:$I$50),0)</f>
        <v>8252.44546008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78.429045419999994</v>
      </c>
      <c r="AB19" s="73" ph="1">
        <f>AB18*9.0746*LOOKUP(AB20,密度!$A$2:$A$50,密度!$L$2:$L$50)</f>
        <v>59456.742901600002</v>
      </c>
      <c r="AC19" s="73" ph="1">
        <f>AC18*9.0746*LOOKUP(AC20,密度!$A$2:$A$50,密度!$L$2:$L$50)</f>
        <v>18356.028283200001</v>
      </c>
      <c r="AD19" s="73" ph="1">
        <f>AD18*268.68*LOOKUP(AD20,密度!$A$2:$A$50,密度!B5:B53)+IF(AD18&lt;=0,0,1566*LOOKUP(AD20,密度!$A$2:$A$50,密度!B5:B53))</f>
        <v>6193.7243424000008</v>
      </c>
      <c r="AE19" s="73" ph="1">
        <f>AE18*268.68*LOOKUP(AE20,密度!$A$2:$A$50,密度!B5:B53)+IF(AE18&lt;=0,0,1566*LOOKUP(AE20,密度!$A$2:$A$50,密度!B5:B53))</f>
        <v>18890.772717599997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19</v>
      </c>
      <c r="E20" s="81">
        <v>19</v>
      </c>
      <c r="F20" s="81">
        <v>20</v>
      </c>
      <c r="G20" s="81">
        <v>16</v>
      </c>
      <c r="H20" s="81">
        <v>15</v>
      </c>
      <c r="I20" s="81">
        <v>18</v>
      </c>
      <c r="J20" s="81">
        <v>18</v>
      </c>
      <c r="K20" s="81">
        <v>17</v>
      </c>
      <c r="L20" s="81">
        <v>16</v>
      </c>
      <c r="M20" s="81">
        <v>16</v>
      </c>
      <c r="N20" s="81">
        <v>18</v>
      </c>
      <c r="O20" s="81">
        <v>19</v>
      </c>
      <c r="P20" s="81">
        <v>18</v>
      </c>
      <c r="Q20" s="81">
        <v>19</v>
      </c>
      <c r="R20" s="81">
        <v>18</v>
      </c>
      <c r="S20" s="81">
        <v>19</v>
      </c>
      <c r="T20" s="81">
        <v>18</v>
      </c>
      <c r="U20" s="81">
        <v>19</v>
      </c>
      <c r="V20" s="81">
        <v>19</v>
      </c>
      <c r="W20" s="81">
        <v>19</v>
      </c>
      <c r="X20" s="81">
        <v>27</v>
      </c>
      <c r="Y20" s="110">
        <v>27</v>
      </c>
      <c r="Z20" s="81">
        <v>17</v>
      </c>
      <c r="AA20" s="81">
        <v>18</v>
      </c>
      <c r="AB20" s="81">
        <v>16</v>
      </c>
      <c r="AC20" s="81">
        <v>15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646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60" t="s" ph="1">
        <v>177</v>
      </c>
      <c r="D24" s="71">
        <v>48.05</v>
      </c>
      <c r="E24" s="71">
        <v>3.28</v>
      </c>
      <c r="F24" s="71">
        <v>1461</v>
      </c>
      <c r="G24" s="71">
        <v>3667</v>
      </c>
      <c r="H24" s="71">
        <v>3696</v>
      </c>
      <c r="I24" s="71">
        <v>1247</v>
      </c>
      <c r="J24" s="71">
        <v>447</v>
      </c>
      <c r="K24" s="71">
        <v>434</v>
      </c>
      <c r="L24" s="71">
        <v>4806</v>
      </c>
      <c r="M24" s="71">
        <v>422</v>
      </c>
      <c r="N24" s="71">
        <v>2839</v>
      </c>
      <c r="O24" s="71">
        <v>5713</v>
      </c>
      <c r="P24" s="71">
        <v>3538</v>
      </c>
      <c r="Q24" s="90">
        <v>5519</v>
      </c>
      <c r="R24" s="71">
        <v>6186</v>
      </c>
      <c r="S24" s="71">
        <v>711</v>
      </c>
      <c r="T24" s="71">
        <v>850</v>
      </c>
      <c r="U24" s="71">
        <v>4491</v>
      </c>
      <c r="V24" s="71">
        <v>6399</v>
      </c>
      <c r="W24" s="71">
        <v>2584</v>
      </c>
      <c r="X24" s="71">
        <v>7949</v>
      </c>
      <c r="Y24" s="71">
        <v>5378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13705.07829876</v>
      </c>
      <c r="E25" s="91" ph="1">
        <f>E24*268.68*LOOKUP(E26,密度!$A$2:$A$50,密度!$C$2:$C$50)+IF(E24&lt;=0,0,1566*LOOKUP(E26,密度!$A$2:$A$50,密度!$C$2:$C$50))</f>
        <v>2713.7781465600001</v>
      </c>
      <c r="F25" s="91" ph="1">
        <f>F24*11.702*LOOKUP(F26,密度!$A$2:$A$50,密度!$Q$2:$Q$50)</f>
        <v>16289.661441599999</v>
      </c>
      <c r="G25" s="91" ph="1">
        <f>G24*18.322*LOOKUP(G26,密度!$A$2:$A$50,密度!$B$2:$B$50)</f>
        <v>52835.679073599989</v>
      </c>
      <c r="H25" s="91" ph="1">
        <f>H24*18.322*LOOKUP(H26,密度!$A$2:$A$50,密度!$B$2:$B$50)</f>
        <v>53307.697766399993</v>
      </c>
      <c r="I25" s="91" ph="1">
        <f>I24*18.322*LOOKUP(I26,密度!$A$2:$A$50,密度!$Q$2:$Q$50)</f>
        <v>21787.4084224</v>
      </c>
      <c r="J25" s="91" ph="1">
        <f>J24*18.322*LOOKUP(J26,密度!$A$2:$A$50,密度!$Q$2:$Q$50)</f>
        <v>7809.9210623999998</v>
      </c>
      <c r="K25" s="91" ph="1">
        <f>K24*18.322*LOOKUP(K26,密度!$A$2:$A$50,密度!$Q$2:$Q$50)</f>
        <v>7576.4254943999995</v>
      </c>
      <c r="L25" s="91" ph="1">
        <f>L24*18.322*LOOKUP(L26,密度!$A$2:$A$50,密度!$Q$2:$Q$50)</f>
        <v>83899.31088959999</v>
      </c>
      <c r="M25" s="91" ph="1">
        <f>M24*18.322*LOOKUP(M26,密度!$A$2:$A$50,密度!$Q$2:$Q$50)</f>
        <v>7373.1245823999998</v>
      </c>
      <c r="N25" s="91" ph="1">
        <f>N24*18.322*LOOKUP(N26,密度!$A$2:$A$50,密度!$Q$2:$Q$50)</f>
        <v>49560.995342399998</v>
      </c>
      <c r="O25" s="91" ph="1">
        <f>O24*18.322*LOOKUP(O26,密度!$A$2:$A$50,密度!$C$2:$C$50)</f>
        <v>116731.98310719999</v>
      </c>
      <c r="P25" s="91" ph="1">
        <f>P24*11.702*LOOKUP(P26,密度!$A$2:$A$50,密度!$B$2:$B$50)</f>
        <v>32591.3993472</v>
      </c>
      <c r="Q25" s="92" ph="1">
        <f>Q24*18.322*LOOKUP(Q26,密度!$A$2:$A$50,密度!$B$2:$B$50)</f>
        <v>79520.074395200005</v>
      </c>
      <c r="R25" s="91" ph="1">
        <f>R24*35.891*LOOKUP(R26,密度!$A$2:$A$50,密度!$C$2:$C$50)</f>
        <v>247598.62883519998</v>
      </c>
      <c r="S25" s="91" ph="1">
        <f>S24*35.891*LOOKUP(S26,密度!$A$2:$A$50,密度!$B$2:$B$50)</f>
        <v>20088.163987200001</v>
      </c>
      <c r="T25" s="91" ph="1">
        <f>T24*35.891*LOOKUP(T26,密度!$A$2:$A$50,密度!$Q$2:$Q$50)</f>
        <v>29067.403079999996</v>
      </c>
      <c r="U25" s="91" ph="1">
        <f>U24*35.891</f>
        <v>161186.481</v>
      </c>
      <c r="V25" s="91" ph="1">
        <f>V24*47.051*LOOKUP(V26,密度!$A$2:$A$50,密度!$B$2:$B$50)</f>
        <v>237009.66353279998</v>
      </c>
      <c r="W25" s="91" ph="1">
        <f>W24*47.051*LOOKUP(W26,密度!$A$2:$A$50,密度!$B$2:$B$50)</f>
        <v>95707.605964800008</v>
      </c>
      <c r="X25" s="91" ph="1">
        <f>X24*47.051*LOOKUP(X26,密度!$A$2:$A$61,密度!$I$2:$I$61)</f>
        <v>377262.27207130002</v>
      </c>
      <c r="Y25" s="91" ph="1">
        <f>Y24*47.051*LOOKUP(Y26,密度!$A$2:$A$50,密度!$L$2:$L$50)</f>
        <v>239376.102988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17</v>
      </c>
      <c r="G26" s="74">
        <v>17</v>
      </c>
      <c r="H26" s="74">
        <v>16</v>
      </c>
      <c r="I26" s="74">
        <v>16</v>
      </c>
      <c r="J26" s="74">
        <v>16</v>
      </c>
      <c r="K26" s="74">
        <v>17</v>
      </c>
      <c r="L26" s="74">
        <v>17</v>
      </c>
      <c r="M26" s="74">
        <v>16</v>
      </c>
      <c r="N26" s="74">
        <v>17</v>
      </c>
      <c r="O26" s="74">
        <v>16</v>
      </c>
      <c r="P26" s="74">
        <v>16</v>
      </c>
      <c r="Q26" s="93">
        <v>17</v>
      </c>
      <c r="R26" s="74">
        <v>16</v>
      </c>
      <c r="S26" s="74">
        <v>16</v>
      </c>
      <c r="T26" s="74">
        <v>17</v>
      </c>
      <c r="U26" s="74">
        <v>17</v>
      </c>
      <c r="V26" s="74">
        <v>16</v>
      </c>
      <c r="W26" s="74">
        <v>16</v>
      </c>
      <c r="X26" s="74">
        <v>55</v>
      </c>
      <c r="Y26" s="74">
        <v>16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60" t="s" ph="1">
        <v>180</v>
      </c>
      <c r="D27" s="71">
        <v>25.77</v>
      </c>
      <c r="E27" s="71">
        <v>3.25</v>
      </c>
      <c r="F27" s="71">
        <v>108</v>
      </c>
      <c r="G27" s="71">
        <v>3237</v>
      </c>
      <c r="H27" s="71">
        <v>3167</v>
      </c>
      <c r="I27" s="71">
        <v>1287</v>
      </c>
      <c r="J27" s="71">
        <v>2677</v>
      </c>
      <c r="K27" s="71">
        <v>429</v>
      </c>
      <c r="L27" s="71">
        <v>4359</v>
      </c>
      <c r="M27" s="71">
        <v>416</v>
      </c>
      <c r="N27" s="71">
        <v>2834</v>
      </c>
      <c r="O27" s="71">
        <v>5709</v>
      </c>
      <c r="P27" s="71">
        <v>2282</v>
      </c>
      <c r="Q27" s="90">
        <v>442</v>
      </c>
      <c r="R27" s="71">
        <v>6172</v>
      </c>
      <c r="S27" s="71">
        <v>3423</v>
      </c>
      <c r="T27" s="71">
        <v>847</v>
      </c>
      <c r="U27" s="71">
        <v>4424</v>
      </c>
      <c r="V27" s="71">
        <v>6397</v>
      </c>
      <c r="W27" s="71">
        <v>2577</v>
      </c>
      <c r="X27" s="71">
        <v>7956</v>
      </c>
      <c r="Y27" s="71">
        <v>5371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60" t="s" ph="1">
        <v>178</v>
      </c>
      <c r="D28" s="91" ph="1">
        <f>D27*268.68*LOOKUP(D29,密度!$A$2:$A$50,密度!$Q$2:$Q$50)+IF(D27&lt;=0,0,1566*LOOKUP(D29,密度!$A$2:$A$50,密度!$Q$2:$Q$50))</f>
        <v>8037.7123994639996</v>
      </c>
      <c r="E28" s="91" ph="1">
        <f>E27*268.68*LOOKUP(E29,密度!$A$2:$A$50,密度!$C$2:$C$50)+IF(E27&lt;=0,0,1566*LOOKUP(E29,密度!$A$2:$A$50,密度!$C$2:$C$50))</f>
        <v>2704.8399690000001</v>
      </c>
      <c r="F28" s="91" ph="1">
        <f>F27*11.702*LOOKUP(F29,密度!$A$2:$A$50,密度!$Q$2:$Q$50)</f>
        <v>1204.1638848</v>
      </c>
      <c r="G28" s="91" ph="1">
        <f>G27*18.322*LOOKUP(G29,密度!$A$2:$A$50,密度!$B$2:$B$50)</f>
        <v>46687.504780800002</v>
      </c>
      <c r="H28" s="91" ph="1">
        <f>H27*18.322*LOOKUP(H29,密度!$A$2:$A$50,密度!$B$2:$B$50)</f>
        <v>45677.889292799999</v>
      </c>
      <c r="I28" s="91" ph="1">
        <f>I27*18.322*LOOKUP(I29,密度!$A$2:$A$50,密度!$Q$2:$Q$50)</f>
        <v>22467.418459200002</v>
      </c>
      <c r="J28" s="91" ph="1">
        <f>J27*18.322*LOOKUP(J29,密度!$A$2:$A$50,密度!$Q$2:$Q$50)</f>
        <v>46732.9286832</v>
      </c>
      <c r="K28" s="91" ph="1">
        <f>K27*18.322*LOOKUP(K29,密度!$A$2:$A$50,密度!$Q$2:$Q$50)</f>
        <v>7495.4275968000002</v>
      </c>
      <c r="L28" s="91" ph="1">
        <f>L27*18.322*LOOKUP(L29,密度!$A$2:$A$50,密度!$Q$2:$Q$50)</f>
        <v>76095.941774399995</v>
      </c>
      <c r="M28" s="91" ph="1">
        <f>M27*18.322*LOOKUP(M29,密度!$A$2:$A$50,密度!$Q$2:$Q$50)</f>
        <v>7262.1958655999988</v>
      </c>
      <c r="N28" s="91" ph="1">
        <f>N27*18.322*LOOKUP(N29,密度!$A$2:$A$50,密度!$Q$2:$Q$50)</f>
        <v>49515.248972799993</v>
      </c>
      <c r="O28" s="91" ph="1">
        <f>O27*18.322*LOOKUP(O29,密度!$A$2:$A$50,密度!$C$2:$C$50)</f>
        <v>116577.032121</v>
      </c>
      <c r="P28" s="91" ph="1">
        <f>P27*11.702*LOOKUP(P29,密度!$A$2:$A$50,密度!$B$2:$B$50)</f>
        <v>21021.360460799999</v>
      </c>
      <c r="Q28" s="92" ph="1">
        <f>Q27*18.322*LOOKUP(Q29,密度!$A$2:$A$50,密度!$B$2:$B$50)</f>
        <v>6368.5219935999994</v>
      </c>
      <c r="R28" s="91" ph="1">
        <f>R27*35.891*LOOKUP(R29,密度!$A$2:$A$50,密度!$C$2:$C$50)</f>
        <v>247038.26983039998</v>
      </c>
      <c r="S28" s="91" ph="1">
        <f>S27*35.891*LOOKUP(S29,密度!$A$2:$A$50,密度!$B$2:$B$50)</f>
        <v>96711.371769599995</v>
      </c>
      <c r="T28" s="91" ph="1">
        <f>T27*35.891*LOOKUP(T29,密度!$A$2:$A$50,密度!$Q$2:$Q$50)</f>
        <v>28964.812245599998</v>
      </c>
      <c r="U28" s="91" ph="1">
        <f>U27*35.891</f>
        <v>158781.78399999999</v>
      </c>
      <c r="V28" s="91" ph="1">
        <f>V27*47.051*LOOKUP(V29,密度!$A$2:$A$50,密度!$B$2:$B$50)</f>
        <v>236935.58643840003</v>
      </c>
      <c r="W28" s="91" ph="1">
        <f>W27*47.051*LOOKUP(W29,密度!$A$2:$A$50,密度!$B$2:$B$50)</f>
        <v>95448.336134400015</v>
      </c>
      <c r="X28" s="91" ph="1">
        <f>X27*47.051*LOOKUP(X29,密度!$A$2:$A$61,密度!$I$2:$I$61)</f>
        <v>377182.72294559999</v>
      </c>
      <c r="Y28" s="91" ph="1">
        <f>Y27*47.051*LOOKUP(Y29,密度!$A$2:$A$50,密度!$L$2:$L$50)</f>
        <v>238811.82034499999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60" t="s" ph="1">
        <v>179</v>
      </c>
      <c r="D29" s="74">
        <v>25</v>
      </c>
      <c r="E29" s="74">
        <v>25</v>
      </c>
      <c r="F29" s="74">
        <v>17</v>
      </c>
      <c r="G29" s="74">
        <v>16</v>
      </c>
      <c r="H29" s="74">
        <v>16</v>
      </c>
      <c r="I29" s="74">
        <v>17</v>
      </c>
      <c r="J29" s="74">
        <v>17</v>
      </c>
      <c r="K29" s="74">
        <v>16</v>
      </c>
      <c r="L29" s="74">
        <v>17</v>
      </c>
      <c r="M29" s="74">
        <v>17</v>
      </c>
      <c r="N29" s="74">
        <v>16</v>
      </c>
      <c r="O29" s="74">
        <v>17</v>
      </c>
      <c r="P29" s="74">
        <v>16</v>
      </c>
      <c r="Q29" s="93">
        <v>17</v>
      </c>
      <c r="R29" s="74">
        <v>16</v>
      </c>
      <c r="S29" s="74">
        <v>16</v>
      </c>
      <c r="T29" s="74">
        <v>17</v>
      </c>
      <c r="U29" s="74">
        <v>16</v>
      </c>
      <c r="V29" s="74">
        <v>16</v>
      </c>
      <c r="W29" s="74">
        <v>16</v>
      </c>
      <c r="X29" s="74">
        <v>56</v>
      </c>
      <c r="Y29" s="74">
        <v>17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227592.39217750001</v>
      </c>
      <c r="E33" s="215" ph="1">
        <f>M10+I10</f>
        <v>27071.876058499998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19" ph="1">
        <f>N19</f>
        <v>30523.563221979999</v>
      </c>
      <c r="H33" s="215" ph="1">
        <f>M19</f>
        <v>1757.4414836000001</v>
      </c>
      <c r="I33" s="228" ph="1">
        <v>0</v>
      </c>
      <c r="J33" s="226" ph="1">
        <f>F10+O28</f>
        <v>326695.29224580002</v>
      </c>
      <c r="K33" s="215" ph="1">
        <f>O10+K10+E28+R28</f>
        <v>344180.98450939998</v>
      </c>
      <c r="L33" s="230" ph="1">
        <f>K19</f>
        <v>36115.814510700002</v>
      </c>
      <c r="M33" s="226" ph="1">
        <f>G10+H10+W28+S28+V28+E10+R19+P28+Q28</f>
        <v>621491.94200724002</v>
      </c>
      <c r="N33" s="215" ph="1">
        <f>L10+P10++G28+H28+AD19+AE19</f>
        <v>207555.18354560001</v>
      </c>
      <c r="O33" s="228" ph="1">
        <f>G19</f>
        <v>22230.650173440001</v>
      </c>
      <c r="P33" s="226" ph="1">
        <f>L19</f>
        <v>22080.113448960001</v>
      </c>
      <c r="Q33" s="215" ph="1">
        <f>J10+N10</f>
        <v>100057.3637014</v>
      </c>
      <c r="R33" s="228" ph="1">
        <f>BE23</f>
        <v>890</v>
      </c>
      <c r="S33" s="226" ph="1">
        <f>X28</f>
        <v>377182.72294559999</v>
      </c>
      <c r="T33" s="215" ph="1">
        <f>X19</f>
        <v>8252.44546008</v>
      </c>
      <c r="U33" s="236" ph="1">
        <f>BE21</f>
        <v>730</v>
      </c>
      <c r="V33" s="247" ph="1">
        <f ca="1">P19+Q19+S19+M28+N28+J28+D10+AC10+D19+E19+H19+J19+O19+V19+W19+K28+L28</f>
        <v>1151734.7081448962</v>
      </c>
      <c r="W33" s="247" ph="1">
        <f>D28+F28+T28+I28</f>
        <v>60674.106989063999</v>
      </c>
      <c r="X33" s="228" ph="1">
        <f>BE29+BE31</f>
        <v>10200</v>
      </c>
      <c r="Y33" s="249" ph="1">
        <f>+Q10+R10+S10+T10+U10+V10+W10+X10+Y10</f>
        <v>228578.50572479999</v>
      </c>
      <c r="Z33" s="234" ph="1">
        <f>T19+U19+Y28+Z10</f>
        <v>397323.93535373994</v>
      </c>
      <c r="AA33" s="236" ph="1">
        <f>BE19</f>
        <v>1440</v>
      </c>
      <c r="AB33" s="238" ph="1">
        <f>I19</f>
        <v>48546.4965152</v>
      </c>
      <c r="AC33" s="240" ph="1">
        <f>AD10+AB19</f>
        <v>153587.3326616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2" t="s" ph="1">
        <v>185</v>
      </c>
      <c r="AA36" s="162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69" priority="100">
      <formula>ABS(D$7-D$10)&gt;=1000</formula>
    </cfRule>
  </conditionalFormatting>
  <conditionalFormatting sqref="E4 E6:E11">
    <cfRule type="expression" dxfId="1168" priority="99">
      <formula>ABS(E$7-E$10)&gt;=1000</formula>
    </cfRule>
  </conditionalFormatting>
  <conditionalFormatting sqref="F4:F11">
    <cfRule type="expression" dxfId="1167" priority="98">
      <formula>ABS(F$7-F$10)&gt;=1000</formula>
    </cfRule>
  </conditionalFormatting>
  <conditionalFormatting sqref="G4:G11">
    <cfRule type="expression" dxfId="1166" priority="97">
      <formula>ABS(G$7-G$10)&gt;=1000</formula>
    </cfRule>
  </conditionalFormatting>
  <conditionalFormatting sqref="H4:H11">
    <cfRule type="expression" dxfId="1165" priority="96">
      <formula>ABS(H$7-H$10)&gt;=1000</formula>
    </cfRule>
  </conditionalFormatting>
  <conditionalFormatting sqref="I4:I11">
    <cfRule type="expression" dxfId="1164" priority="95">
      <formula>ABS(I$7-I$10)&gt;=1000</formula>
    </cfRule>
  </conditionalFormatting>
  <conditionalFormatting sqref="J4:J11">
    <cfRule type="expression" dxfId="1163" priority="94">
      <formula>ABS(J$7-J$10)&gt;=1000</formula>
    </cfRule>
  </conditionalFormatting>
  <conditionalFormatting sqref="K4:K11">
    <cfRule type="expression" dxfId="1162" priority="93">
      <formula>ABS(K$7-K$10)&gt;=1000</formula>
    </cfRule>
  </conditionalFormatting>
  <conditionalFormatting sqref="L4:L11">
    <cfRule type="expression" dxfId="1161" priority="92">
      <formula>ABS(L$7-L$10)&gt;=1000</formula>
    </cfRule>
  </conditionalFormatting>
  <conditionalFormatting sqref="M4 M6:M11">
    <cfRule type="expression" dxfId="1160" priority="91">
      <formula>ABS(M$7-M$10)&gt;=1000</formula>
    </cfRule>
  </conditionalFormatting>
  <conditionalFormatting sqref="N4 N6:N11">
    <cfRule type="expression" dxfId="1159" priority="90">
      <formula>ABS(N$7-N$10)&gt;=1000</formula>
    </cfRule>
  </conditionalFormatting>
  <conditionalFormatting sqref="O4 O6:O11">
    <cfRule type="expression" dxfId="1158" priority="89">
      <formula>ABS(O$7-O$10)&gt;=1000</formula>
    </cfRule>
  </conditionalFormatting>
  <conditionalFormatting sqref="P4 P6:P11">
    <cfRule type="expression" dxfId="1157" priority="88">
      <formula>ABS(P$7-P$10)&gt;=1000</formula>
    </cfRule>
  </conditionalFormatting>
  <conditionalFormatting sqref="Q4:Q11">
    <cfRule type="expression" dxfId="1156" priority="87">
      <formula>ABS(Q$7-Q$10)&gt;=1000</formula>
    </cfRule>
  </conditionalFormatting>
  <conditionalFormatting sqref="R4:R11">
    <cfRule type="expression" dxfId="1155" priority="86">
      <formula>ABS(R$7-R$10)&gt;=1000</formula>
    </cfRule>
  </conditionalFormatting>
  <conditionalFormatting sqref="S4:S11">
    <cfRule type="expression" dxfId="1154" priority="85">
      <formula>ABS(S$7-S$10)&gt;=1000</formula>
    </cfRule>
  </conditionalFormatting>
  <conditionalFormatting sqref="T4:T9 T11">
    <cfRule type="expression" dxfId="1153" priority="84">
      <formula>ABS(T$7-T$10)&gt;=1000</formula>
    </cfRule>
  </conditionalFormatting>
  <conditionalFormatting sqref="U4:U9 U11">
    <cfRule type="expression" dxfId="1152" priority="83">
      <formula>ABS(U$7-U$10)&gt;=1000</formula>
    </cfRule>
  </conditionalFormatting>
  <conditionalFormatting sqref="V4:V9 V11">
    <cfRule type="expression" dxfId="1151" priority="82">
      <formula>ABS(V$7-V$10)&gt;=1000</formula>
    </cfRule>
  </conditionalFormatting>
  <conditionalFormatting sqref="W4:W9 W11">
    <cfRule type="expression" dxfId="1150" priority="81">
      <formula>ABS(W$7-W$10)&gt;=1000</formula>
    </cfRule>
  </conditionalFormatting>
  <conditionalFormatting sqref="X4:X9 X11">
    <cfRule type="expression" dxfId="1149" priority="80">
      <formula>ABS(X$7-X$10)&gt;=1000</formula>
    </cfRule>
  </conditionalFormatting>
  <conditionalFormatting sqref="Y4:Y9 Y11">
    <cfRule type="expression" dxfId="1148" priority="79">
      <formula>ABS(Y$7-Y$10)&gt;=1000</formula>
    </cfRule>
  </conditionalFormatting>
  <conditionalFormatting sqref="Z4:Z11">
    <cfRule type="expression" dxfId="1147" priority="78">
      <formula>ABS(Z$7-Z$10)&gt;=1000</formula>
    </cfRule>
  </conditionalFormatting>
  <conditionalFormatting sqref="AA4:AA11">
    <cfRule type="expression" dxfId="1146" priority="77">
      <formula>ABS(AA$7-AA$10)&gt;=1000</formula>
    </cfRule>
  </conditionalFormatting>
  <conditionalFormatting sqref="AB4:AB11">
    <cfRule type="expression" dxfId="1145" priority="76">
      <formula>ABS(AB$7-AB$10)&gt;=1000</formula>
    </cfRule>
  </conditionalFormatting>
  <conditionalFormatting sqref="AC4 AC6:AC11">
    <cfRule type="expression" dxfId="1144" priority="75">
      <formula>ABS(AC$7-AC$10)&gt;=1000</formula>
    </cfRule>
  </conditionalFormatting>
  <conditionalFormatting sqref="AD4 AD6:AD11">
    <cfRule type="expression" dxfId="1143" priority="74">
      <formula>ABS(AD$7-AD$10)&gt;=1000</formula>
    </cfRule>
  </conditionalFormatting>
  <conditionalFormatting sqref="AE4 AE6:AE11">
    <cfRule type="expression" dxfId="1142" priority="73">
      <formula>ABS(AE$7-AE$10)&gt;=1000</formula>
    </cfRule>
  </conditionalFormatting>
  <conditionalFormatting sqref="D13:D20">
    <cfRule type="expression" dxfId="1141" priority="72">
      <formula>ABS(D$16-D$19)&gt;=1000</formula>
    </cfRule>
  </conditionalFormatting>
  <conditionalFormatting sqref="E13:E20">
    <cfRule type="expression" dxfId="1140" priority="71">
      <formula>ABS(E$16-E$19)&gt;=1000</formula>
    </cfRule>
  </conditionalFormatting>
  <conditionalFormatting sqref="F13 F15:F20">
    <cfRule type="expression" dxfId="1139" priority="70">
      <formula>ABS(F$16-F$19)&gt;=1000</formula>
    </cfRule>
  </conditionalFormatting>
  <conditionalFormatting sqref="G13:G20">
    <cfRule type="expression" dxfId="1138" priority="69">
      <formula>ABS(G$16-G$19)&gt;=1000</formula>
    </cfRule>
  </conditionalFormatting>
  <conditionalFormatting sqref="H13 H15:H20">
    <cfRule type="expression" dxfId="1137" priority="68">
      <formula>ABS(H$16-H$19)&gt;=1000</formula>
    </cfRule>
  </conditionalFormatting>
  <conditionalFormatting sqref="I13:I20">
    <cfRule type="expression" dxfId="1136" priority="67">
      <formula>ABS(I$16-I$19)&gt;=1000</formula>
    </cfRule>
  </conditionalFormatting>
  <conditionalFormatting sqref="J13:J20">
    <cfRule type="expression" dxfId="1135" priority="66">
      <formula>ABS(J$16-J$19)&gt;=1000</formula>
    </cfRule>
  </conditionalFormatting>
  <conditionalFormatting sqref="L13:L20">
    <cfRule type="expression" dxfId="1134" priority="65">
      <formula>ABS(L$16-L$19)&gt;=1000</formula>
    </cfRule>
  </conditionalFormatting>
  <conditionalFormatting sqref="M13 M15 M17:M18 M20">
    <cfRule type="expression" dxfId="1133" priority="64">
      <formula>ABS(M$16-M$19)&gt;=1000</formula>
    </cfRule>
  </conditionalFormatting>
  <conditionalFormatting sqref="N13:N20">
    <cfRule type="expression" dxfId="1132" priority="63">
      <formula>ABS(N$16-N$19)&gt;=1000</formula>
    </cfRule>
  </conditionalFormatting>
  <conditionalFormatting sqref="O13:O20">
    <cfRule type="expression" dxfId="1131" priority="62">
      <formula>ABS(O$16-O$19)&gt;=1000</formula>
    </cfRule>
  </conditionalFormatting>
  <conditionalFormatting sqref="P13:P20">
    <cfRule type="expression" dxfId="1130" priority="61">
      <formula>ABS(P$16-P$19)&gt;=1000</formula>
    </cfRule>
  </conditionalFormatting>
  <conditionalFormatting sqref="Q13 Q15:Q20">
    <cfRule type="expression" dxfId="1129" priority="60">
      <formula>ABS(Q$16-Q$19)&gt;=1000</formula>
    </cfRule>
  </conditionalFormatting>
  <conditionalFormatting sqref="R13:R20">
    <cfRule type="expression" dxfId="1128" priority="59">
      <formula>ABS(R$16-R$19)&gt;=1000</formula>
    </cfRule>
  </conditionalFormatting>
  <conditionalFormatting sqref="S13:S20">
    <cfRule type="expression" dxfId="1127" priority="58">
      <formula>ABS(S$16-S$19)&gt;=1000</formula>
    </cfRule>
  </conditionalFormatting>
  <conditionalFormatting sqref="T13:T20">
    <cfRule type="expression" dxfId="1126" priority="57">
      <formula>ABS(T$16-T$19)&gt;=1000</formula>
    </cfRule>
  </conditionalFormatting>
  <conditionalFormatting sqref="U13:U20">
    <cfRule type="expression" dxfId="1125" priority="56">
      <formula>ABS(U$16-U$19)&gt;=1000</formula>
    </cfRule>
  </conditionalFormatting>
  <conditionalFormatting sqref="V13:V20">
    <cfRule type="expression" dxfId="1124" priority="55">
      <formula>ABS(V$16-V$19)&gt;=1000</formula>
    </cfRule>
  </conditionalFormatting>
  <conditionalFormatting sqref="W13 W20 W15:W18">
    <cfRule type="expression" dxfId="1123" priority="54">
      <formula>ABS(W$16-W$19)&gt;=1000</formula>
    </cfRule>
  </conditionalFormatting>
  <conditionalFormatting sqref="X13 X15:X20 Y19">
    <cfRule type="expression" dxfId="1122" priority="53">
      <formula>ABS(X$16-X$19)&gt;=1000</formula>
    </cfRule>
  </conditionalFormatting>
  <conditionalFormatting sqref="Y13 Y15:Y18 Y20">
    <cfRule type="expression" dxfId="1121" priority="52">
      <formula>ABS(Y$16-Y$19)&gt;=1000</formula>
    </cfRule>
  </conditionalFormatting>
  <conditionalFormatting sqref="Z13:Z20">
    <cfRule type="expression" dxfId="1120" priority="51">
      <formula>ABS(Z$16-Z$19)&gt;=1000</formula>
    </cfRule>
  </conditionalFormatting>
  <conditionalFormatting sqref="AA13:AA20">
    <cfRule type="expression" dxfId="1119" priority="50">
      <formula>ABS(AA$16-AA$19)&gt;=1000</formula>
    </cfRule>
  </conditionalFormatting>
  <conditionalFormatting sqref="AB13 AB15:AB20">
    <cfRule type="expression" dxfId="1118" priority="49">
      <formula>ABS(AB$16-AB$19)&gt;=1000</formula>
    </cfRule>
  </conditionalFormatting>
  <conditionalFormatting sqref="AC13 AC15:AC20">
    <cfRule type="expression" dxfId="1117" priority="48">
      <formula>ABS(AC$16-AC$19)&gt;=1000</formula>
    </cfRule>
  </conditionalFormatting>
  <conditionalFormatting sqref="AD13:AD20">
    <cfRule type="expression" dxfId="1116" priority="47">
      <formula>ABS(AD$16-AD$19)&gt;=1000</formula>
    </cfRule>
  </conditionalFormatting>
  <conditionalFormatting sqref="AE13:AE20">
    <cfRule type="expression" dxfId="1115" priority="46">
      <formula>ABS(AE$16-AE$19)&gt;=1000</formula>
    </cfRule>
  </conditionalFormatting>
  <conditionalFormatting sqref="D22:D29">
    <cfRule type="expression" dxfId="1114" priority="45">
      <formula>ABS(D$25-D$28)&gt;=1000</formula>
    </cfRule>
  </conditionalFormatting>
  <conditionalFormatting sqref="E22:E29">
    <cfRule type="expression" dxfId="1113" priority="44">
      <formula>ABS(E$25-E$28)&gt;=1000</formula>
    </cfRule>
  </conditionalFormatting>
  <conditionalFormatting sqref="F22:F29">
    <cfRule type="expression" dxfId="1112" priority="43">
      <formula>ABS(F$25-F$28)&gt;=1000</formula>
    </cfRule>
  </conditionalFormatting>
  <conditionalFormatting sqref="G22:G29">
    <cfRule type="expression" dxfId="1111" priority="42">
      <formula>ABS(G$25-G$28)&gt;=1000</formula>
    </cfRule>
  </conditionalFormatting>
  <conditionalFormatting sqref="H22:H29">
    <cfRule type="expression" dxfId="1110" priority="41">
      <formula>ABS(H$25-H$28)&gt;=1000</formula>
    </cfRule>
  </conditionalFormatting>
  <conditionalFormatting sqref="I22 I24:I29">
    <cfRule type="expression" dxfId="1109" priority="40">
      <formula>ABS(I$25-I$28)&gt;=1000</formula>
    </cfRule>
  </conditionalFormatting>
  <conditionalFormatting sqref="J22:J29 K22">
    <cfRule type="expression" dxfId="1108" priority="39">
      <formula>ABS(J$25-J$28)&gt;=1000</formula>
    </cfRule>
  </conditionalFormatting>
  <conditionalFormatting sqref="K23:K29 L25 L28">
    <cfRule type="expression" dxfId="1107" priority="38">
      <formula>ABS(K$25-K$28)&gt;=1000</formula>
    </cfRule>
  </conditionalFormatting>
  <conditionalFormatting sqref="L22 L26:L27 L29 L24">
    <cfRule type="expression" dxfId="1106" priority="37">
      <formula>ABS(L$25-L$28)&gt;=1000</formula>
    </cfRule>
  </conditionalFormatting>
  <conditionalFormatting sqref="M22:M29">
    <cfRule type="expression" dxfId="1105" priority="36">
      <formula>ABS(M$25-M$28)&gt;=1000</formula>
    </cfRule>
  </conditionalFormatting>
  <conditionalFormatting sqref="N22:N29">
    <cfRule type="expression" dxfId="1104" priority="35">
      <formula>ABS(N$25-N$28)&gt;=1000</formula>
    </cfRule>
  </conditionalFormatting>
  <conditionalFormatting sqref="O22:O29">
    <cfRule type="expression" dxfId="1103" priority="34">
      <formula>ABS(O$25-O$28)&gt;=1000</formula>
    </cfRule>
  </conditionalFormatting>
  <conditionalFormatting sqref="P22:P29">
    <cfRule type="expression" dxfId="1102" priority="33">
      <formula>ABS(P$25-P$28)&gt;=1000</formula>
    </cfRule>
  </conditionalFormatting>
  <conditionalFormatting sqref="Q22:Q29">
    <cfRule type="expression" dxfId="1101" priority="32">
      <formula>ABS(Q$25-Q$28)&gt;=1000</formula>
    </cfRule>
  </conditionalFormatting>
  <conditionalFormatting sqref="R22:R29">
    <cfRule type="expression" dxfId="1100" priority="31">
      <formula>ABS(R$25-R$28)&gt;=1000</formula>
    </cfRule>
  </conditionalFormatting>
  <conditionalFormatting sqref="S22:S29">
    <cfRule type="expression" dxfId="1099" priority="30">
      <formula>ABS(S$25-S$28)&gt;=1000</formula>
    </cfRule>
  </conditionalFormatting>
  <conditionalFormatting sqref="T22:T29">
    <cfRule type="expression" dxfId="1098" priority="29">
      <formula>ABS(T$25-T$28)&gt;=1000</formula>
    </cfRule>
  </conditionalFormatting>
  <conditionalFormatting sqref="U22:U29">
    <cfRule type="expression" dxfId="1097" priority="28">
      <formula>ABS(U$25-U$28)&gt;=1000</formula>
    </cfRule>
  </conditionalFormatting>
  <conditionalFormatting sqref="V22:V29">
    <cfRule type="expression" dxfId="1096" priority="27">
      <formula>ABS(V$25-V$28)&gt;=1000</formula>
    </cfRule>
  </conditionalFormatting>
  <conditionalFormatting sqref="W22:W29">
    <cfRule type="expression" dxfId="1095" priority="26">
      <formula>ABS(W$25-W$28)&gt;=1000</formula>
    </cfRule>
  </conditionalFormatting>
  <conditionalFormatting sqref="X22:X29">
    <cfRule type="expression" dxfId="1094" priority="25">
      <formula>ABS(X$25-X$28)&gt;=1000</formula>
    </cfRule>
  </conditionalFormatting>
  <conditionalFormatting sqref="Y22:Y29">
    <cfRule type="expression" dxfId="1093" priority="24">
      <formula>ABS(Y$25-Y$28)&gt;=1000</formula>
    </cfRule>
  </conditionalFormatting>
  <conditionalFormatting sqref="I23">
    <cfRule type="expression" dxfId="1092" priority="23">
      <formula>ABS(I$25-I$28)&gt;=1000</formula>
    </cfRule>
  </conditionalFormatting>
  <conditionalFormatting sqref="Q14">
    <cfRule type="expression" dxfId="1091" priority="22">
      <formula>ABS(Q$16-Q$19)&gt;=1000</formula>
    </cfRule>
  </conditionalFormatting>
  <conditionalFormatting sqref="W14">
    <cfRule type="expression" dxfId="1090" priority="21">
      <formula>ABS(W$16-W$19)&gt;=1000</formula>
    </cfRule>
  </conditionalFormatting>
  <conditionalFormatting sqref="X14">
    <cfRule type="expression" dxfId="1089" priority="20">
      <formula>ABS(X$16-X$19)&gt;=1000</formula>
    </cfRule>
  </conditionalFormatting>
  <conditionalFormatting sqref="T10:Y10">
    <cfRule type="expression" dxfId="1088" priority="19">
      <formula>ABS(T$7-T$10)&gt;=1000</formula>
    </cfRule>
  </conditionalFormatting>
  <conditionalFormatting sqref="W19">
    <cfRule type="expression" dxfId="1087" priority="18">
      <formula>ABS(W$16-W$19)&gt;=1000</formula>
    </cfRule>
  </conditionalFormatting>
  <conditionalFormatting sqref="AC5">
    <cfRule type="expression" dxfId="1086" priority="17">
      <formula>ABS(AC$7-AC$10)&gt;=1000</formula>
    </cfRule>
  </conditionalFormatting>
  <conditionalFormatting sqref="M14">
    <cfRule type="expression" dxfId="1085" priority="16">
      <formula>ABS(M$16-M$19)&gt;=1000</formula>
    </cfRule>
  </conditionalFormatting>
  <conditionalFormatting sqref="M16">
    <cfRule type="expression" dxfId="1084" priority="15">
      <formula>ABS(M$16-M$19)&gt;=1000</formula>
    </cfRule>
  </conditionalFormatting>
  <conditionalFormatting sqref="M19">
    <cfRule type="expression" dxfId="1083" priority="14">
      <formula>ABS(M$16-M$19)&gt;=1000</formula>
    </cfRule>
  </conditionalFormatting>
  <conditionalFormatting sqref="K13:K20">
    <cfRule type="expression" dxfId="1082" priority="13">
      <formula>ABS(K$16-K$19)&gt;=1000</formula>
    </cfRule>
  </conditionalFormatting>
  <conditionalFormatting sqref="E5">
    <cfRule type="expression" dxfId="1081" priority="12">
      <formula>ABS(E$7-E$10)&gt;=1000</formula>
    </cfRule>
  </conditionalFormatting>
  <conditionalFormatting sqref="AB14:AC14">
    <cfRule type="expression" dxfId="1080" priority="11">
      <formula>ABS(AB$16-AB$19)&gt;=1000</formula>
    </cfRule>
  </conditionalFormatting>
  <conditionalFormatting sqref="M5">
    <cfRule type="expression" dxfId="1079" priority="10">
      <formula>ABS(M$7-M$10)&gt;=1000</formula>
    </cfRule>
  </conditionalFormatting>
  <conditionalFormatting sqref="N5">
    <cfRule type="expression" dxfId="1078" priority="9">
      <formula>ABS(N$7-N$10)&gt;=1000</formula>
    </cfRule>
  </conditionalFormatting>
  <conditionalFormatting sqref="O5">
    <cfRule type="expression" dxfId="1077" priority="8">
      <formula>ABS(O$7-O$10)&gt;=1000</formula>
    </cfRule>
  </conditionalFormatting>
  <conditionalFormatting sqref="P5">
    <cfRule type="expression" dxfId="1076" priority="7">
      <formula>ABS(P$7-P$10)&gt;=1000</formula>
    </cfRule>
  </conditionalFormatting>
  <conditionalFormatting sqref="L23">
    <cfRule type="expression" dxfId="1075" priority="6">
      <formula>ABS(L$25-L$28)&gt;=1000</formula>
    </cfRule>
  </conditionalFormatting>
  <conditionalFormatting sqref="Y14">
    <cfRule type="expression" dxfId="1074" priority="5">
      <formula>ABS(Y$16-Y$19)&gt;=1000</formula>
    </cfRule>
  </conditionalFormatting>
  <conditionalFormatting sqref="F14">
    <cfRule type="expression" dxfId="1073" priority="4">
      <formula>ABS(F$16-F$19)&gt;=1000</formula>
    </cfRule>
  </conditionalFormatting>
  <conditionalFormatting sqref="H14">
    <cfRule type="expression" dxfId="1072" priority="3">
      <formula>ABS(H$16-H$19)&gt;=1000</formula>
    </cfRule>
  </conditionalFormatting>
  <conditionalFormatting sqref="AD5">
    <cfRule type="expression" dxfId="1071" priority="2">
      <formula>ABS(AD$7-AD$10)&gt;=1000</formula>
    </cfRule>
  </conditionalFormatting>
  <conditionalFormatting sqref="AE5">
    <cfRule type="expression" dxfId="107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596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6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46063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60" t="s" ph="1">
        <v>177</v>
      </c>
      <c r="D6" s="71">
        <v>6278</v>
      </c>
      <c r="E6" s="71">
        <v>232</v>
      </c>
      <c r="F6" s="71">
        <v>5678</v>
      </c>
      <c r="G6" s="71">
        <v>928</v>
      </c>
      <c r="H6" s="71">
        <v>2331</v>
      </c>
      <c r="I6" s="71">
        <v>0.1</v>
      </c>
      <c r="J6" s="71">
        <v>6.6</v>
      </c>
      <c r="K6" s="71">
        <v>7.41</v>
      </c>
      <c r="L6" s="71">
        <v>34.42</v>
      </c>
      <c r="M6" s="71">
        <v>791</v>
      </c>
      <c r="N6" s="71">
        <v>3522</v>
      </c>
      <c r="O6" s="71">
        <v>4727</v>
      </c>
      <c r="P6" s="71">
        <v>2481</v>
      </c>
      <c r="Q6" s="71">
        <v>0</v>
      </c>
      <c r="R6" s="71">
        <v>2674</v>
      </c>
      <c r="S6" s="71">
        <v>4262</v>
      </c>
      <c r="T6" s="71">
        <v>7108</v>
      </c>
      <c r="U6" s="71">
        <v>7009</v>
      </c>
      <c r="V6" s="71">
        <v>3739</v>
      </c>
      <c r="W6" s="71">
        <v>2532</v>
      </c>
      <c r="X6" s="71">
        <v>0</v>
      </c>
      <c r="Y6" s="71">
        <v>0</v>
      </c>
      <c r="Z6" s="71">
        <v>2560</v>
      </c>
      <c r="AA6" s="71">
        <v>4575</v>
      </c>
      <c r="AB6" s="71">
        <v>5223</v>
      </c>
      <c r="AC6" s="71">
        <v>9367</v>
      </c>
      <c r="AD6" s="71">
        <v>4780</v>
      </c>
      <c r="AE6" s="71">
        <v>4460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198852.51614796004</v>
      </c>
      <c r="E7" s="73" ph="1">
        <f>E6*51.53*LOOKUP(E8,密度!$A$2:$A$50,密度!$B$2:$B$50)</f>
        <v>9431.2679440000011</v>
      </c>
      <c r="F7" s="73" ph="1">
        <f>F6*33.183*LOOKUP(F8,密度!$A$2:$A$50,密度!$C$2:$C$50)</f>
        <v>210231.30796919999</v>
      </c>
      <c r="G7" s="73" ph="1">
        <f xml:space="preserve"> (G6+2)*51.53*LOOKUP(G8,密度!$A$2:$A$50,密度!$B$2:$B$50)</f>
        <v>37763.245200000005</v>
      </c>
      <c r="H7" s="73" ph="1">
        <f>(H6)*51.53*LOOKUP(H8,密度!$A$2:$A$50,密度!$B$2:$B$50)</f>
        <v>94651.746840000007</v>
      </c>
      <c r="I7" s="73" ph="1">
        <f>I6*290.8*1.0267</f>
        <v>29.856435999999999</v>
      </c>
      <c r="J7" s="73" ph="1">
        <f>J6*290.8*0.7892</f>
        <v>1514.695776</v>
      </c>
      <c r="K7" s="73" ph="1">
        <f>K6*290.8*1.1126</f>
        <v>2397.4616328000002</v>
      </c>
      <c r="L7" s="73" ph="1">
        <f>L6*290.8*0.777</f>
        <v>7777.2540720000015</v>
      </c>
      <c r="M7" s="73" ph="1">
        <f>M6*33.183*LOOKUP(M8,密度!$A$2:$A$50,密度!$D$2:$D$50)</f>
        <v>27205.7959845</v>
      </c>
      <c r="N7" s="73" ph="1">
        <f>N6*33.183*LOOKUP(N8,密度!$A$2:$A$50,密度!$E$2:$E$50)</f>
        <v>92748.449433599992</v>
      </c>
      <c r="O7" s="73" ph="1">
        <f>O6*20.428*LOOKUP(O8,密度!$A$2:$A$50,密度!$C$2:$C$50)</f>
        <v>107436.16736560001</v>
      </c>
      <c r="P7" s="73" ph="1">
        <f>P6*51.53*LOOKUP(P8,密度!$A$2:$A$50,密度!$B$2:$B$50)</f>
        <v>100538.03935200001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17824.054525199997</v>
      </c>
      <c r="S7" s="73" ph="1">
        <f>S6*1.5*1.5*3.1416*LOOKUP(S8,密度!$A$2:$A$50,密度!$L$2:$L$50)</f>
        <v>28620.054539999997</v>
      </c>
      <c r="T7" s="73" ph="1">
        <f>T6*1.5*1.5*3.1416*LOOKUP(T8,密度!$A$2:$A$50,密度!$L$2:$L$50)</f>
        <v>47831.915577599997</v>
      </c>
      <c r="U7" s="73" ph="1">
        <f>U6*1.5*1.5*3.1416*LOOKUP(U8,密度!$A$2:$A$50,密度!$L$2:$L$50)</f>
        <v>46917.995077799998</v>
      </c>
      <c r="V7" s="73" ph="1">
        <f>V6*1.5*1.5*3.1416*LOOKUP(V8,密度!$A$2:$A$50,密度!$L$2:$L$50)</f>
        <v>24896.584666799998</v>
      </c>
      <c r="W7" s="73" ph="1">
        <f>W6*1.5*1.5*3.1416*LOOKUP(W8,密度!$A$2:$A$50,密度!$L$2:$L$50)</f>
        <v>16913.321963999999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80786.004479999989</v>
      </c>
      <c r="AA7" s="73" ph="1">
        <f>AA6*33.183*LOOKUP(AA8,密度!$A$2:$A$50,密度!$D$2:$D$50)</f>
        <v>157490.00221500001</v>
      </c>
      <c r="AB7" s="73" ph="1">
        <f>AB6*20.428*LOOKUP(AB8,密度!$A$2:$A$50,密度!$D$2:$D$50)</f>
        <v>111059.2876596</v>
      </c>
      <c r="AC7" s="73" ph="1">
        <f>AC6*51.53*LOOKUP(AC8,密度!$A$2:$A$50,密度!$Q$2:$Q$50)</f>
        <v>460738.80855540006</v>
      </c>
      <c r="AD7" s="73" ph="1">
        <f>AD6*20.428*LOOKUP(AD8,密度!$A$2:$A$50,密度!$V$2:$V$50)</f>
        <v>94130.589760000003</v>
      </c>
      <c r="AE7" s="73" ph="1">
        <f>AE6*20.428</f>
        <v>91108.88</v>
      </c>
    </row>
    <row r="8" spans="1:99" ph="1">
      <c r="B8" s="193" ph="1"/>
      <c r="C8" s="68" t="s" ph="1">
        <v>179</v>
      </c>
      <c r="D8" s="74">
        <v>15</v>
      </c>
      <c r="E8" s="74">
        <v>14</v>
      </c>
      <c r="F8" s="74">
        <v>15</v>
      </c>
      <c r="G8" s="74">
        <v>15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16</v>
      </c>
      <c r="O8" s="74">
        <v>20</v>
      </c>
      <c r="P8" s="74">
        <v>17</v>
      </c>
      <c r="Q8" s="74">
        <v>16</v>
      </c>
      <c r="R8" s="74">
        <v>19</v>
      </c>
      <c r="S8" s="74">
        <v>12</v>
      </c>
      <c r="T8" s="74">
        <v>10</v>
      </c>
      <c r="U8" s="74">
        <v>15</v>
      </c>
      <c r="V8" s="74">
        <v>20</v>
      </c>
      <c r="W8" s="74">
        <v>17</v>
      </c>
      <c r="X8" s="74">
        <v>8</v>
      </c>
      <c r="Y8" s="74">
        <v>15</v>
      </c>
      <c r="Z8" s="74">
        <v>11</v>
      </c>
      <c r="AA8" s="74">
        <v>13</v>
      </c>
      <c r="AB8" s="74">
        <v>9</v>
      </c>
      <c r="AC8" s="74">
        <v>12</v>
      </c>
      <c r="AD8" s="74">
        <v>14</v>
      </c>
      <c r="AE8" s="74">
        <v>19</v>
      </c>
    </row>
    <row r="9" spans="1:99" ht="26.4" ph="1">
      <c r="B9" s="193" ph="1">
        <v>0.66666666666666663</v>
      </c>
      <c r="C9" s="160" t="s" ph="1">
        <v>180</v>
      </c>
      <c r="D9" s="71">
        <v>6282</v>
      </c>
      <c r="E9" s="71">
        <v>232</v>
      </c>
      <c r="F9" s="71">
        <v>5678</v>
      </c>
      <c r="G9" s="71">
        <v>928</v>
      </c>
      <c r="H9" s="71">
        <v>2031</v>
      </c>
      <c r="I9" s="71">
        <v>7.0000000000000007E-2</v>
      </c>
      <c r="J9" s="71">
        <v>6.75</v>
      </c>
      <c r="K9" s="71">
        <v>7.41</v>
      </c>
      <c r="L9" s="71">
        <v>31.13</v>
      </c>
      <c r="M9" s="71">
        <v>789</v>
      </c>
      <c r="N9" s="71">
        <v>3454</v>
      </c>
      <c r="O9" s="71">
        <v>4729</v>
      </c>
      <c r="P9" s="71">
        <v>2340</v>
      </c>
      <c r="Q9" s="71">
        <v>0</v>
      </c>
      <c r="R9" s="71">
        <v>0</v>
      </c>
      <c r="S9" s="71">
        <v>2222</v>
      </c>
      <c r="T9" s="71">
        <v>7116</v>
      </c>
      <c r="U9" s="71">
        <v>7016</v>
      </c>
      <c r="V9" s="71">
        <v>6586</v>
      </c>
      <c r="W9" s="71">
        <v>5293</v>
      </c>
      <c r="X9" s="71">
        <v>2533</v>
      </c>
      <c r="Y9" s="71">
        <v>0</v>
      </c>
      <c r="Z9" s="71">
        <v>1026</v>
      </c>
      <c r="AA9" s="71">
        <v>5144</v>
      </c>
      <c r="AB9" s="71">
        <v>5225</v>
      </c>
      <c r="AC9" s="71">
        <v>9367</v>
      </c>
      <c r="AD9" s="71">
        <v>4780</v>
      </c>
      <c r="AE9" s="71">
        <v>4415</v>
      </c>
    </row>
    <row r="10" spans="1:99" s="72" customFormat="1" ht="22.2" ph="1">
      <c r="B10" s="193" ph="1"/>
      <c r="C10" s="160" t="s" ph="1">
        <v>178</v>
      </c>
      <c r="D10" s="73" ph="1">
        <f>D9*33.183*LOOKUP(D11,密度!$A$2:$A$50,密度!$Q$2:$Q$50)</f>
        <v>198616.50139679998</v>
      </c>
      <c r="E10" s="73" ph="1">
        <f>E9*51.53*LOOKUP(E11,密度!$A$2:$A$50,密度!$B$2:$B$50)</f>
        <v>9383.448104000001</v>
      </c>
      <c r="F10" s="73" ph="1">
        <f>F9*33.183*LOOKUP(F11,密度!$A$2:$A$50,密度!$C$2:$C$50)</f>
        <v>210118.2601248</v>
      </c>
      <c r="G10" s="73" ph="1">
        <f xml:space="preserve"> (G9+2)*51.53*LOOKUP(G11,密度!$A$2:$A$50,密度!$B$2:$B$50)</f>
        <v>37686.56856</v>
      </c>
      <c r="H10" s="73" ph="1">
        <f>(H9)*51.53*LOOKUP(H11,密度!$A$2:$A$50,密度!$B$2:$B$50)</f>
        <v>82302.602952000001</v>
      </c>
      <c r="I10" s="73" ph="1">
        <f>I9*290.8*1.0267</f>
        <v>20.8995052</v>
      </c>
      <c r="J10" s="73" ph="1">
        <f>J9*290.8*0.7892</f>
        <v>1549.12068</v>
      </c>
      <c r="K10" s="73" ph="1">
        <f>K9*290.8*1.1126</f>
        <v>2397.4616328000002</v>
      </c>
      <c r="L10" s="73" ph="1">
        <f>L9*290.8*0.777</f>
        <v>7033.8733079999993</v>
      </c>
      <c r="M10" s="73" ph="1">
        <f>M9*33.183*LOOKUP(M11,密度!$A$2:$A$50,密度!$D$2:$D$50)</f>
        <v>27047.990909699998</v>
      </c>
      <c r="N10" s="73" ph="1">
        <f>N9*33.183*LOOKUP(N11,密度!$A$2:$A$50,密度!$E$2:$E$50)</f>
        <v>90831.659984999991</v>
      </c>
      <c r="O10" s="73" ph="1">
        <f>O9*20.428*LOOKUP(O11,密度!$A$2:$A$50,密度!$C$2:$C$50)</f>
        <v>107414.00094280002</v>
      </c>
      <c r="P10" s="73" ph="1">
        <f>P9*51.53*LOOKUP(P11,密度!$A$2:$A$50,密度!$B$2:$B$50)</f>
        <v>94329.890459999995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14858.282023199999</v>
      </c>
      <c r="T10" s="73" ph="1">
        <f>T9*1.5*1.5*3.1416*LOOKUP(T11,密度!$A$2:$A$50,密度!$L$2:$L$50)</f>
        <v>47684.549404799996</v>
      </c>
      <c r="U10" s="73" ph="1">
        <f>U9*1.5*1.5*3.1416*LOOKUP(U11,密度!$A$2:$A$50,密度!$L$2:$L$50)</f>
        <v>46915.259529599993</v>
      </c>
      <c r="V10" s="73" ph="1">
        <f>V9*1.5*1.5*3.1416*LOOKUP(V11,密度!$A$2:$A$50,密度!$L$2:$L$50)</f>
        <v>43714.017824399998</v>
      </c>
      <c r="W10" s="73" ph="1">
        <f>W9*1.5*1.5*3.1416*LOOKUP(W11,密度!$A$2:$A$50,密度!$L$2:$L$50)</f>
        <v>35356.324310999997</v>
      </c>
      <c r="X10" s="73" ph="1">
        <f>X9*1.5*1.5*3.1416*LOOKUP(X11,密度!$A$2:$A$50,密度!$L$2:$L$50)</f>
        <v>17027.430373799998</v>
      </c>
      <c r="Y10" s="73" ph="1">
        <f>Y9*1.5*1.5*3.1416*LOOKUP(Y11,密度!$A$2:$A$50,密度!$L$2:$L$50)</f>
        <v>0</v>
      </c>
      <c r="Z10" s="73" ph="1">
        <f>Z9*33.183*LOOKUP(Z11,密度!$A$2:$A$50,密度!$L$2:$L$50)</f>
        <v>32275.378583999998</v>
      </c>
      <c r="AA10" s="73" ph="1">
        <f>AA9*33.183*LOOKUP(AA11,密度!$A$2:$A$50,密度!$D$2:$D$50)</f>
        <v>176479.85663280002</v>
      </c>
      <c r="AB10" s="73" ph="1">
        <f>AB9*20.428*LOOKUP(AB11,密度!$A$2:$A$50,密度!$D$2:$D$50)</f>
        <v>111101.81466999999</v>
      </c>
      <c r="AC10" s="73" ph="1">
        <f>AC9*51.53*LOOKUP(AC11,密度!$A$2:$A$50,密度!$Q$2:$Q$50)</f>
        <v>460738.80855540006</v>
      </c>
      <c r="AD10" s="73" ph="1">
        <f>AD9*20.428*LOOKUP(AD11,密度!$A$2:$A$50,密度!$V$2:$V$50)</f>
        <v>94130.589760000003</v>
      </c>
      <c r="AE10" s="73" ph="1">
        <f>AE9*20.428</f>
        <v>90189.62000000001</v>
      </c>
    </row>
    <row r="11" spans="1:99" ph="1">
      <c r="A11" s="64" t="s" ph="1">
        <v>162</v>
      </c>
      <c r="B11" s="193" ph="1"/>
      <c r="C11" s="160" t="s" ph="1">
        <v>179</v>
      </c>
      <c r="D11" s="74">
        <v>17</v>
      </c>
      <c r="E11" s="74">
        <v>19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17</v>
      </c>
      <c r="O11" s="74">
        <v>21</v>
      </c>
      <c r="P11" s="74">
        <v>22</v>
      </c>
      <c r="Q11" s="74">
        <v>26</v>
      </c>
      <c r="R11" s="74">
        <v>27</v>
      </c>
      <c r="S11" s="74">
        <v>16</v>
      </c>
      <c r="T11" s="74">
        <v>14</v>
      </c>
      <c r="U11" s="74">
        <v>16</v>
      </c>
      <c r="V11" s="74">
        <v>23</v>
      </c>
      <c r="W11" s="74">
        <v>17</v>
      </c>
      <c r="X11" s="74">
        <v>11</v>
      </c>
      <c r="Y11" s="74">
        <v>22</v>
      </c>
      <c r="Z11" s="74">
        <v>14</v>
      </c>
      <c r="AA11" s="74">
        <v>17</v>
      </c>
      <c r="AB11" s="74">
        <v>9</v>
      </c>
      <c r="AC11" s="74">
        <v>15</v>
      </c>
      <c r="AD11" s="74">
        <v>17</v>
      </c>
      <c r="AE11" s="74">
        <v>22</v>
      </c>
    </row>
    <row r="12" spans="1:99" ht="9.9" customHeight="1" ph="1"/>
    <row r="13" spans="1:99" s="72" customFormat="1" ht="29.25" customHeight="1" ph="1">
      <c r="B13" s="201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60" t="s" ph="1">
        <v>177</v>
      </c>
      <c r="D15" s="78">
        <v>2703</v>
      </c>
      <c r="E15" s="78">
        <v>3151</v>
      </c>
      <c r="F15" s="78">
        <v>2363</v>
      </c>
      <c r="G15" s="78">
        <v>3260</v>
      </c>
      <c r="H15" s="78">
        <v>5348</v>
      </c>
      <c r="I15" s="78">
        <v>5203</v>
      </c>
      <c r="J15" s="78">
        <v>5472</v>
      </c>
      <c r="K15" s="78">
        <v>3571</v>
      </c>
      <c r="L15" s="78">
        <v>3065</v>
      </c>
      <c r="M15" s="78">
        <v>221</v>
      </c>
      <c r="N15" s="78">
        <v>3823</v>
      </c>
      <c r="O15" s="78">
        <v>5320</v>
      </c>
      <c r="P15" s="78">
        <v>5211</v>
      </c>
      <c r="Q15" s="78">
        <v>1741</v>
      </c>
      <c r="R15" s="78">
        <v>0</v>
      </c>
      <c r="S15" s="78">
        <v>0</v>
      </c>
      <c r="T15" s="78">
        <v>6376</v>
      </c>
      <c r="U15" s="78">
        <v>2806</v>
      </c>
      <c r="V15" s="78">
        <v>2564</v>
      </c>
      <c r="W15" s="71">
        <v>1886</v>
      </c>
      <c r="X15" s="78">
        <v>260</v>
      </c>
      <c r="Y15" s="106">
        <v>-9900</v>
      </c>
      <c r="Z15" s="78">
        <v>0</v>
      </c>
      <c r="AA15" s="78">
        <v>11</v>
      </c>
      <c r="AB15" s="78" ph="1">
        <v>6926</v>
      </c>
      <c r="AC15" s="78" ph="1">
        <v>2137</v>
      </c>
      <c r="AD15" s="78">
        <v>7.08</v>
      </c>
      <c r="AE15" s="78">
        <v>46.55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60" t="s" ph="1">
        <v>178</v>
      </c>
      <c r="D16" s="73" ph="1">
        <f>D15*7.0686*LOOKUP(D17,密度!$A$2:$A$50,密度!$L$2:$L$50)</f>
        <v>18074.678806799999</v>
      </c>
      <c r="E16" s="73" ph="1">
        <f>E15*7.0686*LOOKUP(E17,密度!$A$2:$A$50,密度!$L$2:$L$50)</f>
        <v>21070.408035599998</v>
      </c>
      <c r="F16" s="73" ph="1">
        <f>F15*9.0746*LOOKUP(F17,密度!$A$2:$A$50,密度!$L$2:$L$50)</f>
        <v>20263.899410999999</v>
      </c>
      <c r="G16" s="73" ph="1">
        <f>G15*9.0746*LOOKUP(G17,密度!$A$2:$A$50,密度!$B$2:$B$50)</f>
        <v>23311.558448</v>
      </c>
      <c r="H16" s="73" ph="1">
        <f>H15*9.0746*LOOKUP(H17,密度!$A$2:$A$50,密度!$L$2:$L$50)</f>
        <v>46055.881799199997</v>
      </c>
      <c r="I16" s="73" ph="1">
        <f>I15*9.0746*LOOKUP(I17,密度!$A$2:$A$50,密度!$U$2:$U$50)</f>
        <v>48537.1678264</v>
      </c>
      <c r="J16" s="73" ph="1">
        <f>J15*9.0746*LOOKUP(J17,密度!$A$2:$A$50,密度!$L$2:$L$50)</f>
        <v>47074.088217599994</v>
      </c>
      <c r="K16" s="73" ph="1">
        <f>K15*9.0746*LOOKUP(K17,密度!$A$2:$A$50,密度!$C$2:$C$50)</f>
        <v>36183.865843560001</v>
      </c>
      <c r="L16" s="73" ph="1">
        <f>L15*9.0746*LOOKUP(L17,密度!$A$2:$A$50,密度!$E$2:$E$50)</f>
        <v>22072.911846399998</v>
      </c>
      <c r="M16" s="73" ph="1">
        <f>M15*9.0746*LOOKUP(M17,密度!$A$2:$A$50,密度!$M$2:$M$50)</f>
        <v>1765.42985398</v>
      </c>
      <c r="N16" s="73" ph="1">
        <f>N15*9.0746*LOOKUP(N17,密度!$A$2:$A$50,密度!$M$2:$M$50)</f>
        <v>30539.53996274</v>
      </c>
      <c r="O16" s="73" ph="1">
        <f>O15*9.0746*LOOKUP(O17,密度!$A$2:$A$50,密度!$G$2:$G$50)</f>
        <v>46828.565840000003</v>
      </c>
      <c r="P16" s="73" ph="1">
        <f ca="1">P15*9.0746*LOOKUP(P17,密度!$A$2:$A$51,密度!$Q$2:$Q$50)</f>
        <v>45138.039912324006</v>
      </c>
      <c r="Q16" s="73" ph="1">
        <f>Q15*9.0746*LOOKUP(Q17,密度!$A$2:$A$50,密度!$Q$2:$Q$50)</f>
        <v>15065.81063296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54040.912726400005</v>
      </c>
      <c r="U16" s="73" ph="1">
        <f>U15*9.0746*LOOKUP(U17,密度!$A$2:$A$50,密度!$H$2:$H$50)</f>
        <v>23520.475704119999</v>
      </c>
      <c r="V16" s="73" ph="1">
        <f>MAX(5600*LOOKUP(V17,密度!$A$2:$A$50,密度!$Q$2:$Q$50)+V15*9.0476*LOOKUP(V17,密度!$A$2:$A$50,密度!$Q$2:$Q$50),0)</f>
        <v>27461.81704704</v>
      </c>
      <c r="W16" s="73" ph="1">
        <f>MAX(5600*LOOKUP(W17,密度!$A$2:$A$50,密度!$Q$2:$Q$50)+W15*9.0476*LOOKUP(W17,密度!$A$2:$A$50,密度!$Q$2:$Q$50),0)</f>
        <v>21612.174504959999</v>
      </c>
      <c r="X16" s="73" ph="1">
        <f>MAX(5600*LOOKUP(X17,密度!$A$2:$A$50,密度!$I$2:$I$50)+X15*9.0476*LOOKUP(X17,密度!$A$2:$A$50,密度!$I$2:$I$50),0)</f>
        <v>8262.5186639999993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78.748471340000009</v>
      </c>
      <c r="AB16" s="73" ph="1">
        <f>AB15*9.0746*LOOKUP(AB17,密度!$A$2:$A$50,密度!$L$2:$L$50)</f>
        <v>59519.593581200003</v>
      </c>
      <c r="AC16" s="73" ph="1">
        <f>AC15*9.0746*LOOKUP(AC17,密度!$A$2:$A$50,密度!$L$2:$L$50)</f>
        <v>18384.014349599998</v>
      </c>
      <c r="AD16" s="73" ph="1">
        <f>AD15*268.68*LOOKUP(AD17,密度!$A$2:$A$50,密度!B2:B50)+IF(AD15&lt;=0,0,1566*LOOKUP(AD17,密度!$A$2:$A$50,密度!B2:B50))</f>
        <v>2703.8511302400002</v>
      </c>
      <c r="AE16" s="73" ph="1">
        <f>AE15*268.68*LOOKUP(AE17,密度!$A$2:$A$50,密度!B2:B50)+IF(AE15&lt;=0,0,1566*LOOKUP(AE17,密度!$A$2:$A$50,密度!B2:B50))</f>
        <v>10971.3528984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16</v>
      </c>
      <c r="E17" s="74">
        <v>16</v>
      </c>
      <c r="F17" s="74">
        <v>17</v>
      </c>
      <c r="G17" s="74">
        <v>15</v>
      </c>
      <c r="H17" s="74">
        <v>13</v>
      </c>
      <c r="I17" s="74">
        <v>14</v>
      </c>
      <c r="J17" s="74">
        <v>14</v>
      </c>
      <c r="K17" s="74">
        <v>14</v>
      </c>
      <c r="L17" s="74">
        <v>16</v>
      </c>
      <c r="M17" s="74">
        <v>16</v>
      </c>
      <c r="N17" s="74">
        <v>15</v>
      </c>
      <c r="O17" s="74">
        <v>16</v>
      </c>
      <c r="P17" s="74">
        <v>15</v>
      </c>
      <c r="Q17" s="74">
        <v>16</v>
      </c>
      <c r="R17" s="74">
        <v>15</v>
      </c>
      <c r="S17" s="74">
        <v>16</v>
      </c>
      <c r="T17" s="74">
        <v>15</v>
      </c>
      <c r="U17" s="74">
        <v>16</v>
      </c>
      <c r="V17" s="74">
        <v>16</v>
      </c>
      <c r="W17" s="74">
        <v>16</v>
      </c>
      <c r="X17" s="74">
        <v>28</v>
      </c>
      <c r="Y17" s="108">
        <v>28</v>
      </c>
      <c r="Z17" s="74">
        <v>15</v>
      </c>
      <c r="AA17" s="74">
        <v>14</v>
      </c>
      <c r="AB17" s="74">
        <v>15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3738</v>
      </c>
      <c r="E18" s="71">
        <v>818</v>
      </c>
      <c r="F18" s="71">
        <v>2363</v>
      </c>
      <c r="G18" s="71">
        <v>3368</v>
      </c>
      <c r="H18" s="71">
        <v>5354</v>
      </c>
      <c r="I18" s="71">
        <v>5207</v>
      </c>
      <c r="J18" s="71">
        <v>5482</v>
      </c>
      <c r="K18" s="71">
        <v>3572</v>
      </c>
      <c r="L18" s="71">
        <v>2266</v>
      </c>
      <c r="M18" s="71">
        <v>1375</v>
      </c>
      <c r="N18" s="71">
        <v>2711</v>
      </c>
      <c r="O18" s="71">
        <v>2655</v>
      </c>
      <c r="P18" s="71">
        <v>5222</v>
      </c>
      <c r="Q18" s="71">
        <v>1742</v>
      </c>
      <c r="R18" s="71">
        <v>0</v>
      </c>
      <c r="S18" s="71">
        <v>0</v>
      </c>
      <c r="T18" s="71">
        <v>4917</v>
      </c>
      <c r="U18" s="71">
        <v>2809</v>
      </c>
      <c r="V18" s="71">
        <v>1394</v>
      </c>
      <c r="W18" s="71">
        <v>4075</v>
      </c>
      <c r="X18" s="71">
        <v>260</v>
      </c>
      <c r="Y18" s="109">
        <v>-9900</v>
      </c>
      <c r="Z18" s="71">
        <v>0</v>
      </c>
      <c r="AA18" s="71">
        <v>11</v>
      </c>
      <c r="AB18" s="71">
        <v>6935</v>
      </c>
      <c r="AC18" s="71">
        <v>2137</v>
      </c>
      <c r="AD18" s="71">
        <v>19.05</v>
      </c>
      <c r="AE18" s="71">
        <v>85.84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60" t="s" ph="1">
        <v>178</v>
      </c>
      <c r="D19" s="73" ph="1">
        <f>D18*7.0686*LOOKUP(D20,密度!$A$2:$A$50,密度!$L$2:$L$50)</f>
        <v>24889.926045600001</v>
      </c>
      <c r="E19" s="73" ph="1">
        <f>E18*7.0686*LOOKUP(E20,密度!$A$2:$A$50,密度!$L$2:$L$50)</f>
        <v>5446.7521416</v>
      </c>
      <c r="F19" s="73" ph="1">
        <f>F18*9.0746*LOOKUP(F20,密度!$A$2:$A$50,密度!$L$2:$L$50)</f>
        <v>20178.126291799999</v>
      </c>
      <c r="G19" s="73" ph="1">
        <f>G18*9.0746*LOOKUP(G20,密度!$A$2:$A$50,密度!$B$2:$B$50)</f>
        <v>24034.942001920001</v>
      </c>
      <c r="H19" s="73" ph="1">
        <f>H18*9.0746*LOOKUP(H20,密度!$A$2:$A$50,密度!$L$2:$L$50)</f>
        <v>45961.796346399999</v>
      </c>
      <c r="I19" s="73" ph="1">
        <f>I18*9.0746*LOOKUP(I20,密度!$A$2:$A$50,密度!$U$2:$U$50)</f>
        <v>48574.482581600001</v>
      </c>
      <c r="J19" s="73" ph="1">
        <f>J18*9.0746*LOOKUP(J20,密度!$A$2:$A$50,密度!$L$2:$L$50)</f>
        <v>47010.874554000002</v>
      </c>
      <c r="K19" s="73" ph="1">
        <f>K18*9.0746*LOOKUP(K20,密度!$A$2:$A$50,密度!$C$2:$C$50)</f>
        <v>36106.479469679995</v>
      </c>
      <c r="L19" s="73" ph="1">
        <f>L18*9.0746*LOOKUP(L20,密度!$A$2:$A$50,密度!$E$2:$E$50)</f>
        <v>16273.592705040001</v>
      </c>
      <c r="M19" s="73" ph="1">
        <f>M18*9.0746*LOOKUP(M20,密度!$A$2:$A$50,密度!$M$2:$M$50)</f>
        <v>10984.009272499999</v>
      </c>
      <c r="N19" s="73" ph="1">
        <f>N18*9.0746*LOOKUP(N20,密度!$A$2:$A$50,密度!$M$2:$M$50)</f>
        <v>21656.472100179999</v>
      </c>
      <c r="O19" s="73" ph="1">
        <f>O18*9.0746*LOOKUP(O20,密度!$A$2:$A$50,密度!$G$2:$G$50)</f>
        <v>23297.991921000001</v>
      </c>
      <c r="P19" s="73" ph="1">
        <f ca="1">P18*9.0746*LOOKUP(P20,密度!$A$2:$A$51,密度!$Q$2:$Q$50)</f>
        <v>45076.469840276004</v>
      </c>
      <c r="Q19" s="73" ph="1">
        <f>Q18*9.0746*LOOKUP(Q20,密度!$A$2:$A$50,密度!$Q$2:$Q$50)</f>
        <v>15023.562562216001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41674.9008588</v>
      </c>
      <c r="U19" s="73" ph="1">
        <f>U18*9.0746*LOOKUP(U20,密度!$A$2:$A$50,密度!$H$2:$H$50)</f>
        <v>23443.66012258</v>
      </c>
      <c r="V19" s="73" ph="1">
        <f>MAX(5600*LOOKUP(V20,密度!$A$2:$A$50,密度!$Q$2:$Q$50)+V18*9.0476*LOOKUP(V20,密度!$A$2:$A$50,密度!$Q$2:$Q$50),0)</f>
        <v>17324.137875911998</v>
      </c>
      <c r="W19" s="73" ph="1">
        <f>MAX(5600*LOOKUP(W20,密度!$A$2:$A$50,密度!$Q$2:$Q$50)+W18*9.0476*LOOKUP(W20,密度!$A$2:$A$50,密度!$Q$2:$Q$50),0)</f>
        <v>40397.758333099991</v>
      </c>
      <c r="X19" s="73" ph="1">
        <f>MAX(5600*LOOKUP(X20,密度!$A$2:$A$50,密度!$I$2:$I$50)+X18*9.0476*LOOKUP(X20,密度!$A$2:$A$50,密度!$I$2:$I$50),0)</f>
        <v>8252.9758127999994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78.269332460000001</v>
      </c>
      <c r="AB19" s="73" ph="1">
        <f>AB18*9.0746*LOOKUP(AB20,密度!$A$2:$A$50,密度!$L$2:$L$50)</f>
        <v>59408.139343999996</v>
      </c>
      <c r="AC19" s="73" ph="1">
        <f>AC18*9.0746*LOOKUP(AC20,密度!$A$2:$A$50,密度!$L$2:$L$50)</f>
        <v>18345.229509199999</v>
      </c>
      <c r="AD19" s="73" ph="1">
        <f>AD18*268.68*LOOKUP(AD20,密度!$A$2:$A$50,密度!B5:B53)+IF(AD18&lt;=0,0,1566*LOOKUP(AD20,密度!$A$2:$A$50,密度!B5:B53))</f>
        <v>5193.743058</v>
      </c>
      <c r="AE19" s="73" ph="1">
        <f>AE18*268.68*LOOKUP(AE20,密度!$A$2:$A$50,密度!B5:B53)+IF(AE18&lt;=0,0,1566*LOOKUP(AE20,密度!$A$2:$A$50,密度!B5:B53))</f>
        <v>19137.114662399999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20</v>
      </c>
      <c r="E20" s="81">
        <v>20</v>
      </c>
      <c r="F20" s="81">
        <v>21</v>
      </c>
      <c r="G20" s="81">
        <v>17</v>
      </c>
      <c r="H20" s="81">
        <v>16</v>
      </c>
      <c r="I20" s="81">
        <v>17</v>
      </c>
      <c r="J20" s="81">
        <v>17</v>
      </c>
      <c r="K20" s="81">
        <v>18</v>
      </c>
      <c r="L20" s="81">
        <v>18</v>
      </c>
      <c r="M20" s="81">
        <v>18</v>
      </c>
      <c r="N20" s="81">
        <v>19</v>
      </c>
      <c r="O20" s="81">
        <v>19</v>
      </c>
      <c r="P20" s="81">
        <v>19</v>
      </c>
      <c r="Q20" s="81">
        <v>20</v>
      </c>
      <c r="R20" s="81">
        <v>19</v>
      </c>
      <c r="S20" s="81">
        <v>20</v>
      </c>
      <c r="T20" s="81">
        <v>19</v>
      </c>
      <c r="U20" s="81">
        <v>20</v>
      </c>
      <c r="V20" s="81">
        <v>19</v>
      </c>
      <c r="W20" s="81">
        <v>19</v>
      </c>
      <c r="X20" s="81">
        <v>29</v>
      </c>
      <c r="Y20" s="110">
        <v>29</v>
      </c>
      <c r="Z20" s="81">
        <v>21</v>
      </c>
      <c r="AA20" s="81">
        <v>20</v>
      </c>
      <c r="AB20" s="81">
        <v>18</v>
      </c>
      <c r="AC20" s="81">
        <v>16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646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60" t="s" ph="1">
        <v>177</v>
      </c>
      <c r="D24" s="71">
        <v>5.41</v>
      </c>
      <c r="E24" s="71">
        <v>3.28</v>
      </c>
      <c r="F24" s="71">
        <v>565</v>
      </c>
      <c r="G24" s="71">
        <v>3712</v>
      </c>
      <c r="H24" s="71">
        <v>3699</v>
      </c>
      <c r="I24" s="71">
        <v>2341</v>
      </c>
      <c r="J24" s="71">
        <v>2680</v>
      </c>
      <c r="K24" s="71">
        <v>434</v>
      </c>
      <c r="L24" s="71">
        <v>4367</v>
      </c>
      <c r="M24" s="71">
        <v>422</v>
      </c>
      <c r="N24" s="71">
        <v>2840</v>
      </c>
      <c r="O24" s="71">
        <v>5713</v>
      </c>
      <c r="P24" s="71">
        <v>357</v>
      </c>
      <c r="Q24" s="90">
        <v>538</v>
      </c>
      <c r="R24" s="71">
        <v>6175</v>
      </c>
      <c r="S24" s="71">
        <v>3278</v>
      </c>
      <c r="T24" s="71">
        <v>849</v>
      </c>
      <c r="U24" s="71">
        <v>4604</v>
      </c>
      <c r="V24" s="71">
        <v>6402</v>
      </c>
      <c r="W24" s="71">
        <v>2583</v>
      </c>
      <c r="X24" s="71">
        <v>7968</v>
      </c>
      <c r="Y24" s="71">
        <v>6790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2858.7370983119999</v>
      </c>
      <c r="E25" s="91" ph="1">
        <f>E24*268.68*LOOKUP(E26,密度!$A$2:$A$50,密度!$C$2:$C$50)+IF(E24&lt;=0,0,1566*LOOKUP(E26,密度!$A$2:$A$50,密度!$C$2:$C$50))</f>
        <v>2713.7781465600001</v>
      </c>
      <c r="F25" s="91" ph="1">
        <f>F24*11.702*LOOKUP(F26,密度!$A$2:$A$50,密度!$Q$2:$Q$50)</f>
        <v>6304.8503680000003</v>
      </c>
      <c r="G25" s="91" ph="1">
        <f>G24*18.322*LOOKUP(G26,密度!$A$2:$A$50,密度!$B$2:$B$50)</f>
        <v>53484.058009599998</v>
      </c>
      <c r="H25" s="91" ph="1">
        <f>H24*18.322*LOOKUP(H26,密度!$A$2:$A$50,密度!$B$2:$B$50)</f>
        <v>53350.967001599995</v>
      </c>
      <c r="I25" s="91" ph="1">
        <f>I24*18.322*LOOKUP(I26,密度!$A$2:$A$50,密度!$Q$2:$Q$50)</f>
        <v>40901.622387199997</v>
      </c>
      <c r="J25" s="91" ph="1">
        <f>J24*18.322*LOOKUP(J26,密度!$A$2:$A$50,密度!$Q$2:$Q$50)</f>
        <v>46785.300287999999</v>
      </c>
      <c r="K25" s="91" ph="1">
        <f>K24*18.322*LOOKUP(K26,密度!$A$2:$A$50,密度!$Q$2:$Q$50)</f>
        <v>7576.4254943999995</v>
      </c>
      <c r="L25" s="91" ph="1">
        <f>L24*18.322*LOOKUP(L26,密度!$A$2:$A$50,密度!$Q$2:$Q$50)</f>
        <v>76235.599387199996</v>
      </c>
      <c r="M25" s="91" ph="1">
        <f>M24*18.322*LOOKUP(M26,密度!$A$2:$A$50,密度!$Q$2:$Q$50)</f>
        <v>7373.1245823999998</v>
      </c>
      <c r="N25" s="91" ph="1">
        <f>N24*18.322*LOOKUP(N26,密度!$A$2:$A$50,密度!$Q$2:$Q$50)</f>
        <v>49620.080127999994</v>
      </c>
      <c r="O25" s="91" ph="1">
        <f>O24*18.322*LOOKUP(O26,密度!$A$2:$A$50,密度!$C$2:$C$50)</f>
        <v>116658.711597</v>
      </c>
      <c r="P25" s="91" ph="1">
        <f>P24*11.702*LOOKUP(P26,密度!$A$2:$A$50,密度!$B$2:$B$50)</f>
        <v>3285.2756495999997</v>
      </c>
      <c r="Q25" s="92" ph="1">
        <f>Q24*18.322*LOOKUP(Q26,密度!$A$2:$A$50,密度!$B$2:$B$50)</f>
        <v>7759.6161791999994</v>
      </c>
      <c r="R25" s="91" ph="1">
        <f>R24*35.891*LOOKUP(R26,密度!$A$2:$A$50,密度!$C$2:$C$50)</f>
        <v>247158.34675999999</v>
      </c>
      <c r="S25" s="91" ph="1">
        <f>S24*35.891*LOOKUP(S26,密度!$A$2:$A$50,密度!$B$2:$B$50)</f>
        <v>92614.629465599995</v>
      </c>
      <c r="T25" s="91" ph="1">
        <f>T24*35.891*LOOKUP(T26,密度!$A$2:$A$50,密度!$Q$2:$Q$50)</f>
        <v>29057.583302399999</v>
      </c>
      <c r="U25" s="91" ph="1">
        <f>U24*35.891</f>
        <v>165242.16399999999</v>
      </c>
      <c r="V25" s="91" ph="1">
        <f>V24*47.051*LOOKUP(V26,密度!$A$2:$A$50,密度!$B$2:$B$50)</f>
        <v>237120.77917440003</v>
      </c>
      <c r="W25" s="91" ph="1">
        <f>W24*47.051*LOOKUP(W26,密度!$A$2:$A$50,密度!$B$2:$B$50)</f>
        <v>95573.3412312</v>
      </c>
      <c r="X25" s="91" ph="1">
        <f>X24*47.051*LOOKUP(X26,密度!$A$2:$A$61,密度!$I$2:$I$61)</f>
        <v>377339.23339200002</v>
      </c>
      <c r="Y25" s="91" ph="1">
        <f>Y24*47.051*LOOKUP(Y26,密度!$A$2:$A$50,密度!$L$2:$L$50)</f>
        <v>302224.57034000003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16</v>
      </c>
      <c r="G26" s="74">
        <v>17</v>
      </c>
      <c r="H26" s="74">
        <v>16</v>
      </c>
      <c r="I26" s="74">
        <v>16</v>
      </c>
      <c r="J26" s="74">
        <v>17</v>
      </c>
      <c r="K26" s="74">
        <v>17</v>
      </c>
      <c r="L26" s="74">
        <v>17</v>
      </c>
      <c r="M26" s="74">
        <v>16</v>
      </c>
      <c r="N26" s="74">
        <v>16</v>
      </c>
      <c r="O26" s="74">
        <v>17</v>
      </c>
      <c r="P26" s="74">
        <v>17</v>
      </c>
      <c r="Q26" s="93">
        <v>16</v>
      </c>
      <c r="R26" s="74">
        <v>16</v>
      </c>
      <c r="S26" s="74">
        <v>16</v>
      </c>
      <c r="T26" s="74">
        <v>16</v>
      </c>
      <c r="U26" s="74">
        <v>17</v>
      </c>
      <c r="V26" s="74">
        <v>16</v>
      </c>
      <c r="W26" s="74">
        <v>17</v>
      </c>
      <c r="X26" s="74">
        <v>57</v>
      </c>
      <c r="Y26" s="74">
        <v>16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60" t="s" ph="1">
        <v>180</v>
      </c>
      <c r="D27" s="71">
        <v>5.47</v>
      </c>
      <c r="E27" s="71">
        <v>3.25</v>
      </c>
      <c r="F27" s="71">
        <v>565</v>
      </c>
      <c r="G27" s="71">
        <v>3272</v>
      </c>
      <c r="H27" s="71">
        <v>3161</v>
      </c>
      <c r="I27" s="71">
        <v>1542</v>
      </c>
      <c r="J27" s="71">
        <v>4986</v>
      </c>
      <c r="K27" s="71">
        <v>1527</v>
      </c>
      <c r="L27" s="71">
        <v>4361</v>
      </c>
      <c r="M27" s="71">
        <v>416</v>
      </c>
      <c r="N27" s="71">
        <v>2835</v>
      </c>
      <c r="O27" s="71">
        <v>5709</v>
      </c>
      <c r="P27" s="71">
        <v>352</v>
      </c>
      <c r="Q27" s="90">
        <v>799</v>
      </c>
      <c r="R27" s="71">
        <v>5661</v>
      </c>
      <c r="S27" s="71">
        <v>2876</v>
      </c>
      <c r="T27" s="71">
        <v>1546</v>
      </c>
      <c r="U27" s="71">
        <v>4573</v>
      </c>
      <c r="V27" s="71">
        <v>6401</v>
      </c>
      <c r="W27" s="71">
        <v>2577</v>
      </c>
      <c r="X27" s="71">
        <v>7843</v>
      </c>
      <c r="Y27" s="71">
        <v>7520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60" t="s" ph="1">
        <v>178</v>
      </c>
      <c r="D28" s="91" ph="1">
        <f>D27*268.68*LOOKUP(D29,密度!$A$2:$A$50,密度!$Q$2:$Q$50)+IF(D27&lt;=0,0,1566*LOOKUP(D29,密度!$A$2:$A$50,密度!$Q$2:$Q$50))</f>
        <v>2873.9993045040001</v>
      </c>
      <c r="E28" s="91" ph="1">
        <f>E27*268.68*LOOKUP(E29,密度!$A$2:$A$50,密度!$C$2:$C$50)+IF(E27&lt;=0,0,1566*LOOKUP(E29,密度!$A$2:$A$50,密度!$C$2:$C$50))</f>
        <v>2704.8399690000001</v>
      </c>
      <c r="F28" s="91" ph="1">
        <f>F27*11.702*LOOKUP(F29,密度!$A$2:$A$50,密度!$Q$2:$Q$50)</f>
        <v>6294.3378763000001</v>
      </c>
      <c r="G28" s="91" ph="1">
        <f>G27*18.322*LOOKUP(G29,密度!$A$2:$A$50,密度!$B$2:$B$50)</f>
        <v>47102.388148799997</v>
      </c>
      <c r="H28" s="91" ph="1">
        <f>H27*18.322*LOOKUP(H29,密度!$A$2:$A$50,密度!$B$2:$B$50)</f>
        <v>45545.018148799994</v>
      </c>
      <c r="I28" s="91" ph="1">
        <f>I27*18.322*LOOKUP(I29,密度!$A$2:$A$50,密度!$Q$2:$Q$50)</f>
        <v>26919.004867199998</v>
      </c>
      <c r="J28" s="91" ph="1">
        <f>J27*18.322*LOOKUP(J29,密度!$A$2:$A$50,密度!$Q$2:$Q$50)</f>
        <v>86969.437918919997</v>
      </c>
      <c r="K28" s="91" ph="1">
        <f>K27*18.322*LOOKUP(K29,密度!$A$2:$A$50,密度!$Q$2:$Q$50)</f>
        <v>26635.044464940001</v>
      </c>
      <c r="L28" s="91" ph="1">
        <f>L27*18.322*LOOKUP(L29,密度!$A$2:$A$50,密度!$Q$2:$Q$50)</f>
        <v>76130.856177599999</v>
      </c>
      <c r="M28" s="91" ph="1">
        <f>M27*18.322*LOOKUP(M29,密度!$A$2:$A$50,密度!$Q$2:$Q$50)</f>
        <v>7256.1745235199996</v>
      </c>
      <c r="N28" s="91" ph="1">
        <f>N27*18.322*LOOKUP(N29,密度!$A$2:$A$50,密度!$Q$2:$Q$50)</f>
        <v>49450.1316687</v>
      </c>
      <c r="O28" s="91" ph="1">
        <f>O27*18.322*LOOKUP(O29,密度!$A$2:$A$50,密度!$C$2:$C$50)</f>
        <v>116577.032121</v>
      </c>
      <c r="P28" s="91" ph="1">
        <f>P27*11.702*LOOKUP(P29,密度!$A$2:$A$50,密度!$B$2:$B$50)</f>
        <v>3239.2633856000002</v>
      </c>
      <c r="Q28" s="92" ph="1">
        <f>Q27*18.322*LOOKUP(Q29,密度!$A$2:$A$50,密度!$B$2:$B$50)</f>
        <v>11502.0807246</v>
      </c>
      <c r="R28" s="91" ph="1">
        <f>R27*35.891*LOOKUP(R29,密度!$A$2:$A$50,密度!$C$2:$C$50)</f>
        <v>226442.94088950002</v>
      </c>
      <c r="S28" s="91" ph="1">
        <f>S27*35.891*LOOKUP(S29,密度!$A$2:$A$50,密度!$B$2:$B$50)</f>
        <v>81101.930821199989</v>
      </c>
      <c r="T28" s="91" ph="1">
        <f>T27*35.891*LOOKUP(T29,密度!$A$2:$A$50,密度!$Q$2:$Q$50)</f>
        <v>52824.641546859995</v>
      </c>
      <c r="U28" s="91" ph="1">
        <f>U27*35.891</f>
        <v>164129.54300000001</v>
      </c>
      <c r="V28" s="91" ph="1">
        <f>V27*47.051*LOOKUP(V29,密度!$A$2:$A$50,密度!$B$2:$B$50)</f>
        <v>236631.98045069998</v>
      </c>
      <c r="W28" s="91" ph="1">
        <f>W27*47.051*LOOKUP(W29,密度!$A$2:$A$50,密度!$B$2:$B$50)</f>
        <v>95351.335792800004</v>
      </c>
      <c r="X28" s="91" ph="1">
        <f>X27*47.051*LOOKUP(X29,密度!$A$2:$A$61,密度!$I$2:$I$61)</f>
        <v>372231.47563910001</v>
      </c>
      <c r="Y28" s="91" ph="1">
        <f>Y27*47.051*LOOKUP(Y29,密度!$A$2:$A$50,密度!$L$2:$L$50)</f>
        <v>334363.22639999999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60" t="s" ph="1">
        <v>179</v>
      </c>
      <c r="D29" s="74">
        <v>25</v>
      </c>
      <c r="E29" s="74">
        <v>25</v>
      </c>
      <c r="F29" s="74">
        <v>18</v>
      </c>
      <c r="G29" s="74">
        <v>18</v>
      </c>
      <c r="H29" s="74">
        <v>17</v>
      </c>
      <c r="I29" s="74">
        <v>17</v>
      </c>
      <c r="J29" s="74">
        <v>18</v>
      </c>
      <c r="K29" s="74">
        <v>18</v>
      </c>
      <c r="L29" s="74">
        <v>17</v>
      </c>
      <c r="M29" s="74">
        <v>18</v>
      </c>
      <c r="N29" s="74">
        <v>18</v>
      </c>
      <c r="O29" s="74">
        <v>17</v>
      </c>
      <c r="P29" s="74">
        <v>17</v>
      </c>
      <c r="Q29" s="93">
        <v>18</v>
      </c>
      <c r="R29" s="74">
        <v>17</v>
      </c>
      <c r="S29" s="74">
        <v>18</v>
      </c>
      <c r="T29" s="74">
        <v>18</v>
      </c>
      <c r="U29" s="74">
        <v>17</v>
      </c>
      <c r="V29" s="74">
        <v>18</v>
      </c>
      <c r="W29" s="74">
        <v>17</v>
      </c>
      <c r="X29" s="74">
        <v>55</v>
      </c>
      <c r="Y29" s="74">
        <v>17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287581.67130280001</v>
      </c>
      <c r="E33" s="215" ph="1">
        <f>M10+I10</f>
        <v>27068.890414899997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9" ph="1">
        <f>N19</f>
        <v>21656.472100179999</v>
      </c>
      <c r="H33" s="215" ph="1">
        <f>M19</f>
        <v>10984.009272499999</v>
      </c>
      <c r="I33" s="228" ph="1">
        <v>0</v>
      </c>
      <c r="J33" s="226" ph="1">
        <f>F10+O28</f>
        <v>326695.29224580002</v>
      </c>
      <c r="K33" s="215" ph="1">
        <f>O10+K10+E28+R28</f>
        <v>338959.24343410006</v>
      </c>
      <c r="L33" s="230" ph="1">
        <f>K19</f>
        <v>36106.479469679995</v>
      </c>
      <c r="M33" s="226" ph="1">
        <f>G10+H10+W28+S28+V28+E10+R19+P28+Q28</f>
        <v>557199.21079089982</v>
      </c>
      <c r="N33" s="215" ph="1">
        <f>L10+P10++G28+H28+AD19+AE19</f>
        <v>218342.02778599996</v>
      </c>
      <c r="O33" s="228" ph="1">
        <f>G19</f>
        <v>24034.942001920001</v>
      </c>
      <c r="P33" s="226" ph="1">
        <f>L19</f>
        <v>16273.592705040001</v>
      </c>
      <c r="Q33" s="215" ph="1">
        <f>J10+N10</f>
        <v>92380.780664999998</v>
      </c>
      <c r="R33" s="228" ph="1">
        <f>BE23</f>
        <v>890</v>
      </c>
      <c r="S33" s="226" ph="1">
        <f>X28</f>
        <v>372231.47563910001</v>
      </c>
      <c r="T33" s="215" ph="1">
        <f>X19</f>
        <v>8252.9758127999994</v>
      </c>
      <c r="U33" s="236" ph="1">
        <f>BE21</f>
        <v>730</v>
      </c>
      <c r="V33" s="247" ph="1">
        <f ca="1">P19+Q19+S19+M28+N28+J28+D10+AC10+D19+E19+H19+J19+O19+V19+W19+K28+L28</f>
        <v>1170226.224325984</v>
      </c>
      <c r="W33" s="247" ph="1">
        <f>D28+F28+T28+I28</f>
        <v>88911.983594863996</v>
      </c>
      <c r="X33" s="228" ph="1">
        <f>BE29+BE31</f>
        <v>10200</v>
      </c>
      <c r="Y33" s="249" ph="1">
        <f>+Q10+R10+S10+T10+U10+V10+W10+X10+Y10</f>
        <v>205555.86346679996</v>
      </c>
      <c r="Z33" s="234" ph="1">
        <f>T19+U19+Y28+Z10</f>
        <v>431757.16596537997</v>
      </c>
      <c r="AA33" s="236" ph="1">
        <f>BE19</f>
        <v>1440</v>
      </c>
      <c r="AB33" s="238" ph="1">
        <f>I19</f>
        <v>48574.482581600001</v>
      </c>
      <c r="AC33" s="240" ph="1">
        <f>AD10+AB19</f>
        <v>153538.729104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2" t="s" ph="1">
        <v>185</v>
      </c>
      <c r="AA36" s="162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39" priority="100">
      <formula>ABS(D$7-D$10)&gt;=1000</formula>
    </cfRule>
  </conditionalFormatting>
  <conditionalFormatting sqref="E4 E6:E11">
    <cfRule type="expression" dxfId="1038" priority="99">
      <formula>ABS(E$7-E$10)&gt;=1000</formula>
    </cfRule>
  </conditionalFormatting>
  <conditionalFormatting sqref="F4:F11">
    <cfRule type="expression" dxfId="1037" priority="98">
      <formula>ABS(F$7-F$10)&gt;=1000</formula>
    </cfRule>
  </conditionalFormatting>
  <conditionalFormatting sqref="G4:G11">
    <cfRule type="expression" dxfId="1036" priority="97">
      <formula>ABS(G$7-G$10)&gt;=1000</formula>
    </cfRule>
  </conditionalFormatting>
  <conditionalFormatting sqref="H4:H11">
    <cfRule type="expression" dxfId="1035" priority="96">
      <formula>ABS(H$7-H$10)&gt;=1000</formula>
    </cfRule>
  </conditionalFormatting>
  <conditionalFormatting sqref="I4:I11">
    <cfRule type="expression" dxfId="1034" priority="95">
      <formula>ABS(I$7-I$10)&gt;=1000</formula>
    </cfRule>
  </conditionalFormatting>
  <conditionalFormatting sqref="J4:J11">
    <cfRule type="expression" dxfId="1033" priority="94">
      <formula>ABS(J$7-J$10)&gt;=1000</formula>
    </cfRule>
  </conditionalFormatting>
  <conditionalFormatting sqref="K4:K11">
    <cfRule type="expression" dxfId="1032" priority="93">
      <formula>ABS(K$7-K$10)&gt;=1000</formula>
    </cfRule>
  </conditionalFormatting>
  <conditionalFormatting sqref="L4:L11">
    <cfRule type="expression" dxfId="1031" priority="92">
      <formula>ABS(L$7-L$10)&gt;=1000</formula>
    </cfRule>
  </conditionalFormatting>
  <conditionalFormatting sqref="M4 M6:M11">
    <cfRule type="expression" dxfId="1030" priority="91">
      <formula>ABS(M$7-M$10)&gt;=1000</formula>
    </cfRule>
  </conditionalFormatting>
  <conditionalFormatting sqref="N4 N6:N11">
    <cfRule type="expression" dxfId="1029" priority="90">
      <formula>ABS(N$7-N$10)&gt;=1000</formula>
    </cfRule>
  </conditionalFormatting>
  <conditionalFormatting sqref="O4 O6:O11">
    <cfRule type="expression" dxfId="1028" priority="89">
      <formula>ABS(O$7-O$10)&gt;=1000</formula>
    </cfRule>
  </conditionalFormatting>
  <conditionalFormatting sqref="P4 P6:P11">
    <cfRule type="expression" dxfId="1027" priority="88">
      <formula>ABS(P$7-P$10)&gt;=1000</formula>
    </cfRule>
  </conditionalFormatting>
  <conditionalFormatting sqref="Q4:Q11">
    <cfRule type="expression" dxfId="1026" priority="87">
      <formula>ABS(Q$7-Q$10)&gt;=1000</formula>
    </cfRule>
  </conditionalFormatting>
  <conditionalFormatting sqref="R4:R11">
    <cfRule type="expression" dxfId="1025" priority="86">
      <formula>ABS(R$7-R$10)&gt;=1000</formula>
    </cfRule>
  </conditionalFormatting>
  <conditionalFormatting sqref="S4:S11">
    <cfRule type="expression" dxfId="1024" priority="85">
      <formula>ABS(S$7-S$10)&gt;=1000</formula>
    </cfRule>
  </conditionalFormatting>
  <conditionalFormatting sqref="T4:T9 T11">
    <cfRule type="expression" dxfId="1023" priority="84">
      <formula>ABS(T$7-T$10)&gt;=1000</formula>
    </cfRule>
  </conditionalFormatting>
  <conditionalFormatting sqref="U4:U9 U11">
    <cfRule type="expression" dxfId="1022" priority="83">
      <formula>ABS(U$7-U$10)&gt;=1000</formula>
    </cfRule>
  </conditionalFormatting>
  <conditionalFormatting sqref="V4:V9 V11">
    <cfRule type="expression" dxfId="1021" priority="82">
      <formula>ABS(V$7-V$10)&gt;=1000</formula>
    </cfRule>
  </conditionalFormatting>
  <conditionalFormatting sqref="W4:W9 W11">
    <cfRule type="expression" dxfId="1020" priority="81">
      <formula>ABS(W$7-W$10)&gt;=1000</formula>
    </cfRule>
  </conditionalFormatting>
  <conditionalFormatting sqref="X4:X9 X11">
    <cfRule type="expression" dxfId="1019" priority="80">
      <formula>ABS(X$7-X$10)&gt;=1000</formula>
    </cfRule>
  </conditionalFormatting>
  <conditionalFormatting sqref="Y4:Y9 Y11">
    <cfRule type="expression" dxfId="1018" priority="79">
      <formula>ABS(Y$7-Y$10)&gt;=1000</formula>
    </cfRule>
  </conditionalFormatting>
  <conditionalFormatting sqref="Z4:Z11">
    <cfRule type="expression" dxfId="1017" priority="78">
      <formula>ABS(Z$7-Z$10)&gt;=1000</formula>
    </cfRule>
  </conditionalFormatting>
  <conditionalFormatting sqref="AA4:AA11">
    <cfRule type="expression" dxfId="1016" priority="77">
      <formula>ABS(AA$7-AA$10)&gt;=1000</formula>
    </cfRule>
  </conditionalFormatting>
  <conditionalFormatting sqref="AB4:AB11">
    <cfRule type="expression" dxfId="1015" priority="76">
      <formula>ABS(AB$7-AB$10)&gt;=1000</formula>
    </cfRule>
  </conditionalFormatting>
  <conditionalFormatting sqref="AC4 AC6:AC11">
    <cfRule type="expression" dxfId="1014" priority="75">
      <formula>ABS(AC$7-AC$10)&gt;=1000</formula>
    </cfRule>
  </conditionalFormatting>
  <conditionalFormatting sqref="AD4 AD6:AD11">
    <cfRule type="expression" dxfId="1013" priority="74">
      <formula>ABS(AD$7-AD$10)&gt;=1000</formula>
    </cfRule>
  </conditionalFormatting>
  <conditionalFormatting sqref="AE4 AE6:AE11">
    <cfRule type="expression" dxfId="1012" priority="73">
      <formula>ABS(AE$7-AE$10)&gt;=1000</formula>
    </cfRule>
  </conditionalFormatting>
  <conditionalFormatting sqref="D13:D20">
    <cfRule type="expression" dxfId="1011" priority="72">
      <formula>ABS(D$16-D$19)&gt;=1000</formula>
    </cfRule>
  </conditionalFormatting>
  <conditionalFormatting sqref="E13:E20">
    <cfRule type="expression" dxfId="1010" priority="71">
      <formula>ABS(E$16-E$19)&gt;=1000</formula>
    </cfRule>
  </conditionalFormatting>
  <conditionalFormatting sqref="F13 F15:F20">
    <cfRule type="expression" dxfId="1009" priority="70">
      <formula>ABS(F$16-F$19)&gt;=1000</formula>
    </cfRule>
  </conditionalFormatting>
  <conditionalFormatting sqref="G13:G20">
    <cfRule type="expression" dxfId="1008" priority="69">
      <formula>ABS(G$16-G$19)&gt;=1000</formula>
    </cfRule>
  </conditionalFormatting>
  <conditionalFormatting sqref="H13 H15:H20">
    <cfRule type="expression" dxfId="1007" priority="68">
      <formula>ABS(H$16-H$19)&gt;=1000</formula>
    </cfRule>
  </conditionalFormatting>
  <conditionalFormatting sqref="I13:I20">
    <cfRule type="expression" dxfId="1006" priority="67">
      <formula>ABS(I$16-I$19)&gt;=1000</formula>
    </cfRule>
  </conditionalFormatting>
  <conditionalFormatting sqref="J13:J20">
    <cfRule type="expression" dxfId="1005" priority="66">
      <formula>ABS(J$16-J$19)&gt;=1000</formula>
    </cfRule>
  </conditionalFormatting>
  <conditionalFormatting sqref="L13:L20">
    <cfRule type="expression" dxfId="1004" priority="65">
      <formula>ABS(L$16-L$19)&gt;=1000</formula>
    </cfRule>
  </conditionalFormatting>
  <conditionalFormatting sqref="M13 M15 M17:M18 M20">
    <cfRule type="expression" dxfId="1003" priority="64">
      <formula>ABS(M$16-M$19)&gt;=1000</formula>
    </cfRule>
  </conditionalFormatting>
  <conditionalFormatting sqref="N13:N20">
    <cfRule type="expression" dxfId="1002" priority="63">
      <formula>ABS(N$16-N$19)&gt;=1000</formula>
    </cfRule>
  </conditionalFormatting>
  <conditionalFormatting sqref="O13:O20">
    <cfRule type="expression" dxfId="1001" priority="62">
      <formula>ABS(O$16-O$19)&gt;=1000</formula>
    </cfRule>
  </conditionalFormatting>
  <conditionalFormatting sqref="P13:P20">
    <cfRule type="expression" dxfId="1000" priority="61">
      <formula>ABS(P$16-P$19)&gt;=1000</formula>
    </cfRule>
  </conditionalFormatting>
  <conditionalFormatting sqref="Q13 Q15:Q20">
    <cfRule type="expression" dxfId="999" priority="60">
      <formula>ABS(Q$16-Q$19)&gt;=1000</formula>
    </cfRule>
  </conditionalFormatting>
  <conditionalFormatting sqref="R13:R20">
    <cfRule type="expression" dxfId="998" priority="59">
      <formula>ABS(R$16-R$19)&gt;=1000</formula>
    </cfRule>
  </conditionalFormatting>
  <conditionalFormatting sqref="S13:S20">
    <cfRule type="expression" dxfId="997" priority="58">
      <formula>ABS(S$16-S$19)&gt;=1000</formula>
    </cfRule>
  </conditionalFormatting>
  <conditionalFormatting sqref="T13:T20">
    <cfRule type="expression" dxfId="996" priority="57">
      <formula>ABS(T$16-T$19)&gt;=1000</formula>
    </cfRule>
  </conditionalFormatting>
  <conditionalFormatting sqref="U13:U20">
    <cfRule type="expression" dxfId="995" priority="56">
      <formula>ABS(U$16-U$19)&gt;=1000</formula>
    </cfRule>
  </conditionalFormatting>
  <conditionalFormatting sqref="V13:V20">
    <cfRule type="expression" dxfId="994" priority="55">
      <formula>ABS(V$16-V$19)&gt;=1000</formula>
    </cfRule>
  </conditionalFormatting>
  <conditionalFormatting sqref="W13 W20 W15:W18">
    <cfRule type="expression" dxfId="993" priority="54">
      <formula>ABS(W$16-W$19)&gt;=1000</formula>
    </cfRule>
  </conditionalFormatting>
  <conditionalFormatting sqref="X13 X15:X20 Y19">
    <cfRule type="expression" dxfId="992" priority="53">
      <formula>ABS(X$16-X$19)&gt;=1000</formula>
    </cfRule>
  </conditionalFormatting>
  <conditionalFormatting sqref="Y13 Y15:Y18 Y20">
    <cfRule type="expression" dxfId="991" priority="52">
      <formula>ABS(Y$16-Y$19)&gt;=1000</formula>
    </cfRule>
  </conditionalFormatting>
  <conditionalFormatting sqref="Z13:Z20">
    <cfRule type="expression" dxfId="990" priority="51">
      <formula>ABS(Z$16-Z$19)&gt;=1000</formula>
    </cfRule>
  </conditionalFormatting>
  <conditionalFormatting sqref="AA13:AA20">
    <cfRule type="expression" dxfId="989" priority="50">
      <formula>ABS(AA$16-AA$19)&gt;=1000</formula>
    </cfRule>
  </conditionalFormatting>
  <conditionalFormatting sqref="AB13 AB15:AB20">
    <cfRule type="expression" dxfId="988" priority="49">
      <formula>ABS(AB$16-AB$19)&gt;=1000</formula>
    </cfRule>
  </conditionalFormatting>
  <conditionalFormatting sqref="AC13 AC15:AC20">
    <cfRule type="expression" dxfId="987" priority="48">
      <formula>ABS(AC$16-AC$19)&gt;=1000</formula>
    </cfRule>
  </conditionalFormatting>
  <conditionalFormatting sqref="AD13:AD20">
    <cfRule type="expression" dxfId="986" priority="47">
      <formula>ABS(AD$16-AD$19)&gt;=1000</formula>
    </cfRule>
  </conditionalFormatting>
  <conditionalFormatting sqref="AE13:AE20">
    <cfRule type="expression" dxfId="985" priority="46">
      <formula>ABS(AE$16-AE$19)&gt;=1000</formula>
    </cfRule>
  </conditionalFormatting>
  <conditionalFormatting sqref="D22:D29">
    <cfRule type="expression" dxfId="984" priority="45">
      <formula>ABS(D$25-D$28)&gt;=1000</formula>
    </cfRule>
  </conditionalFormatting>
  <conditionalFormatting sqref="E22:E29">
    <cfRule type="expression" dxfId="983" priority="44">
      <formula>ABS(E$25-E$28)&gt;=1000</formula>
    </cfRule>
  </conditionalFormatting>
  <conditionalFormatting sqref="F22:F29">
    <cfRule type="expression" dxfId="982" priority="43">
      <formula>ABS(F$25-F$28)&gt;=1000</formula>
    </cfRule>
  </conditionalFormatting>
  <conditionalFormatting sqref="G22:G29">
    <cfRule type="expression" dxfId="981" priority="42">
      <formula>ABS(G$25-G$28)&gt;=1000</formula>
    </cfRule>
  </conditionalFormatting>
  <conditionalFormatting sqref="H22:H29">
    <cfRule type="expression" dxfId="980" priority="41">
      <formula>ABS(H$25-H$28)&gt;=1000</formula>
    </cfRule>
  </conditionalFormatting>
  <conditionalFormatting sqref="I22 I24:I29">
    <cfRule type="expression" dxfId="979" priority="40">
      <formula>ABS(I$25-I$28)&gt;=1000</formula>
    </cfRule>
  </conditionalFormatting>
  <conditionalFormatting sqref="J22:J29 K22">
    <cfRule type="expression" dxfId="978" priority="39">
      <formula>ABS(J$25-J$28)&gt;=1000</formula>
    </cfRule>
  </conditionalFormatting>
  <conditionalFormatting sqref="K23:K29 L25 L28">
    <cfRule type="expression" dxfId="977" priority="38">
      <formula>ABS(K$25-K$28)&gt;=1000</formula>
    </cfRule>
  </conditionalFormatting>
  <conditionalFormatting sqref="L22 L26:L27 L29 L24">
    <cfRule type="expression" dxfId="976" priority="37">
      <formula>ABS(L$25-L$28)&gt;=1000</formula>
    </cfRule>
  </conditionalFormatting>
  <conditionalFormatting sqref="M22:M29">
    <cfRule type="expression" dxfId="975" priority="36">
      <formula>ABS(M$25-M$28)&gt;=1000</formula>
    </cfRule>
  </conditionalFormatting>
  <conditionalFormatting sqref="N22:N29">
    <cfRule type="expression" dxfId="974" priority="35">
      <formula>ABS(N$25-N$28)&gt;=1000</formula>
    </cfRule>
  </conditionalFormatting>
  <conditionalFormatting sqref="O22:O29">
    <cfRule type="expression" dxfId="973" priority="34">
      <formula>ABS(O$25-O$28)&gt;=1000</formula>
    </cfRule>
  </conditionalFormatting>
  <conditionalFormatting sqref="P22:P29">
    <cfRule type="expression" dxfId="972" priority="33">
      <formula>ABS(P$25-P$28)&gt;=1000</formula>
    </cfRule>
  </conditionalFormatting>
  <conditionalFormatting sqref="Q22:Q29">
    <cfRule type="expression" dxfId="971" priority="32">
      <formula>ABS(Q$25-Q$28)&gt;=1000</formula>
    </cfRule>
  </conditionalFormatting>
  <conditionalFormatting sqref="R22:R29">
    <cfRule type="expression" dxfId="970" priority="31">
      <formula>ABS(R$25-R$28)&gt;=1000</formula>
    </cfRule>
  </conditionalFormatting>
  <conditionalFormatting sqref="S22:S29">
    <cfRule type="expression" dxfId="969" priority="30">
      <formula>ABS(S$25-S$28)&gt;=1000</formula>
    </cfRule>
  </conditionalFormatting>
  <conditionalFormatting sqref="T22:T29">
    <cfRule type="expression" dxfId="968" priority="29">
      <formula>ABS(T$25-T$28)&gt;=1000</formula>
    </cfRule>
  </conditionalFormatting>
  <conditionalFormatting sqref="U22:U29">
    <cfRule type="expression" dxfId="967" priority="28">
      <formula>ABS(U$25-U$28)&gt;=1000</formula>
    </cfRule>
  </conditionalFormatting>
  <conditionalFormatting sqref="V22:V29">
    <cfRule type="expression" dxfId="966" priority="27">
      <formula>ABS(V$25-V$28)&gt;=1000</formula>
    </cfRule>
  </conditionalFormatting>
  <conditionalFormatting sqref="W22:W29">
    <cfRule type="expression" dxfId="965" priority="26">
      <formula>ABS(W$25-W$28)&gt;=1000</formula>
    </cfRule>
  </conditionalFormatting>
  <conditionalFormatting sqref="X22:X29">
    <cfRule type="expression" dxfId="964" priority="25">
      <formula>ABS(X$25-X$28)&gt;=1000</formula>
    </cfRule>
  </conditionalFormatting>
  <conditionalFormatting sqref="Y22:Y29">
    <cfRule type="expression" dxfId="963" priority="24">
      <formula>ABS(Y$25-Y$28)&gt;=1000</formula>
    </cfRule>
  </conditionalFormatting>
  <conditionalFormatting sqref="I23">
    <cfRule type="expression" dxfId="962" priority="23">
      <formula>ABS(I$25-I$28)&gt;=1000</formula>
    </cfRule>
  </conditionalFormatting>
  <conditionalFormatting sqref="Q14">
    <cfRule type="expression" dxfId="961" priority="22">
      <formula>ABS(Q$16-Q$19)&gt;=1000</formula>
    </cfRule>
  </conditionalFormatting>
  <conditionalFormatting sqref="W14">
    <cfRule type="expression" dxfId="960" priority="21">
      <formula>ABS(W$16-W$19)&gt;=1000</formula>
    </cfRule>
  </conditionalFormatting>
  <conditionalFormatting sqref="X14">
    <cfRule type="expression" dxfId="959" priority="20">
      <formula>ABS(X$16-X$19)&gt;=1000</formula>
    </cfRule>
  </conditionalFormatting>
  <conditionalFormatting sqref="T10:Y10">
    <cfRule type="expression" dxfId="958" priority="19">
      <formula>ABS(T$7-T$10)&gt;=1000</formula>
    </cfRule>
  </conditionalFormatting>
  <conditionalFormatting sqref="W19">
    <cfRule type="expression" dxfId="957" priority="18">
      <formula>ABS(W$16-W$19)&gt;=1000</formula>
    </cfRule>
  </conditionalFormatting>
  <conditionalFormatting sqref="AC5">
    <cfRule type="expression" dxfId="956" priority="17">
      <formula>ABS(AC$7-AC$10)&gt;=1000</formula>
    </cfRule>
  </conditionalFormatting>
  <conditionalFormatting sqref="M14">
    <cfRule type="expression" dxfId="955" priority="16">
      <formula>ABS(M$16-M$19)&gt;=1000</formula>
    </cfRule>
  </conditionalFormatting>
  <conditionalFormatting sqref="M16">
    <cfRule type="expression" dxfId="954" priority="15">
      <formula>ABS(M$16-M$19)&gt;=1000</formula>
    </cfRule>
  </conditionalFormatting>
  <conditionalFormatting sqref="M19">
    <cfRule type="expression" dxfId="953" priority="14">
      <formula>ABS(M$16-M$19)&gt;=1000</formula>
    </cfRule>
  </conditionalFormatting>
  <conditionalFormatting sqref="K13:K20">
    <cfRule type="expression" dxfId="952" priority="13">
      <formula>ABS(K$16-K$19)&gt;=1000</formula>
    </cfRule>
  </conditionalFormatting>
  <conditionalFormatting sqref="E5">
    <cfRule type="expression" dxfId="951" priority="12">
      <formula>ABS(E$7-E$10)&gt;=1000</formula>
    </cfRule>
  </conditionalFormatting>
  <conditionalFormatting sqref="AB14:AC14">
    <cfRule type="expression" dxfId="950" priority="11">
      <formula>ABS(AB$16-AB$19)&gt;=1000</formula>
    </cfRule>
  </conditionalFormatting>
  <conditionalFormatting sqref="M5">
    <cfRule type="expression" dxfId="949" priority="10">
      <formula>ABS(M$7-M$10)&gt;=1000</formula>
    </cfRule>
  </conditionalFormatting>
  <conditionalFormatting sqref="N5">
    <cfRule type="expression" dxfId="948" priority="9">
      <formula>ABS(N$7-N$10)&gt;=1000</formula>
    </cfRule>
  </conditionalFormatting>
  <conditionalFormatting sqref="O5">
    <cfRule type="expression" dxfId="947" priority="8">
      <formula>ABS(O$7-O$10)&gt;=1000</formula>
    </cfRule>
  </conditionalFormatting>
  <conditionalFormatting sqref="P5">
    <cfRule type="expression" dxfId="946" priority="7">
      <formula>ABS(P$7-P$10)&gt;=1000</formula>
    </cfRule>
  </conditionalFormatting>
  <conditionalFormatting sqref="L23">
    <cfRule type="expression" dxfId="945" priority="6">
      <formula>ABS(L$25-L$28)&gt;=1000</formula>
    </cfRule>
  </conditionalFormatting>
  <conditionalFormatting sqref="Y14">
    <cfRule type="expression" dxfId="944" priority="5">
      <formula>ABS(Y$16-Y$19)&gt;=1000</formula>
    </cfRule>
  </conditionalFormatting>
  <conditionalFormatting sqref="F14">
    <cfRule type="expression" dxfId="943" priority="4">
      <formula>ABS(F$16-F$19)&gt;=1000</formula>
    </cfRule>
  </conditionalFormatting>
  <conditionalFormatting sqref="H14">
    <cfRule type="expression" dxfId="942" priority="3">
      <formula>ABS(H$16-H$19)&gt;=1000</formula>
    </cfRule>
  </conditionalFormatting>
  <conditionalFormatting sqref="AD5">
    <cfRule type="expression" dxfId="941" priority="2">
      <formula>ABS(AD$7-AD$10)&gt;=1000</formula>
    </cfRule>
  </conditionalFormatting>
  <conditionalFormatting sqref="AE5">
    <cfRule type="expression" dxfId="94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07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7">
    <pageSetUpPr fitToPage="1"/>
  </sheetPr>
  <dimension ref="A1:CU223"/>
  <sheetViews>
    <sheetView view="pageBreakPreview" zoomScale="70" zoomScaleNormal="100" zoomScaleSheetLayoutView="70" workbookViewId="0">
      <selection activeCell="Y31" sqref="Y31:AA3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46064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65" t="s" ph="1">
        <v>177</v>
      </c>
      <c r="D6" s="71">
        <v>6283</v>
      </c>
      <c r="E6" s="71">
        <v>232</v>
      </c>
      <c r="F6" s="71">
        <v>5678</v>
      </c>
      <c r="G6" s="71">
        <v>1791</v>
      </c>
      <c r="H6" s="71">
        <v>1427</v>
      </c>
      <c r="I6" s="71">
        <v>0.09</v>
      </c>
      <c r="J6" s="71">
        <v>6.59</v>
      </c>
      <c r="K6" s="71">
        <v>7.46</v>
      </c>
      <c r="L6" s="71">
        <v>33.659999999999997</v>
      </c>
      <c r="M6" s="71">
        <v>791</v>
      </c>
      <c r="N6" s="71">
        <v>3454</v>
      </c>
      <c r="O6" s="71">
        <v>4729</v>
      </c>
      <c r="P6" s="71">
        <v>2902</v>
      </c>
      <c r="Q6" s="71">
        <v>0</v>
      </c>
      <c r="R6" s="71">
        <v>0</v>
      </c>
      <c r="S6" s="71">
        <v>0</v>
      </c>
      <c r="T6" s="71">
        <v>0</v>
      </c>
      <c r="U6" s="71">
        <v>6520</v>
      </c>
      <c r="V6" s="71">
        <v>6585</v>
      </c>
      <c r="W6" s="71">
        <v>7118</v>
      </c>
      <c r="X6" s="71">
        <v>5462</v>
      </c>
      <c r="Y6" s="71">
        <v>0</v>
      </c>
      <c r="Z6" s="71">
        <v>2445</v>
      </c>
      <c r="AA6" s="71">
        <v>6317</v>
      </c>
      <c r="AB6" s="71">
        <v>5229</v>
      </c>
      <c r="AC6" s="71">
        <v>9367</v>
      </c>
      <c r="AD6" s="71">
        <v>4780</v>
      </c>
      <c r="AE6" s="71">
        <v>4420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198814.90919039998</v>
      </c>
      <c r="E7" s="73" ph="1">
        <f>E6*51.53*LOOKUP(E8,密度!$A$2:$A$50,密度!$B$2:$B$50)</f>
        <v>9410.944512</v>
      </c>
      <c r="F7" s="73" ph="1">
        <f>F6*33.183*LOOKUP(F8,密度!$A$2:$A$50,密度!$C$2:$C$50)</f>
        <v>210231.30796919999</v>
      </c>
      <c r="G7" s="73" ph="1">
        <f xml:space="preserve"> (G6+2)*51.53*LOOKUP(G8,密度!$A$2:$A$50,密度!$B$2:$B$50)</f>
        <v>72731.997888000013</v>
      </c>
      <c r="H7" s="73" ph="1">
        <f>(H6)*51.53*LOOKUP(H8,密度!$A$2:$A$50,密度!$B$2:$B$50)</f>
        <v>57885.421631999998</v>
      </c>
      <c r="I7" s="73" ph="1">
        <f>I6*290.8*1.0267</f>
        <v>26.870792399999999</v>
      </c>
      <c r="J7" s="73" ph="1">
        <f>J6*290.8*0.7892</f>
        <v>1512.4007824</v>
      </c>
      <c r="K7" s="73" ph="1">
        <f>K6*290.8*1.1126</f>
        <v>2413.6388367999998</v>
      </c>
      <c r="L7" s="73" ph="1">
        <f>L6*290.8*0.777</f>
        <v>7605.5308560000003</v>
      </c>
      <c r="M7" s="73" ph="1">
        <f>M6*33.183*LOOKUP(M8,密度!$A$2:$A$50,密度!$D$2:$D$50)</f>
        <v>27182.173006800003</v>
      </c>
      <c r="N7" s="73" ph="1">
        <f>N6*33.183*LOOKUP(N8,密度!$A$2:$A$50,密度!$E$2:$E$50)</f>
        <v>90705.584494800001</v>
      </c>
      <c r="O7" s="73" ph="1">
        <f>O6*20.428*LOOKUP(O8,密度!$A$2:$A$50,密度!$C$2:$C$50)</f>
        <v>107481.62375120001</v>
      </c>
      <c r="P7" s="73" ph="1">
        <f>P6*51.53*LOOKUP(P8,密度!$A$2:$A$50,密度!$B$2:$B$50)</f>
        <v>117598.30318399999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43598.559311999998</v>
      </c>
      <c r="V7" s="73" ph="1">
        <f>V6*1.5*1.5*3.1416*LOOKUP(V8,密度!$A$2:$A$50,密度!$L$2:$L$50)</f>
        <v>43847.020601999997</v>
      </c>
      <c r="W7" s="73" ph="1">
        <f>W6*1.5*1.5*3.1416*LOOKUP(W8,密度!$A$2:$A$50,密度!$L$2:$L$50)</f>
        <v>47547.008585999996</v>
      </c>
      <c r="X7" s="73" ph="1">
        <f>X6*1.5*1.5*3.1416*LOOKUP(X8,密度!$A$2:$A$50,密度!$L$2:$L$50)</f>
        <v>36794.084619599998</v>
      </c>
      <c r="Y7" s="73" ph="1">
        <f>Y6*1.5*1.5*3.1416*LOOKUP(Y8,密度!$A$2:$A$50,密度!$L$2:$L$50)</f>
        <v>0</v>
      </c>
      <c r="Z7" s="73" ph="1">
        <f>Z6*33.183*LOOKUP(Z8,密度!$A$2:$A$50,密度!$L$2:$L$50)</f>
        <v>76832.415945000001</v>
      </c>
      <c r="AA7" s="73" ph="1">
        <f>AA6*33.183*LOOKUP(AA8,密度!$A$2:$A$50,密度!$D$2:$D$50)</f>
        <v>217079.37659160001</v>
      </c>
      <c r="AB7" s="73" ph="1">
        <f>AB6*20.428*LOOKUP(AB8,密度!$A$2:$A$50,密度!$D$2:$D$50)</f>
        <v>111186.86869079999</v>
      </c>
      <c r="AC7" s="73" ph="1">
        <f>AC6*51.53*LOOKUP(AC8,密度!$A$2:$A$50,密度!$Q$2:$Q$50)</f>
        <v>460738.80855540006</v>
      </c>
      <c r="AD7" s="73" ph="1">
        <f>AD6*20.428*LOOKUP(AD8,密度!$A$2:$A$50,密度!$V$2:$V$50)</f>
        <v>94130.589760000003</v>
      </c>
      <c r="AE7" s="73" ph="1">
        <f>AE6*20.428</f>
        <v>90291.760000000009</v>
      </c>
    </row>
    <row r="8" spans="1:99" ph="1">
      <c r="B8" s="193" ph="1"/>
      <c r="C8" s="68" t="s" ph="1">
        <v>179</v>
      </c>
      <c r="D8" s="74">
        <v>16</v>
      </c>
      <c r="E8" s="74">
        <v>16</v>
      </c>
      <c r="F8" s="74">
        <v>15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18</v>
      </c>
      <c r="O8" s="74">
        <v>20</v>
      </c>
      <c r="P8" s="74">
        <v>17</v>
      </c>
      <c r="Q8" s="74">
        <v>17</v>
      </c>
      <c r="R8" s="74">
        <v>20</v>
      </c>
      <c r="S8" s="74">
        <v>13</v>
      </c>
      <c r="T8" s="74">
        <v>12</v>
      </c>
      <c r="U8" s="74">
        <v>16</v>
      </c>
      <c r="V8" s="74">
        <v>20</v>
      </c>
      <c r="W8" s="74">
        <v>17</v>
      </c>
      <c r="X8" s="74">
        <v>9</v>
      </c>
      <c r="Y8" s="74">
        <v>16</v>
      </c>
      <c r="Z8" s="74">
        <v>15</v>
      </c>
      <c r="AA8" s="74">
        <v>15</v>
      </c>
      <c r="AB8" s="74">
        <v>9</v>
      </c>
      <c r="AC8" s="74">
        <v>14</v>
      </c>
      <c r="AD8" s="74">
        <v>15</v>
      </c>
      <c r="AE8" s="74">
        <v>19</v>
      </c>
    </row>
    <row r="9" spans="1:99" ht="26.4" ph="1">
      <c r="B9" s="193" ph="1">
        <v>0.66666666666666663</v>
      </c>
      <c r="C9" s="165" t="s" ph="1">
        <v>180</v>
      </c>
      <c r="D9" s="71">
        <v>6287</v>
      </c>
      <c r="E9" s="71">
        <v>2815</v>
      </c>
      <c r="F9" s="71">
        <v>5679</v>
      </c>
      <c r="G9" s="71">
        <v>2226</v>
      </c>
      <c r="H9" s="71">
        <v>1135</v>
      </c>
      <c r="I9" s="71">
        <v>7.0000000000000007E-2</v>
      </c>
      <c r="J9" s="71">
        <v>6.74</v>
      </c>
      <c r="K9" s="71">
        <v>7.4</v>
      </c>
      <c r="L9" s="71">
        <v>31.31</v>
      </c>
      <c r="M9" s="71">
        <v>791</v>
      </c>
      <c r="N9" s="71">
        <v>3457</v>
      </c>
      <c r="O9" s="71">
        <v>4731</v>
      </c>
      <c r="P9" s="71">
        <v>3094</v>
      </c>
      <c r="Q9" s="71">
        <v>0</v>
      </c>
      <c r="R9" s="71">
        <v>0</v>
      </c>
      <c r="S9" s="71">
        <v>0</v>
      </c>
      <c r="T9" s="71">
        <v>0</v>
      </c>
      <c r="U9" s="71">
        <v>2046</v>
      </c>
      <c r="V9" s="71">
        <v>6596</v>
      </c>
      <c r="W9" s="71">
        <v>7130</v>
      </c>
      <c r="X9" s="71">
        <v>7024</v>
      </c>
      <c r="Y9" s="71">
        <v>4239</v>
      </c>
      <c r="Z9" s="71">
        <v>3403</v>
      </c>
      <c r="AA9" s="71">
        <v>6904</v>
      </c>
      <c r="AB9" s="71">
        <v>5103</v>
      </c>
      <c r="AC9" s="71">
        <v>9373</v>
      </c>
      <c r="AD9" s="71">
        <v>4780</v>
      </c>
      <c r="AE9" s="71">
        <v>4385</v>
      </c>
    </row>
    <row r="10" spans="1:99" s="72" customFormat="1" ht="22.2" ph="1">
      <c r="B10" s="193" ph="1"/>
      <c r="C10" s="165" t="s" ph="1">
        <v>178</v>
      </c>
      <c r="D10" s="73" ph="1">
        <f>D9*33.183*LOOKUP(D11,密度!$A$2:$A$50,密度!$Q$2:$Q$50)</f>
        <v>198609.77420721002</v>
      </c>
      <c r="E10" s="73" ph="1">
        <f>E9*51.53*LOOKUP(E11,密度!$A$2:$A$50,密度!$B$2:$B$50)</f>
        <v>114188.83104</v>
      </c>
      <c r="F10" s="73" ph="1">
        <f>F9*33.183*LOOKUP(F11,密度!$A$2:$A$50,密度!$C$2:$C$50)</f>
        <v>210155.26580640001</v>
      </c>
      <c r="G10" s="73" ph="1">
        <f xml:space="preserve"> (G9+2)*51.53*LOOKUP(G11,密度!$A$2:$A$50,密度!$B$2:$B$50)</f>
        <v>90377.518847999992</v>
      </c>
      <c r="H10" s="73" ph="1">
        <f>(H9)*51.53*LOOKUP(H11,密度!$A$2:$A$50,密度!$B$2:$B$50)</f>
        <v>46087.401400000002</v>
      </c>
      <c r="I10" s="73" ph="1">
        <f>I9*290.8*1.0267</f>
        <v>20.8995052</v>
      </c>
      <c r="J10" s="73" ph="1">
        <f>J9*290.8*0.7892</f>
        <v>1546.8256864000002</v>
      </c>
      <c r="K10" s="73" ph="1">
        <f>K9*290.8*1.1126</f>
        <v>2394.2261920000001</v>
      </c>
      <c r="L10" s="73" ph="1">
        <f>L9*290.8*0.777</f>
        <v>7074.5445960000006</v>
      </c>
      <c r="M10" s="73" ph="1">
        <f>M9*33.183*LOOKUP(M11,密度!$A$2:$A$50,密度!$D$2:$D$50)</f>
        <v>27116.553624299999</v>
      </c>
      <c r="N10" s="73" ph="1">
        <f>N9*33.183*LOOKUP(N11,密度!$A$2:$A$50,密度!$E$2:$E$50)</f>
        <v>90658.182579300003</v>
      </c>
      <c r="O10" s="73" ph="1">
        <f>O9*20.428*LOOKUP(O11,密度!$A$2:$A$50,密度!$C$2:$C$50)</f>
        <v>107382.11283480001</v>
      </c>
      <c r="P10" s="73" ph="1">
        <f>P9*51.53*LOOKUP(P11,密度!$A$2:$A$50,密度!$B$2:$B$50)</f>
        <v>124581.586948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13666.926041999999</v>
      </c>
      <c r="V10" s="73" ph="1">
        <f>V9*1.5*1.5*3.1416*LOOKUP(V11,密度!$A$2:$A$50,密度!$L$2:$L$50)</f>
        <v>43687.1430072</v>
      </c>
      <c r="W10" s="73" ph="1">
        <f>W9*1.5*1.5*3.1416*LOOKUP(W11,密度!$A$2:$A$50,密度!$L$2:$L$50)</f>
        <v>47576.767392000002</v>
      </c>
      <c r="X10" s="73" ph="1">
        <f>X9*1.5*1.5*3.1416*LOOKUP(X11,密度!$A$2:$A$50,密度!$L$2:$L$50)</f>
        <v>47266.653772799997</v>
      </c>
      <c r="Y10" s="73" ph="1">
        <f>Y9*1.5*1.5*3.1416*LOOKUP(Y11,密度!$A$2:$A$50,密度!$L$2:$L$50)</f>
        <v>28255.859062199997</v>
      </c>
      <c r="Z10" s="73" ph="1">
        <f>Z9*33.183*LOOKUP(Z11,密度!$A$2:$A$50,密度!$L$2:$L$50)</f>
        <v>106598.13105599998</v>
      </c>
      <c r="AA10" s="73" ph="1">
        <f>AA9*33.183*LOOKUP(AA11,密度!$A$2:$A$50,密度!$D$2:$D$50)</f>
        <v>236678.49079919999</v>
      </c>
      <c r="AB10" s="73" ph="1">
        <f>AB9*20.428*LOOKUP(AB11,密度!$A$2:$A$50,密度!$D$2:$D$50)</f>
        <v>108413.84736</v>
      </c>
      <c r="AC10" s="73" ph="1">
        <f>AC9*51.53*LOOKUP(AC11,密度!$A$2:$A$50,密度!$Q$2:$Q$50)</f>
        <v>460193.52943200001</v>
      </c>
      <c r="AD10" s="73" ph="1">
        <f>AD9*20.428*LOOKUP(AD11,密度!$A$2:$A$50,密度!$V$2:$V$50)</f>
        <v>94130.589760000003</v>
      </c>
      <c r="AE10" s="73" ph="1">
        <f>AE9*20.428</f>
        <v>89576.78</v>
      </c>
    </row>
    <row r="11" spans="1:99" ph="1">
      <c r="A11" s="64" t="s" ph="1">
        <v>162</v>
      </c>
      <c r="B11" s="193" ph="1"/>
      <c r="C11" s="165" t="s" ph="1">
        <v>179</v>
      </c>
      <c r="D11" s="74">
        <v>18</v>
      </c>
      <c r="E11" s="74">
        <v>16</v>
      </c>
      <c r="F11" s="74">
        <v>16</v>
      </c>
      <c r="G11" s="74">
        <v>16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19</v>
      </c>
      <c r="O11" s="74">
        <v>22</v>
      </c>
      <c r="P11" s="74">
        <v>23</v>
      </c>
      <c r="Q11" s="74">
        <v>28</v>
      </c>
      <c r="R11" s="74">
        <v>25</v>
      </c>
      <c r="S11" s="74">
        <v>16</v>
      </c>
      <c r="T11" s="74">
        <v>27</v>
      </c>
      <c r="U11" s="74">
        <v>17</v>
      </c>
      <c r="V11" s="74">
        <v>25</v>
      </c>
      <c r="W11" s="74">
        <v>18</v>
      </c>
      <c r="X11" s="74">
        <v>10</v>
      </c>
      <c r="Y11" s="74">
        <v>19</v>
      </c>
      <c r="Z11" s="74">
        <v>18</v>
      </c>
      <c r="AA11" s="74">
        <v>18</v>
      </c>
      <c r="AB11" s="74">
        <v>10</v>
      </c>
      <c r="AC11" s="74">
        <v>17</v>
      </c>
      <c r="AD11" s="74">
        <v>16</v>
      </c>
      <c r="AE11" s="74">
        <v>21</v>
      </c>
    </row>
    <row r="12" spans="1:99" ht="9.9" customHeight="1" ph="1"/>
    <row r="13" spans="1:99" s="72" customFormat="1" ht="29.25" customHeight="1" ph="1">
      <c r="B13" s="201" t="s" ph="1">
        <v>37</v>
      </c>
      <c r="C13" s="16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65" t="s" ph="1">
        <v>177</v>
      </c>
      <c r="D15" s="78">
        <v>2269</v>
      </c>
      <c r="E15" s="78">
        <v>63</v>
      </c>
      <c r="F15" s="78">
        <v>2363</v>
      </c>
      <c r="G15" s="78">
        <v>3486</v>
      </c>
      <c r="H15" s="78">
        <v>5352</v>
      </c>
      <c r="I15" s="78">
        <v>5206</v>
      </c>
      <c r="J15" s="78">
        <v>5479</v>
      </c>
      <c r="K15" s="78">
        <v>3572</v>
      </c>
      <c r="L15" s="78">
        <v>1346</v>
      </c>
      <c r="M15" s="78">
        <v>4979</v>
      </c>
      <c r="N15" s="78">
        <v>360</v>
      </c>
      <c r="O15" s="78">
        <v>2656</v>
      </c>
      <c r="P15" s="78">
        <v>5221</v>
      </c>
      <c r="Q15" s="78">
        <v>1347</v>
      </c>
      <c r="R15" s="78">
        <v>0</v>
      </c>
      <c r="S15" s="78">
        <v>715</v>
      </c>
      <c r="T15" s="78">
        <v>3702</v>
      </c>
      <c r="U15" s="78">
        <v>2810</v>
      </c>
      <c r="V15" s="78">
        <v>-817</v>
      </c>
      <c r="W15" s="71">
        <v>4883</v>
      </c>
      <c r="X15" s="78">
        <v>261</v>
      </c>
      <c r="Y15" s="106">
        <v>-9900</v>
      </c>
      <c r="Z15" s="78">
        <v>0</v>
      </c>
      <c r="AA15" s="78">
        <v>11</v>
      </c>
      <c r="AB15" s="78" ph="1">
        <v>6937</v>
      </c>
      <c r="AC15" s="78" ph="1">
        <v>2138</v>
      </c>
      <c r="AD15" s="78">
        <v>5.58</v>
      </c>
      <c r="AE15" s="78">
        <v>50.16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65" t="s" ph="1">
        <v>178</v>
      </c>
      <c r="D16" s="73" ph="1">
        <f>D15*7.0686*LOOKUP(D17,密度!$A$2:$A$50,密度!$L$2:$L$50)</f>
        <v>15124.450156199999</v>
      </c>
      <c r="E16" s="73" ph="1">
        <f>E15*7.0686*LOOKUP(E17,密度!$A$2:$A$50,密度!$L$2:$L$50)</f>
        <v>419.93845739999995</v>
      </c>
      <c r="F16" s="73" ph="1">
        <f>F15*9.0746*LOOKUP(F17,密度!$A$2:$A$50,密度!$L$2:$L$50)</f>
        <v>20221.012851399999</v>
      </c>
      <c r="G16" s="73" ph="1">
        <f>G15*9.0746*LOOKUP(G17,密度!$A$2:$A$50,密度!$B$2:$B$50)</f>
        <v>24902.328568320001</v>
      </c>
      <c r="H16" s="73" ph="1">
        <f>H15*9.0746*LOOKUP(H17,密度!$A$2:$A$50,密度!$L$2:$L$50)</f>
        <v>45847.492684799996</v>
      </c>
      <c r="I16" s="73" ph="1">
        <f>I15*9.0746*LOOKUP(I17,密度!$A$2:$A$50,密度!$U$2:$U$50)</f>
        <v>48565.153892800001</v>
      </c>
      <c r="J16" s="73" ph="1">
        <f>J15*9.0746*LOOKUP(J17,密度!$A$2:$A$50,密度!$L$2:$L$50)</f>
        <v>47034.867796400002</v>
      </c>
      <c r="K16" s="73" ph="1">
        <f>K15*9.0746*LOOKUP(K17,密度!$A$2:$A$50,密度!$C$2:$C$50)</f>
        <v>36148.618282240001</v>
      </c>
      <c r="L16" s="73" ph="1">
        <f>L15*9.0746*LOOKUP(L17,密度!$A$2:$A$50,密度!$E$2:$E$50)</f>
        <v>9679.9211930000001</v>
      </c>
      <c r="M16" s="73" ph="1">
        <f>M15*9.0746*LOOKUP(M17,密度!$A$2:$A$50,密度!$M$2:$M$50)</f>
        <v>39774.096122019997</v>
      </c>
      <c r="N16" s="73" ph="1">
        <f>N15*9.0746*LOOKUP(N17,密度!$A$2:$A$50,密度!$M$2:$M$50)</f>
        <v>2875.8133367999999</v>
      </c>
      <c r="O16" s="73" ph="1">
        <f>O15*9.0746*LOOKUP(O17,密度!$A$2:$A$50,密度!$G$2:$G$50)</f>
        <v>23354.971334400001</v>
      </c>
      <c r="P16" s="73" ph="1">
        <f ca="1">P15*9.0746*LOOKUP(P17,密度!$A$2:$A$51,密度!$Q$2:$Q$50)</f>
        <v>45104.793028066008</v>
      </c>
      <c r="Q16" s="73" ph="1">
        <f>Q15*9.0746*LOOKUP(Q17,密度!$A$2:$A$50,密度!$Q$2:$Q$50)</f>
        <v>11627.346778026002</v>
      </c>
      <c r="R16" s="73" ph="1">
        <f>MAX(R15*9.0746*LOOKUP(R17,密度!$A$2:$A$50,密度!$B$2:$B$50),0)</f>
        <v>0</v>
      </c>
      <c r="S16" s="73" ph="1">
        <f>S15*9.0746*LOOKUP(S17,密度!$A$2:$A$50,密度!$Q$2:$Q$50)</f>
        <v>6171.9027069700005</v>
      </c>
      <c r="T16" s="73" ph="1">
        <f>T15*9.0746*LOOKUP(T17,密度!$A$2:$A$50,密度!$O$2:$O$50)</f>
        <v>31376.954032800004</v>
      </c>
      <c r="U16" s="73" ph="1">
        <f>U15*9.0746*LOOKUP(U17,密度!$A$2:$A$50,密度!$H$2:$H$50)</f>
        <v>23477.5056582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47469.66521087999</v>
      </c>
      <c r="X16" s="73" ph="1">
        <f>MAX(5600*LOOKUP(X17,密度!$A$2:$A$50,密度!$I$2:$I$50)+X15*9.0476*LOOKUP(X17,密度!$A$2:$A$50,密度!$I$2:$I$50),0)</f>
        <v>8271.9191203999981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78.748471340000009</v>
      </c>
      <c r="AB16" s="73" ph="1">
        <f>AB15*9.0746*LOOKUP(AB17,密度!$A$2:$A$50,密度!$L$2:$L$50)</f>
        <v>59551.173189200003</v>
      </c>
      <c r="AC16" s="73" ph="1">
        <f>AC15*9.0746*LOOKUP(AC17,密度!$A$2:$A$50,密度!$L$2:$L$50)</f>
        <v>18392.6170704</v>
      </c>
      <c r="AD16" s="73" ph="1">
        <f>AD15*268.68*LOOKUP(AD17,密度!$A$2:$A$50,密度!B2:B50)+IF(AD15&lt;=0,0,1566*LOOKUP(AD17,密度!$A$2:$A$50,密度!B2:B50))</f>
        <v>2389.6567382399999</v>
      </c>
      <c r="AE16" s="73" ph="1">
        <f>AE15*268.68*LOOKUP(AE17,密度!$A$2:$A$50,密度!B2:B50)+IF(AE15&lt;=0,0,1566*LOOKUP(AE17,密度!$A$2:$A$50,密度!B2:B50))</f>
        <v>11727.514068479999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19</v>
      </c>
      <c r="E17" s="74">
        <v>19</v>
      </c>
      <c r="F17" s="74">
        <v>19</v>
      </c>
      <c r="G17" s="74">
        <v>16</v>
      </c>
      <c r="H17" s="74">
        <v>18</v>
      </c>
      <c r="I17" s="74">
        <v>15</v>
      </c>
      <c r="J17" s="74">
        <v>16</v>
      </c>
      <c r="K17" s="74">
        <v>16</v>
      </c>
      <c r="L17" s="74">
        <v>17</v>
      </c>
      <c r="M17" s="74">
        <v>17</v>
      </c>
      <c r="N17" s="74">
        <v>14</v>
      </c>
      <c r="O17" s="74">
        <v>17</v>
      </c>
      <c r="P17" s="74">
        <v>18</v>
      </c>
      <c r="Q17" s="74">
        <v>19</v>
      </c>
      <c r="R17" s="74">
        <v>18</v>
      </c>
      <c r="S17" s="74">
        <v>19</v>
      </c>
      <c r="T17" s="74">
        <v>18</v>
      </c>
      <c r="U17" s="74">
        <v>19</v>
      </c>
      <c r="V17" s="74">
        <v>16</v>
      </c>
      <c r="W17" s="74">
        <v>16</v>
      </c>
      <c r="X17" s="74">
        <v>28</v>
      </c>
      <c r="Y17" s="108">
        <v>28</v>
      </c>
      <c r="Z17" s="74">
        <v>15</v>
      </c>
      <c r="AA17" s="74">
        <v>14</v>
      </c>
      <c r="AB17" s="74">
        <v>16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3734</v>
      </c>
      <c r="E18" s="71">
        <v>1739</v>
      </c>
      <c r="F18" s="71">
        <v>324</v>
      </c>
      <c r="G18" s="71">
        <v>3562</v>
      </c>
      <c r="H18" s="71">
        <v>5358</v>
      </c>
      <c r="I18" s="71">
        <v>5211</v>
      </c>
      <c r="J18" s="71">
        <v>5490</v>
      </c>
      <c r="K18" s="71">
        <v>3574</v>
      </c>
      <c r="L18" s="71">
        <v>1348</v>
      </c>
      <c r="M18" s="71">
        <v>4990</v>
      </c>
      <c r="N18" s="71">
        <v>2203</v>
      </c>
      <c r="O18" s="71">
        <v>33</v>
      </c>
      <c r="P18" s="71">
        <v>3430</v>
      </c>
      <c r="Q18" s="71">
        <v>225</v>
      </c>
      <c r="R18" s="71">
        <v>0</v>
      </c>
      <c r="S18" s="71">
        <v>1171</v>
      </c>
      <c r="T18" s="71">
        <v>2309</v>
      </c>
      <c r="U18" s="71">
        <v>4626</v>
      </c>
      <c r="V18" s="71">
        <v>-817</v>
      </c>
      <c r="W18" s="71">
        <v>4904</v>
      </c>
      <c r="X18" s="71">
        <v>259</v>
      </c>
      <c r="Y18" s="109">
        <v>-9900</v>
      </c>
      <c r="Z18" s="71">
        <v>0</v>
      </c>
      <c r="AA18" s="71">
        <v>11</v>
      </c>
      <c r="AB18" s="71">
        <v>6945</v>
      </c>
      <c r="AC18" s="71">
        <v>2140</v>
      </c>
      <c r="AD18" s="71">
        <v>20.59</v>
      </c>
      <c r="AE18" s="71">
        <v>84.65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65" t="s" ph="1">
        <v>178</v>
      </c>
      <c r="D19" s="73" ph="1">
        <f>D18*7.0686*LOOKUP(D20,密度!$A$2:$A$50,密度!$L$2:$L$50)</f>
        <v>24731.320798799999</v>
      </c>
      <c r="E19" s="73" ph="1">
        <f>E18*7.0686*LOOKUP(E20,密度!$A$2:$A$50,密度!$L$2:$L$50)</f>
        <v>11517.880789800001</v>
      </c>
      <c r="F19" s="73" ph="1">
        <f>F18*9.0746*LOOKUP(F20,密度!$A$2:$A$50,密度!$L$2:$L$50)</f>
        <v>2763.7601759999998</v>
      </c>
      <c r="G19" s="73" ph="1">
        <f>G18*9.0746*LOOKUP(G20,密度!$A$2:$A$50,密度!$B$2:$B$50)</f>
        <v>25396.75088964</v>
      </c>
      <c r="H19" s="73" ph="1">
        <f>H18*9.0746*LOOKUP(H20,密度!$A$2:$A$50,密度!$L$2:$L$50)</f>
        <v>46093.378046400001</v>
      </c>
      <c r="I19" s="73" ph="1">
        <f>I18*9.0746*LOOKUP(I20,密度!$A$2:$A$50,密度!$U$2:$U$50)</f>
        <v>48611.797336800009</v>
      </c>
      <c r="J19" s="73" ph="1">
        <f>J18*9.0746*LOOKUP(J20,密度!$A$2:$A$50,密度!$L$2:$L$50)</f>
        <v>46930.019868000003</v>
      </c>
      <c r="K19" s="73" ph="1">
        <f>K18*9.0746*LOOKUP(K20,密度!$A$2:$A$50,密度!$C$2:$C$50)</f>
        <v>36103.993029279998</v>
      </c>
      <c r="L19" s="73" ph="1">
        <f>L18*9.0746*LOOKUP(L20,密度!$A$2:$A$50,密度!$E$2:$E$50)</f>
        <v>9667.3928002400007</v>
      </c>
      <c r="M19" s="73" ph="1">
        <f>M18*9.0746*LOOKUP(M20,密度!$A$2:$A$50,密度!$M$2:$M$50)</f>
        <v>39861.968196199996</v>
      </c>
      <c r="N19" s="73" ph="1">
        <f>N18*9.0746*LOOKUP(N20,密度!$A$2:$A$50,密度!$M$2:$M$50)</f>
        <v>17598.379947139998</v>
      </c>
      <c r="O19" s="73" ph="1">
        <f>O18*9.0746*LOOKUP(O20,密度!$A$2:$A$50,密度!$G$2:$G$50)</f>
        <v>289.25015261999999</v>
      </c>
      <c r="P19" s="73" ph="1">
        <f ca="1">P18*9.0746*LOOKUP(P20,密度!$A$2:$A$51,密度!$Q$2:$Q$50)</f>
        <v>29559.935077820002</v>
      </c>
      <c r="Q19" s="73" ph="1">
        <f>Q18*9.0746*LOOKUP(Q20,密度!$A$2:$A$50,密度!$Q$2:$Q$50)</f>
        <v>1933.0395309</v>
      </c>
      <c r="R19" s="73" ph="1">
        <f>MAX(R18*9.0746*LOOKUP(R20,密度!$A$2:$A$50,密度!$B$2:$B$50),0)</f>
        <v>0</v>
      </c>
      <c r="S19" s="73" ph="1">
        <f>S18*9.0746*LOOKUP(S20,密度!$A$2:$A$50,密度!$Q$2:$Q$50)</f>
        <v>10091.744599454001</v>
      </c>
      <c r="T19" s="73" ph="1">
        <f>T18*9.0746*LOOKUP(T20,密度!$A$2:$A$50,密度!$O$2:$O$50)</f>
        <v>19486.523802000003</v>
      </c>
      <c r="U19" s="73" ph="1">
        <f>U18*9.0746*LOOKUP(U20,密度!$A$2:$A$50,密度!$H$2:$H$50)</f>
        <v>38692.13610132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47308.058536895995</v>
      </c>
      <c r="X19" s="73" ph="1">
        <f>MAX(5600*LOOKUP(X20,密度!$A$2:$A$50,密度!$I$2:$I$50)+X18*9.0476*LOOKUP(X20,密度!$A$2:$A$50,密度!$I$2:$I$50),0)</f>
        <v>8208.635568560001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78.429045419999994</v>
      </c>
      <c r="AB19" s="73" ph="1">
        <f>AB18*9.0746*LOOKUP(AB20,密度!$A$2:$A$50,密度!$L$2:$L$50)</f>
        <v>59430.780470999998</v>
      </c>
      <c r="AC19" s="73" ph="1">
        <f>AC18*9.0746*LOOKUP(AC20,密度!$A$2:$A$50,密度!$L$2:$L$50)</f>
        <v>18351.563579999998</v>
      </c>
      <c r="AD19" s="73" ph="1">
        <f>AD18*268.68*LOOKUP(AD20,密度!$A$2:$A$50,密度!B5:B53)+IF(AD18&lt;=0,0,1566*LOOKUP(AD20,密度!$A$2:$A$50,密度!B5:B53))</f>
        <v>5515.240172400001</v>
      </c>
      <c r="AE19" s="73" ph="1">
        <f>AE18*268.68*LOOKUP(AE20,密度!$A$2:$A$50,密度!B5:B53)+IF(AE18&lt;=0,0,1566*LOOKUP(AE20,密度!$A$2:$A$50,密度!B5:B53))</f>
        <v>18888.685074000001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25</v>
      </c>
      <c r="E20" s="81">
        <v>25</v>
      </c>
      <c r="F20" s="81">
        <v>22</v>
      </c>
      <c r="G20" s="81">
        <v>18</v>
      </c>
      <c r="H20" s="81">
        <v>14</v>
      </c>
      <c r="I20" s="81">
        <v>19</v>
      </c>
      <c r="J20" s="81">
        <v>20</v>
      </c>
      <c r="K20" s="81">
        <v>19</v>
      </c>
      <c r="L20" s="81">
        <v>19</v>
      </c>
      <c r="M20" s="81">
        <v>20</v>
      </c>
      <c r="N20" s="81">
        <v>19</v>
      </c>
      <c r="O20" s="81">
        <v>20</v>
      </c>
      <c r="P20" s="81">
        <v>21</v>
      </c>
      <c r="Q20" s="81">
        <v>25</v>
      </c>
      <c r="R20" s="81">
        <v>30</v>
      </c>
      <c r="S20" s="81">
        <v>21</v>
      </c>
      <c r="T20" s="81">
        <v>23</v>
      </c>
      <c r="U20" s="81">
        <v>18</v>
      </c>
      <c r="V20" s="81">
        <v>20</v>
      </c>
      <c r="W20" s="81">
        <v>25</v>
      </c>
      <c r="X20" s="81">
        <v>33</v>
      </c>
      <c r="Y20" s="110">
        <v>33</v>
      </c>
      <c r="Z20" s="81">
        <v>16</v>
      </c>
      <c r="AA20" s="81">
        <v>18</v>
      </c>
      <c r="AB20" s="81">
        <v>19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644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65" t="s" ph="1">
        <v>177</v>
      </c>
      <c r="D24" s="71">
        <v>5.49</v>
      </c>
      <c r="E24" s="71">
        <v>3.29</v>
      </c>
      <c r="F24" s="71">
        <v>566</v>
      </c>
      <c r="G24" s="71">
        <v>3747</v>
      </c>
      <c r="H24" s="71">
        <v>3671</v>
      </c>
      <c r="I24" s="71">
        <v>2701</v>
      </c>
      <c r="J24" s="71">
        <v>4990</v>
      </c>
      <c r="K24" s="71">
        <v>1530</v>
      </c>
      <c r="L24" s="71">
        <v>4370</v>
      </c>
      <c r="M24" s="71">
        <v>422</v>
      </c>
      <c r="N24" s="71">
        <v>2842</v>
      </c>
      <c r="O24" s="71">
        <v>5715</v>
      </c>
      <c r="P24" s="71">
        <v>356</v>
      </c>
      <c r="Q24" s="90">
        <v>896</v>
      </c>
      <c r="R24" s="71">
        <v>5663</v>
      </c>
      <c r="S24" s="71">
        <v>2065</v>
      </c>
      <c r="T24" s="71">
        <v>1548</v>
      </c>
      <c r="U24" s="71">
        <v>4753</v>
      </c>
      <c r="V24" s="71">
        <v>6408</v>
      </c>
      <c r="W24" s="71">
        <v>2585</v>
      </c>
      <c r="X24" s="71">
        <v>7836</v>
      </c>
      <c r="Y24" s="71">
        <v>7931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2879.0867065680004</v>
      </c>
      <c r="E25" s="91" ph="1">
        <f>E24*268.68*LOOKUP(E26,密度!$A$2:$A$50,密度!$C$2:$C$50)+IF(E24&lt;=0,0,1566*LOOKUP(E26,密度!$A$2:$A$50,密度!$C$2:$C$50))</f>
        <v>2716.7575390800002</v>
      </c>
      <c r="F25" s="91" ph="1">
        <f>F24*11.702*LOOKUP(F26,密度!$A$2:$A$50,密度!$Q$2:$Q$50)</f>
        <v>6310.7107296000004</v>
      </c>
      <c r="G25" s="91" ph="1">
        <f>G24*18.322*LOOKUP(G26,密度!$A$2:$A$50,密度!$B$2:$B$50)</f>
        <v>53940.295963799996</v>
      </c>
      <c r="H25" s="91" ph="1">
        <f>H24*18.322*LOOKUP(H26,密度!$A$2:$A$50,密度!$B$2:$B$50)</f>
        <v>52893.312756799991</v>
      </c>
      <c r="I25" s="91" ph="1">
        <f>I24*18.322*LOOKUP(I26,密度!$A$2:$A$50,密度!$Q$2:$Q$50)</f>
        <v>47112.806221219995</v>
      </c>
      <c r="J25" s="91" ph="1">
        <f>J24*18.322*LOOKUP(J26,密度!$A$2:$A$50,密度!$Q$2:$Q$50)</f>
        <v>87111.435983999996</v>
      </c>
      <c r="K25" s="91" ph="1">
        <f>K24*18.322*LOOKUP(K26,密度!$A$2:$A$50,密度!$Q$2:$Q$50)</f>
        <v>26687.372646600001</v>
      </c>
      <c r="L25" s="91" ph="1">
        <f>L24*18.322*LOOKUP(L26,密度!$A$2:$A$50,密度!$Q$2:$Q$50)</f>
        <v>76287.970992000002</v>
      </c>
      <c r="M25" s="91" ph="1">
        <f>M24*18.322*LOOKUP(M26,密度!$A$2:$A$50,密度!$Q$2:$Q$50)</f>
        <v>7366.9390751999999</v>
      </c>
      <c r="N25" s="91" ph="1">
        <f>N24*18.322*LOOKUP(N26,密度!$A$2:$A$50,密度!$Q$2:$Q$50)</f>
        <v>49572.230759239996</v>
      </c>
      <c r="O25" s="91" ph="1">
        <f>O24*18.322*LOOKUP(O26,密度!$A$2:$A$50,密度!$C$2:$C$50)</f>
        <v>116636.72519699998</v>
      </c>
      <c r="P25" s="91" ph="1">
        <f>P24*11.702*LOOKUP(P26,密度!$A$2:$A$50,密度!$B$2:$B$50)</f>
        <v>3276.0731968</v>
      </c>
      <c r="Q25" s="92" ph="1">
        <f>Q24*18.322*LOOKUP(Q26,密度!$A$2:$A$50,密度!$B$2:$B$50)</f>
        <v>12909.945036799998</v>
      </c>
      <c r="R25" s="91" ph="1">
        <f>R24*35.891*LOOKUP(R26,密度!$A$2:$A$50,密度!$C$2:$C$50)</f>
        <v>226400.99148869995</v>
      </c>
      <c r="S25" s="91" ph="1">
        <f>S24*35.891*LOOKUP(S26,密度!$A$2:$A$50,密度!$B$2:$B$50)</f>
        <v>58232.088715499995</v>
      </c>
      <c r="T25" s="91" ph="1">
        <f>T24*35.891*LOOKUP(T26,密度!$A$2:$A$50,密度!$Q$2:$Q$50)</f>
        <v>52892.978728679998</v>
      </c>
      <c r="U25" s="91" ph="1">
        <f>U24*35.891</f>
        <v>170589.92299999998</v>
      </c>
      <c r="V25" s="91" ph="1">
        <f>V24*47.051*LOOKUP(V26,密度!$A$2:$A$50,密度!$B$2:$B$50)</f>
        <v>236890.7562456</v>
      </c>
      <c r="W25" s="91" ph="1">
        <f>W24*47.051*LOOKUP(W26,密度!$A$2:$A$50,密度!$B$2:$B$50)</f>
        <v>95562.204259499995</v>
      </c>
      <c r="X25" s="91" ph="1">
        <f>X24*47.051*LOOKUP(X26,密度!$A$2:$A$61,密度!$I$2:$I$61)</f>
        <v>373558.36559520004</v>
      </c>
      <c r="Y25" s="91" ph="1">
        <f>Y24*47.051*LOOKUP(Y26,密度!$A$2:$A$50,密度!$L$2:$L$50)</f>
        <v>352264.43806399999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17</v>
      </c>
      <c r="G26" s="74">
        <v>18</v>
      </c>
      <c r="H26" s="74">
        <v>17</v>
      </c>
      <c r="I26" s="74">
        <v>18</v>
      </c>
      <c r="J26" s="74">
        <v>17</v>
      </c>
      <c r="K26" s="74">
        <v>18</v>
      </c>
      <c r="L26" s="74">
        <v>17</v>
      </c>
      <c r="M26" s="74">
        <v>17</v>
      </c>
      <c r="N26" s="74">
        <v>18</v>
      </c>
      <c r="O26" s="74">
        <v>18</v>
      </c>
      <c r="P26" s="74">
        <v>17</v>
      </c>
      <c r="Q26" s="93">
        <v>17</v>
      </c>
      <c r="R26" s="74">
        <v>18</v>
      </c>
      <c r="S26" s="74">
        <v>18</v>
      </c>
      <c r="T26" s="74">
        <v>18</v>
      </c>
      <c r="U26" s="74">
        <v>17</v>
      </c>
      <c r="V26" s="74">
        <v>18</v>
      </c>
      <c r="W26" s="74">
        <v>18</v>
      </c>
      <c r="X26" s="74">
        <v>51</v>
      </c>
      <c r="Y26" s="74">
        <v>18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65" t="s" ph="1">
        <v>180</v>
      </c>
      <c r="D27" s="71">
        <v>5.5</v>
      </c>
      <c r="E27" s="71">
        <v>3.27</v>
      </c>
      <c r="F27" s="71">
        <v>565</v>
      </c>
      <c r="G27" s="71">
        <v>3310</v>
      </c>
      <c r="H27" s="71">
        <v>2532</v>
      </c>
      <c r="I27" s="71">
        <v>3246</v>
      </c>
      <c r="J27" s="71">
        <v>4991</v>
      </c>
      <c r="K27" s="71">
        <v>4858</v>
      </c>
      <c r="L27" s="71">
        <v>4368</v>
      </c>
      <c r="M27" s="71">
        <v>418</v>
      </c>
      <c r="N27" s="71">
        <v>2840</v>
      </c>
      <c r="O27" s="71">
        <v>5713</v>
      </c>
      <c r="P27" s="71">
        <v>352</v>
      </c>
      <c r="Q27" s="90">
        <v>1115</v>
      </c>
      <c r="R27" s="71">
        <v>5662</v>
      </c>
      <c r="S27" s="71">
        <v>1680</v>
      </c>
      <c r="T27" s="71">
        <v>1080</v>
      </c>
      <c r="U27" s="71">
        <v>4513</v>
      </c>
      <c r="V27" s="71">
        <v>6409</v>
      </c>
      <c r="W27" s="71">
        <v>2722</v>
      </c>
      <c r="X27" s="71">
        <v>8051</v>
      </c>
      <c r="Y27" s="71">
        <v>6849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65" t="s" ph="1">
        <v>178</v>
      </c>
      <c r="D28" s="91" ph="1">
        <f>D27*268.68*LOOKUP(D29,密度!$A$2:$A$50,密度!$Q$2:$Q$50)+IF(D27&lt;=0,0,1566*LOOKUP(D29,密度!$A$2:$A$50,密度!$Q$2:$Q$50))</f>
        <v>2881.6304076000001</v>
      </c>
      <c r="E28" s="91" ph="1">
        <f>E27*268.68*LOOKUP(E29,密度!$A$2:$A$50,密度!$C$2:$C$50)+IF(E27&lt;=0,0,1566*LOOKUP(E29,密度!$A$2:$A$50,密度!$C$2:$C$50))</f>
        <v>2710.7987540399999</v>
      </c>
      <c r="F28" s="91" ph="1">
        <f>F27*11.702*LOOKUP(F29,密度!$A$2:$A$50,密度!$Q$2:$Q$50)</f>
        <v>6294.3378763000001</v>
      </c>
      <c r="G28" s="91" ph="1">
        <f>G27*18.322*LOOKUP(G29,密度!$A$2:$A$50,密度!$B$2:$B$50)</f>
        <v>47649.420773999998</v>
      </c>
      <c r="H28" s="91" ph="1">
        <f>H27*18.322*LOOKUP(H29,密度!$A$2:$A$50,密度!$B$2:$B$50)</f>
        <v>36449.647552799994</v>
      </c>
      <c r="I28" s="91" ph="1">
        <f>I27*18.322*LOOKUP(I29,密度!$A$2:$A$50,密度!$Q$2:$Q$50)</f>
        <v>56619.092556119998</v>
      </c>
      <c r="J28" s="91" ph="1">
        <f>J27*18.322*LOOKUP(J29,密度!$A$2:$A$50,密度!$Q$2:$Q$50)</f>
        <v>87128.893185599998</v>
      </c>
      <c r="K28" s="91" ph="1">
        <f>K27*18.322*LOOKUP(K29,密度!$A$2:$A$50,密度!$Q$2:$Q$50)</f>
        <v>84807.085372799993</v>
      </c>
      <c r="L28" s="91" ph="1">
        <f>L27*18.322*LOOKUP(L29,密度!$A$2:$A$50,密度!$Q$2:$Q$50)</f>
        <v>76189.832496960007</v>
      </c>
      <c r="M28" s="91" ph="1">
        <f>M27*18.322*LOOKUP(M29,密度!$A$2:$A$50,密度!$Q$2:$Q$50)</f>
        <v>7285.08627308</v>
      </c>
      <c r="N28" s="91" ph="1">
        <f>N27*18.322*LOOKUP(N29,密度!$A$2:$A$50,密度!$Q$2:$Q$50)</f>
        <v>49537.345304799994</v>
      </c>
      <c r="O28" s="91" ph="1">
        <f>O27*18.322*LOOKUP(O29,密度!$A$2:$A$50,密度!$C$2:$C$50)</f>
        <v>116595.90744539998</v>
      </c>
      <c r="P28" s="91" ph="1">
        <f>P27*11.702*LOOKUP(P29,密度!$A$2:$A$50,密度!$B$2:$B$50)</f>
        <v>3218.6678656000004</v>
      </c>
      <c r="Q28" s="92" ph="1">
        <f>Q27*18.322*LOOKUP(Q29,密度!$A$2:$A$50,密度!$B$2:$B$50)</f>
        <v>16065.389191999999</v>
      </c>
      <c r="R28" s="91" ph="1">
        <f>R27*35.891*LOOKUP(R29,密度!$A$2:$A$50,密度!$C$2:$C$50)</f>
        <v>226482.94140900002</v>
      </c>
      <c r="S28" s="91" ph="1">
        <f>S27*35.891*LOOKUP(S29,密度!$A$2:$A$50,密度!$B$2:$B$50)</f>
        <v>47375.258615999992</v>
      </c>
      <c r="T28" s="91" ph="1">
        <f>T27*35.891*LOOKUP(T29,密度!$A$2:$A$50,密度!$Q$2:$Q$50)</f>
        <v>36902.078182799996</v>
      </c>
      <c r="U28" s="91" ph="1">
        <f>U27*35.891</f>
        <v>161976.08299999998</v>
      </c>
      <c r="V28" s="91" ph="1">
        <f>V27*47.051*LOOKUP(V29,密度!$A$2:$A$50,密度!$B$2:$B$50)</f>
        <v>237380.04900480001</v>
      </c>
      <c r="W28" s="91" ph="1">
        <f>W27*47.051*LOOKUP(W29,密度!$A$2:$A$50,密度!$B$2:$B$50)</f>
        <v>100818.92547840001</v>
      </c>
      <c r="X28" s="91" ph="1">
        <f>X27*47.051*LOOKUP(X29,密度!$A$2:$A$61,密度!$I$2:$I$61)</f>
        <v>388467.19482550008</v>
      </c>
      <c r="Y28" s="91" ph="1">
        <f>Y27*47.051*LOOKUP(Y29,密度!$A$2:$A$50,密度!$L$2:$L$50)</f>
        <v>302594.90876099997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65" t="s" ph="1">
        <v>179</v>
      </c>
      <c r="D29" s="74">
        <v>25</v>
      </c>
      <c r="E29" s="74">
        <v>25</v>
      </c>
      <c r="F29" s="74">
        <v>18</v>
      </c>
      <c r="G29" s="74">
        <v>18</v>
      </c>
      <c r="H29" s="74">
        <v>18</v>
      </c>
      <c r="I29" s="74">
        <v>18</v>
      </c>
      <c r="J29" s="74">
        <v>17</v>
      </c>
      <c r="K29" s="74">
        <v>17</v>
      </c>
      <c r="L29" s="74">
        <v>18</v>
      </c>
      <c r="M29" s="74">
        <v>19</v>
      </c>
      <c r="N29" s="74">
        <v>18</v>
      </c>
      <c r="O29" s="74">
        <v>18</v>
      </c>
      <c r="P29" s="74">
        <v>23</v>
      </c>
      <c r="Q29" s="93">
        <v>17</v>
      </c>
      <c r="R29" s="74">
        <v>17</v>
      </c>
      <c r="S29" s="74">
        <v>18</v>
      </c>
      <c r="T29" s="74">
        <v>18</v>
      </c>
      <c r="U29" s="74">
        <v>18</v>
      </c>
      <c r="V29" s="74">
        <v>16</v>
      </c>
      <c r="W29" s="74">
        <v>16</v>
      </c>
      <c r="X29" s="74">
        <v>40</v>
      </c>
      <c r="Y29" s="74">
        <v>23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345092.33815919998</v>
      </c>
      <c r="E33" s="215" ph="1">
        <f>M10+I10</f>
        <v>27137.453129499998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9" ph="1">
        <f>N19</f>
        <v>17598.379947139998</v>
      </c>
      <c r="H33" s="215" ph="1">
        <f>M19</f>
        <v>39861.968196199996</v>
      </c>
      <c r="I33" s="228" ph="1">
        <v>0</v>
      </c>
      <c r="J33" s="226" ph="1">
        <f>F10+O28</f>
        <v>326751.17325180001</v>
      </c>
      <c r="K33" s="215" ph="1">
        <f>O10+K10+E28+R28</f>
        <v>338970.07918984001</v>
      </c>
      <c r="L33" s="230" ph="1">
        <f>K19</f>
        <v>36103.993029279998</v>
      </c>
      <c r="M33" s="226" ph="1">
        <f>G10+H10+W28+S28+V28+E10+R19+P28+Q28</f>
        <v>655512.04144479998</v>
      </c>
      <c r="N33" s="215" ph="1">
        <f>L10+P10++G28+H28+AD19+AE19</f>
        <v>240159.12511719999</v>
      </c>
      <c r="O33" s="228" ph="1">
        <f>G19</f>
        <v>25396.75088964</v>
      </c>
      <c r="P33" s="226" ph="1">
        <f>L19</f>
        <v>9667.3928002400007</v>
      </c>
      <c r="Q33" s="215" ph="1">
        <f>J10+N10</f>
        <v>92205.008265700002</v>
      </c>
      <c r="R33" s="228" ph="1">
        <f>BE23</f>
        <v>890</v>
      </c>
      <c r="S33" s="226" ph="1">
        <f>X28</f>
        <v>388467.19482550008</v>
      </c>
      <c r="T33" s="215" ph="1">
        <f>X19</f>
        <v>8208.635568560001</v>
      </c>
      <c r="U33" s="236" ph="1">
        <f>BE21</f>
        <v>730</v>
      </c>
      <c r="V33" s="247" ph="1">
        <f ca="1">P19+Q19+S19+M28+N28+J28+D10+AC10+D19+E19+H19+J19+O19+V19+W19+K28+L28</f>
        <v>1182206.1736731401</v>
      </c>
      <c r="W33" s="247" ph="1">
        <f>D28+F28+T28+I28</f>
        <v>102697.13902281999</v>
      </c>
      <c r="X33" s="228" ph="1">
        <f>BE29+BE31</f>
        <v>10200</v>
      </c>
      <c r="Y33" s="249" ph="1">
        <f>+Q10+R10+S10+T10+U10+V10+W10+X10+Y10</f>
        <v>180453.3492762</v>
      </c>
      <c r="Z33" s="234" ph="1">
        <f>T19+U19+Y28+Z10</f>
        <v>467371.69972031994</v>
      </c>
      <c r="AA33" s="236" ph="1">
        <f>BE19</f>
        <v>1440</v>
      </c>
      <c r="AB33" s="238" ph="1">
        <f>I19</f>
        <v>48611.797336800009</v>
      </c>
      <c r="AC33" s="240" ph="1">
        <f>AD10+AB19</f>
        <v>153561.37023100001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3" t="s" ph="1">
        <v>185</v>
      </c>
      <c r="AA36" s="163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342</v>
      </c>
      <c r="AI37" s="163" t="s" ph="1">
        <v>209</v>
      </c>
      <c r="AJ37" s="163" t="s" ph="1">
        <v>210</v>
      </c>
      <c r="AK37" s="163" t="s" ph="1">
        <v>211</v>
      </c>
      <c r="AM37" s="163" t="s" ph="1">
        <v>210</v>
      </c>
      <c r="AN37" s="163" t="s" ph="1">
        <v>211</v>
      </c>
      <c r="AO37" s="163" t="s" ph="1">
        <v>212</v>
      </c>
      <c r="AP37" s="163" t="s" ph="1">
        <v>210</v>
      </c>
      <c r="AQ37" s="163" t="s" ph="1">
        <v>211</v>
      </c>
      <c r="AR37" s="163" t="s" ph="1">
        <v>212</v>
      </c>
      <c r="AS37" s="163" t="s" ph="1">
        <v>210</v>
      </c>
      <c r="AT37" s="163" t="s" ph="1">
        <v>211</v>
      </c>
      <c r="AU37" s="163" t="s" ph="1">
        <v>212</v>
      </c>
      <c r="AV37" s="163" t="s" ph="1">
        <v>210</v>
      </c>
      <c r="AW37" s="163" t="s" ph="1">
        <v>211</v>
      </c>
      <c r="AX37" s="163" t="s" ph="1">
        <v>212</v>
      </c>
      <c r="AY37" s="163" t="s" ph="1">
        <v>211</v>
      </c>
      <c r="AZ37" s="163" t="s" ph="1">
        <v>213</v>
      </c>
      <c r="BD37" s="163" t="s" ph="1">
        <v>305</v>
      </c>
      <c r="BE37" s="16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909" priority="100">
      <formula>ABS(D$7-D$10)&gt;=1000</formula>
    </cfRule>
  </conditionalFormatting>
  <conditionalFormatting sqref="E4 E6:E11">
    <cfRule type="expression" dxfId="908" priority="99">
      <formula>ABS(E$7-E$10)&gt;=1000</formula>
    </cfRule>
  </conditionalFormatting>
  <conditionalFormatting sqref="F4:F11">
    <cfRule type="expression" dxfId="907" priority="98">
      <formula>ABS(F$7-F$10)&gt;=1000</formula>
    </cfRule>
  </conditionalFormatting>
  <conditionalFormatting sqref="G4:G11">
    <cfRule type="expression" dxfId="906" priority="97">
      <formula>ABS(G$7-G$10)&gt;=1000</formula>
    </cfRule>
  </conditionalFormatting>
  <conditionalFormatting sqref="H4:H11">
    <cfRule type="expression" dxfId="905" priority="96">
      <formula>ABS(H$7-H$10)&gt;=1000</formula>
    </cfRule>
  </conditionalFormatting>
  <conditionalFormatting sqref="I4:I11">
    <cfRule type="expression" dxfId="904" priority="95">
      <formula>ABS(I$7-I$10)&gt;=1000</formula>
    </cfRule>
  </conditionalFormatting>
  <conditionalFormatting sqref="J4:J11">
    <cfRule type="expression" dxfId="903" priority="94">
      <formula>ABS(J$7-J$10)&gt;=1000</formula>
    </cfRule>
  </conditionalFormatting>
  <conditionalFormatting sqref="K4:K11">
    <cfRule type="expression" dxfId="902" priority="93">
      <formula>ABS(K$7-K$10)&gt;=1000</formula>
    </cfRule>
  </conditionalFormatting>
  <conditionalFormatting sqref="L4:L11">
    <cfRule type="expression" dxfId="901" priority="92">
      <formula>ABS(L$7-L$10)&gt;=1000</formula>
    </cfRule>
  </conditionalFormatting>
  <conditionalFormatting sqref="M4 M6:M11">
    <cfRule type="expression" dxfId="900" priority="91">
      <formula>ABS(M$7-M$10)&gt;=1000</formula>
    </cfRule>
  </conditionalFormatting>
  <conditionalFormatting sqref="N4 N6:N11">
    <cfRule type="expression" dxfId="899" priority="90">
      <formula>ABS(N$7-N$10)&gt;=1000</formula>
    </cfRule>
  </conditionalFormatting>
  <conditionalFormatting sqref="O4 O6:O11">
    <cfRule type="expression" dxfId="898" priority="89">
      <formula>ABS(O$7-O$10)&gt;=1000</formula>
    </cfRule>
  </conditionalFormatting>
  <conditionalFormatting sqref="P4 P6:P11">
    <cfRule type="expression" dxfId="897" priority="88">
      <formula>ABS(P$7-P$10)&gt;=1000</formula>
    </cfRule>
  </conditionalFormatting>
  <conditionalFormatting sqref="Q4:Q11">
    <cfRule type="expression" dxfId="896" priority="87">
      <formula>ABS(Q$7-Q$10)&gt;=1000</formula>
    </cfRule>
  </conditionalFormatting>
  <conditionalFormatting sqref="R4:R11">
    <cfRule type="expression" dxfId="895" priority="86">
      <formula>ABS(R$7-R$10)&gt;=1000</formula>
    </cfRule>
  </conditionalFormatting>
  <conditionalFormatting sqref="S4:S11">
    <cfRule type="expression" dxfId="894" priority="85">
      <formula>ABS(S$7-S$10)&gt;=1000</formula>
    </cfRule>
  </conditionalFormatting>
  <conditionalFormatting sqref="T4:T9 T11">
    <cfRule type="expression" dxfId="893" priority="84">
      <formula>ABS(T$7-T$10)&gt;=1000</formula>
    </cfRule>
  </conditionalFormatting>
  <conditionalFormatting sqref="U4:U9 U11">
    <cfRule type="expression" dxfId="892" priority="83">
      <formula>ABS(U$7-U$10)&gt;=1000</formula>
    </cfRule>
  </conditionalFormatting>
  <conditionalFormatting sqref="V4:V9 V11">
    <cfRule type="expression" dxfId="891" priority="82">
      <formula>ABS(V$7-V$10)&gt;=1000</formula>
    </cfRule>
  </conditionalFormatting>
  <conditionalFormatting sqref="W4:W9 W11">
    <cfRule type="expression" dxfId="890" priority="81">
      <formula>ABS(W$7-W$10)&gt;=1000</formula>
    </cfRule>
  </conditionalFormatting>
  <conditionalFormatting sqref="X4:X9 X11">
    <cfRule type="expression" dxfId="889" priority="80">
      <formula>ABS(X$7-X$10)&gt;=1000</formula>
    </cfRule>
  </conditionalFormatting>
  <conditionalFormatting sqref="Y4:Y9 Y11">
    <cfRule type="expression" dxfId="888" priority="79">
      <formula>ABS(Y$7-Y$10)&gt;=1000</formula>
    </cfRule>
  </conditionalFormatting>
  <conditionalFormatting sqref="Z4:Z11">
    <cfRule type="expression" dxfId="887" priority="78">
      <formula>ABS(Z$7-Z$10)&gt;=1000</formula>
    </cfRule>
  </conditionalFormatting>
  <conditionalFormatting sqref="AA4:AA11">
    <cfRule type="expression" dxfId="886" priority="77">
      <formula>ABS(AA$7-AA$10)&gt;=1000</formula>
    </cfRule>
  </conditionalFormatting>
  <conditionalFormatting sqref="AB4:AB11">
    <cfRule type="expression" dxfId="885" priority="76">
      <formula>ABS(AB$7-AB$10)&gt;=1000</formula>
    </cfRule>
  </conditionalFormatting>
  <conditionalFormatting sqref="AC4 AC6:AC11">
    <cfRule type="expression" dxfId="884" priority="75">
      <formula>ABS(AC$7-AC$10)&gt;=1000</formula>
    </cfRule>
  </conditionalFormatting>
  <conditionalFormatting sqref="AD4 AD6:AD11">
    <cfRule type="expression" dxfId="883" priority="74">
      <formula>ABS(AD$7-AD$10)&gt;=1000</formula>
    </cfRule>
  </conditionalFormatting>
  <conditionalFormatting sqref="AE4 AE6:AE11">
    <cfRule type="expression" dxfId="882" priority="73">
      <formula>ABS(AE$7-AE$10)&gt;=1000</formula>
    </cfRule>
  </conditionalFormatting>
  <conditionalFormatting sqref="D13:D20">
    <cfRule type="expression" dxfId="881" priority="72">
      <formula>ABS(D$16-D$19)&gt;=1000</formula>
    </cfRule>
  </conditionalFormatting>
  <conditionalFormatting sqref="E13:E20">
    <cfRule type="expression" dxfId="880" priority="71">
      <formula>ABS(E$16-E$19)&gt;=1000</formula>
    </cfRule>
  </conditionalFormatting>
  <conditionalFormatting sqref="F13 F15:F20">
    <cfRule type="expression" dxfId="879" priority="70">
      <formula>ABS(F$16-F$19)&gt;=1000</formula>
    </cfRule>
  </conditionalFormatting>
  <conditionalFormatting sqref="G13:G20">
    <cfRule type="expression" dxfId="878" priority="69">
      <formula>ABS(G$16-G$19)&gt;=1000</formula>
    </cfRule>
  </conditionalFormatting>
  <conditionalFormatting sqref="H13 H15:H20">
    <cfRule type="expression" dxfId="877" priority="68">
      <formula>ABS(H$16-H$19)&gt;=1000</formula>
    </cfRule>
  </conditionalFormatting>
  <conditionalFormatting sqref="I13:I20">
    <cfRule type="expression" dxfId="876" priority="67">
      <formula>ABS(I$16-I$19)&gt;=1000</formula>
    </cfRule>
  </conditionalFormatting>
  <conditionalFormatting sqref="J13:J20">
    <cfRule type="expression" dxfId="875" priority="66">
      <formula>ABS(J$16-J$19)&gt;=1000</formula>
    </cfRule>
  </conditionalFormatting>
  <conditionalFormatting sqref="L13:L20">
    <cfRule type="expression" dxfId="874" priority="65">
      <formula>ABS(L$16-L$19)&gt;=1000</formula>
    </cfRule>
  </conditionalFormatting>
  <conditionalFormatting sqref="M13 M15 M17:M18 M20">
    <cfRule type="expression" dxfId="873" priority="64">
      <formula>ABS(M$16-M$19)&gt;=1000</formula>
    </cfRule>
  </conditionalFormatting>
  <conditionalFormatting sqref="N13:N20">
    <cfRule type="expression" dxfId="872" priority="63">
      <formula>ABS(N$16-N$19)&gt;=1000</formula>
    </cfRule>
  </conditionalFormatting>
  <conditionalFormatting sqref="O13:O20">
    <cfRule type="expression" dxfId="871" priority="62">
      <formula>ABS(O$16-O$19)&gt;=1000</formula>
    </cfRule>
  </conditionalFormatting>
  <conditionalFormatting sqref="P13:P20">
    <cfRule type="expression" dxfId="870" priority="61">
      <formula>ABS(P$16-P$19)&gt;=1000</formula>
    </cfRule>
  </conditionalFormatting>
  <conditionalFormatting sqref="Q13 Q15:Q20">
    <cfRule type="expression" dxfId="869" priority="60">
      <formula>ABS(Q$16-Q$19)&gt;=1000</formula>
    </cfRule>
  </conditionalFormatting>
  <conditionalFormatting sqref="R13:R20">
    <cfRule type="expression" dxfId="868" priority="59">
      <formula>ABS(R$16-R$19)&gt;=1000</formula>
    </cfRule>
  </conditionalFormatting>
  <conditionalFormatting sqref="S13:S20">
    <cfRule type="expression" dxfId="867" priority="58">
      <formula>ABS(S$16-S$19)&gt;=1000</formula>
    </cfRule>
  </conditionalFormatting>
  <conditionalFormatting sqref="T13:T20">
    <cfRule type="expression" dxfId="866" priority="57">
      <formula>ABS(T$16-T$19)&gt;=1000</formula>
    </cfRule>
  </conditionalFormatting>
  <conditionalFormatting sqref="U13:U20">
    <cfRule type="expression" dxfId="865" priority="56">
      <formula>ABS(U$16-U$19)&gt;=1000</formula>
    </cfRule>
  </conditionalFormatting>
  <conditionalFormatting sqref="V13:V20">
    <cfRule type="expression" dxfId="864" priority="55">
      <formula>ABS(V$16-V$19)&gt;=1000</formula>
    </cfRule>
  </conditionalFormatting>
  <conditionalFormatting sqref="W13 W20 W15:W18">
    <cfRule type="expression" dxfId="863" priority="54">
      <formula>ABS(W$16-W$19)&gt;=1000</formula>
    </cfRule>
  </conditionalFormatting>
  <conditionalFormatting sqref="X13 X15:X20 Y19">
    <cfRule type="expression" dxfId="862" priority="53">
      <formula>ABS(X$16-X$19)&gt;=1000</formula>
    </cfRule>
  </conditionalFormatting>
  <conditionalFormatting sqref="Y13 Y15:Y18 Y20">
    <cfRule type="expression" dxfId="861" priority="52">
      <formula>ABS(Y$16-Y$19)&gt;=1000</formula>
    </cfRule>
  </conditionalFormatting>
  <conditionalFormatting sqref="Z13:Z20">
    <cfRule type="expression" dxfId="860" priority="51">
      <formula>ABS(Z$16-Z$19)&gt;=1000</formula>
    </cfRule>
  </conditionalFormatting>
  <conditionalFormatting sqref="AA13:AA20">
    <cfRule type="expression" dxfId="859" priority="50">
      <formula>ABS(AA$16-AA$19)&gt;=1000</formula>
    </cfRule>
  </conditionalFormatting>
  <conditionalFormatting sqref="AB13 AB15:AB20">
    <cfRule type="expression" dxfId="858" priority="49">
      <formula>ABS(AB$16-AB$19)&gt;=1000</formula>
    </cfRule>
  </conditionalFormatting>
  <conditionalFormatting sqref="AC13 AC15:AC20">
    <cfRule type="expression" dxfId="857" priority="48">
      <formula>ABS(AC$16-AC$19)&gt;=1000</formula>
    </cfRule>
  </conditionalFormatting>
  <conditionalFormatting sqref="AD13:AD20">
    <cfRule type="expression" dxfId="856" priority="47">
      <formula>ABS(AD$16-AD$19)&gt;=1000</formula>
    </cfRule>
  </conditionalFormatting>
  <conditionalFormatting sqref="AE13:AE20">
    <cfRule type="expression" dxfId="855" priority="46">
      <formula>ABS(AE$16-AE$19)&gt;=1000</formula>
    </cfRule>
  </conditionalFormatting>
  <conditionalFormatting sqref="D22:D29">
    <cfRule type="expression" dxfId="854" priority="45">
      <formula>ABS(D$25-D$28)&gt;=1000</formula>
    </cfRule>
  </conditionalFormatting>
  <conditionalFormatting sqref="E22:E29">
    <cfRule type="expression" dxfId="853" priority="44">
      <formula>ABS(E$25-E$28)&gt;=1000</formula>
    </cfRule>
  </conditionalFormatting>
  <conditionalFormatting sqref="F22:F29">
    <cfRule type="expression" dxfId="852" priority="43">
      <formula>ABS(F$25-F$28)&gt;=1000</formula>
    </cfRule>
  </conditionalFormatting>
  <conditionalFormatting sqref="G22:G29">
    <cfRule type="expression" dxfId="851" priority="42">
      <formula>ABS(G$25-G$28)&gt;=1000</formula>
    </cfRule>
  </conditionalFormatting>
  <conditionalFormatting sqref="H22:H29">
    <cfRule type="expression" dxfId="850" priority="41">
      <formula>ABS(H$25-H$28)&gt;=1000</formula>
    </cfRule>
  </conditionalFormatting>
  <conditionalFormatting sqref="I22 I24:I29">
    <cfRule type="expression" dxfId="849" priority="40">
      <formula>ABS(I$25-I$28)&gt;=1000</formula>
    </cfRule>
  </conditionalFormatting>
  <conditionalFormatting sqref="J22:J29 K22">
    <cfRule type="expression" dxfId="848" priority="39">
      <formula>ABS(J$25-J$28)&gt;=1000</formula>
    </cfRule>
  </conditionalFormatting>
  <conditionalFormatting sqref="K23:K29 L25 L28">
    <cfRule type="expression" dxfId="847" priority="38">
      <formula>ABS(K$25-K$28)&gt;=1000</formula>
    </cfRule>
  </conditionalFormatting>
  <conditionalFormatting sqref="L22 L26:L27 L29 L24">
    <cfRule type="expression" dxfId="846" priority="37">
      <formula>ABS(L$25-L$28)&gt;=1000</formula>
    </cfRule>
  </conditionalFormatting>
  <conditionalFormatting sqref="M22:M29">
    <cfRule type="expression" dxfId="845" priority="36">
      <formula>ABS(M$25-M$28)&gt;=1000</formula>
    </cfRule>
  </conditionalFormatting>
  <conditionalFormatting sqref="N22:N29">
    <cfRule type="expression" dxfId="844" priority="35">
      <formula>ABS(N$25-N$28)&gt;=1000</formula>
    </cfRule>
  </conditionalFormatting>
  <conditionalFormatting sqref="O22:O29">
    <cfRule type="expression" dxfId="843" priority="34">
      <formula>ABS(O$25-O$28)&gt;=1000</formula>
    </cfRule>
  </conditionalFormatting>
  <conditionalFormatting sqref="P22:P29">
    <cfRule type="expression" dxfId="842" priority="33">
      <formula>ABS(P$25-P$28)&gt;=1000</formula>
    </cfRule>
  </conditionalFormatting>
  <conditionalFormatting sqref="Q22:Q29">
    <cfRule type="expression" dxfId="841" priority="32">
      <formula>ABS(Q$25-Q$28)&gt;=1000</formula>
    </cfRule>
  </conditionalFormatting>
  <conditionalFormatting sqref="R22:R29">
    <cfRule type="expression" dxfId="840" priority="31">
      <formula>ABS(R$25-R$28)&gt;=1000</formula>
    </cfRule>
  </conditionalFormatting>
  <conditionalFormatting sqref="S22:S29">
    <cfRule type="expression" dxfId="839" priority="30">
      <formula>ABS(S$25-S$28)&gt;=1000</formula>
    </cfRule>
  </conditionalFormatting>
  <conditionalFormatting sqref="T22:T29">
    <cfRule type="expression" dxfId="838" priority="29">
      <formula>ABS(T$25-T$28)&gt;=1000</formula>
    </cfRule>
  </conditionalFormatting>
  <conditionalFormatting sqref="U22:U29">
    <cfRule type="expression" dxfId="837" priority="28">
      <formula>ABS(U$25-U$28)&gt;=1000</formula>
    </cfRule>
  </conditionalFormatting>
  <conditionalFormatting sqref="V22:V29">
    <cfRule type="expression" dxfId="836" priority="27">
      <formula>ABS(V$25-V$28)&gt;=1000</formula>
    </cfRule>
  </conditionalFormatting>
  <conditionalFormatting sqref="W22:W29">
    <cfRule type="expression" dxfId="835" priority="26">
      <formula>ABS(W$25-W$28)&gt;=1000</formula>
    </cfRule>
  </conditionalFormatting>
  <conditionalFormatting sqref="X22:X29">
    <cfRule type="expression" dxfId="834" priority="25">
      <formula>ABS(X$25-X$28)&gt;=1000</formula>
    </cfRule>
  </conditionalFormatting>
  <conditionalFormatting sqref="Y22:Y29">
    <cfRule type="expression" dxfId="833" priority="24">
      <formula>ABS(Y$25-Y$28)&gt;=1000</formula>
    </cfRule>
  </conditionalFormatting>
  <conditionalFormatting sqref="I23">
    <cfRule type="expression" dxfId="832" priority="23">
      <formula>ABS(I$25-I$28)&gt;=1000</formula>
    </cfRule>
  </conditionalFormatting>
  <conditionalFormatting sqref="Q14">
    <cfRule type="expression" dxfId="831" priority="22">
      <formula>ABS(Q$16-Q$19)&gt;=1000</formula>
    </cfRule>
  </conditionalFormatting>
  <conditionalFormatting sqref="W14">
    <cfRule type="expression" dxfId="830" priority="21">
      <formula>ABS(W$16-W$19)&gt;=1000</formula>
    </cfRule>
  </conditionalFormatting>
  <conditionalFormatting sqref="X14">
    <cfRule type="expression" dxfId="829" priority="20">
      <formula>ABS(X$16-X$19)&gt;=1000</formula>
    </cfRule>
  </conditionalFormatting>
  <conditionalFormatting sqref="T10:Y10">
    <cfRule type="expression" dxfId="828" priority="19">
      <formula>ABS(T$7-T$10)&gt;=1000</formula>
    </cfRule>
  </conditionalFormatting>
  <conditionalFormatting sqref="W19">
    <cfRule type="expression" dxfId="827" priority="18">
      <formula>ABS(W$16-W$19)&gt;=1000</formula>
    </cfRule>
  </conditionalFormatting>
  <conditionalFormatting sqref="AC5">
    <cfRule type="expression" dxfId="826" priority="17">
      <formula>ABS(AC$7-AC$10)&gt;=1000</formula>
    </cfRule>
  </conditionalFormatting>
  <conditionalFormatting sqref="M14">
    <cfRule type="expression" dxfId="825" priority="16">
      <formula>ABS(M$16-M$19)&gt;=1000</formula>
    </cfRule>
  </conditionalFormatting>
  <conditionalFormatting sqref="M16">
    <cfRule type="expression" dxfId="824" priority="15">
      <formula>ABS(M$16-M$19)&gt;=1000</formula>
    </cfRule>
  </conditionalFormatting>
  <conditionalFormatting sqref="M19">
    <cfRule type="expression" dxfId="823" priority="14">
      <formula>ABS(M$16-M$19)&gt;=1000</formula>
    </cfRule>
  </conditionalFormatting>
  <conditionalFormatting sqref="K13:K20">
    <cfRule type="expression" dxfId="822" priority="13">
      <formula>ABS(K$16-K$19)&gt;=1000</formula>
    </cfRule>
  </conditionalFormatting>
  <conditionalFormatting sqref="E5">
    <cfRule type="expression" dxfId="821" priority="12">
      <formula>ABS(E$7-E$10)&gt;=1000</formula>
    </cfRule>
  </conditionalFormatting>
  <conditionalFormatting sqref="AB14:AC14">
    <cfRule type="expression" dxfId="820" priority="11">
      <formula>ABS(AB$16-AB$19)&gt;=1000</formula>
    </cfRule>
  </conditionalFormatting>
  <conditionalFormatting sqref="M5">
    <cfRule type="expression" dxfId="819" priority="10">
      <formula>ABS(M$7-M$10)&gt;=1000</formula>
    </cfRule>
  </conditionalFormatting>
  <conditionalFormatting sqref="N5">
    <cfRule type="expression" dxfId="818" priority="9">
      <formula>ABS(N$7-N$10)&gt;=1000</formula>
    </cfRule>
  </conditionalFormatting>
  <conditionalFormatting sqref="O5">
    <cfRule type="expression" dxfId="817" priority="8">
      <formula>ABS(O$7-O$10)&gt;=1000</formula>
    </cfRule>
  </conditionalFormatting>
  <conditionalFormatting sqref="P5">
    <cfRule type="expression" dxfId="816" priority="7">
      <formula>ABS(P$7-P$10)&gt;=1000</formula>
    </cfRule>
  </conditionalFormatting>
  <conditionalFormatting sqref="L23">
    <cfRule type="expression" dxfId="815" priority="6">
      <formula>ABS(L$25-L$28)&gt;=1000</formula>
    </cfRule>
  </conditionalFormatting>
  <conditionalFormatting sqref="Y14">
    <cfRule type="expression" dxfId="814" priority="5">
      <formula>ABS(Y$16-Y$19)&gt;=1000</formula>
    </cfRule>
  </conditionalFormatting>
  <conditionalFormatting sqref="F14">
    <cfRule type="expression" dxfId="813" priority="4">
      <formula>ABS(F$16-F$19)&gt;=1000</formula>
    </cfRule>
  </conditionalFormatting>
  <conditionalFormatting sqref="H14">
    <cfRule type="expression" dxfId="812" priority="3">
      <formula>ABS(H$16-H$19)&gt;=1000</formula>
    </cfRule>
  </conditionalFormatting>
  <conditionalFormatting sqref="AD5">
    <cfRule type="expression" dxfId="811" priority="2">
      <formula>ABS(AD$7-AD$10)&gt;=1000</formula>
    </cfRule>
  </conditionalFormatting>
  <conditionalFormatting sqref="AE5">
    <cfRule type="expression" dxfId="81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27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8">
    <pageSetUpPr fitToPage="1"/>
  </sheetPr>
  <dimension ref="A1:CU223"/>
  <sheetViews>
    <sheetView view="pageBreakPreview" zoomScale="70" zoomScaleNormal="100" zoomScaleSheetLayoutView="70" workbookViewId="0">
      <selection activeCell="AB36" sqref="AB36:AC3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46065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65" t="s" ph="1">
        <v>177</v>
      </c>
      <c r="D6" s="71">
        <v>6283</v>
      </c>
      <c r="E6" s="71">
        <v>3250</v>
      </c>
      <c r="F6" s="71">
        <v>5678</v>
      </c>
      <c r="G6" s="71">
        <v>2667</v>
      </c>
      <c r="H6" s="71">
        <v>521</v>
      </c>
      <c r="I6" s="71">
        <v>0.09</v>
      </c>
      <c r="J6" s="71">
        <v>6.61</v>
      </c>
      <c r="K6" s="71">
        <v>7.46</v>
      </c>
      <c r="L6" s="71">
        <v>33.08</v>
      </c>
      <c r="M6" s="71">
        <v>791</v>
      </c>
      <c r="N6" s="71">
        <v>3455</v>
      </c>
      <c r="O6" s="71">
        <v>4729</v>
      </c>
      <c r="P6" s="71">
        <v>3539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7112</v>
      </c>
      <c r="X6" s="71">
        <v>7014</v>
      </c>
      <c r="Y6" s="71">
        <v>4234</v>
      </c>
      <c r="Z6" s="71">
        <v>5302</v>
      </c>
      <c r="AA6" s="71">
        <v>6906</v>
      </c>
      <c r="AB6" s="71">
        <v>5104</v>
      </c>
      <c r="AC6" s="71">
        <v>9373</v>
      </c>
      <c r="AD6" s="71">
        <v>4780</v>
      </c>
      <c r="AE6" s="71">
        <v>4365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198814.90919039998</v>
      </c>
      <c r="E7" s="73" ph="1">
        <f>E6*51.53*LOOKUP(E8,密度!$A$2:$A$50,密度!$B$2:$B$50)</f>
        <v>131968.33000000002</v>
      </c>
      <c r="F7" s="73" ph="1">
        <f>F6*33.183*LOOKUP(F8,密度!$A$2:$A$50,密度!$C$2:$C$50)</f>
        <v>210231.30796919999</v>
      </c>
      <c r="G7" s="73" ph="1">
        <f xml:space="preserve"> (G6+2)*51.53*LOOKUP(G8,密度!$A$2:$A$50,密度!$B$2:$B$50)</f>
        <v>108376.45316</v>
      </c>
      <c r="H7" s="73" ph="1">
        <f>(H6)*51.53*LOOKUP(H8,密度!$A$2:$A$50,密度!$B$2:$B$50)</f>
        <v>21155.53844</v>
      </c>
      <c r="I7" s="73" ph="1">
        <f>I6*290.8*1.0267</f>
        <v>26.870792399999999</v>
      </c>
      <c r="J7" s="73" ph="1">
        <f>J6*290.8*0.7892</f>
        <v>1516.9907696</v>
      </c>
      <c r="K7" s="73" ph="1">
        <f>K6*290.8*1.1126</f>
        <v>2413.6388367999998</v>
      </c>
      <c r="L7" s="73" ph="1">
        <f>L6*290.8*0.777</f>
        <v>7474.4789280000005</v>
      </c>
      <c r="M7" s="73" ph="1">
        <f>M6*33.183*LOOKUP(M8,密度!$A$2:$A$50,密度!$D$2:$D$50)</f>
        <v>27182.173006800003</v>
      </c>
      <c r="N7" s="73" ph="1">
        <f>N6*33.183*LOOKUP(N8,密度!$A$2:$A$50,密度!$E$2:$E$50)</f>
        <v>90731.845520999996</v>
      </c>
      <c r="O7" s="73" ph="1">
        <f>O6*20.428*LOOKUP(O8,密度!$A$2:$A$50,密度!$C$2:$C$50)</f>
        <v>107481.62375120001</v>
      </c>
      <c r="P7" s="73" ph="1">
        <f>P6*51.53*LOOKUP(P8,密度!$A$2:$A$50,密度!$B$2:$B$50)</f>
        <v>143411.57648800002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47456.657740799994</v>
      </c>
      <c r="X7" s="73" ph="1">
        <f>X6*1.5*1.5*3.1416*LOOKUP(X8,密度!$A$2:$A$50,密度!$L$2:$L$50)</f>
        <v>47298.519021599997</v>
      </c>
      <c r="Y7" s="73" ph="1">
        <f>Y6*1.5*1.5*3.1416*LOOKUP(Y8,密度!$A$2:$A$50,密度!$L$2:$L$50)</f>
        <v>28282.387517999996</v>
      </c>
      <c r="Z7" s="73" ph="1">
        <f>Z6*33.183*LOOKUP(Z8,密度!$A$2:$A$50,密度!$L$2:$L$50)</f>
        <v>166435.70763600001</v>
      </c>
      <c r="AA7" s="73" ph="1">
        <f>AA6*33.183*LOOKUP(AA8,密度!$A$2:$A$50,密度!$D$2:$D$50)</f>
        <v>237319.95800880002</v>
      </c>
      <c r="AB7" s="73" ph="1">
        <f>AB6*20.428*LOOKUP(AB8,密度!$A$2:$A$50,密度!$D$2:$D$50)</f>
        <v>108622.76860160001</v>
      </c>
      <c r="AC7" s="73" ph="1">
        <f>AC6*51.53*LOOKUP(AC8,密度!$A$2:$A$50,密度!$Q$2:$Q$50)</f>
        <v>461033.93323260004</v>
      </c>
      <c r="AD7" s="73" ph="1">
        <f>AD6*20.428*LOOKUP(AD8,密度!$A$2:$A$50,密度!$V$2:$V$50)</f>
        <v>94130.589760000003</v>
      </c>
      <c r="AE7" s="73" ph="1">
        <f>AE6*20.428</f>
        <v>89168.22</v>
      </c>
    </row>
    <row r="8" spans="1:99" ph="1">
      <c r="B8" s="193" ph="1"/>
      <c r="C8" s="68" t="s" ph="1">
        <v>179</v>
      </c>
      <c r="D8" s="74">
        <v>16</v>
      </c>
      <c r="E8" s="74">
        <v>15</v>
      </c>
      <c r="F8" s="74">
        <v>15</v>
      </c>
      <c r="G8" s="74">
        <v>15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18</v>
      </c>
      <c r="O8" s="74">
        <v>20</v>
      </c>
      <c r="P8" s="74">
        <v>17</v>
      </c>
      <c r="Q8" s="74">
        <v>16</v>
      </c>
      <c r="R8" s="74">
        <v>20</v>
      </c>
      <c r="S8" s="74">
        <v>14</v>
      </c>
      <c r="T8" s="74">
        <v>12</v>
      </c>
      <c r="U8" s="74">
        <v>17</v>
      </c>
      <c r="V8" s="74">
        <v>20</v>
      </c>
      <c r="W8" s="74">
        <v>18</v>
      </c>
      <c r="X8" s="74">
        <v>8</v>
      </c>
      <c r="Y8" s="74">
        <v>17</v>
      </c>
      <c r="Z8" s="74">
        <v>16</v>
      </c>
      <c r="AA8" s="74">
        <v>15</v>
      </c>
      <c r="AB8" s="74">
        <v>8</v>
      </c>
      <c r="AC8" s="74">
        <v>14</v>
      </c>
      <c r="AD8" s="74">
        <v>11</v>
      </c>
      <c r="AE8" s="74">
        <v>18</v>
      </c>
    </row>
    <row r="9" spans="1:99" ht="26.4" ph="1">
      <c r="B9" s="193" ph="1">
        <v>0.66666666666666663</v>
      </c>
      <c r="C9" s="165" t="s" ph="1">
        <v>180</v>
      </c>
      <c r="D9" s="71">
        <v>6288</v>
      </c>
      <c r="E9" s="71">
        <v>5572</v>
      </c>
      <c r="F9" s="71">
        <v>5679</v>
      </c>
      <c r="G9" s="71">
        <v>2663</v>
      </c>
      <c r="H9" s="71">
        <v>213</v>
      </c>
      <c r="I9" s="71">
        <v>7.0000000000000007E-2</v>
      </c>
      <c r="J9" s="71">
        <v>6.73</v>
      </c>
      <c r="K9" s="71">
        <v>7.39</v>
      </c>
      <c r="L9" s="71">
        <v>31.47</v>
      </c>
      <c r="M9" s="71">
        <v>791</v>
      </c>
      <c r="N9" s="71">
        <v>3459</v>
      </c>
      <c r="O9" s="71">
        <v>4731</v>
      </c>
      <c r="P9" s="71">
        <v>3647</v>
      </c>
      <c r="Q9" s="71">
        <v>2566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7123</v>
      </c>
      <c r="X9" s="71">
        <v>7023</v>
      </c>
      <c r="Y9" s="71">
        <v>7037</v>
      </c>
      <c r="Z9" s="71">
        <v>5295</v>
      </c>
      <c r="AA9" s="71">
        <v>6911</v>
      </c>
      <c r="AB9" s="71">
        <v>4832</v>
      </c>
      <c r="AC9" s="71">
        <v>9377</v>
      </c>
      <c r="AD9" s="71">
        <v>4780</v>
      </c>
      <c r="AE9" s="71">
        <v>4247</v>
      </c>
    </row>
    <row r="10" spans="1:99" s="72" customFormat="1" ht="22.2" ph="1">
      <c r="B10" s="193" ph="1"/>
      <c r="C10" s="165" t="s" ph="1">
        <v>178</v>
      </c>
      <c r="D10" s="73" ph="1">
        <f>D9*33.183*LOOKUP(D11,密度!$A$2:$A$50,密度!$Q$2:$Q$50)</f>
        <v>198641.36475504001</v>
      </c>
      <c r="E10" s="73" ph="1">
        <f>E9*51.53*LOOKUP(E11,密度!$A$2:$A$50,密度!$B$2:$B$50)</f>
        <v>226254.62608000005</v>
      </c>
      <c r="F10" s="73" ph="1">
        <f>F9*33.183*LOOKUP(F11,密度!$A$2:$A$50,密度!$C$2:$C$50)</f>
        <v>210155.26580640001</v>
      </c>
      <c r="G10" s="73" ph="1">
        <f xml:space="preserve"> (G9+2)*51.53*LOOKUP(G11,密度!$A$2:$A$50,密度!$B$2:$B$50)</f>
        <v>107994.30668000001</v>
      </c>
      <c r="H10" s="73" ph="1">
        <f>(H9)*51.53*LOOKUP(H11,密度!$A$2:$A$50,密度!$B$2:$B$50)</f>
        <v>8631.4398959999999</v>
      </c>
      <c r="I10" s="73" ph="1">
        <f>I9*290.8*1.0267</f>
        <v>20.8995052</v>
      </c>
      <c r="J10" s="73" ph="1">
        <f>J9*290.8*0.7892</f>
        <v>1544.5306928000002</v>
      </c>
      <c r="K10" s="73" ph="1">
        <f>K9*290.8*1.1126</f>
        <v>2390.9907512000004</v>
      </c>
      <c r="L10" s="73" ph="1">
        <f>L9*290.8*0.777</f>
        <v>7110.6968520000009</v>
      </c>
      <c r="M10" s="73" ph="1">
        <f>M9*33.183*LOOKUP(M11,密度!$A$2:$A$50,密度!$D$2:$D$50)</f>
        <v>27071.932444200003</v>
      </c>
      <c r="N10" s="73" ph="1">
        <f>N9*33.183*LOOKUP(N11,密度!$A$2:$A$50,密度!$E$2:$E$50)</f>
        <v>90836.889625800002</v>
      </c>
      <c r="O10" s="73" ph="1">
        <f>O9*20.428*LOOKUP(O11,密度!$A$2:$A$50,密度!$C$2:$C$50)</f>
        <v>107382.11283480001</v>
      </c>
      <c r="P10" s="73" ph="1">
        <f>P9*51.53*LOOKUP(P11,密度!$A$2:$A$50,密度!$B$2:$B$50)</f>
        <v>147017.568593</v>
      </c>
      <c r="Q10" s="73" ph="1">
        <f>Q9*1.5*1.5*3.1416*LOOKUP(W11,密度!$A$2:$A$50,密度!$L$2:$L$50)</f>
        <v>17140.436082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47580.407720999996</v>
      </c>
      <c r="X10" s="73" ph="1">
        <f>X9*1.5*1.5*3.1416*LOOKUP(X11,密度!$A$2:$A$50,密度!$L$2:$L$50)</f>
        <v>47210.281687799994</v>
      </c>
      <c r="Y10" s="73" ph="1">
        <f>Y9*1.5*1.5*3.1416*LOOKUP(Y11,密度!$A$2:$A$50,密度!$L$2:$L$50)</f>
        <v>46906.459122599997</v>
      </c>
      <c r="Z10" s="73" ph="1">
        <f>Z9*33.183*LOOKUP(Z11,密度!$A$2:$A$50,密度!$L$2:$L$50)</f>
        <v>166040.26582499998</v>
      </c>
      <c r="AA10" s="73" ph="1">
        <f>AA9*33.183*LOOKUP(AA11,密度!$A$2:$A$50,密度!$D$2:$D$50)</f>
        <v>237308.31741239998</v>
      </c>
      <c r="AB10" s="73" ph="1">
        <f>AB9*20.428*LOOKUP(AB11,密度!$A$2:$A$50,密度!$D$2:$D$50)</f>
        <v>102656.41984</v>
      </c>
      <c r="AC10" s="73" ph="1">
        <f>AC9*51.53*LOOKUP(AC11,密度!$A$2:$A$50,密度!$Q$2:$Q$50)</f>
        <v>460008.19508810004</v>
      </c>
      <c r="AD10" s="73" ph="1">
        <f>AD9*20.428*LOOKUP(AD11,密度!$A$2:$A$50,密度!$V$2:$V$50)</f>
        <v>94130.589760000003</v>
      </c>
      <c r="AE10" s="73" ph="1">
        <f>AE9*20.428</f>
        <v>86757.716</v>
      </c>
    </row>
    <row r="11" spans="1:99" ph="1">
      <c r="A11" s="64" t="s" ph="1">
        <v>162</v>
      </c>
      <c r="B11" s="193" ph="1"/>
      <c r="C11" s="165" t="s" ph="1">
        <v>179</v>
      </c>
      <c r="D11" s="74">
        <v>18</v>
      </c>
      <c r="E11" s="74">
        <v>15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18</v>
      </c>
      <c r="O11" s="74">
        <v>22</v>
      </c>
      <c r="P11" s="74">
        <v>22</v>
      </c>
      <c r="Q11" s="74">
        <v>21</v>
      </c>
      <c r="R11" s="74">
        <v>25</v>
      </c>
      <c r="S11" s="74">
        <v>16</v>
      </c>
      <c r="T11" s="74">
        <v>27</v>
      </c>
      <c r="U11" s="74">
        <v>20</v>
      </c>
      <c r="V11" s="74">
        <v>26</v>
      </c>
      <c r="W11" s="74">
        <v>17</v>
      </c>
      <c r="X11" s="74">
        <v>11</v>
      </c>
      <c r="Y11" s="74">
        <v>19</v>
      </c>
      <c r="Z11" s="74">
        <v>17</v>
      </c>
      <c r="AA11" s="74">
        <v>16</v>
      </c>
      <c r="AB11" s="74">
        <v>10</v>
      </c>
      <c r="AC11" s="74">
        <v>18</v>
      </c>
      <c r="AD11" s="74">
        <v>16</v>
      </c>
      <c r="AE11" s="74">
        <v>22</v>
      </c>
    </row>
    <row r="12" spans="1:99" ht="9.9" customHeight="1" ph="1"/>
    <row r="13" spans="1:99" s="72" customFormat="1" ht="29.25" customHeight="1" ph="1">
      <c r="B13" s="201" t="s" ph="1">
        <v>37</v>
      </c>
      <c r="C13" s="16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65" t="s" ph="1">
        <v>177</v>
      </c>
      <c r="D15" s="78">
        <v>1770</v>
      </c>
      <c r="E15" s="78">
        <v>1735</v>
      </c>
      <c r="F15" s="78">
        <v>324</v>
      </c>
      <c r="G15" s="78">
        <v>3678</v>
      </c>
      <c r="H15" s="78">
        <v>5354</v>
      </c>
      <c r="I15" s="78">
        <v>5208</v>
      </c>
      <c r="J15" s="78">
        <v>5483</v>
      </c>
      <c r="K15" s="78">
        <v>3573</v>
      </c>
      <c r="L15" s="78">
        <v>1346</v>
      </c>
      <c r="M15" s="78">
        <v>6244</v>
      </c>
      <c r="N15" s="78">
        <v>938</v>
      </c>
      <c r="O15" s="78">
        <v>17</v>
      </c>
      <c r="P15" s="78">
        <v>1363</v>
      </c>
      <c r="Q15" s="78">
        <v>0</v>
      </c>
      <c r="R15" s="78">
        <v>0</v>
      </c>
      <c r="S15" s="78">
        <v>2505</v>
      </c>
      <c r="T15" s="78">
        <v>1450</v>
      </c>
      <c r="U15" s="78">
        <v>4621</v>
      </c>
      <c r="V15" s="78">
        <v>-817</v>
      </c>
      <c r="W15" s="71">
        <v>4927</v>
      </c>
      <c r="X15" s="78">
        <v>261</v>
      </c>
      <c r="Y15" s="106">
        <v>-9900</v>
      </c>
      <c r="Z15" s="78">
        <v>0</v>
      </c>
      <c r="AA15" s="78">
        <v>11</v>
      </c>
      <c r="AB15" s="78" ph="1">
        <v>6940</v>
      </c>
      <c r="AC15" s="78" ph="1">
        <v>2138</v>
      </c>
      <c r="AD15" s="78">
        <v>4.82</v>
      </c>
      <c r="AE15" s="78">
        <v>48.37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65" t="s" ph="1">
        <v>178</v>
      </c>
      <c r="D16" s="73" ph="1">
        <f>D15*7.0686*LOOKUP(D17,密度!$A$2:$A$50,密度!$L$2:$L$50)</f>
        <v>11810.782368</v>
      </c>
      <c r="E16" s="73" ph="1">
        <f>E15*7.0686*LOOKUP(E17,密度!$A$2:$A$50,密度!$L$2:$L$50)</f>
        <v>11577.235823999999</v>
      </c>
      <c r="F16" s="73" ph="1">
        <f>F15*9.0746*LOOKUP(F17,密度!$A$2:$A$50,密度!$L$2:$L$50)</f>
        <v>2778.4610279999997</v>
      </c>
      <c r="G16" s="73" ph="1">
        <f>G15*9.0746*LOOKUP(G17,密度!$A$2:$A$50,密度!$B$2:$B$50)</f>
        <v>26273.88539136</v>
      </c>
      <c r="H16" s="73" ph="1">
        <f>H15*9.0746*LOOKUP(H17,密度!$A$2:$A$50,密度!$L$2:$L$50)</f>
        <v>45913.210937999997</v>
      </c>
      <c r="I16" s="73" ph="1">
        <f>I15*9.0746*LOOKUP(I17,密度!$A$2:$A$50,密度!$U$2:$U$50)</f>
        <v>48583.811270400001</v>
      </c>
      <c r="J16" s="73" ph="1">
        <f>J15*9.0746*LOOKUP(J17,密度!$A$2:$A$50,密度!$L$2:$L$50)</f>
        <v>47019.450051</v>
      </c>
      <c r="K16" s="73" ph="1">
        <f>K15*9.0746*LOOKUP(K17,密度!$A$2:$A$50,密度!$C$2:$C$50)</f>
        <v>36136.041794099998</v>
      </c>
      <c r="L16" s="73" ph="1">
        <f>L15*9.0746*LOOKUP(L17,密度!$A$2:$A$50,密度!$E$2:$E$50)</f>
        <v>9693.3570457599999</v>
      </c>
      <c r="M16" s="73" ph="1">
        <f>M15*9.0746*LOOKUP(M17,密度!$A$2:$A$50,密度!$M$2:$M$50)</f>
        <v>49879.38465272</v>
      </c>
      <c r="N16" s="73" ph="1">
        <f>N15*9.0746*LOOKUP(N17,密度!$A$2:$A$50,密度!$M$2:$M$50)</f>
        <v>7493.0914164400001</v>
      </c>
      <c r="O16" s="73" ph="1">
        <f>O15*9.0746*LOOKUP(O17,密度!$A$2:$A$50,密度!$G$2:$G$50)</f>
        <v>149.82527583999999</v>
      </c>
      <c r="P16" s="73" ph="1">
        <f ca="1">P15*9.0746*LOOKUP(P17,密度!$A$2:$A$51,密度!$Q$2:$Q$50)</f>
        <v>11784.87811344</v>
      </c>
      <c r="Q16" s="73" ph="1">
        <f>Q15*9.0746*LOOKUP(Q17,密度!$A$2:$A$50,密度!$Q$2:$Q$50)</f>
        <v>0</v>
      </c>
      <c r="R16" s="73" ph="1">
        <f>MAX(R15*9.0746*LOOKUP(R17,密度!$A$2:$A$50,密度!$B$2:$B$50),0)</f>
        <v>0</v>
      </c>
      <c r="S16" s="73" ph="1">
        <f>S15*9.0746*LOOKUP(S17,密度!$A$2:$A$50,密度!$Q$2:$Q$50)</f>
        <v>21640.97041473</v>
      </c>
      <c r="T16" s="73" ph="1">
        <f>T15*9.0746*LOOKUP(T17,密度!$A$2:$A$50,密度!$O$2:$O$50)</f>
        <v>12289.73078</v>
      </c>
      <c r="U16" s="73" ph="1">
        <f>U15*9.0746*LOOKUP(U17,密度!$A$2:$A$50,密度!$H$2:$H$50)</f>
        <v>38650.315807220002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47809.146010559998</v>
      </c>
      <c r="X16" s="73" ph="1">
        <f>MAX(5600*LOOKUP(X17,密度!$A$2:$A$50,密度!$I$2:$I$50)+X15*9.0476*LOOKUP(X17,密度!$A$2:$A$50,密度!$I$2:$I$50),0)</f>
        <v>8271.9191203999981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78.828327819999998</v>
      </c>
      <c r="AB16" s="73" ph="1">
        <f>AB15*9.0746*LOOKUP(AB17,密度!$A$2:$A$50,密度!$L$2:$L$50)</f>
        <v>59450.971455999999</v>
      </c>
      <c r="AC16" s="73" ph="1">
        <f>AC15*9.0746*LOOKUP(AC17,密度!$A$2:$A$50,密度!$L$2:$L$50)</f>
        <v>18412.0185652</v>
      </c>
      <c r="AD16" s="73" ph="1">
        <f>AD15*268.68*LOOKUP(AD17,密度!$A$2:$A$50,密度!B2:B50)+IF(AD15&lt;=0,0,1566*LOOKUP(AD17,密度!$A$2:$A$50,密度!B2:B50))</f>
        <v>2230.4649129600002</v>
      </c>
      <c r="AE16" s="73" ph="1">
        <f>AE15*268.68*LOOKUP(AE17,密度!$A$2:$A$50,密度!B2:B50)+IF(AE15&lt;=0,0,1566*LOOKUP(AE17,密度!$A$2:$A$50,密度!B2:B50))</f>
        <v>11352.57542736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18</v>
      </c>
      <c r="E17" s="74">
        <v>18</v>
      </c>
      <c r="F17" s="74">
        <v>17</v>
      </c>
      <c r="G17" s="74">
        <v>16</v>
      </c>
      <c r="H17" s="74">
        <v>17</v>
      </c>
      <c r="I17" s="74">
        <v>15</v>
      </c>
      <c r="J17" s="74">
        <v>17</v>
      </c>
      <c r="K17" s="74">
        <v>17</v>
      </c>
      <c r="L17" s="74">
        <v>16</v>
      </c>
      <c r="M17" s="74">
        <v>16</v>
      </c>
      <c r="N17" s="74">
        <v>14</v>
      </c>
      <c r="O17" s="74">
        <v>15</v>
      </c>
      <c r="P17" s="74">
        <v>17</v>
      </c>
      <c r="Q17" s="74">
        <v>18</v>
      </c>
      <c r="R17" s="74">
        <v>17</v>
      </c>
      <c r="S17" s="74">
        <v>18</v>
      </c>
      <c r="T17" s="74">
        <v>17</v>
      </c>
      <c r="U17" s="74">
        <v>18</v>
      </c>
      <c r="V17" s="74">
        <v>16</v>
      </c>
      <c r="W17" s="74">
        <v>17</v>
      </c>
      <c r="X17" s="74">
        <v>28</v>
      </c>
      <c r="Y17" s="108">
        <v>28</v>
      </c>
      <c r="Z17" s="74">
        <v>16</v>
      </c>
      <c r="AA17" s="74">
        <v>13</v>
      </c>
      <c r="AB17" s="74">
        <v>18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1773</v>
      </c>
      <c r="E18" s="71">
        <v>1736</v>
      </c>
      <c r="F18" s="71">
        <v>323</v>
      </c>
      <c r="G18" s="71">
        <v>366</v>
      </c>
      <c r="H18" s="71">
        <v>5359</v>
      </c>
      <c r="I18" s="71">
        <v>5213</v>
      </c>
      <c r="J18" s="71">
        <v>5492</v>
      </c>
      <c r="K18" s="71">
        <v>3575</v>
      </c>
      <c r="L18" s="71">
        <v>1347</v>
      </c>
      <c r="M18" s="71">
        <v>3291</v>
      </c>
      <c r="N18" s="71">
        <v>2729</v>
      </c>
      <c r="O18" s="71">
        <v>23</v>
      </c>
      <c r="P18" s="71">
        <v>206</v>
      </c>
      <c r="Q18" s="71">
        <v>0</v>
      </c>
      <c r="R18" s="71">
        <v>4877</v>
      </c>
      <c r="S18" s="71">
        <v>3308</v>
      </c>
      <c r="T18" s="71">
        <v>600</v>
      </c>
      <c r="U18" s="71">
        <v>4623</v>
      </c>
      <c r="V18" s="71">
        <v>-817</v>
      </c>
      <c r="W18" s="71">
        <v>4935</v>
      </c>
      <c r="X18" s="71">
        <v>259</v>
      </c>
      <c r="Y18" s="109">
        <v>-9900</v>
      </c>
      <c r="Z18" s="71">
        <v>0</v>
      </c>
      <c r="AA18" s="71">
        <v>10</v>
      </c>
      <c r="AB18" s="71">
        <v>6947</v>
      </c>
      <c r="AC18" s="71">
        <v>2140</v>
      </c>
      <c r="AD18" s="71">
        <v>19.75</v>
      </c>
      <c r="AE18" s="71">
        <v>84.48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65" t="s" ph="1">
        <v>178</v>
      </c>
      <c r="D19" s="73" ph="1">
        <f>D18*7.0686*LOOKUP(D20,密度!$A$2:$A$50,密度!$L$2:$L$50)</f>
        <v>11692.9417374</v>
      </c>
      <c r="E19" s="73" ph="1">
        <f>E18*7.0686*LOOKUP(E20,密度!$A$2:$A$50,密度!$L$2:$L$50)</f>
        <v>11448.9265968</v>
      </c>
      <c r="F19" s="73" ph="1">
        <f>F18*9.0746*LOOKUP(F20,密度!$A$2:$A$50,密度!$L$2:$L$50)</f>
        <v>2752.2989561999998</v>
      </c>
      <c r="G19" s="73" ph="1">
        <f>G18*9.0746*LOOKUP(G20,密度!$A$2:$A$50,密度!$B$2:$B$50)</f>
        <v>2606.8911956400002</v>
      </c>
      <c r="H19" s="73" ph="1">
        <f>H18*9.0746*LOOKUP(H20,密度!$A$2:$A$50,密度!$L$2:$L$50)</f>
        <v>45956.088423000001</v>
      </c>
      <c r="I19" s="73" ph="1">
        <f>I18*9.0746*LOOKUP(I20,密度!$A$2:$A$50,密度!$U$2:$U$50)</f>
        <v>48630.454714400003</v>
      </c>
      <c r="J19" s="73" ph="1">
        <f>J18*9.0746*LOOKUP(J20,密度!$A$2:$A$50,密度!$L$2:$L$50)</f>
        <v>46947.116414399999</v>
      </c>
      <c r="K19" s="73" ph="1">
        <f>K18*9.0746*LOOKUP(K20,密度!$A$2:$A$50,密度!$C$2:$C$50)</f>
        <v>36094.629857</v>
      </c>
      <c r="L19" s="73" ph="1">
        <f>L18*9.0746*LOOKUP(L20,密度!$A$2:$A$50,密度!$E$2:$E$50)</f>
        <v>9660.2211438600007</v>
      </c>
      <c r="M19" s="73" ph="1">
        <f>M18*9.0746*LOOKUP(M20,密度!$A$2:$A$50,密度!$M$2:$M$50)</f>
        <v>26253.88951026</v>
      </c>
      <c r="N19" s="73" ph="1">
        <f>N18*9.0746*LOOKUP(N20,密度!$A$2:$A$50,密度!$M$2:$M$50)</f>
        <v>21800.262767019998</v>
      </c>
      <c r="O19" s="73" ph="1">
        <f>O18*9.0746*LOOKUP(O20,密度!$A$2:$A$50,密度!$G$2:$G$50)</f>
        <v>201.38987542000001</v>
      </c>
      <c r="P19" s="73" ph="1">
        <f ca="1">P18*9.0746*LOOKUP(P20,密度!$A$2:$A$51,密度!$Q$2:$Q$50)</f>
        <v>1757.0933819439999</v>
      </c>
      <c r="Q19" s="73" ph="1">
        <f>Q18*9.0746*LOOKUP(Q20,密度!$A$2:$A$50,密度!$Q$2:$Q$50)</f>
        <v>0</v>
      </c>
      <c r="R19" s="73" ph="1">
        <f>MAX(R18*9.0746*LOOKUP(R20,密度!$A$2:$A$50,密度!$B$2:$B$50),0)</f>
        <v>34737.181314580004</v>
      </c>
      <c r="S19" s="73" ph="1">
        <f>S18*9.0746*LOOKUP(S20,密度!$A$2:$A$50,密度!$Q$2:$Q$50)</f>
        <v>28419.976747632001</v>
      </c>
      <c r="T19" s="73" ph="1">
        <f>T18*9.0746*LOOKUP(T20,密度!$A$2:$A$50,密度!$O$2:$O$50)</f>
        <v>5002.6454880000001</v>
      </c>
      <c r="U19" s="73" ph="1">
        <f>U18*9.0746*LOOKUP(U20,密度!$A$2:$A$50,密度!$H$2:$H$50)</f>
        <v>38708.995800659999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47721.83322914</v>
      </c>
      <c r="X19" s="73" ph="1">
        <f>MAX(5600*LOOKUP(X20,密度!$A$2:$A$50,密度!$I$2:$I$50)+X18*9.0476*LOOKUP(X20,密度!$A$2:$A$50,密度!$I$2:$I$50),0)</f>
        <v>8217.3732297999995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71.153938600000004</v>
      </c>
      <c r="AB19" s="73" ph="1">
        <f>AB18*9.0746*LOOKUP(AB20,密度!$A$2:$A$50,密度!$L$2:$L$50)</f>
        <v>59384.853920399997</v>
      </c>
      <c r="AC19" s="73" ph="1">
        <f>AC18*9.0746*LOOKUP(AC20,密度!$A$2:$A$50,密度!$L$2:$L$50)</f>
        <v>18351.563579999998</v>
      </c>
      <c r="AD19" s="73" ph="1">
        <f>AD18*268.68*LOOKUP(AD20,密度!$A$2:$A$50,密度!B5:B53)+IF(AD18&lt;=0,0,1566*LOOKUP(AD20,密度!$A$2:$A$50,密度!B5:B53))</f>
        <v>5339.8781100000006</v>
      </c>
      <c r="AE19" s="73" ph="1">
        <f>AE18*268.68*LOOKUP(AE20,密度!$A$2:$A$50,密度!B5:B53)+IF(AE18&lt;=0,0,1566*LOOKUP(AE20,密度!$A$2:$A$50,密度!B5:B53))</f>
        <v>18853.1951328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29</v>
      </c>
      <c r="E20" s="81">
        <v>29</v>
      </c>
      <c r="F20" s="81">
        <v>23</v>
      </c>
      <c r="G20" s="81">
        <v>19</v>
      </c>
      <c r="H20" s="81">
        <v>17</v>
      </c>
      <c r="I20" s="81">
        <v>19</v>
      </c>
      <c r="J20" s="81">
        <v>20</v>
      </c>
      <c r="K20" s="81">
        <v>20</v>
      </c>
      <c r="L20" s="81">
        <v>19</v>
      </c>
      <c r="M20" s="81">
        <v>21</v>
      </c>
      <c r="N20" s="81">
        <v>20</v>
      </c>
      <c r="O20" s="81">
        <v>21</v>
      </c>
      <c r="P20" s="81">
        <v>35</v>
      </c>
      <c r="Q20" s="81">
        <v>29</v>
      </c>
      <c r="R20" s="81">
        <v>19</v>
      </c>
      <c r="S20" s="81">
        <v>25</v>
      </c>
      <c r="T20" s="81">
        <v>36</v>
      </c>
      <c r="U20" s="81">
        <v>17</v>
      </c>
      <c r="V20" s="81">
        <v>20</v>
      </c>
      <c r="W20" s="81">
        <v>21</v>
      </c>
      <c r="X20" s="81">
        <v>32</v>
      </c>
      <c r="Y20" s="110">
        <v>32</v>
      </c>
      <c r="Z20" s="81">
        <v>20</v>
      </c>
      <c r="AA20" s="81">
        <v>20</v>
      </c>
      <c r="AB20" s="81">
        <v>20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644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65" t="s" ph="1">
        <v>177</v>
      </c>
      <c r="D24" s="71">
        <v>5.48</v>
      </c>
      <c r="E24" s="71">
        <v>3.29</v>
      </c>
      <c r="F24" s="71">
        <v>565</v>
      </c>
      <c r="G24" s="71">
        <v>3804</v>
      </c>
      <c r="H24" s="71">
        <v>3117</v>
      </c>
      <c r="I24" s="71">
        <v>4368</v>
      </c>
      <c r="J24" s="71">
        <v>4990</v>
      </c>
      <c r="K24" s="71">
        <v>4860</v>
      </c>
      <c r="L24" s="71">
        <v>4372</v>
      </c>
      <c r="M24" s="71">
        <v>422</v>
      </c>
      <c r="N24" s="71">
        <v>2844</v>
      </c>
      <c r="O24" s="71">
        <v>5715</v>
      </c>
      <c r="P24" s="71">
        <v>357</v>
      </c>
      <c r="Q24" s="90">
        <v>1214</v>
      </c>
      <c r="R24" s="71">
        <v>5663</v>
      </c>
      <c r="S24" s="71">
        <v>874</v>
      </c>
      <c r="T24" s="71">
        <v>660</v>
      </c>
      <c r="U24" s="71">
        <v>4611</v>
      </c>
      <c r="V24" s="71">
        <v>6411</v>
      </c>
      <c r="W24" s="71">
        <v>3530</v>
      </c>
      <c r="X24" s="71">
        <v>8064</v>
      </c>
      <c r="Y24" s="71">
        <v>6839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2876.5430055360002</v>
      </c>
      <c r="E25" s="91" ph="1">
        <f>E24*268.68*LOOKUP(E26,密度!$A$2:$A$50,密度!$C$2:$C$50)+IF(E24&lt;=0,0,1566*LOOKUP(E26,密度!$A$2:$A$50,密度!$C$2:$C$50))</f>
        <v>2716.7575390800002</v>
      </c>
      <c r="F25" s="91" ph="1">
        <f>F24*11.702*LOOKUP(F26,密度!$A$2:$A$50,密度!$Q$2:$Q$50)</f>
        <v>6299.5610639999995</v>
      </c>
      <c r="G25" s="91" ph="1">
        <f>G24*18.322*LOOKUP(G26,密度!$A$2:$A$50,密度!$B$2:$B$50)</f>
        <v>54809.632723199989</v>
      </c>
      <c r="H25" s="91" ph="1">
        <f>H24*18.322*LOOKUP(H26,密度!$A$2:$A$50,密度!$B$2:$B$50)</f>
        <v>44956.735372800002</v>
      </c>
      <c r="I25" s="91" ph="1">
        <f>I24*18.322*LOOKUP(I26,密度!$A$2:$A$50,密度!$Q$2:$Q$50)</f>
        <v>76317.080985599998</v>
      </c>
      <c r="J25" s="91" ph="1">
        <f>J24*18.322*LOOKUP(J26,密度!$A$2:$A$50,密度!$Q$2:$Q$50)</f>
        <v>87111.435983999996</v>
      </c>
      <c r="K25" s="91" ph="1">
        <f>K24*18.322*LOOKUP(K26,密度!$A$2:$A$50,密度!$Q$2:$Q$50)</f>
        <v>84913.235711999994</v>
      </c>
      <c r="L25" s="91" ph="1">
        <f>L24*18.322*LOOKUP(L26,密度!$A$2:$A$50,密度!$Q$2:$Q$50)</f>
        <v>76322.885395199992</v>
      </c>
      <c r="M25" s="91" ph="1">
        <f>M24*18.322*LOOKUP(M26,密度!$A$2:$A$50,密度!$Q$2:$Q$50)</f>
        <v>7373.1245823999998</v>
      </c>
      <c r="N25" s="91" ph="1">
        <f>N24*18.322*LOOKUP(N26,密度!$A$2:$A$50,密度!$Q$2:$Q$50)</f>
        <v>49648.281350399993</v>
      </c>
      <c r="O25" s="91" ph="1">
        <f>O24*18.322*LOOKUP(O26,密度!$A$2:$A$50,密度!$C$2:$C$50)</f>
        <v>116699.551335</v>
      </c>
      <c r="P25" s="91" ph="1">
        <f>P24*11.702*LOOKUP(P26,密度!$A$2:$A$50,密度!$B$2:$B$50)</f>
        <v>3285.2756495999997</v>
      </c>
      <c r="Q25" s="92" ph="1">
        <f>Q24*18.322*LOOKUP(Q26,密度!$A$2:$A$50,密度!$B$2:$B$50)</f>
        <v>17491.822851199999</v>
      </c>
      <c r="R25" s="91" ph="1">
        <f>R24*35.891*LOOKUP(R26,密度!$A$2:$A$50,密度!$C$2:$C$50)</f>
        <v>226665.21744159996</v>
      </c>
      <c r="S25" s="91" ph="1">
        <f>S24*35.891*LOOKUP(S26,密度!$A$2:$A$50,密度!$B$2:$B$50)</f>
        <v>24693.467404799998</v>
      </c>
      <c r="T25" s="91" ph="1">
        <f>T24*35.891*LOOKUP(T26,密度!$A$2:$A$50,密度!$Q$2:$Q$50)</f>
        <v>22569.983567999996</v>
      </c>
      <c r="U25" s="91" ph="1">
        <f>U24*35.891</f>
        <v>165493.40099999998</v>
      </c>
      <c r="V25" s="91" ph="1">
        <f>V24*47.051*LOOKUP(V26,密度!$A$2:$A$50,密度!$B$2:$B$50)</f>
        <v>237212.81093040001</v>
      </c>
      <c r="W25" s="91" ph="1">
        <f>W24*47.051*LOOKUP(W26,密度!$A$2:$A$50,密度!$B$2:$B$50)</f>
        <v>130613.19959199999</v>
      </c>
      <c r="X25" s="91" ph="1">
        <f>X24*47.051*LOOKUP(X26,密度!$A$2:$A$61,密度!$I$2:$I$61)</f>
        <v>382720.21159680001</v>
      </c>
      <c r="Y25" s="91" ph="1">
        <f>Y24*47.051*LOOKUP(Y26,密度!$A$2:$A$50,密度!$L$2:$L$50)</f>
        <v>304405.57239399996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17</v>
      </c>
      <c r="G26" s="74">
        <v>17</v>
      </c>
      <c r="H26" s="74">
        <v>16</v>
      </c>
      <c r="I26" s="74">
        <v>16</v>
      </c>
      <c r="J26" s="74">
        <v>17</v>
      </c>
      <c r="K26" s="74">
        <v>16</v>
      </c>
      <c r="L26" s="74">
        <v>17</v>
      </c>
      <c r="M26" s="74">
        <v>16</v>
      </c>
      <c r="N26" s="74">
        <v>17</v>
      </c>
      <c r="O26" s="74">
        <v>17</v>
      </c>
      <c r="P26" s="74">
        <v>17</v>
      </c>
      <c r="Q26" s="93">
        <v>17</v>
      </c>
      <c r="R26" s="74">
        <v>16</v>
      </c>
      <c r="S26" s="74">
        <v>16</v>
      </c>
      <c r="T26" s="74">
        <v>17</v>
      </c>
      <c r="U26" s="74">
        <v>16</v>
      </c>
      <c r="V26" s="74">
        <v>17</v>
      </c>
      <c r="W26" s="74">
        <v>17</v>
      </c>
      <c r="X26" s="74">
        <v>55</v>
      </c>
      <c r="Y26" s="74">
        <v>16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65" t="s" ph="1">
        <v>180</v>
      </c>
      <c r="D27" s="71">
        <v>5.51</v>
      </c>
      <c r="E27" s="71">
        <v>3.27</v>
      </c>
      <c r="F27" s="71">
        <v>565</v>
      </c>
      <c r="G27" s="71">
        <v>3368</v>
      </c>
      <c r="H27" s="71">
        <v>2705</v>
      </c>
      <c r="I27" s="71">
        <v>3982</v>
      </c>
      <c r="J27" s="71">
        <v>4992</v>
      </c>
      <c r="K27" s="71">
        <v>4860</v>
      </c>
      <c r="L27" s="71">
        <v>4369</v>
      </c>
      <c r="M27" s="71">
        <v>2633</v>
      </c>
      <c r="N27" s="71">
        <v>2840</v>
      </c>
      <c r="O27" s="71">
        <v>5713</v>
      </c>
      <c r="P27" s="71">
        <v>352</v>
      </c>
      <c r="Q27" s="90">
        <v>1404</v>
      </c>
      <c r="R27" s="71">
        <v>5139</v>
      </c>
      <c r="S27" s="71">
        <v>481</v>
      </c>
      <c r="T27" s="71">
        <v>658</v>
      </c>
      <c r="U27" s="71">
        <v>4546</v>
      </c>
      <c r="V27" s="71">
        <v>6411</v>
      </c>
      <c r="W27" s="71">
        <v>3528</v>
      </c>
      <c r="X27" s="71">
        <v>8335</v>
      </c>
      <c r="Y27" s="71">
        <v>5228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65" t="s" ph="1">
        <v>178</v>
      </c>
      <c r="D28" s="91" ph="1">
        <f>D27*268.68*LOOKUP(D29,密度!$A$2:$A$50,密度!$Q$2:$Q$50)+IF(D27&lt;=0,0,1566*LOOKUP(D29,密度!$A$2:$A$50,密度!$Q$2:$Q$50))</f>
        <v>2884.1741086319998</v>
      </c>
      <c r="E28" s="91" ph="1">
        <f>E27*268.68*LOOKUP(E29,密度!$A$2:$A$50,密度!$C$2:$C$50)+IF(E27&lt;=0,0,1566*LOOKUP(E29,密度!$A$2:$A$50,密度!$C$2:$C$50))</f>
        <v>2710.7987540399999</v>
      </c>
      <c r="F28" s="91" ph="1">
        <f>F27*11.702*LOOKUP(F29,密度!$A$2:$A$50,密度!$Q$2:$Q$50)</f>
        <v>6299.5610639999995</v>
      </c>
      <c r="G28" s="91" ph="1">
        <f>G27*18.322*LOOKUP(G29,密度!$A$2:$A$50,密度!$B$2:$B$50)</f>
        <v>48484.365307199994</v>
      </c>
      <c r="H28" s="91" ph="1">
        <f>H27*18.322*LOOKUP(H29,密度!$A$2:$A$50,密度!$B$2:$B$50)</f>
        <v>38940.085556999991</v>
      </c>
      <c r="I28" s="91" ph="1">
        <f>I27*18.322*LOOKUP(I29,密度!$A$2:$A$50,密度!$Q$2:$Q$50)</f>
        <v>69514.576771199994</v>
      </c>
      <c r="J28" s="91" ph="1">
        <f>J27*18.322*LOOKUP(J29,密度!$A$2:$A$50,密度!$Q$2:$Q$50)</f>
        <v>87074.094282239996</v>
      </c>
      <c r="K28" s="91" ph="1">
        <f>K27*18.322*LOOKUP(K29,密度!$A$2:$A$50,密度!$Q$2:$Q$50)</f>
        <v>84841.999775999997</v>
      </c>
      <c r="L28" s="91" ph="1">
        <f>L27*18.322*LOOKUP(L29,密度!$A$2:$A$50,密度!$Q$2:$Q$50)</f>
        <v>76270.5137904</v>
      </c>
      <c r="M28" s="91" ph="1">
        <f>M27*18.322*LOOKUP(M29,密度!$A$2:$A$50,密度!$Q$2:$Q$50)</f>
        <v>45926.700770260002</v>
      </c>
      <c r="N28" s="91" ph="1">
        <f>N27*18.322*LOOKUP(N29,密度!$A$2:$A$50,密度!$Q$2:$Q$50)</f>
        <v>49537.345304799994</v>
      </c>
      <c r="O28" s="91" ph="1">
        <f>O27*18.322*LOOKUP(O29,密度!$A$2:$A$50,密度!$C$2:$C$50)</f>
        <v>116658.711597</v>
      </c>
      <c r="P28" s="91" ph="1">
        <f>P27*11.702*LOOKUP(P29,密度!$A$2:$A$50,密度!$B$2:$B$50)</f>
        <v>3218.6678656000004</v>
      </c>
      <c r="Q28" s="92" ph="1">
        <f>Q27*18.322*LOOKUP(Q29,密度!$A$2:$A$50,密度!$B$2:$B$50)</f>
        <v>20229.422803199999</v>
      </c>
      <c r="R28" s="91" ph="1">
        <f>R27*35.891*LOOKUP(R29,密度!$A$2:$A$50,密度!$C$2:$C$50)</f>
        <v>205562.66971049999</v>
      </c>
      <c r="S28" s="91" ph="1">
        <f>S27*35.891*LOOKUP(S29,密度!$A$2:$A$50,密度!$B$2:$B$50)</f>
        <v>13589.883091199999</v>
      </c>
      <c r="T28" s="91" ph="1">
        <f>T27*35.891*LOOKUP(T29,密度!$A$2:$A$50,密度!$Q$2:$Q$50)</f>
        <v>22501.5896784</v>
      </c>
      <c r="U28" s="91" ph="1">
        <f>U27*35.891</f>
        <v>163160.486</v>
      </c>
      <c r="V28" s="91" ph="1">
        <f>V27*47.051*LOOKUP(V29,密度!$A$2:$A$50,密度!$B$2:$B$50)</f>
        <v>237454.12609920002</v>
      </c>
      <c r="W28" s="91" ph="1">
        <f>W27*47.051*LOOKUP(W29,密度!$A$2:$A$50,密度!$B$2:$B$50)</f>
        <v>130423.00062960001</v>
      </c>
      <c r="X28" s="91" ph="1">
        <f>X27*47.051*LOOKUP(X29,密度!$A$2:$A$61,密度!$I$2:$I$61)</f>
        <v>401307.64798050007</v>
      </c>
      <c r="Y28" s="91" ph="1">
        <f>Y27*47.051*LOOKUP(Y29,密度!$A$2:$A$50,密度!$L$2:$L$50)</f>
        <v>231469.65294799997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65" t="s" ph="1">
        <v>179</v>
      </c>
      <c r="D29" s="74">
        <v>25</v>
      </c>
      <c r="E29" s="74">
        <v>25</v>
      </c>
      <c r="F29" s="74">
        <v>17</v>
      </c>
      <c r="G29" s="74">
        <v>18</v>
      </c>
      <c r="H29" s="74">
        <v>18</v>
      </c>
      <c r="I29" s="74">
        <v>17</v>
      </c>
      <c r="J29" s="74">
        <v>18</v>
      </c>
      <c r="K29" s="74">
        <v>17</v>
      </c>
      <c r="L29" s="74">
        <v>17</v>
      </c>
      <c r="M29" s="74">
        <v>18</v>
      </c>
      <c r="N29" s="74">
        <v>18</v>
      </c>
      <c r="O29" s="74">
        <v>17</v>
      </c>
      <c r="P29" s="74">
        <v>23</v>
      </c>
      <c r="Q29" s="93">
        <v>17</v>
      </c>
      <c r="R29" s="74">
        <v>17</v>
      </c>
      <c r="S29" s="74">
        <v>16</v>
      </c>
      <c r="T29" s="74">
        <v>17</v>
      </c>
      <c r="U29" s="74">
        <v>17</v>
      </c>
      <c r="V29" s="74">
        <v>16</v>
      </c>
      <c r="W29" s="74">
        <v>18</v>
      </c>
      <c r="X29" s="74">
        <v>42</v>
      </c>
      <c r="Y29" s="74">
        <v>21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339964.73725239997</v>
      </c>
      <c r="E33" s="215" ph="1">
        <f>M10+I10</f>
        <v>27092.831949400002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9" ph="1">
        <f>N19</f>
        <v>21800.262767019998</v>
      </c>
      <c r="H33" s="215" ph="1">
        <f>M19</f>
        <v>26253.88951026</v>
      </c>
      <c r="I33" s="228" ph="1">
        <v>0</v>
      </c>
      <c r="J33" s="226" ph="1">
        <f>F10+O28</f>
        <v>326813.9774034</v>
      </c>
      <c r="K33" s="215" ph="1">
        <f>O10+K10+E28+R28</f>
        <v>318046.57205054001</v>
      </c>
      <c r="L33" s="230" ph="1">
        <f>K19</f>
        <v>36094.629857</v>
      </c>
      <c r="M33" s="226" ph="1">
        <f>G10+H10+W28+S28+V28+E10+R19+P28+Q28</f>
        <v>782532.65445938008</v>
      </c>
      <c r="N33" s="215" ph="1">
        <f>L10+P10++G28+H28+AD19+AE19</f>
        <v>265745.789552</v>
      </c>
      <c r="O33" s="228" ph="1">
        <f>G19</f>
        <v>2606.8911956400002</v>
      </c>
      <c r="P33" s="226" ph="1">
        <f>L19</f>
        <v>9660.2211438600007</v>
      </c>
      <c r="Q33" s="215" ph="1">
        <f>J10+N10</f>
        <v>92381.420318600009</v>
      </c>
      <c r="R33" s="228" ph="1">
        <f>BE23</f>
        <v>890</v>
      </c>
      <c r="S33" s="226" ph="1">
        <f>X28</f>
        <v>401307.64798050007</v>
      </c>
      <c r="T33" s="215" ph="1">
        <f>X19</f>
        <v>8217.3732297999995</v>
      </c>
      <c r="U33" s="236" ph="1">
        <f>BE21</f>
        <v>730</v>
      </c>
      <c r="V33" s="247" ph="1">
        <f ca="1">P19+Q19+S19+M28+N28+J28+D10+AC10+D19+E19+H19+J19+O19+V19+W19+K28+L28</f>
        <v>1196445.580172576</v>
      </c>
      <c r="W33" s="247" ph="1">
        <f>D28+F28+T28+I28</f>
        <v>101199.90162223199</v>
      </c>
      <c r="X33" s="228" ph="1">
        <f>BE29+BE31</f>
        <v>10200</v>
      </c>
      <c r="Y33" s="249" ph="1">
        <f>+Q10+R10+S10+T10+U10+V10+W10+X10+Y10</f>
        <v>158837.58461339999</v>
      </c>
      <c r="Z33" s="234" ph="1">
        <f>T19+U19+Y28+Z10</f>
        <v>441221.56006166001</v>
      </c>
      <c r="AA33" s="236" ph="1">
        <f>BE19</f>
        <v>1440</v>
      </c>
      <c r="AB33" s="238" ph="1">
        <f>I19</f>
        <v>48630.454714400003</v>
      </c>
      <c r="AC33" s="240" ph="1">
        <f>AD10+AB19</f>
        <v>153515.4436804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3" t="s" ph="1">
        <v>185</v>
      </c>
      <c r="AA36" s="163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342</v>
      </c>
      <c r="AI37" s="163" t="s" ph="1">
        <v>209</v>
      </c>
      <c r="AJ37" s="163" t="s" ph="1">
        <v>210</v>
      </c>
      <c r="AK37" s="163" t="s" ph="1">
        <v>211</v>
      </c>
      <c r="AM37" s="163" t="s" ph="1">
        <v>210</v>
      </c>
      <c r="AN37" s="163" t="s" ph="1">
        <v>211</v>
      </c>
      <c r="AO37" s="163" t="s" ph="1">
        <v>212</v>
      </c>
      <c r="AP37" s="163" t="s" ph="1">
        <v>210</v>
      </c>
      <c r="AQ37" s="163" t="s" ph="1">
        <v>211</v>
      </c>
      <c r="AR37" s="163" t="s" ph="1">
        <v>212</v>
      </c>
      <c r="AS37" s="163" t="s" ph="1">
        <v>210</v>
      </c>
      <c r="AT37" s="163" t="s" ph="1">
        <v>211</v>
      </c>
      <c r="AU37" s="163" t="s" ph="1">
        <v>212</v>
      </c>
      <c r="AV37" s="163" t="s" ph="1">
        <v>210</v>
      </c>
      <c r="AW37" s="163" t="s" ph="1">
        <v>211</v>
      </c>
      <c r="AX37" s="163" t="s" ph="1">
        <v>212</v>
      </c>
      <c r="AY37" s="163" t="s" ph="1">
        <v>211</v>
      </c>
      <c r="AZ37" s="163" t="s" ph="1">
        <v>213</v>
      </c>
      <c r="BD37" s="163" t="s" ph="1">
        <v>305</v>
      </c>
      <c r="BE37" s="16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79" priority="100">
      <formula>ABS(D$7-D$10)&gt;=1000</formula>
    </cfRule>
  </conditionalFormatting>
  <conditionalFormatting sqref="E4 E6:E11">
    <cfRule type="expression" dxfId="778" priority="99">
      <formula>ABS(E$7-E$10)&gt;=1000</formula>
    </cfRule>
  </conditionalFormatting>
  <conditionalFormatting sqref="F4:F11">
    <cfRule type="expression" dxfId="777" priority="98">
      <formula>ABS(F$7-F$10)&gt;=1000</formula>
    </cfRule>
  </conditionalFormatting>
  <conditionalFormatting sqref="G4:G11">
    <cfRule type="expression" dxfId="776" priority="97">
      <formula>ABS(G$7-G$10)&gt;=1000</formula>
    </cfRule>
  </conditionalFormatting>
  <conditionalFormatting sqref="H4:H11">
    <cfRule type="expression" dxfId="775" priority="96">
      <formula>ABS(H$7-H$10)&gt;=1000</formula>
    </cfRule>
  </conditionalFormatting>
  <conditionalFormatting sqref="I4:I11">
    <cfRule type="expression" dxfId="774" priority="95">
      <formula>ABS(I$7-I$10)&gt;=1000</formula>
    </cfRule>
  </conditionalFormatting>
  <conditionalFormatting sqref="J4:J11">
    <cfRule type="expression" dxfId="773" priority="94">
      <formula>ABS(J$7-J$10)&gt;=1000</formula>
    </cfRule>
  </conditionalFormatting>
  <conditionalFormatting sqref="K4:K11">
    <cfRule type="expression" dxfId="772" priority="93">
      <formula>ABS(K$7-K$10)&gt;=1000</formula>
    </cfRule>
  </conditionalFormatting>
  <conditionalFormatting sqref="L4:L11">
    <cfRule type="expression" dxfId="771" priority="92">
      <formula>ABS(L$7-L$10)&gt;=1000</formula>
    </cfRule>
  </conditionalFormatting>
  <conditionalFormatting sqref="M4 M6:M11">
    <cfRule type="expression" dxfId="770" priority="91">
      <formula>ABS(M$7-M$10)&gt;=1000</formula>
    </cfRule>
  </conditionalFormatting>
  <conditionalFormatting sqref="N4 N6:N11">
    <cfRule type="expression" dxfId="769" priority="90">
      <formula>ABS(N$7-N$10)&gt;=1000</formula>
    </cfRule>
  </conditionalFormatting>
  <conditionalFormatting sqref="O4 O6:O11">
    <cfRule type="expression" dxfId="768" priority="89">
      <formula>ABS(O$7-O$10)&gt;=1000</formula>
    </cfRule>
  </conditionalFormatting>
  <conditionalFormatting sqref="P4 P6:P11">
    <cfRule type="expression" dxfId="767" priority="88">
      <formula>ABS(P$7-P$10)&gt;=1000</formula>
    </cfRule>
  </conditionalFormatting>
  <conditionalFormatting sqref="Q4:Q11">
    <cfRule type="expression" dxfId="766" priority="87">
      <formula>ABS(Q$7-Q$10)&gt;=1000</formula>
    </cfRule>
  </conditionalFormatting>
  <conditionalFormatting sqref="R4:R11">
    <cfRule type="expression" dxfId="765" priority="86">
      <formula>ABS(R$7-R$10)&gt;=1000</formula>
    </cfRule>
  </conditionalFormatting>
  <conditionalFormatting sqref="S4:S11">
    <cfRule type="expression" dxfId="764" priority="85">
      <formula>ABS(S$7-S$10)&gt;=1000</formula>
    </cfRule>
  </conditionalFormatting>
  <conditionalFormatting sqref="T4:T9 T11">
    <cfRule type="expression" dxfId="763" priority="84">
      <formula>ABS(T$7-T$10)&gt;=1000</formula>
    </cfRule>
  </conditionalFormatting>
  <conditionalFormatting sqref="U4:U9 U11">
    <cfRule type="expression" dxfId="762" priority="83">
      <formula>ABS(U$7-U$10)&gt;=1000</formula>
    </cfRule>
  </conditionalFormatting>
  <conditionalFormatting sqref="V4:V9 V11">
    <cfRule type="expression" dxfId="761" priority="82">
      <formula>ABS(V$7-V$10)&gt;=1000</formula>
    </cfRule>
  </conditionalFormatting>
  <conditionalFormatting sqref="W4:W9 W11">
    <cfRule type="expression" dxfId="760" priority="81">
      <formula>ABS(W$7-W$10)&gt;=1000</formula>
    </cfRule>
  </conditionalFormatting>
  <conditionalFormatting sqref="X4:X9 X11">
    <cfRule type="expression" dxfId="759" priority="80">
      <formula>ABS(X$7-X$10)&gt;=1000</formula>
    </cfRule>
  </conditionalFormatting>
  <conditionalFormatting sqref="Y4:Y9 Y11">
    <cfRule type="expression" dxfId="758" priority="79">
      <formula>ABS(Y$7-Y$10)&gt;=1000</formula>
    </cfRule>
  </conditionalFormatting>
  <conditionalFormatting sqref="Z4:Z11">
    <cfRule type="expression" dxfId="757" priority="78">
      <formula>ABS(Z$7-Z$10)&gt;=1000</formula>
    </cfRule>
  </conditionalFormatting>
  <conditionalFormatting sqref="AA4:AA11">
    <cfRule type="expression" dxfId="756" priority="77">
      <formula>ABS(AA$7-AA$10)&gt;=1000</formula>
    </cfRule>
  </conditionalFormatting>
  <conditionalFormatting sqref="AB4:AB11">
    <cfRule type="expression" dxfId="755" priority="76">
      <formula>ABS(AB$7-AB$10)&gt;=1000</formula>
    </cfRule>
  </conditionalFormatting>
  <conditionalFormatting sqref="AC4 AC6:AC11">
    <cfRule type="expression" dxfId="754" priority="75">
      <formula>ABS(AC$7-AC$10)&gt;=1000</formula>
    </cfRule>
  </conditionalFormatting>
  <conditionalFormatting sqref="AD4 AD6:AD11">
    <cfRule type="expression" dxfId="753" priority="74">
      <formula>ABS(AD$7-AD$10)&gt;=1000</formula>
    </cfRule>
  </conditionalFormatting>
  <conditionalFormatting sqref="AE4 AE6:AE11">
    <cfRule type="expression" dxfId="752" priority="73">
      <formula>ABS(AE$7-AE$10)&gt;=1000</formula>
    </cfRule>
  </conditionalFormatting>
  <conditionalFormatting sqref="D13:D20">
    <cfRule type="expression" dxfId="751" priority="72">
      <formula>ABS(D$16-D$19)&gt;=1000</formula>
    </cfRule>
  </conditionalFormatting>
  <conditionalFormatting sqref="E13:E20">
    <cfRule type="expression" dxfId="750" priority="71">
      <formula>ABS(E$16-E$19)&gt;=1000</formula>
    </cfRule>
  </conditionalFormatting>
  <conditionalFormatting sqref="F13 F15:F20">
    <cfRule type="expression" dxfId="749" priority="70">
      <formula>ABS(F$16-F$19)&gt;=1000</formula>
    </cfRule>
  </conditionalFormatting>
  <conditionalFormatting sqref="G13:G20">
    <cfRule type="expression" dxfId="748" priority="69">
      <formula>ABS(G$16-G$19)&gt;=1000</formula>
    </cfRule>
  </conditionalFormatting>
  <conditionalFormatting sqref="H13 H15:H20">
    <cfRule type="expression" dxfId="747" priority="68">
      <formula>ABS(H$16-H$19)&gt;=1000</formula>
    </cfRule>
  </conditionalFormatting>
  <conditionalFormatting sqref="I13:I20">
    <cfRule type="expression" dxfId="746" priority="67">
      <formula>ABS(I$16-I$19)&gt;=1000</formula>
    </cfRule>
  </conditionalFormatting>
  <conditionalFormatting sqref="J13:J20">
    <cfRule type="expression" dxfId="745" priority="66">
      <formula>ABS(J$16-J$19)&gt;=1000</formula>
    </cfRule>
  </conditionalFormatting>
  <conditionalFormatting sqref="L13:L20">
    <cfRule type="expression" dxfId="744" priority="65">
      <formula>ABS(L$16-L$19)&gt;=1000</formula>
    </cfRule>
  </conditionalFormatting>
  <conditionalFormatting sqref="M13 M15 M17:M18 M20">
    <cfRule type="expression" dxfId="743" priority="64">
      <formula>ABS(M$16-M$19)&gt;=1000</formula>
    </cfRule>
  </conditionalFormatting>
  <conditionalFormatting sqref="N13:N20">
    <cfRule type="expression" dxfId="742" priority="63">
      <formula>ABS(N$16-N$19)&gt;=1000</formula>
    </cfRule>
  </conditionalFormatting>
  <conditionalFormatting sqref="O13:O20">
    <cfRule type="expression" dxfId="741" priority="62">
      <formula>ABS(O$16-O$19)&gt;=1000</formula>
    </cfRule>
  </conditionalFormatting>
  <conditionalFormatting sqref="P13:P20">
    <cfRule type="expression" dxfId="740" priority="61">
      <formula>ABS(P$16-P$19)&gt;=1000</formula>
    </cfRule>
  </conditionalFormatting>
  <conditionalFormatting sqref="Q13 Q15:Q20">
    <cfRule type="expression" dxfId="739" priority="60">
      <formula>ABS(Q$16-Q$19)&gt;=1000</formula>
    </cfRule>
  </conditionalFormatting>
  <conditionalFormatting sqref="R13:R20">
    <cfRule type="expression" dxfId="738" priority="59">
      <formula>ABS(R$16-R$19)&gt;=1000</formula>
    </cfRule>
  </conditionalFormatting>
  <conditionalFormatting sqref="S13:S20">
    <cfRule type="expression" dxfId="737" priority="58">
      <formula>ABS(S$16-S$19)&gt;=1000</formula>
    </cfRule>
  </conditionalFormatting>
  <conditionalFormatting sqref="T13:T20">
    <cfRule type="expression" dxfId="736" priority="57">
      <formula>ABS(T$16-T$19)&gt;=1000</formula>
    </cfRule>
  </conditionalFormatting>
  <conditionalFormatting sqref="U13:U20">
    <cfRule type="expression" dxfId="735" priority="56">
      <formula>ABS(U$16-U$19)&gt;=1000</formula>
    </cfRule>
  </conditionalFormatting>
  <conditionalFormatting sqref="V13:V20">
    <cfRule type="expression" dxfId="734" priority="55">
      <formula>ABS(V$16-V$19)&gt;=1000</formula>
    </cfRule>
  </conditionalFormatting>
  <conditionalFormatting sqref="W13 W20 W15:W18">
    <cfRule type="expression" dxfId="733" priority="54">
      <formula>ABS(W$16-W$19)&gt;=1000</formula>
    </cfRule>
  </conditionalFormatting>
  <conditionalFormatting sqref="X13 X15:X20 Y19">
    <cfRule type="expression" dxfId="732" priority="53">
      <formula>ABS(X$16-X$19)&gt;=1000</formula>
    </cfRule>
  </conditionalFormatting>
  <conditionalFormatting sqref="Y13 Y15:Y18 Y20">
    <cfRule type="expression" dxfId="731" priority="52">
      <formula>ABS(Y$16-Y$19)&gt;=1000</formula>
    </cfRule>
  </conditionalFormatting>
  <conditionalFormatting sqref="Z13:Z20">
    <cfRule type="expression" dxfId="730" priority="51">
      <formula>ABS(Z$16-Z$19)&gt;=1000</formula>
    </cfRule>
  </conditionalFormatting>
  <conditionalFormatting sqref="AA13:AA20">
    <cfRule type="expression" dxfId="729" priority="50">
      <formula>ABS(AA$16-AA$19)&gt;=1000</formula>
    </cfRule>
  </conditionalFormatting>
  <conditionalFormatting sqref="AB13 AB15:AB20">
    <cfRule type="expression" dxfId="728" priority="49">
      <formula>ABS(AB$16-AB$19)&gt;=1000</formula>
    </cfRule>
  </conditionalFormatting>
  <conditionalFormatting sqref="AC13 AC15:AC20">
    <cfRule type="expression" dxfId="727" priority="48">
      <formula>ABS(AC$16-AC$19)&gt;=1000</formula>
    </cfRule>
  </conditionalFormatting>
  <conditionalFormatting sqref="AD13:AD20">
    <cfRule type="expression" dxfId="726" priority="47">
      <formula>ABS(AD$16-AD$19)&gt;=1000</formula>
    </cfRule>
  </conditionalFormatting>
  <conditionalFormatting sqref="AE13:AE20">
    <cfRule type="expression" dxfId="725" priority="46">
      <formula>ABS(AE$16-AE$19)&gt;=1000</formula>
    </cfRule>
  </conditionalFormatting>
  <conditionalFormatting sqref="D22:D29">
    <cfRule type="expression" dxfId="724" priority="45">
      <formula>ABS(D$25-D$28)&gt;=1000</formula>
    </cfRule>
  </conditionalFormatting>
  <conditionalFormatting sqref="E22:E29">
    <cfRule type="expression" dxfId="723" priority="44">
      <formula>ABS(E$25-E$28)&gt;=1000</formula>
    </cfRule>
  </conditionalFormatting>
  <conditionalFormatting sqref="F22:F29">
    <cfRule type="expression" dxfId="722" priority="43">
      <formula>ABS(F$25-F$28)&gt;=1000</formula>
    </cfRule>
  </conditionalFormatting>
  <conditionalFormatting sqref="G22:G29">
    <cfRule type="expression" dxfId="721" priority="42">
      <formula>ABS(G$25-G$28)&gt;=1000</formula>
    </cfRule>
  </conditionalFormatting>
  <conditionalFormatting sqref="H22:H29">
    <cfRule type="expression" dxfId="720" priority="41">
      <formula>ABS(H$25-H$28)&gt;=1000</formula>
    </cfRule>
  </conditionalFormatting>
  <conditionalFormatting sqref="I22 I24:I29">
    <cfRule type="expression" dxfId="719" priority="40">
      <formula>ABS(I$25-I$28)&gt;=1000</formula>
    </cfRule>
  </conditionalFormatting>
  <conditionalFormatting sqref="J22:J29 K22">
    <cfRule type="expression" dxfId="718" priority="39">
      <formula>ABS(J$25-J$28)&gt;=1000</formula>
    </cfRule>
  </conditionalFormatting>
  <conditionalFormatting sqref="K23:K29 L25 L28">
    <cfRule type="expression" dxfId="717" priority="38">
      <formula>ABS(K$25-K$28)&gt;=1000</formula>
    </cfRule>
  </conditionalFormatting>
  <conditionalFormatting sqref="L22 L26:L27 L29 L24">
    <cfRule type="expression" dxfId="716" priority="37">
      <formula>ABS(L$25-L$28)&gt;=1000</formula>
    </cfRule>
  </conditionalFormatting>
  <conditionalFormatting sqref="M22:M29">
    <cfRule type="expression" dxfId="715" priority="36">
      <formula>ABS(M$25-M$28)&gt;=1000</formula>
    </cfRule>
  </conditionalFormatting>
  <conditionalFormatting sqref="N22:N29">
    <cfRule type="expression" dxfId="714" priority="35">
      <formula>ABS(N$25-N$28)&gt;=1000</formula>
    </cfRule>
  </conditionalFormatting>
  <conditionalFormatting sqref="O22:O29">
    <cfRule type="expression" dxfId="713" priority="34">
      <formula>ABS(O$25-O$28)&gt;=1000</formula>
    </cfRule>
  </conditionalFormatting>
  <conditionalFormatting sqref="P22:P29">
    <cfRule type="expression" dxfId="712" priority="33">
      <formula>ABS(P$25-P$28)&gt;=1000</formula>
    </cfRule>
  </conditionalFormatting>
  <conditionalFormatting sqref="Q22:Q29">
    <cfRule type="expression" dxfId="711" priority="32">
      <formula>ABS(Q$25-Q$28)&gt;=1000</formula>
    </cfRule>
  </conditionalFormatting>
  <conditionalFormatting sqref="R22:R29">
    <cfRule type="expression" dxfId="710" priority="31">
      <formula>ABS(R$25-R$28)&gt;=1000</formula>
    </cfRule>
  </conditionalFormatting>
  <conditionalFormatting sqref="S22:S29">
    <cfRule type="expression" dxfId="709" priority="30">
      <formula>ABS(S$25-S$28)&gt;=1000</formula>
    </cfRule>
  </conditionalFormatting>
  <conditionalFormatting sqref="T22:T29">
    <cfRule type="expression" dxfId="708" priority="29">
      <formula>ABS(T$25-T$28)&gt;=1000</formula>
    </cfRule>
  </conditionalFormatting>
  <conditionalFormatting sqref="U22:U29">
    <cfRule type="expression" dxfId="707" priority="28">
      <formula>ABS(U$25-U$28)&gt;=1000</formula>
    </cfRule>
  </conditionalFormatting>
  <conditionalFormatting sqref="V22:V29">
    <cfRule type="expression" dxfId="706" priority="27">
      <formula>ABS(V$25-V$28)&gt;=1000</formula>
    </cfRule>
  </conditionalFormatting>
  <conditionalFormatting sqref="W22:W29">
    <cfRule type="expression" dxfId="705" priority="26">
      <formula>ABS(W$25-W$28)&gt;=1000</formula>
    </cfRule>
  </conditionalFormatting>
  <conditionalFormatting sqref="X22:X29">
    <cfRule type="expression" dxfId="704" priority="25">
      <formula>ABS(X$25-X$28)&gt;=1000</formula>
    </cfRule>
  </conditionalFormatting>
  <conditionalFormatting sqref="Y22:Y29">
    <cfRule type="expression" dxfId="703" priority="24">
      <formula>ABS(Y$25-Y$28)&gt;=1000</formula>
    </cfRule>
  </conditionalFormatting>
  <conditionalFormatting sqref="I23">
    <cfRule type="expression" dxfId="702" priority="23">
      <formula>ABS(I$25-I$28)&gt;=1000</formula>
    </cfRule>
  </conditionalFormatting>
  <conditionalFormatting sqref="Q14">
    <cfRule type="expression" dxfId="701" priority="22">
      <formula>ABS(Q$16-Q$19)&gt;=1000</formula>
    </cfRule>
  </conditionalFormatting>
  <conditionalFormatting sqref="W14">
    <cfRule type="expression" dxfId="700" priority="21">
      <formula>ABS(W$16-W$19)&gt;=1000</formula>
    </cfRule>
  </conditionalFormatting>
  <conditionalFormatting sqref="X14">
    <cfRule type="expression" dxfId="699" priority="20">
      <formula>ABS(X$16-X$19)&gt;=1000</formula>
    </cfRule>
  </conditionalFormatting>
  <conditionalFormatting sqref="T10:Y10">
    <cfRule type="expression" dxfId="698" priority="19">
      <formula>ABS(T$7-T$10)&gt;=1000</formula>
    </cfRule>
  </conditionalFormatting>
  <conditionalFormatting sqref="W19">
    <cfRule type="expression" dxfId="697" priority="18">
      <formula>ABS(W$16-W$19)&gt;=1000</formula>
    </cfRule>
  </conditionalFormatting>
  <conditionalFormatting sqref="AC5">
    <cfRule type="expression" dxfId="696" priority="17">
      <formula>ABS(AC$7-AC$10)&gt;=1000</formula>
    </cfRule>
  </conditionalFormatting>
  <conditionalFormatting sqref="M14">
    <cfRule type="expression" dxfId="695" priority="16">
      <formula>ABS(M$16-M$19)&gt;=1000</formula>
    </cfRule>
  </conditionalFormatting>
  <conditionalFormatting sqref="M16">
    <cfRule type="expression" dxfId="694" priority="15">
      <formula>ABS(M$16-M$19)&gt;=1000</formula>
    </cfRule>
  </conditionalFormatting>
  <conditionalFormatting sqref="M19">
    <cfRule type="expression" dxfId="693" priority="14">
      <formula>ABS(M$16-M$19)&gt;=1000</formula>
    </cfRule>
  </conditionalFormatting>
  <conditionalFormatting sqref="K13:K20">
    <cfRule type="expression" dxfId="692" priority="13">
      <formula>ABS(K$16-K$19)&gt;=1000</formula>
    </cfRule>
  </conditionalFormatting>
  <conditionalFormatting sqref="E5">
    <cfRule type="expression" dxfId="691" priority="12">
      <formula>ABS(E$7-E$10)&gt;=1000</formula>
    </cfRule>
  </conditionalFormatting>
  <conditionalFormatting sqref="AB14:AC14">
    <cfRule type="expression" dxfId="690" priority="11">
      <formula>ABS(AB$16-AB$19)&gt;=1000</formula>
    </cfRule>
  </conditionalFormatting>
  <conditionalFormatting sqref="M5">
    <cfRule type="expression" dxfId="689" priority="10">
      <formula>ABS(M$7-M$10)&gt;=1000</formula>
    </cfRule>
  </conditionalFormatting>
  <conditionalFormatting sqref="N5">
    <cfRule type="expression" dxfId="688" priority="9">
      <formula>ABS(N$7-N$10)&gt;=1000</formula>
    </cfRule>
  </conditionalFormatting>
  <conditionalFormatting sqref="O5">
    <cfRule type="expression" dxfId="687" priority="8">
      <formula>ABS(O$7-O$10)&gt;=1000</formula>
    </cfRule>
  </conditionalFormatting>
  <conditionalFormatting sqref="P5">
    <cfRule type="expression" dxfId="686" priority="7">
      <formula>ABS(P$7-P$10)&gt;=1000</formula>
    </cfRule>
  </conditionalFormatting>
  <conditionalFormatting sqref="L23">
    <cfRule type="expression" dxfId="685" priority="6">
      <formula>ABS(L$25-L$28)&gt;=1000</formula>
    </cfRule>
  </conditionalFormatting>
  <conditionalFormatting sqref="Y14">
    <cfRule type="expression" dxfId="684" priority="5">
      <formula>ABS(Y$16-Y$19)&gt;=1000</formula>
    </cfRule>
  </conditionalFormatting>
  <conditionalFormatting sqref="F14">
    <cfRule type="expression" dxfId="683" priority="4">
      <formula>ABS(F$16-F$19)&gt;=1000</formula>
    </cfRule>
  </conditionalFormatting>
  <conditionalFormatting sqref="H14">
    <cfRule type="expression" dxfId="682" priority="3">
      <formula>ABS(H$16-H$19)&gt;=1000</formula>
    </cfRule>
  </conditionalFormatting>
  <conditionalFormatting sqref="AD5">
    <cfRule type="expression" dxfId="681" priority="2">
      <formula>ABS(AD$7-AD$10)&gt;=1000</formula>
    </cfRule>
  </conditionalFormatting>
  <conditionalFormatting sqref="AE5">
    <cfRule type="expression" dxfId="6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37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9">
    <pageSetUpPr fitToPage="1"/>
  </sheetPr>
  <dimension ref="A1:CU223"/>
  <sheetViews>
    <sheetView view="pageBreakPreview" topLeftCell="A13" zoomScale="70" zoomScaleNormal="100" zoomScaleSheetLayoutView="70" workbookViewId="0">
      <selection activeCell="Q25" sqref="Q2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46066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65" t="s" ph="1">
        <v>177</v>
      </c>
      <c r="D6" s="71">
        <v>5200</v>
      </c>
      <c r="E6" s="71">
        <v>5489</v>
      </c>
      <c r="F6" s="71">
        <v>5678</v>
      </c>
      <c r="G6" s="71">
        <v>3089</v>
      </c>
      <c r="H6" s="71">
        <v>0</v>
      </c>
      <c r="I6" s="71">
        <v>0.08</v>
      </c>
      <c r="J6" s="71">
        <v>6.59</v>
      </c>
      <c r="K6" s="71">
        <v>7.42</v>
      </c>
      <c r="L6" s="71">
        <v>34.25</v>
      </c>
      <c r="M6" s="71">
        <v>793</v>
      </c>
      <c r="N6" s="71">
        <v>3325</v>
      </c>
      <c r="O6" s="71">
        <v>4731</v>
      </c>
      <c r="P6" s="71">
        <v>4249</v>
      </c>
      <c r="Q6" s="71">
        <v>2567</v>
      </c>
      <c r="R6" s="71">
        <v>2620</v>
      </c>
      <c r="S6" s="71">
        <v>0</v>
      </c>
      <c r="T6" s="71">
        <v>0</v>
      </c>
      <c r="U6" s="71">
        <v>0</v>
      </c>
      <c r="V6" s="71">
        <v>0</v>
      </c>
      <c r="W6" s="71">
        <v>2921</v>
      </c>
      <c r="X6" s="71">
        <v>7017</v>
      </c>
      <c r="Y6" s="71">
        <v>7032</v>
      </c>
      <c r="Z6" s="71">
        <v>5915</v>
      </c>
      <c r="AA6" s="71">
        <v>6912</v>
      </c>
      <c r="AB6" s="71">
        <v>4834</v>
      </c>
      <c r="AC6" s="71">
        <v>9379</v>
      </c>
      <c r="AD6" s="71">
        <v>4780</v>
      </c>
      <c r="AE6" s="71">
        <v>4235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164407.16448000001</v>
      </c>
      <c r="E7" s="73" ph="1">
        <f>E6*51.53*LOOKUP(E8,密度!$A$2:$A$50,密度!$B$2:$B$50)</f>
        <v>222658.079424</v>
      </c>
      <c r="F7" s="73" ph="1">
        <f>F6*33.183*LOOKUP(F8,密度!$A$2:$A$50,密度!$C$2:$C$50)</f>
        <v>209986.37097300001</v>
      </c>
      <c r="G7" s="73" ph="1">
        <f xml:space="preserve"> (G6+2)*51.53*LOOKUP(G8,密度!$A$2:$A$50,密度!$B$2:$B$50)</f>
        <v>125384.60985600001</v>
      </c>
      <c r="H7" s="73" ph="1">
        <f>(H6)*51.53*LOOKUP(H8,密度!$A$2:$A$50,密度!$B$2:$B$50)</f>
        <v>0</v>
      </c>
      <c r="I7" s="73" ph="1">
        <f>I6*290.8*1.0267</f>
        <v>23.885148800000003</v>
      </c>
      <c r="J7" s="73" ph="1">
        <f>J6*290.8*0.7892</f>
        <v>1512.4007824</v>
      </c>
      <c r="K7" s="73" ph="1">
        <f>K6*290.8*1.1126</f>
        <v>2400.6970735999998</v>
      </c>
      <c r="L7" s="73" ph="1">
        <f>L6*290.8*0.777</f>
        <v>7738.8423000000003</v>
      </c>
      <c r="M7" s="73" ph="1">
        <f>M6*33.183*LOOKUP(M8,密度!$A$2:$A$50,密度!$D$2:$D$50)</f>
        <v>27229.850341199995</v>
      </c>
      <c r="N7" s="73" ph="1">
        <f>N6*33.183*LOOKUP(N8,密度!$A$2:$A$50,密度!$E$2:$E$50)</f>
        <v>87317.912114999999</v>
      </c>
      <c r="O7" s="73" ph="1">
        <f>O6*20.428*LOOKUP(O8,密度!$A$2:$A$50,密度!$C$2:$C$50)</f>
        <v>107459.42872920001</v>
      </c>
      <c r="P7" s="73" ph="1">
        <f>P6*51.53*LOOKUP(P8,密度!$A$2:$A$50,密度!$B$2:$B$50)</f>
        <v>172029.77712899999</v>
      </c>
      <c r="Q7" s="73" ph="1">
        <f>Q6*1.5*1.5*3.1416*LOOKUP(W8,密度!$A$2:$A$50,密度!$L$2:$L$50)</f>
        <v>17128.970812799998</v>
      </c>
      <c r="R7" s="73" ph="1">
        <f>R6*1.5*1.5*3.1416*LOOKUP(R8,密度!$A$2:$A$50,密度!$L$2:$L$50)</f>
        <v>17408.54808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19491.127286399998</v>
      </c>
      <c r="X7" s="73" ph="1">
        <f>X6*1.5*1.5*3.1416*LOOKUP(X8,密度!$A$2:$A$50,密度!$L$2:$L$50)</f>
        <v>47269.148988599998</v>
      </c>
      <c r="Y7" s="73" ph="1">
        <f>Y6*1.5*1.5*3.1416*LOOKUP(Y8,密度!$A$2:$A$50,密度!$L$2:$L$50)</f>
        <v>46922.8370688</v>
      </c>
      <c r="Z7" s="73" ph="1">
        <f>Z6*33.183*LOOKUP(Z8,密度!$A$2:$A$50,密度!$L$2:$L$50)</f>
        <v>185482.18552500001</v>
      </c>
      <c r="AA7" s="73" ph="1">
        <f>AA6*33.183*LOOKUP(AA8,密度!$A$2:$A$50,密度!$D$2:$D$50)</f>
        <v>237136.23037440001</v>
      </c>
      <c r="AB7" s="73" ph="1">
        <f>AB6*20.428*LOOKUP(AB8,密度!$A$2:$A$50,密度!$D$2:$D$50)</f>
        <v>102698.91008</v>
      </c>
      <c r="AC7" s="73" ph="1">
        <f>AC6*51.53*LOOKUP(AC8,密度!$A$2:$A$50,密度!$Q$2:$Q$50)</f>
        <v>460488.11613599997</v>
      </c>
      <c r="AD7" s="73" ph="1">
        <f>AD6*20.428*LOOKUP(AD8,密度!$A$2:$A$50,密度!$V$2:$V$50)</f>
        <v>94130.589760000003</v>
      </c>
      <c r="AE7" s="73" ph="1">
        <f>AE6*20.428</f>
        <v>86512.58</v>
      </c>
    </row>
    <row r="8" spans="1:99" ph="1">
      <c r="B8" s="193" ph="1"/>
      <c r="C8" s="68" t="s" ph="1">
        <v>179</v>
      </c>
      <c r="D8" s="74">
        <v>17</v>
      </c>
      <c r="E8" s="74">
        <v>16</v>
      </c>
      <c r="F8" s="74">
        <v>17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18</v>
      </c>
      <c r="O8" s="74">
        <v>21</v>
      </c>
      <c r="P8" s="74">
        <v>18</v>
      </c>
      <c r="Q8" s="74">
        <v>18</v>
      </c>
      <c r="R8" s="74">
        <v>22</v>
      </c>
      <c r="S8" s="74">
        <v>14</v>
      </c>
      <c r="T8" s="74">
        <v>13</v>
      </c>
      <c r="U8" s="74">
        <v>17</v>
      </c>
      <c r="V8" s="74">
        <v>20</v>
      </c>
      <c r="W8" s="74">
        <v>18</v>
      </c>
      <c r="X8" s="74">
        <v>9</v>
      </c>
      <c r="Y8" s="74">
        <v>18</v>
      </c>
      <c r="Z8" s="74">
        <v>17</v>
      </c>
      <c r="AA8" s="74">
        <v>17</v>
      </c>
      <c r="AB8" s="74">
        <v>10</v>
      </c>
      <c r="AC8" s="74">
        <v>17</v>
      </c>
      <c r="AD8" s="74">
        <v>15</v>
      </c>
      <c r="AE8" s="74">
        <v>18</v>
      </c>
    </row>
    <row r="9" spans="1:99" ht="26.4" ph="1">
      <c r="B9" s="193" ph="1">
        <v>0.66666666666666663</v>
      </c>
      <c r="C9" s="165" t="s" ph="1">
        <v>180</v>
      </c>
      <c r="D9" s="71">
        <v>4600</v>
      </c>
      <c r="E9" s="71">
        <v>5196</v>
      </c>
      <c r="F9" s="71">
        <v>5678</v>
      </c>
      <c r="G9" s="71">
        <v>5660</v>
      </c>
      <c r="H9" s="71">
        <v>832</v>
      </c>
      <c r="I9" s="71">
        <v>7.0000000000000007E-2</v>
      </c>
      <c r="J9" s="71">
        <v>6.71</v>
      </c>
      <c r="K9" s="71">
        <v>7.4</v>
      </c>
      <c r="L9" s="71">
        <v>29.8</v>
      </c>
      <c r="M9" s="71">
        <v>791</v>
      </c>
      <c r="N9" s="71">
        <v>3325</v>
      </c>
      <c r="O9" s="71">
        <v>4731</v>
      </c>
      <c r="P9" s="71">
        <v>4032</v>
      </c>
      <c r="Q9" s="71">
        <v>5267</v>
      </c>
      <c r="R9" s="71">
        <v>5448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6364</v>
      </c>
      <c r="Y9" s="71">
        <v>7042</v>
      </c>
      <c r="Z9" s="71">
        <v>6714</v>
      </c>
      <c r="AA9" s="71">
        <v>6915</v>
      </c>
      <c r="AB9" s="71">
        <v>4826</v>
      </c>
      <c r="AC9" s="71">
        <v>9381</v>
      </c>
      <c r="AD9" s="71">
        <v>4780</v>
      </c>
      <c r="AE9" s="71">
        <v>4237</v>
      </c>
    </row>
    <row r="10" spans="1:99" s="72" customFormat="1" ht="22.2" ph="1">
      <c r="B10" s="193" ph="1"/>
      <c r="C10" s="165" t="s" ph="1">
        <v>178</v>
      </c>
      <c r="D10" s="73" ph="1">
        <f>D9*33.183*LOOKUP(D11,密度!$A$2:$A$50,密度!$Q$2:$Q$50)</f>
        <v>145316.52001799998</v>
      </c>
      <c r="E10" s="73" ph="1">
        <f>E9*51.53*LOOKUP(E11,密度!$A$2:$A$50,密度!$B$2:$B$50)</f>
        <v>210986.90544</v>
      </c>
      <c r="F10" s="73" ph="1">
        <f>F9*33.183*LOOKUP(F11,密度!$A$2:$A$50,密度!$C$2:$C$50)</f>
        <v>210118.2601248</v>
      </c>
      <c r="G10" s="73" ph="1">
        <f xml:space="preserve"> (G9+2)*51.53*LOOKUP(G11,密度!$A$2:$A$50,密度!$B$2:$B$50)</f>
        <v>229442.31310399997</v>
      </c>
      <c r="H10" s="73" ph="1">
        <f>(H9)*51.53*LOOKUP(H11,密度!$A$2:$A$50,密度!$B$2:$B$50)</f>
        <v>33715.295743999995</v>
      </c>
      <c r="I10" s="73" ph="1">
        <f>I9*290.8*1.0267</f>
        <v>20.8995052</v>
      </c>
      <c r="J10" s="73" ph="1">
        <f>J9*290.8*0.7892</f>
        <v>1539.9407056</v>
      </c>
      <c r="K10" s="73" ph="1">
        <f>K9*290.8*1.1126</f>
        <v>2394.2261920000001</v>
      </c>
      <c r="L10" s="73" ph="1">
        <f>L9*290.8*0.777</f>
        <v>6733.3576800000001</v>
      </c>
      <c r="M10" s="73" ph="1">
        <f>M9*33.183*LOOKUP(M11,密度!$A$2:$A$50,密度!$D$2:$D$50)</f>
        <v>27092.930646600002</v>
      </c>
      <c r="N10" s="73" ph="1">
        <f>N9*33.183*LOOKUP(N11,密度!$A$2:$A$50,密度!$E$2:$E$50)</f>
        <v>87317.912114999999</v>
      </c>
      <c r="O10" s="73" ph="1">
        <f>O9*20.428*LOOKUP(O11,密度!$A$2:$A$50,密度!$C$2:$C$50)</f>
        <v>107382.11283480001</v>
      </c>
      <c r="P10" s="73" ph="1">
        <f>P9*51.53*LOOKUP(P11,密度!$A$2:$A$50,密度!$B$2:$B$50)</f>
        <v>161976.681216</v>
      </c>
      <c r="Q10" s="73" ph="1">
        <f>Q9*1.5*1.5*3.1416*LOOKUP(W11,密度!$A$2:$A$50,密度!$L$2:$L$50)</f>
        <v>34661.424382200006</v>
      </c>
      <c r="R10" s="73" ph="1">
        <f>R9*1.5*1.5*3.1416*LOOKUP(R11,密度!$A$2:$A$50,密度!$L$2:$L$50)</f>
        <v>36122.129366399997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42735.341879999993</v>
      </c>
      <c r="Y10" s="73" ph="1">
        <f>Y9*1.5*1.5*3.1416*LOOKUP(Y11,密度!$A$2:$A$50,密度!$L$2:$L$50)</f>
        <v>46939.787571599998</v>
      </c>
      <c r="Z10" s="73" ph="1">
        <f>Z9*33.183*LOOKUP(Z11,密度!$A$2:$A$50,密度!$L$2:$L$50)</f>
        <v>210314.38492799998</v>
      </c>
      <c r="AA10" s="73" ph="1">
        <f>AA9*33.183*LOOKUP(AA11,密度!$A$2:$A$50,密度!$D$2:$D$50)</f>
        <v>237055.58572949999</v>
      </c>
      <c r="AB10" s="73" ph="1">
        <f>AB9*20.428*LOOKUP(AB11,密度!$A$2:$A$50,密度!$D$2:$D$50)</f>
        <v>102440.22214479999</v>
      </c>
      <c r="AC10" s="73" ph="1">
        <f>AC9*51.53*LOOKUP(AC11,密度!$A$2:$A$50,密度!$Q$2:$Q$50)</f>
        <v>460204.42338930001</v>
      </c>
      <c r="AD10" s="73" ph="1">
        <f>AD9*20.428*LOOKUP(AD11,密度!$A$2:$A$50,密度!$V$2:$V$50)</f>
        <v>94130.589760000003</v>
      </c>
      <c r="AE10" s="73" ph="1">
        <f>AE9*20.428</f>
        <v>86553.436000000002</v>
      </c>
    </row>
    <row r="11" spans="1:99" ph="1">
      <c r="A11" s="64" t="s" ph="1">
        <v>162</v>
      </c>
      <c r="B11" s="193" ph="1"/>
      <c r="C11" s="165" t="s" ph="1">
        <v>179</v>
      </c>
      <c r="D11" s="74">
        <v>18</v>
      </c>
      <c r="E11" s="74">
        <v>15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18</v>
      </c>
      <c r="O11" s="74">
        <v>22</v>
      </c>
      <c r="P11" s="74">
        <v>25</v>
      </c>
      <c r="Q11" s="74">
        <v>22</v>
      </c>
      <c r="R11" s="74">
        <v>24</v>
      </c>
      <c r="S11" s="74">
        <v>18</v>
      </c>
      <c r="T11" s="74">
        <v>28</v>
      </c>
      <c r="U11" s="74">
        <v>19</v>
      </c>
      <c r="V11" s="74">
        <v>27</v>
      </c>
      <c r="W11" s="74">
        <v>31</v>
      </c>
      <c r="X11" s="74">
        <v>12</v>
      </c>
      <c r="Y11" s="74">
        <v>19</v>
      </c>
      <c r="Z11" s="74">
        <v>18</v>
      </c>
      <c r="AA11" s="74">
        <v>18</v>
      </c>
      <c r="AB11" s="74">
        <v>11</v>
      </c>
      <c r="AC11" s="74">
        <v>18</v>
      </c>
      <c r="AD11" s="74">
        <v>17</v>
      </c>
      <c r="AE11" s="74">
        <v>22</v>
      </c>
    </row>
    <row r="12" spans="1:99" ht="9.9" customHeight="1" ph="1"/>
    <row r="13" spans="1:99" s="72" customFormat="1" ht="29.25" customHeight="1" ph="1">
      <c r="B13" s="201" t="s" ph="1">
        <v>37</v>
      </c>
      <c r="C13" s="16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65" t="s" ph="1">
        <v>177</v>
      </c>
      <c r="D15" s="78">
        <v>1772</v>
      </c>
      <c r="E15" s="78">
        <v>1729</v>
      </c>
      <c r="F15" s="78">
        <v>433</v>
      </c>
      <c r="G15" s="78">
        <v>537</v>
      </c>
      <c r="H15" s="78">
        <v>5357</v>
      </c>
      <c r="I15" s="78">
        <v>5211</v>
      </c>
      <c r="J15" s="78">
        <v>5487</v>
      </c>
      <c r="K15" s="78">
        <v>3575</v>
      </c>
      <c r="L15" s="78">
        <v>1346</v>
      </c>
      <c r="M15" s="78">
        <v>3287</v>
      </c>
      <c r="N15" s="78">
        <v>2730</v>
      </c>
      <c r="O15" s="78">
        <v>18</v>
      </c>
      <c r="P15" s="78">
        <v>2606</v>
      </c>
      <c r="Q15" s="78">
        <v>0</v>
      </c>
      <c r="R15" s="78">
        <v>7334</v>
      </c>
      <c r="S15" s="78">
        <v>3560</v>
      </c>
      <c r="T15" s="78">
        <v>172</v>
      </c>
      <c r="U15" s="78">
        <v>4622</v>
      </c>
      <c r="V15" s="78">
        <v>338</v>
      </c>
      <c r="W15" s="71">
        <v>4934</v>
      </c>
      <c r="X15" s="78">
        <v>260</v>
      </c>
      <c r="Y15" s="106">
        <v>-9900</v>
      </c>
      <c r="Z15" s="78">
        <v>0</v>
      </c>
      <c r="AA15" s="78">
        <v>11</v>
      </c>
      <c r="AB15" s="78" ph="1">
        <v>6944</v>
      </c>
      <c r="AC15" s="78" ph="1">
        <v>2140</v>
      </c>
      <c r="AD15" s="78">
        <v>5.37</v>
      </c>
      <c r="AE15" s="78">
        <v>46.86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65" t="s" ph="1">
        <v>178</v>
      </c>
      <c r="D16" s="73" ph="1">
        <f>D15*7.0686*LOOKUP(D17,密度!$A$2:$A$50,密度!$L$2:$L$50)</f>
        <v>11811.602325599999</v>
      </c>
      <c r="E16" s="73" ph="1">
        <f>E15*7.0686*LOOKUP(E17,密度!$A$2:$A$50,密度!$L$2:$L$50)</f>
        <v>11524.977664199998</v>
      </c>
      <c r="F16" s="73" ph="1">
        <f>F15*9.0746*LOOKUP(F17,密度!$A$2:$A$50,密度!$L$2:$L$50)</f>
        <v>3713.1902009999999</v>
      </c>
      <c r="G16" s="73" ph="1">
        <f>G15*9.0746*LOOKUP(G17,密度!$A$2:$A$50,密度!$B$2:$B$50)</f>
        <v>3832.1745412800001</v>
      </c>
      <c r="H16" s="73" ph="1">
        <f>H15*9.0746*LOOKUP(H17,密度!$A$2:$A$50,密度!$L$2:$L$50)</f>
        <v>45793.099532399996</v>
      </c>
      <c r="I16" s="73" ph="1">
        <f>I15*9.0746*LOOKUP(I17,密度!$A$2:$A$50,密度!$U$2:$U$50)</f>
        <v>48611.797336800009</v>
      </c>
      <c r="J16" s="73" ph="1">
        <f>J15*9.0746*LOOKUP(J17,密度!$A$2:$A$50,密度!$L$2:$L$50)</f>
        <v>47003.959708800001</v>
      </c>
      <c r="K16" s="73" ph="1">
        <f>K15*9.0746*LOOKUP(K17,密度!$A$2:$A$50,密度!$C$2:$C$50)</f>
        <v>36136.804060499999</v>
      </c>
      <c r="L16" s="73" ph="1">
        <f>L15*9.0746*LOOKUP(L17,密度!$A$2:$A$50,密度!$E$2:$E$50)</f>
        <v>9679.9211930000001</v>
      </c>
      <c r="M16" s="73" ph="1">
        <f>M15*9.0746*LOOKUP(M17,密度!$A$2:$A$50,密度!$M$2:$M$50)</f>
        <v>26257.773439060002</v>
      </c>
      <c r="N16" s="73" ph="1">
        <f>N15*9.0746*LOOKUP(N17,密度!$A$2:$A$50,密度!$M$2:$M$50)</f>
        <v>21808.251137399999</v>
      </c>
      <c r="O16" s="73" ph="1">
        <f>O15*9.0746*LOOKUP(O17,密度!$A$2:$A$50,密度!$G$2:$G$50)</f>
        <v>158.2791732</v>
      </c>
      <c r="P16" s="73" ph="1">
        <f ca="1">P15*9.0746*LOOKUP(P17,密度!$A$2:$A$51,密度!$Q$2:$Q$50)</f>
        <v>22474.973614888004</v>
      </c>
      <c r="Q16" s="73" ph="1">
        <f>Q15*9.0746*LOOKUP(Q17,密度!$A$2:$A$50,密度!$Q$2:$Q$50)</f>
        <v>0</v>
      </c>
      <c r="R16" s="73" ph="1">
        <f>MAX(R15*9.0746*LOOKUP(R17,密度!$A$2:$A$50,密度!$B$2:$B$50),0)</f>
        <v>52184.298569240003</v>
      </c>
      <c r="S16" s="73" ph="1">
        <f>S15*9.0746*LOOKUP(S17,密度!$A$2:$A$50,密度!$Q$2:$Q$50)</f>
        <v>30730.033058480003</v>
      </c>
      <c r="T16" s="73" ph="1">
        <f>T15*9.0746*LOOKUP(T17,密度!$A$2:$A$50,密度!$O$2:$O$50)</f>
        <v>1451.5730160000001</v>
      </c>
      <c r="U16" s="73" ph="1">
        <f>U15*9.0746*LOOKUP(U17,密度!$A$2:$A$50,密度!$H$2:$H$50)</f>
        <v>38616.737064840003</v>
      </c>
      <c r="V16" s="73" ph="1">
        <f>MAX(5600*LOOKUP(V17,密度!$A$2:$A$50,密度!$Q$2:$Q$50)+V15*9.0476*LOOKUP(V17,密度!$A$2:$A$50,密度!$Q$2:$Q$50),0)</f>
        <v>8235.8338092239992</v>
      </c>
      <c r="W16" s="73" ph="1">
        <f>MAX(5600*LOOKUP(W17,密度!$A$2:$A$50,密度!$Q$2:$Q$50)+W15*9.0476*LOOKUP(W17,密度!$A$2:$A$50,密度!$Q$2:$Q$50),0)</f>
        <v>47790.611735831997</v>
      </c>
      <c r="X16" s="73" ph="1">
        <f>MAX(5600*LOOKUP(X17,密度!$A$2:$A$50,密度!$I$2:$I$50)+X15*9.0476*LOOKUP(X17,密度!$A$2:$A$50,密度!$I$2:$I$50),0)</f>
        <v>8244.2281991999989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78.658632800000007</v>
      </c>
      <c r="AB16" s="73" ph="1">
        <f>AB15*9.0746*LOOKUP(AB17,密度!$A$2:$A$50,密度!$L$2:$L$50)</f>
        <v>59548.251167999995</v>
      </c>
      <c r="AC16" s="73" ph="1">
        <f>AC15*9.0746*LOOKUP(AC17,密度!$A$2:$A$50,密度!$L$2:$L$50)</f>
        <v>18390.402868000001</v>
      </c>
      <c r="AD16" s="73" ph="1">
        <f>AD15*268.68*LOOKUP(AD17,密度!$A$2:$A$50,密度!B2:B50)+IF(AD15&lt;=0,0,1566*LOOKUP(AD17,密度!$A$2:$A$50,密度!B2:B50))</f>
        <v>2345.6695233599999</v>
      </c>
      <c r="AE16" s="73" ph="1">
        <f>AE15*268.68*LOOKUP(AE17,密度!$A$2:$A$50,密度!B2:B50)+IF(AE15&lt;=0,0,1566*LOOKUP(AE17,密度!$A$2:$A$50,密度!B2:B50))</f>
        <v>11036.28640608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19</v>
      </c>
      <c r="E17" s="74">
        <v>19</v>
      </c>
      <c r="F17" s="74">
        <v>17</v>
      </c>
      <c r="G17" s="74">
        <v>17</v>
      </c>
      <c r="H17" s="74">
        <v>20</v>
      </c>
      <c r="I17" s="74">
        <v>17</v>
      </c>
      <c r="J17" s="74">
        <v>18</v>
      </c>
      <c r="K17" s="74">
        <v>18</v>
      </c>
      <c r="L17" s="74">
        <v>17</v>
      </c>
      <c r="M17" s="74">
        <v>17</v>
      </c>
      <c r="N17" s="74">
        <v>18</v>
      </c>
      <c r="O17" s="74">
        <v>17</v>
      </c>
      <c r="P17" s="74">
        <v>20</v>
      </c>
      <c r="Q17" s="74">
        <v>19</v>
      </c>
      <c r="R17" s="74">
        <v>20</v>
      </c>
      <c r="S17" s="74">
        <v>19</v>
      </c>
      <c r="T17" s="74">
        <v>20</v>
      </c>
      <c r="U17" s="74">
        <v>19</v>
      </c>
      <c r="V17" s="74">
        <v>19</v>
      </c>
      <c r="W17" s="74">
        <v>19</v>
      </c>
      <c r="X17" s="74">
        <v>30</v>
      </c>
      <c r="Y17" s="108">
        <v>30</v>
      </c>
      <c r="Z17" s="74">
        <v>16</v>
      </c>
      <c r="AA17" s="74">
        <v>15</v>
      </c>
      <c r="AB17" s="74">
        <v>17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1774</v>
      </c>
      <c r="E18" s="71">
        <v>4236</v>
      </c>
      <c r="F18" s="71">
        <v>1147</v>
      </c>
      <c r="G18" s="71">
        <v>601</v>
      </c>
      <c r="H18" s="71">
        <v>5362</v>
      </c>
      <c r="I18" s="71">
        <v>5215</v>
      </c>
      <c r="J18" s="71">
        <v>5496</v>
      </c>
      <c r="K18" s="71">
        <v>3575</v>
      </c>
      <c r="L18" s="71">
        <v>1346</v>
      </c>
      <c r="M18" s="71">
        <v>1134</v>
      </c>
      <c r="N18" s="71">
        <v>3724</v>
      </c>
      <c r="O18" s="71">
        <v>9</v>
      </c>
      <c r="P18" s="71">
        <v>1123</v>
      </c>
      <c r="Q18" s="71">
        <v>1224</v>
      </c>
      <c r="R18" s="71">
        <v>7350</v>
      </c>
      <c r="S18" s="71">
        <v>4104</v>
      </c>
      <c r="T18" s="71">
        <v>5692</v>
      </c>
      <c r="U18" s="71">
        <v>2563</v>
      </c>
      <c r="V18" s="71">
        <v>912</v>
      </c>
      <c r="W18" s="71">
        <v>4932</v>
      </c>
      <c r="X18" s="71">
        <v>257</v>
      </c>
      <c r="Y18" s="109">
        <v>-9900</v>
      </c>
      <c r="Z18" s="71">
        <v>16</v>
      </c>
      <c r="AA18" s="71">
        <v>9</v>
      </c>
      <c r="AB18" s="71">
        <v>6950</v>
      </c>
      <c r="AC18" s="71">
        <v>2141</v>
      </c>
      <c r="AD18" s="71">
        <v>16.100000000000001</v>
      </c>
      <c r="AE18" s="71">
        <v>84.58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65" t="s" ph="1">
        <v>178</v>
      </c>
      <c r="D19" s="73" ph="1">
        <f>D18*7.0686*LOOKUP(D20,密度!$A$2:$A$50,密度!$L$2:$L$50)</f>
        <v>11649.377955600001</v>
      </c>
      <c r="E19" s="73" ph="1">
        <f>E18*7.0686*LOOKUP(E20,密度!$A$2:$A$50,密度!$L$2:$L$50)</f>
        <v>27816.665738399999</v>
      </c>
      <c r="F19" s="73" ph="1">
        <f>F18*9.0746*LOOKUP(F20,密度!$A$2:$A$50,密度!$L$2:$L$50)</f>
        <v>9742.4179632000014</v>
      </c>
      <c r="G19" s="73" ph="1">
        <f>G18*9.0746*LOOKUP(G20,密度!$A$2:$A$50,密度!$B$2:$B$50)</f>
        <v>4276.3517098600005</v>
      </c>
      <c r="H19" s="73" ph="1">
        <f>H18*9.0746*LOOKUP(H20,密度!$A$2:$A$50,密度!$L$2:$L$50)</f>
        <v>46079.1309244</v>
      </c>
      <c r="I19" s="73" ph="1">
        <f>I18*9.0746*LOOKUP(I20,密度!$A$2:$A$50,密度!$U$2:$U$50)</f>
        <v>48649.112092000003</v>
      </c>
      <c r="J19" s="73" ph="1">
        <f>J18*9.0746*LOOKUP(J20,密度!$A$2:$A$50,密度!$L$2:$L$50)</f>
        <v>46931.435505599999</v>
      </c>
      <c r="K19" s="73" ph="1">
        <f>K18*9.0746*LOOKUP(K20,密度!$A$2:$A$50,密度!$C$2:$C$50)</f>
        <v>36114.094874000002</v>
      </c>
      <c r="L19" s="73" ph="1">
        <f>L18*9.0746*LOOKUP(L20,密度!$A$2:$A$50,密度!$E$2:$E$50)</f>
        <v>9653.0494874799988</v>
      </c>
      <c r="M19" s="73" ph="1">
        <f>M18*9.0746*LOOKUP(M20,密度!$A$2:$A$50,密度!$M$2:$M$50)</f>
        <v>9024.8530427999995</v>
      </c>
      <c r="N19" s="73" ph="1">
        <f>N18*9.0746*LOOKUP(N20,密度!$A$2:$A$50,密度!$M$2:$M$50)</f>
        <v>29748.691295119999</v>
      </c>
      <c r="O19" s="73" ph="1">
        <f>O18*9.0746*LOOKUP(O20,密度!$A$2:$A$50,密度!$G$2:$G$50)</f>
        <v>78.714895320000011</v>
      </c>
      <c r="P19" s="73" ph="1">
        <f ca="1">P18*9.0746*LOOKUP(P20,密度!$A$2:$A$51,密度!$Q$2:$Q$50)</f>
        <v>9578.7178054519991</v>
      </c>
      <c r="Q19" s="73" ph="1">
        <f>Q18*9.0746*LOOKUP(Q20,密度!$A$2:$A$50,密度!$Q$2:$Q$50)</f>
        <v>10454.755914000001</v>
      </c>
      <c r="R19" s="73" ph="1">
        <f>MAX(R18*9.0746*LOOKUP(R20,密度!$A$2:$A$50,密度!$B$2:$B$50),0)</f>
        <v>52238.116391999996</v>
      </c>
      <c r="S19" s="73" ph="1">
        <f>S18*9.0746*LOOKUP(S20,密度!$A$2:$A$50,密度!$Q$2:$Q$50)</f>
        <v>35346.160115856001</v>
      </c>
      <c r="T19" s="73" ph="1">
        <f>T18*9.0746*LOOKUP(T20,密度!$A$2:$A$50,密度!$O$2:$O$50)</f>
        <v>48036.939576000004</v>
      </c>
      <c r="U19" s="73" ph="1">
        <f>U18*9.0746*LOOKUP(U20,密度!$A$2:$A$50,密度!$H$2:$H$50)</f>
        <v>21390.566356060001</v>
      </c>
      <c r="V19" s="73" ph="1">
        <f>MAX(5600*LOOKUP(V20,密度!$A$2:$A$50,密度!$Q$2:$Q$50)+V18*9.0476*LOOKUP(V20,密度!$A$2:$A$50,密度!$Q$2:$Q$50),0)</f>
        <v>13146.235855807998</v>
      </c>
      <c r="W19" s="73" ph="1">
        <f>MAX(5600*LOOKUP(W20,密度!$A$2:$A$50,密度!$Q$2:$Q$50)+W18*9.0476*LOOKUP(W20,密度!$A$2:$A$50,密度!$Q$2:$Q$50),0)</f>
        <v>47584.561449103996</v>
      </c>
      <c r="X19" s="73" ph="1">
        <f>MAX(5600*LOOKUP(X20,密度!$A$2:$A$50,密度!$I$2:$I$50)+X18*9.0476*LOOKUP(X20,密度!$A$2:$A$50,密度!$I$2:$I$50),0)</f>
        <v>8171.7079525199988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148.25718495999999</v>
      </c>
      <c r="AA19" s="73" ph="1">
        <f>AA18*9.0746*LOOKUP(AA20,密度!$A$2:$A$50,密度!$B$2:$B$50)</f>
        <v>63.965040480000006</v>
      </c>
      <c r="AB19" s="73" ph="1">
        <f>AB18*9.0746*LOOKUP(AB20,密度!$A$2:$A$50,密度!$L$2:$L$50)</f>
        <v>59410.498739999995</v>
      </c>
      <c r="AC19" s="73" ph="1">
        <f>AC18*9.0746*LOOKUP(AC20,密度!$A$2:$A$50,密度!$L$2:$L$50)</f>
        <v>18321.2816398</v>
      </c>
      <c r="AD19" s="73" ph="1">
        <f>AD18*268.68*LOOKUP(AD20,密度!$A$2:$A$50,密度!B5:B53)+IF(AD18&lt;=0,0,1566*LOOKUP(AD20,密度!$A$2:$A$50,密度!B5:B53))</f>
        <v>4577.8881960000008</v>
      </c>
      <c r="AE19" s="73" ph="1">
        <f>AE18*268.68*LOOKUP(AE20,密度!$A$2:$A$50,密度!B5:B53)+IF(AE18&lt;=0,0,1566*LOOKUP(AE20,密度!$A$2:$A$50,密度!B5:B53))</f>
        <v>18874.071568799998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33</v>
      </c>
      <c r="E20" s="81">
        <v>33</v>
      </c>
      <c r="F20" s="81">
        <v>26</v>
      </c>
      <c r="G20" s="81">
        <v>20</v>
      </c>
      <c r="H20" s="81">
        <v>15</v>
      </c>
      <c r="I20" s="81">
        <v>19</v>
      </c>
      <c r="J20" s="81">
        <v>21</v>
      </c>
      <c r="K20" s="81">
        <v>19</v>
      </c>
      <c r="L20" s="81">
        <v>19</v>
      </c>
      <c r="M20" s="81">
        <v>23</v>
      </c>
      <c r="N20" s="81">
        <v>19</v>
      </c>
      <c r="O20" s="81">
        <v>22</v>
      </c>
      <c r="P20" s="81">
        <v>35</v>
      </c>
      <c r="Q20" s="81">
        <v>33</v>
      </c>
      <c r="R20" s="81">
        <v>21</v>
      </c>
      <c r="S20" s="81">
        <v>22</v>
      </c>
      <c r="T20" s="81">
        <v>22</v>
      </c>
      <c r="U20" s="81">
        <v>20</v>
      </c>
      <c r="V20" s="81">
        <v>22</v>
      </c>
      <c r="W20" s="81">
        <v>24</v>
      </c>
      <c r="X20" s="81">
        <v>35</v>
      </c>
      <c r="Y20" s="110">
        <v>35</v>
      </c>
      <c r="Z20" s="81">
        <v>31</v>
      </c>
      <c r="AA20" s="81">
        <v>21</v>
      </c>
      <c r="AB20" s="81">
        <v>20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647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65" t="s" ph="1">
        <v>177</v>
      </c>
      <c r="D24" s="71">
        <v>5.49</v>
      </c>
      <c r="E24" s="71">
        <v>3.29</v>
      </c>
      <c r="F24" s="71">
        <v>565</v>
      </c>
      <c r="G24" s="71">
        <v>3860</v>
      </c>
      <c r="H24" s="71">
        <v>3544</v>
      </c>
      <c r="I24" s="71">
        <v>4155</v>
      </c>
      <c r="J24" s="71">
        <v>4993</v>
      </c>
      <c r="K24" s="71">
        <v>4861</v>
      </c>
      <c r="L24" s="71">
        <v>4374</v>
      </c>
      <c r="M24" s="71">
        <v>2634</v>
      </c>
      <c r="N24" s="71">
        <v>2845</v>
      </c>
      <c r="O24" s="71">
        <v>5716</v>
      </c>
      <c r="P24" s="71">
        <v>356</v>
      </c>
      <c r="Q24" s="90">
        <v>1479</v>
      </c>
      <c r="R24" s="71">
        <v>5142</v>
      </c>
      <c r="S24" s="71">
        <v>482</v>
      </c>
      <c r="T24" s="71">
        <v>660</v>
      </c>
      <c r="U24" s="71">
        <v>4682</v>
      </c>
      <c r="V24" s="71">
        <v>6415</v>
      </c>
      <c r="W24" s="71">
        <v>2911</v>
      </c>
      <c r="X24" s="71">
        <v>8331</v>
      </c>
      <c r="Y24" s="71">
        <v>5209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2879.0867065680004</v>
      </c>
      <c r="E25" s="91" ph="1">
        <f>E24*268.68*LOOKUP(E26,密度!$A$2:$A$50,密度!$C$2:$C$50)+IF(E24&lt;=0,0,1566*LOOKUP(E26,密度!$A$2:$A$50,密度!$C$2:$C$50))</f>
        <v>2716.7575390800002</v>
      </c>
      <c r="F25" s="91" ph="1">
        <f>F24*11.702*LOOKUP(F26,密度!$A$2:$A$50,密度!$Q$2:$Q$50)</f>
        <v>6294.3378763000001</v>
      </c>
      <c r="G25" s="91" ph="1">
        <f>G24*18.322*LOOKUP(G26,密度!$A$2:$A$50,密度!$B$2:$B$50)</f>
        <v>55566.998243999995</v>
      </c>
      <c r="H25" s="91" ph="1">
        <f>H24*18.322*LOOKUP(H26,密度!$A$2:$A$50,密度!$B$2:$B$50)</f>
        <v>51063.443315199998</v>
      </c>
      <c r="I25" s="91" ph="1">
        <f>I24*18.322*LOOKUP(I26,密度!$A$2:$A$50,密度!$Q$2:$Q$50)</f>
        <v>72474.53159910001</v>
      </c>
      <c r="J25" s="91" ph="1">
        <f>J24*18.322*LOOKUP(J26,密度!$A$2:$A$50,密度!$Q$2:$Q$50)</f>
        <v>87163.807588800002</v>
      </c>
      <c r="K25" s="91" ph="1">
        <f>K24*18.322*LOOKUP(K26,密度!$A$2:$A$50,密度!$Q$2:$Q$50)</f>
        <v>84789.097016419997</v>
      </c>
      <c r="L25" s="91" ph="1">
        <f>L24*18.322*LOOKUP(L26,密度!$A$2:$A$50,密度!$Q$2:$Q$50)</f>
        <v>76294.488860280006</v>
      </c>
      <c r="M25" s="91" ph="1">
        <f>M24*18.322*LOOKUP(M26,密度!$A$2:$A$50,密度!$Q$2:$Q$50)</f>
        <v>45982.269014400001</v>
      </c>
      <c r="N25" s="91" ph="1">
        <f>N24*18.322*LOOKUP(N26,密度!$A$2:$A$50,密度!$Q$2:$Q$50)</f>
        <v>49665.738551999995</v>
      </c>
      <c r="O25" s="91" ph="1">
        <f>O24*18.322*LOOKUP(O26,密度!$A$2:$A$50,密度!$C$2:$C$50)</f>
        <v>116719.971204</v>
      </c>
      <c r="P25" s="91" ph="1">
        <f>P24*11.702*LOOKUP(P26,密度!$A$2:$A$50,密度!$B$2:$B$50)</f>
        <v>3273.1570584000001</v>
      </c>
      <c r="Q25" s="92" ph="1">
        <f>Q24*18.322*LOOKUP(Q26,密度!$A$2:$A$50,密度!$B$2:$B$50)</f>
        <v>21310.054363199997</v>
      </c>
      <c r="R25" s="91" ph="1">
        <f>R24*35.891*LOOKUP(R26,密度!$A$2:$A$50,密度!$C$2:$C$50)</f>
        <v>205571.94035579998</v>
      </c>
      <c r="S25" s="91" ph="1">
        <f>S24*35.891*LOOKUP(S26,密度!$A$2:$A$50,密度!$B$2:$B$50)</f>
        <v>13604.2969168</v>
      </c>
      <c r="T25" s="91" ph="1">
        <f>T24*35.891*LOOKUP(T26,密度!$A$2:$A$50,密度!$Q$2:$Q$50)</f>
        <v>22569.983567999996</v>
      </c>
      <c r="U25" s="91" ph="1">
        <f>U24*35.891</f>
        <v>168041.66199999998</v>
      </c>
      <c r="V25" s="91" ph="1">
        <f>V24*47.051*LOOKUP(V26,密度!$A$2:$A$50,密度!$B$2:$B$50)</f>
        <v>237149.53204050002</v>
      </c>
      <c r="W25" s="91" ph="1">
        <f>W24*47.051*LOOKUP(W26,密度!$A$2:$A$50,密度!$B$2:$B$50)</f>
        <v>107613.76270770001</v>
      </c>
      <c r="X25" s="91" ph="1">
        <f>X24*47.051*LOOKUP(X26,密度!$A$2:$A$61,密度!$I$2:$I$61)</f>
        <v>400213.50050099997</v>
      </c>
      <c r="Y25" s="91" ph="1">
        <f>Y24*47.051*LOOKUP(Y26,密度!$A$2:$A$50,密度!$L$2:$L$50)</f>
        <v>231363.69409599999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18</v>
      </c>
      <c r="G26" s="74">
        <v>18</v>
      </c>
      <c r="H26" s="74">
        <v>17</v>
      </c>
      <c r="I26" s="74">
        <v>18</v>
      </c>
      <c r="J26" s="74">
        <v>17</v>
      </c>
      <c r="K26" s="74">
        <v>18</v>
      </c>
      <c r="L26" s="74">
        <v>18</v>
      </c>
      <c r="M26" s="74">
        <v>17</v>
      </c>
      <c r="N26" s="74">
        <v>17</v>
      </c>
      <c r="O26" s="74">
        <v>17</v>
      </c>
      <c r="P26" s="74">
        <v>18</v>
      </c>
      <c r="Q26" s="93">
        <v>17</v>
      </c>
      <c r="R26" s="74">
        <v>18</v>
      </c>
      <c r="S26" s="74">
        <v>17</v>
      </c>
      <c r="T26" s="74">
        <v>17</v>
      </c>
      <c r="U26" s="74">
        <v>17</v>
      </c>
      <c r="V26" s="74">
        <v>18</v>
      </c>
      <c r="W26" s="74">
        <v>18</v>
      </c>
      <c r="X26" s="74">
        <v>44</v>
      </c>
      <c r="Y26" s="74">
        <v>18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65" t="s" ph="1">
        <v>180</v>
      </c>
      <c r="D27" s="71">
        <v>5.49</v>
      </c>
      <c r="E27" s="71">
        <v>3.26</v>
      </c>
      <c r="F27" s="71">
        <v>563</v>
      </c>
      <c r="G27" s="71">
        <v>3436</v>
      </c>
      <c r="H27" s="71">
        <v>3076</v>
      </c>
      <c r="I27" s="71">
        <v>2535</v>
      </c>
      <c r="J27" s="71">
        <v>4993</v>
      </c>
      <c r="K27" s="71">
        <v>4861</v>
      </c>
      <c r="L27" s="71">
        <v>4369</v>
      </c>
      <c r="M27" s="71">
        <v>2630</v>
      </c>
      <c r="N27" s="71">
        <v>2840</v>
      </c>
      <c r="O27" s="71">
        <v>5712</v>
      </c>
      <c r="P27" s="71">
        <v>351</v>
      </c>
      <c r="Q27" s="90">
        <v>507</v>
      </c>
      <c r="R27" s="71">
        <v>5138</v>
      </c>
      <c r="S27" s="71">
        <v>1118</v>
      </c>
      <c r="T27" s="71">
        <v>214</v>
      </c>
      <c r="U27" s="71">
        <v>4658</v>
      </c>
      <c r="V27" s="71">
        <v>6413</v>
      </c>
      <c r="W27" s="71">
        <v>2616</v>
      </c>
      <c r="X27" s="71">
        <v>8927</v>
      </c>
      <c r="Y27" s="71">
        <v>3612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65" t="s" ph="1">
        <v>178</v>
      </c>
      <c r="D28" s="91" ph="1">
        <f>D27*268.68*LOOKUP(D29,密度!$A$2:$A$50,密度!$Q$2:$Q$50)+IF(D27&lt;=0,0,1566*LOOKUP(D29,密度!$A$2:$A$50,密度!$Q$2:$Q$50))</f>
        <v>2879.0867065680004</v>
      </c>
      <c r="E28" s="91" ph="1">
        <f>E27*268.68*LOOKUP(E29,密度!$A$2:$A$50,密度!$C$2:$C$50)+IF(E27&lt;=0,0,1566*LOOKUP(E29,密度!$A$2:$A$50,密度!$C$2:$C$50))</f>
        <v>2707.8193615199998</v>
      </c>
      <c r="F28" s="91" ph="1">
        <f>F27*11.702*LOOKUP(F29,密度!$A$2:$A$50,密度!$Q$2:$Q$50)</f>
        <v>6272.0570342599995</v>
      </c>
      <c r="G28" s="91" ph="1">
        <f>G27*18.322*LOOKUP(G29,密度!$A$2:$A$50,密度!$B$2:$B$50)</f>
        <v>49362.5387672</v>
      </c>
      <c r="H28" s="91" ph="1">
        <f>H27*18.322*LOOKUP(H29,密度!$A$2:$A$50,密度!$B$2:$B$50)</f>
        <v>44235.764672799996</v>
      </c>
      <c r="I28" s="91" ph="1">
        <f>I27*18.322*LOOKUP(I29,密度!$A$2:$A$50,密度!$Q$2:$Q$50)</f>
        <v>44217.313502699995</v>
      </c>
      <c r="J28" s="91" ph="1">
        <f>J27*18.322*LOOKUP(J29,密度!$A$2:$A$50,密度!$Q$2:$Q$50)</f>
        <v>87163.807588800002</v>
      </c>
      <c r="K28" s="91" ph="1">
        <f>K27*18.322*LOOKUP(K29,密度!$A$2:$A$50,密度!$Q$2:$Q$50)</f>
        <v>84859.456977599999</v>
      </c>
      <c r="L28" s="91" ph="1">
        <f>L27*18.322*LOOKUP(L29,密度!$A$2:$A$50,密度!$Q$2:$Q$50)</f>
        <v>76334.552844799997</v>
      </c>
      <c r="M28" s="91" ph="1">
        <f>M27*18.322*LOOKUP(M29,密度!$A$2:$A$50,密度!$Q$2:$Q$50)</f>
        <v>45912.440208</v>
      </c>
      <c r="N28" s="91" ph="1">
        <f>N27*18.322*LOOKUP(N29,密度!$A$2:$A$50,密度!$Q$2:$Q$50)</f>
        <v>49620.080127999994</v>
      </c>
      <c r="O28" s="91" ph="1">
        <f>O27*18.322*LOOKUP(O29,密度!$A$2:$A$50,密度!$C$2:$C$50)</f>
        <v>116774.34357119999</v>
      </c>
      <c r="P28" s="91" ph="1">
        <f>P27*11.702*LOOKUP(P29,密度!$A$2:$A$50,密度!$B$2:$B$50)</f>
        <v>3230.0609328</v>
      </c>
      <c r="Q28" s="92" ph="1">
        <f>Q27*18.322*LOOKUP(Q29,密度!$A$2:$A$50,密度!$B$2:$B$50)</f>
        <v>7298.5668677999984</v>
      </c>
      <c r="R28" s="91" ph="1">
        <f>R27*35.891*LOOKUP(R29,密度!$A$2:$A$50,密度!$C$2:$C$50)</f>
        <v>205762.39953639996</v>
      </c>
      <c r="S28" s="91" ph="1">
        <f>S27*35.891*LOOKUP(S29,密度!$A$2:$A$50,密度!$B$2:$B$50)</f>
        <v>31587.295833600001</v>
      </c>
      <c r="T28" s="91" ph="1">
        <f>T27*35.891*LOOKUP(T29,密度!$A$2:$A$50,密度!$Q$2:$Q$50)</f>
        <v>7306.0875290200001</v>
      </c>
      <c r="U28" s="91" ph="1">
        <f>U27*35.891</f>
        <v>167180.27799999999</v>
      </c>
      <c r="V28" s="91" ph="1">
        <f>V27*47.051*LOOKUP(V29,密度!$A$2:$A$50,密度!$B$2:$B$50)</f>
        <v>237528.20319360003</v>
      </c>
      <c r="W28" s="91" ph="1">
        <f>W27*47.051*LOOKUP(W29,密度!$A$2:$A$50,密度!$B$2:$B$50)</f>
        <v>96794.371142400007</v>
      </c>
      <c r="X28" s="91" ph="1">
        <f>X27*47.051*LOOKUP(X29,密度!$A$2:$A$61,密度!$I$2:$I$61)</f>
        <v>431700.95190060005</v>
      </c>
      <c r="Y28" s="91" ph="1">
        <f>Y27*47.051*LOOKUP(Y29,密度!$A$2:$A$50,密度!$L$2:$L$50)</f>
        <v>160091.215704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65" t="s" ph="1">
        <v>179</v>
      </c>
      <c r="D29" s="74">
        <v>25</v>
      </c>
      <c r="E29" s="74">
        <v>25</v>
      </c>
      <c r="F29" s="74">
        <v>18</v>
      </c>
      <c r="G29" s="74">
        <v>20</v>
      </c>
      <c r="H29" s="74">
        <v>19</v>
      </c>
      <c r="I29" s="74">
        <v>18</v>
      </c>
      <c r="J29" s="74">
        <v>17</v>
      </c>
      <c r="K29" s="74">
        <v>17</v>
      </c>
      <c r="L29" s="74">
        <v>16</v>
      </c>
      <c r="M29" s="74">
        <v>17</v>
      </c>
      <c r="N29" s="74">
        <v>16</v>
      </c>
      <c r="O29" s="74">
        <v>15</v>
      </c>
      <c r="P29" s="74">
        <v>17</v>
      </c>
      <c r="Q29" s="93">
        <v>18</v>
      </c>
      <c r="R29" s="74">
        <v>15</v>
      </c>
      <c r="S29" s="74">
        <v>16</v>
      </c>
      <c r="T29" s="74">
        <v>19</v>
      </c>
      <c r="U29" s="74">
        <v>16</v>
      </c>
      <c r="V29" s="74">
        <v>16</v>
      </c>
      <c r="W29" s="74">
        <v>17</v>
      </c>
      <c r="X29" s="74">
        <v>38</v>
      </c>
      <c r="Y29" s="74">
        <v>20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339644.06505926</v>
      </c>
      <c r="E33" s="215" ph="1">
        <f>M10+I10</f>
        <v>27113.830151800001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9" ph="1">
        <f>N19</f>
        <v>29748.691295119999</v>
      </c>
      <c r="H33" s="215" ph="1">
        <f>M19</f>
        <v>9024.8530427999995</v>
      </c>
      <c r="I33" s="228" ph="1">
        <v>0</v>
      </c>
      <c r="J33" s="226" ph="1">
        <f>F10+O28</f>
        <v>326892.60369600001</v>
      </c>
      <c r="K33" s="215" ph="1">
        <f>O10+K10+E28+R28</f>
        <v>318246.55792471999</v>
      </c>
      <c r="L33" s="230" ph="1">
        <f>K19</f>
        <v>36114.094874000002</v>
      </c>
      <c r="M33" s="226" ph="1">
        <f>G10+H10+W28+S28+V28+E10+R19+P28+Q28</f>
        <v>902821.12865019997</v>
      </c>
      <c r="N33" s="215" ph="1">
        <f>L10+P10++G28+H28+AD19+AE19</f>
        <v>285760.30210079998</v>
      </c>
      <c r="O33" s="228" ph="1">
        <f>G19</f>
        <v>4276.3517098600005</v>
      </c>
      <c r="P33" s="226" ph="1">
        <f>L19</f>
        <v>9653.0494874799988</v>
      </c>
      <c r="Q33" s="215" ph="1">
        <f>J10+N10</f>
        <v>88857.852820600005</v>
      </c>
      <c r="R33" s="228" ph="1">
        <f>BE23</f>
        <v>890</v>
      </c>
      <c r="S33" s="226" ph="1">
        <f>X28</f>
        <v>431700.95190060005</v>
      </c>
      <c r="T33" s="215" ph="1">
        <f>X19</f>
        <v>8171.7079525199988</v>
      </c>
      <c r="U33" s="236" ph="1">
        <f>BE21</f>
        <v>730</v>
      </c>
      <c r="V33" s="247" ph="1">
        <f ca="1">P19+Q19+S19+M28+N28+J28+D10+AC10+D19+E19+H19+J19+O19+V19+W19+K28+L28</f>
        <v>1198077.0373140401</v>
      </c>
      <c r="W33" s="247" ph="1">
        <f>D28+F28+T28+I28</f>
        <v>60674.544772547997</v>
      </c>
      <c r="X33" s="228" ph="1">
        <f>BE29+BE31</f>
        <v>10200</v>
      </c>
      <c r="Y33" s="249" ph="1">
        <f>+Q10+R10+S10+T10+U10+V10+W10+X10+Y10</f>
        <v>160458.6832002</v>
      </c>
      <c r="Z33" s="234" ph="1">
        <f>T19+U19+Y28+Z10</f>
        <v>439833.10656405997</v>
      </c>
      <c r="AA33" s="236" ph="1">
        <f>BE19</f>
        <v>1440</v>
      </c>
      <c r="AB33" s="238" ph="1">
        <f>I19</f>
        <v>48649.112092000003</v>
      </c>
      <c r="AC33" s="240" ph="1">
        <f>AD10+AB19</f>
        <v>153541.08850000001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3" t="s" ph="1">
        <v>185</v>
      </c>
      <c r="AA36" s="163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342</v>
      </c>
      <c r="AI37" s="163" t="s" ph="1">
        <v>209</v>
      </c>
      <c r="AJ37" s="163" t="s" ph="1">
        <v>210</v>
      </c>
      <c r="AK37" s="163" t="s" ph="1">
        <v>211</v>
      </c>
      <c r="AM37" s="163" t="s" ph="1">
        <v>210</v>
      </c>
      <c r="AN37" s="163" t="s" ph="1">
        <v>211</v>
      </c>
      <c r="AO37" s="163" t="s" ph="1">
        <v>212</v>
      </c>
      <c r="AP37" s="163" t="s" ph="1">
        <v>210</v>
      </c>
      <c r="AQ37" s="163" t="s" ph="1">
        <v>211</v>
      </c>
      <c r="AR37" s="163" t="s" ph="1">
        <v>212</v>
      </c>
      <c r="AS37" s="163" t="s" ph="1">
        <v>210</v>
      </c>
      <c r="AT37" s="163" t="s" ph="1">
        <v>211</v>
      </c>
      <c r="AU37" s="163" t="s" ph="1">
        <v>212</v>
      </c>
      <c r="AV37" s="163" t="s" ph="1">
        <v>210</v>
      </c>
      <c r="AW37" s="163" t="s" ph="1">
        <v>211</v>
      </c>
      <c r="AX37" s="163" t="s" ph="1">
        <v>212</v>
      </c>
      <c r="AY37" s="163" t="s" ph="1">
        <v>211</v>
      </c>
      <c r="AZ37" s="163" t="s" ph="1">
        <v>213</v>
      </c>
      <c r="BD37" s="163" t="s" ph="1">
        <v>305</v>
      </c>
      <c r="BE37" s="16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49" priority="100">
      <formula>ABS(D$7-D$10)&gt;=1000</formula>
    </cfRule>
  </conditionalFormatting>
  <conditionalFormatting sqref="E4 E6:E11">
    <cfRule type="expression" dxfId="648" priority="99">
      <formula>ABS(E$7-E$10)&gt;=1000</formula>
    </cfRule>
  </conditionalFormatting>
  <conditionalFormatting sqref="F4:F11">
    <cfRule type="expression" dxfId="647" priority="98">
      <formula>ABS(F$7-F$10)&gt;=1000</formula>
    </cfRule>
  </conditionalFormatting>
  <conditionalFormatting sqref="G4:G11">
    <cfRule type="expression" dxfId="646" priority="97">
      <formula>ABS(G$7-G$10)&gt;=1000</formula>
    </cfRule>
  </conditionalFormatting>
  <conditionalFormatting sqref="H4:H11">
    <cfRule type="expression" dxfId="645" priority="96">
      <formula>ABS(H$7-H$10)&gt;=1000</formula>
    </cfRule>
  </conditionalFormatting>
  <conditionalFormatting sqref="I4:I11">
    <cfRule type="expression" dxfId="644" priority="95">
      <formula>ABS(I$7-I$10)&gt;=1000</formula>
    </cfRule>
  </conditionalFormatting>
  <conditionalFormatting sqref="J4:J11">
    <cfRule type="expression" dxfId="643" priority="94">
      <formula>ABS(J$7-J$10)&gt;=1000</formula>
    </cfRule>
  </conditionalFormatting>
  <conditionalFormatting sqref="K4:K11">
    <cfRule type="expression" dxfId="642" priority="93">
      <formula>ABS(K$7-K$10)&gt;=1000</formula>
    </cfRule>
  </conditionalFormatting>
  <conditionalFormatting sqref="L4:L11">
    <cfRule type="expression" dxfId="641" priority="92">
      <formula>ABS(L$7-L$10)&gt;=1000</formula>
    </cfRule>
  </conditionalFormatting>
  <conditionalFormatting sqref="M4 M6:M11">
    <cfRule type="expression" dxfId="640" priority="91">
      <formula>ABS(M$7-M$10)&gt;=1000</formula>
    </cfRule>
  </conditionalFormatting>
  <conditionalFormatting sqref="N4 N6:N11">
    <cfRule type="expression" dxfId="639" priority="90">
      <formula>ABS(N$7-N$10)&gt;=1000</formula>
    </cfRule>
  </conditionalFormatting>
  <conditionalFormatting sqref="O4 O6:O11">
    <cfRule type="expression" dxfId="638" priority="89">
      <formula>ABS(O$7-O$10)&gt;=1000</formula>
    </cfRule>
  </conditionalFormatting>
  <conditionalFormatting sqref="P4 P6:P11">
    <cfRule type="expression" dxfId="637" priority="88">
      <formula>ABS(P$7-P$10)&gt;=1000</formula>
    </cfRule>
  </conditionalFormatting>
  <conditionalFormatting sqref="Q4:Q11">
    <cfRule type="expression" dxfId="636" priority="87">
      <formula>ABS(Q$7-Q$10)&gt;=1000</formula>
    </cfRule>
  </conditionalFormatting>
  <conditionalFormatting sqref="R4:R11">
    <cfRule type="expression" dxfId="635" priority="86">
      <formula>ABS(R$7-R$10)&gt;=1000</formula>
    </cfRule>
  </conditionalFormatting>
  <conditionalFormatting sqref="S4:S11">
    <cfRule type="expression" dxfId="634" priority="85">
      <formula>ABS(S$7-S$10)&gt;=1000</formula>
    </cfRule>
  </conditionalFormatting>
  <conditionalFormatting sqref="T4:T9 T11">
    <cfRule type="expression" dxfId="633" priority="84">
      <formula>ABS(T$7-T$10)&gt;=1000</formula>
    </cfRule>
  </conditionalFormatting>
  <conditionalFormatting sqref="U4:U9 U11">
    <cfRule type="expression" dxfId="632" priority="83">
      <formula>ABS(U$7-U$10)&gt;=1000</formula>
    </cfRule>
  </conditionalFormatting>
  <conditionalFormatting sqref="V4:V9 V11">
    <cfRule type="expression" dxfId="631" priority="82">
      <formula>ABS(V$7-V$10)&gt;=1000</formula>
    </cfRule>
  </conditionalFormatting>
  <conditionalFormatting sqref="W4:W9 W11">
    <cfRule type="expression" dxfId="630" priority="81">
      <formula>ABS(W$7-W$10)&gt;=1000</formula>
    </cfRule>
  </conditionalFormatting>
  <conditionalFormatting sqref="X4:X9 X11">
    <cfRule type="expression" dxfId="629" priority="80">
      <formula>ABS(X$7-X$10)&gt;=1000</formula>
    </cfRule>
  </conditionalFormatting>
  <conditionalFormatting sqref="Y4:Y9 Y11">
    <cfRule type="expression" dxfId="628" priority="79">
      <formula>ABS(Y$7-Y$10)&gt;=1000</formula>
    </cfRule>
  </conditionalFormatting>
  <conditionalFormatting sqref="Z4:Z11">
    <cfRule type="expression" dxfId="627" priority="78">
      <formula>ABS(Z$7-Z$10)&gt;=1000</formula>
    </cfRule>
  </conditionalFormatting>
  <conditionalFormatting sqref="AA4:AA11">
    <cfRule type="expression" dxfId="626" priority="77">
      <formula>ABS(AA$7-AA$10)&gt;=1000</formula>
    </cfRule>
  </conditionalFormatting>
  <conditionalFormatting sqref="AB4:AB11">
    <cfRule type="expression" dxfId="625" priority="76">
      <formula>ABS(AB$7-AB$10)&gt;=1000</formula>
    </cfRule>
  </conditionalFormatting>
  <conditionalFormatting sqref="AC4 AC6:AC11">
    <cfRule type="expression" dxfId="624" priority="75">
      <formula>ABS(AC$7-AC$10)&gt;=1000</formula>
    </cfRule>
  </conditionalFormatting>
  <conditionalFormatting sqref="AD4 AD6:AD11">
    <cfRule type="expression" dxfId="623" priority="74">
      <formula>ABS(AD$7-AD$10)&gt;=1000</formula>
    </cfRule>
  </conditionalFormatting>
  <conditionalFormatting sqref="AE4 AE6:AE11">
    <cfRule type="expression" dxfId="622" priority="73">
      <formula>ABS(AE$7-AE$10)&gt;=1000</formula>
    </cfRule>
  </conditionalFormatting>
  <conditionalFormatting sqref="D13:D20">
    <cfRule type="expression" dxfId="621" priority="72">
      <formula>ABS(D$16-D$19)&gt;=1000</formula>
    </cfRule>
  </conditionalFormatting>
  <conditionalFormatting sqref="E13:E20">
    <cfRule type="expression" dxfId="620" priority="71">
      <formula>ABS(E$16-E$19)&gt;=1000</formula>
    </cfRule>
  </conditionalFormatting>
  <conditionalFormatting sqref="F13 F15:F20">
    <cfRule type="expression" dxfId="619" priority="70">
      <formula>ABS(F$16-F$19)&gt;=1000</formula>
    </cfRule>
  </conditionalFormatting>
  <conditionalFormatting sqref="G13:G20">
    <cfRule type="expression" dxfId="618" priority="69">
      <formula>ABS(G$16-G$19)&gt;=1000</formula>
    </cfRule>
  </conditionalFormatting>
  <conditionalFormatting sqref="H13 H15:H20">
    <cfRule type="expression" dxfId="617" priority="68">
      <formula>ABS(H$16-H$19)&gt;=1000</formula>
    </cfRule>
  </conditionalFormatting>
  <conditionalFormatting sqref="I13:I20">
    <cfRule type="expression" dxfId="616" priority="67">
      <formula>ABS(I$16-I$19)&gt;=1000</formula>
    </cfRule>
  </conditionalFormatting>
  <conditionalFormatting sqref="J13:J20">
    <cfRule type="expression" dxfId="615" priority="66">
      <formula>ABS(J$16-J$19)&gt;=1000</formula>
    </cfRule>
  </conditionalFormatting>
  <conditionalFormatting sqref="L13:L20">
    <cfRule type="expression" dxfId="614" priority="65">
      <formula>ABS(L$16-L$19)&gt;=1000</formula>
    </cfRule>
  </conditionalFormatting>
  <conditionalFormatting sqref="M13 M15 M17:M18 M20">
    <cfRule type="expression" dxfId="613" priority="64">
      <formula>ABS(M$16-M$19)&gt;=1000</formula>
    </cfRule>
  </conditionalFormatting>
  <conditionalFormatting sqref="N13:N20">
    <cfRule type="expression" dxfId="612" priority="63">
      <formula>ABS(N$16-N$19)&gt;=1000</formula>
    </cfRule>
  </conditionalFormatting>
  <conditionalFormatting sqref="O13:O20">
    <cfRule type="expression" dxfId="611" priority="62">
      <formula>ABS(O$16-O$19)&gt;=1000</formula>
    </cfRule>
  </conditionalFormatting>
  <conditionalFormatting sqref="P13:P20">
    <cfRule type="expression" dxfId="610" priority="61">
      <formula>ABS(P$16-P$19)&gt;=1000</formula>
    </cfRule>
  </conditionalFormatting>
  <conditionalFormatting sqref="Q13 Q15:Q20">
    <cfRule type="expression" dxfId="609" priority="60">
      <formula>ABS(Q$16-Q$19)&gt;=1000</formula>
    </cfRule>
  </conditionalFormatting>
  <conditionalFormatting sqref="R13:R20">
    <cfRule type="expression" dxfId="608" priority="59">
      <formula>ABS(R$16-R$19)&gt;=1000</formula>
    </cfRule>
  </conditionalFormatting>
  <conditionalFormatting sqref="S13:S20">
    <cfRule type="expression" dxfId="607" priority="58">
      <formula>ABS(S$16-S$19)&gt;=1000</formula>
    </cfRule>
  </conditionalFormatting>
  <conditionalFormatting sqref="T13:T20">
    <cfRule type="expression" dxfId="606" priority="57">
      <formula>ABS(T$16-T$19)&gt;=1000</formula>
    </cfRule>
  </conditionalFormatting>
  <conditionalFormatting sqref="U13:U20">
    <cfRule type="expression" dxfId="605" priority="56">
      <formula>ABS(U$16-U$19)&gt;=1000</formula>
    </cfRule>
  </conditionalFormatting>
  <conditionalFormatting sqref="V13:V20">
    <cfRule type="expression" dxfId="604" priority="55">
      <formula>ABS(V$16-V$19)&gt;=1000</formula>
    </cfRule>
  </conditionalFormatting>
  <conditionalFormatting sqref="W13 W20 W15:W18">
    <cfRule type="expression" dxfId="603" priority="54">
      <formula>ABS(W$16-W$19)&gt;=1000</formula>
    </cfRule>
  </conditionalFormatting>
  <conditionalFormatting sqref="X13 X15:X20 Y19">
    <cfRule type="expression" dxfId="602" priority="53">
      <formula>ABS(X$16-X$19)&gt;=1000</formula>
    </cfRule>
  </conditionalFormatting>
  <conditionalFormatting sqref="Y13 Y15:Y18 Y20">
    <cfRule type="expression" dxfId="601" priority="52">
      <formula>ABS(Y$16-Y$19)&gt;=1000</formula>
    </cfRule>
  </conditionalFormatting>
  <conditionalFormatting sqref="Z13:Z20">
    <cfRule type="expression" dxfId="600" priority="51">
      <formula>ABS(Z$16-Z$19)&gt;=1000</formula>
    </cfRule>
  </conditionalFormatting>
  <conditionalFormatting sqref="AA13:AA20">
    <cfRule type="expression" dxfId="599" priority="50">
      <formula>ABS(AA$16-AA$19)&gt;=1000</formula>
    </cfRule>
  </conditionalFormatting>
  <conditionalFormatting sqref="AB13 AB15:AB20">
    <cfRule type="expression" dxfId="598" priority="49">
      <formula>ABS(AB$16-AB$19)&gt;=1000</formula>
    </cfRule>
  </conditionalFormatting>
  <conditionalFormatting sqref="AC13 AC15:AC20">
    <cfRule type="expression" dxfId="597" priority="48">
      <formula>ABS(AC$16-AC$19)&gt;=1000</formula>
    </cfRule>
  </conditionalFormatting>
  <conditionalFormatting sqref="AD13:AD20">
    <cfRule type="expression" dxfId="596" priority="47">
      <formula>ABS(AD$16-AD$19)&gt;=1000</formula>
    </cfRule>
  </conditionalFormatting>
  <conditionalFormatting sqref="AE13:AE20">
    <cfRule type="expression" dxfId="595" priority="46">
      <formula>ABS(AE$16-AE$19)&gt;=1000</formula>
    </cfRule>
  </conditionalFormatting>
  <conditionalFormatting sqref="D22:D29">
    <cfRule type="expression" dxfId="594" priority="45">
      <formula>ABS(D$25-D$28)&gt;=1000</formula>
    </cfRule>
  </conditionalFormatting>
  <conditionalFormatting sqref="E22:E29">
    <cfRule type="expression" dxfId="593" priority="44">
      <formula>ABS(E$25-E$28)&gt;=1000</formula>
    </cfRule>
  </conditionalFormatting>
  <conditionalFormatting sqref="F22:F29">
    <cfRule type="expression" dxfId="592" priority="43">
      <formula>ABS(F$25-F$28)&gt;=1000</formula>
    </cfRule>
  </conditionalFormatting>
  <conditionalFormatting sqref="G22:G29">
    <cfRule type="expression" dxfId="591" priority="42">
      <formula>ABS(G$25-G$28)&gt;=1000</formula>
    </cfRule>
  </conditionalFormatting>
  <conditionalFormatting sqref="H22:H29">
    <cfRule type="expression" dxfId="590" priority="41">
      <formula>ABS(H$25-H$28)&gt;=1000</formula>
    </cfRule>
  </conditionalFormatting>
  <conditionalFormatting sqref="I22 I24:I29">
    <cfRule type="expression" dxfId="589" priority="40">
      <formula>ABS(I$25-I$28)&gt;=1000</formula>
    </cfRule>
  </conditionalFormatting>
  <conditionalFormatting sqref="J22:J29 K22">
    <cfRule type="expression" dxfId="588" priority="39">
      <formula>ABS(J$25-J$28)&gt;=1000</formula>
    </cfRule>
  </conditionalFormatting>
  <conditionalFormatting sqref="K23:K29 L25 L28">
    <cfRule type="expression" dxfId="587" priority="38">
      <formula>ABS(K$25-K$28)&gt;=1000</formula>
    </cfRule>
  </conditionalFormatting>
  <conditionalFormatting sqref="L22 L26:L27 L29 L24">
    <cfRule type="expression" dxfId="586" priority="37">
      <formula>ABS(L$25-L$28)&gt;=1000</formula>
    </cfRule>
  </conditionalFormatting>
  <conditionalFormatting sqref="M22:M29">
    <cfRule type="expression" dxfId="585" priority="36">
      <formula>ABS(M$25-M$28)&gt;=1000</formula>
    </cfRule>
  </conditionalFormatting>
  <conditionalFormatting sqref="N22:N29">
    <cfRule type="expression" dxfId="584" priority="35">
      <formula>ABS(N$25-N$28)&gt;=1000</formula>
    </cfRule>
  </conditionalFormatting>
  <conditionalFormatting sqref="O22:O29">
    <cfRule type="expression" dxfId="583" priority="34">
      <formula>ABS(O$25-O$28)&gt;=1000</formula>
    </cfRule>
  </conditionalFormatting>
  <conditionalFormatting sqref="P22:P29">
    <cfRule type="expression" dxfId="582" priority="33">
      <formula>ABS(P$25-P$28)&gt;=1000</formula>
    </cfRule>
  </conditionalFormatting>
  <conditionalFormatting sqref="Q22:Q29">
    <cfRule type="expression" dxfId="581" priority="32">
      <formula>ABS(Q$25-Q$28)&gt;=1000</formula>
    </cfRule>
  </conditionalFormatting>
  <conditionalFormatting sqref="R22:R29">
    <cfRule type="expression" dxfId="580" priority="31">
      <formula>ABS(R$25-R$28)&gt;=1000</formula>
    </cfRule>
  </conditionalFormatting>
  <conditionalFormatting sqref="S22:S29">
    <cfRule type="expression" dxfId="579" priority="30">
      <formula>ABS(S$25-S$28)&gt;=1000</formula>
    </cfRule>
  </conditionalFormatting>
  <conditionalFormatting sqref="T22:T29">
    <cfRule type="expression" dxfId="578" priority="29">
      <formula>ABS(T$25-T$28)&gt;=1000</formula>
    </cfRule>
  </conditionalFormatting>
  <conditionalFormatting sqref="U22:U29">
    <cfRule type="expression" dxfId="577" priority="28">
      <formula>ABS(U$25-U$28)&gt;=1000</formula>
    </cfRule>
  </conditionalFormatting>
  <conditionalFormatting sqref="V22:V29">
    <cfRule type="expression" dxfId="576" priority="27">
      <formula>ABS(V$25-V$28)&gt;=1000</formula>
    </cfRule>
  </conditionalFormatting>
  <conditionalFormatting sqref="W22:W29">
    <cfRule type="expression" dxfId="575" priority="26">
      <formula>ABS(W$25-W$28)&gt;=1000</formula>
    </cfRule>
  </conditionalFormatting>
  <conditionalFormatting sqref="X22:X29">
    <cfRule type="expression" dxfId="574" priority="25">
      <formula>ABS(X$25-X$28)&gt;=1000</formula>
    </cfRule>
  </conditionalFormatting>
  <conditionalFormatting sqref="Y22:Y29">
    <cfRule type="expression" dxfId="573" priority="24">
      <formula>ABS(Y$25-Y$28)&gt;=1000</formula>
    </cfRule>
  </conditionalFormatting>
  <conditionalFormatting sqref="I23">
    <cfRule type="expression" dxfId="572" priority="23">
      <formula>ABS(I$25-I$28)&gt;=1000</formula>
    </cfRule>
  </conditionalFormatting>
  <conditionalFormatting sqref="Q14">
    <cfRule type="expression" dxfId="571" priority="22">
      <formula>ABS(Q$16-Q$19)&gt;=1000</formula>
    </cfRule>
  </conditionalFormatting>
  <conditionalFormatting sqref="W14">
    <cfRule type="expression" dxfId="570" priority="21">
      <formula>ABS(W$16-W$19)&gt;=1000</formula>
    </cfRule>
  </conditionalFormatting>
  <conditionalFormatting sqref="X14">
    <cfRule type="expression" dxfId="569" priority="20">
      <formula>ABS(X$16-X$19)&gt;=1000</formula>
    </cfRule>
  </conditionalFormatting>
  <conditionalFormatting sqref="T10:Y10">
    <cfRule type="expression" dxfId="568" priority="19">
      <formula>ABS(T$7-T$10)&gt;=1000</formula>
    </cfRule>
  </conditionalFormatting>
  <conditionalFormatting sqref="W19">
    <cfRule type="expression" dxfId="567" priority="18">
      <formula>ABS(W$16-W$19)&gt;=1000</formula>
    </cfRule>
  </conditionalFormatting>
  <conditionalFormatting sqref="AC5">
    <cfRule type="expression" dxfId="566" priority="17">
      <formula>ABS(AC$7-AC$10)&gt;=1000</formula>
    </cfRule>
  </conditionalFormatting>
  <conditionalFormatting sqref="M14">
    <cfRule type="expression" dxfId="565" priority="16">
      <formula>ABS(M$16-M$19)&gt;=1000</formula>
    </cfRule>
  </conditionalFormatting>
  <conditionalFormatting sqref="M16">
    <cfRule type="expression" dxfId="564" priority="15">
      <formula>ABS(M$16-M$19)&gt;=1000</formula>
    </cfRule>
  </conditionalFormatting>
  <conditionalFormatting sqref="M19">
    <cfRule type="expression" dxfId="563" priority="14">
      <formula>ABS(M$16-M$19)&gt;=1000</formula>
    </cfRule>
  </conditionalFormatting>
  <conditionalFormatting sqref="K13:K20">
    <cfRule type="expression" dxfId="562" priority="13">
      <formula>ABS(K$16-K$19)&gt;=1000</formula>
    </cfRule>
  </conditionalFormatting>
  <conditionalFormatting sqref="E5">
    <cfRule type="expression" dxfId="561" priority="12">
      <formula>ABS(E$7-E$10)&gt;=1000</formula>
    </cfRule>
  </conditionalFormatting>
  <conditionalFormatting sqref="AB14:AC14">
    <cfRule type="expression" dxfId="560" priority="11">
      <formula>ABS(AB$16-AB$19)&gt;=1000</formula>
    </cfRule>
  </conditionalFormatting>
  <conditionalFormatting sqref="M5">
    <cfRule type="expression" dxfId="559" priority="10">
      <formula>ABS(M$7-M$10)&gt;=1000</formula>
    </cfRule>
  </conditionalFormatting>
  <conditionalFormatting sqref="N5">
    <cfRule type="expression" dxfId="558" priority="9">
      <formula>ABS(N$7-N$10)&gt;=1000</formula>
    </cfRule>
  </conditionalFormatting>
  <conditionalFormatting sqref="O5">
    <cfRule type="expression" dxfId="557" priority="8">
      <formula>ABS(O$7-O$10)&gt;=1000</formula>
    </cfRule>
  </conditionalFormatting>
  <conditionalFormatting sqref="P5">
    <cfRule type="expression" dxfId="556" priority="7">
      <formula>ABS(P$7-P$10)&gt;=1000</formula>
    </cfRule>
  </conditionalFormatting>
  <conditionalFormatting sqref="L23">
    <cfRule type="expression" dxfId="555" priority="6">
      <formula>ABS(L$25-L$28)&gt;=1000</formula>
    </cfRule>
  </conditionalFormatting>
  <conditionalFormatting sqref="Y14">
    <cfRule type="expression" dxfId="554" priority="5">
      <formula>ABS(Y$16-Y$19)&gt;=1000</formula>
    </cfRule>
  </conditionalFormatting>
  <conditionalFormatting sqref="F14">
    <cfRule type="expression" dxfId="553" priority="4">
      <formula>ABS(F$16-F$19)&gt;=1000</formula>
    </cfRule>
  </conditionalFormatting>
  <conditionalFormatting sqref="H14">
    <cfRule type="expression" dxfId="552" priority="3">
      <formula>ABS(H$16-H$19)&gt;=1000</formula>
    </cfRule>
  </conditionalFormatting>
  <conditionalFormatting sqref="AD5">
    <cfRule type="expression" dxfId="551" priority="2">
      <formula>ABS(AD$7-AD$10)&gt;=1000</formula>
    </cfRule>
  </conditionalFormatting>
  <conditionalFormatting sqref="AE5">
    <cfRule type="expression" dxfId="5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8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0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46076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66" t="s" ph="1">
        <v>177</v>
      </c>
      <c r="D6" s="71">
        <v>6001</v>
      </c>
      <c r="E6" s="71">
        <v>70</v>
      </c>
      <c r="F6" s="71">
        <v>5687</v>
      </c>
      <c r="G6" s="71">
        <v>5280</v>
      </c>
      <c r="H6" s="71">
        <v>3889</v>
      </c>
      <c r="I6" s="71">
        <v>0.08</v>
      </c>
      <c r="J6" s="71">
        <v>6.58</v>
      </c>
      <c r="K6" s="71">
        <v>7.44</v>
      </c>
      <c r="L6" s="71">
        <v>87.57</v>
      </c>
      <c r="M6" s="71">
        <v>795</v>
      </c>
      <c r="N6" s="71">
        <v>3335</v>
      </c>
      <c r="O6" s="71">
        <v>4738</v>
      </c>
      <c r="P6" s="71">
        <v>8871</v>
      </c>
      <c r="Q6" s="71">
        <v>6660</v>
      </c>
      <c r="R6" s="71">
        <v>7026</v>
      </c>
      <c r="S6" s="71">
        <v>3490</v>
      </c>
      <c r="T6" s="71">
        <v>2498</v>
      </c>
      <c r="U6" s="71">
        <v>0</v>
      </c>
      <c r="V6" s="71">
        <v>0</v>
      </c>
      <c r="W6" s="71">
        <v>4263</v>
      </c>
      <c r="X6" s="71">
        <v>7045</v>
      </c>
      <c r="Y6" s="71">
        <v>6949</v>
      </c>
      <c r="Z6" s="71">
        <v>4826</v>
      </c>
      <c r="AA6" s="71">
        <v>6934</v>
      </c>
      <c r="AB6" s="71">
        <v>4837</v>
      </c>
      <c r="AC6" s="71">
        <v>3567</v>
      </c>
      <c r="AD6" s="71">
        <v>4780</v>
      </c>
      <c r="AE6" s="71">
        <v>3640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188670.82195700999</v>
      </c>
      <c r="E7" s="73" ph="1">
        <f>E6*51.53*LOOKUP(E8,密度!$A$2:$A$50,密度!$B$2:$B$50)</f>
        <v>2828.3271100000002</v>
      </c>
      <c r="F7" s="73" ph="1">
        <f>F6*33.183*LOOKUP(F8,密度!$A$2:$A$50,密度!$C$2:$C$50)</f>
        <v>210205.98602189997</v>
      </c>
      <c r="G7" s="73" ph="1">
        <f xml:space="preserve"> (G6+2)*51.53*LOOKUP(G8,密度!$A$2:$A$50,密度!$B$2:$B$50)</f>
        <v>213635.22795400003</v>
      </c>
      <c r="H7" s="73" ph="1">
        <f>(H6)*51.53*LOOKUP(H8,密度!$A$2:$A$50,密度!$B$2:$B$50)</f>
        <v>157294.09343300003</v>
      </c>
      <c r="I7" s="73" ph="1">
        <f>I6*290.8*1.0267</f>
        <v>23.885148800000003</v>
      </c>
      <c r="J7" s="73" ph="1">
        <f>J6*290.8*0.7892</f>
        <v>1510.1057888000003</v>
      </c>
      <c r="K7" s="73" ph="1">
        <f>K6*290.8*1.1126</f>
        <v>2407.1679552000001</v>
      </c>
      <c r="L7" s="73" ph="1">
        <f>L6*290.8*0.777</f>
        <v>19786.581612000002</v>
      </c>
      <c r="M7" s="73" ph="1">
        <f>M6*33.183*LOOKUP(M8,密度!$A$2:$A$50,密度!$D$2:$D$50)</f>
        <v>27229.936616999999</v>
      </c>
      <c r="N7" s="73" ph="1">
        <f>N6*33.183*LOOKUP(N8,密度!$A$2:$A$50,密度!$E$2:$E$50)</f>
        <v>87337.058705999996</v>
      </c>
      <c r="O7" s="73" ph="1">
        <f>O6*20.428*LOOKUP(O8,密度!$A$2:$A$50,密度!$C$2:$C$50)</f>
        <v>107395.81389439999</v>
      </c>
      <c r="P7" s="73" ph="1">
        <f>P6*51.53*LOOKUP(P8,密度!$A$2:$A$50,密度!$B$2:$B$50)</f>
        <v>358429.85418299999</v>
      </c>
      <c r="Q7" s="73" ph="1">
        <f>Q6*1.5*1.5*3.1416*LOOKUP(W8,密度!$A$2:$A$50,密度!$L$2:$L$50)</f>
        <v>44346.417191999994</v>
      </c>
      <c r="R7" s="73" ph="1">
        <f>R6*1.5*1.5*3.1416*LOOKUP(R8,密度!$A$2:$A$50,密度!$L$2:$L$50)</f>
        <v>46535.152633199999</v>
      </c>
      <c r="S7" s="73" ph="1">
        <f>S6*1.5*1.5*3.1416*LOOKUP(S8,密度!$A$2:$A$50,密度!$L$2:$L$50)</f>
        <v>23337.265643999999</v>
      </c>
      <c r="T7" s="73" ph="1">
        <f>T6*1.5*1.5*3.1416*LOOKUP(T8,密度!$A$2:$A$50,密度!$L$2:$L$50)</f>
        <v>16721.522571599999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28385.702175599999</v>
      </c>
      <c r="X7" s="73" ph="1">
        <f>X6*1.5*1.5*3.1416*LOOKUP(X8,密度!$A$2:$A$50,密度!$L$2:$L$50)</f>
        <v>47358.170936999995</v>
      </c>
      <c r="Y7" s="73" ph="1">
        <f>Y6*1.5*1.5*3.1416*LOOKUP(Y8,密度!$A$2:$A$50,密度!$L$2:$L$50)</f>
        <v>46270.758718799996</v>
      </c>
      <c r="Z7" s="73" ph="1">
        <f>Z6*33.183*LOOKUP(Z8,密度!$A$2:$A$50,密度!$L$2:$L$50)</f>
        <v>151333.39430999997</v>
      </c>
      <c r="AA7" s="73" ph="1">
        <f>AA6*33.183*LOOKUP(AA8,密度!$A$2:$A$50,密度!$D$2:$D$50)</f>
        <v>237499.84968839999</v>
      </c>
      <c r="AB7" s="73" ph="1">
        <f>AB6*20.428*LOOKUP(AB8,密度!$A$2:$A$50,密度!$D$2:$D$50)</f>
        <v>102505.73882640002</v>
      </c>
      <c r="AC7" s="73" ph="1">
        <f>AC6*51.53*LOOKUP(AC8,密度!$A$2:$A$50,密度!$Q$2:$Q$50)</f>
        <v>174986.58759510002</v>
      </c>
      <c r="AD7" s="73" ph="1">
        <f>AD6*20.428*LOOKUP(AD8,密度!$A$2:$A$50,密度!$V$2:$V$50)</f>
        <v>94130.589760000003</v>
      </c>
      <c r="AE7" s="73" ph="1">
        <f>AE6*20.428</f>
        <v>74357.919999999998</v>
      </c>
    </row>
    <row r="8" spans="1:99" ph="1">
      <c r="B8" s="193" ph="1"/>
      <c r="C8" s="68" t="s" ph="1">
        <v>179</v>
      </c>
      <c r="D8" s="74">
        <v>24</v>
      </c>
      <c r="E8" s="74">
        <v>20</v>
      </c>
      <c r="F8" s="74">
        <v>18</v>
      </c>
      <c r="G8" s="74">
        <v>19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20</v>
      </c>
      <c r="O8" s="74">
        <v>24</v>
      </c>
      <c r="P8" s="74">
        <v>20</v>
      </c>
      <c r="Q8" s="74">
        <v>21</v>
      </c>
      <c r="R8" s="74">
        <v>25</v>
      </c>
      <c r="S8" s="74">
        <v>16</v>
      </c>
      <c r="T8" s="74">
        <v>15</v>
      </c>
      <c r="U8" s="74">
        <v>20</v>
      </c>
      <c r="V8" s="74">
        <v>24</v>
      </c>
      <c r="W8" s="74">
        <v>20</v>
      </c>
      <c r="X8" s="74">
        <v>11</v>
      </c>
      <c r="Y8" s="74">
        <v>20</v>
      </c>
      <c r="Z8" s="74">
        <v>17</v>
      </c>
      <c r="AA8" s="74">
        <v>19</v>
      </c>
      <c r="AB8" s="74">
        <v>13</v>
      </c>
      <c r="AC8" s="74">
        <v>18</v>
      </c>
      <c r="AD8" s="74">
        <v>18</v>
      </c>
      <c r="AE8" s="74">
        <v>22</v>
      </c>
    </row>
    <row r="9" spans="1:99" ht="26.4" ph="1">
      <c r="B9" s="193" ph="1">
        <v>0.66666666666666663</v>
      </c>
      <c r="C9" s="166" t="s" ph="1">
        <v>180</v>
      </c>
      <c r="D9" s="71">
        <v>6001</v>
      </c>
      <c r="E9" s="71">
        <v>302</v>
      </c>
      <c r="F9" s="71">
        <v>5688</v>
      </c>
      <c r="G9" s="71">
        <v>5816</v>
      </c>
      <c r="H9" s="71">
        <v>3889</v>
      </c>
      <c r="I9" s="71">
        <v>7.0000000000000007E-2</v>
      </c>
      <c r="J9" s="71">
        <v>6.58</v>
      </c>
      <c r="K9" s="71">
        <v>7.37</v>
      </c>
      <c r="L9" s="71">
        <v>8.26</v>
      </c>
      <c r="M9" s="71">
        <v>279</v>
      </c>
      <c r="N9" s="71">
        <v>3013</v>
      </c>
      <c r="O9" s="71">
        <v>4738</v>
      </c>
      <c r="P9" s="71">
        <v>8858</v>
      </c>
      <c r="Q9" s="71">
        <v>6666</v>
      </c>
      <c r="R9" s="71">
        <v>7032</v>
      </c>
      <c r="S9" s="71">
        <v>5788</v>
      </c>
      <c r="T9" s="71">
        <v>5263</v>
      </c>
      <c r="U9" s="71">
        <v>0</v>
      </c>
      <c r="V9" s="71">
        <v>0</v>
      </c>
      <c r="W9" s="71">
        <v>410</v>
      </c>
      <c r="X9" s="71">
        <v>7053</v>
      </c>
      <c r="Y9" s="71">
        <v>6958</v>
      </c>
      <c r="Z9" s="71">
        <v>5678</v>
      </c>
      <c r="AA9" s="71">
        <v>6938</v>
      </c>
      <c r="AB9" s="71">
        <v>4684</v>
      </c>
      <c r="AC9" s="71">
        <v>4159</v>
      </c>
      <c r="AD9" s="71">
        <v>4780</v>
      </c>
      <c r="AE9" s="71">
        <v>3650</v>
      </c>
    </row>
    <row r="10" spans="1:99" s="72" customFormat="1" ht="22.2" ph="1">
      <c r="B10" s="193" ph="1"/>
      <c r="C10" s="166" t="s" ph="1">
        <v>178</v>
      </c>
      <c r="D10" s="73" ph="1">
        <f>D9*33.183*LOOKUP(D11,密度!$A$2:$A$50,密度!$Q$2:$Q$50)</f>
        <v>188670.82195700999</v>
      </c>
      <c r="E10" s="73" ph="1">
        <f>E9*51.53*LOOKUP(E11,密度!$A$2:$A$50,密度!$B$2:$B$50)</f>
        <v>12160.193684</v>
      </c>
      <c r="F10" s="73" ph="1">
        <f>F9*33.183*LOOKUP(F11,密度!$A$2:$A$50,密度!$C$2:$C$50)</f>
        <v>210110.82713280001</v>
      </c>
      <c r="G10" s="73" ph="1">
        <f xml:space="preserve"> (G9+2)*51.53*LOOKUP(G11,密度!$A$2:$A$50,密度!$B$2:$B$50)</f>
        <v>234804.56612799998</v>
      </c>
      <c r="H10" s="73" ph="1">
        <f>(H9)*51.53*LOOKUP(H11,密度!$A$2:$A$50,密度!$B$2:$B$50)</f>
        <v>157294.09343300003</v>
      </c>
      <c r="I10" s="73" ph="1">
        <f>I9*290.8*1.0267</f>
        <v>20.8995052</v>
      </c>
      <c r="J10" s="73" ph="1">
        <f>J9*290.8*0.7892</f>
        <v>1510.1057888000003</v>
      </c>
      <c r="K10" s="73" ph="1">
        <f>K9*290.8*1.1126</f>
        <v>2384.5198695999998</v>
      </c>
      <c r="L10" s="73" ph="1">
        <f>L9*290.8*0.777</f>
        <v>1866.3602159999998</v>
      </c>
      <c r="M10" s="73" ph="1">
        <f>M9*33.183*LOOKUP(M11,密度!$A$2:$A$50,密度!$D$2:$D$50)</f>
        <v>9531.1696815000014</v>
      </c>
      <c r="N10" s="73" ph="1">
        <f>N9*33.183*LOOKUP(N11,密度!$A$2:$A$50,密度!$E$2:$E$50)</f>
        <v>78664.562197200008</v>
      </c>
      <c r="O10" s="73" ph="1">
        <f>O9*20.428*LOOKUP(O11,密度!$A$2:$A$50,密度!$C$2:$C$50)</f>
        <v>107250.6320984</v>
      </c>
      <c r="P10" s="73" ph="1">
        <f>P9*51.53*LOOKUP(P11,密度!$A$2:$A$50,密度!$B$2:$B$50)</f>
        <v>356672.17103600001</v>
      </c>
      <c r="Q10" s="73" ph="1">
        <f>Q9*1.5*1.5*3.1416*LOOKUP(W11,密度!$A$2:$A$50,密度!$L$2:$L$50)</f>
        <v>44197.891768799993</v>
      </c>
      <c r="R10" s="73" ph="1">
        <f>R9*1.5*1.5*3.1416*LOOKUP(R11,密度!$A$2:$A$50,密度!$L$2:$L$50)</f>
        <v>46475.479512000005</v>
      </c>
      <c r="S10" s="73" ph="1">
        <f>S9*1.5*1.5*3.1416*LOOKUP(S11,密度!$A$2:$A$50,密度!$L$2:$L$50)</f>
        <v>38621.925619199996</v>
      </c>
      <c r="T10" s="73" ph="1">
        <f>T9*1.5*1.5*3.1416*LOOKUP(T11,密度!$A$2:$A$50,密度!$L$2:$L$50)</f>
        <v>35193.131542799994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2718.4421879999995</v>
      </c>
      <c r="X10" s="73" ph="1">
        <f>X9*1.5*1.5*3.1416*LOOKUP(X11,密度!$A$2:$A$50,密度!$L$2:$L$50)</f>
        <v>47112.819831000001</v>
      </c>
      <c r="Y10" s="73" ph="1">
        <f>Y9*1.5*1.5*3.1416*LOOKUP(Y11,密度!$A$2:$A$50,密度!$L$2:$L$50)</f>
        <v>46330.686309600002</v>
      </c>
      <c r="Z10" s="73" ph="1">
        <f>Z9*33.183*LOOKUP(Z11,密度!$A$2:$A$50,密度!$L$2:$L$50)</f>
        <v>177861.94185599999</v>
      </c>
      <c r="AA10" s="73" ph="1">
        <f>AA9*33.183*LOOKUP(AA11,密度!$A$2:$A$50,密度!$D$2:$D$50)</f>
        <v>237015.25179300003</v>
      </c>
      <c r="AB10" s="73" ph="1">
        <f>AB9*20.428*LOOKUP(AB11,密度!$A$2:$A$50,密度!$D$2:$D$50)</f>
        <v>99263.361724800023</v>
      </c>
      <c r="AC10" s="73" ph="1">
        <f>AC9*51.53*LOOKUP(AC11,密度!$A$2:$A$50,密度!$Q$2:$Q$50)</f>
        <v>203531.16938630003</v>
      </c>
      <c r="AD10" s="73" ph="1">
        <f>AD9*20.428*LOOKUP(AD11,密度!$A$2:$A$50,密度!$V$2:$V$50)</f>
        <v>94130.589760000003</v>
      </c>
      <c r="AE10" s="73" ph="1">
        <f>AE9*20.428</f>
        <v>74562.2</v>
      </c>
    </row>
    <row r="11" spans="1:99" ph="1">
      <c r="A11" s="64" t="s" ph="1">
        <v>162</v>
      </c>
      <c r="B11" s="193" ph="1"/>
      <c r="C11" s="166" t="s" ph="1">
        <v>179</v>
      </c>
      <c r="D11" s="74">
        <v>24</v>
      </c>
      <c r="E11" s="74">
        <v>23</v>
      </c>
      <c r="F11" s="74">
        <v>19</v>
      </c>
      <c r="G11" s="74">
        <v>21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22</v>
      </c>
      <c r="O11" s="74">
        <v>26</v>
      </c>
      <c r="P11" s="74">
        <v>23</v>
      </c>
      <c r="Q11" s="74">
        <v>23</v>
      </c>
      <c r="R11" s="74">
        <v>27</v>
      </c>
      <c r="S11" s="74">
        <v>18</v>
      </c>
      <c r="T11" s="74">
        <v>16</v>
      </c>
      <c r="U11" s="74">
        <v>23</v>
      </c>
      <c r="V11" s="74">
        <v>27</v>
      </c>
      <c r="W11" s="74">
        <v>24</v>
      </c>
      <c r="X11" s="74">
        <v>17</v>
      </c>
      <c r="Y11" s="74">
        <v>20</v>
      </c>
      <c r="Z11" s="74">
        <v>18</v>
      </c>
      <c r="AA11" s="74">
        <v>22</v>
      </c>
      <c r="AB11" s="74">
        <v>13</v>
      </c>
      <c r="AC11" s="74">
        <v>21</v>
      </c>
      <c r="AD11" s="74">
        <v>20</v>
      </c>
      <c r="AE11" s="74">
        <v>25</v>
      </c>
    </row>
    <row r="12" spans="1:99" ht="9.9" customHeight="1" ph="1"/>
    <row r="13" spans="1:99" s="72" customFormat="1" ht="29.25" customHeight="1" ph="1">
      <c r="B13" s="201" t="s" ph="1">
        <v>37</v>
      </c>
      <c r="C13" s="16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66" t="s" ph="1">
        <v>177</v>
      </c>
      <c r="D15" s="78">
        <v>1166</v>
      </c>
      <c r="E15" s="78">
        <v>4334</v>
      </c>
      <c r="F15" s="78">
        <v>4026</v>
      </c>
      <c r="G15" s="78">
        <v>1826</v>
      </c>
      <c r="H15" s="78">
        <v>5361</v>
      </c>
      <c r="I15" s="78">
        <v>5224</v>
      </c>
      <c r="J15" s="78">
        <v>5507</v>
      </c>
      <c r="K15" s="78">
        <v>3580</v>
      </c>
      <c r="L15" s="78">
        <v>1344</v>
      </c>
      <c r="M15" s="78">
        <v>6925</v>
      </c>
      <c r="N15" s="78">
        <v>4922</v>
      </c>
      <c r="O15" s="78">
        <v>4446</v>
      </c>
      <c r="P15" s="78">
        <v>6930</v>
      </c>
      <c r="Q15" s="78">
        <v>6941</v>
      </c>
      <c r="R15" s="78">
        <v>7392</v>
      </c>
      <c r="S15" s="78">
        <v>0</v>
      </c>
      <c r="T15" s="78">
        <v>5200</v>
      </c>
      <c r="U15" s="78">
        <v>2564</v>
      </c>
      <c r="V15" s="78">
        <v>4981</v>
      </c>
      <c r="W15" s="71">
        <v>-817</v>
      </c>
      <c r="X15" s="78">
        <v>259</v>
      </c>
      <c r="Y15" s="106">
        <v>-9900</v>
      </c>
      <c r="Z15" s="78">
        <v>0</v>
      </c>
      <c r="AA15" s="78">
        <v>11</v>
      </c>
      <c r="AB15" s="78" ph="1">
        <v>6963</v>
      </c>
      <c r="AC15" s="78" ph="1">
        <v>2146</v>
      </c>
      <c r="AD15" s="78">
        <v>5.49</v>
      </c>
      <c r="AE15" s="78">
        <v>53.13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66" t="s" ph="1">
        <v>178</v>
      </c>
      <c r="D16" s="73" ph="1">
        <f>D15*7.0686*LOOKUP(D17,密度!$A$2:$A$50,密度!$L$2:$L$50)</f>
        <v>7763.9523191999997</v>
      </c>
      <c r="E16" s="73" ph="1">
        <f>E15*7.0686*LOOKUP(E17,密度!$A$2:$A$50,密度!$L$2:$L$50)</f>
        <v>28858.464280799999</v>
      </c>
      <c r="F16" s="73" ph="1">
        <f>F15*9.0746*LOOKUP(F17,密度!$A$2:$A$50,密度!$L$2:$L$50)</f>
        <v>34378.813563600001</v>
      </c>
      <c r="G16" s="73" ph="1">
        <f>G15*9.0746*LOOKUP(G17,密度!$A$2:$A$50,密度!$B$2:$B$50)</f>
        <v>12992.709188360001</v>
      </c>
      <c r="H16" s="73" ph="1">
        <f>H15*9.0746*LOOKUP(H17,密度!$A$2:$A$50,密度!$L$2:$L$50)</f>
        <v>45875.941555799996</v>
      </c>
      <c r="I16" s="73" ph="1">
        <f>I15*9.0746*LOOKUP(I17,密度!$A$2:$A$50,密度!$U$2:$U$50)</f>
        <v>48733.070291200005</v>
      </c>
      <c r="J16" s="73" ph="1">
        <f>J15*9.0746*LOOKUP(J17,密度!$A$2:$A$50,密度!$L$2:$L$50)</f>
        <v>47075.340512399998</v>
      </c>
      <c r="K16" s="73" ph="1">
        <f>K15*9.0746*LOOKUP(K17,密度!$A$2:$A$50,密度!$C$2:$C$50)</f>
        <v>36145.111856800002</v>
      </c>
      <c r="L16" s="73" ph="1">
        <f>L15*9.0746*LOOKUP(L17,密度!$A$2:$A$50,密度!$E$2:$E$50)</f>
        <v>9638.7061747200005</v>
      </c>
      <c r="M16" s="73" ph="1">
        <f>M15*9.0746*LOOKUP(M17,密度!$A$2:$A$50,密度!$M$2:$M$50)</f>
        <v>55319.464881500004</v>
      </c>
      <c r="N16" s="73" ph="1">
        <f>N15*9.0746*LOOKUP(N17,密度!$A$2:$A$50,密度!$M$2:$M$50)</f>
        <v>39318.759010360001</v>
      </c>
      <c r="O16" s="73" ph="1">
        <f>O15*9.0746*LOOKUP(O17,密度!$A$2:$A$50,密度!$G$2:$G$50)</f>
        <v>38929.538526839999</v>
      </c>
      <c r="P16" s="73" ph="1">
        <f ca="1">P15*9.0746*LOOKUP(P17,密度!$A$2:$A$51,密度!$Q$2:$Q$50)</f>
        <v>59723.134136820008</v>
      </c>
      <c r="Q16" s="73" ph="1">
        <f>Q15*9.0746*LOOKUP(Q17,密度!$A$2:$A$50,密度!$Q$2:$Q$50)</f>
        <v>59861.393653468003</v>
      </c>
      <c r="R16" s="73" ph="1">
        <f>MAX(R15*9.0746*LOOKUP(R17,密度!$A$2:$A$50,密度!$B$2:$B$50),0)</f>
        <v>52536.619914240007</v>
      </c>
      <c r="S16" s="73" ph="1">
        <f>S15*9.0746*LOOKUP(S17,密度!$A$2:$A$50,密度!$Q$2:$Q$50)</f>
        <v>0</v>
      </c>
      <c r="T16" s="73" ph="1">
        <f>T15*9.0746*LOOKUP(T17,密度!$A$2:$A$50,密度!$O$2:$O$50)</f>
        <v>43884.765599999999</v>
      </c>
      <c r="U16" s="73" ph="1">
        <f>U15*9.0746*LOOKUP(U17,密度!$A$2:$A$50,密度!$H$2:$H$50)</f>
        <v>21398.912265680003</v>
      </c>
      <c r="V16" s="73" ph="1">
        <f>MAX(5600*LOOKUP(V17,密度!$A$2:$A$50,密度!$Q$2:$Q$50)+V15*9.0476*LOOKUP(V17,密度!$A$2:$A$50,密度!$Q$2:$Q$50),0)</f>
        <v>48086.684673003998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8217.3732297999995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78.498919839999999</v>
      </c>
      <c r="AB16" s="73" ph="1">
        <f>AB15*9.0746*LOOKUP(AB17,密度!$A$2:$A$50,密度!$L$2:$L$50)</f>
        <v>59458.439851799994</v>
      </c>
      <c r="AC16" s="73" ph="1">
        <f>AC15*9.0746*LOOKUP(AC17,密度!$A$2:$A$50,密度!$L$2:$L$50)</f>
        <v>18383.5424704</v>
      </c>
      <c r="AD16" s="73" ph="1">
        <f>AD15*268.68*LOOKUP(AD17,密度!$A$2:$A$50,密度!B2:B50)+IF(AD15&lt;=0,0,1566*LOOKUP(AD17,密度!$A$2:$A$50,密度!B2:B50))</f>
        <v>2370.80507472</v>
      </c>
      <c r="AE16" s="73" ph="1">
        <f>AE15*268.68*LOOKUP(AE17,密度!$A$2:$A$50,密度!B2:B50)+IF(AE15&lt;=0,0,1566*LOOKUP(AE17,密度!$A$2:$A$50,密度!B2:B50))</f>
        <v>12349.618964640002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20</v>
      </c>
      <c r="E17" s="74">
        <v>20</v>
      </c>
      <c r="F17" s="74">
        <v>21</v>
      </c>
      <c r="G17" s="74">
        <v>20</v>
      </c>
      <c r="H17" s="74">
        <v>19</v>
      </c>
      <c r="I17" s="74">
        <v>18</v>
      </c>
      <c r="J17" s="74">
        <v>20</v>
      </c>
      <c r="K17" s="74">
        <v>20</v>
      </c>
      <c r="L17" s="74">
        <v>19</v>
      </c>
      <c r="M17" s="74">
        <v>19</v>
      </c>
      <c r="N17" s="74">
        <v>19</v>
      </c>
      <c r="O17" s="74">
        <v>21</v>
      </c>
      <c r="P17" s="74">
        <v>21</v>
      </c>
      <c r="Q17" s="74">
        <v>20</v>
      </c>
      <c r="R17" s="74">
        <v>21</v>
      </c>
      <c r="S17" s="74">
        <v>20</v>
      </c>
      <c r="T17" s="74">
        <v>21</v>
      </c>
      <c r="U17" s="74">
        <v>20</v>
      </c>
      <c r="V17" s="74">
        <v>22</v>
      </c>
      <c r="W17" s="74">
        <v>22</v>
      </c>
      <c r="X17" s="74">
        <v>32</v>
      </c>
      <c r="Y17" s="108">
        <v>32</v>
      </c>
      <c r="Z17" s="74">
        <v>20</v>
      </c>
      <c r="AA17" s="74">
        <v>17</v>
      </c>
      <c r="AB17" s="74">
        <v>21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4803</v>
      </c>
      <c r="E18" s="71">
        <v>1891</v>
      </c>
      <c r="F18" s="71">
        <v>4020</v>
      </c>
      <c r="G18" s="71">
        <v>561</v>
      </c>
      <c r="H18" s="71">
        <v>2027</v>
      </c>
      <c r="I18" s="71">
        <v>5229</v>
      </c>
      <c r="J18" s="71">
        <v>5516</v>
      </c>
      <c r="K18" s="71">
        <v>3582</v>
      </c>
      <c r="L18" s="71">
        <v>1345</v>
      </c>
      <c r="M18" s="71">
        <v>5591</v>
      </c>
      <c r="N18" s="71">
        <v>5180</v>
      </c>
      <c r="O18" s="71">
        <v>4449</v>
      </c>
      <c r="P18" s="71">
        <v>5224</v>
      </c>
      <c r="Q18" s="71">
        <v>6947</v>
      </c>
      <c r="R18" s="71">
        <v>7399</v>
      </c>
      <c r="S18" s="71">
        <v>0</v>
      </c>
      <c r="T18" s="71">
        <v>4777</v>
      </c>
      <c r="U18" s="71">
        <v>2565</v>
      </c>
      <c r="V18" s="71">
        <v>4981</v>
      </c>
      <c r="W18" s="71">
        <v>-171</v>
      </c>
      <c r="X18" s="71">
        <v>80</v>
      </c>
      <c r="Y18" s="109">
        <v>-9900</v>
      </c>
      <c r="Z18" s="71">
        <v>0</v>
      </c>
      <c r="AA18" s="71">
        <v>9</v>
      </c>
      <c r="AB18" s="71">
        <v>6968</v>
      </c>
      <c r="AC18" s="71">
        <v>2146</v>
      </c>
      <c r="AD18" s="71">
        <v>23.03</v>
      </c>
      <c r="AE18" s="71">
        <v>84.64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66" t="s" ph="1">
        <v>178</v>
      </c>
      <c r="D19" s="73" ph="1">
        <f>D18*7.0686*LOOKUP(D20,密度!$A$2:$A$50,密度!$L$2:$L$50)</f>
        <v>31879.506166200001</v>
      </c>
      <c r="E19" s="73" ph="1">
        <f>E18*7.0686*LOOKUP(E20,密度!$A$2:$A$50,密度!$L$2:$L$50)</f>
        <v>12551.352521399998</v>
      </c>
      <c r="F19" s="73" ph="1">
        <f>F18*9.0746*LOOKUP(F20,密度!$A$2:$A$50,密度!$L$2:$L$50)</f>
        <v>34145.178912000003</v>
      </c>
      <c r="G19" s="73" ph="1">
        <f>G18*9.0746*LOOKUP(G20,密度!$A$2:$A$50,密度!$B$2:$B$50)</f>
        <v>3982.5724243799996</v>
      </c>
      <c r="H19" s="73" ph="1">
        <f>H18*9.0746*LOOKUP(H20,密度!$A$2:$A$50,密度!$L$2:$L$50)</f>
        <v>17327.349776400002</v>
      </c>
      <c r="I19" s="73" ph="1">
        <f>I18*9.0746*LOOKUP(I20,密度!$A$2:$A$50,密度!$U$2:$U$50)</f>
        <v>48684.811568400008</v>
      </c>
      <c r="J19" s="73" ph="1">
        <f>J18*9.0746*LOOKUP(J20,密度!$A$2:$A$50,密度!$L$2:$L$50)</f>
        <v>47002.108490400002</v>
      </c>
      <c r="K19" s="73" ph="1">
        <f>K18*9.0746*LOOKUP(K20,密度!$A$2:$A$50,密度!$C$2:$C$50)</f>
        <v>36142.551004680005</v>
      </c>
      <c r="L19" s="73" ph="1">
        <f>L18*9.0746*LOOKUP(L20,密度!$A$2:$A$50,密度!$E$2:$E$50)</f>
        <v>9603.1591516000008</v>
      </c>
      <c r="M19" s="73" ph="1">
        <f>M18*9.0746*LOOKUP(M20,密度!$A$2:$A$50,密度!$M$2:$M$50)</f>
        <v>44399.151133860003</v>
      </c>
      <c r="N19" s="73" ph="1">
        <f>N18*9.0746*LOOKUP(N20,密度!$A$2:$A$50,密度!$M$2:$M$50)</f>
        <v>41323.350854800003</v>
      </c>
      <c r="O19" s="73" ph="1">
        <f>O18*9.0746*LOOKUP(O20,密度!$A$2:$A$50,密度!$G$2:$G$50)</f>
        <v>38911.396586520001</v>
      </c>
      <c r="P19" s="73" ph="1">
        <f ca="1">P18*9.0746*LOOKUP(P20,密度!$A$2:$A$51,密度!$Q$2:$Q$50)</f>
        <v>44915.488432688006</v>
      </c>
      <c r="Q19" s="73" ph="1">
        <f>Q18*9.0746*LOOKUP(Q20,密度!$A$2:$A$50,密度!$Q$2:$Q$50)</f>
        <v>59775.709646840005</v>
      </c>
      <c r="R19" s="73" ph="1">
        <f>MAX(R18*9.0746*LOOKUP(R20,密度!$A$2:$A$50,密度!$B$2:$B$50),0)</f>
        <v>52465.513163559997</v>
      </c>
      <c r="S19" s="73" ph="1">
        <f>S18*9.0746*LOOKUP(S20,密度!$A$2:$A$50,密度!$Q$2:$Q$50)</f>
        <v>0</v>
      </c>
      <c r="T19" s="73" ph="1">
        <f>T18*9.0746*LOOKUP(T20,密度!$A$2:$A$50,密度!$O$2:$O$50)</f>
        <v>40314.908706000002</v>
      </c>
      <c r="U19" s="73" ph="1">
        <f>U18*9.0746*LOOKUP(U20,密度!$A$2:$A$50,密度!$H$2:$H$50)</f>
        <v>21407.258175300001</v>
      </c>
      <c r="V19" s="73" ph="1">
        <f>MAX(5600*LOOKUP(V20,密度!$A$2:$A$50,密度!$Q$2:$Q$50)+V18*9.0476*LOOKUP(V20,密度!$A$2:$A$50,密度!$Q$2:$Q$50),0)</f>
        <v>48004.605598131995</v>
      </c>
      <c r="W19" s="73" ph="1">
        <f>MAX(5600*LOOKUP(W20,密度!$A$2:$A$50,密度!$Q$2:$Q$50)+W18*9.0476*LOOKUP(W20,密度!$A$2:$A$50,密度!$Q$2:$Q$50),0)</f>
        <v>3839.9636431880003</v>
      </c>
      <c r="X19" s="73" ph="1">
        <f>MAX(5600*LOOKUP(X20,密度!$A$2:$A$50,密度!$I$2:$I$50)+X18*9.0476*LOOKUP(X20,密度!$A$2:$A$50,密度!$I$2:$I$50),0)</f>
        <v>6548.935564800001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63.965040480000006</v>
      </c>
      <c r="AB19" s="73" ph="1">
        <f>AB18*9.0746*LOOKUP(AB20,密度!$A$2:$A$50,密度!$L$2:$L$50)</f>
        <v>59437.904031999999</v>
      </c>
      <c r="AC19" s="73" ph="1">
        <f>AC18*9.0746*LOOKUP(AC20,密度!$A$2:$A$50,密度!$L$2:$L$50)</f>
        <v>18325.1201956</v>
      </c>
      <c r="AD19" s="73" ph="1">
        <f>AD18*268.68*LOOKUP(AD20,密度!$A$2:$A$50,密度!B5:B53)+IF(AD18&lt;=0,0,1566*LOOKUP(AD20,密度!$A$2:$A$50,密度!B5:B53))</f>
        <v>6024.6252108000008</v>
      </c>
      <c r="AE19" s="73" ph="1">
        <f>AE18*268.68*LOOKUP(AE20,密度!$A$2:$A$50,密度!B5:B53)+IF(AE18&lt;=0,0,1566*LOOKUP(AE20,密度!$A$2:$A$50,密度!B5:B53))</f>
        <v>18886.597430400001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23</v>
      </c>
      <c r="E20" s="81">
        <v>23</v>
      </c>
      <c r="F20" s="81">
        <v>26</v>
      </c>
      <c r="G20" s="81">
        <v>22</v>
      </c>
      <c r="H20" s="81">
        <v>20</v>
      </c>
      <c r="I20" s="81">
        <v>24</v>
      </c>
      <c r="J20" s="81">
        <v>23</v>
      </c>
      <c r="K20" s="81">
        <v>21</v>
      </c>
      <c r="L20" s="81">
        <v>22</v>
      </c>
      <c r="M20" s="81">
        <v>25</v>
      </c>
      <c r="N20" s="81">
        <v>21</v>
      </c>
      <c r="O20" s="81">
        <v>22</v>
      </c>
      <c r="P20" s="81">
        <v>24</v>
      </c>
      <c r="Q20" s="81">
        <v>23</v>
      </c>
      <c r="R20" s="81">
        <v>23</v>
      </c>
      <c r="S20" s="81">
        <v>22</v>
      </c>
      <c r="T20" s="81">
        <v>24</v>
      </c>
      <c r="U20" s="81">
        <v>20</v>
      </c>
      <c r="V20" s="81">
        <v>24</v>
      </c>
      <c r="W20" s="81">
        <v>24</v>
      </c>
      <c r="X20" s="81">
        <v>31</v>
      </c>
      <c r="Y20" s="110">
        <v>31</v>
      </c>
      <c r="Z20" s="81">
        <v>25</v>
      </c>
      <c r="AA20" s="81">
        <v>21</v>
      </c>
      <c r="AB20" s="81">
        <v>22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648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66" t="s" ph="1">
        <v>177</v>
      </c>
      <c r="D24" s="71">
        <v>5.47</v>
      </c>
      <c r="E24" s="71">
        <v>3.31</v>
      </c>
      <c r="F24" s="71">
        <v>567</v>
      </c>
      <c r="G24" s="71">
        <v>3737</v>
      </c>
      <c r="H24" s="71">
        <v>3137</v>
      </c>
      <c r="I24" s="71">
        <v>2390</v>
      </c>
      <c r="J24" s="71">
        <v>5007</v>
      </c>
      <c r="K24" s="71">
        <v>4874</v>
      </c>
      <c r="L24" s="71">
        <v>4386</v>
      </c>
      <c r="M24" s="71">
        <v>2641</v>
      </c>
      <c r="N24" s="71">
        <v>2851</v>
      </c>
      <c r="O24" s="71">
        <v>5726</v>
      </c>
      <c r="P24" s="71">
        <v>356</v>
      </c>
      <c r="Q24" s="90">
        <v>1803</v>
      </c>
      <c r="R24" s="71">
        <v>2514</v>
      </c>
      <c r="S24" s="71">
        <v>1277</v>
      </c>
      <c r="T24" s="71">
        <v>215</v>
      </c>
      <c r="U24" s="71">
        <v>3954</v>
      </c>
      <c r="V24" s="71">
        <v>60</v>
      </c>
      <c r="W24" s="71">
        <v>875</v>
      </c>
      <c r="X24" s="71">
        <v>8642</v>
      </c>
      <c r="Y24" s="71">
        <v>7216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2873.9993045040001</v>
      </c>
      <c r="E25" s="91" ph="1">
        <f>E24*268.68*LOOKUP(E26,密度!$A$2:$A$50,密度!$C$2:$C$50)+IF(E24&lt;=0,0,1566*LOOKUP(E26,密度!$A$2:$A$50,密度!$C$2:$C$50))</f>
        <v>2722.7163241200001</v>
      </c>
      <c r="F25" s="91" ph="1">
        <f>F24*11.702*LOOKUP(F26,密度!$A$2:$A$50,密度!$Q$2:$Q$50)</f>
        <v>6291.3392388000002</v>
      </c>
      <c r="G25" s="91" ph="1">
        <f>G24*18.322*LOOKUP(G26,密度!$A$2:$A$50,密度!$B$2:$B$50)</f>
        <v>53501.921959599997</v>
      </c>
      <c r="H25" s="91" ph="1">
        <f>H24*18.322*LOOKUP(H26,密度!$A$2:$A$50,密度!$B$2:$B$50)</f>
        <v>45015.292484799997</v>
      </c>
      <c r="I25" s="91" ph="1">
        <f>I24*18.322*LOOKUP(I26,密度!$A$2:$A$50,密度!$Q$2:$Q$50)</f>
        <v>41560.252482199998</v>
      </c>
      <c r="J25" s="91" ph="1">
        <f>J24*18.322*LOOKUP(J26,密度!$A$2:$A$50,密度!$Q$2:$Q$50)</f>
        <v>87122.902441259997</v>
      </c>
      <c r="K25" s="91" ph="1">
        <f>K24*18.322*LOOKUP(K26,密度!$A$2:$A$50,密度!$Q$2:$Q$50)</f>
        <v>84755.092300520002</v>
      </c>
      <c r="L25" s="91" ph="1">
        <f>L24*18.322*LOOKUP(L26,密度!$A$2:$A$50,密度!$Q$2:$Q$50)</f>
        <v>76269.149534280004</v>
      </c>
      <c r="M25" s="91" ph="1">
        <f>M24*18.322*LOOKUP(M26,密度!$A$2:$A$50,密度!$Q$2:$Q$50)</f>
        <v>45953.981495379994</v>
      </c>
      <c r="N25" s="91" ph="1">
        <f>N24*18.322*LOOKUP(N26,密度!$A$2:$A$50,密度!$Q$2:$Q$50)</f>
        <v>49608.027733180003</v>
      </c>
      <c r="O25" s="91" ph="1">
        <f>O24*18.322*LOOKUP(O26,密度!$A$2:$A$50,密度!$C$2:$C$50)</f>
        <v>116567.46986919999</v>
      </c>
      <c r="P25" s="91" ph="1">
        <f>P24*11.702*LOOKUP(P26,密度!$A$2:$A$50,密度!$B$2:$B$50)</f>
        <v>3258.9929576000004</v>
      </c>
      <c r="Q25" s="92" ph="1">
        <f>Q24*18.322*LOOKUP(Q26,密度!$A$2:$A$50,密度!$B$2:$B$50)</f>
        <v>25842.940981799999</v>
      </c>
      <c r="R25" s="91" ph="1">
        <f>R24*35.891*LOOKUP(R26,密度!$A$2:$A$50,密度!$C$2:$C$50)</f>
        <v>100191.36312960001</v>
      </c>
      <c r="S25" s="91" ph="1">
        <f>S24*35.891*LOOKUP(S26,密度!$A$2:$A$50,密度!$B$2:$B$50)</f>
        <v>35813.755389799997</v>
      </c>
      <c r="T25" s="91" ph="1">
        <f>T24*35.891*LOOKUP(T26,密度!$A$2:$A$50,密度!$Q$2:$Q$50)</f>
        <v>7323.7146758499994</v>
      </c>
      <c r="U25" s="91" ph="1">
        <f>U24*35.891</f>
        <v>141913.014</v>
      </c>
      <c r="V25" s="91" ph="1">
        <f>V24*47.051*LOOKUP(V26,密度!$A$2:$A$50,密度!$B$2:$B$50)</f>
        <v>2208.4798379999997</v>
      </c>
      <c r="W25" s="91" ph="1">
        <f>W24*47.051*LOOKUP(W26,密度!$A$2:$A$50,密度!$B$2:$B$50)</f>
        <v>32206.997637500001</v>
      </c>
      <c r="X25" s="91" ph="1">
        <f>X24*47.051*LOOKUP(X26,密度!$A$2:$A$61,密度!$I$2:$I$61)</f>
        <v>416983.41792100004</v>
      </c>
      <c r="Y25" s="91" ph="1">
        <f>Y24*47.051*LOOKUP(Y26,密度!$A$2:$A$50,密度!$L$2:$L$50)</f>
        <v>319148.81503999996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21</v>
      </c>
      <c r="I26" s="74">
        <v>22</v>
      </c>
      <c r="J26" s="74">
        <v>21</v>
      </c>
      <c r="K26" s="74">
        <v>22</v>
      </c>
      <c r="L26" s="74">
        <v>22</v>
      </c>
      <c r="M26" s="74">
        <v>21</v>
      </c>
      <c r="N26" s="74">
        <v>21</v>
      </c>
      <c r="O26" s="74">
        <v>22</v>
      </c>
      <c r="P26" s="74">
        <v>22</v>
      </c>
      <c r="Q26" s="93">
        <v>22</v>
      </c>
      <c r="R26" s="74">
        <v>23</v>
      </c>
      <c r="S26" s="74">
        <v>23</v>
      </c>
      <c r="T26" s="74">
        <v>22</v>
      </c>
      <c r="U26" s="74">
        <v>21</v>
      </c>
      <c r="V26" s="74">
        <v>22</v>
      </c>
      <c r="W26" s="74">
        <v>22</v>
      </c>
      <c r="X26" s="74">
        <v>40</v>
      </c>
      <c r="Y26" s="74">
        <v>22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66" t="s" ph="1">
        <v>180</v>
      </c>
      <c r="D27" s="71">
        <v>5.48</v>
      </c>
      <c r="E27" s="71">
        <v>3.3</v>
      </c>
      <c r="F27" s="71">
        <v>566</v>
      </c>
      <c r="G27" s="71">
        <v>3244</v>
      </c>
      <c r="H27" s="71">
        <v>2673</v>
      </c>
      <c r="I27" s="71">
        <v>2391</v>
      </c>
      <c r="J27" s="71">
        <v>4586</v>
      </c>
      <c r="K27" s="71">
        <v>4876</v>
      </c>
      <c r="L27" s="71">
        <v>4386</v>
      </c>
      <c r="M27" s="71">
        <v>2640</v>
      </c>
      <c r="N27" s="71">
        <v>2850</v>
      </c>
      <c r="O27" s="71">
        <v>5725</v>
      </c>
      <c r="P27" s="71">
        <v>353</v>
      </c>
      <c r="Q27" s="90">
        <v>2135</v>
      </c>
      <c r="R27" s="71">
        <v>2512</v>
      </c>
      <c r="S27" s="71">
        <v>910</v>
      </c>
      <c r="T27" s="71">
        <v>213</v>
      </c>
      <c r="U27" s="71">
        <v>3877</v>
      </c>
      <c r="V27" s="71">
        <v>55</v>
      </c>
      <c r="W27" s="71">
        <v>1991</v>
      </c>
      <c r="X27" s="71">
        <v>9125</v>
      </c>
      <c r="Y27" s="71">
        <v>5604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66" t="s" ph="1">
        <v>178</v>
      </c>
      <c r="D28" s="91" ph="1">
        <f>D27*268.68*LOOKUP(D29,密度!$A$2:$A$50,密度!$Q$2:$Q$50)+IF(D27&lt;=0,0,1566*LOOKUP(D29,密度!$A$2:$A$50,密度!$Q$2:$Q$50))</f>
        <v>2876.5430055360002</v>
      </c>
      <c r="E28" s="91" ph="1">
        <f>E27*268.68*LOOKUP(E29,密度!$A$2:$A$50,密度!$C$2:$C$50)+IF(E27&lt;=0,0,1566*LOOKUP(E29,密度!$A$2:$A$50,密度!$C$2:$C$50))</f>
        <v>2719.7369315999999</v>
      </c>
      <c r="F28" s="91" ph="1">
        <f>F27*11.702*LOOKUP(F29,密度!$A$2:$A$50,密度!$Q$2:$Q$50)</f>
        <v>6280.2434024000004</v>
      </c>
      <c r="G28" s="91" ph="1">
        <f>G27*18.322*LOOKUP(G29,密度!$A$2:$A$50,密度!$B$2:$B$50)</f>
        <v>46497.2271464</v>
      </c>
      <c r="H28" s="91" ph="1">
        <f>H27*18.322*LOOKUP(H29,密度!$A$2:$A$50,密度!$B$2:$B$50)</f>
        <v>38356.989739199998</v>
      </c>
      <c r="I28" s="91" ph="1">
        <f>I27*18.322*LOOKUP(I29,密度!$A$2:$A$50,密度!$Q$2:$Q$50)</f>
        <v>41538.652676399994</v>
      </c>
      <c r="J28" s="91" ph="1">
        <f>J27*18.322*LOOKUP(J29,密度!$A$2:$A$50,密度!$Q$2:$Q$50)</f>
        <v>79797.409745479992</v>
      </c>
      <c r="K28" s="91" ph="1">
        <f>K27*18.322*LOOKUP(K29,密度!$A$2:$A$50,密度!$Q$2:$Q$50)</f>
        <v>84981.054228559995</v>
      </c>
      <c r="L28" s="91" ph="1">
        <f>L27*18.322*LOOKUP(L29,密度!$A$2:$A$50,密度!$Q$2:$Q$50)</f>
        <v>76567.286217600005</v>
      </c>
      <c r="M28" s="91" ph="1">
        <f>M27*18.322*LOOKUP(M29,密度!$A$2:$A$50,密度!$Q$2:$Q$50)</f>
        <v>46011.071198399994</v>
      </c>
      <c r="N28" s="91" ph="1">
        <f>N27*18.322*LOOKUP(N29,密度!$A$2:$A$50,密度!$Q$2:$Q$50)</f>
        <v>49753.024559999998</v>
      </c>
      <c r="O28" s="91" ph="1">
        <f>O27*18.322*LOOKUP(O29,密度!$A$2:$A$50,密度!$C$2:$C$50)</f>
        <v>116903.750025</v>
      </c>
      <c r="P28" s="91" ph="1">
        <f>P27*11.702*LOOKUP(P29,密度!$A$2:$A$50,密度!$B$2:$B$50)</f>
        <v>3224.0940829999995</v>
      </c>
      <c r="Q28" s="92" ph="1">
        <f>Q27*18.322*LOOKUP(Q29,密度!$A$2:$A$50,密度!$B$2:$B$50)</f>
        <v>30601.596781</v>
      </c>
      <c r="R28" s="91" ph="1">
        <f>R27*35.891*LOOKUP(R29,密度!$A$2:$A$50,密度!$C$2:$C$50)</f>
        <v>100427.21006879999</v>
      </c>
      <c r="S28" s="91" ph="1">
        <f>S27*35.891*LOOKUP(S29,密度!$A$2:$A$50,密度!$B$2:$B$50)</f>
        <v>25684.460983999998</v>
      </c>
      <c r="T28" s="91" ph="1">
        <f>T27*35.891*LOOKUP(T29,密度!$A$2:$A$50,密度!$Q$2:$Q$50)</f>
        <v>7260.1739672699996</v>
      </c>
      <c r="U28" s="91" ph="1">
        <f>U27*35.891</f>
        <v>139149.40700000001</v>
      </c>
      <c r="V28" s="91" ph="1">
        <f>V27*47.051*LOOKUP(V29,密度!$A$2:$A$50,密度!$B$2:$B$50)</f>
        <v>2024.4398515000003</v>
      </c>
      <c r="W28" s="91" ph="1">
        <f>W27*47.051*LOOKUP(W29,密度!$A$2:$A$50,密度!$B$2:$B$50)</f>
        <v>73528.286830900004</v>
      </c>
      <c r="X28" s="91" ph="1">
        <f>X27*47.051*LOOKUP(X29,密度!$A$2:$A$61,密度!$I$2:$I$61)</f>
        <v>436939.69963750005</v>
      </c>
      <c r="Y28" s="91" ph="1">
        <f>Y27*47.051*LOOKUP(Y29,密度!$A$2:$A$50,密度!$L$2:$L$50)</f>
        <v>247589.70195599998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66" t="s" ph="1">
        <v>179</v>
      </c>
      <c r="D29" s="74">
        <v>25</v>
      </c>
      <c r="E29" s="74">
        <v>25</v>
      </c>
      <c r="F29" s="74">
        <v>23</v>
      </c>
      <c r="G29" s="74">
        <v>22</v>
      </c>
      <c r="H29" s="74">
        <v>21</v>
      </c>
      <c r="I29" s="74">
        <v>23</v>
      </c>
      <c r="J29" s="74">
        <v>21</v>
      </c>
      <c r="K29" s="74">
        <v>19</v>
      </c>
      <c r="L29" s="74">
        <v>17</v>
      </c>
      <c r="M29" s="74">
        <v>19</v>
      </c>
      <c r="N29" s="74">
        <v>17</v>
      </c>
      <c r="O29" s="74">
        <v>17</v>
      </c>
      <c r="P29" s="74">
        <v>24</v>
      </c>
      <c r="Q29" s="93">
        <v>22</v>
      </c>
      <c r="R29" s="74">
        <v>18</v>
      </c>
      <c r="S29" s="74">
        <v>17</v>
      </c>
      <c r="T29" s="74">
        <v>21</v>
      </c>
      <c r="U29" s="74">
        <v>20</v>
      </c>
      <c r="V29" s="74">
        <v>22</v>
      </c>
      <c r="W29" s="74">
        <v>19</v>
      </c>
      <c r="X29" s="74">
        <v>47</v>
      </c>
      <c r="Y29" s="74">
        <v>23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336278.61351780005</v>
      </c>
      <c r="E33" s="215" ph="1">
        <f>M10+I10</f>
        <v>9552.0691867000005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9" ph="1">
        <f>N19</f>
        <v>41323.350854800003</v>
      </c>
      <c r="H33" s="215" ph="1">
        <f>M19</f>
        <v>44399.151133860003</v>
      </c>
      <c r="I33" s="228" ph="1">
        <v>0</v>
      </c>
      <c r="J33" s="226" ph="1">
        <f>F10+O28</f>
        <v>327014.57715780003</v>
      </c>
      <c r="K33" s="215" ph="1">
        <f>O10+K10+E28+R28</f>
        <v>212782.09896839998</v>
      </c>
      <c r="L33" s="230" ph="1">
        <f>K19</f>
        <v>36142.551004680005</v>
      </c>
      <c r="M33" s="226" ph="1">
        <f>G10+H10+W28+S28+V28+E10+R19+P28+Q28</f>
        <v>591787.24493895995</v>
      </c>
      <c r="N33" s="215" ph="1">
        <f>L10+P10++G28+H28+AD19+AE19</f>
        <v>468303.97077880002</v>
      </c>
      <c r="O33" s="228" ph="1">
        <f>G19</f>
        <v>3982.5724243799996</v>
      </c>
      <c r="P33" s="226" ph="1">
        <f>L19</f>
        <v>9603.1591516000008</v>
      </c>
      <c r="Q33" s="215" ph="1">
        <f>J10+N10</f>
        <v>80174.667986000015</v>
      </c>
      <c r="R33" s="228" ph="1">
        <f>BE23</f>
        <v>890</v>
      </c>
      <c r="S33" s="226" ph="1">
        <f>X28</f>
        <v>436939.69963750005</v>
      </c>
      <c r="T33" s="215" ph="1">
        <f>X19</f>
        <v>6548.935564800001</v>
      </c>
      <c r="U33" s="236" ph="1">
        <f>BE21</f>
        <v>730</v>
      </c>
      <c r="V33" s="247" ph="1">
        <f ca="1">P19+Q19+S19+M28+N28+J28+D10+AC10+D19+E19+H19+J19+O19+V19+W19+K28+L28</f>
        <v>1033519.318155118</v>
      </c>
      <c r="W33" s="247" ph="1">
        <f>D28+F28+T28+I28</f>
        <v>57955.613051605993</v>
      </c>
      <c r="X33" s="228" ph="1">
        <f>BE29+BE31</f>
        <v>10200</v>
      </c>
      <c r="Y33" s="249" ph="1">
        <f>+Q10+R10+S10+T10+U10+V10+W10+X10+Y10</f>
        <v>260650.37677139998</v>
      </c>
      <c r="Z33" s="234" ph="1">
        <f>T19+U19+Y28+Z10</f>
        <v>487173.81069329998</v>
      </c>
      <c r="AA33" s="236" ph="1">
        <f>BE19</f>
        <v>1440</v>
      </c>
      <c r="AB33" s="238" ph="1">
        <f>I19</f>
        <v>48684.811568400008</v>
      </c>
      <c r="AC33" s="240" ph="1">
        <f>AD10+AB19</f>
        <v>153568.49379199999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8" t="s" ph="1">
        <v>185</v>
      </c>
      <c r="AA36" s="168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342</v>
      </c>
      <c r="AI37" s="168" t="s" ph="1">
        <v>209</v>
      </c>
      <c r="AJ37" s="168" t="s" ph="1">
        <v>210</v>
      </c>
      <c r="AK37" s="168" t="s" ph="1">
        <v>211</v>
      </c>
      <c r="AM37" s="168" t="s" ph="1">
        <v>210</v>
      </c>
      <c r="AN37" s="168" t="s" ph="1">
        <v>211</v>
      </c>
      <c r="AO37" s="168" t="s" ph="1">
        <v>212</v>
      </c>
      <c r="AP37" s="168" t="s" ph="1">
        <v>210</v>
      </c>
      <c r="AQ37" s="168" t="s" ph="1">
        <v>211</v>
      </c>
      <c r="AR37" s="168" t="s" ph="1">
        <v>212</v>
      </c>
      <c r="AS37" s="168" t="s" ph="1">
        <v>210</v>
      </c>
      <c r="AT37" s="168" t="s" ph="1">
        <v>211</v>
      </c>
      <c r="AU37" s="168" t="s" ph="1">
        <v>212</v>
      </c>
      <c r="AV37" s="168" t="s" ph="1">
        <v>210</v>
      </c>
      <c r="AW37" s="168" t="s" ph="1">
        <v>211</v>
      </c>
      <c r="AX37" s="168" t="s" ph="1">
        <v>212</v>
      </c>
      <c r="AY37" s="168" t="s" ph="1">
        <v>211</v>
      </c>
      <c r="AZ37" s="168" t="s" ph="1">
        <v>213</v>
      </c>
      <c r="BD37" s="168" t="s" ph="1">
        <v>305</v>
      </c>
      <c r="BE37" s="16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519" priority="100">
      <formula>ABS(D$7-D$10)&gt;=1000</formula>
    </cfRule>
  </conditionalFormatting>
  <conditionalFormatting sqref="E4 E6:E11">
    <cfRule type="expression" dxfId="518" priority="99">
      <formula>ABS(E$7-E$10)&gt;=1000</formula>
    </cfRule>
  </conditionalFormatting>
  <conditionalFormatting sqref="F4:F11">
    <cfRule type="expression" dxfId="517" priority="98">
      <formula>ABS(F$7-F$10)&gt;=1000</formula>
    </cfRule>
  </conditionalFormatting>
  <conditionalFormatting sqref="G4:G11">
    <cfRule type="expression" dxfId="516" priority="97">
      <formula>ABS(G$7-G$10)&gt;=1000</formula>
    </cfRule>
  </conditionalFormatting>
  <conditionalFormatting sqref="H4:H11">
    <cfRule type="expression" dxfId="515" priority="96">
      <formula>ABS(H$7-H$10)&gt;=1000</formula>
    </cfRule>
  </conditionalFormatting>
  <conditionalFormatting sqref="I4:I11">
    <cfRule type="expression" dxfId="514" priority="95">
      <formula>ABS(I$7-I$10)&gt;=1000</formula>
    </cfRule>
  </conditionalFormatting>
  <conditionalFormatting sqref="J4:J11">
    <cfRule type="expression" dxfId="513" priority="94">
      <formula>ABS(J$7-J$10)&gt;=1000</formula>
    </cfRule>
  </conditionalFormatting>
  <conditionalFormatting sqref="K4:K11">
    <cfRule type="expression" dxfId="512" priority="93">
      <formula>ABS(K$7-K$10)&gt;=1000</formula>
    </cfRule>
  </conditionalFormatting>
  <conditionalFormatting sqref="L4:L11">
    <cfRule type="expression" dxfId="511" priority="92">
      <formula>ABS(L$7-L$10)&gt;=1000</formula>
    </cfRule>
  </conditionalFormatting>
  <conditionalFormatting sqref="M4 M6:M11">
    <cfRule type="expression" dxfId="510" priority="91">
      <formula>ABS(M$7-M$10)&gt;=1000</formula>
    </cfRule>
  </conditionalFormatting>
  <conditionalFormatting sqref="N4 N6:N11">
    <cfRule type="expression" dxfId="509" priority="90">
      <formula>ABS(N$7-N$10)&gt;=1000</formula>
    </cfRule>
  </conditionalFormatting>
  <conditionalFormatting sqref="O4 O6:O11">
    <cfRule type="expression" dxfId="508" priority="89">
      <formula>ABS(O$7-O$10)&gt;=1000</formula>
    </cfRule>
  </conditionalFormatting>
  <conditionalFormatting sqref="P4 P6:P11">
    <cfRule type="expression" dxfId="507" priority="88">
      <formula>ABS(P$7-P$10)&gt;=1000</formula>
    </cfRule>
  </conditionalFormatting>
  <conditionalFormatting sqref="Q4:Q11">
    <cfRule type="expression" dxfId="506" priority="87">
      <formula>ABS(Q$7-Q$10)&gt;=1000</formula>
    </cfRule>
  </conditionalFormatting>
  <conditionalFormatting sqref="R4:R11">
    <cfRule type="expression" dxfId="505" priority="86">
      <formula>ABS(R$7-R$10)&gt;=1000</formula>
    </cfRule>
  </conditionalFormatting>
  <conditionalFormatting sqref="S4:S11">
    <cfRule type="expression" dxfId="504" priority="85">
      <formula>ABS(S$7-S$10)&gt;=1000</formula>
    </cfRule>
  </conditionalFormatting>
  <conditionalFormatting sqref="T4:T9 T11">
    <cfRule type="expression" dxfId="503" priority="84">
      <formula>ABS(T$7-T$10)&gt;=1000</formula>
    </cfRule>
  </conditionalFormatting>
  <conditionalFormatting sqref="U4:U9 U11">
    <cfRule type="expression" dxfId="502" priority="83">
      <formula>ABS(U$7-U$10)&gt;=1000</formula>
    </cfRule>
  </conditionalFormatting>
  <conditionalFormatting sqref="V4:V9 V11">
    <cfRule type="expression" dxfId="501" priority="82">
      <formula>ABS(V$7-V$10)&gt;=1000</formula>
    </cfRule>
  </conditionalFormatting>
  <conditionalFormatting sqref="W4:W9 W11">
    <cfRule type="expression" dxfId="500" priority="81">
      <formula>ABS(W$7-W$10)&gt;=1000</formula>
    </cfRule>
  </conditionalFormatting>
  <conditionalFormatting sqref="X4:X9 X11">
    <cfRule type="expression" dxfId="499" priority="80">
      <formula>ABS(X$7-X$10)&gt;=1000</formula>
    </cfRule>
  </conditionalFormatting>
  <conditionalFormatting sqref="Y4:Y9 Y11">
    <cfRule type="expression" dxfId="498" priority="79">
      <formula>ABS(Y$7-Y$10)&gt;=1000</formula>
    </cfRule>
  </conditionalFormatting>
  <conditionalFormatting sqref="Z4:Z11">
    <cfRule type="expression" dxfId="497" priority="78">
      <formula>ABS(Z$7-Z$10)&gt;=1000</formula>
    </cfRule>
  </conditionalFormatting>
  <conditionalFormatting sqref="AA4:AA11">
    <cfRule type="expression" dxfId="496" priority="77">
      <formula>ABS(AA$7-AA$10)&gt;=1000</formula>
    </cfRule>
  </conditionalFormatting>
  <conditionalFormatting sqref="AB4:AB11">
    <cfRule type="expression" dxfId="495" priority="76">
      <formula>ABS(AB$7-AB$10)&gt;=1000</formula>
    </cfRule>
  </conditionalFormatting>
  <conditionalFormatting sqref="AC4 AC6:AC11">
    <cfRule type="expression" dxfId="494" priority="75">
      <formula>ABS(AC$7-AC$10)&gt;=1000</formula>
    </cfRule>
  </conditionalFormatting>
  <conditionalFormatting sqref="AD4 AD6:AD11">
    <cfRule type="expression" dxfId="493" priority="74">
      <formula>ABS(AD$7-AD$10)&gt;=1000</formula>
    </cfRule>
  </conditionalFormatting>
  <conditionalFormatting sqref="AE4 AE6:AE11">
    <cfRule type="expression" dxfId="492" priority="73">
      <formula>ABS(AE$7-AE$10)&gt;=1000</formula>
    </cfRule>
  </conditionalFormatting>
  <conditionalFormatting sqref="D13:D20">
    <cfRule type="expression" dxfId="491" priority="72">
      <formula>ABS(D$16-D$19)&gt;=1000</formula>
    </cfRule>
  </conditionalFormatting>
  <conditionalFormatting sqref="E13:E20">
    <cfRule type="expression" dxfId="490" priority="71">
      <formula>ABS(E$16-E$19)&gt;=1000</formula>
    </cfRule>
  </conditionalFormatting>
  <conditionalFormatting sqref="F13 F15:F20">
    <cfRule type="expression" dxfId="489" priority="70">
      <formula>ABS(F$16-F$19)&gt;=1000</formula>
    </cfRule>
  </conditionalFormatting>
  <conditionalFormatting sqref="G13:G20">
    <cfRule type="expression" dxfId="488" priority="69">
      <formula>ABS(G$16-G$19)&gt;=1000</formula>
    </cfRule>
  </conditionalFormatting>
  <conditionalFormatting sqref="H13 H15:H20">
    <cfRule type="expression" dxfId="487" priority="68">
      <formula>ABS(H$16-H$19)&gt;=1000</formula>
    </cfRule>
  </conditionalFormatting>
  <conditionalFormatting sqref="I13:I20">
    <cfRule type="expression" dxfId="486" priority="67">
      <formula>ABS(I$16-I$19)&gt;=1000</formula>
    </cfRule>
  </conditionalFormatting>
  <conditionalFormatting sqref="J13:J20">
    <cfRule type="expression" dxfId="485" priority="66">
      <formula>ABS(J$16-J$19)&gt;=1000</formula>
    </cfRule>
  </conditionalFormatting>
  <conditionalFormatting sqref="L13:L20">
    <cfRule type="expression" dxfId="484" priority="65">
      <formula>ABS(L$16-L$19)&gt;=1000</formula>
    </cfRule>
  </conditionalFormatting>
  <conditionalFormatting sqref="M13 M15 M17:M18 M20">
    <cfRule type="expression" dxfId="483" priority="64">
      <formula>ABS(M$16-M$19)&gt;=1000</formula>
    </cfRule>
  </conditionalFormatting>
  <conditionalFormatting sqref="N13:N20">
    <cfRule type="expression" dxfId="482" priority="63">
      <formula>ABS(N$16-N$19)&gt;=1000</formula>
    </cfRule>
  </conditionalFormatting>
  <conditionalFormatting sqref="O13:O20">
    <cfRule type="expression" dxfId="481" priority="62">
      <formula>ABS(O$16-O$19)&gt;=1000</formula>
    </cfRule>
  </conditionalFormatting>
  <conditionalFormatting sqref="P13:P20">
    <cfRule type="expression" dxfId="480" priority="61">
      <formula>ABS(P$16-P$19)&gt;=1000</formula>
    </cfRule>
  </conditionalFormatting>
  <conditionalFormatting sqref="Q13 Q15:Q20">
    <cfRule type="expression" dxfId="479" priority="60">
      <formula>ABS(Q$16-Q$19)&gt;=1000</formula>
    </cfRule>
  </conditionalFormatting>
  <conditionalFormatting sqref="R13:R20">
    <cfRule type="expression" dxfId="478" priority="59">
      <formula>ABS(R$16-R$19)&gt;=1000</formula>
    </cfRule>
  </conditionalFormatting>
  <conditionalFormatting sqref="S13:S20">
    <cfRule type="expression" dxfId="477" priority="58">
      <formula>ABS(S$16-S$19)&gt;=1000</formula>
    </cfRule>
  </conditionalFormatting>
  <conditionalFormatting sqref="T13:T20">
    <cfRule type="expression" dxfId="476" priority="57">
      <formula>ABS(T$16-T$19)&gt;=1000</formula>
    </cfRule>
  </conditionalFormatting>
  <conditionalFormatting sqref="U13:U20">
    <cfRule type="expression" dxfId="475" priority="56">
      <formula>ABS(U$16-U$19)&gt;=1000</formula>
    </cfRule>
  </conditionalFormatting>
  <conditionalFormatting sqref="V13:V20">
    <cfRule type="expression" dxfId="474" priority="55">
      <formula>ABS(V$16-V$19)&gt;=1000</formula>
    </cfRule>
  </conditionalFormatting>
  <conditionalFormatting sqref="W13 W20 W15:W18">
    <cfRule type="expression" dxfId="473" priority="54">
      <formula>ABS(W$16-W$19)&gt;=1000</formula>
    </cfRule>
  </conditionalFormatting>
  <conditionalFormatting sqref="X13 X15:X20 Y19">
    <cfRule type="expression" dxfId="472" priority="53">
      <formula>ABS(X$16-X$19)&gt;=1000</formula>
    </cfRule>
  </conditionalFormatting>
  <conditionalFormatting sqref="Y13 Y15:Y18 Y20">
    <cfRule type="expression" dxfId="471" priority="52">
      <formula>ABS(Y$16-Y$19)&gt;=1000</formula>
    </cfRule>
  </conditionalFormatting>
  <conditionalFormatting sqref="Z13:Z20">
    <cfRule type="expression" dxfId="470" priority="51">
      <formula>ABS(Z$16-Z$19)&gt;=1000</formula>
    </cfRule>
  </conditionalFormatting>
  <conditionalFormatting sqref="AA13:AA20">
    <cfRule type="expression" dxfId="469" priority="50">
      <formula>ABS(AA$16-AA$19)&gt;=1000</formula>
    </cfRule>
  </conditionalFormatting>
  <conditionalFormatting sqref="AB13 AB15:AB20">
    <cfRule type="expression" dxfId="468" priority="49">
      <formula>ABS(AB$16-AB$19)&gt;=1000</formula>
    </cfRule>
  </conditionalFormatting>
  <conditionalFormatting sqref="AC13 AC15:AC20">
    <cfRule type="expression" dxfId="467" priority="48">
      <formula>ABS(AC$16-AC$19)&gt;=1000</formula>
    </cfRule>
  </conditionalFormatting>
  <conditionalFormatting sqref="AD13:AD20">
    <cfRule type="expression" dxfId="466" priority="47">
      <formula>ABS(AD$16-AD$19)&gt;=1000</formula>
    </cfRule>
  </conditionalFormatting>
  <conditionalFormatting sqref="AE13:AE20">
    <cfRule type="expression" dxfId="465" priority="46">
      <formula>ABS(AE$16-AE$19)&gt;=1000</formula>
    </cfRule>
  </conditionalFormatting>
  <conditionalFormatting sqref="D22:D29">
    <cfRule type="expression" dxfId="464" priority="45">
      <formula>ABS(D$25-D$28)&gt;=1000</formula>
    </cfRule>
  </conditionalFormatting>
  <conditionalFormatting sqref="E22:E29">
    <cfRule type="expression" dxfId="463" priority="44">
      <formula>ABS(E$25-E$28)&gt;=1000</formula>
    </cfRule>
  </conditionalFormatting>
  <conditionalFormatting sqref="F22:F29">
    <cfRule type="expression" dxfId="462" priority="43">
      <formula>ABS(F$25-F$28)&gt;=1000</formula>
    </cfRule>
  </conditionalFormatting>
  <conditionalFormatting sqref="G22:G29">
    <cfRule type="expression" dxfId="461" priority="42">
      <formula>ABS(G$25-G$28)&gt;=1000</formula>
    </cfRule>
  </conditionalFormatting>
  <conditionalFormatting sqref="H22:H29">
    <cfRule type="expression" dxfId="460" priority="41">
      <formula>ABS(H$25-H$28)&gt;=1000</formula>
    </cfRule>
  </conditionalFormatting>
  <conditionalFormatting sqref="I22 I24:I29">
    <cfRule type="expression" dxfId="459" priority="40">
      <formula>ABS(I$25-I$28)&gt;=1000</formula>
    </cfRule>
  </conditionalFormatting>
  <conditionalFormatting sqref="J22:J29 K22">
    <cfRule type="expression" dxfId="458" priority="39">
      <formula>ABS(J$25-J$28)&gt;=1000</formula>
    </cfRule>
  </conditionalFormatting>
  <conditionalFormatting sqref="K23:K29 L25 L28">
    <cfRule type="expression" dxfId="457" priority="38">
      <formula>ABS(K$25-K$28)&gt;=1000</formula>
    </cfRule>
  </conditionalFormatting>
  <conditionalFormatting sqref="L22 L26:L27 L29 L24">
    <cfRule type="expression" dxfId="456" priority="37">
      <formula>ABS(L$25-L$28)&gt;=1000</formula>
    </cfRule>
  </conditionalFormatting>
  <conditionalFormatting sqref="M22:M29">
    <cfRule type="expression" dxfId="455" priority="36">
      <formula>ABS(M$25-M$28)&gt;=1000</formula>
    </cfRule>
  </conditionalFormatting>
  <conditionalFormatting sqref="N22:N29">
    <cfRule type="expression" dxfId="454" priority="35">
      <formula>ABS(N$25-N$28)&gt;=1000</formula>
    </cfRule>
  </conditionalFormatting>
  <conditionalFormatting sqref="O22:O29">
    <cfRule type="expression" dxfId="453" priority="34">
      <formula>ABS(O$25-O$28)&gt;=1000</formula>
    </cfRule>
  </conditionalFormatting>
  <conditionalFormatting sqref="P22:P29">
    <cfRule type="expression" dxfId="452" priority="33">
      <formula>ABS(P$25-P$28)&gt;=1000</formula>
    </cfRule>
  </conditionalFormatting>
  <conditionalFormatting sqref="Q22:Q29">
    <cfRule type="expression" dxfId="451" priority="32">
      <formula>ABS(Q$25-Q$28)&gt;=1000</formula>
    </cfRule>
  </conditionalFormatting>
  <conditionalFormatting sqref="R22:R29">
    <cfRule type="expression" dxfId="450" priority="31">
      <formula>ABS(R$25-R$28)&gt;=1000</formula>
    </cfRule>
  </conditionalFormatting>
  <conditionalFormatting sqref="S22:S29">
    <cfRule type="expression" dxfId="449" priority="30">
      <formula>ABS(S$25-S$28)&gt;=1000</formula>
    </cfRule>
  </conditionalFormatting>
  <conditionalFormatting sqref="T22:T29">
    <cfRule type="expression" dxfId="448" priority="29">
      <formula>ABS(T$25-T$28)&gt;=1000</formula>
    </cfRule>
  </conditionalFormatting>
  <conditionalFormatting sqref="U22:U29">
    <cfRule type="expression" dxfId="447" priority="28">
      <formula>ABS(U$25-U$28)&gt;=1000</formula>
    </cfRule>
  </conditionalFormatting>
  <conditionalFormatting sqref="V22:V29">
    <cfRule type="expression" dxfId="446" priority="27">
      <formula>ABS(V$25-V$28)&gt;=1000</formula>
    </cfRule>
  </conditionalFormatting>
  <conditionalFormatting sqref="W22:W29">
    <cfRule type="expression" dxfId="445" priority="26">
      <formula>ABS(W$25-W$28)&gt;=1000</formula>
    </cfRule>
  </conditionalFormatting>
  <conditionalFormatting sqref="X22:X29">
    <cfRule type="expression" dxfId="444" priority="25">
      <formula>ABS(X$25-X$28)&gt;=1000</formula>
    </cfRule>
  </conditionalFormatting>
  <conditionalFormatting sqref="Y22:Y29">
    <cfRule type="expression" dxfId="443" priority="24">
      <formula>ABS(Y$25-Y$28)&gt;=1000</formula>
    </cfRule>
  </conditionalFormatting>
  <conditionalFormatting sqref="I23">
    <cfRule type="expression" dxfId="442" priority="23">
      <formula>ABS(I$25-I$28)&gt;=1000</formula>
    </cfRule>
  </conditionalFormatting>
  <conditionalFormatting sqref="Q14">
    <cfRule type="expression" dxfId="441" priority="22">
      <formula>ABS(Q$16-Q$19)&gt;=1000</formula>
    </cfRule>
  </conditionalFormatting>
  <conditionalFormatting sqref="W14">
    <cfRule type="expression" dxfId="440" priority="21">
      <formula>ABS(W$16-W$19)&gt;=1000</formula>
    </cfRule>
  </conditionalFormatting>
  <conditionalFormatting sqref="X14">
    <cfRule type="expression" dxfId="439" priority="20">
      <formula>ABS(X$16-X$19)&gt;=1000</formula>
    </cfRule>
  </conditionalFormatting>
  <conditionalFormatting sqref="T10:Y10">
    <cfRule type="expression" dxfId="438" priority="19">
      <formula>ABS(T$7-T$10)&gt;=1000</formula>
    </cfRule>
  </conditionalFormatting>
  <conditionalFormatting sqref="W19">
    <cfRule type="expression" dxfId="437" priority="18">
      <formula>ABS(W$16-W$19)&gt;=1000</formula>
    </cfRule>
  </conditionalFormatting>
  <conditionalFormatting sqref="AC5">
    <cfRule type="expression" dxfId="436" priority="17">
      <formula>ABS(AC$7-AC$10)&gt;=1000</formula>
    </cfRule>
  </conditionalFormatting>
  <conditionalFormatting sqref="M14">
    <cfRule type="expression" dxfId="435" priority="16">
      <formula>ABS(M$16-M$19)&gt;=1000</formula>
    </cfRule>
  </conditionalFormatting>
  <conditionalFormatting sqref="M16">
    <cfRule type="expression" dxfId="434" priority="15">
      <formula>ABS(M$16-M$19)&gt;=1000</formula>
    </cfRule>
  </conditionalFormatting>
  <conditionalFormatting sqref="M19">
    <cfRule type="expression" dxfId="433" priority="14">
      <formula>ABS(M$16-M$19)&gt;=1000</formula>
    </cfRule>
  </conditionalFormatting>
  <conditionalFormatting sqref="K13:K20">
    <cfRule type="expression" dxfId="432" priority="13">
      <formula>ABS(K$16-K$19)&gt;=1000</formula>
    </cfRule>
  </conditionalFormatting>
  <conditionalFormatting sqref="E5">
    <cfRule type="expression" dxfId="431" priority="12">
      <formula>ABS(E$7-E$10)&gt;=1000</formula>
    </cfRule>
  </conditionalFormatting>
  <conditionalFormatting sqref="AB14:AC14">
    <cfRule type="expression" dxfId="430" priority="11">
      <formula>ABS(AB$16-AB$19)&gt;=1000</formula>
    </cfRule>
  </conditionalFormatting>
  <conditionalFormatting sqref="M5">
    <cfRule type="expression" dxfId="429" priority="10">
      <formula>ABS(M$7-M$10)&gt;=1000</formula>
    </cfRule>
  </conditionalFormatting>
  <conditionalFormatting sqref="N5">
    <cfRule type="expression" dxfId="428" priority="9">
      <formula>ABS(N$7-N$10)&gt;=1000</formula>
    </cfRule>
  </conditionalFormatting>
  <conditionalFormatting sqref="O5">
    <cfRule type="expression" dxfId="427" priority="8">
      <formula>ABS(O$7-O$10)&gt;=1000</formula>
    </cfRule>
  </conditionalFormatting>
  <conditionalFormatting sqref="P5">
    <cfRule type="expression" dxfId="426" priority="7">
      <formula>ABS(P$7-P$10)&gt;=1000</formula>
    </cfRule>
  </conditionalFormatting>
  <conditionalFormatting sqref="L23">
    <cfRule type="expression" dxfId="425" priority="6">
      <formula>ABS(L$25-L$28)&gt;=1000</formula>
    </cfRule>
  </conditionalFormatting>
  <conditionalFormatting sqref="Y14">
    <cfRule type="expression" dxfId="424" priority="5">
      <formula>ABS(Y$16-Y$19)&gt;=1000</formula>
    </cfRule>
  </conditionalFormatting>
  <conditionalFormatting sqref="F14">
    <cfRule type="expression" dxfId="423" priority="4">
      <formula>ABS(F$16-F$19)&gt;=1000</formula>
    </cfRule>
  </conditionalFormatting>
  <conditionalFormatting sqref="H14">
    <cfRule type="expression" dxfId="422" priority="3">
      <formula>ABS(H$16-H$19)&gt;=1000</formula>
    </cfRule>
  </conditionalFormatting>
  <conditionalFormatting sqref="AD5">
    <cfRule type="expression" dxfId="421" priority="2">
      <formula>ABS(AD$7-AD$10)&gt;=1000</formula>
    </cfRule>
  </conditionalFormatting>
  <conditionalFormatting sqref="AE5">
    <cfRule type="expression" dxfId="4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68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1">
    <pageSetUpPr fitToPage="1"/>
  </sheetPr>
  <dimension ref="A1:CU223"/>
  <sheetViews>
    <sheetView view="pageBreakPreview" topLeftCell="A7" zoomScale="70" zoomScaleNormal="100" zoomScaleSheetLayoutView="70" workbookViewId="0">
      <selection activeCell="E27" sqref="E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46077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66" t="s" ph="1">
        <v>177</v>
      </c>
      <c r="D6" s="71">
        <v>5993</v>
      </c>
      <c r="E6" s="71">
        <v>781</v>
      </c>
      <c r="F6" s="71">
        <v>5687</v>
      </c>
      <c r="G6" s="71">
        <v>5811</v>
      </c>
      <c r="H6" s="71">
        <v>3889</v>
      </c>
      <c r="I6" s="71">
        <v>7.0000000000000007E-2</v>
      </c>
      <c r="J6" s="71">
        <v>6.55</v>
      </c>
      <c r="K6" s="71">
        <v>7.42</v>
      </c>
      <c r="L6" s="71">
        <v>8.25</v>
      </c>
      <c r="M6" s="71">
        <v>246</v>
      </c>
      <c r="N6" s="71">
        <v>3010</v>
      </c>
      <c r="O6" s="71">
        <v>4738</v>
      </c>
      <c r="P6" s="71">
        <v>8627</v>
      </c>
      <c r="Q6" s="71">
        <v>6663</v>
      </c>
      <c r="R6" s="71">
        <v>7028</v>
      </c>
      <c r="S6" s="71">
        <v>5783</v>
      </c>
      <c r="T6" s="71">
        <v>5262</v>
      </c>
      <c r="U6" s="71">
        <v>0</v>
      </c>
      <c r="V6" s="71">
        <v>0</v>
      </c>
      <c r="W6" s="71">
        <v>0</v>
      </c>
      <c r="X6" s="71">
        <v>2344</v>
      </c>
      <c r="Y6" s="71">
        <v>6951</v>
      </c>
      <c r="Z6" s="71">
        <v>6030</v>
      </c>
      <c r="AA6" s="71">
        <v>6936</v>
      </c>
      <c r="AB6" s="71">
        <v>4683</v>
      </c>
      <c r="AC6" s="71">
        <v>4719</v>
      </c>
      <c r="AD6" s="71">
        <v>4780</v>
      </c>
      <c r="AE6" s="71">
        <v>3650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188564.47475580001</v>
      </c>
      <c r="E7" s="73" ph="1">
        <f>E6*51.53*LOOKUP(E8,密度!$A$2:$A$50,密度!$B$2:$B$50)</f>
        <v>31556.049612999999</v>
      </c>
      <c r="F7" s="73" ph="1">
        <f>F6*33.183*LOOKUP(F8,密度!$A$2:$A$50,密度!$C$2:$C$50)</f>
        <v>210205.98602189997</v>
      </c>
      <c r="G7" s="73" ph="1">
        <f xml:space="preserve"> (G6+2)*51.53*LOOKUP(G8,密度!$A$2:$A$50,密度!$B$2:$B$50)</f>
        <v>234872.36414900003</v>
      </c>
      <c r="H7" s="73" ph="1">
        <f>(H6)*51.53*LOOKUP(H8,密度!$A$2:$A$50,密度!$B$2:$B$50)</f>
        <v>157133.77329700001</v>
      </c>
      <c r="I7" s="73" ph="1">
        <f>I6*290.8*1.0267</f>
        <v>20.8995052</v>
      </c>
      <c r="J7" s="73" ph="1">
        <f>J6*290.8*0.7892</f>
        <v>1503.220808</v>
      </c>
      <c r="K7" s="73" ph="1">
        <f>K6*290.8*1.1126</f>
        <v>2400.6970735999998</v>
      </c>
      <c r="L7" s="73" ph="1">
        <f>L6*290.8*0.777</f>
        <v>1864.1007</v>
      </c>
      <c r="M7" s="73" ph="1">
        <f>M6*33.183*LOOKUP(M8,密度!$A$2:$A$50,密度!$D$2:$D$50)</f>
        <v>8411.990049</v>
      </c>
      <c r="N7" s="73" ph="1">
        <f>N6*33.183*LOOKUP(N8,密度!$A$2:$A$50,密度!$E$2:$E$50)</f>
        <v>78706.094040000011</v>
      </c>
      <c r="O7" s="73" ph="1">
        <f>O6*20.428*LOOKUP(O8,密度!$A$2:$A$50,密度!$C$2:$C$50)</f>
        <v>107395.81389439999</v>
      </c>
      <c r="P7" s="73" ph="1">
        <f>P6*51.53*LOOKUP(P8,密度!$A$2:$A$50,密度!$B$2:$B$50)</f>
        <v>348571.11397100001</v>
      </c>
      <c r="Q7" s="73" ph="1">
        <f>Q6*1.5*1.5*3.1416*LOOKUP(W8,密度!$A$2:$A$50,密度!$L$2:$L$50)</f>
        <v>44366.393055599998</v>
      </c>
      <c r="R7" s="73" ph="1">
        <f>R6*1.5*1.5*3.1416*LOOKUP(R8,密度!$A$2:$A$50,密度!$L$2:$L$50)</f>
        <v>46598.077310399996</v>
      </c>
      <c r="S7" s="73" ph="1">
        <f>S6*1.5*1.5*3.1416*LOOKUP(S8,密度!$A$2:$A$50,密度!$L$2:$L$50)</f>
        <v>38629.439540999992</v>
      </c>
      <c r="T7" s="73" ph="1">
        <f>T6*1.5*1.5*3.1416*LOOKUP(T8,密度!$A$2:$A$50,密度!$L$2:$L$50)</f>
        <v>35186.444647199998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15723.789681599999</v>
      </c>
      <c r="Y7" s="73" ph="1">
        <f>Y6*1.5*1.5*3.1416*LOOKUP(Y8,密度!$A$2:$A$50,密度!$L$2:$L$50)</f>
        <v>46234.942122599998</v>
      </c>
      <c r="Z7" s="73" ph="1">
        <f>Z6*33.183*LOOKUP(Z8,密度!$A$2:$A$50,密度!$L$2:$L$50)</f>
        <v>189088.34804999997</v>
      </c>
      <c r="AA7" s="73" ph="1">
        <f>AA6*33.183*LOOKUP(AA8,密度!$A$2:$A$50,密度!$D$2:$D$50)</f>
        <v>237775.49423279997</v>
      </c>
      <c r="AB7" s="73" ph="1">
        <f>AB6*20.428*LOOKUP(AB8,密度!$A$2:$A$50,密度!$D$2:$D$50)</f>
        <v>99242.169717600016</v>
      </c>
      <c r="AC7" s="73" ph="1">
        <f>AC6*51.53*LOOKUP(AC8,密度!$A$2:$A$50,密度!$Q$2:$Q$50)</f>
        <v>231886.978752</v>
      </c>
      <c r="AD7" s="73" ph="1">
        <f>AD6*20.428*LOOKUP(AD8,密度!$A$2:$A$50,密度!$V$2:$V$50)</f>
        <v>94130.589760000003</v>
      </c>
      <c r="AE7" s="73" ph="1">
        <f>AE6*20.428</f>
        <v>74562.2</v>
      </c>
    </row>
    <row r="8" spans="1:99" ph="1">
      <c r="B8" s="193" ph="1"/>
      <c r="C8" s="68" t="s" ph="1">
        <v>179</v>
      </c>
      <c r="D8" s="74">
        <v>23</v>
      </c>
      <c r="E8" s="74">
        <v>20</v>
      </c>
      <c r="F8" s="74">
        <v>18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21</v>
      </c>
      <c r="O8" s="74">
        <v>24</v>
      </c>
      <c r="P8" s="74">
        <v>20</v>
      </c>
      <c r="Q8" s="74">
        <v>21</v>
      </c>
      <c r="R8" s="74">
        <v>24</v>
      </c>
      <c r="S8" s="74">
        <v>17</v>
      </c>
      <c r="T8" s="74">
        <v>16</v>
      </c>
      <c r="U8" s="74">
        <v>20</v>
      </c>
      <c r="V8" s="74">
        <v>24</v>
      </c>
      <c r="W8" s="74">
        <v>20</v>
      </c>
      <c r="X8" s="74">
        <v>13</v>
      </c>
      <c r="Y8" s="74">
        <v>21</v>
      </c>
      <c r="Z8" s="74">
        <v>17</v>
      </c>
      <c r="AA8" s="74">
        <v>18</v>
      </c>
      <c r="AB8" s="74">
        <v>13</v>
      </c>
      <c r="AC8" s="74">
        <v>16</v>
      </c>
      <c r="AD8" s="74">
        <v>19</v>
      </c>
      <c r="AE8" s="74">
        <v>21</v>
      </c>
    </row>
    <row r="9" spans="1:99" ht="26.4" ph="1">
      <c r="B9" s="193" ph="1">
        <v>0.66666666666666663</v>
      </c>
      <c r="C9" s="166" t="s" ph="1">
        <v>180</v>
      </c>
      <c r="D9" s="71">
        <v>5993</v>
      </c>
      <c r="E9" s="71">
        <v>2146</v>
      </c>
      <c r="F9" s="71">
        <v>5688</v>
      </c>
      <c r="G9" s="71">
        <v>5815</v>
      </c>
      <c r="H9" s="71">
        <v>4754</v>
      </c>
      <c r="I9" s="71">
        <v>7.0000000000000007E-2</v>
      </c>
      <c r="J9" s="71">
        <v>6.54</v>
      </c>
      <c r="K9" s="71">
        <v>7.45</v>
      </c>
      <c r="L9" s="71">
        <v>8.18</v>
      </c>
      <c r="M9" s="71">
        <v>246</v>
      </c>
      <c r="N9" s="71">
        <v>3010</v>
      </c>
      <c r="O9" s="71">
        <v>4739</v>
      </c>
      <c r="P9" s="71">
        <v>8140</v>
      </c>
      <c r="Q9" s="71">
        <v>6666</v>
      </c>
      <c r="R9" s="71">
        <v>7032</v>
      </c>
      <c r="S9" s="71">
        <v>5788</v>
      </c>
      <c r="T9" s="71">
        <v>7162</v>
      </c>
      <c r="U9" s="71">
        <v>5127</v>
      </c>
      <c r="V9" s="71">
        <v>0</v>
      </c>
      <c r="W9" s="71">
        <v>0</v>
      </c>
      <c r="X9" s="71">
        <v>0</v>
      </c>
      <c r="Y9" s="71">
        <v>5826</v>
      </c>
      <c r="Z9" s="71">
        <v>2999</v>
      </c>
      <c r="AA9" s="71">
        <v>6938</v>
      </c>
      <c r="AB9" s="71">
        <v>4618</v>
      </c>
      <c r="AC9" s="71">
        <v>5067</v>
      </c>
      <c r="AD9" s="71">
        <v>4780</v>
      </c>
      <c r="AE9" s="71">
        <v>3664</v>
      </c>
    </row>
    <row r="10" spans="1:99" s="72" customFormat="1" ht="22.2" ph="1">
      <c r="B10" s="193" ph="1"/>
      <c r="C10" s="166" t="s" ph="1">
        <v>178</v>
      </c>
      <c r="D10" s="73" ph="1">
        <f>D9*33.183*LOOKUP(D11,密度!$A$2:$A$50,密度!$Q$2:$Q$50)</f>
        <v>188564.47475580001</v>
      </c>
      <c r="E10" s="73" ph="1">
        <f>E9*51.53*LOOKUP(E11,密度!$A$2:$A$50,密度!$B$2:$B$50)</f>
        <v>86708.428258</v>
      </c>
      <c r="F10" s="73" ph="1">
        <f>F9*33.183*LOOKUP(F11,密度!$A$2:$A$50,密度!$C$2:$C$50)</f>
        <v>210356.19550800003</v>
      </c>
      <c r="G10" s="73" ph="1">
        <f xml:space="preserve"> (G9+2)*51.53*LOOKUP(G11,密度!$A$2:$A$50,密度!$B$2:$B$50)</f>
        <v>234764.20783200001</v>
      </c>
      <c r="H10" s="73" ph="1">
        <f>(H9)*51.53*LOOKUP(H11,密度!$A$2:$A$50,密度!$B$2:$B$50)</f>
        <v>192083.81544199999</v>
      </c>
      <c r="I10" s="73" ph="1">
        <f>I9*290.8*1.0267</f>
        <v>20.8995052</v>
      </c>
      <c r="J10" s="73" ph="1">
        <f>J9*290.8*0.7892</f>
        <v>1500.9258144</v>
      </c>
      <c r="K10" s="73" ph="1">
        <f>K9*290.8*1.1126</f>
        <v>2410.4033960000002</v>
      </c>
      <c r="L10" s="73" ph="1">
        <f>L9*290.8*0.777</f>
        <v>1848.2840880000001</v>
      </c>
      <c r="M10" s="73" ph="1">
        <f>M9*33.183*LOOKUP(M11,密度!$A$2:$A$50,密度!$D$2:$D$50)</f>
        <v>8411.990049</v>
      </c>
      <c r="N10" s="73" ph="1">
        <f>N9*33.183*LOOKUP(N11,密度!$A$2:$A$50,密度!$E$2:$E$50)</f>
        <v>78586.237044000009</v>
      </c>
      <c r="O10" s="73" ph="1">
        <f>O9*20.428*LOOKUP(O11,密度!$A$2:$A$50,密度!$C$2:$C$50)</f>
        <v>107350.7149988</v>
      </c>
      <c r="P10" s="73" ph="1">
        <f>P9*51.53*LOOKUP(P11,密度!$A$2:$A$50,密度!$B$2:$B$50)</f>
        <v>328139.02065999998</v>
      </c>
      <c r="Q10" s="73" ph="1">
        <f>Q9*1.5*1.5*3.1416*LOOKUP(W11,密度!$A$2:$A$50,密度!$L$2:$L$50)</f>
        <v>44292.13034399999</v>
      </c>
      <c r="R10" s="73" ph="1">
        <f>R9*1.5*1.5*3.1416*LOOKUP(R11,密度!$A$2:$A$50,密度!$L$2:$L$50)</f>
        <v>46475.479512000005</v>
      </c>
      <c r="S10" s="73" ph="1">
        <f>S9*1.5*1.5*3.1416*LOOKUP(S11,密度!$A$2:$A$50,密度!$L$2:$L$50)</f>
        <v>38662.838675999999</v>
      </c>
      <c r="T10" s="73" ph="1">
        <f>T9*1.5*1.5*3.1416*LOOKUP(T11,密度!$A$2:$A$50,密度!$L$2:$L$50)</f>
        <v>47840.920973999993</v>
      </c>
      <c r="U10" s="73" ph="1">
        <f>U9*1.5*1.5*3.1416*LOOKUP(U11,密度!$A$2:$A$50,密度!$L$2:$L$50)</f>
        <v>34066.269467999999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38710.763783999995</v>
      </c>
      <c r="Z10" s="73" ph="1">
        <f>Z9*33.183*LOOKUP(Z11,密度!$A$2:$A$50,密度!$L$2:$L$50)</f>
        <v>93942.931247999994</v>
      </c>
      <c r="AA10" s="73" ph="1">
        <f>AA9*33.183*LOOKUP(AA11,密度!$A$2:$A$50,密度!$D$2:$D$50)</f>
        <v>237245.475447</v>
      </c>
      <c r="AB10" s="73" ph="1">
        <f>AB9*20.428*LOOKUP(AB11,密度!$A$2:$A$50,密度!$D$2:$D$50)</f>
        <v>97864.689249600007</v>
      </c>
      <c r="AC10" s="73" ph="1">
        <f>AC9*51.53*LOOKUP(AC11,密度!$A$2:$A$50,密度!$Q$2:$Q$50)</f>
        <v>247809.7812159</v>
      </c>
      <c r="AD10" s="73" ph="1">
        <f>AD9*20.428*LOOKUP(AD11,密度!$A$2:$A$50,密度!$V$2:$V$50)</f>
        <v>94130.589760000003</v>
      </c>
      <c r="AE10" s="73" ph="1">
        <f>AE9*20.428</f>
        <v>74848.19200000001</v>
      </c>
    </row>
    <row r="11" spans="1:99" ph="1">
      <c r="A11" s="64" t="s" ph="1">
        <v>162</v>
      </c>
      <c r="B11" s="193" ph="1"/>
      <c r="C11" s="166" t="s" ph="1">
        <v>179</v>
      </c>
      <c r="D11" s="74">
        <v>23</v>
      </c>
      <c r="E11" s="74">
        <v>20</v>
      </c>
      <c r="F11" s="74">
        <v>17</v>
      </c>
      <c r="G11" s="74">
        <v>21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22</v>
      </c>
      <c r="O11" s="74">
        <v>25</v>
      </c>
      <c r="P11" s="74">
        <v>22</v>
      </c>
      <c r="Q11" s="74">
        <v>22</v>
      </c>
      <c r="R11" s="74">
        <v>27</v>
      </c>
      <c r="S11" s="74">
        <v>17</v>
      </c>
      <c r="T11" s="74">
        <v>17</v>
      </c>
      <c r="U11" s="74">
        <v>22</v>
      </c>
      <c r="V11" s="74">
        <v>27</v>
      </c>
      <c r="W11" s="74">
        <v>22</v>
      </c>
      <c r="X11" s="74">
        <v>17</v>
      </c>
      <c r="Y11" s="74">
        <v>22</v>
      </c>
      <c r="Z11" s="74">
        <v>18</v>
      </c>
      <c r="AA11" s="74">
        <v>21</v>
      </c>
      <c r="AB11" s="74">
        <v>13</v>
      </c>
      <c r="AC11" s="74">
        <v>22</v>
      </c>
      <c r="AD11" s="74">
        <v>20</v>
      </c>
      <c r="AE11" s="74">
        <v>24</v>
      </c>
    </row>
    <row r="12" spans="1:99" ht="9.9" customHeight="1" ph="1"/>
    <row r="13" spans="1:99" s="72" customFormat="1" ht="29.25" customHeight="1" ph="1">
      <c r="B13" s="201" t="s" ph="1">
        <v>37</v>
      </c>
      <c r="C13" s="16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66" t="s" ph="1">
        <v>177</v>
      </c>
      <c r="D15" s="78">
        <v>4686</v>
      </c>
      <c r="E15" s="78">
        <v>73</v>
      </c>
      <c r="F15" s="78">
        <v>4072</v>
      </c>
      <c r="G15" s="78">
        <v>675</v>
      </c>
      <c r="H15" s="78">
        <v>0</v>
      </c>
      <c r="I15" s="78">
        <v>5227</v>
      </c>
      <c r="J15" s="78">
        <v>5511</v>
      </c>
      <c r="K15" s="78">
        <v>3581</v>
      </c>
      <c r="L15" s="78">
        <v>1344</v>
      </c>
      <c r="M15" s="78">
        <v>7078</v>
      </c>
      <c r="N15" s="78">
        <v>3877</v>
      </c>
      <c r="O15" s="78">
        <v>4446</v>
      </c>
      <c r="P15" s="78">
        <v>5217</v>
      </c>
      <c r="Q15" s="78">
        <v>6942</v>
      </c>
      <c r="R15" s="78">
        <v>7393</v>
      </c>
      <c r="S15" s="78">
        <v>21</v>
      </c>
      <c r="T15" s="78">
        <v>4772</v>
      </c>
      <c r="U15" s="78">
        <v>2565</v>
      </c>
      <c r="V15" s="78">
        <v>4980</v>
      </c>
      <c r="W15" s="71">
        <v>-170</v>
      </c>
      <c r="X15" s="78">
        <v>98</v>
      </c>
      <c r="Y15" s="106">
        <v>-9900</v>
      </c>
      <c r="Z15" s="78">
        <v>0</v>
      </c>
      <c r="AA15" s="78">
        <v>11</v>
      </c>
      <c r="AB15" s="78" ph="1">
        <v>6963</v>
      </c>
      <c r="AC15" s="78" ph="1">
        <v>2147</v>
      </c>
      <c r="AD15" s="78">
        <v>5.47</v>
      </c>
      <c r="AE15" s="78">
        <v>46.41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66" t="s" ph="1">
        <v>178</v>
      </c>
      <c r="D16" s="73" ph="1">
        <f>D15*7.0686*LOOKUP(D17,密度!$A$2:$A$50,密度!$L$2:$L$50)</f>
        <v>31202.298943199999</v>
      </c>
      <c r="E16" s="73" ph="1">
        <f>E15*7.0686*LOOKUP(E17,密度!$A$2:$A$50,密度!$L$2:$L$50)</f>
        <v>486.07934759999995</v>
      </c>
      <c r="F16" s="73" ph="1">
        <f>F15*9.0746*LOOKUP(F17,密度!$A$2:$A$50,密度!$L$2:$L$50)</f>
        <v>34734.664927999998</v>
      </c>
      <c r="G16" s="73" ph="1">
        <f>G15*9.0746*LOOKUP(G17,密度!$A$2:$A$50,密度!$B$2:$B$50)</f>
        <v>4802.8908555000007</v>
      </c>
      <c r="H16" s="73" ph="1">
        <f>H15*9.0746*LOOKUP(H17,密度!$A$2:$A$50,密度!$L$2:$L$50)</f>
        <v>0</v>
      </c>
      <c r="I16" s="73" ph="1">
        <f>I15*9.0746*LOOKUP(I17,密度!$A$2:$A$50,密度!$U$2:$U$50)</f>
        <v>48761.056357600006</v>
      </c>
      <c r="J16" s="73" ph="1">
        <f>J15*9.0746*LOOKUP(J17,密度!$A$2:$A$50,密度!$L$2:$L$50)</f>
        <v>47109.533605199998</v>
      </c>
      <c r="K16" s="73" ph="1">
        <f>K15*9.0746*LOOKUP(K17,密度!$A$2:$A$50,密度!$C$2:$C$50)</f>
        <v>36155.208256760001</v>
      </c>
      <c r="L16" s="73" ph="1">
        <f>L15*9.0746*LOOKUP(L17,密度!$A$2:$A$50,密度!$E$2:$E$50)</f>
        <v>9610.6547711999992</v>
      </c>
      <c r="M16" s="73" ph="1">
        <f>M15*9.0746*LOOKUP(M17,密度!$A$2:$A$50,密度!$M$2:$M$50)</f>
        <v>56464.60952708</v>
      </c>
      <c r="N16" s="73" ph="1">
        <f>N15*9.0746*LOOKUP(N17,密度!$A$2:$A$50,密度!$M$2:$M$50)</f>
        <v>30970.911963260001</v>
      </c>
      <c r="O16" s="73" ph="1">
        <f>O15*9.0746*LOOKUP(O17,密度!$A$2:$A$50,密度!$G$2:$G$50)</f>
        <v>38929.538526839999</v>
      </c>
      <c r="P16" s="73" ph="1">
        <f ca="1">P15*9.0746*LOOKUP(P17,密度!$A$2:$A$51,密度!$Q$2:$Q$50)</f>
        <v>44960.402711658004</v>
      </c>
      <c r="Q16" s="73" ph="1">
        <f>Q15*9.0746*LOOKUP(Q17,密度!$A$2:$A$50,密度!$Q$2:$Q$50)</f>
        <v>59870.017971816</v>
      </c>
      <c r="R16" s="73" ph="1">
        <f>MAX(R15*9.0746*LOOKUP(R17,密度!$A$2:$A$50,密度!$B$2:$B$50),0)</f>
        <v>52543.72714096</v>
      </c>
      <c r="S16" s="73" ph="1">
        <f>S15*9.0746*LOOKUP(S17,密度!$A$2:$A$50,密度!$Q$2:$Q$50)</f>
        <v>181.110685308</v>
      </c>
      <c r="T16" s="73" ph="1">
        <f>T15*9.0746*LOOKUP(T17,密度!$A$2:$A$50,密度!$O$2:$O$50)</f>
        <v>40272.711816000003</v>
      </c>
      <c r="U16" s="73" ph="1">
        <f>U15*9.0746*LOOKUP(U17,密度!$A$2:$A$50,密度!$H$2:$H$50)</f>
        <v>21407.258175300001</v>
      </c>
      <c r="V16" s="73" ph="1">
        <f>MAX(5600*LOOKUP(V17,密度!$A$2:$A$50,密度!$Q$2:$Q$50)+V15*9.0476*LOOKUP(V17,密度!$A$2:$A$50,密度!$Q$2:$Q$50),0)</f>
        <v>48078.097686319998</v>
      </c>
      <c r="W16" s="73" ph="1">
        <f>MAX(5600*LOOKUP(W17,密度!$A$2:$A$50,密度!$Q$2:$Q$50)+W15*9.0476*LOOKUP(W17,密度!$A$2:$A$50,密度!$Q$2:$Q$50),0)</f>
        <v>3855.1162637199996</v>
      </c>
      <c r="X16" s="73" ph="1">
        <f>MAX(5600*LOOKUP(X17,密度!$A$2:$A$50,密度!$I$2:$I$50)+X15*9.0476*LOOKUP(X17,密度!$A$2:$A$50,密度!$I$2:$I$50),0)</f>
        <v>6739.6447271999996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78.429045419999994</v>
      </c>
      <c r="AB16" s="73" ph="1">
        <f>AB15*9.0746*LOOKUP(AB17,密度!$A$2:$A$50,密度!$L$2:$L$50)</f>
        <v>59458.439851799994</v>
      </c>
      <c r="AC16" s="73" ph="1">
        <f>AC15*9.0746*LOOKUP(AC17,密度!$A$2:$A$50,密度!$L$2:$L$50)</f>
        <v>18392.108892799999</v>
      </c>
      <c r="AD16" s="73" ph="1">
        <f>AD15*268.68*LOOKUP(AD17,密度!$A$2:$A$50,密度!B2:B50)+IF(AD15&lt;=0,0,1566*LOOKUP(AD17,密度!$A$2:$A$50,密度!B2:B50))</f>
        <v>2366.6158161599997</v>
      </c>
      <c r="AE16" s="73" ph="1">
        <f>AE15*268.68*LOOKUP(AE17,密度!$A$2:$A$50,密度!B2:B50)+IF(AE15&lt;=0,0,1566*LOOKUP(AE17,密度!$A$2:$A$50,密度!B2:B50))</f>
        <v>10942.028088479999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20</v>
      </c>
      <c r="E17" s="74">
        <v>20</v>
      </c>
      <c r="F17" s="74">
        <v>22</v>
      </c>
      <c r="G17" s="74">
        <v>20</v>
      </c>
      <c r="H17" s="74">
        <v>18</v>
      </c>
      <c r="I17" s="74">
        <v>19</v>
      </c>
      <c r="J17" s="74">
        <v>20</v>
      </c>
      <c r="K17" s="74">
        <v>20</v>
      </c>
      <c r="L17" s="74">
        <v>21</v>
      </c>
      <c r="M17" s="74">
        <v>21</v>
      </c>
      <c r="N17" s="74">
        <v>20</v>
      </c>
      <c r="O17" s="74">
        <v>21</v>
      </c>
      <c r="P17" s="74">
        <v>21</v>
      </c>
      <c r="Q17" s="74">
        <v>20</v>
      </c>
      <c r="R17" s="74">
        <v>21</v>
      </c>
      <c r="S17" s="74">
        <v>20</v>
      </c>
      <c r="T17" s="74">
        <v>21</v>
      </c>
      <c r="U17" s="74">
        <v>20</v>
      </c>
      <c r="V17" s="74">
        <v>22</v>
      </c>
      <c r="W17" s="74">
        <v>22</v>
      </c>
      <c r="X17" s="74">
        <v>28</v>
      </c>
      <c r="Y17" s="108">
        <v>28</v>
      </c>
      <c r="Z17" s="74">
        <v>20</v>
      </c>
      <c r="AA17" s="74">
        <v>18</v>
      </c>
      <c r="AB17" s="74">
        <v>21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2520</v>
      </c>
      <c r="E18" s="71">
        <v>73</v>
      </c>
      <c r="F18" s="71">
        <v>4071</v>
      </c>
      <c r="G18" s="71">
        <v>2370</v>
      </c>
      <c r="H18" s="71">
        <v>0</v>
      </c>
      <c r="I18" s="71">
        <v>5230</v>
      </c>
      <c r="J18" s="71">
        <v>5516</v>
      </c>
      <c r="K18" s="71">
        <v>3582</v>
      </c>
      <c r="L18" s="71">
        <v>1345</v>
      </c>
      <c r="M18" s="71">
        <v>7085</v>
      </c>
      <c r="N18" s="71">
        <v>3880</v>
      </c>
      <c r="O18" s="71">
        <v>4449</v>
      </c>
      <c r="P18" s="71">
        <v>5220</v>
      </c>
      <c r="Q18" s="71">
        <v>6946</v>
      </c>
      <c r="R18" s="71">
        <v>7396</v>
      </c>
      <c r="S18" s="71">
        <v>67</v>
      </c>
      <c r="T18" s="71">
        <v>4308</v>
      </c>
      <c r="U18" s="71">
        <v>2566</v>
      </c>
      <c r="V18" s="71">
        <v>4980</v>
      </c>
      <c r="W18" s="71">
        <v>-170</v>
      </c>
      <c r="X18" s="71">
        <v>98</v>
      </c>
      <c r="Y18" s="109">
        <v>-9900</v>
      </c>
      <c r="Z18" s="71">
        <v>0</v>
      </c>
      <c r="AA18" s="71">
        <v>9</v>
      </c>
      <c r="AB18" s="71">
        <v>6968</v>
      </c>
      <c r="AC18" s="71">
        <v>2147</v>
      </c>
      <c r="AD18" s="71">
        <v>18.41</v>
      </c>
      <c r="AE18" s="71">
        <v>84.19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66" t="s" ph="1">
        <v>178</v>
      </c>
      <c r="D19" s="73" ph="1">
        <f>D18*7.0686*LOOKUP(D20,密度!$A$2:$A$50,密度!$L$2:$L$50)</f>
        <v>16744.099679999999</v>
      </c>
      <c r="E19" s="73" ph="1">
        <f>E18*7.0686*LOOKUP(E20,密度!$A$2:$A$50,密度!$L$2:$L$50)</f>
        <v>485.04733199999993</v>
      </c>
      <c r="F19" s="73" ph="1">
        <f>F18*9.0746*LOOKUP(F20,密度!$A$2:$A$50,密度!$L$2:$L$50)</f>
        <v>34541.421321000002</v>
      </c>
      <c r="G19" s="73" ph="1">
        <f>G18*9.0746*LOOKUP(G20,密度!$A$2:$A$50,密度!$B$2:$B$50)</f>
        <v>16824.771204599998</v>
      </c>
      <c r="H19" s="73" ph="1">
        <f>H18*9.0746*LOOKUP(H20,密度!$A$2:$A$50,密度!$L$2:$L$50)</f>
        <v>0</v>
      </c>
      <c r="I19" s="73" ph="1">
        <f>I18*9.0746*LOOKUP(I20,密度!$A$2:$A$50,密度!$U$2:$U$50)</f>
        <v>48789.042424000007</v>
      </c>
      <c r="J19" s="73" ph="1">
        <f>J18*9.0746*LOOKUP(J20,密度!$A$2:$A$50,密度!$L$2:$L$50)</f>
        <v>47002.108490400002</v>
      </c>
      <c r="K19" s="73" ph="1">
        <f>K18*9.0746*LOOKUP(K20,密度!$A$2:$A$50,密度!$C$2:$C$50)</f>
        <v>36116.546830920001</v>
      </c>
      <c r="L19" s="73" ph="1">
        <f>L18*9.0746*LOOKUP(L20,密度!$A$2:$A$50,密度!$E$2:$E$50)</f>
        <v>9588.5127471999986</v>
      </c>
      <c r="M19" s="73" ph="1">
        <f>M18*9.0746*LOOKUP(M20,密度!$A$2:$A$50,密度!$M$2:$M$50)</f>
        <v>56314.712561900007</v>
      </c>
      <c r="N19" s="73" ph="1">
        <f>N18*9.0746*LOOKUP(N20,密度!$A$2:$A$50,密度!$M$2:$M$50)</f>
        <v>30952.625736800004</v>
      </c>
      <c r="O19" s="73" ph="1">
        <f>O18*9.0746*LOOKUP(O20,密度!$A$2:$A$50,密度!$G$2:$G$50)</f>
        <v>38846.799953880007</v>
      </c>
      <c r="P19" s="73" ph="1">
        <f ca="1">P18*9.0746*LOOKUP(P20,密度!$A$2:$A$51,密度!$Q$2:$Q$50)</f>
        <v>44915.676458400005</v>
      </c>
      <c r="Q19" s="73" ph="1">
        <f>Q18*9.0746*LOOKUP(Q20,密度!$A$2:$A$50,密度!$Q$2:$Q$50)</f>
        <v>59823.203743844002</v>
      </c>
      <c r="R19" s="73" ph="1">
        <f>MAX(R18*9.0746*LOOKUP(R20,密度!$A$2:$A$50,密度!$B$2:$B$50),0)</f>
        <v>52383.836318800008</v>
      </c>
      <c r="S19" s="73" ph="1">
        <f>S18*9.0746*LOOKUP(S20,密度!$A$2:$A$50,密度!$Q$2:$Q$50)</f>
        <v>576.50389324000002</v>
      </c>
      <c r="T19" s="73" ph="1">
        <f>T18*9.0746*LOOKUP(T20,密度!$A$2:$A$50,密度!$O$2:$O$50)</f>
        <v>36356.840424000002</v>
      </c>
      <c r="U19" s="73" ph="1">
        <f>U18*9.0746*LOOKUP(U20,密度!$A$2:$A$50,密度!$H$2:$H$50)</f>
        <v>21438.889508520002</v>
      </c>
      <c r="V19" s="73" ph="1">
        <f>MAX(5600*LOOKUP(V20,密度!$A$2:$A$50,密度!$Q$2:$Q$50)+V18*9.0476*LOOKUP(V20,密度!$A$2:$A$50,密度!$Q$2:$Q$50),0)</f>
        <v>47959.053623519998</v>
      </c>
      <c r="W19" s="73" ph="1">
        <f>MAX(5600*LOOKUP(W20,密度!$A$2:$A$50,密度!$Q$2:$Q$50)+W18*9.0476*LOOKUP(W20,密度!$A$2:$A$50,密度!$Q$2:$Q$50),0)</f>
        <v>3848.5359727600007</v>
      </c>
      <c r="X19" s="73" ph="1">
        <f>MAX(5600*LOOKUP(X20,密度!$A$2:$A$50,密度!$I$2:$I$50)+X18*9.0476*LOOKUP(X20,密度!$A$2:$A$50,密度!$I$2:$I$50),0)</f>
        <v>6731.8607294399999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64.038544740000006</v>
      </c>
      <c r="AB19" s="73" ph="1">
        <f>AB18*9.0746*LOOKUP(AB20,密度!$A$2:$A$50,密度!$L$2:$L$50)</f>
        <v>59437.904031999999</v>
      </c>
      <c r="AC19" s="73" ph="1">
        <f>AC18*9.0746*LOOKUP(AC20,密度!$A$2:$A$50,密度!$L$2:$L$50)</f>
        <v>18353.1425604</v>
      </c>
      <c r="AD19" s="73" ph="1">
        <f>AD18*268.68*LOOKUP(AD20,密度!$A$2:$A$50,密度!B5:B53)+IF(AD18&lt;=0,0,1566*LOOKUP(AD20,密度!$A$2:$A$50,密度!B5:B53))</f>
        <v>5060.1338675999996</v>
      </c>
      <c r="AE19" s="73" ph="1">
        <f>AE18*268.68*LOOKUP(AE20,密度!$A$2:$A$50,密度!B5:B53)+IF(AE18&lt;=0,0,1566*LOOKUP(AE20,密度!$A$2:$A$50,密度!B5:B53))</f>
        <v>18792.6534684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22</v>
      </c>
      <c r="E20" s="81">
        <v>22</v>
      </c>
      <c r="F20" s="81">
        <v>27</v>
      </c>
      <c r="G20" s="81">
        <v>22</v>
      </c>
      <c r="H20" s="81">
        <v>20</v>
      </c>
      <c r="I20" s="81">
        <v>22</v>
      </c>
      <c r="J20" s="81">
        <v>23</v>
      </c>
      <c r="K20" s="81">
        <v>22</v>
      </c>
      <c r="L20" s="81">
        <v>23</v>
      </c>
      <c r="M20" s="81">
        <v>24</v>
      </c>
      <c r="N20" s="81">
        <v>21</v>
      </c>
      <c r="O20" s="81">
        <v>23</v>
      </c>
      <c r="P20" s="81">
        <v>23</v>
      </c>
      <c r="Q20" s="81">
        <v>22</v>
      </c>
      <c r="R20" s="81">
        <v>24</v>
      </c>
      <c r="S20" s="81">
        <v>23</v>
      </c>
      <c r="T20" s="81">
        <v>23</v>
      </c>
      <c r="U20" s="81">
        <v>19</v>
      </c>
      <c r="V20" s="81">
        <v>25</v>
      </c>
      <c r="W20" s="81">
        <v>24</v>
      </c>
      <c r="X20" s="81">
        <v>29</v>
      </c>
      <c r="Y20" s="110">
        <v>29</v>
      </c>
      <c r="Z20" s="81">
        <v>22</v>
      </c>
      <c r="AA20" s="81">
        <v>20</v>
      </c>
      <c r="AB20" s="81">
        <v>22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648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66" t="s" ph="1">
        <v>177</v>
      </c>
      <c r="D24" s="71">
        <v>34.950000000000003</v>
      </c>
      <c r="E24" s="71">
        <v>3.31</v>
      </c>
      <c r="F24" s="71">
        <v>567</v>
      </c>
      <c r="G24" s="71">
        <v>3746</v>
      </c>
      <c r="H24" s="71">
        <v>3179</v>
      </c>
      <c r="I24" s="71">
        <v>2391</v>
      </c>
      <c r="J24" s="71">
        <v>4149</v>
      </c>
      <c r="K24" s="71">
        <v>4876</v>
      </c>
      <c r="L24" s="71">
        <v>4388</v>
      </c>
      <c r="M24" s="71">
        <v>2641</v>
      </c>
      <c r="N24" s="71">
        <v>2852</v>
      </c>
      <c r="O24" s="71">
        <v>5726</v>
      </c>
      <c r="P24" s="71">
        <v>356</v>
      </c>
      <c r="Q24" s="90">
        <v>2693</v>
      </c>
      <c r="R24" s="71">
        <v>2514</v>
      </c>
      <c r="S24" s="71">
        <v>117</v>
      </c>
      <c r="T24" s="71">
        <v>215</v>
      </c>
      <c r="U24" s="71">
        <v>4034</v>
      </c>
      <c r="V24" s="71">
        <v>60</v>
      </c>
      <c r="W24" s="71">
        <v>2297</v>
      </c>
      <c r="X24" s="71">
        <v>9120</v>
      </c>
      <c r="Y24" s="71">
        <v>6124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10372.829946840002</v>
      </c>
      <c r="E25" s="91" ph="1">
        <f>E24*268.68*LOOKUP(E26,密度!$A$2:$A$50,密度!$C$2:$C$50)+IF(E24&lt;=0,0,1566*LOOKUP(E26,密度!$A$2:$A$50,密度!$C$2:$C$50))</f>
        <v>2722.7163241200001</v>
      </c>
      <c r="F25" s="91" ph="1">
        <f>F24*11.702*LOOKUP(F26,密度!$A$2:$A$50,密度!$Q$2:$Q$50)</f>
        <v>6297.2444190599999</v>
      </c>
      <c r="G25" s="91" ph="1">
        <f>G24*18.322*LOOKUP(G26,密度!$A$2:$A$50,密度!$B$2:$B$50)</f>
        <v>53630.773256799999</v>
      </c>
      <c r="H25" s="91" ph="1">
        <f>H24*18.322*LOOKUP(H26,密度!$A$2:$A$50,密度!$B$2:$B$50)</f>
        <v>45565.562607399996</v>
      </c>
      <c r="I25" s="91" ph="1">
        <f>I24*18.322*LOOKUP(I26,密度!$A$2:$A$50,密度!$Q$2:$Q$50)</f>
        <v>41538.652676399994</v>
      </c>
      <c r="J25" s="91" ph="1">
        <f>J24*18.322*LOOKUP(J26,密度!$A$2:$A$50,密度!$Q$2:$Q$50)</f>
        <v>72147.902740019999</v>
      </c>
      <c r="K25" s="91" ph="1">
        <f>K24*18.322*LOOKUP(K26,密度!$A$2:$A$50,密度!$Q$2:$Q$50)</f>
        <v>84789.870754479998</v>
      </c>
      <c r="L25" s="91" ph="1">
        <f>L24*18.322*LOOKUP(L26,密度!$A$2:$A$50,密度!$Q$2:$Q$50)</f>
        <v>76232.3747152</v>
      </c>
      <c r="M25" s="91" ph="1">
        <f>M24*18.322*LOOKUP(M26,密度!$A$2:$A$50,密度!$Q$2:$Q$50)</f>
        <v>45924.948454179997</v>
      </c>
      <c r="N25" s="91" ph="1">
        <f>N24*18.322*LOOKUP(N26,密度!$A$2:$A$50,密度!$Q$2:$Q$50)</f>
        <v>49547.568980800002</v>
      </c>
      <c r="O25" s="91" ph="1">
        <f>O24*18.322*LOOKUP(O26,密度!$A$2:$A$50,密度!$C$2:$C$50)</f>
        <v>116567.46986919999</v>
      </c>
      <c r="P25" s="91" ph="1">
        <f>P24*11.702*LOOKUP(P26,密度!$A$2:$A$50,密度!$B$2:$B$50)</f>
        <v>3258.9929576000004</v>
      </c>
      <c r="Q25" s="92" ph="1">
        <f>Q24*18.322*LOOKUP(Q26,密度!$A$2:$A$50,密度!$B$2:$B$50)</f>
        <v>38555.171484400002</v>
      </c>
      <c r="R25" s="91" ph="1">
        <f>R24*35.891*LOOKUP(R26,密度!$A$2:$A$50,密度!$C$2:$C$50)</f>
        <v>100191.36312960001</v>
      </c>
      <c r="S25" s="91" ph="1">
        <f>S24*35.891*LOOKUP(S26,密度!$A$2:$A$50,密度!$B$2:$B$50)</f>
        <v>3281.2916057999996</v>
      </c>
      <c r="T25" s="91" ph="1">
        <f>T24*35.891*LOOKUP(T26,密度!$A$2:$A$50,密度!$Q$2:$Q$50)</f>
        <v>7323.7146758499994</v>
      </c>
      <c r="U25" s="91" ph="1">
        <f>U24*35.891</f>
        <v>144784.29399999999</v>
      </c>
      <c r="V25" s="91" ph="1">
        <f>V24*47.051*LOOKUP(V26,密度!$A$2:$A$50,密度!$B$2:$B$50)</f>
        <v>2208.4798379999997</v>
      </c>
      <c r="W25" s="91" ph="1">
        <f>W24*47.051*LOOKUP(W26,密度!$A$2:$A$50,密度!$B$2:$B$50)</f>
        <v>84450.701265800002</v>
      </c>
      <c r="X25" s="91" ph="1">
        <f>X24*47.051*LOOKUP(X26,密度!$A$2:$A$61,密度!$I$2:$I$61)</f>
        <v>437644.311888</v>
      </c>
      <c r="Y25" s="91" ph="1">
        <f>Y24*47.051*LOOKUP(Y26,密度!$A$2:$A$50,密度!$L$2:$L$50)</f>
        <v>270851.90456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23</v>
      </c>
      <c r="J26" s="74">
        <v>22</v>
      </c>
      <c r="K26" s="74">
        <v>22</v>
      </c>
      <c r="L26" s="74">
        <v>23</v>
      </c>
      <c r="M26" s="74">
        <v>22</v>
      </c>
      <c r="N26" s="74">
        <v>23</v>
      </c>
      <c r="O26" s="74">
        <v>22</v>
      </c>
      <c r="P26" s="74">
        <v>22</v>
      </c>
      <c r="Q26" s="93">
        <v>23</v>
      </c>
      <c r="R26" s="74">
        <v>23</v>
      </c>
      <c r="S26" s="74">
        <v>23</v>
      </c>
      <c r="T26" s="74">
        <v>22</v>
      </c>
      <c r="U26" s="74">
        <v>23</v>
      </c>
      <c r="V26" s="74">
        <v>22</v>
      </c>
      <c r="W26" s="74">
        <v>23</v>
      </c>
      <c r="X26" s="74">
        <v>45</v>
      </c>
      <c r="Y26" s="74">
        <v>22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66" t="s" ph="1">
        <v>180</v>
      </c>
      <c r="D27" s="71">
        <v>75.38</v>
      </c>
      <c r="E27" s="71">
        <v>59.71</v>
      </c>
      <c r="F27" s="71">
        <v>566</v>
      </c>
      <c r="G27" s="71">
        <v>3109</v>
      </c>
      <c r="H27" s="71">
        <v>2759</v>
      </c>
      <c r="I27" s="71">
        <v>2392</v>
      </c>
      <c r="J27" s="71">
        <v>3570</v>
      </c>
      <c r="K27" s="71">
        <v>4877</v>
      </c>
      <c r="L27" s="71">
        <v>4388</v>
      </c>
      <c r="M27" s="71">
        <v>2641</v>
      </c>
      <c r="N27" s="71">
        <v>2852</v>
      </c>
      <c r="O27" s="71">
        <v>5726</v>
      </c>
      <c r="P27" s="71">
        <v>353</v>
      </c>
      <c r="Q27" s="90">
        <v>2996</v>
      </c>
      <c r="R27" s="71">
        <v>2004</v>
      </c>
      <c r="S27" s="71">
        <v>53</v>
      </c>
      <c r="T27" s="71">
        <v>214</v>
      </c>
      <c r="U27" s="71">
        <v>3930</v>
      </c>
      <c r="V27" s="71">
        <v>732</v>
      </c>
      <c r="W27" s="71">
        <v>2050</v>
      </c>
      <c r="X27" s="71">
        <v>9119</v>
      </c>
      <c r="Y27" s="71">
        <v>6624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66" t="s" ph="1">
        <v>178</v>
      </c>
      <c r="D28" s="91" ph="1">
        <f>D27*268.68*LOOKUP(D29,密度!$A$2:$A$50,密度!$Q$2:$Q$50)+IF(D27&lt;=0,0,1566*LOOKUP(D29,密度!$A$2:$A$50,密度!$Q$2:$Q$50))</f>
        <v>20657.013219216002</v>
      </c>
      <c r="E28" s="91" ph="1">
        <f>E27*268.68*LOOKUP(E29,密度!$A$2:$A$50,密度!$C$2:$C$50)+IF(E27&lt;=0,0,1566*LOOKUP(E29,密度!$A$2:$A$50,密度!$C$2:$C$50))</f>
        <v>19526.490136920002</v>
      </c>
      <c r="F28" s="91" ph="1">
        <f>F27*11.702*LOOKUP(F29,密度!$A$2:$A$50,密度!$Q$2:$Q$50)</f>
        <v>6305.4782973200008</v>
      </c>
      <c r="G28" s="91" ph="1">
        <f>G27*18.322*LOOKUP(G29,密度!$A$2:$A$50,密度!$B$2:$B$50)</f>
        <v>44562.231565399998</v>
      </c>
      <c r="H28" s="91" ph="1">
        <f>H27*18.322*LOOKUP(H29,密度!$A$2:$A$50,密度!$B$2:$B$50)</f>
        <v>39545.5763554</v>
      </c>
      <c r="I28" s="91" ph="1">
        <f>I27*18.322*LOOKUP(I29,密度!$A$2:$A$50,密度!$Q$2:$Q$50)</f>
        <v>41723.003510239992</v>
      </c>
      <c r="J28" s="91" ph="1">
        <f>J27*18.322*LOOKUP(J29,密度!$A$2:$A$50,密度!$Q$2:$Q$50)</f>
        <v>62079.540318599997</v>
      </c>
      <c r="K28" s="91" ph="1">
        <f>K27*18.322*LOOKUP(K29,密度!$A$2:$A$50,密度!$Q$2:$Q$50)</f>
        <v>84922.529729720001</v>
      </c>
      <c r="L28" s="91" ph="1">
        <f>L27*18.322*LOOKUP(L29,密度!$A$2:$A$50,密度!$Q$2:$Q$50)</f>
        <v>76475.97743128</v>
      </c>
      <c r="M28" s="91" ph="1">
        <f>M27*18.322*LOOKUP(M29,密度!$A$2:$A$50,密度!$Q$2:$Q$50)</f>
        <v>45987.369492759994</v>
      </c>
      <c r="N28" s="91" ph="1">
        <f>N27*18.322*LOOKUP(N29,密度!$A$2:$A$50,密度!$Q$2:$Q$50)</f>
        <v>49625.427953359998</v>
      </c>
      <c r="O28" s="91" ph="1">
        <f>O27*18.322*LOOKUP(O29,密度!$A$2:$A$50,密度!$C$2:$C$50)</f>
        <v>116924.16989400001</v>
      </c>
      <c r="P28" s="91" ph="1">
        <f>P27*11.702*LOOKUP(P29,密度!$A$2:$A$50,密度!$B$2:$B$50)</f>
        <v>3235.2472591999999</v>
      </c>
      <c r="Q28" s="92" ph="1">
        <f>Q27*18.322*LOOKUP(Q29,密度!$A$2:$A$50,密度!$B$2:$B$50)</f>
        <v>42942.568597600002</v>
      </c>
      <c r="R28" s="91" ph="1">
        <f>R27*35.891*LOOKUP(R29,密度!$A$2:$A$50,密度!$C$2:$C$50)</f>
        <v>80067.537844799997</v>
      </c>
      <c r="S28" s="91" ph="1">
        <f>S27*35.891*LOOKUP(S29,密度!$A$2:$A$50,密度!$B$2:$B$50)</f>
        <v>1491.5330543</v>
      </c>
      <c r="T28" s="91" ph="1">
        <f>T27*35.891*LOOKUP(T29,密度!$A$2:$A$50,密度!$Q$2:$Q$50)</f>
        <v>7299.5589561200004</v>
      </c>
      <c r="U28" s="91" ph="1">
        <f>U27*35.891</f>
        <v>141051.63</v>
      </c>
      <c r="V28" s="91" ph="1">
        <f>V27*47.051*LOOKUP(V29,密度!$A$2:$A$50,密度!$B$2:$B$50)</f>
        <v>27112.2165504</v>
      </c>
      <c r="W28" s="91" ph="1">
        <f>W27*47.051*LOOKUP(W29,密度!$A$2:$A$50,密度!$B$2:$B$50)</f>
        <v>75784.339934999996</v>
      </c>
      <c r="X28" s="91" ph="1">
        <f>X27*47.051*LOOKUP(X29,密度!$A$2:$A$61,密度!$I$2:$I$61)</f>
        <v>438068.28844899999</v>
      </c>
      <c r="Y28" s="91" ph="1">
        <f>Y27*47.051*LOOKUP(Y29,密度!$A$2:$A$50,密度!$L$2:$L$50)</f>
        <v>292342.54291199998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66" t="s" ph="1">
        <v>179</v>
      </c>
      <c r="D29" s="74">
        <v>25</v>
      </c>
      <c r="E29" s="74">
        <v>25</v>
      </c>
      <c r="F29" s="74">
        <v>18</v>
      </c>
      <c r="G29" s="74">
        <v>22</v>
      </c>
      <c r="H29" s="74">
        <v>22</v>
      </c>
      <c r="I29" s="74">
        <v>18</v>
      </c>
      <c r="J29" s="74">
        <v>22</v>
      </c>
      <c r="K29" s="74">
        <v>20</v>
      </c>
      <c r="L29" s="74">
        <v>19</v>
      </c>
      <c r="M29" s="74">
        <v>20</v>
      </c>
      <c r="N29" s="74">
        <v>21</v>
      </c>
      <c r="O29" s="74">
        <v>17</v>
      </c>
      <c r="P29" s="74">
        <v>21</v>
      </c>
      <c r="Q29" s="93">
        <v>22</v>
      </c>
      <c r="R29" s="74">
        <v>19</v>
      </c>
      <c r="S29" s="74">
        <v>20</v>
      </c>
      <c r="T29" s="74">
        <v>20</v>
      </c>
      <c r="U29" s="74">
        <v>18</v>
      </c>
      <c r="V29" s="74">
        <v>16</v>
      </c>
      <c r="W29" s="74">
        <v>18</v>
      </c>
      <c r="X29" s="74">
        <v>44</v>
      </c>
      <c r="Y29" s="74">
        <v>24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335110.1646966</v>
      </c>
      <c r="E33" s="215" ph="1">
        <f>M10+I10</f>
        <v>8432.8895541999991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9" ph="1">
        <f>N19</f>
        <v>30952.625736800004</v>
      </c>
      <c r="H33" s="215" ph="1">
        <f>M19</f>
        <v>56314.712561900007</v>
      </c>
      <c r="I33" s="228" ph="1">
        <v>0</v>
      </c>
      <c r="J33" s="226" ph="1">
        <f>F10+O28</f>
        <v>327280.36540200002</v>
      </c>
      <c r="K33" s="215" ph="1">
        <f>O10+K10+E28+R28</f>
        <v>209355.14637651999</v>
      </c>
      <c r="L33" s="230" ph="1">
        <f>K19</f>
        <v>36116.546830920001</v>
      </c>
      <c r="M33" s="226" ph="1">
        <f>G10+H10+W28+S28+V28+E10+R19+P28+Q28</f>
        <v>716506.19324729987</v>
      </c>
      <c r="N33" s="215" ph="1">
        <f>L10+P10++G28+H28+AD19+AE19</f>
        <v>437947.90000480006</v>
      </c>
      <c r="O33" s="228" ph="1">
        <f>G19</f>
        <v>16824.771204599998</v>
      </c>
      <c r="P33" s="226" ph="1">
        <f>L19</f>
        <v>9588.5127471999986</v>
      </c>
      <c r="Q33" s="215" ph="1">
        <f>J10+N10</f>
        <v>80087.162858400014</v>
      </c>
      <c r="R33" s="228" ph="1">
        <f>BE23</f>
        <v>890</v>
      </c>
      <c r="S33" s="226" ph="1">
        <f>X28</f>
        <v>438068.28844899999</v>
      </c>
      <c r="T33" s="215" ph="1">
        <f>X19</f>
        <v>6731.8607294399999</v>
      </c>
      <c r="U33" s="236" ph="1">
        <f>BE21</f>
        <v>730</v>
      </c>
      <c r="V33" s="247" ph="1">
        <f ca="1">P19+Q19+S19+M28+N28+J28+D10+AC10+D19+E19+H19+J19+O19+V19+W19+K28+L28</f>
        <v>1015666.1300454639</v>
      </c>
      <c r="W33" s="247" ph="1">
        <f>D28+F28+T28+I28</f>
        <v>75985.053982896003</v>
      </c>
      <c r="X33" s="228" ph="1">
        <f>BE29+BE31</f>
        <v>10200</v>
      </c>
      <c r="Y33" s="249" ph="1">
        <f>+Q10+R10+S10+T10+U10+V10+W10+X10+Y10</f>
        <v>250048.40275800001</v>
      </c>
      <c r="Z33" s="234" ph="1">
        <f>T19+U19+Y28+Z10</f>
        <v>444081.20409252</v>
      </c>
      <c r="AA33" s="236" ph="1">
        <f>BE19</f>
        <v>1440</v>
      </c>
      <c r="AB33" s="238" ph="1">
        <f>I19</f>
        <v>48789.042424000007</v>
      </c>
      <c r="AC33" s="240" ph="1">
        <f>AD10+AB19</f>
        <v>153568.49379199999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8" t="s" ph="1">
        <v>185</v>
      </c>
      <c r="AA36" s="168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342</v>
      </c>
      <c r="AI37" s="168" t="s" ph="1">
        <v>209</v>
      </c>
      <c r="AJ37" s="168" t="s" ph="1">
        <v>210</v>
      </c>
      <c r="AK37" s="168" t="s" ph="1">
        <v>211</v>
      </c>
      <c r="AM37" s="168" t="s" ph="1">
        <v>210</v>
      </c>
      <c r="AN37" s="168" t="s" ph="1">
        <v>211</v>
      </c>
      <c r="AO37" s="168" t="s" ph="1">
        <v>212</v>
      </c>
      <c r="AP37" s="168" t="s" ph="1">
        <v>210</v>
      </c>
      <c r="AQ37" s="168" t="s" ph="1">
        <v>211</v>
      </c>
      <c r="AR37" s="168" t="s" ph="1">
        <v>212</v>
      </c>
      <c r="AS37" s="168" t="s" ph="1">
        <v>210</v>
      </c>
      <c r="AT37" s="168" t="s" ph="1">
        <v>211</v>
      </c>
      <c r="AU37" s="168" t="s" ph="1">
        <v>212</v>
      </c>
      <c r="AV37" s="168" t="s" ph="1">
        <v>210</v>
      </c>
      <c r="AW37" s="168" t="s" ph="1">
        <v>211</v>
      </c>
      <c r="AX37" s="168" t="s" ph="1">
        <v>212</v>
      </c>
      <c r="AY37" s="168" t="s" ph="1">
        <v>211</v>
      </c>
      <c r="AZ37" s="168" t="s" ph="1">
        <v>213</v>
      </c>
      <c r="BD37" s="168" t="s" ph="1">
        <v>305</v>
      </c>
      <c r="BE37" s="16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89" priority="100">
      <formula>ABS(D$7-D$10)&gt;=1000</formula>
    </cfRule>
  </conditionalFormatting>
  <conditionalFormatting sqref="E4 E6:E11">
    <cfRule type="expression" dxfId="388" priority="99">
      <formula>ABS(E$7-E$10)&gt;=1000</formula>
    </cfRule>
  </conditionalFormatting>
  <conditionalFormatting sqref="F4:F11">
    <cfRule type="expression" dxfId="387" priority="98">
      <formula>ABS(F$7-F$10)&gt;=1000</formula>
    </cfRule>
  </conditionalFormatting>
  <conditionalFormatting sqref="G4:G11">
    <cfRule type="expression" dxfId="386" priority="97">
      <formula>ABS(G$7-G$10)&gt;=1000</formula>
    </cfRule>
  </conditionalFormatting>
  <conditionalFormatting sqref="H4:H11">
    <cfRule type="expression" dxfId="385" priority="96">
      <formula>ABS(H$7-H$10)&gt;=1000</formula>
    </cfRule>
  </conditionalFormatting>
  <conditionalFormatting sqref="I4:I11">
    <cfRule type="expression" dxfId="384" priority="95">
      <formula>ABS(I$7-I$10)&gt;=1000</formula>
    </cfRule>
  </conditionalFormatting>
  <conditionalFormatting sqref="J4:J11">
    <cfRule type="expression" dxfId="383" priority="94">
      <formula>ABS(J$7-J$10)&gt;=1000</formula>
    </cfRule>
  </conditionalFormatting>
  <conditionalFormatting sqref="K4:K11">
    <cfRule type="expression" dxfId="382" priority="93">
      <formula>ABS(K$7-K$10)&gt;=1000</formula>
    </cfRule>
  </conditionalFormatting>
  <conditionalFormatting sqref="L4:L11">
    <cfRule type="expression" dxfId="381" priority="92">
      <formula>ABS(L$7-L$10)&gt;=1000</formula>
    </cfRule>
  </conditionalFormatting>
  <conditionalFormatting sqref="M4 M6:M11">
    <cfRule type="expression" dxfId="380" priority="91">
      <formula>ABS(M$7-M$10)&gt;=1000</formula>
    </cfRule>
  </conditionalFormatting>
  <conditionalFormatting sqref="N4 N6:N11">
    <cfRule type="expression" dxfId="379" priority="90">
      <formula>ABS(N$7-N$10)&gt;=1000</formula>
    </cfRule>
  </conditionalFormatting>
  <conditionalFormatting sqref="O4 O6:O11">
    <cfRule type="expression" dxfId="378" priority="89">
      <formula>ABS(O$7-O$10)&gt;=1000</formula>
    </cfRule>
  </conditionalFormatting>
  <conditionalFormatting sqref="P4 P6:P11">
    <cfRule type="expression" dxfId="377" priority="88">
      <formula>ABS(P$7-P$10)&gt;=1000</formula>
    </cfRule>
  </conditionalFormatting>
  <conditionalFormatting sqref="Q4:Q11">
    <cfRule type="expression" dxfId="376" priority="87">
      <formula>ABS(Q$7-Q$10)&gt;=1000</formula>
    </cfRule>
  </conditionalFormatting>
  <conditionalFormatting sqref="R4:R11">
    <cfRule type="expression" dxfId="375" priority="86">
      <formula>ABS(R$7-R$10)&gt;=1000</formula>
    </cfRule>
  </conditionalFormatting>
  <conditionalFormatting sqref="S4:S11">
    <cfRule type="expression" dxfId="374" priority="85">
      <formula>ABS(S$7-S$10)&gt;=1000</formula>
    </cfRule>
  </conditionalFormatting>
  <conditionalFormatting sqref="T4:T9 T11">
    <cfRule type="expression" dxfId="373" priority="84">
      <formula>ABS(T$7-T$10)&gt;=1000</formula>
    </cfRule>
  </conditionalFormatting>
  <conditionalFormatting sqref="U4:U9 U11">
    <cfRule type="expression" dxfId="372" priority="83">
      <formula>ABS(U$7-U$10)&gt;=1000</formula>
    </cfRule>
  </conditionalFormatting>
  <conditionalFormatting sqref="V4:V9 V11">
    <cfRule type="expression" dxfId="371" priority="82">
      <formula>ABS(V$7-V$10)&gt;=1000</formula>
    </cfRule>
  </conditionalFormatting>
  <conditionalFormatting sqref="W4:W9 W11">
    <cfRule type="expression" dxfId="370" priority="81">
      <formula>ABS(W$7-W$10)&gt;=1000</formula>
    </cfRule>
  </conditionalFormatting>
  <conditionalFormatting sqref="X4:X9 X11">
    <cfRule type="expression" dxfId="369" priority="80">
      <formula>ABS(X$7-X$10)&gt;=1000</formula>
    </cfRule>
  </conditionalFormatting>
  <conditionalFormatting sqref="Y4:Y9 Y11">
    <cfRule type="expression" dxfId="368" priority="79">
      <formula>ABS(Y$7-Y$10)&gt;=1000</formula>
    </cfRule>
  </conditionalFormatting>
  <conditionalFormatting sqref="Z4:Z11">
    <cfRule type="expression" dxfId="367" priority="78">
      <formula>ABS(Z$7-Z$10)&gt;=1000</formula>
    </cfRule>
  </conditionalFormatting>
  <conditionalFormatting sqref="AA4:AA11">
    <cfRule type="expression" dxfId="366" priority="77">
      <formula>ABS(AA$7-AA$10)&gt;=1000</formula>
    </cfRule>
  </conditionalFormatting>
  <conditionalFormatting sqref="AB4:AB11">
    <cfRule type="expression" dxfId="365" priority="76">
      <formula>ABS(AB$7-AB$10)&gt;=1000</formula>
    </cfRule>
  </conditionalFormatting>
  <conditionalFormatting sqref="AC4 AC6:AC11">
    <cfRule type="expression" dxfId="364" priority="75">
      <formula>ABS(AC$7-AC$10)&gt;=1000</formula>
    </cfRule>
  </conditionalFormatting>
  <conditionalFormatting sqref="AD4 AD6:AD11">
    <cfRule type="expression" dxfId="363" priority="74">
      <formula>ABS(AD$7-AD$10)&gt;=1000</formula>
    </cfRule>
  </conditionalFormatting>
  <conditionalFormatting sqref="AE4 AE6:AE11">
    <cfRule type="expression" dxfId="362" priority="73">
      <formula>ABS(AE$7-AE$10)&gt;=1000</formula>
    </cfRule>
  </conditionalFormatting>
  <conditionalFormatting sqref="D13:D20">
    <cfRule type="expression" dxfId="361" priority="72">
      <formula>ABS(D$16-D$19)&gt;=1000</formula>
    </cfRule>
  </conditionalFormatting>
  <conditionalFormatting sqref="E13:E20">
    <cfRule type="expression" dxfId="360" priority="71">
      <formula>ABS(E$16-E$19)&gt;=1000</formula>
    </cfRule>
  </conditionalFormatting>
  <conditionalFormatting sqref="F13 F15:F20">
    <cfRule type="expression" dxfId="359" priority="70">
      <formula>ABS(F$16-F$19)&gt;=1000</formula>
    </cfRule>
  </conditionalFormatting>
  <conditionalFormatting sqref="G13:G20">
    <cfRule type="expression" dxfId="358" priority="69">
      <formula>ABS(G$16-G$19)&gt;=1000</formula>
    </cfRule>
  </conditionalFormatting>
  <conditionalFormatting sqref="H13 H15:H20">
    <cfRule type="expression" dxfId="357" priority="68">
      <formula>ABS(H$16-H$19)&gt;=1000</formula>
    </cfRule>
  </conditionalFormatting>
  <conditionalFormatting sqref="I13:I20">
    <cfRule type="expression" dxfId="356" priority="67">
      <formula>ABS(I$16-I$19)&gt;=1000</formula>
    </cfRule>
  </conditionalFormatting>
  <conditionalFormatting sqref="J13:J20">
    <cfRule type="expression" dxfId="355" priority="66">
      <formula>ABS(J$16-J$19)&gt;=1000</formula>
    </cfRule>
  </conditionalFormatting>
  <conditionalFormatting sqref="L13:L20">
    <cfRule type="expression" dxfId="354" priority="65">
      <formula>ABS(L$16-L$19)&gt;=1000</formula>
    </cfRule>
  </conditionalFormatting>
  <conditionalFormatting sqref="M13 M15 M17:M18 M20">
    <cfRule type="expression" dxfId="353" priority="64">
      <formula>ABS(M$16-M$19)&gt;=1000</formula>
    </cfRule>
  </conditionalFormatting>
  <conditionalFormatting sqref="N13:N20">
    <cfRule type="expression" dxfId="352" priority="63">
      <formula>ABS(N$16-N$19)&gt;=1000</formula>
    </cfRule>
  </conditionalFormatting>
  <conditionalFormatting sqref="O13:O20">
    <cfRule type="expression" dxfId="351" priority="62">
      <formula>ABS(O$16-O$19)&gt;=1000</formula>
    </cfRule>
  </conditionalFormatting>
  <conditionalFormatting sqref="P13:P20">
    <cfRule type="expression" dxfId="350" priority="61">
      <formula>ABS(P$16-P$19)&gt;=1000</formula>
    </cfRule>
  </conditionalFormatting>
  <conditionalFormatting sqref="Q13 Q15:Q20">
    <cfRule type="expression" dxfId="349" priority="60">
      <formula>ABS(Q$16-Q$19)&gt;=1000</formula>
    </cfRule>
  </conditionalFormatting>
  <conditionalFormatting sqref="R13:R20">
    <cfRule type="expression" dxfId="348" priority="59">
      <formula>ABS(R$16-R$19)&gt;=1000</formula>
    </cfRule>
  </conditionalFormatting>
  <conditionalFormatting sqref="S13:S20">
    <cfRule type="expression" dxfId="347" priority="58">
      <formula>ABS(S$16-S$19)&gt;=1000</formula>
    </cfRule>
  </conditionalFormatting>
  <conditionalFormatting sqref="T13:T20">
    <cfRule type="expression" dxfId="346" priority="57">
      <formula>ABS(T$16-T$19)&gt;=1000</formula>
    </cfRule>
  </conditionalFormatting>
  <conditionalFormatting sqref="U13:U20">
    <cfRule type="expression" dxfId="345" priority="56">
      <formula>ABS(U$16-U$19)&gt;=1000</formula>
    </cfRule>
  </conditionalFormatting>
  <conditionalFormatting sqref="V13:V20">
    <cfRule type="expression" dxfId="344" priority="55">
      <formula>ABS(V$16-V$19)&gt;=1000</formula>
    </cfRule>
  </conditionalFormatting>
  <conditionalFormatting sqref="W13 W20 W15:W18">
    <cfRule type="expression" dxfId="343" priority="54">
      <formula>ABS(W$16-W$19)&gt;=1000</formula>
    </cfRule>
  </conditionalFormatting>
  <conditionalFormatting sqref="X13 X15:X20 Y19">
    <cfRule type="expression" dxfId="342" priority="53">
      <formula>ABS(X$16-X$19)&gt;=1000</formula>
    </cfRule>
  </conditionalFormatting>
  <conditionalFormatting sqref="Y13 Y15:Y18 Y20">
    <cfRule type="expression" dxfId="341" priority="52">
      <formula>ABS(Y$16-Y$19)&gt;=1000</formula>
    </cfRule>
  </conditionalFormatting>
  <conditionalFormatting sqref="Z13:Z20">
    <cfRule type="expression" dxfId="340" priority="51">
      <formula>ABS(Z$16-Z$19)&gt;=1000</formula>
    </cfRule>
  </conditionalFormatting>
  <conditionalFormatting sqref="AA13:AA20">
    <cfRule type="expression" dxfId="339" priority="50">
      <formula>ABS(AA$16-AA$19)&gt;=1000</formula>
    </cfRule>
  </conditionalFormatting>
  <conditionalFormatting sqref="AB13 AB15:AB20">
    <cfRule type="expression" dxfId="338" priority="49">
      <formula>ABS(AB$16-AB$19)&gt;=1000</formula>
    </cfRule>
  </conditionalFormatting>
  <conditionalFormatting sqref="AC13 AC15:AC20">
    <cfRule type="expression" dxfId="337" priority="48">
      <formula>ABS(AC$16-AC$19)&gt;=1000</formula>
    </cfRule>
  </conditionalFormatting>
  <conditionalFormatting sqref="AD13:AD20">
    <cfRule type="expression" dxfId="336" priority="47">
      <formula>ABS(AD$16-AD$19)&gt;=1000</formula>
    </cfRule>
  </conditionalFormatting>
  <conditionalFormatting sqref="AE13:AE20">
    <cfRule type="expression" dxfId="335" priority="46">
      <formula>ABS(AE$16-AE$19)&gt;=1000</formula>
    </cfRule>
  </conditionalFormatting>
  <conditionalFormatting sqref="D22:D29">
    <cfRule type="expression" dxfId="334" priority="45">
      <formula>ABS(D$25-D$28)&gt;=1000</formula>
    </cfRule>
  </conditionalFormatting>
  <conditionalFormatting sqref="E22:E29">
    <cfRule type="expression" dxfId="333" priority="44">
      <formula>ABS(E$25-E$28)&gt;=1000</formula>
    </cfRule>
  </conditionalFormatting>
  <conditionalFormatting sqref="F22:F29">
    <cfRule type="expression" dxfId="332" priority="43">
      <formula>ABS(F$25-F$28)&gt;=1000</formula>
    </cfRule>
  </conditionalFormatting>
  <conditionalFormatting sqref="G22:G29">
    <cfRule type="expression" dxfId="331" priority="42">
      <formula>ABS(G$25-G$28)&gt;=1000</formula>
    </cfRule>
  </conditionalFormatting>
  <conditionalFormatting sqref="H22:H29">
    <cfRule type="expression" dxfId="330" priority="41">
      <formula>ABS(H$25-H$28)&gt;=1000</formula>
    </cfRule>
  </conditionalFormatting>
  <conditionalFormatting sqref="I22 I24:I29">
    <cfRule type="expression" dxfId="329" priority="40">
      <formula>ABS(I$25-I$28)&gt;=1000</formula>
    </cfRule>
  </conditionalFormatting>
  <conditionalFormatting sqref="J22:J29 K22">
    <cfRule type="expression" dxfId="328" priority="39">
      <formula>ABS(J$25-J$28)&gt;=1000</formula>
    </cfRule>
  </conditionalFormatting>
  <conditionalFormatting sqref="K23:K29 L25 L28">
    <cfRule type="expression" dxfId="327" priority="38">
      <formula>ABS(K$25-K$28)&gt;=1000</formula>
    </cfRule>
  </conditionalFormatting>
  <conditionalFormatting sqref="L22 L26:L27 L29 L24">
    <cfRule type="expression" dxfId="326" priority="37">
      <formula>ABS(L$25-L$28)&gt;=1000</formula>
    </cfRule>
  </conditionalFormatting>
  <conditionalFormatting sqref="M22:M29">
    <cfRule type="expression" dxfId="325" priority="36">
      <formula>ABS(M$25-M$28)&gt;=1000</formula>
    </cfRule>
  </conditionalFormatting>
  <conditionalFormatting sqref="N22:N29">
    <cfRule type="expression" dxfId="324" priority="35">
      <formula>ABS(N$25-N$28)&gt;=1000</formula>
    </cfRule>
  </conditionalFormatting>
  <conditionalFormatting sqref="O22:O29">
    <cfRule type="expression" dxfId="323" priority="34">
      <formula>ABS(O$25-O$28)&gt;=1000</formula>
    </cfRule>
  </conditionalFormatting>
  <conditionalFormatting sqref="P22:P29">
    <cfRule type="expression" dxfId="322" priority="33">
      <formula>ABS(P$25-P$28)&gt;=1000</formula>
    </cfRule>
  </conditionalFormatting>
  <conditionalFormatting sqref="Q22:Q29">
    <cfRule type="expression" dxfId="321" priority="32">
      <formula>ABS(Q$25-Q$28)&gt;=1000</formula>
    </cfRule>
  </conditionalFormatting>
  <conditionalFormatting sqref="R22:R29">
    <cfRule type="expression" dxfId="320" priority="31">
      <formula>ABS(R$25-R$28)&gt;=1000</formula>
    </cfRule>
  </conditionalFormatting>
  <conditionalFormatting sqref="S22:S29">
    <cfRule type="expression" dxfId="319" priority="30">
      <formula>ABS(S$25-S$28)&gt;=1000</formula>
    </cfRule>
  </conditionalFormatting>
  <conditionalFormatting sqref="T22:T29">
    <cfRule type="expression" dxfId="318" priority="29">
      <formula>ABS(T$25-T$28)&gt;=1000</formula>
    </cfRule>
  </conditionalFormatting>
  <conditionalFormatting sqref="U22:U29">
    <cfRule type="expression" dxfId="317" priority="28">
      <formula>ABS(U$25-U$28)&gt;=1000</formula>
    </cfRule>
  </conditionalFormatting>
  <conditionalFormatting sqref="V22:V29">
    <cfRule type="expression" dxfId="316" priority="27">
      <formula>ABS(V$25-V$28)&gt;=1000</formula>
    </cfRule>
  </conditionalFormatting>
  <conditionalFormatting sqref="W22:W29">
    <cfRule type="expression" dxfId="315" priority="26">
      <formula>ABS(W$25-W$28)&gt;=1000</formula>
    </cfRule>
  </conditionalFormatting>
  <conditionalFormatting sqref="X22:X29">
    <cfRule type="expression" dxfId="314" priority="25">
      <formula>ABS(X$25-X$28)&gt;=1000</formula>
    </cfRule>
  </conditionalFormatting>
  <conditionalFormatting sqref="Y22:Y29">
    <cfRule type="expression" dxfId="313" priority="24">
      <formula>ABS(Y$25-Y$28)&gt;=1000</formula>
    </cfRule>
  </conditionalFormatting>
  <conditionalFormatting sqref="I23">
    <cfRule type="expression" dxfId="312" priority="23">
      <formula>ABS(I$25-I$28)&gt;=1000</formula>
    </cfRule>
  </conditionalFormatting>
  <conditionalFormatting sqref="Q14">
    <cfRule type="expression" dxfId="311" priority="22">
      <formula>ABS(Q$16-Q$19)&gt;=1000</formula>
    </cfRule>
  </conditionalFormatting>
  <conditionalFormatting sqref="W14">
    <cfRule type="expression" dxfId="310" priority="21">
      <formula>ABS(W$16-W$19)&gt;=1000</formula>
    </cfRule>
  </conditionalFormatting>
  <conditionalFormatting sqref="X14">
    <cfRule type="expression" dxfId="309" priority="20">
      <formula>ABS(X$16-X$19)&gt;=1000</formula>
    </cfRule>
  </conditionalFormatting>
  <conditionalFormatting sqref="T10:Y10">
    <cfRule type="expression" dxfId="308" priority="19">
      <formula>ABS(T$7-T$10)&gt;=1000</formula>
    </cfRule>
  </conditionalFormatting>
  <conditionalFormatting sqref="W19">
    <cfRule type="expression" dxfId="307" priority="18">
      <formula>ABS(W$16-W$19)&gt;=1000</formula>
    </cfRule>
  </conditionalFormatting>
  <conditionalFormatting sqref="AC5">
    <cfRule type="expression" dxfId="306" priority="17">
      <formula>ABS(AC$7-AC$10)&gt;=1000</formula>
    </cfRule>
  </conditionalFormatting>
  <conditionalFormatting sqref="M14">
    <cfRule type="expression" dxfId="305" priority="16">
      <formula>ABS(M$16-M$19)&gt;=1000</formula>
    </cfRule>
  </conditionalFormatting>
  <conditionalFormatting sqref="M16">
    <cfRule type="expression" dxfId="304" priority="15">
      <formula>ABS(M$16-M$19)&gt;=1000</formula>
    </cfRule>
  </conditionalFormatting>
  <conditionalFormatting sqref="M19">
    <cfRule type="expression" dxfId="303" priority="14">
      <formula>ABS(M$16-M$19)&gt;=1000</formula>
    </cfRule>
  </conditionalFormatting>
  <conditionalFormatting sqref="K13:K20">
    <cfRule type="expression" dxfId="302" priority="13">
      <formula>ABS(K$16-K$19)&gt;=1000</formula>
    </cfRule>
  </conditionalFormatting>
  <conditionalFormatting sqref="E5">
    <cfRule type="expression" dxfId="301" priority="12">
      <formula>ABS(E$7-E$10)&gt;=1000</formula>
    </cfRule>
  </conditionalFormatting>
  <conditionalFormatting sqref="AB14:AC14">
    <cfRule type="expression" dxfId="300" priority="11">
      <formula>ABS(AB$16-AB$19)&gt;=1000</formula>
    </cfRule>
  </conditionalFormatting>
  <conditionalFormatting sqref="M5">
    <cfRule type="expression" dxfId="299" priority="10">
      <formula>ABS(M$7-M$10)&gt;=1000</formula>
    </cfRule>
  </conditionalFormatting>
  <conditionalFormatting sqref="N5">
    <cfRule type="expression" dxfId="298" priority="9">
      <formula>ABS(N$7-N$10)&gt;=1000</formula>
    </cfRule>
  </conditionalFormatting>
  <conditionalFormatting sqref="O5">
    <cfRule type="expression" dxfId="297" priority="8">
      <formula>ABS(O$7-O$10)&gt;=1000</formula>
    </cfRule>
  </conditionalFormatting>
  <conditionalFormatting sqref="P5">
    <cfRule type="expression" dxfId="296" priority="7">
      <formula>ABS(P$7-P$10)&gt;=1000</formula>
    </cfRule>
  </conditionalFormatting>
  <conditionalFormatting sqref="L23">
    <cfRule type="expression" dxfId="295" priority="6">
      <formula>ABS(L$25-L$28)&gt;=1000</formula>
    </cfRule>
  </conditionalFormatting>
  <conditionalFormatting sqref="Y14">
    <cfRule type="expression" dxfId="294" priority="5">
      <formula>ABS(Y$16-Y$19)&gt;=1000</formula>
    </cfRule>
  </conditionalFormatting>
  <conditionalFormatting sqref="F14">
    <cfRule type="expression" dxfId="293" priority="4">
      <formula>ABS(F$16-F$19)&gt;=1000</formula>
    </cfRule>
  </conditionalFormatting>
  <conditionalFormatting sqref="H14">
    <cfRule type="expression" dxfId="292" priority="3">
      <formula>ABS(H$16-H$19)&gt;=1000</formula>
    </cfRule>
  </conditionalFormatting>
  <conditionalFormatting sqref="AD5">
    <cfRule type="expression" dxfId="291" priority="2">
      <formula>ABS(AD$7-AD$10)&gt;=1000</formula>
    </cfRule>
  </conditionalFormatting>
  <conditionalFormatting sqref="AE5">
    <cfRule type="expression" dxfId="2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78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2">
    <pageSetUpPr fitToPage="1"/>
  </sheetPr>
  <dimension ref="A1:CU223"/>
  <sheetViews>
    <sheetView view="pageBreakPreview" topLeftCell="A7" zoomScale="70" zoomScaleNormal="100" zoomScaleSheetLayoutView="70" workbookViewId="0">
      <selection activeCell="U4" sqref="U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46078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71" t="s" ph="1">
        <v>177</v>
      </c>
      <c r="D6" s="71">
        <v>5990</v>
      </c>
      <c r="E6" s="71">
        <v>3016</v>
      </c>
      <c r="F6" s="71">
        <v>5688</v>
      </c>
      <c r="G6" s="71">
        <v>5816</v>
      </c>
      <c r="H6" s="71">
        <v>4757</v>
      </c>
      <c r="I6" s="71">
        <v>7.0000000000000007E-2</v>
      </c>
      <c r="J6" s="71">
        <v>6.57</v>
      </c>
      <c r="K6" s="71">
        <v>7.4</v>
      </c>
      <c r="L6" s="71">
        <v>43.37</v>
      </c>
      <c r="M6" s="71">
        <v>246</v>
      </c>
      <c r="N6" s="71">
        <v>3010</v>
      </c>
      <c r="O6" s="71">
        <v>4738</v>
      </c>
      <c r="P6" s="71">
        <v>8120</v>
      </c>
      <c r="Q6" s="71">
        <v>6665</v>
      </c>
      <c r="R6" s="71">
        <v>7031</v>
      </c>
      <c r="S6" s="71">
        <v>5786</v>
      </c>
      <c r="T6" s="71">
        <v>7163</v>
      </c>
      <c r="U6" s="71">
        <v>7012</v>
      </c>
      <c r="V6" s="71">
        <v>3207</v>
      </c>
      <c r="W6" s="71">
        <v>0</v>
      </c>
      <c r="X6" s="71">
        <v>0</v>
      </c>
      <c r="Y6" s="71">
        <v>843</v>
      </c>
      <c r="Z6" s="71">
        <v>2976</v>
      </c>
      <c r="AA6" s="71">
        <v>6938</v>
      </c>
      <c r="AB6" s="71">
        <v>4617</v>
      </c>
      <c r="AC6" s="71">
        <v>5076</v>
      </c>
      <c r="AD6" s="71">
        <v>4780</v>
      </c>
      <c r="AE6" s="71">
        <v>4110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188646.98428530002</v>
      </c>
      <c r="E7" s="73" ph="1">
        <f>E6*51.53*LOOKUP(E8,密度!$A$2:$A$50,密度!$B$2:$B$50)</f>
        <v>121984.82535200001</v>
      </c>
      <c r="F7" s="73" ph="1">
        <f>F6*33.183*LOOKUP(F8,密度!$A$2:$A$50,密度!$C$2:$C$50)</f>
        <v>210242.9485656</v>
      </c>
      <c r="G7" s="73" ph="1">
        <f xml:space="preserve"> (G6+2)*51.53*LOOKUP(G8,密度!$A$2:$A$50,密度!$B$2:$B$50)</f>
        <v>235074.387514</v>
      </c>
      <c r="H7" s="73" ph="1">
        <f>(H6)*51.53*LOOKUP(H8,密度!$A$2:$A$50,密度!$B$2:$B$50)</f>
        <v>192205.029461</v>
      </c>
      <c r="I7" s="73" ph="1">
        <f>I6*290.8*1.0267</f>
        <v>20.8995052</v>
      </c>
      <c r="J7" s="73" ph="1">
        <f>J6*290.8*0.7892</f>
        <v>1507.8107952000003</v>
      </c>
      <c r="K7" s="73" ph="1">
        <f>K6*290.8*1.1126</f>
        <v>2394.2261920000001</v>
      </c>
      <c r="L7" s="73" ph="1">
        <f>L6*290.8*0.777</f>
        <v>9799.5208920000005</v>
      </c>
      <c r="M7" s="73" ph="1">
        <f>M6*33.183*LOOKUP(M8,密度!$A$2:$A$50,密度!$D$2:$D$50)</f>
        <v>8411.990049</v>
      </c>
      <c r="N7" s="73" ph="1">
        <f>N6*33.183*LOOKUP(N8,密度!$A$2:$A$50,密度!$E$2:$E$50)</f>
        <v>78586.237044000009</v>
      </c>
      <c r="O7" s="73" ph="1">
        <f>O6*20.428*LOOKUP(O8,密度!$A$2:$A$50,密度!$C$2:$C$50)</f>
        <v>107395.81389439999</v>
      </c>
      <c r="P7" s="73" ph="1">
        <f>P6*51.53*LOOKUP(P8,密度!$A$2:$A$50,密度!$B$2:$B$50)</f>
        <v>328085.94476000004</v>
      </c>
      <c r="Q7" s="73" ph="1">
        <f>Q6*1.5*1.5*3.1416*LOOKUP(W8,密度!$A$2:$A$50,密度!$L$2:$L$50)</f>
        <v>44426.822516999993</v>
      </c>
      <c r="R7" s="73" ph="1">
        <f>R6*1.5*1.5*3.1416*LOOKUP(R8,密度!$A$2:$A$50,密度!$L$2:$L$50)</f>
        <v>46518.569697600004</v>
      </c>
      <c r="S7" s="73" ph="1">
        <f>S6*1.5*1.5*3.1416*LOOKUP(S8,密度!$A$2:$A$50,密度!$L$2:$L$50)</f>
        <v>38649.479022</v>
      </c>
      <c r="T7" s="73" ph="1">
        <f>T6*1.5*1.5*3.1416*LOOKUP(T8,密度!$A$2:$A$50,密度!$L$2:$L$50)</f>
        <v>47847.600800999993</v>
      </c>
      <c r="U7" s="73" ph="1">
        <f>U6*1.5*1.5*3.1416*LOOKUP(U8,密度!$A$2:$A$50,密度!$L$2:$L$50)</f>
        <v>46789.381900799992</v>
      </c>
      <c r="V7" s="73" ph="1">
        <f>V6*1.5*1.5*3.1416*LOOKUP(V8,密度!$A$2:$A$50,密度!$L$2:$L$50)</f>
        <v>21240.8531874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5619.1765013999993</v>
      </c>
      <c r="Z7" s="73" ph="1">
        <f>Z6*33.183*LOOKUP(Z8,密度!$A$2:$A$50,密度!$L$2:$L$50)</f>
        <v>93321.214559999993</v>
      </c>
      <c r="AA7" s="73" ph="1">
        <f>AA6*33.183*LOOKUP(AA8,密度!$A$2:$A$50,密度!$D$2:$D$50)</f>
        <v>237844.05694739998</v>
      </c>
      <c r="AB7" s="73" ph="1">
        <f>AB6*20.428*LOOKUP(AB8,密度!$A$2:$A$50,密度!$D$2:$D$50)</f>
        <v>97843.497242400015</v>
      </c>
      <c r="AC7" s="73" ph="1">
        <f>AC6*51.53*LOOKUP(AC8,密度!$A$2:$A$50,密度!$Q$2:$Q$50)</f>
        <v>249429.60460799999</v>
      </c>
      <c r="AD7" s="73" ph="1">
        <f>AD6*20.428*LOOKUP(AD8,密度!$A$2:$A$50,密度!$V$2:$V$50)</f>
        <v>94130.589760000003</v>
      </c>
      <c r="AE7" s="73" ph="1">
        <f>AE6*20.428</f>
        <v>83959.08</v>
      </c>
    </row>
    <row r="8" spans="1:99" ph="1">
      <c r="B8" s="193" ph="1"/>
      <c r="C8" s="68" t="s" ph="1">
        <v>179</v>
      </c>
      <c r="D8" s="74">
        <v>22</v>
      </c>
      <c r="E8" s="74">
        <v>19</v>
      </c>
      <c r="F8" s="74">
        <v>18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22</v>
      </c>
      <c r="O8" s="74">
        <v>24</v>
      </c>
      <c r="P8" s="74">
        <v>20</v>
      </c>
      <c r="Q8" s="74">
        <v>21</v>
      </c>
      <c r="R8" s="74">
        <v>26</v>
      </c>
      <c r="S8" s="74">
        <v>17</v>
      </c>
      <c r="T8" s="74">
        <v>17</v>
      </c>
      <c r="U8" s="74">
        <v>18</v>
      </c>
      <c r="V8" s="74">
        <v>25</v>
      </c>
      <c r="W8" s="74">
        <v>19</v>
      </c>
      <c r="X8" s="74">
        <v>10</v>
      </c>
      <c r="Y8" s="74">
        <v>19</v>
      </c>
      <c r="Z8" s="74">
        <v>17</v>
      </c>
      <c r="AA8" s="74">
        <v>18</v>
      </c>
      <c r="AB8" s="74">
        <v>13</v>
      </c>
      <c r="AC8" s="74">
        <v>16</v>
      </c>
      <c r="AD8" s="74">
        <v>18</v>
      </c>
      <c r="AE8" s="74">
        <v>24</v>
      </c>
    </row>
    <row r="9" spans="1:99" ht="26.4" ph="1">
      <c r="B9" s="193" ph="1">
        <v>0.66666666666666663</v>
      </c>
      <c r="C9" s="171" t="s" ph="1">
        <v>180</v>
      </c>
      <c r="D9" s="71">
        <v>5990</v>
      </c>
      <c r="E9" s="71">
        <v>3877</v>
      </c>
      <c r="F9" s="71">
        <v>5688</v>
      </c>
      <c r="G9" s="71">
        <v>5818</v>
      </c>
      <c r="H9" s="71">
        <v>5192</v>
      </c>
      <c r="I9" s="71">
        <v>0.06</v>
      </c>
      <c r="J9" s="71">
        <v>6.65</v>
      </c>
      <c r="K9" s="71">
        <v>7.35</v>
      </c>
      <c r="L9" s="71">
        <v>43.94</v>
      </c>
      <c r="M9" s="71">
        <v>244</v>
      </c>
      <c r="N9" s="71">
        <v>2899</v>
      </c>
      <c r="O9" s="71">
        <v>4739</v>
      </c>
      <c r="P9" s="71">
        <v>7649</v>
      </c>
      <c r="Q9" s="71">
        <v>4890</v>
      </c>
      <c r="R9" s="71">
        <v>7035</v>
      </c>
      <c r="S9" s="71">
        <v>5790</v>
      </c>
      <c r="T9" s="71">
        <v>7169</v>
      </c>
      <c r="U9" s="71">
        <v>7016</v>
      </c>
      <c r="V9" s="71">
        <v>6042</v>
      </c>
      <c r="W9" s="71">
        <v>2393</v>
      </c>
      <c r="X9" s="71">
        <v>0</v>
      </c>
      <c r="Y9" s="71">
        <v>1</v>
      </c>
      <c r="Z9" s="71">
        <v>884</v>
      </c>
      <c r="AA9" s="71">
        <v>6942</v>
      </c>
      <c r="AB9" s="71">
        <v>4599</v>
      </c>
      <c r="AC9" s="71">
        <v>5344</v>
      </c>
      <c r="AD9" s="71">
        <v>4780</v>
      </c>
      <c r="AE9" s="71">
        <v>4034</v>
      </c>
    </row>
    <row r="10" spans="1:99" s="72" customFormat="1" ht="22.2" ph="1">
      <c r="B10" s="193" ph="1"/>
      <c r="C10" s="171" t="s" ph="1">
        <v>178</v>
      </c>
      <c r="D10" s="73" ph="1">
        <f>D9*33.183*LOOKUP(D11,密度!$A$2:$A$50,密度!$Q$2:$Q$50)</f>
        <v>188470.08239400003</v>
      </c>
      <c r="E10" s="73" ph="1">
        <f>E9*51.53*LOOKUP(E11,密度!$A$2:$A$50,密度!$B$2:$B$50)</f>
        <v>156469.11359200001</v>
      </c>
      <c r="F10" s="73" ph="1">
        <f>F9*33.183*LOOKUP(F11,密度!$A$2:$A$50,密度!$C$2:$C$50)</f>
        <v>210242.9485656</v>
      </c>
      <c r="G10" s="73" ph="1">
        <f xml:space="preserve"> (G9+2)*51.53*LOOKUP(G11,密度!$A$2:$A$50,密度!$B$2:$B$50)</f>
        <v>234345.45444000003</v>
      </c>
      <c r="H10" s="73" ph="1">
        <f>(H9)*51.53*LOOKUP(H11,密度!$A$2:$A$50,密度!$B$2:$B$50)</f>
        <v>209995.09722400003</v>
      </c>
      <c r="I10" s="73" ph="1">
        <f>I9*290.8*1.0267</f>
        <v>17.913861600000001</v>
      </c>
      <c r="J10" s="73" ph="1">
        <f>J9*290.8*0.7892</f>
        <v>1526.1707440000002</v>
      </c>
      <c r="K10" s="73" ph="1">
        <f>K9*290.8*1.1126</f>
        <v>2378.048988</v>
      </c>
      <c r="L10" s="73" ph="1">
        <f>L9*290.8*0.777</f>
        <v>9928.3133040000012</v>
      </c>
      <c r="M10" s="73" ph="1">
        <f>M9*33.183*LOOKUP(M11,密度!$A$2:$A$50,密度!$D$2:$D$50)</f>
        <v>8328.2162472</v>
      </c>
      <c r="N10" s="73" ph="1">
        <f>N9*33.183*LOOKUP(N11,密度!$A$2:$A$50,密度!$E$2:$E$50)</f>
        <v>75688.206375599999</v>
      </c>
      <c r="O10" s="73" ph="1">
        <f>O9*20.428*LOOKUP(O11,密度!$A$2:$A$50,密度!$C$2:$C$50)</f>
        <v>107273.26836520001</v>
      </c>
      <c r="P10" s="73" ph="1">
        <f>P9*51.53*LOOKUP(P11,密度!$A$2:$A$50,密度!$B$2:$B$50)</f>
        <v>307991.13075800001</v>
      </c>
      <c r="Q10" s="73" ph="1">
        <f>Q9*1.5*1.5*3.1416*LOOKUP(W11,密度!$A$2:$A$50,密度!$L$2:$L$50)</f>
        <v>32422.395851999998</v>
      </c>
      <c r="R10" s="73" ph="1">
        <f>R9*1.5*1.5*3.1416*LOOKUP(R11,密度!$A$2:$A$50,密度!$L$2:$L$50)</f>
        <v>46495.306935000008</v>
      </c>
      <c r="S10" s="73" ph="1">
        <f>S9*1.5*1.5*3.1416*LOOKUP(S11,密度!$A$2:$A$50,密度!$L$2:$L$50)</f>
        <v>38594.343941999992</v>
      </c>
      <c r="T10" s="73" ph="1">
        <f>T9*1.5*1.5*3.1416*LOOKUP(T11,密度!$A$2:$A$50,密度!$L$2:$L$50)</f>
        <v>47837.004969599999</v>
      </c>
      <c r="U10" s="73" ph="1">
        <f>U9*1.5*1.5*3.1416*LOOKUP(U11,密度!$A$2:$A$50,密度!$L$2:$L$50)</f>
        <v>46865.666231999996</v>
      </c>
      <c r="V10" s="73" ph="1">
        <f>V9*1.5*1.5*3.1416*LOOKUP(V11,密度!$A$2:$A$50,密度!$L$2:$L$50)</f>
        <v>39932.429922000003</v>
      </c>
      <c r="W10" s="73" ph="1">
        <f>W9*1.5*1.5*3.1416*LOOKUP(W11,密度!$A$2:$A$50,密度!$L$2:$L$50)</f>
        <v>15866.419892400001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6.6374153999999992</v>
      </c>
      <c r="Z10" s="73" ph="1">
        <f>Z9*33.183*LOOKUP(Z11,密度!$A$2:$A$50,密度!$L$2:$L$50)</f>
        <v>27720.414539999998</v>
      </c>
      <c r="AA10" s="73" ph="1">
        <f>AA9*33.183*LOOKUP(AA11,密度!$A$2:$A$50,密度!$D$2:$D$50)</f>
        <v>237151.89938700001</v>
      </c>
      <c r="AB10" s="73" ph="1">
        <f>AB9*20.428*LOOKUP(AB11,密度!$A$2:$A$50,密度!$D$2:$D$50)</f>
        <v>97377.487578</v>
      </c>
      <c r="AC10" s="73" ph="1">
        <f>AC9*51.53*LOOKUP(AC11,密度!$A$2:$A$50,密度!$Q$2:$Q$50)</f>
        <v>261522.13734080002</v>
      </c>
      <c r="AD10" s="73" ph="1">
        <f>AD9*20.428*LOOKUP(AD11,密度!$A$2:$A$50,密度!$V$2:$V$50)</f>
        <v>93818.123072000002</v>
      </c>
      <c r="AE10" s="73" ph="1">
        <f>AE9*20.428</f>
        <v>82406.552000000011</v>
      </c>
    </row>
    <row r="11" spans="1:99" ph="1">
      <c r="A11" s="64" t="s" ph="1">
        <v>162</v>
      </c>
      <c r="B11" s="193" ph="1"/>
      <c r="C11" s="171" t="s" ph="1">
        <v>179</v>
      </c>
      <c r="D11" s="74">
        <v>23</v>
      </c>
      <c r="E11" s="74">
        <v>21</v>
      </c>
      <c r="F11" s="74">
        <v>18</v>
      </c>
      <c r="G11" s="74">
        <v>23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22</v>
      </c>
      <c r="O11" s="74">
        <v>26</v>
      </c>
      <c r="P11" s="74">
        <v>23</v>
      </c>
      <c r="Q11" s="74">
        <v>24</v>
      </c>
      <c r="R11" s="74">
        <v>27</v>
      </c>
      <c r="S11" s="74">
        <v>19</v>
      </c>
      <c r="T11" s="74">
        <v>18</v>
      </c>
      <c r="U11" s="74">
        <v>17</v>
      </c>
      <c r="V11" s="74">
        <v>27</v>
      </c>
      <c r="W11" s="74">
        <v>24</v>
      </c>
      <c r="X11" s="74">
        <v>21</v>
      </c>
      <c r="Y11" s="74">
        <v>23</v>
      </c>
      <c r="Z11" s="74">
        <v>17</v>
      </c>
      <c r="AA11" s="74">
        <v>22</v>
      </c>
      <c r="AB11" s="74">
        <v>14</v>
      </c>
      <c r="AC11" s="74">
        <v>21</v>
      </c>
      <c r="AD11" s="74">
        <v>21</v>
      </c>
      <c r="AE11" s="74">
        <v>25</v>
      </c>
    </row>
    <row r="12" spans="1:99" ht="9.9" customHeight="1" ph="1"/>
    <row r="13" spans="1:99" s="72" customFormat="1" ht="29.25" customHeight="1" ph="1">
      <c r="B13" s="201" t="s" ph="1">
        <v>37</v>
      </c>
      <c r="C13" s="17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71" t="s" ph="1">
        <v>177</v>
      </c>
      <c r="D15" s="78">
        <v>1110</v>
      </c>
      <c r="E15" s="78">
        <v>73</v>
      </c>
      <c r="F15" s="78">
        <v>4066</v>
      </c>
      <c r="G15" s="78">
        <v>2488</v>
      </c>
      <c r="H15" s="78">
        <v>0</v>
      </c>
      <c r="I15" s="78">
        <v>5229</v>
      </c>
      <c r="J15" s="78">
        <v>5513</v>
      </c>
      <c r="K15" s="78">
        <v>3582</v>
      </c>
      <c r="L15" s="78">
        <v>5583</v>
      </c>
      <c r="M15" s="78">
        <v>7078</v>
      </c>
      <c r="N15" s="78">
        <v>3878</v>
      </c>
      <c r="O15" s="78">
        <v>4447</v>
      </c>
      <c r="P15" s="78">
        <v>5217</v>
      </c>
      <c r="Q15" s="78">
        <v>6944</v>
      </c>
      <c r="R15" s="78">
        <v>7393</v>
      </c>
      <c r="S15" s="78">
        <v>117</v>
      </c>
      <c r="T15" s="78">
        <v>4305</v>
      </c>
      <c r="U15" s="78">
        <v>2566</v>
      </c>
      <c r="V15" s="78">
        <v>4978</v>
      </c>
      <c r="W15" s="71">
        <v>-171</v>
      </c>
      <c r="X15" s="78">
        <v>98</v>
      </c>
      <c r="Y15" s="106">
        <v>-9900</v>
      </c>
      <c r="Z15" s="78">
        <v>0</v>
      </c>
      <c r="AA15" s="78">
        <v>11</v>
      </c>
      <c r="AB15" s="78" ph="1">
        <v>6964</v>
      </c>
      <c r="AC15" s="78" ph="1">
        <v>2148</v>
      </c>
      <c r="AD15" s="78">
        <v>5.1100000000000003</v>
      </c>
      <c r="AE15" s="78">
        <v>44.01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71" t="s" ph="1">
        <v>178</v>
      </c>
      <c r="D16" s="73" ph="1">
        <f>D15*7.0686*LOOKUP(D17,密度!$A$2:$A$50,密度!$L$2:$L$50)</f>
        <v>7391.0695319999995</v>
      </c>
      <c r="E16" s="73" ph="1">
        <f>E15*7.0686*LOOKUP(E17,密度!$A$2:$A$50,密度!$L$2:$L$50)</f>
        <v>486.07934759999995</v>
      </c>
      <c r="F16" s="73" ph="1">
        <f>F15*9.0746*LOOKUP(F17,密度!$A$2:$A$50,密度!$L$2:$L$50)</f>
        <v>34572.792213200002</v>
      </c>
      <c r="G16" s="73" ph="1">
        <f>G15*9.0746*LOOKUP(G17,密度!$A$2:$A$50,密度!$B$2:$B$50)</f>
        <v>17662.460235040002</v>
      </c>
      <c r="H16" s="73" ph="1">
        <f>H15*9.0746*LOOKUP(H17,密度!$A$2:$A$50,密度!$L$2:$L$50)</f>
        <v>0</v>
      </c>
      <c r="I16" s="73" ph="1">
        <f>I15*9.0746*LOOKUP(I17,密度!$A$2:$A$50,密度!$U$2:$U$50)</f>
        <v>48779.713735200006</v>
      </c>
      <c r="J16" s="73" ph="1">
        <f>J15*9.0746*LOOKUP(J17,密度!$A$2:$A$50,密度!$L$2:$L$50)</f>
        <v>47176.658421399996</v>
      </c>
      <c r="K16" s="73" ph="1">
        <f>K15*9.0746*LOOKUP(K17,密度!$A$2:$A$50,密度!$C$2:$C$50)</f>
        <v>36184.807787040001</v>
      </c>
      <c r="L16" s="73" ph="1">
        <f>L15*9.0746*LOOKUP(L17,密度!$A$2:$A$50,密度!$E$2:$E$50)</f>
        <v>39983.627728560001</v>
      </c>
      <c r="M16" s="73" ph="1">
        <f>M15*9.0746*LOOKUP(M17,密度!$A$2:$A$50,密度!$M$2:$M$50)</f>
        <v>56541.685549639995</v>
      </c>
      <c r="N16" s="73" ph="1">
        <f>N15*9.0746*LOOKUP(N17,密度!$A$2:$A$50,密度!$M$2:$M$50)</f>
        <v>30978.900333640002</v>
      </c>
      <c r="O16" s="73" ph="1">
        <f>O15*9.0746*LOOKUP(O17,密度!$A$2:$A$50,密度!$G$2:$G$50)</f>
        <v>38893.904387560004</v>
      </c>
      <c r="P16" s="73" ph="1">
        <f ca="1">P15*9.0746*LOOKUP(P17,密度!$A$2:$A$51,密度!$Q$2:$Q$50)</f>
        <v>44960.402711658004</v>
      </c>
      <c r="Q16" s="73" ph="1">
        <f>Q15*9.0746*LOOKUP(Q17,密度!$A$2:$A$50,密度!$Q$2:$Q$50)</f>
        <v>59887.266608512</v>
      </c>
      <c r="R16" s="73" ph="1">
        <f>MAX(R15*9.0746*LOOKUP(R17,密度!$A$2:$A$50,密度!$B$2:$B$50),0)</f>
        <v>52543.72714096</v>
      </c>
      <c r="S16" s="73" ph="1">
        <f>S15*9.0746*LOOKUP(S17,密度!$A$2:$A$50,密度!$Q$2:$Q$50)</f>
        <v>1009.0452467160001</v>
      </c>
      <c r="T16" s="73" ph="1">
        <f>T15*9.0746*LOOKUP(T17,密度!$A$2:$A$50,密度!$O$2:$O$50)</f>
        <v>36331.522290000001</v>
      </c>
      <c r="U16" s="73" ph="1">
        <f>U15*9.0746*LOOKUP(U17,密度!$A$2:$A$50,密度!$H$2:$H$50)</f>
        <v>21415.60408492</v>
      </c>
      <c r="V16" s="73" ph="1">
        <f>MAX(5600*LOOKUP(V17,密度!$A$2:$A$50,密度!$Q$2:$Q$50)+V15*9.0476*LOOKUP(V17,密度!$A$2:$A$50,密度!$Q$2:$Q$50),0)</f>
        <v>48060.923712952004</v>
      </c>
      <c r="W16" s="73" ph="1">
        <f>MAX(5600*LOOKUP(W17,密度!$A$2:$A$50,密度!$Q$2:$Q$50)+W15*9.0476*LOOKUP(W17,密度!$A$2:$A$50,密度!$Q$2:$Q$50),0)</f>
        <v>3846.5292770359993</v>
      </c>
      <c r="X16" s="73" ph="1">
        <f>MAX(5600*LOOKUP(X17,密度!$A$2:$A$50,密度!$I$2:$I$50)+X15*9.0476*LOOKUP(X17,密度!$A$2:$A$50,密度!$I$2:$I$50),0)</f>
        <v>6753.915389759999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78.429045419999994</v>
      </c>
      <c r="AB16" s="73" ph="1">
        <f>AB15*9.0746*LOOKUP(AB17,密度!$A$2:$A$50,密度!$L$2:$L$50)</f>
        <v>59466.979050399998</v>
      </c>
      <c r="AC16" s="73" ph="1">
        <f>AC15*9.0746*LOOKUP(AC17,密度!$A$2:$A$50,密度!$L$2:$L$50)</f>
        <v>18400.675315199998</v>
      </c>
      <c r="AD16" s="73" ph="1">
        <f>AD15*268.68*LOOKUP(AD17,密度!$A$2:$A$50,密度!B2:B50)+IF(AD15&lt;=0,0,1566*LOOKUP(AD17,密度!$A$2:$A$50,密度!B2:B50))</f>
        <v>2291.2091620800002</v>
      </c>
      <c r="AE16" s="73" ph="1">
        <f>AE15*268.68*LOOKUP(AE17,密度!$A$2:$A$50,密度!B2:B50)+IF(AE15&lt;=0,0,1566*LOOKUP(AE17,密度!$A$2:$A$50,密度!B2:B50))</f>
        <v>10439.31706128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20</v>
      </c>
      <c r="E17" s="74">
        <v>20</v>
      </c>
      <c r="F17" s="74">
        <v>25</v>
      </c>
      <c r="G17" s="74">
        <v>22</v>
      </c>
      <c r="H17" s="74">
        <v>19</v>
      </c>
      <c r="I17" s="74">
        <v>18</v>
      </c>
      <c r="J17" s="74">
        <v>19</v>
      </c>
      <c r="K17" s="74">
        <v>19</v>
      </c>
      <c r="L17" s="74">
        <v>20</v>
      </c>
      <c r="M17" s="74">
        <v>20</v>
      </c>
      <c r="N17" s="74">
        <v>20</v>
      </c>
      <c r="O17" s="74">
        <v>22</v>
      </c>
      <c r="P17" s="74">
        <v>21</v>
      </c>
      <c r="Q17" s="74">
        <v>20</v>
      </c>
      <c r="R17" s="74">
        <v>21</v>
      </c>
      <c r="S17" s="74">
        <v>20</v>
      </c>
      <c r="T17" s="74">
        <v>21</v>
      </c>
      <c r="U17" s="74">
        <v>20</v>
      </c>
      <c r="V17" s="74">
        <v>22</v>
      </c>
      <c r="W17" s="74">
        <v>22</v>
      </c>
      <c r="X17" s="74">
        <v>26</v>
      </c>
      <c r="Y17" s="108">
        <v>26</v>
      </c>
      <c r="Z17" s="74">
        <v>20</v>
      </c>
      <c r="AA17" s="74">
        <v>18</v>
      </c>
      <c r="AB17" s="74">
        <v>21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1335</v>
      </c>
      <c r="E18" s="71">
        <v>74</v>
      </c>
      <c r="F18" s="71">
        <v>4066</v>
      </c>
      <c r="G18" s="71">
        <v>2566</v>
      </c>
      <c r="H18" s="71">
        <v>0</v>
      </c>
      <c r="I18" s="71">
        <v>5233</v>
      </c>
      <c r="J18" s="71">
        <v>5521</v>
      </c>
      <c r="K18" s="71">
        <v>3584</v>
      </c>
      <c r="L18" s="71">
        <v>5593</v>
      </c>
      <c r="M18" s="71">
        <v>4133</v>
      </c>
      <c r="N18" s="71">
        <v>5478</v>
      </c>
      <c r="O18" s="71">
        <v>4450</v>
      </c>
      <c r="P18" s="71">
        <v>3444</v>
      </c>
      <c r="Q18" s="71">
        <v>6950</v>
      </c>
      <c r="R18" s="71">
        <v>7401</v>
      </c>
      <c r="S18" s="71">
        <v>173</v>
      </c>
      <c r="T18" s="71">
        <v>3969</v>
      </c>
      <c r="U18" s="71">
        <v>2567</v>
      </c>
      <c r="V18" s="71">
        <v>4978</v>
      </c>
      <c r="W18" s="71">
        <v>-171</v>
      </c>
      <c r="X18" s="71">
        <v>96</v>
      </c>
      <c r="Y18" s="109">
        <v>-9900</v>
      </c>
      <c r="Z18" s="71">
        <v>6</v>
      </c>
      <c r="AA18" s="71">
        <v>10</v>
      </c>
      <c r="AB18" s="71">
        <v>6970</v>
      </c>
      <c r="AC18" s="71">
        <v>2148</v>
      </c>
      <c r="AD18" s="71">
        <v>15.64</v>
      </c>
      <c r="AE18" s="71">
        <v>84.65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71" t="s" ph="1">
        <v>178</v>
      </c>
      <c r="D19" s="73" ph="1">
        <f>D18*7.0686*LOOKUP(D20,密度!$A$2:$A$50,密度!$L$2:$L$50)</f>
        <v>8832.6398160000008</v>
      </c>
      <c r="E19" s="73" ph="1">
        <f>E18*7.0686*LOOKUP(E20,密度!$A$2:$A$50,密度!$L$2:$L$50)</f>
        <v>489.59951040000004</v>
      </c>
      <c r="F19" s="73" ph="1">
        <f>F18*9.0746*LOOKUP(F20,密度!$A$2:$A$50,密度!$L$2:$L$50)</f>
        <v>34535.894889600007</v>
      </c>
      <c r="G19" s="73" ph="1">
        <f>G18*9.0746*LOOKUP(G20,密度!$A$2:$A$50,密度!$B$2:$B$50)</f>
        <v>18216.186882280002</v>
      </c>
      <c r="H19" s="73" ph="1">
        <f>H18*9.0746*LOOKUP(H20,密度!$A$2:$A$50,密度!$L$2:$L$50)</f>
        <v>0</v>
      </c>
      <c r="I19" s="73" ph="1">
        <f>I18*9.0746*LOOKUP(I20,密度!$A$2:$A$50,密度!$U$2:$U$50)</f>
        <v>48722.053726800004</v>
      </c>
      <c r="J19" s="73" ph="1">
        <f>J18*9.0746*LOOKUP(J20,密度!$A$2:$A$50,密度!$L$2:$L$50)</f>
        <v>46994.612870799996</v>
      </c>
      <c r="K19" s="73" ph="1">
        <f>K18*9.0746*LOOKUP(K20,密度!$A$2:$A$50,密度!$C$2:$C$50)</f>
        <v>36162.731100160003</v>
      </c>
      <c r="L19" s="73" ph="1">
        <f>L18*9.0746*LOOKUP(L20,密度!$A$2:$A$50,密度!$E$2:$E$50)</f>
        <v>39933.434301040004</v>
      </c>
      <c r="M19" s="73" ph="1">
        <f>M18*9.0746*LOOKUP(M20,密度!$A$2:$A$50,密度!$M$2:$M$50)</f>
        <v>32820.907107179999</v>
      </c>
      <c r="N19" s="73" ph="1">
        <f>N18*9.0746*LOOKUP(N20,密度!$A$2:$A$50,密度!$M$2:$M$50)</f>
        <v>43645.958426400008</v>
      </c>
      <c r="O19" s="73" ph="1">
        <f>O18*9.0746*LOOKUP(O20,密度!$A$2:$A$50,密度!$G$2:$G$50)</f>
        <v>38920.142685999999</v>
      </c>
      <c r="P19" s="73" ph="1">
        <f ca="1">P18*9.0746*LOOKUP(P20,密度!$A$2:$A$51,密度!$Q$2:$Q$50)</f>
        <v>29588.391752976</v>
      </c>
      <c r="Q19" s="73" ph="1">
        <f>Q18*9.0746*LOOKUP(Q20,密度!$A$2:$A$50,密度!$Q$2:$Q$50)</f>
        <v>59664.6646741</v>
      </c>
      <c r="R19" s="73" ph="1">
        <f>MAX(R18*9.0746*LOOKUP(R20,密度!$A$2:$A$50,密度!$B$2:$B$50),0)</f>
        <v>52298.359939019996</v>
      </c>
      <c r="S19" s="73" ph="1">
        <f>S18*9.0746*LOOKUP(S20,密度!$A$2:$A$50,密度!$Q$2:$Q$50)</f>
        <v>1486.292617092</v>
      </c>
      <c r="T19" s="73" ph="1">
        <f>T18*9.0746*LOOKUP(T20,密度!$A$2:$A$50,密度!$O$2:$O$50)</f>
        <v>33351.822932400006</v>
      </c>
      <c r="U19" s="73" ph="1">
        <f>U18*9.0746*LOOKUP(U20,密度!$A$2:$A$50,密度!$H$2:$H$50)</f>
        <v>21447.244492739999</v>
      </c>
      <c r="V19" s="73" ph="1">
        <f>MAX(5600*LOOKUP(V20,密度!$A$2:$A$50,密度!$Q$2:$Q$50)+V18*9.0476*LOOKUP(V20,密度!$A$2:$A$50,密度!$Q$2:$Q$50),0)</f>
        <v>47978.888609416004</v>
      </c>
      <c r="W19" s="73" ph="1">
        <f>MAX(5600*LOOKUP(W20,密度!$A$2:$A$50,密度!$Q$2:$Q$50)+W18*9.0476*LOOKUP(W20,密度!$A$2:$A$50,密度!$Q$2:$Q$50),0)</f>
        <v>3839.9636431880003</v>
      </c>
      <c r="X19" s="73" ph="1">
        <f>MAX(5600*LOOKUP(X20,密度!$A$2:$A$50,密度!$I$2:$I$50)+X18*9.0476*LOOKUP(X20,密度!$A$2:$A$50,密度!$I$2:$I$50),0)</f>
        <v>6735.0746675199989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55.748897640000003</v>
      </c>
      <c r="AA19" s="73" ph="1">
        <f>AA18*9.0746*LOOKUP(AA20,密度!$A$2:$A$50,密度!$B$2:$B$50)</f>
        <v>70.990595800000008</v>
      </c>
      <c r="AB19" s="73" ph="1">
        <f>AB18*9.0746*LOOKUP(AB20,密度!$A$2:$A$50,密度!$L$2:$L$50)</f>
        <v>59391.714317999998</v>
      </c>
      <c r="AC19" s="73" ph="1">
        <f>AC18*9.0746*LOOKUP(AC20,密度!$A$2:$A$50,密度!$L$2:$L$50)</f>
        <v>18342.198592799999</v>
      </c>
      <c r="AD19" s="73" ph="1">
        <f>AD18*268.68*LOOKUP(AD20,密度!$A$2:$A$50,密度!B5:B53)+IF(AD18&lt;=0,0,1566*LOOKUP(AD20,密度!$A$2:$A$50,密度!B5:B53))</f>
        <v>4481.8565903999997</v>
      </c>
      <c r="AE19" s="73" ph="1">
        <f>AE18*268.68*LOOKUP(AE20,密度!$A$2:$A$50,密度!B5:B53)+IF(AE18&lt;=0,0,1566*LOOKUP(AE20,密度!$A$2:$A$50,密度!B5:B53))</f>
        <v>18888.685074000001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26</v>
      </c>
      <c r="E20" s="81">
        <v>26</v>
      </c>
      <c r="F20" s="81">
        <v>26</v>
      </c>
      <c r="G20" s="81">
        <v>22</v>
      </c>
      <c r="H20" s="81">
        <v>17</v>
      </c>
      <c r="I20" s="81">
        <v>24</v>
      </c>
      <c r="J20" s="81">
        <v>24</v>
      </c>
      <c r="K20" s="81">
        <v>21</v>
      </c>
      <c r="L20" s="81">
        <v>22</v>
      </c>
      <c r="M20" s="81">
        <v>25</v>
      </c>
      <c r="N20" s="81">
        <v>22</v>
      </c>
      <c r="O20" s="81">
        <v>22</v>
      </c>
      <c r="P20" s="81">
        <v>25</v>
      </c>
      <c r="Q20" s="81">
        <v>26</v>
      </c>
      <c r="R20" s="81">
        <v>26</v>
      </c>
      <c r="S20" s="81">
        <v>25</v>
      </c>
      <c r="T20" s="81">
        <v>26</v>
      </c>
      <c r="U20" s="81">
        <v>19</v>
      </c>
      <c r="V20" s="81">
        <v>24</v>
      </c>
      <c r="W20" s="81">
        <v>24</v>
      </c>
      <c r="X20" s="81">
        <v>26</v>
      </c>
      <c r="Y20" s="110">
        <v>26</v>
      </c>
      <c r="Z20" s="81">
        <v>28</v>
      </c>
      <c r="AA20" s="81">
        <v>22</v>
      </c>
      <c r="AB20" s="81">
        <v>23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648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71" t="s" ph="1">
        <v>177</v>
      </c>
      <c r="D24" s="71">
        <v>48.44</v>
      </c>
      <c r="E24" s="71">
        <v>5.58</v>
      </c>
      <c r="F24" s="71">
        <v>3112</v>
      </c>
      <c r="G24" s="71">
        <v>3777</v>
      </c>
      <c r="H24" s="71">
        <v>3571</v>
      </c>
      <c r="I24" s="71">
        <v>2393</v>
      </c>
      <c r="J24" s="71">
        <v>2266</v>
      </c>
      <c r="K24" s="71">
        <v>4878</v>
      </c>
      <c r="L24" s="71">
        <v>4390</v>
      </c>
      <c r="M24" s="71">
        <v>2643</v>
      </c>
      <c r="N24" s="71">
        <v>2854</v>
      </c>
      <c r="O24" s="71">
        <v>5728</v>
      </c>
      <c r="P24" s="71">
        <v>355</v>
      </c>
      <c r="Q24" s="90">
        <v>3051</v>
      </c>
      <c r="R24" s="71">
        <v>2872</v>
      </c>
      <c r="S24" s="71">
        <v>55</v>
      </c>
      <c r="T24" s="71">
        <v>216</v>
      </c>
      <c r="U24" s="71">
        <v>4224</v>
      </c>
      <c r="V24" s="71">
        <v>1475</v>
      </c>
      <c r="W24" s="71">
        <v>1444</v>
      </c>
      <c r="X24" s="71">
        <v>9115</v>
      </c>
      <c r="Y24" s="71">
        <v>7397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13804.282639007999</v>
      </c>
      <c r="E25" s="91" ph="1">
        <f>E24*268.68*LOOKUP(E26,密度!$A$2:$A$50,密度!$C$2:$C$50)+IF(E24&lt;=0,0,1566*LOOKUP(E26,密度!$A$2:$A$50,密度!$C$2:$C$50))</f>
        <v>3399.0384261600002</v>
      </c>
      <c r="F25" s="91" ph="1">
        <f>F24*11.702*LOOKUP(F26,密度!$A$2:$A$50,密度!$Q$2:$Q$50)</f>
        <v>34562.653672160006</v>
      </c>
      <c r="G25" s="91" ph="1">
        <f>G24*18.322*LOOKUP(G26,密度!$A$2:$A$50,密度!$B$2:$B$50)</f>
        <v>54136.876366200006</v>
      </c>
      <c r="H25" s="91" ph="1">
        <f>H24*18.322*LOOKUP(H26,密度!$A$2:$A$50,密度!$B$2:$B$50)</f>
        <v>51184.216442599994</v>
      </c>
      <c r="I25" s="91" ph="1">
        <f>I24*18.322*LOOKUP(I26,密度!$A$2:$A$50,密度!$Q$2:$Q$50)</f>
        <v>41573.398517199996</v>
      </c>
      <c r="J25" s="91" ph="1">
        <f>J24*18.322*LOOKUP(J26,密度!$A$2:$A$50,密度!$Q$2:$Q$50)</f>
        <v>39367.037626399993</v>
      </c>
      <c r="K25" s="91" ph="1">
        <f>K24*18.322*LOOKUP(K26,密度!$A$2:$A$50,密度!$Q$2:$Q$50)</f>
        <v>84745.105711199998</v>
      </c>
      <c r="L25" s="91" ph="1">
        <f>L24*18.322*LOOKUP(L26,密度!$A$2:$A$50,密度!$Q$2:$Q$50)</f>
        <v>76338.706442199997</v>
      </c>
      <c r="M25" s="91" ph="1">
        <f>M24*18.322*LOOKUP(M26,密度!$A$2:$A$50,密度!$Q$2:$Q$50)</f>
        <v>45959.726908139994</v>
      </c>
      <c r="N25" s="91" ph="1">
        <f>N24*18.322*LOOKUP(N26,密度!$A$2:$A$50,密度!$Q$2:$Q$50)</f>
        <v>49582.314821599997</v>
      </c>
      <c r="O25" s="91" ph="1">
        <f>O24*18.322*LOOKUP(O26,密度!$A$2:$A$50,密度!$C$2:$C$50)</f>
        <v>116534.72112640001</v>
      </c>
      <c r="P25" s="91" ph="1">
        <f>P24*11.702*LOOKUP(P26,密度!$A$2:$A$50,密度!$B$2:$B$50)</f>
        <v>3249.838483</v>
      </c>
      <c r="Q25" s="92" ph="1">
        <f>Q24*18.322*LOOKUP(Q26,密度!$A$2:$A$50,密度!$B$2:$B$50)</f>
        <v>43680.589750799998</v>
      </c>
      <c r="R25" s="91" ph="1">
        <f>R24*35.891*LOOKUP(R26,密度!$A$2:$A$50,密度!$C$2:$C$50)</f>
        <v>114531.02356719998</v>
      </c>
      <c r="S25" s="91" ph="1">
        <f>S24*35.891*LOOKUP(S26,密度!$A$2:$A$50,密度!$B$2:$B$50)</f>
        <v>1542.4875069999998</v>
      </c>
      <c r="T25" s="91" ph="1">
        <f>T24*35.891*LOOKUP(T26,密度!$A$2:$A$50,密度!$Q$2:$Q$50)</f>
        <v>7350.8787791999994</v>
      </c>
      <c r="U25" s="91" ph="1">
        <f>U24*35.891</f>
        <v>151603.584</v>
      </c>
      <c r="V25" s="91" ph="1">
        <f>V24*47.051*LOOKUP(V26,密度!$A$2:$A$50,密度!$B$2:$B$50)</f>
        <v>54291.796017500004</v>
      </c>
      <c r="W25" s="91" ph="1">
        <f>W24*47.051*LOOKUP(W26,密度!$A$2:$A$50,密度!$B$2:$B$50)</f>
        <v>53089.600621600002</v>
      </c>
      <c r="X25" s="91" ph="1">
        <f>X24*47.051*LOOKUP(X26,密度!$A$2:$A$61,密度!$I$2:$I$61)</f>
        <v>438390.77600299998</v>
      </c>
      <c r="Y25" s="91" ph="1">
        <f>Y24*47.051*LOOKUP(Y26,密度!$A$2:$A$50,密度!$L$2:$L$50)</f>
        <v>326806.03593300004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22</v>
      </c>
      <c r="G26" s="74">
        <v>22</v>
      </c>
      <c r="H26" s="74">
        <v>22</v>
      </c>
      <c r="I26" s="74">
        <v>23</v>
      </c>
      <c r="J26" s="74">
        <v>23</v>
      </c>
      <c r="K26" s="74">
        <v>23</v>
      </c>
      <c r="L26" s="74">
        <v>22</v>
      </c>
      <c r="M26" s="74">
        <v>22</v>
      </c>
      <c r="N26" s="74">
        <v>23</v>
      </c>
      <c r="O26" s="74">
        <v>23</v>
      </c>
      <c r="P26" s="74">
        <v>22</v>
      </c>
      <c r="Q26" s="93">
        <v>23</v>
      </c>
      <c r="R26" s="74">
        <v>22</v>
      </c>
      <c r="S26" s="74">
        <v>23</v>
      </c>
      <c r="T26" s="74">
        <v>23</v>
      </c>
      <c r="U26" s="74">
        <v>23</v>
      </c>
      <c r="V26" s="74">
        <v>22</v>
      </c>
      <c r="W26" s="74">
        <v>23</v>
      </c>
      <c r="X26" s="74">
        <v>43</v>
      </c>
      <c r="Y26" s="74">
        <v>23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71" t="s" ph="1">
        <v>180</v>
      </c>
      <c r="D27" s="71">
        <v>11.6</v>
      </c>
      <c r="E27" s="71">
        <v>66.02</v>
      </c>
      <c r="F27" s="71">
        <v>3445</v>
      </c>
      <c r="G27" s="71">
        <v>3211</v>
      </c>
      <c r="H27" s="71">
        <v>3145</v>
      </c>
      <c r="I27" s="71">
        <v>2390</v>
      </c>
      <c r="J27" s="71">
        <v>1667</v>
      </c>
      <c r="K27" s="71">
        <v>4878</v>
      </c>
      <c r="L27" s="71">
        <v>4387</v>
      </c>
      <c r="M27" s="71">
        <v>2641</v>
      </c>
      <c r="N27" s="71">
        <v>2852</v>
      </c>
      <c r="O27" s="71">
        <v>5725</v>
      </c>
      <c r="P27" s="71">
        <v>350</v>
      </c>
      <c r="Q27" s="90">
        <v>3364</v>
      </c>
      <c r="R27" s="71">
        <v>2871</v>
      </c>
      <c r="S27" s="71">
        <v>52</v>
      </c>
      <c r="T27" s="71">
        <v>213</v>
      </c>
      <c r="U27" s="71">
        <v>4191</v>
      </c>
      <c r="V27" s="71">
        <v>1948</v>
      </c>
      <c r="W27" s="71">
        <v>1136</v>
      </c>
      <c r="X27" s="71">
        <v>8999</v>
      </c>
      <c r="Y27" s="71">
        <v>7568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71" t="s" ph="1">
        <v>178</v>
      </c>
      <c r="D28" s="91" ph="1">
        <f>D27*268.68*LOOKUP(D29,密度!$A$2:$A$50,密度!$Q$2:$Q$50)+IF(D27&lt;=0,0,1566*LOOKUP(D29,密度!$A$2:$A$50,密度!$Q$2:$Q$50))</f>
        <v>4433.2880371199999</v>
      </c>
      <c r="E28" s="91" ph="1">
        <f>E27*268.68*LOOKUP(E29,密度!$A$2:$A$50,密度!$C$2:$C$50)+IF(E27&lt;=0,0,1566*LOOKUP(E29,密度!$A$2:$A$50,密度!$C$2:$C$50))</f>
        <v>21406.48681704</v>
      </c>
      <c r="F28" s="91" ph="1">
        <f>F27*11.702*LOOKUP(F29,密度!$A$2:$A$50,密度!$Q$2:$Q$50)</f>
        <v>38261.035315100002</v>
      </c>
      <c r="G28" s="91" ph="1">
        <f>G27*18.322*LOOKUP(G29,密度!$A$2:$A$50,密度!$B$2:$B$50)</f>
        <v>46077.176974399998</v>
      </c>
      <c r="H28" s="91" ph="1">
        <f>H27*18.322*LOOKUP(H29,密度!$A$2:$A$50,密度!$B$2:$B$50)</f>
        <v>45130.090807999994</v>
      </c>
      <c r="I28" s="91" ph="1">
        <f>I27*18.322*LOOKUP(I29,密度!$A$2:$A$50,密度!$Q$2:$Q$50)</f>
        <v>41653.962183399999</v>
      </c>
      <c r="J28" s="91" ph="1">
        <f>J27*18.322*LOOKUP(J29,密度!$A$2:$A$50,密度!$Q$2:$Q$50)</f>
        <v>28960.6583068</v>
      </c>
      <c r="K28" s="91" ph="1">
        <f>K27*18.322*LOOKUP(K29,密度!$A$2:$A$50,密度!$Q$2:$Q$50)</f>
        <v>84939.942592079999</v>
      </c>
      <c r="L28" s="91" ph="1">
        <f>L27*18.322*LOOKUP(L29,密度!$A$2:$A$50,密度!$Q$2:$Q$50)</f>
        <v>76458.548995220001</v>
      </c>
      <c r="M28" s="91" ph="1">
        <f>M27*18.322*LOOKUP(M29,密度!$A$2:$A$50,密度!$Q$2:$Q$50)</f>
        <v>45987.369492759994</v>
      </c>
      <c r="N28" s="91" ph="1">
        <f>N27*18.322*LOOKUP(N29,密度!$A$2:$A$50,密度!$Q$2:$Q$50)</f>
        <v>49746.658031439998</v>
      </c>
      <c r="O28" s="91" ph="1">
        <f>O27*18.322*LOOKUP(O29,密度!$A$2:$A$50,密度!$C$2:$C$50)</f>
        <v>116840.81395499999</v>
      </c>
      <c r="P28" s="91" ph="1">
        <f>P27*11.702*LOOKUP(P29,密度!$A$2:$A$50,密度!$B$2:$B$50)</f>
        <v>3193.0077199999996</v>
      </c>
      <c r="Q28" s="92" ph="1">
        <f>Q27*18.322*LOOKUP(Q29,密度!$A$2:$A$50,密度!$B$2:$B$50)</f>
        <v>48328.1665928</v>
      </c>
      <c r="R28" s="91" ph="1">
        <f>R27*35.891*LOOKUP(R29,密度!$A$2:$A$50,密度!$C$2:$C$50)</f>
        <v>116005.87807379999</v>
      </c>
      <c r="S28" s="91" ph="1">
        <f>S27*35.891*LOOKUP(S29,密度!$A$2:$A$50,密度!$B$2:$B$50)</f>
        <v>1461.7112224</v>
      </c>
      <c r="T28" s="91" ph="1">
        <f>T27*35.891*LOOKUP(T29,密度!$A$2:$A$50,密度!$Q$2:$Q$50)</f>
        <v>7248.7832405999998</v>
      </c>
      <c r="U28" s="91" ph="1">
        <f>U27*35.891</f>
        <v>150419.18099999998</v>
      </c>
      <c r="V28" s="91" ph="1">
        <f>V27*47.051*LOOKUP(V29,密度!$A$2:$A$50,密度!$B$2:$B$50)</f>
        <v>72151.089945600004</v>
      </c>
      <c r="W28" s="91" ph="1">
        <f>W27*47.051*LOOKUP(W29,密度!$A$2:$A$50,密度!$B$2:$B$50)</f>
        <v>41952.854766400007</v>
      </c>
      <c r="X28" s="91" ph="1">
        <f>X27*47.051*LOOKUP(X29,密度!$A$2:$A$61,密度!$I$2:$I$61)</f>
        <v>429932.49301460007</v>
      </c>
      <c r="Y28" s="91" ph="1">
        <f>Y27*47.051*LOOKUP(Y29,密度!$A$2:$A$50,密度!$L$2:$L$50)</f>
        <v>333292.72204800003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71" t="s" ph="1">
        <v>179</v>
      </c>
      <c r="D29" s="74">
        <v>25</v>
      </c>
      <c r="E29" s="74">
        <v>25</v>
      </c>
      <c r="F29" s="74">
        <v>22</v>
      </c>
      <c r="G29" s="74">
        <v>21</v>
      </c>
      <c r="H29" s="74">
        <v>21</v>
      </c>
      <c r="I29" s="74">
        <v>19</v>
      </c>
      <c r="J29" s="74">
        <v>23</v>
      </c>
      <c r="K29" s="74">
        <v>20</v>
      </c>
      <c r="L29" s="74">
        <v>19</v>
      </c>
      <c r="M29" s="74">
        <v>20</v>
      </c>
      <c r="N29" s="74">
        <v>18</v>
      </c>
      <c r="O29" s="74">
        <v>18</v>
      </c>
      <c r="P29" s="74">
        <v>25</v>
      </c>
      <c r="Q29" s="93">
        <v>20</v>
      </c>
      <c r="R29" s="74">
        <v>2</v>
      </c>
      <c r="S29" s="74">
        <v>21</v>
      </c>
      <c r="T29" s="74">
        <v>23</v>
      </c>
      <c r="U29" s="74">
        <v>20</v>
      </c>
      <c r="V29" s="74">
        <v>16</v>
      </c>
      <c r="W29" s="74">
        <v>19</v>
      </c>
      <c r="X29" s="74">
        <v>49</v>
      </c>
      <c r="Y29" s="74">
        <v>26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71" t="s" ph="1">
        <v>5</v>
      </c>
      <c r="F32" s="170" t="s" ph="1">
        <v>43</v>
      </c>
      <c r="G32" s="97" t="s" ph="1">
        <v>4</v>
      </c>
      <c r="H32" s="171" t="s" ph="1">
        <v>5</v>
      </c>
      <c r="I32" s="170" t="s" ph="1">
        <v>43</v>
      </c>
      <c r="J32" s="97" t="s" ph="1">
        <v>4</v>
      </c>
      <c r="K32" s="171" t="s" ph="1">
        <v>5</v>
      </c>
      <c r="L32" s="170" t="s" ph="1">
        <v>43</v>
      </c>
      <c r="M32" s="97" t="s" ph="1">
        <v>4</v>
      </c>
      <c r="N32" s="171" t="s" ph="1">
        <v>5</v>
      </c>
      <c r="O32" s="17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1" t="s" ph="1">
        <v>5</v>
      </c>
      <c r="U32" s="99" t="s" ph="1">
        <v>43</v>
      </c>
      <c r="V32" s="97" t="s" ph="1">
        <v>4</v>
      </c>
      <c r="W32" s="171" t="s" ph="1">
        <v>5</v>
      </c>
      <c r="X32" s="99" t="s" ph="1">
        <v>43</v>
      </c>
      <c r="Y32" s="100" t="s" ph="1">
        <v>4</v>
      </c>
      <c r="Z32" s="171" t="s" ph="1">
        <v>5</v>
      </c>
      <c r="AA32" s="170" t="s" ph="1">
        <v>43</v>
      </c>
      <c r="AB32" s="97" t="s" ph="1">
        <v>85</v>
      </c>
      <c r="AC32" s="171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334585.13586263999</v>
      </c>
      <c r="E33" s="215" ph="1">
        <f>M10+I10</f>
        <v>8346.1301088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9" ph="1">
        <f>N19</f>
        <v>43645.958426400008</v>
      </c>
      <c r="H33" s="215" ph="1">
        <f>M19</f>
        <v>32820.907107179999</v>
      </c>
      <c r="I33" s="228" ph="1">
        <v>0</v>
      </c>
      <c r="J33" s="226" ph="1">
        <f>F10+O28</f>
        <v>327083.76252059999</v>
      </c>
      <c r="K33" s="215" ph="1">
        <f>O10+K10+E28+R28</f>
        <v>247063.68224404001</v>
      </c>
      <c r="L33" s="230" ph="1">
        <f>K19</f>
        <v>36162.731100160003</v>
      </c>
      <c r="M33" s="226" ph="1">
        <f>G10+H10+W28+S28+V28+E10+R19+P28+Q28</f>
        <v>820194.85544222011</v>
      </c>
      <c r="N33" s="215" ph="1">
        <f>L10+P10++G28+H28+AD19+AE19</f>
        <v>432497.2535088</v>
      </c>
      <c r="O33" s="228" ph="1">
        <f>G19</f>
        <v>18216.186882280002</v>
      </c>
      <c r="P33" s="226" ph="1">
        <f>L19</f>
        <v>39933.434301040004</v>
      </c>
      <c r="Q33" s="215" ph="1">
        <f>J10+N10</f>
        <v>77214.377119600002</v>
      </c>
      <c r="R33" s="228" ph="1">
        <f>BE23</f>
        <v>890</v>
      </c>
      <c r="S33" s="226" ph="1">
        <f>X28</f>
        <v>429932.49301460007</v>
      </c>
      <c r="T33" s="215" ph="1">
        <f>X19</f>
        <v>6735.0746675199989</v>
      </c>
      <c r="U33" s="236" ph="1">
        <f>BE21</f>
        <v>730</v>
      </c>
      <c r="V33" s="247" ph="1">
        <f ca="1">P19+Q19+S19+M28+N28+J28+D10+AC10+D19+E19+H19+J19+O19+V19+W19+K28+L28</f>
        <v>973880.59333307191</v>
      </c>
      <c r="W33" s="247" ph="1">
        <f>D28+F28+T28+I28</f>
        <v>91597.068776219996</v>
      </c>
      <c r="X33" s="228" ph="1">
        <f>BE29+BE31</f>
        <v>10200</v>
      </c>
      <c r="Y33" s="249" ph="1">
        <f>+Q10+R10+S10+T10+U10+V10+W10+X10+Y10</f>
        <v>268020.20516040002</v>
      </c>
      <c r="Z33" s="234" ph="1">
        <f>T19+U19+Y28+Z10</f>
        <v>415812.20401314006</v>
      </c>
      <c r="AA33" s="236" ph="1">
        <f>BE19</f>
        <v>1440</v>
      </c>
      <c r="AB33" s="238" ph="1">
        <f>I19</f>
        <v>48722.053726800004</v>
      </c>
      <c r="AC33" s="240" ph="1">
        <f>AD10+AB19</f>
        <v>153209.83739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9" t="s" ph="1">
        <v>185</v>
      </c>
      <c r="AA36" s="169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9" t="s" ph="1">
        <v>342</v>
      </c>
      <c r="AI37" s="169" t="s" ph="1">
        <v>209</v>
      </c>
      <c r="AJ37" s="169" t="s" ph="1">
        <v>210</v>
      </c>
      <c r="AK37" s="169" t="s" ph="1">
        <v>211</v>
      </c>
      <c r="AM37" s="169" t="s" ph="1">
        <v>210</v>
      </c>
      <c r="AN37" s="169" t="s" ph="1">
        <v>211</v>
      </c>
      <c r="AO37" s="169" t="s" ph="1">
        <v>212</v>
      </c>
      <c r="AP37" s="169" t="s" ph="1">
        <v>210</v>
      </c>
      <c r="AQ37" s="169" t="s" ph="1">
        <v>211</v>
      </c>
      <c r="AR37" s="169" t="s" ph="1">
        <v>212</v>
      </c>
      <c r="AS37" s="169" t="s" ph="1">
        <v>210</v>
      </c>
      <c r="AT37" s="169" t="s" ph="1">
        <v>211</v>
      </c>
      <c r="AU37" s="169" t="s" ph="1">
        <v>212</v>
      </c>
      <c r="AV37" s="169" t="s" ph="1">
        <v>210</v>
      </c>
      <c r="AW37" s="169" t="s" ph="1">
        <v>211</v>
      </c>
      <c r="AX37" s="169" t="s" ph="1">
        <v>212</v>
      </c>
      <c r="AY37" s="169" t="s" ph="1">
        <v>211</v>
      </c>
      <c r="AZ37" s="169" t="s" ph="1">
        <v>213</v>
      </c>
      <c r="BD37" s="169" t="s" ph="1">
        <v>305</v>
      </c>
      <c r="BE37" s="16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9" priority="100">
      <formula>ABS(D$7-D$10)&gt;=1000</formula>
    </cfRule>
  </conditionalFormatting>
  <conditionalFormatting sqref="E4 E6:E11">
    <cfRule type="expression" dxfId="258" priority="99">
      <formula>ABS(E$7-E$10)&gt;=1000</formula>
    </cfRule>
  </conditionalFormatting>
  <conditionalFormatting sqref="F4:F11">
    <cfRule type="expression" dxfId="257" priority="98">
      <formula>ABS(F$7-F$10)&gt;=1000</formula>
    </cfRule>
  </conditionalFormatting>
  <conditionalFormatting sqref="G4:G11">
    <cfRule type="expression" dxfId="256" priority="97">
      <formula>ABS(G$7-G$10)&gt;=1000</formula>
    </cfRule>
  </conditionalFormatting>
  <conditionalFormatting sqref="H4:H11">
    <cfRule type="expression" dxfId="255" priority="96">
      <formula>ABS(H$7-H$10)&gt;=1000</formula>
    </cfRule>
  </conditionalFormatting>
  <conditionalFormatting sqref="I4:I11">
    <cfRule type="expression" dxfId="254" priority="95">
      <formula>ABS(I$7-I$10)&gt;=1000</formula>
    </cfRule>
  </conditionalFormatting>
  <conditionalFormatting sqref="J4:J11">
    <cfRule type="expression" dxfId="253" priority="94">
      <formula>ABS(J$7-J$10)&gt;=1000</formula>
    </cfRule>
  </conditionalFormatting>
  <conditionalFormatting sqref="K4:K11">
    <cfRule type="expression" dxfId="252" priority="93">
      <formula>ABS(K$7-K$10)&gt;=1000</formula>
    </cfRule>
  </conditionalFormatting>
  <conditionalFormatting sqref="L4:L11">
    <cfRule type="expression" dxfId="251" priority="92">
      <formula>ABS(L$7-L$10)&gt;=1000</formula>
    </cfRule>
  </conditionalFormatting>
  <conditionalFormatting sqref="M4 M6:M11">
    <cfRule type="expression" dxfId="250" priority="91">
      <formula>ABS(M$7-M$10)&gt;=1000</formula>
    </cfRule>
  </conditionalFormatting>
  <conditionalFormatting sqref="N4 N6:N11">
    <cfRule type="expression" dxfId="249" priority="90">
      <formula>ABS(N$7-N$10)&gt;=1000</formula>
    </cfRule>
  </conditionalFormatting>
  <conditionalFormatting sqref="O4 O6:O11">
    <cfRule type="expression" dxfId="248" priority="89">
      <formula>ABS(O$7-O$10)&gt;=1000</formula>
    </cfRule>
  </conditionalFormatting>
  <conditionalFormatting sqref="P4 P6:P11">
    <cfRule type="expression" dxfId="247" priority="88">
      <formula>ABS(P$7-P$10)&gt;=1000</formula>
    </cfRule>
  </conditionalFormatting>
  <conditionalFormatting sqref="Q4:Q11">
    <cfRule type="expression" dxfId="246" priority="87">
      <formula>ABS(Q$7-Q$10)&gt;=1000</formula>
    </cfRule>
  </conditionalFormatting>
  <conditionalFormatting sqref="R4:R11">
    <cfRule type="expression" dxfId="245" priority="86">
      <formula>ABS(R$7-R$10)&gt;=1000</formula>
    </cfRule>
  </conditionalFormatting>
  <conditionalFormatting sqref="S4:S11">
    <cfRule type="expression" dxfId="244" priority="85">
      <formula>ABS(S$7-S$10)&gt;=1000</formula>
    </cfRule>
  </conditionalFormatting>
  <conditionalFormatting sqref="T4:T9 T11">
    <cfRule type="expression" dxfId="243" priority="84">
      <formula>ABS(T$7-T$10)&gt;=1000</formula>
    </cfRule>
  </conditionalFormatting>
  <conditionalFormatting sqref="U4:U9 U11">
    <cfRule type="expression" dxfId="242" priority="83">
      <formula>ABS(U$7-U$10)&gt;=1000</formula>
    </cfRule>
  </conditionalFormatting>
  <conditionalFormatting sqref="V4:V9 V11">
    <cfRule type="expression" dxfId="241" priority="82">
      <formula>ABS(V$7-V$10)&gt;=1000</formula>
    </cfRule>
  </conditionalFormatting>
  <conditionalFormatting sqref="W4:W9 W11">
    <cfRule type="expression" dxfId="240" priority="81">
      <formula>ABS(W$7-W$10)&gt;=1000</formula>
    </cfRule>
  </conditionalFormatting>
  <conditionalFormatting sqref="X4:X9 X11">
    <cfRule type="expression" dxfId="239" priority="80">
      <formula>ABS(X$7-X$10)&gt;=1000</formula>
    </cfRule>
  </conditionalFormatting>
  <conditionalFormatting sqref="Y4:Y9 Y11">
    <cfRule type="expression" dxfId="238" priority="79">
      <formula>ABS(Y$7-Y$10)&gt;=1000</formula>
    </cfRule>
  </conditionalFormatting>
  <conditionalFormatting sqref="Z4:Z11">
    <cfRule type="expression" dxfId="237" priority="78">
      <formula>ABS(Z$7-Z$10)&gt;=1000</formula>
    </cfRule>
  </conditionalFormatting>
  <conditionalFormatting sqref="AA4:AA11">
    <cfRule type="expression" dxfId="236" priority="77">
      <formula>ABS(AA$7-AA$10)&gt;=1000</formula>
    </cfRule>
  </conditionalFormatting>
  <conditionalFormatting sqref="AB4:AB11">
    <cfRule type="expression" dxfId="235" priority="76">
      <formula>ABS(AB$7-AB$10)&gt;=1000</formula>
    </cfRule>
  </conditionalFormatting>
  <conditionalFormatting sqref="AC4 AC6:AC11">
    <cfRule type="expression" dxfId="234" priority="75">
      <formula>ABS(AC$7-AC$10)&gt;=1000</formula>
    </cfRule>
  </conditionalFormatting>
  <conditionalFormatting sqref="AD4 AD6:AD11">
    <cfRule type="expression" dxfId="233" priority="74">
      <formula>ABS(AD$7-AD$10)&gt;=1000</formula>
    </cfRule>
  </conditionalFormatting>
  <conditionalFormatting sqref="AE4 AE6:AE11">
    <cfRule type="expression" dxfId="232" priority="73">
      <formula>ABS(AE$7-AE$10)&gt;=1000</formula>
    </cfRule>
  </conditionalFormatting>
  <conditionalFormatting sqref="D13:D20">
    <cfRule type="expression" dxfId="231" priority="72">
      <formula>ABS(D$16-D$19)&gt;=1000</formula>
    </cfRule>
  </conditionalFormatting>
  <conditionalFormatting sqref="E13:E20">
    <cfRule type="expression" dxfId="230" priority="71">
      <formula>ABS(E$16-E$19)&gt;=1000</formula>
    </cfRule>
  </conditionalFormatting>
  <conditionalFormatting sqref="F13 F15:F20">
    <cfRule type="expression" dxfId="229" priority="70">
      <formula>ABS(F$16-F$19)&gt;=1000</formula>
    </cfRule>
  </conditionalFormatting>
  <conditionalFormatting sqref="G13:G20">
    <cfRule type="expression" dxfId="228" priority="69">
      <formula>ABS(G$16-G$19)&gt;=1000</formula>
    </cfRule>
  </conditionalFormatting>
  <conditionalFormatting sqref="H13 H15:H20">
    <cfRule type="expression" dxfId="227" priority="68">
      <formula>ABS(H$16-H$19)&gt;=1000</formula>
    </cfRule>
  </conditionalFormatting>
  <conditionalFormatting sqref="I13:I20">
    <cfRule type="expression" dxfId="226" priority="67">
      <formula>ABS(I$16-I$19)&gt;=1000</formula>
    </cfRule>
  </conditionalFormatting>
  <conditionalFormatting sqref="J13:J20">
    <cfRule type="expression" dxfId="225" priority="66">
      <formula>ABS(J$16-J$19)&gt;=1000</formula>
    </cfRule>
  </conditionalFormatting>
  <conditionalFormatting sqref="L13:L20">
    <cfRule type="expression" dxfId="224" priority="65">
      <formula>ABS(L$16-L$19)&gt;=1000</formula>
    </cfRule>
  </conditionalFormatting>
  <conditionalFormatting sqref="M13 M15 M17:M18 M20">
    <cfRule type="expression" dxfId="223" priority="64">
      <formula>ABS(M$16-M$19)&gt;=1000</formula>
    </cfRule>
  </conditionalFormatting>
  <conditionalFormatting sqref="N13:N20">
    <cfRule type="expression" dxfId="222" priority="63">
      <formula>ABS(N$16-N$19)&gt;=1000</formula>
    </cfRule>
  </conditionalFormatting>
  <conditionalFormatting sqref="O13:O20">
    <cfRule type="expression" dxfId="221" priority="62">
      <formula>ABS(O$16-O$19)&gt;=1000</formula>
    </cfRule>
  </conditionalFormatting>
  <conditionalFormatting sqref="P13:P20">
    <cfRule type="expression" dxfId="220" priority="61">
      <formula>ABS(P$16-P$19)&gt;=1000</formula>
    </cfRule>
  </conditionalFormatting>
  <conditionalFormatting sqref="Q13 Q15:Q20">
    <cfRule type="expression" dxfId="219" priority="60">
      <formula>ABS(Q$16-Q$19)&gt;=1000</formula>
    </cfRule>
  </conditionalFormatting>
  <conditionalFormatting sqref="R13:R20">
    <cfRule type="expression" dxfId="218" priority="59">
      <formula>ABS(R$16-R$19)&gt;=1000</formula>
    </cfRule>
  </conditionalFormatting>
  <conditionalFormatting sqref="S13:S20">
    <cfRule type="expression" dxfId="217" priority="58">
      <formula>ABS(S$16-S$19)&gt;=1000</formula>
    </cfRule>
  </conditionalFormatting>
  <conditionalFormatting sqref="T13:T20">
    <cfRule type="expression" dxfId="216" priority="57">
      <formula>ABS(T$16-T$19)&gt;=1000</formula>
    </cfRule>
  </conditionalFormatting>
  <conditionalFormatting sqref="U13:U20">
    <cfRule type="expression" dxfId="215" priority="56">
      <formula>ABS(U$16-U$19)&gt;=1000</formula>
    </cfRule>
  </conditionalFormatting>
  <conditionalFormatting sqref="V13:V20">
    <cfRule type="expression" dxfId="214" priority="55">
      <formula>ABS(V$16-V$19)&gt;=1000</formula>
    </cfRule>
  </conditionalFormatting>
  <conditionalFormatting sqref="W13 W20 W15:W18">
    <cfRule type="expression" dxfId="213" priority="54">
      <formula>ABS(W$16-W$19)&gt;=1000</formula>
    </cfRule>
  </conditionalFormatting>
  <conditionalFormatting sqref="X13 X15:X20 Y19">
    <cfRule type="expression" dxfId="212" priority="53">
      <formula>ABS(X$16-X$19)&gt;=1000</formula>
    </cfRule>
  </conditionalFormatting>
  <conditionalFormatting sqref="Y13 Y15:Y18 Y20">
    <cfRule type="expression" dxfId="211" priority="52">
      <formula>ABS(Y$16-Y$19)&gt;=1000</formula>
    </cfRule>
  </conditionalFormatting>
  <conditionalFormatting sqref="Z13:Z20">
    <cfRule type="expression" dxfId="210" priority="51">
      <formula>ABS(Z$16-Z$19)&gt;=1000</formula>
    </cfRule>
  </conditionalFormatting>
  <conditionalFormatting sqref="AA13:AA20">
    <cfRule type="expression" dxfId="209" priority="50">
      <formula>ABS(AA$16-AA$19)&gt;=1000</formula>
    </cfRule>
  </conditionalFormatting>
  <conditionalFormatting sqref="AB13 AB15:AB20">
    <cfRule type="expression" dxfId="208" priority="49">
      <formula>ABS(AB$16-AB$19)&gt;=1000</formula>
    </cfRule>
  </conditionalFormatting>
  <conditionalFormatting sqref="AC13 AC15:AC20">
    <cfRule type="expression" dxfId="207" priority="48">
      <formula>ABS(AC$16-AC$19)&gt;=1000</formula>
    </cfRule>
  </conditionalFormatting>
  <conditionalFormatting sqref="AD13:AD20">
    <cfRule type="expression" dxfId="206" priority="47">
      <formula>ABS(AD$16-AD$19)&gt;=1000</formula>
    </cfRule>
  </conditionalFormatting>
  <conditionalFormatting sqref="AE13:AE20">
    <cfRule type="expression" dxfId="205" priority="46">
      <formula>ABS(AE$16-AE$19)&gt;=1000</formula>
    </cfRule>
  </conditionalFormatting>
  <conditionalFormatting sqref="D22:D29">
    <cfRule type="expression" dxfId="204" priority="45">
      <formula>ABS(D$25-D$28)&gt;=1000</formula>
    </cfRule>
  </conditionalFormatting>
  <conditionalFormatting sqref="E22:E29">
    <cfRule type="expression" dxfId="203" priority="44">
      <formula>ABS(E$25-E$28)&gt;=1000</formula>
    </cfRule>
  </conditionalFormatting>
  <conditionalFormatting sqref="F22:F29">
    <cfRule type="expression" dxfId="202" priority="43">
      <formula>ABS(F$25-F$28)&gt;=1000</formula>
    </cfRule>
  </conditionalFormatting>
  <conditionalFormatting sqref="G22:G29">
    <cfRule type="expression" dxfId="201" priority="42">
      <formula>ABS(G$25-G$28)&gt;=1000</formula>
    </cfRule>
  </conditionalFormatting>
  <conditionalFormatting sqref="H22:H29">
    <cfRule type="expression" dxfId="200" priority="41">
      <formula>ABS(H$25-H$28)&gt;=1000</formula>
    </cfRule>
  </conditionalFormatting>
  <conditionalFormatting sqref="I22 I24:I29">
    <cfRule type="expression" dxfId="199" priority="40">
      <formula>ABS(I$25-I$28)&gt;=1000</formula>
    </cfRule>
  </conditionalFormatting>
  <conditionalFormatting sqref="J22:J29 K22">
    <cfRule type="expression" dxfId="198" priority="39">
      <formula>ABS(J$25-J$28)&gt;=1000</formula>
    </cfRule>
  </conditionalFormatting>
  <conditionalFormatting sqref="K23:K29 L25 L28">
    <cfRule type="expression" dxfId="197" priority="38">
      <formula>ABS(K$25-K$28)&gt;=1000</formula>
    </cfRule>
  </conditionalFormatting>
  <conditionalFormatting sqref="L22 L26:L27 L29 L24">
    <cfRule type="expression" dxfId="196" priority="37">
      <formula>ABS(L$25-L$28)&gt;=1000</formula>
    </cfRule>
  </conditionalFormatting>
  <conditionalFormatting sqref="M22:M29">
    <cfRule type="expression" dxfId="195" priority="36">
      <formula>ABS(M$25-M$28)&gt;=1000</formula>
    </cfRule>
  </conditionalFormatting>
  <conditionalFormatting sqref="N22:N29">
    <cfRule type="expression" dxfId="194" priority="35">
      <formula>ABS(N$25-N$28)&gt;=1000</formula>
    </cfRule>
  </conditionalFormatting>
  <conditionalFormatting sqref="O22:O29">
    <cfRule type="expression" dxfId="193" priority="34">
      <formula>ABS(O$25-O$28)&gt;=1000</formula>
    </cfRule>
  </conditionalFormatting>
  <conditionalFormatting sqref="P22:P29">
    <cfRule type="expression" dxfId="192" priority="33">
      <formula>ABS(P$25-P$28)&gt;=1000</formula>
    </cfRule>
  </conditionalFormatting>
  <conditionalFormatting sqref="Q22:Q29">
    <cfRule type="expression" dxfId="191" priority="32">
      <formula>ABS(Q$25-Q$28)&gt;=1000</formula>
    </cfRule>
  </conditionalFormatting>
  <conditionalFormatting sqref="R22:R29">
    <cfRule type="expression" dxfId="190" priority="31">
      <formula>ABS(R$25-R$28)&gt;=1000</formula>
    </cfRule>
  </conditionalFormatting>
  <conditionalFormatting sqref="S22:S29">
    <cfRule type="expression" dxfId="189" priority="30">
      <formula>ABS(S$25-S$28)&gt;=1000</formula>
    </cfRule>
  </conditionalFormatting>
  <conditionalFormatting sqref="T22:T29">
    <cfRule type="expression" dxfId="188" priority="29">
      <formula>ABS(T$25-T$28)&gt;=1000</formula>
    </cfRule>
  </conditionalFormatting>
  <conditionalFormatting sqref="U22:U29">
    <cfRule type="expression" dxfId="187" priority="28">
      <formula>ABS(U$25-U$28)&gt;=1000</formula>
    </cfRule>
  </conditionalFormatting>
  <conditionalFormatting sqref="V22:V29">
    <cfRule type="expression" dxfId="186" priority="27">
      <formula>ABS(V$25-V$28)&gt;=1000</formula>
    </cfRule>
  </conditionalFormatting>
  <conditionalFormatting sqref="W22:W29">
    <cfRule type="expression" dxfId="185" priority="26">
      <formula>ABS(W$25-W$28)&gt;=1000</formula>
    </cfRule>
  </conditionalFormatting>
  <conditionalFormatting sqref="X22:X29">
    <cfRule type="expression" dxfId="184" priority="25">
      <formula>ABS(X$25-X$28)&gt;=1000</formula>
    </cfRule>
  </conditionalFormatting>
  <conditionalFormatting sqref="Y22:Y29">
    <cfRule type="expression" dxfId="183" priority="24">
      <formula>ABS(Y$25-Y$28)&gt;=1000</formula>
    </cfRule>
  </conditionalFormatting>
  <conditionalFormatting sqref="I23">
    <cfRule type="expression" dxfId="182" priority="23">
      <formula>ABS(I$25-I$28)&gt;=1000</formula>
    </cfRule>
  </conditionalFormatting>
  <conditionalFormatting sqref="Q14">
    <cfRule type="expression" dxfId="181" priority="22">
      <formula>ABS(Q$16-Q$19)&gt;=1000</formula>
    </cfRule>
  </conditionalFormatting>
  <conditionalFormatting sqref="W14">
    <cfRule type="expression" dxfId="180" priority="21">
      <formula>ABS(W$16-W$19)&gt;=1000</formula>
    </cfRule>
  </conditionalFormatting>
  <conditionalFormatting sqref="X14">
    <cfRule type="expression" dxfId="179" priority="20">
      <formula>ABS(X$16-X$19)&gt;=1000</formula>
    </cfRule>
  </conditionalFormatting>
  <conditionalFormatting sqref="T10:Y10">
    <cfRule type="expression" dxfId="178" priority="19">
      <formula>ABS(T$7-T$10)&gt;=1000</formula>
    </cfRule>
  </conditionalFormatting>
  <conditionalFormatting sqref="W19">
    <cfRule type="expression" dxfId="177" priority="18">
      <formula>ABS(W$16-W$19)&gt;=1000</formula>
    </cfRule>
  </conditionalFormatting>
  <conditionalFormatting sqref="AC5">
    <cfRule type="expression" dxfId="176" priority="17">
      <formula>ABS(AC$7-AC$10)&gt;=1000</formula>
    </cfRule>
  </conditionalFormatting>
  <conditionalFormatting sqref="M14">
    <cfRule type="expression" dxfId="175" priority="16">
      <formula>ABS(M$16-M$19)&gt;=1000</formula>
    </cfRule>
  </conditionalFormatting>
  <conditionalFormatting sqref="M16">
    <cfRule type="expression" dxfId="174" priority="15">
      <formula>ABS(M$16-M$19)&gt;=1000</formula>
    </cfRule>
  </conditionalFormatting>
  <conditionalFormatting sqref="M19">
    <cfRule type="expression" dxfId="173" priority="14">
      <formula>ABS(M$16-M$19)&gt;=1000</formula>
    </cfRule>
  </conditionalFormatting>
  <conditionalFormatting sqref="K13:K20">
    <cfRule type="expression" dxfId="172" priority="13">
      <formula>ABS(K$16-K$19)&gt;=1000</formula>
    </cfRule>
  </conditionalFormatting>
  <conditionalFormatting sqref="E5">
    <cfRule type="expression" dxfId="171" priority="12">
      <formula>ABS(E$7-E$10)&gt;=1000</formula>
    </cfRule>
  </conditionalFormatting>
  <conditionalFormatting sqref="AB14:AC14">
    <cfRule type="expression" dxfId="170" priority="11">
      <formula>ABS(AB$16-AB$19)&gt;=1000</formula>
    </cfRule>
  </conditionalFormatting>
  <conditionalFormatting sqref="M5">
    <cfRule type="expression" dxfId="169" priority="10">
      <formula>ABS(M$7-M$10)&gt;=1000</formula>
    </cfRule>
  </conditionalFormatting>
  <conditionalFormatting sqref="N5">
    <cfRule type="expression" dxfId="168" priority="9">
      <formula>ABS(N$7-N$10)&gt;=1000</formula>
    </cfRule>
  </conditionalFormatting>
  <conditionalFormatting sqref="O5">
    <cfRule type="expression" dxfId="167" priority="8">
      <formula>ABS(O$7-O$10)&gt;=1000</formula>
    </cfRule>
  </conditionalFormatting>
  <conditionalFormatting sqref="P5">
    <cfRule type="expression" dxfId="166" priority="7">
      <formula>ABS(P$7-P$10)&gt;=1000</formula>
    </cfRule>
  </conditionalFormatting>
  <conditionalFormatting sqref="L23">
    <cfRule type="expression" dxfId="165" priority="6">
      <formula>ABS(L$25-L$28)&gt;=1000</formula>
    </cfRule>
  </conditionalFormatting>
  <conditionalFormatting sqref="Y14">
    <cfRule type="expression" dxfId="164" priority="5">
      <formula>ABS(Y$16-Y$19)&gt;=1000</formula>
    </cfRule>
  </conditionalFormatting>
  <conditionalFormatting sqref="F14">
    <cfRule type="expression" dxfId="163" priority="4">
      <formula>ABS(F$16-F$19)&gt;=1000</formula>
    </cfRule>
  </conditionalFormatting>
  <conditionalFormatting sqref="H14">
    <cfRule type="expression" dxfId="162" priority="3">
      <formula>ABS(H$16-H$19)&gt;=1000</formula>
    </cfRule>
  </conditionalFormatting>
  <conditionalFormatting sqref="AD5">
    <cfRule type="expression" dxfId="161" priority="2">
      <formula>ABS(AD$7-AD$10)&gt;=1000</formula>
    </cfRule>
  </conditionalFormatting>
  <conditionalFormatting sqref="AE5">
    <cfRule type="expression" dxfId="1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99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33">
    <pageSetUpPr fitToPage="1"/>
  </sheetPr>
  <dimension ref="A1:CU223"/>
  <sheetViews>
    <sheetView tabSelected="1" view="pageBreakPreview" topLeftCell="A7" zoomScale="70" zoomScaleNormal="100" zoomScaleSheetLayoutView="70" workbookViewId="0">
      <selection activeCell="K18" sqref="K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4" t="s" ph="1">
        <v>161</v>
      </c>
      <c r="C1" s="194" ph="1"/>
      <c r="D1" s="194" ph="1"/>
      <c r="E1" s="194" ph="1"/>
      <c r="F1" s="194" ph="1"/>
      <c r="G1" s="194" ph="1"/>
      <c r="H1" s="194" ph="1"/>
      <c r="I1" s="194" ph="1"/>
      <c r="J1" s="194" ph="1"/>
      <c r="K1" s="194" ph="1"/>
      <c r="L1" s="194" ph="1"/>
      <c r="M1" s="194" ph="1"/>
      <c r="N1" s="194" ph="1"/>
      <c r="O1" s="194" ph="1"/>
      <c r="P1" s="194" ph="1"/>
      <c r="Q1" s="194" ph="1"/>
      <c r="R1" s="194" ph="1"/>
      <c r="S1" s="194" ph="1"/>
      <c r="T1" s="194" ph="1"/>
      <c r="U1" s="194" ph="1"/>
      <c r="V1" s="194" ph="1"/>
      <c r="W1" s="194" ph="1"/>
      <c r="X1" s="194" ph="1"/>
      <c r="Y1" s="194" ph="1"/>
      <c r="Z1" s="194" ph="1"/>
      <c r="AA1" s="194" ph="1"/>
      <c r="AB1" s="194" ph="1"/>
      <c r="AC1" s="194" ph="1"/>
      <c r="AD1" s="194" ph="1"/>
      <c r="AE1" s="194" ph="1"/>
    </row>
    <row r="2" spans="1:99" s="66" customFormat="1" ht="24" customHeight="1" ph="1">
      <c r="B2" s="195" t="s" ph="1">
        <v>82</v>
      </c>
      <c r="C2" s="195" ph="1"/>
      <c r="D2" s="195" ph="1"/>
      <c r="E2" s="195" ph="1"/>
      <c r="F2" s="195" ph="1"/>
      <c r="G2" s="195" ph="1"/>
      <c r="H2" s="195" ph="1"/>
      <c r="I2" s="195" ph="1"/>
      <c r="J2" s="195" ph="1"/>
      <c r="K2" s="195" ph="1"/>
      <c r="L2" s="195" ph="1"/>
      <c r="M2" s="195" ph="1"/>
      <c r="N2" s="195" ph="1"/>
      <c r="O2" s="195" ph="1"/>
      <c r="P2" s="195" ph="1"/>
      <c r="Q2" s="195" ph="1"/>
      <c r="R2" s="195" ph="1"/>
      <c r="S2" s="195" ph="1"/>
      <c r="T2" s="195" ph="1"/>
      <c r="U2" s="195" ph="1"/>
      <c r="V2" s="195" ph="1"/>
      <c r="W2" s="195" ph="1"/>
      <c r="X2" s="195" ph="1"/>
      <c r="Y2" s="195" ph="1"/>
      <c r="Z2" s="195" ph="1"/>
      <c r="AA2" s="195" ph="1"/>
      <c r="AB2" s="195" ph="1"/>
      <c r="AC2" s="195" ph="1"/>
      <c r="AD2" s="195" ph="1"/>
      <c r="AE2" s="195" ph="1"/>
    </row>
    <row r="3" spans="1:99" ht="21" customHeight="1" ph="1">
      <c r="B3" s="196" ph="1">
        <v>46079</v>
      </c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</row>
    <row r="4" spans="1:99" s="69" customFormat="1" ph="1">
      <c r="A4" s="65" ph="1"/>
      <c r="B4" s="197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7" ph="1"/>
      <c r="C5" s="67" t="s" ph="1">
        <v>36</v>
      </c>
      <c r="D5" s="70" t="s" ph="1">
        <v>160</v>
      </c>
      <c r="E5" s="142" t="s" ph="1">
        <v>632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637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3" ph="1">
        <v>0.33333333333333331</v>
      </c>
      <c r="C6" s="171" t="s" ph="1">
        <v>177</v>
      </c>
      <c r="D6" s="71">
        <v>5986</v>
      </c>
      <c r="E6" s="71">
        <v>3883</v>
      </c>
      <c r="F6" s="71">
        <v>5689</v>
      </c>
      <c r="G6" s="71">
        <v>5815</v>
      </c>
      <c r="H6" s="71">
        <v>5625</v>
      </c>
      <c r="I6" s="71">
        <v>0.08</v>
      </c>
      <c r="J6" s="71">
        <v>6.59</v>
      </c>
      <c r="K6" s="71">
        <v>7.45</v>
      </c>
      <c r="L6" s="71">
        <v>77.02</v>
      </c>
      <c r="M6" s="71">
        <v>247</v>
      </c>
      <c r="N6" s="71">
        <v>2675</v>
      </c>
      <c r="O6" s="71">
        <v>4738</v>
      </c>
      <c r="P6" s="71">
        <v>7504</v>
      </c>
      <c r="Q6" s="71">
        <v>0</v>
      </c>
      <c r="R6" s="71">
        <v>6616</v>
      </c>
      <c r="S6" s="71">
        <v>5783</v>
      </c>
      <c r="T6" s="71">
        <v>7163</v>
      </c>
      <c r="U6" s="71">
        <v>7009</v>
      </c>
      <c r="V6" s="71">
        <v>6036</v>
      </c>
      <c r="W6" s="71">
        <v>5596</v>
      </c>
      <c r="X6" s="71">
        <v>1648</v>
      </c>
      <c r="Y6" s="71">
        <v>0</v>
      </c>
      <c r="Z6" s="71">
        <v>1930</v>
      </c>
      <c r="AA6" s="71">
        <v>6747</v>
      </c>
      <c r="AB6" s="71">
        <v>4597</v>
      </c>
      <c r="AC6" s="71">
        <v>5345</v>
      </c>
      <c r="AD6" s="71">
        <v>4780</v>
      </c>
      <c r="AE6" s="71">
        <v>4040</v>
      </c>
    </row>
    <row r="7" spans="1:99" s="72" customFormat="1" ht="22.2" ph="1">
      <c r="B7" s="193" ph="1"/>
      <c r="C7" s="68" t="s" ph="1">
        <v>178</v>
      </c>
      <c r="D7" s="73" ph="1">
        <f>D6*33.183*LOOKUP(D8,密度!$A$2:$A$50,密度!$Q$2:$Q$50)</f>
        <v>188640.18973422001</v>
      </c>
      <c r="E7" s="73" ph="1">
        <f>E6*51.53*LOOKUP(E8,密度!$A$2:$A$50,密度!$B$2:$B$50)</f>
        <v>156891.34525899999</v>
      </c>
      <c r="F7" s="73" ph="1">
        <f>F6*33.183*LOOKUP(F8,密度!$A$2:$A$50,密度!$C$2:$C$50)</f>
        <v>210147.76644839998</v>
      </c>
      <c r="G7" s="73" ph="1">
        <f xml:space="preserve"> (G6+2)*51.53*LOOKUP(G8,密度!$A$2:$A$50,密度!$B$2:$B$50)</f>
        <v>235033.98284100002</v>
      </c>
      <c r="H7" s="73" ph="1">
        <f>(H6)*51.53*LOOKUP(H8,密度!$A$2:$A$50,密度!$B$2:$B$50)</f>
        <v>227276.28562500002</v>
      </c>
      <c r="I7" s="73" ph="1">
        <f>I6*290.8*1.0267</f>
        <v>23.885148800000003</v>
      </c>
      <c r="J7" s="73" ph="1">
        <f>J6*290.8*0.7892</f>
        <v>1512.4007824</v>
      </c>
      <c r="K7" s="73" ph="1">
        <f>K6*290.8*1.1126</f>
        <v>2410.4033960000002</v>
      </c>
      <c r="L7" s="73" ph="1">
        <f>L6*290.8*0.777</f>
        <v>17402.792232</v>
      </c>
      <c r="M7" s="73" ph="1">
        <f>M6*33.183*LOOKUP(M8,密度!$A$2:$A$50,密度!$D$2:$D$50)</f>
        <v>8460.1186721999984</v>
      </c>
      <c r="N7" s="73" ph="1">
        <f>N6*33.183*LOOKUP(N8,密度!$A$2:$A$50,密度!$E$2:$E$50)</f>
        <v>69946.445699999997</v>
      </c>
      <c r="O7" s="73" ph="1">
        <f>O6*20.428*LOOKUP(O8,密度!$A$2:$A$50,密度!$C$2:$C$50)</f>
        <v>107395.81389439999</v>
      </c>
      <c r="P7" s="73" ph="1">
        <f>P6*51.53*LOOKUP(P8,密度!$A$2:$A$50,密度!$B$2:$B$50)</f>
        <v>303815.35598399997</v>
      </c>
      <c r="Q7" s="73" ph="1">
        <f>Q6*1.5*1.5*3.1416*LOOKUP(W8,密度!$A$2:$A$50,密度!$L$2:$L$50)</f>
        <v>0</v>
      </c>
      <c r="R7" s="73" ph="1">
        <f>R6*1.5*1.5*3.1416*LOOKUP(R8,密度!$A$2:$A$50,密度!$L$2:$L$50)</f>
        <v>43772.842713599995</v>
      </c>
      <c r="S7" s="73" ph="1">
        <f>S6*1.5*1.5*3.1416*LOOKUP(S8,密度!$A$2:$A$50,密度!$L$2:$L$50)</f>
        <v>38629.439540999992</v>
      </c>
      <c r="T7" s="73" ph="1">
        <f>T6*1.5*1.5*3.1416*LOOKUP(T8,密度!$A$2:$A$50,密度!$L$2:$L$50)</f>
        <v>47898.233182799995</v>
      </c>
      <c r="U7" s="73" ph="1">
        <f>U6*1.5*1.5*3.1416*LOOKUP(U8,密度!$A$2:$A$50,密度!$L$2:$L$50)</f>
        <v>46620.7321734</v>
      </c>
      <c r="V7" s="73" ph="1">
        <f>V6*1.5*1.5*3.1416*LOOKUP(V8,密度!$A$2:$A$50,密度!$L$2:$L$50)</f>
        <v>40020.773284800001</v>
      </c>
      <c r="W7" s="73" ph="1">
        <f>W6*1.5*1.5*3.1416*LOOKUP(W8,密度!$A$2:$A$50,密度!$L$2:$L$50)</f>
        <v>37222.088349600002</v>
      </c>
      <c r="X7" s="73" ph="1">
        <f>X6*1.5*1.5*3.1416*LOOKUP(X8,密度!$A$2:$A$50,密度!$L$2:$L$50)</f>
        <v>11078.249212799999</v>
      </c>
      <c r="Y7" s="73" ph="1">
        <f>Y6*1.5*1.5*3.1416*LOOKUP(Y8,密度!$A$2:$A$50,密度!$L$2:$L$50)</f>
        <v>0</v>
      </c>
      <c r="Z7" s="73" ph="1">
        <f>Z6*33.183*LOOKUP(Z8,密度!$A$2:$A$50,密度!$L$2:$L$50)</f>
        <v>60456.771359999999</v>
      </c>
      <c r="AA7" s="73" ph="1">
        <f>AA6*33.183*LOOKUP(AA8,密度!$A$2:$A$50,密度!$D$2:$D$50)</f>
        <v>231094.8205722</v>
      </c>
      <c r="AB7" s="73" ph="1">
        <f>AB6*20.428*LOOKUP(AB8,密度!$A$2:$A$50,密度!$D$2:$D$50)</f>
        <v>97419.657098400014</v>
      </c>
      <c r="AC7" s="73" ph="1">
        <f>AC6*51.53*LOOKUP(AC8,密度!$A$2:$A$50,密度!$Q$2:$Q$50)</f>
        <v>262427.65548000002</v>
      </c>
      <c r="AD7" s="73" ph="1">
        <f>AD6*20.428*LOOKUP(AD8,密度!$A$2:$A$50,密度!$V$2:$V$50)</f>
        <v>94130.589760000003</v>
      </c>
      <c r="AE7" s="73" ph="1">
        <f>AE6*20.428</f>
        <v>82529.12000000001</v>
      </c>
    </row>
    <row r="8" spans="1:99" ph="1">
      <c r="B8" s="193" ph="1"/>
      <c r="C8" s="68" t="s" ph="1">
        <v>179</v>
      </c>
      <c r="D8" s="74">
        <v>21</v>
      </c>
      <c r="E8" s="74">
        <v>20</v>
      </c>
      <c r="F8" s="74">
        <v>19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21</v>
      </c>
      <c r="O8" s="74">
        <v>24</v>
      </c>
      <c r="P8" s="74">
        <v>18</v>
      </c>
      <c r="Q8" s="74">
        <v>21</v>
      </c>
      <c r="R8" s="74">
        <v>26</v>
      </c>
      <c r="S8" s="74">
        <v>17</v>
      </c>
      <c r="T8" s="74">
        <v>16</v>
      </c>
      <c r="U8" s="74">
        <v>21</v>
      </c>
      <c r="V8" s="74">
        <v>24</v>
      </c>
      <c r="W8" s="74">
        <v>21</v>
      </c>
      <c r="X8" s="74">
        <v>11</v>
      </c>
      <c r="Y8" s="74">
        <v>18</v>
      </c>
      <c r="Z8" s="74">
        <v>18</v>
      </c>
      <c r="AA8" s="74">
        <v>19</v>
      </c>
      <c r="AB8" s="74">
        <v>13</v>
      </c>
      <c r="AC8" s="74">
        <v>17</v>
      </c>
      <c r="AD8" s="74">
        <v>18</v>
      </c>
      <c r="AE8" s="74">
        <v>23</v>
      </c>
    </row>
    <row r="9" spans="1:99" ht="26.4" ph="1">
      <c r="B9" s="193" ph="1">
        <v>0.66666666666666663</v>
      </c>
      <c r="C9" s="171" t="s" ph="1">
        <v>180</v>
      </c>
      <c r="D9" s="71">
        <v>5988</v>
      </c>
      <c r="E9" s="71">
        <v>4021</v>
      </c>
      <c r="F9" s="71">
        <v>5689</v>
      </c>
      <c r="G9" s="71">
        <v>5820</v>
      </c>
      <c r="H9" s="71">
        <v>5628</v>
      </c>
      <c r="I9" s="71">
        <v>0.06</v>
      </c>
      <c r="J9" s="71">
        <v>6.67</v>
      </c>
      <c r="K9" s="71">
        <v>7.32</v>
      </c>
      <c r="L9" s="71">
        <v>77</v>
      </c>
      <c r="M9" s="71">
        <v>245</v>
      </c>
      <c r="N9" s="71">
        <v>2618</v>
      </c>
      <c r="O9" s="71">
        <v>4739</v>
      </c>
      <c r="P9" s="71">
        <v>7611</v>
      </c>
      <c r="Q9" s="71">
        <v>0</v>
      </c>
      <c r="R9" s="71">
        <v>2325</v>
      </c>
      <c r="S9" s="71">
        <v>5789</v>
      </c>
      <c r="T9" s="71">
        <v>7169</v>
      </c>
      <c r="U9" s="71">
        <v>7014</v>
      </c>
      <c r="V9" s="71">
        <v>6042</v>
      </c>
      <c r="W9" s="71">
        <v>7031</v>
      </c>
      <c r="X9" s="71">
        <v>6393</v>
      </c>
      <c r="Y9" s="71">
        <v>0</v>
      </c>
      <c r="Z9" s="71">
        <v>2860</v>
      </c>
      <c r="AA9" s="71">
        <v>6752</v>
      </c>
      <c r="AB9" s="71">
        <v>4599</v>
      </c>
      <c r="AC9" s="71">
        <v>5766</v>
      </c>
      <c r="AD9" s="71">
        <v>4780</v>
      </c>
      <c r="AE9" s="71">
        <v>3730</v>
      </c>
    </row>
    <row r="10" spans="1:99" s="72" customFormat="1" ht="22.2" ph="1">
      <c r="B10" s="193" ph="1"/>
      <c r="C10" s="171" t="s" ph="1">
        <v>178</v>
      </c>
      <c r="D10" s="73" ph="1">
        <f>D9*33.183*LOOKUP(D11,密度!$A$2:$A$50,密度!$Q$2:$Q$50)</f>
        <v>188407.15415280001</v>
      </c>
      <c r="E10" s="73" ph="1">
        <f>E9*51.53*LOOKUP(E11,密度!$A$2:$A$50,密度!$B$2:$B$50)</f>
        <v>162467.190133</v>
      </c>
      <c r="F10" s="73" ph="1">
        <f>F9*33.183*LOOKUP(F11,密度!$A$2:$A$50,密度!$C$2:$C$50)</f>
        <v>210147.76644839998</v>
      </c>
      <c r="G10" s="73" ph="1">
        <f xml:space="preserve"> (G9+2)*51.53*LOOKUP(G11,密度!$A$2:$A$50,密度!$B$2:$B$50)</f>
        <v>234695.99241800004</v>
      </c>
      <c r="H10" s="73" ph="1">
        <f>(H9)*51.53*LOOKUP(H11,密度!$A$2:$A$50,密度!$B$2:$B$50)</f>
        <v>227397.49964400003</v>
      </c>
      <c r="I10" s="73" ph="1">
        <f>I9*290.8*1.0267</f>
        <v>17.913861600000001</v>
      </c>
      <c r="J10" s="73" ph="1">
        <f>J9*290.8*0.7892</f>
        <v>1530.7607312</v>
      </c>
      <c r="K10" s="73" ph="1">
        <f>K9*290.8*1.1126</f>
        <v>2368.3426656000001</v>
      </c>
      <c r="L10" s="73" ph="1">
        <f>L9*290.8*0.777</f>
        <v>17398.273200000003</v>
      </c>
      <c r="M10" s="73" ph="1">
        <f>M9*33.183*LOOKUP(M11,密度!$A$2:$A$50,密度!$D$2:$D$50)</f>
        <v>8362.3482810000005</v>
      </c>
      <c r="N10" s="73" ph="1">
        <f>N9*33.183*LOOKUP(N11,密度!$A$2:$A$50,密度!$E$2:$E$50)</f>
        <v>68351.750359199999</v>
      </c>
      <c r="O10" s="73" ph="1">
        <f>O9*20.428*LOOKUP(O11,密度!$A$2:$A$50,密度!$C$2:$C$50)</f>
        <v>107273.26836520001</v>
      </c>
      <c r="P10" s="73" ph="1">
        <f>P9*51.53*LOOKUP(P11,密度!$A$2:$A$50,密度!$B$2:$B$50)</f>
        <v>306108.06481499999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15349.81833</v>
      </c>
      <c r="S10" s="73" ph="1">
        <f>S9*1.5*1.5*3.1416*LOOKUP(S11,密度!$A$2:$A$50,密度!$L$2:$L$50)</f>
        <v>38587.678252199992</v>
      </c>
      <c r="T10" s="73" ph="1">
        <f>T9*1.5*1.5*3.1416*LOOKUP(T11,密度!$A$2:$A$50,密度!$L$2:$L$50)</f>
        <v>47887.679763</v>
      </c>
      <c r="U10" s="73" ph="1">
        <f>U9*1.5*1.5*3.1416*LOOKUP(U11,密度!$A$2:$A$50,密度!$L$2:$L$50)</f>
        <v>46653.989936400001</v>
      </c>
      <c r="V10" s="73" ph="1">
        <f>V9*1.5*1.5*3.1416*LOOKUP(V11,密度!$A$2:$A$50,密度!$L$2:$L$50)</f>
        <v>39932.429922000003</v>
      </c>
      <c r="W10" s="73" ph="1">
        <f>W9*1.5*1.5*3.1416*LOOKUP(W11,密度!$A$2:$A$50,密度!$L$2:$L$50)</f>
        <v>46717.367004</v>
      </c>
      <c r="X10" s="73" ph="1">
        <f>X9*1.5*1.5*3.1416*LOOKUP(X11,密度!$A$2:$A$50,密度!$L$2:$L$50)</f>
        <v>42839.702690400001</v>
      </c>
      <c r="Y10" s="73" ph="1">
        <f>Y9*1.5*1.5*3.1416*LOOKUP(Y11,密度!$A$2:$A$50,密度!$L$2:$L$50)</f>
        <v>0</v>
      </c>
      <c r="Z10" s="73" ph="1">
        <f>Z9*33.183*LOOKUP(Z11,密度!$A$2:$A$50,密度!$L$2:$L$50)</f>
        <v>89304.080579999994</v>
      </c>
      <c r="AA10" s="73" ph="1">
        <f>AA9*33.183*LOOKUP(AA11,密度!$A$2:$A$50,密度!$D$2:$D$50)</f>
        <v>230661.13867200003</v>
      </c>
      <c r="AB10" s="73" ph="1">
        <f>AB9*20.428*LOOKUP(AB11,密度!$A$2:$A$50,密度!$D$2:$D$50)</f>
        <v>97377.487578</v>
      </c>
      <c r="AC10" s="73" ph="1">
        <f>AC9*51.53*LOOKUP(AC11,密度!$A$2:$A$50,密度!$Q$2:$Q$50)</f>
        <v>281995.49999819999</v>
      </c>
      <c r="AD10" s="73" ph="1">
        <f>AD9*20.428*LOOKUP(AD11,密度!$A$2:$A$50,密度!$V$2:$V$50)</f>
        <v>93818.123072000002</v>
      </c>
      <c r="AE10" s="73" ph="1">
        <f>AE9*20.428</f>
        <v>76196.44</v>
      </c>
    </row>
    <row r="11" spans="1:99" ph="1">
      <c r="A11" s="64" t="s" ph="1">
        <v>162</v>
      </c>
      <c r="B11" s="193" ph="1"/>
      <c r="C11" s="171" t="s" ph="1">
        <v>179</v>
      </c>
      <c r="D11" s="74">
        <v>23</v>
      </c>
      <c r="E11" s="74">
        <v>20</v>
      </c>
      <c r="F11" s="74">
        <v>19</v>
      </c>
      <c r="G11" s="74">
        <v>22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22</v>
      </c>
      <c r="O11" s="74">
        <v>26</v>
      </c>
      <c r="P11" s="74">
        <v>24</v>
      </c>
      <c r="Q11" s="74">
        <v>28</v>
      </c>
      <c r="R11" s="74">
        <v>28</v>
      </c>
      <c r="S11" s="74">
        <v>19</v>
      </c>
      <c r="T11" s="74">
        <v>17</v>
      </c>
      <c r="U11" s="74">
        <v>21</v>
      </c>
      <c r="V11" s="74">
        <v>27</v>
      </c>
      <c r="W11" s="74">
        <v>22</v>
      </c>
      <c r="X11" s="74">
        <v>14</v>
      </c>
      <c r="Y11" s="74">
        <v>25</v>
      </c>
      <c r="Z11" s="74">
        <v>21</v>
      </c>
      <c r="AA11" s="74">
        <v>22</v>
      </c>
      <c r="AB11" s="74">
        <v>14</v>
      </c>
      <c r="AC11" s="74">
        <v>22</v>
      </c>
      <c r="AD11" s="74">
        <v>22</v>
      </c>
      <c r="AE11" s="74">
        <v>26</v>
      </c>
    </row>
    <row r="12" spans="1:99" ht="9.9" customHeight="1" ph="1"/>
    <row r="13" spans="1:99" s="72" customFormat="1" ht="29.25" customHeight="1" ph="1">
      <c r="B13" s="201" t="s" ph="1">
        <v>37</v>
      </c>
      <c r="C13" s="17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2" ph="1"/>
      <c r="C14" s="67" t="s" ph="1">
        <v>36</v>
      </c>
      <c r="D14" s="77" t="s" ph="1">
        <v>616</v>
      </c>
      <c r="E14" s="77" t="s" ph="1">
        <v>616</v>
      </c>
      <c r="F14" s="147" t="s" ph="1">
        <v>638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634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633</v>
      </c>
      <c r="AC14" s="77" t="s" ph="1">
        <v>633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3" ph="1">
        <v>0.33333333333333331</v>
      </c>
      <c r="C15" s="171" t="s" ph="1">
        <v>177</v>
      </c>
      <c r="D15" s="78">
        <v>1335</v>
      </c>
      <c r="E15" s="78">
        <v>75</v>
      </c>
      <c r="F15" s="78">
        <v>4061</v>
      </c>
      <c r="G15" s="78">
        <v>2694</v>
      </c>
      <c r="H15" s="78">
        <v>0</v>
      </c>
      <c r="I15" s="78">
        <v>5230</v>
      </c>
      <c r="J15" s="78">
        <v>5512</v>
      </c>
      <c r="K15" s="78">
        <v>3583</v>
      </c>
      <c r="L15" s="78">
        <v>5580</v>
      </c>
      <c r="M15" s="78">
        <v>6398</v>
      </c>
      <c r="N15" s="78">
        <v>3193</v>
      </c>
      <c r="O15" s="78">
        <v>4446</v>
      </c>
      <c r="P15" s="78">
        <v>3440</v>
      </c>
      <c r="Q15" s="78">
        <v>6942</v>
      </c>
      <c r="R15" s="78">
        <v>7391</v>
      </c>
      <c r="S15" s="78">
        <v>320</v>
      </c>
      <c r="T15" s="78">
        <v>3963</v>
      </c>
      <c r="U15" s="78">
        <v>2565</v>
      </c>
      <c r="V15" s="78">
        <v>4977</v>
      </c>
      <c r="W15" s="71">
        <v>-170</v>
      </c>
      <c r="X15" s="78">
        <v>96</v>
      </c>
      <c r="Y15" s="106">
        <v>-9900</v>
      </c>
      <c r="Z15" s="78">
        <v>0</v>
      </c>
      <c r="AA15" s="78">
        <v>11</v>
      </c>
      <c r="AB15" s="78" ph="1">
        <v>6963</v>
      </c>
      <c r="AC15" s="78" ph="1">
        <v>2148</v>
      </c>
      <c r="AD15" s="78">
        <v>4.26</v>
      </c>
      <c r="AE15" s="78">
        <v>42.02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04" ph="1"/>
      <c r="C16" s="171" t="s" ph="1">
        <v>178</v>
      </c>
      <c r="D16" s="73" ph="1">
        <f>D15*7.0686*LOOKUP(D17,密度!$A$2:$A$50,密度!$L$2:$L$50)</f>
        <v>8889.2593020000004</v>
      </c>
      <c r="E16" s="73" ph="1">
        <f>E15*7.0686*LOOKUP(E17,密度!$A$2:$A$50,密度!$L$2:$L$50)</f>
        <v>499.39658999999995</v>
      </c>
      <c r="F16" s="73" ph="1">
        <f>F15*9.0746*LOOKUP(F17,密度!$A$2:$A$50,密度!$L$2:$L$50)</f>
        <v>34603.981613399999</v>
      </c>
      <c r="G16" s="73" ph="1">
        <f>G15*9.0746*LOOKUP(G17,密度!$A$2:$A$50,密度!$B$2:$B$50)</f>
        <v>19188.428636760003</v>
      </c>
      <c r="H16" s="73" ph="1">
        <f>H15*9.0746*LOOKUP(H17,密度!$A$2:$A$50,密度!$L$2:$L$50)</f>
        <v>0</v>
      </c>
      <c r="I16" s="73" ph="1">
        <f>I15*9.0746*LOOKUP(I17,密度!$A$2:$A$50,密度!$U$2:$U$50)</f>
        <v>48789.042424000007</v>
      </c>
      <c r="J16" s="73" ph="1">
        <f>J15*9.0746*LOOKUP(J17,密度!$A$2:$A$50,密度!$L$2:$L$50)</f>
        <v>47168.101073600003</v>
      </c>
      <c r="K16" s="73" ph="1">
        <f>K15*9.0746*LOOKUP(K17,密度!$A$2:$A$50,密度!$C$2:$C$50)</f>
        <v>36194.909631759998</v>
      </c>
      <c r="L16" s="73" ph="1">
        <f>L15*9.0746*LOOKUP(L17,密度!$A$2:$A$50,密度!$E$2:$E$50)</f>
        <v>39901.379184000005</v>
      </c>
      <c r="M16" s="73" ph="1">
        <f>M15*9.0746*LOOKUP(M17,密度!$A$2:$A$50,密度!$M$2:$M$50)</f>
        <v>51039.922542280001</v>
      </c>
      <c r="N16" s="73" ph="1">
        <f>N15*9.0746*LOOKUP(N17,密度!$A$2:$A$50,密度!$M$2:$M$50)</f>
        <v>25506.86662334</v>
      </c>
      <c r="O16" s="73" ph="1">
        <f>O15*9.0746*LOOKUP(O17,密度!$A$2:$A$50,密度!$G$2:$G$50)</f>
        <v>38929.538526839999</v>
      </c>
      <c r="P16" s="73" ph="1">
        <f ca="1">P15*9.0746*LOOKUP(P17,密度!$A$2:$A$51,密度!$Q$2:$Q$50)</f>
        <v>29646.11564656</v>
      </c>
      <c r="Q16" s="73" ph="1">
        <f>Q15*9.0746*LOOKUP(Q17,密度!$A$2:$A$50,密度!$Q$2:$Q$50)</f>
        <v>59870.017971816</v>
      </c>
      <c r="R16" s="73" ph="1">
        <f>MAX(R15*9.0746*LOOKUP(R17,密度!$A$2:$A$50,密度!$B$2:$B$50),0)</f>
        <v>52529.51268752</v>
      </c>
      <c r="S16" s="73" ph="1">
        <f>S15*9.0746*LOOKUP(S17,密度!$A$2:$A$50,密度!$Q$2:$Q$50)</f>
        <v>2759.7818713600004</v>
      </c>
      <c r="T16" s="73" ph="1">
        <f>T15*9.0746*LOOKUP(T17,密度!$A$2:$A$50,密度!$O$2:$O$50)</f>
        <v>33445.255014000009</v>
      </c>
      <c r="U16" s="73" ph="1">
        <f>U15*9.0746*LOOKUP(U17,密度!$A$2:$A$50,密度!$H$2:$H$50)</f>
        <v>21407.258175300001</v>
      </c>
      <c r="V16" s="73" ph="1">
        <f>MAX(5600*LOOKUP(V17,密度!$A$2:$A$50,密度!$Q$2:$Q$50)+V15*9.0476*LOOKUP(V17,密度!$A$2:$A$50,密度!$Q$2:$Q$50),0)</f>
        <v>48052.336726267997</v>
      </c>
      <c r="W16" s="73" ph="1">
        <f>MAX(5600*LOOKUP(W17,密度!$A$2:$A$50,密度!$Q$2:$Q$50)+W15*9.0476*LOOKUP(W17,密度!$A$2:$A$50,密度!$Q$2:$Q$50),0)</f>
        <v>3855.1162637199996</v>
      </c>
      <c r="X16" s="73" ph="1">
        <f>MAX(5600*LOOKUP(X17,密度!$A$2:$A$50,密度!$I$2:$I$50)+X15*9.0476*LOOKUP(X17,密度!$A$2:$A$50,密度!$I$2:$I$50),0)</f>
        <v>6749.3055206400004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78.498919839999999</v>
      </c>
      <c r="AB16" s="73" ph="1">
        <f>AB15*9.0746*LOOKUP(AB17,密度!$A$2:$A$50,密度!$L$2:$L$50)</f>
        <v>59458.439851799994</v>
      </c>
      <c r="AC16" s="73" ph="1">
        <f>AC15*9.0746*LOOKUP(AC17,密度!$A$2:$A$50,密度!$L$2:$L$50)</f>
        <v>18400.675315199998</v>
      </c>
      <c r="AD16" s="73" ph="1">
        <f>AD15*268.68*LOOKUP(AD17,密度!$A$2:$A$50,密度!B2:B50)+IF(AD15&lt;=0,0,1566*LOOKUP(AD17,密度!$A$2:$A$50,密度!B2:B50))</f>
        <v>2113.1656732799997</v>
      </c>
      <c r="AE16" s="73" ph="1">
        <f>AE15*268.68*LOOKUP(AE17,密度!$A$2:$A$50,密度!B2:B50)+IF(AE15&lt;=0,0,1566*LOOKUP(AE17,密度!$A$2:$A$50,密度!B2:B50))</f>
        <v>10022.485834560001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5" ph="1"/>
      <c r="C17" s="79" t="s" ph="1">
        <v>179</v>
      </c>
      <c r="D17" s="74">
        <v>20</v>
      </c>
      <c r="E17" s="74">
        <v>20</v>
      </c>
      <c r="F17" s="74">
        <v>23</v>
      </c>
      <c r="G17" s="74">
        <v>19</v>
      </c>
      <c r="H17" s="74">
        <v>17</v>
      </c>
      <c r="I17" s="74">
        <v>18</v>
      </c>
      <c r="J17" s="74">
        <v>19</v>
      </c>
      <c r="K17" s="74">
        <v>19</v>
      </c>
      <c r="L17" s="74">
        <v>21</v>
      </c>
      <c r="M17" s="74">
        <v>21</v>
      </c>
      <c r="N17" s="74">
        <v>20</v>
      </c>
      <c r="O17" s="74">
        <v>21</v>
      </c>
      <c r="P17" s="74">
        <v>21</v>
      </c>
      <c r="Q17" s="74">
        <v>20</v>
      </c>
      <c r="R17" s="74">
        <v>21</v>
      </c>
      <c r="S17" s="74">
        <v>20</v>
      </c>
      <c r="T17" s="74">
        <v>21</v>
      </c>
      <c r="U17" s="74">
        <v>20</v>
      </c>
      <c r="V17" s="74">
        <v>22</v>
      </c>
      <c r="W17" s="74">
        <v>22</v>
      </c>
      <c r="X17" s="74">
        <v>24</v>
      </c>
      <c r="Y17" s="108">
        <v>24</v>
      </c>
      <c r="Z17" s="74">
        <v>19</v>
      </c>
      <c r="AA17" s="74">
        <v>17</v>
      </c>
      <c r="AB17" s="74">
        <v>21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03" ph="1">
        <v>0.66666666666666663</v>
      </c>
      <c r="C18" s="79" t="s" ph="1">
        <v>180</v>
      </c>
      <c r="D18" s="71">
        <v>5</v>
      </c>
      <c r="E18" s="71">
        <v>2376</v>
      </c>
      <c r="F18" s="71">
        <v>4062</v>
      </c>
      <c r="G18" s="71">
        <v>2755</v>
      </c>
      <c r="H18" s="71">
        <v>0</v>
      </c>
      <c r="I18" s="71">
        <v>5234</v>
      </c>
      <c r="J18" s="71">
        <v>4137</v>
      </c>
      <c r="K18" s="71">
        <v>3584</v>
      </c>
      <c r="L18" s="71">
        <v>5591</v>
      </c>
      <c r="M18" s="71">
        <v>5601</v>
      </c>
      <c r="N18" s="71">
        <v>1096</v>
      </c>
      <c r="O18" s="71">
        <v>4450</v>
      </c>
      <c r="P18" s="71">
        <v>3443</v>
      </c>
      <c r="Q18" s="71">
        <v>6950</v>
      </c>
      <c r="R18" s="71">
        <v>7401</v>
      </c>
      <c r="S18" s="71">
        <v>319</v>
      </c>
      <c r="T18" s="71">
        <v>3541</v>
      </c>
      <c r="U18" s="71">
        <v>2566</v>
      </c>
      <c r="V18" s="71">
        <v>4977</v>
      </c>
      <c r="W18" s="71">
        <v>-172</v>
      </c>
      <c r="X18" s="71">
        <v>95</v>
      </c>
      <c r="Y18" s="109">
        <v>-9900</v>
      </c>
      <c r="Z18" s="71">
        <v>0</v>
      </c>
      <c r="AA18" s="71">
        <v>9</v>
      </c>
      <c r="AB18" s="71">
        <v>6970</v>
      </c>
      <c r="AC18" s="71">
        <v>2147</v>
      </c>
      <c r="AD18" s="71">
        <v>15.15</v>
      </c>
      <c r="AE18" s="71">
        <v>84.41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04" ph="1"/>
      <c r="C19" s="171" t="s" ph="1">
        <v>178</v>
      </c>
      <c r="D19" s="73" ph="1">
        <f>D18*7.0686*LOOKUP(D20,密度!$A$2:$A$50,密度!$L$2:$L$50)</f>
        <v>33.22242</v>
      </c>
      <c r="E19" s="73" ph="1">
        <f>E18*7.0686*LOOKUP(E20,密度!$A$2:$A$50,密度!$L$2:$L$50)</f>
        <v>15787.293984</v>
      </c>
      <c r="F19" s="73" ph="1">
        <f>F18*9.0746*LOOKUP(F20,密度!$A$2:$A$50,密度!$L$2:$L$50)</f>
        <v>34501.919587200005</v>
      </c>
      <c r="G19" s="73" ph="1">
        <f>G18*9.0746*LOOKUP(G20,密度!$A$2:$A$50,密度!$B$2:$B$50)</f>
        <v>19557.9091429</v>
      </c>
      <c r="H19" s="73" ph="1">
        <f>H18*9.0746*LOOKUP(H20,密度!$A$2:$A$50,密度!$L$2:$L$50)</f>
        <v>0</v>
      </c>
      <c r="I19" s="73" ph="1">
        <f>I18*9.0746*LOOKUP(I20,密度!$A$2:$A$50,密度!$U$2:$U$50)</f>
        <v>48778.860722799996</v>
      </c>
      <c r="J19" s="73" ph="1">
        <f>J18*9.0746*LOOKUP(J20,密度!$A$2:$A$50,密度!$L$2:$L$50)</f>
        <v>35289.122987999996</v>
      </c>
      <c r="K19" s="73" ph="1">
        <f>K18*9.0746*LOOKUP(K20,密度!$A$2:$A$50,密度!$C$2:$C$50)</f>
        <v>36136.712407039995</v>
      </c>
      <c r="L19" s="73" ph="1">
        <f>L18*9.0746*LOOKUP(L20,密度!$A$2:$A$50,密度!$E$2:$E$50)</f>
        <v>39858.271204160003</v>
      </c>
      <c r="M19" s="73" ph="1">
        <f>M18*9.0746*LOOKUP(M20,密度!$A$2:$A$50,密度!$M$2:$M$50)</f>
        <v>44519.224426140005</v>
      </c>
      <c r="N19" s="73" ph="1">
        <f>N18*9.0746*LOOKUP(N20,密度!$A$2:$A$50,密度!$M$2:$M$50)</f>
        <v>8711.4925854400008</v>
      </c>
      <c r="O19" s="73" ph="1">
        <f>O18*9.0746*LOOKUP(O20,密度!$A$2:$A$50,密度!$G$2:$G$50)</f>
        <v>38920.142685999999</v>
      </c>
      <c r="P19" s="73" ph="1">
        <f ca="1">P18*9.0746*LOOKUP(P20,密度!$A$2:$A$51,密度!$Q$2:$Q$50)</f>
        <v>29625.416483960002</v>
      </c>
      <c r="Q19" s="73" ph="1">
        <f>Q18*9.0746*LOOKUP(Q20,密度!$A$2:$A$50,密度!$Q$2:$Q$50)</f>
        <v>59857.654192299997</v>
      </c>
      <c r="R19" s="73" ph="1">
        <f>MAX(R18*9.0746*LOOKUP(R20,密度!$A$2:$A$50,密度!$B$2:$B$50),0)</f>
        <v>52358.804942160001</v>
      </c>
      <c r="S19" s="73" ph="1">
        <f>S18*9.0746*LOOKUP(S20,密度!$A$2:$A$50,密度!$Q$2:$Q$50)</f>
        <v>2738.5651843219998</v>
      </c>
      <c r="T19" s="73" ph="1">
        <f>T18*9.0746*LOOKUP(T20,密度!$A$2:$A$50,密度!$O$2:$O$50)</f>
        <v>29755.304863600002</v>
      </c>
      <c r="U19" s="73" ph="1">
        <f>U18*9.0746*LOOKUP(U20,密度!$A$2:$A$50,密度!$H$2:$H$50)</f>
        <v>21415.60408492</v>
      </c>
      <c r="V19" s="73" ph="1">
        <f>MAX(5600*LOOKUP(V20,密度!$A$2:$A$50,密度!$Q$2:$Q$50)+V18*9.0476*LOOKUP(V20,密度!$A$2:$A$50,密度!$Q$2:$Q$50),0)</f>
        <v>47933.356449047991</v>
      </c>
      <c r="W19" s="73" ph="1">
        <f>MAX(5600*LOOKUP(W20,密度!$A$2:$A$50,密度!$Q$2:$Q$50)+W18*9.0476*LOOKUP(W20,密度!$A$2:$A$50,密度!$Q$2:$Q$50),0)</f>
        <v>3828.4393302720009</v>
      </c>
      <c r="X19" s="73" ph="1">
        <f>MAX(5600*LOOKUP(X20,密度!$A$2:$A$50,密度!$I$2:$I$50)+X18*9.0476*LOOKUP(X20,密度!$A$2:$A$50,密度!$I$2:$I$50),0)</f>
        <v>6718.5488322000001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63.744527699999999</v>
      </c>
      <c r="AB19" s="73" ph="1">
        <f>AB18*9.0746*LOOKUP(AB20,密度!$A$2:$A$50,密度!$L$2:$L$50)</f>
        <v>59391.714317999998</v>
      </c>
      <c r="AC19" s="73" ph="1">
        <f>AC18*9.0746*LOOKUP(AC20,密度!$A$2:$A$50,密度!$L$2:$L$50)</f>
        <v>18294.693061799997</v>
      </c>
      <c r="AD19" s="73" ph="1">
        <f>AD18*268.68*LOOKUP(AD20,密度!$A$2:$A$50,密度!B5:B53)+IF(AD18&lt;=0,0,1566*LOOKUP(AD20,密度!$A$2:$A$50,密度!B5:B53))</f>
        <v>4379.562054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4" ph="1"/>
      <c r="C20" s="80" t="s" ph="1">
        <v>179</v>
      </c>
      <c r="D20" s="81">
        <v>22</v>
      </c>
      <c r="E20" s="81">
        <v>22</v>
      </c>
      <c r="F20" s="81">
        <v>26</v>
      </c>
      <c r="G20" s="81">
        <v>22</v>
      </c>
      <c r="H20" s="81">
        <v>21</v>
      </c>
      <c r="I20" s="81">
        <v>23</v>
      </c>
      <c r="J20" s="81">
        <v>22</v>
      </c>
      <c r="K20" s="81">
        <v>22</v>
      </c>
      <c r="L20" s="81">
        <v>23</v>
      </c>
      <c r="M20" s="81">
        <v>24</v>
      </c>
      <c r="N20" s="81">
        <v>24</v>
      </c>
      <c r="O20" s="81">
        <v>22</v>
      </c>
      <c r="P20" s="81">
        <v>23</v>
      </c>
      <c r="Q20" s="81">
        <v>22</v>
      </c>
      <c r="R20" s="81">
        <v>25</v>
      </c>
      <c r="S20" s="81">
        <v>26</v>
      </c>
      <c r="T20" s="81">
        <v>27</v>
      </c>
      <c r="U20" s="81">
        <v>20</v>
      </c>
      <c r="V20" s="81">
        <v>25</v>
      </c>
      <c r="W20" s="81">
        <v>25</v>
      </c>
      <c r="X20" s="81">
        <v>27</v>
      </c>
      <c r="Y20" s="110">
        <v>27</v>
      </c>
      <c r="Z20" s="81">
        <v>31</v>
      </c>
      <c r="AA20" s="81">
        <v>24</v>
      </c>
      <c r="AB20" s="81">
        <v>23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2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1" t="s" ph="1">
        <v>69</v>
      </c>
      <c r="AA22" s="182"/>
      <c r="AB22" s="182"/>
      <c r="AC22" s="182"/>
      <c r="AD22" s="182"/>
      <c r="AE22" s="183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97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84" t="s" ph="1">
        <v>648</v>
      </c>
      <c r="AA23" s="185"/>
      <c r="AB23" s="185"/>
      <c r="AC23" s="185"/>
      <c r="AD23" s="185"/>
      <c r="AE23" s="186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3" ph="1">
        <v>0.33333333333333331</v>
      </c>
      <c r="C24" s="171" t="s" ph="1">
        <v>177</v>
      </c>
      <c r="D24" s="71">
        <v>49.1</v>
      </c>
      <c r="E24" s="71">
        <v>5.29</v>
      </c>
      <c r="F24" s="71">
        <v>3058</v>
      </c>
      <c r="G24" s="71">
        <v>3797</v>
      </c>
      <c r="H24" s="71">
        <v>3665</v>
      </c>
      <c r="I24" s="71">
        <v>2391</v>
      </c>
      <c r="J24" s="71">
        <v>485</v>
      </c>
      <c r="K24" s="71">
        <v>4777</v>
      </c>
      <c r="L24" s="71">
        <v>4390</v>
      </c>
      <c r="M24" s="71">
        <v>2643</v>
      </c>
      <c r="N24" s="71">
        <v>2854</v>
      </c>
      <c r="O24" s="71">
        <v>5729</v>
      </c>
      <c r="P24" s="71">
        <v>355</v>
      </c>
      <c r="Q24" s="90">
        <v>3555</v>
      </c>
      <c r="R24" s="71">
        <v>3767</v>
      </c>
      <c r="S24" s="71">
        <v>55</v>
      </c>
      <c r="T24" s="71">
        <v>216</v>
      </c>
      <c r="U24" s="71">
        <v>4192</v>
      </c>
      <c r="V24" s="71">
        <v>2426</v>
      </c>
      <c r="W24" s="71">
        <v>526</v>
      </c>
      <c r="X24" s="71">
        <v>8992</v>
      </c>
      <c r="Y24" s="71">
        <v>7562</v>
      </c>
      <c r="Z24" s="187"/>
      <c r="AA24" s="188"/>
      <c r="AB24" s="188"/>
      <c r="AC24" s="188"/>
      <c r="AD24" s="188"/>
      <c r="AE24" s="189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3" ph="1"/>
      <c r="C25" s="68" t="s" ph="1">
        <v>178</v>
      </c>
      <c r="D25" s="91" ph="1">
        <f>D24*268.68*LOOKUP(D26,密度!$A$2:$A$50,密度!$Q$2:$Q$50)+IF(D24&lt;=0,0,1566*LOOKUP(D26,密度!$A$2:$A$50,密度!$Q$2:$Q$50))</f>
        <v>13972.166907119999</v>
      </c>
      <c r="E25" s="91" ph="1">
        <f>E24*268.68*LOOKUP(E26,密度!$A$2:$A$50,密度!$C$2:$C$50)+IF(E24&lt;=0,0,1566*LOOKUP(E26,密度!$A$2:$A$50,密度!$C$2:$C$50))</f>
        <v>3312.6360430799996</v>
      </c>
      <c r="F25" s="91" ph="1">
        <f>F24*11.702*LOOKUP(F26,密度!$A$2:$A$50,密度!$Q$2:$Q$50)</f>
        <v>33962.916108439997</v>
      </c>
      <c r="G25" s="91" ph="1">
        <f>G24*18.322*LOOKUP(G26,密度!$A$2:$A$50,密度!$B$2:$B$50)</f>
        <v>54360.930607599992</v>
      </c>
      <c r="H25" s="91" ph="1">
        <f>H24*18.322*LOOKUP(H26,密度!$A$2:$A$50,密度!$B$2:$B$50)</f>
        <v>52531.546698999991</v>
      </c>
      <c r="I25" s="91" ph="1">
        <f>I24*18.322*LOOKUP(I26,密度!$A$2:$A$50,密度!$Q$2:$Q$50)</f>
        <v>41577.641709179996</v>
      </c>
      <c r="J25" s="91" ph="1">
        <f>J24*18.322*LOOKUP(J26,密度!$A$2:$A$50,密度!$Q$2:$Q$50)</f>
        <v>8425.8663940000006</v>
      </c>
      <c r="K25" s="91" ph="1">
        <f>K24*18.322*LOOKUP(K26,密度!$A$2:$A$50,密度!$Q$2:$Q$50)</f>
        <v>83068.337283460001</v>
      </c>
      <c r="L25" s="91" ph="1">
        <f>L24*18.322*LOOKUP(L26,密度!$A$2:$A$50,密度!$Q$2:$Q$50)</f>
        <v>76267.120556000009</v>
      </c>
      <c r="M25" s="91" ph="1">
        <f>M24*18.322*LOOKUP(M26,密度!$A$2:$A$50,密度!$Q$2:$Q$50)</f>
        <v>45959.726908139994</v>
      </c>
      <c r="N25" s="91" ph="1">
        <f>N24*18.322*LOOKUP(N26,密度!$A$2:$A$50,密度!$Q$2:$Q$50)</f>
        <v>49628.853800919998</v>
      </c>
      <c r="O25" s="91" ph="1">
        <f>O24*18.322*LOOKUP(O26,密度!$A$2:$A$50,密度!$C$2:$C$50)</f>
        <v>116628.5425918</v>
      </c>
      <c r="P25" s="91" ph="1">
        <f>P24*11.702*LOOKUP(P26,密度!$A$2:$A$50,密度!$B$2:$B$50)</f>
        <v>3249.838483</v>
      </c>
      <c r="Q25" s="92" ph="1">
        <f>Q24*18.322*LOOKUP(Q26,密度!$A$2:$A$50,密度!$B$2:$B$50)</f>
        <v>51013.504871999998</v>
      </c>
      <c r="R25" s="91" ph="1">
        <f>R24*35.891*LOOKUP(R26,密度!$A$2:$A$50,密度!$C$2:$C$50)</f>
        <v>150222.2722067</v>
      </c>
      <c r="S25" s="91" ph="1">
        <f>S24*35.891*LOOKUP(S26,密度!$A$2:$A$50,密度!$B$2:$B$50)</f>
        <v>1544.2641114999999</v>
      </c>
      <c r="T25" s="91" ph="1">
        <f>T24*35.891*LOOKUP(T26,密度!$A$2:$A$50,密度!$Q$2:$Q$50)</f>
        <v>7362.4299386399998</v>
      </c>
      <c r="U25" s="91" ph="1">
        <f>U24*35.891</f>
        <v>150455.07199999999</v>
      </c>
      <c r="V25" s="91" ph="1">
        <f>V24*47.051*LOOKUP(V26,密度!$A$2:$A$50,密度!$B$2:$B$50)</f>
        <v>89296.201449800006</v>
      </c>
      <c r="W25" s="91" ph="1">
        <f>W24*47.051*LOOKUP(W26,密度!$A$2:$A$50,密度!$B$2:$B$50)</f>
        <v>19361.0065798</v>
      </c>
      <c r="X25" s="91" ph="1">
        <f>X24*47.051*LOOKUP(X26,密度!$A$2:$A$61,密度!$I$2:$I$61)</f>
        <v>431036.54472959996</v>
      </c>
      <c r="Y25" s="91" ph="1">
        <f>Y24*47.051*LOOKUP(Y26,密度!$A$2:$A$50,密度!$L$2:$L$50)</f>
        <v>334451.68228000001</v>
      </c>
      <c r="Z25" s="187"/>
      <c r="AA25" s="188"/>
      <c r="AB25" s="188"/>
      <c r="AC25" s="188"/>
      <c r="AD25" s="188"/>
      <c r="AE25" s="189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3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22</v>
      </c>
      <c r="I26" s="74">
        <v>22</v>
      </c>
      <c r="J26" s="74">
        <v>23</v>
      </c>
      <c r="K26" s="74">
        <v>22</v>
      </c>
      <c r="L26" s="74">
        <v>23</v>
      </c>
      <c r="M26" s="74">
        <v>22</v>
      </c>
      <c r="N26" s="74">
        <v>22</v>
      </c>
      <c r="O26" s="74">
        <v>22</v>
      </c>
      <c r="P26" s="74">
        <v>22</v>
      </c>
      <c r="Q26" s="93">
        <v>21</v>
      </c>
      <c r="R26" s="74">
        <v>22</v>
      </c>
      <c r="S26" s="74">
        <v>22</v>
      </c>
      <c r="T26" s="74">
        <v>21</v>
      </c>
      <c r="U26" s="74">
        <v>22</v>
      </c>
      <c r="V26" s="74">
        <v>22</v>
      </c>
      <c r="W26" s="74">
        <v>22</v>
      </c>
      <c r="X26" s="74">
        <v>46</v>
      </c>
      <c r="Y26" s="74">
        <v>22</v>
      </c>
      <c r="Z26" s="187"/>
      <c r="AA26" s="188"/>
      <c r="AB26" s="188"/>
      <c r="AC26" s="188"/>
      <c r="AD26" s="188"/>
      <c r="AE26" s="189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93" ph="1">
        <v>0.66666666666666663</v>
      </c>
      <c r="C27" s="171" t="s" ph="1">
        <v>180</v>
      </c>
      <c r="D27" s="71">
        <v>44.6</v>
      </c>
      <c r="E27" s="71">
        <v>39</v>
      </c>
      <c r="F27" s="71">
        <v>2715</v>
      </c>
      <c r="G27" s="71">
        <v>3337</v>
      </c>
      <c r="H27" s="71">
        <v>2590</v>
      </c>
      <c r="I27" s="71">
        <v>2390</v>
      </c>
      <c r="J27" s="71">
        <v>481</v>
      </c>
      <c r="K27" s="71">
        <v>4233</v>
      </c>
      <c r="L27" s="71">
        <v>4386</v>
      </c>
      <c r="M27" s="71">
        <v>2641</v>
      </c>
      <c r="N27" s="71">
        <v>2851</v>
      </c>
      <c r="O27" s="71">
        <v>5725</v>
      </c>
      <c r="P27" s="71">
        <v>350</v>
      </c>
      <c r="Q27" s="90">
        <v>3819</v>
      </c>
      <c r="R27" s="71">
        <v>3692</v>
      </c>
      <c r="S27" s="71">
        <v>51</v>
      </c>
      <c r="T27" s="71">
        <v>213</v>
      </c>
      <c r="U27" s="71">
        <v>4230</v>
      </c>
      <c r="V27" s="71">
        <v>3844</v>
      </c>
      <c r="W27" s="71">
        <v>208</v>
      </c>
      <c r="X27" s="71">
        <v>8870</v>
      </c>
      <c r="Y27" s="71">
        <v>5952</v>
      </c>
      <c r="Z27" s="187"/>
      <c r="AA27" s="188"/>
      <c r="AB27" s="188"/>
      <c r="AC27" s="188"/>
      <c r="AD27" s="188"/>
      <c r="AE27" s="189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3" ph="1"/>
      <c r="C28" s="171" t="s" ph="1">
        <v>178</v>
      </c>
      <c r="D28" s="91" ph="1">
        <f>D27*268.68*LOOKUP(D29,密度!$A$2:$A$50,密度!$Q$2:$Q$50)+IF(D27&lt;=0,0,1566*LOOKUP(D29,密度!$A$2:$A$50,密度!$Q$2:$Q$50))</f>
        <v>12827.50144272</v>
      </c>
      <c r="E28" s="91" ph="1">
        <f>E27*268.68*LOOKUP(E29,密度!$A$2:$A$50,密度!$C$2:$C$50)+IF(E27&lt;=0,0,1566*LOOKUP(E29,密度!$A$2:$A$50,密度!$C$2:$C$50))</f>
        <v>13356.168228</v>
      </c>
      <c r="F28" s="91" ph="1">
        <f>F27*11.702*LOOKUP(F29,密度!$A$2:$A$50,密度!$Q$2:$Q$50)</f>
        <v>30153.471953699998</v>
      </c>
      <c r="G28" s="91" ph="1">
        <f>G27*18.322*LOOKUP(G29,密度!$A$2:$A$50,密度!$B$2:$B$50)</f>
        <v>47775.197639599995</v>
      </c>
      <c r="H28" s="91" ph="1">
        <f>H27*18.322*LOOKUP(H29,密度!$A$2:$A$50,密度!$B$2:$B$50)</f>
        <v>37246.628901999997</v>
      </c>
      <c r="I28" s="91" ph="1">
        <f>I27*18.322*LOOKUP(I29,密度!$A$2:$A$50,密度!$Q$2:$Q$50)</f>
        <v>41521.279755999996</v>
      </c>
      <c r="J28" s="91" ph="1">
        <f>J27*18.322*LOOKUP(J29,密度!$A$2:$A$50,密度!$Q$2:$Q$50)</f>
        <v>8349.9413085399992</v>
      </c>
      <c r="K28" s="91" ph="1">
        <f>K27*18.322*LOOKUP(K29,密度!$A$2:$A$50,密度!$Q$2:$Q$50)</f>
        <v>73655.132021940008</v>
      </c>
      <c r="L28" s="91" ph="1">
        <f>L27*18.322*LOOKUP(L29,密度!$A$2:$A$50,密度!$Q$2:$Q$50)</f>
        <v>76317.36570948</v>
      </c>
      <c r="M28" s="91" ph="1">
        <f>M27*18.322*LOOKUP(M29,密度!$A$2:$A$50,密度!$Q$2:$Q$50)</f>
        <v>45987.369492759994</v>
      </c>
      <c r="N28" s="91" ph="1">
        <f>N27*18.322*LOOKUP(N29,密度!$A$2:$A$50,密度!$Q$2:$Q$50)</f>
        <v>49530.196060399998</v>
      </c>
      <c r="O28" s="91" ph="1">
        <f>O27*18.322*LOOKUP(O29,密度!$A$2:$A$50,密度!$C$2:$C$50)</f>
        <v>116631.02705500001</v>
      </c>
      <c r="P28" s="91" ph="1">
        <f>P27*11.702*LOOKUP(P29,密度!$A$2:$A$50,密度!$B$2:$B$50)</f>
        <v>3196.6938499999997</v>
      </c>
      <c r="Q28" s="92" ph="1">
        <f>Q27*18.322*LOOKUP(Q29,密度!$A$2:$A$50,密度!$B$2:$B$50)</f>
        <v>54675.900445199994</v>
      </c>
      <c r="R28" s="91" ph="1">
        <f>R27*35.891*LOOKUP(R29,密度!$A$2:$A$50,密度!$C$2:$C$50)</f>
        <v>147231.38544919997</v>
      </c>
      <c r="S28" s="91" ph="1">
        <f>S27*35.891*LOOKUP(S29,密度!$A$2:$A$50,密度!$B$2:$B$50)</f>
        <v>1431.9539942999997</v>
      </c>
      <c r="T28" s="91" ph="1">
        <f>T27*35.891*LOOKUP(T29,密度!$A$2:$A$50,密度!$Q$2:$Q$50)</f>
        <v>7248.7832405999998</v>
      </c>
      <c r="U28" s="91" ph="1">
        <f>U27*35.891</f>
        <v>151818.93</v>
      </c>
      <c r="V28" s="91" ph="1">
        <f>V27*47.051*LOOKUP(V29,密度!$A$2:$A$50,密度!$B$2:$B$50)</f>
        <v>141652.71926079999</v>
      </c>
      <c r="W28" s="91" ph="1">
        <f>W27*47.051*LOOKUP(W29,密度!$A$2:$A$50,密度!$B$2:$B$50)</f>
        <v>7656.0634384000005</v>
      </c>
      <c r="X28" s="91" ph="1">
        <f>X27*47.051*LOOKUP(X29,密度!$A$2:$A$61,密度!$I$2:$I$61)</f>
        <v>423769.44249800005</v>
      </c>
      <c r="Y28" s="91" ph="1">
        <f>Y27*47.051*LOOKUP(Y29,密度!$A$2:$A$50,密度!$L$2:$L$50)</f>
        <v>263244.69887999998</v>
      </c>
      <c r="Z28" s="187"/>
      <c r="AA28" s="188"/>
      <c r="AB28" s="188"/>
      <c r="AC28" s="188"/>
      <c r="AD28" s="188"/>
      <c r="AE28" s="189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3" ph="1"/>
      <c r="C29" s="171" t="s" ph="1">
        <v>179</v>
      </c>
      <c r="D29" s="74">
        <v>25</v>
      </c>
      <c r="E29" s="74">
        <v>25</v>
      </c>
      <c r="F29" s="74">
        <v>22</v>
      </c>
      <c r="G29" s="74">
        <v>23</v>
      </c>
      <c r="H29" s="74">
        <v>19</v>
      </c>
      <c r="I29" s="74">
        <v>23</v>
      </c>
      <c r="J29" s="74">
        <v>24</v>
      </c>
      <c r="K29" s="74">
        <v>21</v>
      </c>
      <c r="L29" s="74">
        <v>21</v>
      </c>
      <c r="M29" s="74">
        <v>20</v>
      </c>
      <c r="N29" s="74">
        <v>23</v>
      </c>
      <c r="O29" s="74">
        <v>21</v>
      </c>
      <c r="P29" s="74">
        <v>24</v>
      </c>
      <c r="Q29" s="93">
        <v>23</v>
      </c>
      <c r="R29" s="74">
        <v>22</v>
      </c>
      <c r="S29" s="74">
        <v>22</v>
      </c>
      <c r="T29" s="74">
        <v>23</v>
      </c>
      <c r="U29" s="74">
        <v>21</v>
      </c>
      <c r="V29" s="74">
        <v>21</v>
      </c>
      <c r="W29" s="74">
        <v>22</v>
      </c>
      <c r="X29" s="74">
        <v>49</v>
      </c>
      <c r="Y29" s="74">
        <v>22</v>
      </c>
      <c r="Z29" s="190"/>
      <c r="AA29" s="191"/>
      <c r="AB29" s="191"/>
      <c r="AC29" s="191"/>
      <c r="AD29" s="191"/>
      <c r="AE29" s="192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06" t="s" ph="1">
        <v>35</v>
      </c>
      <c r="C31" s="207" ph="1"/>
      <c r="D31" s="210" t="s" ph="1">
        <v>9</v>
      </c>
      <c r="E31" s="199" ph="1"/>
      <c r="F31" s="200" ph="1"/>
      <c r="G31" s="210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21" t="s">
        <v>42</v>
      </c>
      <c r="AC31" s="222"/>
      <c r="AD31" s="222"/>
      <c r="AE31" s="22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8" ph="1"/>
      <c r="C32" s="209" ph="1"/>
      <c r="D32" s="96" t="s" ph="1">
        <v>4</v>
      </c>
      <c r="E32" s="171" t="s" ph="1">
        <v>5</v>
      </c>
      <c r="F32" s="170" t="s" ph="1">
        <v>43</v>
      </c>
      <c r="G32" s="97" t="s" ph="1">
        <v>4</v>
      </c>
      <c r="H32" s="171" t="s" ph="1">
        <v>5</v>
      </c>
      <c r="I32" s="170" t="s" ph="1">
        <v>43</v>
      </c>
      <c r="J32" s="97" t="s" ph="1">
        <v>4</v>
      </c>
      <c r="K32" s="171" t="s" ph="1">
        <v>5</v>
      </c>
      <c r="L32" s="170" t="s" ph="1">
        <v>43</v>
      </c>
      <c r="M32" s="97" t="s" ph="1">
        <v>4</v>
      </c>
      <c r="N32" s="171" t="s" ph="1">
        <v>5</v>
      </c>
      <c r="O32" s="17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1" t="s" ph="1">
        <v>5</v>
      </c>
      <c r="U32" s="99" t="s" ph="1">
        <v>43</v>
      </c>
      <c r="V32" s="97" t="s" ph="1">
        <v>4</v>
      </c>
      <c r="W32" s="171" t="s" ph="1">
        <v>5</v>
      </c>
      <c r="X32" s="99" t="s" ph="1">
        <v>43</v>
      </c>
      <c r="Y32" s="100" t="s" ph="1">
        <v>4</v>
      </c>
      <c r="Z32" s="171" t="s" ph="1">
        <v>5</v>
      </c>
      <c r="AA32" s="170" t="s" ph="1">
        <v>43</v>
      </c>
      <c r="AB32" s="97" t="s" ph="1">
        <v>85</v>
      </c>
      <c r="AC32" s="171" t="s" ph="1">
        <v>84</v>
      </c>
      <c r="AD32" s="224" t="s" ph="1">
        <v>83</v>
      </c>
      <c r="AE32" s="22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1" t="s" ph="1">
        <v>181</v>
      </c>
      <c r="C33" s="212" ph="1"/>
      <c r="D33" s="215" ph="1">
        <f>AA10+AB10+Z19</f>
        <v>328038.62625000003</v>
      </c>
      <c r="E33" s="215" ph="1">
        <f>M10+I10</f>
        <v>8380.2621426000005</v>
      </c>
      <c r="F33" s="217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9" ph="1">
        <f>N19</f>
        <v>8711.4925854400008</v>
      </c>
      <c r="H33" s="215" ph="1">
        <f>M19</f>
        <v>44519.224426140005</v>
      </c>
      <c r="I33" s="228" ph="1">
        <v>0</v>
      </c>
      <c r="J33" s="226" ph="1">
        <f>F10+O28</f>
        <v>326778.7935034</v>
      </c>
      <c r="K33" s="215" ph="1">
        <f>O10+K10+E28+R28</f>
        <v>270229.16470799997</v>
      </c>
      <c r="L33" s="230" ph="1">
        <f>K19</f>
        <v>36136.712407039995</v>
      </c>
      <c r="M33" s="226" ph="1">
        <f>G10+H10+W28+S28+V28+E10+R19+P28+Q28</f>
        <v>885532.81812586018</v>
      </c>
      <c r="N33" s="215" ph="1">
        <f>L10+P10++G28+H28+AD19+AE19</f>
        <v>431746.30823820003</v>
      </c>
      <c r="O33" s="228" ph="1">
        <f>G19</f>
        <v>19557.9091429</v>
      </c>
      <c r="P33" s="226" ph="1">
        <f>L19</f>
        <v>39858.271204160003</v>
      </c>
      <c r="Q33" s="215" ph="1">
        <f>J10+N10</f>
        <v>69882.511090400003</v>
      </c>
      <c r="R33" s="228" ph="1">
        <f>BE23</f>
        <v>890</v>
      </c>
      <c r="S33" s="226" ph="1">
        <f>X28</f>
        <v>423769.44249800005</v>
      </c>
      <c r="T33" s="215" ph="1">
        <f>X19</f>
        <v>6718.5488322000001</v>
      </c>
      <c r="U33" s="236" ph="1">
        <f>BE21</f>
        <v>730</v>
      </c>
      <c r="V33" s="247" ph="1">
        <f ca="1">P19+Q19+S19+M28+N28+J28+D10+AC10+D19+E19+H19+J19+O19+V19+W19+K28+L28</f>
        <v>958255.872462022</v>
      </c>
      <c r="W33" s="247" ph="1">
        <f>D28+F28+T28+I28</f>
        <v>91751.036393019996</v>
      </c>
      <c r="X33" s="228" ph="1">
        <f>BE29+BE31</f>
        <v>10200</v>
      </c>
      <c r="Y33" s="249" ph="1">
        <f>+Q10+R10+S10+T10+U10+V10+W10+X10+Y10</f>
        <v>277968.66589800001</v>
      </c>
      <c r="Z33" s="234" ph="1">
        <f>T19+U19+Y28+Z10</f>
        <v>403719.68840852001</v>
      </c>
      <c r="AA33" s="236" ph="1">
        <f>BE19</f>
        <v>1440</v>
      </c>
      <c r="AB33" s="238" ph="1">
        <f>I19</f>
        <v>48778.860722799996</v>
      </c>
      <c r="AC33" s="240" ph="1">
        <f>AD10+AB19</f>
        <v>153209.83739</v>
      </c>
      <c r="AD33" s="242" ph="1">
        <v>0</v>
      </c>
      <c r="AE33" s="243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3" ph="1"/>
      <c r="C34" s="214" ph="1"/>
      <c r="D34" s="216" ph="1"/>
      <c r="E34" s="216" ph="1"/>
      <c r="F34" s="218" ph="1"/>
      <c r="G34" s="220" ph="1"/>
      <c r="H34" s="216" ph="1"/>
      <c r="I34" s="229" ph="1"/>
      <c r="J34" s="227" ph="1"/>
      <c r="K34" s="216" ph="1"/>
      <c r="L34" s="231" ph="1"/>
      <c r="M34" s="227" ph="1"/>
      <c r="N34" s="216" ph="1"/>
      <c r="O34" s="229" ph="1"/>
      <c r="P34" s="227" ph="1"/>
      <c r="Q34" s="216" ph="1"/>
      <c r="R34" s="229" ph="1"/>
      <c r="S34" s="227" ph="1"/>
      <c r="T34" s="216"/>
      <c r="U34" s="237"/>
      <c r="V34" s="248" ph="1"/>
      <c r="W34" s="248" ph="1"/>
      <c r="X34" s="229" ph="1"/>
      <c r="Y34" s="250" ph="1"/>
      <c r="Z34" s="235" ph="1"/>
      <c r="AA34" s="237" ph="1"/>
      <c r="AB34" s="239"/>
      <c r="AC34" s="241"/>
      <c r="AD34" s="244"/>
      <c r="AE34" s="245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6" t="s" ph="1">
        <v>631</v>
      </c>
      <c r="AD35" s="246"/>
      <c r="AE35" s="246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32" t="s" ph="1">
        <v>183</v>
      </c>
      <c r="J36" s="232" ph="1"/>
      <c r="K36" s="101" ph="1"/>
      <c r="P36" s="101" ph="1"/>
      <c r="R36" s="232" t="s" ph="1">
        <v>184</v>
      </c>
      <c r="S36" s="232" ph="1"/>
      <c r="Y36" s="102" ph="1"/>
      <c r="Z36" s="169" t="s" ph="1">
        <v>185</v>
      </c>
      <c r="AA36" s="169" ph="1"/>
      <c r="AB36" s="233" t="s" ph="1">
        <v>641</v>
      </c>
      <c r="AC36" s="233" ph="1"/>
      <c r="AD36" s="233" ph="1"/>
      <c r="AE36" s="233" ph="1"/>
      <c r="BA36" s="64" ph="1">
        <v>2270</v>
      </c>
    </row>
    <row r="37" spans="1:57" s="16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9" t="s" ph="1">
        <v>342</v>
      </c>
      <c r="AI37" s="169" t="s" ph="1">
        <v>209</v>
      </c>
      <c r="AJ37" s="169" t="s" ph="1">
        <v>210</v>
      </c>
      <c r="AK37" s="169" t="s" ph="1">
        <v>211</v>
      </c>
      <c r="AM37" s="169" t="s" ph="1">
        <v>210</v>
      </c>
      <c r="AN37" s="169" t="s" ph="1">
        <v>211</v>
      </c>
      <c r="AO37" s="169" t="s" ph="1">
        <v>212</v>
      </c>
      <c r="AP37" s="169" t="s" ph="1">
        <v>210</v>
      </c>
      <c r="AQ37" s="169" t="s" ph="1">
        <v>211</v>
      </c>
      <c r="AR37" s="169" t="s" ph="1">
        <v>212</v>
      </c>
      <c r="AS37" s="169" t="s" ph="1">
        <v>210</v>
      </c>
      <c r="AT37" s="169" t="s" ph="1">
        <v>211</v>
      </c>
      <c r="AU37" s="169" t="s" ph="1">
        <v>212</v>
      </c>
      <c r="AV37" s="169" t="s" ph="1">
        <v>210</v>
      </c>
      <c r="AW37" s="169" t="s" ph="1">
        <v>211</v>
      </c>
      <c r="AX37" s="169" t="s" ph="1">
        <v>212</v>
      </c>
      <c r="AY37" s="169" t="s" ph="1">
        <v>211</v>
      </c>
      <c r="AZ37" s="169" t="s" ph="1">
        <v>213</v>
      </c>
      <c r="BD37" s="169" t="s" ph="1">
        <v>305</v>
      </c>
      <c r="BE37" s="16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9" priority="100">
      <formula>ABS(D$7-D$10)&gt;=1000</formula>
    </cfRule>
  </conditionalFormatting>
  <conditionalFormatting sqref="E4 E6:E11">
    <cfRule type="expression" dxfId="128" priority="99">
      <formula>ABS(E$7-E$10)&gt;=1000</formula>
    </cfRule>
  </conditionalFormatting>
  <conditionalFormatting sqref="F4:F11">
    <cfRule type="expression" dxfId="127" priority="98">
      <formula>ABS(F$7-F$10)&gt;=1000</formula>
    </cfRule>
  </conditionalFormatting>
  <conditionalFormatting sqref="G4:G11">
    <cfRule type="expression" dxfId="126" priority="97">
      <formula>ABS(G$7-G$10)&gt;=1000</formula>
    </cfRule>
  </conditionalFormatting>
  <conditionalFormatting sqref="H4:H11">
    <cfRule type="expression" dxfId="125" priority="96">
      <formula>ABS(H$7-H$10)&gt;=1000</formula>
    </cfRule>
  </conditionalFormatting>
  <conditionalFormatting sqref="I4:I11">
    <cfRule type="expression" dxfId="124" priority="95">
      <formula>ABS(I$7-I$10)&gt;=1000</formula>
    </cfRule>
  </conditionalFormatting>
  <conditionalFormatting sqref="J4:J11">
    <cfRule type="expression" dxfId="123" priority="94">
      <formula>ABS(J$7-J$10)&gt;=1000</formula>
    </cfRule>
  </conditionalFormatting>
  <conditionalFormatting sqref="K4:K11">
    <cfRule type="expression" dxfId="122" priority="93">
      <formula>ABS(K$7-K$10)&gt;=1000</formula>
    </cfRule>
  </conditionalFormatting>
  <conditionalFormatting sqref="L4:L11">
    <cfRule type="expression" dxfId="121" priority="92">
      <formula>ABS(L$7-L$10)&gt;=1000</formula>
    </cfRule>
  </conditionalFormatting>
  <conditionalFormatting sqref="M4 M6:M11">
    <cfRule type="expression" dxfId="120" priority="91">
      <formula>ABS(M$7-M$10)&gt;=1000</formula>
    </cfRule>
  </conditionalFormatting>
  <conditionalFormatting sqref="N4 N6:N11">
    <cfRule type="expression" dxfId="119" priority="90">
      <formula>ABS(N$7-N$10)&gt;=1000</formula>
    </cfRule>
  </conditionalFormatting>
  <conditionalFormatting sqref="O4 O6:O11">
    <cfRule type="expression" dxfId="118" priority="89">
      <formula>ABS(O$7-O$10)&gt;=1000</formula>
    </cfRule>
  </conditionalFormatting>
  <conditionalFormatting sqref="P4 P6:P11">
    <cfRule type="expression" dxfId="117" priority="88">
      <formula>ABS(P$7-P$10)&gt;=1000</formula>
    </cfRule>
  </conditionalFormatting>
  <conditionalFormatting sqref="Q4:Q11">
    <cfRule type="expression" dxfId="116" priority="87">
      <formula>ABS(Q$7-Q$10)&gt;=1000</formula>
    </cfRule>
  </conditionalFormatting>
  <conditionalFormatting sqref="R4:R11">
    <cfRule type="expression" dxfId="115" priority="86">
      <formula>ABS(R$7-R$10)&gt;=1000</formula>
    </cfRule>
  </conditionalFormatting>
  <conditionalFormatting sqref="S4:S11">
    <cfRule type="expression" dxfId="114" priority="85">
      <formula>ABS(S$7-S$10)&gt;=1000</formula>
    </cfRule>
  </conditionalFormatting>
  <conditionalFormatting sqref="T4:T9 T11">
    <cfRule type="expression" dxfId="113" priority="84">
      <formula>ABS(T$7-T$10)&gt;=1000</formula>
    </cfRule>
  </conditionalFormatting>
  <conditionalFormatting sqref="U4:U9 U11">
    <cfRule type="expression" dxfId="112" priority="83">
      <formula>ABS(U$7-U$10)&gt;=1000</formula>
    </cfRule>
  </conditionalFormatting>
  <conditionalFormatting sqref="V4:V9 V11">
    <cfRule type="expression" dxfId="111" priority="82">
      <formula>ABS(V$7-V$10)&gt;=1000</formula>
    </cfRule>
  </conditionalFormatting>
  <conditionalFormatting sqref="W4:W9 W11">
    <cfRule type="expression" dxfId="110" priority="81">
      <formula>ABS(W$7-W$10)&gt;=1000</formula>
    </cfRule>
  </conditionalFormatting>
  <conditionalFormatting sqref="X4:X9 X11">
    <cfRule type="expression" dxfId="109" priority="80">
      <formula>ABS(X$7-X$10)&gt;=1000</formula>
    </cfRule>
  </conditionalFormatting>
  <conditionalFormatting sqref="Y4:Y9 Y11">
    <cfRule type="expression" dxfId="108" priority="79">
      <formula>ABS(Y$7-Y$10)&gt;=1000</formula>
    </cfRule>
  </conditionalFormatting>
  <conditionalFormatting sqref="Z4:Z11">
    <cfRule type="expression" dxfId="107" priority="78">
      <formula>ABS(Z$7-Z$10)&gt;=1000</formula>
    </cfRule>
  </conditionalFormatting>
  <conditionalFormatting sqref="AA4:AA11">
    <cfRule type="expression" dxfId="106" priority="77">
      <formula>ABS(AA$7-AA$10)&gt;=1000</formula>
    </cfRule>
  </conditionalFormatting>
  <conditionalFormatting sqref="AB4:AB11">
    <cfRule type="expression" dxfId="105" priority="76">
      <formula>ABS(AB$7-AB$10)&gt;=1000</formula>
    </cfRule>
  </conditionalFormatting>
  <conditionalFormatting sqref="AC4 AC6:AC11">
    <cfRule type="expression" dxfId="104" priority="75">
      <formula>ABS(AC$7-AC$10)&gt;=1000</formula>
    </cfRule>
  </conditionalFormatting>
  <conditionalFormatting sqref="AD4 AD6:AD11">
    <cfRule type="expression" dxfId="103" priority="74">
      <formula>ABS(AD$7-AD$10)&gt;=1000</formula>
    </cfRule>
  </conditionalFormatting>
  <conditionalFormatting sqref="AE4 AE6:AE11">
    <cfRule type="expression" dxfId="102" priority="73">
      <formula>ABS(AE$7-AE$10)&gt;=1000</formula>
    </cfRule>
  </conditionalFormatting>
  <conditionalFormatting sqref="D13:D20">
    <cfRule type="expression" dxfId="101" priority="72">
      <formula>ABS(D$16-D$19)&gt;=1000</formula>
    </cfRule>
  </conditionalFormatting>
  <conditionalFormatting sqref="E13:E20">
    <cfRule type="expression" dxfId="100" priority="71">
      <formula>ABS(E$16-E$19)&gt;=1000</formula>
    </cfRule>
  </conditionalFormatting>
  <conditionalFormatting sqref="F13 F15:F20">
    <cfRule type="expression" dxfId="99" priority="70">
      <formula>ABS(F$16-F$19)&gt;=1000</formula>
    </cfRule>
  </conditionalFormatting>
  <conditionalFormatting sqref="G13:G20">
    <cfRule type="expression" dxfId="98" priority="69">
      <formula>ABS(G$16-G$19)&gt;=1000</formula>
    </cfRule>
  </conditionalFormatting>
  <conditionalFormatting sqref="H13 H15:H20">
    <cfRule type="expression" dxfId="97" priority="68">
      <formula>ABS(H$16-H$19)&gt;=1000</formula>
    </cfRule>
  </conditionalFormatting>
  <conditionalFormatting sqref="I13:I20">
    <cfRule type="expression" dxfId="96" priority="67">
      <formula>ABS(I$16-I$19)&gt;=1000</formula>
    </cfRule>
  </conditionalFormatting>
  <conditionalFormatting sqref="J13:J20">
    <cfRule type="expression" dxfId="95" priority="66">
      <formula>ABS(J$16-J$19)&gt;=1000</formula>
    </cfRule>
  </conditionalFormatting>
  <conditionalFormatting sqref="L13:L20">
    <cfRule type="expression" dxfId="94" priority="65">
      <formula>ABS(L$16-L$19)&gt;=1000</formula>
    </cfRule>
  </conditionalFormatting>
  <conditionalFormatting sqref="M13 M15 M17:M18 M20">
    <cfRule type="expression" dxfId="93" priority="64">
      <formula>ABS(M$16-M$19)&gt;=1000</formula>
    </cfRule>
  </conditionalFormatting>
  <conditionalFormatting sqref="N13:N20">
    <cfRule type="expression" dxfId="92" priority="63">
      <formula>ABS(N$16-N$19)&gt;=1000</formula>
    </cfRule>
  </conditionalFormatting>
  <conditionalFormatting sqref="O13:O20">
    <cfRule type="expression" dxfId="91" priority="62">
      <formula>ABS(O$16-O$19)&gt;=1000</formula>
    </cfRule>
  </conditionalFormatting>
  <conditionalFormatting sqref="P13:P20">
    <cfRule type="expression" dxfId="90" priority="61">
      <formula>ABS(P$16-P$19)&gt;=1000</formula>
    </cfRule>
  </conditionalFormatting>
  <conditionalFormatting sqref="Q13 Q15:Q20">
    <cfRule type="expression" dxfId="89" priority="60">
      <formula>ABS(Q$16-Q$19)&gt;=1000</formula>
    </cfRule>
  </conditionalFormatting>
  <conditionalFormatting sqref="R13:R20">
    <cfRule type="expression" dxfId="88" priority="59">
      <formula>ABS(R$16-R$19)&gt;=1000</formula>
    </cfRule>
  </conditionalFormatting>
  <conditionalFormatting sqref="S13:S20">
    <cfRule type="expression" dxfId="87" priority="58">
      <formula>ABS(S$16-S$19)&gt;=1000</formula>
    </cfRule>
  </conditionalFormatting>
  <conditionalFormatting sqref="T13:T20">
    <cfRule type="expression" dxfId="86" priority="57">
      <formula>ABS(T$16-T$19)&gt;=1000</formula>
    </cfRule>
  </conditionalFormatting>
  <conditionalFormatting sqref="U13:U20">
    <cfRule type="expression" dxfId="85" priority="56">
      <formula>ABS(U$16-U$19)&gt;=1000</formula>
    </cfRule>
  </conditionalFormatting>
  <conditionalFormatting sqref="V13:V20">
    <cfRule type="expression" dxfId="84" priority="55">
      <formula>ABS(V$16-V$19)&gt;=1000</formula>
    </cfRule>
  </conditionalFormatting>
  <conditionalFormatting sqref="W13 W20 W15:W18">
    <cfRule type="expression" dxfId="83" priority="54">
      <formula>ABS(W$16-W$19)&gt;=1000</formula>
    </cfRule>
  </conditionalFormatting>
  <conditionalFormatting sqref="X13 X15:X20 Y19">
    <cfRule type="expression" dxfId="82" priority="53">
      <formula>ABS(X$16-X$19)&gt;=1000</formula>
    </cfRule>
  </conditionalFormatting>
  <conditionalFormatting sqref="Y13 Y15:Y18 Y20">
    <cfRule type="expression" dxfId="81" priority="52">
      <formula>ABS(Y$16-Y$19)&gt;=1000</formula>
    </cfRule>
  </conditionalFormatting>
  <conditionalFormatting sqref="Z13:Z20">
    <cfRule type="expression" dxfId="80" priority="51">
      <formula>ABS(Z$16-Z$19)&gt;=1000</formula>
    </cfRule>
  </conditionalFormatting>
  <conditionalFormatting sqref="AA13:AA20">
    <cfRule type="expression" dxfId="79" priority="50">
      <formula>ABS(AA$16-AA$19)&gt;=1000</formula>
    </cfRule>
  </conditionalFormatting>
  <conditionalFormatting sqref="AB13 AB15:AB20">
    <cfRule type="expression" dxfId="78" priority="49">
      <formula>ABS(AB$16-AB$19)&gt;=1000</formula>
    </cfRule>
  </conditionalFormatting>
  <conditionalFormatting sqref="AC13 AC15:AC20">
    <cfRule type="expression" dxfId="77" priority="48">
      <formula>ABS(AC$16-AC$19)&gt;=1000</formula>
    </cfRule>
  </conditionalFormatting>
  <conditionalFormatting sqref="AD13:AD20">
    <cfRule type="expression" dxfId="76" priority="47">
      <formula>ABS(AD$16-AD$19)&gt;=1000</formula>
    </cfRule>
  </conditionalFormatting>
  <conditionalFormatting sqref="AE13:AE20">
    <cfRule type="expression" dxfId="75" priority="46">
      <formula>ABS(AE$16-AE$19)&gt;=1000</formula>
    </cfRule>
  </conditionalFormatting>
  <conditionalFormatting sqref="D22:D29">
    <cfRule type="expression" dxfId="74" priority="45">
      <formula>ABS(D$25-D$28)&gt;=1000</formula>
    </cfRule>
  </conditionalFormatting>
  <conditionalFormatting sqref="E22:E29">
    <cfRule type="expression" dxfId="73" priority="44">
      <formula>ABS(E$25-E$28)&gt;=1000</formula>
    </cfRule>
  </conditionalFormatting>
  <conditionalFormatting sqref="F22:F29">
    <cfRule type="expression" dxfId="72" priority="43">
      <formula>ABS(F$25-F$28)&gt;=1000</formula>
    </cfRule>
  </conditionalFormatting>
  <conditionalFormatting sqref="G22:G29">
    <cfRule type="expression" dxfId="71" priority="42">
      <formula>ABS(G$25-G$28)&gt;=1000</formula>
    </cfRule>
  </conditionalFormatting>
  <conditionalFormatting sqref="H22:H29">
    <cfRule type="expression" dxfId="70" priority="41">
      <formula>ABS(H$25-H$28)&gt;=1000</formula>
    </cfRule>
  </conditionalFormatting>
  <conditionalFormatting sqref="I22 I24:I29">
    <cfRule type="expression" dxfId="69" priority="40">
      <formula>ABS(I$25-I$28)&gt;=1000</formula>
    </cfRule>
  </conditionalFormatting>
  <conditionalFormatting sqref="J22:J29 K22">
    <cfRule type="expression" dxfId="68" priority="39">
      <formula>ABS(J$25-J$28)&gt;=1000</formula>
    </cfRule>
  </conditionalFormatting>
  <conditionalFormatting sqref="K23:K29 L25 L28">
    <cfRule type="expression" dxfId="67" priority="38">
      <formula>ABS(K$25-K$28)&gt;=1000</formula>
    </cfRule>
  </conditionalFormatting>
  <conditionalFormatting sqref="L22 L26:L27 L29 L24">
    <cfRule type="expression" dxfId="66" priority="37">
      <formula>ABS(L$25-L$28)&gt;=1000</formula>
    </cfRule>
  </conditionalFormatting>
  <conditionalFormatting sqref="M22:M29">
    <cfRule type="expression" dxfId="65" priority="36">
      <formula>ABS(M$25-M$28)&gt;=1000</formula>
    </cfRule>
  </conditionalFormatting>
  <conditionalFormatting sqref="N22:N29">
    <cfRule type="expression" dxfId="64" priority="35">
      <formula>ABS(N$25-N$28)&gt;=1000</formula>
    </cfRule>
  </conditionalFormatting>
  <conditionalFormatting sqref="O22:O29">
    <cfRule type="expression" dxfId="63" priority="34">
      <formula>ABS(O$25-O$28)&gt;=1000</formula>
    </cfRule>
  </conditionalFormatting>
  <conditionalFormatting sqref="P22:P29">
    <cfRule type="expression" dxfId="62" priority="33">
      <formula>ABS(P$25-P$28)&gt;=1000</formula>
    </cfRule>
  </conditionalFormatting>
  <conditionalFormatting sqref="Q22:Q29">
    <cfRule type="expression" dxfId="61" priority="32">
      <formula>ABS(Q$25-Q$28)&gt;=1000</formula>
    </cfRule>
  </conditionalFormatting>
  <conditionalFormatting sqref="R22:R29">
    <cfRule type="expression" dxfId="60" priority="31">
      <formula>ABS(R$25-R$28)&gt;=1000</formula>
    </cfRule>
  </conditionalFormatting>
  <conditionalFormatting sqref="S22:S29">
    <cfRule type="expression" dxfId="59" priority="30">
      <formula>ABS(S$25-S$28)&gt;=1000</formula>
    </cfRule>
  </conditionalFormatting>
  <conditionalFormatting sqref="T22:T29">
    <cfRule type="expression" dxfId="58" priority="29">
      <formula>ABS(T$25-T$28)&gt;=1000</formula>
    </cfRule>
  </conditionalFormatting>
  <conditionalFormatting sqref="U22:U29">
    <cfRule type="expression" dxfId="57" priority="28">
      <formula>ABS(U$25-U$28)&gt;=1000</formula>
    </cfRule>
  </conditionalFormatting>
  <conditionalFormatting sqref="V22:V29">
    <cfRule type="expression" dxfId="56" priority="27">
      <formula>ABS(V$25-V$28)&gt;=1000</formula>
    </cfRule>
  </conditionalFormatting>
  <conditionalFormatting sqref="W22:W29">
    <cfRule type="expression" dxfId="55" priority="26">
      <formula>ABS(W$25-W$28)&gt;=1000</formula>
    </cfRule>
  </conditionalFormatting>
  <conditionalFormatting sqref="X22:X29">
    <cfRule type="expression" dxfId="54" priority="25">
      <formula>ABS(X$25-X$28)&gt;=1000</formula>
    </cfRule>
  </conditionalFormatting>
  <conditionalFormatting sqref="Y22:Y29">
    <cfRule type="expression" dxfId="53" priority="24">
      <formula>ABS(Y$25-Y$28)&gt;=1000</formula>
    </cfRule>
  </conditionalFormatting>
  <conditionalFormatting sqref="I23">
    <cfRule type="expression" dxfId="52" priority="23">
      <formula>ABS(I$25-I$28)&gt;=1000</formula>
    </cfRule>
  </conditionalFormatting>
  <conditionalFormatting sqref="Q14">
    <cfRule type="expression" dxfId="51" priority="22">
      <formula>ABS(Q$16-Q$19)&gt;=1000</formula>
    </cfRule>
  </conditionalFormatting>
  <conditionalFormatting sqref="W14">
    <cfRule type="expression" dxfId="50" priority="21">
      <formula>ABS(W$16-W$19)&gt;=1000</formula>
    </cfRule>
  </conditionalFormatting>
  <conditionalFormatting sqref="X14">
    <cfRule type="expression" dxfId="49" priority="20">
      <formula>ABS(X$16-X$19)&gt;=1000</formula>
    </cfRule>
  </conditionalFormatting>
  <conditionalFormatting sqref="T10:Y10">
    <cfRule type="expression" dxfId="48" priority="19">
      <formula>ABS(T$7-T$10)&gt;=1000</formula>
    </cfRule>
  </conditionalFormatting>
  <conditionalFormatting sqref="W19">
    <cfRule type="expression" dxfId="47" priority="18">
      <formula>ABS(W$16-W$19)&gt;=1000</formula>
    </cfRule>
  </conditionalFormatting>
  <conditionalFormatting sqref="AC5">
    <cfRule type="expression" dxfId="46" priority="17">
      <formula>ABS(AC$7-AC$10)&gt;=1000</formula>
    </cfRule>
  </conditionalFormatting>
  <conditionalFormatting sqref="M14">
    <cfRule type="expression" dxfId="45" priority="16">
      <formula>ABS(M$16-M$19)&gt;=1000</formula>
    </cfRule>
  </conditionalFormatting>
  <conditionalFormatting sqref="M16">
    <cfRule type="expression" dxfId="44" priority="15">
      <formula>ABS(M$16-M$19)&gt;=1000</formula>
    </cfRule>
  </conditionalFormatting>
  <conditionalFormatting sqref="M19">
    <cfRule type="expression" dxfId="43" priority="14">
      <formula>ABS(M$16-M$19)&gt;=1000</formula>
    </cfRule>
  </conditionalFormatting>
  <conditionalFormatting sqref="K13:K20">
    <cfRule type="expression" dxfId="42" priority="13">
      <formula>ABS(K$16-K$19)&gt;=1000</formula>
    </cfRule>
  </conditionalFormatting>
  <conditionalFormatting sqref="E5">
    <cfRule type="expression" dxfId="41" priority="12">
      <formula>ABS(E$7-E$10)&gt;=1000</formula>
    </cfRule>
  </conditionalFormatting>
  <conditionalFormatting sqref="AB14:AC14">
    <cfRule type="expression" dxfId="40" priority="11">
      <formula>ABS(AB$16-AB$19)&gt;=1000</formula>
    </cfRule>
  </conditionalFormatting>
  <conditionalFormatting sqref="M5">
    <cfRule type="expression" dxfId="39" priority="10">
      <formula>ABS(M$7-M$10)&gt;=1000</formula>
    </cfRule>
  </conditionalFormatting>
  <conditionalFormatting sqref="N5">
    <cfRule type="expression" dxfId="38" priority="9">
      <formula>ABS(N$7-N$10)&gt;=1000</formula>
    </cfRule>
  </conditionalFormatting>
  <conditionalFormatting sqref="O5">
    <cfRule type="expression" dxfId="37" priority="8">
      <formula>ABS(O$7-O$10)&gt;=1000</formula>
    </cfRule>
  </conditionalFormatting>
  <conditionalFormatting sqref="P5">
    <cfRule type="expression" dxfId="36" priority="7">
      <formula>ABS(P$7-P$10)&gt;=1000</formula>
    </cfRule>
  </conditionalFormatting>
  <conditionalFormatting sqref="L23">
    <cfRule type="expression" dxfId="35" priority="6">
      <formula>ABS(L$25-L$28)&gt;=1000</formula>
    </cfRule>
  </conditionalFormatting>
  <conditionalFormatting sqref="Y14">
    <cfRule type="expression" dxfId="34" priority="5">
      <formula>ABS(Y$16-Y$19)&gt;=1000</formula>
    </cfRule>
  </conditionalFormatting>
  <conditionalFormatting sqref="F14">
    <cfRule type="expression" dxfId="33" priority="4">
      <formula>ABS(F$16-F$19)&gt;=1000</formula>
    </cfRule>
  </conditionalFormatting>
  <conditionalFormatting sqref="H14">
    <cfRule type="expression" dxfId="32" priority="3">
      <formula>ABS(H$16-H$19)&gt;=1000</formula>
    </cfRule>
  </conditionalFormatting>
  <conditionalFormatting sqref="AD5">
    <cfRule type="expression" dxfId="31" priority="2">
      <formula>ABS(AD$7-AD$10)&gt;=1000</formula>
    </cfRule>
  </conditionalFormatting>
  <conditionalFormatting sqref="AE5">
    <cfRule type="expression" dxfId="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18</vt:i4>
      </vt:variant>
    </vt:vector>
  </HeadingPairs>
  <TitlesOfParts>
    <vt:vector size="36" baseType="lpstr">
      <vt:lpstr>新增</vt:lpstr>
      <vt:lpstr>密度</vt:lpstr>
      <vt:lpstr>1.30</vt:lpstr>
      <vt:lpstr>2.1</vt:lpstr>
      <vt:lpstr>2.2</vt:lpstr>
      <vt:lpstr>2.3</vt:lpstr>
      <vt:lpstr>2.4</vt:lpstr>
      <vt:lpstr>2.5</vt:lpstr>
      <vt:lpstr>2.6</vt:lpstr>
      <vt:lpstr>2.9</vt:lpstr>
      <vt:lpstr>2.10</vt:lpstr>
      <vt:lpstr>2.11</vt:lpstr>
      <vt:lpstr>2.12</vt:lpstr>
      <vt:lpstr>2.13</vt:lpstr>
      <vt:lpstr>2.23</vt:lpstr>
      <vt:lpstr>2.24</vt:lpstr>
      <vt:lpstr>2.25</vt:lpstr>
      <vt:lpstr>2.26</vt:lpstr>
      <vt:lpstr>'1.30'!Print_Area</vt:lpstr>
      <vt:lpstr>'2.1'!Print_Area</vt:lpstr>
      <vt:lpstr>'2.10'!Print_Area</vt:lpstr>
      <vt:lpstr>'2.11'!Print_Area</vt:lpstr>
      <vt:lpstr>'2.12'!Print_Area</vt:lpstr>
      <vt:lpstr>'2.13'!Print_Area</vt:lpstr>
      <vt:lpstr>'2.2'!Print_Area</vt:lpstr>
      <vt:lpstr>'2.23'!Print_Area</vt:lpstr>
      <vt:lpstr>'2.24'!Print_Area</vt:lpstr>
      <vt:lpstr>'2.25'!Print_Area</vt:lpstr>
      <vt:lpstr>'2.26'!Print_Area</vt:lpstr>
      <vt:lpstr>'2.3'!Print_Area</vt:lpstr>
      <vt:lpstr>'2.4'!Print_Area</vt:lpstr>
      <vt:lpstr>'2.5'!Print_Area</vt:lpstr>
      <vt:lpstr>'2.6'!Print_Area</vt:lpstr>
      <vt:lpstr>'2.9'!Print_Area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2026-02-26T11:26:55Z</cp:lastPrinted>
  <dcterms:created xsi:type="dcterms:W3CDTF">2006-09-16T00:00:00Z</dcterms:created>
  <dcterms:modified xsi:type="dcterms:W3CDTF">2026-03-01T02:27:11Z</dcterms:modified>
</cp:coreProperties>
</file>