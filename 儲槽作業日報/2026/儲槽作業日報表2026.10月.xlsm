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activeTab="7"/>
  </bookViews>
  <sheets>
    <sheet name="新增" sheetId="1727" r:id="rId1"/>
    <sheet name="密度" sheetId="13" r:id="rId2"/>
    <sheet name="9.30" sheetId="2267" r:id="rId3"/>
    <sheet name="10.1" sheetId="2268" r:id="rId4"/>
    <sheet name="10.2" sheetId="2269" r:id="rId5"/>
    <sheet name="10.5" sheetId="2270" r:id="rId6"/>
    <sheet name="10.6" sheetId="2271" r:id="rId7"/>
    <sheet name="10.7" sheetId="2272" r:id="rId8"/>
  </sheets>
  <definedNames>
    <definedName name="_xlnm.Print_Area" localSheetId="3">'10.1'!$B$1:$AE$36</definedName>
    <definedName name="_xlnm.Print_Area" localSheetId="4">'10.2'!$B$1:$AE$36</definedName>
    <definedName name="_xlnm.Print_Area" localSheetId="5">'10.5'!$B$1:$AE$36</definedName>
    <definedName name="_xlnm.Print_Area" localSheetId="6">'10.6'!$B$1:$AE$36</definedName>
    <definedName name="_xlnm.Print_Area" localSheetId="7">'10.7'!$B$1:$AE$36</definedName>
    <definedName name="_xlnm.Print_Area" localSheetId="2">'9.30'!$B$1:$AE$36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3" hidden="1">'10.1'!$B$3:$AE$36</definedName>
    <definedName name="Z_512059F6_F0DC_4056_8FD0_37088AB81F9E_.wvu.PrintArea" localSheetId="4" hidden="1">'10.2'!$B$3:$AE$36</definedName>
    <definedName name="Z_512059F6_F0DC_4056_8FD0_37088AB81F9E_.wvu.PrintArea" localSheetId="5" hidden="1">'10.5'!$B$3:$AE$36</definedName>
    <definedName name="Z_512059F6_F0DC_4056_8FD0_37088AB81F9E_.wvu.PrintArea" localSheetId="6" hidden="1">'10.6'!$B$3:$AE$36</definedName>
    <definedName name="Z_512059F6_F0DC_4056_8FD0_37088AB81F9E_.wvu.PrintArea" localSheetId="7" hidden="1">'10.7'!$B$3:$AE$36</definedName>
    <definedName name="Z_512059F6_F0DC_4056_8FD0_37088AB81F9E_.wvu.PrintArea" localSheetId="2" hidden="1">'9.30'!$B$3:$AE$36</definedName>
    <definedName name="Z_68643476_8805_447E_8170_A582EA1D0343_.wvu.PrintArea" localSheetId="3" hidden="1">'10.1'!$B$3:$AE$36</definedName>
    <definedName name="Z_68643476_8805_447E_8170_A582EA1D0343_.wvu.PrintArea" localSheetId="4" hidden="1">'10.2'!$B$3:$AE$36</definedName>
    <definedName name="Z_68643476_8805_447E_8170_A582EA1D0343_.wvu.PrintArea" localSheetId="5" hidden="1">'10.5'!$B$3:$AE$36</definedName>
    <definedName name="Z_68643476_8805_447E_8170_A582EA1D0343_.wvu.PrintArea" localSheetId="6" hidden="1">'10.6'!$B$3:$AE$36</definedName>
    <definedName name="Z_68643476_8805_447E_8170_A582EA1D0343_.wvu.PrintArea" localSheetId="7" hidden="1">'10.7'!$B$3:$AE$36</definedName>
    <definedName name="Z_68643476_8805_447E_8170_A582EA1D0343_.wvu.PrintArea" localSheetId="2" hidden="1">'9.30'!$B$3:$AE$36</definedName>
    <definedName name="Z_8E5926ED_4EBD_4129_B8FF_799CC47580D7_.wvu.PrintArea" localSheetId="3" hidden="1">'10.1'!$B$3:$AE$36</definedName>
    <definedName name="Z_8E5926ED_4EBD_4129_B8FF_799CC47580D7_.wvu.PrintArea" localSheetId="4" hidden="1">'10.2'!$B$3:$AE$36</definedName>
    <definedName name="Z_8E5926ED_4EBD_4129_B8FF_799CC47580D7_.wvu.PrintArea" localSheetId="5" hidden="1">'10.5'!$B$3:$AE$36</definedName>
    <definedName name="Z_8E5926ED_4EBD_4129_B8FF_799CC47580D7_.wvu.PrintArea" localSheetId="6" hidden="1">'10.6'!$B$3:$AE$36</definedName>
    <definedName name="Z_8E5926ED_4EBD_4129_B8FF_799CC47580D7_.wvu.PrintArea" localSheetId="7" hidden="1">'10.7'!$B$3:$AE$36</definedName>
    <definedName name="Z_8E5926ED_4EBD_4129_B8FF_799CC47580D7_.wvu.PrintArea" localSheetId="2" hidden="1">'9.30'!$B$3:$AE$36</definedName>
    <definedName name="Z_8FA8B620_C56C_11DB_A857_00055D5FD5FF_.wvu.PrintArea" localSheetId="3" hidden="1">'10.1'!$B$3:$AE$36</definedName>
    <definedName name="Z_8FA8B620_C56C_11DB_A857_00055D5FD5FF_.wvu.PrintArea" localSheetId="4" hidden="1">'10.2'!$B$3:$AE$36</definedName>
    <definedName name="Z_8FA8B620_C56C_11DB_A857_00055D5FD5FF_.wvu.PrintArea" localSheetId="5" hidden="1">'10.5'!$B$3:$AE$36</definedName>
    <definedName name="Z_8FA8B620_C56C_11DB_A857_00055D5FD5FF_.wvu.PrintArea" localSheetId="6" hidden="1">'10.6'!$B$3:$AE$36</definedName>
    <definedName name="Z_8FA8B620_C56C_11DB_A857_00055D5FD5FF_.wvu.PrintArea" localSheetId="7" hidden="1">'10.7'!$B$3:$AE$36</definedName>
    <definedName name="Z_8FA8B620_C56C_11DB_A857_00055D5FD5FF_.wvu.PrintArea" localSheetId="2" hidden="1">'9.30'!$B$3:$AE$36</definedName>
    <definedName name="Z_A3DB5619_047E_4CE2_8C39_700CFD25F2CB_.wvu.PrintArea" localSheetId="3" hidden="1">'10.1'!$B$3:$AE$36</definedName>
    <definedName name="Z_A3DB5619_047E_4CE2_8C39_700CFD25F2CB_.wvu.PrintArea" localSheetId="4" hidden="1">'10.2'!$B$3:$AE$36</definedName>
    <definedName name="Z_A3DB5619_047E_4CE2_8C39_700CFD25F2CB_.wvu.PrintArea" localSheetId="5" hidden="1">'10.5'!$B$3:$AE$36</definedName>
    <definedName name="Z_A3DB5619_047E_4CE2_8C39_700CFD25F2CB_.wvu.PrintArea" localSheetId="6" hidden="1">'10.6'!$B$3:$AE$36</definedName>
    <definedName name="Z_A3DB5619_047E_4CE2_8C39_700CFD25F2CB_.wvu.PrintArea" localSheetId="7" hidden="1">'10.7'!$B$3:$AE$36</definedName>
    <definedName name="Z_A3DB5619_047E_4CE2_8C39_700CFD25F2CB_.wvu.PrintArea" localSheetId="2" hidden="1">'9.30'!$B$3:$AE$36</definedName>
    <definedName name="Z_D903F940_B812_11DB_B168_0010B575B8B2_.wvu.PrintArea" localSheetId="3" hidden="1">'10.1'!$B$3:$AE$36</definedName>
    <definedName name="Z_D903F940_B812_11DB_B168_0010B575B8B2_.wvu.PrintArea" localSheetId="4" hidden="1">'10.2'!$B$3:$AE$36</definedName>
    <definedName name="Z_D903F940_B812_11DB_B168_0010B575B8B2_.wvu.PrintArea" localSheetId="5" hidden="1">'10.5'!$B$3:$AE$36</definedName>
    <definedName name="Z_D903F940_B812_11DB_B168_0010B575B8B2_.wvu.PrintArea" localSheetId="6" hidden="1">'10.6'!$B$3:$AE$36</definedName>
    <definedName name="Z_D903F940_B812_11DB_B168_0010B575B8B2_.wvu.PrintArea" localSheetId="7" hidden="1">'10.7'!$B$3:$AE$36</definedName>
    <definedName name="Z_D903F940_B812_11DB_B168_0010B575B8B2_.wvu.PrintArea" localSheetId="2" hidden="1">'9.30'!$B$3:$AE$36</definedName>
    <definedName name="取樣回收每月庫存表" localSheetId="3" hidden="1">'10.1'!#REF!</definedName>
    <definedName name="取樣回收每月庫存表" localSheetId="4" hidden="1">'10.2'!#REF!</definedName>
    <definedName name="取樣回收每月庫存表" localSheetId="5" hidden="1">'10.5'!#REF!</definedName>
    <definedName name="取樣回收每月庫存表" localSheetId="6" hidden="1">'10.6'!#REF!</definedName>
    <definedName name="取樣回收每月庫存表" localSheetId="7" hidden="1">'10.7'!#REF!</definedName>
    <definedName name="取樣回收每月庫存表" localSheetId="2" hidden="1">'9.30'!#REF!</definedName>
    <definedName name="取樣回收每月庫存表_0620更新" localSheetId="3" hidden="1">'10.1'!$AG$13:$BH$189</definedName>
    <definedName name="取樣回收每月庫存表_0620更新" localSheetId="4" hidden="1">'10.2'!$AG$13:$BH$189</definedName>
    <definedName name="取樣回收每月庫存表_0620更新" localSheetId="5" hidden="1">'10.5'!$AG$13:$BH$189</definedName>
    <definedName name="取樣回收每月庫存表_0620更新" localSheetId="6" hidden="1">'10.6'!$AG$13:$BH$189</definedName>
    <definedName name="取樣回收每月庫存表_0620更新" localSheetId="7" hidden="1">'10.7'!$AG$13:$BH$189</definedName>
    <definedName name="取樣回收每月庫存表_0620更新" localSheetId="2" hidden="1">'9.30'!$AG$13:$BH$189</definedName>
    <definedName name="複本_14_取樣回收每月庫存表" localSheetId="3" hidden="1">'10.1'!#REF!</definedName>
    <definedName name="複本_14_取樣回收每月庫存表" localSheetId="4" hidden="1">'10.2'!#REF!</definedName>
    <definedName name="複本_14_取樣回收每月庫存表" localSheetId="5" hidden="1">'10.5'!#REF!</definedName>
    <definedName name="複本_14_取樣回收每月庫存表" localSheetId="6" hidden="1">'10.6'!#REF!</definedName>
    <definedName name="複本_14_取樣回收每月庫存表" localSheetId="7" hidden="1">'10.7'!#REF!</definedName>
    <definedName name="複本_14_取樣回收每月庫存表" localSheetId="2" hidden="1">'9.30'!#REF!</definedName>
  </definedNames>
  <calcPr calcId="162913"/>
</workbook>
</file>

<file path=xl/calcChain.xml><?xml version="1.0" encoding="utf-8"?>
<calcChain xmlns="http://schemas.openxmlformats.org/spreadsheetml/2006/main">
  <c r="AA33" i="2272" l="1"/>
  <c r="X33" i="2272"/>
  <c r="U33" i="2272"/>
  <c r="R33" i="2272"/>
  <c r="F33" i="2272"/>
  <c r="E33" i="2272"/>
  <c r="Y28" i="2272"/>
  <c r="X28" i="2272"/>
  <c r="S33" i="2272" s="1"/>
  <c r="W28" i="2272"/>
  <c r="V28" i="2272"/>
  <c r="U28" i="2272"/>
  <c r="T28" i="2272"/>
  <c r="S28" i="2272"/>
  <c r="R28" i="2272"/>
  <c r="Q28" i="2272"/>
  <c r="P28" i="2272"/>
  <c r="O28" i="2272"/>
  <c r="N28" i="2272"/>
  <c r="M28" i="2272"/>
  <c r="L28" i="2272"/>
  <c r="K28" i="2272"/>
  <c r="J28" i="2272"/>
  <c r="I28" i="2272"/>
  <c r="H28" i="2272"/>
  <c r="G28" i="2272"/>
  <c r="F28" i="2272"/>
  <c r="E28" i="2272"/>
  <c r="D28" i="2272"/>
  <c r="Y25" i="2272"/>
  <c r="X25" i="2272"/>
  <c r="W25" i="2272"/>
  <c r="V25" i="2272"/>
  <c r="U25" i="2272"/>
  <c r="T25" i="2272"/>
  <c r="S25" i="2272"/>
  <c r="R25" i="2272"/>
  <c r="Q25" i="2272"/>
  <c r="P25" i="2272"/>
  <c r="O25" i="2272"/>
  <c r="N25" i="2272"/>
  <c r="M25" i="2272"/>
  <c r="L25" i="2272"/>
  <c r="K25" i="2272"/>
  <c r="J25" i="2272"/>
  <c r="I25" i="2272"/>
  <c r="H25" i="2272"/>
  <c r="G25" i="2272"/>
  <c r="F25" i="2272"/>
  <c r="E25" i="2272"/>
  <c r="D25" i="2272"/>
  <c r="AE19" i="2272"/>
  <c r="AD19" i="2272"/>
  <c r="AC19" i="2272"/>
  <c r="AB19" i="2272"/>
  <c r="AA19" i="2272"/>
  <c r="Z19" i="2272"/>
  <c r="Y19" i="2272"/>
  <c r="X19" i="2272"/>
  <c r="T33" i="2272" s="1"/>
  <c r="W19" i="2272"/>
  <c r="V19" i="2272"/>
  <c r="U19" i="2272"/>
  <c r="T19" i="2272"/>
  <c r="S19" i="2272"/>
  <c r="R19" i="2272"/>
  <c r="Q19" i="2272"/>
  <c r="P19" i="2272"/>
  <c r="O19" i="2272"/>
  <c r="N19" i="2272"/>
  <c r="G33" i="2272" s="1"/>
  <c r="M19" i="2272"/>
  <c r="H33" i="2272" s="1"/>
  <c r="L19" i="2272"/>
  <c r="P33" i="2272" s="1"/>
  <c r="K19" i="2272"/>
  <c r="L33" i="2272" s="1"/>
  <c r="J19" i="2272"/>
  <c r="I19" i="2272"/>
  <c r="AB33" i="2272" s="1"/>
  <c r="H19" i="2272"/>
  <c r="G19" i="2272"/>
  <c r="O33" i="2272" s="1"/>
  <c r="F19" i="2272"/>
  <c r="E19" i="2272"/>
  <c r="D19" i="2272"/>
  <c r="AE16" i="2272"/>
  <c r="AD16" i="2272"/>
  <c r="AC16" i="2272"/>
  <c r="AB16" i="2272"/>
  <c r="AA16" i="2272"/>
  <c r="Z16" i="2272"/>
  <c r="X16" i="2272"/>
  <c r="W16" i="2272"/>
  <c r="V16" i="2272"/>
  <c r="U16" i="2272"/>
  <c r="T16" i="2272"/>
  <c r="S16" i="2272"/>
  <c r="R16" i="2272"/>
  <c r="Q16" i="2272"/>
  <c r="P16" i="2272"/>
  <c r="O16" i="2272"/>
  <c r="N16" i="2272"/>
  <c r="M16" i="2272"/>
  <c r="L16" i="2272"/>
  <c r="K16" i="2272"/>
  <c r="J16" i="2272"/>
  <c r="I16" i="2272"/>
  <c r="H16" i="2272"/>
  <c r="G16" i="2272"/>
  <c r="F16" i="2272"/>
  <c r="E16" i="2272"/>
  <c r="D16" i="2272"/>
  <c r="AE10" i="2272"/>
  <c r="AD10" i="2272"/>
  <c r="AC10" i="2272"/>
  <c r="AB10" i="2272"/>
  <c r="AA10" i="2272"/>
  <c r="Z10" i="2272"/>
  <c r="Y10" i="2272"/>
  <c r="X10" i="2272"/>
  <c r="W10" i="2272"/>
  <c r="V10" i="2272"/>
  <c r="U10" i="2272"/>
  <c r="T10" i="2272"/>
  <c r="S10" i="2272"/>
  <c r="R10" i="2272"/>
  <c r="Q10" i="2272"/>
  <c r="P10" i="2272"/>
  <c r="O10" i="2272"/>
  <c r="N10" i="2272"/>
  <c r="M10" i="2272"/>
  <c r="L10" i="2272"/>
  <c r="K10" i="2272"/>
  <c r="J10" i="2272"/>
  <c r="Q33" i="2272" s="1"/>
  <c r="I10" i="2272"/>
  <c r="H10" i="2272"/>
  <c r="G10" i="2272"/>
  <c r="F10" i="2272"/>
  <c r="J33" i="2272" s="1"/>
  <c r="E10" i="2272"/>
  <c r="D10" i="2272"/>
  <c r="AE7" i="2272"/>
  <c r="AD7" i="2272"/>
  <c r="AC7" i="2272"/>
  <c r="AB7" i="2272"/>
  <c r="AA7" i="2272"/>
  <c r="Z7" i="2272"/>
  <c r="Y7" i="2272"/>
  <c r="X7" i="2272"/>
  <c r="W7" i="2272"/>
  <c r="V7" i="2272"/>
  <c r="U7" i="2272"/>
  <c r="T7" i="2272"/>
  <c r="S7" i="2272"/>
  <c r="R7" i="2272"/>
  <c r="Q7" i="2272"/>
  <c r="P7" i="2272"/>
  <c r="O7" i="2272"/>
  <c r="N7" i="2272"/>
  <c r="M7" i="2272"/>
  <c r="L7" i="2272"/>
  <c r="K7" i="2272"/>
  <c r="J7" i="2272"/>
  <c r="I7" i="2272"/>
  <c r="H7" i="2272"/>
  <c r="G7" i="2272"/>
  <c r="F7" i="2272"/>
  <c r="E7" i="2272"/>
  <c r="D7" i="2272"/>
  <c r="W33" i="2272" l="1"/>
  <c r="N33" i="2272"/>
  <c r="AC33" i="2272"/>
  <c r="D33" i="2272"/>
  <c r="Z33" i="2272"/>
  <c r="Y33" i="2272"/>
  <c r="K33" i="2272"/>
  <c r="M33" i="2272"/>
  <c r="V33" i="2272"/>
  <c r="AA33" i="2271"/>
  <c r="X33" i="2271"/>
  <c r="U33" i="2271"/>
  <c r="R33" i="2271"/>
  <c r="F33" i="2271"/>
  <c r="Y28" i="2271"/>
  <c r="X28" i="2271"/>
  <c r="S33" i="2271" s="1"/>
  <c r="W28" i="2271"/>
  <c r="V28" i="2271"/>
  <c r="U28" i="2271"/>
  <c r="T28" i="2271"/>
  <c r="S28" i="2271"/>
  <c r="R28" i="2271"/>
  <c r="Q28" i="2271"/>
  <c r="P28" i="2271"/>
  <c r="O28" i="2271"/>
  <c r="N28" i="2271"/>
  <c r="M28" i="2271"/>
  <c r="L28" i="2271"/>
  <c r="K28" i="2271"/>
  <c r="J28" i="2271"/>
  <c r="I28" i="2271"/>
  <c r="H28" i="2271"/>
  <c r="G28" i="2271"/>
  <c r="F28" i="2271"/>
  <c r="E28" i="2271"/>
  <c r="D28" i="2271"/>
  <c r="Y25" i="2271"/>
  <c r="X25" i="2271"/>
  <c r="W25" i="2271"/>
  <c r="V25" i="2271"/>
  <c r="U25" i="2271"/>
  <c r="T25" i="2271"/>
  <c r="S25" i="2271"/>
  <c r="R25" i="2271"/>
  <c r="Q25" i="2271"/>
  <c r="P25" i="2271"/>
  <c r="O25" i="2271"/>
  <c r="N25" i="2271"/>
  <c r="M25" i="2271"/>
  <c r="L25" i="2271"/>
  <c r="K25" i="2271"/>
  <c r="J25" i="2271"/>
  <c r="I25" i="2271"/>
  <c r="H25" i="2271"/>
  <c r="G25" i="2271"/>
  <c r="F25" i="2271"/>
  <c r="E25" i="2271"/>
  <c r="D25" i="2271"/>
  <c r="AE19" i="2271"/>
  <c r="AD19" i="2271"/>
  <c r="AC19" i="2271"/>
  <c r="AB19" i="2271"/>
  <c r="AA19" i="2271"/>
  <c r="Z19" i="2271"/>
  <c r="Y19" i="2271"/>
  <c r="X19" i="2271"/>
  <c r="T33" i="2271" s="1"/>
  <c r="W19" i="2271"/>
  <c r="V19" i="2271"/>
  <c r="U19" i="2271"/>
  <c r="T19" i="2271"/>
  <c r="S19" i="2271"/>
  <c r="R19" i="2271"/>
  <c r="Q19" i="2271"/>
  <c r="P19" i="2271"/>
  <c r="O19" i="2271"/>
  <c r="N19" i="2271"/>
  <c r="G33" i="2271" s="1"/>
  <c r="M19" i="2271"/>
  <c r="H33" i="2271" s="1"/>
  <c r="L19" i="2271"/>
  <c r="P33" i="2271" s="1"/>
  <c r="K19" i="2271"/>
  <c r="L33" i="2271" s="1"/>
  <c r="J19" i="2271"/>
  <c r="I19" i="2271"/>
  <c r="AB33" i="2271" s="1"/>
  <c r="H19" i="2271"/>
  <c r="G19" i="2271"/>
  <c r="O33" i="2271" s="1"/>
  <c r="F19" i="2271"/>
  <c r="E19" i="2271"/>
  <c r="D19" i="2271"/>
  <c r="AE16" i="2271"/>
  <c r="AD16" i="2271"/>
  <c r="AC16" i="2271"/>
  <c r="AB16" i="2271"/>
  <c r="AA16" i="2271"/>
  <c r="Z16" i="2271"/>
  <c r="X16" i="2271"/>
  <c r="W16" i="2271"/>
  <c r="V16" i="2271"/>
  <c r="U16" i="2271"/>
  <c r="T16" i="2271"/>
  <c r="S16" i="2271"/>
  <c r="R16" i="2271"/>
  <c r="Q16" i="2271"/>
  <c r="P16" i="2271"/>
  <c r="O16" i="2271"/>
  <c r="N16" i="2271"/>
  <c r="M16" i="2271"/>
  <c r="L16" i="2271"/>
  <c r="K16" i="2271"/>
  <c r="J16" i="2271"/>
  <c r="I16" i="2271"/>
  <c r="H16" i="2271"/>
  <c r="G16" i="2271"/>
  <c r="F16" i="2271"/>
  <c r="E16" i="2271"/>
  <c r="D16" i="2271"/>
  <c r="AE10" i="2271"/>
  <c r="AD10" i="2271"/>
  <c r="AC33" i="2271" s="1"/>
  <c r="AC10" i="2271"/>
  <c r="AB10" i="2271"/>
  <c r="AA10" i="2271"/>
  <c r="Z10" i="2271"/>
  <c r="Y10" i="2271"/>
  <c r="X10" i="2271"/>
  <c r="W10" i="2271"/>
  <c r="V10" i="2271"/>
  <c r="U10" i="2271"/>
  <c r="T10" i="2271"/>
  <c r="S10" i="2271"/>
  <c r="R10" i="2271"/>
  <c r="Q10" i="2271"/>
  <c r="P10" i="2271"/>
  <c r="O10" i="2271"/>
  <c r="N10" i="2271"/>
  <c r="M10" i="2271"/>
  <c r="L10" i="2271"/>
  <c r="K10" i="2271"/>
  <c r="J10" i="2271"/>
  <c r="I10" i="2271"/>
  <c r="E33" i="2271" s="1"/>
  <c r="H10" i="2271"/>
  <c r="G10" i="2271"/>
  <c r="F10" i="2271"/>
  <c r="E10" i="2271"/>
  <c r="D10" i="2271"/>
  <c r="AE7" i="2271"/>
  <c r="AD7" i="2271"/>
  <c r="AC7" i="2271"/>
  <c r="AB7" i="2271"/>
  <c r="AA7" i="2271"/>
  <c r="Z7" i="2271"/>
  <c r="Y7" i="2271"/>
  <c r="X7" i="2271"/>
  <c r="W7" i="2271"/>
  <c r="V7" i="2271"/>
  <c r="U7" i="2271"/>
  <c r="T7" i="2271"/>
  <c r="S7" i="2271"/>
  <c r="R7" i="2271"/>
  <c r="Q7" i="2271"/>
  <c r="P7" i="2271"/>
  <c r="O7" i="2271"/>
  <c r="N7" i="2271"/>
  <c r="M7" i="2271"/>
  <c r="L7" i="2271"/>
  <c r="K7" i="2271"/>
  <c r="J7" i="2271"/>
  <c r="I7" i="2271"/>
  <c r="H7" i="2271"/>
  <c r="G7" i="2271"/>
  <c r="F7" i="2271"/>
  <c r="E7" i="2271"/>
  <c r="D7" i="2271"/>
  <c r="J33" i="2271" l="1"/>
  <c r="W33" i="2271"/>
  <c r="D33" i="2271"/>
  <c r="Z33" i="2271"/>
  <c r="Y33" i="2271"/>
  <c r="N33" i="2271"/>
  <c r="K33" i="2271"/>
  <c r="Q33" i="2271"/>
  <c r="M33" i="2271"/>
  <c r="V33" i="2271"/>
  <c r="AA33" i="2270"/>
  <c r="X33" i="2270"/>
  <c r="U33" i="2270"/>
  <c r="R33" i="2270"/>
  <c r="F33" i="2270"/>
  <c r="Y28" i="2270"/>
  <c r="X28" i="2270"/>
  <c r="S33" i="2270" s="1"/>
  <c r="W28" i="2270"/>
  <c r="V28" i="2270"/>
  <c r="U28" i="2270"/>
  <c r="T28" i="2270"/>
  <c r="S28" i="2270"/>
  <c r="R28" i="2270"/>
  <c r="Q28" i="2270"/>
  <c r="P28" i="2270"/>
  <c r="O28" i="2270"/>
  <c r="N28" i="2270"/>
  <c r="M28" i="2270"/>
  <c r="L28" i="2270"/>
  <c r="K28" i="2270"/>
  <c r="J28" i="2270"/>
  <c r="I28" i="2270"/>
  <c r="H28" i="2270"/>
  <c r="G28" i="2270"/>
  <c r="F28" i="2270"/>
  <c r="E28" i="2270"/>
  <c r="D28" i="2270"/>
  <c r="Y25" i="2270"/>
  <c r="X25" i="2270"/>
  <c r="W25" i="2270"/>
  <c r="V25" i="2270"/>
  <c r="U25" i="2270"/>
  <c r="T25" i="2270"/>
  <c r="S25" i="2270"/>
  <c r="R25" i="2270"/>
  <c r="Q25" i="2270"/>
  <c r="P25" i="2270"/>
  <c r="O25" i="2270"/>
  <c r="N25" i="2270"/>
  <c r="M25" i="2270"/>
  <c r="L25" i="2270"/>
  <c r="K25" i="2270"/>
  <c r="J25" i="2270"/>
  <c r="I25" i="2270"/>
  <c r="H25" i="2270"/>
  <c r="G25" i="2270"/>
  <c r="F25" i="2270"/>
  <c r="E25" i="2270"/>
  <c r="D25" i="2270"/>
  <c r="AE19" i="2270"/>
  <c r="AD19" i="2270"/>
  <c r="AC19" i="2270"/>
  <c r="AB19" i="2270"/>
  <c r="AA19" i="2270"/>
  <c r="Z19" i="2270"/>
  <c r="Y19" i="2270"/>
  <c r="X19" i="2270"/>
  <c r="T33" i="2270" s="1"/>
  <c r="W19" i="2270"/>
  <c r="V19" i="2270"/>
  <c r="U19" i="2270"/>
  <c r="T19" i="2270"/>
  <c r="S19" i="2270"/>
  <c r="R19" i="2270"/>
  <c r="Q19" i="2270"/>
  <c r="P19" i="2270"/>
  <c r="O19" i="2270"/>
  <c r="N19" i="2270"/>
  <c r="G33" i="2270" s="1"/>
  <c r="M19" i="2270"/>
  <c r="H33" i="2270" s="1"/>
  <c r="L19" i="2270"/>
  <c r="P33" i="2270" s="1"/>
  <c r="K19" i="2270"/>
  <c r="L33" i="2270" s="1"/>
  <c r="J19" i="2270"/>
  <c r="I19" i="2270"/>
  <c r="AB33" i="2270" s="1"/>
  <c r="H19" i="2270"/>
  <c r="G19" i="2270"/>
  <c r="O33" i="2270" s="1"/>
  <c r="F19" i="2270"/>
  <c r="E19" i="2270"/>
  <c r="D19" i="2270"/>
  <c r="AE16" i="2270"/>
  <c r="AD16" i="2270"/>
  <c r="AC16" i="2270"/>
  <c r="AB16" i="2270"/>
  <c r="AA16" i="2270"/>
  <c r="Z16" i="2270"/>
  <c r="X16" i="2270"/>
  <c r="W16" i="2270"/>
  <c r="V16" i="2270"/>
  <c r="U16" i="2270"/>
  <c r="T16" i="2270"/>
  <c r="S16" i="2270"/>
  <c r="R16" i="2270"/>
  <c r="Q16" i="2270"/>
  <c r="P16" i="2270"/>
  <c r="O16" i="2270"/>
  <c r="N16" i="2270"/>
  <c r="M16" i="2270"/>
  <c r="L16" i="2270"/>
  <c r="K16" i="2270"/>
  <c r="J16" i="2270"/>
  <c r="I16" i="2270"/>
  <c r="H16" i="2270"/>
  <c r="G16" i="2270"/>
  <c r="F16" i="2270"/>
  <c r="E16" i="2270"/>
  <c r="D16" i="2270"/>
  <c r="AE10" i="2270"/>
  <c r="AD10" i="2270"/>
  <c r="AC10" i="2270"/>
  <c r="AB10" i="2270"/>
  <c r="AA10" i="2270"/>
  <c r="Z10" i="2270"/>
  <c r="Y10" i="2270"/>
  <c r="X10" i="2270"/>
  <c r="W10" i="2270"/>
  <c r="V10" i="2270"/>
  <c r="U10" i="2270"/>
  <c r="T10" i="2270"/>
  <c r="S10" i="2270"/>
  <c r="R10" i="2270"/>
  <c r="Q10" i="2270"/>
  <c r="P10" i="2270"/>
  <c r="O10" i="2270"/>
  <c r="N10" i="2270"/>
  <c r="Q33" i="2270" s="1"/>
  <c r="M10" i="2270"/>
  <c r="E33" i="2270" s="1"/>
  <c r="L10" i="2270"/>
  <c r="K10" i="2270"/>
  <c r="J10" i="2270"/>
  <c r="I10" i="2270"/>
  <c r="H10" i="2270"/>
  <c r="G10" i="2270"/>
  <c r="F10" i="2270"/>
  <c r="E10" i="2270"/>
  <c r="D10" i="2270"/>
  <c r="AE7" i="2270"/>
  <c r="AD7" i="2270"/>
  <c r="AC7" i="2270"/>
  <c r="AB7" i="2270"/>
  <c r="AA7" i="2270"/>
  <c r="Z7" i="2270"/>
  <c r="Y7" i="2270"/>
  <c r="X7" i="2270"/>
  <c r="W7" i="2270"/>
  <c r="V7" i="2270"/>
  <c r="U7" i="2270"/>
  <c r="T7" i="2270"/>
  <c r="S7" i="2270"/>
  <c r="R7" i="2270"/>
  <c r="Q7" i="2270"/>
  <c r="P7" i="2270"/>
  <c r="O7" i="2270"/>
  <c r="N7" i="2270"/>
  <c r="M7" i="2270"/>
  <c r="L7" i="2270"/>
  <c r="K7" i="2270"/>
  <c r="J7" i="2270"/>
  <c r="I7" i="2270"/>
  <c r="H7" i="2270"/>
  <c r="G7" i="2270"/>
  <c r="F7" i="2270"/>
  <c r="E7" i="2270"/>
  <c r="D7" i="2270"/>
  <c r="J33" i="2270" l="1"/>
  <c r="W33" i="2270"/>
  <c r="N33" i="2270"/>
  <c r="AC33" i="2270"/>
  <c r="D33" i="2270"/>
  <c r="Z33" i="2270"/>
  <c r="Y33" i="2270"/>
  <c r="K33" i="2270"/>
  <c r="M33" i="2270"/>
  <c r="V33" i="2270"/>
  <c r="AA33" i="2269"/>
  <c r="X33" i="2269"/>
  <c r="U33" i="2269"/>
  <c r="R33" i="2269"/>
  <c r="F33" i="2269"/>
  <c r="Y28" i="2269"/>
  <c r="X28" i="2269"/>
  <c r="S33" i="2269" s="1"/>
  <c r="W28" i="2269"/>
  <c r="V28" i="2269"/>
  <c r="U28" i="2269"/>
  <c r="T28" i="2269"/>
  <c r="S28" i="2269"/>
  <c r="R28" i="2269"/>
  <c r="Q28" i="2269"/>
  <c r="P28" i="2269"/>
  <c r="O28" i="2269"/>
  <c r="N28" i="2269"/>
  <c r="M28" i="2269"/>
  <c r="L28" i="2269"/>
  <c r="K28" i="2269"/>
  <c r="J28" i="2269"/>
  <c r="I28" i="2269"/>
  <c r="H28" i="2269"/>
  <c r="G28" i="2269"/>
  <c r="F28" i="2269"/>
  <c r="E28" i="2269"/>
  <c r="D28" i="2269"/>
  <c r="Y25" i="2269"/>
  <c r="X25" i="2269"/>
  <c r="W25" i="2269"/>
  <c r="V25" i="2269"/>
  <c r="U25" i="2269"/>
  <c r="T25" i="2269"/>
  <c r="S25" i="2269"/>
  <c r="R25" i="2269"/>
  <c r="Q25" i="2269"/>
  <c r="P25" i="2269"/>
  <c r="O25" i="2269"/>
  <c r="N25" i="2269"/>
  <c r="M25" i="2269"/>
  <c r="L25" i="2269"/>
  <c r="K25" i="2269"/>
  <c r="J25" i="2269"/>
  <c r="I25" i="2269"/>
  <c r="H25" i="2269"/>
  <c r="G25" i="2269"/>
  <c r="F25" i="2269"/>
  <c r="E25" i="2269"/>
  <c r="D25" i="2269"/>
  <c r="AE19" i="2269"/>
  <c r="AD19" i="2269"/>
  <c r="AC19" i="2269"/>
  <c r="AB19" i="2269"/>
  <c r="AA19" i="2269"/>
  <c r="Z19" i="2269"/>
  <c r="Y19" i="2269"/>
  <c r="X19" i="2269"/>
  <c r="T33" i="2269" s="1"/>
  <c r="W19" i="2269"/>
  <c r="V19" i="2269"/>
  <c r="U19" i="2269"/>
  <c r="T19" i="2269"/>
  <c r="S19" i="2269"/>
  <c r="R19" i="2269"/>
  <c r="Q19" i="2269"/>
  <c r="P19" i="2269"/>
  <c r="O19" i="2269"/>
  <c r="N19" i="2269"/>
  <c r="G33" i="2269" s="1"/>
  <c r="M19" i="2269"/>
  <c r="H33" i="2269" s="1"/>
  <c r="L19" i="2269"/>
  <c r="P33" i="2269" s="1"/>
  <c r="K19" i="2269"/>
  <c r="L33" i="2269" s="1"/>
  <c r="J19" i="2269"/>
  <c r="I19" i="2269"/>
  <c r="AB33" i="2269" s="1"/>
  <c r="H19" i="2269"/>
  <c r="G19" i="2269"/>
  <c r="O33" i="2269" s="1"/>
  <c r="F19" i="2269"/>
  <c r="E19" i="2269"/>
  <c r="D19" i="2269"/>
  <c r="AE16" i="2269"/>
  <c r="AD16" i="2269"/>
  <c r="AC16" i="2269"/>
  <c r="AB16" i="2269"/>
  <c r="AA16" i="2269"/>
  <c r="Z16" i="2269"/>
  <c r="X16" i="2269"/>
  <c r="W16" i="2269"/>
  <c r="V16" i="2269"/>
  <c r="U16" i="2269"/>
  <c r="T16" i="2269"/>
  <c r="S16" i="2269"/>
  <c r="R16" i="2269"/>
  <c r="Q16" i="2269"/>
  <c r="P16" i="2269"/>
  <c r="O16" i="2269"/>
  <c r="N16" i="2269"/>
  <c r="M16" i="2269"/>
  <c r="L16" i="2269"/>
  <c r="K16" i="2269"/>
  <c r="J16" i="2269"/>
  <c r="I16" i="2269"/>
  <c r="H16" i="2269"/>
  <c r="G16" i="2269"/>
  <c r="F16" i="2269"/>
  <c r="E16" i="2269"/>
  <c r="D16" i="2269"/>
  <c r="AE10" i="2269"/>
  <c r="AD10" i="2269"/>
  <c r="AC10" i="2269"/>
  <c r="AB10" i="2269"/>
  <c r="AA10" i="2269"/>
  <c r="Z10" i="2269"/>
  <c r="Y10" i="2269"/>
  <c r="X10" i="2269"/>
  <c r="W10" i="2269"/>
  <c r="V10" i="2269"/>
  <c r="U10" i="2269"/>
  <c r="T10" i="2269"/>
  <c r="S10" i="2269"/>
  <c r="R10" i="2269"/>
  <c r="Q10" i="2269"/>
  <c r="P10" i="2269"/>
  <c r="O10" i="2269"/>
  <c r="N10" i="2269"/>
  <c r="Q33" i="2269" s="1"/>
  <c r="M10" i="2269"/>
  <c r="E33" i="2269" s="1"/>
  <c r="L10" i="2269"/>
  <c r="K10" i="2269"/>
  <c r="J10" i="2269"/>
  <c r="I10" i="2269"/>
  <c r="H10" i="2269"/>
  <c r="G10" i="2269"/>
  <c r="F10" i="2269"/>
  <c r="E10" i="2269"/>
  <c r="D10" i="2269"/>
  <c r="AE7" i="2269"/>
  <c r="AD7" i="2269"/>
  <c r="AC7" i="2269"/>
  <c r="AB7" i="2269"/>
  <c r="AA7" i="2269"/>
  <c r="Z7" i="2269"/>
  <c r="Y7" i="2269"/>
  <c r="X7" i="2269"/>
  <c r="W7" i="2269"/>
  <c r="V7" i="2269"/>
  <c r="U7" i="2269"/>
  <c r="T7" i="2269"/>
  <c r="S7" i="2269"/>
  <c r="R7" i="2269"/>
  <c r="Q7" i="2269"/>
  <c r="P7" i="2269"/>
  <c r="O7" i="2269"/>
  <c r="N7" i="2269"/>
  <c r="M7" i="2269"/>
  <c r="L7" i="2269"/>
  <c r="K7" i="2269"/>
  <c r="J7" i="2269"/>
  <c r="I7" i="2269"/>
  <c r="H7" i="2269"/>
  <c r="G7" i="2269"/>
  <c r="F7" i="2269"/>
  <c r="E7" i="2269"/>
  <c r="D7" i="2269"/>
  <c r="J33" i="2269" l="1"/>
  <c r="W33" i="2269"/>
  <c r="N33" i="2269"/>
  <c r="AC33" i="2269"/>
  <c r="D33" i="2269"/>
  <c r="Z33" i="2269"/>
  <c r="Y33" i="2269"/>
  <c r="K33" i="2269"/>
  <c r="M33" i="2269"/>
  <c r="V33" i="2269"/>
  <c r="AA33" i="2268" l="1"/>
  <c r="X33" i="2268"/>
  <c r="U33" i="2268"/>
  <c r="R33" i="2268"/>
  <c r="F33" i="2268"/>
  <c r="Y28" i="2268"/>
  <c r="X28" i="2268"/>
  <c r="S33" i="2268" s="1"/>
  <c r="W28" i="2268"/>
  <c r="V28" i="2268"/>
  <c r="U28" i="2268"/>
  <c r="T28" i="2268"/>
  <c r="S28" i="2268"/>
  <c r="R28" i="2268"/>
  <c r="Q28" i="2268"/>
  <c r="P28" i="2268"/>
  <c r="O28" i="2268"/>
  <c r="N28" i="2268"/>
  <c r="M28" i="2268"/>
  <c r="L28" i="2268"/>
  <c r="K28" i="2268"/>
  <c r="J28" i="2268"/>
  <c r="I28" i="2268"/>
  <c r="H28" i="2268"/>
  <c r="G28" i="2268"/>
  <c r="F28" i="2268"/>
  <c r="E28" i="2268"/>
  <c r="D28" i="2268"/>
  <c r="Y25" i="2268"/>
  <c r="X25" i="2268"/>
  <c r="W25" i="2268"/>
  <c r="V25" i="2268"/>
  <c r="U25" i="2268"/>
  <c r="T25" i="2268"/>
  <c r="S25" i="2268"/>
  <c r="R25" i="2268"/>
  <c r="Q25" i="2268"/>
  <c r="P25" i="2268"/>
  <c r="O25" i="2268"/>
  <c r="N25" i="2268"/>
  <c r="M25" i="2268"/>
  <c r="L25" i="2268"/>
  <c r="K25" i="2268"/>
  <c r="J25" i="2268"/>
  <c r="I25" i="2268"/>
  <c r="H25" i="2268"/>
  <c r="G25" i="2268"/>
  <c r="F25" i="2268"/>
  <c r="E25" i="2268"/>
  <c r="D25" i="2268"/>
  <c r="AE19" i="2268"/>
  <c r="AD19" i="2268"/>
  <c r="AC19" i="2268"/>
  <c r="AB19" i="2268"/>
  <c r="AA19" i="2268"/>
  <c r="Z19" i="2268"/>
  <c r="Y19" i="2268"/>
  <c r="X19" i="2268"/>
  <c r="T33" i="2268" s="1"/>
  <c r="W19" i="2268"/>
  <c r="V19" i="2268"/>
  <c r="U19" i="2268"/>
  <c r="T19" i="2268"/>
  <c r="S19" i="2268"/>
  <c r="R19" i="2268"/>
  <c r="Q19" i="2268"/>
  <c r="P19" i="2268"/>
  <c r="O19" i="2268"/>
  <c r="N19" i="2268"/>
  <c r="G33" i="2268" s="1"/>
  <c r="M19" i="2268"/>
  <c r="H33" i="2268" s="1"/>
  <c r="L19" i="2268"/>
  <c r="P33" i="2268" s="1"/>
  <c r="K19" i="2268"/>
  <c r="L33" i="2268" s="1"/>
  <c r="J19" i="2268"/>
  <c r="I19" i="2268"/>
  <c r="AB33" i="2268" s="1"/>
  <c r="H19" i="2268"/>
  <c r="G19" i="2268"/>
  <c r="O33" i="2268" s="1"/>
  <c r="F19" i="2268"/>
  <c r="E19" i="2268"/>
  <c r="D19" i="2268"/>
  <c r="AE16" i="2268"/>
  <c r="AD16" i="2268"/>
  <c r="AC16" i="2268"/>
  <c r="AB16" i="2268"/>
  <c r="AA16" i="2268"/>
  <c r="Z16" i="2268"/>
  <c r="X16" i="2268"/>
  <c r="W16" i="2268"/>
  <c r="V16" i="2268"/>
  <c r="U16" i="2268"/>
  <c r="T16" i="2268"/>
  <c r="S16" i="2268"/>
  <c r="R16" i="2268"/>
  <c r="Q16" i="2268"/>
  <c r="P16" i="2268"/>
  <c r="O16" i="2268"/>
  <c r="N16" i="2268"/>
  <c r="M16" i="2268"/>
  <c r="L16" i="2268"/>
  <c r="K16" i="2268"/>
  <c r="J16" i="2268"/>
  <c r="I16" i="2268"/>
  <c r="H16" i="2268"/>
  <c r="G16" i="2268"/>
  <c r="F16" i="2268"/>
  <c r="E16" i="2268"/>
  <c r="D16" i="2268"/>
  <c r="AE10" i="2268"/>
  <c r="AD10" i="2268"/>
  <c r="AC10" i="2268"/>
  <c r="AB10" i="2268"/>
  <c r="AA10" i="2268"/>
  <c r="Z10" i="2268"/>
  <c r="Y10" i="2268"/>
  <c r="X10" i="2268"/>
  <c r="W10" i="2268"/>
  <c r="V10" i="2268"/>
  <c r="U10" i="2268"/>
  <c r="T10" i="2268"/>
  <c r="S10" i="2268"/>
  <c r="R10" i="2268"/>
  <c r="Q10" i="2268"/>
  <c r="P10" i="2268"/>
  <c r="O10" i="2268"/>
  <c r="N10" i="2268"/>
  <c r="M10" i="2268"/>
  <c r="L10" i="2268"/>
  <c r="K10" i="2268"/>
  <c r="J10" i="2268"/>
  <c r="I10" i="2268"/>
  <c r="E33" i="2268" s="1"/>
  <c r="H10" i="2268"/>
  <c r="G10" i="2268"/>
  <c r="F10" i="2268"/>
  <c r="E10" i="2268"/>
  <c r="D10" i="2268"/>
  <c r="AE7" i="2268"/>
  <c r="AD7" i="2268"/>
  <c r="AC7" i="2268"/>
  <c r="AB7" i="2268"/>
  <c r="AA7" i="2268"/>
  <c r="Z7" i="2268"/>
  <c r="Y7" i="2268"/>
  <c r="X7" i="2268"/>
  <c r="W7" i="2268"/>
  <c r="V7" i="2268"/>
  <c r="U7" i="2268"/>
  <c r="T7" i="2268"/>
  <c r="S7" i="2268"/>
  <c r="R7" i="2268"/>
  <c r="Q7" i="2268"/>
  <c r="P7" i="2268"/>
  <c r="O7" i="2268"/>
  <c r="N7" i="2268"/>
  <c r="M7" i="2268"/>
  <c r="L7" i="2268"/>
  <c r="K7" i="2268"/>
  <c r="J7" i="2268"/>
  <c r="I7" i="2268"/>
  <c r="H7" i="2268"/>
  <c r="G7" i="2268"/>
  <c r="F7" i="2268"/>
  <c r="E7" i="2268"/>
  <c r="D7" i="2268"/>
  <c r="Q33" i="2268" l="1"/>
  <c r="J33" i="2268"/>
  <c r="W33" i="2268"/>
  <c r="N33" i="2268"/>
  <c r="AC33" i="2268"/>
  <c r="Z33" i="2268"/>
  <c r="D33" i="2268"/>
  <c r="Y33" i="2268"/>
  <c r="K33" i="2268"/>
  <c r="M33" i="2268"/>
  <c r="V33" i="2268"/>
  <c r="AA33" i="2267" l="1"/>
  <c r="X33" i="2267"/>
  <c r="U33" i="2267"/>
  <c r="R33" i="2267"/>
  <c r="F33" i="2267"/>
  <c r="Y28" i="2267"/>
  <c r="X28" i="2267"/>
  <c r="S33" i="2267" s="1"/>
  <c r="W28" i="2267"/>
  <c r="V28" i="2267"/>
  <c r="U28" i="2267"/>
  <c r="T28" i="2267"/>
  <c r="S28" i="2267"/>
  <c r="R28" i="2267"/>
  <c r="Q28" i="2267"/>
  <c r="P28" i="2267"/>
  <c r="O28" i="2267"/>
  <c r="N28" i="2267"/>
  <c r="M28" i="2267"/>
  <c r="L28" i="2267"/>
  <c r="K28" i="2267"/>
  <c r="J28" i="2267"/>
  <c r="I28" i="2267"/>
  <c r="H28" i="2267"/>
  <c r="G28" i="2267"/>
  <c r="F28" i="2267"/>
  <c r="E28" i="2267"/>
  <c r="D28" i="2267"/>
  <c r="Y25" i="2267"/>
  <c r="X25" i="2267"/>
  <c r="W25" i="2267"/>
  <c r="V25" i="2267"/>
  <c r="U25" i="2267"/>
  <c r="T25" i="2267"/>
  <c r="S25" i="2267"/>
  <c r="R25" i="2267"/>
  <c r="Q25" i="2267"/>
  <c r="P25" i="2267"/>
  <c r="O25" i="2267"/>
  <c r="N25" i="2267"/>
  <c r="M25" i="2267"/>
  <c r="L25" i="2267"/>
  <c r="K25" i="2267"/>
  <c r="J25" i="2267"/>
  <c r="I25" i="2267"/>
  <c r="H25" i="2267"/>
  <c r="G25" i="2267"/>
  <c r="F25" i="2267"/>
  <c r="E25" i="2267"/>
  <c r="D25" i="2267"/>
  <c r="AE19" i="2267"/>
  <c r="AD19" i="2267"/>
  <c r="AC19" i="2267"/>
  <c r="AB19" i="2267"/>
  <c r="AA19" i="2267"/>
  <c r="Z19" i="2267"/>
  <c r="Y19" i="2267"/>
  <c r="X19" i="2267"/>
  <c r="T33" i="2267" s="1"/>
  <c r="W19" i="2267"/>
  <c r="V19" i="2267"/>
  <c r="U19" i="2267"/>
  <c r="T19" i="2267"/>
  <c r="S19" i="2267"/>
  <c r="R19" i="2267"/>
  <c r="Q19" i="2267"/>
  <c r="P19" i="2267"/>
  <c r="O19" i="2267"/>
  <c r="N19" i="2267"/>
  <c r="G33" i="2267" s="1"/>
  <c r="M19" i="2267"/>
  <c r="H33" i="2267" s="1"/>
  <c r="L19" i="2267"/>
  <c r="P33" i="2267" s="1"/>
  <c r="K19" i="2267"/>
  <c r="L33" i="2267" s="1"/>
  <c r="J19" i="2267"/>
  <c r="I19" i="2267"/>
  <c r="AB33" i="2267" s="1"/>
  <c r="H19" i="2267"/>
  <c r="G19" i="2267"/>
  <c r="O33" i="2267" s="1"/>
  <c r="F19" i="2267"/>
  <c r="E19" i="2267"/>
  <c r="D19" i="2267"/>
  <c r="AE16" i="2267"/>
  <c r="AD16" i="2267"/>
  <c r="AC16" i="2267"/>
  <c r="AB16" i="2267"/>
  <c r="AA16" i="2267"/>
  <c r="Z16" i="2267"/>
  <c r="X16" i="2267"/>
  <c r="W16" i="2267"/>
  <c r="V16" i="2267"/>
  <c r="U16" i="2267"/>
  <c r="T16" i="2267"/>
  <c r="S16" i="2267"/>
  <c r="R16" i="2267"/>
  <c r="Q16" i="2267"/>
  <c r="P16" i="2267"/>
  <c r="O16" i="2267"/>
  <c r="N16" i="2267"/>
  <c r="M16" i="2267"/>
  <c r="L16" i="2267"/>
  <c r="K16" i="2267"/>
  <c r="J16" i="2267"/>
  <c r="I16" i="2267"/>
  <c r="H16" i="2267"/>
  <c r="G16" i="2267"/>
  <c r="F16" i="2267"/>
  <c r="E16" i="2267"/>
  <c r="D16" i="2267"/>
  <c r="AE10" i="2267"/>
  <c r="AD10" i="2267"/>
  <c r="AC10" i="2267"/>
  <c r="AB10" i="2267"/>
  <c r="AA10" i="2267"/>
  <c r="Z10" i="2267"/>
  <c r="Y10" i="2267"/>
  <c r="X10" i="2267"/>
  <c r="W10" i="2267"/>
  <c r="V10" i="2267"/>
  <c r="U10" i="2267"/>
  <c r="T10" i="2267"/>
  <c r="S10" i="2267"/>
  <c r="R10" i="2267"/>
  <c r="Q10" i="2267"/>
  <c r="P10" i="2267"/>
  <c r="O10" i="2267"/>
  <c r="N10" i="2267"/>
  <c r="M10" i="2267"/>
  <c r="L10" i="2267"/>
  <c r="K10" i="2267"/>
  <c r="J10" i="2267"/>
  <c r="I10" i="2267"/>
  <c r="H10" i="2267"/>
  <c r="G10" i="2267"/>
  <c r="F10" i="2267"/>
  <c r="E10" i="2267"/>
  <c r="D10" i="2267"/>
  <c r="AE7" i="2267"/>
  <c r="AD7" i="2267"/>
  <c r="AC7" i="2267"/>
  <c r="AB7" i="2267"/>
  <c r="AA7" i="2267"/>
  <c r="Z7" i="2267"/>
  <c r="Y7" i="2267"/>
  <c r="X7" i="2267"/>
  <c r="W7" i="2267"/>
  <c r="V7" i="2267"/>
  <c r="U7" i="2267"/>
  <c r="T7" i="2267"/>
  <c r="S7" i="2267"/>
  <c r="R7" i="2267"/>
  <c r="Q7" i="2267"/>
  <c r="P7" i="2267"/>
  <c r="O7" i="2267"/>
  <c r="N7" i="2267"/>
  <c r="M7" i="2267"/>
  <c r="L7" i="2267"/>
  <c r="K7" i="2267"/>
  <c r="J7" i="2267"/>
  <c r="I7" i="2267"/>
  <c r="H7" i="2267"/>
  <c r="G7" i="2267"/>
  <c r="F7" i="2267"/>
  <c r="E7" i="2267"/>
  <c r="D7" i="2267"/>
  <c r="K33" i="2267" l="1"/>
  <c r="J33" i="2267"/>
  <c r="W33" i="2267"/>
  <c r="N33" i="2267"/>
  <c r="AC33" i="2267"/>
  <c r="D33" i="2267"/>
  <c r="Z33" i="2267"/>
  <c r="Y33" i="2267"/>
  <c r="Q33" i="2267"/>
  <c r="E33" i="2267"/>
  <c r="M33" i="2267"/>
  <c r="V33" i="2267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<sst xmlns="http://schemas.openxmlformats.org/spreadsheetml/2006/main" count="8450" uniqueCount="646">
  <si>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</si>
  <si>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</si>
  <si>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</si>
  <si>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</si>
  <si>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</si>
  <si>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</si>
  <si>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</si>
  <si>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</si>
  <si>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</si>
  <si>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</si>
  <si>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</si>
  <si>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</si>
  <si>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</si>
  <si>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</si>
  <si>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</si>
  <si>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</si>
  <si>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</si>
  <si>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</si>
  <si>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</si>
  <si>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</si>
  <si>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</si>
  <si>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</si>
  <si>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</si>
  <si>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</si>
  <si>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</si>
  <si>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</si>
  <si>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</si>
  <si>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</si>
  <si>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</si>
  <si>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</si>
  <si>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</si>
  <si>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</si>
  <si>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</si>
  <si>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</si>
  <si>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</si>
  <si>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</si>
  <si>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</si>
  <si>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</si>
  <si>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</si>
  <si>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</si>
  <si>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</si>
  <si>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</si>
  <si>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</si>
  <si>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</si>
  <si>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</si>
  <si>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</si>
  <si>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</si>
  <si>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</si>
  <si>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</si>
  <si>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</si>
  <si>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</si>
  <si>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</si>
  <si>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</si>
  <si>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</si>
  <si>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</si>
  <si>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</si>
  <si>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</si>
  <si>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</si>
  <si>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</si>
  <si>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</si>
  <si>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</si>
  <si>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</si>
  <si>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</si>
  <si>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</si>
  <si>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</si>
  <si>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</si>
  <si>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</si>
  <si>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</si>
  <si>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</si>
  <si>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</si>
  <si>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</si>
  <si>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</si>
  <si>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</si>
  <si>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</si>
  <si>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</si>
  <si>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</si>
  <si>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</si>
  <si>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</si>
  <si>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</si>
  <si>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</si>
  <si>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</si>
  <si>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</si>
  <si>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</si>
  <si>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</si>
  <si>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</si>
  <si>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</si>
  <si>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</si>
  <si>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</si>
  <si>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</si>
  <si>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</si>
  <si>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</si>
  <si>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</si>
  <si>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</si>
  <si>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</si>
  <si>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</si>
  <si>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</si>
  <si>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</si>
  <si>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</si>
  <si>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</si>
  <si>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</si>
  <si>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</si>
  <si>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</si>
  <si>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</si>
  <si>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</si>
  <si>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</si>
  <si>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</si>
  <si>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</si>
  <si>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</si>
  <si>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</si>
  <si>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</si>
  <si>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</si>
  <si>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</si>
  <si>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</si>
  <si>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</si>
  <si>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</si>
  <si>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</si>
  <si>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</si>
  <si>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</si>
  <si>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</si>
  <si>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</si>
  <si>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</si>
  <si>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</si>
  <si>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</si>
  <si>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</si>
  <si>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</si>
  <si>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</si>
  <si>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</si>
  <si>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</si>
  <si>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</si>
  <si>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</si>
  <si>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</si>
  <si>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</si>
  <si>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</si>
  <si>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</si>
  <si>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</si>
  <si>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</si>
  <si>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</si>
  <si>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</si>
  <si>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</si>
  <si>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</si>
  <si>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</si>
  <si>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</si>
  <si>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</si>
  <si>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</si>
  <si>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</si>
  <si>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</si>
  <si>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</si>
  <si>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</si>
  <si>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</si>
  <si>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</si>
  <si>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</si>
  <si>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</si>
  <si>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</si>
  <si>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</si>
  <si>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</si>
  <si>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</si>
  <si>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</si>
  <si>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</si>
  <si>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</si>
  <si>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</si>
  <si>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</si>
  <si>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</si>
  <si>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</si>
  <si>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</si>
  <si>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</si>
  <si>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</si>
  <si>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</si>
  <si>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</si>
  <si>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</si>
  <si>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</si>
  <si>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</si>
  <si>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</si>
  <si>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</si>
  <si>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</si>
  <si>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</si>
  <si>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</si>
  <si>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</si>
  <si>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</si>
  <si>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</si>
  <si>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</si>
  <si>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</si>
  <si>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</si>
  <si>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</si>
  <si>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</si>
  <si>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</si>
  <si>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</si>
  <si>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</si>
  <si>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</si>
  <si>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</si>
  <si>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</si>
  <si>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</si>
  <si>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</si>
  <si>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</si>
  <si>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</si>
  <si>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</si>
  <si>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</si>
  <si>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</si>
  <si>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</si>
  <si>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</si>
  <si>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</si>
  <si>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</si>
  <si>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</si>
  <si>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</si>
  <si>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</si>
  <si>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</si>
  <si>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</si>
  <si>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</si>
  <si>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</si>
  <si>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</si>
  <si>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</si>
  <si>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</si>
  <si>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</si>
  <si>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</si>
  <si>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</si>
  <si>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</si>
  <si>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</si>
  <si>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</si>
  <si>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</si>
  <si>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</si>
  <si>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</si>
  <si>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</si>
  <si>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</si>
  <si>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</si>
  <si>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</si>
  <si>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</si>
  <si>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</si>
  <si>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</si>
  <si>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</si>
  <si>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</si>
  <si>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</si>
  <si>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</si>
  <si>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</si>
  <si>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</si>
  <si>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</si>
  <si>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</si>
  <si>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</si>
  <si>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</si>
  <si>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</si>
  <si>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</si>
  <si>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</si>
  <si>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</si>
  <si>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</si>
  <si>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</si>
  <si>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</si>
  <si>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</si>
  <si>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</si>
  <si>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</si>
  <si>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</si>
  <si>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</si>
  <si>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</si>
  <si>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</si>
  <si>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</si>
  <si>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</si>
  <si>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</si>
  <si>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</si>
  <si>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</si>
  <si>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</si>
  <si>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</si>
  <si>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</si>
  <si>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</si>
  <si>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</si>
  <si>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</si>
  <si>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</si>
  <si>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</si>
  <si>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</si>
  <si>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</si>
  <si>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</si>
  <si>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</si>
  <si>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</si>
  <si>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</si>
  <si>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</si>
  <si>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</si>
  <si>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</si>
  <si>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</si>
  <si>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</si>
  <si>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</si>
  <si>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</si>
  <si>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</si>
  <si>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</si>
  <si>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</si>
  <si>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</si>
  <si>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</si>
  <si>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</si>
  <si>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</si>
  <si>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</si>
  <si>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</si>
  <si>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</si>
  <si>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</si>
  <si>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</si>
  <si>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</si>
  <si>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</si>
  <si>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</si>
  <si>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</si>
  <si>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</si>
  <si>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</si>
  <si>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</si>
  <si>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</si>
  <si>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</si>
  <si>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</si>
  <si>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</si>
  <si>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</si>
  <si>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</si>
  <si>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</si>
  <si>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</si>
  <si>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</si>
  <si>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</si>
  <si>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</si>
  <si>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</si>
  <si>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</si>
  <si>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</si>
  <si>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</si>
  <si>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</si>
  <si>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</si>
  <si>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</si>
  <si>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</si>
  <si>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</si>
  <si>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</si>
  <si>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</si>
  <si>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</si>
  <si>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</si>
  <si>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</si>
  <si>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</si>
  <si>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</si>
  <si>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</si>
  <si>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</si>
  <si>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</si>
  <si>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</si>
  <si>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</si>
  <si>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</si>
  <si>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</si>
  <si>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</si>
  <si>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</si>
  <si>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</si>
  <si>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</si>
  <si>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</si>
  <si>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</si>
  <si>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</si>
  <si>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</si>
  <si>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</si>
  <si>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</si>
  <si>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</si>
  <si>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</si>
  <si>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</si>
  <si>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</si>
  <si>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</si>
  <si>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</si>
  <si>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</si>
  <si>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</si>
  <si>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</si>
  <si>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</si>
  <si>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</si>
  <si>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</si>
  <si>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</si>
  <si>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</si>
  <si>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</si>
  <si>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</si>
  <si>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</si>
  <si>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</si>
  <si>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</si>
  <si>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</si>
  <si>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</si>
  <si>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</si>
  <si>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</si>
  <si>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</si>
  <si>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</si>
  <si>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</si>
  <si>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</si>
  <si>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</si>
  <si>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</si>
  <si>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</si>
  <si>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</si>
  <si>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</si>
  <si>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</si>
  <si>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</si>
  <si>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</si>
  <si>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</si>
  <si>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</si>
  <si>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</si>
  <si>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</si>
  <si>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</si>
  <si>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</si>
  <si>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</si>
  <si>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</si>
  <si>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</si>
  <si>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</si>
  <si>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</si>
  <si>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</si>
  <si>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</si>
  <si>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</si>
  <si>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</si>
  <si>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</si>
  <si>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</si>
  <si>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</si>
  <si>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</si>
  <si>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</si>
  <si>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</si>
  <si>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</si>
  <si>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</si>
  <si>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</si>
  <si>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</si>
  <si>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</si>
  <si>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</si>
  <si>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</si>
  <si>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</si>
  <si>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</si>
  <si>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</si>
  <si>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</si>
  <si>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</si>
  <si>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</si>
  <si>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</si>
  <si>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</si>
  <si>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</si>
  <si>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</si>
  <si>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</si>
  <si>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</si>
  <si>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</si>
  <si>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</si>
  <si>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</si>
  <si>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</si>
  <si>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</si>
  <si>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</si>
  <si>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</si>
  <si>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</si>
  <si>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</si>
  <si>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</si>
  <si>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</si>
  <si>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</si>
  <si>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</si>
  <si>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</si>
  <si>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</si>
  <si>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</si>
  <si>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</si>
  <si>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</si>
  <si>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</si>
  <si>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</si>
  <si>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</si>
  <si>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</si>
  <si>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</si>
  <si>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</si>
  <si>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</si>
  <si>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</si>
  <si>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</si>
  <si>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</si>
  <si>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</si>
  <si>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</si>
  <si>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</si>
  <si>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</si>
  <si>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</si>
  <si>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</si>
  <si>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</si>
  <si>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</si>
  <si>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</si>
  <si>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</si>
  <si>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</si>
  <si>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</si>
  <si>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</si>
  <si>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</si>
  <si>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</si>
  <si>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</si>
  <si>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</si>
  <si>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</si>
  <si>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</si>
  <si>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</si>
  <si>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</si>
  <si>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</si>
  <si>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</si>
  <si>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</si>
  <si>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</si>
  <si>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</si>
  <si>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</si>
  <si>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</si>
  <si>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</si>
  <si>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</si>
  <si>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</si>
  <si>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</si>
  <si>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</si>
  <si>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</si>
  <si>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</si>
  <si>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</si>
  <si>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</si>
  <si>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</si>
  <si>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</si>
  <si>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</si>
  <si>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</si>
  <si>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</si>
  <si>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</si>
  <si>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</si>
  <si>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</si>
  <si>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</si>
  <si>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</si>
  <si>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</si>
  <si>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</si>
  <si>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</si>
  <si>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</si>
  <si>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</si>
  <si>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</si>
  <si>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</si>
  <si>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</si>
  <si>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</si>
  <si>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</si>
  <si>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</si>
  <si>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</si>
  <si>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</si>
  <si>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</si>
  <si>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</si>
  <si>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</si>
  <si>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</si>
  <si>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</si>
  <si>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</si>
  <si>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</si>
  <si>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</si>
  <si>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</si>
  <si>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</si>
  <si>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</si>
  <si>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</si>
  <si>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</si>
  <si>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</si>
  <si>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</si>
  <si>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</si>
  <si>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</si>
  <si>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</si>
  <si>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</si>
  <si>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</si>
  <si>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</si>
  <si>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</si>
  <si>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</si>
  <si>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</si>
  <si>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</si>
  <si>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</si>
  <si>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</si>
  <si>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</si>
  <si>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</si>
  <si>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</si>
  <si>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</si>
  <si>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</si>
  <si>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</si>
  <si>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</si>
  <si>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</si>
  <si>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</si>
  <si>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</si>
  <si>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</si>
  <si>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</si>
  <si>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</si>
  <si>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</si>
  <si>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</si>
  <si>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</si>
  <si>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</si>
  <si>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</si>
  <si>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</si>
  <si>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</si>
  <si>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</si>
  <si>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</si>
  <si>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</si>
  <si>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</si>
  <si>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</si>
  <si>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</si>
  <si>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</si>
  <si>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</si>
  <si>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</si>
  <si>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</si>
  <si>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</si>
  <si>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</si>
  <si>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</si>
  <si>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</si>
  <si>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</si>
  <si>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</si>
  <si>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</si>
  <si>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</si>
  <si>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</si>
  <si>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</si>
  <si>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</si>
  <si>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</si>
  <si>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</si>
  <si>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</si>
  <si>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</si>
  <si>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</si>
  <si>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</si>
  <si>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</si>
  <si>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</si>
  <si>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</si>
  <si>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</si>
  <si>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</si>
  <si>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</si>
  <si>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</si>
  <si>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</si>
  <si>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</si>
  <si>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</si>
  <si>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</si>
  <si>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</si>
  <si>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</si>
  <si>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</si>
  <si>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</si>
  <si>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</si>
  <si>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</si>
  <si>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</si>
  <si>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</si>
  <si>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</si>
  <si>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</si>
  <si>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</si>
  <si>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</si>
  <si>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</si>
  <si>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</si>
  <si>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</si>
  <si>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</si>
  <si>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</si>
  <si>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</si>
  <si>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</si>
  <si>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</si>
  <si>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</si>
  <si>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</si>
  <si>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</si>
  <si>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</si>
  <si>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</si>
  <si>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</si>
  <si>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</si>
  <si>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</si>
  <si>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</si>
  <si>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</si>
  <si>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</si>
  <si>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</si>
  <si>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</si>
  <si>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</si>
  <si>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</si>
  <si>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</si>
  <si>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</si>
  <si>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</si>
  <si>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</si>
  <si>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</si>
  <si>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</si>
  <si>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</si>
  <si>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</si>
  <si>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</si>
  <si>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</si>
  <si>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</si>
  <si>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</si>
  <si>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</si>
  <si>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t>EBR95</t>
    <phoneticPr fontId="3" type="noConversion"/>
  </si>
  <si>
    <t>PMA-C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</si>
  <si>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</si>
  <si>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黃振榮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</si>
  <si>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</si>
  <si>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t>IPA-2</t>
    <phoneticPr fontId="3" type="noConversion"/>
  </si>
  <si>
    <t>IPA-NW</t>
    <phoneticPr fontId="2" type="noConversion"/>
  </si>
  <si>
    <r>
      <t>EBR</t>
    </r>
    <r>
      <rPr>
        <sz val="7"/>
        <color rgb="FFFF0000"/>
        <rFont val="微軟正黑體"/>
        <family val="2"/>
        <charset val="136"/>
      </rPr>
      <t>廢溶劑</t>
    </r>
    <phoneticPr fontId="3" type="noConversion"/>
  </si>
  <si>
    <t>陳志修</t>
    <phoneticPr fontId="2" type="noConversion"/>
  </si>
  <si>
    <t>江承河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</si>
</sst>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7"/>
      <color rgb="FFFF0000"/>
      <name val="微軟正黑體"/>
      <family val="2"/>
      <charset val="136"/>
    </font>
    <font>
      <sz val="8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3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0" fontId="35" fillId="2" borderId="3" xfId="1" applyFont="1" applyFill="1" applyBorder="1" applyAlignment="1">
      <alignment horizontal="center" vertical="top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7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8817" name="Button 1" hidden="1">
              <a:extLst>
                <a:ext uri="{63B3BB69-23CF-44E3-9099-C40C66FF867C}">
                  <a14:compatExt spid="_x0000_s297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9841" name="Button 1" hidden="1">
              <a:extLst>
                <a:ext uri="{63B3BB69-23CF-44E3-9099-C40C66FF867C}">
                  <a14:compatExt spid="_x0000_s2979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0865" name="Button 1" hidden="1">
              <a:extLst>
                <a:ext uri="{63B3BB69-23CF-44E3-9099-C40C66FF867C}">
                  <a14:compatExt spid="_x0000_s298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1889" name="Button 1" hidden="1">
              <a:extLst>
                <a:ext uri="{63B3BB69-23CF-44E3-9099-C40C66FF867C}">
                  <a14:compatExt spid="_x0000_s298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2913" name="Button 1" hidden="1">
              <a:extLst>
                <a:ext uri="{63B3BB69-23CF-44E3-9099-C40C66FF867C}">
                  <a14:compatExt spid="_x0000_s2982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694" dataDxfId="693" headerRowCellStyle="一般 2" dataCellStyle="一般 2">
  <autoFilter ref="AG13:BH189"/>
  <tableColumns count="28">
    <tableColumn id="1" uniqueName="1" name="請直接以10進位，謝謝" queryTableFieldId="1" dataDxfId="692" dataCellStyle="一般 2"/>
    <tableColumn id="2" uniqueName="2" name="F2" queryTableFieldId="2" dataDxfId="691" dataCellStyle="一般 2"/>
    <tableColumn id="3" uniqueName="3" name="F3" queryTableFieldId="3" dataDxfId="690" dataCellStyle="一般 2"/>
    <tableColumn id="4" uniqueName="4" name="F4" queryTableFieldId="4" dataDxfId="689" dataCellStyle="一般 2"/>
    <tableColumn id="5" uniqueName="5" name="F5" queryTableFieldId="5" dataDxfId="688" dataCellStyle="一般 2"/>
    <tableColumn id="6" uniqueName="6" name="F6" queryTableFieldId="6" dataDxfId="687" dataCellStyle="一般 2"/>
    <tableColumn id="7" uniqueName="7" name="F7" queryTableFieldId="7" dataDxfId="686" dataCellStyle="一般 2"/>
    <tableColumn id="8" uniqueName="8" name="F8" queryTableFieldId="8" dataDxfId="685" dataCellStyle="一般 2"/>
    <tableColumn id="9" uniqueName="9" name="F9" queryTableFieldId="9" dataDxfId="684" dataCellStyle="一般 2"/>
    <tableColumn id="10" uniqueName="10" name="F10" queryTableFieldId="10" dataDxfId="683" dataCellStyle="一般 2"/>
    <tableColumn id="11" uniqueName="11" name="F11" queryTableFieldId="11" dataDxfId="682" dataCellStyle="一般 2"/>
    <tableColumn id="12" uniqueName="12" name="F12" queryTableFieldId="12" dataDxfId="681" dataCellStyle="一般 2"/>
    <tableColumn id="13" uniqueName="13" name="F13" queryTableFieldId="13" dataDxfId="680" dataCellStyle="一般 2"/>
    <tableColumn id="14" uniqueName="14" name="F14" queryTableFieldId="14" dataDxfId="679" dataCellStyle="一般 2"/>
    <tableColumn id="15" uniqueName="15" name="F15" queryTableFieldId="15" dataDxfId="678" dataCellStyle="一般 2"/>
    <tableColumn id="16" uniqueName="16" name="F16" queryTableFieldId="16" dataDxfId="677" dataCellStyle="一般 2"/>
    <tableColumn id="17" uniqueName="17" name="F17" queryTableFieldId="17" dataDxfId="676" dataCellStyle="一般 2"/>
    <tableColumn id="18" uniqueName="18" name="F18" queryTableFieldId="18" dataDxfId="675" dataCellStyle="一般 2"/>
    <tableColumn id="19" uniqueName="19" name="F19" queryTableFieldId="19" dataDxfId="674" dataCellStyle="一般 2"/>
    <tableColumn id="20" uniqueName="20" name="F20" queryTableFieldId="20" dataDxfId="673" dataCellStyle="一般 2"/>
    <tableColumn id="21" uniqueName="21" name="F21" queryTableFieldId="21" dataDxfId="672" dataCellStyle="一般 2"/>
    <tableColumn id="22" uniqueName="22" name="2024/6/24 14:52" queryTableFieldId="22" dataDxfId="671" dataCellStyle="一般 2"/>
    <tableColumn id="23" uniqueName="23" name="F23" queryTableFieldId="23" dataDxfId="670" dataCellStyle="一般 2"/>
    <tableColumn id="24" uniqueName="24" name="F24" queryTableFieldId="24" dataDxfId="669" dataCellStyle="一般 2"/>
    <tableColumn id="25" uniqueName="25" name="F25" queryTableFieldId="25" dataDxfId="668" dataCellStyle="一般 2"/>
    <tableColumn id="26" uniqueName="26" name="F26" queryTableFieldId="26" dataDxfId="667" dataCellStyle="一般 2"/>
    <tableColumn id="27" uniqueName="27" name="F27" queryTableFieldId="27" dataDxfId="666" dataCellStyle="一般 2"/>
    <tableColumn id="28" uniqueName="28" name="F28" queryTableFieldId="28" dataDxfId="665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561" dataDxfId="560" headerRowCellStyle="一般 2" dataCellStyle="一般 2">
  <autoFilter ref="AG13:BH189"/>
  <tableColumns count="28">
    <tableColumn id="1" uniqueName="1" name="請直接以10進位，謝謝" queryTableFieldId="1" dataDxfId="559" dataCellStyle="一般 2"/>
    <tableColumn id="2" uniqueName="2" name="F2" queryTableFieldId="2" dataDxfId="558" dataCellStyle="一般 2"/>
    <tableColumn id="3" uniqueName="3" name="F3" queryTableFieldId="3" dataDxfId="557" dataCellStyle="一般 2"/>
    <tableColumn id="4" uniqueName="4" name="F4" queryTableFieldId="4" dataDxfId="556" dataCellStyle="一般 2"/>
    <tableColumn id="5" uniqueName="5" name="F5" queryTableFieldId="5" dataDxfId="555" dataCellStyle="一般 2"/>
    <tableColumn id="6" uniqueName="6" name="F6" queryTableFieldId="6" dataDxfId="554" dataCellStyle="一般 2"/>
    <tableColumn id="7" uniqueName="7" name="F7" queryTableFieldId="7" dataDxfId="553" dataCellStyle="一般 2"/>
    <tableColumn id="8" uniqueName="8" name="F8" queryTableFieldId="8" dataDxfId="552" dataCellStyle="一般 2"/>
    <tableColumn id="9" uniqueName="9" name="F9" queryTableFieldId="9" dataDxfId="551" dataCellStyle="一般 2"/>
    <tableColumn id="10" uniqueName="10" name="F10" queryTableFieldId="10" dataDxfId="550" dataCellStyle="一般 2"/>
    <tableColumn id="11" uniqueName="11" name="F11" queryTableFieldId="11" dataDxfId="549" dataCellStyle="一般 2"/>
    <tableColumn id="12" uniqueName="12" name="F12" queryTableFieldId="12" dataDxfId="548" dataCellStyle="一般 2"/>
    <tableColumn id="13" uniqueName="13" name="F13" queryTableFieldId="13" dataDxfId="547" dataCellStyle="一般 2"/>
    <tableColumn id="14" uniqueName="14" name="F14" queryTableFieldId="14" dataDxfId="546" dataCellStyle="一般 2"/>
    <tableColumn id="15" uniqueName="15" name="F15" queryTableFieldId="15" dataDxfId="545" dataCellStyle="一般 2"/>
    <tableColumn id="16" uniqueName="16" name="F16" queryTableFieldId="16" dataDxfId="544" dataCellStyle="一般 2"/>
    <tableColumn id="17" uniqueName="17" name="F17" queryTableFieldId="17" dataDxfId="543" dataCellStyle="一般 2"/>
    <tableColumn id="18" uniqueName="18" name="F18" queryTableFieldId="18" dataDxfId="542" dataCellStyle="一般 2"/>
    <tableColumn id="19" uniqueName="19" name="F19" queryTableFieldId="19" dataDxfId="541" dataCellStyle="一般 2"/>
    <tableColumn id="20" uniqueName="20" name="F20" queryTableFieldId="20" dataDxfId="540" dataCellStyle="一般 2"/>
    <tableColumn id="21" uniqueName="21" name="F21" queryTableFieldId="21" dataDxfId="539" dataCellStyle="一般 2"/>
    <tableColumn id="22" uniqueName="22" name="2024/6/24 14:52" queryTableFieldId="22" dataDxfId="538" dataCellStyle="一般 2"/>
    <tableColumn id="23" uniqueName="23" name="F23" queryTableFieldId="23" dataDxfId="537" dataCellStyle="一般 2"/>
    <tableColumn id="24" uniqueName="24" name="F24" queryTableFieldId="24" dataDxfId="536" dataCellStyle="一般 2"/>
    <tableColumn id="25" uniqueName="25" name="F25" queryTableFieldId="25" dataDxfId="535" dataCellStyle="一般 2"/>
    <tableColumn id="26" uniqueName="26" name="F26" queryTableFieldId="26" dataDxfId="534" dataCellStyle="一般 2"/>
    <tableColumn id="27" uniqueName="27" name="F27" queryTableFieldId="27" dataDxfId="533" dataCellStyle="一般 2"/>
    <tableColumn id="28" uniqueName="28" name="F28" queryTableFieldId="28" dataDxfId="532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428" dataDxfId="427" headerRowCellStyle="一般 2" dataCellStyle="一般 2">
  <autoFilter ref="AG13:BH189"/>
  <tableColumns count="28">
    <tableColumn id="1" uniqueName="1" name="請直接以10進位，謝謝" queryTableFieldId="1" dataDxfId="426" dataCellStyle="一般 2"/>
    <tableColumn id="2" uniqueName="2" name="F2" queryTableFieldId="2" dataDxfId="425" dataCellStyle="一般 2"/>
    <tableColumn id="3" uniqueName="3" name="F3" queryTableFieldId="3" dataDxfId="424" dataCellStyle="一般 2"/>
    <tableColumn id="4" uniqueName="4" name="F4" queryTableFieldId="4" dataDxfId="423" dataCellStyle="一般 2"/>
    <tableColumn id="5" uniqueName="5" name="F5" queryTableFieldId="5" dataDxfId="422" dataCellStyle="一般 2"/>
    <tableColumn id="6" uniqueName="6" name="F6" queryTableFieldId="6" dataDxfId="421" dataCellStyle="一般 2"/>
    <tableColumn id="7" uniqueName="7" name="F7" queryTableFieldId="7" dataDxfId="420" dataCellStyle="一般 2"/>
    <tableColumn id="8" uniqueName="8" name="F8" queryTableFieldId="8" dataDxfId="419" dataCellStyle="一般 2"/>
    <tableColumn id="9" uniqueName="9" name="F9" queryTableFieldId="9" dataDxfId="418" dataCellStyle="一般 2"/>
    <tableColumn id="10" uniqueName="10" name="F10" queryTableFieldId="10" dataDxfId="417" dataCellStyle="一般 2"/>
    <tableColumn id="11" uniqueName="11" name="F11" queryTableFieldId="11" dataDxfId="416" dataCellStyle="一般 2"/>
    <tableColumn id="12" uniqueName="12" name="F12" queryTableFieldId="12" dataDxfId="415" dataCellStyle="一般 2"/>
    <tableColumn id="13" uniqueName="13" name="F13" queryTableFieldId="13" dataDxfId="414" dataCellStyle="一般 2"/>
    <tableColumn id="14" uniqueName="14" name="F14" queryTableFieldId="14" dataDxfId="413" dataCellStyle="一般 2"/>
    <tableColumn id="15" uniqueName="15" name="F15" queryTableFieldId="15" dataDxfId="412" dataCellStyle="一般 2"/>
    <tableColumn id="16" uniqueName="16" name="F16" queryTableFieldId="16" dataDxfId="411" dataCellStyle="一般 2"/>
    <tableColumn id="17" uniqueName="17" name="F17" queryTableFieldId="17" dataDxfId="410" dataCellStyle="一般 2"/>
    <tableColumn id="18" uniqueName="18" name="F18" queryTableFieldId="18" dataDxfId="409" dataCellStyle="一般 2"/>
    <tableColumn id="19" uniqueName="19" name="F19" queryTableFieldId="19" dataDxfId="408" dataCellStyle="一般 2"/>
    <tableColumn id="20" uniqueName="20" name="F20" queryTableFieldId="20" dataDxfId="407" dataCellStyle="一般 2"/>
    <tableColumn id="21" uniqueName="21" name="F21" queryTableFieldId="21" dataDxfId="406" dataCellStyle="一般 2"/>
    <tableColumn id="22" uniqueName="22" name="2024/6/24 14:52" queryTableFieldId="22" dataDxfId="405" dataCellStyle="一般 2"/>
    <tableColumn id="23" uniqueName="23" name="F23" queryTableFieldId="23" dataDxfId="404" dataCellStyle="一般 2"/>
    <tableColumn id="24" uniqueName="24" name="F24" queryTableFieldId="24" dataDxfId="403" dataCellStyle="一般 2"/>
    <tableColumn id="25" uniqueName="25" name="F25" queryTableFieldId="25" dataDxfId="402" dataCellStyle="一般 2"/>
    <tableColumn id="26" uniqueName="26" name="F26" queryTableFieldId="26" dataDxfId="401" dataCellStyle="一般 2"/>
    <tableColumn id="27" uniqueName="27" name="F27" queryTableFieldId="27" dataDxfId="400" dataCellStyle="一般 2"/>
    <tableColumn id="28" uniqueName="28" name="F28" queryTableFieldId="28" dataDxfId="399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95" dataDxfId="294" headerRowCellStyle="一般 2" dataCellStyle="一般 2">
  <autoFilter ref="AG13:BH189"/>
  <tableColumns count="28">
    <tableColumn id="1" uniqueName="1" name="請直接以10進位，謝謝" queryTableFieldId="1" dataDxfId="293" dataCellStyle="一般 2"/>
    <tableColumn id="2" uniqueName="2" name="F2" queryTableFieldId="2" dataDxfId="292" dataCellStyle="一般 2"/>
    <tableColumn id="3" uniqueName="3" name="F3" queryTableFieldId="3" dataDxfId="291" dataCellStyle="一般 2"/>
    <tableColumn id="4" uniqueName="4" name="F4" queryTableFieldId="4" dataDxfId="290" dataCellStyle="一般 2"/>
    <tableColumn id="5" uniqueName="5" name="F5" queryTableFieldId="5" dataDxfId="289" dataCellStyle="一般 2"/>
    <tableColumn id="6" uniqueName="6" name="F6" queryTableFieldId="6" dataDxfId="288" dataCellStyle="一般 2"/>
    <tableColumn id="7" uniqueName="7" name="F7" queryTableFieldId="7" dataDxfId="287" dataCellStyle="一般 2"/>
    <tableColumn id="8" uniqueName="8" name="F8" queryTableFieldId="8" dataDxfId="286" dataCellStyle="一般 2"/>
    <tableColumn id="9" uniqueName="9" name="F9" queryTableFieldId="9" dataDxfId="285" dataCellStyle="一般 2"/>
    <tableColumn id="10" uniqueName="10" name="F10" queryTableFieldId="10" dataDxfId="284" dataCellStyle="一般 2"/>
    <tableColumn id="11" uniqueName="11" name="F11" queryTableFieldId="11" dataDxfId="283" dataCellStyle="一般 2"/>
    <tableColumn id="12" uniqueName="12" name="F12" queryTableFieldId="12" dataDxfId="282" dataCellStyle="一般 2"/>
    <tableColumn id="13" uniqueName="13" name="F13" queryTableFieldId="13" dataDxfId="281" dataCellStyle="一般 2"/>
    <tableColumn id="14" uniqueName="14" name="F14" queryTableFieldId="14" dataDxfId="280" dataCellStyle="一般 2"/>
    <tableColumn id="15" uniqueName="15" name="F15" queryTableFieldId="15" dataDxfId="279" dataCellStyle="一般 2"/>
    <tableColumn id="16" uniqueName="16" name="F16" queryTableFieldId="16" dataDxfId="278" dataCellStyle="一般 2"/>
    <tableColumn id="17" uniqueName="17" name="F17" queryTableFieldId="17" dataDxfId="277" dataCellStyle="一般 2"/>
    <tableColumn id="18" uniqueName="18" name="F18" queryTableFieldId="18" dataDxfId="276" dataCellStyle="一般 2"/>
    <tableColumn id="19" uniqueName="19" name="F19" queryTableFieldId="19" dataDxfId="275" dataCellStyle="一般 2"/>
    <tableColumn id="20" uniqueName="20" name="F20" queryTableFieldId="20" dataDxfId="274" dataCellStyle="一般 2"/>
    <tableColumn id="21" uniqueName="21" name="F21" queryTableFieldId="21" dataDxfId="273" dataCellStyle="一般 2"/>
    <tableColumn id="22" uniqueName="22" name="2024/6/24 14:52" queryTableFieldId="22" dataDxfId="272" dataCellStyle="一般 2"/>
    <tableColumn id="23" uniqueName="23" name="F23" queryTableFieldId="23" dataDxfId="271" dataCellStyle="一般 2"/>
    <tableColumn id="24" uniqueName="24" name="F24" queryTableFieldId="24" dataDxfId="270" dataCellStyle="一般 2"/>
    <tableColumn id="25" uniqueName="25" name="F25" queryTableFieldId="25" dataDxfId="269" dataCellStyle="一般 2"/>
    <tableColumn id="26" uniqueName="26" name="F26" queryTableFieldId="26" dataDxfId="268" dataCellStyle="一般 2"/>
    <tableColumn id="27" uniqueName="27" name="F27" queryTableFieldId="27" dataDxfId="267" dataCellStyle="一般 2"/>
    <tableColumn id="28" uniqueName="28" name="F28" queryTableFieldId="28" dataDxfId="266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162" dataDxfId="161" headerRowCellStyle="一般 2" dataCellStyle="一般 2">
  <autoFilter ref="AG13:BH189"/>
  <tableColumns count="28">
    <tableColumn id="1" uniqueName="1" name="請直接以10進位，謝謝" queryTableFieldId="1" dataDxfId="160" dataCellStyle="一般 2"/>
    <tableColumn id="2" uniqueName="2" name="F2" queryTableFieldId="2" dataDxfId="159" dataCellStyle="一般 2"/>
    <tableColumn id="3" uniqueName="3" name="F3" queryTableFieldId="3" dataDxfId="158" dataCellStyle="一般 2"/>
    <tableColumn id="4" uniqueName="4" name="F4" queryTableFieldId="4" dataDxfId="157" dataCellStyle="一般 2"/>
    <tableColumn id="5" uniqueName="5" name="F5" queryTableFieldId="5" dataDxfId="156" dataCellStyle="一般 2"/>
    <tableColumn id="6" uniqueName="6" name="F6" queryTableFieldId="6" dataDxfId="155" dataCellStyle="一般 2"/>
    <tableColumn id="7" uniqueName="7" name="F7" queryTableFieldId="7" dataDxfId="154" dataCellStyle="一般 2"/>
    <tableColumn id="8" uniqueName="8" name="F8" queryTableFieldId="8" dataDxfId="153" dataCellStyle="一般 2"/>
    <tableColumn id="9" uniqueName="9" name="F9" queryTableFieldId="9" dataDxfId="152" dataCellStyle="一般 2"/>
    <tableColumn id="10" uniqueName="10" name="F10" queryTableFieldId="10" dataDxfId="151" dataCellStyle="一般 2"/>
    <tableColumn id="11" uniqueName="11" name="F11" queryTableFieldId="11" dataDxfId="150" dataCellStyle="一般 2"/>
    <tableColumn id="12" uniqueName="12" name="F12" queryTableFieldId="12" dataDxfId="149" dataCellStyle="一般 2"/>
    <tableColumn id="13" uniqueName="13" name="F13" queryTableFieldId="13" dataDxfId="148" dataCellStyle="一般 2"/>
    <tableColumn id="14" uniqueName="14" name="F14" queryTableFieldId="14" dataDxfId="147" dataCellStyle="一般 2"/>
    <tableColumn id="15" uniqueName="15" name="F15" queryTableFieldId="15" dataDxfId="146" dataCellStyle="一般 2"/>
    <tableColumn id="16" uniqueName="16" name="F16" queryTableFieldId="16" dataDxfId="145" dataCellStyle="一般 2"/>
    <tableColumn id="17" uniqueName="17" name="F17" queryTableFieldId="17" dataDxfId="144" dataCellStyle="一般 2"/>
    <tableColumn id="18" uniqueName="18" name="F18" queryTableFieldId="18" dataDxfId="143" dataCellStyle="一般 2"/>
    <tableColumn id="19" uniqueName="19" name="F19" queryTableFieldId="19" dataDxfId="142" dataCellStyle="一般 2"/>
    <tableColumn id="20" uniqueName="20" name="F20" queryTableFieldId="20" dataDxfId="141" dataCellStyle="一般 2"/>
    <tableColumn id="21" uniqueName="21" name="F21" queryTableFieldId="21" dataDxfId="140" dataCellStyle="一般 2"/>
    <tableColumn id="22" uniqueName="22" name="2024/6/24 14:52" queryTableFieldId="22" dataDxfId="139" dataCellStyle="一般 2"/>
    <tableColumn id="23" uniqueName="23" name="F23" queryTableFieldId="23" dataDxfId="138" dataCellStyle="一般 2"/>
    <tableColumn id="24" uniqueName="24" name="F24" queryTableFieldId="24" dataDxfId="137" dataCellStyle="一般 2"/>
    <tableColumn id="25" uniqueName="25" name="F25" queryTableFieldId="25" dataDxfId="136" dataCellStyle="一般 2"/>
    <tableColumn id="26" uniqueName="26" name="F26" queryTableFieldId="26" dataDxfId="135" dataCellStyle="一般 2"/>
    <tableColumn id="27" uniqueName="27" name="F27" queryTableFieldId="27" dataDxfId="134" dataCellStyle="一般 2"/>
    <tableColumn id="28" uniqueName="28" name="F28" queryTableFieldId="28" dataDxfId="133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5" zoomScale="85" zoomScaleNormal="100" zoomScaleSheetLayoutView="85" workbookViewId="0">
      <selection activeCell="F35" sqref="F35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52" t="s">
        <v>172</v>
      </c>
      <c r="B1" s="152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327</v>
      </c>
      <c r="C3" s="121">
        <v>24</v>
      </c>
      <c r="D3" s="122" t="s">
        <v>76</v>
      </c>
      <c r="E3" s="120">
        <v>3055</v>
      </c>
      <c r="F3" s="121">
        <v>15</v>
      </c>
      <c r="G3" s="119">
        <v>661</v>
      </c>
      <c r="H3" s="120">
        <v>7052</v>
      </c>
      <c r="I3" s="123">
        <v>26</v>
      </c>
      <c r="J3" s="119">
        <v>681</v>
      </c>
      <c r="K3" s="120">
        <v>2919</v>
      </c>
      <c r="L3" s="124">
        <v>26</v>
      </c>
      <c r="M3" s="153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4297</v>
      </c>
      <c r="C4" s="121">
        <v>25</v>
      </c>
      <c r="D4" s="122" t="s">
        <v>77</v>
      </c>
      <c r="E4" s="120">
        <v>0</v>
      </c>
      <c r="F4" s="121">
        <v>24</v>
      </c>
      <c r="G4" s="119">
        <v>662</v>
      </c>
      <c r="H4" s="120">
        <v>4952</v>
      </c>
      <c r="I4" s="123">
        <v>30</v>
      </c>
      <c r="J4" s="119">
        <v>682</v>
      </c>
      <c r="K4" s="120">
        <v>3086</v>
      </c>
      <c r="L4" s="133">
        <v>25</v>
      </c>
      <c r="M4" s="154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3184</v>
      </c>
      <c r="C5" s="121">
        <v>24</v>
      </c>
      <c r="D5" s="122">
        <v>631</v>
      </c>
      <c r="E5" s="120">
        <v>845</v>
      </c>
      <c r="F5" s="121">
        <v>18</v>
      </c>
      <c r="G5" s="119">
        <v>663</v>
      </c>
      <c r="H5" s="120">
        <v>0</v>
      </c>
      <c r="I5" s="123">
        <v>24</v>
      </c>
      <c r="J5" s="119">
        <v>683</v>
      </c>
      <c r="K5" s="120">
        <v>0</v>
      </c>
      <c r="L5" s="133">
        <v>25</v>
      </c>
      <c r="M5" s="154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875</v>
      </c>
      <c r="C6" s="126">
        <v>25</v>
      </c>
      <c r="D6" s="127">
        <v>632</v>
      </c>
      <c r="E6" s="125">
        <v>893</v>
      </c>
      <c r="F6" s="126">
        <v>23</v>
      </c>
      <c r="G6" s="127">
        <v>664</v>
      </c>
      <c r="H6" s="120">
        <v>754</v>
      </c>
      <c r="I6" s="124">
        <v>23</v>
      </c>
      <c r="J6" s="127">
        <v>684</v>
      </c>
      <c r="K6" s="125">
        <v>296</v>
      </c>
      <c r="L6" s="133">
        <v>24</v>
      </c>
      <c r="M6" s="154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6159</v>
      </c>
      <c r="C7" s="126">
        <v>24</v>
      </c>
      <c r="D7" s="127">
        <v>633</v>
      </c>
      <c r="E7" s="125">
        <v>285</v>
      </c>
      <c r="F7" s="126">
        <v>17</v>
      </c>
      <c r="G7" s="127">
        <v>665</v>
      </c>
      <c r="H7" s="125">
        <v>5982</v>
      </c>
      <c r="I7" s="124">
        <v>24</v>
      </c>
      <c r="J7" s="127">
        <v>685</v>
      </c>
      <c r="K7" s="125">
        <v>395</v>
      </c>
      <c r="L7" s="133">
        <v>25</v>
      </c>
      <c r="M7" s="154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0.06</v>
      </c>
      <c r="C8" s="134">
        <v>25</v>
      </c>
      <c r="D8" s="127">
        <v>634</v>
      </c>
      <c r="E8" s="125">
        <v>7962</v>
      </c>
      <c r="F8" s="126">
        <v>23</v>
      </c>
      <c r="G8" s="127">
        <v>666</v>
      </c>
      <c r="H8" s="125">
        <v>1413</v>
      </c>
      <c r="I8" s="124">
        <v>22</v>
      </c>
      <c r="J8" s="127">
        <v>686</v>
      </c>
      <c r="K8" s="125">
        <v>2635</v>
      </c>
      <c r="L8" s="133">
        <v>25</v>
      </c>
      <c r="M8" s="154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6.64</v>
      </c>
      <c r="C9" s="134">
        <v>25</v>
      </c>
      <c r="D9" s="127">
        <v>641</v>
      </c>
      <c r="E9" s="125">
        <v>2690</v>
      </c>
      <c r="F9" s="126">
        <v>24</v>
      </c>
      <c r="G9" s="127">
        <v>667</v>
      </c>
      <c r="H9" s="125">
        <v>5069</v>
      </c>
      <c r="I9" s="124">
        <v>27</v>
      </c>
      <c r="J9" s="127">
        <v>687</v>
      </c>
      <c r="K9" s="125">
        <v>321</v>
      </c>
      <c r="L9" s="133">
        <v>23</v>
      </c>
      <c r="M9" s="154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63.65</v>
      </c>
      <c r="C10" s="134">
        <v>25</v>
      </c>
      <c r="D10" s="127">
        <v>642</v>
      </c>
      <c r="E10" s="125">
        <v>4972</v>
      </c>
      <c r="F10" s="126">
        <v>26</v>
      </c>
      <c r="G10" s="127">
        <v>668</v>
      </c>
      <c r="H10" s="125">
        <v>565</v>
      </c>
      <c r="I10" s="124">
        <v>26</v>
      </c>
      <c r="J10" s="127">
        <v>688</v>
      </c>
      <c r="K10" s="125">
        <v>324</v>
      </c>
      <c r="L10" s="133">
        <v>22</v>
      </c>
      <c r="M10" s="154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6.89</v>
      </c>
      <c r="C11" s="134">
        <v>25</v>
      </c>
      <c r="D11" s="127">
        <v>643</v>
      </c>
      <c r="E11" s="125">
        <v>2106</v>
      </c>
      <c r="F11" s="126">
        <v>26</v>
      </c>
      <c r="G11" s="127">
        <v>669</v>
      </c>
      <c r="H11" s="125">
        <v>681</v>
      </c>
      <c r="I11" s="124">
        <v>27</v>
      </c>
      <c r="J11" s="127">
        <v>689</v>
      </c>
      <c r="K11" s="125">
        <v>5385</v>
      </c>
      <c r="L11" s="133">
        <v>25</v>
      </c>
      <c r="M11" s="154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2645</v>
      </c>
      <c r="C12" s="126">
        <v>25</v>
      </c>
      <c r="D12" s="127">
        <v>645</v>
      </c>
      <c r="E12" s="125">
        <v>48</v>
      </c>
      <c r="F12" s="126">
        <v>30</v>
      </c>
      <c r="G12" s="127">
        <v>670</v>
      </c>
      <c r="H12" s="125">
        <v>-9905</v>
      </c>
      <c r="I12" s="124">
        <v>27</v>
      </c>
      <c r="J12" s="127">
        <v>690</v>
      </c>
      <c r="K12" s="125">
        <v>373</v>
      </c>
      <c r="L12" s="124">
        <v>24</v>
      </c>
      <c r="M12" s="154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411</v>
      </c>
      <c r="C13" s="126">
        <v>25</v>
      </c>
      <c r="D13" s="127">
        <v>651</v>
      </c>
      <c r="E13" s="125">
        <v>2367</v>
      </c>
      <c r="F13" s="126">
        <v>26</v>
      </c>
      <c r="G13" s="127">
        <v>671</v>
      </c>
      <c r="H13" s="125">
        <v>0</v>
      </c>
      <c r="I13" s="124">
        <v>24</v>
      </c>
      <c r="J13" s="127">
        <v>691</v>
      </c>
      <c r="K13" s="125">
        <v>2160</v>
      </c>
      <c r="L13" s="133">
        <v>25</v>
      </c>
      <c r="M13" s="154"/>
      <c r="N13" s="156" t="s">
        <v>171</v>
      </c>
      <c r="O13" s="157" t="s">
        <v>143</v>
      </c>
      <c r="P13" s="158">
        <v>7.0686</v>
      </c>
      <c r="Q13" s="150" t="s">
        <v>148</v>
      </c>
      <c r="S13" s="151">
        <v>7000</v>
      </c>
    </row>
    <row r="14" spans="1:24" s="53" customFormat="1" ht="22.2" customHeight="1">
      <c r="A14" s="119">
        <v>623</v>
      </c>
      <c r="B14" s="125">
        <v>4353</v>
      </c>
      <c r="C14" s="126">
        <v>30</v>
      </c>
      <c r="D14" s="127">
        <v>652</v>
      </c>
      <c r="E14" s="125">
        <v>3323</v>
      </c>
      <c r="F14" s="126">
        <v>24</v>
      </c>
      <c r="G14" s="127">
        <v>672</v>
      </c>
      <c r="H14" s="125">
        <v>2437</v>
      </c>
      <c r="I14" s="124">
        <v>24</v>
      </c>
      <c r="J14" s="127">
        <v>692</v>
      </c>
      <c r="K14" s="125">
        <v>5133</v>
      </c>
      <c r="L14" s="133">
        <v>26</v>
      </c>
      <c r="M14" s="154"/>
      <c r="N14" s="156"/>
      <c r="O14" s="157"/>
      <c r="P14" s="158"/>
      <c r="Q14" s="150"/>
      <c r="S14" s="151"/>
    </row>
    <row r="15" spans="1:24" s="53" customFormat="1" ht="22.2" customHeight="1">
      <c r="A15" s="122">
        <v>624</v>
      </c>
      <c r="B15" s="125">
        <v>7523</v>
      </c>
      <c r="C15" s="126">
        <v>24</v>
      </c>
      <c r="D15" s="128">
        <v>653</v>
      </c>
      <c r="E15" s="125">
        <v>3448</v>
      </c>
      <c r="F15" s="126">
        <v>21</v>
      </c>
      <c r="G15" s="127">
        <v>673</v>
      </c>
      <c r="H15" s="125">
        <v>0</v>
      </c>
      <c r="I15" s="124">
        <v>23</v>
      </c>
      <c r="J15" s="127">
        <v>693</v>
      </c>
      <c r="K15" s="125">
        <v>3150</v>
      </c>
      <c r="L15" s="133">
        <v>25</v>
      </c>
      <c r="M15" s="154"/>
      <c r="N15" s="156"/>
      <c r="O15" s="157"/>
      <c r="P15" s="158"/>
      <c r="Q15" s="150"/>
      <c r="R15" s="55"/>
      <c r="S15" s="139">
        <v>6000</v>
      </c>
    </row>
    <row r="16" spans="1:24" s="53" customFormat="1" ht="22.2" customHeight="1">
      <c r="A16" s="122" t="s">
        <v>80</v>
      </c>
      <c r="B16" s="125">
        <v>0</v>
      </c>
      <c r="C16" s="126">
        <v>28</v>
      </c>
      <c r="D16" s="127">
        <v>654</v>
      </c>
      <c r="E16" s="125">
        <v>5178</v>
      </c>
      <c r="F16" s="126">
        <v>22</v>
      </c>
      <c r="G16" s="127">
        <v>674</v>
      </c>
      <c r="H16" s="125">
        <v>0</v>
      </c>
      <c r="I16" s="124">
        <v>22</v>
      </c>
      <c r="J16" s="127">
        <v>694</v>
      </c>
      <c r="K16" s="125">
        <v>1323</v>
      </c>
      <c r="L16" s="133">
        <v>26</v>
      </c>
      <c r="M16" s="154"/>
      <c r="Q16" s="55"/>
      <c r="R16" s="55"/>
      <c r="S16" s="55"/>
    </row>
    <row r="17" spans="1:19" s="53" customFormat="1" ht="22.2" customHeight="1">
      <c r="A17" s="122" t="s">
        <v>26</v>
      </c>
      <c r="B17" s="125">
        <v>0</v>
      </c>
      <c r="C17" s="126">
        <v>30</v>
      </c>
      <c r="D17" s="128">
        <v>655</v>
      </c>
      <c r="E17" s="125">
        <v>4316</v>
      </c>
      <c r="F17" s="126">
        <v>27</v>
      </c>
      <c r="G17" s="127">
        <v>675</v>
      </c>
      <c r="H17" s="125">
        <v>5.46</v>
      </c>
      <c r="I17" s="133">
        <v>25</v>
      </c>
      <c r="J17" s="127">
        <v>695</v>
      </c>
      <c r="K17" s="125">
        <v>6004</v>
      </c>
      <c r="L17" s="133">
        <v>27</v>
      </c>
      <c r="M17" s="154"/>
      <c r="Q17" s="55"/>
      <c r="R17" s="55"/>
      <c r="S17" s="55"/>
    </row>
    <row r="18" spans="1:19" s="53" customFormat="1" ht="22.2" customHeight="1">
      <c r="A18" s="122" t="s">
        <v>27</v>
      </c>
      <c r="B18" s="125">
        <v>5793</v>
      </c>
      <c r="C18" s="126">
        <v>24</v>
      </c>
      <c r="D18" s="127">
        <v>656</v>
      </c>
      <c r="E18" s="125">
        <v>1796</v>
      </c>
      <c r="F18" s="126">
        <v>24</v>
      </c>
      <c r="G18" s="127">
        <v>676</v>
      </c>
      <c r="H18" s="125">
        <v>44.24</v>
      </c>
      <c r="I18" s="133">
        <v>25</v>
      </c>
      <c r="J18" s="127">
        <v>696</v>
      </c>
      <c r="K18" s="125">
        <v>735</v>
      </c>
      <c r="L18" s="133">
        <v>24</v>
      </c>
      <c r="M18" s="154"/>
      <c r="Q18" s="55"/>
      <c r="R18" s="55"/>
      <c r="S18" s="55"/>
    </row>
    <row r="19" spans="1:19" s="53" customFormat="1" ht="22.2" customHeight="1">
      <c r="A19" s="122" t="s">
        <v>28</v>
      </c>
      <c r="B19" s="125">
        <v>7241</v>
      </c>
      <c r="C19" s="126">
        <v>20</v>
      </c>
      <c r="D19" s="127">
        <v>657</v>
      </c>
      <c r="E19" s="125">
        <v>2390</v>
      </c>
      <c r="F19" s="126">
        <v>25</v>
      </c>
      <c r="G19" s="127">
        <v>677</v>
      </c>
      <c r="H19" s="125">
        <v>56.55</v>
      </c>
      <c r="I19" s="133">
        <v>25</v>
      </c>
      <c r="J19" s="127">
        <v>697</v>
      </c>
      <c r="K19" s="125">
        <v>435</v>
      </c>
      <c r="L19" s="133">
        <v>25</v>
      </c>
      <c r="M19" s="154"/>
      <c r="Q19" s="55"/>
      <c r="R19" s="55"/>
      <c r="S19" s="55"/>
    </row>
    <row r="20" spans="1:19" s="53" customFormat="1" ht="22.2" customHeight="1">
      <c r="A20" s="122" t="s">
        <v>29</v>
      </c>
      <c r="B20" s="125">
        <v>7112</v>
      </c>
      <c r="C20" s="126">
        <v>25</v>
      </c>
      <c r="D20" s="128">
        <v>658</v>
      </c>
      <c r="E20" s="125">
        <v>2992</v>
      </c>
      <c r="F20" s="126">
        <v>26</v>
      </c>
      <c r="G20" s="127">
        <v>678</v>
      </c>
      <c r="H20" s="125">
        <v>5.57</v>
      </c>
      <c r="I20" s="133">
        <v>25</v>
      </c>
      <c r="J20" s="127">
        <v>698</v>
      </c>
      <c r="K20" s="125">
        <v>2270</v>
      </c>
      <c r="L20" s="133">
        <v>27</v>
      </c>
      <c r="M20" s="154"/>
      <c r="Q20" s="55"/>
      <c r="R20" s="55"/>
      <c r="S20" s="55"/>
    </row>
    <row r="21" spans="1:19" s="53" customFormat="1" ht="22.2" customHeight="1">
      <c r="A21" s="122" t="s">
        <v>30</v>
      </c>
      <c r="B21" s="125">
        <v>5864</v>
      </c>
      <c r="C21" s="126">
        <v>28</v>
      </c>
      <c r="D21" s="127">
        <v>659</v>
      </c>
      <c r="E21" s="125">
        <v>389</v>
      </c>
      <c r="F21" s="126">
        <v>22</v>
      </c>
      <c r="G21" s="127">
        <v>680</v>
      </c>
      <c r="H21" s="125">
        <v>3406</v>
      </c>
      <c r="I21" s="133">
        <v>26</v>
      </c>
      <c r="J21" s="127">
        <v>699</v>
      </c>
      <c r="K21" s="125">
        <v>6308</v>
      </c>
      <c r="L21" s="133">
        <v>26</v>
      </c>
      <c r="M21" s="154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5631</v>
      </c>
      <c r="C22" s="130">
        <v>24</v>
      </c>
      <c r="D22" s="131">
        <v>660</v>
      </c>
      <c r="E22" s="130">
        <v>4139</v>
      </c>
      <c r="F22" s="132">
        <v>26</v>
      </c>
      <c r="G22" s="131"/>
      <c r="H22" s="130"/>
      <c r="I22" s="132"/>
      <c r="J22" s="131"/>
      <c r="K22" s="130"/>
      <c r="L22" s="132"/>
      <c r="M22" s="155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52"/>
      <c r="B24" s="152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638</v>
      </c>
      <c r="C26" s="121">
        <v>32</v>
      </c>
      <c r="D26" s="122" t="s">
        <v>76</v>
      </c>
      <c r="E26" s="120">
        <v>6206</v>
      </c>
      <c r="F26" s="121">
        <v>16</v>
      </c>
      <c r="G26" s="119">
        <v>661</v>
      </c>
      <c r="H26" s="120">
        <v>5376</v>
      </c>
      <c r="I26" s="123">
        <v>29</v>
      </c>
      <c r="J26" s="119">
        <v>681</v>
      </c>
      <c r="K26" s="120">
        <v>2483</v>
      </c>
      <c r="L26" s="124">
        <v>27</v>
      </c>
      <c r="M26" s="153"/>
    </row>
    <row r="27" spans="1:19" ht="21.75" customHeight="1">
      <c r="A27" s="119">
        <v>602</v>
      </c>
      <c r="B27" s="120">
        <v>4294</v>
      </c>
      <c r="C27" s="121">
        <v>28</v>
      </c>
      <c r="D27" s="122" t="s">
        <v>77</v>
      </c>
      <c r="E27" s="120">
        <v>3710</v>
      </c>
      <c r="F27" s="121">
        <v>25</v>
      </c>
      <c r="G27" s="119">
        <v>662</v>
      </c>
      <c r="H27" s="120">
        <v>4953</v>
      </c>
      <c r="I27" s="123">
        <v>30</v>
      </c>
      <c r="J27" s="119">
        <v>682</v>
      </c>
      <c r="K27" s="120">
        <v>2576</v>
      </c>
      <c r="L27" s="133">
        <v>32</v>
      </c>
      <c r="M27" s="154"/>
    </row>
    <row r="28" spans="1:19" ht="21.75" customHeight="1">
      <c r="A28" s="119">
        <v>603</v>
      </c>
      <c r="B28" s="120">
        <v>3184</v>
      </c>
      <c r="C28" s="121">
        <v>26</v>
      </c>
      <c r="D28" s="122">
        <v>631</v>
      </c>
      <c r="E28" s="120">
        <v>1102</v>
      </c>
      <c r="F28" s="121">
        <v>26</v>
      </c>
      <c r="G28" s="119">
        <v>663</v>
      </c>
      <c r="H28" s="120">
        <v>0</v>
      </c>
      <c r="I28" s="123">
        <v>29</v>
      </c>
      <c r="J28" s="119">
        <v>683</v>
      </c>
      <c r="K28" s="120">
        <v>0</v>
      </c>
      <c r="L28" s="133">
        <v>32</v>
      </c>
      <c r="M28" s="154"/>
    </row>
    <row r="29" spans="1:19" ht="21.75" customHeight="1">
      <c r="A29" s="119" t="s">
        <v>78</v>
      </c>
      <c r="B29" s="125">
        <v>596</v>
      </c>
      <c r="C29" s="126">
        <v>30</v>
      </c>
      <c r="D29" s="127">
        <v>632</v>
      </c>
      <c r="E29" s="125">
        <v>813</v>
      </c>
      <c r="F29" s="126">
        <v>29</v>
      </c>
      <c r="G29" s="127">
        <v>664</v>
      </c>
      <c r="H29" s="120">
        <v>750</v>
      </c>
      <c r="I29" s="124">
        <v>30</v>
      </c>
      <c r="J29" s="127">
        <v>684</v>
      </c>
      <c r="K29" s="125">
        <v>292</v>
      </c>
      <c r="L29" s="133">
        <v>33</v>
      </c>
      <c r="M29" s="154"/>
    </row>
    <row r="30" spans="1:19" ht="21.75" customHeight="1">
      <c r="A30" s="119" t="s">
        <v>79</v>
      </c>
      <c r="B30" s="125">
        <v>6163</v>
      </c>
      <c r="C30" s="126">
        <v>28</v>
      </c>
      <c r="D30" s="127">
        <v>633</v>
      </c>
      <c r="E30" s="125">
        <v>282</v>
      </c>
      <c r="F30" s="126">
        <v>25</v>
      </c>
      <c r="G30" s="127">
        <v>665</v>
      </c>
      <c r="H30" s="125">
        <v>5991</v>
      </c>
      <c r="I30" s="124">
        <v>29</v>
      </c>
      <c r="J30" s="127">
        <v>685</v>
      </c>
      <c r="K30" s="125">
        <v>329</v>
      </c>
      <c r="L30" s="133">
        <v>33</v>
      </c>
      <c r="M30" s="154"/>
    </row>
    <row r="31" spans="1:19" ht="21.75" customHeight="1">
      <c r="A31" s="119">
        <v>611</v>
      </c>
      <c r="B31" s="125">
        <v>0.04</v>
      </c>
      <c r="C31" s="134">
        <v>25</v>
      </c>
      <c r="D31" s="127">
        <v>634</v>
      </c>
      <c r="E31" s="125">
        <v>8329</v>
      </c>
      <c r="F31" s="126">
        <v>27</v>
      </c>
      <c r="G31" s="127">
        <v>666</v>
      </c>
      <c r="H31" s="125">
        <v>1411</v>
      </c>
      <c r="I31" s="124">
        <v>27</v>
      </c>
      <c r="J31" s="127">
        <v>686</v>
      </c>
      <c r="K31" s="125">
        <v>2064</v>
      </c>
      <c r="L31" s="133">
        <v>27</v>
      </c>
      <c r="M31" s="154"/>
    </row>
    <row r="32" spans="1:19" ht="21.75" customHeight="1">
      <c r="A32" s="119">
        <v>612</v>
      </c>
      <c r="B32" s="125">
        <v>6.74</v>
      </c>
      <c r="C32" s="134">
        <v>25</v>
      </c>
      <c r="D32" s="127">
        <v>641</v>
      </c>
      <c r="E32" s="125">
        <v>2690</v>
      </c>
      <c r="F32" s="126">
        <v>27</v>
      </c>
      <c r="G32" s="127">
        <v>667</v>
      </c>
      <c r="H32" s="125">
        <v>5067</v>
      </c>
      <c r="I32" s="124">
        <v>31</v>
      </c>
      <c r="J32" s="127">
        <v>687</v>
      </c>
      <c r="K32" s="125">
        <v>316</v>
      </c>
      <c r="L32" s="133">
        <v>34</v>
      </c>
      <c r="M32" s="154"/>
    </row>
    <row r="33" spans="1:13" ht="21.75" customHeight="1">
      <c r="A33" s="119">
        <v>613</v>
      </c>
      <c r="B33" s="125">
        <v>63.68</v>
      </c>
      <c r="C33" s="134">
        <v>25</v>
      </c>
      <c r="D33" s="127">
        <v>642</v>
      </c>
      <c r="E33" s="125">
        <v>4600</v>
      </c>
      <c r="F33" s="126">
        <v>28</v>
      </c>
      <c r="G33" s="127">
        <v>668</v>
      </c>
      <c r="H33" s="125">
        <v>564</v>
      </c>
      <c r="I33" s="124">
        <v>29</v>
      </c>
      <c r="J33" s="127">
        <v>688</v>
      </c>
      <c r="K33" s="125">
        <v>320</v>
      </c>
      <c r="L33" s="133">
        <v>32</v>
      </c>
      <c r="M33" s="154"/>
    </row>
    <row r="34" spans="1:13" ht="21.75" customHeight="1">
      <c r="A34" s="119">
        <v>614</v>
      </c>
      <c r="B34" s="125">
        <v>81.010000000000005</v>
      </c>
      <c r="C34" s="134">
        <v>25</v>
      </c>
      <c r="D34" s="127">
        <v>643</v>
      </c>
      <c r="E34" s="125">
        <v>676</v>
      </c>
      <c r="F34" s="126">
        <v>29</v>
      </c>
      <c r="G34" s="127">
        <v>669</v>
      </c>
      <c r="H34" s="125">
        <v>681</v>
      </c>
      <c r="I34" s="124">
        <v>29</v>
      </c>
      <c r="J34" s="127">
        <v>689</v>
      </c>
      <c r="K34" s="125">
        <v>5382</v>
      </c>
      <c r="L34" s="133">
        <v>32</v>
      </c>
      <c r="M34" s="154"/>
    </row>
    <row r="35" spans="1:13" ht="21.75" customHeight="1">
      <c r="A35" s="119">
        <v>621</v>
      </c>
      <c r="B35" s="125">
        <v>2451</v>
      </c>
      <c r="C35" s="126">
        <v>28</v>
      </c>
      <c r="D35" s="127">
        <v>645</v>
      </c>
      <c r="E35" s="125">
        <v>1354</v>
      </c>
      <c r="F35" s="126">
        <v>30</v>
      </c>
      <c r="G35" s="127">
        <v>670</v>
      </c>
      <c r="H35" s="125">
        <v>-9908</v>
      </c>
      <c r="I35" s="124">
        <v>29</v>
      </c>
      <c r="J35" s="127">
        <v>690</v>
      </c>
      <c r="K35" s="125">
        <v>369</v>
      </c>
      <c r="L35" s="124">
        <v>33</v>
      </c>
      <c r="M35" s="154"/>
    </row>
    <row r="36" spans="1:13" ht="21.75" customHeight="1">
      <c r="A36" s="119">
        <v>622</v>
      </c>
      <c r="B36" s="125">
        <v>230</v>
      </c>
      <c r="C36" s="126">
        <v>29</v>
      </c>
      <c r="D36" s="127">
        <v>651</v>
      </c>
      <c r="E36" s="125">
        <v>2418</v>
      </c>
      <c r="F36" s="126">
        <v>30</v>
      </c>
      <c r="G36" s="127">
        <v>671</v>
      </c>
      <c r="H36" s="125">
        <v>0</v>
      </c>
      <c r="I36" s="124">
        <v>35</v>
      </c>
      <c r="J36" s="127">
        <v>691</v>
      </c>
      <c r="K36" s="125">
        <v>2695</v>
      </c>
      <c r="L36" s="133">
        <v>33</v>
      </c>
      <c r="M36" s="154"/>
    </row>
    <row r="37" spans="1:13" ht="21.75" customHeight="1">
      <c r="A37" s="119">
        <v>623</v>
      </c>
      <c r="B37" s="125">
        <v>4353</v>
      </c>
      <c r="C37" s="126">
        <v>33</v>
      </c>
      <c r="D37" s="127">
        <v>652</v>
      </c>
      <c r="E37" s="125">
        <v>3519</v>
      </c>
      <c r="F37" s="126">
        <v>26</v>
      </c>
      <c r="G37" s="127">
        <v>672</v>
      </c>
      <c r="H37" s="125">
        <v>2439</v>
      </c>
      <c r="I37" s="124">
        <v>25</v>
      </c>
      <c r="J37" s="127">
        <v>692</v>
      </c>
      <c r="K37" s="125">
        <v>5130</v>
      </c>
      <c r="L37" s="133">
        <v>32</v>
      </c>
      <c r="M37" s="154"/>
    </row>
    <row r="38" spans="1:13" ht="21.75" customHeight="1">
      <c r="A38" s="122">
        <v>624</v>
      </c>
      <c r="B38" s="125">
        <v>6995</v>
      </c>
      <c r="C38" s="126">
        <v>27</v>
      </c>
      <c r="D38" s="128">
        <v>653</v>
      </c>
      <c r="E38" s="125">
        <v>3449</v>
      </c>
      <c r="F38" s="126">
        <v>22</v>
      </c>
      <c r="G38" s="127">
        <v>673</v>
      </c>
      <c r="H38" s="125">
        <v>0</v>
      </c>
      <c r="I38" s="124">
        <v>32</v>
      </c>
      <c r="J38" s="127">
        <v>693</v>
      </c>
      <c r="K38" s="125">
        <v>3147</v>
      </c>
      <c r="L38" s="133">
        <v>27</v>
      </c>
      <c r="M38" s="154"/>
    </row>
    <row r="39" spans="1:13" ht="21.75" customHeight="1">
      <c r="A39" s="122" t="s">
        <v>80</v>
      </c>
      <c r="B39" s="125">
        <v>2655</v>
      </c>
      <c r="C39" s="126">
        <v>30</v>
      </c>
      <c r="D39" s="127">
        <v>654</v>
      </c>
      <c r="E39" s="125">
        <v>5181</v>
      </c>
      <c r="F39" s="126">
        <v>28</v>
      </c>
      <c r="G39" s="127">
        <v>674</v>
      </c>
      <c r="H39" s="125">
        <v>0</v>
      </c>
      <c r="I39" s="124">
        <v>27</v>
      </c>
      <c r="J39" s="127">
        <v>694</v>
      </c>
      <c r="K39" s="125">
        <v>1324</v>
      </c>
      <c r="L39" s="133">
        <v>27</v>
      </c>
      <c r="M39" s="154"/>
    </row>
    <row r="40" spans="1:13" ht="21.75" customHeight="1">
      <c r="A40" s="122" t="s">
        <v>26</v>
      </c>
      <c r="B40" s="125">
        <v>0</v>
      </c>
      <c r="C40" s="126">
        <v>35</v>
      </c>
      <c r="D40" s="128">
        <v>655</v>
      </c>
      <c r="E40" s="125">
        <v>3027</v>
      </c>
      <c r="F40" s="126">
        <v>29</v>
      </c>
      <c r="G40" s="127">
        <v>675</v>
      </c>
      <c r="H40" s="125">
        <v>13.53</v>
      </c>
      <c r="I40" s="133">
        <v>25</v>
      </c>
      <c r="J40" s="127">
        <v>695</v>
      </c>
      <c r="K40" s="125">
        <v>6042</v>
      </c>
      <c r="L40" s="133">
        <v>32</v>
      </c>
      <c r="M40" s="154"/>
    </row>
    <row r="41" spans="1:13" ht="21.75" customHeight="1">
      <c r="A41" s="122" t="s">
        <v>27</v>
      </c>
      <c r="B41" s="125">
        <v>1137</v>
      </c>
      <c r="C41" s="126">
        <v>25</v>
      </c>
      <c r="D41" s="127">
        <v>656</v>
      </c>
      <c r="E41" s="125">
        <v>1797</v>
      </c>
      <c r="F41" s="126">
        <v>28</v>
      </c>
      <c r="G41" s="127">
        <v>676</v>
      </c>
      <c r="H41" s="125">
        <v>84.38</v>
      </c>
      <c r="I41" s="133">
        <v>25</v>
      </c>
      <c r="J41" s="127">
        <v>696</v>
      </c>
      <c r="K41" s="125">
        <v>731</v>
      </c>
      <c r="L41" s="133">
        <v>32</v>
      </c>
      <c r="M41" s="154"/>
    </row>
    <row r="42" spans="1:13" ht="21.75" customHeight="1">
      <c r="A42" s="122" t="s">
        <v>28</v>
      </c>
      <c r="B42" s="125">
        <v>7248</v>
      </c>
      <c r="C42" s="126">
        <v>22</v>
      </c>
      <c r="D42" s="127">
        <v>657</v>
      </c>
      <c r="E42" s="125">
        <v>5665</v>
      </c>
      <c r="F42" s="126">
        <v>29</v>
      </c>
      <c r="G42" s="127">
        <v>677</v>
      </c>
      <c r="H42" s="125">
        <v>24.32</v>
      </c>
      <c r="I42" s="133">
        <v>25</v>
      </c>
      <c r="J42" s="127">
        <v>697</v>
      </c>
      <c r="K42" s="125">
        <v>431</v>
      </c>
      <c r="L42" s="133">
        <v>33</v>
      </c>
      <c r="M42" s="154"/>
    </row>
    <row r="43" spans="1:13" ht="21.75" customHeight="1">
      <c r="A43" s="122" t="s">
        <v>29</v>
      </c>
      <c r="B43" s="125">
        <v>7118</v>
      </c>
      <c r="C43" s="126">
        <v>26</v>
      </c>
      <c r="D43" s="128">
        <v>658</v>
      </c>
      <c r="E43" s="125">
        <v>1992</v>
      </c>
      <c r="F43" s="126">
        <v>30</v>
      </c>
      <c r="G43" s="127">
        <v>678</v>
      </c>
      <c r="H43" s="125">
        <v>5.57</v>
      </c>
      <c r="I43" s="133">
        <v>25</v>
      </c>
      <c r="J43" s="127">
        <v>698</v>
      </c>
      <c r="K43" s="125">
        <v>1675</v>
      </c>
      <c r="L43" s="133">
        <v>32</v>
      </c>
      <c r="M43" s="154"/>
    </row>
    <row r="44" spans="1:13" ht="21.75" customHeight="1">
      <c r="A44" s="122" t="s">
        <v>30</v>
      </c>
      <c r="B44" s="125">
        <v>5871</v>
      </c>
      <c r="C44" s="126">
        <v>28</v>
      </c>
      <c r="D44" s="127">
        <v>659</v>
      </c>
      <c r="E44" s="125">
        <v>1561</v>
      </c>
      <c r="F44" s="126">
        <v>26</v>
      </c>
      <c r="G44" s="127">
        <v>680</v>
      </c>
      <c r="H44" s="125">
        <v>2377</v>
      </c>
      <c r="I44" s="133">
        <v>27</v>
      </c>
      <c r="J44" s="127">
        <v>699</v>
      </c>
      <c r="K44" s="125">
        <v>4680</v>
      </c>
      <c r="L44" s="133">
        <v>27</v>
      </c>
      <c r="M44" s="154"/>
    </row>
    <row r="45" spans="1:13" ht="21.75" customHeight="1" thickBot="1">
      <c r="A45" s="129" t="s">
        <v>81</v>
      </c>
      <c r="B45" s="130">
        <v>7118</v>
      </c>
      <c r="C45" s="130">
        <v>26</v>
      </c>
      <c r="D45" s="131">
        <v>660</v>
      </c>
      <c r="E45" s="130">
        <v>4203</v>
      </c>
      <c r="F45" s="132">
        <v>28</v>
      </c>
      <c r="G45" s="131"/>
      <c r="H45" s="130"/>
      <c r="I45" s="132"/>
      <c r="J45" s="131"/>
      <c r="K45" s="130"/>
      <c r="L45" s="132"/>
      <c r="M45" s="155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B38 B29:B30 B27 E31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H3:H16 E19:E22 B39:B45 E42:E45 E26:E27 H26:H39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B26 E28:E29 B28 B35:B36 K37:K40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E30 E32:E33 B37 E36 K36 K26:K30 K32:K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5">
      <formula1>E12&lt;=6000</formula1>
    </dataValidation>
    <dataValidation type="custom" errorStyle="warning" allowBlank="1" showInputMessage="1" showErrorMessage="1" error="***你在睡喔,醒醒好嗎" sqref="E11 E34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5">
    <pageSetUpPr fitToPage="1"/>
  </sheetPr>
  <dimension ref="A1:CU223"/>
  <sheetViews>
    <sheetView view="pageBreakPreview" topLeftCell="A4" zoomScale="85" zoomScaleNormal="100" zoomScaleSheetLayoutView="85" workbookViewId="0">
      <selection activeCell="V26" sqref="V2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46295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4" t="s" ph="1">
        <v>177</v>
      </c>
      <c r="D6" s="71">
        <v>3704</v>
      </c>
      <c r="E6" s="71">
        <v>3448</v>
      </c>
      <c r="F6" s="71">
        <v>3187</v>
      </c>
      <c r="G6" s="71">
        <v>3543</v>
      </c>
      <c r="H6" s="71">
        <v>0</v>
      </c>
      <c r="I6" s="71">
        <v>4.5</v>
      </c>
      <c r="J6" s="71">
        <v>6.64</v>
      </c>
      <c r="K6" s="71">
        <v>63.81</v>
      </c>
      <c r="L6" s="71">
        <v>7.23</v>
      </c>
      <c r="M6" s="71">
        <v>3235</v>
      </c>
      <c r="N6" s="71">
        <v>798</v>
      </c>
      <c r="O6" s="71">
        <v>5306</v>
      </c>
      <c r="P6" s="71">
        <v>7962</v>
      </c>
      <c r="Q6" s="71">
        <v>7152</v>
      </c>
      <c r="R6" s="71">
        <v>7296</v>
      </c>
      <c r="S6" s="71">
        <v>5494</v>
      </c>
      <c r="T6" s="71">
        <v>7140</v>
      </c>
      <c r="U6" s="71">
        <v>7119</v>
      </c>
      <c r="V6" s="71">
        <v>6183</v>
      </c>
      <c r="W6" s="71">
        <v>0</v>
      </c>
      <c r="X6" s="71">
        <v>2983</v>
      </c>
      <c r="Y6" s="71">
        <v>0</v>
      </c>
      <c r="Z6" s="71">
        <v>4308</v>
      </c>
      <c r="AA6" s="71">
        <v>1122</v>
      </c>
      <c r="AB6" s="71">
        <v>494</v>
      </c>
      <c r="AC6" s="71">
        <v>8623</v>
      </c>
      <c r="AD6" s="71">
        <v>4726</v>
      </c>
      <c r="AE6" s="71">
        <v>5170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115527.86749008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117112.22433539999</v>
      </c>
      <c r="G7" s="73" ph="1">
        <f xml:space="preserve"> (G6+2)*51.53*LOOKUP(G8,密度!$A$2:$A$50,密度!$B$2:$B$50)</f>
        <v>142101.98791500001</v>
      </c>
      <c r="H7" s="73" ph="1">
        <f>(H6)*51.53*LOOKUP(H8,密度!$A$2:$A$50,密度!$B$2:$B$50)</f>
        <v>0</v>
      </c>
      <c r="I7" s="73" ph="1">
        <f>I6*290.8*1.0267</f>
        <v>1343.53962</v>
      </c>
      <c r="J7" s="73" ph="1">
        <f>J6*290.8*0.7892</f>
        <v>1523.8757504</v>
      </c>
      <c r="K7" s="73" ph="1">
        <f>K6*290.8*1.1126</f>
        <v>20645.347744800001</v>
      </c>
      <c r="L7" s="73" ph="1">
        <f>L6*290.8*0.777</f>
        <v>1633.6300680000004</v>
      </c>
      <c r="M7" s="73" ph="1">
        <f>M6*33.183*LOOKUP(M8,密度!$A$2:$A$50,密度!$D$2:$D$50)</f>
        <v>109805.2514145</v>
      </c>
      <c r="N7" s="73" ph="1">
        <f>N6*33.183*LOOKUP(N8,密度!$A$2:$A$50,密度!$E$2:$E$50)</f>
        <v>20680.906554000001</v>
      </c>
      <c r="O7" s="73" ph="1">
        <f>O6*20.428*LOOKUP(O8,密度!$A$2:$A$50,密度!$C$2:$C$50)</f>
        <v>119555.23770400001</v>
      </c>
      <c r="P7" s="73" ph="1">
        <f>P6*51.53*LOOKUP(P8,密度!$A$2:$A$50,密度!$B$2:$B$50)</f>
        <v>319158.25889400003</v>
      </c>
      <c r="Q7" s="73" ph="1">
        <f>Q6*1.5*1.5*3.1416*LOOKUP(W8,密度!$A$2:$A$50,密度!$L$2:$L$50)</f>
        <v>47319.131059200008</v>
      </c>
      <c r="R7" s="73" ph="1">
        <f>R6*1.5*1.5*3.1416*LOOKUP(R8,密度!$A$2:$A$50,密度!$L$2:$L$50)</f>
        <v>47807.712691200002</v>
      </c>
      <c r="S7" s="73" ph="1">
        <f>S6*1.5*1.5*3.1416*LOOKUP(S8,密度!$A$2:$A$50,密度!$L$2:$L$50)</f>
        <v>36349.455542399999</v>
      </c>
      <c r="T7" s="73" ph="1">
        <f>T6*1.5*1.5*3.1416*LOOKUP(T8,密度!$A$2:$A$50,密度!$L$2:$L$50)</f>
        <v>47340.676151999993</v>
      </c>
      <c r="U7" s="73" ph="1">
        <f>U6*1.5*1.5*3.1416*LOOKUP(U8,密度!$A$2:$A$50,密度!$L$2:$L$50)</f>
        <v>47050.474779000004</v>
      </c>
      <c r="V7" s="73" ph="1">
        <f>V6*1.5*1.5*3.1416*LOOKUP(V8,密度!$A$2:$A$50,密度!$L$2:$L$50)</f>
        <v>40864.318803000002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19904.8383072</v>
      </c>
      <c r="Y7" s="73" ph="1">
        <f>Y6*1.5*1.5*3.1416*LOOKUP(Y8,密度!$A$2:$A$50,密度!$L$2:$L$50)</f>
        <v>0</v>
      </c>
      <c r="Z7" s="73" ph="1">
        <f>Z6*33.183*LOOKUP(Z8,密度!$A$2:$A$50,密度!$L$2:$L$50)</f>
        <v>134089.31743199998</v>
      </c>
      <c r="AA7" s="73" ph="1">
        <f>AA6*33.183*LOOKUP(AA8,密度!$A$2:$A$50,密度!$D$2:$D$50)</f>
        <v>38154.662884799996</v>
      </c>
      <c r="AB7" s="73" ph="1">
        <f>AB6*20.428*LOOKUP(AB8,密度!$A$2:$A$50,密度!$D$2:$D$50)</f>
        <v>10399.220676000001</v>
      </c>
      <c r="AC7" s="73" ph="1">
        <f>AC6*51.53*LOOKUP(AC8,密度!$A$2:$A$50,密度!$Q$2:$Q$50)</f>
        <v>420046.50437080004</v>
      </c>
      <c r="AD7" s="73" ph="1">
        <f>AD6*20.428*LOOKUP(AD8,密度!$A$2:$A$50,密度!$V$2:$V$50)</f>
        <v>92449.316332800008</v>
      </c>
      <c r="AE7" s="73" ph="1">
        <f>AE6*20.428</f>
        <v>105612.76000000001</v>
      </c>
    </row>
    <row r="8" spans="1:99" ph="1">
      <c r="B8" s="171" ph="1"/>
      <c r="C8" s="68" t="s" ph="1">
        <v>179</v>
      </c>
      <c r="D8" s="74">
        <v>35</v>
      </c>
      <c r="E8" s="74">
        <v>27</v>
      </c>
      <c r="F8" s="74">
        <v>27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32</v>
      </c>
      <c r="P8" s="74">
        <v>27</v>
      </c>
      <c r="Q8" s="74">
        <v>32</v>
      </c>
      <c r="R8" s="74">
        <v>35</v>
      </c>
      <c r="S8" s="74">
        <v>26</v>
      </c>
      <c r="T8" s="74">
        <v>24</v>
      </c>
      <c r="U8" s="74">
        <v>27</v>
      </c>
      <c r="V8" s="74">
        <v>27</v>
      </c>
      <c r="W8" s="74">
        <v>26</v>
      </c>
      <c r="X8" s="74">
        <v>18</v>
      </c>
      <c r="Y8" s="74">
        <v>27</v>
      </c>
      <c r="Z8" s="74">
        <v>24</v>
      </c>
      <c r="AA8" s="74">
        <v>27</v>
      </c>
      <c r="AB8" s="74">
        <v>21</v>
      </c>
      <c r="AC8" s="74">
        <v>27</v>
      </c>
      <c r="AD8" s="74">
        <v>27</v>
      </c>
      <c r="AE8" s="74">
        <v>28</v>
      </c>
    </row>
    <row r="9" spans="1:99" ht="26.4" ph="1">
      <c r="B9" s="171" ph="1">
        <v>0.66666666666666663</v>
      </c>
      <c r="C9" s="144" t="s" ph="1">
        <v>180</v>
      </c>
      <c r="D9" s="71">
        <v>4051</v>
      </c>
      <c r="E9" s="71">
        <v>3444</v>
      </c>
      <c r="F9" s="71">
        <v>3187</v>
      </c>
      <c r="G9" s="71">
        <v>3541</v>
      </c>
      <c r="H9" s="71">
        <v>896</v>
      </c>
      <c r="I9" s="71">
        <v>4.51</v>
      </c>
      <c r="J9" s="71">
        <v>6.71</v>
      </c>
      <c r="K9" s="71">
        <v>64.23</v>
      </c>
      <c r="L9" s="71">
        <v>44.69</v>
      </c>
      <c r="M9" s="71">
        <v>2918</v>
      </c>
      <c r="N9" s="71">
        <v>800</v>
      </c>
      <c r="O9" s="71">
        <v>5307</v>
      </c>
      <c r="P9" s="71">
        <v>7847</v>
      </c>
      <c r="Q9" s="71">
        <v>7152</v>
      </c>
      <c r="R9" s="71">
        <v>7303</v>
      </c>
      <c r="S9" s="71">
        <v>5501</v>
      </c>
      <c r="T9" s="71">
        <v>7148</v>
      </c>
      <c r="U9" s="71">
        <v>7127</v>
      </c>
      <c r="V9" s="71">
        <v>6194</v>
      </c>
      <c r="W9" s="71">
        <v>2390</v>
      </c>
      <c r="X9" s="71">
        <v>6138</v>
      </c>
      <c r="Y9" s="71">
        <v>1889</v>
      </c>
      <c r="Z9" s="71">
        <v>1251</v>
      </c>
      <c r="AA9" s="71">
        <v>1122</v>
      </c>
      <c r="AB9" s="71">
        <v>421</v>
      </c>
      <c r="AC9" s="71">
        <v>8543</v>
      </c>
      <c r="AD9" s="71">
        <v>4730</v>
      </c>
      <c r="AE9" s="71">
        <v>5168</v>
      </c>
    </row>
    <row r="10" spans="1:99" s="72" customFormat="1" ht="22.2" ph="1">
      <c r="B10" s="171" ph="1"/>
      <c r="C10" s="144" t="s" ph="1">
        <v>178</v>
      </c>
      <c r="D10" s="73" ph="1">
        <f>D9*33.183*LOOKUP(D11,密度!$A$2:$A$50,密度!$Q$2:$Q$50)</f>
        <v>126264.77598690001</v>
      </c>
      <c r="E10" s="73" ph="1">
        <f>E9*51.53*LOOKUP(E11,密度!$A$2:$A$50,密度!$B$2:$B$50)</f>
        <v>137591.963796</v>
      </c>
      <c r="F10" s="73" ph="1">
        <f>F9*33.183*LOOKUP(F11,密度!$A$2:$A$50,密度!$C$2:$C$50)</f>
        <v>117027.6209586</v>
      </c>
      <c r="G10" s="73" ph="1">
        <f xml:space="preserve"> (G9+2)*51.53*LOOKUP(G11,密度!$A$2:$A$50,密度!$B$2:$B$50)</f>
        <v>141547.13348700001</v>
      </c>
      <c r="H10" s="73" ph="1">
        <f>(H9)*51.53*LOOKUP(H11,密度!$A$2:$A$50,密度!$B$2:$B$50)</f>
        <v>35676.238976000008</v>
      </c>
      <c r="I10" s="73" ph="1">
        <f>I9*290.8*1.0267</f>
        <v>1346.5252636</v>
      </c>
      <c r="J10" s="73" ph="1">
        <f>J9*290.8*0.7892</f>
        <v>1539.9407056</v>
      </c>
      <c r="K10" s="73" ph="1">
        <f>K9*290.8*1.1126</f>
        <v>20781.236258400004</v>
      </c>
      <c r="L10" s="73" ph="1">
        <f>L9*290.8*0.777</f>
        <v>10097.777004</v>
      </c>
      <c r="M10" s="73" ph="1">
        <f>M9*33.183*LOOKUP(M11,密度!$A$2:$A$50,密度!$D$2:$D$50)</f>
        <v>98706.45708360002</v>
      </c>
      <c r="N10" s="73" ph="1">
        <f>N9*33.183*LOOKUP(N11,密度!$A$2:$A$50,密度!$E$2:$E$50)</f>
        <v>20521.959984000001</v>
      </c>
      <c r="O10" s="73" ph="1">
        <f>O9*20.428*LOOKUP(O11,密度!$A$2:$A$50,密度!$C$2:$C$50)</f>
        <v>119122.4419248</v>
      </c>
      <c r="P10" s="73" ph="1">
        <f>P9*51.53*LOOKUP(P11,密度!$A$2:$A$50,密度!$B$2:$B$50)</f>
        <v>311354.05070000002</v>
      </c>
      <c r="Q10" s="73" ph="1">
        <f>Q9*1.5*1.5*3.1416*LOOKUP(W11,密度!$A$2:$A$50,密度!$L$2:$L$50)</f>
        <v>47218.021804800002</v>
      </c>
      <c r="R10" s="73" ph="1">
        <f>R9*1.5*1.5*3.1416*LOOKUP(R11,密度!$A$2:$A$50,密度!$L$2:$L$50)</f>
        <v>47801.958850800002</v>
      </c>
      <c r="S10" s="73" ph="1">
        <f>S9*1.5*1.5*3.1416*LOOKUP(S11,密度!$A$2:$A$50,密度!$L$2:$L$50)</f>
        <v>36318.000272400001</v>
      </c>
      <c r="T10" s="73" ph="1">
        <f>T9*1.5*1.5*3.1416*LOOKUP(T11,密度!$A$2:$A$50,密度!$L$2:$L$50)</f>
        <v>47292.666220800005</v>
      </c>
      <c r="U10" s="73" ph="1">
        <f>U9*1.5*1.5*3.1416*LOOKUP(U11,密度!$A$2:$A$50,密度!$L$2:$L$50)</f>
        <v>47103.347907000003</v>
      </c>
      <c r="V10" s="73" ph="1">
        <f>V9*1.5*1.5*3.1416*LOOKUP(V11,密度!$A$2:$A$50,密度!$L$2:$L$50)</f>
        <v>40893.2364456</v>
      </c>
      <c r="W10" s="73" ph="1">
        <f>W9*1.5*1.5*3.1416*LOOKUP(W11,密度!$A$2:$A$50,密度!$L$2:$L$50)</f>
        <v>15778.953035999999</v>
      </c>
      <c r="X10" s="73" ph="1">
        <f>X9*1.5*1.5*3.1416*LOOKUP(X11,密度!$A$2:$A$50,密度!$L$2:$L$50)</f>
        <v>40870.616925599999</v>
      </c>
      <c r="Y10" s="73" ph="1">
        <f>Y9*1.5*1.5*3.1416*LOOKUP(Y11,密度!$A$2:$A$50,密度!$L$2:$L$50)</f>
        <v>12484.667349000001</v>
      </c>
      <c r="Z10" s="73" ph="1">
        <f>Z9*33.183*LOOKUP(Z11,密度!$A$2:$A$50,密度!$L$2:$L$50)</f>
        <v>38855.169287999997</v>
      </c>
      <c r="AA10" s="73" ph="1">
        <f>AA9*33.183*LOOKUP(AA11,密度!$A$2:$A$50,密度!$D$2:$D$50)</f>
        <v>37920.105531000001</v>
      </c>
      <c r="AB10" s="73" ph="1">
        <f>AB9*20.428*LOOKUP(AB11,密度!$A$2:$A$50,密度!$D$2:$D$50)</f>
        <v>8789.3921360000004</v>
      </c>
      <c r="AC10" s="73" ph="1">
        <f>AC9*51.53*LOOKUP(AC11,密度!$A$2:$A$50,密度!$Q$2:$Q$50)</f>
        <v>414943.31223820004</v>
      </c>
      <c r="AD10" s="73" ph="1">
        <f>AD9*20.428*LOOKUP(AD11,密度!$A$2:$A$50,密度!$V$2:$V$50)</f>
        <v>92527.563743999999</v>
      </c>
      <c r="AE10" s="73" ph="1">
        <f>AE9*20.428</f>
        <v>105571.90400000001</v>
      </c>
    </row>
    <row r="11" spans="1:99" ph="1">
      <c r="A11" s="64" t="s" ph="1">
        <v>162</v>
      </c>
      <c r="B11" s="171" ph="1"/>
      <c r="C11" s="144" t="s" ph="1">
        <v>179</v>
      </c>
      <c r="D11" s="74">
        <v>36</v>
      </c>
      <c r="E11" s="74">
        <v>30</v>
      </c>
      <c r="F11" s="74">
        <v>28</v>
      </c>
      <c r="G11" s="74">
        <v>30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34</v>
      </c>
      <c r="O11" s="74">
        <v>36</v>
      </c>
      <c r="P11" s="74">
        <v>36</v>
      </c>
      <c r="Q11" s="74">
        <v>35</v>
      </c>
      <c r="R11" s="74">
        <v>36</v>
      </c>
      <c r="S11" s="74">
        <v>28</v>
      </c>
      <c r="T11" s="74">
        <v>26</v>
      </c>
      <c r="U11" s="74">
        <v>27</v>
      </c>
      <c r="V11" s="74">
        <v>28</v>
      </c>
      <c r="W11" s="74">
        <v>28</v>
      </c>
      <c r="X11" s="74">
        <v>20</v>
      </c>
      <c r="Y11" s="74">
        <v>27</v>
      </c>
      <c r="Z11" s="74">
        <v>26</v>
      </c>
      <c r="AA11" s="74">
        <v>34</v>
      </c>
      <c r="AB11" s="74">
        <v>30</v>
      </c>
      <c r="AC11" s="74">
        <v>31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179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4" t="s" ph="1">
        <v>177</v>
      </c>
      <c r="D15" s="78">
        <v>1971</v>
      </c>
      <c r="E15" s="78">
        <v>5125</v>
      </c>
      <c r="F15" s="78">
        <v>782</v>
      </c>
      <c r="G15" s="78">
        <v>3504</v>
      </c>
      <c r="H15" s="78">
        <v>3457</v>
      </c>
      <c r="I15" s="78">
        <v>5188</v>
      </c>
      <c r="J15" s="78">
        <v>295</v>
      </c>
      <c r="K15" s="78">
        <v>671</v>
      </c>
      <c r="L15" s="78">
        <v>4342</v>
      </c>
      <c r="M15" s="78">
        <v>6936</v>
      </c>
      <c r="N15" s="78">
        <v>1867</v>
      </c>
      <c r="O15" s="78">
        <v>1612</v>
      </c>
      <c r="P15" s="78">
        <v>2164</v>
      </c>
      <c r="Q15" s="78">
        <v>0</v>
      </c>
      <c r="R15" s="78">
        <v>0</v>
      </c>
      <c r="S15" s="78">
        <v>0</v>
      </c>
      <c r="T15" s="78">
        <v>1679</v>
      </c>
      <c r="U15" s="78">
        <v>5494</v>
      </c>
      <c r="V15" s="78">
        <v>-817</v>
      </c>
      <c r="W15" s="71">
        <v>-817</v>
      </c>
      <c r="X15" s="78">
        <v>818</v>
      </c>
      <c r="Y15" s="106">
        <v>-2367</v>
      </c>
      <c r="Z15" s="78">
        <v>0</v>
      </c>
      <c r="AA15" s="78">
        <v>2451</v>
      </c>
      <c r="AB15" s="78" ph="1">
        <v>0</v>
      </c>
      <c r="AC15" s="78" ph="1">
        <v>0</v>
      </c>
      <c r="AD15" s="78">
        <v>0</v>
      </c>
      <c r="AE15" s="78">
        <v>49.7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4" t="s" ph="1">
        <v>178</v>
      </c>
      <c r="D16" s="73" ph="1">
        <f>D15*7.0686*LOOKUP(D17,密度!$A$2:$A$50,密度!$L$2:$L$50)</f>
        <v>13026.616911000001</v>
      </c>
      <c r="E16" s="73" ph="1">
        <f>E15*7.0686*LOOKUP(E17,密度!$A$2:$A$50,密度!$L$2:$L$50)</f>
        <v>33871.847625000002</v>
      </c>
      <c r="F16" s="73" ph="1">
        <f>F15*9.0746*LOOKUP(F17,密度!$A$2:$A$50,密度!$L$2:$L$50)</f>
        <v>6620.8826076000005</v>
      </c>
      <c r="G16" s="73" ph="1">
        <f>G15*9.0746*LOOKUP(G17,密度!$A$2:$A$50,密度!$B$2:$B$50)</f>
        <v>24735.196215360003</v>
      </c>
      <c r="H16" s="73" ph="1">
        <f>H15*9.0746*LOOKUP(H17,密度!$A$2:$A$50,密度!$L$2:$L$50)</f>
        <v>29363.155099200005</v>
      </c>
      <c r="I16" s="73" ph="1">
        <f>I15*9.0746*LOOKUP(I17,密度!$A$2:$A$50,密度!$U$2:$U$50)</f>
        <v>48161.842370399994</v>
      </c>
      <c r="J16" s="73" ph="1">
        <f>J15*9.0746*LOOKUP(J17,密度!$A$2:$A$50,密度!$L$2:$L$50)</f>
        <v>2503.0015450000001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30682.269808839999</v>
      </c>
      <c r="M16" s="73" ph="1">
        <f>M15*9.0746*LOOKUP(M17,密度!$A$2:$A$50,密度!$M$2:$M$50)</f>
        <v>54752.746129440005</v>
      </c>
      <c r="N16" s="73" ph="1">
        <f>N15*9.0746*LOOKUP(N17,密度!$A$2:$A$50,密度!$M$2:$M$50)</f>
        <v>14809.245374620001</v>
      </c>
      <c r="O16" s="73" ph="1">
        <f>O15*9.0746*LOOKUP(O17,密度!$A$2:$A$50,密度!$G$2:$G$50)</f>
        <v>13983.149145679999</v>
      </c>
      <c r="P16" s="73" ph="1">
        <f ca="1">P15*9.0746*LOOKUP(P17,密度!$A$2:$A$51,密度!$Q$2:$Q$50)</f>
        <v>18536.363453192003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14108.770648400001</v>
      </c>
      <c r="U16" s="73" ph="1">
        <f>U15*9.0746*LOOKUP(U17,密度!$A$2:$A$50,密度!$H$2:$H$50)</f>
        <v>45563.263508360003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17319.724390019997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11631.1611216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27</v>
      </c>
      <c r="E17" s="74">
        <v>27</v>
      </c>
      <c r="F17" s="74">
        <v>29</v>
      </c>
      <c r="G17" s="74">
        <v>27</v>
      </c>
      <c r="H17" s="74">
        <v>26</v>
      </c>
      <c r="I17" s="74">
        <v>27</v>
      </c>
      <c r="J17" s="74">
        <v>27</v>
      </c>
      <c r="K17" s="74">
        <v>26</v>
      </c>
      <c r="L17" s="74">
        <v>29</v>
      </c>
      <c r="M17" s="74">
        <v>30</v>
      </c>
      <c r="N17" s="74">
        <v>26</v>
      </c>
      <c r="O17" s="74">
        <v>29</v>
      </c>
      <c r="P17" s="74">
        <v>29</v>
      </c>
      <c r="Q17" s="74">
        <v>27</v>
      </c>
      <c r="R17" s="74">
        <v>28</v>
      </c>
      <c r="S17" s="74">
        <v>27</v>
      </c>
      <c r="T17" s="74">
        <v>28</v>
      </c>
      <c r="U17" s="74">
        <v>26</v>
      </c>
      <c r="V17" s="74">
        <v>27</v>
      </c>
      <c r="W17" s="74">
        <v>30</v>
      </c>
      <c r="X17" s="74">
        <v>29</v>
      </c>
      <c r="Y17" s="108">
        <v>29</v>
      </c>
      <c r="Z17" s="74">
        <v>27</v>
      </c>
      <c r="AA17" s="74">
        <v>26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3271</v>
      </c>
      <c r="E18" s="71">
        <v>2909</v>
      </c>
      <c r="F18" s="71">
        <v>854</v>
      </c>
      <c r="G18" s="71">
        <v>3662</v>
      </c>
      <c r="H18" s="71">
        <v>3458</v>
      </c>
      <c r="I18" s="71">
        <v>5192</v>
      </c>
      <c r="J18" s="71">
        <v>313</v>
      </c>
      <c r="K18" s="71">
        <v>670</v>
      </c>
      <c r="L18" s="71">
        <v>4353</v>
      </c>
      <c r="M18" s="71">
        <v>4004</v>
      </c>
      <c r="N18" s="71">
        <v>3313</v>
      </c>
      <c r="O18" s="71">
        <v>1845</v>
      </c>
      <c r="P18" s="71">
        <v>456</v>
      </c>
      <c r="Q18" s="71">
        <v>0</v>
      </c>
      <c r="R18" s="71">
        <v>0</v>
      </c>
      <c r="S18" s="71">
        <v>0</v>
      </c>
      <c r="T18" s="71">
        <v>1213</v>
      </c>
      <c r="U18" s="71">
        <v>5492</v>
      </c>
      <c r="V18" s="71">
        <v>-817</v>
      </c>
      <c r="W18" s="71">
        <v>-817</v>
      </c>
      <c r="X18" s="71">
        <v>816</v>
      </c>
      <c r="Y18" s="109">
        <v>-9908</v>
      </c>
      <c r="Z18" s="71">
        <v>0</v>
      </c>
      <c r="AA18" s="71">
        <v>2452</v>
      </c>
      <c r="AB18" s="71">
        <v>0</v>
      </c>
      <c r="AC18" s="71">
        <v>0</v>
      </c>
      <c r="AD18" s="71">
        <v>4.08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4" t="s" ph="1">
        <v>178</v>
      </c>
      <c r="D19" s="73" ph="1">
        <f>D18*7.0686*LOOKUP(D20,密度!$A$2:$A$50,密度!$L$2:$L$50)</f>
        <v>21248.557961399998</v>
      </c>
      <c r="E19" s="73" ph="1">
        <f>E18*7.0686*LOOKUP(E20,密度!$A$2:$A$50,密度!$L$2:$L$50)</f>
        <v>18896.990250600003</v>
      </c>
      <c r="F19" s="73" ph="1">
        <f>F18*9.0746*LOOKUP(F20,密度!$A$2:$A$50,密度!$L$2:$L$50)</f>
        <v>7176.2299784000006</v>
      </c>
      <c r="G19" s="73" ph="1">
        <f>G18*9.0746*LOOKUP(G20,密度!$A$2:$A$50,密度!$B$2:$B$50)</f>
        <v>25794.045952240001</v>
      </c>
      <c r="H19" s="73" ph="1">
        <f>H18*9.0746*LOOKUP(H20,密度!$A$2:$A$50,密度!$L$2:$L$50)</f>
        <v>29371.648924800003</v>
      </c>
      <c r="I19" s="73" ph="1">
        <f>I18*9.0746*LOOKUP(I20,密度!$A$2:$A$50,密度!$U$2:$U$50)</f>
        <v>47869.168371200001</v>
      </c>
      <c r="J19" s="73" ph="1">
        <f>J18*9.0746*LOOKUP(J20,密度!$A$2:$A$50,密度!$L$2:$L$50)</f>
        <v>2635.8446144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30716.54820288</v>
      </c>
      <c r="M19" s="73" ph="1">
        <f>M18*9.0746*LOOKUP(M20,密度!$A$2:$A$50,密度!$M$2:$M$50)</f>
        <v>31455.675098848002</v>
      </c>
      <c r="N19" s="73" ph="1">
        <f>N18*9.0746*LOOKUP(N20,密度!$A$2:$A$50,密度!$M$2:$M$50)</f>
        <v>26185.874475799999</v>
      </c>
      <c r="O19" s="73" ph="1">
        <f>O18*9.0746*LOOKUP(O20,密度!$A$2:$A$50,密度!$G$2:$G$50)</f>
        <v>15984.195543899999</v>
      </c>
      <c r="P19" s="73" ph="1">
        <f ca="1">P18*9.0746*LOOKUP(P20,密度!$A$2:$A$51,密度!$Q$2:$Q$50)</f>
        <v>3876.5776480320001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10148.905595599999</v>
      </c>
      <c r="U19" s="73" ph="1">
        <f>U18*9.0746*LOOKUP(U20,密度!$A$2:$A$50,密度!$H$2:$H$50)</f>
        <v>45352.309912000004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13430.749635199998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17271.16348304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2068.5405888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43</v>
      </c>
      <c r="E20" s="81">
        <v>43</v>
      </c>
      <c r="F20" s="81">
        <v>36</v>
      </c>
      <c r="G20" s="81">
        <v>29</v>
      </c>
      <c r="H20" s="81">
        <v>26</v>
      </c>
      <c r="I20" s="81">
        <v>34</v>
      </c>
      <c r="J20" s="81">
        <v>34</v>
      </c>
      <c r="K20" s="81">
        <v>30</v>
      </c>
      <c r="L20" s="81">
        <v>30</v>
      </c>
      <c r="M20" s="81">
        <v>34</v>
      </c>
      <c r="N20" s="81">
        <v>29</v>
      </c>
      <c r="O20" s="81">
        <v>30</v>
      </c>
      <c r="P20" s="81">
        <v>45</v>
      </c>
      <c r="Q20" s="81">
        <v>43</v>
      </c>
      <c r="R20" s="81">
        <v>46</v>
      </c>
      <c r="S20" s="81">
        <v>40</v>
      </c>
      <c r="T20" s="81">
        <v>47</v>
      </c>
      <c r="U20" s="81">
        <v>30</v>
      </c>
      <c r="V20" s="81">
        <v>34</v>
      </c>
      <c r="W20" s="81">
        <v>34</v>
      </c>
      <c r="X20" s="81">
        <v>32</v>
      </c>
      <c r="Y20" s="110">
        <v>32</v>
      </c>
      <c r="Z20" s="81">
        <v>45</v>
      </c>
      <c r="AA20" s="81">
        <v>29</v>
      </c>
      <c r="AB20" s="81">
        <v>41</v>
      </c>
      <c r="AC20" s="81">
        <v>39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4" t="s" ph="1">
        <v>177</v>
      </c>
      <c r="D24" s="71">
        <v>3.68</v>
      </c>
      <c r="E24" s="71">
        <v>68.319999999999993</v>
      </c>
      <c r="F24" s="71">
        <v>3543</v>
      </c>
      <c r="G24" s="71">
        <v>3883</v>
      </c>
      <c r="H24" s="71">
        <v>2231</v>
      </c>
      <c r="I24" s="71">
        <v>2058</v>
      </c>
      <c r="J24" s="71">
        <v>318</v>
      </c>
      <c r="K24" s="71">
        <v>328</v>
      </c>
      <c r="L24" s="71">
        <v>301</v>
      </c>
      <c r="M24" s="71">
        <v>2767</v>
      </c>
      <c r="N24" s="71">
        <v>324</v>
      </c>
      <c r="O24" s="71">
        <v>5392</v>
      </c>
      <c r="P24" s="71">
        <v>2041</v>
      </c>
      <c r="Q24" s="90">
        <v>1842</v>
      </c>
      <c r="R24" s="71">
        <v>6229</v>
      </c>
      <c r="S24" s="71">
        <v>3438</v>
      </c>
      <c r="T24" s="71">
        <v>615</v>
      </c>
      <c r="U24" s="71">
        <v>6282</v>
      </c>
      <c r="V24" s="71">
        <v>736</v>
      </c>
      <c r="W24" s="71">
        <v>431</v>
      </c>
      <c r="X24" s="71">
        <v>3376</v>
      </c>
      <c r="Y24" s="71">
        <v>5377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2418.6768197760002</v>
      </c>
      <c r="E25" s="91" ph="1">
        <f>E24*268.68*LOOKUP(E26,密度!$A$2:$A$50,密度!$C$2:$C$50)+IF(E24&lt;=0,0,1566*LOOKUP(E26,密度!$A$2:$A$50,密度!$C$2:$C$50))</f>
        <v>22091.74709664</v>
      </c>
      <c r="F25" s="91" ph="1">
        <f>F24*11.702*LOOKUP(F26,密度!$A$2:$A$50,密度!$Q$2:$Q$50)</f>
        <v>39193.143029520004</v>
      </c>
      <c r="G25" s="91" ph="1">
        <f>G24*18.322*LOOKUP(G26,密度!$A$2:$A$50,密度!$B$2:$B$50)</f>
        <v>55400.086656199994</v>
      </c>
      <c r="H25" s="91" ph="1">
        <f>H24*18.322*LOOKUP(H26,密度!$A$2:$A$50,密度!$B$2:$B$50)</f>
        <v>31904.016150999996</v>
      </c>
      <c r="I25" s="91" ph="1">
        <f>I24*18.322*LOOKUP(I26,密度!$A$2:$A$50,密度!$Q$2:$Q$50)</f>
        <v>35698.418436239997</v>
      </c>
      <c r="J25" s="91" ph="1">
        <f>J24*18.322*LOOKUP(J26,密度!$A$2:$A$50,密度!$Q$2:$Q$50)</f>
        <v>5511.9454078799999</v>
      </c>
      <c r="K25" s="91" ph="1">
        <f>K24*18.322*LOOKUP(K26,密度!$A$2:$A$50,密度!$Q$2:$Q$50)</f>
        <v>5689.5438518400006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47960.85831322</v>
      </c>
      <c r="N25" s="91" ph="1">
        <f>N24*18.322*LOOKUP(N26,密度!$A$2:$A$50,密度!$Q$2:$Q$50)</f>
        <v>5620.1591707199996</v>
      </c>
      <c r="O25" s="91" ph="1">
        <f>O24*18.322*LOOKUP(O26,密度!$A$2:$A$50,密度!$C$2:$C$50)</f>
        <v>109619.85175039999</v>
      </c>
      <c r="P25" s="91" ph="1">
        <f>P24*11.702*LOOKUP(P26,密度!$A$2:$A$50,密度!$B$2:$B$50)</f>
        <v>18579.1940178</v>
      </c>
      <c r="Q25" s="92" ph="1">
        <f>Q24*18.322*LOOKUP(Q26,密度!$A$2:$A$50,密度!$B$2:$B$50)</f>
        <v>26253.443559599997</v>
      </c>
      <c r="R25" s="91" ph="1">
        <f>R24*35.891*LOOKUP(R26,密度!$A$2:$A$50,密度!$C$2:$C$50)</f>
        <v>247732.4197159</v>
      </c>
      <c r="S25" s="91" ph="1">
        <f>S24*35.891*LOOKUP(S26,密度!$A$2:$A$50,密度!$B$2:$B$50)</f>
        <v>96086.330004599979</v>
      </c>
      <c r="T25" s="91" ph="1">
        <f>T24*35.891*LOOKUP(T26,密度!$A$2:$A$50,密度!$Q$2:$Q$50)</f>
        <v>20866.0152738</v>
      </c>
      <c r="U25" s="91" ph="1">
        <f>U24*35.891</f>
        <v>225467.26199999999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15775.0193199</v>
      </c>
      <c r="X25" s="91" ph="1">
        <f>X24*47.051*LOOKUP(X26,密度!$A$2:$A$61,密度!$I$2:$I$61)</f>
        <v>164848.48585280002</v>
      </c>
      <c r="Y25" s="91" ph="1">
        <f>Y24*47.051*LOOKUP(Y26,密度!$A$2:$A$50,密度!$L$2:$L$50)</f>
        <v>236295.67401800002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24</v>
      </c>
      <c r="I26" s="74">
        <v>25</v>
      </c>
      <c r="J26" s="74">
        <v>26</v>
      </c>
      <c r="K26" s="74">
        <v>25</v>
      </c>
      <c r="L26" s="74">
        <v>25</v>
      </c>
      <c r="M26" s="74">
        <v>26</v>
      </c>
      <c r="N26" s="74">
        <v>25</v>
      </c>
      <c r="O26" s="74">
        <v>24</v>
      </c>
      <c r="P26" s="74">
        <v>27</v>
      </c>
      <c r="Q26" s="93">
        <v>27</v>
      </c>
      <c r="R26" s="74">
        <v>26</v>
      </c>
      <c r="S26" s="74">
        <v>26</v>
      </c>
      <c r="T26" s="74">
        <v>27</v>
      </c>
      <c r="U26" s="74">
        <v>26</v>
      </c>
      <c r="V26" s="74">
        <v>25</v>
      </c>
      <c r="W26" s="74">
        <v>27</v>
      </c>
      <c r="X26" s="74">
        <v>29</v>
      </c>
      <c r="Y26" s="74">
        <v>28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4" t="s" ph="1">
        <v>180</v>
      </c>
      <c r="D27" s="71">
        <v>3.68</v>
      </c>
      <c r="E27" s="71">
        <v>68.16</v>
      </c>
      <c r="F27" s="71">
        <v>3546</v>
      </c>
      <c r="G27" s="71">
        <v>3783</v>
      </c>
      <c r="H27" s="71">
        <v>1974</v>
      </c>
      <c r="I27" s="71">
        <v>1647</v>
      </c>
      <c r="J27" s="71">
        <v>311</v>
      </c>
      <c r="K27" s="71">
        <v>325</v>
      </c>
      <c r="L27" s="71">
        <v>1452</v>
      </c>
      <c r="M27" s="71">
        <v>2180</v>
      </c>
      <c r="N27" s="71">
        <v>319</v>
      </c>
      <c r="O27" s="71">
        <v>5388</v>
      </c>
      <c r="P27" s="71">
        <v>2039</v>
      </c>
      <c r="Q27" s="90">
        <v>2361</v>
      </c>
      <c r="R27" s="71">
        <v>6226</v>
      </c>
      <c r="S27" s="71">
        <v>3063</v>
      </c>
      <c r="T27" s="71">
        <v>616</v>
      </c>
      <c r="U27" s="71">
        <v>6041</v>
      </c>
      <c r="V27" s="71">
        <v>730</v>
      </c>
      <c r="W27" s="71">
        <v>429</v>
      </c>
      <c r="X27" s="71">
        <v>3375</v>
      </c>
      <c r="Y27" s="71">
        <v>5372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4" t="s" ph="1">
        <v>178</v>
      </c>
      <c r="D28" s="91" ph="1">
        <f>D27*268.68*LOOKUP(D29,密度!$A$2:$A$50,密度!$Q$2:$Q$50)+IF(D27&lt;=0,0,1566*LOOKUP(D29,密度!$A$2:$A$50,密度!$Q$2:$Q$50))</f>
        <v>2418.6768197760002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39112.632333360001</v>
      </c>
      <c r="G28" s="91" ph="1">
        <f>G27*18.322*LOOKUP(G29,密度!$A$2:$A$50,密度!$B$2:$B$50)</f>
        <v>53675.310374400004</v>
      </c>
      <c r="H28" s="91" ph="1">
        <f>H27*18.322*LOOKUP(H29,密度!$A$2:$A$50,密度!$B$2:$B$50)</f>
        <v>28073.312853599997</v>
      </c>
      <c r="I28" s="91" ph="1">
        <f>I27*18.322*LOOKUP(I29,密度!$A$2:$A$50,密度!$Q$2:$Q$50)</f>
        <v>28466.241152219998</v>
      </c>
      <c r="J28" s="91" ph="1">
        <f>J27*18.322*LOOKUP(J29,密度!$A$2:$A$50,密度!$Q$2:$Q$50)</f>
        <v>5359.6153837800002</v>
      </c>
      <c r="K28" s="91" ph="1">
        <f>K27*18.322*LOOKUP(K29,密度!$A$2:$A$50,密度!$Q$2:$Q$50)</f>
        <v>5612.7339969999994</v>
      </c>
      <c r="L28" s="91" ph="1">
        <f>L27*18.322*LOOKUP(L29,密度!$A$2:$A$50,密度!$Q$2:$Q$50)</f>
        <v>25095.921161519997</v>
      </c>
      <c r="M28" s="91" ph="1">
        <f>M27*18.322*LOOKUP(M29,密度!$A$2:$A$50,密度!$Q$2:$Q$50)</f>
        <v>37517.483028000002</v>
      </c>
      <c r="N28" s="91" ph="1">
        <f>N27*18.322*LOOKUP(N29,密度!$A$2:$A$50,密度!$Q$2:$Q$50)</f>
        <v>5509.1142924400001</v>
      </c>
      <c r="O28" s="91" ph="1">
        <f>O27*18.322*LOOKUP(O29,密度!$A$2:$A$50,密度!$C$2:$C$50)</f>
        <v>109094.2961736</v>
      </c>
      <c r="P28" s="91" ph="1">
        <f>P27*11.702*LOOKUP(P29,密度!$A$2:$A$50,密度!$B$2:$B$50)</f>
        <v>18456.002382999999</v>
      </c>
      <c r="Q28" s="92" ph="1">
        <f>Q27*18.322*LOOKUP(Q29,密度!$A$2:$A$50,密度!$B$2:$B$50)</f>
        <v>33499.1826048</v>
      </c>
      <c r="R28" s="91" ph="1">
        <f>R27*35.891*LOOKUP(R29,密度!$A$2:$A$50,密度!$C$2:$C$50)</f>
        <v>246250.01733199999</v>
      </c>
      <c r="S28" s="91" ph="1">
        <f>S27*35.891*LOOKUP(S29,密度!$A$2:$A$50,密度!$B$2:$B$50)</f>
        <v>85132.992595200005</v>
      </c>
      <c r="T28" s="91" ph="1">
        <f>T27*35.891*LOOKUP(T29,密度!$A$2:$A$50,密度!$Q$2:$Q$50)</f>
        <v>20809.960709999999</v>
      </c>
      <c r="U28" s="91" ph="1">
        <f>U27*35.891</f>
        <v>216817.53099999999</v>
      </c>
      <c r="V28" s="91" ph="1">
        <f>V27*47.051*LOOKUP(V29,密度!$A$2:$A$50,密度!$B$2:$B$50)</f>
        <v>26509.192114000005</v>
      </c>
      <c r="W28" s="91" ph="1">
        <f>W27*47.051*LOOKUP(W29,密度!$A$2:$A$50,密度!$B$2:$B$50)</f>
        <v>15596.856003300001</v>
      </c>
      <c r="X28" s="91" ph="1">
        <f>X27*47.051*LOOKUP(X29,密度!$A$2:$A$61,密度!$I$2:$I$61)</f>
        <v>163561.03875000001</v>
      </c>
      <c r="Y28" s="91" ph="1">
        <f>Y27*47.051*LOOKUP(Y29,密度!$A$2:$A$50,密度!$L$2:$L$50)</f>
        <v>234812.15598800001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4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29</v>
      </c>
      <c r="I29" s="74">
        <v>30</v>
      </c>
      <c r="J29" s="74">
        <v>34</v>
      </c>
      <c r="K29" s="74">
        <v>31</v>
      </c>
      <c r="L29" s="74">
        <v>30</v>
      </c>
      <c r="M29" s="74">
        <v>36</v>
      </c>
      <c r="N29" s="74">
        <v>31</v>
      </c>
      <c r="O29" s="74">
        <v>30</v>
      </c>
      <c r="P29" s="74">
        <v>32</v>
      </c>
      <c r="Q29" s="93">
        <v>31</v>
      </c>
      <c r="R29" s="74">
        <v>33</v>
      </c>
      <c r="S29" s="74">
        <v>31</v>
      </c>
      <c r="T29" s="74">
        <v>33</v>
      </c>
      <c r="U29" s="74">
        <v>34</v>
      </c>
      <c r="V29" s="74">
        <v>34</v>
      </c>
      <c r="W29" s="74">
        <v>33</v>
      </c>
      <c r="X29" s="74">
        <v>36</v>
      </c>
      <c r="Y29" s="74">
        <v>33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46709.497667000003</v>
      </c>
      <c r="E33" s="193" ph="1">
        <f>M10+I10</f>
        <v>100052.98234720001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197" ph="1">
        <f>N19</f>
        <v>26185.874475799999</v>
      </c>
      <c r="H33" s="193" ph="1">
        <f>M19</f>
        <v>31455.675098848002</v>
      </c>
      <c r="I33" s="206" ph="1">
        <v>0</v>
      </c>
      <c r="J33" s="204" ph="1">
        <f>F10+O28</f>
        <v>226121.9171322</v>
      </c>
      <c r="K33" s="193" ph="1">
        <f>O10+K10+E28+R28</f>
        <v>408197.77233151998</v>
      </c>
      <c r="L33" s="208" ph="1">
        <f>K19</f>
        <v>6718.9881082000002</v>
      </c>
      <c r="M33" s="204" ph="1">
        <f>G10+H10+W28+S28+V28+E10+R19+P28+Q28</f>
        <v>494009.56195929996</v>
      </c>
      <c r="N33" s="193" ph="1">
        <f>L10+P10++G28+H28+AD19+AE19</f>
        <v>424120.09901000001</v>
      </c>
      <c r="O33" s="206" ph="1">
        <f>G19</f>
        <v>25794.045952240001</v>
      </c>
      <c r="P33" s="204" ph="1">
        <f>L19</f>
        <v>30716.54820288</v>
      </c>
      <c r="Q33" s="193" ph="1">
        <f>J10+N10</f>
        <v>22061.900689599999</v>
      </c>
      <c r="R33" s="206" ph="1">
        <f>BE23</f>
        <v>890</v>
      </c>
      <c r="S33" s="204" ph="1">
        <f>X28</f>
        <v>163561.03875000001</v>
      </c>
      <c r="T33" s="193" ph="1">
        <f>X19</f>
        <v>13430.749635199998</v>
      </c>
      <c r="U33" s="214" ph="1">
        <f>BE21</f>
        <v>730</v>
      </c>
      <c r="V33" s="225" ph="1">
        <f ca="1">P19+Q19+S19+M28+N28+J28+D10+AC10+D19+E19+H19+J19+O19+V19+W19+K28+L28</f>
        <v>712316.77103097201</v>
      </c>
      <c r="W33" s="225" ph="1">
        <f>D28+F28+T28+I28</f>
        <v>90807.511015355994</v>
      </c>
      <c r="X33" s="206" ph="1">
        <f>BE29+BE31</f>
        <v>10200</v>
      </c>
      <c r="Y33" s="227" ph="1">
        <f>+Q10+R10+S10+T10+U10+V10+W10+X10+Y10</f>
        <v>335761.46881200001</v>
      </c>
      <c r="Z33" s="212" ph="1">
        <f>T19+U19+Y28+Z10</f>
        <v>329168.54078360001</v>
      </c>
      <c r="AA33" s="214" ph="1">
        <f>BE19</f>
        <v>1440</v>
      </c>
      <c r="AB33" s="216" ph="1">
        <f>I19</f>
        <v>47869.168371200001</v>
      </c>
      <c r="AC33" s="218" ph="1">
        <f>AD10+AB19</f>
        <v>92527.563743999999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6" t="s" ph="1">
        <v>185</v>
      </c>
      <c r="AA36" s="146" ph="1"/>
      <c r="AB36" s="211" t="s" ph="1">
        <v>639</v>
      </c>
      <c r="AC36" s="211" ph="1"/>
      <c r="AD36" s="211" ph="1"/>
      <c r="AE36" s="211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342</v>
      </c>
      <c r="AI37" s="146" t="s" ph="1">
        <v>209</v>
      </c>
      <c r="AJ37" s="146" t="s" ph="1">
        <v>210</v>
      </c>
      <c r="AK37" s="146" t="s" ph="1">
        <v>211</v>
      </c>
      <c r="AM37" s="146" t="s" ph="1">
        <v>210</v>
      </c>
      <c r="AN37" s="146" t="s" ph="1">
        <v>211</v>
      </c>
      <c r="AO37" s="146" t="s" ph="1">
        <v>212</v>
      </c>
      <c r="AP37" s="146" t="s" ph="1">
        <v>210</v>
      </c>
      <c r="AQ37" s="146" t="s" ph="1">
        <v>211</v>
      </c>
      <c r="AR37" s="146" t="s" ph="1">
        <v>212</v>
      </c>
      <c r="AS37" s="146" t="s" ph="1">
        <v>210</v>
      </c>
      <c r="AT37" s="146" t="s" ph="1">
        <v>211</v>
      </c>
      <c r="AU37" s="146" t="s" ph="1">
        <v>212</v>
      </c>
      <c r="AV37" s="146" t="s" ph="1">
        <v>210</v>
      </c>
      <c r="AW37" s="146" t="s" ph="1">
        <v>211</v>
      </c>
      <c r="AX37" s="146" t="s" ph="1">
        <v>212</v>
      </c>
      <c r="AY37" s="146" t="s" ph="1">
        <v>211</v>
      </c>
      <c r="AZ37" s="146" t="s" ph="1">
        <v>213</v>
      </c>
      <c r="BD37" s="146" t="s" ph="1">
        <v>305</v>
      </c>
      <c r="BE37" s="14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97" priority="103">
      <formula>ABS(D$7-D$10)&gt;=1000</formula>
    </cfRule>
  </conditionalFormatting>
  <conditionalFormatting sqref="E4 E6:E11">
    <cfRule type="expression" dxfId="796" priority="102">
      <formula>ABS(E$7-E$10)&gt;=1000</formula>
    </cfRule>
  </conditionalFormatting>
  <conditionalFormatting sqref="F4:F11">
    <cfRule type="expression" dxfId="795" priority="101">
      <formula>ABS(F$7-F$10)&gt;=1000</formula>
    </cfRule>
  </conditionalFormatting>
  <conditionalFormatting sqref="G4:G11">
    <cfRule type="expression" dxfId="794" priority="100">
      <formula>ABS(G$7-G$10)&gt;=1000</formula>
    </cfRule>
  </conditionalFormatting>
  <conditionalFormatting sqref="H4:H11">
    <cfRule type="expression" dxfId="793" priority="99">
      <formula>ABS(H$7-H$10)&gt;=1000</formula>
    </cfRule>
  </conditionalFormatting>
  <conditionalFormatting sqref="I4:I11">
    <cfRule type="expression" dxfId="792" priority="98">
      <formula>ABS(I$7-I$10)&gt;=1000</formula>
    </cfRule>
  </conditionalFormatting>
  <conditionalFormatting sqref="J4:J11">
    <cfRule type="expression" dxfId="791" priority="97">
      <formula>ABS(J$7-J$10)&gt;=1000</formula>
    </cfRule>
  </conditionalFormatting>
  <conditionalFormatting sqref="K4:K11">
    <cfRule type="expression" dxfId="790" priority="96">
      <formula>ABS(K$7-K$10)&gt;=1000</formula>
    </cfRule>
  </conditionalFormatting>
  <conditionalFormatting sqref="L4:L11">
    <cfRule type="expression" dxfId="789" priority="95">
      <formula>ABS(L$7-L$10)&gt;=1000</formula>
    </cfRule>
  </conditionalFormatting>
  <conditionalFormatting sqref="M4 M6:M11">
    <cfRule type="expression" dxfId="788" priority="94">
      <formula>ABS(M$7-M$10)&gt;=1000</formula>
    </cfRule>
  </conditionalFormatting>
  <conditionalFormatting sqref="N4 N6:N11">
    <cfRule type="expression" dxfId="787" priority="93">
      <formula>ABS(N$7-N$10)&gt;=1000</formula>
    </cfRule>
  </conditionalFormatting>
  <conditionalFormatting sqref="O4 O6:O11">
    <cfRule type="expression" dxfId="786" priority="92">
      <formula>ABS(O$7-O$10)&gt;=1000</formula>
    </cfRule>
  </conditionalFormatting>
  <conditionalFormatting sqref="P4 P6:P11">
    <cfRule type="expression" dxfId="785" priority="91">
      <formula>ABS(P$7-P$10)&gt;=1000</formula>
    </cfRule>
  </conditionalFormatting>
  <conditionalFormatting sqref="Q4:Q11">
    <cfRule type="expression" dxfId="784" priority="90">
      <formula>ABS(Q$7-Q$10)&gt;=1000</formula>
    </cfRule>
  </conditionalFormatting>
  <conditionalFormatting sqref="R4:R11">
    <cfRule type="expression" dxfId="783" priority="89">
      <formula>ABS(R$7-R$10)&gt;=1000</formula>
    </cfRule>
  </conditionalFormatting>
  <conditionalFormatting sqref="S4:S11">
    <cfRule type="expression" dxfId="782" priority="88">
      <formula>ABS(S$7-S$10)&gt;=1000</formula>
    </cfRule>
  </conditionalFormatting>
  <conditionalFormatting sqref="T4:T9 T11">
    <cfRule type="expression" dxfId="781" priority="87">
      <formula>ABS(T$7-T$10)&gt;=1000</formula>
    </cfRule>
  </conditionalFormatting>
  <conditionalFormatting sqref="U4:U9 U11">
    <cfRule type="expression" dxfId="780" priority="86">
      <formula>ABS(U$7-U$10)&gt;=1000</formula>
    </cfRule>
  </conditionalFormatting>
  <conditionalFormatting sqref="V4:V9 V11">
    <cfRule type="expression" dxfId="779" priority="85">
      <formula>ABS(V$7-V$10)&gt;=1000</formula>
    </cfRule>
  </conditionalFormatting>
  <conditionalFormatting sqref="W4:W9 W11">
    <cfRule type="expression" dxfId="778" priority="84">
      <formula>ABS(W$7-W$10)&gt;=1000</formula>
    </cfRule>
  </conditionalFormatting>
  <conditionalFormatting sqref="X4:X9 X11">
    <cfRule type="expression" dxfId="777" priority="83">
      <formula>ABS(X$7-X$10)&gt;=1000</formula>
    </cfRule>
  </conditionalFormatting>
  <conditionalFormatting sqref="Y4:Y9 Y11">
    <cfRule type="expression" dxfId="776" priority="82">
      <formula>ABS(Y$7-Y$10)&gt;=1000</formula>
    </cfRule>
  </conditionalFormatting>
  <conditionalFormatting sqref="Z4:Z11">
    <cfRule type="expression" dxfId="775" priority="81">
      <formula>ABS(Z$7-Z$10)&gt;=1000</formula>
    </cfRule>
  </conditionalFormatting>
  <conditionalFormatting sqref="AA4:AA11">
    <cfRule type="expression" dxfId="774" priority="80">
      <formula>ABS(AA$7-AA$10)&gt;=1000</formula>
    </cfRule>
  </conditionalFormatting>
  <conditionalFormatting sqref="AB4:AB11">
    <cfRule type="expression" dxfId="773" priority="79">
      <formula>ABS(AB$7-AB$10)&gt;=1000</formula>
    </cfRule>
  </conditionalFormatting>
  <conditionalFormatting sqref="AC4 AC6:AC11">
    <cfRule type="expression" dxfId="772" priority="78">
      <formula>ABS(AC$7-AC$10)&gt;=1000</formula>
    </cfRule>
  </conditionalFormatting>
  <conditionalFormatting sqref="AD4 AD6:AD11">
    <cfRule type="expression" dxfId="771" priority="77">
      <formula>ABS(AD$7-AD$10)&gt;=1000</formula>
    </cfRule>
  </conditionalFormatting>
  <conditionalFormatting sqref="AE4 AE6:AE11">
    <cfRule type="expression" dxfId="770" priority="76">
      <formula>ABS(AE$7-AE$10)&gt;=1000</formula>
    </cfRule>
  </conditionalFormatting>
  <conditionalFormatting sqref="D13:D20">
    <cfRule type="expression" dxfId="769" priority="75">
      <formula>ABS(D$16-D$19)&gt;=1000</formula>
    </cfRule>
  </conditionalFormatting>
  <conditionalFormatting sqref="E13:E20">
    <cfRule type="expression" dxfId="768" priority="74">
      <formula>ABS(E$16-E$19)&gt;=1000</formula>
    </cfRule>
  </conditionalFormatting>
  <conditionalFormatting sqref="F13 F15:F20">
    <cfRule type="expression" dxfId="767" priority="73">
      <formula>ABS(F$16-F$19)&gt;=1000</formula>
    </cfRule>
  </conditionalFormatting>
  <conditionalFormatting sqref="G13:G20">
    <cfRule type="expression" dxfId="766" priority="72">
      <formula>ABS(G$16-G$19)&gt;=1000</formula>
    </cfRule>
  </conditionalFormatting>
  <conditionalFormatting sqref="H13 H15:H20">
    <cfRule type="expression" dxfId="765" priority="71">
      <formula>ABS(H$16-H$19)&gt;=1000</formula>
    </cfRule>
  </conditionalFormatting>
  <conditionalFormatting sqref="I13:I20">
    <cfRule type="expression" dxfId="764" priority="70">
      <formula>ABS(I$16-I$19)&gt;=1000</formula>
    </cfRule>
  </conditionalFormatting>
  <conditionalFormatting sqref="J13:J20">
    <cfRule type="expression" dxfId="763" priority="69">
      <formula>ABS(J$16-J$19)&gt;=1000</formula>
    </cfRule>
  </conditionalFormatting>
  <conditionalFormatting sqref="L13:L20">
    <cfRule type="expression" dxfId="762" priority="68">
      <formula>ABS(L$16-L$19)&gt;=1000</formula>
    </cfRule>
  </conditionalFormatting>
  <conditionalFormatting sqref="M13 M15 M17:M18 M20">
    <cfRule type="expression" dxfId="761" priority="67">
      <formula>ABS(M$16-M$19)&gt;=1000</formula>
    </cfRule>
  </conditionalFormatting>
  <conditionalFormatting sqref="N13:N20">
    <cfRule type="expression" dxfId="760" priority="66">
      <formula>ABS(N$16-N$19)&gt;=1000</formula>
    </cfRule>
  </conditionalFormatting>
  <conditionalFormatting sqref="O13:O20">
    <cfRule type="expression" dxfId="759" priority="65">
      <formula>ABS(O$16-O$19)&gt;=1000</formula>
    </cfRule>
  </conditionalFormatting>
  <conditionalFormatting sqref="P13:P20">
    <cfRule type="expression" dxfId="758" priority="64">
      <formula>ABS(P$16-P$19)&gt;=1000</formula>
    </cfRule>
  </conditionalFormatting>
  <conditionalFormatting sqref="Q13 Q15:Q20">
    <cfRule type="expression" dxfId="757" priority="63">
      <formula>ABS(Q$16-Q$19)&gt;=1000</formula>
    </cfRule>
  </conditionalFormatting>
  <conditionalFormatting sqref="R13 R15:R20">
    <cfRule type="expression" dxfId="756" priority="62">
      <formula>ABS(R$16-R$19)&gt;=1000</formula>
    </cfRule>
  </conditionalFormatting>
  <conditionalFormatting sqref="S13:S20">
    <cfRule type="expression" dxfId="755" priority="61">
      <formula>ABS(S$16-S$19)&gt;=1000</formula>
    </cfRule>
  </conditionalFormatting>
  <conditionalFormatting sqref="T13:T15 T17:T20">
    <cfRule type="expression" dxfId="754" priority="60">
      <formula>ABS(T$16-T$19)&gt;=1000</formula>
    </cfRule>
  </conditionalFormatting>
  <conditionalFormatting sqref="U13:U20">
    <cfRule type="expression" dxfId="753" priority="59">
      <formula>ABS(U$16-U$19)&gt;=1000</formula>
    </cfRule>
  </conditionalFormatting>
  <conditionalFormatting sqref="V13:V20">
    <cfRule type="expression" dxfId="752" priority="58">
      <formula>ABS(V$16-V$19)&gt;=1000</formula>
    </cfRule>
  </conditionalFormatting>
  <conditionalFormatting sqref="W13 W20 W15:W18">
    <cfRule type="expression" dxfId="751" priority="57">
      <formula>ABS(W$16-W$19)&gt;=1000</formula>
    </cfRule>
  </conditionalFormatting>
  <conditionalFormatting sqref="X13 X15:X20 Y19">
    <cfRule type="expression" dxfId="750" priority="56">
      <formula>ABS(X$16-X$19)&gt;=1000</formula>
    </cfRule>
  </conditionalFormatting>
  <conditionalFormatting sqref="Y13 Y15:Y18 Y20">
    <cfRule type="expression" dxfId="749" priority="55">
      <formula>ABS(Y$16-Y$19)&gt;=1000</formula>
    </cfRule>
  </conditionalFormatting>
  <conditionalFormatting sqref="Z13:Z20">
    <cfRule type="expression" dxfId="748" priority="54">
      <formula>ABS(Z$16-Z$19)&gt;=1000</formula>
    </cfRule>
  </conditionalFormatting>
  <conditionalFormatting sqref="AA13:AA20">
    <cfRule type="expression" dxfId="747" priority="53">
      <formula>ABS(AA$16-AA$19)&gt;=1000</formula>
    </cfRule>
  </conditionalFormatting>
  <conditionalFormatting sqref="AB13 AB15:AB20">
    <cfRule type="expression" dxfId="746" priority="52">
      <formula>ABS(AB$16-AB$19)&gt;=1000</formula>
    </cfRule>
  </conditionalFormatting>
  <conditionalFormatting sqref="AC13 AC15:AC20">
    <cfRule type="expression" dxfId="745" priority="51">
      <formula>ABS(AC$16-AC$19)&gt;=1000</formula>
    </cfRule>
  </conditionalFormatting>
  <conditionalFormatting sqref="AD13:AD20">
    <cfRule type="expression" dxfId="744" priority="50">
      <formula>ABS(AD$16-AD$19)&gt;=1000</formula>
    </cfRule>
  </conditionalFormatting>
  <conditionalFormatting sqref="AE13:AE20">
    <cfRule type="expression" dxfId="743" priority="49">
      <formula>ABS(AE$16-AE$19)&gt;=1000</formula>
    </cfRule>
  </conditionalFormatting>
  <conditionalFormatting sqref="D22:D29">
    <cfRule type="expression" dxfId="742" priority="48">
      <formula>ABS(D$25-D$28)&gt;=1000</formula>
    </cfRule>
  </conditionalFormatting>
  <conditionalFormatting sqref="E22:E29">
    <cfRule type="expression" dxfId="741" priority="47">
      <formula>ABS(E$25-E$28)&gt;=1000</formula>
    </cfRule>
  </conditionalFormatting>
  <conditionalFormatting sqref="F22:F29">
    <cfRule type="expression" dxfId="740" priority="46">
      <formula>ABS(F$25-F$28)&gt;=1000</formula>
    </cfRule>
  </conditionalFormatting>
  <conditionalFormatting sqref="G22:G29">
    <cfRule type="expression" dxfId="739" priority="45">
      <formula>ABS(G$25-G$28)&gt;=1000</formula>
    </cfRule>
  </conditionalFormatting>
  <conditionalFormatting sqref="H22:H29">
    <cfRule type="expression" dxfId="738" priority="44">
      <formula>ABS(H$25-H$28)&gt;=1000</formula>
    </cfRule>
  </conditionalFormatting>
  <conditionalFormatting sqref="I22 I24:I29">
    <cfRule type="expression" dxfId="737" priority="43">
      <formula>ABS(I$25-I$28)&gt;=1000</formula>
    </cfRule>
  </conditionalFormatting>
  <conditionalFormatting sqref="J22:J29 K22">
    <cfRule type="expression" dxfId="736" priority="42">
      <formula>ABS(J$25-J$28)&gt;=1000</formula>
    </cfRule>
  </conditionalFormatting>
  <conditionalFormatting sqref="K23:K29 L25 L28">
    <cfRule type="expression" dxfId="735" priority="41">
      <formula>ABS(K$25-K$28)&gt;=1000</formula>
    </cfRule>
  </conditionalFormatting>
  <conditionalFormatting sqref="L22 L26:L27 L29 L24">
    <cfRule type="expression" dxfId="734" priority="40">
      <formula>ABS(L$25-L$28)&gt;=1000</formula>
    </cfRule>
  </conditionalFormatting>
  <conditionalFormatting sqref="M22:M29">
    <cfRule type="expression" dxfId="733" priority="39">
      <formula>ABS(M$25-M$28)&gt;=1000</formula>
    </cfRule>
  </conditionalFormatting>
  <conditionalFormatting sqref="N22:N29">
    <cfRule type="expression" dxfId="732" priority="38">
      <formula>ABS(N$25-N$28)&gt;=1000</formula>
    </cfRule>
  </conditionalFormatting>
  <conditionalFormatting sqref="O22 O24:O29">
    <cfRule type="expression" dxfId="731" priority="37">
      <formula>ABS(O$25-O$28)&gt;=1000</formula>
    </cfRule>
  </conditionalFormatting>
  <conditionalFormatting sqref="P22:P29">
    <cfRule type="expression" dxfId="730" priority="36">
      <formula>ABS(P$25-P$28)&gt;=1000</formula>
    </cfRule>
  </conditionalFormatting>
  <conditionalFormatting sqref="Q22:Q29">
    <cfRule type="expression" dxfId="729" priority="35">
      <formula>ABS(Q$25-Q$28)&gt;=1000</formula>
    </cfRule>
  </conditionalFormatting>
  <conditionalFormatting sqref="R22:R29">
    <cfRule type="expression" dxfId="728" priority="34">
      <formula>ABS(R$25-R$28)&gt;=1000</formula>
    </cfRule>
  </conditionalFormatting>
  <conditionalFormatting sqref="S22:S29">
    <cfRule type="expression" dxfId="727" priority="33">
      <formula>ABS(S$25-S$28)&gt;=1000</formula>
    </cfRule>
  </conditionalFormatting>
  <conditionalFormatting sqref="T22:T29">
    <cfRule type="expression" dxfId="726" priority="32">
      <formula>ABS(T$25-T$28)&gt;=1000</formula>
    </cfRule>
  </conditionalFormatting>
  <conditionalFormatting sqref="U22:U29">
    <cfRule type="expression" dxfId="725" priority="31">
      <formula>ABS(U$25-U$28)&gt;=1000</formula>
    </cfRule>
  </conditionalFormatting>
  <conditionalFormatting sqref="V22:V29">
    <cfRule type="expression" dxfId="724" priority="30">
      <formula>ABS(V$25-V$28)&gt;=1000</formula>
    </cfRule>
  </conditionalFormatting>
  <conditionalFormatting sqref="W22:W29">
    <cfRule type="expression" dxfId="723" priority="29">
      <formula>ABS(W$25-W$28)&gt;=1000</formula>
    </cfRule>
  </conditionalFormatting>
  <conditionalFormatting sqref="X22:X29">
    <cfRule type="expression" dxfId="722" priority="28">
      <formula>ABS(X$25-X$28)&gt;=1000</formula>
    </cfRule>
  </conditionalFormatting>
  <conditionalFormatting sqref="Y22:Y29">
    <cfRule type="expression" dxfId="721" priority="27">
      <formula>ABS(Y$25-Y$28)&gt;=1000</formula>
    </cfRule>
  </conditionalFormatting>
  <conditionalFormatting sqref="I23">
    <cfRule type="expression" dxfId="720" priority="26">
      <formula>ABS(I$25-I$28)&gt;=1000</formula>
    </cfRule>
  </conditionalFormatting>
  <conditionalFormatting sqref="Q14">
    <cfRule type="expression" dxfId="719" priority="25">
      <formula>ABS(Q$16-Q$19)&gt;=1000</formula>
    </cfRule>
  </conditionalFormatting>
  <conditionalFormatting sqref="W14">
    <cfRule type="expression" dxfId="718" priority="24">
      <formula>ABS(W$16-W$19)&gt;=1000</formula>
    </cfRule>
  </conditionalFormatting>
  <conditionalFormatting sqref="X14">
    <cfRule type="expression" dxfId="717" priority="23">
      <formula>ABS(X$16-X$19)&gt;=1000</formula>
    </cfRule>
  </conditionalFormatting>
  <conditionalFormatting sqref="T10:Y10">
    <cfRule type="expression" dxfId="716" priority="22">
      <formula>ABS(T$7-T$10)&gt;=1000</formula>
    </cfRule>
  </conditionalFormatting>
  <conditionalFormatting sqref="W19">
    <cfRule type="expression" dxfId="715" priority="21">
      <formula>ABS(W$16-W$19)&gt;=1000</formula>
    </cfRule>
  </conditionalFormatting>
  <conditionalFormatting sqref="AC5">
    <cfRule type="expression" dxfId="714" priority="20">
      <formula>ABS(AC$7-AC$10)&gt;=1000</formula>
    </cfRule>
  </conditionalFormatting>
  <conditionalFormatting sqref="M14">
    <cfRule type="expression" dxfId="713" priority="19">
      <formula>ABS(M$16-M$19)&gt;=1000</formula>
    </cfRule>
  </conditionalFormatting>
  <conditionalFormatting sqref="M16">
    <cfRule type="expression" dxfId="712" priority="18">
      <formula>ABS(M$16-M$19)&gt;=1000</formula>
    </cfRule>
  </conditionalFormatting>
  <conditionalFormatting sqref="M19">
    <cfRule type="expression" dxfId="711" priority="17">
      <formula>ABS(M$16-M$19)&gt;=1000</formula>
    </cfRule>
  </conditionalFormatting>
  <conditionalFormatting sqref="K13:K20">
    <cfRule type="expression" dxfId="710" priority="16">
      <formula>ABS(K$16-K$19)&gt;=1000</formula>
    </cfRule>
  </conditionalFormatting>
  <conditionalFormatting sqref="E5">
    <cfRule type="expression" dxfId="709" priority="15">
      <formula>ABS(E$7-E$10)&gt;=1000</formula>
    </cfRule>
  </conditionalFormatting>
  <conditionalFormatting sqref="AB14:AC14">
    <cfRule type="expression" dxfId="708" priority="14">
      <formula>ABS(AB$16-AB$19)&gt;=1000</formula>
    </cfRule>
  </conditionalFormatting>
  <conditionalFormatting sqref="M5">
    <cfRule type="expression" dxfId="707" priority="13">
      <formula>ABS(M$7-M$10)&gt;=1000</formula>
    </cfRule>
  </conditionalFormatting>
  <conditionalFormatting sqref="N5">
    <cfRule type="expression" dxfId="706" priority="12">
      <formula>ABS(N$7-N$10)&gt;=1000</formula>
    </cfRule>
  </conditionalFormatting>
  <conditionalFormatting sqref="O5">
    <cfRule type="expression" dxfId="705" priority="11">
      <formula>ABS(O$7-O$10)&gt;=1000</formula>
    </cfRule>
  </conditionalFormatting>
  <conditionalFormatting sqref="P5">
    <cfRule type="expression" dxfId="704" priority="10">
      <formula>ABS(P$7-P$10)&gt;=1000</formula>
    </cfRule>
  </conditionalFormatting>
  <conditionalFormatting sqref="L23">
    <cfRule type="expression" dxfId="703" priority="9">
      <formula>ABS(L$25-L$28)&gt;=1000</formula>
    </cfRule>
  </conditionalFormatting>
  <conditionalFormatting sqref="Y14">
    <cfRule type="expression" dxfId="702" priority="8">
      <formula>ABS(Y$16-Y$19)&gt;=1000</formula>
    </cfRule>
  </conditionalFormatting>
  <conditionalFormatting sqref="H14">
    <cfRule type="expression" dxfId="701" priority="7">
      <formula>ABS(H$16-H$19)&gt;=1000</formula>
    </cfRule>
  </conditionalFormatting>
  <conditionalFormatting sqref="AD5">
    <cfRule type="expression" dxfId="700" priority="6">
      <formula>ABS(AD$7-AD$10)&gt;=1000</formula>
    </cfRule>
  </conditionalFormatting>
  <conditionalFormatting sqref="AE5">
    <cfRule type="expression" dxfId="699" priority="5">
      <formula>ABS(AE$7-AE$10)&gt;=1000</formula>
    </cfRule>
  </conditionalFormatting>
  <conditionalFormatting sqref="T16">
    <cfRule type="expression" dxfId="698" priority="4">
      <formula>ABS(T$16-T$19)&gt;=1000</formula>
    </cfRule>
  </conditionalFormatting>
  <conditionalFormatting sqref="F14">
    <cfRule type="expression" dxfId="697" priority="3">
      <formula>ABS(F$16-F$19)&gt;=1000</formula>
    </cfRule>
  </conditionalFormatting>
  <conditionalFormatting sqref="R14">
    <cfRule type="expression" dxfId="696" priority="2">
      <formula>ABS(R$16-R$19)&gt;=1000</formula>
    </cfRule>
  </conditionalFormatting>
  <conditionalFormatting sqref="O23">
    <cfRule type="expression" dxfId="695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6">
    <pageSetUpPr fitToPage="1"/>
  </sheetPr>
  <dimension ref="A1:CU223"/>
  <sheetViews>
    <sheetView view="pageBreakPreview" topLeftCell="A13" zoomScale="85" zoomScaleNormal="100" zoomScaleSheetLayoutView="85" workbookViewId="0">
      <selection activeCell="J25" sqref="J25:N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46296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4850</v>
      </c>
      <c r="E6" s="71">
        <v>3448</v>
      </c>
      <c r="F6" s="71">
        <v>3185</v>
      </c>
      <c r="G6" s="71">
        <v>3541</v>
      </c>
      <c r="H6" s="71">
        <v>1771</v>
      </c>
      <c r="I6" s="71">
        <v>4.5199999999999996</v>
      </c>
      <c r="J6" s="71">
        <v>6.64</v>
      </c>
      <c r="K6" s="71">
        <v>63.75</v>
      </c>
      <c r="L6" s="71">
        <v>6.37</v>
      </c>
      <c r="M6" s="71">
        <v>2651</v>
      </c>
      <c r="N6" s="71">
        <v>799</v>
      </c>
      <c r="O6" s="71">
        <v>5306</v>
      </c>
      <c r="P6" s="71">
        <v>8274</v>
      </c>
      <c r="Q6" s="71">
        <v>0</v>
      </c>
      <c r="R6" s="71">
        <v>4019</v>
      </c>
      <c r="S6" s="71">
        <v>5498</v>
      </c>
      <c r="T6" s="71">
        <v>7144</v>
      </c>
      <c r="U6" s="71">
        <v>7124</v>
      </c>
      <c r="V6" s="71">
        <v>6191</v>
      </c>
      <c r="W6" s="71">
        <v>5335</v>
      </c>
      <c r="X6" s="71">
        <v>6139</v>
      </c>
      <c r="Y6" s="71">
        <v>2932</v>
      </c>
      <c r="Z6" s="71">
        <v>1277</v>
      </c>
      <c r="AA6" s="71">
        <v>1120</v>
      </c>
      <c r="AB6" s="71">
        <v>398</v>
      </c>
      <c r="AC6" s="71">
        <v>8095</v>
      </c>
      <c r="AD6" s="71">
        <v>4727</v>
      </c>
      <c r="AE6" s="71">
        <v>5145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151271.640747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141857.50383</v>
      </c>
      <c r="H7" s="73" ph="1">
        <f>(H6)*51.53*LOOKUP(H8,密度!$A$2:$A$50,密度!$B$2:$B$50)</f>
        <v>71063.873880999992</v>
      </c>
      <c r="I7" s="73" ph="1">
        <f>I6*290.8*1.0267</f>
        <v>1349.5109071999998</v>
      </c>
      <c r="J7" s="73" ph="1">
        <f>J6*290.8*0.7892</f>
        <v>1523.8757504</v>
      </c>
      <c r="K7" s="73" ph="1">
        <f>K6*290.8*1.1126</f>
        <v>20625.935100000002</v>
      </c>
      <c r="L7" s="73" ph="1">
        <f>L6*290.8*0.777</f>
        <v>1439.3116920000002</v>
      </c>
      <c r="M7" s="73" ph="1">
        <f>M6*33.183*LOOKUP(M8,密度!$A$2:$A$50,密度!$D$2:$D$50)</f>
        <v>90070.571378699999</v>
      </c>
      <c r="N7" s="73" ph="1">
        <f>N6*33.183*LOOKUP(N8,密度!$A$2:$A$50,密度!$E$2:$E$50)</f>
        <v>20706.822477000002</v>
      </c>
      <c r="O7" s="73" ph="1">
        <f>O6*20.428*LOOKUP(O8,密度!$A$2:$A$50,密度!$C$2:$C$50)</f>
        <v>119555.23770400001</v>
      </c>
      <c r="P7" s="73" ph="1">
        <f>P6*51.53*LOOKUP(P8,密度!$A$2:$A$50,密度!$B$2:$B$50)</f>
        <v>331664.83723800007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26334.8680518</v>
      </c>
      <c r="S7" s="73" ph="1">
        <f>S6*1.5*1.5*3.1416*LOOKUP(S8,密度!$A$2:$A$50,密度!$L$2:$L$50)</f>
        <v>36375.920380800002</v>
      </c>
      <c r="T7" s="73" ph="1">
        <f>T6*1.5*1.5*3.1416*LOOKUP(T8,密度!$A$2:$A$50,密度!$L$2:$L$50)</f>
        <v>47367.197539199995</v>
      </c>
      <c r="U7" s="73" ph="1">
        <f>U6*1.5*1.5*3.1416*LOOKUP(U8,密度!$A$2:$A$50,密度!$L$2:$L$50)</f>
        <v>47083.520484000008</v>
      </c>
      <c r="V7" s="73" ph="1">
        <f>V6*1.5*1.5*3.1416*LOOKUP(V8,密度!$A$2:$A$50,密度!$L$2:$L$50)</f>
        <v>40698.383417999998</v>
      </c>
      <c r="W7" s="73" ph="1">
        <f>W6*1.5*1.5*3.1416*LOOKUP(W8,密度!$A$2:$A$50,密度!$L$2:$L$50)</f>
        <v>35297.478216000003</v>
      </c>
      <c r="X7" s="73" ph="1">
        <f>X6*1.5*1.5*3.1416*LOOKUP(X8,密度!$A$2:$A$50,密度!$L$2:$L$50)</f>
        <v>40877.275546799996</v>
      </c>
      <c r="Y7" s="73" ph="1">
        <f>Y6*1.5*1.5*3.1416*LOOKUP(Y8,密度!$A$2:$A$50,密度!$L$2:$L$50)</f>
        <v>19357.276276800003</v>
      </c>
      <c r="Z7" s="73" ph="1">
        <f>Z6*33.183*LOOKUP(Z8,密度!$A$2:$A$50,密度!$L$2:$L$50)</f>
        <v>39747.460157999994</v>
      </c>
      <c r="AA7" s="73" ph="1">
        <f>AA6*33.183*LOOKUP(AA8,密度!$A$2:$A$50,密度!$D$2:$D$50)</f>
        <v>38123.815968000003</v>
      </c>
      <c r="AB7" s="73" ph="1">
        <f>AB6*20.428*LOOKUP(AB8,密度!$A$2:$A$50,密度!$D$2:$D$50)</f>
        <v>8385.6368016000015</v>
      </c>
      <c r="AC7" s="73" ph="1">
        <f>AC6*51.53*LOOKUP(AC8,密度!$A$2:$A$50,密度!$Q$2:$Q$50)</f>
        <v>394034.39431700006</v>
      </c>
      <c r="AD7" s="73" ph="1">
        <f>AD6*20.428*LOOKUP(AD8,密度!$A$2:$A$50,密度!$V$2:$V$50)</f>
        <v>92468.878185599999</v>
      </c>
      <c r="AE7" s="73" ph="1">
        <f>AE6*20.428</f>
        <v>105102.06</v>
      </c>
    </row>
    <row r="8" spans="1:99" ph="1">
      <c r="B8" s="171" ph="1"/>
      <c r="C8" s="68" t="s" ph="1">
        <v>179</v>
      </c>
      <c r="D8" s="74">
        <v>35</v>
      </c>
      <c r="E8" s="74">
        <v>27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32</v>
      </c>
      <c r="P8" s="74">
        <v>27</v>
      </c>
      <c r="Q8" s="74">
        <v>30</v>
      </c>
      <c r="R8" s="74">
        <v>35</v>
      </c>
      <c r="S8" s="74">
        <v>26</v>
      </c>
      <c r="T8" s="74">
        <v>24</v>
      </c>
      <c r="U8" s="74">
        <v>27</v>
      </c>
      <c r="V8" s="74">
        <v>32</v>
      </c>
      <c r="W8" s="74">
        <v>26</v>
      </c>
      <c r="X8" s="74">
        <v>20</v>
      </c>
      <c r="Y8" s="74">
        <v>28</v>
      </c>
      <c r="Z8" s="74">
        <v>24</v>
      </c>
      <c r="AA8" s="74">
        <v>26</v>
      </c>
      <c r="AB8" s="74">
        <v>20</v>
      </c>
      <c r="AC8" s="74">
        <v>28</v>
      </c>
      <c r="AD8" s="74">
        <v>26</v>
      </c>
      <c r="AE8" s="74">
        <v>29</v>
      </c>
    </row>
    <row r="9" spans="1:99" ht="26.4" ph="1">
      <c r="B9" s="171" ph="1">
        <v>0.66666666666666663</v>
      </c>
      <c r="C9" s="149" t="s" ph="1">
        <v>180</v>
      </c>
      <c r="D9" s="71">
        <v>5255</v>
      </c>
      <c r="E9" s="71">
        <v>3446</v>
      </c>
      <c r="F9" s="71">
        <v>3187</v>
      </c>
      <c r="G9" s="71">
        <v>3541</v>
      </c>
      <c r="H9" s="71">
        <v>2210</v>
      </c>
      <c r="I9" s="71">
        <v>4.5</v>
      </c>
      <c r="J9" s="71">
        <v>6.71</v>
      </c>
      <c r="K9" s="71">
        <v>64.209999999999994</v>
      </c>
      <c r="L9" s="71">
        <v>7.15</v>
      </c>
      <c r="M9" s="71">
        <v>2649</v>
      </c>
      <c r="N9" s="71">
        <v>801</v>
      </c>
      <c r="O9" s="71">
        <v>5308</v>
      </c>
      <c r="P9" s="71">
        <v>8381</v>
      </c>
      <c r="Q9" s="71">
        <v>2982</v>
      </c>
      <c r="R9" s="71">
        <v>0</v>
      </c>
      <c r="S9" s="71">
        <v>4714</v>
      </c>
      <c r="T9" s="71">
        <v>7152</v>
      </c>
      <c r="U9" s="71">
        <v>7132</v>
      </c>
      <c r="V9" s="71">
        <v>6200</v>
      </c>
      <c r="W9" s="71">
        <v>6347</v>
      </c>
      <c r="X9" s="71">
        <v>7027</v>
      </c>
      <c r="Y9" s="71">
        <v>7134</v>
      </c>
      <c r="Z9" s="71">
        <v>1590</v>
      </c>
      <c r="AA9" s="71">
        <v>1122</v>
      </c>
      <c r="AB9" s="71">
        <v>279</v>
      </c>
      <c r="AC9" s="71">
        <v>8119</v>
      </c>
      <c r="AD9" s="71">
        <v>4730</v>
      </c>
      <c r="AE9" s="71">
        <v>5108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163568.79930330001</v>
      </c>
      <c r="E10" s="73" ph="1">
        <f>E9*51.53*LOOKUP(E11,密度!$A$2:$A$50,密度!$B$2:$B$50)</f>
        <v>137352.23593</v>
      </c>
      <c r="F10" s="73" ph="1">
        <f>F9*33.183*LOOKUP(F11,密度!$A$2:$A$50,密度!$C$2:$C$50)</f>
        <v>116953.59300390002</v>
      </c>
      <c r="G10" s="73" ph="1">
        <f xml:space="preserve"> (G9+2)*51.53*LOOKUP(G11,密度!$A$2:$A$50,密度!$B$2:$B$50)</f>
        <v>141547.13348700001</v>
      </c>
      <c r="H10" s="73" ph="1">
        <f>(H9)*51.53*LOOKUP(H11,密度!$A$2:$A$50,密度!$B$2:$B$50)</f>
        <v>88189.678719999996</v>
      </c>
      <c r="I10" s="73" ph="1">
        <f>I9*290.8*1.0267</f>
        <v>1343.53962</v>
      </c>
      <c r="J10" s="73" ph="1">
        <f>J9*290.8*0.7892</f>
        <v>1539.9407056</v>
      </c>
      <c r="K10" s="73" ph="1">
        <f>K9*290.8*1.1126</f>
        <v>20774.765376800002</v>
      </c>
      <c r="L10" s="73" ph="1">
        <f>L9*290.8*0.777</f>
        <v>1615.5539400000002</v>
      </c>
      <c r="M10" s="73" ph="1">
        <f>M9*33.183*LOOKUP(M11,密度!$A$2:$A$50,密度!$D$2:$D$50)</f>
        <v>89914.717464299989</v>
      </c>
      <c r="N10" s="73" ph="1">
        <f>N9*33.183*LOOKUP(N11,密度!$A$2:$A$50,密度!$E$2:$E$50)</f>
        <v>20637.717220349998</v>
      </c>
      <c r="O10" s="73" ph="1">
        <f>O9*20.428*LOOKUP(O11,密度!$A$2:$A$50,密度!$C$2:$C$50)</f>
        <v>119264.16321760001</v>
      </c>
      <c r="P10" s="73" ph="1">
        <f>P9*51.53*LOOKUP(P11,密度!$A$2:$A$50,密度!$B$2:$B$50)</f>
        <v>334053.71135499998</v>
      </c>
      <c r="Q10" s="73" ph="1">
        <f>Q9*1.5*1.5*3.1416*LOOKUP(W11,密度!$A$2:$A$50,密度!$L$2:$L$50)</f>
        <v>19687.379896800001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31088.847913200003</v>
      </c>
      <c r="T10" s="73" ph="1">
        <f>T9*1.5*1.5*3.1416*LOOKUP(T11,密度!$A$2:$A$50,密度!$L$2:$L$50)</f>
        <v>47369.685686400007</v>
      </c>
      <c r="U10" s="73" ph="1">
        <f>U9*1.5*1.5*3.1416*LOOKUP(U11,密度!$A$2:$A$50,密度!$L$2:$L$50)</f>
        <v>47085.980356799999</v>
      </c>
      <c r="V10" s="73" ph="1">
        <f>V9*1.5*1.5*3.1416*LOOKUP(V11,密度!$A$2:$A$50,密度!$L$2:$L$50)</f>
        <v>40801.372920000002</v>
      </c>
      <c r="W10" s="73" ph="1">
        <f>W9*1.5*1.5*3.1416*LOOKUP(W11,密度!$A$2:$A$50,密度!$L$2:$L$50)</f>
        <v>41903.353522799996</v>
      </c>
      <c r="X10" s="73" ph="1">
        <f>X9*1.5*1.5*3.1416*LOOKUP(X11,密度!$A$2:$A$50,密度!$L$2:$L$50)</f>
        <v>46740.460120199998</v>
      </c>
      <c r="Y10" s="73" ph="1">
        <f>Y9*1.5*1.5*3.1416*LOOKUP(Y11,密度!$A$2:$A$50,密度!$L$2:$L$50)</f>
        <v>47048.7571092</v>
      </c>
      <c r="Z10" s="73" ph="1">
        <f>Z9*33.183*LOOKUP(Z11,密度!$A$2:$A$50,密度!$L$2:$L$50)</f>
        <v>49173.224040000001</v>
      </c>
      <c r="AA10" s="73" ph="1">
        <f>AA9*33.183*LOOKUP(AA11,密度!$A$2:$A$50,密度!$D$2:$D$50)</f>
        <v>38016.906978599996</v>
      </c>
      <c r="AB10" s="73" ph="1">
        <f>AB9*20.428*LOOKUP(AB11,密度!$A$2:$A$50,密度!$D$2:$D$50)</f>
        <v>5824.7990640000007</v>
      </c>
      <c r="AC10" s="73" ph="1">
        <f>AC9*51.53*LOOKUP(AC11,密度!$A$2:$A$50,密度!$Q$2:$Q$50)</f>
        <v>394064.652733</v>
      </c>
      <c r="AD10" s="73" ph="1">
        <f>AD9*20.428*LOOKUP(AD11,密度!$A$2:$A$50,密度!$V$2:$V$50)</f>
        <v>92527.563743999999</v>
      </c>
      <c r="AE10" s="73" ph="1">
        <f>AE9*20.428</f>
        <v>104346.224</v>
      </c>
    </row>
    <row r="11" spans="1:99" ph="1">
      <c r="A11" s="64" t="s" ph="1">
        <v>162</v>
      </c>
      <c r="B11" s="171" ph="1"/>
      <c r="C11" s="149" t="s" ph="1">
        <v>179</v>
      </c>
      <c r="D11" s="74">
        <v>38</v>
      </c>
      <c r="E11" s="74">
        <v>32</v>
      </c>
      <c r="F11" s="74">
        <v>29</v>
      </c>
      <c r="G11" s="74">
        <v>30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31</v>
      </c>
      <c r="O11" s="74">
        <v>35</v>
      </c>
      <c r="P11" s="74">
        <v>32</v>
      </c>
      <c r="Q11" s="74">
        <v>32</v>
      </c>
      <c r="R11" s="74">
        <v>38</v>
      </c>
      <c r="S11" s="74">
        <v>29</v>
      </c>
      <c r="T11" s="74">
        <v>25</v>
      </c>
      <c r="U11" s="74">
        <v>28</v>
      </c>
      <c r="V11" s="74">
        <v>31</v>
      </c>
      <c r="W11" s="74">
        <v>28</v>
      </c>
      <c r="X11" s="74">
        <v>21</v>
      </c>
      <c r="Y11" s="74">
        <v>29</v>
      </c>
      <c r="Z11" s="74">
        <v>30</v>
      </c>
      <c r="AA11" s="74">
        <v>31</v>
      </c>
      <c r="AB11" s="74">
        <v>30</v>
      </c>
      <c r="AC11" s="74">
        <v>32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3267</v>
      </c>
      <c r="E15" s="78">
        <v>886</v>
      </c>
      <c r="F15" s="78">
        <v>1161</v>
      </c>
      <c r="G15" s="78">
        <v>3969</v>
      </c>
      <c r="H15" s="78">
        <v>3457</v>
      </c>
      <c r="I15" s="78">
        <v>5188</v>
      </c>
      <c r="J15" s="78">
        <v>382</v>
      </c>
      <c r="K15" s="78">
        <v>671</v>
      </c>
      <c r="L15" s="78">
        <v>4344</v>
      </c>
      <c r="M15" s="78">
        <v>6777</v>
      </c>
      <c r="N15" s="78">
        <v>537</v>
      </c>
      <c r="O15" s="78">
        <v>2440</v>
      </c>
      <c r="P15" s="78">
        <v>458</v>
      </c>
      <c r="Q15" s="78">
        <v>0</v>
      </c>
      <c r="R15" s="78">
        <v>0</v>
      </c>
      <c r="S15" s="78">
        <v>0</v>
      </c>
      <c r="T15" s="78">
        <v>1211</v>
      </c>
      <c r="U15" s="78">
        <v>5488</v>
      </c>
      <c r="V15" s="78">
        <v>-817</v>
      </c>
      <c r="W15" s="71">
        <v>-817</v>
      </c>
      <c r="X15" s="78">
        <v>818</v>
      </c>
      <c r="Y15" s="106">
        <v>-9907</v>
      </c>
      <c r="Z15" s="78">
        <v>0</v>
      </c>
      <c r="AA15" s="78">
        <v>2450</v>
      </c>
      <c r="AB15" s="78" ph="1">
        <v>0</v>
      </c>
      <c r="AC15" s="78" ph="1">
        <v>0</v>
      </c>
      <c r="AD15" s="78">
        <v>5.56</v>
      </c>
      <c r="AE15" s="78">
        <v>27.2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21638.249879400002</v>
      </c>
      <c r="E16" s="73" ph="1">
        <f>E15*7.0686*LOOKUP(E17,密度!$A$2:$A$50,密度!$L$2:$L$50)</f>
        <v>5868.2244852000003</v>
      </c>
      <c r="F16" s="73" ph="1">
        <f>F15*9.0746*LOOKUP(F17,密度!$A$2:$A$50,密度!$L$2:$L$50)</f>
        <v>9861.331521600001</v>
      </c>
      <c r="G16" s="73" ph="1">
        <f>G15*9.0746*LOOKUP(G17,密度!$A$2:$A$50,密度!$B$2:$B$50)</f>
        <v>27985.276909800003</v>
      </c>
      <c r="H16" s="73" ph="1">
        <f>H15*9.0746*LOOKUP(H17,密度!$A$2:$A$50,密度!$L$2:$L$50)</f>
        <v>29363.155099200005</v>
      </c>
      <c r="I16" s="73" ph="1">
        <f>I15*9.0746*LOOKUP(I17,密度!$A$2:$A$50,密度!$U$2:$U$50)</f>
        <v>48208.921395199999</v>
      </c>
      <c r="J16" s="73" ph="1">
        <f>J15*9.0746*LOOKUP(J17,密度!$A$2:$A$50,密度!$L$2:$L$50)</f>
        <v>3241.1748820000003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30696.402590879999</v>
      </c>
      <c r="M16" s="73" ph="1">
        <f>M15*9.0746*LOOKUP(M17,密度!$A$2:$A$50,密度!$M$2:$M$50)</f>
        <v>53497.600997580004</v>
      </c>
      <c r="N16" s="73" ph="1">
        <f>N15*9.0746*LOOKUP(N17,密度!$A$2:$A$50,密度!$M$2:$M$50)</f>
        <v>4264.4149810199997</v>
      </c>
      <c r="O16" s="73" ph="1">
        <f>O15*9.0746*LOOKUP(O17,密度!$A$2:$A$50,密度!$G$2:$G$50)</f>
        <v>21165.560741600002</v>
      </c>
      <c r="P16" s="73" ph="1">
        <f ca="1">P15*9.0746*LOOKUP(P17,密度!$A$2:$A$51,密度!$Q$2:$Q$50)</f>
        <v>3934.809356232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10176.129395600001</v>
      </c>
      <c r="U16" s="73" ph="1">
        <f>U15*9.0746*LOOKUP(U17,密度!$A$2:$A$50,密度!$H$2:$H$50)</f>
        <v>45418.881177600008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17312.657998999999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2385.46747968</v>
      </c>
      <c r="AE16" s="73" ph="1">
        <f>AE15*268.68*LOOKUP(AE17,密度!$A$2:$A$50,密度!B2:B50)+IF(AE15&lt;=0,0,1566*LOOKUP(AE17,密度!$A$2:$A$50,密度!B2:B50))</f>
        <v>6918.2452415999996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25</v>
      </c>
      <c r="E17" s="74">
        <v>25</v>
      </c>
      <c r="F17" s="74">
        <v>26</v>
      </c>
      <c r="G17" s="74">
        <v>28</v>
      </c>
      <c r="H17" s="74">
        <v>26</v>
      </c>
      <c r="I17" s="74">
        <v>26</v>
      </c>
      <c r="J17" s="74">
        <v>27</v>
      </c>
      <c r="K17" s="74">
        <v>26</v>
      </c>
      <c r="L17" s="74">
        <v>29</v>
      </c>
      <c r="M17" s="74">
        <v>30</v>
      </c>
      <c r="N17" s="74">
        <v>25</v>
      </c>
      <c r="O17" s="74">
        <v>29</v>
      </c>
      <c r="P17" s="74">
        <v>25</v>
      </c>
      <c r="Q17" s="74">
        <v>25</v>
      </c>
      <c r="R17" s="74">
        <v>29</v>
      </c>
      <c r="S17" s="74">
        <v>26</v>
      </c>
      <c r="T17" s="74">
        <v>26</v>
      </c>
      <c r="U17" s="74">
        <v>28</v>
      </c>
      <c r="V17" s="74">
        <v>28</v>
      </c>
      <c r="W17" s="74">
        <v>27</v>
      </c>
      <c r="X17" s="74">
        <v>29</v>
      </c>
      <c r="Y17" s="108">
        <v>27</v>
      </c>
      <c r="Z17" s="74">
        <v>27</v>
      </c>
      <c r="AA17" s="74">
        <v>26</v>
      </c>
      <c r="AB17" s="74">
        <v>27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3804</v>
      </c>
      <c r="E18" s="71">
        <v>69</v>
      </c>
      <c r="F18" s="71">
        <v>1295</v>
      </c>
      <c r="G18" s="71">
        <v>4125</v>
      </c>
      <c r="H18" s="71">
        <v>3459</v>
      </c>
      <c r="I18" s="71">
        <v>5193</v>
      </c>
      <c r="J18" s="71">
        <v>450</v>
      </c>
      <c r="K18" s="71">
        <v>670</v>
      </c>
      <c r="L18" s="71">
        <v>4354</v>
      </c>
      <c r="M18" s="71">
        <v>3948</v>
      </c>
      <c r="N18" s="71">
        <v>1342</v>
      </c>
      <c r="O18" s="71">
        <v>2764</v>
      </c>
      <c r="P18" s="71">
        <v>455</v>
      </c>
      <c r="Q18" s="71">
        <v>0</v>
      </c>
      <c r="R18" s="71">
        <v>0</v>
      </c>
      <c r="S18" s="71">
        <v>0</v>
      </c>
      <c r="T18" s="71">
        <v>1212</v>
      </c>
      <c r="U18" s="71">
        <v>5493</v>
      </c>
      <c r="V18" s="71">
        <v>-817</v>
      </c>
      <c r="W18" s="71">
        <v>-817</v>
      </c>
      <c r="X18" s="71">
        <v>817</v>
      </c>
      <c r="Y18" s="109">
        <v>-9909</v>
      </c>
      <c r="Z18" s="71">
        <v>0</v>
      </c>
      <c r="AA18" s="71">
        <v>2452</v>
      </c>
      <c r="AB18" s="71">
        <v>0</v>
      </c>
      <c r="AC18" s="71">
        <v>0</v>
      </c>
      <c r="AD18" s="71">
        <v>5.46</v>
      </c>
      <c r="AE18" s="71">
        <v>76.459999999999994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25114.283409600001</v>
      </c>
      <c r="E19" s="73" ph="1">
        <f>E18*7.0686*LOOKUP(E20,密度!$A$2:$A$50,密度!$L$2:$L$50)</f>
        <v>455.54299560000004</v>
      </c>
      <c r="F19" s="73" ph="1">
        <f>F18*9.0746*LOOKUP(F20,密度!$A$2:$A$50,密度!$L$2:$L$50)</f>
        <v>10917.242903</v>
      </c>
      <c r="G19" s="73" ph="1">
        <f>G18*9.0746*LOOKUP(G20,密度!$A$2:$A$50,密度!$B$2:$B$50)</f>
        <v>29021.591692499998</v>
      </c>
      <c r="H19" s="73" ph="1">
        <f>H18*9.0746*LOOKUP(H20,密度!$A$2:$A$50,密度!$L$2:$L$50)</f>
        <v>29317.364667600003</v>
      </c>
      <c r="I19" s="73" ph="1">
        <f>I18*9.0746*LOOKUP(I20,密度!$A$2:$A$50,密度!$U$2:$U$50)</f>
        <v>48066.885755999996</v>
      </c>
      <c r="J19" s="73" ph="1">
        <f>J18*9.0746*LOOKUP(J20,密度!$A$2:$A$50,密度!$L$2:$L$50)</f>
        <v>3805.8872400000005</v>
      </c>
      <c r="K19" s="73" ph="1">
        <f>K18*9.0746*LOOKUP(K20,密度!$A$2:$A$50,密度!$C$2:$C$50)</f>
        <v>6712.9081262000009</v>
      </c>
      <c r="L19" s="73" ph="1">
        <f>L18*9.0746*LOOKUP(L20,密度!$A$2:$A$50,密度!$E$2:$E$50)</f>
        <v>30723.604611840001</v>
      </c>
      <c r="M19" s="73" ph="1">
        <f>M18*9.0746*LOOKUP(M20,密度!$A$2:$A$50,密度!$M$2:$M$50)</f>
        <v>31015.735586975999</v>
      </c>
      <c r="N19" s="73" ph="1">
        <f>N18*9.0746*LOOKUP(N20,密度!$A$2:$A$50,密度!$M$2:$M$50)</f>
        <v>10593.74067268</v>
      </c>
      <c r="O19" s="73" ph="1">
        <f>O18*9.0746*LOOKUP(O20,密度!$A$2:$A$50,密度!$G$2:$G$50)</f>
        <v>23945.970993679999</v>
      </c>
      <c r="P19" s="73" ph="1">
        <f ca="1">P18*9.0746*LOOKUP(P20,密度!$A$2:$A$51,密度!$Q$2:$Q$50)</f>
        <v>3868.0763812600003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10140.538814400001</v>
      </c>
      <c r="U19" s="73" ph="1">
        <f>U18*9.0746*LOOKUP(U20,密度!$A$2:$A$50,密度!$H$2:$H$50)</f>
        <v>45360.567798000004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13440.1093774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17231.11182848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2356.6354056</v>
      </c>
      <c r="AE19" s="73" ph="1">
        <f>AE18*268.68*LOOKUP(AE20,密度!$A$2:$A$50,密度!B5:B53)+IF(AE18&lt;=0,0,1566*LOOKUP(AE20,密度!$A$2:$A$50,密度!B5:B53))</f>
        <v>17178.904965599999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28</v>
      </c>
      <c r="E20" s="81">
        <v>28</v>
      </c>
      <c r="F20" s="81">
        <v>33</v>
      </c>
      <c r="G20" s="81">
        <v>30</v>
      </c>
      <c r="H20" s="81">
        <v>28</v>
      </c>
      <c r="I20" s="81">
        <v>30</v>
      </c>
      <c r="J20" s="81">
        <v>30</v>
      </c>
      <c r="K20" s="81">
        <v>31</v>
      </c>
      <c r="L20" s="81">
        <v>30</v>
      </c>
      <c r="M20" s="81">
        <v>34</v>
      </c>
      <c r="N20" s="81">
        <v>30</v>
      </c>
      <c r="O20" s="81">
        <v>30</v>
      </c>
      <c r="P20" s="81">
        <v>49</v>
      </c>
      <c r="Q20" s="81">
        <v>28</v>
      </c>
      <c r="R20" s="81">
        <v>43</v>
      </c>
      <c r="S20" s="81">
        <v>29</v>
      </c>
      <c r="T20" s="81">
        <v>45</v>
      </c>
      <c r="U20" s="81">
        <v>30</v>
      </c>
      <c r="V20" s="81">
        <v>32</v>
      </c>
      <c r="W20" s="81">
        <v>30</v>
      </c>
      <c r="X20" s="81">
        <v>32</v>
      </c>
      <c r="Y20" s="110">
        <v>32</v>
      </c>
      <c r="Z20" s="81">
        <v>40</v>
      </c>
      <c r="AA20" s="81">
        <v>31</v>
      </c>
      <c r="AB20" s="81">
        <v>40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3.7</v>
      </c>
      <c r="E24" s="71">
        <v>68.180000000000007</v>
      </c>
      <c r="F24" s="71">
        <v>3544</v>
      </c>
      <c r="G24" s="71">
        <v>3251</v>
      </c>
      <c r="H24" s="71">
        <v>2764</v>
      </c>
      <c r="I24" s="71">
        <v>2179</v>
      </c>
      <c r="J24" s="71">
        <v>317</v>
      </c>
      <c r="K24" s="71">
        <v>329</v>
      </c>
      <c r="L24" s="71">
        <v>1455</v>
      </c>
      <c r="M24" s="71">
        <v>1990</v>
      </c>
      <c r="N24" s="71">
        <v>324</v>
      </c>
      <c r="O24" s="71">
        <v>5392</v>
      </c>
      <c r="P24" s="71">
        <v>2040</v>
      </c>
      <c r="Q24" s="90">
        <v>2660</v>
      </c>
      <c r="R24" s="71">
        <v>6230</v>
      </c>
      <c r="S24" s="71">
        <v>2239</v>
      </c>
      <c r="T24" s="71">
        <v>617</v>
      </c>
      <c r="U24" s="71">
        <v>6211</v>
      </c>
      <c r="V24" s="71">
        <v>736</v>
      </c>
      <c r="W24" s="71">
        <v>434</v>
      </c>
      <c r="X24" s="71">
        <v>3375</v>
      </c>
      <c r="Y24" s="71">
        <v>6738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2423.7642218400001</v>
      </c>
      <c r="E25" s="91" ph="1">
        <f>E24*268.68*LOOKUP(E26,密度!$A$2:$A$50,密度!$C$2:$C$50)+IF(E24&lt;=0,0,1566*LOOKUP(E26,密度!$A$2:$A$50,密度!$C$2:$C$50))</f>
        <v>22050.035601360003</v>
      </c>
      <c r="F25" s="91" ph="1">
        <f>F24*11.702*LOOKUP(F26,密度!$A$2:$A$50,密度!$Q$2:$Q$50)</f>
        <v>39204.205164160005</v>
      </c>
      <c r="G25" s="91" ph="1">
        <f>G24*18.322*LOOKUP(G26,密度!$A$2:$A$50,密度!$B$2:$B$50)</f>
        <v>46383.126891399996</v>
      </c>
      <c r="H25" s="91" ph="1">
        <f>H24*18.322*LOOKUP(H26,密度!$A$2:$A$50,密度!$B$2:$B$50)</f>
        <v>39394.4180232</v>
      </c>
      <c r="I25" s="91" ph="1">
        <f>I24*18.322*LOOKUP(I26,密度!$A$2:$A$50,密度!$Q$2:$Q$50)</f>
        <v>37768.959257139999</v>
      </c>
      <c r="J25" s="91" ph="1">
        <f>J24*18.322*LOOKUP(J26,密度!$A$2:$A$50,密度!$Q$2:$Q$50)</f>
        <v>5494.6122462200001</v>
      </c>
      <c r="K25" s="91" ph="1">
        <f>K24*18.322*LOOKUP(K26,密度!$A$2:$A$50,密度!$Q$2:$Q$50)</f>
        <v>5694.1107935600003</v>
      </c>
      <c r="L25" s="91" ph="1">
        <f>L24*18.322*LOOKUP(L26,密度!$A$2:$A$50,密度!$Q$2:$Q$50)</f>
        <v>25182.1617162</v>
      </c>
      <c r="M25" s="91" ph="1">
        <f>M24*18.322*LOOKUP(M26,密度!$A$2:$A$50,密度!$Q$2:$Q$50)</f>
        <v>34416.424065400002</v>
      </c>
      <c r="N25" s="91" ph="1">
        <f>N24*18.322*LOOKUP(N26,密度!$A$2:$A$50,密度!$Q$2:$Q$50)</f>
        <v>5607.5741553600001</v>
      </c>
      <c r="O25" s="91" ph="1">
        <f>O24*18.322*LOOKUP(O26,密度!$A$2:$A$50,密度!$C$2:$C$50)</f>
        <v>109471.66341440001</v>
      </c>
      <c r="P25" s="91" ph="1">
        <f>P24*11.702*LOOKUP(P26,密度!$A$2:$A$50,密度!$B$2:$B$50)</f>
        <v>18589.188695999997</v>
      </c>
      <c r="Q25" s="92" ph="1">
        <f>Q24*18.322*LOOKUP(Q26,密度!$A$2:$A$50,密度!$B$2:$B$50)</f>
        <v>37951.128123999995</v>
      </c>
      <c r="R25" s="91" ph="1">
        <f>R24*35.891*LOOKUP(R26,密度!$A$2:$A$50,密度!$C$2:$C$50)</f>
        <v>247436.78913799999</v>
      </c>
      <c r="S25" s="91" ph="1">
        <f>S24*35.891*LOOKUP(S26,密度!$A$2:$A$50,密度!$B$2:$B$50)</f>
        <v>62439.680372999996</v>
      </c>
      <c r="T25" s="91" ph="1">
        <f>T24*35.891*LOOKUP(T26,密度!$A$2:$A$50,密度!$Q$2:$Q$50)</f>
        <v>20889.804187509999</v>
      </c>
      <c r="U25" s="91" ph="1">
        <f>U24*35.891</f>
        <v>222919.00099999999</v>
      </c>
      <c r="V25" s="91" ph="1">
        <f>V24*47.051*LOOKUP(V26,密度!$A$2:$A$50,密度!$B$2:$B$50)</f>
        <v>26879.445843199999</v>
      </c>
      <c r="W25" s="91" ph="1">
        <f>W24*47.051*LOOKUP(W26,密度!$A$2:$A$50,密度!$B$2:$B$50)</f>
        <v>15831.729890200002</v>
      </c>
      <c r="X25" s="91" ph="1">
        <f>X24*47.051*LOOKUP(X26,密度!$A$2:$A$61,密度!$I$2:$I$61)</f>
        <v>164624.97948749998</v>
      </c>
      <c r="Y25" s="91" ph="1">
        <f>Y24*47.051*LOOKUP(Y26,密度!$A$2:$A$50,密度!$L$2:$L$50)</f>
        <v>294837.56334000005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27</v>
      </c>
      <c r="I26" s="74">
        <v>26</v>
      </c>
      <c r="J26" s="74">
        <v>26</v>
      </c>
      <c r="K26" s="74">
        <v>28</v>
      </c>
      <c r="L26" s="74">
        <v>28</v>
      </c>
      <c r="M26" s="74">
        <v>29</v>
      </c>
      <c r="N26" s="74">
        <v>28</v>
      </c>
      <c r="O26" s="74">
        <v>26</v>
      </c>
      <c r="P26" s="74">
        <v>26</v>
      </c>
      <c r="Q26" s="93">
        <v>26</v>
      </c>
      <c r="R26" s="74">
        <v>28</v>
      </c>
      <c r="S26" s="74">
        <v>28</v>
      </c>
      <c r="T26" s="74">
        <v>30</v>
      </c>
      <c r="U26" s="74">
        <v>29</v>
      </c>
      <c r="V26" s="74">
        <v>29</v>
      </c>
      <c r="W26" s="74">
        <v>30</v>
      </c>
      <c r="X26" s="74">
        <v>30</v>
      </c>
      <c r="Y26" s="74">
        <v>32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3.67</v>
      </c>
      <c r="E27" s="71">
        <v>68.16</v>
      </c>
      <c r="F27" s="71">
        <v>3547</v>
      </c>
      <c r="G27" s="71">
        <v>2815</v>
      </c>
      <c r="H27" s="71">
        <v>2335</v>
      </c>
      <c r="I27" s="71">
        <v>1023</v>
      </c>
      <c r="J27" s="71">
        <v>309</v>
      </c>
      <c r="K27" s="71">
        <v>324</v>
      </c>
      <c r="L27" s="71">
        <v>4577</v>
      </c>
      <c r="M27" s="71">
        <v>1288</v>
      </c>
      <c r="N27" s="71">
        <v>318</v>
      </c>
      <c r="O27" s="71">
        <v>5389</v>
      </c>
      <c r="P27" s="71">
        <v>2035</v>
      </c>
      <c r="Q27" s="90">
        <v>3201</v>
      </c>
      <c r="R27" s="71">
        <v>5730</v>
      </c>
      <c r="S27" s="71">
        <v>1835</v>
      </c>
      <c r="T27" s="71">
        <v>617</v>
      </c>
      <c r="U27" s="71">
        <v>6402</v>
      </c>
      <c r="V27" s="71">
        <v>729</v>
      </c>
      <c r="W27" s="71">
        <v>428</v>
      </c>
      <c r="X27" s="71">
        <v>2770</v>
      </c>
      <c r="Y27" s="71">
        <v>4555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2416.1331187440001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39154.792650019997</v>
      </c>
      <c r="G28" s="91" ph="1">
        <f>G27*18.322*LOOKUP(G29,密度!$A$2:$A$50,密度!$B$2:$B$50)</f>
        <v>39894.368604999996</v>
      </c>
      <c r="H28" s="91" ph="1">
        <f>H27*18.322*LOOKUP(H29,密度!$A$2:$A$50,密度!$B$2:$B$50)</f>
        <v>33091.776444999996</v>
      </c>
      <c r="I28" s="91" ph="1">
        <f>I27*18.322*LOOKUP(I29,密度!$A$2:$A$50,密度!$Q$2:$Q$50)</f>
        <v>17681.217181979999</v>
      </c>
      <c r="J28" s="91" ph="1">
        <f>J27*18.322*LOOKUP(J29,密度!$A$2:$A$50,密度!$Q$2:$Q$50)</f>
        <v>5310.5983539599993</v>
      </c>
      <c r="K28" s="91" ph="1">
        <f>K27*18.322*LOOKUP(K29,密度!$A$2:$A$50,密度!$Q$2:$Q$50)</f>
        <v>5572.1342771999998</v>
      </c>
      <c r="L28" s="91" ph="1">
        <f>L27*18.322*LOOKUP(L29,密度!$A$2:$A$50,密度!$Q$2:$Q$50)</f>
        <v>79157.775350419994</v>
      </c>
      <c r="M28" s="91" ph="1">
        <f>M27*18.322*LOOKUP(M29,密度!$A$2:$A$50,密度!$Q$2:$Q$50)</f>
        <v>22261.395630879997</v>
      </c>
      <c r="N28" s="91" ph="1">
        <f>N27*18.322*LOOKUP(N29,密度!$A$2:$A$50,密度!$Q$2:$Q$50)</f>
        <v>5465.2759759199998</v>
      </c>
      <c r="O28" s="91" ph="1">
        <f>O27*18.322*LOOKUP(O29,密度!$A$2:$A$50,密度!$C$2:$C$50)</f>
        <v>109341.6395092</v>
      </c>
      <c r="P28" s="91" ph="1">
        <f>P27*11.702*LOOKUP(P29,密度!$A$2:$A$50,密度!$B$2:$B$50)</f>
        <v>18462.660821000001</v>
      </c>
      <c r="Q28" s="92" ph="1">
        <f>Q27*18.322*LOOKUP(Q29,密度!$A$2:$A$50,密度!$B$2:$B$50)</f>
        <v>45364.786466999991</v>
      </c>
      <c r="R28" s="91" ph="1">
        <f>R27*35.891*LOOKUP(R29,密度!$A$2:$A$50,密度!$C$2:$C$50)</f>
        <v>226632.28386000003</v>
      </c>
      <c r="S28" s="91" ph="1">
        <f>S27*35.891*LOOKUP(S29,密度!$A$2:$A$50,密度!$B$2:$B$50)</f>
        <v>50942.698397499997</v>
      </c>
      <c r="T28" s="91" ph="1">
        <f>T27*35.891*LOOKUP(T29,密度!$A$2:$A$50,密度!$Q$2:$Q$50)</f>
        <v>20889.804187509999</v>
      </c>
      <c r="U28" s="91" ph="1">
        <f>U27*35.891</f>
        <v>229774.182</v>
      </c>
      <c r="V28" s="91" ph="1">
        <f>V27*47.051*LOOKUP(V29,密度!$A$2:$A$50,密度!$B$2:$B$50)</f>
        <v>26651.239083000004</v>
      </c>
      <c r="W28" s="91" ph="1">
        <f>W27*47.051*LOOKUP(W29,密度!$A$2:$A$50,密度!$B$2:$B$50)</f>
        <v>15699.450708800001</v>
      </c>
      <c r="X28" s="91" ph="1">
        <f>X27*47.051*LOOKUP(X29,密度!$A$2:$A$61,密度!$I$2:$I$61)</f>
        <v>135257.792006</v>
      </c>
      <c r="Y28" s="91" ph="1">
        <f>Y27*47.051*LOOKUP(Y29,密度!$A$2:$A$50,密度!$L$2:$L$50)</f>
        <v>198457.82443000004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30</v>
      </c>
      <c r="J29" s="74">
        <v>38</v>
      </c>
      <c r="K29" s="74">
        <v>37</v>
      </c>
      <c r="L29" s="74">
        <v>29</v>
      </c>
      <c r="M29" s="74">
        <v>30</v>
      </c>
      <c r="N29" s="74">
        <v>38</v>
      </c>
      <c r="O29" s="74">
        <v>27</v>
      </c>
      <c r="P29" s="74">
        <v>30</v>
      </c>
      <c r="Q29" s="93">
        <v>32</v>
      </c>
      <c r="R29" s="74">
        <v>33</v>
      </c>
      <c r="S29" s="74">
        <v>32</v>
      </c>
      <c r="T29" s="74">
        <v>30</v>
      </c>
      <c r="U29" s="74">
        <v>35</v>
      </c>
      <c r="V29" s="74">
        <v>28</v>
      </c>
      <c r="W29" s="74">
        <v>25</v>
      </c>
      <c r="X29" s="74">
        <v>29</v>
      </c>
      <c r="Y29" s="74">
        <v>36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43841.706042599995</v>
      </c>
      <c r="E33" s="193" ph="1">
        <f>M10+I10</f>
        <v>91258.257084299985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197" ph="1">
        <f>N19</f>
        <v>10593.74067268</v>
      </c>
      <c r="H33" s="193" ph="1">
        <f>M19</f>
        <v>31015.735586975999</v>
      </c>
      <c r="I33" s="206" ph="1">
        <v>0</v>
      </c>
      <c r="J33" s="204" ph="1">
        <f>F10+O28</f>
        <v>226295.23251310003</v>
      </c>
      <c r="K33" s="193" ph="1">
        <f>O10+K10+E28+R28</f>
        <v>388715.28927072004</v>
      </c>
      <c r="L33" s="208" ph="1">
        <f>K19</f>
        <v>6712.9081262000009</v>
      </c>
      <c r="M33" s="204" ph="1">
        <f>G10+H10+W28+S28+V28+E10+R19+P28+Q28</f>
        <v>524209.88361429999</v>
      </c>
      <c r="N33" s="193" ph="1">
        <f>L10+P10++G28+H28+AD19+AE19</f>
        <v>428190.95071619999</v>
      </c>
      <c r="O33" s="206" ph="1">
        <f>G19</f>
        <v>29021.591692499998</v>
      </c>
      <c r="P33" s="204" ph="1">
        <f>L19</f>
        <v>30723.604611840001</v>
      </c>
      <c r="Q33" s="193" ph="1">
        <f>J10+N10</f>
        <v>22177.657925949999</v>
      </c>
      <c r="R33" s="206" ph="1">
        <f>BE23</f>
        <v>890</v>
      </c>
      <c r="S33" s="204" ph="1">
        <f>X28</f>
        <v>135257.792006</v>
      </c>
      <c r="T33" s="193" ph="1">
        <f>X19</f>
        <v>13440.1093774</v>
      </c>
      <c r="U33" s="214" ph="1">
        <f>BE21</f>
        <v>730</v>
      </c>
      <c r="V33" s="225" ph="1">
        <f ca="1">P19+Q19+S19+M28+N28+J28+D10+AC10+D19+E19+H19+J19+O19+V19+W19+K28+L28</f>
        <v>761907.75731241994</v>
      </c>
      <c r="W33" s="225" ph="1">
        <f>D28+F28+T28+I28</f>
        <v>80141.947138253992</v>
      </c>
      <c r="X33" s="206" ph="1">
        <f>BE29+BE31</f>
        <v>10200</v>
      </c>
      <c r="Y33" s="227" ph="1">
        <f>+Q10+R10+S10+T10+U10+V10+W10+X10+Y10</f>
        <v>321725.83752539998</v>
      </c>
      <c r="Z33" s="212" ph="1">
        <f>T19+U19+Y28+Z10</f>
        <v>303132.15508240007</v>
      </c>
      <c r="AA33" s="214" ph="1">
        <f>BE19</f>
        <v>1440</v>
      </c>
      <c r="AB33" s="216" ph="1">
        <f>I19</f>
        <v>48066.885755999996</v>
      </c>
      <c r="AC33" s="218" ph="1">
        <f>AD10+AB19</f>
        <v>92527.563743999999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644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64" priority="103">
      <formula>ABS(D$7-D$10)&gt;=1000</formula>
    </cfRule>
  </conditionalFormatting>
  <conditionalFormatting sqref="E4 E6:E11">
    <cfRule type="expression" dxfId="663" priority="102">
      <formula>ABS(E$7-E$10)&gt;=1000</formula>
    </cfRule>
  </conditionalFormatting>
  <conditionalFormatting sqref="F4:F11">
    <cfRule type="expression" dxfId="662" priority="101">
      <formula>ABS(F$7-F$10)&gt;=1000</formula>
    </cfRule>
  </conditionalFormatting>
  <conditionalFormatting sqref="G4:G11">
    <cfRule type="expression" dxfId="661" priority="100">
      <formula>ABS(G$7-G$10)&gt;=1000</formula>
    </cfRule>
  </conditionalFormatting>
  <conditionalFormatting sqref="H4:H11">
    <cfRule type="expression" dxfId="660" priority="99">
      <formula>ABS(H$7-H$10)&gt;=1000</formula>
    </cfRule>
  </conditionalFormatting>
  <conditionalFormatting sqref="I4:I11">
    <cfRule type="expression" dxfId="659" priority="98">
      <formula>ABS(I$7-I$10)&gt;=1000</formula>
    </cfRule>
  </conditionalFormatting>
  <conditionalFormatting sqref="J4:J11">
    <cfRule type="expression" dxfId="658" priority="97">
      <formula>ABS(J$7-J$10)&gt;=1000</formula>
    </cfRule>
  </conditionalFormatting>
  <conditionalFormatting sqref="K4:K11">
    <cfRule type="expression" dxfId="657" priority="96">
      <formula>ABS(K$7-K$10)&gt;=1000</formula>
    </cfRule>
  </conditionalFormatting>
  <conditionalFormatting sqref="L4:L11">
    <cfRule type="expression" dxfId="656" priority="95">
      <formula>ABS(L$7-L$10)&gt;=1000</formula>
    </cfRule>
  </conditionalFormatting>
  <conditionalFormatting sqref="M4 M6:M11">
    <cfRule type="expression" dxfId="655" priority="94">
      <formula>ABS(M$7-M$10)&gt;=1000</formula>
    </cfRule>
  </conditionalFormatting>
  <conditionalFormatting sqref="N4 N6:N11">
    <cfRule type="expression" dxfId="654" priority="93">
      <formula>ABS(N$7-N$10)&gt;=1000</formula>
    </cfRule>
  </conditionalFormatting>
  <conditionalFormatting sqref="O4 O6:O11">
    <cfRule type="expression" dxfId="653" priority="92">
      <formula>ABS(O$7-O$10)&gt;=1000</formula>
    </cfRule>
  </conditionalFormatting>
  <conditionalFormatting sqref="P4 P6:P11">
    <cfRule type="expression" dxfId="652" priority="91">
      <formula>ABS(P$7-P$10)&gt;=1000</formula>
    </cfRule>
  </conditionalFormatting>
  <conditionalFormatting sqref="Q4:Q11">
    <cfRule type="expression" dxfId="651" priority="90">
      <formula>ABS(Q$7-Q$10)&gt;=1000</formula>
    </cfRule>
  </conditionalFormatting>
  <conditionalFormatting sqref="R4:R11">
    <cfRule type="expression" dxfId="650" priority="89">
      <formula>ABS(R$7-R$10)&gt;=1000</formula>
    </cfRule>
  </conditionalFormatting>
  <conditionalFormatting sqref="S4:S11">
    <cfRule type="expression" dxfId="649" priority="88">
      <formula>ABS(S$7-S$10)&gt;=1000</formula>
    </cfRule>
  </conditionalFormatting>
  <conditionalFormatting sqref="T4:T9 T11">
    <cfRule type="expression" dxfId="648" priority="87">
      <formula>ABS(T$7-T$10)&gt;=1000</formula>
    </cfRule>
  </conditionalFormatting>
  <conditionalFormatting sqref="U4:U9 U11">
    <cfRule type="expression" dxfId="647" priority="86">
      <formula>ABS(U$7-U$10)&gt;=1000</formula>
    </cfRule>
  </conditionalFormatting>
  <conditionalFormatting sqref="V4:V9 V11">
    <cfRule type="expression" dxfId="646" priority="85">
      <formula>ABS(V$7-V$10)&gt;=1000</formula>
    </cfRule>
  </conditionalFormatting>
  <conditionalFormatting sqref="W4:W9 W11">
    <cfRule type="expression" dxfId="645" priority="84">
      <formula>ABS(W$7-W$10)&gt;=1000</formula>
    </cfRule>
  </conditionalFormatting>
  <conditionalFormatting sqref="X4:X9 X11">
    <cfRule type="expression" dxfId="644" priority="83">
      <formula>ABS(X$7-X$10)&gt;=1000</formula>
    </cfRule>
  </conditionalFormatting>
  <conditionalFormatting sqref="Y4:Y9 Y11">
    <cfRule type="expression" dxfId="643" priority="82">
      <formula>ABS(Y$7-Y$10)&gt;=1000</formula>
    </cfRule>
  </conditionalFormatting>
  <conditionalFormatting sqref="Z4:Z11">
    <cfRule type="expression" dxfId="642" priority="81">
      <formula>ABS(Z$7-Z$10)&gt;=1000</formula>
    </cfRule>
  </conditionalFormatting>
  <conditionalFormatting sqref="AA4:AA11">
    <cfRule type="expression" dxfId="641" priority="80">
      <formula>ABS(AA$7-AA$10)&gt;=1000</formula>
    </cfRule>
  </conditionalFormatting>
  <conditionalFormatting sqref="AB4:AB11">
    <cfRule type="expression" dxfId="640" priority="79">
      <formula>ABS(AB$7-AB$10)&gt;=1000</formula>
    </cfRule>
  </conditionalFormatting>
  <conditionalFormatting sqref="AC4 AC6:AC11">
    <cfRule type="expression" dxfId="639" priority="78">
      <formula>ABS(AC$7-AC$10)&gt;=1000</formula>
    </cfRule>
  </conditionalFormatting>
  <conditionalFormatting sqref="AD4 AD6:AD11">
    <cfRule type="expression" dxfId="638" priority="77">
      <formula>ABS(AD$7-AD$10)&gt;=1000</formula>
    </cfRule>
  </conditionalFormatting>
  <conditionalFormatting sqref="AE4 AE6:AE11">
    <cfRule type="expression" dxfId="637" priority="76">
      <formula>ABS(AE$7-AE$10)&gt;=1000</formula>
    </cfRule>
  </conditionalFormatting>
  <conditionalFormatting sqref="D13:D20">
    <cfRule type="expression" dxfId="636" priority="75">
      <formula>ABS(D$16-D$19)&gt;=1000</formula>
    </cfRule>
  </conditionalFormatting>
  <conditionalFormatting sqref="E13:E20">
    <cfRule type="expression" dxfId="635" priority="74">
      <formula>ABS(E$16-E$19)&gt;=1000</formula>
    </cfRule>
  </conditionalFormatting>
  <conditionalFormatting sqref="F13 F15:F20">
    <cfRule type="expression" dxfId="634" priority="73">
      <formula>ABS(F$16-F$19)&gt;=1000</formula>
    </cfRule>
  </conditionalFormatting>
  <conditionalFormatting sqref="G13:G20">
    <cfRule type="expression" dxfId="633" priority="72">
      <formula>ABS(G$16-G$19)&gt;=1000</formula>
    </cfRule>
  </conditionalFormatting>
  <conditionalFormatting sqref="H13 H15:H20">
    <cfRule type="expression" dxfId="632" priority="71">
      <formula>ABS(H$16-H$19)&gt;=1000</formula>
    </cfRule>
  </conditionalFormatting>
  <conditionalFormatting sqref="I13:I20">
    <cfRule type="expression" dxfId="631" priority="70">
      <formula>ABS(I$16-I$19)&gt;=1000</formula>
    </cfRule>
  </conditionalFormatting>
  <conditionalFormatting sqref="J13:J20">
    <cfRule type="expression" dxfId="630" priority="69">
      <formula>ABS(J$16-J$19)&gt;=1000</formula>
    </cfRule>
  </conditionalFormatting>
  <conditionalFormatting sqref="L13:L20">
    <cfRule type="expression" dxfId="629" priority="68">
      <formula>ABS(L$16-L$19)&gt;=1000</formula>
    </cfRule>
  </conditionalFormatting>
  <conditionalFormatting sqref="M13 M15 M17:M18 M20">
    <cfRule type="expression" dxfId="628" priority="67">
      <formula>ABS(M$16-M$19)&gt;=1000</formula>
    </cfRule>
  </conditionalFormatting>
  <conditionalFormatting sqref="N13:N20">
    <cfRule type="expression" dxfId="627" priority="66">
      <formula>ABS(N$16-N$19)&gt;=1000</formula>
    </cfRule>
  </conditionalFormatting>
  <conditionalFormatting sqref="O13:O20">
    <cfRule type="expression" dxfId="626" priority="65">
      <formula>ABS(O$16-O$19)&gt;=1000</formula>
    </cfRule>
  </conditionalFormatting>
  <conditionalFormatting sqref="P13:P20">
    <cfRule type="expression" dxfId="625" priority="64">
      <formula>ABS(P$16-P$19)&gt;=1000</formula>
    </cfRule>
  </conditionalFormatting>
  <conditionalFormatting sqref="Q13 Q15:Q20">
    <cfRule type="expression" dxfId="624" priority="63">
      <formula>ABS(Q$16-Q$19)&gt;=1000</formula>
    </cfRule>
  </conditionalFormatting>
  <conditionalFormatting sqref="R13 R15:R20">
    <cfRule type="expression" dxfId="623" priority="62">
      <formula>ABS(R$16-R$19)&gt;=1000</formula>
    </cfRule>
  </conditionalFormatting>
  <conditionalFormatting sqref="S13:S20">
    <cfRule type="expression" dxfId="622" priority="61">
      <formula>ABS(S$16-S$19)&gt;=1000</formula>
    </cfRule>
  </conditionalFormatting>
  <conditionalFormatting sqref="T13:T15 T17:T20">
    <cfRule type="expression" dxfId="621" priority="60">
      <formula>ABS(T$16-T$19)&gt;=1000</formula>
    </cfRule>
  </conditionalFormatting>
  <conditionalFormatting sqref="U13:U20">
    <cfRule type="expression" dxfId="620" priority="59">
      <formula>ABS(U$16-U$19)&gt;=1000</formula>
    </cfRule>
  </conditionalFormatting>
  <conditionalFormatting sqref="V13:V20">
    <cfRule type="expression" dxfId="619" priority="58">
      <formula>ABS(V$16-V$19)&gt;=1000</formula>
    </cfRule>
  </conditionalFormatting>
  <conditionalFormatting sqref="W13 W20 W15:W18">
    <cfRule type="expression" dxfId="618" priority="57">
      <formula>ABS(W$16-W$19)&gt;=1000</formula>
    </cfRule>
  </conditionalFormatting>
  <conditionalFormatting sqref="X13 X15:X20 Y19">
    <cfRule type="expression" dxfId="617" priority="56">
      <formula>ABS(X$16-X$19)&gt;=1000</formula>
    </cfRule>
  </conditionalFormatting>
  <conditionalFormatting sqref="Y13 Y15:Y18 Y20">
    <cfRule type="expression" dxfId="616" priority="55">
      <formula>ABS(Y$16-Y$19)&gt;=1000</formula>
    </cfRule>
  </conditionalFormatting>
  <conditionalFormatting sqref="Z13:Z20">
    <cfRule type="expression" dxfId="615" priority="54">
      <formula>ABS(Z$16-Z$19)&gt;=1000</formula>
    </cfRule>
  </conditionalFormatting>
  <conditionalFormatting sqref="AA13:AA20">
    <cfRule type="expression" dxfId="614" priority="53">
      <formula>ABS(AA$16-AA$19)&gt;=1000</formula>
    </cfRule>
  </conditionalFormatting>
  <conditionalFormatting sqref="AB13 AB15:AB20">
    <cfRule type="expression" dxfId="613" priority="52">
      <formula>ABS(AB$16-AB$19)&gt;=1000</formula>
    </cfRule>
  </conditionalFormatting>
  <conditionalFormatting sqref="AC13 AC15:AC20">
    <cfRule type="expression" dxfId="612" priority="51">
      <formula>ABS(AC$16-AC$19)&gt;=1000</formula>
    </cfRule>
  </conditionalFormatting>
  <conditionalFormatting sqref="AD13:AD20">
    <cfRule type="expression" dxfId="611" priority="50">
      <formula>ABS(AD$16-AD$19)&gt;=1000</formula>
    </cfRule>
  </conditionalFormatting>
  <conditionalFormatting sqref="AE13:AE20">
    <cfRule type="expression" dxfId="610" priority="49">
      <formula>ABS(AE$16-AE$19)&gt;=1000</formula>
    </cfRule>
  </conditionalFormatting>
  <conditionalFormatting sqref="D22:D29">
    <cfRule type="expression" dxfId="609" priority="48">
      <formula>ABS(D$25-D$28)&gt;=1000</formula>
    </cfRule>
  </conditionalFormatting>
  <conditionalFormatting sqref="E22:E29">
    <cfRule type="expression" dxfId="608" priority="47">
      <formula>ABS(E$25-E$28)&gt;=1000</formula>
    </cfRule>
  </conditionalFormatting>
  <conditionalFormatting sqref="F22:F29">
    <cfRule type="expression" dxfId="607" priority="46">
      <formula>ABS(F$25-F$28)&gt;=1000</formula>
    </cfRule>
  </conditionalFormatting>
  <conditionalFormatting sqref="G22:G29">
    <cfRule type="expression" dxfId="606" priority="45">
      <formula>ABS(G$25-G$28)&gt;=1000</formula>
    </cfRule>
  </conditionalFormatting>
  <conditionalFormatting sqref="H22:H29">
    <cfRule type="expression" dxfId="605" priority="44">
      <formula>ABS(H$25-H$28)&gt;=1000</formula>
    </cfRule>
  </conditionalFormatting>
  <conditionalFormatting sqref="I22 I24:I29">
    <cfRule type="expression" dxfId="604" priority="43">
      <formula>ABS(I$25-I$28)&gt;=1000</formula>
    </cfRule>
  </conditionalFormatting>
  <conditionalFormatting sqref="J22:J29 K22">
    <cfRule type="expression" dxfId="603" priority="42">
      <formula>ABS(J$25-J$28)&gt;=1000</formula>
    </cfRule>
  </conditionalFormatting>
  <conditionalFormatting sqref="K23:K29 L25 L28">
    <cfRule type="expression" dxfId="602" priority="41">
      <formula>ABS(K$25-K$28)&gt;=1000</formula>
    </cfRule>
  </conditionalFormatting>
  <conditionalFormatting sqref="L22 L26:L27 L29 L24">
    <cfRule type="expression" dxfId="601" priority="40">
      <formula>ABS(L$25-L$28)&gt;=1000</formula>
    </cfRule>
  </conditionalFormatting>
  <conditionalFormatting sqref="M22:M29">
    <cfRule type="expression" dxfId="600" priority="39">
      <formula>ABS(M$25-M$28)&gt;=1000</formula>
    </cfRule>
  </conditionalFormatting>
  <conditionalFormatting sqref="N22:N29">
    <cfRule type="expression" dxfId="599" priority="38">
      <formula>ABS(N$25-N$28)&gt;=1000</formula>
    </cfRule>
  </conditionalFormatting>
  <conditionalFormatting sqref="O22 O24:O29">
    <cfRule type="expression" dxfId="598" priority="37">
      <formula>ABS(O$25-O$28)&gt;=1000</formula>
    </cfRule>
  </conditionalFormatting>
  <conditionalFormatting sqref="P22:P29">
    <cfRule type="expression" dxfId="597" priority="36">
      <formula>ABS(P$25-P$28)&gt;=1000</formula>
    </cfRule>
  </conditionalFormatting>
  <conditionalFormatting sqref="Q22:Q29">
    <cfRule type="expression" dxfId="596" priority="35">
      <formula>ABS(Q$25-Q$28)&gt;=1000</formula>
    </cfRule>
  </conditionalFormatting>
  <conditionalFormatting sqref="R22:R29">
    <cfRule type="expression" dxfId="595" priority="34">
      <formula>ABS(R$25-R$28)&gt;=1000</formula>
    </cfRule>
  </conditionalFormatting>
  <conditionalFormatting sqref="S22:S29">
    <cfRule type="expression" dxfId="594" priority="33">
      <formula>ABS(S$25-S$28)&gt;=1000</formula>
    </cfRule>
  </conditionalFormatting>
  <conditionalFormatting sqref="T22:T29">
    <cfRule type="expression" dxfId="593" priority="32">
      <formula>ABS(T$25-T$28)&gt;=1000</formula>
    </cfRule>
  </conditionalFormatting>
  <conditionalFormatting sqref="U22:U29">
    <cfRule type="expression" dxfId="592" priority="31">
      <formula>ABS(U$25-U$28)&gt;=1000</formula>
    </cfRule>
  </conditionalFormatting>
  <conditionalFormatting sqref="V22:V29">
    <cfRule type="expression" dxfId="591" priority="30">
      <formula>ABS(V$25-V$28)&gt;=1000</formula>
    </cfRule>
  </conditionalFormatting>
  <conditionalFormatting sqref="W22:W29">
    <cfRule type="expression" dxfId="590" priority="29">
      <formula>ABS(W$25-W$28)&gt;=1000</formula>
    </cfRule>
  </conditionalFormatting>
  <conditionalFormatting sqref="X22:X29">
    <cfRule type="expression" dxfId="589" priority="28">
      <formula>ABS(X$25-X$28)&gt;=1000</formula>
    </cfRule>
  </conditionalFormatting>
  <conditionalFormatting sqref="Y22:Y29">
    <cfRule type="expression" dxfId="588" priority="27">
      <formula>ABS(Y$25-Y$28)&gt;=1000</formula>
    </cfRule>
  </conditionalFormatting>
  <conditionalFormatting sqref="I23">
    <cfRule type="expression" dxfId="587" priority="26">
      <formula>ABS(I$25-I$28)&gt;=1000</formula>
    </cfRule>
  </conditionalFormatting>
  <conditionalFormatting sqref="Q14">
    <cfRule type="expression" dxfId="586" priority="25">
      <formula>ABS(Q$16-Q$19)&gt;=1000</formula>
    </cfRule>
  </conditionalFormatting>
  <conditionalFormatting sqref="W14">
    <cfRule type="expression" dxfId="585" priority="24">
      <formula>ABS(W$16-W$19)&gt;=1000</formula>
    </cfRule>
  </conditionalFormatting>
  <conditionalFormatting sqref="X14">
    <cfRule type="expression" dxfId="584" priority="23">
      <formula>ABS(X$16-X$19)&gt;=1000</formula>
    </cfRule>
  </conditionalFormatting>
  <conditionalFormatting sqref="T10:Y10">
    <cfRule type="expression" dxfId="583" priority="22">
      <formula>ABS(T$7-T$10)&gt;=1000</formula>
    </cfRule>
  </conditionalFormatting>
  <conditionalFormatting sqref="W19">
    <cfRule type="expression" dxfId="582" priority="21">
      <formula>ABS(W$16-W$19)&gt;=1000</formula>
    </cfRule>
  </conditionalFormatting>
  <conditionalFormatting sqref="AC5">
    <cfRule type="expression" dxfId="581" priority="20">
      <formula>ABS(AC$7-AC$10)&gt;=1000</formula>
    </cfRule>
  </conditionalFormatting>
  <conditionalFormatting sqref="M14">
    <cfRule type="expression" dxfId="580" priority="19">
      <formula>ABS(M$16-M$19)&gt;=1000</formula>
    </cfRule>
  </conditionalFormatting>
  <conditionalFormatting sqref="M16">
    <cfRule type="expression" dxfId="579" priority="18">
      <formula>ABS(M$16-M$19)&gt;=1000</formula>
    </cfRule>
  </conditionalFormatting>
  <conditionalFormatting sqref="M19">
    <cfRule type="expression" dxfId="578" priority="17">
      <formula>ABS(M$16-M$19)&gt;=1000</formula>
    </cfRule>
  </conditionalFormatting>
  <conditionalFormatting sqref="K13:K20">
    <cfRule type="expression" dxfId="577" priority="16">
      <formula>ABS(K$16-K$19)&gt;=1000</formula>
    </cfRule>
  </conditionalFormatting>
  <conditionalFormatting sqref="E5">
    <cfRule type="expression" dxfId="576" priority="15">
      <formula>ABS(E$7-E$10)&gt;=1000</formula>
    </cfRule>
  </conditionalFormatting>
  <conditionalFormatting sqref="AB14:AC14">
    <cfRule type="expression" dxfId="575" priority="14">
      <formula>ABS(AB$16-AB$19)&gt;=1000</formula>
    </cfRule>
  </conditionalFormatting>
  <conditionalFormatting sqref="M5">
    <cfRule type="expression" dxfId="574" priority="13">
      <formula>ABS(M$7-M$10)&gt;=1000</formula>
    </cfRule>
  </conditionalFormatting>
  <conditionalFormatting sqref="N5">
    <cfRule type="expression" dxfId="573" priority="12">
      <formula>ABS(N$7-N$10)&gt;=1000</formula>
    </cfRule>
  </conditionalFormatting>
  <conditionalFormatting sqref="O5">
    <cfRule type="expression" dxfId="572" priority="11">
      <formula>ABS(O$7-O$10)&gt;=1000</formula>
    </cfRule>
  </conditionalFormatting>
  <conditionalFormatting sqref="P5">
    <cfRule type="expression" dxfId="571" priority="10">
      <formula>ABS(P$7-P$10)&gt;=1000</formula>
    </cfRule>
  </conditionalFormatting>
  <conditionalFormatting sqref="L23">
    <cfRule type="expression" dxfId="570" priority="9">
      <formula>ABS(L$25-L$28)&gt;=1000</formula>
    </cfRule>
  </conditionalFormatting>
  <conditionalFormatting sqref="Y14">
    <cfRule type="expression" dxfId="569" priority="8">
      <formula>ABS(Y$16-Y$19)&gt;=1000</formula>
    </cfRule>
  </conditionalFormatting>
  <conditionalFormatting sqref="H14">
    <cfRule type="expression" dxfId="568" priority="7">
      <formula>ABS(H$16-H$19)&gt;=1000</formula>
    </cfRule>
  </conditionalFormatting>
  <conditionalFormatting sqref="AD5">
    <cfRule type="expression" dxfId="567" priority="6">
      <formula>ABS(AD$7-AD$10)&gt;=1000</formula>
    </cfRule>
  </conditionalFormatting>
  <conditionalFormatting sqref="AE5">
    <cfRule type="expression" dxfId="566" priority="5">
      <formula>ABS(AE$7-AE$10)&gt;=1000</formula>
    </cfRule>
  </conditionalFormatting>
  <conditionalFormatting sqref="T16">
    <cfRule type="expression" dxfId="565" priority="4">
      <formula>ABS(T$16-T$19)&gt;=1000</formula>
    </cfRule>
  </conditionalFormatting>
  <conditionalFormatting sqref="F14">
    <cfRule type="expression" dxfId="564" priority="3">
      <formula>ABS(F$16-F$19)&gt;=1000</formula>
    </cfRule>
  </conditionalFormatting>
  <conditionalFormatting sqref="R14">
    <cfRule type="expression" dxfId="563" priority="2">
      <formula>ABS(R$16-R$19)&gt;=1000</formula>
    </cfRule>
  </conditionalFormatting>
  <conditionalFormatting sqref="O23">
    <cfRule type="expression" dxfId="56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88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7">
    <pageSetUpPr fitToPage="1"/>
  </sheetPr>
  <dimension ref="A1:CU223"/>
  <sheetViews>
    <sheetView view="pageBreakPreview" topLeftCell="A16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46297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6065</v>
      </c>
      <c r="E6" s="71">
        <v>3448</v>
      </c>
      <c r="F6" s="71">
        <v>3185</v>
      </c>
      <c r="G6" s="71">
        <v>3539</v>
      </c>
      <c r="H6" s="71">
        <v>2212</v>
      </c>
      <c r="I6" s="71">
        <v>4.5</v>
      </c>
      <c r="J6" s="71">
        <v>6.61</v>
      </c>
      <c r="K6" s="71">
        <v>63.82</v>
      </c>
      <c r="L6" s="71">
        <v>7.15</v>
      </c>
      <c r="M6" s="71">
        <v>2652</v>
      </c>
      <c r="N6" s="71">
        <v>679</v>
      </c>
      <c r="O6" s="71">
        <v>5307</v>
      </c>
      <c r="P6" s="71">
        <v>8378</v>
      </c>
      <c r="Q6" s="71">
        <v>2984</v>
      </c>
      <c r="R6" s="71">
        <v>5</v>
      </c>
      <c r="S6" s="71">
        <v>0</v>
      </c>
      <c r="T6" s="71">
        <v>7138</v>
      </c>
      <c r="U6" s="71">
        <v>7128</v>
      </c>
      <c r="V6" s="71">
        <v>6196</v>
      </c>
      <c r="W6" s="71">
        <v>6347</v>
      </c>
      <c r="X6" s="71">
        <v>7025</v>
      </c>
      <c r="Y6" s="71">
        <v>7133</v>
      </c>
      <c r="Z6" s="71">
        <v>2699</v>
      </c>
      <c r="AA6" s="71">
        <v>1122</v>
      </c>
      <c r="AB6" s="71">
        <v>281</v>
      </c>
      <c r="AC6" s="71">
        <v>7440</v>
      </c>
      <c r="AD6" s="71">
        <v>4727</v>
      </c>
      <c r="AE6" s="71">
        <v>5114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189038.7228735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141777.42621000001</v>
      </c>
      <c r="H7" s="73" ph="1">
        <f>(H6)*51.53*LOOKUP(H8,密度!$A$2:$A$50,密度!$B$2:$B$50)</f>
        <v>88759.621132</v>
      </c>
      <c r="I7" s="73" ph="1">
        <f>I6*290.8*1.0267</f>
        <v>1343.53962</v>
      </c>
      <c r="J7" s="73" ph="1">
        <f>J6*290.8*0.7892</f>
        <v>1516.9907696</v>
      </c>
      <c r="K7" s="73" ph="1">
        <f>K6*290.8*1.1126</f>
        <v>20648.5831856</v>
      </c>
      <c r="L7" s="73" ph="1">
        <f>L6*290.8*0.777</f>
        <v>1615.5539400000002</v>
      </c>
      <c r="M7" s="73" ph="1">
        <f>M6*33.183*LOOKUP(M8,密度!$A$2:$A$50,密度!$D$2:$D$50)</f>
        <v>90016.546136399993</v>
      </c>
      <c r="N7" s="73" ph="1">
        <f>N6*33.183*LOOKUP(N8,密度!$A$2:$A$50,密度!$E$2:$E$50)</f>
        <v>17596.911717000003</v>
      </c>
      <c r="O7" s="73" ph="1">
        <f>O6*20.428*LOOKUP(O8,密度!$A$2:$A$50,密度!$C$2:$C$50)</f>
        <v>119577.76978800001</v>
      </c>
      <c r="P7" s="73" ph="1">
        <f>P6*51.53*LOOKUP(P8,密度!$A$2:$A$50,密度!$B$2:$B$50)</f>
        <v>335833.69668600004</v>
      </c>
      <c r="Q7" s="73" ph="1">
        <f>Q6*1.5*1.5*3.1416*LOOKUP(W8,密度!$A$2:$A$50,密度!$L$2:$L$50)</f>
        <v>19742.769446399998</v>
      </c>
      <c r="R7" s="73" ph="1">
        <f>R6*1.5*1.5*3.1416*LOOKUP(R8,密度!$A$2:$A$50,密度!$L$2:$L$50)</f>
        <v>32.798304000000002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47377.871125199999</v>
      </c>
      <c r="U7" s="73" ph="1">
        <f>U6*1.5*1.5*3.1416*LOOKUP(U8,密度!$A$2:$A$50,密度!$L$2:$L$50)</f>
        <v>47059.572067200002</v>
      </c>
      <c r="V7" s="73" ph="1">
        <f>V6*1.5*1.5*3.1416*LOOKUP(V8,密度!$A$2:$A$50,密度!$L$2:$L$50)</f>
        <v>40906.440590400001</v>
      </c>
      <c r="W7" s="73" ph="1">
        <f>W6*1.5*1.5*3.1416*LOOKUP(W8,密度!$A$2:$A$50,密度!$L$2:$L$50)</f>
        <v>41993.082331199999</v>
      </c>
      <c r="X7" s="73" ph="1">
        <f>X6*1.5*1.5*3.1416*LOOKUP(X8,密度!$A$2:$A$50,密度!$L$2:$L$50)</f>
        <v>46776.813929999997</v>
      </c>
      <c r="Y7" s="73" ph="1">
        <f>Y6*1.5*1.5*3.1416*LOOKUP(Y8,密度!$A$2:$A$50,密度!$L$2:$L$50)</f>
        <v>47143.002753000001</v>
      </c>
      <c r="Z7" s="73" ph="1">
        <f>Z6*33.183*LOOKUP(Z8,密度!$A$2:$A$50,密度!$L$2:$L$50)</f>
        <v>83649.89647800001</v>
      </c>
      <c r="AA7" s="73" ph="1">
        <f>AA6*33.183*LOOKUP(AA8,密度!$A$2:$A$50,密度!$D$2:$D$50)</f>
        <v>38121.154691399999</v>
      </c>
      <c r="AB7" s="73" ph="1">
        <f>AB6*20.428*LOOKUP(AB8,密度!$A$2:$A$50,密度!$D$2:$D$50)</f>
        <v>5915.3461740000002</v>
      </c>
      <c r="AC7" s="73" ph="1">
        <f>AC6*51.53*LOOKUP(AC8,密度!$A$2:$A$50,密度!$Q$2:$Q$50)</f>
        <v>362419.80662400002</v>
      </c>
      <c r="AD7" s="73" ph="1">
        <f>AD6*20.428*LOOKUP(AD8,密度!$A$2:$A$50,密度!$V$2:$V$50)</f>
        <v>92468.878185599999</v>
      </c>
      <c r="AE7" s="73" ph="1">
        <f>AE6*20.428</f>
        <v>104468.792</v>
      </c>
    </row>
    <row r="8" spans="1:99" ph="1">
      <c r="B8" s="171" ph="1"/>
      <c r="C8" s="68" t="s" ph="1">
        <v>179</v>
      </c>
      <c r="D8" s="74">
        <v>36</v>
      </c>
      <c r="E8" s="74">
        <v>27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32</v>
      </c>
      <c r="P8" s="74">
        <v>27</v>
      </c>
      <c r="Q8" s="74">
        <v>31</v>
      </c>
      <c r="R8" s="74">
        <v>34</v>
      </c>
      <c r="S8" s="74">
        <v>25</v>
      </c>
      <c r="T8" s="74">
        <v>23</v>
      </c>
      <c r="U8" s="74">
        <v>28</v>
      </c>
      <c r="V8" s="74">
        <v>28</v>
      </c>
      <c r="W8" s="74">
        <v>26</v>
      </c>
      <c r="X8" s="74">
        <v>20</v>
      </c>
      <c r="Y8" s="74">
        <v>27</v>
      </c>
      <c r="Z8" s="74">
        <v>28</v>
      </c>
      <c r="AA8" s="74">
        <v>28</v>
      </c>
      <c r="AB8" s="74">
        <v>21</v>
      </c>
      <c r="AC8" s="74">
        <v>27</v>
      </c>
      <c r="AD8" s="74">
        <v>27</v>
      </c>
      <c r="AE8" s="74">
        <v>30</v>
      </c>
    </row>
    <row r="9" spans="1:99" ht="26.4" ph="1">
      <c r="B9" s="171" ph="1">
        <v>0.66666666666666663</v>
      </c>
      <c r="C9" s="149" t="s" ph="1">
        <v>180</v>
      </c>
      <c r="D9" s="71">
        <v>6458</v>
      </c>
      <c r="E9" s="71">
        <v>3448</v>
      </c>
      <c r="F9" s="71">
        <v>3188</v>
      </c>
      <c r="G9" s="71">
        <v>3398</v>
      </c>
      <c r="H9" s="71">
        <v>2214</v>
      </c>
      <c r="I9" s="71">
        <v>0.05</v>
      </c>
      <c r="J9" s="71">
        <v>6.62</v>
      </c>
      <c r="K9" s="71">
        <v>64.08</v>
      </c>
      <c r="L9" s="71">
        <v>6.99</v>
      </c>
      <c r="M9" s="71">
        <v>2651</v>
      </c>
      <c r="N9" s="71">
        <v>681</v>
      </c>
      <c r="O9" s="71">
        <v>5307</v>
      </c>
      <c r="P9" s="71">
        <v>8803</v>
      </c>
      <c r="Q9" s="71">
        <v>6221</v>
      </c>
      <c r="R9" s="71">
        <v>2811</v>
      </c>
      <c r="S9" s="71">
        <v>2731</v>
      </c>
      <c r="T9" s="71">
        <v>2178</v>
      </c>
      <c r="U9" s="71">
        <v>7133</v>
      </c>
      <c r="V9" s="71">
        <v>6202</v>
      </c>
      <c r="W9" s="71">
        <v>6356</v>
      </c>
      <c r="X9" s="71">
        <v>7032</v>
      </c>
      <c r="Y9" s="71">
        <v>7143</v>
      </c>
      <c r="Z9" s="71">
        <v>3510</v>
      </c>
      <c r="AA9" s="71">
        <v>1073</v>
      </c>
      <c r="AB9" s="71">
        <v>270</v>
      </c>
      <c r="AC9" s="71">
        <v>7230</v>
      </c>
      <c r="AD9" s="71">
        <v>4730</v>
      </c>
      <c r="AE9" s="71">
        <v>5115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201288.05809020001</v>
      </c>
      <c r="E10" s="73" ph="1">
        <f>E9*51.53*LOOKUP(E11,密度!$A$2:$A$50,密度!$B$2:$B$50)</f>
        <v>137911.67652800001</v>
      </c>
      <c r="F10" s="73" ph="1">
        <f>F9*33.183*LOOKUP(F11,密度!$A$2:$A$50,密度!$C$2:$C$50)</f>
        <v>117064.34126639999</v>
      </c>
      <c r="G10" s="73" ph="1">
        <f xml:space="preserve"> (G9+2)*51.53*LOOKUP(G11,密度!$A$2:$A$50,密度!$B$2:$B$50)</f>
        <v>135834.11059999999</v>
      </c>
      <c r="H10" s="73" ph="1">
        <f>(H9)*51.53*LOOKUP(H11,密度!$A$2:$A$50,密度!$B$2:$B$50)</f>
        <v>88554.655404000005</v>
      </c>
      <c r="I10" s="73" ph="1">
        <f>I9*290.8*1.0267</f>
        <v>14.928217999999999</v>
      </c>
      <c r="J10" s="73" ph="1">
        <f>J9*290.8*0.7892</f>
        <v>1519.2857632</v>
      </c>
      <c r="K10" s="73" ph="1">
        <f>K9*290.8*1.1126</f>
        <v>20732.704646400001</v>
      </c>
      <c r="L10" s="73" ph="1">
        <f>L9*290.8*0.777</f>
        <v>1579.4016840000002</v>
      </c>
      <c r="M10" s="73" ph="1">
        <f>M9*33.183*LOOKUP(M11,密度!$A$2:$A$50,密度!$D$2:$D$50)</f>
        <v>89903.431926000005</v>
      </c>
      <c r="N10" s="73" ph="1">
        <f>N9*33.183*LOOKUP(N11,密度!$A$2:$A$50,密度!$E$2:$E$50)</f>
        <v>17571.911644799999</v>
      </c>
      <c r="O10" s="73" ph="1">
        <f>O9*20.428*LOOKUP(O11,密度!$A$2:$A$50,密度!$C$2:$C$50)</f>
        <v>119241.69446040002</v>
      </c>
      <c r="P10" s="73" ph="1">
        <f>P9*51.53*LOOKUP(P11,密度!$A$2:$A$50,密度!$B$2:$B$50)</f>
        <v>352098.74955800001</v>
      </c>
      <c r="Q10" s="73" ph="1">
        <f>Q9*1.5*1.5*3.1416*LOOKUP(W11,密度!$A$2:$A$50,密度!$L$2:$L$50)</f>
        <v>41027.518639800001</v>
      </c>
      <c r="R10" s="73" ph="1">
        <f>R9*1.5*1.5*3.1416*LOOKUP(R11,密度!$A$2:$A$50,密度!$L$2:$L$50)</f>
        <v>18439.206508799998</v>
      </c>
      <c r="S10" s="73" ph="1">
        <f>S9*1.5*1.5*3.1416*LOOKUP(S11,密度!$A$2:$A$50,密度!$L$2:$L$50)</f>
        <v>18088.172764200001</v>
      </c>
      <c r="T10" s="73" ph="1">
        <f>T9*1.5*1.5*3.1416*LOOKUP(T11,密度!$A$2:$A$50,密度!$L$2:$L$50)</f>
        <v>14410.104508800001</v>
      </c>
      <c r="U10" s="73" ph="1">
        <f>U9*1.5*1.5*3.1416*LOOKUP(U11,密度!$A$2:$A$50,密度!$L$2:$L$50)</f>
        <v>47042.162105399999</v>
      </c>
      <c r="V10" s="73" ph="1">
        <f>V9*1.5*1.5*3.1416*LOOKUP(V11,密度!$A$2:$A$50,密度!$L$2:$L$50)</f>
        <v>40946.0530248</v>
      </c>
      <c r="W10" s="73" ph="1">
        <f>W9*1.5*1.5*3.1416*LOOKUP(W11,密度!$A$2:$A$50,密度!$L$2:$L$50)</f>
        <v>41917.844152800004</v>
      </c>
      <c r="X10" s="73" ph="1">
        <f>X9*1.5*1.5*3.1416*LOOKUP(X11,密度!$A$2:$A$50,密度!$L$2:$L$50)</f>
        <v>46823.424278399994</v>
      </c>
      <c r="Y10" s="73" ph="1">
        <f>Y9*1.5*1.5*3.1416*LOOKUP(Y11,密度!$A$2:$A$50,密度!$L$2:$L$50)</f>
        <v>47158.603153200005</v>
      </c>
      <c r="Z10" s="73" ph="1">
        <f>Z9*33.183*LOOKUP(Z11,密度!$A$2:$A$50,密度!$L$2:$L$50)</f>
        <v>108785.15622</v>
      </c>
      <c r="AA10" s="73" ph="1">
        <f>AA9*33.183*LOOKUP(AA11,密度!$A$2:$A$50,密度!$D$2:$D$50)</f>
        <v>36356.632074899993</v>
      </c>
      <c r="AB10" s="73" ph="1">
        <f>AB9*20.428*LOOKUP(AB11,密度!$A$2:$A$50,密度!$D$2:$D$50)</f>
        <v>5662.825452</v>
      </c>
      <c r="AC10" s="73" ph="1">
        <f>AC9*51.53*LOOKUP(AC11,密度!$A$2:$A$50,密度!$Q$2:$Q$50)</f>
        <v>351448.81712700002</v>
      </c>
      <c r="AD10" s="73" ph="1">
        <f>AD9*20.428*LOOKUP(AD11,密度!$A$2:$A$50,密度!$V$2:$V$50)</f>
        <v>92527.563743999999</v>
      </c>
      <c r="AE10" s="73" ph="1">
        <f>AE9*20.428</f>
        <v>104489.22</v>
      </c>
    </row>
    <row r="11" spans="1:99" ph="1">
      <c r="A11" s="64" t="s" ph="1">
        <v>162</v>
      </c>
      <c r="B11" s="171" ph="1"/>
      <c r="C11" s="149" t="s" ph="1">
        <v>179</v>
      </c>
      <c r="D11" s="74">
        <v>36</v>
      </c>
      <c r="E11" s="74">
        <v>29</v>
      </c>
      <c r="F11" s="74">
        <v>28</v>
      </c>
      <c r="G11" s="74">
        <v>30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35</v>
      </c>
      <c r="P11" s="74">
        <v>29</v>
      </c>
      <c r="Q11" s="74">
        <v>32</v>
      </c>
      <c r="R11" s="74">
        <v>34</v>
      </c>
      <c r="S11" s="74">
        <v>25</v>
      </c>
      <c r="T11" s="74">
        <v>26</v>
      </c>
      <c r="U11" s="74">
        <v>29</v>
      </c>
      <c r="V11" s="74">
        <v>28</v>
      </c>
      <c r="W11" s="74">
        <v>29</v>
      </c>
      <c r="X11" s="74">
        <v>20</v>
      </c>
      <c r="Y11" s="74">
        <v>28</v>
      </c>
      <c r="Z11" s="74">
        <v>28</v>
      </c>
      <c r="AA11" s="74">
        <v>31</v>
      </c>
      <c r="AB11" s="74">
        <v>25</v>
      </c>
      <c r="AC11" s="74">
        <v>30</v>
      </c>
      <c r="AD11" s="74">
        <v>29</v>
      </c>
      <c r="AE11" s="74">
        <v>29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3552</v>
      </c>
      <c r="E15" s="78">
        <v>70</v>
      </c>
      <c r="F15" s="78">
        <v>2082</v>
      </c>
      <c r="G15" s="78">
        <v>4424</v>
      </c>
      <c r="H15" s="78">
        <v>3457</v>
      </c>
      <c r="I15" s="78">
        <v>5189</v>
      </c>
      <c r="J15" s="78">
        <v>524</v>
      </c>
      <c r="K15" s="78">
        <v>671</v>
      </c>
      <c r="L15" s="78">
        <v>4344</v>
      </c>
      <c r="M15" s="78">
        <v>3939</v>
      </c>
      <c r="N15" s="78">
        <v>1344</v>
      </c>
      <c r="O15" s="78">
        <v>3344</v>
      </c>
      <c r="P15" s="78">
        <v>458</v>
      </c>
      <c r="Q15" s="78">
        <v>0</v>
      </c>
      <c r="R15" s="78">
        <v>0</v>
      </c>
      <c r="S15" s="78">
        <v>0</v>
      </c>
      <c r="T15" s="78">
        <v>1213</v>
      </c>
      <c r="U15" s="78">
        <v>5489</v>
      </c>
      <c r="V15" s="78">
        <v>-817</v>
      </c>
      <c r="W15" s="71">
        <v>-817</v>
      </c>
      <c r="X15" s="78">
        <v>818</v>
      </c>
      <c r="Y15" s="106">
        <v>-9906</v>
      </c>
      <c r="Z15" s="78">
        <v>0</v>
      </c>
      <c r="AA15" s="78">
        <v>2449</v>
      </c>
      <c r="AB15" s="78" ph="1">
        <v>0</v>
      </c>
      <c r="AC15" s="78" ph="1">
        <v>0</v>
      </c>
      <c r="AD15" s="78">
        <v>4.93</v>
      </c>
      <c r="AE15" s="78">
        <v>45.73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23525.884166400003</v>
      </c>
      <c r="E16" s="73" ph="1">
        <f>E15*7.0686*LOOKUP(E17,密度!$A$2:$A$50,密度!$L$2:$L$50)</f>
        <v>462.63987000000003</v>
      </c>
      <c r="F16" s="73" ph="1">
        <f>F15*9.0746*LOOKUP(F17,密度!$A$2:$A$50,密度!$L$2:$L$50)</f>
        <v>17381.851824000001</v>
      </c>
      <c r="G16" s="73" ph="1">
        <f>G15*9.0746*LOOKUP(G17,密度!$A$2:$A$50,密度!$B$2:$B$50)</f>
        <v>31193.465620800005</v>
      </c>
      <c r="H16" s="73" ph="1">
        <f>H15*9.0746*LOOKUP(H17,密度!$A$2:$A$50,密度!$L$2:$L$50)</f>
        <v>29425.896883599999</v>
      </c>
      <c r="I16" s="73" ph="1">
        <f>I15*9.0746*LOOKUP(I17,密度!$A$2:$A$50,密度!$U$2:$U$50)</f>
        <v>48218.213785599997</v>
      </c>
      <c r="J16" s="73" ph="1">
        <f>J15*9.0746*LOOKUP(J17,密度!$A$2:$A$50,密度!$L$2:$L$50)</f>
        <v>4446.0095240000001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30653.04052224</v>
      </c>
      <c r="M16" s="73" ph="1">
        <f>M15*9.0746*LOOKUP(M17,密度!$A$2:$A$50,密度!$M$2:$M$50)</f>
        <v>31057.627298178002</v>
      </c>
      <c r="N16" s="73" ph="1">
        <f>N15*9.0746*LOOKUP(N17,密度!$A$2:$A$50,密度!$M$2:$M$50)</f>
        <v>10660.752963839999</v>
      </c>
      <c r="O16" s="73" ph="1">
        <f>O15*9.0746*LOOKUP(O17,密度!$A$2:$A$50,密度!$G$2:$G$50)</f>
        <v>28970.812953280001</v>
      </c>
      <c r="P16" s="73" ph="1">
        <f ca="1">P15*9.0746*LOOKUP(P17,密度!$A$2:$A$51,密度!$Q$2:$Q$50)</f>
        <v>3934.809356232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10192.9355548</v>
      </c>
      <c r="U16" s="73" ph="1">
        <f>U15*9.0746*LOOKUP(U17,密度!$A$2:$A$50,密度!$H$2:$H$50)</f>
        <v>45471.986644260003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17287.812651660002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2253.50583504</v>
      </c>
      <c r="AE16" s="73" ph="1">
        <f>AE15*268.68*LOOKUP(AE17,密度!$A$2:$A$50,密度!B2:B50)+IF(AE15&lt;=0,0,1566*LOOKUP(AE17,密度!$A$2:$A$50,密度!B2:B50))</f>
        <v>10799.59329744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25</v>
      </c>
      <c r="E17" s="74">
        <v>27</v>
      </c>
      <c r="F17" s="74">
        <v>42</v>
      </c>
      <c r="G17" s="74">
        <v>28</v>
      </c>
      <c r="H17" s="74">
        <v>24</v>
      </c>
      <c r="I17" s="74">
        <v>26</v>
      </c>
      <c r="J17" s="74">
        <v>27</v>
      </c>
      <c r="K17" s="74">
        <v>26</v>
      </c>
      <c r="L17" s="74">
        <v>30</v>
      </c>
      <c r="M17" s="74">
        <v>31</v>
      </c>
      <c r="N17" s="74">
        <v>26</v>
      </c>
      <c r="O17" s="74">
        <v>30</v>
      </c>
      <c r="P17" s="74">
        <v>25</v>
      </c>
      <c r="Q17" s="74">
        <v>27</v>
      </c>
      <c r="R17" s="74">
        <v>27</v>
      </c>
      <c r="S17" s="74">
        <v>27</v>
      </c>
      <c r="T17" s="74">
        <v>26</v>
      </c>
      <c r="U17" s="74">
        <v>27</v>
      </c>
      <c r="V17" s="74">
        <v>29</v>
      </c>
      <c r="W17" s="74">
        <v>29</v>
      </c>
      <c r="X17" s="74">
        <v>29</v>
      </c>
      <c r="Y17" s="108">
        <v>29</v>
      </c>
      <c r="Z17" s="74">
        <v>27</v>
      </c>
      <c r="AA17" s="74">
        <v>27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2151</v>
      </c>
      <c r="E18" s="71">
        <v>2585</v>
      </c>
      <c r="F18" s="71">
        <v>2200</v>
      </c>
      <c r="G18" s="71">
        <v>1207</v>
      </c>
      <c r="H18" s="71">
        <v>3459</v>
      </c>
      <c r="I18" s="71">
        <v>5193</v>
      </c>
      <c r="J18" s="71">
        <v>566</v>
      </c>
      <c r="K18" s="71">
        <v>671</v>
      </c>
      <c r="L18" s="71">
        <v>2418</v>
      </c>
      <c r="M18" s="71">
        <v>1091</v>
      </c>
      <c r="N18" s="71">
        <v>1345</v>
      </c>
      <c r="O18" s="71">
        <v>3643</v>
      </c>
      <c r="P18" s="71">
        <v>457</v>
      </c>
      <c r="Q18" s="71">
        <v>0</v>
      </c>
      <c r="R18" s="71">
        <v>0</v>
      </c>
      <c r="S18" s="71">
        <v>0</v>
      </c>
      <c r="T18" s="71">
        <v>641</v>
      </c>
      <c r="U18" s="71">
        <v>5492</v>
      </c>
      <c r="V18" s="71">
        <v>-817</v>
      </c>
      <c r="W18" s="71">
        <v>-817</v>
      </c>
      <c r="X18" s="71">
        <v>681</v>
      </c>
      <c r="Y18" s="109">
        <v>-9908</v>
      </c>
      <c r="Z18" s="71">
        <v>0</v>
      </c>
      <c r="AA18" s="71">
        <v>2451</v>
      </c>
      <c r="AB18" s="71">
        <v>0</v>
      </c>
      <c r="AC18" s="71">
        <v>0</v>
      </c>
      <c r="AD18" s="71">
        <v>12.19</v>
      </c>
      <c r="AE18" s="71">
        <v>84.16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14094.625822200001</v>
      </c>
      <c r="E19" s="73" ph="1">
        <f>E18*7.0686*LOOKUP(E20,密度!$A$2:$A$50,密度!$L$2:$L$50)</f>
        <v>16974.995499000001</v>
      </c>
      <c r="F19" s="73" ph="1">
        <f>F18*9.0746*LOOKUP(F20,密度!$A$2:$A$50,密度!$L$2:$L$50)</f>
        <v>18606.559840000002</v>
      </c>
      <c r="G19" s="73" ph="1">
        <f>G18*9.0746*LOOKUP(G20,密度!$A$2:$A$50,密度!$B$2:$B$50)</f>
        <v>8501.751355639999</v>
      </c>
      <c r="H19" s="73" ph="1">
        <f>H18*9.0746*LOOKUP(H20,密度!$A$2:$A$50,密度!$L$2:$L$50)</f>
        <v>29411.531791800004</v>
      </c>
      <c r="I19" s="73" ph="1">
        <f>I18*9.0746*LOOKUP(I20,密度!$A$2:$A$50,密度!$U$2:$U$50)</f>
        <v>48066.885755999996</v>
      </c>
      <c r="J19" s="73" ph="1">
        <f>J18*9.0746*LOOKUP(J20,密度!$A$2:$A$50,密度!$L$2:$L$50)</f>
        <v>4786.9603952000007</v>
      </c>
      <c r="K19" s="73" ph="1">
        <f>K18*9.0746*LOOKUP(K20,密度!$A$2:$A$50,密度!$C$2:$C$50)</f>
        <v>6722.9273920600008</v>
      </c>
      <c r="L19" s="73" ph="1">
        <f>L18*9.0746*LOOKUP(L20,密度!$A$2:$A$50,密度!$E$2:$E$50)</f>
        <v>17062.396865279999</v>
      </c>
      <c r="M19" s="73" ph="1">
        <f>M18*9.0746*LOOKUP(M20,密度!$A$2:$A$50,密度!$M$2:$M$50)</f>
        <v>8581.3598268220012</v>
      </c>
      <c r="N19" s="73" ph="1">
        <f>N18*9.0746*LOOKUP(N20,密度!$A$2:$A$50,密度!$M$2:$M$50)</f>
        <v>10617.422656299999</v>
      </c>
      <c r="O19" s="73" ph="1">
        <f>O18*9.0746*LOOKUP(O20,密度!$A$2:$A$50,密度!$G$2:$G$50)</f>
        <v>31561.205618660002</v>
      </c>
      <c r="P19" s="73" ph="1">
        <f ca="1">P18*9.0746*LOOKUP(P20,密度!$A$2:$A$51,密度!$Q$2:$Q$50)</f>
        <v>3898.0178424680003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5344.4929296800001</v>
      </c>
      <c r="U19" s="73" ph="1">
        <f>U18*9.0746*LOOKUP(U20,密度!$A$2:$A$50,密度!$H$2:$H$50)</f>
        <v>45352.309912000004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12180.121995360001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17281.913254200001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3761.6195484</v>
      </c>
      <c r="AE19" s="73" ph="1">
        <f>AE18*268.68*LOOKUP(AE20,密度!$A$2:$A$50,密度!B5:B53)+IF(AE18&lt;=0,0,1566*LOOKUP(AE20,密度!$A$2:$A$50,密度!B5:B53))</f>
        <v>18786.390537599997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35</v>
      </c>
      <c r="E20" s="81">
        <v>33</v>
      </c>
      <c r="F20" s="81">
        <v>30</v>
      </c>
      <c r="G20" s="81">
        <v>29</v>
      </c>
      <c r="H20" s="81">
        <v>25</v>
      </c>
      <c r="I20" s="81">
        <v>30</v>
      </c>
      <c r="J20" s="81">
        <v>30</v>
      </c>
      <c r="K20" s="81">
        <v>31</v>
      </c>
      <c r="L20" s="81">
        <v>30</v>
      </c>
      <c r="M20" s="81">
        <v>33</v>
      </c>
      <c r="N20" s="81">
        <v>30</v>
      </c>
      <c r="O20" s="81">
        <v>30</v>
      </c>
      <c r="P20" s="81">
        <v>35</v>
      </c>
      <c r="Q20" s="81">
        <v>33</v>
      </c>
      <c r="R20" s="81">
        <v>34</v>
      </c>
      <c r="S20" s="81">
        <v>32</v>
      </c>
      <c r="T20" s="81">
        <v>36</v>
      </c>
      <c r="U20" s="81">
        <v>30</v>
      </c>
      <c r="V20" s="81">
        <v>31</v>
      </c>
      <c r="W20" s="81">
        <v>32</v>
      </c>
      <c r="X20" s="81">
        <v>31</v>
      </c>
      <c r="Y20" s="110">
        <v>31</v>
      </c>
      <c r="Z20" s="81">
        <v>33</v>
      </c>
      <c r="AA20" s="81">
        <v>28</v>
      </c>
      <c r="AB20" s="81">
        <v>31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17.47</v>
      </c>
      <c r="E24" s="71">
        <v>68.16</v>
      </c>
      <c r="F24" s="71">
        <v>3545</v>
      </c>
      <c r="G24" s="71">
        <v>3288</v>
      </c>
      <c r="H24" s="71">
        <v>2442</v>
      </c>
      <c r="I24" s="71">
        <v>2046</v>
      </c>
      <c r="J24" s="71">
        <v>313</v>
      </c>
      <c r="K24" s="71">
        <v>328</v>
      </c>
      <c r="L24" s="71">
        <v>4698</v>
      </c>
      <c r="M24" s="71">
        <v>321</v>
      </c>
      <c r="N24" s="71">
        <v>324</v>
      </c>
      <c r="O24" s="71">
        <v>5392</v>
      </c>
      <c r="P24" s="71">
        <v>2036</v>
      </c>
      <c r="Q24" s="90">
        <v>3615</v>
      </c>
      <c r="R24" s="71">
        <v>5731</v>
      </c>
      <c r="S24" s="71">
        <v>1028</v>
      </c>
      <c r="T24" s="71">
        <v>619</v>
      </c>
      <c r="U24" s="71">
        <v>6572</v>
      </c>
      <c r="V24" s="71">
        <v>734</v>
      </c>
      <c r="W24" s="71">
        <v>434</v>
      </c>
      <c r="X24" s="71">
        <v>2770</v>
      </c>
      <c r="Y24" s="71">
        <v>4547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5926.4405429039998</v>
      </c>
      <c r="E25" s="91" ph="1">
        <f>E24*268.68*LOOKUP(E26,密度!$A$2:$A$50,密度!$C$2:$C$50)+IF(E24&lt;=0,0,1566*LOOKUP(E26,密度!$A$2:$A$50,密度!$C$2:$C$50))</f>
        <v>22044.076816320001</v>
      </c>
      <c r="F25" s="91" ph="1">
        <f>F24*11.702*LOOKUP(F26,密度!$A$2:$A$50,密度!$Q$2:$Q$50)</f>
        <v>39157.605108700001</v>
      </c>
      <c r="G25" s="91" ph="1">
        <f>G24*18.322*LOOKUP(G26,密度!$A$2:$A$50,密度!$B$2:$B$50)</f>
        <v>46651.9747584</v>
      </c>
      <c r="H25" s="91" ph="1">
        <f>H24*18.322*LOOKUP(H26,密度!$A$2:$A$50,密度!$B$2:$B$50)</f>
        <v>34840.847698799997</v>
      </c>
      <c r="I25" s="91" ph="1">
        <f>I24*18.322*LOOKUP(I26,密度!$A$2:$A$50,密度!$Q$2:$Q$50)</f>
        <v>35463.648756360002</v>
      </c>
      <c r="J25" s="91" ph="1">
        <f>J24*18.322*LOOKUP(J26,密度!$A$2:$A$50,密度!$Q$2:$Q$50)</f>
        <v>5421.2079015200006</v>
      </c>
      <c r="K25" s="91" ph="1">
        <f>K24*18.322*LOOKUP(K26,密度!$A$2:$A$50,密度!$Q$2:$Q$50)</f>
        <v>5672.6568308800006</v>
      </c>
      <c r="L25" s="91" ph="1">
        <f>L24*18.322*LOOKUP(L26,密度!$A$2:$A$50,密度!$Q$2:$Q$50)</f>
        <v>81370.07898192</v>
      </c>
      <c r="M25" s="91" ph="1">
        <f>M24*18.322*LOOKUP(M26,密度!$A$2:$A$50,密度!$Q$2:$Q$50)</f>
        <v>5563.9448928600004</v>
      </c>
      <c r="N25" s="91" ph="1">
        <f>N24*18.322*LOOKUP(N26,密度!$A$2:$A$50,密度!$Q$2:$Q$50)</f>
        <v>5615.94437784</v>
      </c>
      <c r="O25" s="91" ph="1">
        <f>O24*18.322*LOOKUP(O26,密度!$A$2:$A$50,密度!$C$2:$C$50)</f>
        <v>109471.66341440001</v>
      </c>
      <c r="P25" s="91" ph="1">
        <f>P24*11.702*LOOKUP(P26,密度!$A$2:$A$50,密度!$B$2:$B$50)</f>
        <v>18471.733381599999</v>
      </c>
      <c r="Q25" s="92" ph="1">
        <f>Q24*18.322*LOOKUP(Q26,密度!$A$2:$A$50,密度!$B$2:$B$50)</f>
        <v>51523.451936999998</v>
      </c>
      <c r="R25" s="91" ph="1">
        <f>R24*35.891*LOOKUP(R26,密度!$A$2:$A$50,密度!$C$2:$C$50)</f>
        <v>227926.55280010001</v>
      </c>
      <c r="S25" s="91" ph="1">
        <f>S24*35.891*LOOKUP(S26,密度!$A$2:$A$50,密度!$B$2:$B$50)</f>
        <v>28701.357949199999</v>
      </c>
      <c r="T25" s="91" ph="1">
        <f>T24*35.891*LOOKUP(T26,密度!$A$2:$A$50,密度!$Q$2:$Q$50)</f>
        <v>20957.518301569999</v>
      </c>
      <c r="U25" s="91" ph="1">
        <f>U24*35.891</f>
        <v>235875.652</v>
      </c>
      <c r="V25" s="91" ph="1">
        <f>V24*47.051*LOOKUP(V26,密度!$A$2:$A$50,密度!$B$2:$B$50)</f>
        <v>26892.742455799998</v>
      </c>
      <c r="W25" s="91" ph="1">
        <f>W24*47.051*LOOKUP(W26,密度!$A$2:$A$50,密度!$B$2:$B$50)</f>
        <v>15919.536466400001</v>
      </c>
      <c r="X25" s="91" ph="1">
        <f>X24*47.051*LOOKUP(X26,密度!$A$2:$A$61,密度!$I$2:$I$61)</f>
        <v>135557.553927</v>
      </c>
      <c r="Y25" s="91" ph="1">
        <f>Y24*47.051*LOOKUP(Y26,密度!$A$2:$A$50,密度!$L$2:$L$50)</f>
        <v>200034.73869500001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29</v>
      </c>
      <c r="G26" s="74">
        <v>31</v>
      </c>
      <c r="H26" s="74">
        <v>26</v>
      </c>
      <c r="I26" s="74">
        <v>26</v>
      </c>
      <c r="J26" s="74">
        <v>27</v>
      </c>
      <c r="K26" s="74">
        <v>29</v>
      </c>
      <c r="L26" s="74">
        <v>27</v>
      </c>
      <c r="M26" s="74">
        <v>26</v>
      </c>
      <c r="N26" s="74">
        <v>26</v>
      </c>
      <c r="O26" s="74">
        <v>26</v>
      </c>
      <c r="P26" s="74">
        <v>30</v>
      </c>
      <c r="Q26" s="93">
        <v>27</v>
      </c>
      <c r="R26" s="74">
        <v>26</v>
      </c>
      <c r="S26" s="74">
        <v>27</v>
      </c>
      <c r="T26" s="74">
        <v>30</v>
      </c>
      <c r="U26" s="74">
        <v>30</v>
      </c>
      <c r="V26" s="74">
        <v>26</v>
      </c>
      <c r="W26" s="74">
        <v>25</v>
      </c>
      <c r="X26" s="74">
        <v>27</v>
      </c>
      <c r="Y26" s="74">
        <v>27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56.46</v>
      </c>
      <c r="E27" s="71">
        <v>68.16</v>
      </c>
      <c r="F27" s="71">
        <v>2688</v>
      </c>
      <c r="G27" s="71">
        <v>2867</v>
      </c>
      <c r="H27" s="71">
        <v>1961</v>
      </c>
      <c r="I27" s="71">
        <v>470</v>
      </c>
      <c r="J27" s="71">
        <v>309</v>
      </c>
      <c r="K27" s="71">
        <v>327</v>
      </c>
      <c r="L27" s="71">
        <v>4064</v>
      </c>
      <c r="M27" s="71">
        <v>318</v>
      </c>
      <c r="N27" s="71">
        <v>322</v>
      </c>
      <c r="O27" s="71">
        <v>5391</v>
      </c>
      <c r="P27" s="71">
        <v>2035</v>
      </c>
      <c r="Q27" s="90">
        <v>4271</v>
      </c>
      <c r="R27" s="71">
        <v>5186</v>
      </c>
      <c r="S27" s="71">
        <v>649</v>
      </c>
      <c r="T27" s="71">
        <v>896</v>
      </c>
      <c r="U27" s="71">
        <v>6652</v>
      </c>
      <c r="V27" s="71">
        <v>733</v>
      </c>
      <c r="W27" s="71">
        <v>432</v>
      </c>
      <c r="X27" s="71">
        <v>2644</v>
      </c>
      <c r="Y27" s="71">
        <v>2988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15844.330866672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29627.441894399999</v>
      </c>
      <c r="G28" s="91" ph="1">
        <f>G27*18.322*LOOKUP(G29,密度!$A$2:$A$50,密度!$B$2:$B$50)</f>
        <v>40631.316089</v>
      </c>
      <c r="H28" s="91" ph="1">
        <f>H27*18.322*LOOKUP(H29,密度!$A$2:$A$50,密度!$B$2:$B$50)</f>
        <v>27791.423386999995</v>
      </c>
      <c r="I28" s="91" ph="1">
        <f>I27*18.322*LOOKUP(I29,密度!$A$2:$A$50,密度!$Q$2:$Q$50)</f>
        <v>8105.4237750000002</v>
      </c>
      <c r="J28" s="91" ph="1">
        <f>J27*18.322*LOOKUP(J29,密度!$A$2:$A$50,密度!$Q$2:$Q$50)</f>
        <v>5328.8849924999995</v>
      </c>
      <c r="K28" s="91" ph="1">
        <f>K27*18.322*LOOKUP(K29,密度!$A$2:$A$50,密度!$Q$2:$Q$50)</f>
        <v>5663.69004408</v>
      </c>
      <c r="L28" s="91" ph="1">
        <f>L27*18.322*LOOKUP(L29,密度!$A$2:$A$50,密度!$Q$2:$Q$50)</f>
        <v>70389.101954559999</v>
      </c>
      <c r="M28" s="91" ph="1">
        <f>M27*18.322*LOOKUP(M29,密度!$A$2:$A$50,密度!$Q$2:$Q$50)</f>
        <v>5480.24981364</v>
      </c>
      <c r="N28" s="91" ph="1">
        <f>N27*18.322*LOOKUP(N29,密度!$A$2:$A$50,密度!$Q$2:$Q$50)</f>
        <v>5565.3489077199993</v>
      </c>
      <c r="O28" s="91" ph="1">
        <f>O27*18.322*LOOKUP(O29,密度!$A$2:$A$50,密度!$C$2:$C$50)</f>
        <v>109382.2190748</v>
      </c>
      <c r="P28" s="91" ph="1">
        <f>P27*11.702*LOOKUP(P29,密度!$A$2:$A$50,密度!$B$2:$B$50)</f>
        <v>18379.313326</v>
      </c>
      <c r="Q28" s="92" ph="1">
        <f>Q27*18.322*LOOKUP(Q29,密度!$A$2:$A$50,密度!$B$2:$B$50)</f>
        <v>60669.7540286</v>
      </c>
      <c r="R28" s="91" ph="1">
        <f>R27*35.891*LOOKUP(R29,密度!$A$2:$A$50,密度!$C$2:$C$50)</f>
        <v>206121.16597239999</v>
      </c>
      <c r="S28" s="91" ph="1">
        <f>S27*35.891*LOOKUP(S29,密度!$A$2:$A$50,密度!$B$2:$B$50)</f>
        <v>18017.335836499999</v>
      </c>
      <c r="T28" s="91" ph="1">
        <f>T27*35.891*LOOKUP(T29,密度!$A$2:$A$50,密度!$Q$2:$Q$50)</f>
        <v>30399.918187520001</v>
      </c>
      <c r="U28" s="91" ph="1">
        <f>U27*35.891</f>
        <v>238746.932</v>
      </c>
      <c r="V28" s="91" ph="1">
        <f>V27*47.051*LOOKUP(V29,密度!$A$2:$A$50,密度!$B$2:$B$50)</f>
        <v>26738.843339900002</v>
      </c>
      <c r="W28" s="91" ph="1">
        <f>W27*47.051*LOOKUP(W29,密度!$A$2:$A$50,密度!$B$2:$B$50)</f>
        <v>15758.772609599999</v>
      </c>
      <c r="X28" s="91" ph="1">
        <f>X27*47.051*LOOKUP(X29,密度!$A$2:$A$61,密度!$I$2:$I$61)</f>
        <v>128408.61557680002</v>
      </c>
      <c r="Y28" s="91" ph="1">
        <f>Y27*47.051*LOOKUP(Y29,密度!$A$2:$A$50,密度!$L$2:$L$50)</f>
        <v>130466.02406400001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32</v>
      </c>
      <c r="G29" s="74">
        <v>32</v>
      </c>
      <c r="H29" s="74">
        <v>32</v>
      </c>
      <c r="I29" s="74">
        <v>33</v>
      </c>
      <c r="J29" s="74">
        <v>33</v>
      </c>
      <c r="K29" s="74">
        <v>27</v>
      </c>
      <c r="L29" s="74">
        <v>27</v>
      </c>
      <c r="M29" s="74">
        <v>34</v>
      </c>
      <c r="N29" s="74">
        <v>30</v>
      </c>
      <c r="O29" s="74">
        <v>27</v>
      </c>
      <c r="P29" s="74">
        <v>34</v>
      </c>
      <c r="Q29" s="93">
        <v>30</v>
      </c>
      <c r="R29" s="74">
        <v>27</v>
      </c>
      <c r="S29" s="74">
        <v>32</v>
      </c>
      <c r="T29" s="74">
        <v>27</v>
      </c>
      <c r="U29" s="74">
        <v>27</v>
      </c>
      <c r="V29" s="74">
        <v>30</v>
      </c>
      <c r="W29" s="74">
        <v>30</v>
      </c>
      <c r="X29" s="74">
        <v>34</v>
      </c>
      <c r="Y29" s="74">
        <v>34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42019.457526899991</v>
      </c>
      <c r="E33" s="193" ph="1">
        <f>M10+I10</f>
        <v>89918.360144000006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197" ph="1">
        <f>N19</f>
        <v>10617.422656299999</v>
      </c>
      <c r="H33" s="193" ph="1">
        <f>M19</f>
        <v>8581.3598268220012</v>
      </c>
      <c r="I33" s="206" ph="1">
        <v>0</v>
      </c>
      <c r="J33" s="204" ph="1">
        <f>F10+O28</f>
        <v>226446.56034119998</v>
      </c>
      <c r="K33" s="193" ph="1">
        <f>O10+K10+E28+R28</f>
        <v>368139.64189552004</v>
      </c>
      <c r="L33" s="208" ph="1">
        <f>K19</f>
        <v>6722.9273920600008</v>
      </c>
      <c r="M33" s="204" ph="1">
        <f>G10+H10+W28+S28+V28+E10+R19+P28+Q28</f>
        <v>501864.46167259995</v>
      </c>
      <c r="N33" s="193" ph="1">
        <f>L10+P10++G28+H28+AD19+AE19</f>
        <v>444648.90080399998</v>
      </c>
      <c r="O33" s="206" ph="1">
        <f>G19</f>
        <v>8501.751355639999</v>
      </c>
      <c r="P33" s="204" ph="1">
        <f>L19</f>
        <v>17062.396865279999</v>
      </c>
      <c r="Q33" s="193" ph="1">
        <f>J10+N10</f>
        <v>19091.197408</v>
      </c>
      <c r="R33" s="206" ph="1">
        <f>BE23</f>
        <v>890</v>
      </c>
      <c r="S33" s="204" ph="1">
        <f>X28</f>
        <v>128408.61557680002</v>
      </c>
      <c r="T33" s="193" ph="1">
        <f>X19</f>
        <v>12180.121995360001</v>
      </c>
      <c r="U33" s="214" ph="1">
        <f>BE21</f>
        <v>730</v>
      </c>
      <c r="V33" s="225" ph="1">
        <f ca="1">P19+Q19+S19+M28+N28+J28+D10+AC10+D19+E19+H19+J19+O19+V19+W19+K28+L28</f>
        <v>745891.487899028</v>
      </c>
      <c r="W33" s="225" ph="1">
        <f>D28+F28+T28+I28</f>
        <v>83977.114723592007</v>
      </c>
      <c r="X33" s="206" ph="1">
        <f>BE29+BE31</f>
        <v>10200</v>
      </c>
      <c r="Y33" s="227" ph="1">
        <f>+Q10+R10+S10+T10+U10+V10+W10+X10+Y10</f>
        <v>315853.08913620003</v>
      </c>
      <c r="Z33" s="212" ph="1">
        <f>T19+U19+Y28+Z10</f>
        <v>289947.98312568001</v>
      </c>
      <c r="AA33" s="214" ph="1">
        <f>BE19</f>
        <v>1440</v>
      </c>
      <c r="AB33" s="216" ph="1">
        <f>I19</f>
        <v>48066.885755999996</v>
      </c>
      <c r="AC33" s="218" ph="1">
        <f>AD10+AB19</f>
        <v>92527.563743999999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31" priority="103">
      <formula>ABS(D$7-D$10)&gt;=1000</formula>
    </cfRule>
  </conditionalFormatting>
  <conditionalFormatting sqref="E4 E6:E11">
    <cfRule type="expression" dxfId="530" priority="102">
      <formula>ABS(E$7-E$10)&gt;=1000</formula>
    </cfRule>
  </conditionalFormatting>
  <conditionalFormatting sqref="F4:F11">
    <cfRule type="expression" dxfId="529" priority="101">
      <formula>ABS(F$7-F$10)&gt;=1000</formula>
    </cfRule>
  </conditionalFormatting>
  <conditionalFormatting sqref="G4:G11">
    <cfRule type="expression" dxfId="528" priority="100">
      <formula>ABS(G$7-G$10)&gt;=1000</formula>
    </cfRule>
  </conditionalFormatting>
  <conditionalFormatting sqref="H4:H11">
    <cfRule type="expression" dxfId="527" priority="99">
      <formula>ABS(H$7-H$10)&gt;=1000</formula>
    </cfRule>
  </conditionalFormatting>
  <conditionalFormatting sqref="I4:I11">
    <cfRule type="expression" dxfId="526" priority="98">
      <formula>ABS(I$7-I$10)&gt;=1000</formula>
    </cfRule>
  </conditionalFormatting>
  <conditionalFormatting sqref="J4:J11">
    <cfRule type="expression" dxfId="525" priority="97">
      <formula>ABS(J$7-J$10)&gt;=1000</formula>
    </cfRule>
  </conditionalFormatting>
  <conditionalFormatting sqref="K4:K11">
    <cfRule type="expression" dxfId="524" priority="96">
      <formula>ABS(K$7-K$10)&gt;=1000</formula>
    </cfRule>
  </conditionalFormatting>
  <conditionalFormatting sqref="L4:L11">
    <cfRule type="expression" dxfId="523" priority="95">
      <formula>ABS(L$7-L$10)&gt;=1000</formula>
    </cfRule>
  </conditionalFormatting>
  <conditionalFormatting sqref="M4 M6:M11">
    <cfRule type="expression" dxfId="522" priority="94">
      <formula>ABS(M$7-M$10)&gt;=1000</formula>
    </cfRule>
  </conditionalFormatting>
  <conditionalFormatting sqref="N4 N6:N11">
    <cfRule type="expression" dxfId="521" priority="93">
      <formula>ABS(N$7-N$10)&gt;=1000</formula>
    </cfRule>
  </conditionalFormatting>
  <conditionalFormatting sqref="O4 O6:O11">
    <cfRule type="expression" dxfId="520" priority="92">
      <formula>ABS(O$7-O$10)&gt;=1000</formula>
    </cfRule>
  </conditionalFormatting>
  <conditionalFormatting sqref="P4 P6:P11">
    <cfRule type="expression" dxfId="519" priority="91">
      <formula>ABS(P$7-P$10)&gt;=1000</formula>
    </cfRule>
  </conditionalFormatting>
  <conditionalFormatting sqref="Q4:Q11">
    <cfRule type="expression" dxfId="518" priority="90">
      <formula>ABS(Q$7-Q$10)&gt;=1000</formula>
    </cfRule>
  </conditionalFormatting>
  <conditionalFormatting sqref="R4:R11">
    <cfRule type="expression" dxfId="517" priority="89">
      <formula>ABS(R$7-R$10)&gt;=1000</formula>
    </cfRule>
  </conditionalFormatting>
  <conditionalFormatting sqref="S4:S11">
    <cfRule type="expression" dxfId="516" priority="88">
      <formula>ABS(S$7-S$10)&gt;=1000</formula>
    </cfRule>
  </conditionalFormatting>
  <conditionalFormatting sqref="T4:T9 T11">
    <cfRule type="expression" dxfId="515" priority="87">
      <formula>ABS(T$7-T$10)&gt;=1000</formula>
    </cfRule>
  </conditionalFormatting>
  <conditionalFormatting sqref="U4:U9 U11">
    <cfRule type="expression" dxfId="514" priority="86">
      <formula>ABS(U$7-U$10)&gt;=1000</formula>
    </cfRule>
  </conditionalFormatting>
  <conditionalFormatting sqref="V4:V9 V11">
    <cfRule type="expression" dxfId="513" priority="85">
      <formula>ABS(V$7-V$10)&gt;=1000</formula>
    </cfRule>
  </conditionalFormatting>
  <conditionalFormatting sqref="W4:W9 W11">
    <cfRule type="expression" dxfId="512" priority="84">
      <formula>ABS(W$7-W$10)&gt;=1000</formula>
    </cfRule>
  </conditionalFormatting>
  <conditionalFormatting sqref="X4:X9 X11">
    <cfRule type="expression" dxfId="511" priority="83">
      <formula>ABS(X$7-X$10)&gt;=1000</formula>
    </cfRule>
  </conditionalFormatting>
  <conditionalFormatting sqref="Y4:Y9 Y11">
    <cfRule type="expression" dxfId="510" priority="82">
      <formula>ABS(Y$7-Y$10)&gt;=1000</formula>
    </cfRule>
  </conditionalFormatting>
  <conditionalFormatting sqref="Z4:Z11">
    <cfRule type="expression" dxfId="509" priority="81">
      <formula>ABS(Z$7-Z$10)&gt;=1000</formula>
    </cfRule>
  </conditionalFormatting>
  <conditionalFormatting sqref="AA4:AA11">
    <cfRule type="expression" dxfId="508" priority="80">
      <formula>ABS(AA$7-AA$10)&gt;=1000</formula>
    </cfRule>
  </conditionalFormatting>
  <conditionalFormatting sqref="AB4:AB11">
    <cfRule type="expression" dxfId="507" priority="79">
      <formula>ABS(AB$7-AB$10)&gt;=1000</formula>
    </cfRule>
  </conditionalFormatting>
  <conditionalFormatting sqref="AC4 AC6:AC11">
    <cfRule type="expression" dxfId="506" priority="78">
      <formula>ABS(AC$7-AC$10)&gt;=1000</formula>
    </cfRule>
  </conditionalFormatting>
  <conditionalFormatting sqref="AD4 AD6:AD11">
    <cfRule type="expression" dxfId="505" priority="77">
      <formula>ABS(AD$7-AD$10)&gt;=1000</formula>
    </cfRule>
  </conditionalFormatting>
  <conditionalFormatting sqref="AE4 AE6:AE11">
    <cfRule type="expression" dxfId="504" priority="76">
      <formula>ABS(AE$7-AE$10)&gt;=1000</formula>
    </cfRule>
  </conditionalFormatting>
  <conditionalFormatting sqref="D13:D20">
    <cfRule type="expression" dxfId="503" priority="75">
      <formula>ABS(D$16-D$19)&gt;=1000</formula>
    </cfRule>
  </conditionalFormatting>
  <conditionalFormatting sqref="E13:E20">
    <cfRule type="expression" dxfId="502" priority="74">
      <formula>ABS(E$16-E$19)&gt;=1000</formula>
    </cfRule>
  </conditionalFormatting>
  <conditionalFormatting sqref="F13 F15:F20">
    <cfRule type="expression" dxfId="501" priority="73">
      <formula>ABS(F$16-F$19)&gt;=1000</formula>
    </cfRule>
  </conditionalFormatting>
  <conditionalFormatting sqref="G13:G20">
    <cfRule type="expression" dxfId="500" priority="72">
      <formula>ABS(G$16-G$19)&gt;=1000</formula>
    </cfRule>
  </conditionalFormatting>
  <conditionalFormatting sqref="H13 H15:H20">
    <cfRule type="expression" dxfId="499" priority="71">
      <formula>ABS(H$16-H$19)&gt;=1000</formula>
    </cfRule>
  </conditionalFormatting>
  <conditionalFormatting sqref="I13:I20">
    <cfRule type="expression" dxfId="498" priority="70">
      <formula>ABS(I$16-I$19)&gt;=1000</formula>
    </cfRule>
  </conditionalFormatting>
  <conditionalFormatting sqref="J13:J20">
    <cfRule type="expression" dxfId="497" priority="69">
      <formula>ABS(J$16-J$19)&gt;=1000</formula>
    </cfRule>
  </conditionalFormatting>
  <conditionalFormatting sqref="L13:L20">
    <cfRule type="expression" dxfId="496" priority="68">
      <formula>ABS(L$16-L$19)&gt;=1000</formula>
    </cfRule>
  </conditionalFormatting>
  <conditionalFormatting sqref="M13 M15 M17:M18 M20">
    <cfRule type="expression" dxfId="495" priority="67">
      <formula>ABS(M$16-M$19)&gt;=1000</formula>
    </cfRule>
  </conditionalFormatting>
  <conditionalFormatting sqref="N13:N20">
    <cfRule type="expression" dxfId="494" priority="66">
      <formula>ABS(N$16-N$19)&gt;=1000</formula>
    </cfRule>
  </conditionalFormatting>
  <conditionalFormatting sqref="O13:O20">
    <cfRule type="expression" dxfId="493" priority="65">
      <formula>ABS(O$16-O$19)&gt;=1000</formula>
    </cfRule>
  </conditionalFormatting>
  <conditionalFormatting sqref="P13:P20">
    <cfRule type="expression" dxfId="492" priority="64">
      <formula>ABS(P$16-P$19)&gt;=1000</formula>
    </cfRule>
  </conditionalFormatting>
  <conditionalFormatting sqref="Q13 Q15:Q20">
    <cfRule type="expression" dxfId="491" priority="63">
      <formula>ABS(Q$16-Q$19)&gt;=1000</formula>
    </cfRule>
  </conditionalFormatting>
  <conditionalFormatting sqref="R13 R15:R20">
    <cfRule type="expression" dxfId="490" priority="62">
      <formula>ABS(R$16-R$19)&gt;=1000</formula>
    </cfRule>
  </conditionalFormatting>
  <conditionalFormatting sqref="S13:S20">
    <cfRule type="expression" dxfId="489" priority="61">
      <formula>ABS(S$16-S$19)&gt;=1000</formula>
    </cfRule>
  </conditionalFormatting>
  <conditionalFormatting sqref="T13:T15 T17:T20">
    <cfRule type="expression" dxfId="488" priority="60">
      <formula>ABS(T$16-T$19)&gt;=1000</formula>
    </cfRule>
  </conditionalFormatting>
  <conditionalFormatting sqref="U13:U20">
    <cfRule type="expression" dxfId="487" priority="59">
      <formula>ABS(U$16-U$19)&gt;=1000</formula>
    </cfRule>
  </conditionalFormatting>
  <conditionalFormatting sqref="V13:V20">
    <cfRule type="expression" dxfId="486" priority="58">
      <formula>ABS(V$16-V$19)&gt;=1000</formula>
    </cfRule>
  </conditionalFormatting>
  <conditionalFormatting sqref="W13 W20 W15:W18">
    <cfRule type="expression" dxfId="485" priority="57">
      <formula>ABS(W$16-W$19)&gt;=1000</formula>
    </cfRule>
  </conditionalFormatting>
  <conditionalFormatting sqref="X13 X15:X20 Y19">
    <cfRule type="expression" dxfId="484" priority="56">
      <formula>ABS(X$16-X$19)&gt;=1000</formula>
    </cfRule>
  </conditionalFormatting>
  <conditionalFormatting sqref="Y13 Y15:Y18 Y20">
    <cfRule type="expression" dxfId="483" priority="55">
      <formula>ABS(Y$16-Y$19)&gt;=1000</formula>
    </cfRule>
  </conditionalFormatting>
  <conditionalFormatting sqref="Z13:Z20">
    <cfRule type="expression" dxfId="482" priority="54">
      <formula>ABS(Z$16-Z$19)&gt;=1000</formula>
    </cfRule>
  </conditionalFormatting>
  <conditionalFormatting sqref="AA13:AA20">
    <cfRule type="expression" dxfId="481" priority="53">
      <formula>ABS(AA$16-AA$19)&gt;=1000</formula>
    </cfRule>
  </conditionalFormatting>
  <conditionalFormatting sqref="AB13 AB15:AB20">
    <cfRule type="expression" dxfId="480" priority="52">
      <formula>ABS(AB$16-AB$19)&gt;=1000</formula>
    </cfRule>
  </conditionalFormatting>
  <conditionalFormatting sqref="AC13 AC15:AC20">
    <cfRule type="expression" dxfId="479" priority="51">
      <formula>ABS(AC$16-AC$19)&gt;=1000</formula>
    </cfRule>
  </conditionalFormatting>
  <conditionalFormatting sqref="AD13:AD20">
    <cfRule type="expression" dxfId="478" priority="50">
      <formula>ABS(AD$16-AD$19)&gt;=1000</formula>
    </cfRule>
  </conditionalFormatting>
  <conditionalFormatting sqref="AE13:AE20">
    <cfRule type="expression" dxfId="477" priority="49">
      <formula>ABS(AE$16-AE$19)&gt;=1000</formula>
    </cfRule>
  </conditionalFormatting>
  <conditionalFormatting sqref="D22:D29">
    <cfRule type="expression" dxfId="476" priority="48">
      <formula>ABS(D$25-D$28)&gt;=1000</formula>
    </cfRule>
  </conditionalFormatting>
  <conditionalFormatting sqref="E22:E29">
    <cfRule type="expression" dxfId="475" priority="47">
      <formula>ABS(E$25-E$28)&gt;=1000</formula>
    </cfRule>
  </conditionalFormatting>
  <conditionalFormatting sqref="F22:F29">
    <cfRule type="expression" dxfId="474" priority="46">
      <formula>ABS(F$25-F$28)&gt;=1000</formula>
    </cfRule>
  </conditionalFormatting>
  <conditionalFormatting sqref="G22:G29">
    <cfRule type="expression" dxfId="473" priority="45">
      <formula>ABS(G$25-G$28)&gt;=1000</formula>
    </cfRule>
  </conditionalFormatting>
  <conditionalFormatting sqref="H22:H29">
    <cfRule type="expression" dxfId="472" priority="44">
      <formula>ABS(H$25-H$28)&gt;=1000</formula>
    </cfRule>
  </conditionalFormatting>
  <conditionalFormatting sqref="I22 I24:I29">
    <cfRule type="expression" dxfId="471" priority="43">
      <formula>ABS(I$25-I$28)&gt;=1000</formula>
    </cfRule>
  </conditionalFormatting>
  <conditionalFormatting sqref="J22:J29 K22">
    <cfRule type="expression" dxfId="470" priority="42">
      <formula>ABS(J$25-J$28)&gt;=1000</formula>
    </cfRule>
  </conditionalFormatting>
  <conditionalFormatting sqref="K23:K29 L25 L28">
    <cfRule type="expression" dxfId="469" priority="41">
      <formula>ABS(K$25-K$28)&gt;=1000</formula>
    </cfRule>
  </conditionalFormatting>
  <conditionalFormatting sqref="L22 L26:L27 L29 L24">
    <cfRule type="expression" dxfId="468" priority="40">
      <formula>ABS(L$25-L$28)&gt;=1000</formula>
    </cfRule>
  </conditionalFormatting>
  <conditionalFormatting sqref="M22:M29">
    <cfRule type="expression" dxfId="467" priority="39">
      <formula>ABS(M$25-M$28)&gt;=1000</formula>
    </cfRule>
  </conditionalFormatting>
  <conditionalFormatting sqref="N22:N29">
    <cfRule type="expression" dxfId="466" priority="38">
      <formula>ABS(N$25-N$28)&gt;=1000</formula>
    </cfRule>
  </conditionalFormatting>
  <conditionalFormatting sqref="O22 O24:O29">
    <cfRule type="expression" dxfId="465" priority="37">
      <formula>ABS(O$25-O$28)&gt;=1000</formula>
    </cfRule>
  </conditionalFormatting>
  <conditionalFormatting sqref="P22:P29">
    <cfRule type="expression" dxfId="464" priority="36">
      <formula>ABS(P$25-P$28)&gt;=1000</formula>
    </cfRule>
  </conditionalFormatting>
  <conditionalFormatting sqref="Q22:Q29">
    <cfRule type="expression" dxfId="463" priority="35">
      <formula>ABS(Q$25-Q$28)&gt;=1000</formula>
    </cfRule>
  </conditionalFormatting>
  <conditionalFormatting sqref="R22:R29">
    <cfRule type="expression" dxfId="462" priority="34">
      <formula>ABS(R$25-R$28)&gt;=1000</formula>
    </cfRule>
  </conditionalFormatting>
  <conditionalFormatting sqref="S22:S29">
    <cfRule type="expression" dxfId="461" priority="33">
      <formula>ABS(S$25-S$28)&gt;=1000</formula>
    </cfRule>
  </conditionalFormatting>
  <conditionalFormatting sqref="T22:T29">
    <cfRule type="expression" dxfId="460" priority="32">
      <formula>ABS(T$25-T$28)&gt;=1000</formula>
    </cfRule>
  </conditionalFormatting>
  <conditionalFormatting sqref="U22:U29">
    <cfRule type="expression" dxfId="459" priority="31">
      <formula>ABS(U$25-U$28)&gt;=1000</formula>
    </cfRule>
  </conditionalFormatting>
  <conditionalFormatting sqref="V22:V29">
    <cfRule type="expression" dxfId="458" priority="30">
      <formula>ABS(V$25-V$28)&gt;=1000</formula>
    </cfRule>
  </conditionalFormatting>
  <conditionalFormatting sqref="W22:W29">
    <cfRule type="expression" dxfId="457" priority="29">
      <formula>ABS(W$25-W$28)&gt;=1000</formula>
    </cfRule>
  </conditionalFormatting>
  <conditionalFormatting sqref="X22:X29">
    <cfRule type="expression" dxfId="456" priority="28">
      <formula>ABS(X$25-X$28)&gt;=1000</formula>
    </cfRule>
  </conditionalFormatting>
  <conditionalFormatting sqref="Y22:Y29">
    <cfRule type="expression" dxfId="455" priority="27">
      <formula>ABS(Y$25-Y$28)&gt;=1000</formula>
    </cfRule>
  </conditionalFormatting>
  <conditionalFormatting sqref="I23">
    <cfRule type="expression" dxfId="454" priority="26">
      <formula>ABS(I$25-I$28)&gt;=1000</formula>
    </cfRule>
  </conditionalFormatting>
  <conditionalFormatting sqref="Q14">
    <cfRule type="expression" dxfId="453" priority="25">
      <formula>ABS(Q$16-Q$19)&gt;=1000</formula>
    </cfRule>
  </conditionalFormatting>
  <conditionalFormatting sqref="W14">
    <cfRule type="expression" dxfId="452" priority="24">
      <formula>ABS(W$16-W$19)&gt;=1000</formula>
    </cfRule>
  </conditionalFormatting>
  <conditionalFormatting sqref="X14">
    <cfRule type="expression" dxfId="451" priority="23">
      <formula>ABS(X$16-X$19)&gt;=1000</formula>
    </cfRule>
  </conditionalFormatting>
  <conditionalFormatting sqref="T10:Y10">
    <cfRule type="expression" dxfId="450" priority="22">
      <formula>ABS(T$7-T$10)&gt;=1000</formula>
    </cfRule>
  </conditionalFormatting>
  <conditionalFormatting sqref="W19">
    <cfRule type="expression" dxfId="449" priority="21">
      <formula>ABS(W$16-W$19)&gt;=1000</formula>
    </cfRule>
  </conditionalFormatting>
  <conditionalFormatting sqref="AC5">
    <cfRule type="expression" dxfId="448" priority="20">
      <formula>ABS(AC$7-AC$10)&gt;=1000</formula>
    </cfRule>
  </conditionalFormatting>
  <conditionalFormatting sqref="M14">
    <cfRule type="expression" dxfId="447" priority="19">
      <formula>ABS(M$16-M$19)&gt;=1000</formula>
    </cfRule>
  </conditionalFormatting>
  <conditionalFormatting sqref="M16">
    <cfRule type="expression" dxfId="446" priority="18">
      <formula>ABS(M$16-M$19)&gt;=1000</formula>
    </cfRule>
  </conditionalFormatting>
  <conditionalFormatting sqref="M19">
    <cfRule type="expression" dxfId="445" priority="17">
      <formula>ABS(M$16-M$19)&gt;=1000</formula>
    </cfRule>
  </conditionalFormatting>
  <conditionalFormatting sqref="K13:K20">
    <cfRule type="expression" dxfId="444" priority="16">
      <formula>ABS(K$16-K$19)&gt;=1000</formula>
    </cfRule>
  </conditionalFormatting>
  <conditionalFormatting sqref="E5">
    <cfRule type="expression" dxfId="443" priority="15">
      <formula>ABS(E$7-E$10)&gt;=1000</formula>
    </cfRule>
  </conditionalFormatting>
  <conditionalFormatting sqref="AB14:AC14">
    <cfRule type="expression" dxfId="442" priority="14">
      <formula>ABS(AB$16-AB$19)&gt;=1000</formula>
    </cfRule>
  </conditionalFormatting>
  <conditionalFormatting sqref="M5">
    <cfRule type="expression" dxfId="441" priority="13">
      <formula>ABS(M$7-M$10)&gt;=1000</formula>
    </cfRule>
  </conditionalFormatting>
  <conditionalFormatting sqref="N5">
    <cfRule type="expression" dxfId="440" priority="12">
      <formula>ABS(N$7-N$10)&gt;=1000</formula>
    </cfRule>
  </conditionalFormatting>
  <conditionalFormatting sqref="O5">
    <cfRule type="expression" dxfId="439" priority="11">
      <formula>ABS(O$7-O$10)&gt;=1000</formula>
    </cfRule>
  </conditionalFormatting>
  <conditionalFormatting sqref="P5">
    <cfRule type="expression" dxfId="438" priority="10">
      <formula>ABS(P$7-P$10)&gt;=1000</formula>
    </cfRule>
  </conditionalFormatting>
  <conditionalFormatting sqref="L23">
    <cfRule type="expression" dxfId="437" priority="9">
      <formula>ABS(L$25-L$28)&gt;=1000</formula>
    </cfRule>
  </conditionalFormatting>
  <conditionalFormatting sqref="Y14">
    <cfRule type="expression" dxfId="436" priority="8">
      <formula>ABS(Y$16-Y$19)&gt;=1000</formula>
    </cfRule>
  </conditionalFormatting>
  <conditionalFormatting sqref="H14">
    <cfRule type="expression" dxfId="435" priority="7">
      <formula>ABS(H$16-H$19)&gt;=1000</formula>
    </cfRule>
  </conditionalFormatting>
  <conditionalFormatting sqref="AD5">
    <cfRule type="expression" dxfId="434" priority="6">
      <formula>ABS(AD$7-AD$10)&gt;=1000</formula>
    </cfRule>
  </conditionalFormatting>
  <conditionalFormatting sqref="AE5">
    <cfRule type="expression" dxfId="433" priority="5">
      <formula>ABS(AE$7-AE$10)&gt;=1000</formula>
    </cfRule>
  </conditionalFormatting>
  <conditionalFormatting sqref="T16">
    <cfRule type="expression" dxfId="432" priority="4">
      <formula>ABS(T$16-T$19)&gt;=1000</formula>
    </cfRule>
  </conditionalFormatting>
  <conditionalFormatting sqref="F14">
    <cfRule type="expression" dxfId="431" priority="3">
      <formula>ABS(F$16-F$19)&gt;=1000</formula>
    </cfRule>
  </conditionalFormatting>
  <conditionalFormatting sqref="R14">
    <cfRule type="expression" dxfId="430" priority="2">
      <formula>ABS(R$16-R$19)&gt;=1000</formula>
    </cfRule>
  </conditionalFormatting>
  <conditionalFormatting sqref="O23">
    <cfRule type="expression" dxfId="429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8">
    <pageSetUpPr fitToPage="1"/>
  </sheetPr>
  <dimension ref="A1:CU223"/>
  <sheetViews>
    <sheetView view="pageBreakPreview" topLeftCell="A16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46300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3512</v>
      </c>
      <c r="E6" s="71">
        <v>3448</v>
      </c>
      <c r="F6" s="71">
        <v>3185</v>
      </c>
      <c r="G6" s="71">
        <v>2522</v>
      </c>
      <c r="H6" s="71">
        <v>3090</v>
      </c>
      <c r="I6" s="71">
        <v>0.05</v>
      </c>
      <c r="J6" s="71">
        <v>6.64</v>
      </c>
      <c r="K6" s="71">
        <v>63.74</v>
      </c>
      <c r="L6" s="71">
        <v>7.55</v>
      </c>
      <c r="M6" s="71">
        <v>2651</v>
      </c>
      <c r="N6" s="71">
        <v>412</v>
      </c>
      <c r="O6" s="71">
        <v>5306</v>
      </c>
      <c r="P6" s="71">
        <v>7697</v>
      </c>
      <c r="Q6" s="71">
        <v>7276</v>
      </c>
      <c r="R6" s="71">
        <v>6022</v>
      </c>
      <c r="S6" s="71">
        <v>6976</v>
      </c>
      <c r="T6" s="71">
        <v>7251</v>
      </c>
      <c r="U6" s="71">
        <v>4187</v>
      </c>
      <c r="V6" s="71">
        <v>0</v>
      </c>
      <c r="W6" s="71">
        <v>0</v>
      </c>
      <c r="X6" s="71">
        <v>7022</v>
      </c>
      <c r="Y6" s="71">
        <v>7145</v>
      </c>
      <c r="Z6" s="71">
        <v>6774</v>
      </c>
      <c r="AA6" s="71">
        <v>1059</v>
      </c>
      <c r="AB6" s="71">
        <v>270</v>
      </c>
      <c r="AC6" s="71">
        <v>7081</v>
      </c>
      <c r="AD6" s="71">
        <v>4725</v>
      </c>
      <c r="AE6" s="71">
        <v>5055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109767.79776239999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101057.95644000001</v>
      </c>
      <c r="H7" s="73" ph="1">
        <f>(H6)*51.53*LOOKUP(H8,密度!$A$2:$A$50,密度!$B$2:$B$50)</f>
        <v>123990.60999</v>
      </c>
      <c r="I7" s="73" ph="1">
        <f>I6*290.8*1.0267</f>
        <v>14.928217999999999</v>
      </c>
      <c r="J7" s="73" ph="1">
        <f>J6*290.8*0.7892</f>
        <v>1523.8757504</v>
      </c>
      <c r="K7" s="73" ph="1">
        <f>K6*290.8*1.1126</f>
        <v>20622.6996592</v>
      </c>
      <c r="L7" s="73" ph="1">
        <f>L6*290.8*0.777</f>
        <v>1705.9345800000001</v>
      </c>
      <c r="M7" s="73" ph="1">
        <f>M6*33.183*LOOKUP(M8,密度!$A$2:$A$50,密度!$D$2:$D$50)</f>
        <v>90070.571378699999</v>
      </c>
      <c r="N7" s="73" ph="1">
        <f>N6*33.183*LOOKUP(N8,密度!$A$2:$A$50,密度!$E$2:$E$50)</f>
        <v>10677.360276000001</v>
      </c>
      <c r="O7" s="73" ph="1">
        <f>O6*20.428*LOOKUP(O8,密度!$A$2:$A$50,密度!$C$2:$C$50)</f>
        <v>119555.23770400001</v>
      </c>
      <c r="P7" s="73" ph="1">
        <f>P6*51.53*LOOKUP(P8,密度!$A$2:$A$50,密度!$B$2:$B$50)</f>
        <v>308852.98546699999</v>
      </c>
      <c r="Q7" s="73" ph="1">
        <f>Q6*1.5*1.5*3.1416*LOOKUP(W8,密度!$A$2:$A$50,密度!$L$2:$L$50)</f>
        <v>48139.541049600004</v>
      </c>
      <c r="R7" s="73" ph="1">
        <f>R6*1.5*1.5*3.1416*LOOKUP(R8,密度!$A$2:$A$50,密度!$L$2:$L$50)</f>
        <v>39502.277337600004</v>
      </c>
      <c r="S7" s="73" ph="1">
        <f>S6*1.5*1.5*3.1416*LOOKUP(S8,密度!$A$2:$A$50,密度!$L$2:$L$50)</f>
        <v>46154.678169600003</v>
      </c>
      <c r="T7" s="73" ph="1">
        <f>T6*1.5*1.5*3.1416*LOOKUP(T8,密度!$A$2:$A$50,密度!$L$2:$L$50)</f>
        <v>48179.153483999995</v>
      </c>
      <c r="U7" s="73" ph="1">
        <f>U6*1.5*1.5*3.1416*LOOKUP(U8,密度!$A$2:$A$50,密度!$L$2:$L$50)</f>
        <v>27702.069595199999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46756.838066399992</v>
      </c>
      <c r="Y7" s="73" ph="1">
        <f>Y6*1.5*1.5*3.1416*LOOKUP(Y8,密度!$A$2:$A$50,密度!$L$2:$L$50)</f>
        <v>47171.807298</v>
      </c>
      <c r="Z7" s="73" ph="1">
        <f>Z6*33.183*LOOKUP(Z8,密度!$A$2:$A$50,密度!$L$2:$L$50)</f>
        <v>210620.39855400001</v>
      </c>
      <c r="AA7" s="73" ph="1">
        <f>AA6*33.183*LOOKUP(AA8,密度!$A$2:$A$50,密度!$D$2:$D$50)</f>
        <v>36012.288765599995</v>
      </c>
      <c r="AB7" s="73" ph="1">
        <f>AB6*20.428*LOOKUP(AB8,密度!$A$2:$A$50,密度!$D$2:$D$50)</f>
        <v>5688.7485840000008</v>
      </c>
      <c r="AC7" s="73" ph="1">
        <f>AC6*51.53*LOOKUP(AC8,密度!$A$2:$A$50,密度!$Q$2:$Q$50)</f>
        <v>345191.14429790003</v>
      </c>
      <c r="AD7" s="73" ph="1">
        <f>AD6*20.428*LOOKUP(AD8,密度!$A$2:$A$50,密度!$V$2:$V$50)</f>
        <v>92429.754480000003</v>
      </c>
      <c r="AE7" s="73" ph="1">
        <f>AE6*20.428</f>
        <v>103263.54000000001</v>
      </c>
    </row>
    <row r="8" spans="1:99" ph="1">
      <c r="B8" s="171" ph="1"/>
      <c r="C8" s="68" t="s" ph="1">
        <v>179</v>
      </c>
      <c r="D8" s="74">
        <v>32</v>
      </c>
      <c r="E8" s="74">
        <v>27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32</v>
      </c>
      <c r="P8" s="74">
        <v>26</v>
      </c>
      <c r="Q8" s="74">
        <v>31</v>
      </c>
      <c r="R8" s="74">
        <v>34</v>
      </c>
      <c r="S8" s="74">
        <v>26</v>
      </c>
      <c r="T8" s="74">
        <v>22</v>
      </c>
      <c r="U8" s="74">
        <v>26</v>
      </c>
      <c r="V8" s="74">
        <v>28</v>
      </c>
      <c r="W8" s="74">
        <v>26</v>
      </c>
      <c r="X8" s="74">
        <v>20</v>
      </c>
      <c r="Y8" s="74">
        <v>28</v>
      </c>
      <c r="Z8" s="74">
        <v>25</v>
      </c>
      <c r="AA8" s="74">
        <v>27</v>
      </c>
      <c r="AB8" s="74">
        <v>20</v>
      </c>
      <c r="AC8" s="74">
        <v>26</v>
      </c>
      <c r="AD8" s="74">
        <v>26</v>
      </c>
      <c r="AE8" s="74">
        <v>27</v>
      </c>
    </row>
    <row r="9" spans="1:99" ht="26.4" ph="1">
      <c r="B9" s="171" ph="1">
        <v>0.66666666666666663</v>
      </c>
      <c r="C9" s="149" t="s" ph="1">
        <v>180</v>
      </c>
      <c r="D9" s="71">
        <v>2901</v>
      </c>
      <c r="E9" s="71">
        <v>3831</v>
      </c>
      <c r="F9" s="71">
        <v>3188</v>
      </c>
      <c r="G9" s="71">
        <v>2302</v>
      </c>
      <c r="H9" s="71">
        <v>3524</v>
      </c>
      <c r="I9" s="71">
        <v>0.04</v>
      </c>
      <c r="J9" s="71">
        <v>6.72</v>
      </c>
      <c r="K9" s="71">
        <v>64.099999999999994</v>
      </c>
      <c r="L9" s="71">
        <v>7.53</v>
      </c>
      <c r="M9" s="71">
        <v>2650</v>
      </c>
      <c r="N9" s="71">
        <v>411</v>
      </c>
      <c r="O9" s="71">
        <v>5306</v>
      </c>
      <c r="P9" s="71">
        <v>7306</v>
      </c>
      <c r="Q9" s="71">
        <v>7282</v>
      </c>
      <c r="R9" s="71">
        <v>6026</v>
      </c>
      <c r="S9" s="71">
        <v>6983</v>
      </c>
      <c r="T9" s="71">
        <v>7258</v>
      </c>
      <c r="U9" s="71">
        <v>7124</v>
      </c>
      <c r="V9" s="71">
        <v>2671</v>
      </c>
      <c r="W9" s="71">
        <v>2555</v>
      </c>
      <c r="X9" s="71">
        <v>3174</v>
      </c>
      <c r="Y9" s="71">
        <v>7152</v>
      </c>
      <c r="Z9" s="71">
        <v>3689</v>
      </c>
      <c r="AA9" s="71">
        <v>1002</v>
      </c>
      <c r="AB9" s="71">
        <v>267</v>
      </c>
      <c r="AC9" s="71">
        <v>7436</v>
      </c>
      <c r="AD9" s="71">
        <v>3710</v>
      </c>
      <c r="AE9" s="71">
        <v>5007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90670.951397700002</v>
      </c>
      <c r="E10" s="73" ph="1">
        <f>E9*51.53*LOOKUP(E11,密度!$A$2:$A$50,密度!$B$2:$B$50)</f>
        <v>153053.081679</v>
      </c>
      <c r="F10" s="73" ph="1">
        <f>F9*33.183*LOOKUP(F11,密度!$A$2:$A$50,密度!$C$2:$C$50)</f>
        <v>117148.97118959999</v>
      </c>
      <c r="G10" s="73" ph="1">
        <f xml:space="preserve"> (G9+2)*51.53*LOOKUP(G11,密度!$A$2:$A$50,密度!$B$2:$B$50)</f>
        <v>92047.585535999999</v>
      </c>
      <c r="H10" s="73" ph="1">
        <f>(H9)*51.53*LOOKUP(H11,密度!$A$2:$A$50,密度!$B$2:$B$50)</f>
        <v>141096.76644000001</v>
      </c>
      <c r="I10" s="73" ph="1">
        <f>I9*290.8*1.0267</f>
        <v>11.942574400000002</v>
      </c>
      <c r="J10" s="73" ph="1">
        <f>J9*290.8*0.7892</f>
        <v>1542.2356992</v>
      </c>
      <c r="K10" s="73" ph="1">
        <f>K9*290.8*1.1126</f>
        <v>20739.175528</v>
      </c>
      <c r="L10" s="73" ph="1">
        <f>L9*290.8*0.777</f>
        <v>1701.4155480000002</v>
      </c>
      <c r="M10" s="73" ph="1">
        <f>M9*33.183*LOOKUP(M11,密度!$A$2:$A$50,密度!$D$2:$D$50)</f>
        <v>89948.660354999985</v>
      </c>
      <c r="N10" s="73" ph="1">
        <f>N9*33.183*LOOKUP(N11,密度!$A$2:$A$50,密度!$E$2:$E$50)</f>
        <v>10605.074428799999</v>
      </c>
      <c r="O10" s="73" ph="1">
        <f>O9*20.428*LOOKUP(O11,密度!$A$2:$A$50,密度!$C$2:$C$50)</f>
        <v>119219.22570320002</v>
      </c>
      <c r="P10" s="73" ph="1">
        <f>P9*51.53*LOOKUP(P11,密度!$A$2:$A$50,密度!$B$2:$B$50)</f>
        <v>292222.36331599997</v>
      </c>
      <c r="Q10" s="73" ph="1">
        <f>Q9*1.5*1.5*3.1416*LOOKUP(W11,密度!$A$2:$A$50,密度!$L$2:$L$50)</f>
        <v>48230.711852400003</v>
      </c>
      <c r="R10" s="73" ph="1">
        <f>R9*1.5*1.5*3.1416*LOOKUP(R11,密度!$A$2:$A$50,密度!$L$2:$L$50)</f>
        <v>39485.920597200005</v>
      </c>
      <c r="S10" s="73" ph="1">
        <f>S9*1.5*1.5*3.1416*LOOKUP(S11,密度!$A$2:$A$50,密度!$L$2:$L$50)</f>
        <v>46151.631603000002</v>
      </c>
      <c r="T10" s="73" ph="1">
        <f>T9*1.5*1.5*3.1416*LOOKUP(T11,密度!$A$2:$A$50,密度!$L$2:$L$50)</f>
        <v>48123.0570744</v>
      </c>
      <c r="U10" s="73" ph="1">
        <f>U9*1.5*1.5*3.1416*LOOKUP(U11,密度!$A$2:$A$50,密度!$L$2:$L$50)</f>
        <v>47083.520484000008</v>
      </c>
      <c r="V10" s="73" ph="1">
        <f>V9*1.5*1.5*3.1416*LOOKUP(V11,密度!$A$2:$A$50,密度!$L$2:$L$50)</f>
        <v>17634.135380399999</v>
      </c>
      <c r="W10" s="73" ph="1">
        <f>W9*1.5*1.5*3.1416*LOOKUP(W11,密度!$A$2:$A$50,密度!$L$2:$L$50)</f>
        <v>16922.475801000001</v>
      </c>
      <c r="X10" s="73" ph="1">
        <f>X9*1.5*1.5*3.1416*LOOKUP(X11,密度!$A$2:$A$50,密度!$L$2:$L$50)</f>
        <v>21112.027952399996</v>
      </c>
      <c r="Y10" s="73" ph="1">
        <f>Y9*1.5*1.5*3.1416*LOOKUP(Y11,密度!$A$2:$A$50,密度!$L$2:$L$50)</f>
        <v>47167.467177600003</v>
      </c>
      <c r="Z10" s="73" ph="1">
        <f>Z9*33.183*LOOKUP(Z11,密度!$A$2:$A$50,密度!$L$2:$L$50)</f>
        <v>114577.713432</v>
      </c>
      <c r="AA10" s="73" ph="1">
        <f>AA9*33.183*LOOKUP(AA11,密度!$A$2:$A$50,密度!$D$2:$D$50)</f>
        <v>33980.852052000002</v>
      </c>
      <c r="AB10" s="73" ph="1">
        <f>AB9*20.428*LOOKUP(AB11,密度!$A$2:$A$50,密度!$D$2:$D$50)</f>
        <v>5594.9963207999999</v>
      </c>
      <c r="AC10" s="73" ph="1">
        <f>AC9*51.53*LOOKUP(AC11,密度!$A$2:$A$50,密度!$Q$2:$Q$50)</f>
        <v>361692.34112440003</v>
      </c>
      <c r="AD10" s="73" ph="1">
        <f>AD9*20.428*LOOKUP(AD11,密度!$A$2:$A$50,密度!$V$2:$V$50)</f>
        <v>72574.473888000008</v>
      </c>
      <c r="AE10" s="73" ph="1">
        <f>AE9*20.428</f>
        <v>102282.996</v>
      </c>
    </row>
    <row r="11" spans="1:99" ph="1">
      <c r="A11" s="64" t="s" ph="1">
        <v>162</v>
      </c>
      <c r="B11" s="171" ph="1"/>
      <c r="C11" s="149" t="s" ph="1">
        <v>179</v>
      </c>
      <c r="D11" s="74">
        <v>32</v>
      </c>
      <c r="E11" s="74">
        <v>30</v>
      </c>
      <c r="F11" s="74">
        <v>27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30</v>
      </c>
      <c r="O11" s="74">
        <v>35</v>
      </c>
      <c r="P11" s="74">
        <v>29</v>
      </c>
      <c r="Q11" s="74">
        <v>34</v>
      </c>
      <c r="R11" s="74">
        <v>35</v>
      </c>
      <c r="S11" s="74">
        <v>27</v>
      </c>
      <c r="T11" s="74">
        <v>24</v>
      </c>
      <c r="U11" s="74">
        <v>27</v>
      </c>
      <c r="V11" s="74">
        <v>28</v>
      </c>
      <c r="W11" s="74">
        <v>25</v>
      </c>
      <c r="X11" s="74">
        <v>21</v>
      </c>
      <c r="Y11" s="74">
        <v>29</v>
      </c>
      <c r="Z11" s="74">
        <v>26</v>
      </c>
      <c r="AA11" s="74">
        <v>30</v>
      </c>
      <c r="AB11" s="74">
        <v>26</v>
      </c>
      <c r="AC11" s="74">
        <v>29</v>
      </c>
      <c r="AD11" s="74">
        <v>30</v>
      </c>
      <c r="AE11" s="74">
        <v>30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0</v>
      </c>
      <c r="E15" s="78">
        <v>5815</v>
      </c>
      <c r="F15" s="78">
        <v>2377</v>
      </c>
      <c r="G15" s="78">
        <v>2420</v>
      </c>
      <c r="H15" s="78">
        <v>3456</v>
      </c>
      <c r="I15" s="78">
        <v>5188</v>
      </c>
      <c r="J15" s="78">
        <v>3518</v>
      </c>
      <c r="K15" s="78">
        <v>671</v>
      </c>
      <c r="L15" s="78">
        <v>2399</v>
      </c>
      <c r="M15" s="78">
        <v>3985</v>
      </c>
      <c r="N15" s="78">
        <v>522</v>
      </c>
      <c r="O15" s="78">
        <v>4152</v>
      </c>
      <c r="P15" s="78">
        <v>4830</v>
      </c>
      <c r="Q15" s="78">
        <v>0</v>
      </c>
      <c r="R15" s="78">
        <v>0</v>
      </c>
      <c r="S15" s="78">
        <v>0</v>
      </c>
      <c r="T15" s="78">
        <v>644</v>
      </c>
      <c r="U15" s="78">
        <v>5486</v>
      </c>
      <c r="V15" s="78">
        <v>3279</v>
      </c>
      <c r="W15" s="71">
        <v>-817</v>
      </c>
      <c r="X15" s="78">
        <v>682</v>
      </c>
      <c r="Y15" s="106">
        <v>-9906</v>
      </c>
      <c r="Z15" s="78">
        <v>0</v>
      </c>
      <c r="AA15" s="78">
        <v>2446</v>
      </c>
      <c r="AB15" s="78" ph="1">
        <v>24</v>
      </c>
      <c r="AC15" s="78" ph="1">
        <v>0</v>
      </c>
      <c r="AD15" s="78">
        <v>5.71</v>
      </c>
      <c r="AE15" s="78">
        <v>45.87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38473.258824000004</v>
      </c>
      <c r="F16" s="73" ph="1">
        <f>F15*9.0746*LOOKUP(F17,密度!$A$2:$A$50,密度!$L$2:$L$50)</f>
        <v>20103.542154400002</v>
      </c>
      <c r="G16" s="73" ph="1">
        <f>G15*9.0746*LOOKUP(G17,密度!$A$2:$A$50,密度!$B$2:$B$50)</f>
        <v>17100.666268399997</v>
      </c>
      <c r="H16" s="73" ph="1">
        <f>H15*9.0746*LOOKUP(H17,密度!$A$2:$A$50,密度!$L$2:$L$50)</f>
        <v>29448.746726400001</v>
      </c>
      <c r="I16" s="73" ph="1">
        <f>I15*9.0746*LOOKUP(I17,密度!$A$2:$A$50,密度!$U$2:$U$50)</f>
        <v>48208.921395199999</v>
      </c>
      <c r="J16" s="73" ph="1">
        <f>J15*9.0746*LOOKUP(J17,密度!$A$2:$A$50,密度!$L$2:$L$50)</f>
        <v>29753.580689600003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16952.27205698</v>
      </c>
      <c r="M16" s="73" ph="1">
        <f>M15*9.0746*LOOKUP(M17,密度!$A$2:$A$50,密度!$M$2:$M$50)</f>
        <v>31457.568241900004</v>
      </c>
      <c r="N16" s="73" ph="1">
        <f>N15*9.0746*LOOKUP(N17,密度!$A$2:$A$50,密度!$M$2:$M$50)</f>
        <v>4145.29724412</v>
      </c>
      <c r="O16" s="73" ph="1">
        <f>O15*9.0746*LOOKUP(O17,密度!$A$2:$A$50,密度!$G$2:$G$50)</f>
        <v>36016.150901280002</v>
      </c>
      <c r="P16" s="73" ph="1">
        <f ca="1">P15*9.0746*LOOKUP(P17,密度!$A$2:$A$51,密度!$Q$2:$Q$50)</f>
        <v>41226.358807620003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5411.5832624000004</v>
      </c>
      <c r="U16" s="73" ph="1">
        <f>U15*9.0746*LOOKUP(U17,密度!$A$2:$A$50,密度!$H$2:$H$50)</f>
        <v>45447.134037240008</v>
      </c>
      <c r="V16" s="73" ph="1">
        <f>MAX(5600*LOOKUP(V17,密度!$A$2:$A$50,密度!$Q$2:$Q$50)+V15*9.0476*LOOKUP(V17,密度!$A$2:$A$50,密度!$Q$2:$Q$50),0)</f>
        <v>33218.063028759992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12202.439199439999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17266.635257640002</v>
      </c>
      <c r="AB16" s="73" ph="1">
        <f>AB15*9.0746*LOOKUP(AB17,密度!$A$2:$A$50,密度!$L$2:$L$50)</f>
        <v>203.85181440000002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2416.8869188799999</v>
      </c>
      <c r="AE16" s="73" ph="1">
        <f>AE15*268.68*LOOKUP(AE17,密度!$A$2:$A$50,密度!B2:B50)+IF(AE15&lt;=0,0,1566*LOOKUP(AE17,密度!$A$2:$A$50,密度!B2:B50))</f>
        <v>10828.918107359999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27</v>
      </c>
      <c r="E17" s="74">
        <v>26</v>
      </c>
      <c r="F17" s="74">
        <v>30</v>
      </c>
      <c r="G17" s="74">
        <v>26</v>
      </c>
      <c r="H17" s="74">
        <v>23</v>
      </c>
      <c r="I17" s="74">
        <v>26</v>
      </c>
      <c r="J17" s="74">
        <v>30</v>
      </c>
      <c r="K17" s="74">
        <v>26</v>
      </c>
      <c r="L17" s="74">
        <v>29</v>
      </c>
      <c r="M17" s="74">
        <v>30</v>
      </c>
      <c r="N17" s="74">
        <v>25</v>
      </c>
      <c r="O17" s="74">
        <v>29</v>
      </c>
      <c r="P17" s="74">
        <v>34</v>
      </c>
      <c r="Q17" s="74">
        <v>26</v>
      </c>
      <c r="R17" s="74">
        <v>27</v>
      </c>
      <c r="S17" s="74">
        <v>26</v>
      </c>
      <c r="T17" s="74">
        <v>25</v>
      </c>
      <c r="U17" s="74">
        <v>27</v>
      </c>
      <c r="V17" s="74">
        <v>32</v>
      </c>
      <c r="W17" s="74">
        <v>32</v>
      </c>
      <c r="X17" s="74">
        <v>30</v>
      </c>
      <c r="Y17" s="108">
        <v>30</v>
      </c>
      <c r="Z17" s="74">
        <v>27</v>
      </c>
      <c r="AA17" s="74">
        <v>27</v>
      </c>
      <c r="AB17" s="74">
        <v>26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2577</v>
      </c>
      <c r="E18" s="71">
        <v>3541</v>
      </c>
      <c r="F18" s="71">
        <v>2377</v>
      </c>
      <c r="G18" s="71">
        <v>2565</v>
      </c>
      <c r="H18" s="71">
        <v>3457</v>
      </c>
      <c r="I18" s="71">
        <v>5191</v>
      </c>
      <c r="J18" s="71">
        <v>4000</v>
      </c>
      <c r="K18" s="71">
        <v>671</v>
      </c>
      <c r="L18" s="71">
        <v>2402</v>
      </c>
      <c r="M18" s="71">
        <v>1146</v>
      </c>
      <c r="N18" s="71">
        <v>2250</v>
      </c>
      <c r="O18" s="71">
        <v>4155</v>
      </c>
      <c r="P18" s="71">
        <v>6071</v>
      </c>
      <c r="Q18" s="71">
        <v>0</v>
      </c>
      <c r="R18" s="71">
        <v>0</v>
      </c>
      <c r="S18" s="71">
        <v>0</v>
      </c>
      <c r="T18" s="71">
        <v>279</v>
      </c>
      <c r="U18" s="71">
        <v>5488</v>
      </c>
      <c r="V18" s="71">
        <v>3799</v>
      </c>
      <c r="W18" s="71">
        <v>-817</v>
      </c>
      <c r="X18" s="71">
        <v>682</v>
      </c>
      <c r="Y18" s="109">
        <v>-9909</v>
      </c>
      <c r="Z18" s="71">
        <v>0</v>
      </c>
      <c r="AA18" s="71">
        <v>2447</v>
      </c>
      <c r="AB18" s="71">
        <v>0</v>
      </c>
      <c r="AC18" s="71">
        <v>0</v>
      </c>
      <c r="AD18" s="71">
        <v>13.57</v>
      </c>
      <c r="AE18" s="71">
        <v>84.4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16904.245881600003</v>
      </c>
      <c r="E19" s="73" ph="1">
        <f>E18*7.0686*LOOKUP(E20,密度!$A$2:$A$50,密度!$L$2:$L$50)</f>
        <v>23227.7588928</v>
      </c>
      <c r="F19" s="73" ph="1">
        <f>F18*9.0746*LOOKUP(F20,密度!$A$2:$A$50,密度!$L$2:$L$50)</f>
        <v>20081.9718302</v>
      </c>
      <c r="G19" s="73" ph="1">
        <f>G18*9.0746*LOOKUP(G20,密度!$A$2:$A$50,密度!$B$2:$B$50)</f>
        <v>18106.671887100001</v>
      </c>
      <c r="H19" s="73" ph="1">
        <f>H18*9.0746*LOOKUP(H20,密度!$A$2:$A$50,密度!$L$2:$L$50)</f>
        <v>29394.525991400005</v>
      </c>
      <c r="I19" s="73" ph="1">
        <f>I18*9.0746*LOOKUP(I20,密度!$A$2:$A$50,密度!$U$2:$U$50)</f>
        <v>48142.586069199999</v>
      </c>
      <c r="J19" s="73" ph="1">
        <f>J18*9.0746*LOOKUP(J20,密度!$A$2:$A$50,密度!$L$2:$L$50)</f>
        <v>33757.512000000002</v>
      </c>
      <c r="K19" s="73" ph="1">
        <f>K18*9.0746*LOOKUP(K20,密度!$A$2:$A$50,密度!$C$2:$C$50)</f>
        <v>6733.8876939400006</v>
      </c>
      <c r="L19" s="73" ph="1">
        <f>L18*9.0746*LOOKUP(L20,密度!$A$2:$A$50,密度!$E$2:$E$50)</f>
        <v>16949.494321919999</v>
      </c>
      <c r="M19" s="73" ph="1">
        <f>M18*9.0746*LOOKUP(M20,密度!$A$2:$A$50,密度!$M$2:$M$50)</f>
        <v>9035.8062664919998</v>
      </c>
      <c r="N19" s="73" ph="1">
        <f>N18*9.0746*LOOKUP(N20,密度!$A$2:$A$50,密度!$M$2:$M$50)</f>
        <v>17804.3652</v>
      </c>
      <c r="O19" s="73" ph="1">
        <f>O18*9.0746*LOOKUP(O20,密度!$A$2:$A$50,密度!$G$2:$G$50)</f>
        <v>35996.928176100002</v>
      </c>
      <c r="P19" s="73" ph="1">
        <f ca="1">P18*9.0746*LOOKUP(P20,密度!$A$2:$A$51,密度!$Q$2:$Q$50)</f>
        <v>51783.077290203997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2334.3319547999999</v>
      </c>
      <c r="U19" s="73" ph="1">
        <f>U18*9.0746*LOOKUP(U20,密度!$A$2:$A$50,密度!$H$2:$H$50)</f>
        <v>45369.079772800003</v>
      </c>
      <c r="V19" s="73" ph="1">
        <f>MAX(5600*LOOKUP(V20,密度!$A$2:$A$50,密度!$Q$2:$Q$50)+V18*9.0476*LOOKUP(V20,密度!$A$2:$A$50,密度!$Q$2:$Q$50),0)</f>
        <v>37649.468937559999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12189.49168992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17253.709397400002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4049.7143652000004</v>
      </c>
      <c r="AE19" s="73" ph="1">
        <f>AE18*268.68*LOOKUP(AE20,密度!$A$2:$A$50,密度!B5:B53)+IF(AE18&lt;=0,0,1566*LOOKUP(AE20,密度!$A$2:$A$50,密度!B5:B53))</f>
        <v>18836.493984000001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34</v>
      </c>
      <c r="E20" s="81">
        <v>34</v>
      </c>
      <c r="F20" s="81">
        <v>31</v>
      </c>
      <c r="G20" s="81">
        <v>27</v>
      </c>
      <c r="H20" s="81">
        <v>25</v>
      </c>
      <c r="I20" s="81">
        <v>28</v>
      </c>
      <c r="J20" s="81">
        <v>32</v>
      </c>
      <c r="K20" s="81">
        <v>29</v>
      </c>
      <c r="L20" s="81">
        <v>30</v>
      </c>
      <c r="M20" s="81">
        <v>31</v>
      </c>
      <c r="N20" s="81">
        <v>28</v>
      </c>
      <c r="O20" s="81">
        <v>30</v>
      </c>
      <c r="P20" s="81">
        <v>35</v>
      </c>
      <c r="Q20" s="81">
        <v>34</v>
      </c>
      <c r="R20" s="81">
        <v>40</v>
      </c>
      <c r="S20" s="81">
        <v>32</v>
      </c>
      <c r="T20" s="81">
        <v>40</v>
      </c>
      <c r="U20" s="81">
        <v>29</v>
      </c>
      <c r="V20" s="81">
        <v>32</v>
      </c>
      <c r="W20" s="81">
        <v>31</v>
      </c>
      <c r="X20" s="81">
        <v>31</v>
      </c>
      <c r="Y20" s="110">
        <v>31</v>
      </c>
      <c r="Z20" s="81">
        <v>35</v>
      </c>
      <c r="AA20" s="81">
        <v>28</v>
      </c>
      <c r="AB20" s="81">
        <v>34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45.42</v>
      </c>
      <c r="E24" s="71">
        <v>5.59</v>
      </c>
      <c r="F24" s="71">
        <v>3607</v>
      </c>
      <c r="G24" s="71">
        <v>3083</v>
      </c>
      <c r="H24" s="71">
        <v>1919</v>
      </c>
      <c r="I24" s="71">
        <v>250</v>
      </c>
      <c r="J24" s="71">
        <v>306</v>
      </c>
      <c r="K24" s="71">
        <v>592</v>
      </c>
      <c r="L24" s="71">
        <v>312</v>
      </c>
      <c r="M24" s="71">
        <v>320</v>
      </c>
      <c r="N24" s="71">
        <v>324</v>
      </c>
      <c r="O24" s="71">
        <v>5391</v>
      </c>
      <c r="P24" s="71">
        <v>601</v>
      </c>
      <c r="Q24" s="90">
        <v>404</v>
      </c>
      <c r="R24" s="71">
        <v>5648</v>
      </c>
      <c r="S24" s="71">
        <v>3160</v>
      </c>
      <c r="T24" s="71">
        <v>1183</v>
      </c>
      <c r="U24" s="71">
        <v>5583</v>
      </c>
      <c r="V24" s="71">
        <v>736</v>
      </c>
      <c r="W24" s="71">
        <v>435</v>
      </c>
      <c r="X24" s="71">
        <v>2646</v>
      </c>
      <c r="Y24" s="71">
        <v>2287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13036.084927344002</v>
      </c>
      <c r="E25" s="91" ph="1">
        <f>E24*268.68*LOOKUP(E26,密度!$A$2:$A$50,密度!$C$2:$C$50)+IF(E24&lt;=0,0,1566*LOOKUP(E26,密度!$A$2:$A$50,密度!$C$2:$C$50))</f>
        <v>3402.0178186799999</v>
      </c>
      <c r="F25" s="91" ph="1">
        <f>F24*11.702*LOOKUP(F26,密度!$A$2:$A$50,密度!$Q$2:$Q$50)</f>
        <v>39842.448978020002</v>
      </c>
      <c r="G25" s="91" ph="1">
        <f>G24*18.322*LOOKUP(G26,密度!$A$2:$A$50,密度!$B$2:$B$50)</f>
        <v>43794.158667799995</v>
      </c>
      <c r="H25" s="91" ph="1">
        <f>H24*18.322*LOOKUP(H26,密度!$A$2:$A$50,密度!$B$2:$B$50)</f>
        <v>27379.028146599998</v>
      </c>
      <c r="I25" s="91" ph="1">
        <f>I24*18.322*LOOKUP(I26,密度!$A$2:$A$50,密度!$Q$2:$Q$50)</f>
        <v>4339.8863350000001</v>
      </c>
      <c r="J25" s="91" ph="1">
        <f>J24*18.322*LOOKUP(J26,密度!$A$2:$A$50,密度!$Q$2:$Q$50)</f>
        <v>5303.9474679600007</v>
      </c>
      <c r="K25" s="91" ph="1">
        <f>K24*18.322*LOOKUP(K26,密度!$A$2:$A$50,密度!$Q$2:$Q$50)</f>
        <v>10253.53059968</v>
      </c>
      <c r="L25" s="91" ph="1">
        <f>L24*18.322*LOOKUP(L26,密度!$A$2:$A$50,密度!$Q$2:$Q$50)</f>
        <v>5403.8877484800005</v>
      </c>
      <c r="M25" s="91" ph="1">
        <f>M24*18.322*LOOKUP(M26,密度!$A$2:$A$50,密度!$Q$2:$Q$50)</f>
        <v>5546.6117312000006</v>
      </c>
      <c r="N25" s="91" ph="1">
        <f>N24*18.322*LOOKUP(N26,密度!$A$2:$A$50,密度!$Q$2:$Q$50)</f>
        <v>5624.4926901600002</v>
      </c>
      <c r="O25" s="91" ph="1">
        <f>O24*18.322*LOOKUP(O26,密度!$A$2:$A$50,密度!$C$2:$C$50)</f>
        <v>109382.2190748</v>
      </c>
      <c r="P25" s="91" ph="1">
        <f>P24*11.702*LOOKUP(P26,密度!$A$2:$A$50,密度!$B$2:$B$50)</f>
        <v>5434.3233754000003</v>
      </c>
      <c r="Q25" s="92" ph="1">
        <f>Q24*18.322*LOOKUP(Q26,密度!$A$2:$A$50,密度!$B$2:$B$50)</f>
        <v>5770.6678047999994</v>
      </c>
      <c r="R25" s="91" ph="1">
        <f>R24*35.891*LOOKUP(R26,密度!$A$2:$A$50,密度!$C$2:$C$50)</f>
        <v>224483.67632319996</v>
      </c>
      <c r="S25" s="91" ph="1">
        <f>S24*35.891*LOOKUP(S26,密度!$A$2:$A$50,密度!$B$2:$B$50)</f>
        <v>88123.890119999996</v>
      </c>
      <c r="T25" s="91" ph="1">
        <f>T24*35.891*LOOKUP(T26,密度!$A$2:$A$50,密度!$Q$2:$Q$50)</f>
        <v>40137.391981960005</v>
      </c>
      <c r="U25" s="91" ph="1">
        <f>U24*35.891</f>
        <v>200379.45299999998</v>
      </c>
      <c r="V25" s="91" ph="1">
        <f>V24*47.051*LOOKUP(V26,密度!$A$2:$A$50,密度!$B$2:$B$50)</f>
        <v>26938.316054400002</v>
      </c>
      <c r="W25" s="91" ph="1">
        <f>W24*47.051*LOOKUP(W26,密度!$A$2:$A$50,密度!$B$2:$B$50)</f>
        <v>15956.217426000001</v>
      </c>
      <c r="X25" s="91" ph="1">
        <f>X24*47.051*LOOKUP(X26,密度!$A$2:$A$61,密度!$I$2:$I$61)</f>
        <v>129352.326894</v>
      </c>
      <c r="Y25" s="91" ph="1">
        <f>Y24*47.051*LOOKUP(Y26,密度!$A$2:$A$50,密度!$L$2:$L$50)</f>
        <v>100611.27059500001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29</v>
      </c>
      <c r="G26" s="74">
        <v>30</v>
      </c>
      <c r="H26" s="74">
        <v>26</v>
      </c>
      <c r="I26" s="74">
        <v>24</v>
      </c>
      <c r="J26" s="74">
        <v>26</v>
      </c>
      <c r="K26" s="74">
        <v>27</v>
      </c>
      <c r="L26" s="74">
        <v>27</v>
      </c>
      <c r="M26" s="74">
        <v>26</v>
      </c>
      <c r="N26" s="74">
        <v>24</v>
      </c>
      <c r="O26" s="74">
        <v>27</v>
      </c>
      <c r="P26" s="74">
        <v>33</v>
      </c>
      <c r="Q26" s="93">
        <v>25</v>
      </c>
      <c r="R26" s="74">
        <v>27</v>
      </c>
      <c r="S26" s="74">
        <v>28</v>
      </c>
      <c r="T26" s="74">
        <v>27</v>
      </c>
      <c r="U26" s="74">
        <v>28</v>
      </c>
      <c r="V26" s="74">
        <v>27</v>
      </c>
      <c r="W26" s="74">
        <v>25</v>
      </c>
      <c r="X26" s="74">
        <v>28</v>
      </c>
      <c r="Y26" s="74">
        <v>27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6.86</v>
      </c>
      <c r="E27" s="71">
        <v>5.58</v>
      </c>
      <c r="F27" s="71">
        <v>2533</v>
      </c>
      <c r="G27" s="71">
        <v>2696</v>
      </c>
      <c r="H27" s="71">
        <v>1486</v>
      </c>
      <c r="I27" s="71">
        <v>247</v>
      </c>
      <c r="J27" s="71">
        <v>299</v>
      </c>
      <c r="K27" s="71">
        <v>1590</v>
      </c>
      <c r="L27" s="71">
        <v>1094</v>
      </c>
      <c r="M27" s="71">
        <v>317</v>
      </c>
      <c r="N27" s="71">
        <v>321</v>
      </c>
      <c r="O27" s="71">
        <v>5389</v>
      </c>
      <c r="P27" s="71">
        <v>372</v>
      </c>
      <c r="Q27" s="90">
        <v>1213</v>
      </c>
      <c r="R27" s="71">
        <v>5136</v>
      </c>
      <c r="S27" s="71">
        <v>3154</v>
      </c>
      <c r="T27" s="71">
        <v>1188</v>
      </c>
      <c r="U27" s="71">
        <v>5676</v>
      </c>
      <c r="V27" s="71">
        <v>732</v>
      </c>
      <c r="W27" s="71">
        <v>431</v>
      </c>
      <c r="X27" s="71">
        <v>2271</v>
      </c>
      <c r="Y27" s="71">
        <v>2880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3227.5737479520003</v>
      </c>
      <c r="E28" s="91" ph="1">
        <f>E27*268.68*LOOKUP(E29,密度!$A$2:$A$50,密度!$C$2:$C$50)+IF(E27&lt;=0,0,1566*LOOKUP(E29,密度!$A$2:$A$50,密度!$C$2:$C$50))</f>
        <v>3399.0384261600002</v>
      </c>
      <c r="F28" s="91" ph="1">
        <f>F27*11.702*LOOKUP(F29,密度!$A$2:$A$50,密度!$Q$2:$Q$50)</f>
        <v>27961.40112278</v>
      </c>
      <c r="G28" s="91" ph="1">
        <f>G27*18.322*LOOKUP(G29,密度!$A$2:$A$50,密度!$B$2:$B$50)</f>
        <v>38252.349132800002</v>
      </c>
      <c r="H28" s="91" ph="1">
        <f>H27*18.322*LOOKUP(H29,密度!$A$2:$A$50,密度!$B$2:$B$50)</f>
        <v>21037.9103684</v>
      </c>
      <c r="I28" s="91" ph="1">
        <f>I27*18.322*LOOKUP(I29,密度!$A$2:$A$50,密度!$Q$2:$Q$50)</f>
        <v>4265.6778377199998</v>
      </c>
      <c r="J28" s="91" ph="1">
        <f>J27*18.322*LOOKUP(J29,密度!$A$2:$A$50,密度!$Q$2:$Q$50)</f>
        <v>5152.8135040199995</v>
      </c>
      <c r="K28" s="91" ph="1">
        <f>K27*18.322*LOOKUP(K29,密度!$A$2:$A$50,密度!$Q$2:$Q$50)</f>
        <v>27459.2217084</v>
      </c>
      <c r="L28" s="91" ph="1">
        <f>L27*18.322*LOOKUP(L29,密度!$A$2:$A$50,密度!$Q$2:$Q$50)</f>
        <v>18893.326131440001</v>
      </c>
      <c r="M28" s="91" ph="1">
        <f>M27*18.322*LOOKUP(M29,密度!$A$2:$A$50,密度!$Q$2:$Q$50)</f>
        <v>5466.8496525</v>
      </c>
      <c r="N28" s="91" ph="1">
        <f>N27*18.322*LOOKUP(N29,密度!$A$2:$A$50,密度!$Q$2:$Q$50)</f>
        <v>5548.0652154600002</v>
      </c>
      <c r="O28" s="91" ph="1">
        <f>O27*18.322*LOOKUP(O29,密度!$A$2:$A$50,密度!$C$2:$C$50)</f>
        <v>109015.80655780001</v>
      </c>
      <c r="P28" s="91" ph="1">
        <f>P27*11.702*LOOKUP(P29,密度!$A$2:$A$50,密度!$B$2:$B$50)</f>
        <v>3378.9103728</v>
      </c>
      <c r="Q28" s="92" ph="1">
        <f>Q27*18.322*LOOKUP(Q29,密度!$A$2:$A$50,密度!$B$2:$B$50)</f>
        <v>17210.719398400001</v>
      </c>
      <c r="R28" s="91" ph="1">
        <f>R27*35.891*LOOKUP(R29,密度!$A$2:$A$50,密度!$C$2:$C$50)</f>
        <v>203709.90809759998</v>
      </c>
      <c r="S28" s="91" ph="1">
        <f>S27*35.891*LOOKUP(S29,密度!$A$2:$A$50,密度!$B$2:$B$50)</f>
        <v>87956.566277999998</v>
      </c>
      <c r="T28" s="91" ph="1">
        <f>T27*35.891*LOOKUP(T29,密度!$A$2:$A$50,密度!$Q$2:$Q$50)</f>
        <v>40222.183751639997</v>
      </c>
      <c r="U28" s="91" ph="1">
        <f>U27*35.891</f>
        <v>203717.31599999999</v>
      </c>
      <c r="V28" s="91" ph="1">
        <f>V27*47.051*LOOKUP(V29,密度!$A$2:$A$50,密度!$B$2:$B$50)</f>
        <v>26760.914964000003</v>
      </c>
      <c r="W28" s="91" ph="1">
        <f>W27*47.051*LOOKUP(W29,密度!$A$2:$A$50,密度!$B$2:$B$50)</f>
        <v>15756.768237</v>
      </c>
      <c r="X28" s="91" ph="1">
        <f>X27*47.051*LOOKUP(X29,密度!$A$2:$A$61,密度!$I$2:$I$61)</f>
        <v>110774.31953070001</v>
      </c>
      <c r="Y28" s="91" ph="1">
        <f>Y27*47.051*LOOKUP(Y29,密度!$A$2:$A$50,密度!$L$2:$L$50)</f>
        <v>126427.91904000001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33</v>
      </c>
      <c r="I29" s="74">
        <v>31</v>
      </c>
      <c r="J29" s="74">
        <v>34</v>
      </c>
      <c r="K29" s="74">
        <v>31</v>
      </c>
      <c r="L29" s="74">
        <v>31</v>
      </c>
      <c r="M29" s="74">
        <v>33</v>
      </c>
      <c r="N29" s="74">
        <v>30</v>
      </c>
      <c r="O29" s="74">
        <v>31</v>
      </c>
      <c r="P29" s="74">
        <v>29</v>
      </c>
      <c r="Q29" s="93">
        <v>31</v>
      </c>
      <c r="R29" s="74">
        <v>30</v>
      </c>
      <c r="S29" s="74">
        <v>28</v>
      </c>
      <c r="T29" s="74">
        <v>30</v>
      </c>
      <c r="U29" s="74">
        <v>30</v>
      </c>
      <c r="V29" s="74">
        <v>28</v>
      </c>
      <c r="W29" s="74">
        <v>28</v>
      </c>
      <c r="X29" s="74">
        <v>30</v>
      </c>
      <c r="Y29" s="74">
        <v>29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39575.848372799999</v>
      </c>
      <c r="E33" s="193" ph="1">
        <f>M10+I10</f>
        <v>89960.602929399989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197" ph="1">
        <f>N19</f>
        <v>17804.3652</v>
      </c>
      <c r="H33" s="193" ph="1">
        <f>M19</f>
        <v>9035.8062664919998</v>
      </c>
      <c r="I33" s="206" ph="1">
        <v>0</v>
      </c>
      <c r="J33" s="204" ph="1">
        <f>F10+O28</f>
        <v>226164.77774739999</v>
      </c>
      <c r="K33" s="193" ph="1">
        <f>O10+K10+E28+R28</f>
        <v>347067.34775496001</v>
      </c>
      <c r="L33" s="208" ph="1">
        <f>K19</f>
        <v>6733.8876939400006</v>
      </c>
      <c r="M33" s="204" ph="1">
        <f>G10+H10+W28+S28+V28+E10+R19+P28+Q28</f>
        <v>537261.31290520006</v>
      </c>
      <c r="N33" s="193" ph="1">
        <f>L10+P10++G28+H28+AD19+AE19</f>
        <v>376100.24671440001</v>
      </c>
      <c r="O33" s="206" ph="1">
        <f>G19</f>
        <v>18106.671887100001</v>
      </c>
      <c r="P33" s="204" ph="1">
        <f>L19</f>
        <v>16949.494321919999</v>
      </c>
      <c r="Q33" s="193" ph="1">
        <f>J10+N10</f>
        <v>12147.310127999999</v>
      </c>
      <c r="R33" s="206" ph="1">
        <f>BE23</f>
        <v>890</v>
      </c>
      <c r="S33" s="204" ph="1">
        <f>X28</f>
        <v>110774.31953070001</v>
      </c>
      <c r="T33" s="193" ph="1">
        <f>X19</f>
        <v>12189.49168992</v>
      </c>
      <c r="U33" s="214" ph="1">
        <f>BE21</f>
        <v>730</v>
      </c>
      <c r="V33" s="225" ph="1">
        <f ca="1">P19+Q19+S19+M28+N28+J28+D10+AC10+D19+E19+H19+J19+O19+V19+W19+K28+L28</f>
        <v>743597.08590358403</v>
      </c>
      <c r="W33" s="225" ph="1">
        <f>D28+F28+T28+I28</f>
        <v>75676.836460091989</v>
      </c>
      <c r="X33" s="206" ph="1">
        <f>BE29+BE31</f>
        <v>10200</v>
      </c>
      <c r="Y33" s="227" ph="1">
        <f>+Q10+R10+S10+T10+U10+V10+W10+X10+Y10</f>
        <v>331910.94792240002</v>
      </c>
      <c r="Z33" s="212" ph="1">
        <f>T19+U19+Y28+Z10</f>
        <v>288709.0441996</v>
      </c>
      <c r="AA33" s="214" ph="1">
        <f>BE19</f>
        <v>1440</v>
      </c>
      <c r="AB33" s="216" ph="1">
        <f>I19</f>
        <v>48142.586069199999</v>
      </c>
      <c r="AC33" s="218" ph="1">
        <f>AD10+AB19</f>
        <v>72574.473888000008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98" priority="103">
      <formula>ABS(D$7-D$10)&gt;=1000</formula>
    </cfRule>
  </conditionalFormatting>
  <conditionalFormatting sqref="E4 E6:E11">
    <cfRule type="expression" dxfId="397" priority="102">
      <formula>ABS(E$7-E$10)&gt;=1000</formula>
    </cfRule>
  </conditionalFormatting>
  <conditionalFormatting sqref="F4:F11">
    <cfRule type="expression" dxfId="396" priority="101">
      <formula>ABS(F$7-F$10)&gt;=1000</formula>
    </cfRule>
  </conditionalFormatting>
  <conditionalFormatting sqref="G4:G11">
    <cfRule type="expression" dxfId="395" priority="100">
      <formula>ABS(G$7-G$10)&gt;=1000</formula>
    </cfRule>
  </conditionalFormatting>
  <conditionalFormatting sqref="H4:H11">
    <cfRule type="expression" dxfId="394" priority="99">
      <formula>ABS(H$7-H$10)&gt;=1000</formula>
    </cfRule>
  </conditionalFormatting>
  <conditionalFormatting sqref="I4:I11">
    <cfRule type="expression" dxfId="393" priority="98">
      <formula>ABS(I$7-I$10)&gt;=1000</formula>
    </cfRule>
  </conditionalFormatting>
  <conditionalFormatting sqref="J4:J11">
    <cfRule type="expression" dxfId="392" priority="97">
      <formula>ABS(J$7-J$10)&gt;=1000</formula>
    </cfRule>
  </conditionalFormatting>
  <conditionalFormatting sqref="K4:K11">
    <cfRule type="expression" dxfId="391" priority="96">
      <formula>ABS(K$7-K$10)&gt;=1000</formula>
    </cfRule>
  </conditionalFormatting>
  <conditionalFormatting sqref="L4:L11">
    <cfRule type="expression" dxfId="390" priority="95">
      <formula>ABS(L$7-L$10)&gt;=1000</formula>
    </cfRule>
  </conditionalFormatting>
  <conditionalFormatting sqref="M4 M6:M11">
    <cfRule type="expression" dxfId="389" priority="94">
      <formula>ABS(M$7-M$10)&gt;=1000</formula>
    </cfRule>
  </conditionalFormatting>
  <conditionalFormatting sqref="N4 N6:N11">
    <cfRule type="expression" dxfId="388" priority="93">
      <formula>ABS(N$7-N$10)&gt;=1000</formula>
    </cfRule>
  </conditionalFormatting>
  <conditionalFormatting sqref="O4 O6:O11">
    <cfRule type="expression" dxfId="387" priority="92">
      <formula>ABS(O$7-O$10)&gt;=1000</formula>
    </cfRule>
  </conditionalFormatting>
  <conditionalFormatting sqref="P4 P6:P11">
    <cfRule type="expression" dxfId="386" priority="91">
      <formula>ABS(P$7-P$10)&gt;=1000</formula>
    </cfRule>
  </conditionalFormatting>
  <conditionalFormatting sqref="Q4:Q11">
    <cfRule type="expression" dxfId="385" priority="90">
      <formula>ABS(Q$7-Q$10)&gt;=1000</formula>
    </cfRule>
  </conditionalFormatting>
  <conditionalFormatting sqref="R4:R11">
    <cfRule type="expression" dxfId="384" priority="89">
      <formula>ABS(R$7-R$10)&gt;=1000</formula>
    </cfRule>
  </conditionalFormatting>
  <conditionalFormatting sqref="S4:S11">
    <cfRule type="expression" dxfId="383" priority="88">
      <formula>ABS(S$7-S$10)&gt;=1000</formula>
    </cfRule>
  </conditionalFormatting>
  <conditionalFormatting sqref="T4:T9 T11">
    <cfRule type="expression" dxfId="382" priority="87">
      <formula>ABS(T$7-T$10)&gt;=1000</formula>
    </cfRule>
  </conditionalFormatting>
  <conditionalFormatting sqref="U4:U9 U11">
    <cfRule type="expression" dxfId="381" priority="86">
      <formula>ABS(U$7-U$10)&gt;=1000</formula>
    </cfRule>
  </conditionalFormatting>
  <conditionalFormatting sqref="V4:V9 V11">
    <cfRule type="expression" dxfId="380" priority="85">
      <formula>ABS(V$7-V$10)&gt;=1000</formula>
    </cfRule>
  </conditionalFormatting>
  <conditionalFormatting sqref="W4:W9 W11">
    <cfRule type="expression" dxfId="379" priority="84">
      <formula>ABS(W$7-W$10)&gt;=1000</formula>
    </cfRule>
  </conditionalFormatting>
  <conditionalFormatting sqref="X4:X9 X11">
    <cfRule type="expression" dxfId="378" priority="83">
      <formula>ABS(X$7-X$10)&gt;=1000</formula>
    </cfRule>
  </conditionalFormatting>
  <conditionalFormatting sqref="Y4:Y9 Y11">
    <cfRule type="expression" dxfId="377" priority="82">
      <formula>ABS(Y$7-Y$10)&gt;=1000</formula>
    </cfRule>
  </conditionalFormatting>
  <conditionalFormatting sqref="Z4:Z11">
    <cfRule type="expression" dxfId="376" priority="81">
      <formula>ABS(Z$7-Z$10)&gt;=1000</formula>
    </cfRule>
  </conditionalFormatting>
  <conditionalFormatting sqref="AA4:AA11">
    <cfRule type="expression" dxfId="375" priority="80">
      <formula>ABS(AA$7-AA$10)&gt;=1000</formula>
    </cfRule>
  </conditionalFormatting>
  <conditionalFormatting sqref="AB4:AB11">
    <cfRule type="expression" dxfId="374" priority="79">
      <formula>ABS(AB$7-AB$10)&gt;=1000</formula>
    </cfRule>
  </conditionalFormatting>
  <conditionalFormatting sqref="AC4 AC6:AC11">
    <cfRule type="expression" dxfId="373" priority="78">
      <formula>ABS(AC$7-AC$10)&gt;=1000</formula>
    </cfRule>
  </conditionalFormatting>
  <conditionalFormatting sqref="AD4 AD6:AD11">
    <cfRule type="expression" dxfId="372" priority="77">
      <formula>ABS(AD$7-AD$10)&gt;=1000</formula>
    </cfRule>
  </conditionalFormatting>
  <conditionalFormatting sqref="AE4 AE6:AE11">
    <cfRule type="expression" dxfId="371" priority="76">
      <formula>ABS(AE$7-AE$10)&gt;=1000</formula>
    </cfRule>
  </conditionalFormatting>
  <conditionalFormatting sqref="D13:D20">
    <cfRule type="expression" dxfId="370" priority="75">
      <formula>ABS(D$16-D$19)&gt;=1000</formula>
    </cfRule>
  </conditionalFormatting>
  <conditionalFormatting sqref="E13:E20">
    <cfRule type="expression" dxfId="369" priority="74">
      <formula>ABS(E$16-E$19)&gt;=1000</formula>
    </cfRule>
  </conditionalFormatting>
  <conditionalFormatting sqref="F13 F15:F20">
    <cfRule type="expression" dxfId="368" priority="73">
      <formula>ABS(F$16-F$19)&gt;=1000</formula>
    </cfRule>
  </conditionalFormatting>
  <conditionalFormatting sqref="G13:G20">
    <cfRule type="expression" dxfId="367" priority="72">
      <formula>ABS(G$16-G$19)&gt;=1000</formula>
    </cfRule>
  </conditionalFormatting>
  <conditionalFormatting sqref="H13 H15:H20">
    <cfRule type="expression" dxfId="366" priority="71">
      <formula>ABS(H$16-H$19)&gt;=1000</formula>
    </cfRule>
  </conditionalFormatting>
  <conditionalFormatting sqref="I13:I20">
    <cfRule type="expression" dxfId="365" priority="70">
      <formula>ABS(I$16-I$19)&gt;=1000</formula>
    </cfRule>
  </conditionalFormatting>
  <conditionalFormatting sqref="J13:J20">
    <cfRule type="expression" dxfId="364" priority="69">
      <formula>ABS(J$16-J$19)&gt;=1000</formula>
    </cfRule>
  </conditionalFormatting>
  <conditionalFormatting sqref="L13:L20">
    <cfRule type="expression" dxfId="363" priority="68">
      <formula>ABS(L$16-L$19)&gt;=1000</formula>
    </cfRule>
  </conditionalFormatting>
  <conditionalFormatting sqref="M13 M15 M17:M18 M20">
    <cfRule type="expression" dxfId="362" priority="67">
      <formula>ABS(M$16-M$19)&gt;=1000</formula>
    </cfRule>
  </conditionalFormatting>
  <conditionalFormatting sqref="N13:N20">
    <cfRule type="expression" dxfId="361" priority="66">
      <formula>ABS(N$16-N$19)&gt;=1000</formula>
    </cfRule>
  </conditionalFormatting>
  <conditionalFormatting sqref="O13:O20">
    <cfRule type="expression" dxfId="360" priority="65">
      <formula>ABS(O$16-O$19)&gt;=1000</formula>
    </cfRule>
  </conditionalFormatting>
  <conditionalFormatting sqref="P13:P20">
    <cfRule type="expression" dxfId="359" priority="64">
      <formula>ABS(P$16-P$19)&gt;=1000</formula>
    </cfRule>
  </conditionalFormatting>
  <conditionalFormatting sqref="Q13 Q15:Q20">
    <cfRule type="expression" dxfId="358" priority="63">
      <formula>ABS(Q$16-Q$19)&gt;=1000</formula>
    </cfRule>
  </conditionalFormatting>
  <conditionalFormatting sqref="R13 R15:R20">
    <cfRule type="expression" dxfId="357" priority="62">
      <formula>ABS(R$16-R$19)&gt;=1000</formula>
    </cfRule>
  </conditionalFormatting>
  <conditionalFormatting sqref="S13:S20">
    <cfRule type="expression" dxfId="356" priority="61">
      <formula>ABS(S$16-S$19)&gt;=1000</formula>
    </cfRule>
  </conditionalFormatting>
  <conditionalFormatting sqref="T13:T15 T17:T20">
    <cfRule type="expression" dxfId="355" priority="60">
      <formula>ABS(T$16-T$19)&gt;=1000</formula>
    </cfRule>
  </conditionalFormatting>
  <conditionalFormatting sqref="U13:U20">
    <cfRule type="expression" dxfId="354" priority="59">
      <formula>ABS(U$16-U$19)&gt;=1000</formula>
    </cfRule>
  </conditionalFormatting>
  <conditionalFormatting sqref="V13:V20">
    <cfRule type="expression" dxfId="353" priority="58">
      <formula>ABS(V$16-V$19)&gt;=1000</formula>
    </cfRule>
  </conditionalFormatting>
  <conditionalFormatting sqref="W13 W20 W15:W18">
    <cfRule type="expression" dxfId="352" priority="57">
      <formula>ABS(W$16-W$19)&gt;=1000</formula>
    </cfRule>
  </conditionalFormatting>
  <conditionalFormatting sqref="X13 X15:X20 Y19">
    <cfRule type="expression" dxfId="351" priority="56">
      <formula>ABS(X$16-X$19)&gt;=1000</formula>
    </cfRule>
  </conditionalFormatting>
  <conditionalFormatting sqref="Y13 Y15:Y18 Y20">
    <cfRule type="expression" dxfId="350" priority="55">
      <formula>ABS(Y$16-Y$19)&gt;=1000</formula>
    </cfRule>
  </conditionalFormatting>
  <conditionalFormatting sqref="Z13:Z20">
    <cfRule type="expression" dxfId="349" priority="54">
      <formula>ABS(Z$16-Z$19)&gt;=1000</formula>
    </cfRule>
  </conditionalFormatting>
  <conditionalFormatting sqref="AA13:AA20">
    <cfRule type="expression" dxfId="348" priority="53">
      <formula>ABS(AA$16-AA$19)&gt;=1000</formula>
    </cfRule>
  </conditionalFormatting>
  <conditionalFormatting sqref="AB13 AB15:AB20">
    <cfRule type="expression" dxfId="347" priority="52">
      <formula>ABS(AB$16-AB$19)&gt;=1000</formula>
    </cfRule>
  </conditionalFormatting>
  <conditionalFormatting sqref="AC13 AC15:AC20">
    <cfRule type="expression" dxfId="346" priority="51">
      <formula>ABS(AC$16-AC$19)&gt;=1000</formula>
    </cfRule>
  </conditionalFormatting>
  <conditionalFormatting sqref="AD13:AD20">
    <cfRule type="expression" dxfId="345" priority="50">
      <formula>ABS(AD$16-AD$19)&gt;=1000</formula>
    </cfRule>
  </conditionalFormatting>
  <conditionalFormatting sqref="AE13:AE20">
    <cfRule type="expression" dxfId="344" priority="49">
      <formula>ABS(AE$16-AE$19)&gt;=1000</formula>
    </cfRule>
  </conditionalFormatting>
  <conditionalFormatting sqref="D22:D29">
    <cfRule type="expression" dxfId="343" priority="48">
      <formula>ABS(D$25-D$28)&gt;=1000</formula>
    </cfRule>
  </conditionalFormatting>
  <conditionalFormatting sqref="E22:E29">
    <cfRule type="expression" dxfId="342" priority="47">
      <formula>ABS(E$25-E$28)&gt;=1000</formula>
    </cfRule>
  </conditionalFormatting>
  <conditionalFormatting sqref="F22:F29">
    <cfRule type="expression" dxfId="341" priority="46">
      <formula>ABS(F$25-F$28)&gt;=1000</formula>
    </cfRule>
  </conditionalFormatting>
  <conditionalFormatting sqref="G22:G29">
    <cfRule type="expression" dxfId="340" priority="45">
      <formula>ABS(G$25-G$28)&gt;=1000</formula>
    </cfRule>
  </conditionalFormatting>
  <conditionalFormatting sqref="H22:H29">
    <cfRule type="expression" dxfId="339" priority="44">
      <formula>ABS(H$25-H$28)&gt;=1000</formula>
    </cfRule>
  </conditionalFormatting>
  <conditionalFormatting sqref="I22 I24:I29">
    <cfRule type="expression" dxfId="338" priority="43">
      <formula>ABS(I$25-I$28)&gt;=1000</formula>
    </cfRule>
  </conditionalFormatting>
  <conditionalFormatting sqref="J22:J29 K22">
    <cfRule type="expression" dxfId="337" priority="42">
      <formula>ABS(J$25-J$28)&gt;=1000</formula>
    </cfRule>
  </conditionalFormatting>
  <conditionalFormatting sqref="K23:K29 L25 L28">
    <cfRule type="expression" dxfId="336" priority="41">
      <formula>ABS(K$25-K$28)&gt;=1000</formula>
    </cfRule>
  </conditionalFormatting>
  <conditionalFormatting sqref="L22 L26:L27 L29 L24">
    <cfRule type="expression" dxfId="335" priority="40">
      <formula>ABS(L$25-L$28)&gt;=1000</formula>
    </cfRule>
  </conditionalFormatting>
  <conditionalFormatting sqref="M22:M29">
    <cfRule type="expression" dxfId="334" priority="39">
      <formula>ABS(M$25-M$28)&gt;=1000</formula>
    </cfRule>
  </conditionalFormatting>
  <conditionalFormatting sqref="N22:N29">
    <cfRule type="expression" dxfId="333" priority="38">
      <formula>ABS(N$25-N$28)&gt;=1000</formula>
    </cfRule>
  </conditionalFormatting>
  <conditionalFormatting sqref="O22 O24:O29">
    <cfRule type="expression" dxfId="332" priority="37">
      <formula>ABS(O$25-O$28)&gt;=1000</formula>
    </cfRule>
  </conditionalFormatting>
  <conditionalFormatting sqref="P22:P29">
    <cfRule type="expression" dxfId="331" priority="36">
      <formula>ABS(P$25-P$28)&gt;=1000</formula>
    </cfRule>
  </conditionalFormatting>
  <conditionalFormatting sqref="Q22:Q29">
    <cfRule type="expression" dxfId="330" priority="35">
      <formula>ABS(Q$25-Q$28)&gt;=1000</formula>
    </cfRule>
  </conditionalFormatting>
  <conditionalFormatting sqref="R22:R29">
    <cfRule type="expression" dxfId="329" priority="34">
      <formula>ABS(R$25-R$28)&gt;=1000</formula>
    </cfRule>
  </conditionalFormatting>
  <conditionalFormatting sqref="S22:S29">
    <cfRule type="expression" dxfId="328" priority="33">
      <formula>ABS(S$25-S$28)&gt;=1000</formula>
    </cfRule>
  </conditionalFormatting>
  <conditionalFormatting sqref="T22:T29">
    <cfRule type="expression" dxfId="327" priority="32">
      <formula>ABS(T$25-T$28)&gt;=1000</formula>
    </cfRule>
  </conditionalFormatting>
  <conditionalFormatting sqref="U22:U29">
    <cfRule type="expression" dxfId="326" priority="31">
      <formula>ABS(U$25-U$28)&gt;=1000</formula>
    </cfRule>
  </conditionalFormatting>
  <conditionalFormatting sqref="V22:V29">
    <cfRule type="expression" dxfId="325" priority="30">
      <formula>ABS(V$25-V$28)&gt;=1000</formula>
    </cfRule>
  </conditionalFormatting>
  <conditionalFormatting sqref="W22:W29">
    <cfRule type="expression" dxfId="324" priority="29">
      <formula>ABS(W$25-W$28)&gt;=1000</formula>
    </cfRule>
  </conditionalFormatting>
  <conditionalFormatting sqref="X22:X29">
    <cfRule type="expression" dxfId="323" priority="28">
      <formula>ABS(X$25-X$28)&gt;=1000</formula>
    </cfRule>
  </conditionalFormatting>
  <conditionalFormatting sqref="Y22:Y29">
    <cfRule type="expression" dxfId="322" priority="27">
      <formula>ABS(Y$25-Y$28)&gt;=1000</formula>
    </cfRule>
  </conditionalFormatting>
  <conditionalFormatting sqref="I23">
    <cfRule type="expression" dxfId="321" priority="26">
      <formula>ABS(I$25-I$28)&gt;=1000</formula>
    </cfRule>
  </conditionalFormatting>
  <conditionalFormatting sqref="Q14">
    <cfRule type="expression" dxfId="320" priority="25">
      <formula>ABS(Q$16-Q$19)&gt;=1000</formula>
    </cfRule>
  </conditionalFormatting>
  <conditionalFormatting sqref="W14">
    <cfRule type="expression" dxfId="319" priority="24">
      <formula>ABS(W$16-W$19)&gt;=1000</formula>
    </cfRule>
  </conditionalFormatting>
  <conditionalFormatting sqref="X14">
    <cfRule type="expression" dxfId="318" priority="23">
      <formula>ABS(X$16-X$19)&gt;=1000</formula>
    </cfRule>
  </conditionalFormatting>
  <conditionalFormatting sqref="T10:Y10">
    <cfRule type="expression" dxfId="317" priority="22">
      <formula>ABS(T$7-T$10)&gt;=1000</formula>
    </cfRule>
  </conditionalFormatting>
  <conditionalFormatting sqref="W19">
    <cfRule type="expression" dxfId="316" priority="21">
      <formula>ABS(W$16-W$19)&gt;=1000</formula>
    </cfRule>
  </conditionalFormatting>
  <conditionalFormatting sqref="AC5">
    <cfRule type="expression" dxfId="315" priority="20">
      <formula>ABS(AC$7-AC$10)&gt;=1000</formula>
    </cfRule>
  </conditionalFormatting>
  <conditionalFormatting sqref="M14">
    <cfRule type="expression" dxfId="314" priority="19">
      <formula>ABS(M$16-M$19)&gt;=1000</formula>
    </cfRule>
  </conditionalFormatting>
  <conditionalFormatting sqref="M16">
    <cfRule type="expression" dxfId="313" priority="18">
      <formula>ABS(M$16-M$19)&gt;=1000</formula>
    </cfRule>
  </conditionalFormatting>
  <conditionalFormatting sqref="M19">
    <cfRule type="expression" dxfId="312" priority="17">
      <formula>ABS(M$16-M$19)&gt;=1000</formula>
    </cfRule>
  </conditionalFormatting>
  <conditionalFormatting sqref="K13:K20">
    <cfRule type="expression" dxfId="311" priority="16">
      <formula>ABS(K$16-K$19)&gt;=1000</formula>
    </cfRule>
  </conditionalFormatting>
  <conditionalFormatting sqref="E5">
    <cfRule type="expression" dxfId="310" priority="15">
      <formula>ABS(E$7-E$10)&gt;=1000</formula>
    </cfRule>
  </conditionalFormatting>
  <conditionalFormatting sqref="AB14:AC14">
    <cfRule type="expression" dxfId="309" priority="14">
      <formula>ABS(AB$16-AB$19)&gt;=1000</formula>
    </cfRule>
  </conditionalFormatting>
  <conditionalFormatting sqref="M5">
    <cfRule type="expression" dxfId="308" priority="13">
      <formula>ABS(M$7-M$10)&gt;=1000</formula>
    </cfRule>
  </conditionalFormatting>
  <conditionalFormatting sqref="N5">
    <cfRule type="expression" dxfId="307" priority="12">
      <formula>ABS(N$7-N$10)&gt;=1000</formula>
    </cfRule>
  </conditionalFormatting>
  <conditionalFormatting sqref="O5">
    <cfRule type="expression" dxfId="306" priority="11">
      <formula>ABS(O$7-O$10)&gt;=1000</formula>
    </cfRule>
  </conditionalFormatting>
  <conditionalFormatting sqref="P5">
    <cfRule type="expression" dxfId="305" priority="10">
      <formula>ABS(P$7-P$10)&gt;=1000</formula>
    </cfRule>
  </conditionalFormatting>
  <conditionalFormatting sqref="L23">
    <cfRule type="expression" dxfId="304" priority="9">
      <formula>ABS(L$25-L$28)&gt;=1000</formula>
    </cfRule>
  </conditionalFormatting>
  <conditionalFormatting sqref="Y14">
    <cfRule type="expression" dxfId="303" priority="8">
      <formula>ABS(Y$16-Y$19)&gt;=1000</formula>
    </cfRule>
  </conditionalFormatting>
  <conditionalFormatting sqref="H14">
    <cfRule type="expression" dxfId="302" priority="7">
      <formula>ABS(H$16-H$19)&gt;=1000</formula>
    </cfRule>
  </conditionalFormatting>
  <conditionalFormatting sqref="AD5">
    <cfRule type="expression" dxfId="301" priority="6">
      <formula>ABS(AD$7-AD$10)&gt;=1000</formula>
    </cfRule>
  </conditionalFormatting>
  <conditionalFormatting sqref="AE5">
    <cfRule type="expression" dxfId="300" priority="5">
      <formula>ABS(AE$7-AE$10)&gt;=1000</formula>
    </cfRule>
  </conditionalFormatting>
  <conditionalFormatting sqref="T16">
    <cfRule type="expression" dxfId="299" priority="4">
      <formula>ABS(T$16-T$19)&gt;=1000</formula>
    </cfRule>
  </conditionalFormatting>
  <conditionalFormatting sqref="F14">
    <cfRule type="expression" dxfId="298" priority="3">
      <formula>ABS(F$16-F$19)&gt;=1000</formula>
    </cfRule>
  </conditionalFormatting>
  <conditionalFormatting sqref="R14">
    <cfRule type="expression" dxfId="297" priority="2">
      <formula>ABS(R$16-R$19)&gt;=1000</formula>
    </cfRule>
  </conditionalFormatting>
  <conditionalFormatting sqref="O23">
    <cfRule type="expression" dxfId="29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08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9">
    <pageSetUpPr fitToPage="1"/>
  </sheetPr>
  <dimension ref="A1:CU223"/>
  <sheetViews>
    <sheetView view="pageBreakPreview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46301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1572</v>
      </c>
      <c r="E6" s="71">
        <v>4297</v>
      </c>
      <c r="F6" s="71">
        <v>3185</v>
      </c>
      <c r="G6" s="71">
        <v>1710</v>
      </c>
      <c r="H6" s="71">
        <v>4399</v>
      </c>
      <c r="I6" s="71">
        <v>0.06</v>
      </c>
      <c r="J6" s="71">
        <v>6.66</v>
      </c>
      <c r="K6" s="71">
        <v>63.67</v>
      </c>
      <c r="L6" s="71">
        <v>43.5</v>
      </c>
      <c r="M6" s="71">
        <v>2648</v>
      </c>
      <c r="N6" s="71">
        <v>412</v>
      </c>
      <c r="O6" s="71">
        <v>5303</v>
      </c>
      <c r="P6" s="71">
        <v>6932</v>
      </c>
      <c r="Q6" s="71">
        <v>7257</v>
      </c>
      <c r="R6" s="71">
        <v>6015</v>
      </c>
      <c r="S6" s="71">
        <v>6968</v>
      </c>
      <c r="T6" s="71">
        <v>7247</v>
      </c>
      <c r="U6" s="71">
        <v>7115</v>
      </c>
      <c r="V6" s="71">
        <v>2668</v>
      </c>
      <c r="W6" s="71">
        <v>2554</v>
      </c>
      <c r="X6" s="71">
        <v>0</v>
      </c>
      <c r="Y6" s="71">
        <v>0</v>
      </c>
      <c r="Z6" s="71">
        <v>3678</v>
      </c>
      <c r="AA6" s="71">
        <v>988</v>
      </c>
      <c r="AB6" s="71">
        <v>284</v>
      </c>
      <c r="AC6" s="71">
        <v>7645</v>
      </c>
      <c r="AD6" s="71">
        <v>3705</v>
      </c>
      <c r="AE6" s="71">
        <v>5006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49238.858686680003</v>
      </c>
      <c r="E7" s="73" ph="1">
        <f>E6*51.53*LOOKUP(E8,密度!$A$2:$A$50,密度!$B$2:$B$50)</f>
        <v>172622.47003599998</v>
      </c>
      <c r="F7" s="73" ph="1">
        <f>F6*33.183*LOOKUP(F8,密度!$A$2:$A$50,密度!$C$2:$C$50)</f>
        <v>117271.24390799999</v>
      </c>
      <c r="G7" s="73" ph="1">
        <f xml:space="preserve"> (G6+2)*51.53*LOOKUP(G8,密度!$A$2:$A$50,密度!$B$2:$B$50)</f>
        <v>68696.415631999989</v>
      </c>
      <c r="H7" s="73" ph="1">
        <f>(H6)*51.53*LOOKUP(H8,密度!$A$2:$A$50,密度!$B$2:$B$50)</f>
        <v>176924.10683499998</v>
      </c>
      <c r="I7" s="73" ph="1">
        <f>I6*290.8*1.0267</f>
        <v>17.913861600000001</v>
      </c>
      <c r="J7" s="73" ph="1">
        <f>J6*290.8*0.7892</f>
        <v>1528.4657376</v>
      </c>
      <c r="K7" s="73" ph="1">
        <f>K6*290.8*1.1126</f>
        <v>20600.051573600002</v>
      </c>
      <c r="L7" s="73" ph="1">
        <f>L6*290.8*0.777</f>
        <v>9828.8946000000014</v>
      </c>
      <c r="M7" s="73" ph="1">
        <f>M6*33.183*LOOKUP(M8,密度!$A$2:$A$50,密度!$D$2:$D$50)</f>
        <v>90214.675192800001</v>
      </c>
      <c r="N7" s="73" ph="1">
        <f>N6*33.183*LOOKUP(N8,密度!$A$2:$A$50,密度!$E$2:$E$50)</f>
        <v>10707.437347200001</v>
      </c>
      <c r="O7" s="73" ph="1">
        <f>O6*20.428*LOOKUP(O8,密度!$A$2:$A$50,密度!$C$2:$C$50)</f>
        <v>119715.13378840001</v>
      </c>
      <c r="P7" s="73" ph="1">
        <f>P6*51.53*LOOKUP(P8,密度!$A$2:$A$50,密度!$B$2:$B$50)</f>
        <v>279120.73714400001</v>
      </c>
      <c r="Q7" s="73" ph="1">
        <f>Q6*1.5*1.5*3.1416*LOOKUP(W8,密度!$A$2:$A$50,密度!$L$2:$L$50)</f>
        <v>48116.426727599996</v>
      </c>
      <c r="R7" s="73" ph="1">
        <f>R6*1.5*1.5*3.1416*LOOKUP(R8,密度!$A$2:$A$50,密度!$L$2:$L$50)</f>
        <v>39541.394970000001</v>
      </c>
      <c r="S7" s="73" ph="1">
        <f>S6*1.5*1.5*3.1416*LOOKUP(S8,密度!$A$2:$A$50,密度!$L$2:$L$50)</f>
        <v>46200.2565024</v>
      </c>
      <c r="T7" s="73" ph="1">
        <f>T6*1.5*1.5*3.1416*LOOKUP(T8,密度!$A$2:$A$50,密度!$L$2:$L$50)</f>
        <v>48203.801692200002</v>
      </c>
      <c r="U7" s="73" ph="1">
        <f>U6*1.5*1.5*3.1416*LOOKUP(U8,密度!$A$2:$A$50,密度!$L$2:$L$50)</f>
        <v>47124.624393000006</v>
      </c>
      <c r="V7" s="73" ph="1">
        <f>V6*1.5*1.5*3.1416*LOOKUP(V8,密度!$A$2:$A$50,密度!$L$2:$L$50)</f>
        <v>17614.3291632</v>
      </c>
      <c r="W7" s="73" ph="1">
        <f>W6*1.5*1.5*3.1416*LOOKUP(W8,密度!$A$2:$A$50,密度!$L$2:$L$50)</f>
        <v>16933.905727199999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114846.29663399998</v>
      </c>
      <c r="AA7" s="73" ph="1">
        <f>AA6*33.183*LOOKUP(AA8,密度!$A$2:$A$50,密度!$D$2:$D$50)</f>
        <v>33689.664590399996</v>
      </c>
      <c r="AB7" s="73" ph="1">
        <f>AB6*20.428*LOOKUP(AB8,密度!$A$2:$A$50,密度!$D$2:$D$50)</f>
        <v>5993.5833712000003</v>
      </c>
      <c r="AC7" s="73" ph="1">
        <f>AC6*51.53*LOOKUP(AC8,密度!$A$2:$A$50,密度!$Q$2:$Q$50)</f>
        <v>373540.40317000006</v>
      </c>
      <c r="AD7" s="73" ph="1">
        <f>AD6*20.428*LOOKUP(AD8,密度!$A$2:$A$50,密度!$V$2:$V$50)</f>
        <v>72718.858992000009</v>
      </c>
      <c r="AE7" s="73" ph="1">
        <f>AE6*20.428</f>
        <v>102262.568</v>
      </c>
    </row>
    <row r="8" spans="1:99" ph="1">
      <c r="B8" s="171" ph="1"/>
      <c r="C8" s="68" t="s" ph="1">
        <v>179</v>
      </c>
      <c r="D8" s="74">
        <v>29</v>
      </c>
      <c r="E8" s="74">
        <v>25</v>
      </c>
      <c r="F8" s="74">
        <v>24</v>
      </c>
      <c r="G8" s="74">
        <v>26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23</v>
      </c>
      <c r="Q8" s="74">
        <v>30</v>
      </c>
      <c r="R8" s="74">
        <v>32</v>
      </c>
      <c r="S8" s="74">
        <v>24</v>
      </c>
      <c r="T8" s="74">
        <v>21</v>
      </c>
      <c r="U8" s="74">
        <v>25</v>
      </c>
      <c r="V8" s="74">
        <v>28</v>
      </c>
      <c r="W8" s="74">
        <v>24</v>
      </c>
      <c r="X8" s="74">
        <v>16</v>
      </c>
      <c r="Y8" s="74">
        <v>24</v>
      </c>
      <c r="Z8" s="74">
        <v>21</v>
      </c>
      <c r="AA8" s="74">
        <v>24</v>
      </c>
      <c r="AB8" s="74">
        <v>18</v>
      </c>
      <c r="AC8" s="74">
        <v>23</v>
      </c>
      <c r="AD8" s="74">
        <v>25</v>
      </c>
      <c r="AE8" s="74">
        <v>27</v>
      </c>
    </row>
    <row r="9" spans="1:99" ht="26.4" ph="1">
      <c r="B9" s="171" ph="1">
        <v>0.66666666666666663</v>
      </c>
      <c r="C9" s="149" t="s" ph="1">
        <v>180</v>
      </c>
      <c r="D9" s="71">
        <v>935</v>
      </c>
      <c r="E9" s="71">
        <v>4297</v>
      </c>
      <c r="F9" s="71">
        <v>3185</v>
      </c>
      <c r="G9" s="71">
        <v>1432</v>
      </c>
      <c r="H9" s="71">
        <v>5692</v>
      </c>
      <c r="I9" s="71">
        <v>0.05</v>
      </c>
      <c r="J9" s="71">
        <v>6.73</v>
      </c>
      <c r="K9" s="71">
        <v>63.86</v>
      </c>
      <c r="L9" s="71">
        <v>60.84</v>
      </c>
      <c r="M9" s="71">
        <v>2647</v>
      </c>
      <c r="N9" s="71">
        <v>414</v>
      </c>
      <c r="O9" s="71">
        <v>4357</v>
      </c>
      <c r="P9" s="71">
        <v>7225</v>
      </c>
      <c r="Q9" s="71">
        <v>2710</v>
      </c>
      <c r="R9" s="71">
        <v>6018</v>
      </c>
      <c r="S9" s="71">
        <v>6973</v>
      </c>
      <c r="T9" s="71">
        <v>7252</v>
      </c>
      <c r="U9" s="71">
        <v>7121</v>
      </c>
      <c r="V9" s="71">
        <v>5871</v>
      </c>
      <c r="W9" s="71">
        <v>5136</v>
      </c>
      <c r="X9" s="71">
        <v>3055</v>
      </c>
      <c r="Y9" s="71">
        <v>0</v>
      </c>
      <c r="Z9" s="71">
        <v>633</v>
      </c>
      <c r="AA9" s="71">
        <v>896</v>
      </c>
      <c r="AB9" s="71">
        <v>283</v>
      </c>
      <c r="AC9" s="71">
        <v>7777</v>
      </c>
      <c r="AD9" s="71">
        <v>2693</v>
      </c>
      <c r="AE9" s="71">
        <v>4966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29329.597578600002</v>
      </c>
      <c r="E10" s="73" ph="1">
        <f>E9*51.53*LOOKUP(E11,密度!$A$2:$A$50,密度!$B$2:$B$50)</f>
        <v>172046.76657000001</v>
      </c>
      <c r="F10" s="73" ph="1">
        <f>F9*33.183*LOOKUP(F11,密度!$A$2:$A$50,密度!$C$2:$C$50)</f>
        <v>117112.71212550001</v>
      </c>
      <c r="G10" s="73" ph="1">
        <f xml:space="preserve"> (G9+2)*51.53*LOOKUP(G11,密度!$A$2:$A$50,密度!$B$2:$B$50)</f>
        <v>57356.538324000001</v>
      </c>
      <c r="H10" s="73" ph="1">
        <f>(H9)*51.53*LOOKUP(H11,密度!$A$2:$A$50,密度!$B$2:$B$50)</f>
        <v>227900.90652000002</v>
      </c>
      <c r="I10" s="73" ph="1">
        <f>I9*290.8*1.0267</f>
        <v>14.928217999999999</v>
      </c>
      <c r="J10" s="73" ph="1">
        <f>J9*290.8*0.7892</f>
        <v>1544.5306928000002</v>
      </c>
      <c r="K10" s="73" ph="1">
        <f>K9*290.8*1.1126</f>
        <v>20661.524948800001</v>
      </c>
      <c r="L10" s="73" ph="1">
        <f>L9*290.8*0.777</f>
        <v>13746.895344</v>
      </c>
      <c r="M10" s="73" ph="1">
        <f>M9*33.183*LOOKUP(M11,密度!$A$2:$A$50,密度!$D$2:$D$50)</f>
        <v>89934.6670839</v>
      </c>
      <c r="N10" s="73" ph="1">
        <f>N9*33.183*LOOKUP(N11,密度!$A$2:$A$50,密度!$E$2:$E$50)</f>
        <v>10712.706807600001</v>
      </c>
      <c r="O10" s="73" ph="1">
        <f>O9*20.428*LOOKUP(O11,密度!$A$2:$A$50,密度!$C$2:$C$50)</f>
        <v>98083.28519200001</v>
      </c>
      <c r="P10" s="73" ph="1">
        <f>P9*51.53*LOOKUP(P11,密度!$A$2:$A$50,密度!$B$2:$B$50)</f>
        <v>289615.47607500001</v>
      </c>
      <c r="Q10" s="73" ph="1">
        <f>Q9*1.5*1.5*3.1416*LOOKUP(W11,密度!$A$2:$A$50,密度!$L$2:$L$50)</f>
        <v>17929.928016000002</v>
      </c>
      <c r="R10" s="73" ph="1">
        <f>R9*1.5*1.5*3.1416*LOOKUP(R11,密度!$A$2:$A$50,密度!$L$2:$L$50)</f>
        <v>39518.577529199996</v>
      </c>
      <c r="S10" s="73" ph="1">
        <f>S9*1.5*1.5*3.1416*LOOKUP(S11,密度!$A$2:$A$50,密度!$L$2:$L$50)</f>
        <v>46134.829540799998</v>
      </c>
      <c r="T10" s="73" ph="1">
        <f>T9*1.5*1.5*3.1416*LOOKUP(T11,密度!$A$2:$A$50,密度!$L$2:$L$50)</f>
        <v>48134.536480799994</v>
      </c>
      <c r="U10" s="73" ph="1">
        <f>U9*1.5*1.5*3.1416*LOOKUP(U11,密度!$A$2:$A$50,密度!$L$2:$L$50)</f>
        <v>47114.028561600004</v>
      </c>
      <c r="V10" s="73" ph="1">
        <f>V9*1.5*1.5*3.1416*LOOKUP(V11,密度!$A$2:$A$50,密度!$L$2:$L$50)</f>
        <v>38760.767060400001</v>
      </c>
      <c r="W10" s="73" ph="1">
        <f>W9*1.5*1.5*3.1416*LOOKUP(W11,密度!$A$2:$A$50,密度!$L$2:$L$50)</f>
        <v>33980.8525056</v>
      </c>
      <c r="X10" s="73" ph="1">
        <f>X9*1.5*1.5*3.1416*LOOKUP(X11,密度!$A$2:$A$50,密度!$L$2:$L$50)</f>
        <v>20428.466057999998</v>
      </c>
      <c r="Y10" s="73" ph="1">
        <f>Y9*1.5*1.5*3.1416*LOOKUP(Y11,密度!$A$2:$A$50,密度!$L$2:$L$50)</f>
        <v>0</v>
      </c>
      <c r="Z10" s="73" ph="1">
        <f>Z9*33.183*LOOKUP(Z11,密度!$A$2:$A$50,密度!$L$2:$L$50)</f>
        <v>19765.553498999998</v>
      </c>
      <c r="AA10" s="73" ph="1">
        <f>AA9*33.183*LOOKUP(AA11,密度!$A$2:$A$50,密度!$D$2:$D$50)</f>
        <v>30442.562035200001</v>
      </c>
      <c r="AB10" s="73" ph="1">
        <f>AB9*20.428*LOOKUP(AB11,密度!$A$2:$A$50,密度!$D$2:$D$50)</f>
        <v>5946.4641463999997</v>
      </c>
      <c r="AC10" s="73" ph="1">
        <f>AC9*51.53*LOOKUP(AC11,密度!$A$2:$A$50,密度!$Q$2:$Q$50)</f>
        <v>379120.39672429999</v>
      </c>
      <c r="AD10" s="73" ph="1">
        <f>AD9*20.428*LOOKUP(AD11,密度!$A$2:$A$50,密度!$V$2:$V$50)</f>
        <v>52680.069590400002</v>
      </c>
      <c r="AE10" s="73" ph="1">
        <f>AE9*20.428</f>
        <v>101445.448</v>
      </c>
    </row>
    <row r="11" spans="1:99" ph="1">
      <c r="A11" s="64" t="s" ph="1">
        <v>162</v>
      </c>
      <c r="B11" s="171" ph="1"/>
      <c r="C11" s="149" t="s" ph="1">
        <v>179</v>
      </c>
      <c r="D11" s="74">
        <v>27</v>
      </c>
      <c r="E11" s="74">
        <v>28</v>
      </c>
      <c r="F11" s="74">
        <v>26</v>
      </c>
      <c r="G11" s="74">
        <v>29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28</v>
      </c>
      <c r="O11" s="74">
        <v>33</v>
      </c>
      <c r="P11" s="74">
        <v>27</v>
      </c>
      <c r="Q11" s="74">
        <v>32</v>
      </c>
      <c r="R11" s="74">
        <v>33</v>
      </c>
      <c r="S11" s="74">
        <v>26</v>
      </c>
      <c r="T11" s="74">
        <v>23</v>
      </c>
      <c r="U11" s="74">
        <v>26</v>
      </c>
      <c r="V11" s="74">
        <v>28</v>
      </c>
      <c r="W11" s="74">
        <v>26</v>
      </c>
      <c r="X11" s="74">
        <v>16</v>
      </c>
      <c r="Y11" s="74">
        <v>26</v>
      </c>
      <c r="Z11" s="74">
        <v>21</v>
      </c>
      <c r="AA11" s="74">
        <v>28</v>
      </c>
      <c r="AB11" s="74">
        <v>23</v>
      </c>
      <c r="AC11" s="74">
        <v>26</v>
      </c>
      <c r="AD11" s="74">
        <v>26</v>
      </c>
      <c r="AE11" s="74">
        <v>27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2574</v>
      </c>
      <c r="E15" s="78">
        <v>1291</v>
      </c>
      <c r="F15" s="78">
        <v>2371</v>
      </c>
      <c r="G15" s="78">
        <v>2866</v>
      </c>
      <c r="H15" s="78">
        <v>3452</v>
      </c>
      <c r="I15" s="78">
        <v>5183</v>
      </c>
      <c r="J15" s="78">
        <v>4840</v>
      </c>
      <c r="K15" s="78">
        <v>671</v>
      </c>
      <c r="L15" s="78">
        <v>2395</v>
      </c>
      <c r="M15" s="78">
        <v>1142</v>
      </c>
      <c r="N15" s="78">
        <v>2245</v>
      </c>
      <c r="O15" s="78">
        <v>4145</v>
      </c>
      <c r="P15" s="78">
        <v>7074</v>
      </c>
      <c r="Q15" s="78">
        <v>1852</v>
      </c>
      <c r="R15" s="78">
        <v>0</v>
      </c>
      <c r="S15" s="78">
        <v>0</v>
      </c>
      <c r="T15" s="78">
        <v>281</v>
      </c>
      <c r="U15" s="78">
        <v>5477</v>
      </c>
      <c r="V15" s="78">
        <v>4946</v>
      </c>
      <c r="W15" s="71">
        <v>-817</v>
      </c>
      <c r="X15" s="78">
        <v>681</v>
      </c>
      <c r="Y15" s="106">
        <v>-9905</v>
      </c>
      <c r="Z15" s="78">
        <v>0</v>
      </c>
      <c r="AA15" s="78">
        <v>2440</v>
      </c>
      <c r="AB15" s="78" ph="1">
        <v>0</v>
      </c>
      <c r="AC15" s="78" ph="1">
        <v>0</v>
      </c>
      <c r="AD15" s="78">
        <v>5.85</v>
      </c>
      <c r="AE15" s="78">
        <v>46.04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16975.539781200001</v>
      </c>
      <c r="E16" s="73" ph="1">
        <f>E15*7.0686*LOOKUP(E17,密度!$A$2:$A$50,密度!$L$2:$L$50)</f>
        <v>8505.0243432000007</v>
      </c>
      <c r="F16" s="73" ph="1">
        <f>F15*9.0746*LOOKUP(F17,密度!$A$2:$A$50,密度!$L$2:$L$50)</f>
        <v>20095.828744400002</v>
      </c>
      <c r="G16" s="73" ph="1">
        <f>G15*9.0746*LOOKUP(G17,密度!$A$2:$A$50,密度!$B$2:$B$50)</f>
        <v>20275.683686559998</v>
      </c>
      <c r="H16" s="73" ph="1">
        <f>H15*9.0746*LOOKUP(H17,密度!$A$2:$A$50,密度!$L$2:$L$50)</f>
        <v>29445.988047999999</v>
      </c>
      <c r="I16" s="73" ph="1">
        <f>I15*9.0746*LOOKUP(I17,密度!$A$2:$A$50,密度!$U$2:$U$50)</f>
        <v>48303.560398599999</v>
      </c>
      <c r="J16" s="73" ph="1">
        <f>J15*9.0746*LOOKUP(J17,密度!$A$2:$A$50,密度!$L$2:$L$50)</f>
        <v>41066.194840000004</v>
      </c>
      <c r="K16" s="73" ph="1">
        <f>K15*9.0746*LOOKUP(K17,密度!$A$2:$A$50,密度!$C$2:$C$50)</f>
        <v>6716.2294297999997</v>
      </c>
      <c r="L16" s="73" ph="1">
        <f>L15*9.0746*LOOKUP(L17,密度!$A$2:$A$50,密度!$E$2:$E$50)</f>
        <v>16973.993927000003</v>
      </c>
      <c r="M16" s="73" ph="1">
        <f>M15*9.0746*LOOKUP(M17,密度!$A$2:$A$50,密度!$M$2:$M$50)</f>
        <v>9077.1209238800002</v>
      </c>
      <c r="N16" s="73" ph="1">
        <f>N15*9.0746*LOOKUP(N17,密度!$A$2:$A$50,密度!$M$2:$M$50)</f>
        <v>17844.2526043</v>
      </c>
      <c r="O16" s="73" ph="1">
        <f>O15*9.0746*LOOKUP(O17,密度!$A$2:$A$50,密度!$G$2:$G$50)</f>
        <v>36034.419886000003</v>
      </c>
      <c r="P16" s="73" ph="1">
        <f ca="1">P15*9.0746*LOOKUP(P17,密度!$A$2:$A$51,密度!$Q$2:$Q$50)</f>
        <v>60594.378497172002</v>
      </c>
      <c r="Q16" s="73" ph="1">
        <f>Q15*9.0746*LOOKUP(Q17,密度!$A$2:$A$50,密度!$Q$2:$Q$50)</f>
        <v>15853.754158136002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2371.4652179999998</v>
      </c>
      <c r="U16" s="73" ph="1">
        <f>U15*9.0746*LOOKUP(U17,密度!$A$2:$A$50,密度!$H$2:$H$50)</f>
        <v>45511.740651940003</v>
      </c>
      <c r="V16" s="73" ph="1">
        <f>MAX(5600*LOOKUP(V17,密度!$A$2:$A$50,密度!$Q$2:$Q$50)+V15*9.0476*LOOKUP(V17,密度!$A$2:$A$50,密度!$Q$2:$Q$50),0)</f>
        <v>47526.337082327998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12233.04836556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17261.9219104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2446.2117287999999</v>
      </c>
      <c r="AE16" s="73" ph="1">
        <f>AE15*268.68*LOOKUP(AE17,密度!$A$2:$A$50,密度!B2:B50)+IF(AE15&lt;=0,0,1566*LOOKUP(AE17,密度!$A$2:$A$50,密度!B2:B50))</f>
        <v>10864.52680512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29</v>
      </c>
      <c r="E17" s="74">
        <v>30</v>
      </c>
      <c r="F17" s="74">
        <v>28</v>
      </c>
      <c r="G17" s="74">
        <v>25</v>
      </c>
      <c r="H17" s="74">
        <v>22</v>
      </c>
      <c r="I17" s="74">
        <v>23</v>
      </c>
      <c r="J17" s="74">
        <v>27</v>
      </c>
      <c r="K17" s="74">
        <v>32</v>
      </c>
      <c r="L17" s="74">
        <v>27</v>
      </c>
      <c r="M17" s="74">
        <v>24</v>
      </c>
      <c r="N17" s="74">
        <v>24</v>
      </c>
      <c r="O17" s="74">
        <v>27</v>
      </c>
      <c r="P17" s="74">
        <v>29</v>
      </c>
      <c r="Q17" s="74">
        <v>30</v>
      </c>
      <c r="R17" s="74">
        <v>25</v>
      </c>
      <c r="S17" s="74">
        <v>24</v>
      </c>
      <c r="T17" s="74">
        <v>23</v>
      </c>
      <c r="U17" s="74">
        <v>24</v>
      </c>
      <c r="V17" s="74">
        <v>29</v>
      </c>
      <c r="W17" s="74">
        <v>26</v>
      </c>
      <c r="X17" s="74">
        <v>27</v>
      </c>
      <c r="Y17" s="108">
        <v>27</v>
      </c>
      <c r="Z17" s="74">
        <v>24</v>
      </c>
      <c r="AA17" s="74">
        <v>25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3893</v>
      </c>
      <c r="E18" s="71">
        <v>47</v>
      </c>
      <c r="F18" s="71">
        <v>2371</v>
      </c>
      <c r="G18" s="71">
        <v>3018</v>
      </c>
      <c r="H18" s="71">
        <v>3453</v>
      </c>
      <c r="I18" s="71">
        <v>5185</v>
      </c>
      <c r="J18" s="71">
        <v>5033</v>
      </c>
      <c r="K18" s="71">
        <v>1410</v>
      </c>
      <c r="L18" s="71">
        <v>2398</v>
      </c>
      <c r="M18" s="71">
        <v>3000</v>
      </c>
      <c r="N18" s="71">
        <v>389</v>
      </c>
      <c r="O18" s="71">
        <v>4147</v>
      </c>
      <c r="P18" s="71">
        <v>7076</v>
      </c>
      <c r="Q18" s="71">
        <v>3266</v>
      </c>
      <c r="R18" s="71">
        <v>0</v>
      </c>
      <c r="S18" s="71">
        <v>249</v>
      </c>
      <c r="T18" s="71">
        <v>5880</v>
      </c>
      <c r="U18" s="71">
        <v>1516</v>
      </c>
      <c r="V18" s="71">
        <v>5072</v>
      </c>
      <c r="W18" s="71">
        <v>-135</v>
      </c>
      <c r="X18" s="71">
        <v>681</v>
      </c>
      <c r="Y18" s="109">
        <v>-9907</v>
      </c>
      <c r="Z18" s="71">
        <v>0</v>
      </c>
      <c r="AA18" s="71">
        <v>2442</v>
      </c>
      <c r="AB18" s="71">
        <v>0</v>
      </c>
      <c r="AC18" s="71">
        <v>0</v>
      </c>
      <c r="AD18" s="71">
        <v>16.37</v>
      </c>
      <c r="AE18" s="71">
        <v>84.4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25646.8317336</v>
      </c>
      <c r="E19" s="73" ph="1">
        <f>E18*7.0686*LOOKUP(E20,密度!$A$2:$A$50,密度!$L$2:$L$50)</f>
        <v>308.30405760000002</v>
      </c>
      <c r="F19" s="73" ph="1">
        <f>F18*9.0746*LOOKUP(F20,密度!$A$2:$A$50,密度!$L$2:$L$50)</f>
        <v>20052.796991200001</v>
      </c>
      <c r="G19" s="73" ph="1">
        <f>G18*9.0746*LOOKUP(G20,密度!$A$2:$A$50,密度!$B$2:$B$50)</f>
        <v>21326.368098359999</v>
      </c>
      <c r="H19" s="73" ph="1">
        <f>H18*9.0746*LOOKUP(H20,密度!$A$2:$A$50,密度!$L$2:$L$50)</f>
        <v>29454.518172</v>
      </c>
      <c r="I19" s="73" ph="1">
        <f>I18*9.0746*LOOKUP(I20,密度!$A$2:$A$50,密度!$U$2:$U$50)</f>
        <v>48133.992422999996</v>
      </c>
      <c r="J19" s="73" ph="1">
        <f>J18*9.0746*LOOKUP(J20,密度!$A$2:$A$50,密度!$L$2:$L$50)</f>
        <v>42658.079321200006</v>
      </c>
      <c r="K19" s="73" ph="1">
        <f>K18*9.0746*LOOKUP(K20,密度!$A$2:$A$50,密度!$C$2:$C$50)</f>
        <v>14178.3456066</v>
      </c>
      <c r="L19" s="73" ph="1">
        <f>L18*9.0746*LOOKUP(L20,密度!$A$2:$A$50,密度!$E$2:$E$50)</f>
        <v>16969.142645840002</v>
      </c>
      <c r="M19" s="73" ph="1">
        <f>M18*9.0746*LOOKUP(M20,密度!$A$2:$A$50,密度!$M$2:$M$50)</f>
        <v>23681.983619999999</v>
      </c>
      <c r="N19" s="73" ph="1">
        <f>N18*9.0746*LOOKUP(N20,密度!$A$2:$A$50,密度!$M$2:$M$50)</f>
        <v>3082.0599381400002</v>
      </c>
      <c r="O19" s="73" ph="1">
        <f>O18*9.0746*LOOKUP(O20,密度!$A$2:$A$50,密度!$G$2:$G$50)</f>
        <v>36014.174453400003</v>
      </c>
      <c r="P19" s="73" ph="1">
        <f ca="1">P18*9.0746*LOOKUP(P20,密度!$A$2:$A$51,密度!$Q$2:$Q$50)</f>
        <v>60572.982949767997</v>
      </c>
      <c r="Q19" s="73" ph="1">
        <f>Q18*9.0746*LOOKUP(Q20,密度!$A$2:$A$50,密度!$Q$2:$Q$50)</f>
        <v>27876.871193724</v>
      </c>
      <c r="R19" s="73" ph="1">
        <f>MAX(R18*9.0746*LOOKUP(R20,密度!$A$2:$A$50,密度!$Q$2:$Q$50),0)</f>
        <v>0</v>
      </c>
      <c r="S19" s="73" ph="1">
        <f>S18*9.0746*LOOKUP(S20,密度!$A$2:$A$50,密度!$Q$2:$Q$50)</f>
        <v>2132.8810073220002</v>
      </c>
      <c r="T19" s="73" ph="1">
        <f>T18*9.0746*LOOKUP(T20,密度!$A$2:$A$50,密度!$O$2:$O$50)</f>
        <v>49410.108048000002</v>
      </c>
      <c r="U19" s="73" ph="1">
        <f>U18*9.0746*LOOKUP(U20,密度!$A$2:$A$50,密度!$H$2:$H$50)</f>
        <v>12558.850747440001</v>
      </c>
      <c r="V19" s="73" ph="1">
        <f>MAX(5600*LOOKUP(V20,密度!$A$2:$A$50,密度!$Q$2:$Q$50)+V18*9.0476*LOOKUP(V20,密度!$A$2:$A$50,密度!$Q$2:$Q$50),0)</f>
        <v>48532.904290175997</v>
      </c>
      <c r="W19" s="73" ph="1">
        <f>MAX(5600*LOOKUP(W20,密度!$A$2:$A$50,密度!$Q$2:$Q$50)+W18*9.0476*LOOKUP(W20,密度!$A$2:$A$50,密度!$Q$2:$Q$50),0)</f>
        <v>4133.0673558199996</v>
      </c>
      <c r="X19" s="73" ph="1">
        <f>MAX(5600*LOOKUP(X20,密度!$A$2:$A$50,密度!$I$2:$I$50)+X18*9.0476*LOOKUP(X20,密度!$A$2:$A$50,密度!$I$2:$I$50),0)</f>
        <v>12205.99710968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17276.071026720001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4634.2545732000008</v>
      </c>
      <c r="AE19" s="73" ph="1">
        <f>AE18*268.68*LOOKUP(AE20,密度!$A$2:$A$50,密度!B5:B53)+IF(AE18&lt;=0,0,1566*LOOKUP(AE20,密度!$A$2:$A$50,密度!B5:B53))</f>
        <v>18836.493984000001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30</v>
      </c>
      <c r="E20" s="81">
        <v>34</v>
      </c>
      <c r="F20" s="81">
        <v>30</v>
      </c>
      <c r="G20" s="81">
        <v>26</v>
      </c>
      <c r="H20" s="81">
        <v>22</v>
      </c>
      <c r="I20" s="81">
        <v>27</v>
      </c>
      <c r="J20" s="81">
        <v>28</v>
      </c>
      <c r="K20" s="81">
        <v>26</v>
      </c>
      <c r="L20" s="81">
        <v>28</v>
      </c>
      <c r="M20" s="81">
        <v>30</v>
      </c>
      <c r="N20" s="81">
        <v>27</v>
      </c>
      <c r="O20" s="81">
        <v>28</v>
      </c>
      <c r="P20" s="81">
        <v>30</v>
      </c>
      <c r="Q20" s="81">
        <v>34</v>
      </c>
      <c r="R20" s="81">
        <v>35</v>
      </c>
      <c r="S20" s="81">
        <v>29</v>
      </c>
      <c r="T20" s="81">
        <v>29</v>
      </c>
      <c r="U20" s="81">
        <v>27</v>
      </c>
      <c r="V20" s="81">
        <v>31</v>
      </c>
      <c r="W20" s="81">
        <v>29</v>
      </c>
      <c r="X20" s="81">
        <v>29</v>
      </c>
      <c r="Y20" s="110">
        <v>29</v>
      </c>
      <c r="Z20" s="81">
        <v>33</v>
      </c>
      <c r="AA20" s="81">
        <v>25</v>
      </c>
      <c r="AB20" s="81">
        <v>31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52.03</v>
      </c>
      <c r="E24" s="71">
        <v>5.58</v>
      </c>
      <c r="F24" s="71">
        <v>3348</v>
      </c>
      <c r="G24" s="71">
        <v>2999</v>
      </c>
      <c r="H24" s="71">
        <v>1689</v>
      </c>
      <c r="I24" s="71">
        <v>250</v>
      </c>
      <c r="J24" s="71">
        <v>301</v>
      </c>
      <c r="K24" s="71">
        <v>2265</v>
      </c>
      <c r="L24" s="71">
        <v>319</v>
      </c>
      <c r="M24" s="71">
        <v>321</v>
      </c>
      <c r="N24" s="71">
        <v>324</v>
      </c>
      <c r="O24" s="71">
        <v>5389</v>
      </c>
      <c r="P24" s="71">
        <v>373</v>
      </c>
      <c r="Q24" s="90">
        <v>1656</v>
      </c>
      <c r="R24" s="71">
        <v>5136</v>
      </c>
      <c r="S24" s="71">
        <v>3153</v>
      </c>
      <c r="T24" s="71">
        <v>1189</v>
      </c>
      <c r="U24" s="71">
        <v>5800</v>
      </c>
      <c r="V24" s="71">
        <v>736</v>
      </c>
      <c r="W24" s="71">
        <v>435</v>
      </c>
      <c r="X24" s="71">
        <v>2269</v>
      </c>
      <c r="Y24" s="71">
        <v>4443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14717.471309496001</v>
      </c>
      <c r="E25" s="91" ph="1">
        <f>E24*268.68*LOOKUP(E26,密度!$A$2:$A$50,密度!$C$2:$C$50)+IF(E24&lt;=0,0,1566*LOOKUP(E26,密度!$A$2:$A$50,密度!$C$2:$C$50))</f>
        <v>3399.0384261600002</v>
      </c>
      <c r="F25" s="91" ph="1">
        <f>F24*11.702*LOOKUP(F26,密度!$A$2:$A$50,密度!$Q$2:$Q$50)</f>
        <v>37008.60196752</v>
      </c>
      <c r="G25" s="91" ph="1">
        <f>G24*18.322*LOOKUP(G26,密度!$A$2:$A$50,密度!$B$2:$B$50)</f>
        <v>42694.345806000005</v>
      </c>
      <c r="H25" s="91" ph="1">
        <f>H24*18.322*LOOKUP(H26,密度!$A$2:$A$50,密度!$B$2:$B$50)</f>
        <v>24181.093441199999</v>
      </c>
      <c r="I25" s="91" ph="1">
        <f>I24*18.322*LOOKUP(I26,密度!$A$2:$A$50,密度!$Q$2:$Q$50)</f>
        <v>4333.2904150000004</v>
      </c>
      <c r="J25" s="91" ph="1">
        <f>J24*18.322*LOOKUP(J26,密度!$A$2:$A$50,密度!$Q$2:$Q$50)</f>
        <v>5225.2231473399997</v>
      </c>
      <c r="K25" s="91" ph="1">
        <f>K24*18.322*LOOKUP(K26,密度!$A$2:$A$50,密度!$Q$2:$Q$50)</f>
        <v>39259.6111599</v>
      </c>
      <c r="L25" s="91" ph="1">
        <f>L24*18.322*LOOKUP(L26,密度!$A$2:$A$50,密度!$Q$2:$Q$50)</f>
        <v>5529.2785695399998</v>
      </c>
      <c r="M25" s="91" ph="1">
        <f>M24*18.322*LOOKUP(M26,密度!$A$2:$A$50,密度!$Q$2:$Q$50)</f>
        <v>5572.4140541400002</v>
      </c>
      <c r="N25" s="91" ph="1">
        <f>N24*18.322*LOOKUP(N26,密度!$A$2:$A$50,密度!$Q$2:$Q$50)</f>
        <v>5628.8262095999999</v>
      </c>
      <c r="O25" s="91" ph="1">
        <f>O24*18.322*LOOKUP(O26,密度!$A$2:$A$50,密度!$C$2:$C$50)</f>
        <v>109410.75558980001</v>
      </c>
      <c r="P25" s="91" ph="1">
        <f>P24*11.702*LOOKUP(P26,密度!$A$2:$A$50,密度!$B$2:$B$50)</f>
        <v>3410.6906643999996</v>
      </c>
      <c r="Q25" s="92" ph="1">
        <f>Q24*18.322*LOOKUP(Q26,密度!$A$2:$A$50,密度!$B$2:$B$50)</f>
        <v>23654.024467199997</v>
      </c>
      <c r="R25" s="91" ph="1">
        <f>R24*35.891*LOOKUP(R26,密度!$A$2:$A$50,密度!$C$2:$C$50)</f>
        <v>203986.41236159997</v>
      </c>
      <c r="S25" s="91" ph="1">
        <f>S24*35.891*LOOKUP(S26,密度!$A$2:$A$50,密度!$B$2:$B$50)</f>
        <v>88222.906210799993</v>
      </c>
      <c r="T25" s="91" ph="1">
        <f>T24*35.891*LOOKUP(T26,密度!$A$2:$A$50,密度!$Q$2:$Q$50)</f>
        <v>40371.261685969999</v>
      </c>
      <c r="U25" s="91" ph="1">
        <f>U24*35.891</f>
        <v>208167.8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15956.217426000001</v>
      </c>
      <c r="X25" s="91" ph="1">
        <f>X24*47.051*LOOKUP(X26,密度!$A$2:$A$61,密度!$I$2:$I$61)</f>
        <v>110922.30904099999</v>
      </c>
      <c r="Y25" s="91" ph="1">
        <f>Y24*47.051*LOOKUP(Y26,密度!$A$2:$A$50,密度!$L$2:$L$50)</f>
        <v>195877.59464100003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23</v>
      </c>
      <c r="I26" s="74">
        <v>26</v>
      </c>
      <c r="J26" s="74">
        <v>24</v>
      </c>
      <c r="K26" s="74">
        <v>26</v>
      </c>
      <c r="L26" s="74">
        <v>26</v>
      </c>
      <c r="M26" s="74">
        <v>24</v>
      </c>
      <c r="N26" s="74">
        <v>23</v>
      </c>
      <c r="O26" s="74">
        <v>26</v>
      </c>
      <c r="P26" s="74">
        <v>23</v>
      </c>
      <c r="Q26" s="93">
        <v>25</v>
      </c>
      <c r="R26" s="74">
        <v>28</v>
      </c>
      <c r="S26" s="74">
        <v>25</v>
      </c>
      <c r="T26" s="74">
        <v>26</v>
      </c>
      <c r="U26" s="74">
        <v>25</v>
      </c>
      <c r="V26" s="74">
        <v>25</v>
      </c>
      <c r="W26" s="74">
        <v>25</v>
      </c>
      <c r="X26" s="74">
        <v>28</v>
      </c>
      <c r="Y26" s="74">
        <v>25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22.67</v>
      </c>
      <c r="E27" s="71">
        <v>5.57</v>
      </c>
      <c r="F27" s="71">
        <v>3586</v>
      </c>
      <c r="G27" s="71">
        <v>2918</v>
      </c>
      <c r="H27" s="71">
        <v>1261</v>
      </c>
      <c r="I27" s="71">
        <v>0</v>
      </c>
      <c r="J27" s="71">
        <v>294</v>
      </c>
      <c r="K27" s="71">
        <v>1653</v>
      </c>
      <c r="L27" s="71">
        <v>2180</v>
      </c>
      <c r="M27" s="71">
        <v>317</v>
      </c>
      <c r="N27" s="71">
        <v>321</v>
      </c>
      <c r="O27" s="71">
        <v>5386</v>
      </c>
      <c r="P27" s="71">
        <v>369</v>
      </c>
      <c r="Q27" s="90">
        <v>1864</v>
      </c>
      <c r="R27" s="71">
        <v>5133</v>
      </c>
      <c r="S27" s="71">
        <v>3150</v>
      </c>
      <c r="T27" s="71">
        <v>1323</v>
      </c>
      <c r="U27" s="71">
        <v>5844</v>
      </c>
      <c r="V27" s="71">
        <v>732</v>
      </c>
      <c r="W27" s="71">
        <v>431</v>
      </c>
      <c r="X27" s="71">
        <v>2270</v>
      </c>
      <c r="Y27" s="71">
        <v>4947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7249.1650795440009</v>
      </c>
      <c r="E28" s="91" ph="1">
        <f>E27*268.68*LOOKUP(E29,密度!$A$2:$A$50,密度!$C$2:$C$50)+IF(E27&lt;=0,0,1566*LOOKUP(E29,密度!$A$2:$A$50,密度!$C$2:$C$50))</f>
        <v>3396.0590336400001</v>
      </c>
      <c r="F28" s="91" ph="1">
        <f>F27*11.702*LOOKUP(F29,密度!$A$2:$A$50,密度!$Q$2:$Q$50)</f>
        <v>39639.440458640005</v>
      </c>
      <c r="G28" s="91" ph="1">
        <f>G27*18.322*LOOKUP(G29,密度!$A$2:$A$50,密度!$B$2:$B$50)</f>
        <v>41541.214092000002</v>
      </c>
      <c r="H28" s="91" ph="1">
        <f>H27*18.322*LOOKUP(H29,密度!$A$2:$A$50,密度!$B$2:$B$50)</f>
        <v>17870.976486999996</v>
      </c>
      <c r="I28" s="91" ph="1">
        <f>I27*18.322*LOOKUP(I29,密度!$A$2:$A$50,密度!$Q$2:$Q$50)</f>
        <v>0</v>
      </c>
      <c r="J28" s="91" ph="1">
        <f>J27*18.322*LOOKUP(J29,密度!$A$2:$A$50,密度!$Q$2:$Q$50)</f>
        <v>5073.7025891999992</v>
      </c>
      <c r="K28" s="91" ph="1">
        <f>K27*18.322*LOOKUP(K29,密度!$A$2:$A$50,密度!$Q$2:$Q$50)</f>
        <v>28506.947872500001</v>
      </c>
      <c r="L28" s="91" ph="1">
        <f>L27*18.322*LOOKUP(L29,密度!$A$2:$A$50,密度!$Q$2:$Q$50)</f>
        <v>37729.974255200003</v>
      </c>
      <c r="M28" s="91" ph="1">
        <f>M27*18.322*LOOKUP(M29,密度!$A$2:$A$50,密度!$Q$2:$Q$50)</f>
        <v>5466.8496525</v>
      </c>
      <c r="N28" s="91" ph="1">
        <f>N27*18.322*LOOKUP(N29,密度!$A$2:$A$50,密度!$Q$2:$Q$50)</f>
        <v>5539.6548677999999</v>
      </c>
      <c r="O28" s="91" ph="1">
        <f>O27*18.322*LOOKUP(O29,密度!$A$2:$A$50,密度!$C$2:$C$50)</f>
        <v>108846.568076</v>
      </c>
      <c r="P28" s="91" ph="1">
        <f>P27*11.702*LOOKUP(P29,密度!$A$2:$A$50,密度!$B$2:$B$50)</f>
        <v>3355.1155259999996</v>
      </c>
      <c r="Q28" s="92" ph="1">
        <f>Q27*18.322*LOOKUP(Q29,密度!$A$2:$A$50,密度!$B$2:$B$50)</f>
        <v>26567.002603199999</v>
      </c>
      <c r="R28" s="91" ph="1">
        <f>R27*35.891*LOOKUP(R29,密度!$A$2:$A$50,密度!$C$2:$C$50)</f>
        <v>204014.64422219998</v>
      </c>
      <c r="S28" s="91" ph="1">
        <f>S27*35.891*LOOKUP(S29,密度!$A$2:$A$50,密度!$B$2:$B$50)</f>
        <v>87845.017049999995</v>
      </c>
      <c r="T28" s="91" ph="1">
        <f>T27*35.891*LOOKUP(T29,密度!$A$2:$A$50,密度!$Q$2:$Q$50)</f>
        <v>44724.984626699996</v>
      </c>
      <c r="U28" s="91" ph="1">
        <f>U27*35.891</f>
        <v>209747.00399999999</v>
      </c>
      <c r="V28" s="91" ph="1">
        <f>V27*47.051*LOOKUP(V29,密度!$A$2:$A$50,密度!$B$2:$B$50)</f>
        <v>26733.361898400002</v>
      </c>
      <c r="W28" s="91" ph="1">
        <f>W27*47.051*LOOKUP(W29,密度!$A$2:$A$50,密度!$B$2:$B$50)</f>
        <v>15722.293969299999</v>
      </c>
      <c r="X28" s="91" ph="1">
        <f>X27*47.051*LOOKUP(X29,密度!$A$2:$A$61,密度!$I$2:$I$61)</f>
        <v>110843.02810600001</v>
      </c>
      <c r="Y28" s="91" ph="1">
        <f>Y27*47.051*LOOKUP(Y29,密度!$A$2:$A$50,密度!$L$2:$L$50)</f>
        <v>217166.29010100002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28</v>
      </c>
      <c r="G29" s="74">
        <v>28</v>
      </c>
      <c r="H29" s="74">
        <v>32</v>
      </c>
      <c r="I29" s="74">
        <v>32</v>
      </c>
      <c r="J29" s="74">
        <v>32</v>
      </c>
      <c r="K29" s="74">
        <v>33</v>
      </c>
      <c r="L29" s="74">
        <v>28</v>
      </c>
      <c r="M29" s="74">
        <v>33</v>
      </c>
      <c r="N29" s="74">
        <v>32</v>
      </c>
      <c r="O29" s="74">
        <v>32</v>
      </c>
      <c r="P29" s="74">
        <v>28</v>
      </c>
      <c r="Q29" s="93">
        <v>27</v>
      </c>
      <c r="R29" s="74">
        <v>27</v>
      </c>
      <c r="S29" s="74">
        <v>28</v>
      </c>
      <c r="T29" s="74">
        <v>32</v>
      </c>
      <c r="U29" s="74">
        <v>32</v>
      </c>
      <c r="V29" s="74">
        <v>29</v>
      </c>
      <c r="W29" s="74">
        <v>30</v>
      </c>
      <c r="X29" s="74">
        <v>29</v>
      </c>
      <c r="Y29" s="74">
        <v>29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36389.026181599998</v>
      </c>
      <c r="E33" s="193" ph="1">
        <f>M10+I10</f>
        <v>89949.595301900001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197" ph="1">
        <f>N19</f>
        <v>3082.0599381400002</v>
      </c>
      <c r="H33" s="193" ph="1">
        <f>M19</f>
        <v>23681.983619999999</v>
      </c>
      <c r="I33" s="206" ph="1">
        <v>0</v>
      </c>
      <c r="J33" s="204" ph="1">
        <f>F10+O28</f>
        <v>225959.28020149999</v>
      </c>
      <c r="K33" s="193" ph="1">
        <f>O10+K10+E28+R28</f>
        <v>326155.51339663996</v>
      </c>
      <c r="L33" s="208" ph="1">
        <f>K19</f>
        <v>14178.3456066</v>
      </c>
      <c r="M33" s="204" ph="1">
        <f>G10+H10+W28+S28+V28+E10+R19+P28+Q28</f>
        <v>617527.00246090011</v>
      </c>
      <c r="N33" s="193" ph="1">
        <f>L10+P10++G28+H28+AD19+AE19</f>
        <v>386245.31055520003</v>
      </c>
      <c r="O33" s="206" ph="1">
        <f>G19</f>
        <v>21326.368098359999</v>
      </c>
      <c r="P33" s="204" ph="1">
        <f>L19</f>
        <v>16969.142645840002</v>
      </c>
      <c r="Q33" s="193" ph="1">
        <f>J10+N10</f>
        <v>12257.237500400002</v>
      </c>
      <c r="R33" s="206" ph="1">
        <f>BE23</f>
        <v>890</v>
      </c>
      <c r="S33" s="204" ph="1">
        <f>X28</f>
        <v>110843.02810600001</v>
      </c>
      <c r="T33" s="193" ph="1">
        <f>X19</f>
        <v>12205.99710968</v>
      </c>
      <c r="U33" s="214" ph="1">
        <f>BE21</f>
        <v>730</v>
      </c>
      <c r="V33" s="225" ph="1">
        <f ca="1">P19+Q19+S19+M28+N28+J28+D10+AC10+D19+E19+H19+J19+O19+V19+W19+K28+L28</f>
        <v>768097.73807470989</v>
      </c>
      <c r="W33" s="225" ph="1">
        <f>D28+F28+T28+I28</f>
        <v>91613.590164883994</v>
      </c>
      <c r="X33" s="206" ph="1">
        <f>BE29+BE31</f>
        <v>10200</v>
      </c>
      <c r="Y33" s="227" ph="1">
        <f>+Q10+R10+S10+T10+U10+V10+W10+X10+Y10</f>
        <v>292001.98575240001</v>
      </c>
      <c r="Z33" s="212" ph="1">
        <f>T19+U19+Y28+Z10</f>
        <v>298900.80239544</v>
      </c>
      <c r="AA33" s="214" ph="1">
        <f>BE19</f>
        <v>1440</v>
      </c>
      <c r="AB33" s="216" ph="1">
        <f>I19</f>
        <v>48133.992422999996</v>
      </c>
      <c r="AC33" s="218" ph="1">
        <f>AD10+AB19</f>
        <v>52680.069590400002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5" priority="103">
      <formula>ABS(D$7-D$10)&gt;=1000</formula>
    </cfRule>
  </conditionalFormatting>
  <conditionalFormatting sqref="E4 E6:E11">
    <cfRule type="expression" dxfId="264" priority="102">
      <formula>ABS(E$7-E$10)&gt;=1000</formula>
    </cfRule>
  </conditionalFormatting>
  <conditionalFormatting sqref="F4:F11">
    <cfRule type="expression" dxfId="263" priority="101">
      <formula>ABS(F$7-F$10)&gt;=1000</formula>
    </cfRule>
  </conditionalFormatting>
  <conditionalFormatting sqref="G4:G11">
    <cfRule type="expression" dxfId="262" priority="100">
      <formula>ABS(G$7-G$10)&gt;=1000</formula>
    </cfRule>
  </conditionalFormatting>
  <conditionalFormatting sqref="H4:H11">
    <cfRule type="expression" dxfId="261" priority="99">
      <formula>ABS(H$7-H$10)&gt;=1000</formula>
    </cfRule>
  </conditionalFormatting>
  <conditionalFormatting sqref="I4:I11">
    <cfRule type="expression" dxfId="260" priority="98">
      <formula>ABS(I$7-I$10)&gt;=1000</formula>
    </cfRule>
  </conditionalFormatting>
  <conditionalFormatting sqref="J4:J11">
    <cfRule type="expression" dxfId="259" priority="97">
      <formula>ABS(J$7-J$10)&gt;=1000</formula>
    </cfRule>
  </conditionalFormatting>
  <conditionalFormatting sqref="K4:K11">
    <cfRule type="expression" dxfId="258" priority="96">
      <formula>ABS(K$7-K$10)&gt;=1000</formula>
    </cfRule>
  </conditionalFormatting>
  <conditionalFormatting sqref="L4:L11">
    <cfRule type="expression" dxfId="257" priority="95">
      <formula>ABS(L$7-L$10)&gt;=1000</formula>
    </cfRule>
  </conditionalFormatting>
  <conditionalFormatting sqref="M4 M6:M11">
    <cfRule type="expression" dxfId="256" priority="94">
      <formula>ABS(M$7-M$10)&gt;=1000</formula>
    </cfRule>
  </conditionalFormatting>
  <conditionalFormatting sqref="N4 N6:N11">
    <cfRule type="expression" dxfId="255" priority="93">
      <formula>ABS(N$7-N$10)&gt;=1000</formula>
    </cfRule>
  </conditionalFormatting>
  <conditionalFormatting sqref="O4 O6:O11">
    <cfRule type="expression" dxfId="254" priority="92">
      <formula>ABS(O$7-O$10)&gt;=1000</formula>
    </cfRule>
  </conditionalFormatting>
  <conditionalFormatting sqref="P4 P6:P11">
    <cfRule type="expression" dxfId="253" priority="91">
      <formula>ABS(P$7-P$10)&gt;=1000</formula>
    </cfRule>
  </conditionalFormatting>
  <conditionalFormatting sqref="Q4:Q11">
    <cfRule type="expression" dxfId="252" priority="90">
      <formula>ABS(Q$7-Q$10)&gt;=1000</formula>
    </cfRule>
  </conditionalFormatting>
  <conditionalFormatting sqref="R4:R11">
    <cfRule type="expression" dxfId="251" priority="89">
      <formula>ABS(R$7-R$10)&gt;=1000</formula>
    </cfRule>
  </conditionalFormatting>
  <conditionalFormatting sqref="S4:S11">
    <cfRule type="expression" dxfId="250" priority="88">
      <formula>ABS(S$7-S$10)&gt;=1000</formula>
    </cfRule>
  </conditionalFormatting>
  <conditionalFormatting sqref="T4:T9 T11">
    <cfRule type="expression" dxfId="249" priority="87">
      <formula>ABS(T$7-T$10)&gt;=1000</formula>
    </cfRule>
  </conditionalFormatting>
  <conditionalFormatting sqref="U4:U9 U11">
    <cfRule type="expression" dxfId="248" priority="86">
      <formula>ABS(U$7-U$10)&gt;=1000</formula>
    </cfRule>
  </conditionalFormatting>
  <conditionalFormatting sqref="V4:V9 V11">
    <cfRule type="expression" dxfId="247" priority="85">
      <formula>ABS(V$7-V$10)&gt;=1000</formula>
    </cfRule>
  </conditionalFormatting>
  <conditionalFormatting sqref="W4:W9 W11">
    <cfRule type="expression" dxfId="246" priority="84">
      <formula>ABS(W$7-W$10)&gt;=1000</formula>
    </cfRule>
  </conditionalFormatting>
  <conditionalFormatting sqref="X4:X9 X11">
    <cfRule type="expression" dxfId="245" priority="83">
      <formula>ABS(X$7-X$10)&gt;=1000</formula>
    </cfRule>
  </conditionalFormatting>
  <conditionalFormatting sqref="Y4:Y9 Y11">
    <cfRule type="expression" dxfId="244" priority="82">
      <formula>ABS(Y$7-Y$10)&gt;=1000</formula>
    </cfRule>
  </conditionalFormatting>
  <conditionalFormatting sqref="Z4:Z11">
    <cfRule type="expression" dxfId="243" priority="81">
      <formula>ABS(Z$7-Z$10)&gt;=1000</formula>
    </cfRule>
  </conditionalFormatting>
  <conditionalFormatting sqref="AA4:AA11">
    <cfRule type="expression" dxfId="242" priority="80">
      <formula>ABS(AA$7-AA$10)&gt;=1000</formula>
    </cfRule>
  </conditionalFormatting>
  <conditionalFormatting sqref="AB4:AB11">
    <cfRule type="expression" dxfId="241" priority="79">
      <formula>ABS(AB$7-AB$10)&gt;=1000</formula>
    </cfRule>
  </conditionalFormatting>
  <conditionalFormatting sqref="AC4 AC6:AC11">
    <cfRule type="expression" dxfId="240" priority="78">
      <formula>ABS(AC$7-AC$10)&gt;=1000</formula>
    </cfRule>
  </conditionalFormatting>
  <conditionalFormatting sqref="AD4 AD6:AD11">
    <cfRule type="expression" dxfId="239" priority="77">
      <formula>ABS(AD$7-AD$10)&gt;=1000</formula>
    </cfRule>
  </conditionalFormatting>
  <conditionalFormatting sqref="AE4 AE6:AE11">
    <cfRule type="expression" dxfId="238" priority="76">
      <formula>ABS(AE$7-AE$10)&gt;=1000</formula>
    </cfRule>
  </conditionalFormatting>
  <conditionalFormatting sqref="D13:D20">
    <cfRule type="expression" dxfId="237" priority="75">
      <formula>ABS(D$16-D$19)&gt;=1000</formula>
    </cfRule>
  </conditionalFormatting>
  <conditionalFormatting sqref="E13:E20">
    <cfRule type="expression" dxfId="236" priority="74">
      <formula>ABS(E$16-E$19)&gt;=1000</formula>
    </cfRule>
  </conditionalFormatting>
  <conditionalFormatting sqref="F13 F15:F20">
    <cfRule type="expression" dxfId="235" priority="73">
      <formula>ABS(F$16-F$19)&gt;=1000</formula>
    </cfRule>
  </conditionalFormatting>
  <conditionalFormatting sqref="G13:G20">
    <cfRule type="expression" dxfId="234" priority="72">
      <formula>ABS(G$16-G$19)&gt;=1000</formula>
    </cfRule>
  </conditionalFormatting>
  <conditionalFormatting sqref="H13 H15:H20">
    <cfRule type="expression" dxfId="233" priority="71">
      <formula>ABS(H$16-H$19)&gt;=1000</formula>
    </cfRule>
  </conditionalFormatting>
  <conditionalFormatting sqref="I13:I20">
    <cfRule type="expression" dxfId="232" priority="70">
      <formula>ABS(I$16-I$19)&gt;=1000</formula>
    </cfRule>
  </conditionalFormatting>
  <conditionalFormatting sqref="J13:J20">
    <cfRule type="expression" dxfId="231" priority="69">
      <formula>ABS(J$16-J$19)&gt;=1000</formula>
    </cfRule>
  </conditionalFormatting>
  <conditionalFormatting sqref="L13:L20">
    <cfRule type="expression" dxfId="230" priority="68">
      <formula>ABS(L$16-L$19)&gt;=1000</formula>
    </cfRule>
  </conditionalFormatting>
  <conditionalFormatting sqref="M13 M15 M17:M18 M20">
    <cfRule type="expression" dxfId="229" priority="67">
      <formula>ABS(M$16-M$19)&gt;=1000</formula>
    </cfRule>
  </conditionalFormatting>
  <conditionalFormatting sqref="N13:N20">
    <cfRule type="expression" dxfId="228" priority="66">
      <formula>ABS(N$16-N$19)&gt;=1000</formula>
    </cfRule>
  </conditionalFormatting>
  <conditionalFormatting sqref="O13:O20">
    <cfRule type="expression" dxfId="227" priority="65">
      <formula>ABS(O$16-O$19)&gt;=1000</formula>
    </cfRule>
  </conditionalFormatting>
  <conditionalFormatting sqref="P13:P20">
    <cfRule type="expression" dxfId="226" priority="64">
      <formula>ABS(P$16-P$19)&gt;=1000</formula>
    </cfRule>
  </conditionalFormatting>
  <conditionalFormatting sqref="Q13 Q15:Q20">
    <cfRule type="expression" dxfId="225" priority="63">
      <formula>ABS(Q$16-Q$19)&gt;=1000</formula>
    </cfRule>
  </conditionalFormatting>
  <conditionalFormatting sqref="R13 R15:R20">
    <cfRule type="expression" dxfId="224" priority="62">
      <formula>ABS(R$16-R$19)&gt;=1000</formula>
    </cfRule>
  </conditionalFormatting>
  <conditionalFormatting sqref="S13:S20">
    <cfRule type="expression" dxfId="223" priority="61">
      <formula>ABS(S$16-S$19)&gt;=1000</formula>
    </cfRule>
  </conditionalFormatting>
  <conditionalFormatting sqref="T13:T15 T17:T20">
    <cfRule type="expression" dxfId="222" priority="60">
      <formula>ABS(T$16-T$19)&gt;=1000</formula>
    </cfRule>
  </conditionalFormatting>
  <conditionalFormatting sqref="U13:U20">
    <cfRule type="expression" dxfId="221" priority="59">
      <formula>ABS(U$16-U$19)&gt;=1000</formula>
    </cfRule>
  </conditionalFormatting>
  <conditionalFormatting sqref="V13:V20">
    <cfRule type="expression" dxfId="220" priority="58">
      <formula>ABS(V$16-V$19)&gt;=1000</formula>
    </cfRule>
  </conditionalFormatting>
  <conditionalFormatting sqref="W13 W20 W15:W18">
    <cfRule type="expression" dxfId="219" priority="57">
      <formula>ABS(W$16-W$19)&gt;=1000</formula>
    </cfRule>
  </conditionalFormatting>
  <conditionalFormatting sqref="X13 X15:X20 Y19">
    <cfRule type="expression" dxfId="218" priority="56">
      <formula>ABS(X$16-X$19)&gt;=1000</formula>
    </cfRule>
  </conditionalFormatting>
  <conditionalFormatting sqref="Y13 Y15:Y18 Y20">
    <cfRule type="expression" dxfId="217" priority="55">
      <formula>ABS(Y$16-Y$19)&gt;=1000</formula>
    </cfRule>
  </conditionalFormatting>
  <conditionalFormatting sqref="Z13:Z20">
    <cfRule type="expression" dxfId="216" priority="54">
      <formula>ABS(Z$16-Z$19)&gt;=1000</formula>
    </cfRule>
  </conditionalFormatting>
  <conditionalFormatting sqref="AA13:AA20">
    <cfRule type="expression" dxfId="215" priority="53">
      <formula>ABS(AA$16-AA$19)&gt;=1000</formula>
    </cfRule>
  </conditionalFormatting>
  <conditionalFormatting sqref="AB13 AB15:AB20">
    <cfRule type="expression" dxfId="214" priority="52">
      <formula>ABS(AB$16-AB$19)&gt;=1000</formula>
    </cfRule>
  </conditionalFormatting>
  <conditionalFormatting sqref="AC13 AC15:AC20">
    <cfRule type="expression" dxfId="213" priority="51">
      <formula>ABS(AC$16-AC$19)&gt;=1000</formula>
    </cfRule>
  </conditionalFormatting>
  <conditionalFormatting sqref="AD13:AD20">
    <cfRule type="expression" dxfId="212" priority="50">
      <formula>ABS(AD$16-AD$19)&gt;=1000</formula>
    </cfRule>
  </conditionalFormatting>
  <conditionalFormatting sqref="AE13:AE20">
    <cfRule type="expression" dxfId="211" priority="49">
      <formula>ABS(AE$16-AE$19)&gt;=1000</formula>
    </cfRule>
  </conditionalFormatting>
  <conditionalFormatting sqref="D22:D29">
    <cfRule type="expression" dxfId="210" priority="48">
      <formula>ABS(D$25-D$28)&gt;=1000</formula>
    </cfRule>
  </conditionalFormatting>
  <conditionalFormatting sqref="E22:E29">
    <cfRule type="expression" dxfId="209" priority="47">
      <formula>ABS(E$25-E$28)&gt;=1000</formula>
    </cfRule>
  </conditionalFormatting>
  <conditionalFormatting sqref="F22:F29">
    <cfRule type="expression" dxfId="208" priority="46">
      <formula>ABS(F$25-F$28)&gt;=1000</formula>
    </cfRule>
  </conditionalFormatting>
  <conditionalFormatting sqref="G22:G29">
    <cfRule type="expression" dxfId="207" priority="45">
      <formula>ABS(G$25-G$28)&gt;=1000</formula>
    </cfRule>
  </conditionalFormatting>
  <conditionalFormatting sqref="H22:H29">
    <cfRule type="expression" dxfId="206" priority="44">
      <formula>ABS(H$25-H$28)&gt;=1000</formula>
    </cfRule>
  </conditionalFormatting>
  <conditionalFormatting sqref="I22 I24:I29">
    <cfRule type="expression" dxfId="205" priority="43">
      <formula>ABS(I$25-I$28)&gt;=1000</formula>
    </cfRule>
  </conditionalFormatting>
  <conditionalFormatting sqref="J22:J29 K22">
    <cfRule type="expression" dxfId="204" priority="42">
      <formula>ABS(J$25-J$28)&gt;=1000</formula>
    </cfRule>
  </conditionalFormatting>
  <conditionalFormatting sqref="K23:K29 L25 L28">
    <cfRule type="expression" dxfId="203" priority="41">
      <formula>ABS(K$25-K$28)&gt;=1000</formula>
    </cfRule>
  </conditionalFormatting>
  <conditionalFormatting sqref="L22 L26:L27 L29 L24">
    <cfRule type="expression" dxfId="202" priority="40">
      <formula>ABS(L$25-L$28)&gt;=1000</formula>
    </cfRule>
  </conditionalFormatting>
  <conditionalFormatting sqref="M22:M29">
    <cfRule type="expression" dxfId="201" priority="39">
      <formula>ABS(M$25-M$28)&gt;=1000</formula>
    </cfRule>
  </conditionalFormatting>
  <conditionalFormatting sqref="N22:N29">
    <cfRule type="expression" dxfId="200" priority="38">
      <formula>ABS(N$25-N$28)&gt;=1000</formula>
    </cfRule>
  </conditionalFormatting>
  <conditionalFormatting sqref="O22 O24:O29">
    <cfRule type="expression" dxfId="199" priority="37">
      <formula>ABS(O$25-O$28)&gt;=1000</formula>
    </cfRule>
  </conditionalFormatting>
  <conditionalFormatting sqref="P22:P29">
    <cfRule type="expression" dxfId="198" priority="36">
      <formula>ABS(P$25-P$28)&gt;=1000</formula>
    </cfRule>
  </conditionalFormatting>
  <conditionalFormatting sqref="Q22:Q29">
    <cfRule type="expression" dxfId="197" priority="35">
      <formula>ABS(Q$25-Q$28)&gt;=1000</formula>
    </cfRule>
  </conditionalFormatting>
  <conditionalFormatting sqref="R22:R29">
    <cfRule type="expression" dxfId="196" priority="34">
      <formula>ABS(R$25-R$28)&gt;=1000</formula>
    </cfRule>
  </conditionalFormatting>
  <conditionalFormatting sqref="S22:S29">
    <cfRule type="expression" dxfId="195" priority="33">
      <formula>ABS(S$25-S$28)&gt;=1000</formula>
    </cfRule>
  </conditionalFormatting>
  <conditionalFormatting sqref="T22:T29">
    <cfRule type="expression" dxfId="194" priority="32">
      <formula>ABS(T$25-T$28)&gt;=1000</formula>
    </cfRule>
  </conditionalFormatting>
  <conditionalFormatting sqref="U22:U29">
    <cfRule type="expression" dxfId="193" priority="31">
      <formula>ABS(U$25-U$28)&gt;=1000</formula>
    </cfRule>
  </conditionalFormatting>
  <conditionalFormatting sqref="V22:V29">
    <cfRule type="expression" dxfId="192" priority="30">
      <formula>ABS(V$25-V$28)&gt;=1000</formula>
    </cfRule>
  </conditionalFormatting>
  <conditionalFormatting sqref="W22:W29">
    <cfRule type="expression" dxfId="191" priority="29">
      <formula>ABS(W$25-W$28)&gt;=1000</formula>
    </cfRule>
  </conditionalFormatting>
  <conditionalFormatting sqref="X22:X29">
    <cfRule type="expression" dxfId="190" priority="28">
      <formula>ABS(X$25-X$28)&gt;=1000</formula>
    </cfRule>
  </conditionalFormatting>
  <conditionalFormatting sqref="Y22:Y29">
    <cfRule type="expression" dxfId="189" priority="27">
      <formula>ABS(Y$25-Y$28)&gt;=1000</formula>
    </cfRule>
  </conditionalFormatting>
  <conditionalFormatting sqref="I23">
    <cfRule type="expression" dxfId="188" priority="26">
      <formula>ABS(I$25-I$28)&gt;=1000</formula>
    </cfRule>
  </conditionalFormatting>
  <conditionalFormatting sqref="Q14">
    <cfRule type="expression" dxfId="187" priority="25">
      <formula>ABS(Q$16-Q$19)&gt;=1000</formula>
    </cfRule>
  </conditionalFormatting>
  <conditionalFormatting sqref="W14">
    <cfRule type="expression" dxfId="186" priority="24">
      <formula>ABS(W$16-W$19)&gt;=1000</formula>
    </cfRule>
  </conditionalFormatting>
  <conditionalFormatting sqref="X14">
    <cfRule type="expression" dxfId="185" priority="23">
      <formula>ABS(X$16-X$19)&gt;=1000</formula>
    </cfRule>
  </conditionalFormatting>
  <conditionalFormatting sqref="T10:Y10">
    <cfRule type="expression" dxfId="184" priority="22">
      <formula>ABS(T$7-T$10)&gt;=1000</formula>
    </cfRule>
  </conditionalFormatting>
  <conditionalFormatting sqref="W19">
    <cfRule type="expression" dxfId="183" priority="21">
      <formula>ABS(W$16-W$19)&gt;=1000</formula>
    </cfRule>
  </conditionalFormatting>
  <conditionalFormatting sqref="AC5">
    <cfRule type="expression" dxfId="182" priority="20">
      <formula>ABS(AC$7-AC$10)&gt;=1000</formula>
    </cfRule>
  </conditionalFormatting>
  <conditionalFormatting sqref="M14">
    <cfRule type="expression" dxfId="181" priority="19">
      <formula>ABS(M$16-M$19)&gt;=1000</formula>
    </cfRule>
  </conditionalFormatting>
  <conditionalFormatting sqref="M16">
    <cfRule type="expression" dxfId="180" priority="18">
      <formula>ABS(M$16-M$19)&gt;=1000</formula>
    </cfRule>
  </conditionalFormatting>
  <conditionalFormatting sqref="M19">
    <cfRule type="expression" dxfId="179" priority="17">
      <formula>ABS(M$16-M$19)&gt;=1000</formula>
    </cfRule>
  </conditionalFormatting>
  <conditionalFormatting sqref="K13:K20">
    <cfRule type="expression" dxfId="178" priority="16">
      <formula>ABS(K$16-K$19)&gt;=1000</formula>
    </cfRule>
  </conditionalFormatting>
  <conditionalFormatting sqref="E5">
    <cfRule type="expression" dxfId="177" priority="15">
      <formula>ABS(E$7-E$10)&gt;=1000</formula>
    </cfRule>
  </conditionalFormatting>
  <conditionalFormatting sqref="AB14:AC14">
    <cfRule type="expression" dxfId="176" priority="14">
      <formula>ABS(AB$16-AB$19)&gt;=1000</formula>
    </cfRule>
  </conditionalFormatting>
  <conditionalFormatting sqref="M5">
    <cfRule type="expression" dxfId="175" priority="13">
      <formula>ABS(M$7-M$10)&gt;=1000</formula>
    </cfRule>
  </conditionalFormatting>
  <conditionalFormatting sqref="N5">
    <cfRule type="expression" dxfId="174" priority="12">
      <formula>ABS(N$7-N$10)&gt;=1000</formula>
    </cfRule>
  </conditionalFormatting>
  <conditionalFormatting sqref="O5">
    <cfRule type="expression" dxfId="173" priority="11">
      <formula>ABS(O$7-O$10)&gt;=1000</formula>
    </cfRule>
  </conditionalFormatting>
  <conditionalFormatting sqref="P5">
    <cfRule type="expression" dxfId="172" priority="10">
      <formula>ABS(P$7-P$10)&gt;=1000</formula>
    </cfRule>
  </conditionalFormatting>
  <conditionalFormatting sqref="L23">
    <cfRule type="expression" dxfId="171" priority="9">
      <formula>ABS(L$25-L$28)&gt;=1000</formula>
    </cfRule>
  </conditionalFormatting>
  <conditionalFormatting sqref="Y14">
    <cfRule type="expression" dxfId="170" priority="8">
      <formula>ABS(Y$16-Y$19)&gt;=1000</formula>
    </cfRule>
  </conditionalFormatting>
  <conditionalFormatting sqref="H14">
    <cfRule type="expression" dxfId="169" priority="7">
      <formula>ABS(H$16-H$19)&gt;=1000</formula>
    </cfRule>
  </conditionalFormatting>
  <conditionalFormatting sqref="AD5">
    <cfRule type="expression" dxfId="168" priority="6">
      <formula>ABS(AD$7-AD$10)&gt;=1000</formula>
    </cfRule>
  </conditionalFormatting>
  <conditionalFormatting sqref="AE5">
    <cfRule type="expression" dxfId="167" priority="5">
      <formula>ABS(AE$7-AE$10)&gt;=1000</formula>
    </cfRule>
  </conditionalFormatting>
  <conditionalFormatting sqref="T16">
    <cfRule type="expression" dxfId="166" priority="4">
      <formula>ABS(T$16-T$19)&gt;=1000</formula>
    </cfRule>
  </conditionalFormatting>
  <conditionalFormatting sqref="F14">
    <cfRule type="expression" dxfId="165" priority="3">
      <formula>ABS(F$16-F$19)&gt;=1000</formula>
    </cfRule>
  </conditionalFormatting>
  <conditionalFormatting sqref="R14">
    <cfRule type="expression" dxfId="164" priority="2">
      <formula>ABS(R$16-R$19)&gt;=1000</formula>
    </cfRule>
  </conditionalFormatting>
  <conditionalFormatting sqref="O23">
    <cfRule type="expression" dxfId="163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18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90">
    <pageSetUpPr fitToPage="1"/>
  </sheetPr>
  <dimension ref="A1:CU223"/>
  <sheetViews>
    <sheetView tabSelected="1" view="pageBreakPreview" topLeftCell="A13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46302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327</v>
      </c>
      <c r="E6" s="71">
        <v>4297</v>
      </c>
      <c r="F6" s="71">
        <v>3184</v>
      </c>
      <c r="G6" s="71">
        <v>875</v>
      </c>
      <c r="H6" s="71">
        <v>6159</v>
      </c>
      <c r="I6" s="71">
        <v>0.06</v>
      </c>
      <c r="J6" s="71">
        <v>6.64</v>
      </c>
      <c r="K6" s="71">
        <v>63.65</v>
      </c>
      <c r="L6" s="71">
        <v>6.89</v>
      </c>
      <c r="M6" s="71">
        <v>2645</v>
      </c>
      <c r="N6" s="71">
        <v>411</v>
      </c>
      <c r="O6" s="71">
        <v>4353</v>
      </c>
      <c r="P6" s="71">
        <v>7523</v>
      </c>
      <c r="Q6" s="71">
        <v>0</v>
      </c>
      <c r="R6" s="71">
        <v>0</v>
      </c>
      <c r="S6" s="71">
        <v>5793</v>
      </c>
      <c r="T6" s="71">
        <v>7241</v>
      </c>
      <c r="U6" s="71">
        <v>7112</v>
      </c>
      <c r="V6" s="71">
        <v>5864</v>
      </c>
      <c r="W6" s="71">
        <v>5631</v>
      </c>
      <c r="X6" s="71">
        <v>3055</v>
      </c>
      <c r="Y6" s="71">
        <v>0</v>
      </c>
      <c r="Z6" s="71">
        <v>845</v>
      </c>
      <c r="AA6" s="71">
        <v>893</v>
      </c>
      <c r="AB6" s="71">
        <v>285</v>
      </c>
      <c r="AC6" s="71">
        <v>7962</v>
      </c>
      <c r="AD6" s="71">
        <v>2690</v>
      </c>
      <c r="AE6" s="71">
        <v>4972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10280.846322270001</v>
      </c>
      <c r="E7" s="73" ph="1">
        <f>E6*51.53*LOOKUP(E8,密度!$A$2:$A$50,密度!$B$2:$B$50)</f>
        <v>172622.47003599998</v>
      </c>
      <c r="F7" s="73" ph="1">
        <f>F6*33.183*LOOKUP(F8,密度!$A$2:$A$50,密度!$C$2:$C$50)</f>
        <v>117234.4240512</v>
      </c>
      <c r="G7" s="73" ph="1">
        <f xml:space="preserve"> (G6+2)*51.53*LOOKUP(G8,密度!$A$2:$A$50,密度!$B$2:$B$50)</f>
        <v>35231.535075999993</v>
      </c>
      <c r="H7" s="73" ph="1">
        <f>(H6)*51.53*LOOKUP(H8,密度!$A$2:$A$50,密度!$B$2:$B$50)</f>
        <v>247709.83723500001</v>
      </c>
      <c r="I7" s="73" ph="1">
        <f>I6*290.8*1.0267</f>
        <v>17.913861600000001</v>
      </c>
      <c r="J7" s="73" ph="1">
        <f>J6*290.8*0.7892</f>
        <v>1523.8757504</v>
      </c>
      <c r="K7" s="73" ph="1">
        <f>K6*290.8*1.1126</f>
        <v>20593.580692000003</v>
      </c>
      <c r="L7" s="73" ph="1">
        <f>L6*290.8*0.777</f>
        <v>1556.8065240000001</v>
      </c>
      <c r="M7" s="73" ph="1">
        <f>M6*33.183*LOOKUP(M8,密度!$A$2:$A$50,密度!$D$2:$D$50)</f>
        <v>90112.468234500004</v>
      </c>
      <c r="N7" s="73" ph="1">
        <f>N6*33.183*LOOKUP(N8,密度!$A$2:$A$50,密度!$E$2:$E$50)</f>
        <v>10681.4484216</v>
      </c>
      <c r="O7" s="73" ph="1">
        <f>O6*20.428*LOOKUP(O8,密度!$A$2:$A$50,密度!$C$2:$C$50)</f>
        <v>98268.900128399997</v>
      </c>
      <c r="P7" s="73" ph="1">
        <f>P6*51.53*LOOKUP(P8,密度!$A$2:$A$50,密度!$B$2:$B$50)</f>
        <v>302568.77829499997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38409.599012399995</v>
      </c>
      <c r="T7" s="73" ph="1">
        <f>T6*1.5*1.5*3.1416*LOOKUP(T8,密度!$A$2:$A$50,密度!$L$2:$L$50)</f>
        <v>48215.076109199996</v>
      </c>
      <c r="U7" s="73" ph="1">
        <f>U6*1.5*1.5*3.1416*LOOKUP(U8,密度!$A$2:$A$50,密度!$L$2:$L$50)</f>
        <v>47104.754558399996</v>
      </c>
      <c r="V7" s="73" ph="1">
        <f>V6*1.5*1.5*3.1416*LOOKUP(V8,密度!$A$2:$A$50,密度!$L$2:$L$50)</f>
        <v>38714.552553600006</v>
      </c>
      <c r="W7" s="73" ph="1">
        <f>W6*1.5*1.5*3.1416*LOOKUP(W8,密度!$A$2:$A$50,密度!$L$2:$L$50)</f>
        <v>37335.4828308</v>
      </c>
      <c r="X7" s="73" ph="1">
        <f>X6*1.5*1.5*3.1416*LOOKUP(X8,密度!$A$2:$A$50,密度!$L$2:$L$50)</f>
        <v>20450.060631</v>
      </c>
      <c r="Y7" s="73" ph="1">
        <f>Y6*1.5*1.5*3.1416*LOOKUP(Y8,密度!$A$2:$A$50,密度!$L$2:$L$50)</f>
        <v>0</v>
      </c>
      <c r="Z7" s="73" ph="1">
        <f>Z6*33.183*LOOKUP(Z8,密度!$A$2:$A$50,密度!$L$2:$L$50)</f>
        <v>26469.415439999997</v>
      </c>
      <c r="AA7" s="73" ph="1">
        <f>AA6*33.183*LOOKUP(AA8,密度!$A$2:$A$50,密度!$D$2:$D$50)</f>
        <v>30479.906183399999</v>
      </c>
      <c r="AB7" s="73" ph="1">
        <f>AB6*20.428*LOOKUP(AB8,密度!$A$2:$A$50,密度!$D$2:$D$50)</f>
        <v>6019.3451220000006</v>
      </c>
      <c r="AC7" s="73" ph="1">
        <f>AC6*51.53*LOOKUP(AC8,密度!$A$2:$A$50,密度!$Q$2:$Q$50)</f>
        <v>389029.25965199998</v>
      </c>
      <c r="AD7" s="73" ph="1">
        <f>AD6*20.428*LOOKUP(AD8,密度!$A$2:$A$50,密度!$V$2:$V$50)</f>
        <v>52797.228256000002</v>
      </c>
      <c r="AE7" s="73" ph="1">
        <f>AE6*20.428</f>
        <v>101568.016</v>
      </c>
    </row>
    <row r="8" spans="1:99" ph="1">
      <c r="B8" s="171" ph="1"/>
      <c r="C8" s="68" t="s" ph="1">
        <v>179</v>
      </c>
      <c r="D8" s="74">
        <v>24</v>
      </c>
      <c r="E8" s="74">
        <v>25</v>
      </c>
      <c r="F8" s="74">
        <v>24</v>
      </c>
      <c r="G8" s="74">
        <v>25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24</v>
      </c>
      <c r="Q8" s="74">
        <v>28</v>
      </c>
      <c r="R8" s="74">
        <v>30</v>
      </c>
      <c r="S8" s="74">
        <v>24</v>
      </c>
      <c r="T8" s="74">
        <v>20</v>
      </c>
      <c r="U8" s="74">
        <v>25</v>
      </c>
      <c r="V8" s="74">
        <v>28</v>
      </c>
      <c r="W8" s="74">
        <v>24</v>
      </c>
      <c r="X8" s="74">
        <v>15</v>
      </c>
      <c r="Y8" s="74">
        <v>24</v>
      </c>
      <c r="Z8" s="74">
        <v>18</v>
      </c>
      <c r="AA8" s="74">
        <v>23</v>
      </c>
      <c r="AB8" s="74">
        <v>17</v>
      </c>
      <c r="AC8" s="74">
        <v>23</v>
      </c>
      <c r="AD8" s="74">
        <v>24</v>
      </c>
      <c r="AE8" s="74">
        <v>26</v>
      </c>
    </row>
    <row r="9" spans="1:99" ht="26.4" ph="1">
      <c r="B9" s="171" ph="1">
        <v>0.66666666666666663</v>
      </c>
      <c r="C9" s="149" t="s" ph="1">
        <v>180</v>
      </c>
      <c r="D9" s="71">
        <v>638</v>
      </c>
      <c r="E9" s="71">
        <v>4294</v>
      </c>
      <c r="F9" s="71">
        <v>3184</v>
      </c>
      <c r="G9" s="71">
        <v>596</v>
      </c>
      <c r="H9" s="71">
        <v>6163</v>
      </c>
      <c r="I9" s="71">
        <v>0.04</v>
      </c>
      <c r="J9" s="71">
        <v>6.74</v>
      </c>
      <c r="K9" s="71">
        <v>63.68</v>
      </c>
      <c r="L9" s="71">
        <v>81.010000000000005</v>
      </c>
      <c r="M9" s="71">
        <v>2451</v>
      </c>
      <c r="N9" s="71">
        <v>230</v>
      </c>
      <c r="O9" s="71">
        <v>4353</v>
      </c>
      <c r="P9" s="71">
        <v>6995</v>
      </c>
      <c r="Q9" s="71">
        <v>2655</v>
      </c>
      <c r="R9" s="71">
        <v>0</v>
      </c>
      <c r="S9" s="71">
        <v>1137</v>
      </c>
      <c r="T9" s="71">
        <v>7248</v>
      </c>
      <c r="U9" s="71">
        <v>7118</v>
      </c>
      <c r="V9" s="71">
        <v>5871</v>
      </c>
      <c r="W9" s="71">
        <v>7118</v>
      </c>
      <c r="X9" s="71">
        <v>6206</v>
      </c>
      <c r="Y9" s="71">
        <v>3710</v>
      </c>
      <c r="Z9" s="71">
        <v>1102</v>
      </c>
      <c r="AA9" s="71">
        <v>813</v>
      </c>
      <c r="AB9" s="71">
        <v>282</v>
      </c>
      <c r="AC9" s="71">
        <v>8329</v>
      </c>
      <c r="AD9" s="71">
        <v>2690</v>
      </c>
      <c r="AE9" s="71">
        <v>4600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19940.733192600001</v>
      </c>
      <c r="E10" s="73" ph="1">
        <f>E9*51.53*LOOKUP(E11,密度!$A$2:$A$50,密度!$B$2:$B$50)</f>
        <v>171926.65014000001</v>
      </c>
      <c r="F10" s="73" ph="1">
        <f>F9*33.183*LOOKUP(F11,密度!$A$2:$A$50,密度!$C$2:$C$50)</f>
        <v>117075.94204320002</v>
      </c>
      <c r="G10" s="73" ph="1">
        <f xml:space="preserve"> (G9+2)*51.53*LOOKUP(G11,密度!$A$2:$A$50,密度!$B$2:$B$50)</f>
        <v>23890.822982000002</v>
      </c>
      <c r="H10" s="73" ph="1">
        <f>(H9)*51.53*LOOKUP(H11,密度!$A$2:$A$50,密度!$B$2:$B$50)</f>
        <v>246759.18603000001</v>
      </c>
      <c r="I10" s="73" ph="1">
        <f>I9*290.8*1.0267</f>
        <v>11.942574400000002</v>
      </c>
      <c r="J10" s="73" ph="1">
        <f>J9*290.8*0.7892</f>
        <v>1546.8256864000002</v>
      </c>
      <c r="K10" s="73" ph="1">
        <f>K9*290.8*1.1126</f>
        <v>20603.287014400001</v>
      </c>
      <c r="L10" s="73" ph="1">
        <f>L9*290.8*0.777</f>
        <v>18304.339116000003</v>
      </c>
      <c r="M10" s="73" ph="1">
        <f>M9*33.183*LOOKUP(M11,密度!$A$2:$A$50,密度!$D$2:$D$50)</f>
        <v>83275.356638700003</v>
      </c>
      <c r="N10" s="73" ph="1">
        <f>N9*33.183*LOOKUP(N11,密度!$A$2:$A$50,密度!$E$2:$E$50)</f>
        <v>5943.108483</v>
      </c>
      <c r="O10" s="73" ph="1">
        <f>O9*20.428*LOOKUP(O11,密度!$A$2:$A$50,密度!$C$2:$C$50)</f>
        <v>97993.238568000015</v>
      </c>
      <c r="P10" s="73" ph="1">
        <f>P9*51.53*LOOKUP(P11,密度!$A$2:$A$50,密度!$B$2:$B$50)</f>
        <v>280395.88306500006</v>
      </c>
      <c r="Q10" s="73" ph="1">
        <f>Q9*1.5*1.5*3.1416*LOOKUP(W11,密度!$A$2:$A$50,密度!$L$2:$L$50)</f>
        <v>17566.036487999998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7530.6673134000002</v>
      </c>
      <c r="T10" s="73" ph="1">
        <f>T9*1.5*1.5*3.1416*LOOKUP(T11,密度!$A$2:$A$50,密度!$L$2:$L$50)</f>
        <v>48159.220031999997</v>
      </c>
      <c r="U10" s="73" ph="1">
        <f>U9*1.5*1.5*3.1416*LOOKUP(U11,密度!$A$2:$A$50,密度!$L$2:$L$50)</f>
        <v>47094.179932799998</v>
      </c>
      <c r="V10" s="73" ph="1">
        <f>V9*1.5*1.5*3.1416*LOOKUP(V11,密度!$A$2:$A$50,密度!$L$2:$L$50)</f>
        <v>38760.767060400001</v>
      </c>
      <c r="W10" s="73" ph="1">
        <f>W9*1.5*1.5*3.1416*LOOKUP(W11,密度!$A$2:$A$50,密度!$L$2:$L$50)</f>
        <v>47094.179932799998</v>
      </c>
      <c r="X10" s="73" ph="1">
        <f>X9*1.5*1.5*3.1416*LOOKUP(X11,密度!$A$2:$A$50,密度!$L$2:$L$50)</f>
        <v>41498.874093599996</v>
      </c>
      <c r="Y10" s="73" ph="1">
        <f>Y9*1.5*1.5*3.1416*LOOKUP(Y11,密度!$A$2:$A$50,密度!$L$2:$L$50)</f>
        <v>24572.362122000002</v>
      </c>
      <c r="Z10" s="73" ph="1">
        <f>Z9*33.183*LOOKUP(Z11,密度!$A$2:$A$50,密度!$L$2:$L$50)</f>
        <v>34227.335376000003</v>
      </c>
      <c r="AA10" s="73" ph="1">
        <f>AA9*33.183*LOOKUP(AA11,密度!$A$2:$A$50,密度!$D$2:$D$50)</f>
        <v>27595.570139099997</v>
      </c>
      <c r="AB10" s="73" ph="1">
        <f>AB9*20.428*LOOKUP(AB11,密度!$A$2:$A$50,密度!$D$2:$D$50)</f>
        <v>5914.5065832</v>
      </c>
      <c r="AC10" s="73" ph="1">
        <f>AC9*51.53*LOOKUP(AC11,密度!$A$2:$A$50,密度!$Q$2:$Q$50)</f>
        <v>405725.07652840001</v>
      </c>
      <c r="AD10" s="73" ph="1">
        <f>AD9*20.428*LOOKUP(AD11,密度!$A$2:$A$50,密度!$V$2:$V$50)</f>
        <v>52621.384032000002</v>
      </c>
      <c r="AE10" s="73" ph="1">
        <f>AE9*20.428</f>
        <v>93968.8</v>
      </c>
    </row>
    <row r="11" spans="1:99" ph="1">
      <c r="A11" s="64" t="s" ph="1">
        <v>162</v>
      </c>
      <c r="B11" s="171" ph="1"/>
      <c r="C11" s="149" t="s" ph="1">
        <v>179</v>
      </c>
      <c r="D11" s="74">
        <v>32</v>
      </c>
      <c r="E11" s="74">
        <v>28</v>
      </c>
      <c r="F11" s="74">
        <v>26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29</v>
      </c>
      <c r="O11" s="74">
        <v>33</v>
      </c>
      <c r="P11" s="74">
        <v>27</v>
      </c>
      <c r="Q11" s="74">
        <v>30</v>
      </c>
      <c r="R11" s="74">
        <v>35</v>
      </c>
      <c r="S11" s="74">
        <v>25</v>
      </c>
      <c r="T11" s="74">
        <v>22</v>
      </c>
      <c r="U11" s="74">
        <v>26</v>
      </c>
      <c r="V11" s="74">
        <v>28</v>
      </c>
      <c r="W11" s="74">
        <v>26</v>
      </c>
      <c r="X11" s="74">
        <v>16</v>
      </c>
      <c r="Y11" s="74">
        <v>25</v>
      </c>
      <c r="Z11" s="74">
        <v>26</v>
      </c>
      <c r="AA11" s="74">
        <v>29</v>
      </c>
      <c r="AB11" s="74">
        <v>25</v>
      </c>
      <c r="AC11" s="74">
        <v>27</v>
      </c>
      <c r="AD11" s="74">
        <v>27</v>
      </c>
      <c r="AE11" s="74">
        <v>28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2106</v>
      </c>
      <c r="E15" s="78">
        <v>48</v>
      </c>
      <c r="F15" s="78">
        <v>2367</v>
      </c>
      <c r="G15" s="78">
        <v>3323</v>
      </c>
      <c r="H15" s="78">
        <v>3448</v>
      </c>
      <c r="I15" s="78">
        <v>5178</v>
      </c>
      <c r="J15" s="78">
        <v>4316</v>
      </c>
      <c r="K15" s="78">
        <v>1796</v>
      </c>
      <c r="L15" s="78">
        <v>2390</v>
      </c>
      <c r="M15" s="78">
        <v>2992</v>
      </c>
      <c r="N15" s="78">
        <v>389</v>
      </c>
      <c r="O15" s="78">
        <v>4139</v>
      </c>
      <c r="P15" s="78">
        <v>7052</v>
      </c>
      <c r="Q15" s="78">
        <v>4952</v>
      </c>
      <c r="R15" s="78">
        <v>0</v>
      </c>
      <c r="S15" s="78">
        <v>754</v>
      </c>
      <c r="T15" s="78">
        <v>5982</v>
      </c>
      <c r="U15" s="78">
        <v>1413</v>
      </c>
      <c r="V15" s="78">
        <v>5069</v>
      </c>
      <c r="W15" s="71">
        <v>565</v>
      </c>
      <c r="X15" s="78">
        <v>681</v>
      </c>
      <c r="Y15" s="106">
        <v>-9905</v>
      </c>
      <c r="Z15" s="78">
        <v>0</v>
      </c>
      <c r="AA15" s="78">
        <v>2437</v>
      </c>
      <c r="AB15" s="78" ph="1">
        <v>0</v>
      </c>
      <c r="AC15" s="78" ph="1">
        <v>0</v>
      </c>
      <c r="AD15" s="78">
        <v>5.46</v>
      </c>
      <c r="AE15" s="78">
        <v>44.24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13933.737417600001</v>
      </c>
      <c r="E16" s="73" ph="1">
        <f>E15*7.0686*LOOKUP(E17,密度!$A$2:$A$50,密度!$L$2:$L$50)</f>
        <v>316.22088960000002</v>
      </c>
      <c r="F16" s="73" ph="1">
        <f>F15*9.0746*LOOKUP(F17,密度!$A$2:$A$50,密度!$L$2:$L$50)</f>
        <v>20104.8851952</v>
      </c>
      <c r="G16" s="73" ph="1">
        <f>G15*9.0746*LOOKUP(G17,密度!$A$2:$A$50,密度!$B$2:$B$50)</f>
        <v>23535.8961719</v>
      </c>
      <c r="H16" s="73" ph="1">
        <f>H15*9.0746*LOOKUP(H17,密度!$A$2:$A$50,密度!$L$2:$L$50)</f>
        <v>29443.156772799997</v>
      </c>
      <c r="I16" s="73" ph="1">
        <f>I15*9.0746*LOOKUP(I17,密度!$A$2:$A$50,密度!$U$2:$U$50)</f>
        <v>48303.950606400002</v>
      </c>
      <c r="J16" s="73" ph="1">
        <f>J15*9.0746*LOOKUP(J17,密度!$A$2:$A$50,密度!$L$2:$L$50)</f>
        <v>36620.185316000003</v>
      </c>
      <c r="K16" s="73" ph="1">
        <f>K15*9.0746*LOOKUP(K17,密度!$A$2:$A$50,密度!$C$2:$C$50)</f>
        <v>18084.24038336</v>
      </c>
      <c r="L16" s="73" ph="1">
        <f>L15*9.0746*LOOKUP(L17,密度!$A$2:$A$50,密度!$E$2:$E$50)</f>
        <v>16986.271860800003</v>
      </c>
      <c r="M16" s="73" ph="1">
        <f>M15*9.0746*LOOKUP(M17,密度!$A$2:$A$50,密度!$M$2:$M$50)</f>
        <v>23732.86671712</v>
      </c>
      <c r="N16" s="73" ph="1">
        <f>N15*9.0746*LOOKUP(N17,密度!$A$2:$A$50,密度!$M$2:$M$50)</f>
        <v>3099.3570331999999</v>
      </c>
      <c r="O16" s="73" ph="1">
        <f>O15*9.0746*LOOKUP(O17,密度!$A$2:$A$50,密度!$G$2:$G$50)</f>
        <v>36019.818854599995</v>
      </c>
      <c r="P16" s="73" ph="1">
        <f ca="1">P15*9.0746*LOOKUP(P17,密度!$A$2:$A$51,密度!$Q$2:$Q$50)</f>
        <v>60540.318745576005</v>
      </c>
      <c r="Q16" s="73" ph="1">
        <f>Q15*9.0746*LOOKUP(Q17,密度!$A$2:$A$50,密度!$Q$2:$Q$50)</f>
        <v>42390.815653936006</v>
      </c>
      <c r="R16" s="73" ph="1">
        <f>MAX(R15*9.0746*LOOKUP(R17,密度!$A$2:$A$50,密度!$Q$2:$Q$50),0)</f>
        <v>0</v>
      </c>
      <c r="S16" s="73" ph="1">
        <f>S15*9.0746*LOOKUP(S17,密度!$A$2:$A$50,密度!$Q$2:$Q$50)</f>
        <v>6487.819932880001</v>
      </c>
      <c r="T16" s="73" ph="1">
        <f>T15*9.0746*LOOKUP(T17,密度!$A$2:$A$50,密度!$O$2:$O$50)</f>
        <v>50484.359196000005</v>
      </c>
      <c r="U16" s="73" ph="1">
        <f>U15*9.0746*LOOKUP(U17,密度!$A$2:$A$50,密度!$H$2:$H$50)</f>
        <v>11768.407714439998</v>
      </c>
      <c r="V16" s="73" ph="1">
        <f>MAX(5600*LOOKUP(V17,密度!$A$2:$A$50,密度!$Q$2:$Q$50)+V15*9.0476*LOOKUP(V17,密度!$A$2:$A$50,密度!$Q$2:$Q$50),0)</f>
        <v>48648.326689007998</v>
      </c>
      <c r="W16" s="73" ph="1">
        <f>MAX(5600*LOOKUP(W17,密度!$A$2:$A$50,密度!$Q$2:$Q$50)+W15*9.0476*LOOKUP(W17,密度!$A$2:$A$50,密度!$Q$2:$Q$50),0)</f>
        <v>10133.773080819999</v>
      </c>
      <c r="X16" s="73" ph="1">
        <f>MAX(5600*LOOKUP(X17,密度!$A$2:$A$50,密度!$I$2:$I$50)+X15*9.0476*LOOKUP(X17,密度!$A$2:$A$50,密度!$I$2:$I$50),0)</f>
        <v>12233.04836556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17260.601556100002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2364.5211868799997</v>
      </c>
      <c r="AE16" s="73" ph="1">
        <f>AE15*268.68*LOOKUP(AE17,密度!$A$2:$A$50,密度!B2:B50)+IF(AE15&lt;=0,0,1566*LOOKUP(AE17,密度!$A$2:$A$50,密度!B2:B50))</f>
        <v>10487.493534720001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26</v>
      </c>
      <c r="E17" s="74">
        <v>30</v>
      </c>
      <c r="F17" s="74">
        <v>26</v>
      </c>
      <c r="G17" s="74">
        <v>24</v>
      </c>
      <c r="H17" s="74">
        <v>21</v>
      </c>
      <c r="I17" s="74">
        <v>22</v>
      </c>
      <c r="J17" s="74">
        <v>27</v>
      </c>
      <c r="K17" s="74">
        <v>24</v>
      </c>
      <c r="L17" s="74">
        <v>25</v>
      </c>
      <c r="M17" s="74">
        <v>26</v>
      </c>
      <c r="N17" s="74">
        <v>22</v>
      </c>
      <c r="O17" s="74">
        <v>26</v>
      </c>
      <c r="P17" s="74">
        <v>26</v>
      </c>
      <c r="Q17" s="74">
        <v>30</v>
      </c>
      <c r="R17" s="74">
        <v>24</v>
      </c>
      <c r="S17" s="74">
        <v>23</v>
      </c>
      <c r="T17" s="74">
        <v>24</v>
      </c>
      <c r="U17" s="74">
        <v>22</v>
      </c>
      <c r="V17" s="74">
        <v>27</v>
      </c>
      <c r="W17" s="74">
        <v>26</v>
      </c>
      <c r="X17" s="74">
        <v>27</v>
      </c>
      <c r="Y17" s="108">
        <v>27</v>
      </c>
      <c r="Z17" s="74">
        <v>24</v>
      </c>
      <c r="AA17" s="74">
        <v>24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676</v>
      </c>
      <c r="E18" s="71">
        <v>1354</v>
      </c>
      <c r="F18" s="71">
        <v>2418</v>
      </c>
      <c r="G18" s="71">
        <v>3519</v>
      </c>
      <c r="H18" s="71">
        <v>3449</v>
      </c>
      <c r="I18" s="71">
        <v>5181</v>
      </c>
      <c r="J18" s="71">
        <v>3027</v>
      </c>
      <c r="K18" s="71">
        <v>1797</v>
      </c>
      <c r="L18" s="71">
        <v>5665</v>
      </c>
      <c r="M18" s="71">
        <v>1992</v>
      </c>
      <c r="N18" s="71">
        <v>1561</v>
      </c>
      <c r="O18" s="71">
        <v>4203</v>
      </c>
      <c r="P18" s="71">
        <v>5376</v>
      </c>
      <c r="Q18" s="71">
        <v>4953</v>
      </c>
      <c r="R18" s="71">
        <v>0</v>
      </c>
      <c r="S18" s="71">
        <v>750</v>
      </c>
      <c r="T18" s="71">
        <v>5991</v>
      </c>
      <c r="U18" s="71">
        <v>1411</v>
      </c>
      <c r="V18" s="71">
        <v>5067</v>
      </c>
      <c r="W18" s="71">
        <v>564</v>
      </c>
      <c r="X18" s="71">
        <v>681</v>
      </c>
      <c r="Y18" s="109">
        <v>-9908</v>
      </c>
      <c r="Z18" s="71">
        <v>0</v>
      </c>
      <c r="AA18" s="71">
        <v>2439</v>
      </c>
      <c r="AB18" s="71">
        <v>0</v>
      </c>
      <c r="AC18" s="71">
        <v>0</v>
      </c>
      <c r="AD18" s="71">
        <v>13.53</v>
      </c>
      <c r="AE18" s="71">
        <v>84.38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4458.2225687999999</v>
      </c>
      <c r="E19" s="73" ph="1">
        <f>E18*7.0686*LOOKUP(E20,密度!$A$2:$A$50,密度!$L$2:$L$50)</f>
        <v>8920.0642608000016</v>
      </c>
      <c r="F19" s="73" ph="1">
        <f>F18*9.0746*LOOKUP(F20,密度!$A$2:$A$50,密度!$L$2:$L$50)</f>
        <v>20450.300769600002</v>
      </c>
      <c r="G19" s="73" ph="1">
        <f>G18*9.0746*LOOKUP(G20,密度!$A$2:$A$50,密度!$B$2:$B$50)</f>
        <v>24866.629999379998</v>
      </c>
      <c r="H19" s="73" ph="1">
        <f>H18*9.0746*LOOKUP(H20,密度!$A$2:$A$50,密度!$L$2:$L$50)</f>
        <v>29420.397675999997</v>
      </c>
      <c r="I19" s="73" ph="1">
        <f>I18*9.0746*LOOKUP(I20,密度!$A$2:$A$50,密度!$U$2:$U$50)</f>
        <v>48049.843657199999</v>
      </c>
      <c r="J19" s="73" ph="1">
        <f>J18*9.0746*LOOKUP(J20,密度!$A$2:$A$50,密度!$L$2:$L$50)</f>
        <v>25628.4036486</v>
      </c>
      <c r="K19" s="73" ph="1">
        <f>K18*9.0746*LOOKUP(K20,密度!$A$2:$A$50,密度!$C$2:$C$50)</f>
        <v>18045.388390920001</v>
      </c>
      <c r="L19" s="73" ph="1">
        <f>L18*9.0746*LOOKUP(L20,密度!$A$2:$A$50,密度!$E$2:$E$50)</f>
        <v>40031.105128299998</v>
      </c>
      <c r="M19" s="73" ph="1">
        <f>M18*9.0746*LOOKUP(M20,密度!$A$2:$A$50,密度!$M$2:$M$50)</f>
        <v>15724.837123680001</v>
      </c>
      <c r="N19" s="73" ph="1">
        <f>N18*9.0746*LOOKUP(N20,密度!$A$2:$A$50,密度!$M$2:$M$50)</f>
        <v>12382.02036946</v>
      </c>
      <c r="O19" s="73" ph="1">
        <f>O18*9.0746*LOOKUP(O20,密度!$A$2:$A$50,密度!$G$2:$G$50)</f>
        <v>36500.5004166</v>
      </c>
      <c r="P19" s="73" ph="1">
        <f ca="1">P18*9.0746*LOOKUP(P20,密度!$A$2:$A$51,密度!$Q$2:$Q$50)</f>
        <v>46049.671868928002</v>
      </c>
      <c r="Q19" s="73" ph="1">
        <f>Q18*9.0746*LOOKUP(Q20,密度!$A$2:$A$50,密度!$Q$2:$Q$50)</f>
        <v>42399.375996354007</v>
      </c>
      <c r="R19" s="73" ph="1">
        <f>MAX(R18*9.0746*LOOKUP(R20,密度!$A$2:$A$50,密度!$Q$2:$Q$50),0)</f>
        <v>0</v>
      </c>
      <c r="S19" s="73" ph="1">
        <f>S18*9.0746*LOOKUP(S20,密度!$A$2:$A$50,密度!$Q$2:$Q$50)</f>
        <v>6420.2568135000001</v>
      </c>
      <c r="T19" s="73" ph="1">
        <f>T18*9.0746*LOOKUP(T20,密度!$A$2:$A$50,密度!$O$2:$O$50)</f>
        <v>50342.8498836</v>
      </c>
      <c r="U19" s="73" ph="1">
        <f>U18*9.0746*LOOKUP(U20,密度!$A$2:$A$50,密度!$H$2:$H$50)</f>
        <v>11689.00950174</v>
      </c>
      <c r="V19" s="73" ph="1">
        <f>MAX(5600*LOOKUP(V20,密度!$A$2:$A$50,密度!$Q$2:$Q$50)+V18*9.0476*LOOKUP(V20,密度!$A$2:$A$50,密度!$Q$2:$Q$50),0)</f>
        <v>48490.263856135993</v>
      </c>
      <c r="W19" s="73" ph="1">
        <f>MAX(5600*LOOKUP(W20,密度!$A$2:$A$50,密度!$Q$2:$Q$50)+W18*9.0476*LOOKUP(W20,密度!$A$2:$A$50,密度!$Q$2:$Q$50),0)</f>
        <v>10102.737802352</v>
      </c>
      <c r="X19" s="73" ph="1">
        <f>MAX(5600*LOOKUP(X20,密度!$A$2:$A$50,密度!$I$2:$I$50)+X18*9.0476*LOOKUP(X20,密度!$A$2:$A$50,密度!$I$2:$I$50),0)</f>
        <v>12205.99710968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17254.847352240002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4041.3637908000001</v>
      </c>
      <c r="AE19" s="73" ph="1">
        <f>AE18*268.68*LOOKUP(AE20,密度!$A$2:$A$50,密度!B5:B53)+IF(AE18&lt;=0,0,1566*LOOKUP(AE20,密度!$A$2:$A$50,密度!B5:B53))</f>
        <v>18832.318696799997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29</v>
      </c>
      <c r="E20" s="81">
        <v>30</v>
      </c>
      <c r="F20" s="81">
        <v>30</v>
      </c>
      <c r="G20" s="81">
        <v>26</v>
      </c>
      <c r="H20" s="81">
        <v>22</v>
      </c>
      <c r="I20" s="81">
        <v>28</v>
      </c>
      <c r="J20" s="81">
        <v>29</v>
      </c>
      <c r="K20" s="81">
        <v>28</v>
      </c>
      <c r="L20" s="81">
        <v>29</v>
      </c>
      <c r="M20" s="81">
        <v>30</v>
      </c>
      <c r="N20" s="81">
        <v>26</v>
      </c>
      <c r="O20" s="81">
        <v>28</v>
      </c>
      <c r="P20" s="81">
        <v>29</v>
      </c>
      <c r="Q20" s="81">
        <v>30</v>
      </c>
      <c r="R20" s="81">
        <v>29</v>
      </c>
      <c r="S20" s="81">
        <v>30</v>
      </c>
      <c r="T20" s="81">
        <v>29</v>
      </c>
      <c r="U20" s="81">
        <v>27</v>
      </c>
      <c r="V20" s="81">
        <v>31</v>
      </c>
      <c r="W20" s="81">
        <v>29</v>
      </c>
      <c r="X20" s="81">
        <v>29</v>
      </c>
      <c r="Y20" s="110">
        <v>29</v>
      </c>
      <c r="Z20" s="81">
        <v>35</v>
      </c>
      <c r="AA20" s="81">
        <v>25</v>
      </c>
      <c r="AB20" s="81">
        <v>32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56.55</v>
      </c>
      <c r="E24" s="71">
        <v>5.57</v>
      </c>
      <c r="F24" s="71">
        <v>3406</v>
      </c>
      <c r="G24" s="71">
        <v>2919</v>
      </c>
      <c r="H24" s="71">
        <v>3086</v>
      </c>
      <c r="I24" s="71">
        <v>0</v>
      </c>
      <c r="J24" s="71">
        <v>296</v>
      </c>
      <c r="K24" s="71">
        <v>395</v>
      </c>
      <c r="L24" s="71">
        <v>2635</v>
      </c>
      <c r="M24" s="71">
        <v>321</v>
      </c>
      <c r="N24" s="71">
        <v>324</v>
      </c>
      <c r="O24" s="71">
        <v>5385</v>
      </c>
      <c r="P24" s="71">
        <v>373</v>
      </c>
      <c r="Q24" s="90">
        <v>2160</v>
      </c>
      <c r="R24" s="71">
        <v>5133</v>
      </c>
      <c r="S24" s="71">
        <v>3150</v>
      </c>
      <c r="T24" s="71">
        <v>1323</v>
      </c>
      <c r="U24" s="71">
        <v>6004</v>
      </c>
      <c r="V24" s="71">
        <v>735</v>
      </c>
      <c r="W24" s="71">
        <v>435</v>
      </c>
      <c r="X24" s="71">
        <v>2270</v>
      </c>
      <c r="Y24" s="71">
        <v>6308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15867.22417596</v>
      </c>
      <c r="E25" s="91" ph="1">
        <f>E24*268.68*LOOKUP(E26,密度!$A$2:$A$50,密度!$C$2:$C$50)+IF(E24&lt;=0,0,1566*LOOKUP(E26,密度!$A$2:$A$50,密度!$C$2:$C$50))</f>
        <v>3396.0590336400001</v>
      </c>
      <c r="F25" s="91" ph="1">
        <f>F24*11.702*LOOKUP(F26,密度!$A$2:$A$50,密度!$Q$2:$Q$50)</f>
        <v>37705.929062360003</v>
      </c>
      <c r="G25" s="91" ph="1">
        <f>G24*18.322*LOOKUP(G26,密度!$A$2:$A$50,密度!$B$2:$B$50)</f>
        <v>41646.369546599999</v>
      </c>
      <c r="H25" s="91" ph="1">
        <f>H24*18.322*LOOKUP(H26,密度!$A$2:$A$50,密度!$B$2:$B$50)</f>
        <v>44079.903083199992</v>
      </c>
      <c r="I25" s="91" ph="1">
        <f>I24*18.322*LOOKUP(I26,密度!$A$2:$A$50,密度!$Q$2:$Q$50)</f>
        <v>0</v>
      </c>
      <c r="J25" s="91" ph="1">
        <f>J24*18.322*LOOKUP(J26,密度!$A$2:$A$50,密度!$Q$2:$Q$50)</f>
        <v>5138.4254206400001</v>
      </c>
      <c r="K25" s="91" ph="1">
        <f>K24*18.322*LOOKUP(K26,密度!$A$2:$A$50,密度!$Q$2:$Q$50)</f>
        <v>6851.7372605999999</v>
      </c>
      <c r="L25" s="91" ph="1">
        <f>L24*18.322*LOOKUP(L26,密度!$A$2:$A$50,密度!$Q$2:$Q$50)</f>
        <v>45707.158687800002</v>
      </c>
      <c r="M25" s="91" ph="1">
        <f>M24*18.322*LOOKUP(M26,密度!$A$2:$A$50,密度!$Q$2:$Q$50)</f>
        <v>5576.7074484000004</v>
      </c>
      <c r="N25" s="91" ph="1">
        <f>N24*18.322*LOOKUP(N26,密度!$A$2:$A$50,密度!$Q$2:$Q$50)</f>
        <v>5634.1095415199998</v>
      </c>
      <c r="O25" s="91" ph="1">
        <f>O24*18.322*LOOKUP(O26,密度!$A$2:$A$50,密度!$C$2:$C$50)</f>
        <v>109408.476333</v>
      </c>
      <c r="P25" s="91" ph="1">
        <f>P24*11.702*LOOKUP(P26,密度!$A$2:$A$50,密度!$B$2:$B$50)</f>
        <v>3406.7623029999995</v>
      </c>
      <c r="Q25" s="92" ph="1">
        <f>Q24*18.322*LOOKUP(Q26,密度!$A$2:$A$50,密度!$B$2:$B$50)</f>
        <v>30853.075391999995</v>
      </c>
      <c r="R25" s="91" ph="1">
        <f>R24*35.891*LOOKUP(R26,密度!$A$2:$A$50,密度!$C$2:$C$50)</f>
        <v>204143.60417430001</v>
      </c>
      <c r="S25" s="91" ph="1">
        <f>S24*35.891*LOOKUP(S26,密度!$A$2:$A$50,密度!$B$2:$B$50)</f>
        <v>88138.964339999991</v>
      </c>
      <c r="T25" s="91" ph="1">
        <f>T24*35.891*LOOKUP(T26,密度!$A$2:$A$50,密度!$Q$2:$Q$50)</f>
        <v>44921.09269179</v>
      </c>
      <c r="U25" s="91" ph="1">
        <f>U24*35.891</f>
        <v>215489.56399999998</v>
      </c>
      <c r="V25" s="91" ph="1">
        <f>V24*47.051*LOOKUP(V26,密度!$A$2:$A$50,密度!$B$2:$B$50)</f>
        <v>26991.629542499999</v>
      </c>
      <c r="W25" s="91" ph="1">
        <f>W24*47.051*LOOKUP(W26,密度!$A$2:$A$50,密度!$B$2:$B$50)</f>
        <v>15956.217426000001</v>
      </c>
      <c r="X25" s="91" ph="1">
        <f>X24*47.051*LOOKUP(X26,密度!$A$2:$A$61,密度!$I$2:$I$61)</f>
        <v>111088.681377</v>
      </c>
      <c r="Y25" s="91" ph="1">
        <f>Y24*47.051*LOOKUP(Y26,密度!$A$2:$A$50,密度!$L$2:$L$50)</f>
        <v>277802.65468799998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26</v>
      </c>
      <c r="G26" s="74">
        <v>26</v>
      </c>
      <c r="H26" s="74">
        <v>25</v>
      </c>
      <c r="I26" s="74">
        <v>25</v>
      </c>
      <c r="J26" s="74">
        <v>24</v>
      </c>
      <c r="K26" s="74">
        <v>25</v>
      </c>
      <c r="L26" s="74">
        <v>25</v>
      </c>
      <c r="M26" s="74">
        <v>23</v>
      </c>
      <c r="N26" s="74">
        <v>22</v>
      </c>
      <c r="O26" s="74">
        <v>25</v>
      </c>
      <c r="P26" s="74">
        <v>24</v>
      </c>
      <c r="Q26" s="93">
        <v>25</v>
      </c>
      <c r="R26" s="74">
        <v>26</v>
      </c>
      <c r="S26" s="74">
        <v>25</v>
      </c>
      <c r="T26" s="74">
        <v>26</v>
      </c>
      <c r="U26" s="74">
        <v>27</v>
      </c>
      <c r="V26" s="74">
        <v>24</v>
      </c>
      <c r="W26" s="74">
        <v>25</v>
      </c>
      <c r="X26" s="74">
        <v>27</v>
      </c>
      <c r="Y26" s="74">
        <v>26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24.32</v>
      </c>
      <c r="E27" s="71">
        <v>5.57</v>
      </c>
      <c r="F27" s="71">
        <v>2377</v>
      </c>
      <c r="G27" s="71">
        <v>2483</v>
      </c>
      <c r="H27" s="71">
        <v>2576</v>
      </c>
      <c r="I27" s="71">
        <v>0</v>
      </c>
      <c r="J27" s="71">
        <v>292</v>
      </c>
      <c r="K27" s="71">
        <v>329</v>
      </c>
      <c r="L27" s="71">
        <v>2064</v>
      </c>
      <c r="M27" s="71">
        <v>316</v>
      </c>
      <c r="N27" s="71">
        <v>320</v>
      </c>
      <c r="O27" s="71">
        <v>5382</v>
      </c>
      <c r="P27" s="71">
        <v>369</v>
      </c>
      <c r="Q27" s="90">
        <v>2695</v>
      </c>
      <c r="R27" s="71">
        <v>5130</v>
      </c>
      <c r="S27" s="71">
        <v>3147</v>
      </c>
      <c r="T27" s="71">
        <v>1324</v>
      </c>
      <c r="U27" s="71">
        <v>6042</v>
      </c>
      <c r="V27" s="71">
        <v>731</v>
      </c>
      <c r="W27" s="71">
        <v>431</v>
      </c>
      <c r="X27" s="71">
        <v>1675</v>
      </c>
      <c r="Y27" s="71">
        <v>4680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7668.8757498240002</v>
      </c>
      <c r="E28" s="91" ph="1">
        <f>E27*268.68*LOOKUP(E29,密度!$A$2:$A$50,密度!$C$2:$C$50)+IF(E27&lt;=0,0,1566*LOOKUP(E29,密度!$A$2:$A$50,密度!$C$2:$C$50))</f>
        <v>3396.0590336400001</v>
      </c>
      <c r="F28" s="91" ph="1">
        <f>F27*11.702*LOOKUP(F29,密度!$A$2:$A$50,密度!$Q$2:$Q$50)</f>
        <v>26294.694039279999</v>
      </c>
      <c r="G28" s="91" ph="1">
        <f>G27*18.322*LOOKUP(G29,密度!$A$2:$A$50,密度!$B$2:$B$50)</f>
        <v>35389.413875400001</v>
      </c>
      <c r="H28" s="91" ph="1">
        <f>H27*18.322*LOOKUP(H29,密度!$A$2:$A$50,密度!$B$2:$B$50)</f>
        <v>36507.244591999995</v>
      </c>
      <c r="I28" s="91" ph="1">
        <f>I27*18.322*LOOKUP(I29,密度!$A$2:$A$50,密度!$Q$2:$Q$50)</f>
        <v>0</v>
      </c>
      <c r="J28" s="91" ph="1">
        <f>J27*18.322*LOOKUP(J29,密度!$A$2:$A$50,密度!$Q$2:$Q$50)</f>
        <v>5035.7100899999996</v>
      </c>
      <c r="K28" s="91" ph="1">
        <f>K27*18.322*LOOKUP(K29,密度!$A$2:$A$50,密度!$Q$2:$Q$50)</f>
        <v>5673.7966425000004</v>
      </c>
      <c r="L28" s="91" ph="1">
        <f>L27*18.322*LOOKUP(L29,密度!$A$2:$A$50,密度!$Q$2:$Q$50)</f>
        <v>35748.795874560004</v>
      </c>
      <c r="M28" s="91" ph="1">
        <f>M27*18.322*LOOKUP(M29,密度!$A$2:$A$50,密度!$Q$2:$Q$50)</f>
        <v>5445.7828336799994</v>
      </c>
      <c r="N28" s="91" ph="1">
        <f>N27*18.322*LOOKUP(N29,密度!$A$2:$A$50,密度!$Q$2:$Q$50)</f>
        <v>5522.3973759999999</v>
      </c>
      <c r="O28" s="91" ph="1">
        <f>O27*18.322*LOOKUP(O29,密度!$A$2:$A$50,密度!$C$2:$C$50)</f>
        <v>108765.73141199999</v>
      </c>
      <c r="P28" s="91" ph="1">
        <f>P27*11.702*LOOKUP(P29,密度!$A$2:$A$50,密度!$B$2:$B$50)</f>
        <v>3336.5479625999997</v>
      </c>
      <c r="Q28" s="92" ph="1">
        <f>Q27*18.322*LOOKUP(Q29,密度!$A$2:$A$50,密度!$B$2:$B$50)</f>
        <v>38154.218333000004</v>
      </c>
      <c r="R28" s="91" ph="1">
        <f>R27*35.891*LOOKUP(R29,密度!$A$2:$A$50,密度!$C$2:$C$50)</f>
        <v>203085.27548999997</v>
      </c>
      <c r="S28" s="91" ph="1">
        <f>S27*35.891*LOOKUP(S29,密度!$A$2:$A$50,密度!$B$2:$B$50)</f>
        <v>87863.009208300005</v>
      </c>
      <c r="T28" s="91" ph="1">
        <f>T27*35.891*LOOKUP(T29,密度!$A$2:$A$50,密度!$Q$2:$Q$50)</f>
        <v>44921.307678880003</v>
      </c>
      <c r="U28" s="91" ph="1">
        <f>U27*35.891</f>
        <v>216853.42199999999</v>
      </c>
      <c r="V28" s="91" ph="1">
        <f>V27*47.051*LOOKUP(V29,密度!$A$2:$A$50,密度!$B$2:$B$50)</f>
        <v>26603.976353500002</v>
      </c>
      <c r="W28" s="91" ph="1">
        <f>W27*47.051*LOOKUP(W29,密度!$A$2:$A$50,密度!$B$2:$B$50)</f>
        <v>15669.568618700001</v>
      </c>
      <c r="X28" s="91" ph="1">
        <f>X27*47.051*LOOKUP(X29,密度!$A$2:$A$61,密度!$I$2:$I$61)</f>
        <v>81529.384662500001</v>
      </c>
      <c r="Y28" s="91" ph="1">
        <f>Y27*47.051*LOOKUP(Y29,密度!$A$2:$A$50,密度!$L$2:$L$50)</f>
        <v>205885.76580000002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27</v>
      </c>
      <c r="G29" s="74">
        <v>27</v>
      </c>
      <c r="H29" s="74">
        <v>32</v>
      </c>
      <c r="I29" s="74">
        <v>32</v>
      </c>
      <c r="J29" s="74">
        <v>33</v>
      </c>
      <c r="K29" s="74">
        <v>33</v>
      </c>
      <c r="L29" s="74">
        <v>27</v>
      </c>
      <c r="M29" s="74">
        <v>34</v>
      </c>
      <c r="N29" s="74">
        <v>32</v>
      </c>
      <c r="O29" s="74">
        <v>32</v>
      </c>
      <c r="P29" s="74">
        <v>33</v>
      </c>
      <c r="Q29" s="93">
        <v>33</v>
      </c>
      <c r="R29" s="74">
        <v>32</v>
      </c>
      <c r="S29" s="74">
        <v>27</v>
      </c>
      <c r="T29" s="74">
        <v>27</v>
      </c>
      <c r="U29" s="74">
        <v>32</v>
      </c>
      <c r="V29" s="74">
        <v>32</v>
      </c>
      <c r="W29" s="74">
        <v>33</v>
      </c>
      <c r="X29" s="74">
        <v>32</v>
      </c>
      <c r="Y29" s="74">
        <v>27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33510.0767223</v>
      </c>
      <c r="E33" s="193" ph="1">
        <f>M10+I10</f>
        <v>83287.299213100006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197" ph="1">
        <f>N19</f>
        <v>12382.02036946</v>
      </c>
      <c r="H33" s="193" ph="1">
        <f>M19</f>
        <v>15724.837123680001</v>
      </c>
      <c r="I33" s="206" ph="1">
        <v>0</v>
      </c>
      <c r="J33" s="204" ph="1">
        <f>F10+O28</f>
        <v>225841.67345520001</v>
      </c>
      <c r="K33" s="193" ph="1">
        <f>O10+K10+E28+R28</f>
        <v>325077.86010604003</v>
      </c>
      <c r="L33" s="208" ph="1">
        <f>K19</f>
        <v>18045.388390920001</v>
      </c>
      <c r="M33" s="204" ph="1">
        <f>G10+H10+W28+S28+V28+E10+R19+P28+Q28</f>
        <v>614203.97962809994</v>
      </c>
      <c r="N33" s="193" ph="1">
        <f>L10+P10++G28+H28+AD19+AE19</f>
        <v>393470.56313599995</v>
      </c>
      <c r="O33" s="206" ph="1">
        <f>G19</f>
        <v>24866.629999379998</v>
      </c>
      <c r="P33" s="204" ph="1">
        <f>L19</f>
        <v>40031.105128299998</v>
      </c>
      <c r="Q33" s="193" ph="1">
        <f>J10+N10</f>
        <v>7489.9341694000004</v>
      </c>
      <c r="R33" s="206" ph="1">
        <f>BE23</f>
        <v>890</v>
      </c>
      <c r="S33" s="204" ph="1">
        <f>X28</f>
        <v>81529.384662500001</v>
      </c>
      <c r="T33" s="193" ph="1">
        <f>X19</f>
        <v>12205.99710968</v>
      </c>
      <c r="U33" s="214" ph="1">
        <f>BE21</f>
        <v>730</v>
      </c>
      <c r="V33" s="225" ph="1">
        <f ca="1">P19+Q19+S19+M28+N28+J28+D10+AC10+D19+E19+H19+J19+O19+V19+W19+K28+L28</f>
        <v>741482.18744581006</v>
      </c>
      <c r="W33" s="225" ph="1">
        <f>D28+F28+T28+I28</f>
        <v>78884.877467983999</v>
      </c>
      <c r="X33" s="206" ph="1">
        <f>BE29+BE31</f>
        <v>10200</v>
      </c>
      <c r="Y33" s="227" ph="1">
        <f>+Q10+R10+S10+T10+U10+V10+W10+X10+Y10</f>
        <v>272276.286975</v>
      </c>
      <c r="Z33" s="212" ph="1">
        <f>T19+U19+Y28+Z10</f>
        <v>302144.96056133998</v>
      </c>
      <c r="AA33" s="214" ph="1">
        <f>BE19</f>
        <v>1440</v>
      </c>
      <c r="AB33" s="216" ph="1">
        <f>I19</f>
        <v>48049.843657199999</v>
      </c>
      <c r="AC33" s="218" ph="1">
        <f>AD10+AB19</f>
        <v>52621.384032000002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2" priority="103">
      <formula>ABS(D$7-D$10)&gt;=1000</formula>
    </cfRule>
  </conditionalFormatting>
  <conditionalFormatting sqref="E4 E6:E11">
    <cfRule type="expression" dxfId="131" priority="102">
      <formula>ABS(E$7-E$10)&gt;=1000</formula>
    </cfRule>
  </conditionalFormatting>
  <conditionalFormatting sqref="F4:F11">
    <cfRule type="expression" dxfId="130" priority="101">
      <formula>ABS(F$7-F$10)&gt;=1000</formula>
    </cfRule>
  </conditionalFormatting>
  <conditionalFormatting sqref="G4:G11">
    <cfRule type="expression" dxfId="129" priority="100">
      <formula>ABS(G$7-G$10)&gt;=1000</formula>
    </cfRule>
  </conditionalFormatting>
  <conditionalFormatting sqref="H4:H11">
    <cfRule type="expression" dxfId="128" priority="99">
      <formula>ABS(H$7-H$10)&gt;=1000</formula>
    </cfRule>
  </conditionalFormatting>
  <conditionalFormatting sqref="I4:I11">
    <cfRule type="expression" dxfId="127" priority="98">
      <formula>ABS(I$7-I$10)&gt;=1000</formula>
    </cfRule>
  </conditionalFormatting>
  <conditionalFormatting sqref="J4:J11">
    <cfRule type="expression" dxfId="126" priority="97">
      <formula>ABS(J$7-J$10)&gt;=1000</formula>
    </cfRule>
  </conditionalFormatting>
  <conditionalFormatting sqref="K4:K11">
    <cfRule type="expression" dxfId="125" priority="96">
      <formula>ABS(K$7-K$10)&gt;=1000</formula>
    </cfRule>
  </conditionalFormatting>
  <conditionalFormatting sqref="L4:L11">
    <cfRule type="expression" dxfId="124" priority="95">
      <formula>ABS(L$7-L$10)&gt;=1000</formula>
    </cfRule>
  </conditionalFormatting>
  <conditionalFormatting sqref="M4 M6:M11">
    <cfRule type="expression" dxfId="123" priority="94">
      <formula>ABS(M$7-M$10)&gt;=1000</formula>
    </cfRule>
  </conditionalFormatting>
  <conditionalFormatting sqref="N4 N6:N11">
    <cfRule type="expression" dxfId="122" priority="93">
      <formula>ABS(N$7-N$10)&gt;=1000</formula>
    </cfRule>
  </conditionalFormatting>
  <conditionalFormatting sqref="O4 O6:O11">
    <cfRule type="expression" dxfId="121" priority="92">
      <formula>ABS(O$7-O$10)&gt;=1000</formula>
    </cfRule>
  </conditionalFormatting>
  <conditionalFormatting sqref="P4 P6:P11">
    <cfRule type="expression" dxfId="120" priority="91">
      <formula>ABS(P$7-P$10)&gt;=1000</formula>
    </cfRule>
  </conditionalFormatting>
  <conditionalFormatting sqref="Q4:Q11">
    <cfRule type="expression" dxfId="119" priority="90">
      <formula>ABS(Q$7-Q$10)&gt;=1000</formula>
    </cfRule>
  </conditionalFormatting>
  <conditionalFormatting sqref="R4:R11">
    <cfRule type="expression" dxfId="118" priority="89">
      <formula>ABS(R$7-R$10)&gt;=1000</formula>
    </cfRule>
  </conditionalFormatting>
  <conditionalFormatting sqref="S4:S11">
    <cfRule type="expression" dxfId="117" priority="88">
      <formula>ABS(S$7-S$10)&gt;=1000</formula>
    </cfRule>
  </conditionalFormatting>
  <conditionalFormatting sqref="T4:T9 T11">
    <cfRule type="expression" dxfId="116" priority="87">
      <formula>ABS(T$7-T$10)&gt;=1000</formula>
    </cfRule>
  </conditionalFormatting>
  <conditionalFormatting sqref="U4:U9 U11">
    <cfRule type="expression" dxfId="115" priority="86">
      <formula>ABS(U$7-U$10)&gt;=1000</formula>
    </cfRule>
  </conditionalFormatting>
  <conditionalFormatting sqref="V4:V9 V11">
    <cfRule type="expression" dxfId="114" priority="85">
      <formula>ABS(V$7-V$10)&gt;=1000</formula>
    </cfRule>
  </conditionalFormatting>
  <conditionalFormatting sqref="W4:W9 W11">
    <cfRule type="expression" dxfId="113" priority="84">
      <formula>ABS(W$7-W$10)&gt;=1000</formula>
    </cfRule>
  </conditionalFormatting>
  <conditionalFormatting sqref="X4:X9 X11">
    <cfRule type="expression" dxfId="112" priority="83">
      <formula>ABS(X$7-X$10)&gt;=1000</formula>
    </cfRule>
  </conditionalFormatting>
  <conditionalFormatting sqref="Y4:Y9 Y11">
    <cfRule type="expression" dxfId="111" priority="82">
      <formula>ABS(Y$7-Y$10)&gt;=1000</formula>
    </cfRule>
  </conditionalFormatting>
  <conditionalFormatting sqref="Z4:Z11">
    <cfRule type="expression" dxfId="110" priority="81">
      <formula>ABS(Z$7-Z$10)&gt;=1000</formula>
    </cfRule>
  </conditionalFormatting>
  <conditionalFormatting sqref="AA4:AA11">
    <cfRule type="expression" dxfId="109" priority="80">
      <formula>ABS(AA$7-AA$10)&gt;=1000</formula>
    </cfRule>
  </conditionalFormatting>
  <conditionalFormatting sqref="AB4:AB11">
    <cfRule type="expression" dxfId="108" priority="79">
      <formula>ABS(AB$7-AB$10)&gt;=1000</formula>
    </cfRule>
  </conditionalFormatting>
  <conditionalFormatting sqref="AC4 AC6:AC11">
    <cfRule type="expression" dxfId="107" priority="78">
      <formula>ABS(AC$7-AC$10)&gt;=1000</formula>
    </cfRule>
  </conditionalFormatting>
  <conditionalFormatting sqref="AD4 AD6:AD11">
    <cfRule type="expression" dxfId="106" priority="77">
      <formula>ABS(AD$7-AD$10)&gt;=1000</formula>
    </cfRule>
  </conditionalFormatting>
  <conditionalFormatting sqref="AE4 AE6:AE11">
    <cfRule type="expression" dxfId="105" priority="76">
      <formula>ABS(AE$7-AE$10)&gt;=1000</formula>
    </cfRule>
  </conditionalFormatting>
  <conditionalFormatting sqref="D13:D20">
    <cfRule type="expression" dxfId="104" priority="75">
      <formula>ABS(D$16-D$19)&gt;=1000</formula>
    </cfRule>
  </conditionalFormatting>
  <conditionalFormatting sqref="E13:E20">
    <cfRule type="expression" dxfId="103" priority="74">
      <formula>ABS(E$16-E$19)&gt;=1000</formula>
    </cfRule>
  </conditionalFormatting>
  <conditionalFormatting sqref="F13 F15:F20">
    <cfRule type="expression" dxfId="102" priority="73">
      <formula>ABS(F$16-F$19)&gt;=1000</formula>
    </cfRule>
  </conditionalFormatting>
  <conditionalFormatting sqref="G13:G20">
    <cfRule type="expression" dxfId="101" priority="72">
      <formula>ABS(G$16-G$19)&gt;=1000</formula>
    </cfRule>
  </conditionalFormatting>
  <conditionalFormatting sqref="H13 H15:H20">
    <cfRule type="expression" dxfId="100" priority="71">
      <formula>ABS(H$16-H$19)&gt;=1000</formula>
    </cfRule>
  </conditionalFormatting>
  <conditionalFormatting sqref="I13:I20">
    <cfRule type="expression" dxfId="99" priority="70">
      <formula>ABS(I$16-I$19)&gt;=1000</formula>
    </cfRule>
  </conditionalFormatting>
  <conditionalFormatting sqref="J13:J20">
    <cfRule type="expression" dxfId="98" priority="69">
      <formula>ABS(J$16-J$19)&gt;=1000</formula>
    </cfRule>
  </conditionalFormatting>
  <conditionalFormatting sqref="L13:L20">
    <cfRule type="expression" dxfId="97" priority="68">
      <formula>ABS(L$16-L$19)&gt;=1000</formula>
    </cfRule>
  </conditionalFormatting>
  <conditionalFormatting sqref="M13 M15 M17:M18 M20">
    <cfRule type="expression" dxfId="96" priority="67">
      <formula>ABS(M$16-M$19)&gt;=1000</formula>
    </cfRule>
  </conditionalFormatting>
  <conditionalFormatting sqref="N13:N20">
    <cfRule type="expression" dxfId="95" priority="66">
      <formula>ABS(N$16-N$19)&gt;=1000</formula>
    </cfRule>
  </conditionalFormatting>
  <conditionalFormatting sqref="O13:O20">
    <cfRule type="expression" dxfId="94" priority="65">
      <formula>ABS(O$16-O$19)&gt;=1000</formula>
    </cfRule>
  </conditionalFormatting>
  <conditionalFormatting sqref="P13:P20">
    <cfRule type="expression" dxfId="93" priority="64">
      <formula>ABS(P$16-P$19)&gt;=1000</formula>
    </cfRule>
  </conditionalFormatting>
  <conditionalFormatting sqref="Q13 Q15:Q20">
    <cfRule type="expression" dxfId="92" priority="63">
      <formula>ABS(Q$16-Q$19)&gt;=1000</formula>
    </cfRule>
  </conditionalFormatting>
  <conditionalFormatting sqref="R13 R15:R20">
    <cfRule type="expression" dxfId="91" priority="62">
      <formula>ABS(R$16-R$19)&gt;=1000</formula>
    </cfRule>
  </conditionalFormatting>
  <conditionalFormatting sqref="S13:S20">
    <cfRule type="expression" dxfId="90" priority="61">
      <formula>ABS(S$16-S$19)&gt;=1000</formula>
    </cfRule>
  </conditionalFormatting>
  <conditionalFormatting sqref="T13:T15 T17:T20">
    <cfRule type="expression" dxfId="89" priority="60">
      <formula>ABS(T$16-T$19)&gt;=1000</formula>
    </cfRule>
  </conditionalFormatting>
  <conditionalFormatting sqref="U13:U20">
    <cfRule type="expression" dxfId="88" priority="59">
      <formula>ABS(U$16-U$19)&gt;=1000</formula>
    </cfRule>
  </conditionalFormatting>
  <conditionalFormatting sqref="V13:V20">
    <cfRule type="expression" dxfId="87" priority="58">
      <formula>ABS(V$16-V$19)&gt;=1000</formula>
    </cfRule>
  </conditionalFormatting>
  <conditionalFormatting sqref="W13 W20 W15:W18">
    <cfRule type="expression" dxfId="86" priority="57">
      <formula>ABS(W$16-W$19)&gt;=1000</formula>
    </cfRule>
  </conditionalFormatting>
  <conditionalFormatting sqref="X13 X15:X20 Y19">
    <cfRule type="expression" dxfId="85" priority="56">
      <formula>ABS(X$16-X$19)&gt;=1000</formula>
    </cfRule>
  </conditionalFormatting>
  <conditionalFormatting sqref="Y13 Y15:Y18 Y20">
    <cfRule type="expression" dxfId="84" priority="55">
      <formula>ABS(Y$16-Y$19)&gt;=1000</formula>
    </cfRule>
  </conditionalFormatting>
  <conditionalFormatting sqref="Z13:Z20">
    <cfRule type="expression" dxfId="83" priority="54">
      <formula>ABS(Z$16-Z$19)&gt;=1000</formula>
    </cfRule>
  </conditionalFormatting>
  <conditionalFormatting sqref="AA13:AA20">
    <cfRule type="expression" dxfId="82" priority="53">
      <formula>ABS(AA$16-AA$19)&gt;=1000</formula>
    </cfRule>
  </conditionalFormatting>
  <conditionalFormatting sqref="AB13 AB15:AB20">
    <cfRule type="expression" dxfId="81" priority="52">
      <formula>ABS(AB$16-AB$19)&gt;=1000</formula>
    </cfRule>
  </conditionalFormatting>
  <conditionalFormatting sqref="AC13 AC15:AC20">
    <cfRule type="expression" dxfId="80" priority="51">
      <formula>ABS(AC$16-AC$19)&gt;=1000</formula>
    </cfRule>
  </conditionalFormatting>
  <conditionalFormatting sqref="AD13:AD20">
    <cfRule type="expression" dxfId="79" priority="50">
      <formula>ABS(AD$16-AD$19)&gt;=1000</formula>
    </cfRule>
  </conditionalFormatting>
  <conditionalFormatting sqref="AE13:AE20">
    <cfRule type="expression" dxfId="78" priority="49">
      <formula>ABS(AE$16-AE$19)&gt;=1000</formula>
    </cfRule>
  </conditionalFormatting>
  <conditionalFormatting sqref="D22:D29">
    <cfRule type="expression" dxfId="77" priority="48">
      <formula>ABS(D$25-D$28)&gt;=1000</formula>
    </cfRule>
  </conditionalFormatting>
  <conditionalFormatting sqref="E22:E29">
    <cfRule type="expression" dxfId="76" priority="47">
      <formula>ABS(E$25-E$28)&gt;=1000</formula>
    </cfRule>
  </conditionalFormatting>
  <conditionalFormatting sqref="F22:F29">
    <cfRule type="expression" dxfId="75" priority="46">
      <formula>ABS(F$25-F$28)&gt;=1000</formula>
    </cfRule>
  </conditionalFormatting>
  <conditionalFormatting sqref="G22:G29">
    <cfRule type="expression" dxfId="74" priority="45">
      <formula>ABS(G$25-G$28)&gt;=1000</formula>
    </cfRule>
  </conditionalFormatting>
  <conditionalFormatting sqref="H22:H29">
    <cfRule type="expression" dxfId="73" priority="44">
      <formula>ABS(H$25-H$28)&gt;=1000</formula>
    </cfRule>
  </conditionalFormatting>
  <conditionalFormatting sqref="I22 I24:I29">
    <cfRule type="expression" dxfId="72" priority="43">
      <formula>ABS(I$25-I$28)&gt;=1000</formula>
    </cfRule>
  </conditionalFormatting>
  <conditionalFormatting sqref="J22:J29 K22">
    <cfRule type="expression" dxfId="71" priority="42">
      <formula>ABS(J$25-J$28)&gt;=1000</formula>
    </cfRule>
  </conditionalFormatting>
  <conditionalFormatting sqref="K23:K29 L25 L28">
    <cfRule type="expression" dxfId="70" priority="41">
      <formula>ABS(K$25-K$28)&gt;=1000</formula>
    </cfRule>
  </conditionalFormatting>
  <conditionalFormatting sqref="L22 L26:L27 L29 L24">
    <cfRule type="expression" dxfId="69" priority="40">
      <formula>ABS(L$25-L$28)&gt;=1000</formula>
    </cfRule>
  </conditionalFormatting>
  <conditionalFormatting sqref="M22:M29">
    <cfRule type="expression" dxfId="68" priority="39">
      <formula>ABS(M$25-M$28)&gt;=1000</formula>
    </cfRule>
  </conditionalFormatting>
  <conditionalFormatting sqref="N22:N29">
    <cfRule type="expression" dxfId="67" priority="38">
      <formula>ABS(N$25-N$28)&gt;=1000</formula>
    </cfRule>
  </conditionalFormatting>
  <conditionalFormatting sqref="O22 O24:O29">
    <cfRule type="expression" dxfId="66" priority="37">
      <formula>ABS(O$25-O$28)&gt;=1000</formula>
    </cfRule>
  </conditionalFormatting>
  <conditionalFormatting sqref="P22:P29">
    <cfRule type="expression" dxfId="65" priority="36">
      <formula>ABS(P$25-P$28)&gt;=1000</formula>
    </cfRule>
  </conditionalFormatting>
  <conditionalFormatting sqref="Q22:Q29">
    <cfRule type="expression" dxfId="64" priority="35">
      <formula>ABS(Q$25-Q$28)&gt;=1000</formula>
    </cfRule>
  </conditionalFormatting>
  <conditionalFormatting sqref="R22:R29">
    <cfRule type="expression" dxfId="63" priority="34">
      <formula>ABS(R$25-R$28)&gt;=1000</formula>
    </cfRule>
  </conditionalFormatting>
  <conditionalFormatting sqref="S22:S29">
    <cfRule type="expression" dxfId="62" priority="33">
      <formula>ABS(S$25-S$28)&gt;=1000</formula>
    </cfRule>
  </conditionalFormatting>
  <conditionalFormatting sqref="T22:T29">
    <cfRule type="expression" dxfId="61" priority="32">
      <formula>ABS(T$25-T$28)&gt;=1000</formula>
    </cfRule>
  </conditionalFormatting>
  <conditionalFormatting sqref="U22:U29">
    <cfRule type="expression" dxfId="60" priority="31">
      <formula>ABS(U$25-U$28)&gt;=1000</formula>
    </cfRule>
  </conditionalFormatting>
  <conditionalFormatting sqref="V22:V29">
    <cfRule type="expression" dxfId="59" priority="30">
      <formula>ABS(V$25-V$28)&gt;=1000</formula>
    </cfRule>
  </conditionalFormatting>
  <conditionalFormatting sqref="W22:W29">
    <cfRule type="expression" dxfId="58" priority="29">
      <formula>ABS(W$25-W$28)&gt;=1000</formula>
    </cfRule>
  </conditionalFormatting>
  <conditionalFormatting sqref="X22:X29">
    <cfRule type="expression" dxfId="57" priority="28">
      <formula>ABS(X$25-X$28)&gt;=1000</formula>
    </cfRule>
  </conditionalFormatting>
  <conditionalFormatting sqref="Y22:Y29">
    <cfRule type="expression" dxfId="56" priority="27">
      <formula>ABS(Y$25-Y$28)&gt;=1000</formula>
    </cfRule>
  </conditionalFormatting>
  <conditionalFormatting sqref="I23">
    <cfRule type="expression" dxfId="55" priority="26">
      <formula>ABS(I$25-I$28)&gt;=1000</formula>
    </cfRule>
  </conditionalFormatting>
  <conditionalFormatting sqref="Q14">
    <cfRule type="expression" dxfId="54" priority="25">
      <formula>ABS(Q$16-Q$19)&gt;=1000</formula>
    </cfRule>
  </conditionalFormatting>
  <conditionalFormatting sqref="W14">
    <cfRule type="expression" dxfId="53" priority="24">
      <formula>ABS(W$16-W$19)&gt;=1000</formula>
    </cfRule>
  </conditionalFormatting>
  <conditionalFormatting sqref="X14">
    <cfRule type="expression" dxfId="52" priority="23">
      <formula>ABS(X$16-X$19)&gt;=1000</formula>
    </cfRule>
  </conditionalFormatting>
  <conditionalFormatting sqref="T10:Y10">
    <cfRule type="expression" dxfId="51" priority="22">
      <formula>ABS(T$7-T$10)&gt;=1000</formula>
    </cfRule>
  </conditionalFormatting>
  <conditionalFormatting sqref="W19">
    <cfRule type="expression" dxfId="50" priority="21">
      <formula>ABS(W$16-W$19)&gt;=1000</formula>
    </cfRule>
  </conditionalFormatting>
  <conditionalFormatting sqref="AC5">
    <cfRule type="expression" dxfId="49" priority="20">
      <formula>ABS(AC$7-AC$10)&gt;=1000</formula>
    </cfRule>
  </conditionalFormatting>
  <conditionalFormatting sqref="M14">
    <cfRule type="expression" dxfId="48" priority="19">
      <formula>ABS(M$16-M$19)&gt;=1000</formula>
    </cfRule>
  </conditionalFormatting>
  <conditionalFormatting sqref="M16">
    <cfRule type="expression" dxfId="47" priority="18">
      <formula>ABS(M$16-M$19)&gt;=1000</formula>
    </cfRule>
  </conditionalFormatting>
  <conditionalFormatting sqref="M19">
    <cfRule type="expression" dxfId="46" priority="17">
      <formula>ABS(M$16-M$19)&gt;=1000</formula>
    </cfRule>
  </conditionalFormatting>
  <conditionalFormatting sqref="K13:K20">
    <cfRule type="expression" dxfId="45" priority="16">
      <formula>ABS(K$16-K$19)&gt;=1000</formula>
    </cfRule>
  </conditionalFormatting>
  <conditionalFormatting sqref="E5">
    <cfRule type="expression" dxfId="44" priority="15">
      <formula>ABS(E$7-E$10)&gt;=1000</formula>
    </cfRule>
  </conditionalFormatting>
  <conditionalFormatting sqref="AB14:AC14">
    <cfRule type="expression" dxfId="43" priority="14">
      <formula>ABS(AB$16-AB$19)&gt;=1000</formula>
    </cfRule>
  </conditionalFormatting>
  <conditionalFormatting sqref="M5">
    <cfRule type="expression" dxfId="42" priority="13">
      <formula>ABS(M$7-M$10)&gt;=1000</formula>
    </cfRule>
  </conditionalFormatting>
  <conditionalFormatting sqref="N5">
    <cfRule type="expression" dxfId="41" priority="12">
      <formula>ABS(N$7-N$10)&gt;=1000</formula>
    </cfRule>
  </conditionalFormatting>
  <conditionalFormatting sqref="O5">
    <cfRule type="expression" dxfId="40" priority="11">
      <formula>ABS(O$7-O$10)&gt;=1000</formula>
    </cfRule>
  </conditionalFormatting>
  <conditionalFormatting sqref="P5">
    <cfRule type="expression" dxfId="39" priority="10">
      <formula>ABS(P$7-P$10)&gt;=1000</formula>
    </cfRule>
  </conditionalFormatting>
  <conditionalFormatting sqref="L23">
    <cfRule type="expression" dxfId="38" priority="9">
      <formula>ABS(L$25-L$28)&gt;=1000</formula>
    </cfRule>
  </conditionalFormatting>
  <conditionalFormatting sqref="Y14">
    <cfRule type="expression" dxfId="37" priority="8">
      <formula>ABS(Y$16-Y$19)&gt;=1000</formula>
    </cfRule>
  </conditionalFormatting>
  <conditionalFormatting sqref="H14">
    <cfRule type="expression" dxfId="36" priority="7">
      <formula>ABS(H$16-H$19)&gt;=1000</formula>
    </cfRule>
  </conditionalFormatting>
  <conditionalFormatting sqref="AD5">
    <cfRule type="expression" dxfId="35" priority="6">
      <formula>ABS(AD$7-AD$10)&gt;=1000</formula>
    </cfRule>
  </conditionalFormatting>
  <conditionalFormatting sqref="AE5">
    <cfRule type="expression" dxfId="34" priority="5">
      <formula>ABS(AE$7-AE$10)&gt;=1000</formula>
    </cfRule>
  </conditionalFormatting>
  <conditionalFormatting sqref="T16">
    <cfRule type="expression" dxfId="33" priority="4">
      <formula>ABS(T$16-T$19)&gt;=1000</formula>
    </cfRule>
  </conditionalFormatting>
  <conditionalFormatting sqref="F14">
    <cfRule type="expression" dxfId="32" priority="3">
      <formula>ABS(F$16-F$19)&gt;=1000</formula>
    </cfRule>
  </conditionalFormatting>
  <conditionalFormatting sqref="R14">
    <cfRule type="expression" dxfId="31" priority="2">
      <formula>ABS(R$16-R$19)&gt;=1000</formula>
    </cfRule>
  </conditionalFormatting>
  <conditionalFormatting sqref="O23">
    <cfRule type="expression" dxfId="3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29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8</vt:i4>
      </vt:variant>
    </vt:vector>
  </HeadingPairs>
  <TitlesOfParts>
    <vt:vector size="16" baseType="lpstr">
      <vt:lpstr>新增</vt:lpstr>
      <vt:lpstr>密度</vt:lpstr>
      <vt:lpstr>9.30</vt:lpstr>
      <vt:lpstr>10.1</vt:lpstr>
      <vt:lpstr>10.2</vt:lpstr>
      <vt:lpstr>10.5</vt:lpstr>
      <vt:lpstr>10.6</vt:lpstr>
      <vt:lpstr>10.7</vt:lpstr>
      <vt:lpstr>'10.1'!Print_Area</vt:lpstr>
      <vt:lpstr>'10.2'!Print_Area</vt:lpstr>
      <vt:lpstr>'10.5'!Print_Area</vt:lpstr>
      <vt:lpstr>'10.6'!Print_Area</vt:lpstr>
      <vt:lpstr>'10.7'!Print_Area</vt:lpstr>
      <vt:lpstr>'9.30'!Print_Area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2026-10-06T07:29:28Z</cp:lastPrinted>
  <dcterms:created xsi:type="dcterms:W3CDTF">2006-09-16T00:00:00Z</dcterms:created>
  <dcterms:modified xsi:type="dcterms:W3CDTF">2026-10-07T07:28:44Z</dcterms:modified>
</cp:coreProperties>
</file>